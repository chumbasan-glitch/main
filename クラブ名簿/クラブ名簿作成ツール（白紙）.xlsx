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6年クラス別" sheetId="9" state="visible" r:id="rId9"/>
    <sheet name="5年クラス別" sheetId="10" state="visible" r:id="rId10"/>
    <sheet name="4年クラス別" sheetId="11" state="visible" r:id="rId11"/>
    <sheet name="一覧名簿" sheetId="12" state="visible" r:id="rId12"/>
    <sheet name="クラブ①" sheetId="13" state="visible" r:id="rId13"/>
    <sheet name="クラブ②" sheetId="14" state="visible" r:id="rId14"/>
    <sheet name="クラブ③" sheetId="15" state="visible" r:id="rId15"/>
    <sheet name="クラブ④" sheetId="16" state="visible" r:id="rId16"/>
    <sheet name="クラブ⑤" sheetId="17" state="visible" r:id="rId17"/>
    <sheet name="クラブ⑥" sheetId="18" state="visible" r:id="rId18"/>
    <sheet name="クラブ⑦" sheetId="19" state="visible" r:id="rId19"/>
    <sheet name="クラブ⑧" sheetId="20" state="visible" r:id="rId20"/>
    <sheet name="クラブ⑨" sheetId="21" state="visible" r:id="rId21"/>
    <sheet name="クラブ⑩" sheetId="22" state="visible" r:id="rId22"/>
    <sheet name="クラブ⑪" sheetId="23" state="visible" r:id="rId23"/>
    <sheet name="クラブ⑫" sheetId="24" state="visible" r:id="rId24"/>
    <sheet name="クラブ⑬" sheetId="25" state="visible" r:id="rId25"/>
    <sheet name="クラブ⑭" sheetId="26" state="visible" r:id="rId26"/>
    <sheet name="クラブ⑮" sheetId="27" state="visible" r:id="rId27"/>
    <sheet name="クラブ⑯" sheetId="28" state="visible" r:id="rId28"/>
    <sheet name="クラブ⑰" sheetId="29" state="visible" r:id="rId29"/>
    <sheet name="クラブ⑱" sheetId="30" state="visible" r:id="rId30"/>
    <sheet name="クラブ⑲" sheetId="31" state="visible" r:id="rId31"/>
    <sheet name="クラブ⑳" sheetId="32" state="visible" r:id="rId32"/>
    <sheet name="計算用" sheetId="33" state="hidden" r:id="rId33"/>
  </sheets>
  <definedNames>
    <definedName name="_xlnm.Print_Area" localSheetId="2">'希望調査用紙'!$A$1:$F$32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'6年クラス別'!$A$1:$X$49</definedName>
    <definedName name="_xlnm.Print_Area" localSheetId="9">'5年クラス別'!$A$1:$X$49</definedName>
    <definedName name="_xlnm.Print_Area" localSheetId="10">'4年クラス別'!$A$1:$X$49</definedName>
    <definedName name="_xlnm.Print_Area" localSheetId="11">'一覧名簿'!$A$1:$T$111</definedName>
    <definedName name="_xlnm.Print_Area" localSheetId="12">'クラブ①'!$A$1:$O$54</definedName>
    <definedName name="_xlnm.Print_Area" localSheetId="13">'クラブ②'!$A$1:$O$54</definedName>
    <definedName name="_xlnm.Print_Area" localSheetId="14">'クラブ③'!$A$1:$O$54</definedName>
    <definedName name="_xlnm.Print_Area" localSheetId="15">'クラブ④'!$A$1:$O$54</definedName>
    <definedName name="_xlnm.Print_Area" localSheetId="16">'クラブ⑤'!$A$1:$O$54</definedName>
    <definedName name="_xlnm.Print_Area" localSheetId="17">'クラブ⑥'!$A$1:$O$54</definedName>
    <definedName name="_xlnm.Print_Area" localSheetId="18">'クラブ⑦'!$A$1:$O$54</definedName>
    <definedName name="_xlnm.Print_Area" localSheetId="19">'クラブ⑧'!$A$1:$O$54</definedName>
    <definedName name="_xlnm.Print_Area" localSheetId="20">'クラブ⑨'!$A$1:$O$54</definedName>
    <definedName name="_xlnm.Print_Area" localSheetId="21">'クラブ⑩'!$A$1:$O$54</definedName>
    <definedName name="_xlnm.Print_Area" localSheetId="22">'クラブ⑪'!$A$1:$O$54</definedName>
    <definedName name="_xlnm.Print_Area" localSheetId="23">'クラブ⑫'!$A$1:$O$54</definedName>
    <definedName name="_xlnm.Print_Area" localSheetId="24">'クラブ⑬'!$A$1:$O$54</definedName>
    <definedName name="_xlnm.Print_Area" localSheetId="25">'クラブ⑭'!$A$1:$O$54</definedName>
    <definedName name="_xlnm.Print_Area" localSheetId="26">'クラブ⑮'!$A$1:$O$54</definedName>
    <definedName name="_xlnm.Print_Area" localSheetId="27">'クラブ⑯'!$A$1:$O$54</definedName>
    <definedName name="_xlnm.Print_Area" localSheetId="28">'クラブ⑰'!$A$1:$O$54</definedName>
    <definedName name="_xlnm.Print_Area" localSheetId="29">'クラブ⑱'!$A$1:$O$54</definedName>
    <definedName name="_xlnm.Print_Area" localSheetId="30">'クラブ⑲'!$A$1:$O$54</definedName>
    <definedName name="_xlnm.Print_Area" localSheetId="31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3"/>
    </font>
    <font>
      <name val="游ゴシック"/>
      <sz val="12"/>
    </font>
    <font>
      <name val="游ゴシック"/>
      <b val="1"/>
      <sz val="13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C00000"/>
      <sz val="11"/>
    </font>
    <font>
      <name val="游ゴシック"/>
      <b val="1"/>
      <color rgb="00FFFFFF"/>
      <sz val="11"/>
    </font>
    <font>
      <name val="游ゴシック"/>
      <color rgb="00808080"/>
      <sz val="10"/>
    </font>
    <font>
      <name val="游ゴシック"/>
      <sz val="8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2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/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  <border>
      <left/>
      <right/>
      <top style="thin">
        <color rgb="00808080"/>
      </top>
      <bottom style="thin">
        <color rgb="00808080"/>
      </bottom>
      <diagonal/>
    </border>
    <border>
      <left style="medium">
        <color rgb="00000000"/>
      </left>
      <right style="medium">
        <color rgb="00000000"/>
      </right>
    </border>
    <border>
      <left/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bottom style="medium">
        <color rgb="00000000"/>
      </bottom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49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2" borderId="1" applyAlignment="1" applyProtection="1" pivotButton="0" quotePrefix="0" xfId="0">
      <alignment vertical="center" wrapText="1"/>
      <protection locked="0" hidden="0"/>
    </xf>
    <xf numFmtId="0" fontId="0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 shrinkToFit="1"/>
    </xf>
    <xf numFmtId="0" fontId="9" fillId="0" borderId="0" applyAlignment="1" pivotButton="0" quotePrefix="0" xfId="0">
      <alignment vertical="top" shrinkToFi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0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5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16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7" fillId="6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 vertical="center"/>
    </xf>
    <xf numFmtId="0" fontId="18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0" fillId="0" borderId="1" applyAlignment="1" pivotButton="0" quotePrefix="0" xfId="0">
      <alignment vertical="center" wrapText="1"/>
    </xf>
    <xf numFmtId="0" fontId="19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4" fillId="0" borderId="0" pivotButton="0" quotePrefix="0" xfId="0"/>
    <xf numFmtId="0" fontId="0" fillId="0" borderId="14" pivotButton="0" quotePrefix="0" xfId="0"/>
    <xf numFmtId="0" fontId="0" fillId="0" borderId="4" pivotButton="0" quotePrefix="0" xfId="0"/>
    <xf numFmtId="0" fontId="0" fillId="0" borderId="14" applyProtection="1" pivotButton="0" quotePrefix="0" xfId="0">
      <protection locked="0" hidden="0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5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</cellXfs>
  <cellStyles count="1">
    <cellStyle name="Normal" xfId="0" builtinId="0" hidden="0"/>
  </cellStyles>
  <dxfs count="21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border>
        <left style="thin"/>
        <right style="thin"/>
        <top style="thin"/>
      </border>
    </dxf>
    <dxf>
      <border>
        <left style="thin"/>
        <right style="thin"/>
        <bottom style="thin"/>
      </border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  <dxf>
      <font>
        <name val="游ゴシック"/>
        <b val="1"/>
        <color rgb="00C00000"/>
      </font>
      <fill>
        <patternFill patternType="solid">
          <fgColor rgb="FFF8CBAD"/>
          <bgColor rgb="FFF8CBAD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C5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2"/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C12" s="4" t="inlineStr">
        <is>
          <t xml:space="preserve">　 ・希望調査用紙の「希望の数」（第何希望までとるか）と「注意書き」（3行まで）、クラブの「用紙用の説明」も設定シートで入力します。</t>
        </is>
      </c>
    </row>
    <row r="13">
      <c r="B13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4">
      <c r="B14" s="4" t="inlineStr">
        <is>
          <t>③ 【前年度名簿】アンケートをとる学年（3〜5年）全員の「学年・組・番号・名前」を貼り付けます。学年は数字で入れます。</t>
        </is>
      </c>
    </row>
    <row r="15">
      <c r="B15" s="4" t="inlineStr"/>
    </row>
    <row r="16">
      <c r="B16" s="2" t="inlineStr">
        <is>
          <t>■ 【担任】希望調査のあとにすること</t>
        </is>
      </c>
    </row>
    <row r="17">
      <c r="B17" s="4" t="inlineStr">
        <is>
          <t>④ 【希望入力】自分の組の子の、前年度の学年・組・番号と、第1〜第3希望を入れます。</t>
        </is>
      </c>
    </row>
    <row r="18">
      <c r="C18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9">
      <c r="C19" s="4" t="inlineStr">
        <is>
          <t xml:space="preserve">　 ・学年・組・番号・名前は、前年度名簿から自動で入っています。紙の場合は、名前を見ながら希望の番号を打つだけです。</t>
        </is>
      </c>
    </row>
    <row r="20">
      <c r="C20" s="4" t="inlineStr">
        <is>
          <t xml:space="preserve">　 ・Formsの場合：結果の表から「学年〜第3希望」の列をコピーし、A列の5行目に「値の貼り付け」をします（自動の学年・組・番号は上書きされます）。</t>
        </is>
      </c>
    </row>
    <row r="21">
      <c r="C21" s="4" t="inlineStr">
        <is>
          <t xml:space="preserve">　 ・第1希望が空欄の行は、提出していないものとして扱います。転出した児童は、第1希望に「転出」と入力します。</t>
        </is>
      </c>
    </row>
    <row r="22">
      <c r="C22" s="4" t="inlineStr">
        <is>
          <t xml:space="preserve">　 ・設定の「希望の数」が2以下のときは、使わない希望の列が灰色になります。列を右クリック→「非表示」で隠せます（「再表示」で元にもどります）。</t>
        </is>
      </c>
    </row>
    <row r="23">
      <c r="C23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4">
      <c r="B24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5">
      <c r="C25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6">
      <c r="C26" s="4" t="inlineStr">
        <is>
          <t xml:space="preserve">　 ・見出しの▼で「第1希望」や「状態」を絞りこむと、調整する子だけを並べられます。</t>
        </is>
      </c>
    </row>
    <row r="27">
      <c r="C27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8">
      <c r="C28" s="4" t="inlineStr">
        <is>
          <t xml:space="preserve">　 ・この段階では、名簿は前年度の組で表示され、タイトルに「（仮・前年度の組）」と出ます。</t>
        </is>
      </c>
    </row>
    <row r="29">
      <c r="B29" s="4" t="inlineStr"/>
    </row>
    <row r="30">
      <c r="B30" s="2" t="inlineStr">
        <is>
          <t>■ 【クラブ担当】新年度（4月）にすること</t>
        </is>
      </c>
    </row>
    <row r="31">
      <c r="B31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32">
      <c r="C32" s="4" t="inlineStr">
        <is>
          <t xml:space="preserve">　 ・名前の空白（全角・半角）のちがいは自動で無視します。</t>
        </is>
      </c>
    </row>
    <row r="33">
      <c r="C33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4">
      <c r="C34" s="4" t="inlineStr">
        <is>
          <t xml:space="preserve">　 ・「同姓同名あり」：自動でつなげられないので、「クラブ（手入力）」欄にクラブを入れてください。</t>
        </is>
      </c>
    </row>
    <row r="35">
      <c r="C35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6">
      <c r="B36" s="4" t="inlineStr">
        <is>
          <t>⑦ 【定員チェック】「未提出」「要調整」「定員オーバー」「新年度名簿の要確認」が 0 になれば完成です。</t>
        </is>
      </c>
    </row>
    <row r="37">
      <c r="B37" s="4" t="inlineStr">
        <is>
          <t>⑧ 【6年・5年・4年クラス別】組ごとに番号・名前・決まったクラブが横に並びます。担任に配るときに使えます。「未決定」「要確認」は赤字です。</t>
        </is>
      </c>
    </row>
    <row r="38">
      <c r="B38" s="4" t="inlineStr">
        <is>
          <t>⑨ 【一覧名簿】【クラブ①〜⑳】を印刷します。新しい組・番号で、6年→5年→4年、組順・番号順に並びます。</t>
        </is>
      </c>
    </row>
    <row r="39">
      <c r="C39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40">
      <c r="B40" s="4" t="inlineStr"/>
    </row>
    <row r="41">
      <c r="B41" s="2" t="inlineStr">
        <is>
          <t>■ Microsoft Forms の作り方（希望を集める場合）</t>
        </is>
      </c>
    </row>
    <row r="42">
      <c r="B42" s="4" t="inlineStr">
        <is>
          <t>質問を「1. 学年　2. 組　3. 番号　4. 第1希望　5. 第2希望　6. 第3希望」の順に作ります（学年・組・番号はアンケート時のもの）。</t>
        </is>
      </c>
    </row>
    <row r="43">
      <c r="B43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44">
      <c r="B44" s="4" t="inlineStr"/>
    </row>
    <row r="45">
      <c r="B45" s="2" t="inlineStr">
        <is>
          <t>■ 上限</t>
        </is>
      </c>
    </row>
    <row r="46">
      <c r="B46" s="4" t="inlineStr">
        <is>
          <t>クラブ 20／1学年の組 8／前年度名簿・新年度名簿 各450人／希望入力 550行／1つのクラブ 50人</t>
        </is>
      </c>
    </row>
    <row r="47">
      <c r="B47" s="4" t="inlineStr"/>
    </row>
    <row r="48">
      <c r="B48" s="2" t="inlineStr">
        <is>
          <t>■ このファイルについて</t>
        </is>
      </c>
    </row>
    <row r="49">
      <c r="B49" s="4" t="inlineStr">
        <is>
          <t>これは白紙のファイルです。設定シートから入力してください。</t>
        </is>
      </c>
    </row>
    <row r="50">
      <c r="B50" s="4" t="n"/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width="22" customWidth="1" min="21" max="21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  <c r="E1" s="72" t="n"/>
      <c r="F1" s="72" t="n"/>
      <c r="G1" s="72" t="n"/>
      <c r="H1" s="72" t="n"/>
      <c r="I1" s="72" t="n"/>
      <c r="J1" s="73" t="n"/>
    </row>
    <row r="2"/>
    <row r="3">
      <c r="A3" s="8" t="inlineStr">
        <is>
          <t>年度</t>
        </is>
      </c>
      <c r="B3" s="9" t="n"/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5"/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  <c r="U7" s="12" t="inlineStr">
        <is>
          <t>用紙用の説明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6" t="n"/>
      <c r="G8" s="16">
        <f>IF(F8="","",E8&amp;IF(ISNUMBER(FIND(UPPER(LEFT(ASC(F8&amp;""),1)),"0123456789ABCDEFGHIJKLMNOPQRSTUVWXYZ")),"-","")&amp;F8)</f>
        <v/>
      </c>
      <c r="H8" s="15" t="n"/>
      <c r="J8" s="14">
        <f>$B$8</f>
        <v/>
      </c>
      <c r="K8" s="16" t="n"/>
      <c r="L8" s="16">
        <f>IF(K8="","",J8&amp;IF(ISNUMBER(FIND(UPPER(LEFT(ASC(K8&amp;""),1)),"0123456789ABCDEFGHIJKLMNOPQRSTUVWXYZ")),"-","")&amp;K8)</f>
        <v/>
      </c>
      <c r="M8" s="15" t="n"/>
      <c r="O8" s="14" t="n">
        <v>1</v>
      </c>
      <c r="P8" s="15" t="n"/>
      <c r="Q8" s="15" t="n"/>
      <c r="R8" s="15" t="n"/>
      <c r="S8" s="15" t="n"/>
      <c r="T8" s="15" t="n"/>
      <c r="U8" s="15" t="n"/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6" t="n"/>
      <c r="G9" s="16">
        <f>IF(F9="","",E9&amp;IF(ISNUMBER(FIND(UPPER(LEFT(ASC(F9&amp;""),1)),"0123456789ABCDEFGHIJKLMNOPQRSTUVWXYZ")),"-","")&amp;F9)</f>
        <v/>
      </c>
      <c r="H9" s="15" t="n"/>
      <c r="J9" s="14">
        <f>$B$8</f>
        <v/>
      </c>
      <c r="K9" s="16" t="n"/>
      <c r="L9" s="16">
        <f>IF(K9="","",J9&amp;IF(ISNUMBER(FIND(UPPER(LEFT(ASC(K9&amp;""),1)),"0123456789ABCDEFGHIJKLMNOPQRSTUVWXYZ")),"-","")&amp;K9)</f>
        <v/>
      </c>
      <c r="M9" s="15" t="n"/>
      <c r="O9" s="14" t="n">
        <v>2</v>
      </c>
      <c r="P9" s="15" t="n"/>
      <c r="Q9" s="15" t="n"/>
      <c r="R9" s="15" t="n"/>
      <c r="S9" s="15" t="n"/>
      <c r="T9" s="15" t="n"/>
      <c r="U9" s="15" t="n"/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6" t="n"/>
      <c r="G10" s="16">
        <f>IF(F10="","",E10&amp;IF(ISNUMBER(FIND(UPPER(LEFT(ASC(F10&amp;""),1)),"0123456789ABCDEFGHIJKLMNOPQRSTUVWXYZ")),"-","")&amp;F10)</f>
        <v/>
      </c>
      <c r="H10" s="15" t="n"/>
      <c r="J10" s="14">
        <f>$B$8</f>
        <v/>
      </c>
      <c r="K10" s="16" t="n"/>
      <c r="L10" s="16">
        <f>IF(K10="","",J10&amp;IF(ISNUMBER(FIND(UPPER(LEFT(ASC(K10&amp;""),1)),"0123456789ABCDEFGHIJKLMNOPQRSTUVWXYZ")),"-","")&amp;K10)</f>
        <v/>
      </c>
      <c r="M10" s="15" t="n"/>
      <c r="O10" s="14" t="n">
        <v>3</v>
      </c>
      <c r="P10" s="15" t="n"/>
      <c r="Q10" s="15" t="n"/>
      <c r="R10" s="15" t="n"/>
      <c r="S10" s="15" t="n"/>
      <c r="T10" s="15" t="n"/>
      <c r="U10" s="15" t="n"/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6" t="n"/>
      <c r="G11" s="16">
        <f>IF(F11="","",E11&amp;IF(ISNUMBER(FIND(UPPER(LEFT(ASC(F11&amp;""),1)),"0123456789ABCDEFGHIJKLMNOPQRSTUVWXYZ")),"-","")&amp;F11)</f>
        <v/>
      </c>
      <c r="H11" s="15" t="n"/>
      <c r="J11" s="14">
        <f>$B$8</f>
        <v/>
      </c>
      <c r="K11" s="16" t="n"/>
      <c r="L11" s="16">
        <f>IF(K11="","",J11&amp;IF(ISNUMBER(FIND(UPPER(LEFT(ASC(K11&amp;""),1)),"0123456789ABCDEFGHIJKLMNOPQRSTUVWXYZ")),"-","")&amp;K11)</f>
        <v/>
      </c>
      <c r="M11" s="15" t="n"/>
      <c r="O11" s="14" t="n">
        <v>4</v>
      </c>
      <c r="P11" s="15" t="n"/>
      <c r="Q11" s="15" t="n"/>
      <c r="R11" s="15" t="n"/>
      <c r="S11" s="15" t="n"/>
      <c r="T11" s="15" t="n"/>
      <c r="U11" s="15" t="n"/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6" t="n"/>
      <c r="G12" s="16">
        <f>IF(F12="","",E12&amp;IF(ISNUMBER(FIND(UPPER(LEFT(ASC(F12&amp;""),1)),"0123456789ABCDEFGHIJKLMNOPQRSTUVWXYZ")),"-","")&amp;F12)</f>
        <v/>
      </c>
      <c r="H12" s="15" t="n"/>
      <c r="J12" s="14">
        <f>$B$8</f>
        <v/>
      </c>
      <c r="K12" s="16" t="n"/>
      <c r="L12" s="16">
        <f>IF(K12="","",J12&amp;IF(ISNUMBER(FIND(UPPER(LEFT(ASC(K12&amp;""),1)),"0123456789ABCDEFGHIJKLMNOPQRSTUVWXYZ")),"-","")&amp;K12)</f>
        <v/>
      </c>
      <c r="M12" s="15" t="n"/>
      <c r="O12" s="14" t="n">
        <v>5</v>
      </c>
      <c r="P12" s="15" t="n"/>
      <c r="Q12" s="15" t="n"/>
      <c r="R12" s="15" t="n"/>
      <c r="S12" s="15" t="n"/>
      <c r="T12" s="15" t="n"/>
      <c r="U12" s="15" t="n"/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6" t="n"/>
      <c r="G13" s="16">
        <f>IF(F13="","",E13&amp;IF(ISNUMBER(FIND(UPPER(LEFT(ASC(F13&amp;""),1)),"0123456789ABCDEFGHIJKLMNOPQRSTUVWXYZ")),"-","")&amp;F13)</f>
        <v/>
      </c>
      <c r="H13" s="15" t="n"/>
      <c r="J13" s="14">
        <f>$B$8</f>
        <v/>
      </c>
      <c r="K13" s="16" t="n"/>
      <c r="L13" s="16">
        <f>IF(K13="","",J13&amp;IF(ISNUMBER(FIND(UPPER(LEFT(ASC(K13&amp;""),1)),"0123456789ABCDEFGHIJKLMNOPQRSTUVWXYZ")),"-","")&amp;K13)</f>
        <v/>
      </c>
      <c r="M13" s="15" t="n"/>
      <c r="O13" s="14" t="n">
        <v>6</v>
      </c>
      <c r="P13" s="15" t="n"/>
      <c r="Q13" s="15" t="n"/>
      <c r="R13" s="15" t="n"/>
      <c r="S13" s="15" t="n"/>
      <c r="T13" s="15" t="n"/>
      <c r="U13" s="15" t="n"/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7" t="n"/>
      <c r="E14" s="14">
        <f>$C$8</f>
        <v/>
      </c>
      <c r="F14" s="16" t="n"/>
      <c r="G14" s="16">
        <f>IF(F14="","",E14&amp;IF(ISNUMBER(FIND(UPPER(LEFT(ASC(F14&amp;""),1)),"0123456789ABCDEFGHIJKLMNOPQRSTUVWXYZ")),"-","")&amp;F14)</f>
        <v/>
      </c>
      <c r="H14" s="15" t="n"/>
      <c r="J14" s="14">
        <f>$B$8</f>
        <v/>
      </c>
      <c r="K14" s="16" t="n"/>
      <c r="L14" s="16">
        <f>IF(K14="","",J14&amp;IF(ISNUMBER(FIND(UPPER(LEFT(ASC(K14&amp;""),1)),"0123456789ABCDEFGHIJKLMNOPQRSTUVWXYZ")),"-","")&amp;K14)</f>
        <v/>
      </c>
      <c r="M14" s="15" t="n"/>
      <c r="O14" s="14" t="n">
        <v>7</v>
      </c>
      <c r="P14" s="15" t="n"/>
      <c r="Q14" s="15" t="n"/>
      <c r="R14" s="15" t="n"/>
      <c r="S14" s="15" t="n"/>
      <c r="T14" s="15" t="n"/>
      <c r="U14" s="15" t="n"/>
      <c r="Y14" s="11">
        <f>IF(F14="","",E14&amp;"-"&amp;F14)</f>
        <v/>
      </c>
      <c r="Z14" s="11">
        <f>IF(K14="","",J14&amp;"-"&amp;K14)</f>
        <v/>
      </c>
    </row>
    <row r="15">
      <c r="A15" s="18" t="inlineStr">
        <is>
          <t>（6年→5年→4年）</t>
        </is>
      </c>
      <c r="E15" s="14">
        <f>$C$8</f>
        <v/>
      </c>
      <c r="F15" s="16" t="n"/>
      <c r="G15" s="16">
        <f>IF(F15="","",E15&amp;IF(ISNUMBER(FIND(UPPER(LEFT(ASC(F15&amp;""),1)),"0123456789ABCDEFGHIJKLMNOPQRSTUVWXYZ")),"-","")&amp;F15)</f>
        <v/>
      </c>
      <c r="H15" s="15" t="n"/>
      <c r="J15" s="14">
        <f>$B$8</f>
        <v/>
      </c>
      <c r="K15" s="16" t="n"/>
      <c r="L15" s="16">
        <f>IF(K15="","",J15&amp;IF(ISNUMBER(FIND(UPPER(LEFT(ASC(K15&amp;""),1)),"0123456789ABCDEFGHIJKLMNOPQRSTUVWXYZ")),"-","")&amp;K15)</f>
        <v/>
      </c>
      <c r="M15" s="15" t="n"/>
      <c r="O15" s="14" t="n">
        <v>8</v>
      </c>
      <c r="P15" s="15" t="n"/>
      <c r="Q15" s="15" t="n"/>
      <c r="R15" s="15" t="n"/>
      <c r="S15" s="15" t="n"/>
      <c r="T15" s="15" t="n"/>
      <c r="U15" s="15" t="n"/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6" t="n"/>
      <c r="G16" s="16">
        <f>IF(F16="","",E16&amp;IF(ISNUMBER(FIND(UPPER(LEFT(ASC(F16&amp;""),1)),"0123456789ABCDEFGHIJKLMNOPQRSTUVWXYZ")),"-","")&amp;F16)</f>
        <v/>
      </c>
      <c r="H16" s="15" t="n"/>
      <c r="J16" s="14">
        <f>$B$9</f>
        <v/>
      </c>
      <c r="K16" s="16" t="n"/>
      <c r="L16" s="16">
        <f>IF(K16="","",J16&amp;IF(ISNUMBER(FIND(UPPER(LEFT(ASC(K16&amp;""),1)),"0123456789ABCDEFGHIJKLMNOPQRSTUVWXYZ")),"-","")&amp;K16)</f>
        <v/>
      </c>
      <c r="M16" s="15" t="n"/>
      <c r="O16" s="14" t="n">
        <v>9</v>
      </c>
      <c r="P16" s="15" t="n"/>
      <c r="Q16" s="15" t="n"/>
      <c r="R16" s="15" t="n"/>
      <c r="S16" s="15" t="n"/>
      <c r="T16" s="15" t="n"/>
      <c r="U16" s="15" t="n"/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6" t="n"/>
      <c r="G17" s="16">
        <f>IF(F17="","",E17&amp;IF(ISNUMBER(FIND(UPPER(LEFT(ASC(F17&amp;""),1)),"0123456789ABCDEFGHIJKLMNOPQRSTUVWXYZ")),"-","")&amp;F17)</f>
        <v/>
      </c>
      <c r="H17" s="15" t="n"/>
      <c r="J17" s="14">
        <f>$B$9</f>
        <v/>
      </c>
      <c r="K17" s="16" t="n"/>
      <c r="L17" s="16">
        <f>IF(K17="","",J17&amp;IF(ISNUMBER(FIND(UPPER(LEFT(ASC(K17&amp;""),1)),"0123456789ABCDEFGHIJKLMNOPQRSTUVWXYZ")),"-","")&amp;K17)</f>
        <v/>
      </c>
      <c r="M17" s="15" t="n"/>
      <c r="O17" s="14" t="n">
        <v>10</v>
      </c>
      <c r="P17" s="15" t="n"/>
      <c r="Q17" s="15" t="n"/>
      <c r="R17" s="15" t="n"/>
      <c r="S17" s="15" t="n"/>
      <c r="T17" s="15" t="n"/>
      <c r="U17" s="15" t="n"/>
      <c r="Y17" s="11">
        <f>IF(F17="","",E17&amp;"-"&amp;F17)</f>
        <v/>
      </c>
      <c r="Z17" s="11">
        <f>IF(K17="","",J17&amp;"-"&amp;K17)</f>
        <v/>
      </c>
    </row>
    <row r="18">
      <c r="E18" s="14">
        <f>$C$9</f>
        <v/>
      </c>
      <c r="F18" s="16" t="n"/>
      <c r="G18" s="16">
        <f>IF(F18="","",E18&amp;IF(ISNUMBER(FIND(UPPER(LEFT(ASC(F18&amp;""),1)),"0123456789ABCDEFGHIJKLMNOPQRSTUVWXYZ")),"-","")&amp;F18)</f>
        <v/>
      </c>
      <c r="H18" s="15" t="n"/>
      <c r="J18" s="14">
        <f>$B$9</f>
        <v/>
      </c>
      <c r="K18" s="16" t="n"/>
      <c r="L18" s="16">
        <f>IF(K18="","",J18&amp;IF(ISNUMBER(FIND(UPPER(LEFT(ASC(K18&amp;""),1)),"0123456789ABCDEFGHIJKLMNOPQRSTUVWXYZ")),"-","")&amp;K18)</f>
        <v/>
      </c>
      <c r="M18" s="15" t="n"/>
      <c r="O18" s="14" t="n">
        <v>11</v>
      </c>
      <c r="P18" s="15" t="n"/>
      <c r="Q18" s="15" t="n"/>
      <c r="R18" s="15" t="n"/>
      <c r="S18" s="15" t="n"/>
      <c r="T18" s="15" t="n"/>
      <c r="U18" s="15" t="n"/>
      <c r="Y18" s="11">
        <f>IF(F18="","",E18&amp;"-"&amp;F18)</f>
        <v/>
      </c>
      <c r="Z18" s="11">
        <f>IF(K18="","",J18&amp;"-"&amp;K18)</f>
        <v/>
      </c>
    </row>
    <row r="19">
      <c r="E19" s="14">
        <f>$C$9</f>
        <v/>
      </c>
      <c r="F19" s="16" t="n"/>
      <c r="G19" s="16">
        <f>IF(F19="","",E19&amp;IF(ISNUMBER(FIND(UPPER(LEFT(ASC(F19&amp;""),1)),"0123456789ABCDEFGHIJKLMNOPQRSTUVWXYZ")),"-","")&amp;F19)</f>
        <v/>
      </c>
      <c r="H19" s="15" t="n"/>
      <c r="J19" s="14">
        <f>$B$9</f>
        <v/>
      </c>
      <c r="K19" s="16" t="n"/>
      <c r="L19" s="16">
        <f>IF(K19="","",J19&amp;IF(ISNUMBER(FIND(UPPER(LEFT(ASC(K19&amp;""),1)),"0123456789ABCDEFGHIJKLMNOPQRSTUVWXYZ")),"-","")&amp;K19)</f>
        <v/>
      </c>
      <c r="M19" s="15" t="n"/>
      <c r="O19" s="14" t="n">
        <v>12</v>
      </c>
      <c r="P19" s="15" t="n"/>
      <c r="Q19" s="15" t="n"/>
      <c r="R19" s="15" t="n"/>
      <c r="S19" s="15" t="n"/>
      <c r="T19" s="15" t="n"/>
      <c r="U19" s="15" t="n"/>
      <c r="Y19" s="11">
        <f>IF(F19="","",E19&amp;"-"&amp;F19)</f>
        <v/>
      </c>
      <c r="Z19" s="11">
        <f>IF(K19="","",J19&amp;"-"&amp;K19)</f>
        <v/>
      </c>
    </row>
    <row r="20">
      <c r="E20" s="14">
        <f>$C$9</f>
        <v/>
      </c>
      <c r="F20" s="16" t="n"/>
      <c r="G20" s="16">
        <f>IF(F20="","",E20&amp;IF(ISNUMBER(FIND(UPPER(LEFT(ASC(F20&amp;""),1)),"0123456789ABCDEFGHIJKLMNOPQRSTUVWXYZ")),"-","")&amp;F20)</f>
        <v/>
      </c>
      <c r="H20" s="15" t="n"/>
      <c r="J20" s="14">
        <f>$B$9</f>
        <v/>
      </c>
      <c r="K20" s="16" t="n"/>
      <c r="L20" s="16">
        <f>IF(K20="","",J20&amp;IF(ISNUMBER(FIND(UPPER(LEFT(ASC(K20&amp;""),1)),"0123456789ABCDEFGHIJKLMNOPQRSTUVWXYZ")),"-","")&amp;K20)</f>
        <v/>
      </c>
      <c r="M20" s="15" t="n"/>
      <c r="O20" s="14" t="n">
        <v>13</v>
      </c>
      <c r="P20" s="15" t="n"/>
      <c r="Q20" s="15" t="n"/>
      <c r="R20" s="15" t="n"/>
      <c r="S20" s="15" t="n"/>
      <c r="T20" s="15" t="n"/>
      <c r="U20" s="15" t="n"/>
      <c r="Y20" s="11">
        <f>IF(F20="","",E20&amp;"-"&amp;F20)</f>
        <v/>
      </c>
      <c r="Z20" s="11">
        <f>IF(K20="","",J20&amp;"-"&amp;K20)</f>
        <v/>
      </c>
    </row>
    <row r="21">
      <c r="E21" s="14">
        <f>$C$9</f>
        <v/>
      </c>
      <c r="F21" s="16" t="n"/>
      <c r="G21" s="16">
        <f>IF(F21="","",E21&amp;IF(ISNUMBER(FIND(UPPER(LEFT(ASC(F21&amp;""),1)),"0123456789ABCDEFGHIJKLMNOPQRSTUVWXYZ")),"-","")&amp;F21)</f>
        <v/>
      </c>
      <c r="H21" s="15" t="n"/>
      <c r="J21" s="14">
        <f>$B$9</f>
        <v/>
      </c>
      <c r="K21" s="16" t="n"/>
      <c r="L21" s="16">
        <f>IF(K21="","",J21&amp;IF(ISNUMBER(FIND(UPPER(LEFT(ASC(K21&amp;""),1)),"0123456789ABCDEFGHIJKLMNOPQRSTUVWXYZ")),"-","")&amp;K21)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U21" s="15" t="n"/>
      <c r="Y21" s="11">
        <f>IF(F21="","",E21&amp;"-"&amp;F21)</f>
        <v/>
      </c>
      <c r="Z21" s="11">
        <f>IF(K21="","",J21&amp;"-"&amp;K21)</f>
        <v/>
      </c>
    </row>
    <row r="22">
      <c r="E22" s="14">
        <f>$C$9</f>
        <v/>
      </c>
      <c r="F22" s="16" t="n"/>
      <c r="G22" s="16">
        <f>IF(F22="","",E22&amp;IF(ISNUMBER(FIND(UPPER(LEFT(ASC(F22&amp;""),1)),"0123456789ABCDEFGHIJKLMNOPQRSTUVWXYZ")),"-","")&amp;F22)</f>
        <v/>
      </c>
      <c r="H22" s="15" t="n"/>
      <c r="J22" s="14">
        <f>$B$9</f>
        <v/>
      </c>
      <c r="K22" s="16" t="n"/>
      <c r="L22" s="16">
        <f>IF(K22="","",J22&amp;IF(ISNUMBER(FIND(UPPER(LEFT(ASC(K22&amp;""),1)),"0123456789ABCDEFGHIJKLMNOPQRSTUVWXYZ")),"-","")&amp;K22)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U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6" t="n"/>
      <c r="G23" s="16">
        <f>IF(F23="","",E23&amp;IF(ISNUMBER(FIND(UPPER(LEFT(ASC(F23&amp;""),1)),"0123456789ABCDEFGHIJKLMNOPQRSTUVWXYZ")),"-","")&amp;F23)</f>
        <v/>
      </c>
      <c r="H23" s="15" t="n"/>
      <c r="J23" s="14">
        <f>$B$9</f>
        <v/>
      </c>
      <c r="K23" s="16" t="n"/>
      <c r="L23" s="16">
        <f>IF(K23="","",J23&amp;IF(ISNUMBER(FIND(UPPER(LEFT(ASC(K23&amp;""),1)),"0123456789ABCDEFGHIJKLMNOPQRSTUVWXYZ")),"-","")&amp;K23)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U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6" t="n"/>
      <c r="G24" s="16">
        <f>IF(F24="","",E24&amp;IF(ISNUMBER(FIND(UPPER(LEFT(ASC(F24&amp;""),1)),"0123456789ABCDEFGHIJKLMNOPQRSTUVWXYZ")),"-","")&amp;F24)</f>
        <v/>
      </c>
      <c r="H24" s="15" t="n"/>
      <c r="J24" s="14">
        <f>$B$10</f>
        <v/>
      </c>
      <c r="K24" s="16" t="n"/>
      <c r="L24" s="16">
        <f>IF(K24="","",J24&amp;IF(ISNUMBER(FIND(UPPER(LEFT(ASC(K24&amp;""),1)),"0123456789ABCDEFGHIJKLMNOPQRSTUVWXYZ")),"-","")&amp;K24)</f>
        <v/>
      </c>
      <c r="M24" s="15" t="n"/>
      <c r="O24" s="14" t="n">
        <v>17</v>
      </c>
      <c r="P24" s="15" t="n"/>
      <c r="Q24" s="15" t="n"/>
      <c r="R24" s="15" t="n"/>
      <c r="S24" s="15" t="n"/>
      <c r="T24" s="15" t="n"/>
      <c r="U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6" t="n"/>
      <c r="G25" s="16">
        <f>IF(F25="","",E25&amp;IF(ISNUMBER(FIND(UPPER(LEFT(ASC(F25&amp;""),1)),"0123456789ABCDEFGHIJKLMNOPQRSTUVWXYZ")),"-","")&amp;F25)</f>
        <v/>
      </c>
      <c r="H25" s="15" t="n"/>
      <c r="J25" s="14">
        <f>$B$10</f>
        <v/>
      </c>
      <c r="K25" s="16" t="n"/>
      <c r="L25" s="16">
        <f>IF(K25="","",J25&amp;IF(ISNUMBER(FIND(UPPER(LEFT(ASC(K25&amp;""),1)),"0123456789ABCDEFGHIJKLMNOPQRSTUVWXYZ")),"-","")&amp;K25)</f>
        <v/>
      </c>
      <c r="M25" s="15" t="n"/>
      <c r="O25" s="14" t="n">
        <v>18</v>
      </c>
      <c r="P25" s="15" t="n"/>
      <c r="Q25" s="15" t="n"/>
      <c r="R25" s="15" t="n"/>
      <c r="S25" s="15" t="n"/>
      <c r="T25" s="15" t="n"/>
      <c r="U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6" t="n"/>
      <c r="G26" s="16">
        <f>IF(F26="","",E26&amp;IF(ISNUMBER(FIND(UPPER(LEFT(ASC(F26&amp;""),1)),"0123456789ABCDEFGHIJKLMNOPQRSTUVWXYZ")),"-","")&amp;F26)</f>
        <v/>
      </c>
      <c r="H26" s="15" t="n"/>
      <c r="J26" s="14">
        <f>$B$10</f>
        <v/>
      </c>
      <c r="K26" s="16" t="n"/>
      <c r="L26" s="16">
        <f>IF(K26="","",J26&amp;IF(ISNUMBER(FIND(UPPER(LEFT(ASC(K26&amp;""),1)),"0123456789ABCDEFGHIJKLMNOPQRSTUVWXYZ")),"-","")&amp;K26)</f>
        <v/>
      </c>
      <c r="M26" s="15" t="n"/>
      <c r="O26" s="14" t="n">
        <v>19</v>
      </c>
      <c r="P26" s="15" t="n"/>
      <c r="Q26" s="15" t="n"/>
      <c r="R26" s="15" t="n"/>
      <c r="S26" s="15" t="n"/>
      <c r="T26" s="15" t="n"/>
      <c r="U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6" t="n"/>
      <c r="G27" s="16">
        <f>IF(F27="","",E27&amp;IF(ISNUMBER(FIND(UPPER(LEFT(ASC(F27&amp;""),1)),"0123456789ABCDEFGHIJKLMNOPQRSTUVWXYZ")),"-","")&amp;F27)</f>
        <v/>
      </c>
      <c r="H27" s="15" t="n"/>
      <c r="J27" s="14">
        <f>$B$10</f>
        <v/>
      </c>
      <c r="K27" s="16" t="n"/>
      <c r="L27" s="16">
        <f>IF(K27="","",J27&amp;IF(ISNUMBER(FIND(UPPER(LEFT(ASC(K27&amp;""),1)),"0123456789ABCDEFGHIJKLMNOPQRSTUVWXYZ")),"-","")&amp;K27)</f>
        <v/>
      </c>
      <c r="M27" s="15" t="n"/>
      <c r="O27" s="14" t="n">
        <v>20</v>
      </c>
      <c r="P27" s="15" t="n"/>
      <c r="Q27" s="15" t="n"/>
      <c r="R27" s="15" t="n"/>
      <c r="S27" s="15" t="n"/>
      <c r="T27" s="15" t="n"/>
      <c r="U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6" t="n"/>
      <c r="G28" s="16">
        <f>IF(F28="","",E28&amp;IF(ISNUMBER(FIND(UPPER(LEFT(ASC(F28&amp;""),1)),"0123456789ABCDEFGHIJKLMNOPQRSTUVWXYZ")),"-","")&amp;F28)</f>
        <v/>
      </c>
      <c r="H28" s="15" t="n"/>
      <c r="J28" s="14">
        <f>$B$10</f>
        <v/>
      </c>
      <c r="K28" s="16" t="n"/>
      <c r="L28" s="16">
        <f>IF(K28="","",J28&amp;IF(ISNUMBER(FIND(UPPER(LEFT(ASC(K28&amp;""),1)),"0123456789ABCDEFGHIJKLMNOPQRSTUVWXYZ")),"-","")&amp;K28)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6" t="n"/>
      <c r="G29" s="16">
        <f>IF(F29="","",E29&amp;IF(ISNUMBER(FIND(UPPER(LEFT(ASC(F29&amp;""),1)),"0123456789ABCDEFGHIJKLMNOPQRSTUVWXYZ")),"-","")&amp;F29)</f>
        <v/>
      </c>
      <c r="H29" s="15" t="n"/>
      <c r="J29" s="14">
        <f>$B$10</f>
        <v/>
      </c>
      <c r="K29" s="16" t="n"/>
      <c r="L29" s="16">
        <f>IF(K29="","",J29&amp;IF(ISNUMBER(FIND(UPPER(LEFT(ASC(K29&amp;""),1)),"0123456789ABCDEFGHIJKLMNOPQRSTUVWXYZ")),"-","")&amp;K29)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6" t="n"/>
      <c r="G30" s="16">
        <f>IF(F30="","",E30&amp;IF(ISNUMBER(FIND(UPPER(LEFT(ASC(F30&amp;""),1)),"0123456789ABCDEFGHIJKLMNOPQRSTUVWXYZ")),"-","")&amp;F30)</f>
        <v/>
      </c>
      <c r="H30" s="15" t="n"/>
      <c r="J30" s="14">
        <f>$B$10</f>
        <v/>
      </c>
      <c r="K30" s="16" t="n"/>
      <c r="L30" s="16">
        <f>IF(K30="","",J30&amp;IF(ISNUMBER(FIND(UPPER(LEFT(ASC(K30&amp;""),1)),"0123456789ABCDEFGHIJKLMNOPQRSTUVWXYZ")),"-","")&amp;K30)</f>
        <v/>
      </c>
      <c r="M30" s="15" t="n"/>
      <c r="O30" s="19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6" t="n"/>
      <c r="G31" s="16">
        <f>IF(F31="","",E31&amp;IF(ISNUMBER(FIND(UPPER(LEFT(ASC(F31&amp;""),1)),"0123456789ABCDEFGHIJKLMNOPQRSTUVWXYZ")),"-","")&amp;F31)</f>
        <v/>
      </c>
      <c r="H31" s="15" t="n"/>
      <c r="J31" s="14">
        <f>$B$10</f>
        <v/>
      </c>
      <c r="K31" s="16" t="n"/>
      <c r="L31" s="16">
        <f>IF(K31="","",J31&amp;IF(ISNUMBER(FIND(UPPER(LEFT(ASC(K31&amp;""),1)),"0123456789ABCDEFGHIJKLMNOPQRSTUVWXYZ")),"-","")&amp;K31)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2">
      <c r="O32" s="2" t="inlineStr">
        <is>
          <t>希望調査用紙の設定</t>
        </is>
      </c>
    </row>
    <row r="33">
      <c r="E33" s="11" t="inlineStr">
        <is>
          <t>※ 上から名簿の並び順です（学年ごとに8行）。「名簿での表示」は自動で「5松」「5-1」「5-A」のようになります（組が数字・英字のときは「-」が入ります）。書きかえてもかまいません。</t>
        </is>
      </c>
      <c r="O33" s="8" t="inlineStr">
        <is>
          <t>希望の数</t>
        </is>
      </c>
      <c r="Q33" s="17" t="n">
        <v>2</v>
      </c>
      <c r="R33" s="11" t="inlineStr">
        <is>
          <t>← 1・2・3 から選ぶ（第何希望までとるか）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  <row r="35">
      <c r="O35" s="8" t="inlineStr">
        <is>
          <t>注意書き（1行に1つ。先頭の☆は自動でつきます。空欄の行は用紙に出ません）</t>
        </is>
      </c>
    </row>
    <row r="36" ht="30" customHeight="1">
      <c r="O36" s="20" t="n"/>
      <c r="P36" s="74" t="n"/>
      <c r="Q36" s="74" t="n"/>
      <c r="R36" s="74" t="n"/>
      <c r="S36" s="74" t="n"/>
      <c r="T36" s="74" t="n"/>
      <c r="U36" s="10" t="n"/>
    </row>
    <row r="37" ht="30" customHeight="1">
      <c r="O37" s="20" t="n"/>
      <c r="P37" s="74" t="n"/>
      <c r="Q37" s="74" t="n"/>
      <c r="R37" s="74" t="n"/>
      <c r="S37" s="74" t="n"/>
      <c r="T37" s="74" t="n"/>
      <c r="U37" s="10" t="n"/>
    </row>
    <row r="38" ht="30" customHeight="1">
      <c r="O38" s="20" t="n"/>
      <c r="P38" s="74" t="n"/>
      <c r="Q38" s="74" t="n"/>
      <c r="R38" s="74" t="n"/>
      <c r="S38" s="74" t="n"/>
      <c r="T38" s="74" t="n"/>
      <c r="U38" s="10" t="n"/>
    </row>
    <row r="39">
      <c r="O39" s="11" t="inlineStr">
        <is>
          <t>※「用紙用の説明」は希望調査用紙だけに、クラブ名の下に出ます（名簿には出ません）。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O36:U36"/>
    <mergeCell ref="O37:U37"/>
    <mergeCell ref="B3:C3"/>
    <mergeCell ref="O33:P33"/>
    <mergeCell ref="D1:J1"/>
    <mergeCell ref="O38:U38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6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  <dataValidation sqref="Q33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H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3" customWidth="1" min="2" max="2"/>
    <col width="23" customWidth="1" min="3" max="3"/>
    <col width="23" customWidth="1" min="4" max="4"/>
    <col width="23" customWidth="1" min="5" max="5"/>
    <col width="2" customWidth="1" min="6" max="6"/>
    <col width="30" customWidth="1" min="8" max="8"/>
  </cols>
  <sheetData>
    <row r="1" ht="40" customHeight="1">
      <c r="B1" s="22">
        <f>設定!B3&amp;"　"&amp;設定!B4&amp;"活動希望調査"</f>
        <v/>
      </c>
      <c r="H1" s="23" t="inlineStr">
        <is>
          <t>【入力なし】見る・印刷するだけ</t>
        </is>
      </c>
    </row>
    <row r="2"/>
    <row r="3" ht="26" customHeight="1">
      <c r="B3" s="24">
        <f>"来年度、活動する"&amp;設定!B4&amp;"は以下の"&amp;COUNTIF(設定!$P$8:$P$27,"?*")&amp;設定!B4&amp;"です。"</f>
        <v/>
      </c>
    </row>
    <row r="4"/>
    <row r="5" ht="26" customHeight="1">
      <c r="B5" s="25">
        <f>IF(1&gt;COUNTIF(設定!$P$8:$P$27,"?*"),"",MID("①②③④⑤⑥⑦⑧⑨⑩⑪⑫⑬⑭⑮⑯⑰⑱⑲⑳",1,1)&amp;" "&amp;INDEX(設定!$P$8:$P$27,1))</f>
        <v/>
      </c>
      <c r="C5" s="25">
        <f>IF(2&gt;COUNTIF(設定!$P$8:$P$27,"?*"),"",MID("①②③④⑤⑥⑦⑧⑨⑩⑪⑫⑬⑭⑮⑯⑰⑱⑲⑳",2,1)&amp;" "&amp;INDEX(設定!$P$8:$P$27,2))</f>
        <v/>
      </c>
      <c r="D5" s="25">
        <f>IF(3&gt;COUNTIF(設定!$P$8:$P$27,"?*"),"",MID("①②③④⑤⑥⑦⑧⑨⑩⑪⑫⑬⑭⑮⑯⑰⑱⑲⑳",3,1)&amp;" "&amp;INDEX(設定!$P$8:$P$27,3))</f>
        <v/>
      </c>
      <c r="E5" s="25">
        <f>IF(4&gt;COUNTIF(設定!$P$8:$P$27,"?*"),"",MID("①②③④⑤⑥⑦⑧⑨⑩⑪⑫⑬⑭⑮⑯⑰⑱⑲⑳",4,1)&amp;" "&amp;INDEX(設定!$P$8:$P$27,4))</f>
        <v/>
      </c>
    </row>
    <row r="6" ht="18" customHeight="1">
      <c r="B6" s="26">
        <f>IF(1&gt;COUNTIF(設定!$P$8:$P$27,"?*"),"",IF(INDEX(設定!$U$8:$U$27,1)="","","　"&amp;INDEX(設定!$U$8:$U$27,1)))</f>
        <v/>
      </c>
      <c r="C6" s="26">
        <f>IF(2&gt;COUNTIF(設定!$P$8:$P$27,"?*"),"",IF(INDEX(設定!$U$8:$U$27,2)="","","　"&amp;INDEX(設定!$U$8:$U$27,2)))</f>
        <v/>
      </c>
      <c r="D6" s="26">
        <f>IF(3&gt;COUNTIF(設定!$P$8:$P$27,"?*"),"",IF(INDEX(設定!$U$8:$U$27,3)="","","　"&amp;INDEX(設定!$U$8:$U$27,3)))</f>
        <v/>
      </c>
      <c r="E6" s="26">
        <f>IF(4&gt;COUNTIF(設定!$P$8:$P$27,"?*"),"",IF(INDEX(設定!$U$8:$U$27,4)="","","　"&amp;INDEX(設定!$U$8:$U$27,4)))</f>
        <v/>
      </c>
    </row>
    <row r="7" ht="26" customHeight="1">
      <c r="B7" s="25">
        <f>IF(5&gt;COUNTIF(設定!$P$8:$P$27,"?*"),"",MID("①②③④⑤⑥⑦⑧⑨⑩⑪⑫⑬⑭⑮⑯⑰⑱⑲⑳",5,1)&amp;" "&amp;INDEX(設定!$P$8:$P$27,5))</f>
        <v/>
      </c>
      <c r="C7" s="25">
        <f>IF(6&gt;COUNTIF(設定!$P$8:$P$27,"?*"),"",MID("①②③④⑤⑥⑦⑧⑨⑩⑪⑫⑬⑭⑮⑯⑰⑱⑲⑳",6,1)&amp;" "&amp;INDEX(設定!$P$8:$P$27,6))</f>
        <v/>
      </c>
      <c r="D7" s="25">
        <f>IF(7&gt;COUNTIF(設定!$P$8:$P$27,"?*"),"",MID("①②③④⑤⑥⑦⑧⑨⑩⑪⑫⑬⑭⑮⑯⑰⑱⑲⑳",7,1)&amp;" "&amp;INDEX(設定!$P$8:$P$27,7))</f>
        <v/>
      </c>
      <c r="E7" s="25">
        <f>IF(8&gt;COUNTIF(設定!$P$8:$P$27,"?*"),"",MID("①②③④⑤⑥⑦⑧⑨⑩⑪⑫⑬⑭⑮⑯⑰⑱⑲⑳",8,1)&amp;" "&amp;INDEX(設定!$P$8:$P$27,8))</f>
        <v/>
      </c>
    </row>
    <row r="8" ht="18" customHeight="1">
      <c r="B8" s="26">
        <f>IF(5&gt;COUNTIF(設定!$P$8:$P$27,"?*"),"",IF(INDEX(設定!$U$8:$U$27,5)="","","　"&amp;INDEX(設定!$U$8:$U$27,5)))</f>
        <v/>
      </c>
      <c r="C8" s="26">
        <f>IF(6&gt;COUNTIF(設定!$P$8:$P$27,"?*"),"",IF(INDEX(設定!$U$8:$U$27,6)="","","　"&amp;INDEX(設定!$U$8:$U$27,6)))</f>
        <v/>
      </c>
      <c r="D8" s="26">
        <f>IF(7&gt;COUNTIF(設定!$P$8:$P$27,"?*"),"",IF(INDEX(設定!$U$8:$U$27,7)="","","　"&amp;INDEX(設定!$U$8:$U$27,7)))</f>
        <v/>
      </c>
      <c r="E8" s="26">
        <f>IF(8&gt;COUNTIF(設定!$P$8:$P$27,"?*"),"",IF(INDEX(設定!$U$8:$U$27,8)="","","　"&amp;INDEX(設定!$U$8:$U$27,8)))</f>
        <v/>
      </c>
    </row>
    <row r="9" ht="26" customHeight="1">
      <c r="B9" s="25">
        <f>IF(9&gt;COUNTIF(設定!$P$8:$P$27,"?*"),"",MID("①②③④⑤⑥⑦⑧⑨⑩⑪⑫⑬⑭⑮⑯⑰⑱⑲⑳",9,1)&amp;" "&amp;INDEX(設定!$P$8:$P$27,9))</f>
        <v/>
      </c>
      <c r="C9" s="25">
        <f>IF(10&gt;COUNTIF(設定!$P$8:$P$27,"?*"),"",MID("①②③④⑤⑥⑦⑧⑨⑩⑪⑫⑬⑭⑮⑯⑰⑱⑲⑳",10,1)&amp;" "&amp;INDEX(設定!$P$8:$P$27,10))</f>
        <v/>
      </c>
      <c r="D9" s="25">
        <f>IF(11&gt;COUNTIF(設定!$P$8:$P$27,"?*"),"",MID("①②③④⑤⑥⑦⑧⑨⑩⑪⑫⑬⑭⑮⑯⑰⑱⑲⑳",11,1)&amp;" "&amp;INDEX(設定!$P$8:$P$27,11))</f>
        <v/>
      </c>
      <c r="E9" s="25">
        <f>IF(12&gt;COUNTIF(設定!$P$8:$P$27,"?*"),"",MID("①②③④⑤⑥⑦⑧⑨⑩⑪⑫⑬⑭⑮⑯⑰⑱⑲⑳",12,1)&amp;" "&amp;INDEX(設定!$P$8:$P$27,12))</f>
        <v/>
      </c>
    </row>
    <row r="10" ht="18" customHeight="1">
      <c r="B10" s="26">
        <f>IF(9&gt;COUNTIF(設定!$P$8:$P$27,"?*"),"",IF(INDEX(設定!$U$8:$U$27,9)="","","　"&amp;INDEX(設定!$U$8:$U$27,9)))</f>
        <v/>
      </c>
      <c r="C10" s="26">
        <f>IF(10&gt;COUNTIF(設定!$P$8:$P$27,"?*"),"",IF(INDEX(設定!$U$8:$U$27,10)="","","　"&amp;INDEX(設定!$U$8:$U$27,10)))</f>
        <v/>
      </c>
      <c r="D10" s="26">
        <f>IF(11&gt;COUNTIF(設定!$P$8:$P$27,"?*"),"",IF(INDEX(設定!$U$8:$U$27,11)="","","　"&amp;INDEX(設定!$U$8:$U$27,11)))</f>
        <v/>
      </c>
      <c r="E10" s="26">
        <f>IF(12&gt;COUNTIF(設定!$P$8:$P$27,"?*"),"",IF(INDEX(設定!$U$8:$U$27,12)="","","　"&amp;INDEX(設定!$U$8:$U$27,12)))</f>
        <v/>
      </c>
    </row>
    <row r="11" ht="26" customHeight="1">
      <c r="B11" s="25">
        <f>IF(13&gt;COUNTIF(設定!$P$8:$P$27,"?*"),"",MID("①②③④⑤⑥⑦⑧⑨⑩⑪⑫⑬⑭⑮⑯⑰⑱⑲⑳",13,1)&amp;" "&amp;INDEX(設定!$P$8:$P$27,13))</f>
        <v/>
      </c>
      <c r="C11" s="25">
        <f>IF(14&gt;COUNTIF(設定!$P$8:$P$27,"?*"),"",MID("①②③④⑤⑥⑦⑧⑨⑩⑪⑫⑬⑭⑮⑯⑰⑱⑲⑳",14,1)&amp;" "&amp;INDEX(設定!$P$8:$P$27,14))</f>
        <v/>
      </c>
      <c r="D11" s="25">
        <f>IF(15&gt;COUNTIF(設定!$P$8:$P$27,"?*"),"",MID("①②③④⑤⑥⑦⑧⑨⑩⑪⑫⑬⑭⑮⑯⑰⑱⑲⑳",15,1)&amp;" "&amp;INDEX(設定!$P$8:$P$27,15))</f>
        <v/>
      </c>
      <c r="E11" s="25">
        <f>IF(16&gt;COUNTIF(設定!$P$8:$P$27,"?*"),"",MID("①②③④⑤⑥⑦⑧⑨⑩⑪⑫⑬⑭⑮⑯⑰⑱⑲⑳",16,1)&amp;" "&amp;INDEX(設定!$P$8:$P$27,16))</f>
        <v/>
      </c>
    </row>
    <row r="12" ht="18" customHeight="1">
      <c r="B12" s="26">
        <f>IF(13&gt;COUNTIF(設定!$P$8:$P$27,"?*"),"",IF(INDEX(設定!$U$8:$U$27,13)="","","　"&amp;INDEX(設定!$U$8:$U$27,13)))</f>
        <v/>
      </c>
      <c r="C12" s="26">
        <f>IF(14&gt;COUNTIF(設定!$P$8:$P$27,"?*"),"",IF(INDEX(設定!$U$8:$U$27,14)="","","　"&amp;INDEX(設定!$U$8:$U$27,14)))</f>
        <v/>
      </c>
      <c r="D12" s="26">
        <f>IF(15&gt;COUNTIF(設定!$P$8:$P$27,"?*"),"",IF(INDEX(設定!$U$8:$U$27,15)="","","　"&amp;INDEX(設定!$U$8:$U$27,15)))</f>
        <v/>
      </c>
      <c r="E12" s="26">
        <f>IF(16&gt;COUNTIF(設定!$P$8:$P$27,"?*"),"",IF(INDEX(設定!$U$8:$U$27,16)="","","　"&amp;INDEX(設定!$U$8:$U$27,16)))</f>
        <v/>
      </c>
    </row>
    <row r="13" ht="26" customHeight="1">
      <c r="B13" s="25">
        <f>IF(17&gt;COUNTIF(設定!$P$8:$P$27,"?*"),"",MID("①②③④⑤⑥⑦⑧⑨⑩⑪⑫⑬⑭⑮⑯⑰⑱⑲⑳",17,1)&amp;" "&amp;INDEX(設定!$P$8:$P$27,17))</f>
        <v/>
      </c>
      <c r="C13" s="25">
        <f>IF(18&gt;COUNTIF(設定!$P$8:$P$27,"?*"),"",MID("①②③④⑤⑥⑦⑧⑨⑩⑪⑫⑬⑭⑮⑯⑰⑱⑲⑳",18,1)&amp;" "&amp;INDEX(設定!$P$8:$P$27,18))</f>
        <v/>
      </c>
      <c r="D13" s="25">
        <f>IF(19&gt;COUNTIF(設定!$P$8:$P$27,"?*"),"",MID("①②③④⑤⑥⑦⑧⑨⑩⑪⑫⑬⑭⑮⑯⑰⑱⑲⑳",19,1)&amp;" "&amp;INDEX(設定!$P$8:$P$27,19))</f>
        <v/>
      </c>
      <c r="E13" s="25">
        <f>IF(20&gt;COUNTIF(設定!$P$8:$P$27,"?*"),"",MID("①②③④⑤⑥⑦⑧⑨⑩⑪⑫⑬⑭⑮⑯⑰⑱⑲⑳",20,1)&amp;" "&amp;INDEX(設定!$P$8:$P$27,20))</f>
        <v/>
      </c>
    </row>
    <row r="14" ht="18" customHeight="1">
      <c r="B14" s="26">
        <f>IF(17&gt;COUNTIF(設定!$P$8:$P$27,"?*"),"",IF(INDEX(設定!$U$8:$U$27,17)="","","　"&amp;INDEX(設定!$U$8:$U$27,17)))</f>
        <v/>
      </c>
      <c r="C14" s="26">
        <f>IF(18&gt;COUNTIF(設定!$P$8:$P$27,"?*"),"",IF(INDEX(設定!$U$8:$U$27,18)="","","　"&amp;INDEX(設定!$U$8:$U$27,18)))</f>
        <v/>
      </c>
      <c r="D14" s="26">
        <f>IF(19&gt;COUNTIF(設定!$P$8:$P$27,"?*"),"",IF(INDEX(設定!$U$8:$U$27,19)="","","　"&amp;INDEX(設定!$U$8:$U$27,19)))</f>
        <v/>
      </c>
      <c r="E14" s="26">
        <f>IF(20&gt;COUNTIF(設定!$P$8:$P$27,"?*"),"",IF(INDEX(設定!$U$8:$U$27,20)="","","　"&amp;INDEX(設定!$U$8:$U$27,20)))</f>
        <v/>
      </c>
    </row>
    <row r="15"/>
    <row r="16">
      <c r="B16" s="27">
        <f>"自分が来年度希望する"&amp;設定!B4&amp;"の"&amp;IF(設定!$Q$33=1,"第1希望",IF(設定!$Q$33=2,"第1希望と第2希望","第1希望から第"&amp;設定!$Q$33&amp;"希望まで"))&amp;"を書きましょう。"</f>
        <v/>
      </c>
    </row>
    <row r="17">
      <c r="B17" s="27">
        <f>"　　　　例）（ ① ）番の "&amp;INDEX(設定!$P$8:$P$27,1)&amp;" "&amp;設定!B4</f>
        <v/>
      </c>
    </row>
    <row r="18"/>
    <row r="19" ht="30" customHeight="1">
      <c r="B19" s="28" t="inlineStr">
        <is>
          <t>（　　　　）年（　　　　）組（　　　　）番　名前（　　　　　　　　　　　　　　）</t>
        </is>
      </c>
    </row>
    <row r="20"/>
    <row r="21" ht="14" customHeight="1">
      <c r="B21" s="75" t="n"/>
      <c r="C21" s="76" t="n"/>
      <c r="D21" s="76" t="n"/>
      <c r="E21" s="77" t="n"/>
    </row>
    <row r="22" ht="30" customHeight="1">
      <c r="B22" s="78">
        <f>IF(設定!$Q$33&gt;=1,"　第1希望：（　　　　　）番の＿＿＿＿＿＿＿＿＿＿＿＿＿＿"&amp;設定!B4,"")</f>
        <v/>
      </c>
      <c r="E22" s="79" t="n"/>
    </row>
    <row r="23" ht="14" customHeight="1">
      <c r="B23" s="80" t="n"/>
      <c r="E23" s="79" t="n"/>
    </row>
    <row r="24" ht="30" customHeight="1">
      <c r="B24" s="78">
        <f>IF(設定!$Q$33&gt;=2,"　第2希望：（　　　　　）番の＿＿＿＿＿＿＿＿＿＿＿＿＿＿"&amp;設定!B4,"")</f>
        <v/>
      </c>
      <c r="E24" s="79" t="n"/>
    </row>
    <row r="25" ht="14" customHeight="1">
      <c r="B25" s="80" t="n"/>
      <c r="E25" s="79" t="n"/>
    </row>
    <row r="26" ht="30" customHeight="1">
      <c r="B26" s="78">
        <f>IF(設定!$Q$33&gt;=3,"　第3希望：（　　　　　）番の＿＿＿＿＿＿＿＿＿＿＿＿＿＿"&amp;設定!B4,"")</f>
        <v/>
      </c>
      <c r="E26" s="79" t="n"/>
    </row>
    <row r="27" ht="14" customHeight="1">
      <c r="B27" s="81" t="n"/>
      <c r="C27" s="82" t="n"/>
      <c r="D27" s="82" t="n"/>
      <c r="E27" s="83" t="n"/>
    </row>
    <row r="28"/>
    <row r="29" ht="32" customHeight="1">
      <c r="B29" s="39">
        <f>IF(設定!O36="","","☆"&amp;設定!O36)</f>
        <v/>
      </c>
    </row>
    <row r="30" ht="32" customHeight="1">
      <c r="B30" s="39">
        <f>IF(設定!O37="","","☆"&amp;設定!O37)</f>
        <v/>
      </c>
    </row>
    <row r="31" ht="32" customHeight="1">
      <c r="B31" s="39">
        <f>IF(設定!O38="","","☆"&amp;設定!O38)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">
    <mergeCell ref="B31:E31"/>
    <mergeCell ref="B26:E26"/>
    <mergeCell ref="B23:E23"/>
    <mergeCell ref="B1:E1"/>
    <mergeCell ref="B17:E17"/>
    <mergeCell ref="B27:E27"/>
    <mergeCell ref="B21:E21"/>
    <mergeCell ref="B16:E16"/>
    <mergeCell ref="B30:E30"/>
    <mergeCell ref="B29:E29"/>
    <mergeCell ref="B25:E25"/>
    <mergeCell ref="B3:E3"/>
    <mergeCell ref="B19:E19"/>
    <mergeCell ref="B24:E24"/>
    <mergeCell ref="B22:E22"/>
  </mergeCells>
  <conditionalFormatting sqref="B5:E5">
    <cfRule type="expression" priority="1" dxfId="9">
      <formula>0&lt;COUNTIF(設定!$P$8:$P$27,"?*")</formula>
    </cfRule>
  </conditionalFormatting>
  <conditionalFormatting sqref="B6:E6">
    <cfRule type="expression" priority="2" dxfId="10">
      <formula>0&lt;COUNTIF(設定!$P$8:$P$27,"?*")</formula>
    </cfRule>
  </conditionalFormatting>
  <conditionalFormatting sqref="B7:E7">
    <cfRule type="expression" priority="3" dxfId="9">
      <formula>4&lt;COUNTIF(設定!$P$8:$P$27,"?*")</formula>
    </cfRule>
  </conditionalFormatting>
  <conditionalFormatting sqref="B8:E8">
    <cfRule type="expression" priority="4" dxfId="10">
      <formula>4&lt;COUNTIF(設定!$P$8:$P$27,"?*")</formula>
    </cfRule>
  </conditionalFormatting>
  <conditionalFormatting sqref="B9:E9">
    <cfRule type="expression" priority="5" dxfId="9">
      <formula>8&lt;COUNTIF(設定!$P$8:$P$27,"?*")</formula>
    </cfRule>
  </conditionalFormatting>
  <conditionalFormatting sqref="B10:E10">
    <cfRule type="expression" priority="6" dxfId="10">
      <formula>8&lt;COUNTIF(設定!$P$8:$P$27,"?*")</formula>
    </cfRule>
  </conditionalFormatting>
  <conditionalFormatting sqref="B11:E11">
    <cfRule type="expression" priority="7" dxfId="9">
      <formula>12&lt;COUNTIF(設定!$P$8:$P$27,"?*")</formula>
    </cfRule>
  </conditionalFormatting>
  <conditionalFormatting sqref="B12:E12">
    <cfRule type="expression" priority="8" dxfId="10">
      <formula>12&lt;COUNTIF(設定!$P$8:$P$27,"?*")</formula>
    </cfRule>
  </conditionalFormatting>
  <conditionalFormatting sqref="B13:E13">
    <cfRule type="expression" priority="9" dxfId="9">
      <formula>16&lt;COUNTIF(設定!$P$8:$P$27,"?*")</formula>
    </cfRule>
  </conditionalFormatting>
  <conditionalFormatting sqref="B14:E14">
    <cfRule type="expression" priority="10" dxfId="10">
      <formula>16&lt;COUNTIF(設定!$P$8:$P$27,"?*")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  <c r="B1" s="72" t="n"/>
      <c r="C1" s="72" t="n"/>
      <c r="D1" s="72" t="n"/>
      <c r="E1" s="72" t="n"/>
      <c r="F1" s="73" t="n"/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40" t="inlineStr">
        <is>
          <t>キー</t>
        </is>
      </c>
      <c r="G2" s="40" t="inlineStr">
        <is>
          <t>並び順</t>
        </is>
      </c>
      <c r="H2" s="40" t="inlineStr">
        <is>
          <t>新学年</t>
        </is>
      </c>
      <c r="I2" s="40" t="inlineStr">
        <is>
          <t>名前キー</t>
        </is>
      </c>
      <c r="J2" s="40" t="inlineStr">
        <is>
          <t>チェック（自動）</t>
        </is>
      </c>
    </row>
    <row r="3">
      <c r="A3" s="41" t="n"/>
      <c r="B3" s="41" t="n"/>
      <c r="C3" s="41" t="n"/>
      <c r="D3" s="42" t="n"/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3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41" t="n"/>
      <c r="B4" s="41" t="n"/>
      <c r="C4" s="41" t="n"/>
      <c r="D4" s="42" t="n"/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3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41" t="n"/>
      <c r="B5" s="41" t="n"/>
      <c r="C5" s="41" t="n"/>
      <c r="D5" s="42" t="n"/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3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41" t="n"/>
      <c r="B6" s="41" t="n"/>
      <c r="C6" s="41" t="n"/>
      <c r="D6" s="42" t="n"/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3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41" t="n"/>
      <c r="B7" s="41" t="n"/>
      <c r="C7" s="41" t="n"/>
      <c r="D7" s="42" t="n"/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3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41" t="n"/>
      <c r="B8" s="41" t="n"/>
      <c r="C8" s="41" t="n"/>
      <c r="D8" s="42" t="n"/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3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41" t="n"/>
      <c r="B9" s="41" t="n"/>
      <c r="C9" s="41" t="n"/>
      <c r="D9" s="42" t="n"/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3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41" t="n"/>
      <c r="B10" s="41" t="n"/>
      <c r="C10" s="41" t="n"/>
      <c r="D10" s="42" t="n"/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3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41" t="n"/>
      <c r="B11" s="41" t="n"/>
      <c r="C11" s="41" t="n"/>
      <c r="D11" s="42" t="n"/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3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41" t="n"/>
      <c r="B12" s="41" t="n"/>
      <c r="C12" s="41" t="n"/>
      <c r="D12" s="42" t="n"/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3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41" t="n"/>
      <c r="B13" s="41" t="n"/>
      <c r="C13" s="41" t="n"/>
      <c r="D13" s="42" t="n"/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3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41" t="n"/>
      <c r="B14" s="41" t="n"/>
      <c r="C14" s="41" t="n"/>
      <c r="D14" s="42" t="n"/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3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41" t="n"/>
      <c r="B15" s="41" t="n"/>
      <c r="C15" s="41" t="n"/>
      <c r="D15" s="42" t="n"/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3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41" t="n"/>
      <c r="B16" s="41" t="n"/>
      <c r="C16" s="41" t="n"/>
      <c r="D16" s="42" t="n"/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3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41" t="n"/>
      <c r="B17" s="41" t="n"/>
      <c r="C17" s="41" t="n"/>
      <c r="D17" s="42" t="n"/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3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41" t="n"/>
      <c r="B18" s="41" t="n"/>
      <c r="C18" s="41" t="n"/>
      <c r="D18" s="42" t="n"/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3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41" t="n"/>
      <c r="B19" s="41" t="n"/>
      <c r="C19" s="41" t="n"/>
      <c r="D19" s="42" t="n"/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3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41" t="n"/>
      <c r="B20" s="41" t="n"/>
      <c r="C20" s="41" t="n"/>
      <c r="D20" s="42" t="n"/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3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41" t="n"/>
      <c r="B21" s="41" t="n"/>
      <c r="C21" s="41" t="n"/>
      <c r="D21" s="42" t="n"/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3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41" t="n"/>
      <c r="B22" s="41" t="n"/>
      <c r="C22" s="41" t="n"/>
      <c r="D22" s="42" t="n"/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3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41" t="n"/>
      <c r="B23" s="41" t="n"/>
      <c r="C23" s="41" t="n"/>
      <c r="D23" s="42" t="n"/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3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41" t="n"/>
      <c r="B24" s="41" t="n"/>
      <c r="C24" s="41" t="n"/>
      <c r="D24" s="42" t="n"/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3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41" t="n"/>
      <c r="B25" s="41" t="n"/>
      <c r="C25" s="41" t="n"/>
      <c r="D25" s="42" t="n"/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3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41" t="n"/>
      <c r="B26" s="41" t="n"/>
      <c r="C26" s="41" t="n"/>
      <c r="D26" s="42" t="n"/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3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41" t="n"/>
      <c r="B27" s="41" t="n"/>
      <c r="C27" s="41" t="n"/>
      <c r="D27" s="42" t="n"/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3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41" t="n"/>
      <c r="B28" s="41" t="n"/>
      <c r="C28" s="41" t="n"/>
      <c r="D28" s="42" t="n"/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3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41" t="n"/>
      <c r="B29" s="41" t="n"/>
      <c r="C29" s="41" t="n"/>
      <c r="D29" s="42" t="n"/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3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41" t="n"/>
      <c r="B30" s="41" t="n"/>
      <c r="C30" s="41" t="n"/>
      <c r="D30" s="42" t="n"/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3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41" t="n"/>
      <c r="B31" s="41" t="n"/>
      <c r="C31" s="41" t="n"/>
      <c r="D31" s="42" t="n"/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3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41" t="n"/>
      <c r="B32" s="41" t="n"/>
      <c r="C32" s="41" t="n"/>
      <c r="D32" s="42" t="n"/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3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41" t="n"/>
      <c r="B33" s="41" t="n"/>
      <c r="C33" s="41" t="n"/>
      <c r="D33" s="42" t="n"/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3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41" t="n"/>
      <c r="B34" s="41" t="n"/>
      <c r="C34" s="41" t="n"/>
      <c r="D34" s="42" t="n"/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3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41" t="n"/>
      <c r="B35" s="41" t="n"/>
      <c r="C35" s="41" t="n"/>
      <c r="D35" s="42" t="n"/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3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41" t="n"/>
      <c r="B36" s="41" t="n"/>
      <c r="C36" s="41" t="n"/>
      <c r="D36" s="42" t="n"/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3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41" t="n"/>
      <c r="B37" s="41" t="n"/>
      <c r="C37" s="41" t="n"/>
      <c r="D37" s="42" t="n"/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3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41" t="n"/>
      <c r="B38" s="41" t="n"/>
      <c r="C38" s="41" t="n"/>
      <c r="D38" s="42" t="n"/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3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41" t="n"/>
      <c r="B39" s="41" t="n"/>
      <c r="C39" s="41" t="n"/>
      <c r="D39" s="42" t="n"/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3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41" t="n"/>
      <c r="B40" s="41" t="n"/>
      <c r="C40" s="41" t="n"/>
      <c r="D40" s="42" t="n"/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3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41" t="n"/>
      <c r="B41" s="41" t="n"/>
      <c r="C41" s="41" t="n"/>
      <c r="D41" s="42" t="n"/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3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41" t="n"/>
      <c r="B42" s="41" t="n"/>
      <c r="C42" s="41" t="n"/>
      <c r="D42" s="42" t="n"/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3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41" t="n"/>
      <c r="B43" s="41" t="n"/>
      <c r="C43" s="41" t="n"/>
      <c r="D43" s="42" t="n"/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3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41" t="n"/>
      <c r="B44" s="41" t="n"/>
      <c r="C44" s="41" t="n"/>
      <c r="D44" s="42" t="n"/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3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41" t="n"/>
      <c r="B45" s="41" t="n"/>
      <c r="C45" s="41" t="n"/>
      <c r="D45" s="42" t="n"/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3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41" t="n"/>
      <c r="B46" s="41" t="n"/>
      <c r="C46" s="41" t="n"/>
      <c r="D46" s="42" t="n"/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3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41" t="n"/>
      <c r="B47" s="41" t="n"/>
      <c r="C47" s="41" t="n"/>
      <c r="D47" s="42" t="n"/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3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41" t="n"/>
      <c r="B48" s="41" t="n"/>
      <c r="C48" s="41" t="n"/>
      <c r="D48" s="42" t="n"/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3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41" t="n"/>
      <c r="B49" s="41" t="n"/>
      <c r="C49" s="41" t="n"/>
      <c r="D49" s="42" t="n"/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3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41" t="n"/>
      <c r="B50" s="41" t="n"/>
      <c r="C50" s="41" t="n"/>
      <c r="D50" s="42" t="n"/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3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41" t="n"/>
      <c r="B51" s="41" t="n"/>
      <c r="C51" s="41" t="n"/>
      <c r="D51" s="42" t="n"/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3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41" t="n"/>
      <c r="B52" s="41" t="n"/>
      <c r="C52" s="41" t="n"/>
      <c r="D52" s="42" t="n"/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3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41" t="n"/>
      <c r="B53" s="41" t="n"/>
      <c r="C53" s="41" t="n"/>
      <c r="D53" s="42" t="n"/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3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41" t="n"/>
      <c r="B54" s="41" t="n"/>
      <c r="C54" s="41" t="n"/>
      <c r="D54" s="42" t="n"/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3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41" t="n"/>
      <c r="B55" s="41" t="n"/>
      <c r="C55" s="41" t="n"/>
      <c r="D55" s="42" t="n"/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3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41" t="n"/>
      <c r="B56" s="41" t="n"/>
      <c r="C56" s="41" t="n"/>
      <c r="D56" s="42" t="n"/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3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41" t="n"/>
      <c r="B57" s="41" t="n"/>
      <c r="C57" s="41" t="n"/>
      <c r="D57" s="42" t="n"/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3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41" t="n"/>
      <c r="B58" s="41" t="n"/>
      <c r="C58" s="41" t="n"/>
      <c r="D58" s="42" t="n"/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3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41" t="n"/>
      <c r="B59" s="41" t="n"/>
      <c r="C59" s="41" t="n"/>
      <c r="D59" s="42" t="n"/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3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41" t="n"/>
      <c r="B60" s="41" t="n"/>
      <c r="C60" s="41" t="n"/>
      <c r="D60" s="42" t="n"/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3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41" t="n"/>
      <c r="B61" s="41" t="n"/>
      <c r="C61" s="41" t="n"/>
      <c r="D61" s="42" t="n"/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3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41" t="n"/>
      <c r="B62" s="41" t="n"/>
      <c r="C62" s="41" t="n"/>
      <c r="D62" s="42" t="n"/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3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41" t="n"/>
      <c r="B63" s="41" t="n"/>
      <c r="C63" s="41" t="n"/>
      <c r="D63" s="42" t="n"/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3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41" t="n"/>
      <c r="B64" s="41" t="n"/>
      <c r="C64" s="41" t="n"/>
      <c r="D64" s="42" t="n"/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3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41" t="n"/>
      <c r="B65" s="41" t="n"/>
      <c r="C65" s="41" t="n"/>
      <c r="D65" s="42" t="n"/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3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41" t="n"/>
      <c r="B66" s="41" t="n"/>
      <c r="C66" s="41" t="n"/>
      <c r="D66" s="42" t="n"/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3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41" t="n"/>
      <c r="B67" s="41" t="n"/>
      <c r="C67" s="41" t="n"/>
      <c r="D67" s="42" t="n"/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3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41" t="n"/>
      <c r="B68" s="41" t="n"/>
      <c r="C68" s="41" t="n"/>
      <c r="D68" s="42" t="n"/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3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41" t="n"/>
      <c r="B69" s="41" t="n"/>
      <c r="C69" s="41" t="n"/>
      <c r="D69" s="42" t="n"/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3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41" t="n"/>
      <c r="B70" s="41" t="n"/>
      <c r="C70" s="41" t="n"/>
      <c r="D70" s="42" t="n"/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3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41" t="n"/>
      <c r="B71" s="41" t="n"/>
      <c r="C71" s="41" t="n"/>
      <c r="D71" s="42" t="n"/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3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41" t="n"/>
      <c r="B72" s="41" t="n"/>
      <c r="C72" s="41" t="n"/>
      <c r="D72" s="42" t="n"/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3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41" t="n"/>
      <c r="B73" s="41" t="n"/>
      <c r="C73" s="41" t="n"/>
      <c r="D73" s="42" t="n"/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3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41" t="n"/>
      <c r="B74" s="41" t="n"/>
      <c r="C74" s="41" t="n"/>
      <c r="D74" s="42" t="n"/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3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41" t="n"/>
      <c r="B75" s="41" t="n"/>
      <c r="C75" s="41" t="n"/>
      <c r="D75" s="42" t="n"/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3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41" t="n"/>
      <c r="B76" s="41" t="n"/>
      <c r="C76" s="41" t="n"/>
      <c r="D76" s="42" t="n"/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3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41" t="n"/>
      <c r="B77" s="41" t="n"/>
      <c r="C77" s="41" t="n"/>
      <c r="D77" s="42" t="n"/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3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41" t="n"/>
      <c r="B78" s="41" t="n"/>
      <c r="C78" s="41" t="n"/>
      <c r="D78" s="42" t="n"/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3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41" t="n"/>
      <c r="B79" s="41" t="n"/>
      <c r="C79" s="41" t="n"/>
      <c r="D79" s="42" t="n"/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3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41" t="n"/>
      <c r="B80" s="41" t="n"/>
      <c r="C80" s="41" t="n"/>
      <c r="D80" s="42" t="n"/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3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41" t="n"/>
      <c r="B81" s="41" t="n"/>
      <c r="C81" s="41" t="n"/>
      <c r="D81" s="42" t="n"/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3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41" t="n"/>
      <c r="B82" s="41" t="n"/>
      <c r="C82" s="41" t="n"/>
      <c r="D82" s="42" t="n"/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3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41" t="n"/>
      <c r="B83" s="41" t="n"/>
      <c r="C83" s="41" t="n"/>
      <c r="D83" s="42" t="n"/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3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41" t="n"/>
      <c r="B84" s="41" t="n"/>
      <c r="C84" s="41" t="n"/>
      <c r="D84" s="42" t="n"/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3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41" t="n"/>
      <c r="B85" s="41" t="n"/>
      <c r="C85" s="41" t="n"/>
      <c r="D85" s="42" t="n"/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3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41" t="n"/>
      <c r="B86" s="41" t="n"/>
      <c r="C86" s="41" t="n"/>
      <c r="D86" s="42" t="n"/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3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41" t="n"/>
      <c r="B87" s="41" t="n"/>
      <c r="C87" s="41" t="n"/>
      <c r="D87" s="42" t="n"/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3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41" t="n"/>
      <c r="B88" s="41" t="n"/>
      <c r="C88" s="41" t="n"/>
      <c r="D88" s="42" t="n"/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3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41" t="n"/>
      <c r="B89" s="41" t="n"/>
      <c r="C89" s="41" t="n"/>
      <c r="D89" s="42" t="n"/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3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41" t="n"/>
      <c r="B90" s="41" t="n"/>
      <c r="C90" s="41" t="n"/>
      <c r="D90" s="42" t="n"/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3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41" t="n"/>
      <c r="B91" s="41" t="n"/>
      <c r="C91" s="41" t="n"/>
      <c r="D91" s="42" t="n"/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3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41" t="n"/>
      <c r="B92" s="41" t="n"/>
      <c r="C92" s="41" t="n"/>
      <c r="D92" s="42" t="n"/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3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41" t="n"/>
      <c r="B93" s="41" t="n"/>
      <c r="C93" s="41" t="n"/>
      <c r="D93" s="42" t="n"/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3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41" t="n"/>
      <c r="B94" s="41" t="n"/>
      <c r="C94" s="41" t="n"/>
      <c r="D94" s="42" t="n"/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3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41" t="n"/>
      <c r="B95" s="41" t="n"/>
      <c r="C95" s="41" t="n"/>
      <c r="D95" s="42" t="n"/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3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41" t="n"/>
      <c r="B96" s="41" t="n"/>
      <c r="C96" s="41" t="n"/>
      <c r="D96" s="42" t="n"/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3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41" t="n"/>
      <c r="B97" s="41" t="n"/>
      <c r="C97" s="41" t="n"/>
      <c r="D97" s="42" t="n"/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3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41" t="n"/>
      <c r="B98" s="41" t="n"/>
      <c r="C98" s="41" t="n"/>
      <c r="D98" s="42" t="n"/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3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41" t="n"/>
      <c r="B99" s="41" t="n"/>
      <c r="C99" s="41" t="n"/>
      <c r="D99" s="42" t="n"/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3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41" t="n"/>
      <c r="B100" s="41" t="n"/>
      <c r="C100" s="41" t="n"/>
      <c r="D100" s="42" t="n"/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3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41" t="n"/>
      <c r="B101" s="41" t="n"/>
      <c r="C101" s="41" t="n"/>
      <c r="D101" s="42" t="n"/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3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41" t="n"/>
      <c r="B102" s="41" t="n"/>
      <c r="C102" s="41" t="n"/>
      <c r="D102" s="42" t="n"/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3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41" t="n"/>
      <c r="B103" s="41" t="n"/>
      <c r="C103" s="41" t="n"/>
      <c r="D103" s="42" t="n"/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3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41" t="n"/>
      <c r="B104" s="41" t="n"/>
      <c r="C104" s="41" t="n"/>
      <c r="D104" s="42" t="n"/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3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41" t="n"/>
      <c r="B105" s="41" t="n"/>
      <c r="C105" s="41" t="n"/>
      <c r="D105" s="42" t="n"/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3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41" t="n"/>
      <c r="B106" s="41" t="n"/>
      <c r="C106" s="41" t="n"/>
      <c r="D106" s="42" t="n"/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3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41" t="n"/>
      <c r="B107" s="41" t="n"/>
      <c r="C107" s="41" t="n"/>
      <c r="D107" s="42" t="n"/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3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41" t="n"/>
      <c r="B108" s="41" t="n"/>
      <c r="C108" s="41" t="n"/>
      <c r="D108" s="42" t="n"/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3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41" t="n"/>
      <c r="B109" s="41" t="n"/>
      <c r="C109" s="41" t="n"/>
      <c r="D109" s="42" t="n"/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3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41" t="n"/>
      <c r="B110" s="41" t="n"/>
      <c r="C110" s="41" t="n"/>
      <c r="D110" s="42" t="n"/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3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41" t="n"/>
      <c r="B111" s="41" t="n"/>
      <c r="C111" s="41" t="n"/>
      <c r="D111" s="42" t="n"/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3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41" t="n"/>
      <c r="B112" s="41" t="n"/>
      <c r="C112" s="41" t="n"/>
      <c r="D112" s="42" t="n"/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3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41" t="n"/>
      <c r="B113" s="41" t="n"/>
      <c r="C113" s="41" t="n"/>
      <c r="D113" s="42" t="n"/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3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41" t="n"/>
      <c r="B114" s="41" t="n"/>
      <c r="C114" s="41" t="n"/>
      <c r="D114" s="42" t="n"/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3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41" t="n"/>
      <c r="B115" s="41" t="n"/>
      <c r="C115" s="41" t="n"/>
      <c r="D115" s="42" t="n"/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3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41" t="n"/>
      <c r="B116" s="41" t="n"/>
      <c r="C116" s="41" t="n"/>
      <c r="D116" s="42" t="n"/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3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41" t="n"/>
      <c r="B117" s="41" t="n"/>
      <c r="C117" s="41" t="n"/>
      <c r="D117" s="42" t="n"/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3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41" t="n"/>
      <c r="B118" s="41" t="n"/>
      <c r="C118" s="41" t="n"/>
      <c r="D118" s="42" t="n"/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3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41" t="n"/>
      <c r="B119" s="41" t="n"/>
      <c r="C119" s="41" t="n"/>
      <c r="D119" s="42" t="n"/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3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41" t="n"/>
      <c r="B120" s="41" t="n"/>
      <c r="C120" s="41" t="n"/>
      <c r="D120" s="42" t="n"/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3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41" t="n"/>
      <c r="B121" s="41" t="n"/>
      <c r="C121" s="41" t="n"/>
      <c r="D121" s="42" t="n"/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3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41" t="n"/>
      <c r="B122" s="41" t="n"/>
      <c r="C122" s="41" t="n"/>
      <c r="D122" s="42" t="n"/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3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41" t="n"/>
      <c r="B123" s="41" t="n"/>
      <c r="C123" s="41" t="n"/>
      <c r="D123" s="42" t="n"/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3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41" t="n"/>
      <c r="B124" s="41" t="n"/>
      <c r="C124" s="41" t="n"/>
      <c r="D124" s="42" t="n"/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3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41" t="n"/>
      <c r="B125" s="41" t="n"/>
      <c r="C125" s="41" t="n"/>
      <c r="D125" s="42" t="n"/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3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41" t="n"/>
      <c r="B126" s="41" t="n"/>
      <c r="C126" s="41" t="n"/>
      <c r="D126" s="42" t="n"/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3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41" t="n"/>
      <c r="B127" s="41" t="n"/>
      <c r="C127" s="41" t="n"/>
      <c r="D127" s="42" t="n"/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3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41" t="n"/>
      <c r="B128" s="41" t="n"/>
      <c r="C128" s="41" t="n"/>
      <c r="D128" s="42" t="n"/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3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41" t="n"/>
      <c r="B129" s="41" t="n"/>
      <c r="C129" s="41" t="n"/>
      <c r="D129" s="42" t="n"/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3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41" t="n"/>
      <c r="B130" s="41" t="n"/>
      <c r="C130" s="41" t="n"/>
      <c r="D130" s="42" t="n"/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3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41" t="n"/>
      <c r="B131" s="41" t="n"/>
      <c r="C131" s="41" t="n"/>
      <c r="D131" s="42" t="n"/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3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41" t="n"/>
      <c r="B132" s="41" t="n"/>
      <c r="C132" s="41" t="n"/>
      <c r="D132" s="42" t="n"/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3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41" t="n"/>
      <c r="B133" s="41" t="n"/>
      <c r="C133" s="41" t="n"/>
      <c r="D133" s="42" t="n"/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3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41" t="n"/>
      <c r="B134" s="41" t="n"/>
      <c r="C134" s="41" t="n"/>
      <c r="D134" s="42" t="n"/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3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41" t="n"/>
      <c r="B135" s="41" t="n"/>
      <c r="C135" s="41" t="n"/>
      <c r="D135" s="42" t="n"/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3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41" t="n"/>
      <c r="B136" s="41" t="n"/>
      <c r="C136" s="41" t="n"/>
      <c r="D136" s="42" t="n"/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3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41" t="n"/>
      <c r="B137" s="41" t="n"/>
      <c r="C137" s="41" t="n"/>
      <c r="D137" s="42" t="n"/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3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41" t="n"/>
      <c r="B138" s="41" t="n"/>
      <c r="C138" s="41" t="n"/>
      <c r="D138" s="42" t="n"/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3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41" t="n"/>
      <c r="B139" s="41" t="n"/>
      <c r="C139" s="41" t="n"/>
      <c r="D139" s="42" t="n"/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3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41" t="n"/>
      <c r="B140" s="41" t="n"/>
      <c r="C140" s="41" t="n"/>
      <c r="D140" s="42" t="n"/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3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41" t="n"/>
      <c r="B141" s="41" t="n"/>
      <c r="C141" s="41" t="n"/>
      <c r="D141" s="42" t="n"/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3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41" t="n"/>
      <c r="B142" s="41" t="n"/>
      <c r="C142" s="41" t="n"/>
      <c r="D142" s="42" t="n"/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3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41" t="n"/>
      <c r="B143" s="41" t="n"/>
      <c r="C143" s="41" t="n"/>
      <c r="D143" s="42" t="n"/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3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41" t="n"/>
      <c r="B144" s="41" t="n"/>
      <c r="C144" s="41" t="n"/>
      <c r="D144" s="42" t="n"/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3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41" t="n"/>
      <c r="B145" s="41" t="n"/>
      <c r="C145" s="41" t="n"/>
      <c r="D145" s="42" t="n"/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3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41" t="n"/>
      <c r="B146" s="41" t="n"/>
      <c r="C146" s="41" t="n"/>
      <c r="D146" s="42" t="n"/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3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41" t="n"/>
      <c r="B147" s="41" t="n"/>
      <c r="C147" s="41" t="n"/>
      <c r="D147" s="42" t="n"/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3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41" t="n"/>
      <c r="B148" s="41" t="n"/>
      <c r="C148" s="41" t="n"/>
      <c r="D148" s="42" t="n"/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3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41" t="n"/>
      <c r="B149" s="41" t="n"/>
      <c r="C149" s="41" t="n"/>
      <c r="D149" s="42" t="n"/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3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41" t="n"/>
      <c r="B150" s="41" t="n"/>
      <c r="C150" s="41" t="n"/>
      <c r="D150" s="42" t="n"/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3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41" t="n"/>
      <c r="B151" s="41" t="n"/>
      <c r="C151" s="41" t="n"/>
      <c r="D151" s="42" t="n"/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3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41" t="n"/>
      <c r="B152" s="41" t="n"/>
      <c r="C152" s="41" t="n"/>
      <c r="D152" s="42" t="n"/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3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41" t="n"/>
      <c r="B153" s="41" t="n"/>
      <c r="C153" s="41" t="n"/>
      <c r="D153" s="42" t="n"/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3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41" t="n"/>
      <c r="B154" s="41" t="n"/>
      <c r="C154" s="41" t="n"/>
      <c r="D154" s="42" t="n"/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3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41" t="n"/>
      <c r="B155" s="41" t="n"/>
      <c r="C155" s="41" t="n"/>
      <c r="D155" s="42" t="n"/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3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41" t="n"/>
      <c r="B156" s="41" t="n"/>
      <c r="C156" s="41" t="n"/>
      <c r="D156" s="42" t="n"/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3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41" t="n"/>
      <c r="B157" s="41" t="n"/>
      <c r="C157" s="41" t="n"/>
      <c r="D157" s="42" t="n"/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3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41" t="n"/>
      <c r="B158" s="41" t="n"/>
      <c r="C158" s="41" t="n"/>
      <c r="D158" s="42" t="n"/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3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41" t="n"/>
      <c r="B159" s="41" t="n"/>
      <c r="C159" s="41" t="n"/>
      <c r="D159" s="42" t="n"/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3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41" t="n"/>
      <c r="B160" s="41" t="n"/>
      <c r="C160" s="41" t="n"/>
      <c r="D160" s="42" t="n"/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3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41" t="n"/>
      <c r="B161" s="41" t="n"/>
      <c r="C161" s="41" t="n"/>
      <c r="D161" s="42" t="n"/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3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41" t="n"/>
      <c r="B162" s="41" t="n"/>
      <c r="C162" s="41" t="n"/>
      <c r="D162" s="42" t="n"/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3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41" t="n"/>
      <c r="B163" s="41" t="n"/>
      <c r="C163" s="41" t="n"/>
      <c r="D163" s="42" t="n"/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3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41" t="n"/>
      <c r="B164" s="41" t="n"/>
      <c r="C164" s="41" t="n"/>
      <c r="D164" s="42" t="n"/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3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41" t="n"/>
      <c r="B165" s="41" t="n"/>
      <c r="C165" s="41" t="n"/>
      <c r="D165" s="42" t="n"/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3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41" t="n"/>
      <c r="B166" s="41" t="n"/>
      <c r="C166" s="41" t="n"/>
      <c r="D166" s="42" t="n"/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3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41" t="n"/>
      <c r="B167" s="41" t="n"/>
      <c r="C167" s="41" t="n"/>
      <c r="D167" s="42" t="n"/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3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41" t="n"/>
      <c r="B168" s="41" t="n"/>
      <c r="C168" s="41" t="n"/>
      <c r="D168" s="42" t="n"/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3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41" t="n"/>
      <c r="B169" s="41" t="n"/>
      <c r="C169" s="41" t="n"/>
      <c r="D169" s="42" t="n"/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3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41" t="n"/>
      <c r="B170" s="41" t="n"/>
      <c r="C170" s="41" t="n"/>
      <c r="D170" s="42" t="n"/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3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41" t="n"/>
      <c r="B171" s="41" t="n"/>
      <c r="C171" s="41" t="n"/>
      <c r="D171" s="42" t="n"/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3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41" t="n"/>
      <c r="B172" s="41" t="n"/>
      <c r="C172" s="41" t="n"/>
      <c r="D172" s="42" t="n"/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3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41" t="n"/>
      <c r="B173" s="41" t="n"/>
      <c r="C173" s="41" t="n"/>
      <c r="D173" s="42" t="n"/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3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41" t="n"/>
      <c r="B174" s="41" t="n"/>
      <c r="C174" s="41" t="n"/>
      <c r="D174" s="42" t="n"/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3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41" t="n"/>
      <c r="B175" s="41" t="n"/>
      <c r="C175" s="41" t="n"/>
      <c r="D175" s="42" t="n"/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3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41" t="n"/>
      <c r="B176" s="41" t="n"/>
      <c r="C176" s="41" t="n"/>
      <c r="D176" s="42" t="n"/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3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41" t="n"/>
      <c r="B177" s="41" t="n"/>
      <c r="C177" s="41" t="n"/>
      <c r="D177" s="42" t="n"/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3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41" t="n"/>
      <c r="B178" s="41" t="n"/>
      <c r="C178" s="41" t="n"/>
      <c r="D178" s="42" t="n"/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3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41" t="n"/>
      <c r="B179" s="41" t="n"/>
      <c r="C179" s="41" t="n"/>
      <c r="D179" s="42" t="n"/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3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41" t="n"/>
      <c r="B180" s="41" t="n"/>
      <c r="C180" s="41" t="n"/>
      <c r="D180" s="42" t="n"/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3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41" t="n"/>
      <c r="B181" s="41" t="n"/>
      <c r="C181" s="41" t="n"/>
      <c r="D181" s="42" t="n"/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3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41" t="n"/>
      <c r="B182" s="41" t="n"/>
      <c r="C182" s="41" t="n"/>
      <c r="D182" s="42" t="n"/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3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41" t="n"/>
      <c r="B183" s="41" t="n"/>
      <c r="C183" s="41" t="n"/>
      <c r="D183" s="42" t="n"/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3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41" t="n"/>
      <c r="B184" s="41" t="n"/>
      <c r="C184" s="41" t="n"/>
      <c r="D184" s="42" t="n"/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3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41" t="n"/>
      <c r="B185" s="41" t="n"/>
      <c r="C185" s="41" t="n"/>
      <c r="D185" s="42" t="n"/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3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41" t="n"/>
      <c r="B186" s="41" t="n"/>
      <c r="C186" s="41" t="n"/>
      <c r="D186" s="42" t="n"/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3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41" t="n"/>
      <c r="B187" s="41" t="n"/>
      <c r="C187" s="41" t="n"/>
      <c r="D187" s="42" t="n"/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3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41" t="n"/>
      <c r="B188" s="41" t="n"/>
      <c r="C188" s="41" t="n"/>
      <c r="D188" s="42" t="n"/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3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41" t="n"/>
      <c r="B189" s="41" t="n"/>
      <c r="C189" s="41" t="n"/>
      <c r="D189" s="42" t="n"/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3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41" t="n"/>
      <c r="B190" s="41" t="n"/>
      <c r="C190" s="41" t="n"/>
      <c r="D190" s="42" t="n"/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3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41" t="n"/>
      <c r="B191" s="41" t="n"/>
      <c r="C191" s="41" t="n"/>
      <c r="D191" s="42" t="n"/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3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41" t="n"/>
      <c r="B192" s="41" t="n"/>
      <c r="C192" s="41" t="n"/>
      <c r="D192" s="42" t="n"/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3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41" t="n"/>
      <c r="B193" s="41" t="n"/>
      <c r="C193" s="41" t="n"/>
      <c r="D193" s="42" t="n"/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3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41" t="n"/>
      <c r="B194" s="41" t="n"/>
      <c r="C194" s="41" t="n"/>
      <c r="D194" s="42" t="n"/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3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41" t="n"/>
      <c r="B195" s="41" t="n"/>
      <c r="C195" s="41" t="n"/>
      <c r="D195" s="42" t="n"/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3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41" t="n"/>
      <c r="B196" s="41" t="n"/>
      <c r="C196" s="41" t="n"/>
      <c r="D196" s="42" t="n"/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3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41" t="n"/>
      <c r="B197" s="41" t="n"/>
      <c r="C197" s="41" t="n"/>
      <c r="D197" s="42" t="n"/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3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41" t="n"/>
      <c r="B198" s="41" t="n"/>
      <c r="C198" s="41" t="n"/>
      <c r="D198" s="42" t="n"/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3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41" t="n"/>
      <c r="B199" s="41" t="n"/>
      <c r="C199" s="41" t="n"/>
      <c r="D199" s="42" t="n"/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3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41" t="n"/>
      <c r="B200" s="41" t="n"/>
      <c r="C200" s="41" t="n"/>
      <c r="D200" s="42" t="n"/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3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41" t="n"/>
      <c r="B201" s="41" t="n"/>
      <c r="C201" s="41" t="n"/>
      <c r="D201" s="42" t="n"/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3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41" t="n"/>
      <c r="B202" s="41" t="n"/>
      <c r="C202" s="41" t="n"/>
      <c r="D202" s="42" t="n"/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3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41" t="n"/>
      <c r="B203" s="41" t="n"/>
      <c r="C203" s="41" t="n"/>
      <c r="D203" s="42" t="n"/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3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41" t="n"/>
      <c r="B204" s="41" t="n"/>
      <c r="C204" s="41" t="n"/>
      <c r="D204" s="42" t="n"/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3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41" t="n"/>
      <c r="B205" s="41" t="n"/>
      <c r="C205" s="41" t="n"/>
      <c r="D205" s="42" t="n"/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3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41" t="n"/>
      <c r="B206" s="41" t="n"/>
      <c r="C206" s="41" t="n"/>
      <c r="D206" s="42" t="n"/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3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41" t="n"/>
      <c r="B207" s="41" t="n"/>
      <c r="C207" s="41" t="n"/>
      <c r="D207" s="42" t="n"/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3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41" t="n"/>
      <c r="B208" s="41" t="n"/>
      <c r="C208" s="41" t="n"/>
      <c r="D208" s="42" t="n"/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3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41" t="n"/>
      <c r="B209" s="41" t="n"/>
      <c r="C209" s="41" t="n"/>
      <c r="D209" s="42" t="n"/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3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41" t="n"/>
      <c r="B210" s="41" t="n"/>
      <c r="C210" s="41" t="n"/>
      <c r="D210" s="42" t="n"/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3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41" t="n"/>
      <c r="B211" s="41" t="n"/>
      <c r="C211" s="41" t="n"/>
      <c r="D211" s="42" t="n"/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3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41" t="n"/>
      <c r="B212" s="41" t="n"/>
      <c r="C212" s="41" t="n"/>
      <c r="D212" s="42" t="n"/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3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41" t="n"/>
      <c r="B213" s="41" t="n"/>
      <c r="C213" s="41" t="n"/>
      <c r="D213" s="42" t="n"/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3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41" t="n"/>
      <c r="B214" s="41" t="n"/>
      <c r="C214" s="41" t="n"/>
      <c r="D214" s="42" t="n"/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3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41" t="n"/>
      <c r="B215" s="41" t="n"/>
      <c r="C215" s="41" t="n"/>
      <c r="D215" s="42" t="n"/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3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41" t="n"/>
      <c r="B216" s="41" t="n"/>
      <c r="C216" s="41" t="n"/>
      <c r="D216" s="42" t="n"/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3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41" t="n"/>
      <c r="B217" s="41" t="n"/>
      <c r="C217" s="41" t="n"/>
      <c r="D217" s="42" t="n"/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3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41" t="n"/>
      <c r="B218" s="41" t="n"/>
      <c r="C218" s="41" t="n"/>
      <c r="D218" s="42" t="n"/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3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41" t="n"/>
      <c r="B219" s="41" t="n"/>
      <c r="C219" s="41" t="n"/>
      <c r="D219" s="42" t="n"/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3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41" t="n"/>
      <c r="B220" s="41" t="n"/>
      <c r="C220" s="41" t="n"/>
      <c r="D220" s="42" t="n"/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3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41" t="n"/>
      <c r="B221" s="41" t="n"/>
      <c r="C221" s="41" t="n"/>
      <c r="D221" s="42" t="n"/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3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41" t="n"/>
      <c r="B222" s="41" t="n"/>
      <c r="C222" s="41" t="n"/>
      <c r="D222" s="42" t="n"/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3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41" t="n"/>
      <c r="B223" s="41" t="n"/>
      <c r="C223" s="41" t="n"/>
      <c r="D223" s="42" t="n"/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3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41" t="n"/>
      <c r="B224" s="41" t="n"/>
      <c r="C224" s="41" t="n"/>
      <c r="D224" s="42" t="n"/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3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41" t="n"/>
      <c r="B225" s="41" t="n"/>
      <c r="C225" s="41" t="n"/>
      <c r="D225" s="42" t="n"/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3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41" t="n"/>
      <c r="B226" s="41" t="n"/>
      <c r="C226" s="41" t="n"/>
      <c r="D226" s="42" t="n"/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3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41" t="n"/>
      <c r="B227" s="41" t="n"/>
      <c r="C227" s="41" t="n"/>
      <c r="D227" s="42" t="n"/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3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41" t="n"/>
      <c r="B228" s="41" t="n"/>
      <c r="C228" s="41" t="n"/>
      <c r="D228" s="42" t="n"/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3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41" t="n"/>
      <c r="B229" s="41" t="n"/>
      <c r="C229" s="41" t="n"/>
      <c r="D229" s="42" t="n"/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3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41" t="n"/>
      <c r="B230" s="41" t="n"/>
      <c r="C230" s="41" t="n"/>
      <c r="D230" s="42" t="n"/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3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41" t="n"/>
      <c r="B231" s="41" t="n"/>
      <c r="C231" s="41" t="n"/>
      <c r="D231" s="42" t="n"/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3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41" t="n"/>
      <c r="B232" s="41" t="n"/>
      <c r="C232" s="41" t="n"/>
      <c r="D232" s="42" t="n"/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3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41" t="n"/>
      <c r="B233" s="41" t="n"/>
      <c r="C233" s="41" t="n"/>
      <c r="D233" s="42" t="n"/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3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41" t="n"/>
      <c r="B234" s="41" t="n"/>
      <c r="C234" s="41" t="n"/>
      <c r="D234" s="42" t="n"/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3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41" t="n"/>
      <c r="B235" s="41" t="n"/>
      <c r="C235" s="41" t="n"/>
      <c r="D235" s="42" t="n"/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3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41" t="n"/>
      <c r="B236" s="41" t="n"/>
      <c r="C236" s="41" t="n"/>
      <c r="D236" s="42" t="n"/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3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41" t="n"/>
      <c r="B237" s="41" t="n"/>
      <c r="C237" s="41" t="n"/>
      <c r="D237" s="42" t="n"/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3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41" t="n"/>
      <c r="B238" s="41" t="n"/>
      <c r="C238" s="41" t="n"/>
      <c r="D238" s="42" t="n"/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3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41" t="n"/>
      <c r="B239" s="41" t="n"/>
      <c r="C239" s="41" t="n"/>
      <c r="D239" s="42" t="n"/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3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41" t="n"/>
      <c r="B240" s="41" t="n"/>
      <c r="C240" s="41" t="n"/>
      <c r="D240" s="42" t="n"/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3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41" t="n"/>
      <c r="B241" s="41" t="n"/>
      <c r="C241" s="41" t="n"/>
      <c r="D241" s="42" t="n"/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3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41" t="n"/>
      <c r="B242" s="41" t="n"/>
      <c r="C242" s="41" t="n"/>
      <c r="D242" s="42" t="n"/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3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41" t="n"/>
      <c r="B243" s="41" t="n"/>
      <c r="C243" s="41" t="n"/>
      <c r="D243" s="42" t="n"/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3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41" t="n"/>
      <c r="B244" s="41" t="n"/>
      <c r="C244" s="41" t="n"/>
      <c r="D244" s="42" t="n"/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3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41" t="n"/>
      <c r="B245" s="41" t="n"/>
      <c r="C245" s="41" t="n"/>
      <c r="D245" s="42" t="n"/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3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41" t="n"/>
      <c r="B246" s="41" t="n"/>
      <c r="C246" s="41" t="n"/>
      <c r="D246" s="42" t="n"/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3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41" t="n"/>
      <c r="B247" s="41" t="n"/>
      <c r="C247" s="41" t="n"/>
      <c r="D247" s="42" t="n"/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3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41" t="n"/>
      <c r="B248" s="41" t="n"/>
      <c r="C248" s="41" t="n"/>
      <c r="D248" s="42" t="n"/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3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41" t="n"/>
      <c r="B249" s="41" t="n"/>
      <c r="C249" s="41" t="n"/>
      <c r="D249" s="42" t="n"/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3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41" t="n"/>
      <c r="B250" s="41" t="n"/>
      <c r="C250" s="41" t="n"/>
      <c r="D250" s="42" t="n"/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3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41" t="n"/>
      <c r="B251" s="41" t="n"/>
      <c r="C251" s="41" t="n"/>
      <c r="D251" s="42" t="n"/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3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41" t="n"/>
      <c r="B252" s="41" t="n"/>
      <c r="C252" s="41" t="n"/>
      <c r="D252" s="42" t="n"/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3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41" t="n"/>
      <c r="B253" s="41" t="n"/>
      <c r="C253" s="41" t="n"/>
      <c r="D253" s="42" t="n"/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3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41" t="n"/>
      <c r="B254" s="41" t="n"/>
      <c r="C254" s="41" t="n"/>
      <c r="D254" s="42" t="n"/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3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41" t="n"/>
      <c r="B255" s="41" t="n"/>
      <c r="C255" s="41" t="n"/>
      <c r="D255" s="42" t="n"/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3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41" t="n"/>
      <c r="B256" s="41" t="n"/>
      <c r="C256" s="41" t="n"/>
      <c r="D256" s="42" t="n"/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3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41" t="n"/>
      <c r="B257" s="41" t="n"/>
      <c r="C257" s="41" t="n"/>
      <c r="D257" s="42" t="n"/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3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41" t="n"/>
      <c r="B258" s="41" t="n"/>
      <c r="C258" s="41" t="n"/>
      <c r="D258" s="42" t="n"/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3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41" t="n"/>
      <c r="B259" s="41" t="n"/>
      <c r="C259" s="41" t="n"/>
      <c r="D259" s="42" t="n"/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3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41" t="n"/>
      <c r="B260" s="41" t="n"/>
      <c r="C260" s="41" t="n"/>
      <c r="D260" s="42" t="n"/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3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41" t="n"/>
      <c r="B261" s="41" t="n"/>
      <c r="C261" s="41" t="n"/>
      <c r="D261" s="42" t="n"/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3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41" t="n"/>
      <c r="B262" s="41" t="n"/>
      <c r="C262" s="41" t="n"/>
      <c r="D262" s="42" t="n"/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3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41" t="n"/>
      <c r="B263" s="41" t="n"/>
      <c r="C263" s="41" t="n"/>
      <c r="D263" s="42" t="n"/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3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41" t="n"/>
      <c r="B264" s="41" t="n"/>
      <c r="C264" s="41" t="n"/>
      <c r="D264" s="42" t="n"/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3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41" t="n"/>
      <c r="B265" s="41" t="n"/>
      <c r="C265" s="41" t="n"/>
      <c r="D265" s="42" t="n"/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3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41" t="n"/>
      <c r="B266" s="41" t="n"/>
      <c r="C266" s="41" t="n"/>
      <c r="D266" s="42" t="n"/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3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41" t="n"/>
      <c r="B267" s="41" t="n"/>
      <c r="C267" s="41" t="n"/>
      <c r="D267" s="42" t="n"/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3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41" t="n"/>
      <c r="B268" s="41" t="n"/>
      <c r="C268" s="41" t="n"/>
      <c r="D268" s="42" t="n"/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3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41" t="n"/>
      <c r="B269" s="41" t="n"/>
      <c r="C269" s="41" t="n"/>
      <c r="D269" s="42" t="n"/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3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41" t="n"/>
      <c r="B270" s="41" t="n"/>
      <c r="C270" s="41" t="n"/>
      <c r="D270" s="42" t="n"/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3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41" t="n"/>
      <c r="B271" s="41" t="n"/>
      <c r="C271" s="41" t="n"/>
      <c r="D271" s="42" t="n"/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3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41" t="n"/>
      <c r="B272" s="41" t="n"/>
      <c r="C272" s="41" t="n"/>
      <c r="D272" s="42" t="n"/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3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41" t="n"/>
      <c r="B273" s="41" t="n"/>
      <c r="C273" s="41" t="n"/>
      <c r="D273" s="42" t="n"/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3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41" t="n"/>
      <c r="B274" s="41" t="n"/>
      <c r="C274" s="41" t="n"/>
      <c r="D274" s="42" t="n"/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3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41" t="n"/>
      <c r="B275" s="41" t="n"/>
      <c r="C275" s="41" t="n"/>
      <c r="D275" s="42" t="n"/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3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41" t="n"/>
      <c r="B276" s="41" t="n"/>
      <c r="C276" s="41" t="n"/>
      <c r="D276" s="42" t="n"/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3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41" t="n"/>
      <c r="B277" s="41" t="n"/>
      <c r="C277" s="41" t="n"/>
      <c r="D277" s="42" t="n"/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3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41" t="n"/>
      <c r="B278" s="41" t="n"/>
      <c r="C278" s="41" t="n"/>
      <c r="D278" s="42" t="n"/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3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41" t="n"/>
      <c r="B279" s="41" t="n"/>
      <c r="C279" s="41" t="n"/>
      <c r="D279" s="42" t="n"/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3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41" t="n"/>
      <c r="B280" s="41" t="n"/>
      <c r="C280" s="41" t="n"/>
      <c r="D280" s="42" t="n"/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3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41" t="n"/>
      <c r="B281" s="41" t="n"/>
      <c r="C281" s="41" t="n"/>
      <c r="D281" s="42" t="n"/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3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41" t="n"/>
      <c r="B282" s="41" t="n"/>
      <c r="C282" s="41" t="n"/>
      <c r="D282" s="42" t="n"/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3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41" t="n"/>
      <c r="B283" s="41" t="n"/>
      <c r="C283" s="41" t="n"/>
      <c r="D283" s="42" t="n"/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3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41" t="n"/>
      <c r="B284" s="41" t="n"/>
      <c r="C284" s="41" t="n"/>
      <c r="D284" s="42" t="n"/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3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41" t="n"/>
      <c r="B285" s="41" t="n"/>
      <c r="C285" s="41" t="n"/>
      <c r="D285" s="42" t="n"/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3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41" t="n"/>
      <c r="B286" s="41" t="n"/>
      <c r="C286" s="41" t="n"/>
      <c r="D286" s="42" t="n"/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3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41" t="n"/>
      <c r="B287" s="41" t="n"/>
      <c r="C287" s="41" t="n"/>
      <c r="D287" s="42" t="n"/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3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41" t="n"/>
      <c r="B288" s="41" t="n"/>
      <c r="C288" s="41" t="n"/>
      <c r="D288" s="42" t="n"/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3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41" t="n"/>
      <c r="B289" s="41" t="n"/>
      <c r="C289" s="41" t="n"/>
      <c r="D289" s="42" t="n"/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3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41" t="n"/>
      <c r="B290" s="41" t="n"/>
      <c r="C290" s="41" t="n"/>
      <c r="D290" s="42" t="n"/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3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41" t="n"/>
      <c r="B291" s="41" t="n"/>
      <c r="C291" s="41" t="n"/>
      <c r="D291" s="42" t="n"/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3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41" t="n"/>
      <c r="B292" s="41" t="n"/>
      <c r="C292" s="41" t="n"/>
      <c r="D292" s="42" t="n"/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3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41" t="n"/>
      <c r="B293" s="41" t="n"/>
      <c r="C293" s="41" t="n"/>
      <c r="D293" s="42" t="n"/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3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41" t="n"/>
      <c r="B294" s="41" t="n"/>
      <c r="C294" s="41" t="n"/>
      <c r="D294" s="42" t="n"/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3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41" t="n"/>
      <c r="B295" s="41" t="n"/>
      <c r="C295" s="41" t="n"/>
      <c r="D295" s="42" t="n"/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3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41" t="n"/>
      <c r="B296" s="41" t="n"/>
      <c r="C296" s="41" t="n"/>
      <c r="D296" s="42" t="n"/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3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41" t="n"/>
      <c r="B297" s="41" t="n"/>
      <c r="C297" s="41" t="n"/>
      <c r="D297" s="42" t="n"/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3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41" t="n"/>
      <c r="B298" s="41" t="n"/>
      <c r="C298" s="41" t="n"/>
      <c r="D298" s="42" t="n"/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3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41" t="n"/>
      <c r="B299" s="41" t="n"/>
      <c r="C299" s="41" t="n"/>
      <c r="D299" s="42" t="n"/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3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41" t="n"/>
      <c r="B300" s="41" t="n"/>
      <c r="C300" s="41" t="n"/>
      <c r="D300" s="42" t="n"/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3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41" t="n"/>
      <c r="B301" s="41" t="n"/>
      <c r="C301" s="41" t="n"/>
      <c r="D301" s="42" t="n"/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3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41" t="n"/>
      <c r="B302" s="41" t="n"/>
      <c r="C302" s="41" t="n"/>
      <c r="D302" s="42" t="n"/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3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41" t="n"/>
      <c r="B303" s="41" t="n"/>
      <c r="C303" s="41" t="n"/>
      <c r="D303" s="42" t="n"/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3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41" t="n"/>
      <c r="B304" s="41" t="n"/>
      <c r="C304" s="41" t="n"/>
      <c r="D304" s="42" t="n"/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3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41" t="n"/>
      <c r="B305" s="41" t="n"/>
      <c r="C305" s="41" t="n"/>
      <c r="D305" s="42" t="n"/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3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41" t="n"/>
      <c r="B306" s="41" t="n"/>
      <c r="C306" s="41" t="n"/>
      <c r="D306" s="42" t="n"/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3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41" t="n"/>
      <c r="B307" s="41" t="n"/>
      <c r="C307" s="41" t="n"/>
      <c r="D307" s="42" t="n"/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3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41" t="n"/>
      <c r="B308" s="41" t="n"/>
      <c r="C308" s="41" t="n"/>
      <c r="D308" s="42" t="n"/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3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41" t="n"/>
      <c r="B309" s="41" t="n"/>
      <c r="C309" s="41" t="n"/>
      <c r="D309" s="42" t="n"/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3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41" t="n"/>
      <c r="B310" s="41" t="n"/>
      <c r="C310" s="41" t="n"/>
      <c r="D310" s="42" t="n"/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3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41" t="n"/>
      <c r="B311" s="41" t="n"/>
      <c r="C311" s="41" t="n"/>
      <c r="D311" s="42" t="n"/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3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41" t="n"/>
      <c r="B312" s="41" t="n"/>
      <c r="C312" s="41" t="n"/>
      <c r="D312" s="42" t="n"/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3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41" t="n"/>
      <c r="B313" s="41" t="n"/>
      <c r="C313" s="41" t="n"/>
      <c r="D313" s="42" t="n"/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3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41" t="n"/>
      <c r="B314" s="41" t="n"/>
      <c r="C314" s="41" t="n"/>
      <c r="D314" s="42" t="n"/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3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41" t="n"/>
      <c r="B315" s="41" t="n"/>
      <c r="C315" s="41" t="n"/>
      <c r="D315" s="42" t="n"/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3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41" t="n"/>
      <c r="B316" s="41" t="n"/>
      <c r="C316" s="41" t="n"/>
      <c r="D316" s="42" t="n"/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3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41" t="n"/>
      <c r="B317" s="41" t="n"/>
      <c r="C317" s="41" t="n"/>
      <c r="D317" s="42" t="n"/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3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41" t="n"/>
      <c r="B318" s="41" t="n"/>
      <c r="C318" s="41" t="n"/>
      <c r="D318" s="42" t="n"/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3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41" t="n"/>
      <c r="B319" s="41" t="n"/>
      <c r="C319" s="41" t="n"/>
      <c r="D319" s="42" t="n"/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3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41" t="n"/>
      <c r="B320" s="41" t="n"/>
      <c r="C320" s="41" t="n"/>
      <c r="D320" s="42" t="n"/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3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41" t="n"/>
      <c r="B321" s="41" t="n"/>
      <c r="C321" s="41" t="n"/>
      <c r="D321" s="42" t="n"/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3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41" t="n"/>
      <c r="B322" s="41" t="n"/>
      <c r="C322" s="41" t="n"/>
      <c r="D322" s="42" t="n"/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3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41" t="n"/>
      <c r="B323" s="41" t="n"/>
      <c r="C323" s="41" t="n"/>
      <c r="D323" s="42" t="n"/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3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41" t="n"/>
      <c r="B324" s="41" t="n"/>
      <c r="C324" s="41" t="n"/>
      <c r="D324" s="42" t="n"/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3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41" t="n"/>
      <c r="B325" s="41" t="n"/>
      <c r="C325" s="41" t="n"/>
      <c r="D325" s="42" t="n"/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3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41" t="n"/>
      <c r="B326" s="41" t="n"/>
      <c r="C326" s="41" t="n"/>
      <c r="D326" s="42" t="n"/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3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41" t="n"/>
      <c r="B327" s="41" t="n"/>
      <c r="C327" s="41" t="n"/>
      <c r="D327" s="42" t="n"/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3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41" t="n"/>
      <c r="B328" s="41" t="n"/>
      <c r="C328" s="41" t="n"/>
      <c r="D328" s="42" t="n"/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3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41" t="n"/>
      <c r="B329" s="41" t="n"/>
      <c r="C329" s="41" t="n"/>
      <c r="D329" s="42" t="n"/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3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41" t="n"/>
      <c r="B330" s="41" t="n"/>
      <c r="C330" s="41" t="n"/>
      <c r="D330" s="42" t="n"/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3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41" t="n"/>
      <c r="B331" s="41" t="n"/>
      <c r="C331" s="41" t="n"/>
      <c r="D331" s="42" t="n"/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3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41" t="n"/>
      <c r="B332" s="41" t="n"/>
      <c r="C332" s="41" t="n"/>
      <c r="D332" s="42" t="n"/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3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41" t="n"/>
      <c r="B333" s="41" t="n"/>
      <c r="C333" s="41" t="n"/>
      <c r="D333" s="42" t="n"/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3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41" t="n"/>
      <c r="B334" s="41" t="n"/>
      <c r="C334" s="41" t="n"/>
      <c r="D334" s="42" t="n"/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3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41" t="n"/>
      <c r="B335" s="41" t="n"/>
      <c r="C335" s="41" t="n"/>
      <c r="D335" s="42" t="n"/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3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41" t="n"/>
      <c r="B336" s="41" t="n"/>
      <c r="C336" s="41" t="n"/>
      <c r="D336" s="42" t="n"/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3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41" t="n"/>
      <c r="B337" s="41" t="n"/>
      <c r="C337" s="41" t="n"/>
      <c r="D337" s="42" t="n"/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3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41" t="n"/>
      <c r="B338" s="41" t="n"/>
      <c r="C338" s="41" t="n"/>
      <c r="D338" s="42" t="n"/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3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41" t="n"/>
      <c r="B339" s="41" t="n"/>
      <c r="C339" s="41" t="n"/>
      <c r="D339" s="42" t="n"/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3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41" t="n"/>
      <c r="B340" s="41" t="n"/>
      <c r="C340" s="41" t="n"/>
      <c r="D340" s="42" t="n"/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3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41" t="n"/>
      <c r="B341" s="41" t="n"/>
      <c r="C341" s="41" t="n"/>
      <c r="D341" s="42" t="n"/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3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41" t="n"/>
      <c r="B342" s="41" t="n"/>
      <c r="C342" s="41" t="n"/>
      <c r="D342" s="42" t="n"/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3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41" t="n"/>
      <c r="B343" s="41" t="n"/>
      <c r="C343" s="41" t="n"/>
      <c r="D343" s="42" t="n"/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3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41" t="n"/>
      <c r="B344" s="41" t="n"/>
      <c r="C344" s="41" t="n"/>
      <c r="D344" s="42" t="n"/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3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41" t="n"/>
      <c r="B345" s="41" t="n"/>
      <c r="C345" s="41" t="n"/>
      <c r="D345" s="42" t="n"/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3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41" t="n"/>
      <c r="B346" s="41" t="n"/>
      <c r="C346" s="41" t="n"/>
      <c r="D346" s="42" t="n"/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3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41" t="n"/>
      <c r="B347" s="41" t="n"/>
      <c r="C347" s="41" t="n"/>
      <c r="D347" s="42" t="n"/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3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41" t="n"/>
      <c r="B348" s="41" t="n"/>
      <c r="C348" s="41" t="n"/>
      <c r="D348" s="42" t="n"/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3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41" t="n"/>
      <c r="B349" s="41" t="n"/>
      <c r="C349" s="41" t="n"/>
      <c r="D349" s="42" t="n"/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3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41" t="n"/>
      <c r="B350" s="41" t="n"/>
      <c r="C350" s="41" t="n"/>
      <c r="D350" s="42" t="n"/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3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41" t="n"/>
      <c r="B351" s="41" t="n"/>
      <c r="C351" s="41" t="n"/>
      <c r="D351" s="42" t="n"/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3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41" t="n"/>
      <c r="B352" s="41" t="n"/>
      <c r="C352" s="41" t="n"/>
      <c r="D352" s="42" t="n"/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3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41" t="n"/>
      <c r="B353" s="41" t="n"/>
      <c r="C353" s="41" t="n"/>
      <c r="D353" s="42" t="n"/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3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41" t="n"/>
      <c r="B354" s="41" t="n"/>
      <c r="C354" s="41" t="n"/>
      <c r="D354" s="42" t="n"/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3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41" t="n"/>
      <c r="B355" s="41" t="n"/>
      <c r="C355" s="41" t="n"/>
      <c r="D355" s="42" t="n"/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3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41" t="n"/>
      <c r="B356" s="41" t="n"/>
      <c r="C356" s="41" t="n"/>
      <c r="D356" s="42" t="n"/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3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41" t="n"/>
      <c r="B357" s="41" t="n"/>
      <c r="C357" s="41" t="n"/>
      <c r="D357" s="42" t="n"/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3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41" t="n"/>
      <c r="B358" s="41" t="n"/>
      <c r="C358" s="41" t="n"/>
      <c r="D358" s="42" t="n"/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3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41" t="n"/>
      <c r="B359" s="41" t="n"/>
      <c r="C359" s="41" t="n"/>
      <c r="D359" s="42" t="n"/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3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41" t="n"/>
      <c r="B360" s="41" t="n"/>
      <c r="C360" s="41" t="n"/>
      <c r="D360" s="42" t="n"/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3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41" t="n"/>
      <c r="B361" s="41" t="n"/>
      <c r="C361" s="41" t="n"/>
      <c r="D361" s="42" t="n"/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3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41" t="n"/>
      <c r="B362" s="41" t="n"/>
      <c r="C362" s="41" t="n"/>
      <c r="D362" s="42" t="n"/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3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41" t="n"/>
      <c r="B363" s="41" t="n"/>
      <c r="C363" s="41" t="n"/>
      <c r="D363" s="42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3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41" t="n"/>
      <c r="B364" s="41" t="n"/>
      <c r="C364" s="41" t="n"/>
      <c r="D364" s="42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3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41" t="n"/>
      <c r="B365" s="41" t="n"/>
      <c r="C365" s="41" t="n"/>
      <c r="D365" s="42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3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41" t="n"/>
      <c r="B366" s="41" t="n"/>
      <c r="C366" s="41" t="n"/>
      <c r="D366" s="42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3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41" t="n"/>
      <c r="B367" s="41" t="n"/>
      <c r="C367" s="41" t="n"/>
      <c r="D367" s="42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3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41" t="n"/>
      <c r="B368" s="41" t="n"/>
      <c r="C368" s="41" t="n"/>
      <c r="D368" s="42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3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41" t="n"/>
      <c r="B369" s="41" t="n"/>
      <c r="C369" s="41" t="n"/>
      <c r="D369" s="42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3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41" t="n"/>
      <c r="B370" s="41" t="n"/>
      <c r="C370" s="41" t="n"/>
      <c r="D370" s="42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3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41" t="n"/>
      <c r="B371" s="41" t="n"/>
      <c r="C371" s="41" t="n"/>
      <c r="D371" s="42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3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41" t="n"/>
      <c r="B372" s="41" t="n"/>
      <c r="C372" s="41" t="n"/>
      <c r="D372" s="42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3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41" t="n"/>
      <c r="B373" s="41" t="n"/>
      <c r="C373" s="41" t="n"/>
      <c r="D373" s="42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3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41" t="n"/>
      <c r="B374" s="41" t="n"/>
      <c r="C374" s="41" t="n"/>
      <c r="D374" s="42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3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41" t="n"/>
      <c r="B375" s="41" t="n"/>
      <c r="C375" s="41" t="n"/>
      <c r="D375" s="42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3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41" t="n"/>
      <c r="B376" s="41" t="n"/>
      <c r="C376" s="41" t="n"/>
      <c r="D376" s="42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3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41" t="n"/>
      <c r="B377" s="41" t="n"/>
      <c r="C377" s="41" t="n"/>
      <c r="D377" s="42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3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41" t="n"/>
      <c r="B378" s="41" t="n"/>
      <c r="C378" s="41" t="n"/>
      <c r="D378" s="42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3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41" t="n"/>
      <c r="B379" s="41" t="n"/>
      <c r="C379" s="41" t="n"/>
      <c r="D379" s="42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3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41" t="n"/>
      <c r="B380" s="41" t="n"/>
      <c r="C380" s="41" t="n"/>
      <c r="D380" s="42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3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41" t="n"/>
      <c r="B381" s="41" t="n"/>
      <c r="C381" s="41" t="n"/>
      <c r="D381" s="42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3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41" t="n"/>
      <c r="B382" s="41" t="n"/>
      <c r="C382" s="41" t="n"/>
      <c r="D382" s="42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3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41" t="n"/>
      <c r="B383" s="41" t="n"/>
      <c r="C383" s="41" t="n"/>
      <c r="D383" s="42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3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41" t="n"/>
      <c r="B384" s="41" t="n"/>
      <c r="C384" s="41" t="n"/>
      <c r="D384" s="42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3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41" t="n"/>
      <c r="B385" s="41" t="n"/>
      <c r="C385" s="41" t="n"/>
      <c r="D385" s="42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3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41" t="n"/>
      <c r="B386" s="41" t="n"/>
      <c r="C386" s="41" t="n"/>
      <c r="D386" s="42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3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41" t="n"/>
      <c r="B387" s="41" t="n"/>
      <c r="C387" s="41" t="n"/>
      <c r="D387" s="42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3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41" t="n"/>
      <c r="B388" s="41" t="n"/>
      <c r="C388" s="41" t="n"/>
      <c r="D388" s="42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3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41" t="n"/>
      <c r="B389" s="41" t="n"/>
      <c r="C389" s="41" t="n"/>
      <c r="D389" s="42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3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41" t="n"/>
      <c r="B390" s="41" t="n"/>
      <c r="C390" s="41" t="n"/>
      <c r="D390" s="42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3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41" t="n"/>
      <c r="B391" s="41" t="n"/>
      <c r="C391" s="41" t="n"/>
      <c r="D391" s="42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3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41" t="n"/>
      <c r="B392" s="41" t="n"/>
      <c r="C392" s="41" t="n"/>
      <c r="D392" s="42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3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41" t="n"/>
      <c r="B393" s="41" t="n"/>
      <c r="C393" s="41" t="n"/>
      <c r="D393" s="42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3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41" t="n"/>
      <c r="B394" s="41" t="n"/>
      <c r="C394" s="41" t="n"/>
      <c r="D394" s="42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3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41" t="n"/>
      <c r="B395" s="41" t="n"/>
      <c r="C395" s="41" t="n"/>
      <c r="D395" s="42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3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41" t="n"/>
      <c r="B396" s="41" t="n"/>
      <c r="C396" s="41" t="n"/>
      <c r="D396" s="42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3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41" t="n"/>
      <c r="B397" s="41" t="n"/>
      <c r="C397" s="41" t="n"/>
      <c r="D397" s="42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3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41" t="n"/>
      <c r="B398" s="41" t="n"/>
      <c r="C398" s="41" t="n"/>
      <c r="D398" s="42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3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41" t="n"/>
      <c r="B399" s="41" t="n"/>
      <c r="C399" s="41" t="n"/>
      <c r="D399" s="42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3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41" t="n"/>
      <c r="B400" s="41" t="n"/>
      <c r="C400" s="41" t="n"/>
      <c r="D400" s="42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3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41" t="n"/>
      <c r="B401" s="41" t="n"/>
      <c r="C401" s="41" t="n"/>
      <c r="D401" s="42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3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41" t="n"/>
      <c r="B402" s="41" t="n"/>
      <c r="C402" s="41" t="n"/>
      <c r="D402" s="42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3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41" t="n"/>
      <c r="B403" s="41" t="n"/>
      <c r="C403" s="41" t="n"/>
      <c r="D403" s="42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3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41" t="n"/>
      <c r="B404" s="41" t="n"/>
      <c r="C404" s="41" t="n"/>
      <c r="D404" s="42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3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41" t="n"/>
      <c r="B405" s="41" t="n"/>
      <c r="C405" s="41" t="n"/>
      <c r="D405" s="42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3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41" t="n"/>
      <c r="B406" s="41" t="n"/>
      <c r="C406" s="41" t="n"/>
      <c r="D406" s="42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3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41" t="n"/>
      <c r="B407" s="41" t="n"/>
      <c r="C407" s="41" t="n"/>
      <c r="D407" s="42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3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41" t="n"/>
      <c r="B408" s="41" t="n"/>
      <c r="C408" s="41" t="n"/>
      <c r="D408" s="42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3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41" t="n"/>
      <c r="B409" s="41" t="n"/>
      <c r="C409" s="41" t="n"/>
      <c r="D409" s="42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3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41" t="n"/>
      <c r="B410" s="41" t="n"/>
      <c r="C410" s="41" t="n"/>
      <c r="D410" s="42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3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41" t="n"/>
      <c r="B411" s="41" t="n"/>
      <c r="C411" s="41" t="n"/>
      <c r="D411" s="42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3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41" t="n"/>
      <c r="B412" s="41" t="n"/>
      <c r="C412" s="41" t="n"/>
      <c r="D412" s="42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3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41" t="n"/>
      <c r="B413" s="41" t="n"/>
      <c r="C413" s="41" t="n"/>
      <c r="D413" s="42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3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41" t="n"/>
      <c r="B414" s="41" t="n"/>
      <c r="C414" s="41" t="n"/>
      <c r="D414" s="42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3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41" t="n"/>
      <c r="B415" s="41" t="n"/>
      <c r="C415" s="41" t="n"/>
      <c r="D415" s="42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3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41" t="n"/>
      <c r="B416" s="41" t="n"/>
      <c r="C416" s="41" t="n"/>
      <c r="D416" s="42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3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41" t="n"/>
      <c r="B417" s="41" t="n"/>
      <c r="C417" s="41" t="n"/>
      <c r="D417" s="42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3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41" t="n"/>
      <c r="B418" s="41" t="n"/>
      <c r="C418" s="41" t="n"/>
      <c r="D418" s="42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3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41" t="n"/>
      <c r="B419" s="41" t="n"/>
      <c r="C419" s="41" t="n"/>
      <c r="D419" s="42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3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41" t="n"/>
      <c r="B420" s="41" t="n"/>
      <c r="C420" s="41" t="n"/>
      <c r="D420" s="42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3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41" t="n"/>
      <c r="B421" s="41" t="n"/>
      <c r="C421" s="41" t="n"/>
      <c r="D421" s="42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3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41" t="n"/>
      <c r="B422" s="41" t="n"/>
      <c r="C422" s="41" t="n"/>
      <c r="D422" s="42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3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41" t="n"/>
      <c r="B423" s="41" t="n"/>
      <c r="C423" s="41" t="n"/>
      <c r="D423" s="42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3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41" t="n"/>
      <c r="B424" s="41" t="n"/>
      <c r="C424" s="41" t="n"/>
      <c r="D424" s="42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3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41" t="n"/>
      <c r="B425" s="41" t="n"/>
      <c r="C425" s="41" t="n"/>
      <c r="D425" s="42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3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41" t="n"/>
      <c r="B426" s="41" t="n"/>
      <c r="C426" s="41" t="n"/>
      <c r="D426" s="42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3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41" t="n"/>
      <c r="B427" s="41" t="n"/>
      <c r="C427" s="41" t="n"/>
      <c r="D427" s="42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3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41" t="n"/>
      <c r="B428" s="41" t="n"/>
      <c r="C428" s="41" t="n"/>
      <c r="D428" s="42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3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41" t="n"/>
      <c r="B429" s="41" t="n"/>
      <c r="C429" s="41" t="n"/>
      <c r="D429" s="42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3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41" t="n"/>
      <c r="B430" s="41" t="n"/>
      <c r="C430" s="41" t="n"/>
      <c r="D430" s="42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3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41" t="n"/>
      <c r="B431" s="41" t="n"/>
      <c r="C431" s="41" t="n"/>
      <c r="D431" s="42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3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41" t="n"/>
      <c r="B432" s="41" t="n"/>
      <c r="C432" s="41" t="n"/>
      <c r="D432" s="42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3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41" t="n"/>
      <c r="B433" s="41" t="n"/>
      <c r="C433" s="41" t="n"/>
      <c r="D433" s="42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3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41" t="n"/>
      <c r="B434" s="41" t="n"/>
      <c r="C434" s="41" t="n"/>
      <c r="D434" s="42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3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41" t="n"/>
      <c r="B435" s="41" t="n"/>
      <c r="C435" s="41" t="n"/>
      <c r="D435" s="42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3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41" t="n"/>
      <c r="B436" s="41" t="n"/>
      <c r="C436" s="41" t="n"/>
      <c r="D436" s="42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3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41" t="n"/>
      <c r="B437" s="41" t="n"/>
      <c r="C437" s="41" t="n"/>
      <c r="D437" s="42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3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41" t="n"/>
      <c r="B438" s="41" t="n"/>
      <c r="C438" s="41" t="n"/>
      <c r="D438" s="42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3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41" t="n"/>
      <c r="B439" s="41" t="n"/>
      <c r="C439" s="41" t="n"/>
      <c r="D439" s="42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3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41" t="n"/>
      <c r="B440" s="41" t="n"/>
      <c r="C440" s="41" t="n"/>
      <c r="D440" s="42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3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41" t="n"/>
      <c r="B441" s="41" t="n"/>
      <c r="C441" s="41" t="n"/>
      <c r="D441" s="42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3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41" t="n"/>
      <c r="B442" s="41" t="n"/>
      <c r="C442" s="41" t="n"/>
      <c r="D442" s="42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3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41" t="n"/>
      <c r="B443" s="41" t="n"/>
      <c r="C443" s="41" t="n"/>
      <c r="D443" s="42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3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41" t="n"/>
      <c r="B444" s="41" t="n"/>
      <c r="C444" s="41" t="n"/>
      <c r="D444" s="42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3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41" t="n"/>
      <c r="B445" s="41" t="n"/>
      <c r="C445" s="41" t="n"/>
      <c r="D445" s="42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3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41" t="n"/>
      <c r="B446" s="41" t="n"/>
      <c r="C446" s="41" t="n"/>
      <c r="D446" s="42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3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41" t="n"/>
      <c r="B447" s="41" t="n"/>
      <c r="C447" s="41" t="n"/>
      <c r="D447" s="42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3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41" t="n"/>
      <c r="B448" s="41" t="n"/>
      <c r="C448" s="41" t="n"/>
      <c r="D448" s="42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3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41" t="n"/>
      <c r="B449" s="41" t="n"/>
      <c r="C449" s="41" t="n"/>
      <c r="D449" s="42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3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41" t="n"/>
      <c r="B450" s="41" t="n"/>
      <c r="C450" s="41" t="n"/>
      <c r="D450" s="42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3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41" t="n"/>
      <c r="B451" s="41" t="n"/>
      <c r="C451" s="41" t="n"/>
      <c r="D451" s="42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3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41" t="n"/>
      <c r="B452" s="41" t="n"/>
      <c r="C452" s="41" t="n"/>
      <c r="D452" s="42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3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N55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  <col width="6" customWidth="1" min="14" max="14"/>
  </cols>
  <sheetData>
    <row r="1">
      <c r="A1" s="44" t="inlineStr">
        <is>
          <t>【入力：担任】黄色のセル</t>
        </is>
      </c>
      <c r="B1" s="72" t="n"/>
      <c r="C1" s="72" t="n"/>
      <c r="D1" s="72" t="n"/>
      <c r="E1" s="72" t="n"/>
      <c r="F1" s="73" t="n"/>
    </row>
    <row r="2">
      <c r="A2" s="45" t="inlineStr">
        <is>
          <t>① 転出した児童は、「第1希望」に「転出」と入力してください。</t>
        </is>
      </c>
    </row>
    <row r="3">
      <c r="A3" s="45" t="inlineStr">
        <is>
          <t>② 希望の列には、希望調査用紙と同じクラブの番号を入力してください。（学年・組・番号・名前は前年度名簿から自動で入っています）</t>
        </is>
      </c>
    </row>
    <row r="4" ht="30" customHeight="1">
      <c r="A4" s="46" t="inlineStr">
        <is>
          <t>学年</t>
        </is>
      </c>
      <c r="B4" s="46" t="inlineStr">
        <is>
          <t>組</t>
        </is>
      </c>
      <c r="C4" s="46" t="inlineStr">
        <is>
          <t>番号</t>
        </is>
      </c>
      <c r="D4" s="46" t="inlineStr">
        <is>
          <t>第1希望</t>
        </is>
      </c>
      <c r="E4" s="46">
        <f>IF(設定!$Q$33&gt;=2,"第2希望","（使いません）")</f>
        <v/>
      </c>
      <c r="F4" s="46">
        <f>IF(設定!$Q$33&gt;=3,"第3希望","（使いません）")</f>
        <v/>
      </c>
      <c r="G4" s="47" t="inlineStr">
        <is>
          <t>名前（自動）</t>
        </is>
      </c>
      <c r="H4" s="47" t="inlineStr">
        <is>
          <t>第1（クラブ名）</t>
        </is>
      </c>
      <c r="I4" s="47">
        <f>IF(設定!$Q$33&gt;=2,"第2（クラブ名）","（使いません）")</f>
        <v/>
      </c>
      <c r="J4" s="47">
        <f>IF(設定!$Q$33&gt;=3,"第3（クラブ名）","（使いません）")</f>
        <v/>
      </c>
      <c r="K4" s="47" t="inlineStr">
        <is>
          <t>チェック（自動）</t>
        </is>
      </c>
      <c r="L4" s="48" t="inlineStr">
        <is>
          <t>キー</t>
        </is>
      </c>
      <c r="M4" s="48" t="inlineStr">
        <is>
          <t>採用</t>
        </is>
      </c>
      <c r="N4" s="48" t="inlineStr">
        <is>
          <t>名簿行</t>
        </is>
      </c>
    </row>
    <row r="5">
      <c r="A5" s="49">
        <f>IF($N5="","",INDEX(前年度名簿!$A$3:$A$452,$N5))</f>
        <v/>
      </c>
      <c r="B5" s="49">
        <f>IF($N5="","",INDEX(前年度名簿!$B$3:$B$452,$N5))</f>
        <v/>
      </c>
      <c r="C5" s="49">
        <f>IF($N5="","",INDEX(前年度名簿!$C$3:$C$452,$N5))</f>
        <v/>
      </c>
      <c r="D5" s="49" t="n"/>
      <c r="E5" s="49" t="n"/>
      <c r="F5" s="49" t="n"/>
      <c r="G5" s="4">
        <f>IF(A5="","",IFERROR(INDEX(前年度名簿!$D$3:$D$452,MATCH(A5&amp;"-"&amp;B5&amp;"-"&amp;C5,前年度名簿!$F$3:$F$452,0)),""))</f>
        <v/>
      </c>
      <c r="H5" s="50">
        <f>IF(D5="","",IF(ISERROR(VALUE(D5)),D5&amp;"",IF(AND(VALUE(D5)&gt;=1,VALUE(D5)&lt;=20),IF(INDEX(設定!$P$8:$P$27,VALUE(D5))="","？",INDEX(設定!$P$8:$P$27,VALUE(D5))),"？")))</f>
        <v/>
      </c>
      <c r="I5" s="50">
        <f>IF(E5="","",IF(ISERROR(VALUE(E5)),E5&amp;"",IF(AND(VALUE(E5)&gt;=1,VALUE(E5)&lt;=20),IF(INDEX(設定!$P$8:$P$27,VALUE(E5))="","？",INDEX(設定!$P$8:$P$27,VALUE(E5))),"？")))</f>
        <v/>
      </c>
      <c r="J5" s="50">
        <f>IF(F5="","",IF(ISERROR(VALUE(F5)),F5&amp;"",IF(AND(VALUE(F5)&gt;=1,VALUE(F5)&lt;=20),IF(INDEX(設定!$P$8:$P$27,VALUE(F5))="","？",INDEX(設定!$P$8:$P$27,VALUE(F5))),"？")))</f>
        <v/>
      </c>
      <c r="K5" s="51">
        <f>IF(L5="","",IF(G5="","名簿にいない",IF(COUNTIF(L6:L$555,L5)&gt;0,"2回提出（下の行を使います）",IF(H5="転出","転出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OR(AND(H5&lt;&gt;"",H5=I5),AND(H5&lt;&gt;"",H5=J5),AND(I5&lt;&gt;"",I5=J5)),"同じクラブを重複して希望","OK")))))))</f>
        <v/>
      </c>
      <c r="L5" s="11">
        <f>IF(OR(A5="",D5=""),"",A5&amp;"-"&amp;B5&amp;"-"&amp;C5)</f>
        <v/>
      </c>
      <c r="M5" s="11">
        <f>IF(OR(L5="",G5=""),"",IF(COUNTIF(L6:L$555,L5)=0,L5,""))</f>
        <v/>
      </c>
      <c r="N5" s="11">
        <f>IFERROR(MATCH(SMALL(前年度名簿!$G$3:$G$452,1),前年度名簿!$G$3:$G$452,0),"")</f>
        <v/>
      </c>
    </row>
    <row r="6">
      <c r="A6" s="49">
        <f>IF($N6="","",INDEX(前年度名簿!$A$3:$A$452,$N6))</f>
        <v/>
      </c>
      <c r="B6" s="49">
        <f>IF($N6="","",INDEX(前年度名簿!$B$3:$B$452,$N6))</f>
        <v/>
      </c>
      <c r="C6" s="49">
        <f>IF($N6="","",INDEX(前年度名簿!$C$3:$C$452,$N6))</f>
        <v/>
      </c>
      <c r="D6" s="49" t="n"/>
      <c r="E6" s="49" t="n"/>
      <c r="F6" s="49" t="n"/>
      <c r="G6" s="4">
        <f>IF(A6="","",IFERROR(INDEX(前年度名簿!$D$3:$D$452,MATCH(A6&amp;"-"&amp;B6&amp;"-"&amp;C6,前年度名簿!$F$3:$F$452,0)),""))</f>
        <v/>
      </c>
      <c r="H6" s="50">
        <f>IF(D6="","",IF(ISERROR(VALUE(D6)),D6&amp;"",IF(AND(VALUE(D6)&gt;=1,VALUE(D6)&lt;=20),IF(INDEX(設定!$P$8:$P$27,VALUE(D6))="","？",INDEX(設定!$P$8:$P$27,VALUE(D6))),"？")))</f>
        <v/>
      </c>
      <c r="I6" s="50">
        <f>IF(E6="","",IF(ISERROR(VALUE(E6)),E6&amp;"",IF(AND(VALUE(E6)&gt;=1,VALUE(E6)&lt;=20),IF(INDEX(設定!$P$8:$P$27,VALUE(E6))="","？",INDEX(設定!$P$8:$P$27,VALUE(E6))),"？")))</f>
        <v/>
      </c>
      <c r="J6" s="50">
        <f>IF(F6="","",IF(ISERROR(VALUE(F6)),F6&amp;"",IF(AND(VALUE(F6)&gt;=1,VALUE(F6)&lt;=20),IF(INDEX(設定!$P$8:$P$27,VALUE(F6))="","？",INDEX(設定!$P$8:$P$27,VALUE(F6))),"？")))</f>
        <v/>
      </c>
      <c r="K6" s="51">
        <f>IF(L6="","",IF(G6="","名簿にいない",IF(COUNTIF(L7:L$555,L6)&gt;0,"2回提出（下の行を使います）",IF(H6="転出","転出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OR(AND(H6&lt;&gt;"",H6=I6),AND(H6&lt;&gt;"",H6=J6),AND(I6&lt;&gt;"",I6=J6)),"同じクラブを重複して希望","OK")))))))</f>
        <v/>
      </c>
      <c r="L6" s="11">
        <f>IF(OR(A6="",D6=""),"",A6&amp;"-"&amp;B6&amp;"-"&amp;C6)</f>
        <v/>
      </c>
      <c r="M6" s="11">
        <f>IF(OR(L6="",G6=""),"",IF(COUNTIF(L7:L$555,L6)=0,L6,""))</f>
        <v/>
      </c>
      <c r="N6" s="11">
        <f>IFERROR(MATCH(SMALL(前年度名簿!$G$3:$G$452,2),前年度名簿!$G$3:$G$452,0),"")</f>
        <v/>
      </c>
    </row>
    <row r="7">
      <c r="A7" s="49">
        <f>IF($N7="","",INDEX(前年度名簿!$A$3:$A$452,$N7))</f>
        <v/>
      </c>
      <c r="B7" s="49">
        <f>IF($N7="","",INDEX(前年度名簿!$B$3:$B$452,$N7))</f>
        <v/>
      </c>
      <c r="C7" s="49">
        <f>IF($N7="","",INDEX(前年度名簿!$C$3:$C$452,$N7))</f>
        <v/>
      </c>
      <c r="D7" s="49" t="n"/>
      <c r="E7" s="49" t="n"/>
      <c r="F7" s="49" t="n"/>
      <c r="G7" s="4">
        <f>IF(A7="","",IFERROR(INDEX(前年度名簿!$D$3:$D$452,MATCH(A7&amp;"-"&amp;B7&amp;"-"&amp;C7,前年度名簿!$F$3:$F$452,0)),""))</f>
        <v/>
      </c>
      <c r="H7" s="50">
        <f>IF(D7="","",IF(ISERROR(VALUE(D7)),D7&amp;"",IF(AND(VALUE(D7)&gt;=1,VALUE(D7)&lt;=20),IF(INDEX(設定!$P$8:$P$27,VALUE(D7))="","？",INDEX(設定!$P$8:$P$27,VALUE(D7))),"？")))</f>
        <v/>
      </c>
      <c r="I7" s="50">
        <f>IF(E7="","",IF(ISERROR(VALUE(E7)),E7&amp;"",IF(AND(VALUE(E7)&gt;=1,VALUE(E7)&lt;=20),IF(INDEX(設定!$P$8:$P$27,VALUE(E7))="","？",INDEX(設定!$P$8:$P$27,VALUE(E7))),"？")))</f>
        <v/>
      </c>
      <c r="J7" s="50">
        <f>IF(F7="","",IF(ISERROR(VALUE(F7)),F7&amp;"",IF(AND(VALUE(F7)&gt;=1,VALUE(F7)&lt;=20),IF(INDEX(設定!$P$8:$P$27,VALUE(F7))="","？",INDEX(設定!$P$8:$P$27,VALUE(F7))),"？")))</f>
        <v/>
      </c>
      <c r="K7" s="51">
        <f>IF(L7="","",IF(G7="","名簿にいない",IF(COUNTIF(L8:L$555,L7)&gt;0,"2回提出（下の行を使います）",IF(H7="転出","転出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OR(AND(H7&lt;&gt;"",H7=I7),AND(H7&lt;&gt;"",H7=J7),AND(I7&lt;&gt;"",I7=J7)),"同じクラブを重複して希望","OK")))))))</f>
        <v/>
      </c>
      <c r="L7" s="11">
        <f>IF(OR(A7="",D7=""),"",A7&amp;"-"&amp;B7&amp;"-"&amp;C7)</f>
        <v/>
      </c>
      <c r="M7" s="11">
        <f>IF(OR(L7="",G7=""),"",IF(COUNTIF(L8:L$555,L7)=0,L7,""))</f>
        <v/>
      </c>
      <c r="N7" s="11">
        <f>IFERROR(MATCH(SMALL(前年度名簿!$G$3:$G$452,3),前年度名簿!$G$3:$G$452,0),"")</f>
        <v/>
      </c>
    </row>
    <row r="8">
      <c r="A8" s="49">
        <f>IF($N8="","",INDEX(前年度名簿!$A$3:$A$452,$N8))</f>
        <v/>
      </c>
      <c r="B8" s="49">
        <f>IF($N8="","",INDEX(前年度名簿!$B$3:$B$452,$N8))</f>
        <v/>
      </c>
      <c r="C8" s="49">
        <f>IF($N8="","",INDEX(前年度名簿!$C$3:$C$452,$N8))</f>
        <v/>
      </c>
      <c r="D8" s="49" t="n"/>
      <c r="E8" s="49" t="n"/>
      <c r="F8" s="49" t="n"/>
      <c r="G8" s="4">
        <f>IF(A8="","",IFERROR(INDEX(前年度名簿!$D$3:$D$452,MATCH(A8&amp;"-"&amp;B8&amp;"-"&amp;C8,前年度名簿!$F$3:$F$452,0)),""))</f>
        <v/>
      </c>
      <c r="H8" s="50">
        <f>IF(D8="","",IF(ISERROR(VALUE(D8)),D8&amp;"",IF(AND(VALUE(D8)&gt;=1,VALUE(D8)&lt;=20),IF(INDEX(設定!$P$8:$P$27,VALUE(D8))="","？",INDEX(設定!$P$8:$P$27,VALUE(D8))),"？")))</f>
        <v/>
      </c>
      <c r="I8" s="50">
        <f>IF(E8="","",IF(ISERROR(VALUE(E8)),E8&amp;"",IF(AND(VALUE(E8)&gt;=1,VALUE(E8)&lt;=20),IF(INDEX(設定!$P$8:$P$27,VALUE(E8))="","？",INDEX(設定!$P$8:$P$27,VALUE(E8))),"？")))</f>
        <v/>
      </c>
      <c r="J8" s="50">
        <f>IF(F8="","",IF(ISERROR(VALUE(F8)),F8&amp;"",IF(AND(VALUE(F8)&gt;=1,VALUE(F8)&lt;=20),IF(INDEX(設定!$P$8:$P$27,VALUE(F8))="","？",INDEX(設定!$P$8:$P$27,VALUE(F8))),"？")))</f>
        <v/>
      </c>
      <c r="K8" s="51">
        <f>IF(L8="","",IF(G8="","名簿にいない",IF(COUNTIF(L9:L$555,L8)&gt;0,"2回提出（下の行を使います）",IF(H8="転出","転出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OR(AND(H8&lt;&gt;"",H8=I8),AND(H8&lt;&gt;"",H8=J8),AND(I8&lt;&gt;"",I8=J8)),"同じクラブを重複して希望","OK")))))))</f>
        <v/>
      </c>
      <c r="L8" s="11">
        <f>IF(OR(A8="",D8=""),"",A8&amp;"-"&amp;B8&amp;"-"&amp;C8)</f>
        <v/>
      </c>
      <c r="M8" s="11">
        <f>IF(OR(L8="",G8=""),"",IF(COUNTIF(L9:L$555,L8)=0,L8,""))</f>
        <v/>
      </c>
      <c r="N8" s="11">
        <f>IFERROR(MATCH(SMALL(前年度名簿!$G$3:$G$452,4),前年度名簿!$G$3:$G$452,0),"")</f>
        <v/>
      </c>
    </row>
    <row r="9">
      <c r="A9" s="49">
        <f>IF($N9="","",INDEX(前年度名簿!$A$3:$A$452,$N9))</f>
        <v/>
      </c>
      <c r="B9" s="49">
        <f>IF($N9="","",INDEX(前年度名簿!$B$3:$B$452,$N9))</f>
        <v/>
      </c>
      <c r="C9" s="49">
        <f>IF($N9="","",INDEX(前年度名簿!$C$3:$C$452,$N9))</f>
        <v/>
      </c>
      <c r="D9" s="49" t="n"/>
      <c r="E9" s="49" t="n"/>
      <c r="F9" s="49" t="n"/>
      <c r="G9" s="4">
        <f>IF(A9="","",IFERROR(INDEX(前年度名簿!$D$3:$D$452,MATCH(A9&amp;"-"&amp;B9&amp;"-"&amp;C9,前年度名簿!$F$3:$F$452,0)),""))</f>
        <v/>
      </c>
      <c r="H9" s="50">
        <f>IF(D9="","",IF(ISERROR(VALUE(D9)),D9&amp;"",IF(AND(VALUE(D9)&gt;=1,VALUE(D9)&lt;=20),IF(INDEX(設定!$P$8:$P$27,VALUE(D9))="","？",INDEX(設定!$P$8:$P$27,VALUE(D9))),"？")))</f>
        <v/>
      </c>
      <c r="I9" s="50">
        <f>IF(E9="","",IF(ISERROR(VALUE(E9)),E9&amp;"",IF(AND(VALUE(E9)&gt;=1,VALUE(E9)&lt;=20),IF(INDEX(設定!$P$8:$P$27,VALUE(E9))="","？",INDEX(設定!$P$8:$P$27,VALUE(E9))),"？")))</f>
        <v/>
      </c>
      <c r="J9" s="50">
        <f>IF(F9="","",IF(ISERROR(VALUE(F9)),F9&amp;"",IF(AND(VALUE(F9)&gt;=1,VALUE(F9)&lt;=20),IF(INDEX(設定!$P$8:$P$27,VALUE(F9))="","？",INDEX(設定!$P$8:$P$27,VALUE(F9))),"？")))</f>
        <v/>
      </c>
      <c r="K9" s="51">
        <f>IF(L9="","",IF(G9="","名簿にいない",IF(COUNTIF(L10:L$555,L9)&gt;0,"2回提出（下の行を使います）",IF(H9="転出","転出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OR(AND(H9&lt;&gt;"",H9=I9),AND(H9&lt;&gt;"",H9=J9),AND(I9&lt;&gt;"",I9=J9)),"同じクラブを重複して希望","OK")))))))</f>
        <v/>
      </c>
      <c r="L9" s="11">
        <f>IF(OR(A9="",D9=""),"",A9&amp;"-"&amp;B9&amp;"-"&amp;C9)</f>
        <v/>
      </c>
      <c r="M9" s="11">
        <f>IF(OR(L9="",G9=""),"",IF(COUNTIF(L10:L$555,L9)=0,L9,""))</f>
        <v/>
      </c>
      <c r="N9" s="11">
        <f>IFERROR(MATCH(SMALL(前年度名簿!$G$3:$G$452,5),前年度名簿!$G$3:$G$452,0),"")</f>
        <v/>
      </c>
    </row>
    <row r="10">
      <c r="A10" s="49">
        <f>IF($N10="","",INDEX(前年度名簿!$A$3:$A$452,$N10))</f>
        <v/>
      </c>
      <c r="B10" s="49">
        <f>IF($N10="","",INDEX(前年度名簿!$B$3:$B$452,$N10))</f>
        <v/>
      </c>
      <c r="C10" s="49">
        <f>IF($N10="","",INDEX(前年度名簿!$C$3:$C$452,$N10))</f>
        <v/>
      </c>
      <c r="D10" s="49" t="n"/>
      <c r="E10" s="49" t="n"/>
      <c r="F10" s="49" t="n"/>
      <c r="G10" s="4">
        <f>IF(A10="","",IFERROR(INDEX(前年度名簿!$D$3:$D$452,MATCH(A10&amp;"-"&amp;B10&amp;"-"&amp;C10,前年度名簿!$F$3:$F$452,0)),""))</f>
        <v/>
      </c>
      <c r="H10" s="50">
        <f>IF(D10="","",IF(ISERROR(VALUE(D10)),D10&amp;"",IF(AND(VALUE(D10)&gt;=1,VALUE(D10)&lt;=20),IF(INDEX(設定!$P$8:$P$27,VALUE(D10))="","？",INDEX(設定!$P$8:$P$27,VALUE(D10))),"？")))</f>
        <v/>
      </c>
      <c r="I10" s="50">
        <f>IF(E10="","",IF(ISERROR(VALUE(E10)),E10&amp;"",IF(AND(VALUE(E10)&gt;=1,VALUE(E10)&lt;=20),IF(INDEX(設定!$P$8:$P$27,VALUE(E10))="","？",INDEX(設定!$P$8:$P$27,VALUE(E10))),"？")))</f>
        <v/>
      </c>
      <c r="J10" s="50">
        <f>IF(F10="","",IF(ISERROR(VALUE(F10)),F10&amp;"",IF(AND(VALUE(F10)&gt;=1,VALUE(F10)&lt;=20),IF(INDEX(設定!$P$8:$P$27,VALUE(F10))="","？",INDEX(設定!$P$8:$P$27,VALUE(F10))),"？")))</f>
        <v/>
      </c>
      <c r="K10" s="51">
        <f>IF(L10="","",IF(G10="","名簿にいない",IF(COUNTIF(L11:L$555,L10)&gt;0,"2回提出（下の行を使います）",IF(H10="転出","転出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OR(AND(H10&lt;&gt;"",H10=I10),AND(H10&lt;&gt;"",H10=J10),AND(I10&lt;&gt;"",I10=J10)),"同じクラブを重複して希望","OK")))))))</f>
        <v/>
      </c>
      <c r="L10" s="11">
        <f>IF(OR(A10="",D10=""),"",A10&amp;"-"&amp;B10&amp;"-"&amp;C10)</f>
        <v/>
      </c>
      <c r="M10" s="11">
        <f>IF(OR(L10="",G10=""),"",IF(COUNTIF(L11:L$555,L10)=0,L10,""))</f>
        <v/>
      </c>
      <c r="N10" s="11">
        <f>IFERROR(MATCH(SMALL(前年度名簿!$G$3:$G$452,6),前年度名簿!$G$3:$G$452,0),"")</f>
        <v/>
      </c>
    </row>
    <row r="11">
      <c r="A11" s="49">
        <f>IF($N11="","",INDEX(前年度名簿!$A$3:$A$452,$N11))</f>
        <v/>
      </c>
      <c r="B11" s="49">
        <f>IF($N11="","",INDEX(前年度名簿!$B$3:$B$452,$N11))</f>
        <v/>
      </c>
      <c r="C11" s="49">
        <f>IF($N11="","",INDEX(前年度名簿!$C$3:$C$452,$N11))</f>
        <v/>
      </c>
      <c r="D11" s="49" t="n"/>
      <c r="E11" s="49" t="n"/>
      <c r="F11" s="49" t="n"/>
      <c r="G11" s="4">
        <f>IF(A11="","",IFERROR(INDEX(前年度名簿!$D$3:$D$452,MATCH(A11&amp;"-"&amp;B11&amp;"-"&amp;C11,前年度名簿!$F$3:$F$452,0)),""))</f>
        <v/>
      </c>
      <c r="H11" s="50">
        <f>IF(D11="","",IF(ISERROR(VALUE(D11)),D11&amp;"",IF(AND(VALUE(D11)&gt;=1,VALUE(D11)&lt;=20),IF(INDEX(設定!$P$8:$P$27,VALUE(D11))="","？",INDEX(設定!$P$8:$P$27,VALUE(D11))),"？")))</f>
        <v/>
      </c>
      <c r="I11" s="50">
        <f>IF(E11="","",IF(ISERROR(VALUE(E11)),E11&amp;"",IF(AND(VALUE(E11)&gt;=1,VALUE(E11)&lt;=20),IF(INDEX(設定!$P$8:$P$27,VALUE(E11))="","？",INDEX(設定!$P$8:$P$27,VALUE(E11))),"？")))</f>
        <v/>
      </c>
      <c r="J11" s="50">
        <f>IF(F11="","",IF(ISERROR(VALUE(F11)),F11&amp;"",IF(AND(VALUE(F11)&gt;=1,VALUE(F11)&lt;=20),IF(INDEX(設定!$P$8:$P$27,VALUE(F11))="","？",INDEX(設定!$P$8:$P$27,VALUE(F11))),"？")))</f>
        <v/>
      </c>
      <c r="K11" s="51">
        <f>IF(L11="","",IF(G11="","名簿にいない",IF(COUNTIF(L12:L$555,L11)&gt;0,"2回提出（下の行を使います）",IF(H11="転出","転出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OR(AND(H11&lt;&gt;"",H11=I11),AND(H11&lt;&gt;"",H11=J11),AND(I11&lt;&gt;"",I11=J11)),"同じクラブを重複して希望","OK")))))))</f>
        <v/>
      </c>
      <c r="L11" s="11">
        <f>IF(OR(A11="",D11=""),"",A11&amp;"-"&amp;B11&amp;"-"&amp;C11)</f>
        <v/>
      </c>
      <c r="M11" s="11">
        <f>IF(OR(L11="",G11=""),"",IF(COUNTIF(L12:L$555,L11)=0,L11,""))</f>
        <v/>
      </c>
      <c r="N11" s="11">
        <f>IFERROR(MATCH(SMALL(前年度名簿!$G$3:$G$452,7),前年度名簿!$G$3:$G$452,0),"")</f>
        <v/>
      </c>
    </row>
    <row r="12">
      <c r="A12" s="49">
        <f>IF($N12="","",INDEX(前年度名簿!$A$3:$A$452,$N12))</f>
        <v/>
      </c>
      <c r="B12" s="49">
        <f>IF($N12="","",INDEX(前年度名簿!$B$3:$B$452,$N12))</f>
        <v/>
      </c>
      <c r="C12" s="49">
        <f>IF($N12="","",INDEX(前年度名簿!$C$3:$C$452,$N12))</f>
        <v/>
      </c>
      <c r="D12" s="49" t="n"/>
      <c r="E12" s="49" t="n"/>
      <c r="F12" s="49" t="n"/>
      <c r="G12" s="4">
        <f>IF(A12="","",IFERROR(INDEX(前年度名簿!$D$3:$D$452,MATCH(A12&amp;"-"&amp;B12&amp;"-"&amp;C12,前年度名簿!$F$3:$F$452,0)),""))</f>
        <v/>
      </c>
      <c r="H12" s="50">
        <f>IF(D12="","",IF(ISERROR(VALUE(D12)),D12&amp;"",IF(AND(VALUE(D12)&gt;=1,VALUE(D12)&lt;=20),IF(INDEX(設定!$P$8:$P$27,VALUE(D12))="","？",INDEX(設定!$P$8:$P$27,VALUE(D12))),"？")))</f>
        <v/>
      </c>
      <c r="I12" s="50">
        <f>IF(E12="","",IF(ISERROR(VALUE(E12)),E12&amp;"",IF(AND(VALUE(E12)&gt;=1,VALUE(E12)&lt;=20),IF(INDEX(設定!$P$8:$P$27,VALUE(E12))="","？",INDEX(設定!$P$8:$P$27,VALUE(E12))),"？")))</f>
        <v/>
      </c>
      <c r="J12" s="50">
        <f>IF(F12="","",IF(ISERROR(VALUE(F12)),F12&amp;"",IF(AND(VALUE(F12)&gt;=1,VALUE(F12)&lt;=20),IF(INDEX(設定!$P$8:$P$27,VALUE(F12))="","？",INDEX(設定!$P$8:$P$27,VALUE(F12))),"？")))</f>
        <v/>
      </c>
      <c r="K12" s="51">
        <f>IF(L12="","",IF(G12="","名簿にいない",IF(COUNTIF(L13:L$555,L12)&gt;0,"2回提出（下の行を使います）",IF(H12="転出","転出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OR(AND(H12&lt;&gt;"",H12=I12),AND(H12&lt;&gt;"",H12=J12),AND(I12&lt;&gt;"",I12=J12)),"同じクラブを重複して希望","OK")))))))</f>
        <v/>
      </c>
      <c r="L12" s="11">
        <f>IF(OR(A12="",D12=""),"",A12&amp;"-"&amp;B12&amp;"-"&amp;C12)</f>
        <v/>
      </c>
      <c r="M12" s="11">
        <f>IF(OR(L12="",G12=""),"",IF(COUNTIF(L13:L$555,L12)=0,L12,""))</f>
        <v/>
      </c>
      <c r="N12" s="11">
        <f>IFERROR(MATCH(SMALL(前年度名簿!$G$3:$G$452,8),前年度名簿!$G$3:$G$452,0),"")</f>
        <v/>
      </c>
    </row>
    <row r="13">
      <c r="A13" s="49">
        <f>IF($N13="","",INDEX(前年度名簿!$A$3:$A$452,$N13))</f>
        <v/>
      </c>
      <c r="B13" s="49">
        <f>IF($N13="","",INDEX(前年度名簿!$B$3:$B$452,$N13))</f>
        <v/>
      </c>
      <c r="C13" s="49">
        <f>IF($N13="","",INDEX(前年度名簿!$C$3:$C$452,$N13))</f>
        <v/>
      </c>
      <c r="D13" s="49" t="n"/>
      <c r="E13" s="49" t="n"/>
      <c r="F13" s="49" t="n"/>
      <c r="G13" s="4">
        <f>IF(A13="","",IFERROR(INDEX(前年度名簿!$D$3:$D$452,MATCH(A13&amp;"-"&amp;B13&amp;"-"&amp;C13,前年度名簿!$F$3:$F$452,0)),""))</f>
        <v/>
      </c>
      <c r="H13" s="50">
        <f>IF(D13="","",IF(ISERROR(VALUE(D13)),D13&amp;"",IF(AND(VALUE(D13)&gt;=1,VALUE(D13)&lt;=20),IF(INDEX(設定!$P$8:$P$27,VALUE(D13))="","？",INDEX(設定!$P$8:$P$27,VALUE(D13))),"？")))</f>
        <v/>
      </c>
      <c r="I13" s="50">
        <f>IF(E13="","",IF(ISERROR(VALUE(E13)),E13&amp;"",IF(AND(VALUE(E13)&gt;=1,VALUE(E13)&lt;=20),IF(INDEX(設定!$P$8:$P$27,VALUE(E13))="","？",INDEX(設定!$P$8:$P$27,VALUE(E13))),"？")))</f>
        <v/>
      </c>
      <c r="J13" s="50">
        <f>IF(F13="","",IF(ISERROR(VALUE(F13)),F13&amp;"",IF(AND(VALUE(F13)&gt;=1,VALUE(F13)&lt;=20),IF(INDEX(設定!$P$8:$P$27,VALUE(F13))="","？",INDEX(設定!$P$8:$P$27,VALUE(F13))),"？")))</f>
        <v/>
      </c>
      <c r="K13" s="51">
        <f>IF(L13="","",IF(G13="","名簿にいない",IF(COUNTIF(L14:L$555,L13)&gt;0,"2回提出（下の行を使います）",IF(H13="転出","転出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OR(AND(H13&lt;&gt;"",H13=I13),AND(H13&lt;&gt;"",H13=J13),AND(I13&lt;&gt;"",I13=J13)),"同じクラブを重複して希望","OK")))))))</f>
        <v/>
      </c>
      <c r="L13" s="11">
        <f>IF(OR(A13="",D13=""),"",A13&amp;"-"&amp;B13&amp;"-"&amp;C13)</f>
        <v/>
      </c>
      <c r="M13" s="11">
        <f>IF(OR(L13="",G13=""),"",IF(COUNTIF(L14:L$555,L13)=0,L13,""))</f>
        <v/>
      </c>
      <c r="N13" s="11">
        <f>IFERROR(MATCH(SMALL(前年度名簿!$G$3:$G$452,9),前年度名簿!$G$3:$G$452,0),"")</f>
        <v/>
      </c>
    </row>
    <row r="14">
      <c r="A14" s="49">
        <f>IF($N14="","",INDEX(前年度名簿!$A$3:$A$452,$N14))</f>
        <v/>
      </c>
      <c r="B14" s="49">
        <f>IF($N14="","",INDEX(前年度名簿!$B$3:$B$452,$N14))</f>
        <v/>
      </c>
      <c r="C14" s="49">
        <f>IF($N14="","",INDEX(前年度名簿!$C$3:$C$452,$N14))</f>
        <v/>
      </c>
      <c r="D14" s="49" t="n"/>
      <c r="E14" s="49" t="n"/>
      <c r="F14" s="49" t="n"/>
      <c r="G14" s="4">
        <f>IF(A14="","",IFERROR(INDEX(前年度名簿!$D$3:$D$452,MATCH(A14&amp;"-"&amp;B14&amp;"-"&amp;C14,前年度名簿!$F$3:$F$452,0)),""))</f>
        <v/>
      </c>
      <c r="H14" s="50">
        <f>IF(D14="","",IF(ISERROR(VALUE(D14)),D14&amp;"",IF(AND(VALUE(D14)&gt;=1,VALUE(D14)&lt;=20),IF(INDEX(設定!$P$8:$P$27,VALUE(D14))="","？",INDEX(設定!$P$8:$P$27,VALUE(D14))),"？")))</f>
        <v/>
      </c>
      <c r="I14" s="50">
        <f>IF(E14="","",IF(ISERROR(VALUE(E14)),E14&amp;"",IF(AND(VALUE(E14)&gt;=1,VALUE(E14)&lt;=20),IF(INDEX(設定!$P$8:$P$27,VALUE(E14))="","？",INDEX(設定!$P$8:$P$27,VALUE(E14))),"？")))</f>
        <v/>
      </c>
      <c r="J14" s="50">
        <f>IF(F14="","",IF(ISERROR(VALUE(F14)),F14&amp;"",IF(AND(VALUE(F14)&gt;=1,VALUE(F14)&lt;=20),IF(INDEX(設定!$P$8:$P$27,VALUE(F14))="","？",INDEX(設定!$P$8:$P$27,VALUE(F14))),"？")))</f>
        <v/>
      </c>
      <c r="K14" s="51">
        <f>IF(L14="","",IF(G14="","名簿にいない",IF(COUNTIF(L15:L$555,L14)&gt;0,"2回提出（下の行を使います）",IF(H14="転出","転出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OR(AND(H14&lt;&gt;"",H14=I14),AND(H14&lt;&gt;"",H14=J14),AND(I14&lt;&gt;"",I14=J14)),"同じクラブを重複して希望","OK")))))))</f>
        <v/>
      </c>
      <c r="L14" s="11">
        <f>IF(OR(A14="",D14=""),"",A14&amp;"-"&amp;B14&amp;"-"&amp;C14)</f>
        <v/>
      </c>
      <c r="M14" s="11">
        <f>IF(OR(L14="",G14=""),"",IF(COUNTIF(L15:L$555,L14)=0,L14,""))</f>
        <v/>
      </c>
      <c r="N14" s="11">
        <f>IFERROR(MATCH(SMALL(前年度名簿!$G$3:$G$452,10),前年度名簿!$G$3:$G$452,0),"")</f>
        <v/>
      </c>
    </row>
    <row r="15">
      <c r="A15" s="49">
        <f>IF($N15="","",INDEX(前年度名簿!$A$3:$A$452,$N15))</f>
        <v/>
      </c>
      <c r="B15" s="49">
        <f>IF($N15="","",INDEX(前年度名簿!$B$3:$B$452,$N15))</f>
        <v/>
      </c>
      <c r="C15" s="49">
        <f>IF($N15="","",INDEX(前年度名簿!$C$3:$C$452,$N15))</f>
        <v/>
      </c>
      <c r="D15" s="49" t="n"/>
      <c r="E15" s="49" t="n"/>
      <c r="F15" s="49" t="n"/>
      <c r="G15" s="4">
        <f>IF(A15="","",IFERROR(INDEX(前年度名簿!$D$3:$D$452,MATCH(A15&amp;"-"&amp;B15&amp;"-"&amp;C15,前年度名簿!$F$3:$F$452,0)),""))</f>
        <v/>
      </c>
      <c r="H15" s="50">
        <f>IF(D15="","",IF(ISERROR(VALUE(D15)),D15&amp;"",IF(AND(VALUE(D15)&gt;=1,VALUE(D15)&lt;=20),IF(INDEX(設定!$P$8:$P$27,VALUE(D15))="","？",INDEX(設定!$P$8:$P$27,VALUE(D15))),"？")))</f>
        <v/>
      </c>
      <c r="I15" s="50">
        <f>IF(E15="","",IF(ISERROR(VALUE(E15)),E15&amp;"",IF(AND(VALUE(E15)&gt;=1,VALUE(E15)&lt;=20),IF(INDEX(設定!$P$8:$P$27,VALUE(E15))="","？",INDEX(設定!$P$8:$P$27,VALUE(E15))),"？")))</f>
        <v/>
      </c>
      <c r="J15" s="50">
        <f>IF(F15="","",IF(ISERROR(VALUE(F15)),F15&amp;"",IF(AND(VALUE(F15)&gt;=1,VALUE(F15)&lt;=20),IF(INDEX(設定!$P$8:$P$27,VALUE(F15))="","？",INDEX(設定!$P$8:$P$27,VALUE(F15))),"？")))</f>
        <v/>
      </c>
      <c r="K15" s="51">
        <f>IF(L15="","",IF(G15="","名簿にいない",IF(COUNTIF(L16:L$555,L15)&gt;0,"2回提出（下の行を使います）",IF(H15="転出","転出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OR(AND(H15&lt;&gt;"",H15=I15),AND(H15&lt;&gt;"",H15=J15),AND(I15&lt;&gt;"",I15=J15)),"同じクラブを重複して希望","OK")))))))</f>
        <v/>
      </c>
      <c r="L15" s="11">
        <f>IF(OR(A15="",D15=""),"",A15&amp;"-"&amp;B15&amp;"-"&amp;C15)</f>
        <v/>
      </c>
      <c r="M15" s="11">
        <f>IF(OR(L15="",G15=""),"",IF(COUNTIF(L16:L$555,L15)=0,L15,""))</f>
        <v/>
      </c>
      <c r="N15" s="11">
        <f>IFERROR(MATCH(SMALL(前年度名簿!$G$3:$G$452,11),前年度名簿!$G$3:$G$452,0),"")</f>
        <v/>
      </c>
    </row>
    <row r="16">
      <c r="A16" s="49">
        <f>IF($N16="","",INDEX(前年度名簿!$A$3:$A$452,$N16))</f>
        <v/>
      </c>
      <c r="B16" s="49">
        <f>IF($N16="","",INDEX(前年度名簿!$B$3:$B$452,$N16))</f>
        <v/>
      </c>
      <c r="C16" s="49">
        <f>IF($N16="","",INDEX(前年度名簿!$C$3:$C$452,$N16))</f>
        <v/>
      </c>
      <c r="D16" s="49" t="n"/>
      <c r="E16" s="49" t="n"/>
      <c r="F16" s="49" t="n"/>
      <c r="G16" s="4">
        <f>IF(A16="","",IFERROR(INDEX(前年度名簿!$D$3:$D$452,MATCH(A16&amp;"-"&amp;B16&amp;"-"&amp;C16,前年度名簿!$F$3:$F$452,0)),""))</f>
        <v/>
      </c>
      <c r="H16" s="50">
        <f>IF(D16="","",IF(ISERROR(VALUE(D16)),D16&amp;"",IF(AND(VALUE(D16)&gt;=1,VALUE(D16)&lt;=20),IF(INDEX(設定!$P$8:$P$27,VALUE(D16))="","？",INDEX(設定!$P$8:$P$27,VALUE(D16))),"？")))</f>
        <v/>
      </c>
      <c r="I16" s="50">
        <f>IF(E16="","",IF(ISERROR(VALUE(E16)),E16&amp;"",IF(AND(VALUE(E16)&gt;=1,VALUE(E16)&lt;=20),IF(INDEX(設定!$P$8:$P$27,VALUE(E16))="","？",INDEX(設定!$P$8:$P$27,VALUE(E16))),"？")))</f>
        <v/>
      </c>
      <c r="J16" s="50">
        <f>IF(F16="","",IF(ISERROR(VALUE(F16)),F16&amp;"",IF(AND(VALUE(F16)&gt;=1,VALUE(F16)&lt;=20),IF(INDEX(設定!$P$8:$P$27,VALUE(F16))="","？",INDEX(設定!$P$8:$P$27,VALUE(F16))),"？")))</f>
        <v/>
      </c>
      <c r="K16" s="51">
        <f>IF(L16="","",IF(G16="","名簿にいない",IF(COUNTIF(L17:L$555,L16)&gt;0,"2回提出（下の行を使います）",IF(H16="転出","転出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OR(AND(H16&lt;&gt;"",H16=I16),AND(H16&lt;&gt;"",H16=J16),AND(I16&lt;&gt;"",I16=J16)),"同じクラブを重複して希望","OK")))))))</f>
        <v/>
      </c>
      <c r="L16" s="11">
        <f>IF(OR(A16="",D16=""),"",A16&amp;"-"&amp;B16&amp;"-"&amp;C16)</f>
        <v/>
      </c>
      <c r="M16" s="11">
        <f>IF(OR(L16="",G16=""),"",IF(COUNTIF(L17:L$555,L16)=0,L16,""))</f>
        <v/>
      </c>
      <c r="N16" s="11">
        <f>IFERROR(MATCH(SMALL(前年度名簿!$G$3:$G$452,12),前年度名簿!$G$3:$G$452,0),"")</f>
        <v/>
      </c>
    </row>
    <row r="17">
      <c r="A17" s="49">
        <f>IF($N17="","",INDEX(前年度名簿!$A$3:$A$452,$N17))</f>
        <v/>
      </c>
      <c r="B17" s="49">
        <f>IF($N17="","",INDEX(前年度名簿!$B$3:$B$452,$N17))</f>
        <v/>
      </c>
      <c r="C17" s="49">
        <f>IF($N17="","",INDEX(前年度名簿!$C$3:$C$452,$N17))</f>
        <v/>
      </c>
      <c r="D17" s="49" t="n"/>
      <c r="E17" s="49" t="n"/>
      <c r="F17" s="49" t="n"/>
      <c r="G17" s="4">
        <f>IF(A17="","",IFERROR(INDEX(前年度名簿!$D$3:$D$452,MATCH(A17&amp;"-"&amp;B17&amp;"-"&amp;C17,前年度名簿!$F$3:$F$452,0)),""))</f>
        <v/>
      </c>
      <c r="H17" s="50">
        <f>IF(D17="","",IF(ISERROR(VALUE(D17)),D17&amp;"",IF(AND(VALUE(D17)&gt;=1,VALUE(D17)&lt;=20),IF(INDEX(設定!$P$8:$P$27,VALUE(D17))="","？",INDEX(設定!$P$8:$P$27,VALUE(D17))),"？")))</f>
        <v/>
      </c>
      <c r="I17" s="50">
        <f>IF(E17="","",IF(ISERROR(VALUE(E17)),E17&amp;"",IF(AND(VALUE(E17)&gt;=1,VALUE(E17)&lt;=20),IF(INDEX(設定!$P$8:$P$27,VALUE(E17))="","？",INDEX(設定!$P$8:$P$27,VALUE(E17))),"？")))</f>
        <v/>
      </c>
      <c r="J17" s="50">
        <f>IF(F17="","",IF(ISERROR(VALUE(F17)),F17&amp;"",IF(AND(VALUE(F17)&gt;=1,VALUE(F17)&lt;=20),IF(INDEX(設定!$P$8:$P$27,VALUE(F17))="","？",INDEX(設定!$P$8:$P$27,VALUE(F17))),"？")))</f>
        <v/>
      </c>
      <c r="K17" s="51">
        <f>IF(L17="","",IF(G17="","名簿にいない",IF(COUNTIF(L18:L$555,L17)&gt;0,"2回提出（下の行を使います）",IF(H17="転出","転出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OR(AND(H17&lt;&gt;"",H17=I17),AND(H17&lt;&gt;"",H17=J17),AND(I17&lt;&gt;"",I17=J17)),"同じクラブを重複して希望","OK")))))))</f>
        <v/>
      </c>
      <c r="L17" s="11">
        <f>IF(OR(A17="",D17=""),"",A17&amp;"-"&amp;B17&amp;"-"&amp;C17)</f>
        <v/>
      </c>
      <c r="M17" s="11">
        <f>IF(OR(L17="",G17=""),"",IF(COUNTIF(L18:L$555,L17)=0,L17,""))</f>
        <v/>
      </c>
      <c r="N17" s="11">
        <f>IFERROR(MATCH(SMALL(前年度名簿!$G$3:$G$452,13),前年度名簿!$G$3:$G$452,0),"")</f>
        <v/>
      </c>
    </row>
    <row r="18">
      <c r="A18" s="49">
        <f>IF($N18="","",INDEX(前年度名簿!$A$3:$A$452,$N18))</f>
        <v/>
      </c>
      <c r="B18" s="49">
        <f>IF($N18="","",INDEX(前年度名簿!$B$3:$B$452,$N18))</f>
        <v/>
      </c>
      <c r="C18" s="49">
        <f>IF($N18="","",INDEX(前年度名簿!$C$3:$C$452,$N18))</f>
        <v/>
      </c>
      <c r="D18" s="49" t="n"/>
      <c r="E18" s="49" t="n"/>
      <c r="F18" s="49" t="n"/>
      <c r="G18" s="4">
        <f>IF(A18="","",IFERROR(INDEX(前年度名簿!$D$3:$D$452,MATCH(A18&amp;"-"&amp;B18&amp;"-"&amp;C18,前年度名簿!$F$3:$F$452,0)),""))</f>
        <v/>
      </c>
      <c r="H18" s="50">
        <f>IF(D18="","",IF(ISERROR(VALUE(D18)),D18&amp;"",IF(AND(VALUE(D18)&gt;=1,VALUE(D18)&lt;=20),IF(INDEX(設定!$P$8:$P$27,VALUE(D18))="","？",INDEX(設定!$P$8:$P$27,VALUE(D18))),"？")))</f>
        <v/>
      </c>
      <c r="I18" s="50">
        <f>IF(E18="","",IF(ISERROR(VALUE(E18)),E18&amp;"",IF(AND(VALUE(E18)&gt;=1,VALUE(E18)&lt;=20),IF(INDEX(設定!$P$8:$P$27,VALUE(E18))="","？",INDEX(設定!$P$8:$P$27,VALUE(E18))),"？")))</f>
        <v/>
      </c>
      <c r="J18" s="50">
        <f>IF(F18="","",IF(ISERROR(VALUE(F18)),F18&amp;"",IF(AND(VALUE(F18)&gt;=1,VALUE(F18)&lt;=20),IF(INDEX(設定!$P$8:$P$27,VALUE(F18))="","？",INDEX(設定!$P$8:$P$27,VALUE(F18))),"？")))</f>
        <v/>
      </c>
      <c r="K18" s="51">
        <f>IF(L18="","",IF(G18="","名簿にいない",IF(COUNTIF(L19:L$555,L18)&gt;0,"2回提出（下の行を使います）",IF(H18="転出","転出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OR(AND(H18&lt;&gt;"",H18=I18),AND(H18&lt;&gt;"",H18=J18),AND(I18&lt;&gt;"",I18=J18)),"同じクラブを重複して希望","OK")))))))</f>
        <v/>
      </c>
      <c r="L18" s="11">
        <f>IF(OR(A18="",D18=""),"",A18&amp;"-"&amp;B18&amp;"-"&amp;C18)</f>
        <v/>
      </c>
      <c r="M18" s="11">
        <f>IF(OR(L18="",G18=""),"",IF(COUNTIF(L19:L$555,L18)=0,L18,""))</f>
        <v/>
      </c>
      <c r="N18" s="11">
        <f>IFERROR(MATCH(SMALL(前年度名簿!$G$3:$G$452,14),前年度名簿!$G$3:$G$452,0),"")</f>
        <v/>
      </c>
    </row>
    <row r="19">
      <c r="A19" s="49">
        <f>IF($N19="","",INDEX(前年度名簿!$A$3:$A$452,$N19))</f>
        <v/>
      </c>
      <c r="B19" s="49">
        <f>IF($N19="","",INDEX(前年度名簿!$B$3:$B$452,$N19))</f>
        <v/>
      </c>
      <c r="C19" s="49">
        <f>IF($N19="","",INDEX(前年度名簿!$C$3:$C$452,$N19))</f>
        <v/>
      </c>
      <c r="D19" s="49" t="n"/>
      <c r="E19" s="49" t="n"/>
      <c r="F19" s="49" t="n"/>
      <c r="G19" s="4">
        <f>IF(A19="","",IFERROR(INDEX(前年度名簿!$D$3:$D$452,MATCH(A19&amp;"-"&amp;B19&amp;"-"&amp;C19,前年度名簿!$F$3:$F$452,0)),""))</f>
        <v/>
      </c>
      <c r="H19" s="50">
        <f>IF(D19="","",IF(ISERROR(VALUE(D19)),D19&amp;"",IF(AND(VALUE(D19)&gt;=1,VALUE(D19)&lt;=20),IF(INDEX(設定!$P$8:$P$27,VALUE(D19))="","？",INDEX(設定!$P$8:$P$27,VALUE(D19))),"？")))</f>
        <v/>
      </c>
      <c r="I19" s="50">
        <f>IF(E19="","",IF(ISERROR(VALUE(E19)),E19&amp;"",IF(AND(VALUE(E19)&gt;=1,VALUE(E19)&lt;=20),IF(INDEX(設定!$P$8:$P$27,VALUE(E19))="","？",INDEX(設定!$P$8:$P$27,VALUE(E19))),"？")))</f>
        <v/>
      </c>
      <c r="J19" s="50">
        <f>IF(F19="","",IF(ISERROR(VALUE(F19)),F19&amp;"",IF(AND(VALUE(F19)&gt;=1,VALUE(F19)&lt;=20),IF(INDEX(設定!$P$8:$P$27,VALUE(F19))="","？",INDEX(設定!$P$8:$P$27,VALUE(F19))),"？")))</f>
        <v/>
      </c>
      <c r="K19" s="51">
        <f>IF(L19="","",IF(G19="","名簿にいない",IF(COUNTIF(L20:L$555,L19)&gt;0,"2回提出（下の行を使います）",IF(H19="転出","転出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OR(AND(H19&lt;&gt;"",H19=I19),AND(H19&lt;&gt;"",H19=J19),AND(I19&lt;&gt;"",I19=J19)),"同じクラブを重複して希望","OK")))))))</f>
        <v/>
      </c>
      <c r="L19" s="11">
        <f>IF(OR(A19="",D19=""),"",A19&amp;"-"&amp;B19&amp;"-"&amp;C19)</f>
        <v/>
      </c>
      <c r="M19" s="11">
        <f>IF(OR(L19="",G19=""),"",IF(COUNTIF(L20:L$555,L19)=0,L19,""))</f>
        <v/>
      </c>
      <c r="N19" s="11">
        <f>IFERROR(MATCH(SMALL(前年度名簿!$G$3:$G$452,15),前年度名簿!$G$3:$G$452,0),"")</f>
        <v/>
      </c>
    </row>
    <row r="20">
      <c r="A20" s="49">
        <f>IF($N20="","",INDEX(前年度名簿!$A$3:$A$452,$N20))</f>
        <v/>
      </c>
      <c r="B20" s="49">
        <f>IF($N20="","",INDEX(前年度名簿!$B$3:$B$452,$N20))</f>
        <v/>
      </c>
      <c r="C20" s="49">
        <f>IF($N20="","",INDEX(前年度名簿!$C$3:$C$452,$N20))</f>
        <v/>
      </c>
      <c r="D20" s="49" t="n"/>
      <c r="E20" s="49" t="n"/>
      <c r="F20" s="49" t="n"/>
      <c r="G20" s="4">
        <f>IF(A20="","",IFERROR(INDEX(前年度名簿!$D$3:$D$452,MATCH(A20&amp;"-"&amp;B20&amp;"-"&amp;C20,前年度名簿!$F$3:$F$452,0)),""))</f>
        <v/>
      </c>
      <c r="H20" s="50">
        <f>IF(D20="","",IF(ISERROR(VALUE(D20)),D20&amp;"",IF(AND(VALUE(D20)&gt;=1,VALUE(D20)&lt;=20),IF(INDEX(設定!$P$8:$P$27,VALUE(D20))="","？",INDEX(設定!$P$8:$P$27,VALUE(D20))),"？")))</f>
        <v/>
      </c>
      <c r="I20" s="50">
        <f>IF(E20="","",IF(ISERROR(VALUE(E20)),E20&amp;"",IF(AND(VALUE(E20)&gt;=1,VALUE(E20)&lt;=20),IF(INDEX(設定!$P$8:$P$27,VALUE(E20))="","？",INDEX(設定!$P$8:$P$27,VALUE(E20))),"？")))</f>
        <v/>
      </c>
      <c r="J20" s="50">
        <f>IF(F20="","",IF(ISERROR(VALUE(F20)),F20&amp;"",IF(AND(VALUE(F20)&gt;=1,VALUE(F20)&lt;=20),IF(INDEX(設定!$P$8:$P$27,VALUE(F20))="","？",INDEX(設定!$P$8:$P$27,VALUE(F20))),"？")))</f>
        <v/>
      </c>
      <c r="K20" s="51">
        <f>IF(L20="","",IF(G20="","名簿にいない",IF(COUNTIF(L21:L$555,L20)&gt;0,"2回提出（下の行を使います）",IF(H20="転出","転出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OR(AND(H20&lt;&gt;"",H20=I20),AND(H20&lt;&gt;"",H20=J20),AND(I20&lt;&gt;"",I20=J20)),"同じクラブを重複して希望","OK")))))))</f>
        <v/>
      </c>
      <c r="L20" s="11">
        <f>IF(OR(A20="",D20=""),"",A20&amp;"-"&amp;B20&amp;"-"&amp;C20)</f>
        <v/>
      </c>
      <c r="M20" s="11">
        <f>IF(OR(L20="",G20=""),"",IF(COUNTIF(L21:L$555,L20)=0,L20,""))</f>
        <v/>
      </c>
      <c r="N20" s="11">
        <f>IFERROR(MATCH(SMALL(前年度名簿!$G$3:$G$452,16),前年度名簿!$G$3:$G$452,0),"")</f>
        <v/>
      </c>
    </row>
    <row r="21">
      <c r="A21" s="49">
        <f>IF($N21="","",INDEX(前年度名簿!$A$3:$A$452,$N21))</f>
        <v/>
      </c>
      <c r="B21" s="49">
        <f>IF($N21="","",INDEX(前年度名簿!$B$3:$B$452,$N21))</f>
        <v/>
      </c>
      <c r="C21" s="49">
        <f>IF($N21="","",INDEX(前年度名簿!$C$3:$C$452,$N21))</f>
        <v/>
      </c>
      <c r="D21" s="49" t="n"/>
      <c r="E21" s="49" t="n"/>
      <c r="F21" s="49" t="n"/>
      <c r="G21" s="4">
        <f>IF(A21="","",IFERROR(INDEX(前年度名簿!$D$3:$D$452,MATCH(A21&amp;"-"&amp;B21&amp;"-"&amp;C21,前年度名簿!$F$3:$F$452,0)),""))</f>
        <v/>
      </c>
      <c r="H21" s="50">
        <f>IF(D21="","",IF(ISERROR(VALUE(D21)),D21&amp;"",IF(AND(VALUE(D21)&gt;=1,VALUE(D21)&lt;=20),IF(INDEX(設定!$P$8:$P$27,VALUE(D21))="","？",INDEX(設定!$P$8:$P$27,VALUE(D21))),"？")))</f>
        <v/>
      </c>
      <c r="I21" s="50">
        <f>IF(E21="","",IF(ISERROR(VALUE(E21)),E21&amp;"",IF(AND(VALUE(E21)&gt;=1,VALUE(E21)&lt;=20),IF(INDEX(設定!$P$8:$P$27,VALUE(E21))="","？",INDEX(設定!$P$8:$P$27,VALUE(E21))),"？")))</f>
        <v/>
      </c>
      <c r="J21" s="50">
        <f>IF(F21="","",IF(ISERROR(VALUE(F21)),F21&amp;"",IF(AND(VALUE(F21)&gt;=1,VALUE(F21)&lt;=20),IF(INDEX(設定!$P$8:$P$27,VALUE(F21))="","？",INDEX(設定!$P$8:$P$27,VALUE(F21))),"？")))</f>
        <v/>
      </c>
      <c r="K21" s="51">
        <f>IF(L21="","",IF(G21="","名簿にいない",IF(COUNTIF(L22:L$555,L21)&gt;0,"2回提出（下の行を使います）",IF(H21="転出","転出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OR(AND(H21&lt;&gt;"",H21=I21),AND(H21&lt;&gt;"",H21=J21),AND(I21&lt;&gt;"",I21=J21)),"同じクラブを重複して希望","OK")))))))</f>
        <v/>
      </c>
      <c r="L21" s="11">
        <f>IF(OR(A21="",D21=""),"",A21&amp;"-"&amp;B21&amp;"-"&amp;C21)</f>
        <v/>
      </c>
      <c r="M21" s="11">
        <f>IF(OR(L21="",G21=""),"",IF(COUNTIF(L22:L$555,L21)=0,L21,""))</f>
        <v/>
      </c>
      <c r="N21" s="11">
        <f>IFERROR(MATCH(SMALL(前年度名簿!$G$3:$G$452,17),前年度名簿!$G$3:$G$452,0),"")</f>
        <v/>
      </c>
    </row>
    <row r="22">
      <c r="A22" s="49">
        <f>IF($N22="","",INDEX(前年度名簿!$A$3:$A$452,$N22))</f>
        <v/>
      </c>
      <c r="B22" s="49">
        <f>IF($N22="","",INDEX(前年度名簿!$B$3:$B$452,$N22))</f>
        <v/>
      </c>
      <c r="C22" s="49">
        <f>IF($N22="","",INDEX(前年度名簿!$C$3:$C$452,$N22))</f>
        <v/>
      </c>
      <c r="D22" s="49" t="n"/>
      <c r="E22" s="49" t="n"/>
      <c r="F22" s="49" t="n"/>
      <c r="G22" s="4">
        <f>IF(A22="","",IFERROR(INDEX(前年度名簿!$D$3:$D$452,MATCH(A22&amp;"-"&amp;B22&amp;"-"&amp;C22,前年度名簿!$F$3:$F$452,0)),""))</f>
        <v/>
      </c>
      <c r="H22" s="50">
        <f>IF(D22="","",IF(ISERROR(VALUE(D22)),D22&amp;"",IF(AND(VALUE(D22)&gt;=1,VALUE(D22)&lt;=20),IF(INDEX(設定!$P$8:$P$27,VALUE(D22))="","？",INDEX(設定!$P$8:$P$27,VALUE(D22))),"？")))</f>
        <v/>
      </c>
      <c r="I22" s="50">
        <f>IF(E22="","",IF(ISERROR(VALUE(E22)),E22&amp;"",IF(AND(VALUE(E22)&gt;=1,VALUE(E22)&lt;=20),IF(INDEX(設定!$P$8:$P$27,VALUE(E22))="","？",INDEX(設定!$P$8:$P$27,VALUE(E22))),"？")))</f>
        <v/>
      </c>
      <c r="J22" s="50">
        <f>IF(F22="","",IF(ISERROR(VALUE(F22)),F22&amp;"",IF(AND(VALUE(F22)&gt;=1,VALUE(F22)&lt;=20),IF(INDEX(設定!$P$8:$P$27,VALUE(F22))="","？",INDEX(設定!$P$8:$P$27,VALUE(F22))),"？")))</f>
        <v/>
      </c>
      <c r="K22" s="51">
        <f>IF(L22="","",IF(G22="","名簿にいない",IF(COUNTIF(L23:L$555,L22)&gt;0,"2回提出（下の行を使います）",IF(H22="転出","転出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OR(AND(H22&lt;&gt;"",H22=I22),AND(H22&lt;&gt;"",H22=J22),AND(I22&lt;&gt;"",I22=J22)),"同じクラブを重複して希望","OK")))))))</f>
        <v/>
      </c>
      <c r="L22" s="11">
        <f>IF(OR(A22="",D22=""),"",A22&amp;"-"&amp;B22&amp;"-"&amp;C22)</f>
        <v/>
      </c>
      <c r="M22" s="11">
        <f>IF(OR(L22="",G22=""),"",IF(COUNTIF(L23:L$555,L22)=0,L22,""))</f>
        <v/>
      </c>
      <c r="N22" s="11">
        <f>IFERROR(MATCH(SMALL(前年度名簿!$G$3:$G$452,18),前年度名簿!$G$3:$G$452,0),"")</f>
        <v/>
      </c>
    </row>
    <row r="23">
      <c r="A23" s="49">
        <f>IF($N23="","",INDEX(前年度名簿!$A$3:$A$452,$N23))</f>
        <v/>
      </c>
      <c r="B23" s="49">
        <f>IF($N23="","",INDEX(前年度名簿!$B$3:$B$452,$N23))</f>
        <v/>
      </c>
      <c r="C23" s="49">
        <f>IF($N23="","",INDEX(前年度名簿!$C$3:$C$452,$N23))</f>
        <v/>
      </c>
      <c r="D23" s="49" t="n"/>
      <c r="E23" s="49" t="n"/>
      <c r="F23" s="49" t="n"/>
      <c r="G23" s="4">
        <f>IF(A23="","",IFERROR(INDEX(前年度名簿!$D$3:$D$452,MATCH(A23&amp;"-"&amp;B23&amp;"-"&amp;C23,前年度名簿!$F$3:$F$452,0)),""))</f>
        <v/>
      </c>
      <c r="H23" s="50">
        <f>IF(D23="","",IF(ISERROR(VALUE(D23)),D23&amp;"",IF(AND(VALUE(D23)&gt;=1,VALUE(D23)&lt;=20),IF(INDEX(設定!$P$8:$P$27,VALUE(D23))="","？",INDEX(設定!$P$8:$P$27,VALUE(D23))),"？")))</f>
        <v/>
      </c>
      <c r="I23" s="50">
        <f>IF(E23="","",IF(ISERROR(VALUE(E23)),E23&amp;"",IF(AND(VALUE(E23)&gt;=1,VALUE(E23)&lt;=20),IF(INDEX(設定!$P$8:$P$27,VALUE(E23))="","？",INDEX(設定!$P$8:$P$27,VALUE(E23))),"？")))</f>
        <v/>
      </c>
      <c r="J23" s="50">
        <f>IF(F23="","",IF(ISERROR(VALUE(F23)),F23&amp;"",IF(AND(VALUE(F23)&gt;=1,VALUE(F23)&lt;=20),IF(INDEX(設定!$P$8:$P$27,VALUE(F23))="","？",INDEX(設定!$P$8:$P$27,VALUE(F23))),"？")))</f>
        <v/>
      </c>
      <c r="K23" s="51">
        <f>IF(L23="","",IF(G23="","名簿にいない",IF(COUNTIF(L24:L$555,L23)&gt;0,"2回提出（下の行を使います）",IF(H23="転出","転出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OR(AND(H23&lt;&gt;"",H23=I23),AND(H23&lt;&gt;"",H23=J23),AND(I23&lt;&gt;"",I23=J23)),"同じクラブを重複して希望","OK")))))))</f>
        <v/>
      </c>
      <c r="L23" s="11">
        <f>IF(OR(A23="",D23=""),"",A23&amp;"-"&amp;B23&amp;"-"&amp;C23)</f>
        <v/>
      </c>
      <c r="M23" s="11">
        <f>IF(OR(L23="",G23=""),"",IF(COUNTIF(L24:L$555,L23)=0,L23,""))</f>
        <v/>
      </c>
      <c r="N23" s="11">
        <f>IFERROR(MATCH(SMALL(前年度名簿!$G$3:$G$452,19),前年度名簿!$G$3:$G$452,0),"")</f>
        <v/>
      </c>
    </row>
    <row r="24">
      <c r="A24" s="49">
        <f>IF($N24="","",INDEX(前年度名簿!$A$3:$A$452,$N24))</f>
        <v/>
      </c>
      <c r="B24" s="49">
        <f>IF($N24="","",INDEX(前年度名簿!$B$3:$B$452,$N24))</f>
        <v/>
      </c>
      <c r="C24" s="49">
        <f>IF($N24="","",INDEX(前年度名簿!$C$3:$C$452,$N24))</f>
        <v/>
      </c>
      <c r="D24" s="49" t="n"/>
      <c r="E24" s="49" t="n"/>
      <c r="F24" s="49" t="n"/>
      <c r="G24" s="4">
        <f>IF(A24="","",IFERROR(INDEX(前年度名簿!$D$3:$D$452,MATCH(A24&amp;"-"&amp;B24&amp;"-"&amp;C24,前年度名簿!$F$3:$F$452,0)),""))</f>
        <v/>
      </c>
      <c r="H24" s="50">
        <f>IF(D24="","",IF(ISERROR(VALUE(D24)),D24&amp;"",IF(AND(VALUE(D24)&gt;=1,VALUE(D24)&lt;=20),IF(INDEX(設定!$P$8:$P$27,VALUE(D24))="","？",INDEX(設定!$P$8:$P$27,VALUE(D24))),"？")))</f>
        <v/>
      </c>
      <c r="I24" s="50">
        <f>IF(E24="","",IF(ISERROR(VALUE(E24)),E24&amp;"",IF(AND(VALUE(E24)&gt;=1,VALUE(E24)&lt;=20),IF(INDEX(設定!$P$8:$P$27,VALUE(E24))="","？",INDEX(設定!$P$8:$P$27,VALUE(E24))),"？")))</f>
        <v/>
      </c>
      <c r="J24" s="50">
        <f>IF(F24="","",IF(ISERROR(VALUE(F24)),F24&amp;"",IF(AND(VALUE(F24)&gt;=1,VALUE(F24)&lt;=20),IF(INDEX(設定!$P$8:$P$27,VALUE(F24))="","？",INDEX(設定!$P$8:$P$27,VALUE(F24))),"？")))</f>
        <v/>
      </c>
      <c r="K24" s="51">
        <f>IF(L24="","",IF(G24="","名簿にいない",IF(COUNTIF(L25:L$555,L24)&gt;0,"2回提出（下の行を使います）",IF(H24="転出","転出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OR(AND(H24&lt;&gt;"",H24=I24),AND(H24&lt;&gt;"",H24=J24),AND(I24&lt;&gt;"",I24=J24)),"同じクラブを重複して希望","OK")))))))</f>
        <v/>
      </c>
      <c r="L24" s="11">
        <f>IF(OR(A24="",D24=""),"",A24&amp;"-"&amp;B24&amp;"-"&amp;C24)</f>
        <v/>
      </c>
      <c r="M24" s="11">
        <f>IF(OR(L24="",G24=""),"",IF(COUNTIF(L25:L$555,L24)=0,L24,""))</f>
        <v/>
      </c>
      <c r="N24" s="11">
        <f>IFERROR(MATCH(SMALL(前年度名簿!$G$3:$G$452,20),前年度名簿!$G$3:$G$452,0),"")</f>
        <v/>
      </c>
    </row>
    <row r="25">
      <c r="A25" s="49">
        <f>IF($N25="","",INDEX(前年度名簿!$A$3:$A$452,$N25))</f>
        <v/>
      </c>
      <c r="B25" s="49">
        <f>IF($N25="","",INDEX(前年度名簿!$B$3:$B$452,$N25))</f>
        <v/>
      </c>
      <c r="C25" s="49">
        <f>IF($N25="","",INDEX(前年度名簿!$C$3:$C$452,$N25))</f>
        <v/>
      </c>
      <c r="D25" s="49" t="n"/>
      <c r="E25" s="49" t="n"/>
      <c r="F25" s="49" t="n"/>
      <c r="G25" s="4">
        <f>IF(A25="","",IFERROR(INDEX(前年度名簿!$D$3:$D$452,MATCH(A25&amp;"-"&amp;B25&amp;"-"&amp;C25,前年度名簿!$F$3:$F$452,0)),""))</f>
        <v/>
      </c>
      <c r="H25" s="50">
        <f>IF(D25="","",IF(ISERROR(VALUE(D25)),D25&amp;"",IF(AND(VALUE(D25)&gt;=1,VALUE(D25)&lt;=20),IF(INDEX(設定!$P$8:$P$27,VALUE(D25))="","？",INDEX(設定!$P$8:$P$27,VALUE(D25))),"？")))</f>
        <v/>
      </c>
      <c r="I25" s="50">
        <f>IF(E25="","",IF(ISERROR(VALUE(E25)),E25&amp;"",IF(AND(VALUE(E25)&gt;=1,VALUE(E25)&lt;=20),IF(INDEX(設定!$P$8:$P$27,VALUE(E25))="","？",INDEX(設定!$P$8:$P$27,VALUE(E25))),"？")))</f>
        <v/>
      </c>
      <c r="J25" s="50">
        <f>IF(F25="","",IF(ISERROR(VALUE(F25)),F25&amp;"",IF(AND(VALUE(F25)&gt;=1,VALUE(F25)&lt;=20),IF(INDEX(設定!$P$8:$P$27,VALUE(F25))="","？",INDEX(設定!$P$8:$P$27,VALUE(F25))),"？")))</f>
        <v/>
      </c>
      <c r="K25" s="51">
        <f>IF(L25="","",IF(G25="","名簿にいない",IF(COUNTIF(L26:L$555,L25)&gt;0,"2回提出（下の行を使います）",IF(H25="転出","転出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OR(AND(H25&lt;&gt;"",H25=I25),AND(H25&lt;&gt;"",H25=J25),AND(I25&lt;&gt;"",I25=J25)),"同じクラブを重複して希望","OK")))))))</f>
        <v/>
      </c>
      <c r="L25" s="11">
        <f>IF(OR(A25="",D25=""),"",A25&amp;"-"&amp;B25&amp;"-"&amp;C25)</f>
        <v/>
      </c>
      <c r="M25" s="11">
        <f>IF(OR(L25="",G25=""),"",IF(COUNTIF(L26:L$555,L25)=0,L25,""))</f>
        <v/>
      </c>
      <c r="N25" s="11">
        <f>IFERROR(MATCH(SMALL(前年度名簿!$G$3:$G$452,21),前年度名簿!$G$3:$G$452,0),"")</f>
        <v/>
      </c>
    </row>
    <row r="26">
      <c r="A26" s="49">
        <f>IF($N26="","",INDEX(前年度名簿!$A$3:$A$452,$N26))</f>
        <v/>
      </c>
      <c r="B26" s="49">
        <f>IF($N26="","",INDEX(前年度名簿!$B$3:$B$452,$N26))</f>
        <v/>
      </c>
      <c r="C26" s="49">
        <f>IF($N26="","",INDEX(前年度名簿!$C$3:$C$452,$N26))</f>
        <v/>
      </c>
      <c r="D26" s="49" t="n"/>
      <c r="E26" s="49" t="n"/>
      <c r="F26" s="49" t="n"/>
      <c r="G26" s="4">
        <f>IF(A26="","",IFERROR(INDEX(前年度名簿!$D$3:$D$452,MATCH(A26&amp;"-"&amp;B26&amp;"-"&amp;C26,前年度名簿!$F$3:$F$452,0)),""))</f>
        <v/>
      </c>
      <c r="H26" s="50">
        <f>IF(D26="","",IF(ISERROR(VALUE(D26)),D26&amp;"",IF(AND(VALUE(D26)&gt;=1,VALUE(D26)&lt;=20),IF(INDEX(設定!$P$8:$P$27,VALUE(D26))="","？",INDEX(設定!$P$8:$P$27,VALUE(D26))),"？")))</f>
        <v/>
      </c>
      <c r="I26" s="50">
        <f>IF(E26="","",IF(ISERROR(VALUE(E26)),E26&amp;"",IF(AND(VALUE(E26)&gt;=1,VALUE(E26)&lt;=20),IF(INDEX(設定!$P$8:$P$27,VALUE(E26))="","？",INDEX(設定!$P$8:$P$27,VALUE(E26))),"？")))</f>
        <v/>
      </c>
      <c r="J26" s="50">
        <f>IF(F26="","",IF(ISERROR(VALUE(F26)),F26&amp;"",IF(AND(VALUE(F26)&gt;=1,VALUE(F26)&lt;=20),IF(INDEX(設定!$P$8:$P$27,VALUE(F26))="","？",INDEX(設定!$P$8:$P$27,VALUE(F26))),"？")))</f>
        <v/>
      </c>
      <c r="K26" s="51">
        <f>IF(L26="","",IF(G26="","名簿にいない",IF(COUNTIF(L27:L$555,L26)&gt;0,"2回提出（下の行を使います）",IF(H26="転出","転出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OR(AND(H26&lt;&gt;"",H26=I26),AND(H26&lt;&gt;"",H26=J26),AND(I26&lt;&gt;"",I26=J26)),"同じクラブを重複して希望","OK")))))))</f>
        <v/>
      </c>
      <c r="L26" s="11">
        <f>IF(OR(A26="",D26=""),"",A26&amp;"-"&amp;B26&amp;"-"&amp;C26)</f>
        <v/>
      </c>
      <c r="M26" s="11">
        <f>IF(OR(L26="",G26=""),"",IF(COUNTIF(L27:L$555,L26)=0,L26,""))</f>
        <v/>
      </c>
      <c r="N26" s="11">
        <f>IFERROR(MATCH(SMALL(前年度名簿!$G$3:$G$452,22),前年度名簿!$G$3:$G$452,0),"")</f>
        <v/>
      </c>
    </row>
    <row r="27">
      <c r="A27" s="49">
        <f>IF($N27="","",INDEX(前年度名簿!$A$3:$A$452,$N27))</f>
        <v/>
      </c>
      <c r="B27" s="49">
        <f>IF($N27="","",INDEX(前年度名簿!$B$3:$B$452,$N27))</f>
        <v/>
      </c>
      <c r="C27" s="49">
        <f>IF($N27="","",INDEX(前年度名簿!$C$3:$C$452,$N27))</f>
        <v/>
      </c>
      <c r="D27" s="49" t="n"/>
      <c r="E27" s="49" t="n"/>
      <c r="F27" s="49" t="n"/>
      <c r="G27" s="4">
        <f>IF(A27="","",IFERROR(INDEX(前年度名簿!$D$3:$D$452,MATCH(A27&amp;"-"&amp;B27&amp;"-"&amp;C27,前年度名簿!$F$3:$F$452,0)),""))</f>
        <v/>
      </c>
      <c r="H27" s="50">
        <f>IF(D27="","",IF(ISERROR(VALUE(D27)),D27&amp;"",IF(AND(VALUE(D27)&gt;=1,VALUE(D27)&lt;=20),IF(INDEX(設定!$P$8:$P$27,VALUE(D27))="","？",INDEX(設定!$P$8:$P$27,VALUE(D27))),"？")))</f>
        <v/>
      </c>
      <c r="I27" s="50">
        <f>IF(E27="","",IF(ISERROR(VALUE(E27)),E27&amp;"",IF(AND(VALUE(E27)&gt;=1,VALUE(E27)&lt;=20),IF(INDEX(設定!$P$8:$P$27,VALUE(E27))="","？",INDEX(設定!$P$8:$P$27,VALUE(E27))),"？")))</f>
        <v/>
      </c>
      <c r="J27" s="50">
        <f>IF(F27="","",IF(ISERROR(VALUE(F27)),F27&amp;"",IF(AND(VALUE(F27)&gt;=1,VALUE(F27)&lt;=20),IF(INDEX(設定!$P$8:$P$27,VALUE(F27))="","？",INDEX(設定!$P$8:$P$27,VALUE(F27))),"？")))</f>
        <v/>
      </c>
      <c r="K27" s="51">
        <f>IF(L27="","",IF(G27="","名簿にいない",IF(COUNTIF(L28:L$555,L27)&gt;0,"2回提出（下の行を使います）",IF(H27="転出","転出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OR(AND(H27&lt;&gt;"",H27=I27),AND(H27&lt;&gt;"",H27=J27),AND(I27&lt;&gt;"",I27=J27)),"同じクラブを重複して希望","OK")))))))</f>
        <v/>
      </c>
      <c r="L27" s="11">
        <f>IF(OR(A27="",D27=""),"",A27&amp;"-"&amp;B27&amp;"-"&amp;C27)</f>
        <v/>
      </c>
      <c r="M27" s="11">
        <f>IF(OR(L27="",G27=""),"",IF(COUNTIF(L28:L$555,L27)=0,L27,""))</f>
        <v/>
      </c>
      <c r="N27" s="11">
        <f>IFERROR(MATCH(SMALL(前年度名簿!$G$3:$G$452,23),前年度名簿!$G$3:$G$452,0),"")</f>
        <v/>
      </c>
    </row>
    <row r="28">
      <c r="A28" s="49">
        <f>IF($N28="","",INDEX(前年度名簿!$A$3:$A$452,$N28))</f>
        <v/>
      </c>
      <c r="B28" s="49">
        <f>IF($N28="","",INDEX(前年度名簿!$B$3:$B$452,$N28))</f>
        <v/>
      </c>
      <c r="C28" s="49">
        <f>IF($N28="","",INDEX(前年度名簿!$C$3:$C$452,$N28))</f>
        <v/>
      </c>
      <c r="D28" s="49" t="n"/>
      <c r="E28" s="49" t="n"/>
      <c r="F28" s="49" t="n"/>
      <c r="G28" s="4">
        <f>IF(A28="","",IFERROR(INDEX(前年度名簿!$D$3:$D$452,MATCH(A28&amp;"-"&amp;B28&amp;"-"&amp;C28,前年度名簿!$F$3:$F$452,0)),""))</f>
        <v/>
      </c>
      <c r="H28" s="50">
        <f>IF(D28="","",IF(ISERROR(VALUE(D28)),D28&amp;"",IF(AND(VALUE(D28)&gt;=1,VALUE(D28)&lt;=20),IF(INDEX(設定!$P$8:$P$27,VALUE(D28))="","？",INDEX(設定!$P$8:$P$27,VALUE(D28))),"？")))</f>
        <v/>
      </c>
      <c r="I28" s="50">
        <f>IF(E28="","",IF(ISERROR(VALUE(E28)),E28&amp;"",IF(AND(VALUE(E28)&gt;=1,VALUE(E28)&lt;=20),IF(INDEX(設定!$P$8:$P$27,VALUE(E28))="","？",INDEX(設定!$P$8:$P$27,VALUE(E28))),"？")))</f>
        <v/>
      </c>
      <c r="J28" s="50">
        <f>IF(F28="","",IF(ISERROR(VALUE(F28)),F28&amp;"",IF(AND(VALUE(F28)&gt;=1,VALUE(F28)&lt;=20),IF(INDEX(設定!$P$8:$P$27,VALUE(F28))="","？",INDEX(設定!$P$8:$P$27,VALUE(F28))),"？")))</f>
        <v/>
      </c>
      <c r="K28" s="51">
        <f>IF(L28="","",IF(G28="","名簿にいない",IF(COUNTIF(L29:L$555,L28)&gt;0,"2回提出（下の行を使います）",IF(H28="転出","転出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OR(AND(H28&lt;&gt;"",H28=I28),AND(H28&lt;&gt;"",H28=J28),AND(I28&lt;&gt;"",I28=J28)),"同じクラブを重複して希望","OK")))))))</f>
        <v/>
      </c>
      <c r="L28" s="11">
        <f>IF(OR(A28="",D28=""),"",A28&amp;"-"&amp;B28&amp;"-"&amp;C28)</f>
        <v/>
      </c>
      <c r="M28" s="11">
        <f>IF(OR(L28="",G28=""),"",IF(COUNTIF(L29:L$555,L28)=0,L28,""))</f>
        <v/>
      </c>
      <c r="N28" s="11">
        <f>IFERROR(MATCH(SMALL(前年度名簿!$G$3:$G$452,24),前年度名簿!$G$3:$G$452,0),"")</f>
        <v/>
      </c>
    </row>
    <row r="29">
      <c r="A29" s="49">
        <f>IF($N29="","",INDEX(前年度名簿!$A$3:$A$452,$N29))</f>
        <v/>
      </c>
      <c r="B29" s="49">
        <f>IF($N29="","",INDEX(前年度名簿!$B$3:$B$452,$N29))</f>
        <v/>
      </c>
      <c r="C29" s="49">
        <f>IF($N29="","",INDEX(前年度名簿!$C$3:$C$452,$N29))</f>
        <v/>
      </c>
      <c r="D29" s="49" t="n"/>
      <c r="E29" s="49" t="n"/>
      <c r="F29" s="49" t="n"/>
      <c r="G29" s="4">
        <f>IF(A29="","",IFERROR(INDEX(前年度名簿!$D$3:$D$452,MATCH(A29&amp;"-"&amp;B29&amp;"-"&amp;C29,前年度名簿!$F$3:$F$452,0)),""))</f>
        <v/>
      </c>
      <c r="H29" s="50">
        <f>IF(D29="","",IF(ISERROR(VALUE(D29)),D29&amp;"",IF(AND(VALUE(D29)&gt;=1,VALUE(D29)&lt;=20),IF(INDEX(設定!$P$8:$P$27,VALUE(D29))="","？",INDEX(設定!$P$8:$P$27,VALUE(D29))),"？")))</f>
        <v/>
      </c>
      <c r="I29" s="50">
        <f>IF(E29="","",IF(ISERROR(VALUE(E29)),E29&amp;"",IF(AND(VALUE(E29)&gt;=1,VALUE(E29)&lt;=20),IF(INDEX(設定!$P$8:$P$27,VALUE(E29))="","？",INDEX(設定!$P$8:$P$27,VALUE(E29))),"？")))</f>
        <v/>
      </c>
      <c r="J29" s="50">
        <f>IF(F29="","",IF(ISERROR(VALUE(F29)),F29&amp;"",IF(AND(VALUE(F29)&gt;=1,VALUE(F29)&lt;=20),IF(INDEX(設定!$P$8:$P$27,VALUE(F29))="","？",INDEX(設定!$P$8:$P$27,VALUE(F29))),"？")))</f>
        <v/>
      </c>
      <c r="K29" s="51">
        <f>IF(L29="","",IF(G29="","名簿にいない",IF(COUNTIF(L30:L$555,L29)&gt;0,"2回提出（下の行を使います）",IF(H29="転出","転出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OR(AND(H29&lt;&gt;"",H29=I29),AND(H29&lt;&gt;"",H29=J29),AND(I29&lt;&gt;"",I29=J29)),"同じクラブを重複して希望","OK")))))))</f>
        <v/>
      </c>
      <c r="L29" s="11">
        <f>IF(OR(A29="",D29=""),"",A29&amp;"-"&amp;B29&amp;"-"&amp;C29)</f>
        <v/>
      </c>
      <c r="M29" s="11">
        <f>IF(OR(L29="",G29=""),"",IF(COUNTIF(L30:L$555,L29)=0,L29,""))</f>
        <v/>
      </c>
      <c r="N29" s="11">
        <f>IFERROR(MATCH(SMALL(前年度名簿!$G$3:$G$452,25),前年度名簿!$G$3:$G$452,0),"")</f>
        <v/>
      </c>
    </row>
    <row r="30">
      <c r="A30" s="49">
        <f>IF($N30="","",INDEX(前年度名簿!$A$3:$A$452,$N30))</f>
        <v/>
      </c>
      <c r="B30" s="49">
        <f>IF($N30="","",INDEX(前年度名簿!$B$3:$B$452,$N30))</f>
        <v/>
      </c>
      <c r="C30" s="49">
        <f>IF($N30="","",INDEX(前年度名簿!$C$3:$C$452,$N30))</f>
        <v/>
      </c>
      <c r="D30" s="49" t="n"/>
      <c r="E30" s="49" t="n"/>
      <c r="F30" s="49" t="n"/>
      <c r="G30" s="4">
        <f>IF(A30="","",IFERROR(INDEX(前年度名簿!$D$3:$D$452,MATCH(A30&amp;"-"&amp;B30&amp;"-"&amp;C30,前年度名簿!$F$3:$F$452,0)),""))</f>
        <v/>
      </c>
      <c r="H30" s="50">
        <f>IF(D30="","",IF(ISERROR(VALUE(D30)),D30&amp;"",IF(AND(VALUE(D30)&gt;=1,VALUE(D30)&lt;=20),IF(INDEX(設定!$P$8:$P$27,VALUE(D30))="","？",INDEX(設定!$P$8:$P$27,VALUE(D30))),"？")))</f>
        <v/>
      </c>
      <c r="I30" s="50">
        <f>IF(E30="","",IF(ISERROR(VALUE(E30)),E30&amp;"",IF(AND(VALUE(E30)&gt;=1,VALUE(E30)&lt;=20),IF(INDEX(設定!$P$8:$P$27,VALUE(E30))="","？",INDEX(設定!$P$8:$P$27,VALUE(E30))),"？")))</f>
        <v/>
      </c>
      <c r="J30" s="50">
        <f>IF(F30="","",IF(ISERROR(VALUE(F30)),F30&amp;"",IF(AND(VALUE(F30)&gt;=1,VALUE(F30)&lt;=20),IF(INDEX(設定!$P$8:$P$27,VALUE(F30))="","？",INDEX(設定!$P$8:$P$27,VALUE(F30))),"？")))</f>
        <v/>
      </c>
      <c r="K30" s="51">
        <f>IF(L30="","",IF(G30="","名簿にいない",IF(COUNTIF(L31:L$555,L30)&gt;0,"2回提出（下の行を使います）",IF(H30="転出","転出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OR(AND(H30&lt;&gt;"",H30=I30),AND(H30&lt;&gt;"",H30=J30),AND(I30&lt;&gt;"",I30=J30)),"同じクラブを重複して希望","OK")))))))</f>
        <v/>
      </c>
      <c r="L30" s="11">
        <f>IF(OR(A30="",D30=""),"",A30&amp;"-"&amp;B30&amp;"-"&amp;C30)</f>
        <v/>
      </c>
      <c r="M30" s="11">
        <f>IF(OR(L30="",G30=""),"",IF(COUNTIF(L31:L$555,L30)=0,L30,""))</f>
        <v/>
      </c>
      <c r="N30" s="11">
        <f>IFERROR(MATCH(SMALL(前年度名簿!$G$3:$G$452,26),前年度名簿!$G$3:$G$452,0),"")</f>
        <v/>
      </c>
    </row>
    <row r="31">
      <c r="A31" s="49">
        <f>IF($N31="","",INDEX(前年度名簿!$A$3:$A$452,$N31))</f>
        <v/>
      </c>
      <c r="B31" s="49">
        <f>IF($N31="","",INDEX(前年度名簿!$B$3:$B$452,$N31))</f>
        <v/>
      </c>
      <c r="C31" s="49">
        <f>IF($N31="","",INDEX(前年度名簿!$C$3:$C$452,$N31))</f>
        <v/>
      </c>
      <c r="D31" s="49" t="n"/>
      <c r="E31" s="49" t="n"/>
      <c r="F31" s="49" t="n"/>
      <c r="G31" s="4">
        <f>IF(A31="","",IFERROR(INDEX(前年度名簿!$D$3:$D$452,MATCH(A31&amp;"-"&amp;B31&amp;"-"&amp;C31,前年度名簿!$F$3:$F$452,0)),""))</f>
        <v/>
      </c>
      <c r="H31" s="50">
        <f>IF(D31="","",IF(ISERROR(VALUE(D31)),D31&amp;"",IF(AND(VALUE(D31)&gt;=1,VALUE(D31)&lt;=20),IF(INDEX(設定!$P$8:$P$27,VALUE(D31))="","？",INDEX(設定!$P$8:$P$27,VALUE(D31))),"？")))</f>
        <v/>
      </c>
      <c r="I31" s="50">
        <f>IF(E31="","",IF(ISERROR(VALUE(E31)),E31&amp;"",IF(AND(VALUE(E31)&gt;=1,VALUE(E31)&lt;=20),IF(INDEX(設定!$P$8:$P$27,VALUE(E31))="","？",INDEX(設定!$P$8:$P$27,VALUE(E31))),"？")))</f>
        <v/>
      </c>
      <c r="J31" s="50">
        <f>IF(F31="","",IF(ISERROR(VALUE(F31)),F31&amp;"",IF(AND(VALUE(F31)&gt;=1,VALUE(F31)&lt;=20),IF(INDEX(設定!$P$8:$P$27,VALUE(F31))="","？",INDEX(設定!$P$8:$P$27,VALUE(F31))),"？")))</f>
        <v/>
      </c>
      <c r="K31" s="51">
        <f>IF(L31="","",IF(G31="","名簿にいない",IF(COUNTIF(L32:L$555,L31)&gt;0,"2回提出（下の行を使います）",IF(H31="転出","転出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OR(AND(H31&lt;&gt;"",H31=I31),AND(H31&lt;&gt;"",H31=J31),AND(I31&lt;&gt;"",I31=J31)),"同じクラブを重複して希望","OK")))))))</f>
        <v/>
      </c>
      <c r="L31" s="11">
        <f>IF(OR(A31="",D31=""),"",A31&amp;"-"&amp;B31&amp;"-"&amp;C31)</f>
        <v/>
      </c>
      <c r="M31" s="11">
        <f>IF(OR(L31="",G31=""),"",IF(COUNTIF(L32:L$555,L31)=0,L31,""))</f>
        <v/>
      </c>
      <c r="N31" s="11">
        <f>IFERROR(MATCH(SMALL(前年度名簿!$G$3:$G$452,27),前年度名簿!$G$3:$G$452,0),"")</f>
        <v/>
      </c>
    </row>
    <row r="32">
      <c r="A32" s="49">
        <f>IF($N32="","",INDEX(前年度名簿!$A$3:$A$452,$N32))</f>
        <v/>
      </c>
      <c r="B32" s="49">
        <f>IF($N32="","",INDEX(前年度名簿!$B$3:$B$452,$N32))</f>
        <v/>
      </c>
      <c r="C32" s="49">
        <f>IF($N32="","",INDEX(前年度名簿!$C$3:$C$452,$N32))</f>
        <v/>
      </c>
      <c r="D32" s="49" t="n"/>
      <c r="E32" s="49" t="n"/>
      <c r="F32" s="49" t="n"/>
      <c r="G32" s="4">
        <f>IF(A32="","",IFERROR(INDEX(前年度名簿!$D$3:$D$452,MATCH(A32&amp;"-"&amp;B32&amp;"-"&amp;C32,前年度名簿!$F$3:$F$452,0)),""))</f>
        <v/>
      </c>
      <c r="H32" s="50">
        <f>IF(D32="","",IF(ISERROR(VALUE(D32)),D32&amp;"",IF(AND(VALUE(D32)&gt;=1,VALUE(D32)&lt;=20),IF(INDEX(設定!$P$8:$P$27,VALUE(D32))="","？",INDEX(設定!$P$8:$P$27,VALUE(D32))),"？")))</f>
        <v/>
      </c>
      <c r="I32" s="50">
        <f>IF(E32="","",IF(ISERROR(VALUE(E32)),E32&amp;"",IF(AND(VALUE(E32)&gt;=1,VALUE(E32)&lt;=20),IF(INDEX(設定!$P$8:$P$27,VALUE(E32))="","？",INDEX(設定!$P$8:$P$27,VALUE(E32))),"？")))</f>
        <v/>
      </c>
      <c r="J32" s="50">
        <f>IF(F32="","",IF(ISERROR(VALUE(F32)),F32&amp;"",IF(AND(VALUE(F32)&gt;=1,VALUE(F32)&lt;=20),IF(INDEX(設定!$P$8:$P$27,VALUE(F32))="","？",INDEX(設定!$P$8:$P$27,VALUE(F32))),"？")))</f>
        <v/>
      </c>
      <c r="K32" s="51">
        <f>IF(L32="","",IF(G32="","名簿にいない",IF(COUNTIF(L33:L$555,L32)&gt;0,"2回提出（下の行を使います）",IF(H32="転出","転出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OR(AND(H32&lt;&gt;"",H32=I32),AND(H32&lt;&gt;"",H32=J32),AND(I32&lt;&gt;"",I32=J32)),"同じクラブを重複して希望","OK")))))))</f>
        <v/>
      </c>
      <c r="L32" s="11">
        <f>IF(OR(A32="",D32=""),"",A32&amp;"-"&amp;B32&amp;"-"&amp;C32)</f>
        <v/>
      </c>
      <c r="M32" s="11">
        <f>IF(OR(L32="",G32=""),"",IF(COUNTIF(L33:L$555,L32)=0,L32,""))</f>
        <v/>
      </c>
      <c r="N32" s="11">
        <f>IFERROR(MATCH(SMALL(前年度名簿!$G$3:$G$452,28),前年度名簿!$G$3:$G$452,0),"")</f>
        <v/>
      </c>
    </row>
    <row r="33">
      <c r="A33" s="49">
        <f>IF($N33="","",INDEX(前年度名簿!$A$3:$A$452,$N33))</f>
        <v/>
      </c>
      <c r="B33" s="49">
        <f>IF($N33="","",INDEX(前年度名簿!$B$3:$B$452,$N33))</f>
        <v/>
      </c>
      <c r="C33" s="49">
        <f>IF($N33="","",INDEX(前年度名簿!$C$3:$C$452,$N33))</f>
        <v/>
      </c>
      <c r="D33" s="49" t="n"/>
      <c r="E33" s="49" t="n"/>
      <c r="F33" s="49" t="n"/>
      <c r="G33" s="4">
        <f>IF(A33="","",IFERROR(INDEX(前年度名簿!$D$3:$D$452,MATCH(A33&amp;"-"&amp;B33&amp;"-"&amp;C33,前年度名簿!$F$3:$F$452,0)),""))</f>
        <v/>
      </c>
      <c r="H33" s="50">
        <f>IF(D33="","",IF(ISERROR(VALUE(D33)),D33&amp;"",IF(AND(VALUE(D33)&gt;=1,VALUE(D33)&lt;=20),IF(INDEX(設定!$P$8:$P$27,VALUE(D33))="","？",INDEX(設定!$P$8:$P$27,VALUE(D33))),"？")))</f>
        <v/>
      </c>
      <c r="I33" s="50">
        <f>IF(E33="","",IF(ISERROR(VALUE(E33)),E33&amp;"",IF(AND(VALUE(E33)&gt;=1,VALUE(E33)&lt;=20),IF(INDEX(設定!$P$8:$P$27,VALUE(E33))="","？",INDEX(設定!$P$8:$P$27,VALUE(E33))),"？")))</f>
        <v/>
      </c>
      <c r="J33" s="50">
        <f>IF(F33="","",IF(ISERROR(VALUE(F33)),F33&amp;"",IF(AND(VALUE(F33)&gt;=1,VALUE(F33)&lt;=20),IF(INDEX(設定!$P$8:$P$27,VALUE(F33))="","？",INDEX(設定!$P$8:$P$27,VALUE(F33))),"？")))</f>
        <v/>
      </c>
      <c r="K33" s="51">
        <f>IF(L33="","",IF(G33="","名簿にいない",IF(COUNTIF(L34:L$555,L33)&gt;0,"2回提出（下の行を使います）",IF(H33="転出","転出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OR(AND(H33&lt;&gt;"",H33=I33),AND(H33&lt;&gt;"",H33=J33),AND(I33&lt;&gt;"",I33=J33)),"同じクラブを重複して希望","OK")))))))</f>
        <v/>
      </c>
      <c r="L33" s="11">
        <f>IF(OR(A33="",D33=""),"",A33&amp;"-"&amp;B33&amp;"-"&amp;C33)</f>
        <v/>
      </c>
      <c r="M33" s="11">
        <f>IF(OR(L33="",G33=""),"",IF(COUNTIF(L34:L$555,L33)=0,L33,""))</f>
        <v/>
      </c>
      <c r="N33" s="11">
        <f>IFERROR(MATCH(SMALL(前年度名簿!$G$3:$G$452,29),前年度名簿!$G$3:$G$452,0),"")</f>
        <v/>
      </c>
    </row>
    <row r="34">
      <c r="A34" s="49">
        <f>IF($N34="","",INDEX(前年度名簿!$A$3:$A$452,$N34))</f>
        <v/>
      </c>
      <c r="B34" s="49">
        <f>IF($N34="","",INDEX(前年度名簿!$B$3:$B$452,$N34))</f>
        <v/>
      </c>
      <c r="C34" s="49">
        <f>IF($N34="","",INDEX(前年度名簿!$C$3:$C$452,$N34))</f>
        <v/>
      </c>
      <c r="D34" s="49" t="n"/>
      <c r="E34" s="49" t="n"/>
      <c r="F34" s="49" t="n"/>
      <c r="G34" s="4">
        <f>IF(A34="","",IFERROR(INDEX(前年度名簿!$D$3:$D$452,MATCH(A34&amp;"-"&amp;B34&amp;"-"&amp;C34,前年度名簿!$F$3:$F$452,0)),""))</f>
        <v/>
      </c>
      <c r="H34" s="50">
        <f>IF(D34="","",IF(ISERROR(VALUE(D34)),D34&amp;"",IF(AND(VALUE(D34)&gt;=1,VALUE(D34)&lt;=20),IF(INDEX(設定!$P$8:$P$27,VALUE(D34))="","？",INDEX(設定!$P$8:$P$27,VALUE(D34))),"？")))</f>
        <v/>
      </c>
      <c r="I34" s="50">
        <f>IF(E34="","",IF(ISERROR(VALUE(E34)),E34&amp;"",IF(AND(VALUE(E34)&gt;=1,VALUE(E34)&lt;=20),IF(INDEX(設定!$P$8:$P$27,VALUE(E34))="","？",INDEX(設定!$P$8:$P$27,VALUE(E34))),"？")))</f>
        <v/>
      </c>
      <c r="J34" s="50">
        <f>IF(F34="","",IF(ISERROR(VALUE(F34)),F34&amp;"",IF(AND(VALUE(F34)&gt;=1,VALUE(F34)&lt;=20),IF(INDEX(設定!$P$8:$P$27,VALUE(F34))="","？",INDEX(設定!$P$8:$P$27,VALUE(F34))),"？")))</f>
        <v/>
      </c>
      <c r="K34" s="51">
        <f>IF(L34="","",IF(G34="","名簿にいない",IF(COUNTIF(L35:L$555,L34)&gt;0,"2回提出（下の行を使います）",IF(H34="転出","転出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OR(AND(H34&lt;&gt;"",H34=I34),AND(H34&lt;&gt;"",H34=J34),AND(I34&lt;&gt;"",I34=J34)),"同じクラブを重複して希望","OK")))))))</f>
        <v/>
      </c>
      <c r="L34" s="11">
        <f>IF(OR(A34="",D34=""),"",A34&amp;"-"&amp;B34&amp;"-"&amp;C34)</f>
        <v/>
      </c>
      <c r="M34" s="11">
        <f>IF(OR(L34="",G34=""),"",IF(COUNTIF(L35:L$555,L34)=0,L34,""))</f>
        <v/>
      </c>
      <c r="N34" s="11">
        <f>IFERROR(MATCH(SMALL(前年度名簿!$G$3:$G$452,30),前年度名簿!$G$3:$G$452,0),"")</f>
        <v/>
      </c>
    </row>
    <row r="35">
      <c r="A35" s="49">
        <f>IF($N35="","",INDEX(前年度名簿!$A$3:$A$452,$N35))</f>
        <v/>
      </c>
      <c r="B35" s="49">
        <f>IF($N35="","",INDEX(前年度名簿!$B$3:$B$452,$N35))</f>
        <v/>
      </c>
      <c r="C35" s="49">
        <f>IF($N35="","",INDEX(前年度名簿!$C$3:$C$452,$N35))</f>
        <v/>
      </c>
      <c r="D35" s="49" t="n"/>
      <c r="E35" s="49" t="n"/>
      <c r="F35" s="49" t="n"/>
      <c r="G35" s="4">
        <f>IF(A35="","",IFERROR(INDEX(前年度名簿!$D$3:$D$452,MATCH(A35&amp;"-"&amp;B35&amp;"-"&amp;C35,前年度名簿!$F$3:$F$452,0)),""))</f>
        <v/>
      </c>
      <c r="H35" s="50">
        <f>IF(D35="","",IF(ISERROR(VALUE(D35)),D35&amp;"",IF(AND(VALUE(D35)&gt;=1,VALUE(D35)&lt;=20),IF(INDEX(設定!$P$8:$P$27,VALUE(D35))="","？",INDEX(設定!$P$8:$P$27,VALUE(D35))),"？")))</f>
        <v/>
      </c>
      <c r="I35" s="50">
        <f>IF(E35="","",IF(ISERROR(VALUE(E35)),E35&amp;"",IF(AND(VALUE(E35)&gt;=1,VALUE(E35)&lt;=20),IF(INDEX(設定!$P$8:$P$27,VALUE(E35))="","？",INDEX(設定!$P$8:$P$27,VALUE(E35))),"？")))</f>
        <v/>
      </c>
      <c r="J35" s="50">
        <f>IF(F35="","",IF(ISERROR(VALUE(F35)),F35&amp;"",IF(AND(VALUE(F35)&gt;=1,VALUE(F35)&lt;=20),IF(INDEX(設定!$P$8:$P$27,VALUE(F35))="","？",INDEX(設定!$P$8:$P$27,VALUE(F35))),"？")))</f>
        <v/>
      </c>
      <c r="K35" s="51">
        <f>IF(L35="","",IF(G35="","名簿にいない",IF(COUNTIF(L36:L$555,L35)&gt;0,"2回提出（下の行を使います）",IF(H35="転出","転出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OR(AND(H35&lt;&gt;"",H35=I35),AND(H35&lt;&gt;"",H35=J35),AND(I35&lt;&gt;"",I35=J35)),"同じクラブを重複して希望","OK")))))))</f>
        <v/>
      </c>
      <c r="L35" s="11">
        <f>IF(OR(A35="",D35=""),"",A35&amp;"-"&amp;B35&amp;"-"&amp;C35)</f>
        <v/>
      </c>
      <c r="M35" s="11">
        <f>IF(OR(L35="",G35=""),"",IF(COUNTIF(L36:L$555,L35)=0,L35,""))</f>
        <v/>
      </c>
      <c r="N35" s="11">
        <f>IFERROR(MATCH(SMALL(前年度名簿!$G$3:$G$452,31),前年度名簿!$G$3:$G$452,0),"")</f>
        <v/>
      </c>
    </row>
    <row r="36">
      <c r="A36" s="49">
        <f>IF($N36="","",INDEX(前年度名簿!$A$3:$A$452,$N36))</f>
        <v/>
      </c>
      <c r="B36" s="49">
        <f>IF($N36="","",INDEX(前年度名簿!$B$3:$B$452,$N36))</f>
        <v/>
      </c>
      <c r="C36" s="49">
        <f>IF($N36="","",INDEX(前年度名簿!$C$3:$C$452,$N36))</f>
        <v/>
      </c>
      <c r="D36" s="49" t="n"/>
      <c r="E36" s="49" t="n"/>
      <c r="F36" s="49" t="n"/>
      <c r="G36" s="4">
        <f>IF(A36="","",IFERROR(INDEX(前年度名簿!$D$3:$D$452,MATCH(A36&amp;"-"&amp;B36&amp;"-"&amp;C36,前年度名簿!$F$3:$F$452,0)),""))</f>
        <v/>
      </c>
      <c r="H36" s="50">
        <f>IF(D36="","",IF(ISERROR(VALUE(D36)),D36&amp;"",IF(AND(VALUE(D36)&gt;=1,VALUE(D36)&lt;=20),IF(INDEX(設定!$P$8:$P$27,VALUE(D36))="","？",INDEX(設定!$P$8:$P$27,VALUE(D36))),"？")))</f>
        <v/>
      </c>
      <c r="I36" s="50">
        <f>IF(E36="","",IF(ISERROR(VALUE(E36)),E36&amp;"",IF(AND(VALUE(E36)&gt;=1,VALUE(E36)&lt;=20),IF(INDEX(設定!$P$8:$P$27,VALUE(E36))="","？",INDEX(設定!$P$8:$P$27,VALUE(E36))),"？")))</f>
        <v/>
      </c>
      <c r="J36" s="50">
        <f>IF(F36="","",IF(ISERROR(VALUE(F36)),F36&amp;"",IF(AND(VALUE(F36)&gt;=1,VALUE(F36)&lt;=20),IF(INDEX(設定!$P$8:$P$27,VALUE(F36))="","？",INDEX(設定!$P$8:$P$27,VALUE(F36))),"？")))</f>
        <v/>
      </c>
      <c r="K36" s="51">
        <f>IF(L36="","",IF(G36="","名簿にいない",IF(COUNTIF(L37:L$555,L36)&gt;0,"2回提出（下の行を使います）",IF(H36="転出","転出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OR(AND(H36&lt;&gt;"",H36=I36),AND(H36&lt;&gt;"",H36=J36),AND(I36&lt;&gt;"",I36=J36)),"同じクラブを重複して希望","OK")))))))</f>
        <v/>
      </c>
      <c r="L36" s="11">
        <f>IF(OR(A36="",D36=""),"",A36&amp;"-"&amp;B36&amp;"-"&amp;C36)</f>
        <v/>
      </c>
      <c r="M36" s="11">
        <f>IF(OR(L36="",G36=""),"",IF(COUNTIF(L37:L$555,L36)=0,L36,""))</f>
        <v/>
      </c>
      <c r="N36" s="11">
        <f>IFERROR(MATCH(SMALL(前年度名簿!$G$3:$G$452,32),前年度名簿!$G$3:$G$452,0),"")</f>
        <v/>
      </c>
    </row>
    <row r="37">
      <c r="A37" s="49">
        <f>IF($N37="","",INDEX(前年度名簿!$A$3:$A$452,$N37))</f>
        <v/>
      </c>
      <c r="B37" s="49">
        <f>IF($N37="","",INDEX(前年度名簿!$B$3:$B$452,$N37))</f>
        <v/>
      </c>
      <c r="C37" s="49">
        <f>IF($N37="","",INDEX(前年度名簿!$C$3:$C$452,$N37))</f>
        <v/>
      </c>
      <c r="D37" s="49" t="n"/>
      <c r="E37" s="49" t="n"/>
      <c r="F37" s="49" t="n"/>
      <c r="G37" s="4">
        <f>IF(A37="","",IFERROR(INDEX(前年度名簿!$D$3:$D$452,MATCH(A37&amp;"-"&amp;B37&amp;"-"&amp;C37,前年度名簿!$F$3:$F$452,0)),""))</f>
        <v/>
      </c>
      <c r="H37" s="50">
        <f>IF(D37="","",IF(ISERROR(VALUE(D37)),D37&amp;"",IF(AND(VALUE(D37)&gt;=1,VALUE(D37)&lt;=20),IF(INDEX(設定!$P$8:$P$27,VALUE(D37))="","？",INDEX(設定!$P$8:$P$27,VALUE(D37))),"？")))</f>
        <v/>
      </c>
      <c r="I37" s="50">
        <f>IF(E37="","",IF(ISERROR(VALUE(E37)),E37&amp;"",IF(AND(VALUE(E37)&gt;=1,VALUE(E37)&lt;=20),IF(INDEX(設定!$P$8:$P$27,VALUE(E37))="","？",INDEX(設定!$P$8:$P$27,VALUE(E37))),"？")))</f>
        <v/>
      </c>
      <c r="J37" s="50">
        <f>IF(F37="","",IF(ISERROR(VALUE(F37)),F37&amp;"",IF(AND(VALUE(F37)&gt;=1,VALUE(F37)&lt;=20),IF(INDEX(設定!$P$8:$P$27,VALUE(F37))="","？",INDEX(設定!$P$8:$P$27,VALUE(F37))),"？")))</f>
        <v/>
      </c>
      <c r="K37" s="51">
        <f>IF(L37="","",IF(G37="","名簿にいない",IF(COUNTIF(L38:L$555,L37)&gt;0,"2回提出（下の行を使います）",IF(H37="転出","転出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OR(AND(H37&lt;&gt;"",H37=I37),AND(H37&lt;&gt;"",H37=J37),AND(I37&lt;&gt;"",I37=J37)),"同じクラブを重複して希望","OK")))))))</f>
        <v/>
      </c>
      <c r="L37" s="11">
        <f>IF(OR(A37="",D37=""),"",A37&amp;"-"&amp;B37&amp;"-"&amp;C37)</f>
        <v/>
      </c>
      <c r="M37" s="11">
        <f>IF(OR(L37="",G37=""),"",IF(COUNTIF(L38:L$555,L37)=0,L37,""))</f>
        <v/>
      </c>
      <c r="N37" s="11">
        <f>IFERROR(MATCH(SMALL(前年度名簿!$G$3:$G$452,33),前年度名簿!$G$3:$G$452,0),"")</f>
        <v/>
      </c>
    </row>
    <row r="38">
      <c r="A38" s="49">
        <f>IF($N38="","",INDEX(前年度名簿!$A$3:$A$452,$N38))</f>
        <v/>
      </c>
      <c r="B38" s="49">
        <f>IF($N38="","",INDEX(前年度名簿!$B$3:$B$452,$N38))</f>
        <v/>
      </c>
      <c r="C38" s="49">
        <f>IF($N38="","",INDEX(前年度名簿!$C$3:$C$452,$N38))</f>
        <v/>
      </c>
      <c r="D38" s="49" t="n"/>
      <c r="E38" s="49" t="n"/>
      <c r="F38" s="49" t="n"/>
      <c r="G38" s="4">
        <f>IF(A38="","",IFERROR(INDEX(前年度名簿!$D$3:$D$452,MATCH(A38&amp;"-"&amp;B38&amp;"-"&amp;C38,前年度名簿!$F$3:$F$452,0)),""))</f>
        <v/>
      </c>
      <c r="H38" s="50">
        <f>IF(D38="","",IF(ISERROR(VALUE(D38)),D38&amp;"",IF(AND(VALUE(D38)&gt;=1,VALUE(D38)&lt;=20),IF(INDEX(設定!$P$8:$P$27,VALUE(D38))="","？",INDEX(設定!$P$8:$P$27,VALUE(D38))),"？")))</f>
        <v/>
      </c>
      <c r="I38" s="50">
        <f>IF(E38="","",IF(ISERROR(VALUE(E38)),E38&amp;"",IF(AND(VALUE(E38)&gt;=1,VALUE(E38)&lt;=20),IF(INDEX(設定!$P$8:$P$27,VALUE(E38))="","？",INDEX(設定!$P$8:$P$27,VALUE(E38))),"？")))</f>
        <v/>
      </c>
      <c r="J38" s="50">
        <f>IF(F38="","",IF(ISERROR(VALUE(F38)),F38&amp;"",IF(AND(VALUE(F38)&gt;=1,VALUE(F38)&lt;=20),IF(INDEX(設定!$P$8:$P$27,VALUE(F38))="","？",INDEX(設定!$P$8:$P$27,VALUE(F38))),"？")))</f>
        <v/>
      </c>
      <c r="K38" s="51">
        <f>IF(L38="","",IF(G38="","名簿にいない",IF(COUNTIF(L39:L$555,L38)&gt;0,"2回提出（下の行を使います）",IF(H38="転出","転出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OR(AND(H38&lt;&gt;"",H38=I38),AND(H38&lt;&gt;"",H38=J38),AND(I38&lt;&gt;"",I38=J38)),"同じクラブを重複して希望","OK")))))))</f>
        <v/>
      </c>
      <c r="L38" s="11">
        <f>IF(OR(A38="",D38=""),"",A38&amp;"-"&amp;B38&amp;"-"&amp;C38)</f>
        <v/>
      </c>
      <c r="M38" s="11">
        <f>IF(OR(L38="",G38=""),"",IF(COUNTIF(L39:L$555,L38)=0,L38,""))</f>
        <v/>
      </c>
      <c r="N38" s="11">
        <f>IFERROR(MATCH(SMALL(前年度名簿!$G$3:$G$452,34),前年度名簿!$G$3:$G$452,0),"")</f>
        <v/>
      </c>
    </row>
    <row r="39">
      <c r="A39" s="49">
        <f>IF($N39="","",INDEX(前年度名簿!$A$3:$A$452,$N39))</f>
        <v/>
      </c>
      <c r="B39" s="49">
        <f>IF($N39="","",INDEX(前年度名簿!$B$3:$B$452,$N39))</f>
        <v/>
      </c>
      <c r="C39" s="49">
        <f>IF($N39="","",INDEX(前年度名簿!$C$3:$C$452,$N39))</f>
        <v/>
      </c>
      <c r="D39" s="49" t="n"/>
      <c r="E39" s="49" t="n"/>
      <c r="F39" s="49" t="n"/>
      <c r="G39" s="4">
        <f>IF(A39="","",IFERROR(INDEX(前年度名簿!$D$3:$D$452,MATCH(A39&amp;"-"&amp;B39&amp;"-"&amp;C39,前年度名簿!$F$3:$F$452,0)),""))</f>
        <v/>
      </c>
      <c r="H39" s="50">
        <f>IF(D39="","",IF(ISERROR(VALUE(D39)),D39&amp;"",IF(AND(VALUE(D39)&gt;=1,VALUE(D39)&lt;=20),IF(INDEX(設定!$P$8:$P$27,VALUE(D39))="","？",INDEX(設定!$P$8:$P$27,VALUE(D39))),"？")))</f>
        <v/>
      </c>
      <c r="I39" s="50">
        <f>IF(E39="","",IF(ISERROR(VALUE(E39)),E39&amp;"",IF(AND(VALUE(E39)&gt;=1,VALUE(E39)&lt;=20),IF(INDEX(設定!$P$8:$P$27,VALUE(E39))="","？",INDEX(設定!$P$8:$P$27,VALUE(E39))),"？")))</f>
        <v/>
      </c>
      <c r="J39" s="50">
        <f>IF(F39="","",IF(ISERROR(VALUE(F39)),F39&amp;"",IF(AND(VALUE(F39)&gt;=1,VALUE(F39)&lt;=20),IF(INDEX(設定!$P$8:$P$27,VALUE(F39))="","？",INDEX(設定!$P$8:$P$27,VALUE(F39))),"？")))</f>
        <v/>
      </c>
      <c r="K39" s="51">
        <f>IF(L39="","",IF(G39="","名簿にいない",IF(COUNTIF(L40:L$555,L39)&gt;0,"2回提出（下の行を使います）",IF(H39="転出","転出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OR(AND(H39&lt;&gt;"",H39=I39),AND(H39&lt;&gt;"",H39=J39),AND(I39&lt;&gt;"",I39=J39)),"同じクラブを重複して希望","OK")))))))</f>
        <v/>
      </c>
      <c r="L39" s="11">
        <f>IF(OR(A39="",D39=""),"",A39&amp;"-"&amp;B39&amp;"-"&amp;C39)</f>
        <v/>
      </c>
      <c r="M39" s="11">
        <f>IF(OR(L39="",G39=""),"",IF(COUNTIF(L40:L$555,L39)=0,L39,""))</f>
        <v/>
      </c>
      <c r="N39" s="11">
        <f>IFERROR(MATCH(SMALL(前年度名簿!$G$3:$G$452,35),前年度名簿!$G$3:$G$452,0),"")</f>
        <v/>
      </c>
    </row>
    <row r="40">
      <c r="A40" s="49">
        <f>IF($N40="","",INDEX(前年度名簿!$A$3:$A$452,$N40))</f>
        <v/>
      </c>
      <c r="B40" s="49">
        <f>IF($N40="","",INDEX(前年度名簿!$B$3:$B$452,$N40))</f>
        <v/>
      </c>
      <c r="C40" s="49">
        <f>IF($N40="","",INDEX(前年度名簿!$C$3:$C$452,$N40))</f>
        <v/>
      </c>
      <c r="D40" s="49" t="n"/>
      <c r="E40" s="49" t="n"/>
      <c r="F40" s="49" t="n"/>
      <c r="G40" s="4">
        <f>IF(A40="","",IFERROR(INDEX(前年度名簿!$D$3:$D$452,MATCH(A40&amp;"-"&amp;B40&amp;"-"&amp;C40,前年度名簿!$F$3:$F$452,0)),""))</f>
        <v/>
      </c>
      <c r="H40" s="50">
        <f>IF(D40="","",IF(ISERROR(VALUE(D40)),D40&amp;"",IF(AND(VALUE(D40)&gt;=1,VALUE(D40)&lt;=20),IF(INDEX(設定!$P$8:$P$27,VALUE(D40))="","？",INDEX(設定!$P$8:$P$27,VALUE(D40))),"？")))</f>
        <v/>
      </c>
      <c r="I40" s="50">
        <f>IF(E40="","",IF(ISERROR(VALUE(E40)),E40&amp;"",IF(AND(VALUE(E40)&gt;=1,VALUE(E40)&lt;=20),IF(INDEX(設定!$P$8:$P$27,VALUE(E40))="","？",INDEX(設定!$P$8:$P$27,VALUE(E40))),"？")))</f>
        <v/>
      </c>
      <c r="J40" s="50">
        <f>IF(F40="","",IF(ISERROR(VALUE(F40)),F40&amp;"",IF(AND(VALUE(F40)&gt;=1,VALUE(F40)&lt;=20),IF(INDEX(設定!$P$8:$P$27,VALUE(F40))="","？",INDEX(設定!$P$8:$P$27,VALUE(F40))),"？")))</f>
        <v/>
      </c>
      <c r="K40" s="51">
        <f>IF(L40="","",IF(G40="","名簿にいない",IF(COUNTIF(L41:L$555,L40)&gt;0,"2回提出（下の行を使います）",IF(H40="転出","転出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OR(AND(H40&lt;&gt;"",H40=I40),AND(H40&lt;&gt;"",H40=J40),AND(I40&lt;&gt;"",I40=J40)),"同じクラブを重複して希望","OK")))))))</f>
        <v/>
      </c>
      <c r="L40" s="11">
        <f>IF(OR(A40="",D40=""),"",A40&amp;"-"&amp;B40&amp;"-"&amp;C40)</f>
        <v/>
      </c>
      <c r="M40" s="11">
        <f>IF(OR(L40="",G40=""),"",IF(COUNTIF(L41:L$555,L40)=0,L40,""))</f>
        <v/>
      </c>
      <c r="N40" s="11">
        <f>IFERROR(MATCH(SMALL(前年度名簿!$G$3:$G$452,36),前年度名簿!$G$3:$G$452,0),"")</f>
        <v/>
      </c>
    </row>
    <row r="41">
      <c r="A41" s="49">
        <f>IF($N41="","",INDEX(前年度名簿!$A$3:$A$452,$N41))</f>
        <v/>
      </c>
      <c r="B41" s="49">
        <f>IF($N41="","",INDEX(前年度名簿!$B$3:$B$452,$N41))</f>
        <v/>
      </c>
      <c r="C41" s="49">
        <f>IF($N41="","",INDEX(前年度名簿!$C$3:$C$452,$N41))</f>
        <v/>
      </c>
      <c r="D41" s="49" t="n"/>
      <c r="E41" s="49" t="n"/>
      <c r="F41" s="49" t="n"/>
      <c r="G41" s="4">
        <f>IF(A41="","",IFERROR(INDEX(前年度名簿!$D$3:$D$452,MATCH(A41&amp;"-"&amp;B41&amp;"-"&amp;C41,前年度名簿!$F$3:$F$452,0)),""))</f>
        <v/>
      </c>
      <c r="H41" s="50">
        <f>IF(D41="","",IF(ISERROR(VALUE(D41)),D41&amp;"",IF(AND(VALUE(D41)&gt;=1,VALUE(D41)&lt;=20),IF(INDEX(設定!$P$8:$P$27,VALUE(D41))="","？",INDEX(設定!$P$8:$P$27,VALUE(D41))),"？")))</f>
        <v/>
      </c>
      <c r="I41" s="50">
        <f>IF(E41="","",IF(ISERROR(VALUE(E41)),E41&amp;"",IF(AND(VALUE(E41)&gt;=1,VALUE(E41)&lt;=20),IF(INDEX(設定!$P$8:$P$27,VALUE(E41))="","？",INDEX(設定!$P$8:$P$27,VALUE(E41))),"？")))</f>
        <v/>
      </c>
      <c r="J41" s="50">
        <f>IF(F41="","",IF(ISERROR(VALUE(F41)),F41&amp;"",IF(AND(VALUE(F41)&gt;=1,VALUE(F41)&lt;=20),IF(INDEX(設定!$P$8:$P$27,VALUE(F41))="","？",INDEX(設定!$P$8:$P$27,VALUE(F41))),"？")))</f>
        <v/>
      </c>
      <c r="K41" s="51">
        <f>IF(L41="","",IF(G41="","名簿にいない",IF(COUNTIF(L42:L$555,L41)&gt;0,"2回提出（下の行を使います）",IF(H41="転出","転出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OR(AND(H41&lt;&gt;"",H41=I41),AND(H41&lt;&gt;"",H41=J41),AND(I41&lt;&gt;"",I41=J41)),"同じクラブを重複して希望","OK")))))))</f>
        <v/>
      </c>
      <c r="L41" s="11">
        <f>IF(OR(A41="",D41=""),"",A41&amp;"-"&amp;B41&amp;"-"&amp;C41)</f>
        <v/>
      </c>
      <c r="M41" s="11">
        <f>IF(OR(L41="",G41=""),"",IF(COUNTIF(L42:L$555,L41)=0,L41,""))</f>
        <v/>
      </c>
      <c r="N41" s="11">
        <f>IFERROR(MATCH(SMALL(前年度名簿!$G$3:$G$452,37),前年度名簿!$G$3:$G$452,0),"")</f>
        <v/>
      </c>
    </row>
    <row r="42">
      <c r="A42" s="49">
        <f>IF($N42="","",INDEX(前年度名簿!$A$3:$A$452,$N42))</f>
        <v/>
      </c>
      <c r="B42" s="49">
        <f>IF($N42="","",INDEX(前年度名簿!$B$3:$B$452,$N42))</f>
        <v/>
      </c>
      <c r="C42" s="49">
        <f>IF($N42="","",INDEX(前年度名簿!$C$3:$C$452,$N42))</f>
        <v/>
      </c>
      <c r="D42" s="49" t="n"/>
      <c r="E42" s="49" t="n"/>
      <c r="F42" s="49" t="n"/>
      <c r="G42" s="4">
        <f>IF(A42="","",IFERROR(INDEX(前年度名簿!$D$3:$D$452,MATCH(A42&amp;"-"&amp;B42&amp;"-"&amp;C42,前年度名簿!$F$3:$F$452,0)),""))</f>
        <v/>
      </c>
      <c r="H42" s="50">
        <f>IF(D42="","",IF(ISERROR(VALUE(D42)),D42&amp;"",IF(AND(VALUE(D42)&gt;=1,VALUE(D42)&lt;=20),IF(INDEX(設定!$P$8:$P$27,VALUE(D42))="","？",INDEX(設定!$P$8:$P$27,VALUE(D42))),"？")))</f>
        <v/>
      </c>
      <c r="I42" s="50">
        <f>IF(E42="","",IF(ISERROR(VALUE(E42)),E42&amp;"",IF(AND(VALUE(E42)&gt;=1,VALUE(E42)&lt;=20),IF(INDEX(設定!$P$8:$P$27,VALUE(E42))="","？",INDEX(設定!$P$8:$P$27,VALUE(E42))),"？")))</f>
        <v/>
      </c>
      <c r="J42" s="50">
        <f>IF(F42="","",IF(ISERROR(VALUE(F42)),F42&amp;"",IF(AND(VALUE(F42)&gt;=1,VALUE(F42)&lt;=20),IF(INDEX(設定!$P$8:$P$27,VALUE(F42))="","？",INDEX(設定!$P$8:$P$27,VALUE(F42))),"？")))</f>
        <v/>
      </c>
      <c r="K42" s="51">
        <f>IF(L42="","",IF(G42="","名簿にいない",IF(COUNTIF(L43:L$555,L42)&gt;0,"2回提出（下の行を使います）",IF(H42="転出","転出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OR(AND(H42&lt;&gt;"",H42=I42),AND(H42&lt;&gt;"",H42=J42),AND(I42&lt;&gt;"",I42=J42)),"同じクラブを重複して希望","OK")))))))</f>
        <v/>
      </c>
      <c r="L42" s="11">
        <f>IF(OR(A42="",D42=""),"",A42&amp;"-"&amp;B42&amp;"-"&amp;C42)</f>
        <v/>
      </c>
      <c r="M42" s="11">
        <f>IF(OR(L42="",G42=""),"",IF(COUNTIF(L43:L$555,L42)=0,L42,""))</f>
        <v/>
      </c>
      <c r="N42" s="11">
        <f>IFERROR(MATCH(SMALL(前年度名簿!$G$3:$G$452,38),前年度名簿!$G$3:$G$452,0),"")</f>
        <v/>
      </c>
    </row>
    <row r="43">
      <c r="A43" s="49">
        <f>IF($N43="","",INDEX(前年度名簿!$A$3:$A$452,$N43))</f>
        <v/>
      </c>
      <c r="B43" s="49">
        <f>IF($N43="","",INDEX(前年度名簿!$B$3:$B$452,$N43))</f>
        <v/>
      </c>
      <c r="C43" s="49">
        <f>IF($N43="","",INDEX(前年度名簿!$C$3:$C$452,$N43))</f>
        <v/>
      </c>
      <c r="D43" s="49" t="n"/>
      <c r="E43" s="49" t="n"/>
      <c r="F43" s="49" t="n"/>
      <c r="G43" s="4">
        <f>IF(A43="","",IFERROR(INDEX(前年度名簿!$D$3:$D$452,MATCH(A43&amp;"-"&amp;B43&amp;"-"&amp;C43,前年度名簿!$F$3:$F$452,0)),""))</f>
        <v/>
      </c>
      <c r="H43" s="50">
        <f>IF(D43="","",IF(ISERROR(VALUE(D43)),D43&amp;"",IF(AND(VALUE(D43)&gt;=1,VALUE(D43)&lt;=20),IF(INDEX(設定!$P$8:$P$27,VALUE(D43))="","？",INDEX(設定!$P$8:$P$27,VALUE(D43))),"？")))</f>
        <v/>
      </c>
      <c r="I43" s="50">
        <f>IF(E43="","",IF(ISERROR(VALUE(E43)),E43&amp;"",IF(AND(VALUE(E43)&gt;=1,VALUE(E43)&lt;=20),IF(INDEX(設定!$P$8:$P$27,VALUE(E43))="","？",INDEX(設定!$P$8:$P$27,VALUE(E43))),"？")))</f>
        <v/>
      </c>
      <c r="J43" s="50">
        <f>IF(F43="","",IF(ISERROR(VALUE(F43)),F43&amp;"",IF(AND(VALUE(F43)&gt;=1,VALUE(F43)&lt;=20),IF(INDEX(設定!$P$8:$P$27,VALUE(F43))="","？",INDEX(設定!$P$8:$P$27,VALUE(F43))),"？")))</f>
        <v/>
      </c>
      <c r="K43" s="51">
        <f>IF(L43="","",IF(G43="","名簿にいない",IF(COUNTIF(L44:L$555,L43)&gt;0,"2回提出（下の行を使います）",IF(H43="転出","転出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OR(AND(H43&lt;&gt;"",H43=I43),AND(H43&lt;&gt;"",H43=J43),AND(I43&lt;&gt;"",I43=J43)),"同じクラブを重複して希望","OK")))))))</f>
        <v/>
      </c>
      <c r="L43" s="11">
        <f>IF(OR(A43="",D43=""),"",A43&amp;"-"&amp;B43&amp;"-"&amp;C43)</f>
        <v/>
      </c>
      <c r="M43" s="11">
        <f>IF(OR(L43="",G43=""),"",IF(COUNTIF(L44:L$555,L43)=0,L43,""))</f>
        <v/>
      </c>
      <c r="N43" s="11">
        <f>IFERROR(MATCH(SMALL(前年度名簿!$G$3:$G$452,39),前年度名簿!$G$3:$G$452,0),"")</f>
        <v/>
      </c>
    </row>
    <row r="44">
      <c r="A44" s="49">
        <f>IF($N44="","",INDEX(前年度名簿!$A$3:$A$452,$N44))</f>
        <v/>
      </c>
      <c r="B44" s="49">
        <f>IF($N44="","",INDEX(前年度名簿!$B$3:$B$452,$N44))</f>
        <v/>
      </c>
      <c r="C44" s="49">
        <f>IF($N44="","",INDEX(前年度名簿!$C$3:$C$452,$N44))</f>
        <v/>
      </c>
      <c r="D44" s="49" t="n"/>
      <c r="E44" s="49" t="n"/>
      <c r="F44" s="49" t="n"/>
      <c r="G44" s="4">
        <f>IF(A44="","",IFERROR(INDEX(前年度名簿!$D$3:$D$452,MATCH(A44&amp;"-"&amp;B44&amp;"-"&amp;C44,前年度名簿!$F$3:$F$452,0)),""))</f>
        <v/>
      </c>
      <c r="H44" s="50">
        <f>IF(D44="","",IF(ISERROR(VALUE(D44)),D44&amp;"",IF(AND(VALUE(D44)&gt;=1,VALUE(D44)&lt;=20),IF(INDEX(設定!$P$8:$P$27,VALUE(D44))="","？",INDEX(設定!$P$8:$P$27,VALUE(D44))),"？")))</f>
        <v/>
      </c>
      <c r="I44" s="50">
        <f>IF(E44="","",IF(ISERROR(VALUE(E44)),E44&amp;"",IF(AND(VALUE(E44)&gt;=1,VALUE(E44)&lt;=20),IF(INDEX(設定!$P$8:$P$27,VALUE(E44))="","？",INDEX(設定!$P$8:$P$27,VALUE(E44))),"？")))</f>
        <v/>
      </c>
      <c r="J44" s="50">
        <f>IF(F44="","",IF(ISERROR(VALUE(F44)),F44&amp;"",IF(AND(VALUE(F44)&gt;=1,VALUE(F44)&lt;=20),IF(INDEX(設定!$P$8:$P$27,VALUE(F44))="","？",INDEX(設定!$P$8:$P$27,VALUE(F44))),"？")))</f>
        <v/>
      </c>
      <c r="K44" s="51">
        <f>IF(L44="","",IF(G44="","名簿にいない",IF(COUNTIF(L45:L$555,L44)&gt;0,"2回提出（下の行を使います）",IF(H44="転出","転出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OR(AND(H44&lt;&gt;"",H44=I44),AND(H44&lt;&gt;"",H44=J44),AND(I44&lt;&gt;"",I44=J44)),"同じクラブを重複して希望","OK")))))))</f>
        <v/>
      </c>
      <c r="L44" s="11">
        <f>IF(OR(A44="",D44=""),"",A44&amp;"-"&amp;B44&amp;"-"&amp;C44)</f>
        <v/>
      </c>
      <c r="M44" s="11">
        <f>IF(OR(L44="",G44=""),"",IF(COUNTIF(L45:L$555,L44)=0,L44,""))</f>
        <v/>
      </c>
      <c r="N44" s="11">
        <f>IFERROR(MATCH(SMALL(前年度名簿!$G$3:$G$452,40),前年度名簿!$G$3:$G$452,0),"")</f>
        <v/>
      </c>
    </row>
    <row r="45">
      <c r="A45" s="49">
        <f>IF($N45="","",INDEX(前年度名簿!$A$3:$A$452,$N45))</f>
        <v/>
      </c>
      <c r="B45" s="49">
        <f>IF($N45="","",INDEX(前年度名簿!$B$3:$B$452,$N45))</f>
        <v/>
      </c>
      <c r="C45" s="49">
        <f>IF($N45="","",INDEX(前年度名簿!$C$3:$C$452,$N45))</f>
        <v/>
      </c>
      <c r="D45" s="49" t="n"/>
      <c r="E45" s="49" t="n"/>
      <c r="F45" s="49" t="n"/>
      <c r="G45" s="4">
        <f>IF(A45="","",IFERROR(INDEX(前年度名簿!$D$3:$D$452,MATCH(A45&amp;"-"&amp;B45&amp;"-"&amp;C45,前年度名簿!$F$3:$F$452,0)),""))</f>
        <v/>
      </c>
      <c r="H45" s="50">
        <f>IF(D45="","",IF(ISERROR(VALUE(D45)),D45&amp;"",IF(AND(VALUE(D45)&gt;=1,VALUE(D45)&lt;=20),IF(INDEX(設定!$P$8:$P$27,VALUE(D45))="","？",INDEX(設定!$P$8:$P$27,VALUE(D45))),"？")))</f>
        <v/>
      </c>
      <c r="I45" s="50">
        <f>IF(E45="","",IF(ISERROR(VALUE(E45)),E45&amp;"",IF(AND(VALUE(E45)&gt;=1,VALUE(E45)&lt;=20),IF(INDEX(設定!$P$8:$P$27,VALUE(E45))="","？",INDEX(設定!$P$8:$P$27,VALUE(E45))),"？")))</f>
        <v/>
      </c>
      <c r="J45" s="50">
        <f>IF(F45="","",IF(ISERROR(VALUE(F45)),F45&amp;"",IF(AND(VALUE(F45)&gt;=1,VALUE(F45)&lt;=20),IF(INDEX(設定!$P$8:$P$27,VALUE(F45))="","？",INDEX(設定!$P$8:$P$27,VALUE(F45))),"？")))</f>
        <v/>
      </c>
      <c r="K45" s="51">
        <f>IF(L45="","",IF(G45="","名簿にいない",IF(COUNTIF(L46:L$555,L45)&gt;0,"2回提出（下の行を使います）",IF(H45="転出","転出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OR(AND(H45&lt;&gt;"",H45=I45),AND(H45&lt;&gt;"",H45=J45),AND(I45&lt;&gt;"",I45=J45)),"同じクラブを重複して希望","OK")))))))</f>
        <v/>
      </c>
      <c r="L45" s="11">
        <f>IF(OR(A45="",D45=""),"",A45&amp;"-"&amp;B45&amp;"-"&amp;C45)</f>
        <v/>
      </c>
      <c r="M45" s="11">
        <f>IF(OR(L45="",G45=""),"",IF(COUNTIF(L46:L$555,L45)=0,L45,""))</f>
        <v/>
      </c>
      <c r="N45" s="11">
        <f>IFERROR(MATCH(SMALL(前年度名簿!$G$3:$G$452,41),前年度名簿!$G$3:$G$452,0),"")</f>
        <v/>
      </c>
    </row>
    <row r="46">
      <c r="A46" s="49">
        <f>IF($N46="","",INDEX(前年度名簿!$A$3:$A$452,$N46))</f>
        <v/>
      </c>
      <c r="B46" s="49">
        <f>IF($N46="","",INDEX(前年度名簿!$B$3:$B$452,$N46))</f>
        <v/>
      </c>
      <c r="C46" s="49">
        <f>IF($N46="","",INDEX(前年度名簿!$C$3:$C$452,$N46))</f>
        <v/>
      </c>
      <c r="D46" s="49" t="n"/>
      <c r="E46" s="49" t="n"/>
      <c r="F46" s="49" t="n"/>
      <c r="G46" s="4">
        <f>IF(A46="","",IFERROR(INDEX(前年度名簿!$D$3:$D$452,MATCH(A46&amp;"-"&amp;B46&amp;"-"&amp;C46,前年度名簿!$F$3:$F$452,0)),""))</f>
        <v/>
      </c>
      <c r="H46" s="50">
        <f>IF(D46="","",IF(ISERROR(VALUE(D46)),D46&amp;"",IF(AND(VALUE(D46)&gt;=1,VALUE(D46)&lt;=20),IF(INDEX(設定!$P$8:$P$27,VALUE(D46))="","？",INDEX(設定!$P$8:$P$27,VALUE(D46))),"？")))</f>
        <v/>
      </c>
      <c r="I46" s="50">
        <f>IF(E46="","",IF(ISERROR(VALUE(E46)),E46&amp;"",IF(AND(VALUE(E46)&gt;=1,VALUE(E46)&lt;=20),IF(INDEX(設定!$P$8:$P$27,VALUE(E46))="","？",INDEX(設定!$P$8:$P$27,VALUE(E46))),"？")))</f>
        <v/>
      </c>
      <c r="J46" s="50">
        <f>IF(F46="","",IF(ISERROR(VALUE(F46)),F46&amp;"",IF(AND(VALUE(F46)&gt;=1,VALUE(F46)&lt;=20),IF(INDEX(設定!$P$8:$P$27,VALUE(F46))="","？",INDEX(設定!$P$8:$P$27,VALUE(F46))),"？")))</f>
        <v/>
      </c>
      <c r="K46" s="51">
        <f>IF(L46="","",IF(G46="","名簿にいない",IF(COUNTIF(L47:L$555,L46)&gt;0,"2回提出（下の行を使います）",IF(H46="転出","転出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OR(AND(H46&lt;&gt;"",H46=I46),AND(H46&lt;&gt;"",H46=J46),AND(I46&lt;&gt;"",I46=J46)),"同じクラブを重複して希望","OK")))))))</f>
        <v/>
      </c>
      <c r="L46" s="11">
        <f>IF(OR(A46="",D46=""),"",A46&amp;"-"&amp;B46&amp;"-"&amp;C46)</f>
        <v/>
      </c>
      <c r="M46" s="11">
        <f>IF(OR(L46="",G46=""),"",IF(COUNTIF(L47:L$555,L46)=0,L46,""))</f>
        <v/>
      </c>
      <c r="N46" s="11">
        <f>IFERROR(MATCH(SMALL(前年度名簿!$G$3:$G$452,42),前年度名簿!$G$3:$G$452,0),"")</f>
        <v/>
      </c>
    </row>
    <row r="47">
      <c r="A47" s="49">
        <f>IF($N47="","",INDEX(前年度名簿!$A$3:$A$452,$N47))</f>
        <v/>
      </c>
      <c r="B47" s="49">
        <f>IF($N47="","",INDEX(前年度名簿!$B$3:$B$452,$N47))</f>
        <v/>
      </c>
      <c r="C47" s="49">
        <f>IF($N47="","",INDEX(前年度名簿!$C$3:$C$452,$N47))</f>
        <v/>
      </c>
      <c r="D47" s="49" t="n"/>
      <c r="E47" s="49" t="n"/>
      <c r="F47" s="49" t="n"/>
      <c r="G47" s="4">
        <f>IF(A47="","",IFERROR(INDEX(前年度名簿!$D$3:$D$452,MATCH(A47&amp;"-"&amp;B47&amp;"-"&amp;C47,前年度名簿!$F$3:$F$452,0)),""))</f>
        <v/>
      </c>
      <c r="H47" s="50">
        <f>IF(D47="","",IF(ISERROR(VALUE(D47)),D47&amp;"",IF(AND(VALUE(D47)&gt;=1,VALUE(D47)&lt;=20),IF(INDEX(設定!$P$8:$P$27,VALUE(D47))="","？",INDEX(設定!$P$8:$P$27,VALUE(D47))),"？")))</f>
        <v/>
      </c>
      <c r="I47" s="50">
        <f>IF(E47="","",IF(ISERROR(VALUE(E47)),E47&amp;"",IF(AND(VALUE(E47)&gt;=1,VALUE(E47)&lt;=20),IF(INDEX(設定!$P$8:$P$27,VALUE(E47))="","？",INDEX(設定!$P$8:$P$27,VALUE(E47))),"？")))</f>
        <v/>
      </c>
      <c r="J47" s="50">
        <f>IF(F47="","",IF(ISERROR(VALUE(F47)),F47&amp;"",IF(AND(VALUE(F47)&gt;=1,VALUE(F47)&lt;=20),IF(INDEX(設定!$P$8:$P$27,VALUE(F47))="","？",INDEX(設定!$P$8:$P$27,VALUE(F47))),"？")))</f>
        <v/>
      </c>
      <c r="K47" s="51">
        <f>IF(L47="","",IF(G47="","名簿にいない",IF(COUNTIF(L48:L$555,L47)&gt;0,"2回提出（下の行を使います）",IF(H47="転出","転出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OR(AND(H47&lt;&gt;"",H47=I47),AND(H47&lt;&gt;"",H47=J47),AND(I47&lt;&gt;"",I47=J47)),"同じクラブを重複して希望","OK")))))))</f>
        <v/>
      </c>
      <c r="L47" s="11">
        <f>IF(OR(A47="",D47=""),"",A47&amp;"-"&amp;B47&amp;"-"&amp;C47)</f>
        <v/>
      </c>
      <c r="M47" s="11">
        <f>IF(OR(L47="",G47=""),"",IF(COUNTIF(L48:L$555,L47)=0,L47,""))</f>
        <v/>
      </c>
      <c r="N47" s="11">
        <f>IFERROR(MATCH(SMALL(前年度名簿!$G$3:$G$452,43),前年度名簿!$G$3:$G$452,0),"")</f>
        <v/>
      </c>
    </row>
    <row r="48">
      <c r="A48" s="49">
        <f>IF($N48="","",INDEX(前年度名簿!$A$3:$A$452,$N48))</f>
        <v/>
      </c>
      <c r="B48" s="49">
        <f>IF($N48="","",INDEX(前年度名簿!$B$3:$B$452,$N48))</f>
        <v/>
      </c>
      <c r="C48" s="49">
        <f>IF($N48="","",INDEX(前年度名簿!$C$3:$C$452,$N48))</f>
        <v/>
      </c>
      <c r="D48" s="49" t="n"/>
      <c r="E48" s="49" t="n"/>
      <c r="F48" s="49" t="n"/>
      <c r="G48" s="4">
        <f>IF(A48="","",IFERROR(INDEX(前年度名簿!$D$3:$D$452,MATCH(A48&amp;"-"&amp;B48&amp;"-"&amp;C48,前年度名簿!$F$3:$F$452,0)),""))</f>
        <v/>
      </c>
      <c r="H48" s="50">
        <f>IF(D48="","",IF(ISERROR(VALUE(D48)),D48&amp;"",IF(AND(VALUE(D48)&gt;=1,VALUE(D48)&lt;=20),IF(INDEX(設定!$P$8:$P$27,VALUE(D48))="","？",INDEX(設定!$P$8:$P$27,VALUE(D48))),"？")))</f>
        <v/>
      </c>
      <c r="I48" s="50">
        <f>IF(E48="","",IF(ISERROR(VALUE(E48)),E48&amp;"",IF(AND(VALUE(E48)&gt;=1,VALUE(E48)&lt;=20),IF(INDEX(設定!$P$8:$P$27,VALUE(E48))="","？",INDEX(設定!$P$8:$P$27,VALUE(E48))),"？")))</f>
        <v/>
      </c>
      <c r="J48" s="50">
        <f>IF(F48="","",IF(ISERROR(VALUE(F48)),F48&amp;"",IF(AND(VALUE(F48)&gt;=1,VALUE(F48)&lt;=20),IF(INDEX(設定!$P$8:$P$27,VALUE(F48))="","？",INDEX(設定!$P$8:$P$27,VALUE(F48))),"？")))</f>
        <v/>
      </c>
      <c r="K48" s="51">
        <f>IF(L48="","",IF(G48="","名簿にいない",IF(COUNTIF(L49:L$555,L48)&gt;0,"2回提出（下の行を使います）",IF(H48="転出","転出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OR(AND(H48&lt;&gt;"",H48=I48),AND(H48&lt;&gt;"",H48=J48),AND(I48&lt;&gt;"",I48=J48)),"同じクラブを重複して希望","OK")))))))</f>
        <v/>
      </c>
      <c r="L48" s="11">
        <f>IF(OR(A48="",D48=""),"",A48&amp;"-"&amp;B48&amp;"-"&amp;C48)</f>
        <v/>
      </c>
      <c r="M48" s="11">
        <f>IF(OR(L48="",G48=""),"",IF(COUNTIF(L49:L$555,L48)=0,L48,""))</f>
        <v/>
      </c>
      <c r="N48" s="11">
        <f>IFERROR(MATCH(SMALL(前年度名簿!$G$3:$G$452,44),前年度名簿!$G$3:$G$452,0),"")</f>
        <v/>
      </c>
    </row>
    <row r="49">
      <c r="A49" s="49">
        <f>IF($N49="","",INDEX(前年度名簿!$A$3:$A$452,$N49))</f>
        <v/>
      </c>
      <c r="B49" s="49">
        <f>IF($N49="","",INDEX(前年度名簿!$B$3:$B$452,$N49))</f>
        <v/>
      </c>
      <c r="C49" s="49">
        <f>IF($N49="","",INDEX(前年度名簿!$C$3:$C$452,$N49))</f>
        <v/>
      </c>
      <c r="D49" s="49" t="n"/>
      <c r="E49" s="49" t="n"/>
      <c r="F49" s="49" t="n"/>
      <c r="G49" s="4">
        <f>IF(A49="","",IFERROR(INDEX(前年度名簿!$D$3:$D$452,MATCH(A49&amp;"-"&amp;B49&amp;"-"&amp;C49,前年度名簿!$F$3:$F$452,0)),""))</f>
        <v/>
      </c>
      <c r="H49" s="50">
        <f>IF(D49="","",IF(ISERROR(VALUE(D49)),D49&amp;"",IF(AND(VALUE(D49)&gt;=1,VALUE(D49)&lt;=20),IF(INDEX(設定!$P$8:$P$27,VALUE(D49))="","？",INDEX(設定!$P$8:$P$27,VALUE(D49))),"？")))</f>
        <v/>
      </c>
      <c r="I49" s="50">
        <f>IF(E49="","",IF(ISERROR(VALUE(E49)),E49&amp;"",IF(AND(VALUE(E49)&gt;=1,VALUE(E49)&lt;=20),IF(INDEX(設定!$P$8:$P$27,VALUE(E49))="","？",INDEX(設定!$P$8:$P$27,VALUE(E49))),"？")))</f>
        <v/>
      </c>
      <c r="J49" s="50">
        <f>IF(F49="","",IF(ISERROR(VALUE(F49)),F49&amp;"",IF(AND(VALUE(F49)&gt;=1,VALUE(F49)&lt;=20),IF(INDEX(設定!$P$8:$P$27,VALUE(F49))="","？",INDEX(設定!$P$8:$P$27,VALUE(F49))),"？")))</f>
        <v/>
      </c>
      <c r="K49" s="51">
        <f>IF(L49="","",IF(G49="","名簿にいない",IF(COUNTIF(L50:L$555,L49)&gt;0,"2回提出（下の行を使います）",IF(H49="転出","転出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OR(AND(H49&lt;&gt;"",H49=I49),AND(H49&lt;&gt;"",H49=J49),AND(I49&lt;&gt;"",I49=J49)),"同じクラブを重複して希望","OK")))))))</f>
        <v/>
      </c>
      <c r="L49" s="11">
        <f>IF(OR(A49="",D49=""),"",A49&amp;"-"&amp;B49&amp;"-"&amp;C49)</f>
        <v/>
      </c>
      <c r="M49" s="11">
        <f>IF(OR(L49="",G49=""),"",IF(COUNTIF(L50:L$555,L49)=0,L49,""))</f>
        <v/>
      </c>
      <c r="N49" s="11">
        <f>IFERROR(MATCH(SMALL(前年度名簿!$G$3:$G$452,45),前年度名簿!$G$3:$G$452,0),"")</f>
        <v/>
      </c>
    </row>
    <row r="50">
      <c r="A50" s="49">
        <f>IF($N50="","",INDEX(前年度名簿!$A$3:$A$452,$N50))</f>
        <v/>
      </c>
      <c r="B50" s="49">
        <f>IF($N50="","",INDEX(前年度名簿!$B$3:$B$452,$N50))</f>
        <v/>
      </c>
      <c r="C50" s="49">
        <f>IF($N50="","",INDEX(前年度名簿!$C$3:$C$452,$N50))</f>
        <v/>
      </c>
      <c r="D50" s="49" t="n"/>
      <c r="E50" s="49" t="n"/>
      <c r="F50" s="49" t="n"/>
      <c r="G50" s="4">
        <f>IF(A50="","",IFERROR(INDEX(前年度名簿!$D$3:$D$452,MATCH(A50&amp;"-"&amp;B50&amp;"-"&amp;C50,前年度名簿!$F$3:$F$452,0)),""))</f>
        <v/>
      </c>
      <c r="H50" s="50">
        <f>IF(D50="","",IF(ISERROR(VALUE(D50)),D50&amp;"",IF(AND(VALUE(D50)&gt;=1,VALUE(D50)&lt;=20),IF(INDEX(設定!$P$8:$P$27,VALUE(D50))="","？",INDEX(設定!$P$8:$P$27,VALUE(D50))),"？")))</f>
        <v/>
      </c>
      <c r="I50" s="50">
        <f>IF(E50="","",IF(ISERROR(VALUE(E50)),E50&amp;"",IF(AND(VALUE(E50)&gt;=1,VALUE(E50)&lt;=20),IF(INDEX(設定!$P$8:$P$27,VALUE(E50))="","？",INDEX(設定!$P$8:$P$27,VALUE(E50))),"？")))</f>
        <v/>
      </c>
      <c r="J50" s="50">
        <f>IF(F50="","",IF(ISERROR(VALUE(F50)),F50&amp;"",IF(AND(VALUE(F50)&gt;=1,VALUE(F50)&lt;=20),IF(INDEX(設定!$P$8:$P$27,VALUE(F50))="","？",INDEX(設定!$P$8:$P$27,VALUE(F50))),"？")))</f>
        <v/>
      </c>
      <c r="K50" s="51">
        <f>IF(L50="","",IF(G50="","名簿にいない",IF(COUNTIF(L51:L$555,L50)&gt;0,"2回提出（下の行を使います）",IF(H50="転出","転出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OR(AND(H50&lt;&gt;"",H50=I50),AND(H50&lt;&gt;"",H50=J50),AND(I50&lt;&gt;"",I50=J50)),"同じクラブを重複して希望","OK")))))))</f>
        <v/>
      </c>
      <c r="L50" s="11">
        <f>IF(OR(A50="",D50=""),"",A50&amp;"-"&amp;B50&amp;"-"&amp;C50)</f>
        <v/>
      </c>
      <c r="M50" s="11">
        <f>IF(OR(L50="",G50=""),"",IF(COUNTIF(L51:L$555,L50)=0,L50,""))</f>
        <v/>
      </c>
      <c r="N50" s="11">
        <f>IFERROR(MATCH(SMALL(前年度名簿!$G$3:$G$452,46),前年度名簿!$G$3:$G$452,0),"")</f>
        <v/>
      </c>
    </row>
    <row r="51">
      <c r="A51" s="49">
        <f>IF($N51="","",INDEX(前年度名簿!$A$3:$A$452,$N51))</f>
        <v/>
      </c>
      <c r="B51" s="49">
        <f>IF($N51="","",INDEX(前年度名簿!$B$3:$B$452,$N51))</f>
        <v/>
      </c>
      <c r="C51" s="49">
        <f>IF($N51="","",INDEX(前年度名簿!$C$3:$C$452,$N51))</f>
        <v/>
      </c>
      <c r="D51" s="49" t="n"/>
      <c r="E51" s="49" t="n"/>
      <c r="F51" s="49" t="n"/>
      <c r="G51" s="4">
        <f>IF(A51="","",IFERROR(INDEX(前年度名簿!$D$3:$D$452,MATCH(A51&amp;"-"&amp;B51&amp;"-"&amp;C51,前年度名簿!$F$3:$F$452,0)),""))</f>
        <v/>
      </c>
      <c r="H51" s="50">
        <f>IF(D51="","",IF(ISERROR(VALUE(D51)),D51&amp;"",IF(AND(VALUE(D51)&gt;=1,VALUE(D51)&lt;=20),IF(INDEX(設定!$P$8:$P$27,VALUE(D51))="","？",INDEX(設定!$P$8:$P$27,VALUE(D51))),"？")))</f>
        <v/>
      </c>
      <c r="I51" s="50">
        <f>IF(E51="","",IF(ISERROR(VALUE(E51)),E51&amp;"",IF(AND(VALUE(E51)&gt;=1,VALUE(E51)&lt;=20),IF(INDEX(設定!$P$8:$P$27,VALUE(E51))="","？",INDEX(設定!$P$8:$P$27,VALUE(E51))),"？")))</f>
        <v/>
      </c>
      <c r="J51" s="50">
        <f>IF(F51="","",IF(ISERROR(VALUE(F51)),F51&amp;"",IF(AND(VALUE(F51)&gt;=1,VALUE(F51)&lt;=20),IF(INDEX(設定!$P$8:$P$27,VALUE(F51))="","？",INDEX(設定!$P$8:$P$27,VALUE(F51))),"？")))</f>
        <v/>
      </c>
      <c r="K51" s="51">
        <f>IF(L51="","",IF(G51="","名簿にいない",IF(COUNTIF(L52:L$555,L51)&gt;0,"2回提出（下の行を使います）",IF(H51="転出","転出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OR(AND(H51&lt;&gt;"",H51=I51),AND(H51&lt;&gt;"",H51=J51),AND(I51&lt;&gt;"",I51=J51)),"同じクラブを重複して希望","OK")))))))</f>
        <v/>
      </c>
      <c r="L51" s="11">
        <f>IF(OR(A51="",D51=""),"",A51&amp;"-"&amp;B51&amp;"-"&amp;C51)</f>
        <v/>
      </c>
      <c r="M51" s="11">
        <f>IF(OR(L51="",G51=""),"",IF(COUNTIF(L52:L$555,L51)=0,L51,""))</f>
        <v/>
      </c>
      <c r="N51" s="11">
        <f>IFERROR(MATCH(SMALL(前年度名簿!$G$3:$G$452,47),前年度名簿!$G$3:$G$452,0),"")</f>
        <v/>
      </c>
    </row>
    <row r="52">
      <c r="A52" s="49">
        <f>IF($N52="","",INDEX(前年度名簿!$A$3:$A$452,$N52))</f>
        <v/>
      </c>
      <c r="B52" s="49">
        <f>IF($N52="","",INDEX(前年度名簿!$B$3:$B$452,$N52))</f>
        <v/>
      </c>
      <c r="C52" s="49">
        <f>IF($N52="","",INDEX(前年度名簿!$C$3:$C$452,$N52))</f>
        <v/>
      </c>
      <c r="D52" s="49" t="n"/>
      <c r="E52" s="49" t="n"/>
      <c r="F52" s="49" t="n"/>
      <c r="G52" s="4">
        <f>IF(A52="","",IFERROR(INDEX(前年度名簿!$D$3:$D$452,MATCH(A52&amp;"-"&amp;B52&amp;"-"&amp;C52,前年度名簿!$F$3:$F$452,0)),""))</f>
        <v/>
      </c>
      <c r="H52" s="50">
        <f>IF(D52="","",IF(ISERROR(VALUE(D52)),D52&amp;"",IF(AND(VALUE(D52)&gt;=1,VALUE(D52)&lt;=20),IF(INDEX(設定!$P$8:$P$27,VALUE(D52))="","？",INDEX(設定!$P$8:$P$27,VALUE(D52))),"？")))</f>
        <v/>
      </c>
      <c r="I52" s="50">
        <f>IF(E52="","",IF(ISERROR(VALUE(E52)),E52&amp;"",IF(AND(VALUE(E52)&gt;=1,VALUE(E52)&lt;=20),IF(INDEX(設定!$P$8:$P$27,VALUE(E52))="","？",INDEX(設定!$P$8:$P$27,VALUE(E52))),"？")))</f>
        <v/>
      </c>
      <c r="J52" s="50">
        <f>IF(F52="","",IF(ISERROR(VALUE(F52)),F52&amp;"",IF(AND(VALUE(F52)&gt;=1,VALUE(F52)&lt;=20),IF(INDEX(設定!$P$8:$P$27,VALUE(F52))="","？",INDEX(設定!$P$8:$P$27,VALUE(F52))),"？")))</f>
        <v/>
      </c>
      <c r="K52" s="51">
        <f>IF(L52="","",IF(G52="","名簿にいない",IF(COUNTIF(L53:L$555,L52)&gt;0,"2回提出（下の行を使います）",IF(H52="転出","転出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OR(AND(H52&lt;&gt;"",H52=I52),AND(H52&lt;&gt;"",H52=J52),AND(I52&lt;&gt;"",I52=J52)),"同じクラブを重複して希望","OK")))))))</f>
        <v/>
      </c>
      <c r="L52" s="11">
        <f>IF(OR(A52="",D52=""),"",A52&amp;"-"&amp;B52&amp;"-"&amp;C52)</f>
        <v/>
      </c>
      <c r="M52" s="11">
        <f>IF(OR(L52="",G52=""),"",IF(COUNTIF(L53:L$555,L52)=0,L52,""))</f>
        <v/>
      </c>
      <c r="N52" s="11">
        <f>IFERROR(MATCH(SMALL(前年度名簿!$G$3:$G$452,48),前年度名簿!$G$3:$G$452,0),"")</f>
        <v/>
      </c>
    </row>
    <row r="53">
      <c r="A53" s="49">
        <f>IF($N53="","",INDEX(前年度名簿!$A$3:$A$452,$N53))</f>
        <v/>
      </c>
      <c r="B53" s="49">
        <f>IF($N53="","",INDEX(前年度名簿!$B$3:$B$452,$N53))</f>
        <v/>
      </c>
      <c r="C53" s="49">
        <f>IF($N53="","",INDEX(前年度名簿!$C$3:$C$452,$N53))</f>
        <v/>
      </c>
      <c r="D53" s="49" t="n"/>
      <c r="E53" s="49" t="n"/>
      <c r="F53" s="49" t="n"/>
      <c r="G53" s="4">
        <f>IF(A53="","",IFERROR(INDEX(前年度名簿!$D$3:$D$452,MATCH(A53&amp;"-"&amp;B53&amp;"-"&amp;C53,前年度名簿!$F$3:$F$452,0)),""))</f>
        <v/>
      </c>
      <c r="H53" s="50">
        <f>IF(D53="","",IF(ISERROR(VALUE(D53)),D53&amp;"",IF(AND(VALUE(D53)&gt;=1,VALUE(D53)&lt;=20),IF(INDEX(設定!$P$8:$P$27,VALUE(D53))="","？",INDEX(設定!$P$8:$P$27,VALUE(D53))),"？")))</f>
        <v/>
      </c>
      <c r="I53" s="50">
        <f>IF(E53="","",IF(ISERROR(VALUE(E53)),E53&amp;"",IF(AND(VALUE(E53)&gt;=1,VALUE(E53)&lt;=20),IF(INDEX(設定!$P$8:$P$27,VALUE(E53))="","？",INDEX(設定!$P$8:$P$27,VALUE(E53))),"？")))</f>
        <v/>
      </c>
      <c r="J53" s="50">
        <f>IF(F53="","",IF(ISERROR(VALUE(F53)),F53&amp;"",IF(AND(VALUE(F53)&gt;=1,VALUE(F53)&lt;=20),IF(INDEX(設定!$P$8:$P$27,VALUE(F53))="","？",INDEX(設定!$P$8:$P$27,VALUE(F53))),"？")))</f>
        <v/>
      </c>
      <c r="K53" s="51">
        <f>IF(L53="","",IF(G53="","名簿にいない",IF(COUNTIF(L54:L$555,L53)&gt;0,"2回提出（下の行を使います）",IF(H53="転出","転出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OR(AND(H53&lt;&gt;"",H53=I53),AND(H53&lt;&gt;"",H53=J53),AND(I53&lt;&gt;"",I53=J53)),"同じクラブを重複して希望","OK")))))))</f>
        <v/>
      </c>
      <c r="L53" s="11">
        <f>IF(OR(A53="",D53=""),"",A53&amp;"-"&amp;B53&amp;"-"&amp;C53)</f>
        <v/>
      </c>
      <c r="M53" s="11">
        <f>IF(OR(L53="",G53=""),"",IF(COUNTIF(L54:L$555,L53)=0,L53,""))</f>
        <v/>
      </c>
      <c r="N53" s="11">
        <f>IFERROR(MATCH(SMALL(前年度名簿!$G$3:$G$452,49),前年度名簿!$G$3:$G$452,0),"")</f>
        <v/>
      </c>
    </row>
    <row r="54">
      <c r="A54" s="49">
        <f>IF($N54="","",INDEX(前年度名簿!$A$3:$A$452,$N54))</f>
        <v/>
      </c>
      <c r="B54" s="49">
        <f>IF($N54="","",INDEX(前年度名簿!$B$3:$B$452,$N54))</f>
        <v/>
      </c>
      <c r="C54" s="49">
        <f>IF($N54="","",INDEX(前年度名簿!$C$3:$C$452,$N54))</f>
        <v/>
      </c>
      <c r="D54" s="49" t="n"/>
      <c r="E54" s="49" t="n"/>
      <c r="F54" s="49" t="n"/>
      <c r="G54" s="4">
        <f>IF(A54="","",IFERROR(INDEX(前年度名簿!$D$3:$D$452,MATCH(A54&amp;"-"&amp;B54&amp;"-"&amp;C54,前年度名簿!$F$3:$F$452,0)),""))</f>
        <v/>
      </c>
      <c r="H54" s="50">
        <f>IF(D54="","",IF(ISERROR(VALUE(D54)),D54&amp;"",IF(AND(VALUE(D54)&gt;=1,VALUE(D54)&lt;=20),IF(INDEX(設定!$P$8:$P$27,VALUE(D54))="","？",INDEX(設定!$P$8:$P$27,VALUE(D54))),"？")))</f>
        <v/>
      </c>
      <c r="I54" s="50">
        <f>IF(E54="","",IF(ISERROR(VALUE(E54)),E54&amp;"",IF(AND(VALUE(E54)&gt;=1,VALUE(E54)&lt;=20),IF(INDEX(設定!$P$8:$P$27,VALUE(E54))="","？",INDEX(設定!$P$8:$P$27,VALUE(E54))),"？")))</f>
        <v/>
      </c>
      <c r="J54" s="50">
        <f>IF(F54="","",IF(ISERROR(VALUE(F54)),F54&amp;"",IF(AND(VALUE(F54)&gt;=1,VALUE(F54)&lt;=20),IF(INDEX(設定!$P$8:$P$27,VALUE(F54))="","？",INDEX(設定!$P$8:$P$27,VALUE(F54))),"？")))</f>
        <v/>
      </c>
      <c r="K54" s="51">
        <f>IF(L54="","",IF(G54="","名簿にいない",IF(COUNTIF(L55:L$555,L54)&gt;0,"2回提出（下の行を使います）",IF(H54="転出","転出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OR(AND(H54&lt;&gt;"",H54=I54),AND(H54&lt;&gt;"",H54=J54),AND(I54&lt;&gt;"",I54=J54)),"同じクラブを重複して希望","OK")))))))</f>
        <v/>
      </c>
      <c r="L54" s="11">
        <f>IF(OR(A54="",D54=""),"",A54&amp;"-"&amp;B54&amp;"-"&amp;C54)</f>
        <v/>
      </c>
      <c r="M54" s="11">
        <f>IF(OR(L54="",G54=""),"",IF(COUNTIF(L55:L$555,L54)=0,L54,""))</f>
        <v/>
      </c>
      <c r="N54" s="11">
        <f>IFERROR(MATCH(SMALL(前年度名簿!$G$3:$G$452,50),前年度名簿!$G$3:$G$452,0),"")</f>
        <v/>
      </c>
    </row>
    <row r="55">
      <c r="A55" s="49">
        <f>IF($N55="","",INDEX(前年度名簿!$A$3:$A$452,$N55))</f>
        <v/>
      </c>
      <c r="B55" s="49">
        <f>IF($N55="","",INDEX(前年度名簿!$B$3:$B$452,$N55))</f>
        <v/>
      </c>
      <c r="C55" s="49">
        <f>IF($N55="","",INDEX(前年度名簿!$C$3:$C$452,$N55))</f>
        <v/>
      </c>
      <c r="D55" s="49" t="n"/>
      <c r="E55" s="49" t="n"/>
      <c r="F55" s="49" t="n"/>
      <c r="G55" s="4">
        <f>IF(A55="","",IFERROR(INDEX(前年度名簿!$D$3:$D$452,MATCH(A55&amp;"-"&amp;B55&amp;"-"&amp;C55,前年度名簿!$F$3:$F$452,0)),""))</f>
        <v/>
      </c>
      <c r="H55" s="50">
        <f>IF(D55="","",IF(ISERROR(VALUE(D55)),D55&amp;"",IF(AND(VALUE(D55)&gt;=1,VALUE(D55)&lt;=20),IF(INDEX(設定!$P$8:$P$27,VALUE(D55))="","？",INDEX(設定!$P$8:$P$27,VALUE(D55))),"？")))</f>
        <v/>
      </c>
      <c r="I55" s="50">
        <f>IF(E55="","",IF(ISERROR(VALUE(E55)),E55&amp;"",IF(AND(VALUE(E55)&gt;=1,VALUE(E55)&lt;=20),IF(INDEX(設定!$P$8:$P$27,VALUE(E55))="","？",INDEX(設定!$P$8:$P$27,VALUE(E55))),"？")))</f>
        <v/>
      </c>
      <c r="J55" s="50">
        <f>IF(F55="","",IF(ISERROR(VALUE(F55)),F55&amp;"",IF(AND(VALUE(F55)&gt;=1,VALUE(F55)&lt;=20),IF(INDEX(設定!$P$8:$P$27,VALUE(F55))="","？",INDEX(設定!$P$8:$P$27,VALUE(F55))),"？")))</f>
        <v/>
      </c>
      <c r="K55" s="51">
        <f>IF(L55="","",IF(G55="","名簿にいない",IF(COUNTIF(L56:L$555,L55)&gt;0,"2回提出（下の行を使います）",IF(H55="転出","転出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OR(AND(H55&lt;&gt;"",H55=I55),AND(H55&lt;&gt;"",H55=J55),AND(I55&lt;&gt;"",I55=J55)),"同じクラブを重複して希望","OK")))))))</f>
        <v/>
      </c>
      <c r="L55" s="11">
        <f>IF(OR(A55="",D55=""),"",A55&amp;"-"&amp;B55&amp;"-"&amp;C55)</f>
        <v/>
      </c>
      <c r="M55" s="11">
        <f>IF(OR(L55="",G55=""),"",IF(COUNTIF(L56:L$555,L55)=0,L55,""))</f>
        <v/>
      </c>
      <c r="N55" s="11">
        <f>IFERROR(MATCH(SMALL(前年度名簿!$G$3:$G$452,51),前年度名簿!$G$3:$G$452,0),"")</f>
        <v/>
      </c>
    </row>
    <row r="56">
      <c r="A56" s="49">
        <f>IF($N56="","",INDEX(前年度名簿!$A$3:$A$452,$N56))</f>
        <v/>
      </c>
      <c r="B56" s="49">
        <f>IF($N56="","",INDEX(前年度名簿!$B$3:$B$452,$N56))</f>
        <v/>
      </c>
      <c r="C56" s="49">
        <f>IF($N56="","",INDEX(前年度名簿!$C$3:$C$452,$N56))</f>
        <v/>
      </c>
      <c r="D56" s="49" t="n"/>
      <c r="E56" s="49" t="n"/>
      <c r="F56" s="49" t="n"/>
      <c r="G56" s="4">
        <f>IF(A56="","",IFERROR(INDEX(前年度名簿!$D$3:$D$452,MATCH(A56&amp;"-"&amp;B56&amp;"-"&amp;C56,前年度名簿!$F$3:$F$452,0)),""))</f>
        <v/>
      </c>
      <c r="H56" s="50">
        <f>IF(D56="","",IF(ISERROR(VALUE(D56)),D56&amp;"",IF(AND(VALUE(D56)&gt;=1,VALUE(D56)&lt;=20),IF(INDEX(設定!$P$8:$P$27,VALUE(D56))="","？",INDEX(設定!$P$8:$P$27,VALUE(D56))),"？")))</f>
        <v/>
      </c>
      <c r="I56" s="50">
        <f>IF(E56="","",IF(ISERROR(VALUE(E56)),E56&amp;"",IF(AND(VALUE(E56)&gt;=1,VALUE(E56)&lt;=20),IF(INDEX(設定!$P$8:$P$27,VALUE(E56))="","？",INDEX(設定!$P$8:$P$27,VALUE(E56))),"？")))</f>
        <v/>
      </c>
      <c r="J56" s="50">
        <f>IF(F56="","",IF(ISERROR(VALUE(F56)),F56&amp;"",IF(AND(VALUE(F56)&gt;=1,VALUE(F56)&lt;=20),IF(INDEX(設定!$P$8:$P$27,VALUE(F56))="","？",INDEX(設定!$P$8:$P$27,VALUE(F56))),"？")))</f>
        <v/>
      </c>
      <c r="K56" s="51">
        <f>IF(L56="","",IF(G56="","名簿にいない",IF(COUNTIF(L57:L$555,L56)&gt;0,"2回提出（下の行を使います）",IF(H56="転出","転出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OR(AND(H56&lt;&gt;"",H56=I56),AND(H56&lt;&gt;"",H56=J56),AND(I56&lt;&gt;"",I56=J56)),"同じクラブを重複して希望","OK")))))))</f>
        <v/>
      </c>
      <c r="L56" s="11">
        <f>IF(OR(A56="",D56=""),"",A56&amp;"-"&amp;B56&amp;"-"&amp;C56)</f>
        <v/>
      </c>
      <c r="M56" s="11">
        <f>IF(OR(L56="",G56=""),"",IF(COUNTIF(L57:L$555,L56)=0,L56,""))</f>
        <v/>
      </c>
      <c r="N56" s="11">
        <f>IFERROR(MATCH(SMALL(前年度名簿!$G$3:$G$452,52),前年度名簿!$G$3:$G$452,0),"")</f>
        <v/>
      </c>
    </row>
    <row r="57">
      <c r="A57" s="49">
        <f>IF($N57="","",INDEX(前年度名簿!$A$3:$A$452,$N57))</f>
        <v/>
      </c>
      <c r="B57" s="49">
        <f>IF($N57="","",INDEX(前年度名簿!$B$3:$B$452,$N57))</f>
        <v/>
      </c>
      <c r="C57" s="49">
        <f>IF($N57="","",INDEX(前年度名簿!$C$3:$C$452,$N57))</f>
        <v/>
      </c>
      <c r="D57" s="49" t="n"/>
      <c r="E57" s="49" t="n"/>
      <c r="F57" s="49" t="n"/>
      <c r="G57" s="4">
        <f>IF(A57="","",IFERROR(INDEX(前年度名簿!$D$3:$D$452,MATCH(A57&amp;"-"&amp;B57&amp;"-"&amp;C57,前年度名簿!$F$3:$F$452,0)),""))</f>
        <v/>
      </c>
      <c r="H57" s="50">
        <f>IF(D57="","",IF(ISERROR(VALUE(D57)),D57&amp;"",IF(AND(VALUE(D57)&gt;=1,VALUE(D57)&lt;=20),IF(INDEX(設定!$P$8:$P$27,VALUE(D57))="","？",INDEX(設定!$P$8:$P$27,VALUE(D57))),"？")))</f>
        <v/>
      </c>
      <c r="I57" s="50">
        <f>IF(E57="","",IF(ISERROR(VALUE(E57)),E57&amp;"",IF(AND(VALUE(E57)&gt;=1,VALUE(E57)&lt;=20),IF(INDEX(設定!$P$8:$P$27,VALUE(E57))="","？",INDEX(設定!$P$8:$P$27,VALUE(E57))),"？")))</f>
        <v/>
      </c>
      <c r="J57" s="50">
        <f>IF(F57="","",IF(ISERROR(VALUE(F57)),F57&amp;"",IF(AND(VALUE(F57)&gt;=1,VALUE(F57)&lt;=20),IF(INDEX(設定!$P$8:$P$27,VALUE(F57))="","？",INDEX(設定!$P$8:$P$27,VALUE(F57))),"？")))</f>
        <v/>
      </c>
      <c r="K57" s="51">
        <f>IF(L57="","",IF(G57="","名簿にいない",IF(COUNTIF(L58:L$555,L57)&gt;0,"2回提出（下の行を使います）",IF(H57="転出","転出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OR(AND(H57&lt;&gt;"",H57=I57),AND(H57&lt;&gt;"",H57=J57),AND(I57&lt;&gt;"",I57=J57)),"同じクラブを重複して希望","OK")))))))</f>
        <v/>
      </c>
      <c r="L57" s="11">
        <f>IF(OR(A57="",D57=""),"",A57&amp;"-"&amp;B57&amp;"-"&amp;C57)</f>
        <v/>
      </c>
      <c r="M57" s="11">
        <f>IF(OR(L57="",G57=""),"",IF(COUNTIF(L58:L$555,L57)=0,L57,""))</f>
        <v/>
      </c>
      <c r="N57" s="11">
        <f>IFERROR(MATCH(SMALL(前年度名簿!$G$3:$G$452,53),前年度名簿!$G$3:$G$452,0),"")</f>
        <v/>
      </c>
    </row>
    <row r="58">
      <c r="A58" s="49">
        <f>IF($N58="","",INDEX(前年度名簿!$A$3:$A$452,$N58))</f>
        <v/>
      </c>
      <c r="B58" s="49">
        <f>IF($N58="","",INDEX(前年度名簿!$B$3:$B$452,$N58))</f>
        <v/>
      </c>
      <c r="C58" s="49">
        <f>IF($N58="","",INDEX(前年度名簿!$C$3:$C$452,$N58))</f>
        <v/>
      </c>
      <c r="D58" s="49" t="n"/>
      <c r="E58" s="49" t="n"/>
      <c r="F58" s="49" t="n"/>
      <c r="G58" s="4">
        <f>IF(A58="","",IFERROR(INDEX(前年度名簿!$D$3:$D$452,MATCH(A58&amp;"-"&amp;B58&amp;"-"&amp;C58,前年度名簿!$F$3:$F$452,0)),""))</f>
        <v/>
      </c>
      <c r="H58" s="50">
        <f>IF(D58="","",IF(ISERROR(VALUE(D58)),D58&amp;"",IF(AND(VALUE(D58)&gt;=1,VALUE(D58)&lt;=20),IF(INDEX(設定!$P$8:$P$27,VALUE(D58))="","？",INDEX(設定!$P$8:$P$27,VALUE(D58))),"？")))</f>
        <v/>
      </c>
      <c r="I58" s="50">
        <f>IF(E58="","",IF(ISERROR(VALUE(E58)),E58&amp;"",IF(AND(VALUE(E58)&gt;=1,VALUE(E58)&lt;=20),IF(INDEX(設定!$P$8:$P$27,VALUE(E58))="","？",INDEX(設定!$P$8:$P$27,VALUE(E58))),"？")))</f>
        <v/>
      </c>
      <c r="J58" s="50">
        <f>IF(F58="","",IF(ISERROR(VALUE(F58)),F58&amp;"",IF(AND(VALUE(F58)&gt;=1,VALUE(F58)&lt;=20),IF(INDEX(設定!$P$8:$P$27,VALUE(F58))="","？",INDEX(設定!$P$8:$P$27,VALUE(F58))),"？")))</f>
        <v/>
      </c>
      <c r="K58" s="51">
        <f>IF(L58="","",IF(G58="","名簿にいない",IF(COUNTIF(L59:L$555,L58)&gt;0,"2回提出（下の行を使います）",IF(H58="転出","転出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OR(AND(H58&lt;&gt;"",H58=I58),AND(H58&lt;&gt;"",H58=J58),AND(I58&lt;&gt;"",I58=J58)),"同じクラブを重複して希望","OK")))))))</f>
        <v/>
      </c>
      <c r="L58" s="11">
        <f>IF(OR(A58="",D58=""),"",A58&amp;"-"&amp;B58&amp;"-"&amp;C58)</f>
        <v/>
      </c>
      <c r="M58" s="11">
        <f>IF(OR(L58="",G58=""),"",IF(COUNTIF(L59:L$555,L58)=0,L58,""))</f>
        <v/>
      </c>
      <c r="N58" s="11">
        <f>IFERROR(MATCH(SMALL(前年度名簿!$G$3:$G$452,54),前年度名簿!$G$3:$G$452,0),"")</f>
        <v/>
      </c>
    </row>
    <row r="59">
      <c r="A59" s="49">
        <f>IF($N59="","",INDEX(前年度名簿!$A$3:$A$452,$N59))</f>
        <v/>
      </c>
      <c r="B59" s="49">
        <f>IF($N59="","",INDEX(前年度名簿!$B$3:$B$452,$N59))</f>
        <v/>
      </c>
      <c r="C59" s="49">
        <f>IF($N59="","",INDEX(前年度名簿!$C$3:$C$452,$N59))</f>
        <v/>
      </c>
      <c r="D59" s="49" t="n"/>
      <c r="E59" s="49" t="n"/>
      <c r="F59" s="49" t="n"/>
      <c r="G59" s="4">
        <f>IF(A59="","",IFERROR(INDEX(前年度名簿!$D$3:$D$452,MATCH(A59&amp;"-"&amp;B59&amp;"-"&amp;C59,前年度名簿!$F$3:$F$452,0)),""))</f>
        <v/>
      </c>
      <c r="H59" s="50">
        <f>IF(D59="","",IF(ISERROR(VALUE(D59)),D59&amp;"",IF(AND(VALUE(D59)&gt;=1,VALUE(D59)&lt;=20),IF(INDEX(設定!$P$8:$P$27,VALUE(D59))="","？",INDEX(設定!$P$8:$P$27,VALUE(D59))),"？")))</f>
        <v/>
      </c>
      <c r="I59" s="50">
        <f>IF(E59="","",IF(ISERROR(VALUE(E59)),E59&amp;"",IF(AND(VALUE(E59)&gt;=1,VALUE(E59)&lt;=20),IF(INDEX(設定!$P$8:$P$27,VALUE(E59))="","？",INDEX(設定!$P$8:$P$27,VALUE(E59))),"？")))</f>
        <v/>
      </c>
      <c r="J59" s="50">
        <f>IF(F59="","",IF(ISERROR(VALUE(F59)),F59&amp;"",IF(AND(VALUE(F59)&gt;=1,VALUE(F59)&lt;=20),IF(INDEX(設定!$P$8:$P$27,VALUE(F59))="","？",INDEX(設定!$P$8:$P$27,VALUE(F59))),"？")))</f>
        <v/>
      </c>
      <c r="K59" s="51">
        <f>IF(L59="","",IF(G59="","名簿にいない",IF(COUNTIF(L60:L$555,L59)&gt;0,"2回提出（下の行を使います）",IF(H59="転出","転出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OR(AND(H59&lt;&gt;"",H59=I59),AND(H59&lt;&gt;"",H59=J59),AND(I59&lt;&gt;"",I59=J59)),"同じクラブを重複して希望","OK")))))))</f>
        <v/>
      </c>
      <c r="L59" s="11">
        <f>IF(OR(A59="",D59=""),"",A59&amp;"-"&amp;B59&amp;"-"&amp;C59)</f>
        <v/>
      </c>
      <c r="M59" s="11">
        <f>IF(OR(L59="",G59=""),"",IF(COUNTIF(L60:L$555,L59)=0,L59,""))</f>
        <v/>
      </c>
      <c r="N59" s="11">
        <f>IFERROR(MATCH(SMALL(前年度名簿!$G$3:$G$452,55),前年度名簿!$G$3:$G$452,0),"")</f>
        <v/>
      </c>
    </row>
    <row r="60">
      <c r="A60" s="49">
        <f>IF($N60="","",INDEX(前年度名簿!$A$3:$A$452,$N60))</f>
        <v/>
      </c>
      <c r="B60" s="49">
        <f>IF($N60="","",INDEX(前年度名簿!$B$3:$B$452,$N60))</f>
        <v/>
      </c>
      <c r="C60" s="49">
        <f>IF($N60="","",INDEX(前年度名簿!$C$3:$C$452,$N60))</f>
        <v/>
      </c>
      <c r="D60" s="49" t="n"/>
      <c r="E60" s="49" t="n"/>
      <c r="F60" s="49" t="n"/>
      <c r="G60" s="4">
        <f>IF(A60="","",IFERROR(INDEX(前年度名簿!$D$3:$D$452,MATCH(A60&amp;"-"&amp;B60&amp;"-"&amp;C60,前年度名簿!$F$3:$F$452,0)),""))</f>
        <v/>
      </c>
      <c r="H60" s="50">
        <f>IF(D60="","",IF(ISERROR(VALUE(D60)),D60&amp;"",IF(AND(VALUE(D60)&gt;=1,VALUE(D60)&lt;=20),IF(INDEX(設定!$P$8:$P$27,VALUE(D60))="","？",INDEX(設定!$P$8:$P$27,VALUE(D60))),"？")))</f>
        <v/>
      </c>
      <c r="I60" s="50">
        <f>IF(E60="","",IF(ISERROR(VALUE(E60)),E60&amp;"",IF(AND(VALUE(E60)&gt;=1,VALUE(E60)&lt;=20),IF(INDEX(設定!$P$8:$P$27,VALUE(E60))="","？",INDEX(設定!$P$8:$P$27,VALUE(E60))),"？")))</f>
        <v/>
      </c>
      <c r="J60" s="50">
        <f>IF(F60="","",IF(ISERROR(VALUE(F60)),F60&amp;"",IF(AND(VALUE(F60)&gt;=1,VALUE(F60)&lt;=20),IF(INDEX(設定!$P$8:$P$27,VALUE(F60))="","？",INDEX(設定!$P$8:$P$27,VALUE(F60))),"？")))</f>
        <v/>
      </c>
      <c r="K60" s="51">
        <f>IF(L60="","",IF(G60="","名簿にいない",IF(COUNTIF(L61:L$555,L60)&gt;0,"2回提出（下の行を使います）",IF(H60="転出","転出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OR(AND(H60&lt;&gt;"",H60=I60),AND(H60&lt;&gt;"",H60=J60),AND(I60&lt;&gt;"",I60=J60)),"同じクラブを重複して希望","OK")))))))</f>
        <v/>
      </c>
      <c r="L60" s="11">
        <f>IF(OR(A60="",D60=""),"",A60&amp;"-"&amp;B60&amp;"-"&amp;C60)</f>
        <v/>
      </c>
      <c r="M60" s="11">
        <f>IF(OR(L60="",G60=""),"",IF(COUNTIF(L61:L$555,L60)=0,L60,""))</f>
        <v/>
      </c>
      <c r="N60" s="11">
        <f>IFERROR(MATCH(SMALL(前年度名簿!$G$3:$G$452,56),前年度名簿!$G$3:$G$452,0),"")</f>
        <v/>
      </c>
    </row>
    <row r="61">
      <c r="A61" s="49">
        <f>IF($N61="","",INDEX(前年度名簿!$A$3:$A$452,$N61))</f>
        <v/>
      </c>
      <c r="B61" s="49">
        <f>IF($N61="","",INDEX(前年度名簿!$B$3:$B$452,$N61))</f>
        <v/>
      </c>
      <c r="C61" s="49">
        <f>IF($N61="","",INDEX(前年度名簿!$C$3:$C$452,$N61))</f>
        <v/>
      </c>
      <c r="D61" s="49" t="n"/>
      <c r="E61" s="49" t="n"/>
      <c r="F61" s="49" t="n"/>
      <c r="G61" s="4">
        <f>IF(A61="","",IFERROR(INDEX(前年度名簿!$D$3:$D$452,MATCH(A61&amp;"-"&amp;B61&amp;"-"&amp;C61,前年度名簿!$F$3:$F$452,0)),""))</f>
        <v/>
      </c>
      <c r="H61" s="50">
        <f>IF(D61="","",IF(ISERROR(VALUE(D61)),D61&amp;"",IF(AND(VALUE(D61)&gt;=1,VALUE(D61)&lt;=20),IF(INDEX(設定!$P$8:$P$27,VALUE(D61))="","？",INDEX(設定!$P$8:$P$27,VALUE(D61))),"？")))</f>
        <v/>
      </c>
      <c r="I61" s="50">
        <f>IF(E61="","",IF(ISERROR(VALUE(E61)),E61&amp;"",IF(AND(VALUE(E61)&gt;=1,VALUE(E61)&lt;=20),IF(INDEX(設定!$P$8:$P$27,VALUE(E61))="","？",INDEX(設定!$P$8:$P$27,VALUE(E61))),"？")))</f>
        <v/>
      </c>
      <c r="J61" s="50">
        <f>IF(F61="","",IF(ISERROR(VALUE(F61)),F61&amp;"",IF(AND(VALUE(F61)&gt;=1,VALUE(F61)&lt;=20),IF(INDEX(設定!$P$8:$P$27,VALUE(F61))="","？",INDEX(設定!$P$8:$P$27,VALUE(F61))),"？")))</f>
        <v/>
      </c>
      <c r="K61" s="51">
        <f>IF(L61="","",IF(G61="","名簿にいない",IF(COUNTIF(L62:L$555,L61)&gt;0,"2回提出（下の行を使います）",IF(H61="転出","転出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OR(AND(H61&lt;&gt;"",H61=I61),AND(H61&lt;&gt;"",H61=J61),AND(I61&lt;&gt;"",I61=J61)),"同じクラブを重複して希望","OK")))))))</f>
        <v/>
      </c>
      <c r="L61" s="11">
        <f>IF(OR(A61="",D61=""),"",A61&amp;"-"&amp;B61&amp;"-"&amp;C61)</f>
        <v/>
      </c>
      <c r="M61" s="11">
        <f>IF(OR(L61="",G61=""),"",IF(COUNTIF(L62:L$555,L61)=0,L61,""))</f>
        <v/>
      </c>
      <c r="N61" s="11">
        <f>IFERROR(MATCH(SMALL(前年度名簿!$G$3:$G$452,57),前年度名簿!$G$3:$G$452,0),"")</f>
        <v/>
      </c>
    </row>
    <row r="62">
      <c r="A62" s="49">
        <f>IF($N62="","",INDEX(前年度名簿!$A$3:$A$452,$N62))</f>
        <v/>
      </c>
      <c r="B62" s="49">
        <f>IF($N62="","",INDEX(前年度名簿!$B$3:$B$452,$N62))</f>
        <v/>
      </c>
      <c r="C62" s="49">
        <f>IF($N62="","",INDEX(前年度名簿!$C$3:$C$452,$N62))</f>
        <v/>
      </c>
      <c r="D62" s="49" t="n"/>
      <c r="E62" s="49" t="n"/>
      <c r="F62" s="49" t="n"/>
      <c r="G62" s="4">
        <f>IF(A62="","",IFERROR(INDEX(前年度名簿!$D$3:$D$452,MATCH(A62&amp;"-"&amp;B62&amp;"-"&amp;C62,前年度名簿!$F$3:$F$452,0)),""))</f>
        <v/>
      </c>
      <c r="H62" s="50">
        <f>IF(D62="","",IF(ISERROR(VALUE(D62)),D62&amp;"",IF(AND(VALUE(D62)&gt;=1,VALUE(D62)&lt;=20),IF(INDEX(設定!$P$8:$P$27,VALUE(D62))="","？",INDEX(設定!$P$8:$P$27,VALUE(D62))),"？")))</f>
        <v/>
      </c>
      <c r="I62" s="50">
        <f>IF(E62="","",IF(ISERROR(VALUE(E62)),E62&amp;"",IF(AND(VALUE(E62)&gt;=1,VALUE(E62)&lt;=20),IF(INDEX(設定!$P$8:$P$27,VALUE(E62))="","？",INDEX(設定!$P$8:$P$27,VALUE(E62))),"？")))</f>
        <v/>
      </c>
      <c r="J62" s="50">
        <f>IF(F62="","",IF(ISERROR(VALUE(F62)),F62&amp;"",IF(AND(VALUE(F62)&gt;=1,VALUE(F62)&lt;=20),IF(INDEX(設定!$P$8:$P$27,VALUE(F62))="","？",INDEX(設定!$P$8:$P$27,VALUE(F62))),"？")))</f>
        <v/>
      </c>
      <c r="K62" s="51">
        <f>IF(L62="","",IF(G62="","名簿にいない",IF(COUNTIF(L63:L$555,L62)&gt;0,"2回提出（下の行を使います）",IF(H62="転出","転出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OR(AND(H62&lt;&gt;"",H62=I62),AND(H62&lt;&gt;"",H62=J62),AND(I62&lt;&gt;"",I62=J62)),"同じクラブを重複して希望","OK")))))))</f>
        <v/>
      </c>
      <c r="L62" s="11">
        <f>IF(OR(A62="",D62=""),"",A62&amp;"-"&amp;B62&amp;"-"&amp;C62)</f>
        <v/>
      </c>
      <c r="M62" s="11">
        <f>IF(OR(L62="",G62=""),"",IF(COUNTIF(L63:L$555,L62)=0,L62,""))</f>
        <v/>
      </c>
      <c r="N62" s="11">
        <f>IFERROR(MATCH(SMALL(前年度名簿!$G$3:$G$452,58),前年度名簿!$G$3:$G$452,0),"")</f>
        <v/>
      </c>
    </row>
    <row r="63">
      <c r="A63" s="49">
        <f>IF($N63="","",INDEX(前年度名簿!$A$3:$A$452,$N63))</f>
        <v/>
      </c>
      <c r="B63" s="49">
        <f>IF($N63="","",INDEX(前年度名簿!$B$3:$B$452,$N63))</f>
        <v/>
      </c>
      <c r="C63" s="49">
        <f>IF($N63="","",INDEX(前年度名簿!$C$3:$C$452,$N63))</f>
        <v/>
      </c>
      <c r="D63" s="49" t="n"/>
      <c r="E63" s="49" t="n"/>
      <c r="F63" s="49" t="n"/>
      <c r="G63" s="4">
        <f>IF(A63="","",IFERROR(INDEX(前年度名簿!$D$3:$D$452,MATCH(A63&amp;"-"&amp;B63&amp;"-"&amp;C63,前年度名簿!$F$3:$F$452,0)),""))</f>
        <v/>
      </c>
      <c r="H63" s="50">
        <f>IF(D63="","",IF(ISERROR(VALUE(D63)),D63&amp;"",IF(AND(VALUE(D63)&gt;=1,VALUE(D63)&lt;=20),IF(INDEX(設定!$P$8:$P$27,VALUE(D63))="","？",INDEX(設定!$P$8:$P$27,VALUE(D63))),"？")))</f>
        <v/>
      </c>
      <c r="I63" s="50">
        <f>IF(E63="","",IF(ISERROR(VALUE(E63)),E63&amp;"",IF(AND(VALUE(E63)&gt;=1,VALUE(E63)&lt;=20),IF(INDEX(設定!$P$8:$P$27,VALUE(E63))="","？",INDEX(設定!$P$8:$P$27,VALUE(E63))),"？")))</f>
        <v/>
      </c>
      <c r="J63" s="50">
        <f>IF(F63="","",IF(ISERROR(VALUE(F63)),F63&amp;"",IF(AND(VALUE(F63)&gt;=1,VALUE(F63)&lt;=20),IF(INDEX(設定!$P$8:$P$27,VALUE(F63))="","？",INDEX(設定!$P$8:$P$27,VALUE(F63))),"？")))</f>
        <v/>
      </c>
      <c r="K63" s="51">
        <f>IF(L63="","",IF(G63="","名簿にいない",IF(COUNTIF(L64:L$555,L63)&gt;0,"2回提出（下の行を使います）",IF(H63="転出","転出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OR(AND(H63&lt;&gt;"",H63=I63),AND(H63&lt;&gt;"",H63=J63),AND(I63&lt;&gt;"",I63=J63)),"同じクラブを重複して希望","OK")))))))</f>
        <v/>
      </c>
      <c r="L63" s="11">
        <f>IF(OR(A63="",D63=""),"",A63&amp;"-"&amp;B63&amp;"-"&amp;C63)</f>
        <v/>
      </c>
      <c r="M63" s="11">
        <f>IF(OR(L63="",G63=""),"",IF(COUNTIF(L64:L$555,L63)=0,L63,""))</f>
        <v/>
      </c>
      <c r="N63" s="11">
        <f>IFERROR(MATCH(SMALL(前年度名簿!$G$3:$G$452,59),前年度名簿!$G$3:$G$452,0),"")</f>
        <v/>
      </c>
    </row>
    <row r="64">
      <c r="A64" s="49">
        <f>IF($N64="","",INDEX(前年度名簿!$A$3:$A$452,$N64))</f>
        <v/>
      </c>
      <c r="B64" s="49">
        <f>IF($N64="","",INDEX(前年度名簿!$B$3:$B$452,$N64))</f>
        <v/>
      </c>
      <c r="C64" s="49">
        <f>IF($N64="","",INDEX(前年度名簿!$C$3:$C$452,$N64))</f>
        <v/>
      </c>
      <c r="D64" s="49" t="n"/>
      <c r="E64" s="49" t="n"/>
      <c r="F64" s="49" t="n"/>
      <c r="G64" s="4">
        <f>IF(A64="","",IFERROR(INDEX(前年度名簿!$D$3:$D$452,MATCH(A64&amp;"-"&amp;B64&amp;"-"&amp;C64,前年度名簿!$F$3:$F$452,0)),""))</f>
        <v/>
      </c>
      <c r="H64" s="50">
        <f>IF(D64="","",IF(ISERROR(VALUE(D64)),D64&amp;"",IF(AND(VALUE(D64)&gt;=1,VALUE(D64)&lt;=20),IF(INDEX(設定!$P$8:$P$27,VALUE(D64))="","？",INDEX(設定!$P$8:$P$27,VALUE(D64))),"？")))</f>
        <v/>
      </c>
      <c r="I64" s="50">
        <f>IF(E64="","",IF(ISERROR(VALUE(E64)),E64&amp;"",IF(AND(VALUE(E64)&gt;=1,VALUE(E64)&lt;=20),IF(INDEX(設定!$P$8:$P$27,VALUE(E64))="","？",INDEX(設定!$P$8:$P$27,VALUE(E64))),"？")))</f>
        <v/>
      </c>
      <c r="J64" s="50">
        <f>IF(F64="","",IF(ISERROR(VALUE(F64)),F64&amp;"",IF(AND(VALUE(F64)&gt;=1,VALUE(F64)&lt;=20),IF(INDEX(設定!$P$8:$P$27,VALUE(F64))="","？",INDEX(設定!$P$8:$P$27,VALUE(F64))),"？")))</f>
        <v/>
      </c>
      <c r="K64" s="51">
        <f>IF(L64="","",IF(G64="","名簿にいない",IF(COUNTIF(L65:L$555,L64)&gt;0,"2回提出（下の行を使います）",IF(H64="転出","転出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OR(AND(H64&lt;&gt;"",H64=I64),AND(H64&lt;&gt;"",H64=J64),AND(I64&lt;&gt;"",I64=J64)),"同じクラブを重複して希望","OK")))))))</f>
        <v/>
      </c>
      <c r="L64" s="11">
        <f>IF(OR(A64="",D64=""),"",A64&amp;"-"&amp;B64&amp;"-"&amp;C64)</f>
        <v/>
      </c>
      <c r="M64" s="11">
        <f>IF(OR(L64="",G64=""),"",IF(COUNTIF(L65:L$555,L64)=0,L64,""))</f>
        <v/>
      </c>
      <c r="N64" s="11">
        <f>IFERROR(MATCH(SMALL(前年度名簿!$G$3:$G$452,60),前年度名簿!$G$3:$G$452,0),"")</f>
        <v/>
      </c>
    </row>
    <row r="65">
      <c r="A65" s="49">
        <f>IF($N65="","",INDEX(前年度名簿!$A$3:$A$452,$N65))</f>
        <v/>
      </c>
      <c r="B65" s="49">
        <f>IF($N65="","",INDEX(前年度名簿!$B$3:$B$452,$N65))</f>
        <v/>
      </c>
      <c r="C65" s="49">
        <f>IF($N65="","",INDEX(前年度名簿!$C$3:$C$452,$N65))</f>
        <v/>
      </c>
      <c r="D65" s="49" t="n"/>
      <c r="E65" s="49" t="n"/>
      <c r="F65" s="49" t="n"/>
      <c r="G65" s="4">
        <f>IF(A65="","",IFERROR(INDEX(前年度名簿!$D$3:$D$452,MATCH(A65&amp;"-"&amp;B65&amp;"-"&amp;C65,前年度名簿!$F$3:$F$452,0)),""))</f>
        <v/>
      </c>
      <c r="H65" s="50">
        <f>IF(D65="","",IF(ISERROR(VALUE(D65)),D65&amp;"",IF(AND(VALUE(D65)&gt;=1,VALUE(D65)&lt;=20),IF(INDEX(設定!$P$8:$P$27,VALUE(D65))="","？",INDEX(設定!$P$8:$P$27,VALUE(D65))),"？")))</f>
        <v/>
      </c>
      <c r="I65" s="50">
        <f>IF(E65="","",IF(ISERROR(VALUE(E65)),E65&amp;"",IF(AND(VALUE(E65)&gt;=1,VALUE(E65)&lt;=20),IF(INDEX(設定!$P$8:$P$27,VALUE(E65))="","？",INDEX(設定!$P$8:$P$27,VALUE(E65))),"？")))</f>
        <v/>
      </c>
      <c r="J65" s="50">
        <f>IF(F65="","",IF(ISERROR(VALUE(F65)),F65&amp;"",IF(AND(VALUE(F65)&gt;=1,VALUE(F65)&lt;=20),IF(INDEX(設定!$P$8:$P$27,VALUE(F65))="","？",INDEX(設定!$P$8:$P$27,VALUE(F65))),"？")))</f>
        <v/>
      </c>
      <c r="K65" s="51">
        <f>IF(L65="","",IF(G65="","名簿にいない",IF(COUNTIF(L66:L$555,L65)&gt;0,"2回提出（下の行を使います）",IF(H65="転出","転出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OR(AND(H65&lt;&gt;"",H65=I65),AND(H65&lt;&gt;"",H65=J65),AND(I65&lt;&gt;"",I65=J65)),"同じクラブを重複して希望","OK")))))))</f>
        <v/>
      </c>
      <c r="L65" s="11">
        <f>IF(OR(A65="",D65=""),"",A65&amp;"-"&amp;B65&amp;"-"&amp;C65)</f>
        <v/>
      </c>
      <c r="M65" s="11">
        <f>IF(OR(L65="",G65=""),"",IF(COUNTIF(L66:L$555,L65)=0,L65,""))</f>
        <v/>
      </c>
      <c r="N65" s="11">
        <f>IFERROR(MATCH(SMALL(前年度名簿!$G$3:$G$452,61),前年度名簿!$G$3:$G$452,0),"")</f>
        <v/>
      </c>
    </row>
    <row r="66">
      <c r="A66" s="49">
        <f>IF($N66="","",INDEX(前年度名簿!$A$3:$A$452,$N66))</f>
        <v/>
      </c>
      <c r="B66" s="49">
        <f>IF($N66="","",INDEX(前年度名簿!$B$3:$B$452,$N66))</f>
        <v/>
      </c>
      <c r="C66" s="49">
        <f>IF($N66="","",INDEX(前年度名簿!$C$3:$C$452,$N66))</f>
        <v/>
      </c>
      <c r="D66" s="49" t="n"/>
      <c r="E66" s="49" t="n"/>
      <c r="F66" s="49" t="n"/>
      <c r="G66" s="4">
        <f>IF(A66="","",IFERROR(INDEX(前年度名簿!$D$3:$D$452,MATCH(A66&amp;"-"&amp;B66&amp;"-"&amp;C66,前年度名簿!$F$3:$F$452,0)),""))</f>
        <v/>
      </c>
      <c r="H66" s="50">
        <f>IF(D66="","",IF(ISERROR(VALUE(D66)),D66&amp;"",IF(AND(VALUE(D66)&gt;=1,VALUE(D66)&lt;=20),IF(INDEX(設定!$P$8:$P$27,VALUE(D66))="","？",INDEX(設定!$P$8:$P$27,VALUE(D66))),"？")))</f>
        <v/>
      </c>
      <c r="I66" s="50">
        <f>IF(E66="","",IF(ISERROR(VALUE(E66)),E66&amp;"",IF(AND(VALUE(E66)&gt;=1,VALUE(E66)&lt;=20),IF(INDEX(設定!$P$8:$P$27,VALUE(E66))="","？",INDEX(設定!$P$8:$P$27,VALUE(E66))),"？")))</f>
        <v/>
      </c>
      <c r="J66" s="50">
        <f>IF(F66="","",IF(ISERROR(VALUE(F66)),F66&amp;"",IF(AND(VALUE(F66)&gt;=1,VALUE(F66)&lt;=20),IF(INDEX(設定!$P$8:$P$27,VALUE(F66))="","？",INDEX(設定!$P$8:$P$27,VALUE(F66))),"？")))</f>
        <v/>
      </c>
      <c r="K66" s="51">
        <f>IF(L66="","",IF(G66="","名簿にいない",IF(COUNTIF(L67:L$555,L66)&gt;0,"2回提出（下の行を使います）",IF(H66="転出","転出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OR(AND(H66&lt;&gt;"",H66=I66),AND(H66&lt;&gt;"",H66=J66),AND(I66&lt;&gt;"",I66=J66)),"同じクラブを重複して希望","OK")))))))</f>
        <v/>
      </c>
      <c r="L66" s="11">
        <f>IF(OR(A66="",D66=""),"",A66&amp;"-"&amp;B66&amp;"-"&amp;C66)</f>
        <v/>
      </c>
      <c r="M66" s="11">
        <f>IF(OR(L66="",G66=""),"",IF(COUNTIF(L67:L$555,L66)=0,L66,""))</f>
        <v/>
      </c>
      <c r="N66" s="11">
        <f>IFERROR(MATCH(SMALL(前年度名簿!$G$3:$G$452,62),前年度名簿!$G$3:$G$452,0),"")</f>
        <v/>
      </c>
    </row>
    <row r="67">
      <c r="A67" s="49">
        <f>IF($N67="","",INDEX(前年度名簿!$A$3:$A$452,$N67))</f>
        <v/>
      </c>
      <c r="B67" s="49">
        <f>IF($N67="","",INDEX(前年度名簿!$B$3:$B$452,$N67))</f>
        <v/>
      </c>
      <c r="C67" s="49">
        <f>IF($N67="","",INDEX(前年度名簿!$C$3:$C$452,$N67))</f>
        <v/>
      </c>
      <c r="D67" s="49" t="n"/>
      <c r="E67" s="49" t="n"/>
      <c r="F67" s="49" t="n"/>
      <c r="G67" s="4">
        <f>IF(A67="","",IFERROR(INDEX(前年度名簿!$D$3:$D$452,MATCH(A67&amp;"-"&amp;B67&amp;"-"&amp;C67,前年度名簿!$F$3:$F$452,0)),""))</f>
        <v/>
      </c>
      <c r="H67" s="50">
        <f>IF(D67="","",IF(ISERROR(VALUE(D67)),D67&amp;"",IF(AND(VALUE(D67)&gt;=1,VALUE(D67)&lt;=20),IF(INDEX(設定!$P$8:$P$27,VALUE(D67))="","？",INDEX(設定!$P$8:$P$27,VALUE(D67))),"？")))</f>
        <v/>
      </c>
      <c r="I67" s="50">
        <f>IF(E67="","",IF(ISERROR(VALUE(E67)),E67&amp;"",IF(AND(VALUE(E67)&gt;=1,VALUE(E67)&lt;=20),IF(INDEX(設定!$P$8:$P$27,VALUE(E67))="","？",INDEX(設定!$P$8:$P$27,VALUE(E67))),"？")))</f>
        <v/>
      </c>
      <c r="J67" s="50">
        <f>IF(F67="","",IF(ISERROR(VALUE(F67)),F67&amp;"",IF(AND(VALUE(F67)&gt;=1,VALUE(F67)&lt;=20),IF(INDEX(設定!$P$8:$P$27,VALUE(F67))="","？",INDEX(設定!$P$8:$P$27,VALUE(F67))),"？")))</f>
        <v/>
      </c>
      <c r="K67" s="51">
        <f>IF(L67="","",IF(G67="","名簿にいない",IF(COUNTIF(L68:L$555,L67)&gt;0,"2回提出（下の行を使います）",IF(H67="転出","転出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OR(AND(H67&lt;&gt;"",H67=I67),AND(H67&lt;&gt;"",H67=J67),AND(I67&lt;&gt;"",I67=J67)),"同じクラブを重複して希望","OK")))))))</f>
        <v/>
      </c>
      <c r="L67" s="11">
        <f>IF(OR(A67="",D67=""),"",A67&amp;"-"&amp;B67&amp;"-"&amp;C67)</f>
        <v/>
      </c>
      <c r="M67" s="11">
        <f>IF(OR(L67="",G67=""),"",IF(COUNTIF(L68:L$555,L67)=0,L67,""))</f>
        <v/>
      </c>
      <c r="N67" s="11">
        <f>IFERROR(MATCH(SMALL(前年度名簿!$G$3:$G$452,63),前年度名簿!$G$3:$G$452,0),"")</f>
        <v/>
      </c>
    </row>
    <row r="68">
      <c r="A68" s="49">
        <f>IF($N68="","",INDEX(前年度名簿!$A$3:$A$452,$N68))</f>
        <v/>
      </c>
      <c r="B68" s="49">
        <f>IF($N68="","",INDEX(前年度名簿!$B$3:$B$452,$N68))</f>
        <v/>
      </c>
      <c r="C68" s="49">
        <f>IF($N68="","",INDEX(前年度名簿!$C$3:$C$452,$N68))</f>
        <v/>
      </c>
      <c r="D68" s="49" t="n"/>
      <c r="E68" s="49" t="n"/>
      <c r="F68" s="49" t="n"/>
      <c r="G68" s="4">
        <f>IF(A68="","",IFERROR(INDEX(前年度名簿!$D$3:$D$452,MATCH(A68&amp;"-"&amp;B68&amp;"-"&amp;C68,前年度名簿!$F$3:$F$452,0)),""))</f>
        <v/>
      </c>
      <c r="H68" s="50">
        <f>IF(D68="","",IF(ISERROR(VALUE(D68)),D68&amp;"",IF(AND(VALUE(D68)&gt;=1,VALUE(D68)&lt;=20),IF(INDEX(設定!$P$8:$P$27,VALUE(D68))="","？",INDEX(設定!$P$8:$P$27,VALUE(D68))),"？")))</f>
        <v/>
      </c>
      <c r="I68" s="50">
        <f>IF(E68="","",IF(ISERROR(VALUE(E68)),E68&amp;"",IF(AND(VALUE(E68)&gt;=1,VALUE(E68)&lt;=20),IF(INDEX(設定!$P$8:$P$27,VALUE(E68))="","？",INDEX(設定!$P$8:$P$27,VALUE(E68))),"？")))</f>
        <v/>
      </c>
      <c r="J68" s="50">
        <f>IF(F68="","",IF(ISERROR(VALUE(F68)),F68&amp;"",IF(AND(VALUE(F68)&gt;=1,VALUE(F68)&lt;=20),IF(INDEX(設定!$P$8:$P$27,VALUE(F68))="","？",INDEX(設定!$P$8:$P$27,VALUE(F68))),"？")))</f>
        <v/>
      </c>
      <c r="K68" s="51">
        <f>IF(L68="","",IF(G68="","名簿にいない",IF(COUNTIF(L69:L$555,L68)&gt;0,"2回提出（下の行を使います）",IF(H68="転出","転出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OR(AND(H68&lt;&gt;"",H68=I68),AND(H68&lt;&gt;"",H68=J68),AND(I68&lt;&gt;"",I68=J68)),"同じクラブを重複して希望","OK")))))))</f>
        <v/>
      </c>
      <c r="L68" s="11">
        <f>IF(OR(A68="",D68=""),"",A68&amp;"-"&amp;B68&amp;"-"&amp;C68)</f>
        <v/>
      </c>
      <c r="M68" s="11">
        <f>IF(OR(L68="",G68=""),"",IF(COUNTIF(L69:L$555,L68)=0,L68,""))</f>
        <v/>
      </c>
      <c r="N68" s="11">
        <f>IFERROR(MATCH(SMALL(前年度名簿!$G$3:$G$452,64),前年度名簿!$G$3:$G$452,0),"")</f>
        <v/>
      </c>
    </row>
    <row r="69">
      <c r="A69" s="49">
        <f>IF($N69="","",INDEX(前年度名簿!$A$3:$A$452,$N69))</f>
        <v/>
      </c>
      <c r="B69" s="49">
        <f>IF($N69="","",INDEX(前年度名簿!$B$3:$B$452,$N69))</f>
        <v/>
      </c>
      <c r="C69" s="49">
        <f>IF($N69="","",INDEX(前年度名簿!$C$3:$C$452,$N69))</f>
        <v/>
      </c>
      <c r="D69" s="49" t="n"/>
      <c r="E69" s="49" t="n"/>
      <c r="F69" s="49" t="n"/>
      <c r="G69" s="4">
        <f>IF(A69="","",IFERROR(INDEX(前年度名簿!$D$3:$D$452,MATCH(A69&amp;"-"&amp;B69&amp;"-"&amp;C69,前年度名簿!$F$3:$F$452,0)),""))</f>
        <v/>
      </c>
      <c r="H69" s="50">
        <f>IF(D69="","",IF(ISERROR(VALUE(D69)),D69&amp;"",IF(AND(VALUE(D69)&gt;=1,VALUE(D69)&lt;=20),IF(INDEX(設定!$P$8:$P$27,VALUE(D69))="","？",INDEX(設定!$P$8:$P$27,VALUE(D69))),"？")))</f>
        <v/>
      </c>
      <c r="I69" s="50">
        <f>IF(E69="","",IF(ISERROR(VALUE(E69)),E69&amp;"",IF(AND(VALUE(E69)&gt;=1,VALUE(E69)&lt;=20),IF(INDEX(設定!$P$8:$P$27,VALUE(E69))="","？",INDEX(設定!$P$8:$P$27,VALUE(E69))),"？")))</f>
        <v/>
      </c>
      <c r="J69" s="50">
        <f>IF(F69="","",IF(ISERROR(VALUE(F69)),F69&amp;"",IF(AND(VALUE(F69)&gt;=1,VALUE(F69)&lt;=20),IF(INDEX(設定!$P$8:$P$27,VALUE(F69))="","？",INDEX(設定!$P$8:$P$27,VALUE(F69))),"？")))</f>
        <v/>
      </c>
      <c r="K69" s="51">
        <f>IF(L69="","",IF(G69="","名簿にいない",IF(COUNTIF(L70:L$555,L69)&gt;0,"2回提出（下の行を使います）",IF(H69="転出","転出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OR(AND(H69&lt;&gt;"",H69=I69),AND(H69&lt;&gt;"",H69=J69),AND(I69&lt;&gt;"",I69=J69)),"同じクラブを重複して希望","OK")))))))</f>
        <v/>
      </c>
      <c r="L69" s="11">
        <f>IF(OR(A69="",D69=""),"",A69&amp;"-"&amp;B69&amp;"-"&amp;C69)</f>
        <v/>
      </c>
      <c r="M69" s="11">
        <f>IF(OR(L69="",G69=""),"",IF(COUNTIF(L70:L$555,L69)=0,L69,""))</f>
        <v/>
      </c>
      <c r="N69" s="11">
        <f>IFERROR(MATCH(SMALL(前年度名簿!$G$3:$G$452,65),前年度名簿!$G$3:$G$452,0),"")</f>
        <v/>
      </c>
    </row>
    <row r="70">
      <c r="A70" s="49">
        <f>IF($N70="","",INDEX(前年度名簿!$A$3:$A$452,$N70))</f>
        <v/>
      </c>
      <c r="B70" s="49">
        <f>IF($N70="","",INDEX(前年度名簿!$B$3:$B$452,$N70))</f>
        <v/>
      </c>
      <c r="C70" s="49">
        <f>IF($N70="","",INDEX(前年度名簿!$C$3:$C$452,$N70))</f>
        <v/>
      </c>
      <c r="D70" s="49" t="n"/>
      <c r="E70" s="49" t="n"/>
      <c r="F70" s="49" t="n"/>
      <c r="G70" s="4">
        <f>IF(A70="","",IFERROR(INDEX(前年度名簿!$D$3:$D$452,MATCH(A70&amp;"-"&amp;B70&amp;"-"&amp;C70,前年度名簿!$F$3:$F$452,0)),""))</f>
        <v/>
      </c>
      <c r="H70" s="50">
        <f>IF(D70="","",IF(ISERROR(VALUE(D70)),D70&amp;"",IF(AND(VALUE(D70)&gt;=1,VALUE(D70)&lt;=20),IF(INDEX(設定!$P$8:$P$27,VALUE(D70))="","？",INDEX(設定!$P$8:$P$27,VALUE(D70))),"？")))</f>
        <v/>
      </c>
      <c r="I70" s="50">
        <f>IF(E70="","",IF(ISERROR(VALUE(E70)),E70&amp;"",IF(AND(VALUE(E70)&gt;=1,VALUE(E70)&lt;=20),IF(INDEX(設定!$P$8:$P$27,VALUE(E70))="","？",INDEX(設定!$P$8:$P$27,VALUE(E70))),"？")))</f>
        <v/>
      </c>
      <c r="J70" s="50">
        <f>IF(F70="","",IF(ISERROR(VALUE(F70)),F70&amp;"",IF(AND(VALUE(F70)&gt;=1,VALUE(F70)&lt;=20),IF(INDEX(設定!$P$8:$P$27,VALUE(F70))="","？",INDEX(設定!$P$8:$P$27,VALUE(F70))),"？")))</f>
        <v/>
      </c>
      <c r="K70" s="51">
        <f>IF(L70="","",IF(G70="","名簿にいない",IF(COUNTIF(L71:L$555,L70)&gt;0,"2回提出（下の行を使います）",IF(H70="転出","転出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OR(AND(H70&lt;&gt;"",H70=I70),AND(H70&lt;&gt;"",H70=J70),AND(I70&lt;&gt;"",I70=J70)),"同じクラブを重複して希望","OK")))))))</f>
        <v/>
      </c>
      <c r="L70" s="11">
        <f>IF(OR(A70="",D70=""),"",A70&amp;"-"&amp;B70&amp;"-"&amp;C70)</f>
        <v/>
      </c>
      <c r="M70" s="11">
        <f>IF(OR(L70="",G70=""),"",IF(COUNTIF(L71:L$555,L70)=0,L70,""))</f>
        <v/>
      </c>
      <c r="N70" s="11">
        <f>IFERROR(MATCH(SMALL(前年度名簿!$G$3:$G$452,66),前年度名簿!$G$3:$G$452,0),"")</f>
        <v/>
      </c>
    </row>
    <row r="71">
      <c r="A71" s="49">
        <f>IF($N71="","",INDEX(前年度名簿!$A$3:$A$452,$N71))</f>
        <v/>
      </c>
      <c r="B71" s="49">
        <f>IF($N71="","",INDEX(前年度名簿!$B$3:$B$452,$N71))</f>
        <v/>
      </c>
      <c r="C71" s="49">
        <f>IF($N71="","",INDEX(前年度名簿!$C$3:$C$452,$N71))</f>
        <v/>
      </c>
      <c r="D71" s="49" t="n"/>
      <c r="E71" s="49" t="n"/>
      <c r="F71" s="49" t="n"/>
      <c r="G71" s="4">
        <f>IF(A71="","",IFERROR(INDEX(前年度名簿!$D$3:$D$452,MATCH(A71&amp;"-"&amp;B71&amp;"-"&amp;C71,前年度名簿!$F$3:$F$452,0)),""))</f>
        <v/>
      </c>
      <c r="H71" s="50">
        <f>IF(D71="","",IF(ISERROR(VALUE(D71)),D71&amp;"",IF(AND(VALUE(D71)&gt;=1,VALUE(D71)&lt;=20),IF(INDEX(設定!$P$8:$P$27,VALUE(D71))="","？",INDEX(設定!$P$8:$P$27,VALUE(D71))),"？")))</f>
        <v/>
      </c>
      <c r="I71" s="50">
        <f>IF(E71="","",IF(ISERROR(VALUE(E71)),E71&amp;"",IF(AND(VALUE(E71)&gt;=1,VALUE(E71)&lt;=20),IF(INDEX(設定!$P$8:$P$27,VALUE(E71))="","？",INDEX(設定!$P$8:$P$27,VALUE(E71))),"？")))</f>
        <v/>
      </c>
      <c r="J71" s="50">
        <f>IF(F71="","",IF(ISERROR(VALUE(F71)),F71&amp;"",IF(AND(VALUE(F71)&gt;=1,VALUE(F71)&lt;=20),IF(INDEX(設定!$P$8:$P$27,VALUE(F71))="","？",INDEX(設定!$P$8:$P$27,VALUE(F71))),"？")))</f>
        <v/>
      </c>
      <c r="K71" s="51">
        <f>IF(L71="","",IF(G71="","名簿にいない",IF(COUNTIF(L72:L$555,L71)&gt;0,"2回提出（下の行を使います）",IF(H71="転出","転出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OR(AND(H71&lt;&gt;"",H71=I71),AND(H71&lt;&gt;"",H71=J71),AND(I71&lt;&gt;"",I71=J71)),"同じクラブを重複して希望","OK")))))))</f>
        <v/>
      </c>
      <c r="L71" s="11">
        <f>IF(OR(A71="",D71=""),"",A71&amp;"-"&amp;B71&amp;"-"&amp;C71)</f>
        <v/>
      </c>
      <c r="M71" s="11">
        <f>IF(OR(L71="",G71=""),"",IF(COUNTIF(L72:L$555,L71)=0,L71,""))</f>
        <v/>
      </c>
      <c r="N71" s="11">
        <f>IFERROR(MATCH(SMALL(前年度名簿!$G$3:$G$452,67),前年度名簿!$G$3:$G$452,0),"")</f>
        <v/>
      </c>
    </row>
    <row r="72">
      <c r="A72" s="49">
        <f>IF($N72="","",INDEX(前年度名簿!$A$3:$A$452,$N72))</f>
        <v/>
      </c>
      <c r="B72" s="49">
        <f>IF($N72="","",INDEX(前年度名簿!$B$3:$B$452,$N72))</f>
        <v/>
      </c>
      <c r="C72" s="49">
        <f>IF($N72="","",INDEX(前年度名簿!$C$3:$C$452,$N72))</f>
        <v/>
      </c>
      <c r="D72" s="49" t="n"/>
      <c r="E72" s="49" t="n"/>
      <c r="F72" s="49" t="n"/>
      <c r="G72" s="4">
        <f>IF(A72="","",IFERROR(INDEX(前年度名簿!$D$3:$D$452,MATCH(A72&amp;"-"&amp;B72&amp;"-"&amp;C72,前年度名簿!$F$3:$F$452,0)),""))</f>
        <v/>
      </c>
      <c r="H72" s="50">
        <f>IF(D72="","",IF(ISERROR(VALUE(D72)),D72&amp;"",IF(AND(VALUE(D72)&gt;=1,VALUE(D72)&lt;=20),IF(INDEX(設定!$P$8:$P$27,VALUE(D72))="","？",INDEX(設定!$P$8:$P$27,VALUE(D72))),"？")))</f>
        <v/>
      </c>
      <c r="I72" s="50">
        <f>IF(E72="","",IF(ISERROR(VALUE(E72)),E72&amp;"",IF(AND(VALUE(E72)&gt;=1,VALUE(E72)&lt;=20),IF(INDEX(設定!$P$8:$P$27,VALUE(E72))="","？",INDEX(設定!$P$8:$P$27,VALUE(E72))),"？")))</f>
        <v/>
      </c>
      <c r="J72" s="50">
        <f>IF(F72="","",IF(ISERROR(VALUE(F72)),F72&amp;"",IF(AND(VALUE(F72)&gt;=1,VALUE(F72)&lt;=20),IF(INDEX(設定!$P$8:$P$27,VALUE(F72))="","？",INDEX(設定!$P$8:$P$27,VALUE(F72))),"？")))</f>
        <v/>
      </c>
      <c r="K72" s="51">
        <f>IF(L72="","",IF(G72="","名簿にいない",IF(COUNTIF(L73:L$555,L72)&gt;0,"2回提出（下の行を使います）",IF(H72="転出","転出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OR(AND(H72&lt;&gt;"",H72=I72),AND(H72&lt;&gt;"",H72=J72),AND(I72&lt;&gt;"",I72=J72)),"同じクラブを重複して希望","OK")))))))</f>
        <v/>
      </c>
      <c r="L72" s="11">
        <f>IF(OR(A72="",D72=""),"",A72&amp;"-"&amp;B72&amp;"-"&amp;C72)</f>
        <v/>
      </c>
      <c r="M72" s="11">
        <f>IF(OR(L72="",G72=""),"",IF(COUNTIF(L73:L$555,L72)=0,L72,""))</f>
        <v/>
      </c>
      <c r="N72" s="11">
        <f>IFERROR(MATCH(SMALL(前年度名簿!$G$3:$G$452,68),前年度名簿!$G$3:$G$452,0),"")</f>
        <v/>
      </c>
    </row>
    <row r="73">
      <c r="A73" s="49">
        <f>IF($N73="","",INDEX(前年度名簿!$A$3:$A$452,$N73))</f>
        <v/>
      </c>
      <c r="B73" s="49">
        <f>IF($N73="","",INDEX(前年度名簿!$B$3:$B$452,$N73))</f>
        <v/>
      </c>
      <c r="C73" s="49">
        <f>IF($N73="","",INDEX(前年度名簿!$C$3:$C$452,$N73))</f>
        <v/>
      </c>
      <c r="D73" s="49" t="n"/>
      <c r="E73" s="49" t="n"/>
      <c r="F73" s="49" t="n"/>
      <c r="G73" s="4">
        <f>IF(A73="","",IFERROR(INDEX(前年度名簿!$D$3:$D$452,MATCH(A73&amp;"-"&amp;B73&amp;"-"&amp;C73,前年度名簿!$F$3:$F$452,0)),""))</f>
        <v/>
      </c>
      <c r="H73" s="50">
        <f>IF(D73="","",IF(ISERROR(VALUE(D73)),D73&amp;"",IF(AND(VALUE(D73)&gt;=1,VALUE(D73)&lt;=20),IF(INDEX(設定!$P$8:$P$27,VALUE(D73))="","？",INDEX(設定!$P$8:$P$27,VALUE(D73))),"？")))</f>
        <v/>
      </c>
      <c r="I73" s="50">
        <f>IF(E73="","",IF(ISERROR(VALUE(E73)),E73&amp;"",IF(AND(VALUE(E73)&gt;=1,VALUE(E73)&lt;=20),IF(INDEX(設定!$P$8:$P$27,VALUE(E73))="","？",INDEX(設定!$P$8:$P$27,VALUE(E73))),"？")))</f>
        <v/>
      </c>
      <c r="J73" s="50">
        <f>IF(F73="","",IF(ISERROR(VALUE(F73)),F73&amp;"",IF(AND(VALUE(F73)&gt;=1,VALUE(F73)&lt;=20),IF(INDEX(設定!$P$8:$P$27,VALUE(F73))="","？",INDEX(設定!$P$8:$P$27,VALUE(F73))),"？")))</f>
        <v/>
      </c>
      <c r="K73" s="51">
        <f>IF(L73="","",IF(G73="","名簿にいない",IF(COUNTIF(L74:L$555,L73)&gt;0,"2回提出（下の行を使います）",IF(H73="転出","転出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OR(AND(H73&lt;&gt;"",H73=I73),AND(H73&lt;&gt;"",H73=J73),AND(I73&lt;&gt;"",I73=J73)),"同じクラブを重複して希望","OK")))))))</f>
        <v/>
      </c>
      <c r="L73" s="11">
        <f>IF(OR(A73="",D73=""),"",A73&amp;"-"&amp;B73&amp;"-"&amp;C73)</f>
        <v/>
      </c>
      <c r="M73" s="11">
        <f>IF(OR(L73="",G73=""),"",IF(COUNTIF(L74:L$555,L73)=0,L73,""))</f>
        <v/>
      </c>
      <c r="N73" s="11">
        <f>IFERROR(MATCH(SMALL(前年度名簿!$G$3:$G$452,69),前年度名簿!$G$3:$G$452,0),"")</f>
        <v/>
      </c>
    </row>
    <row r="74">
      <c r="A74" s="49">
        <f>IF($N74="","",INDEX(前年度名簿!$A$3:$A$452,$N74))</f>
        <v/>
      </c>
      <c r="B74" s="49">
        <f>IF($N74="","",INDEX(前年度名簿!$B$3:$B$452,$N74))</f>
        <v/>
      </c>
      <c r="C74" s="49">
        <f>IF($N74="","",INDEX(前年度名簿!$C$3:$C$452,$N74))</f>
        <v/>
      </c>
      <c r="D74" s="49" t="n"/>
      <c r="E74" s="49" t="n"/>
      <c r="F74" s="49" t="n"/>
      <c r="G74" s="4">
        <f>IF(A74="","",IFERROR(INDEX(前年度名簿!$D$3:$D$452,MATCH(A74&amp;"-"&amp;B74&amp;"-"&amp;C74,前年度名簿!$F$3:$F$452,0)),""))</f>
        <v/>
      </c>
      <c r="H74" s="50">
        <f>IF(D74="","",IF(ISERROR(VALUE(D74)),D74&amp;"",IF(AND(VALUE(D74)&gt;=1,VALUE(D74)&lt;=20),IF(INDEX(設定!$P$8:$P$27,VALUE(D74))="","？",INDEX(設定!$P$8:$P$27,VALUE(D74))),"？")))</f>
        <v/>
      </c>
      <c r="I74" s="50">
        <f>IF(E74="","",IF(ISERROR(VALUE(E74)),E74&amp;"",IF(AND(VALUE(E74)&gt;=1,VALUE(E74)&lt;=20),IF(INDEX(設定!$P$8:$P$27,VALUE(E74))="","？",INDEX(設定!$P$8:$P$27,VALUE(E74))),"？")))</f>
        <v/>
      </c>
      <c r="J74" s="50">
        <f>IF(F74="","",IF(ISERROR(VALUE(F74)),F74&amp;"",IF(AND(VALUE(F74)&gt;=1,VALUE(F74)&lt;=20),IF(INDEX(設定!$P$8:$P$27,VALUE(F74))="","？",INDEX(設定!$P$8:$P$27,VALUE(F74))),"？")))</f>
        <v/>
      </c>
      <c r="K74" s="51">
        <f>IF(L74="","",IF(G74="","名簿にいない",IF(COUNTIF(L75:L$555,L74)&gt;0,"2回提出（下の行を使います）",IF(H74="転出","転出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OR(AND(H74&lt;&gt;"",H74=I74),AND(H74&lt;&gt;"",H74=J74),AND(I74&lt;&gt;"",I74=J74)),"同じクラブを重複して希望","OK")))))))</f>
        <v/>
      </c>
      <c r="L74" s="11">
        <f>IF(OR(A74="",D74=""),"",A74&amp;"-"&amp;B74&amp;"-"&amp;C74)</f>
        <v/>
      </c>
      <c r="M74" s="11">
        <f>IF(OR(L74="",G74=""),"",IF(COUNTIF(L75:L$555,L74)=0,L74,""))</f>
        <v/>
      </c>
      <c r="N74" s="11">
        <f>IFERROR(MATCH(SMALL(前年度名簿!$G$3:$G$452,70),前年度名簿!$G$3:$G$452,0),"")</f>
        <v/>
      </c>
    </row>
    <row r="75">
      <c r="A75" s="49">
        <f>IF($N75="","",INDEX(前年度名簿!$A$3:$A$452,$N75))</f>
        <v/>
      </c>
      <c r="B75" s="49">
        <f>IF($N75="","",INDEX(前年度名簿!$B$3:$B$452,$N75))</f>
        <v/>
      </c>
      <c r="C75" s="49">
        <f>IF($N75="","",INDEX(前年度名簿!$C$3:$C$452,$N75))</f>
        <v/>
      </c>
      <c r="D75" s="49" t="n"/>
      <c r="E75" s="49" t="n"/>
      <c r="F75" s="49" t="n"/>
      <c r="G75" s="4">
        <f>IF(A75="","",IFERROR(INDEX(前年度名簿!$D$3:$D$452,MATCH(A75&amp;"-"&amp;B75&amp;"-"&amp;C75,前年度名簿!$F$3:$F$452,0)),""))</f>
        <v/>
      </c>
      <c r="H75" s="50">
        <f>IF(D75="","",IF(ISERROR(VALUE(D75)),D75&amp;"",IF(AND(VALUE(D75)&gt;=1,VALUE(D75)&lt;=20),IF(INDEX(設定!$P$8:$P$27,VALUE(D75))="","？",INDEX(設定!$P$8:$P$27,VALUE(D75))),"？")))</f>
        <v/>
      </c>
      <c r="I75" s="50">
        <f>IF(E75="","",IF(ISERROR(VALUE(E75)),E75&amp;"",IF(AND(VALUE(E75)&gt;=1,VALUE(E75)&lt;=20),IF(INDEX(設定!$P$8:$P$27,VALUE(E75))="","？",INDEX(設定!$P$8:$P$27,VALUE(E75))),"？")))</f>
        <v/>
      </c>
      <c r="J75" s="50">
        <f>IF(F75="","",IF(ISERROR(VALUE(F75)),F75&amp;"",IF(AND(VALUE(F75)&gt;=1,VALUE(F75)&lt;=20),IF(INDEX(設定!$P$8:$P$27,VALUE(F75))="","？",INDEX(設定!$P$8:$P$27,VALUE(F75))),"？")))</f>
        <v/>
      </c>
      <c r="K75" s="51">
        <f>IF(L75="","",IF(G75="","名簿にいない",IF(COUNTIF(L76:L$555,L75)&gt;0,"2回提出（下の行を使います）",IF(H75="転出","転出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OR(AND(H75&lt;&gt;"",H75=I75),AND(H75&lt;&gt;"",H75=J75),AND(I75&lt;&gt;"",I75=J75)),"同じクラブを重複して希望","OK")))))))</f>
        <v/>
      </c>
      <c r="L75" s="11">
        <f>IF(OR(A75="",D75=""),"",A75&amp;"-"&amp;B75&amp;"-"&amp;C75)</f>
        <v/>
      </c>
      <c r="M75" s="11">
        <f>IF(OR(L75="",G75=""),"",IF(COUNTIF(L76:L$555,L75)=0,L75,""))</f>
        <v/>
      </c>
      <c r="N75" s="11">
        <f>IFERROR(MATCH(SMALL(前年度名簿!$G$3:$G$452,71),前年度名簿!$G$3:$G$452,0),"")</f>
        <v/>
      </c>
    </row>
    <row r="76">
      <c r="A76" s="49">
        <f>IF($N76="","",INDEX(前年度名簿!$A$3:$A$452,$N76))</f>
        <v/>
      </c>
      <c r="B76" s="49">
        <f>IF($N76="","",INDEX(前年度名簿!$B$3:$B$452,$N76))</f>
        <v/>
      </c>
      <c r="C76" s="49">
        <f>IF($N76="","",INDEX(前年度名簿!$C$3:$C$452,$N76))</f>
        <v/>
      </c>
      <c r="D76" s="49" t="n"/>
      <c r="E76" s="49" t="n"/>
      <c r="F76" s="49" t="n"/>
      <c r="G76" s="4">
        <f>IF(A76="","",IFERROR(INDEX(前年度名簿!$D$3:$D$452,MATCH(A76&amp;"-"&amp;B76&amp;"-"&amp;C76,前年度名簿!$F$3:$F$452,0)),""))</f>
        <v/>
      </c>
      <c r="H76" s="50">
        <f>IF(D76="","",IF(ISERROR(VALUE(D76)),D76&amp;"",IF(AND(VALUE(D76)&gt;=1,VALUE(D76)&lt;=20),IF(INDEX(設定!$P$8:$P$27,VALUE(D76))="","？",INDEX(設定!$P$8:$P$27,VALUE(D76))),"？")))</f>
        <v/>
      </c>
      <c r="I76" s="50">
        <f>IF(E76="","",IF(ISERROR(VALUE(E76)),E76&amp;"",IF(AND(VALUE(E76)&gt;=1,VALUE(E76)&lt;=20),IF(INDEX(設定!$P$8:$P$27,VALUE(E76))="","？",INDEX(設定!$P$8:$P$27,VALUE(E76))),"？")))</f>
        <v/>
      </c>
      <c r="J76" s="50">
        <f>IF(F76="","",IF(ISERROR(VALUE(F76)),F76&amp;"",IF(AND(VALUE(F76)&gt;=1,VALUE(F76)&lt;=20),IF(INDEX(設定!$P$8:$P$27,VALUE(F76))="","？",INDEX(設定!$P$8:$P$27,VALUE(F76))),"？")))</f>
        <v/>
      </c>
      <c r="K76" s="51">
        <f>IF(L76="","",IF(G76="","名簿にいない",IF(COUNTIF(L77:L$555,L76)&gt;0,"2回提出（下の行を使います）",IF(H76="転出","転出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OR(AND(H76&lt;&gt;"",H76=I76),AND(H76&lt;&gt;"",H76=J76),AND(I76&lt;&gt;"",I76=J76)),"同じクラブを重複して希望","OK")))))))</f>
        <v/>
      </c>
      <c r="L76" s="11">
        <f>IF(OR(A76="",D76=""),"",A76&amp;"-"&amp;B76&amp;"-"&amp;C76)</f>
        <v/>
      </c>
      <c r="M76" s="11">
        <f>IF(OR(L76="",G76=""),"",IF(COUNTIF(L77:L$555,L76)=0,L76,""))</f>
        <v/>
      </c>
      <c r="N76" s="11">
        <f>IFERROR(MATCH(SMALL(前年度名簿!$G$3:$G$452,72),前年度名簿!$G$3:$G$452,0),"")</f>
        <v/>
      </c>
    </row>
    <row r="77">
      <c r="A77" s="49">
        <f>IF($N77="","",INDEX(前年度名簿!$A$3:$A$452,$N77))</f>
        <v/>
      </c>
      <c r="B77" s="49">
        <f>IF($N77="","",INDEX(前年度名簿!$B$3:$B$452,$N77))</f>
        <v/>
      </c>
      <c r="C77" s="49">
        <f>IF($N77="","",INDEX(前年度名簿!$C$3:$C$452,$N77))</f>
        <v/>
      </c>
      <c r="D77" s="49" t="n"/>
      <c r="E77" s="49" t="n"/>
      <c r="F77" s="49" t="n"/>
      <c r="G77" s="4">
        <f>IF(A77="","",IFERROR(INDEX(前年度名簿!$D$3:$D$452,MATCH(A77&amp;"-"&amp;B77&amp;"-"&amp;C77,前年度名簿!$F$3:$F$452,0)),""))</f>
        <v/>
      </c>
      <c r="H77" s="50">
        <f>IF(D77="","",IF(ISERROR(VALUE(D77)),D77&amp;"",IF(AND(VALUE(D77)&gt;=1,VALUE(D77)&lt;=20),IF(INDEX(設定!$P$8:$P$27,VALUE(D77))="","？",INDEX(設定!$P$8:$P$27,VALUE(D77))),"？")))</f>
        <v/>
      </c>
      <c r="I77" s="50">
        <f>IF(E77="","",IF(ISERROR(VALUE(E77)),E77&amp;"",IF(AND(VALUE(E77)&gt;=1,VALUE(E77)&lt;=20),IF(INDEX(設定!$P$8:$P$27,VALUE(E77))="","？",INDEX(設定!$P$8:$P$27,VALUE(E77))),"？")))</f>
        <v/>
      </c>
      <c r="J77" s="50">
        <f>IF(F77="","",IF(ISERROR(VALUE(F77)),F77&amp;"",IF(AND(VALUE(F77)&gt;=1,VALUE(F77)&lt;=20),IF(INDEX(設定!$P$8:$P$27,VALUE(F77))="","？",INDEX(設定!$P$8:$P$27,VALUE(F77))),"？")))</f>
        <v/>
      </c>
      <c r="K77" s="51">
        <f>IF(L77="","",IF(G77="","名簿にいない",IF(COUNTIF(L78:L$555,L77)&gt;0,"2回提出（下の行を使います）",IF(H77="転出","転出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OR(AND(H77&lt;&gt;"",H77=I77),AND(H77&lt;&gt;"",H77=J77),AND(I77&lt;&gt;"",I77=J77)),"同じクラブを重複して希望","OK")))))))</f>
        <v/>
      </c>
      <c r="L77" s="11">
        <f>IF(OR(A77="",D77=""),"",A77&amp;"-"&amp;B77&amp;"-"&amp;C77)</f>
        <v/>
      </c>
      <c r="M77" s="11">
        <f>IF(OR(L77="",G77=""),"",IF(COUNTIF(L78:L$555,L77)=0,L77,""))</f>
        <v/>
      </c>
      <c r="N77" s="11">
        <f>IFERROR(MATCH(SMALL(前年度名簿!$G$3:$G$452,73),前年度名簿!$G$3:$G$452,0),"")</f>
        <v/>
      </c>
    </row>
    <row r="78">
      <c r="A78" s="49">
        <f>IF($N78="","",INDEX(前年度名簿!$A$3:$A$452,$N78))</f>
        <v/>
      </c>
      <c r="B78" s="49">
        <f>IF($N78="","",INDEX(前年度名簿!$B$3:$B$452,$N78))</f>
        <v/>
      </c>
      <c r="C78" s="49">
        <f>IF($N78="","",INDEX(前年度名簿!$C$3:$C$452,$N78))</f>
        <v/>
      </c>
      <c r="D78" s="49" t="n"/>
      <c r="E78" s="49" t="n"/>
      <c r="F78" s="49" t="n"/>
      <c r="G78" s="4">
        <f>IF(A78="","",IFERROR(INDEX(前年度名簿!$D$3:$D$452,MATCH(A78&amp;"-"&amp;B78&amp;"-"&amp;C78,前年度名簿!$F$3:$F$452,0)),""))</f>
        <v/>
      </c>
      <c r="H78" s="50">
        <f>IF(D78="","",IF(ISERROR(VALUE(D78)),D78&amp;"",IF(AND(VALUE(D78)&gt;=1,VALUE(D78)&lt;=20),IF(INDEX(設定!$P$8:$P$27,VALUE(D78))="","？",INDEX(設定!$P$8:$P$27,VALUE(D78))),"？")))</f>
        <v/>
      </c>
      <c r="I78" s="50">
        <f>IF(E78="","",IF(ISERROR(VALUE(E78)),E78&amp;"",IF(AND(VALUE(E78)&gt;=1,VALUE(E78)&lt;=20),IF(INDEX(設定!$P$8:$P$27,VALUE(E78))="","？",INDEX(設定!$P$8:$P$27,VALUE(E78))),"？")))</f>
        <v/>
      </c>
      <c r="J78" s="50">
        <f>IF(F78="","",IF(ISERROR(VALUE(F78)),F78&amp;"",IF(AND(VALUE(F78)&gt;=1,VALUE(F78)&lt;=20),IF(INDEX(設定!$P$8:$P$27,VALUE(F78))="","？",INDEX(設定!$P$8:$P$27,VALUE(F78))),"？")))</f>
        <v/>
      </c>
      <c r="K78" s="51">
        <f>IF(L78="","",IF(G78="","名簿にいない",IF(COUNTIF(L79:L$555,L78)&gt;0,"2回提出（下の行を使います）",IF(H78="転出","転出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OR(AND(H78&lt;&gt;"",H78=I78),AND(H78&lt;&gt;"",H78=J78),AND(I78&lt;&gt;"",I78=J78)),"同じクラブを重複して希望","OK")))))))</f>
        <v/>
      </c>
      <c r="L78" s="11">
        <f>IF(OR(A78="",D78=""),"",A78&amp;"-"&amp;B78&amp;"-"&amp;C78)</f>
        <v/>
      </c>
      <c r="M78" s="11">
        <f>IF(OR(L78="",G78=""),"",IF(COUNTIF(L79:L$555,L78)=0,L78,""))</f>
        <v/>
      </c>
      <c r="N78" s="11">
        <f>IFERROR(MATCH(SMALL(前年度名簿!$G$3:$G$452,74),前年度名簿!$G$3:$G$452,0),"")</f>
        <v/>
      </c>
    </row>
    <row r="79">
      <c r="A79" s="49">
        <f>IF($N79="","",INDEX(前年度名簿!$A$3:$A$452,$N79))</f>
        <v/>
      </c>
      <c r="B79" s="49">
        <f>IF($N79="","",INDEX(前年度名簿!$B$3:$B$452,$N79))</f>
        <v/>
      </c>
      <c r="C79" s="49">
        <f>IF($N79="","",INDEX(前年度名簿!$C$3:$C$452,$N79))</f>
        <v/>
      </c>
      <c r="D79" s="49" t="n"/>
      <c r="E79" s="49" t="n"/>
      <c r="F79" s="49" t="n"/>
      <c r="G79" s="4">
        <f>IF(A79="","",IFERROR(INDEX(前年度名簿!$D$3:$D$452,MATCH(A79&amp;"-"&amp;B79&amp;"-"&amp;C79,前年度名簿!$F$3:$F$452,0)),""))</f>
        <v/>
      </c>
      <c r="H79" s="50">
        <f>IF(D79="","",IF(ISERROR(VALUE(D79)),D79&amp;"",IF(AND(VALUE(D79)&gt;=1,VALUE(D79)&lt;=20),IF(INDEX(設定!$P$8:$P$27,VALUE(D79))="","？",INDEX(設定!$P$8:$P$27,VALUE(D79))),"？")))</f>
        <v/>
      </c>
      <c r="I79" s="50">
        <f>IF(E79="","",IF(ISERROR(VALUE(E79)),E79&amp;"",IF(AND(VALUE(E79)&gt;=1,VALUE(E79)&lt;=20),IF(INDEX(設定!$P$8:$P$27,VALUE(E79))="","？",INDEX(設定!$P$8:$P$27,VALUE(E79))),"？")))</f>
        <v/>
      </c>
      <c r="J79" s="50">
        <f>IF(F79="","",IF(ISERROR(VALUE(F79)),F79&amp;"",IF(AND(VALUE(F79)&gt;=1,VALUE(F79)&lt;=20),IF(INDEX(設定!$P$8:$P$27,VALUE(F79))="","？",INDEX(設定!$P$8:$P$27,VALUE(F79))),"？")))</f>
        <v/>
      </c>
      <c r="K79" s="51">
        <f>IF(L79="","",IF(G79="","名簿にいない",IF(COUNTIF(L80:L$555,L79)&gt;0,"2回提出（下の行を使います）",IF(H79="転出","転出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OR(AND(H79&lt;&gt;"",H79=I79),AND(H79&lt;&gt;"",H79=J79),AND(I79&lt;&gt;"",I79=J79)),"同じクラブを重複して希望","OK")))))))</f>
        <v/>
      </c>
      <c r="L79" s="11">
        <f>IF(OR(A79="",D79=""),"",A79&amp;"-"&amp;B79&amp;"-"&amp;C79)</f>
        <v/>
      </c>
      <c r="M79" s="11">
        <f>IF(OR(L79="",G79=""),"",IF(COUNTIF(L80:L$555,L79)=0,L79,""))</f>
        <v/>
      </c>
      <c r="N79" s="11">
        <f>IFERROR(MATCH(SMALL(前年度名簿!$G$3:$G$452,75),前年度名簿!$G$3:$G$452,0),"")</f>
        <v/>
      </c>
    </row>
    <row r="80">
      <c r="A80" s="49">
        <f>IF($N80="","",INDEX(前年度名簿!$A$3:$A$452,$N80))</f>
        <v/>
      </c>
      <c r="B80" s="49">
        <f>IF($N80="","",INDEX(前年度名簿!$B$3:$B$452,$N80))</f>
        <v/>
      </c>
      <c r="C80" s="49">
        <f>IF($N80="","",INDEX(前年度名簿!$C$3:$C$452,$N80))</f>
        <v/>
      </c>
      <c r="D80" s="49" t="n"/>
      <c r="E80" s="49" t="n"/>
      <c r="F80" s="49" t="n"/>
      <c r="G80" s="4">
        <f>IF(A80="","",IFERROR(INDEX(前年度名簿!$D$3:$D$452,MATCH(A80&amp;"-"&amp;B80&amp;"-"&amp;C80,前年度名簿!$F$3:$F$452,0)),""))</f>
        <v/>
      </c>
      <c r="H80" s="50">
        <f>IF(D80="","",IF(ISERROR(VALUE(D80)),D80&amp;"",IF(AND(VALUE(D80)&gt;=1,VALUE(D80)&lt;=20),IF(INDEX(設定!$P$8:$P$27,VALUE(D80))="","？",INDEX(設定!$P$8:$P$27,VALUE(D80))),"？")))</f>
        <v/>
      </c>
      <c r="I80" s="50">
        <f>IF(E80="","",IF(ISERROR(VALUE(E80)),E80&amp;"",IF(AND(VALUE(E80)&gt;=1,VALUE(E80)&lt;=20),IF(INDEX(設定!$P$8:$P$27,VALUE(E80))="","？",INDEX(設定!$P$8:$P$27,VALUE(E80))),"？")))</f>
        <v/>
      </c>
      <c r="J80" s="50">
        <f>IF(F80="","",IF(ISERROR(VALUE(F80)),F80&amp;"",IF(AND(VALUE(F80)&gt;=1,VALUE(F80)&lt;=20),IF(INDEX(設定!$P$8:$P$27,VALUE(F80))="","？",INDEX(設定!$P$8:$P$27,VALUE(F80))),"？")))</f>
        <v/>
      </c>
      <c r="K80" s="51">
        <f>IF(L80="","",IF(G80="","名簿にいない",IF(COUNTIF(L81:L$555,L80)&gt;0,"2回提出（下の行を使います）",IF(H80="転出","転出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OR(AND(H80&lt;&gt;"",H80=I80),AND(H80&lt;&gt;"",H80=J80),AND(I80&lt;&gt;"",I80=J80)),"同じクラブを重複して希望","OK")))))))</f>
        <v/>
      </c>
      <c r="L80" s="11">
        <f>IF(OR(A80="",D80=""),"",A80&amp;"-"&amp;B80&amp;"-"&amp;C80)</f>
        <v/>
      </c>
      <c r="M80" s="11">
        <f>IF(OR(L80="",G80=""),"",IF(COUNTIF(L81:L$555,L80)=0,L80,""))</f>
        <v/>
      </c>
      <c r="N80" s="11">
        <f>IFERROR(MATCH(SMALL(前年度名簿!$G$3:$G$452,76),前年度名簿!$G$3:$G$452,0),"")</f>
        <v/>
      </c>
    </row>
    <row r="81">
      <c r="A81" s="49">
        <f>IF($N81="","",INDEX(前年度名簿!$A$3:$A$452,$N81))</f>
        <v/>
      </c>
      <c r="B81" s="49">
        <f>IF($N81="","",INDEX(前年度名簿!$B$3:$B$452,$N81))</f>
        <v/>
      </c>
      <c r="C81" s="49">
        <f>IF($N81="","",INDEX(前年度名簿!$C$3:$C$452,$N81))</f>
        <v/>
      </c>
      <c r="D81" s="49" t="n"/>
      <c r="E81" s="49" t="n"/>
      <c r="F81" s="49" t="n"/>
      <c r="G81" s="4">
        <f>IF(A81="","",IFERROR(INDEX(前年度名簿!$D$3:$D$452,MATCH(A81&amp;"-"&amp;B81&amp;"-"&amp;C81,前年度名簿!$F$3:$F$452,0)),""))</f>
        <v/>
      </c>
      <c r="H81" s="50">
        <f>IF(D81="","",IF(ISERROR(VALUE(D81)),D81&amp;"",IF(AND(VALUE(D81)&gt;=1,VALUE(D81)&lt;=20),IF(INDEX(設定!$P$8:$P$27,VALUE(D81))="","？",INDEX(設定!$P$8:$P$27,VALUE(D81))),"？")))</f>
        <v/>
      </c>
      <c r="I81" s="50">
        <f>IF(E81="","",IF(ISERROR(VALUE(E81)),E81&amp;"",IF(AND(VALUE(E81)&gt;=1,VALUE(E81)&lt;=20),IF(INDEX(設定!$P$8:$P$27,VALUE(E81))="","？",INDEX(設定!$P$8:$P$27,VALUE(E81))),"？")))</f>
        <v/>
      </c>
      <c r="J81" s="50">
        <f>IF(F81="","",IF(ISERROR(VALUE(F81)),F81&amp;"",IF(AND(VALUE(F81)&gt;=1,VALUE(F81)&lt;=20),IF(INDEX(設定!$P$8:$P$27,VALUE(F81))="","？",INDEX(設定!$P$8:$P$27,VALUE(F81))),"？")))</f>
        <v/>
      </c>
      <c r="K81" s="51">
        <f>IF(L81="","",IF(G81="","名簿にいない",IF(COUNTIF(L82:L$555,L81)&gt;0,"2回提出（下の行を使います）",IF(H81="転出","転出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OR(AND(H81&lt;&gt;"",H81=I81),AND(H81&lt;&gt;"",H81=J81),AND(I81&lt;&gt;"",I81=J81)),"同じクラブを重複して希望","OK")))))))</f>
        <v/>
      </c>
      <c r="L81" s="11">
        <f>IF(OR(A81="",D81=""),"",A81&amp;"-"&amp;B81&amp;"-"&amp;C81)</f>
        <v/>
      </c>
      <c r="M81" s="11">
        <f>IF(OR(L81="",G81=""),"",IF(COUNTIF(L82:L$555,L81)=0,L81,""))</f>
        <v/>
      </c>
      <c r="N81" s="11">
        <f>IFERROR(MATCH(SMALL(前年度名簿!$G$3:$G$452,77),前年度名簿!$G$3:$G$452,0),"")</f>
        <v/>
      </c>
    </row>
    <row r="82">
      <c r="A82" s="49">
        <f>IF($N82="","",INDEX(前年度名簿!$A$3:$A$452,$N82))</f>
        <v/>
      </c>
      <c r="B82" s="49">
        <f>IF($N82="","",INDEX(前年度名簿!$B$3:$B$452,$N82))</f>
        <v/>
      </c>
      <c r="C82" s="49">
        <f>IF($N82="","",INDEX(前年度名簿!$C$3:$C$452,$N82))</f>
        <v/>
      </c>
      <c r="D82" s="49" t="n"/>
      <c r="E82" s="49" t="n"/>
      <c r="F82" s="49" t="n"/>
      <c r="G82" s="4">
        <f>IF(A82="","",IFERROR(INDEX(前年度名簿!$D$3:$D$452,MATCH(A82&amp;"-"&amp;B82&amp;"-"&amp;C82,前年度名簿!$F$3:$F$452,0)),""))</f>
        <v/>
      </c>
      <c r="H82" s="50">
        <f>IF(D82="","",IF(ISERROR(VALUE(D82)),D82&amp;"",IF(AND(VALUE(D82)&gt;=1,VALUE(D82)&lt;=20),IF(INDEX(設定!$P$8:$P$27,VALUE(D82))="","？",INDEX(設定!$P$8:$P$27,VALUE(D82))),"？")))</f>
        <v/>
      </c>
      <c r="I82" s="50">
        <f>IF(E82="","",IF(ISERROR(VALUE(E82)),E82&amp;"",IF(AND(VALUE(E82)&gt;=1,VALUE(E82)&lt;=20),IF(INDEX(設定!$P$8:$P$27,VALUE(E82))="","？",INDEX(設定!$P$8:$P$27,VALUE(E82))),"？")))</f>
        <v/>
      </c>
      <c r="J82" s="50">
        <f>IF(F82="","",IF(ISERROR(VALUE(F82)),F82&amp;"",IF(AND(VALUE(F82)&gt;=1,VALUE(F82)&lt;=20),IF(INDEX(設定!$P$8:$P$27,VALUE(F82))="","？",INDEX(設定!$P$8:$P$27,VALUE(F82))),"？")))</f>
        <v/>
      </c>
      <c r="K82" s="51">
        <f>IF(L82="","",IF(G82="","名簿にいない",IF(COUNTIF(L83:L$555,L82)&gt;0,"2回提出（下の行を使います）",IF(H82="転出","転出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OR(AND(H82&lt;&gt;"",H82=I82),AND(H82&lt;&gt;"",H82=J82),AND(I82&lt;&gt;"",I82=J82)),"同じクラブを重複して希望","OK")))))))</f>
        <v/>
      </c>
      <c r="L82" s="11">
        <f>IF(OR(A82="",D82=""),"",A82&amp;"-"&amp;B82&amp;"-"&amp;C82)</f>
        <v/>
      </c>
      <c r="M82" s="11">
        <f>IF(OR(L82="",G82=""),"",IF(COUNTIF(L83:L$555,L82)=0,L82,""))</f>
        <v/>
      </c>
      <c r="N82" s="11">
        <f>IFERROR(MATCH(SMALL(前年度名簿!$G$3:$G$452,78),前年度名簿!$G$3:$G$452,0),"")</f>
        <v/>
      </c>
    </row>
    <row r="83">
      <c r="A83" s="49">
        <f>IF($N83="","",INDEX(前年度名簿!$A$3:$A$452,$N83))</f>
        <v/>
      </c>
      <c r="B83" s="49">
        <f>IF($N83="","",INDEX(前年度名簿!$B$3:$B$452,$N83))</f>
        <v/>
      </c>
      <c r="C83" s="49">
        <f>IF($N83="","",INDEX(前年度名簿!$C$3:$C$452,$N83))</f>
        <v/>
      </c>
      <c r="D83" s="49" t="n"/>
      <c r="E83" s="49" t="n"/>
      <c r="F83" s="49" t="n"/>
      <c r="G83" s="4">
        <f>IF(A83="","",IFERROR(INDEX(前年度名簿!$D$3:$D$452,MATCH(A83&amp;"-"&amp;B83&amp;"-"&amp;C83,前年度名簿!$F$3:$F$452,0)),""))</f>
        <v/>
      </c>
      <c r="H83" s="50">
        <f>IF(D83="","",IF(ISERROR(VALUE(D83)),D83&amp;"",IF(AND(VALUE(D83)&gt;=1,VALUE(D83)&lt;=20),IF(INDEX(設定!$P$8:$P$27,VALUE(D83))="","？",INDEX(設定!$P$8:$P$27,VALUE(D83))),"？")))</f>
        <v/>
      </c>
      <c r="I83" s="50">
        <f>IF(E83="","",IF(ISERROR(VALUE(E83)),E83&amp;"",IF(AND(VALUE(E83)&gt;=1,VALUE(E83)&lt;=20),IF(INDEX(設定!$P$8:$P$27,VALUE(E83))="","？",INDEX(設定!$P$8:$P$27,VALUE(E83))),"？")))</f>
        <v/>
      </c>
      <c r="J83" s="50">
        <f>IF(F83="","",IF(ISERROR(VALUE(F83)),F83&amp;"",IF(AND(VALUE(F83)&gt;=1,VALUE(F83)&lt;=20),IF(INDEX(設定!$P$8:$P$27,VALUE(F83))="","？",INDEX(設定!$P$8:$P$27,VALUE(F83))),"？")))</f>
        <v/>
      </c>
      <c r="K83" s="51">
        <f>IF(L83="","",IF(G83="","名簿にいない",IF(COUNTIF(L84:L$555,L83)&gt;0,"2回提出（下の行を使います）",IF(H83="転出","転出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OR(AND(H83&lt;&gt;"",H83=I83),AND(H83&lt;&gt;"",H83=J83),AND(I83&lt;&gt;"",I83=J83)),"同じクラブを重複して希望","OK")))))))</f>
        <v/>
      </c>
      <c r="L83" s="11">
        <f>IF(OR(A83="",D83=""),"",A83&amp;"-"&amp;B83&amp;"-"&amp;C83)</f>
        <v/>
      </c>
      <c r="M83" s="11">
        <f>IF(OR(L83="",G83=""),"",IF(COUNTIF(L84:L$555,L83)=0,L83,""))</f>
        <v/>
      </c>
      <c r="N83" s="11">
        <f>IFERROR(MATCH(SMALL(前年度名簿!$G$3:$G$452,79),前年度名簿!$G$3:$G$452,0),"")</f>
        <v/>
      </c>
    </row>
    <row r="84">
      <c r="A84" s="49">
        <f>IF($N84="","",INDEX(前年度名簿!$A$3:$A$452,$N84))</f>
        <v/>
      </c>
      <c r="B84" s="49">
        <f>IF($N84="","",INDEX(前年度名簿!$B$3:$B$452,$N84))</f>
        <v/>
      </c>
      <c r="C84" s="49">
        <f>IF($N84="","",INDEX(前年度名簿!$C$3:$C$452,$N84))</f>
        <v/>
      </c>
      <c r="D84" s="49" t="n"/>
      <c r="E84" s="49" t="n"/>
      <c r="F84" s="49" t="n"/>
      <c r="G84" s="4">
        <f>IF(A84="","",IFERROR(INDEX(前年度名簿!$D$3:$D$452,MATCH(A84&amp;"-"&amp;B84&amp;"-"&amp;C84,前年度名簿!$F$3:$F$452,0)),""))</f>
        <v/>
      </c>
      <c r="H84" s="50">
        <f>IF(D84="","",IF(ISERROR(VALUE(D84)),D84&amp;"",IF(AND(VALUE(D84)&gt;=1,VALUE(D84)&lt;=20),IF(INDEX(設定!$P$8:$P$27,VALUE(D84))="","？",INDEX(設定!$P$8:$P$27,VALUE(D84))),"？")))</f>
        <v/>
      </c>
      <c r="I84" s="50">
        <f>IF(E84="","",IF(ISERROR(VALUE(E84)),E84&amp;"",IF(AND(VALUE(E84)&gt;=1,VALUE(E84)&lt;=20),IF(INDEX(設定!$P$8:$P$27,VALUE(E84))="","？",INDEX(設定!$P$8:$P$27,VALUE(E84))),"？")))</f>
        <v/>
      </c>
      <c r="J84" s="50">
        <f>IF(F84="","",IF(ISERROR(VALUE(F84)),F84&amp;"",IF(AND(VALUE(F84)&gt;=1,VALUE(F84)&lt;=20),IF(INDEX(設定!$P$8:$P$27,VALUE(F84))="","？",INDEX(設定!$P$8:$P$27,VALUE(F84))),"？")))</f>
        <v/>
      </c>
      <c r="K84" s="51">
        <f>IF(L84="","",IF(G84="","名簿にいない",IF(COUNTIF(L85:L$555,L84)&gt;0,"2回提出（下の行を使います）",IF(H84="転出","転出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OR(AND(H84&lt;&gt;"",H84=I84),AND(H84&lt;&gt;"",H84=J84),AND(I84&lt;&gt;"",I84=J84)),"同じクラブを重複して希望","OK")))))))</f>
        <v/>
      </c>
      <c r="L84" s="11">
        <f>IF(OR(A84="",D84=""),"",A84&amp;"-"&amp;B84&amp;"-"&amp;C84)</f>
        <v/>
      </c>
      <c r="M84" s="11">
        <f>IF(OR(L84="",G84=""),"",IF(COUNTIF(L85:L$555,L84)=0,L84,""))</f>
        <v/>
      </c>
      <c r="N84" s="11">
        <f>IFERROR(MATCH(SMALL(前年度名簿!$G$3:$G$452,80),前年度名簿!$G$3:$G$452,0),"")</f>
        <v/>
      </c>
    </row>
    <row r="85">
      <c r="A85" s="49">
        <f>IF($N85="","",INDEX(前年度名簿!$A$3:$A$452,$N85))</f>
        <v/>
      </c>
      <c r="B85" s="49">
        <f>IF($N85="","",INDEX(前年度名簿!$B$3:$B$452,$N85))</f>
        <v/>
      </c>
      <c r="C85" s="49">
        <f>IF($N85="","",INDEX(前年度名簿!$C$3:$C$452,$N85))</f>
        <v/>
      </c>
      <c r="D85" s="49" t="n"/>
      <c r="E85" s="49" t="n"/>
      <c r="F85" s="49" t="n"/>
      <c r="G85" s="4">
        <f>IF(A85="","",IFERROR(INDEX(前年度名簿!$D$3:$D$452,MATCH(A85&amp;"-"&amp;B85&amp;"-"&amp;C85,前年度名簿!$F$3:$F$452,0)),""))</f>
        <v/>
      </c>
      <c r="H85" s="50">
        <f>IF(D85="","",IF(ISERROR(VALUE(D85)),D85&amp;"",IF(AND(VALUE(D85)&gt;=1,VALUE(D85)&lt;=20),IF(INDEX(設定!$P$8:$P$27,VALUE(D85))="","？",INDEX(設定!$P$8:$P$27,VALUE(D85))),"？")))</f>
        <v/>
      </c>
      <c r="I85" s="50">
        <f>IF(E85="","",IF(ISERROR(VALUE(E85)),E85&amp;"",IF(AND(VALUE(E85)&gt;=1,VALUE(E85)&lt;=20),IF(INDEX(設定!$P$8:$P$27,VALUE(E85))="","？",INDEX(設定!$P$8:$P$27,VALUE(E85))),"？")))</f>
        <v/>
      </c>
      <c r="J85" s="50">
        <f>IF(F85="","",IF(ISERROR(VALUE(F85)),F85&amp;"",IF(AND(VALUE(F85)&gt;=1,VALUE(F85)&lt;=20),IF(INDEX(設定!$P$8:$P$27,VALUE(F85))="","？",INDEX(設定!$P$8:$P$27,VALUE(F85))),"？")))</f>
        <v/>
      </c>
      <c r="K85" s="51">
        <f>IF(L85="","",IF(G85="","名簿にいない",IF(COUNTIF(L86:L$555,L85)&gt;0,"2回提出（下の行を使います）",IF(H85="転出","転出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OR(AND(H85&lt;&gt;"",H85=I85),AND(H85&lt;&gt;"",H85=J85),AND(I85&lt;&gt;"",I85=J85)),"同じクラブを重複して希望","OK")))))))</f>
        <v/>
      </c>
      <c r="L85" s="11">
        <f>IF(OR(A85="",D85=""),"",A85&amp;"-"&amp;B85&amp;"-"&amp;C85)</f>
        <v/>
      </c>
      <c r="M85" s="11">
        <f>IF(OR(L85="",G85=""),"",IF(COUNTIF(L86:L$555,L85)=0,L85,""))</f>
        <v/>
      </c>
      <c r="N85" s="11">
        <f>IFERROR(MATCH(SMALL(前年度名簿!$G$3:$G$452,81),前年度名簿!$G$3:$G$452,0),"")</f>
        <v/>
      </c>
    </row>
    <row r="86">
      <c r="A86" s="49">
        <f>IF($N86="","",INDEX(前年度名簿!$A$3:$A$452,$N86))</f>
        <v/>
      </c>
      <c r="B86" s="49">
        <f>IF($N86="","",INDEX(前年度名簿!$B$3:$B$452,$N86))</f>
        <v/>
      </c>
      <c r="C86" s="49">
        <f>IF($N86="","",INDEX(前年度名簿!$C$3:$C$452,$N86))</f>
        <v/>
      </c>
      <c r="D86" s="49" t="n"/>
      <c r="E86" s="49" t="n"/>
      <c r="F86" s="49" t="n"/>
      <c r="G86" s="4">
        <f>IF(A86="","",IFERROR(INDEX(前年度名簿!$D$3:$D$452,MATCH(A86&amp;"-"&amp;B86&amp;"-"&amp;C86,前年度名簿!$F$3:$F$452,0)),""))</f>
        <v/>
      </c>
      <c r="H86" s="50">
        <f>IF(D86="","",IF(ISERROR(VALUE(D86)),D86&amp;"",IF(AND(VALUE(D86)&gt;=1,VALUE(D86)&lt;=20),IF(INDEX(設定!$P$8:$P$27,VALUE(D86))="","？",INDEX(設定!$P$8:$P$27,VALUE(D86))),"？")))</f>
        <v/>
      </c>
      <c r="I86" s="50">
        <f>IF(E86="","",IF(ISERROR(VALUE(E86)),E86&amp;"",IF(AND(VALUE(E86)&gt;=1,VALUE(E86)&lt;=20),IF(INDEX(設定!$P$8:$P$27,VALUE(E86))="","？",INDEX(設定!$P$8:$P$27,VALUE(E86))),"？")))</f>
        <v/>
      </c>
      <c r="J86" s="50">
        <f>IF(F86="","",IF(ISERROR(VALUE(F86)),F86&amp;"",IF(AND(VALUE(F86)&gt;=1,VALUE(F86)&lt;=20),IF(INDEX(設定!$P$8:$P$27,VALUE(F86))="","？",INDEX(設定!$P$8:$P$27,VALUE(F86))),"？")))</f>
        <v/>
      </c>
      <c r="K86" s="51">
        <f>IF(L86="","",IF(G86="","名簿にいない",IF(COUNTIF(L87:L$555,L86)&gt;0,"2回提出（下の行を使います）",IF(H86="転出","転出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OR(AND(H86&lt;&gt;"",H86=I86),AND(H86&lt;&gt;"",H86=J86),AND(I86&lt;&gt;"",I86=J86)),"同じクラブを重複して希望","OK")))))))</f>
        <v/>
      </c>
      <c r="L86" s="11">
        <f>IF(OR(A86="",D86=""),"",A86&amp;"-"&amp;B86&amp;"-"&amp;C86)</f>
        <v/>
      </c>
      <c r="M86" s="11">
        <f>IF(OR(L86="",G86=""),"",IF(COUNTIF(L87:L$555,L86)=0,L86,""))</f>
        <v/>
      </c>
      <c r="N86" s="11">
        <f>IFERROR(MATCH(SMALL(前年度名簿!$G$3:$G$452,82),前年度名簿!$G$3:$G$452,0),"")</f>
        <v/>
      </c>
    </row>
    <row r="87">
      <c r="A87" s="49">
        <f>IF($N87="","",INDEX(前年度名簿!$A$3:$A$452,$N87))</f>
        <v/>
      </c>
      <c r="B87" s="49">
        <f>IF($N87="","",INDEX(前年度名簿!$B$3:$B$452,$N87))</f>
        <v/>
      </c>
      <c r="C87" s="49">
        <f>IF($N87="","",INDEX(前年度名簿!$C$3:$C$452,$N87))</f>
        <v/>
      </c>
      <c r="D87" s="49" t="n"/>
      <c r="E87" s="49" t="n"/>
      <c r="F87" s="49" t="n"/>
      <c r="G87" s="4">
        <f>IF(A87="","",IFERROR(INDEX(前年度名簿!$D$3:$D$452,MATCH(A87&amp;"-"&amp;B87&amp;"-"&amp;C87,前年度名簿!$F$3:$F$452,0)),""))</f>
        <v/>
      </c>
      <c r="H87" s="50">
        <f>IF(D87="","",IF(ISERROR(VALUE(D87)),D87&amp;"",IF(AND(VALUE(D87)&gt;=1,VALUE(D87)&lt;=20),IF(INDEX(設定!$P$8:$P$27,VALUE(D87))="","？",INDEX(設定!$P$8:$P$27,VALUE(D87))),"？")))</f>
        <v/>
      </c>
      <c r="I87" s="50">
        <f>IF(E87="","",IF(ISERROR(VALUE(E87)),E87&amp;"",IF(AND(VALUE(E87)&gt;=1,VALUE(E87)&lt;=20),IF(INDEX(設定!$P$8:$P$27,VALUE(E87))="","？",INDEX(設定!$P$8:$P$27,VALUE(E87))),"？")))</f>
        <v/>
      </c>
      <c r="J87" s="50">
        <f>IF(F87="","",IF(ISERROR(VALUE(F87)),F87&amp;"",IF(AND(VALUE(F87)&gt;=1,VALUE(F87)&lt;=20),IF(INDEX(設定!$P$8:$P$27,VALUE(F87))="","？",INDEX(設定!$P$8:$P$27,VALUE(F87))),"？")))</f>
        <v/>
      </c>
      <c r="K87" s="51">
        <f>IF(L87="","",IF(G87="","名簿にいない",IF(COUNTIF(L88:L$555,L87)&gt;0,"2回提出（下の行を使います）",IF(H87="転出","転出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OR(AND(H87&lt;&gt;"",H87=I87),AND(H87&lt;&gt;"",H87=J87),AND(I87&lt;&gt;"",I87=J87)),"同じクラブを重複して希望","OK")))))))</f>
        <v/>
      </c>
      <c r="L87" s="11">
        <f>IF(OR(A87="",D87=""),"",A87&amp;"-"&amp;B87&amp;"-"&amp;C87)</f>
        <v/>
      </c>
      <c r="M87" s="11">
        <f>IF(OR(L87="",G87=""),"",IF(COUNTIF(L88:L$555,L87)=0,L87,""))</f>
        <v/>
      </c>
      <c r="N87" s="11">
        <f>IFERROR(MATCH(SMALL(前年度名簿!$G$3:$G$452,83),前年度名簿!$G$3:$G$452,0),"")</f>
        <v/>
      </c>
    </row>
    <row r="88">
      <c r="A88" s="49">
        <f>IF($N88="","",INDEX(前年度名簿!$A$3:$A$452,$N88))</f>
        <v/>
      </c>
      <c r="B88" s="49">
        <f>IF($N88="","",INDEX(前年度名簿!$B$3:$B$452,$N88))</f>
        <v/>
      </c>
      <c r="C88" s="49">
        <f>IF($N88="","",INDEX(前年度名簿!$C$3:$C$452,$N88))</f>
        <v/>
      </c>
      <c r="D88" s="49" t="n"/>
      <c r="E88" s="49" t="n"/>
      <c r="F88" s="49" t="n"/>
      <c r="G88" s="4">
        <f>IF(A88="","",IFERROR(INDEX(前年度名簿!$D$3:$D$452,MATCH(A88&amp;"-"&amp;B88&amp;"-"&amp;C88,前年度名簿!$F$3:$F$452,0)),""))</f>
        <v/>
      </c>
      <c r="H88" s="50">
        <f>IF(D88="","",IF(ISERROR(VALUE(D88)),D88&amp;"",IF(AND(VALUE(D88)&gt;=1,VALUE(D88)&lt;=20),IF(INDEX(設定!$P$8:$P$27,VALUE(D88))="","？",INDEX(設定!$P$8:$P$27,VALUE(D88))),"？")))</f>
        <v/>
      </c>
      <c r="I88" s="50">
        <f>IF(E88="","",IF(ISERROR(VALUE(E88)),E88&amp;"",IF(AND(VALUE(E88)&gt;=1,VALUE(E88)&lt;=20),IF(INDEX(設定!$P$8:$P$27,VALUE(E88))="","？",INDEX(設定!$P$8:$P$27,VALUE(E88))),"？")))</f>
        <v/>
      </c>
      <c r="J88" s="50">
        <f>IF(F88="","",IF(ISERROR(VALUE(F88)),F88&amp;"",IF(AND(VALUE(F88)&gt;=1,VALUE(F88)&lt;=20),IF(INDEX(設定!$P$8:$P$27,VALUE(F88))="","？",INDEX(設定!$P$8:$P$27,VALUE(F88))),"？")))</f>
        <v/>
      </c>
      <c r="K88" s="51">
        <f>IF(L88="","",IF(G88="","名簿にいない",IF(COUNTIF(L89:L$555,L88)&gt;0,"2回提出（下の行を使います）",IF(H88="転出","転出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OR(AND(H88&lt;&gt;"",H88=I88),AND(H88&lt;&gt;"",H88=J88),AND(I88&lt;&gt;"",I88=J88)),"同じクラブを重複して希望","OK")))))))</f>
        <v/>
      </c>
      <c r="L88" s="11">
        <f>IF(OR(A88="",D88=""),"",A88&amp;"-"&amp;B88&amp;"-"&amp;C88)</f>
        <v/>
      </c>
      <c r="M88" s="11">
        <f>IF(OR(L88="",G88=""),"",IF(COUNTIF(L89:L$555,L88)=0,L88,""))</f>
        <v/>
      </c>
      <c r="N88" s="11">
        <f>IFERROR(MATCH(SMALL(前年度名簿!$G$3:$G$452,84),前年度名簿!$G$3:$G$452,0),"")</f>
        <v/>
      </c>
    </row>
    <row r="89">
      <c r="A89" s="49">
        <f>IF($N89="","",INDEX(前年度名簿!$A$3:$A$452,$N89))</f>
        <v/>
      </c>
      <c r="B89" s="49">
        <f>IF($N89="","",INDEX(前年度名簿!$B$3:$B$452,$N89))</f>
        <v/>
      </c>
      <c r="C89" s="49">
        <f>IF($N89="","",INDEX(前年度名簿!$C$3:$C$452,$N89))</f>
        <v/>
      </c>
      <c r="D89" s="49" t="n"/>
      <c r="E89" s="49" t="n"/>
      <c r="F89" s="49" t="n"/>
      <c r="G89" s="4">
        <f>IF(A89="","",IFERROR(INDEX(前年度名簿!$D$3:$D$452,MATCH(A89&amp;"-"&amp;B89&amp;"-"&amp;C89,前年度名簿!$F$3:$F$452,0)),""))</f>
        <v/>
      </c>
      <c r="H89" s="50">
        <f>IF(D89="","",IF(ISERROR(VALUE(D89)),D89&amp;"",IF(AND(VALUE(D89)&gt;=1,VALUE(D89)&lt;=20),IF(INDEX(設定!$P$8:$P$27,VALUE(D89))="","？",INDEX(設定!$P$8:$P$27,VALUE(D89))),"？")))</f>
        <v/>
      </c>
      <c r="I89" s="50">
        <f>IF(E89="","",IF(ISERROR(VALUE(E89)),E89&amp;"",IF(AND(VALUE(E89)&gt;=1,VALUE(E89)&lt;=20),IF(INDEX(設定!$P$8:$P$27,VALUE(E89))="","？",INDEX(設定!$P$8:$P$27,VALUE(E89))),"？")))</f>
        <v/>
      </c>
      <c r="J89" s="50">
        <f>IF(F89="","",IF(ISERROR(VALUE(F89)),F89&amp;"",IF(AND(VALUE(F89)&gt;=1,VALUE(F89)&lt;=20),IF(INDEX(設定!$P$8:$P$27,VALUE(F89))="","？",INDEX(設定!$P$8:$P$27,VALUE(F89))),"？")))</f>
        <v/>
      </c>
      <c r="K89" s="51">
        <f>IF(L89="","",IF(G89="","名簿にいない",IF(COUNTIF(L90:L$555,L89)&gt;0,"2回提出（下の行を使います）",IF(H89="転出","転出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OR(AND(H89&lt;&gt;"",H89=I89),AND(H89&lt;&gt;"",H89=J89),AND(I89&lt;&gt;"",I89=J89)),"同じクラブを重複して希望","OK")))))))</f>
        <v/>
      </c>
      <c r="L89" s="11">
        <f>IF(OR(A89="",D89=""),"",A89&amp;"-"&amp;B89&amp;"-"&amp;C89)</f>
        <v/>
      </c>
      <c r="M89" s="11">
        <f>IF(OR(L89="",G89=""),"",IF(COUNTIF(L90:L$555,L89)=0,L89,""))</f>
        <v/>
      </c>
      <c r="N89" s="11">
        <f>IFERROR(MATCH(SMALL(前年度名簿!$G$3:$G$452,85),前年度名簿!$G$3:$G$452,0),"")</f>
        <v/>
      </c>
    </row>
    <row r="90">
      <c r="A90" s="49">
        <f>IF($N90="","",INDEX(前年度名簿!$A$3:$A$452,$N90))</f>
        <v/>
      </c>
      <c r="B90" s="49">
        <f>IF($N90="","",INDEX(前年度名簿!$B$3:$B$452,$N90))</f>
        <v/>
      </c>
      <c r="C90" s="49">
        <f>IF($N90="","",INDEX(前年度名簿!$C$3:$C$452,$N90))</f>
        <v/>
      </c>
      <c r="D90" s="49" t="n"/>
      <c r="E90" s="49" t="n"/>
      <c r="F90" s="49" t="n"/>
      <c r="G90" s="4">
        <f>IF(A90="","",IFERROR(INDEX(前年度名簿!$D$3:$D$452,MATCH(A90&amp;"-"&amp;B90&amp;"-"&amp;C90,前年度名簿!$F$3:$F$452,0)),""))</f>
        <v/>
      </c>
      <c r="H90" s="50">
        <f>IF(D90="","",IF(ISERROR(VALUE(D90)),D90&amp;"",IF(AND(VALUE(D90)&gt;=1,VALUE(D90)&lt;=20),IF(INDEX(設定!$P$8:$P$27,VALUE(D90))="","？",INDEX(設定!$P$8:$P$27,VALUE(D90))),"？")))</f>
        <v/>
      </c>
      <c r="I90" s="50">
        <f>IF(E90="","",IF(ISERROR(VALUE(E90)),E90&amp;"",IF(AND(VALUE(E90)&gt;=1,VALUE(E90)&lt;=20),IF(INDEX(設定!$P$8:$P$27,VALUE(E90))="","？",INDEX(設定!$P$8:$P$27,VALUE(E90))),"？")))</f>
        <v/>
      </c>
      <c r="J90" s="50">
        <f>IF(F90="","",IF(ISERROR(VALUE(F90)),F90&amp;"",IF(AND(VALUE(F90)&gt;=1,VALUE(F90)&lt;=20),IF(INDEX(設定!$P$8:$P$27,VALUE(F90))="","？",INDEX(設定!$P$8:$P$27,VALUE(F90))),"？")))</f>
        <v/>
      </c>
      <c r="K90" s="51">
        <f>IF(L90="","",IF(G90="","名簿にいない",IF(COUNTIF(L91:L$555,L90)&gt;0,"2回提出（下の行を使います）",IF(H90="転出","転出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OR(AND(H90&lt;&gt;"",H90=I90),AND(H90&lt;&gt;"",H90=J90),AND(I90&lt;&gt;"",I90=J90)),"同じクラブを重複して希望","OK")))))))</f>
        <v/>
      </c>
      <c r="L90" s="11">
        <f>IF(OR(A90="",D90=""),"",A90&amp;"-"&amp;B90&amp;"-"&amp;C90)</f>
        <v/>
      </c>
      <c r="M90" s="11">
        <f>IF(OR(L90="",G90=""),"",IF(COUNTIF(L91:L$555,L90)=0,L90,""))</f>
        <v/>
      </c>
      <c r="N90" s="11">
        <f>IFERROR(MATCH(SMALL(前年度名簿!$G$3:$G$452,86),前年度名簿!$G$3:$G$452,0),"")</f>
        <v/>
      </c>
    </row>
    <row r="91">
      <c r="A91" s="49">
        <f>IF($N91="","",INDEX(前年度名簿!$A$3:$A$452,$N91))</f>
        <v/>
      </c>
      <c r="B91" s="49">
        <f>IF($N91="","",INDEX(前年度名簿!$B$3:$B$452,$N91))</f>
        <v/>
      </c>
      <c r="C91" s="49">
        <f>IF($N91="","",INDEX(前年度名簿!$C$3:$C$452,$N91))</f>
        <v/>
      </c>
      <c r="D91" s="49" t="n"/>
      <c r="E91" s="49" t="n"/>
      <c r="F91" s="49" t="n"/>
      <c r="G91" s="4">
        <f>IF(A91="","",IFERROR(INDEX(前年度名簿!$D$3:$D$452,MATCH(A91&amp;"-"&amp;B91&amp;"-"&amp;C91,前年度名簿!$F$3:$F$452,0)),""))</f>
        <v/>
      </c>
      <c r="H91" s="50">
        <f>IF(D91="","",IF(ISERROR(VALUE(D91)),D91&amp;"",IF(AND(VALUE(D91)&gt;=1,VALUE(D91)&lt;=20),IF(INDEX(設定!$P$8:$P$27,VALUE(D91))="","？",INDEX(設定!$P$8:$P$27,VALUE(D91))),"？")))</f>
        <v/>
      </c>
      <c r="I91" s="50">
        <f>IF(E91="","",IF(ISERROR(VALUE(E91)),E91&amp;"",IF(AND(VALUE(E91)&gt;=1,VALUE(E91)&lt;=20),IF(INDEX(設定!$P$8:$P$27,VALUE(E91))="","？",INDEX(設定!$P$8:$P$27,VALUE(E91))),"？")))</f>
        <v/>
      </c>
      <c r="J91" s="50">
        <f>IF(F91="","",IF(ISERROR(VALUE(F91)),F91&amp;"",IF(AND(VALUE(F91)&gt;=1,VALUE(F91)&lt;=20),IF(INDEX(設定!$P$8:$P$27,VALUE(F91))="","？",INDEX(設定!$P$8:$P$27,VALUE(F91))),"？")))</f>
        <v/>
      </c>
      <c r="K91" s="51">
        <f>IF(L91="","",IF(G91="","名簿にいない",IF(COUNTIF(L92:L$555,L91)&gt;0,"2回提出（下の行を使います）",IF(H91="転出","転出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OR(AND(H91&lt;&gt;"",H91=I91),AND(H91&lt;&gt;"",H91=J91),AND(I91&lt;&gt;"",I91=J91)),"同じクラブを重複して希望","OK")))))))</f>
        <v/>
      </c>
      <c r="L91" s="11">
        <f>IF(OR(A91="",D91=""),"",A91&amp;"-"&amp;B91&amp;"-"&amp;C91)</f>
        <v/>
      </c>
      <c r="M91" s="11">
        <f>IF(OR(L91="",G91=""),"",IF(COUNTIF(L92:L$555,L91)=0,L91,""))</f>
        <v/>
      </c>
      <c r="N91" s="11">
        <f>IFERROR(MATCH(SMALL(前年度名簿!$G$3:$G$452,87),前年度名簿!$G$3:$G$452,0),"")</f>
        <v/>
      </c>
    </row>
    <row r="92">
      <c r="A92" s="49">
        <f>IF($N92="","",INDEX(前年度名簿!$A$3:$A$452,$N92))</f>
        <v/>
      </c>
      <c r="B92" s="49">
        <f>IF($N92="","",INDEX(前年度名簿!$B$3:$B$452,$N92))</f>
        <v/>
      </c>
      <c r="C92" s="49">
        <f>IF($N92="","",INDEX(前年度名簿!$C$3:$C$452,$N92))</f>
        <v/>
      </c>
      <c r="D92" s="49" t="n"/>
      <c r="E92" s="49" t="n"/>
      <c r="F92" s="49" t="n"/>
      <c r="G92" s="4">
        <f>IF(A92="","",IFERROR(INDEX(前年度名簿!$D$3:$D$452,MATCH(A92&amp;"-"&amp;B92&amp;"-"&amp;C92,前年度名簿!$F$3:$F$452,0)),""))</f>
        <v/>
      </c>
      <c r="H92" s="50">
        <f>IF(D92="","",IF(ISERROR(VALUE(D92)),D92&amp;"",IF(AND(VALUE(D92)&gt;=1,VALUE(D92)&lt;=20),IF(INDEX(設定!$P$8:$P$27,VALUE(D92))="","？",INDEX(設定!$P$8:$P$27,VALUE(D92))),"？")))</f>
        <v/>
      </c>
      <c r="I92" s="50">
        <f>IF(E92="","",IF(ISERROR(VALUE(E92)),E92&amp;"",IF(AND(VALUE(E92)&gt;=1,VALUE(E92)&lt;=20),IF(INDEX(設定!$P$8:$P$27,VALUE(E92))="","？",INDEX(設定!$P$8:$P$27,VALUE(E92))),"？")))</f>
        <v/>
      </c>
      <c r="J92" s="50">
        <f>IF(F92="","",IF(ISERROR(VALUE(F92)),F92&amp;"",IF(AND(VALUE(F92)&gt;=1,VALUE(F92)&lt;=20),IF(INDEX(設定!$P$8:$P$27,VALUE(F92))="","？",INDEX(設定!$P$8:$P$27,VALUE(F92))),"？")))</f>
        <v/>
      </c>
      <c r="K92" s="51">
        <f>IF(L92="","",IF(G92="","名簿にいない",IF(COUNTIF(L93:L$555,L92)&gt;0,"2回提出（下の行を使います）",IF(H92="転出","転出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OR(AND(H92&lt;&gt;"",H92=I92),AND(H92&lt;&gt;"",H92=J92),AND(I92&lt;&gt;"",I92=J92)),"同じクラブを重複して希望","OK")))))))</f>
        <v/>
      </c>
      <c r="L92" s="11">
        <f>IF(OR(A92="",D92=""),"",A92&amp;"-"&amp;B92&amp;"-"&amp;C92)</f>
        <v/>
      </c>
      <c r="M92" s="11">
        <f>IF(OR(L92="",G92=""),"",IF(COUNTIF(L93:L$555,L92)=0,L92,""))</f>
        <v/>
      </c>
      <c r="N92" s="11">
        <f>IFERROR(MATCH(SMALL(前年度名簿!$G$3:$G$452,88),前年度名簿!$G$3:$G$452,0),"")</f>
        <v/>
      </c>
    </row>
    <row r="93">
      <c r="A93" s="49">
        <f>IF($N93="","",INDEX(前年度名簿!$A$3:$A$452,$N93))</f>
        <v/>
      </c>
      <c r="B93" s="49">
        <f>IF($N93="","",INDEX(前年度名簿!$B$3:$B$452,$N93))</f>
        <v/>
      </c>
      <c r="C93" s="49">
        <f>IF($N93="","",INDEX(前年度名簿!$C$3:$C$452,$N93))</f>
        <v/>
      </c>
      <c r="D93" s="49" t="n"/>
      <c r="E93" s="49" t="n"/>
      <c r="F93" s="49" t="n"/>
      <c r="G93" s="4">
        <f>IF(A93="","",IFERROR(INDEX(前年度名簿!$D$3:$D$452,MATCH(A93&amp;"-"&amp;B93&amp;"-"&amp;C93,前年度名簿!$F$3:$F$452,0)),""))</f>
        <v/>
      </c>
      <c r="H93" s="50">
        <f>IF(D93="","",IF(ISERROR(VALUE(D93)),D93&amp;"",IF(AND(VALUE(D93)&gt;=1,VALUE(D93)&lt;=20),IF(INDEX(設定!$P$8:$P$27,VALUE(D93))="","？",INDEX(設定!$P$8:$P$27,VALUE(D93))),"？")))</f>
        <v/>
      </c>
      <c r="I93" s="50">
        <f>IF(E93="","",IF(ISERROR(VALUE(E93)),E93&amp;"",IF(AND(VALUE(E93)&gt;=1,VALUE(E93)&lt;=20),IF(INDEX(設定!$P$8:$P$27,VALUE(E93))="","？",INDEX(設定!$P$8:$P$27,VALUE(E93))),"？")))</f>
        <v/>
      </c>
      <c r="J93" s="50">
        <f>IF(F93="","",IF(ISERROR(VALUE(F93)),F93&amp;"",IF(AND(VALUE(F93)&gt;=1,VALUE(F93)&lt;=20),IF(INDEX(設定!$P$8:$P$27,VALUE(F93))="","？",INDEX(設定!$P$8:$P$27,VALUE(F93))),"？")))</f>
        <v/>
      </c>
      <c r="K93" s="51">
        <f>IF(L93="","",IF(G93="","名簿にいない",IF(COUNTIF(L94:L$555,L93)&gt;0,"2回提出（下の行を使います）",IF(H93="転出","転出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OR(AND(H93&lt;&gt;"",H93=I93),AND(H93&lt;&gt;"",H93=J93),AND(I93&lt;&gt;"",I93=J93)),"同じクラブを重複して希望","OK")))))))</f>
        <v/>
      </c>
      <c r="L93" s="11">
        <f>IF(OR(A93="",D93=""),"",A93&amp;"-"&amp;B93&amp;"-"&amp;C93)</f>
        <v/>
      </c>
      <c r="M93" s="11">
        <f>IF(OR(L93="",G93=""),"",IF(COUNTIF(L94:L$555,L93)=0,L93,""))</f>
        <v/>
      </c>
      <c r="N93" s="11">
        <f>IFERROR(MATCH(SMALL(前年度名簿!$G$3:$G$452,89),前年度名簿!$G$3:$G$452,0),"")</f>
        <v/>
      </c>
    </row>
    <row r="94">
      <c r="A94" s="49">
        <f>IF($N94="","",INDEX(前年度名簿!$A$3:$A$452,$N94))</f>
        <v/>
      </c>
      <c r="B94" s="49">
        <f>IF($N94="","",INDEX(前年度名簿!$B$3:$B$452,$N94))</f>
        <v/>
      </c>
      <c r="C94" s="49">
        <f>IF($N94="","",INDEX(前年度名簿!$C$3:$C$452,$N94))</f>
        <v/>
      </c>
      <c r="D94" s="49" t="n"/>
      <c r="E94" s="49" t="n"/>
      <c r="F94" s="49" t="n"/>
      <c r="G94" s="4">
        <f>IF(A94="","",IFERROR(INDEX(前年度名簿!$D$3:$D$452,MATCH(A94&amp;"-"&amp;B94&amp;"-"&amp;C94,前年度名簿!$F$3:$F$452,0)),""))</f>
        <v/>
      </c>
      <c r="H94" s="50">
        <f>IF(D94="","",IF(ISERROR(VALUE(D94)),D94&amp;"",IF(AND(VALUE(D94)&gt;=1,VALUE(D94)&lt;=20),IF(INDEX(設定!$P$8:$P$27,VALUE(D94))="","？",INDEX(設定!$P$8:$P$27,VALUE(D94))),"？")))</f>
        <v/>
      </c>
      <c r="I94" s="50">
        <f>IF(E94="","",IF(ISERROR(VALUE(E94)),E94&amp;"",IF(AND(VALUE(E94)&gt;=1,VALUE(E94)&lt;=20),IF(INDEX(設定!$P$8:$P$27,VALUE(E94))="","？",INDEX(設定!$P$8:$P$27,VALUE(E94))),"？")))</f>
        <v/>
      </c>
      <c r="J94" s="50">
        <f>IF(F94="","",IF(ISERROR(VALUE(F94)),F94&amp;"",IF(AND(VALUE(F94)&gt;=1,VALUE(F94)&lt;=20),IF(INDEX(設定!$P$8:$P$27,VALUE(F94))="","？",INDEX(設定!$P$8:$P$27,VALUE(F94))),"？")))</f>
        <v/>
      </c>
      <c r="K94" s="51">
        <f>IF(L94="","",IF(G94="","名簿にいない",IF(COUNTIF(L95:L$555,L94)&gt;0,"2回提出（下の行を使います）",IF(H94="転出","転出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OR(AND(H94&lt;&gt;"",H94=I94),AND(H94&lt;&gt;"",H94=J94),AND(I94&lt;&gt;"",I94=J94)),"同じクラブを重複して希望","OK")))))))</f>
        <v/>
      </c>
      <c r="L94" s="11">
        <f>IF(OR(A94="",D94=""),"",A94&amp;"-"&amp;B94&amp;"-"&amp;C94)</f>
        <v/>
      </c>
      <c r="M94" s="11">
        <f>IF(OR(L94="",G94=""),"",IF(COUNTIF(L95:L$555,L94)=0,L94,""))</f>
        <v/>
      </c>
      <c r="N94" s="11">
        <f>IFERROR(MATCH(SMALL(前年度名簿!$G$3:$G$452,90),前年度名簿!$G$3:$G$452,0),"")</f>
        <v/>
      </c>
    </row>
    <row r="95">
      <c r="A95" s="49">
        <f>IF($N95="","",INDEX(前年度名簿!$A$3:$A$452,$N95))</f>
        <v/>
      </c>
      <c r="B95" s="49">
        <f>IF($N95="","",INDEX(前年度名簿!$B$3:$B$452,$N95))</f>
        <v/>
      </c>
      <c r="C95" s="49">
        <f>IF($N95="","",INDEX(前年度名簿!$C$3:$C$452,$N95))</f>
        <v/>
      </c>
      <c r="D95" s="49" t="n"/>
      <c r="E95" s="49" t="n"/>
      <c r="F95" s="49" t="n"/>
      <c r="G95" s="4">
        <f>IF(A95="","",IFERROR(INDEX(前年度名簿!$D$3:$D$452,MATCH(A95&amp;"-"&amp;B95&amp;"-"&amp;C95,前年度名簿!$F$3:$F$452,0)),""))</f>
        <v/>
      </c>
      <c r="H95" s="50">
        <f>IF(D95="","",IF(ISERROR(VALUE(D95)),D95&amp;"",IF(AND(VALUE(D95)&gt;=1,VALUE(D95)&lt;=20),IF(INDEX(設定!$P$8:$P$27,VALUE(D95))="","？",INDEX(設定!$P$8:$P$27,VALUE(D95))),"？")))</f>
        <v/>
      </c>
      <c r="I95" s="50">
        <f>IF(E95="","",IF(ISERROR(VALUE(E95)),E95&amp;"",IF(AND(VALUE(E95)&gt;=1,VALUE(E95)&lt;=20),IF(INDEX(設定!$P$8:$P$27,VALUE(E95))="","？",INDEX(設定!$P$8:$P$27,VALUE(E95))),"？")))</f>
        <v/>
      </c>
      <c r="J95" s="50">
        <f>IF(F95="","",IF(ISERROR(VALUE(F95)),F95&amp;"",IF(AND(VALUE(F95)&gt;=1,VALUE(F95)&lt;=20),IF(INDEX(設定!$P$8:$P$27,VALUE(F95))="","？",INDEX(設定!$P$8:$P$27,VALUE(F95))),"？")))</f>
        <v/>
      </c>
      <c r="K95" s="51">
        <f>IF(L95="","",IF(G95="","名簿にいない",IF(COUNTIF(L96:L$555,L95)&gt;0,"2回提出（下の行を使います）",IF(H95="転出","転出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OR(AND(H95&lt;&gt;"",H95=I95),AND(H95&lt;&gt;"",H95=J95),AND(I95&lt;&gt;"",I95=J95)),"同じクラブを重複して希望","OK")))))))</f>
        <v/>
      </c>
      <c r="L95" s="11">
        <f>IF(OR(A95="",D95=""),"",A95&amp;"-"&amp;B95&amp;"-"&amp;C95)</f>
        <v/>
      </c>
      <c r="M95" s="11">
        <f>IF(OR(L95="",G95=""),"",IF(COUNTIF(L96:L$555,L95)=0,L95,""))</f>
        <v/>
      </c>
      <c r="N95" s="11">
        <f>IFERROR(MATCH(SMALL(前年度名簿!$G$3:$G$452,91),前年度名簿!$G$3:$G$452,0),"")</f>
        <v/>
      </c>
    </row>
    <row r="96">
      <c r="A96" s="49">
        <f>IF($N96="","",INDEX(前年度名簿!$A$3:$A$452,$N96))</f>
        <v/>
      </c>
      <c r="B96" s="49">
        <f>IF($N96="","",INDEX(前年度名簿!$B$3:$B$452,$N96))</f>
        <v/>
      </c>
      <c r="C96" s="49">
        <f>IF($N96="","",INDEX(前年度名簿!$C$3:$C$452,$N96))</f>
        <v/>
      </c>
      <c r="D96" s="49" t="n"/>
      <c r="E96" s="49" t="n"/>
      <c r="F96" s="49" t="n"/>
      <c r="G96" s="4">
        <f>IF(A96="","",IFERROR(INDEX(前年度名簿!$D$3:$D$452,MATCH(A96&amp;"-"&amp;B96&amp;"-"&amp;C96,前年度名簿!$F$3:$F$452,0)),""))</f>
        <v/>
      </c>
      <c r="H96" s="50">
        <f>IF(D96="","",IF(ISERROR(VALUE(D96)),D96&amp;"",IF(AND(VALUE(D96)&gt;=1,VALUE(D96)&lt;=20),IF(INDEX(設定!$P$8:$P$27,VALUE(D96))="","？",INDEX(設定!$P$8:$P$27,VALUE(D96))),"？")))</f>
        <v/>
      </c>
      <c r="I96" s="50">
        <f>IF(E96="","",IF(ISERROR(VALUE(E96)),E96&amp;"",IF(AND(VALUE(E96)&gt;=1,VALUE(E96)&lt;=20),IF(INDEX(設定!$P$8:$P$27,VALUE(E96))="","？",INDEX(設定!$P$8:$P$27,VALUE(E96))),"？")))</f>
        <v/>
      </c>
      <c r="J96" s="50">
        <f>IF(F96="","",IF(ISERROR(VALUE(F96)),F96&amp;"",IF(AND(VALUE(F96)&gt;=1,VALUE(F96)&lt;=20),IF(INDEX(設定!$P$8:$P$27,VALUE(F96))="","？",INDEX(設定!$P$8:$P$27,VALUE(F96))),"？")))</f>
        <v/>
      </c>
      <c r="K96" s="51">
        <f>IF(L96="","",IF(G96="","名簿にいない",IF(COUNTIF(L97:L$555,L96)&gt;0,"2回提出（下の行を使います）",IF(H96="転出","転出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OR(AND(H96&lt;&gt;"",H96=I96),AND(H96&lt;&gt;"",H96=J96),AND(I96&lt;&gt;"",I96=J96)),"同じクラブを重複して希望","OK")))))))</f>
        <v/>
      </c>
      <c r="L96" s="11">
        <f>IF(OR(A96="",D96=""),"",A96&amp;"-"&amp;B96&amp;"-"&amp;C96)</f>
        <v/>
      </c>
      <c r="M96" s="11">
        <f>IF(OR(L96="",G96=""),"",IF(COUNTIF(L97:L$555,L96)=0,L96,""))</f>
        <v/>
      </c>
      <c r="N96" s="11">
        <f>IFERROR(MATCH(SMALL(前年度名簿!$G$3:$G$452,92),前年度名簿!$G$3:$G$452,0),"")</f>
        <v/>
      </c>
    </row>
    <row r="97">
      <c r="A97" s="49">
        <f>IF($N97="","",INDEX(前年度名簿!$A$3:$A$452,$N97))</f>
        <v/>
      </c>
      <c r="B97" s="49">
        <f>IF($N97="","",INDEX(前年度名簿!$B$3:$B$452,$N97))</f>
        <v/>
      </c>
      <c r="C97" s="49">
        <f>IF($N97="","",INDEX(前年度名簿!$C$3:$C$452,$N97))</f>
        <v/>
      </c>
      <c r="D97" s="49" t="n"/>
      <c r="E97" s="49" t="n"/>
      <c r="F97" s="49" t="n"/>
      <c r="G97" s="4">
        <f>IF(A97="","",IFERROR(INDEX(前年度名簿!$D$3:$D$452,MATCH(A97&amp;"-"&amp;B97&amp;"-"&amp;C97,前年度名簿!$F$3:$F$452,0)),""))</f>
        <v/>
      </c>
      <c r="H97" s="50">
        <f>IF(D97="","",IF(ISERROR(VALUE(D97)),D97&amp;"",IF(AND(VALUE(D97)&gt;=1,VALUE(D97)&lt;=20),IF(INDEX(設定!$P$8:$P$27,VALUE(D97))="","？",INDEX(設定!$P$8:$P$27,VALUE(D97))),"？")))</f>
        <v/>
      </c>
      <c r="I97" s="50">
        <f>IF(E97="","",IF(ISERROR(VALUE(E97)),E97&amp;"",IF(AND(VALUE(E97)&gt;=1,VALUE(E97)&lt;=20),IF(INDEX(設定!$P$8:$P$27,VALUE(E97))="","？",INDEX(設定!$P$8:$P$27,VALUE(E97))),"？")))</f>
        <v/>
      </c>
      <c r="J97" s="50">
        <f>IF(F97="","",IF(ISERROR(VALUE(F97)),F97&amp;"",IF(AND(VALUE(F97)&gt;=1,VALUE(F97)&lt;=20),IF(INDEX(設定!$P$8:$P$27,VALUE(F97))="","？",INDEX(設定!$P$8:$P$27,VALUE(F97))),"？")))</f>
        <v/>
      </c>
      <c r="K97" s="51">
        <f>IF(L97="","",IF(G97="","名簿にいない",IF(COUNTIF(L98:L$555,L97)&gt;0,"2回提出（下の行を使います）",IF(H97="転出","転出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OR(AND(H97&lt;&gt;"",H97=I97),AND(H97&lt;&gt;"",H97=J97),AND(I97&lt;&gt;"",I97=J97)),"同じクラブを重複して希望","OK")))))))</f>
        <v/>
      </c>
      <c r="L97" s="11">
        <f>IF(OR(A97="",D97=""),"",A97&amp;"-"&amp;B97&amp;"-"&amp;C97)</f>
        <v/>
      </c>
      <c r="M97" s="11">
        <f>IF(OR(L97="",G97=""),"",IF(COUNTIF(L98:L$555,L97)=0,L97,""))</f>
        <v/>
      </c>
      <c r="N97" s="11">
        <f>IFERROR(MATCH(SMALL(前年度名簿!$G$3:$G$452,93),前年度名簿!$G$3:$G$452,0),"")</f>
        <v/>
      </c>
    </row>
    <row r="98">
      <c r="A98" s="49">
        <f>IF($N98="","",INDEX(前年度名簿!$A$3:$A$452,$N98))</f>
        <v/>
      </c>
      <c r="B98" s="49">
        <f>IF($N98="","",INDEX(前年度名簿!$B$3:$B$452,$N98))</f>
        <v/>
      </c>
      <c r="C98" s="49">
        <f>IF($N98="","",INDEX(前年度名簿!$C$3:$C$452,$N98))</f>
        <v/>
      </c>
      <c r="D98" s="49" t="n"/>
      <c r="E98" s="49" t="n"/>
      <c r="F98" s="49" t="n"/>
      <c r="G98" s="4">
        <f>IF(A98="","",IFERROR(INDEX(前年度名簿!$D$3:$D$452,MATCH(A98&amp;"-"&amp;B98&amp;"-"&amp;C98,前年度名簿!$F$3:$F$452,0)),""))</f>
        <v/>
      </c>
      <c r="H98" s="50">
        <f>IF(D98="","",IF(ISERROR(VALUE(D98)),D98&amp;"",IF(AND(VALUE(D98)&gt;=1,VALUE(D98)&lt;=20),IF(INDEX(設定!$P$8:$P$27,VALUE(D98))="","？",INDEX(設定!$P$8:$P$27,VALUE(D98))),"？")))</f>
        <v/>
      </c>
      <c r="I98" s="50">
        <f>IF(E98="","",IF(ISERROR(VALUE(E98)),E98&amp;"",IF(AND(VALUE(E98)&gt;=1,VALUE(E98)&lt;=20),IF(INDEX(設定!$P$8:$P$27,VALUE(E98))="","？",INDEX(設定!$P$8:$P$27,VALUE(E98))),"？")))</f>
        <v/>
      </c>
      <c r="J98" s="50">
        <f>IF(F98="","",IF(ISERROR(VALUE(F98)),F98&amp;"",IF(AND(VALUE(F98)&gt;=1,VALUE(F98)&lt;=20),IF(INDEX(設定!$P$8:$P$27,VALUE(F98))="","？",INDEX(設定!$P$8:$P$27,VALUE(F98))),"？")))</f>
        <v/>
      </c>
      <c r="K98" s="51">
        <f>IF(L98="","",IF(G98="","名簿にいない",IF(COUNTIF(L99:L$555,L98)&gt;0,"2回提出（下の行を使います）",IF(H98="転出","転出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OR(AND(H98&lt;&gt;"",H98=I98),AND(H98&lt;&gt;"",H98=J98),AND(I98&lt;&gt;"",I98=J98)),"同じクラブを重複して希望","OK")))))))</f>
        <v/>
      </c>
      <c r="L98" s="11">
        <f>IF(OR(A98="",D98=""),"",A98&amp;"-"&amp;B98&amp;"-"&amp;C98)</f>
        <v/>
      </c>
      <c r="M98" s="11">
        <f>IF(OR(L98="",G98=""),"",IF(COUNTIF(L99:L$555,L98)=0,L98,""))</f>
        <v/>
      </c>
      <c r="N98" s="11">
        <f>IFERROR(MATCH(SMALL(前年度名簿!$G$3:$G$452,94),前年度名簿!$G$3:$G$452,0),"")</f>
        <v/>
      </c>
    </row>
    <row r="99">
      <c r="A99" s="49">
        <f>IF($N99="","",INDEX(前年度名簿!$A$3:$A$452,$N99))</f>
        <v/>
      </c>
      <c r="B99" s="49">
        <f>IF($N99="","",INDEX(前年度名簿!$B$3:$B$452,$N99))</f>
        <v/>
      </c>
      <c r="C99" s="49">
        <f>IF($N99="","",INDEX(前年度名簿!$C$3:$C$452,$N99))</f>
        <v/>
      </c>
      <c r="D99" s="49" t="n"/>
      <c r="E99" s="49" t="n"/>
      <c r="F99" s="49" t="n"/>
      <c r="G99" s="4">
        <f>IF(A99="","",IFERROR(INDEX(前年度名簿!$D$3:$D$452,MATCH(A99&amp;"-"&amp;B99&amp;"-"&amp;C99,前年度名簿!$F$3:$F$452,0)),""))</f>
        <v/>
      </c>
      <c r="H99" s="50">
        <f>IF(D99="","",IF(ISERROR(VALUE(D99)),D99&amp;"",IF(AND(VALUE(D99)&gt;=1,VALUE(D99)&lt;=20),IF(INDEX(設定!$P$8:$P$27,VALUE(D99))="","？",INDEX(設定!$P$8:$P$27,VALUE(D99))),"？")))</f>
        <v/>
      </c>
      <c r="I99" s="50">
        <f>IF(E99="","",IF(ISERROR(VALUE(E99)),E99&amp;"",IF(AND(VALUE(E99)&gt;=1,VALUE(E99)&lt;=20),IF(INDEX(設定!$P$8:$P$27,VALUE(E99))="","？",INDEX(設定!$P$8:$P$27,VALUE(E99))),"？")))</f>
        <v/>
      </c>
      <c r="J99" s="50">
        <f>IF(F99="","",IF(ISERROR(VALUE(F99)),F99&amp;"",IF(AND(VALUE(F99)&gt;=1,VALUE(F99)&lt;=20),IF(INDEX(設定!$P$8:$P$27,VALUE(F99))="","？",INDEX(設定!$P$8:$P$27,VALUE(F99))),"？")))</f>
        <v/>
      </c>
      <c r="K99" s="51">
        <f>IF(L99="","",IF(G99="","名簿にいない",IF(COUNTIF(L100:L$555,L99)&gt;0,"2回提出（下の行を使います）",IF(H99="転出","転出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OR(AND(H99&lt;&gt;"",H99=I99),AND(H99&lt;&gt;"",H99=J99),AND(I99&lt;&gt;"",I99=J99)),"同じクラブを重複して希望","OK")))))))</f>
        <v/>
      </c>
      <c r="L99" s="11">
        <f>IF(OR(A99="",D99=""),"",A99&amp;"-"&amp;B99&amp;"-"&amp;C99)</f>
        <v/>
      </c>
      <c r="M99" s="11">
        <f>IF(OR(L99="",G99=""),"",IF(COUNTIF(L100:L$555,L99)=0,L99,""))</f>
        <v/>
      </c>
      <c r="N99" s="11">
        <f>IFERROR(MATCH(SMALL(前年度名簿!$G$3:$G$452,95),前年度名簿!$G$3:$G$452,0),"")</f>
        <v/>
      </c>
    </row>
    <row r="100">
      <c r="A100" s="49">
        <f>IF($N100="","",INDEX(前年度名簿!$A$3:$A$452,$N100))</f>
        <v/>
      </c>
      <c r="B100" s="49">
        <f>IF($N100="","",INDEX(前年度名簿!$B$3:$B$452,$N100))</f>
        <v/>
      </c>
      <c r="C100" s="49">
        <f>IF($N100="","",INDEX(前年度名簿!$C$3:$C$452,$N100))</f>
        <v/>
      </c>
      <c r="D100" s="49" t="n"/>
      <c r="E100" s="49" t="n"/>
      <c r="F100" s="49" t="n"/>
      <c r="G100" s="4">
        <f>IF(A100="","",IFERROR(INDEX(前年度名簿!$D$3:$D$452,MATCH(A100&amp;"-"&amp;B100&amp;"-"&amp;C100,前年度名簿!$F$3:$F$452,0)),""))</f>
        <v/>
      </c>
      <c r="H100" s="50">
        <f>IF(D100="","",IF(ISERROR(VALUE(D100)),D100&amp;"",IF(AND(VALUE(D100)&gt;=1,VALUE(D100)&lt;=20),IF(INDEX(設定!$P$8:$P$27,VALUE(D100))="","？",INDEX(設定!$P$8:$P$27,VALUE(D100))),"？")))</f>
        <v/>
      </c>
      <c r="I100" s="50">
        <f>IF(E100="","",IF(ISERROR(VALUE(E100)),E100&amp;"",IF(AND(VALUE(E100)&gt;=1,VALUE(E100)&lt;=20),IF(INDEX(設定!$P$8:$P$27,VALUE(E100))="","？",INDEX(設定!$P$8:$P$27,VALUE(E100))),"？")))</f>
        <v/>
      </c>
      <c r="J100" s="50">
        <f>IF(F100="","",IF(ISERROR(VALUE(F100)),F100&amp;"",IF(AND(VALUE(F100)&gt;=1,VALUE(F100)&lt;=20),IF(INDEX(設定!$P$8:$P$27,VALUE(F100))="","？",INDEX(設定!$P$8:$P$27,VALUE(F100))),"？")))</f>
        <v/>
      </c>
      <c r="K100" s="51">
        <f>IF(L100="","",IF(G100="","名簿にいない",IF(COUNTIF(L101:L$555,L100)&gt;0,"2回提出（下の行を使います）",IF(H100="転出","転出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OR(AND(H100&lt;&gt;"",H100=I100),AND(H100&lt;&gt;"",H100=J100),AND(I100&lt;&gt;"",I100=J100)),"同じクラブを重複して希望","OK")))))))</f>
        <v/>
      </c>
      <c r="L100" s="11">
        <f>IF(OR(A100="",D100=""),"",A100&amp;"-"&amp;B100&amp;"-"&amp;C100)</f>
        <v/>
      </c>
      <c r="M100" s="11">
        <f>IF(OR(L100="",G100=""),"",IF(COUNTIF(L101:L$555,L100)=0,L100,""))</f>
        <v/>
      </c>
      <c r="N100" s="11">
        <f>IFERROR(MATCH(SMALL(前年度名簿!$G$3:$G$452,96),前年度名簿!$G$3:$G$452,0),"")</f>
        <v/>
      </c>
    </row>
    <row r="101">
      <c r="A101" s="49">
        <f>IF($N101="","",INDEX(前年度名簿!$A$3:$A$452,$N101))</f>
        <v/>
      </c>
      <c r="B101" s="49">
        <f>IF($N101="","",INDEX(前年度名簿!$B$3:$B$452,$N101))</f>
        <v/>
      </c>
      <c r="C101" s="49">
        <f>IF($N101="","",INDEX(前年度名簿!$C$3:$C$452,$N101))</f>
        <v/>
      </c>
      <c r="D101" s="49" t="n"/>
      <c r="E101" s="49" t="n"/>
      <c r="F101" s="49" t="n"/>
      <c r="G101" s="4">
        <f>IF(A101="","",IFERROR(INDEX(前年度名簿!$D$3:$D$452,MATCH(A101&amp;"-"&amp;B101&amp;"-"&amp;C101,前年度名簿!$F$3:$F$452,0)),""))</f>
        <v/>
      </c>
      <c r="H101" s="50">
        <f>IF(D101="","",IF(ISERROR(VALUE(D101)),D101&amp;"",IF(AND(VALUE(D101)&gt;=1,VALUE(D101)&lt;=20),IF(INDEX(設定!$P$8:$P$27,VALUE(D101))="","？",INDEX(設定!$P$8:$P$27,VALUE(D101))),"？")))</f>
        <v/>
      </c>
      <c r="I101" s="50">
        <f>IF(E101="","",IF(ISERROR(VALUE(E101)),E101&amp;"",IF(AND(VALUE(E101)&gt;=1,VALUE(E101)&lt;=20),IF(INDEX(設定!$P$8:$P$27,VALUE(E101))="","？",INDEX(設定!$P$8:$P$27,VALUE(E101))),"？")))</f>
        <v/>
      </c>
      <c r="J101" s="50">
        <f>IF(F101="","",IF(ISERROR(VALUE(F101)),F101&amp;"",IF(AND(VALUE(F101)&gt;=1,VALUE(F101)&lt;=20),IF(INDEX(設定!$P$8:$P$27,VALUE(F101))="","？",INDEX(設定!$P$8:$P$27,VALUE(F101))),"？")))</f>
        <v/>
      </c>
      <c r="K101" s="51">
        <f>IF(L101="","",IF(G101="","名簿にいない",IF(COUNTIF(L102:L$555,L101)&gt;0,"2回提出（下の行を使います）",IF(H101="転出","転出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OR(AND(H101&lt;&gt;"",H101=I101),AND(H101&lt;&gt;"",H101=J101),AND(I101&lt;&gt;"",I101=J101)),"同じクラブを重複して希望","OK")))))))</f>
        <v/>
      </c>
      <c r="L101" s="11">
        <f>IF(OR(A101="",D101=""),"",A101&amp;"-"&amp;B101&amp;"-"&amp;C101)</f>
        <v/>
      </c>
      <c r="M101" s="11">
        <f>IF(OR(L101="",G101=""),"",IF(COUNTIF(L102:L$555,L101)=0,L101,""))</f>
        <v/>
      </c>
      <c r="N101" s="11">
        <f>IFERROR(MATCH(SMALL(前年度名簿!$G$3:$G$452,97),前年度名簿!$G$3:$G$452,0),"")</f>
        <v/>
      </c>
    </row>
    <row r="102">
      <c r="A102" s="49">
        <f>IF($N102="","",INDEX(前年度名簿!$A$3:$A$452,$N102))</f>
        <v/>
      </c>
      <c r="B102" s="49">
        <f>IF($N102="","",INDEX(前年度名簿!$B$3:$B$452,$N102))</f>
        <v/>
      </c>
      <c r="C102" s="49">
        <f>IF($N102="","",INDEX(前年度名簿!$C$3:$C$452,$N102))</f>
        <v/>
      </c>
      <c r="D102" s="49" t="n"/>
      <c r="E102" s="49" t="n"/>
      <c r="F102" s="49" t="n"/>
      <c r="G102" s="4">
        <f>IF(A102="","",IFERROR(INDEX(前年度名簿!$D$3:$D$452,MATCH(A102&amp;"-"&amp;B102&amp;"-"&amp;C102,前年度名簿!$F$3:$F$452,0)),""))</f>
        <v/>
      </c>
      <c r="H102" s="50">
        <f>IF(D102="","",IF(ISERROR(VALUE(D102)),D102&amp;"",IF(AND(VALUE(D102)&gt;=1,VALUE(D102)&lt;=20),IF(INDEX(設定!$P$8:$P$27,VALUE(D102))="","？",INDEX(設定!$P$8:$P$27,VALUE(D102))),"？")))</f>
        <v/>
      </c>
      <c r="I102" s="50">
        <f>IF(E102="","",IF(ISERROR(VALUE(E102)),E102&amp;"",IF(AND(VALUE(E102)&gt;=1,VALUE(E102)&lt;=20),IF(INDEX(設定!$P$8:$P$27,VALUE(E102))="","？",INDEX(設定!$P$8:$P$27,VALUE(E102))),"？")))</f>
        <v/>
      </c>
      <c r="J102" s="50">
        <f>IF(F102="","",IF(ISERROR(VALUE(F102)),F102&amp;"",IF(AND(VALUE(F102)&gt;=1,VALUE(F102)&lt;=20),IF(INDEX(設定!$P$8:$P$27,VALUE(F102))="","？",INDEX(設定!$P$8:$P$27,VALUE(F102))),"？")))</f>
        <v/>
      </c>
      <c r="K102" s="51">
        <f>IF(L102="","",IF(G102="","名簿にいない",IF(COUNTIF(L103:L$555,L102)&gt;0,"2回提出（下の行を使います）",IF(H102="転出","転出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OR(AND(H102&lt;&gt;"",H102=I102),AND(H102&lt;&gt;"",H102=J102),AND(I102&lt;&gt;"",I102=J102)),"同じクラブを重複して希望","OK")))))))</f>
        <v/>
      </c>
      <c r="L102" s="11">
        <f>IF(OR(A102="",D102=""),"",A102&amp;"-"&amp;B102&amp;"-"&amp;C102)</f>
        <v/>
      </c>
      <c r="M102" s="11">
        <f>IF(OR(L102="",G102=""),"",IF(COUNTIF(L103:L$555,L102)=0,L102,""))</f>
        <v/>
      </c>
      <c r="N102" s="11">
        <f>IFERROR(MATCH(SMALL(前年度名簿!$G$3:$G$452,98),前年度名簿!$G$3:$G$452,0),"")</f>
        <v/>
      </c>
    </row>
    <row r="103">
      <c r="A103" s="49">
        <f>IF($N103="","",INDEX(前年度名簿!$A$3:$A$452,$N103))</f>
        <v/>
      </c>
      <c r="B103" s="49">
        <f>IF($N103="","",INDEX(前年度名簿!$B$3:$B$452,$N103))</f>
        <v/>
      </c>
      <c r="C103" s="49">
        <f>IF($N103="","",INDEX(前年度名簿!$C$3:$C$452,$N103))</f>
        <v/>
      </c>
      <c r="D103" s="49" t="n"/>
      <c r="E103" s="49" t="n"/>
      <c r="F103" s="49" t="n"/>
      <c r="G103" s="4">
        <f>IF(A103="","",IFERROR(INDEX(前年度名簿!$D$3:$D$452,MATCH(A103&amp;"-"&amp;B103&amp;"-"&amp;C103,前年度名簿!$F$3:$F$452,0)),""))</f>
        <v/>
      </c>
      <c r="H103" s="50">
        <f>IF(D103="","",IF(ISERROR(VALUE(D103)),D103&amp;"",IF(AND(VALUE(D103)&gt;=1,VALUE(D103)&lt;=20),IF(INDEX(設定!$P$8:$P$27,VALUE(D103))="","？",INDEX(設定!$P$8:$P$27,VALUE(D103))),"？")))</f>
        <v/>
      </c>
      <c r="I103" s="50">
        <f>IF(E103="","",IF(ISERROR(VALUE(E103)),E103&amp;"",IF(AND(VALUE(E103)&gt;=1,VALUE(E103)&lt;=20),IF(INDEX(設定!$P$8:$P$27,VALUE(E103))="","？",INDEX(設定!$P$8:$P$27,VALUE(E103))),"？")))</f>
        <v/>
      </c>
      <c r="J103" s="50">
        <f>IF(F103="","",IF(ISERROR(VALUE(F103)),F103&amp;"",IF(AND(VALUE(F103)&gt;=1,VALUE(F103)&lt;=20),IF(INDEX(設定!$P$8:$P$27,VALUE(F103))="","？",INDEX(設定!$P$8:$P$27,VALUE(F103))),"？")))</f>
        <v/>
      </c>
      <c r="K103" s="51">
        <f>IF(L103="","",IF(G103="","名簿にいない",IF(COUNTIF(L104:L$555,L103)&gt;0,"2回提出（下の行を使います）",IF(H103="転出","転出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OR(AND(H103&lt;&gt;"",H103=I103),AND(H103&lt;&gt;"",H103=J103),AND(I103&lt;&gt;"",I103=J103)),"同じクラブを重複して希望","OK")))))))</f>
        <v/>
      </c>
      <c r="L103" s="11">
        <f>IF(OR(A103="",D103=""),"",A103&amp;"-"&amp;B103&amp;"-"&amp;C103)</f>
        <v/>
      </c>
      <c r="M103" s="11">
        <f>IF(OR(L103="",G103=""),"",IF(COUNTIF(L104:L$555,L103)=0,L103,""))</f>
        <v/>
      </c>
      <c r="N103" s="11">
        <f>IFERROR(MATCH(SMALL(前年度名簿!$G$3:$G$452,99),前年度名簿!$G$3:$G$452,0),"")</f>
        <v/>
      </c>
    </row>
    <row r="104">
      <c r="A104" s="49">
        <f>IF($N104="","",INDEX(前年度名簿!$A$3:$A$452,$N104))</f>
        <v/>
      </c>
      <c r="B104" s="49">
        <f>IF($N104="","",INDEX(前年度名簿!$B$3:$B$452,$N104))</f>
        <v/>
      </c>
      <c r="C104" s="49">
        <f>IF($N104="","",INDEX(前年度名簿!$C$3:$C$452,$N104))</f>
        <v/>
      </c>
      <c r="D104" s="49" t="n"/>
      <c r="E104" s="49" t="n"/>
      <c r="F104" s="49" t="n"/>
      <c r="G104" s="4">
        <f>IF(A104="","",IFERROR(INDEX(前年度名簿!$D$3:$D$452,MATCH(A104&amp;"-"&amp;B104&amp;"-"&amp;C104,前年度名簿!$F$3:$F$452,0)),""))</f>
        <v/>
      </c>
      <c r="H104" s="50">
        <f>IF(D104="","",IF(ISERROR(VALUE(D104)),D104&amp;"",IF(AND(VALUE(D104)&gt;=1,VALUE(D104)&lt;=20),IF(INDEX(設定!$P$8:$P$27,VALUE(D104))="","？",INDEX(設定!$P$8:$P$27,VALUE(D104))),"？")))</f>
        <v/>
      </c>
      <c r="I104" s="50">
        <f>IF(E104="","",IF(ISERROR(VALUE(E104)),E104&amp;"",IF(AND(VALUE(E104)&gt;=1,VALUE(E104)&lt;=20),IF(INDEX(設定!$P$8:$P$27,VALUE(E104))="","？",INDEX(設定!$P$8:$P$27,VALUE(E104))),"？")))</f>
        <v/>
      </c>
      <c r="J104" s="50">
        <f>IF(F104="","",IF(ISERROR(VALUE(F104)),F104&amp;"",IF(AND(VALUE(F104)&gt;=1,VALUE(F104)&lt;=20),IF(INDEX(設定!$P$8:$P$27,VALUE(F104))="","？",INDEX(設定!$P$8:$P$27,VALUE(F104))),"？")))</f>
        <v/>
      </c>
      <c r="K104" s="51">
        <f>IF(L104="","",IF(G104="","名簿にいない",IF(COUNTIF(L105:L$555,L104)&gt;0,"2回提出（下の行を使います）",IF(H104="転出","転出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OR(AND(H104&lt;&gt;"",H104=I104),AND(H104&lt;&gt;"",H104=J104),AND(I104&lt;&gt;"",I104=J104)),"同じクラブを重複して希望","OK")))))))</f>
        <v/>
      </c>
      <c r="L104" s="11">
        <f>IF(OR(A104="",D104=""),"",A104&amp;"-"&amp;B104&amp;"-"&amp;C104)</f>
        <v/>
      </c>
      <c r="M104" s="11">
        <f>IF(OR(L104="",G104=""),"",IF(COUNTIF(L105:L$555,L104)=0,L104,""))</f>
        <v/>
      </c>
      <c r="N104" s="11">
        <f>IFERROR(MATCH(SMALL(前年度名簿!$G$3:$G$452,100),前年度名簿!$G$3:$G$452,0),"")</f>
        <v/>
      </c>
    </row>
    <row r="105">
      <c r="A105" s="49">
        <f>IF($N105="","",INDEX(前年度名簿!$A$3:$A$452,$N105))</f>
        <v/>
      </c>
      <c r="B105" s="49">
        <f>IF($N105="","",INDEX(前年度名簿!$B$3:$B$452,$N105))</f>
        <v/>
      </c>
      <c r="C105" s="49">
        <f>IF($N105="","",INDEX(前年度名簿!$C$3:$C$452,$N105))</f>
        <v/>
      </c>
      <c r="D105" s="49" t="n"/>
      <c r="E105" s="49" t="n"/>
      <c r="F105" s="49" t="n"/>
      <c r="G105" s="4">
        <f>IF(A105="","",IFERROR(INDEX(前年度名簿!$D$3:$D$452,MATCH(A105&amp;"-"&amp;B105&amp;"-"&amp;C105,前年度名簿!$F$3:$F$452,0)),""))</f>
        <v/>
      </c>
      <c r="H105" s="50">
        <f>IF(D105="","",IF(ISERROR(VALUE(D105)),D105&amp;"",IF(AND(VALUE(D105)&gt;=1,VALUE(D105)&lt;=20),IF(INDEX(設定!$P$8:$P$27,VALUE(D105))="","？",INDEX(設定!$P$8:$P$27,VALUE(D105))),"？")))</f>
        <v/>
      </c>
      <c r="I105" s="50">
        <f>IF(E105="","",IF(ISERROR(VALUE(E105)),E105&amp;"",IF(AND(VALUE(E105)&gt;=1,VALUE(E105)&lt;=20),IF(INDEX(設定!$P$8:$P$27,VALUE(E105))="","？",INDEX(設定!$P$8:$P$27,VALUE(E105))),"？")))</f>
        <v/>
      </c>
      <c r="J105" s="50">
        <f>IF(F105="","",IF(ISERROR(VALUE(F105)),F105&amp;"",IF(AND(VALUE(F105)&gt;=1,VALUE(F105)&lt;=20),IF(INDEX(設定!$P$8:$P$27,VALUE(F105))="","？",INDEX(設定!$P$8:$P$27,VALUE(F105))),"？")))</f>
        <v/>
      </c>
      <c r="K105" s="51">
        <f>IF(L105="","",IF(G105="","名簿にいない",IF(COUNTIF(L106:L$555,L105)&gt;0,"2回提出（下の行を使います）",IF(H105="転出","転出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OR(AND(H105&lt;&gt;"",H105=I105),AND(H105&lt;&gt;"",H105=J105),AND(I105&lt;&gt;"",I105=J105)),"同じクラブを重複して希望","OK")))))))</f>
        <v/>
      </c>
      <c r="L105" s="11">
        <f>IF(OR(A105="",D105=""),"",A105&amp;"-"&amp;B105&amp;"-"&amp;C105)</f>
        <v/>
      </c>
      <c r="M105" s="11">
        <f>IF(OR(L105="",G105=""),"",IF(COUNTIF(L106:L$555,L105)=0,L105,""))</f>
        <v/>
      </c>
      <c r="N105" s="11">
        <f>IFERROR(MATCH(SMALL(前年度名簿!$G$3:$G$452,101),前年度名簿!$G$3:$G$452,0),"")</f>
        <v/>
      </c>
    </row>
    <row r="106">
      <c r="A106" s="49">
        <f>IF($N106="","",INDEX(前年度名簿!$A$3:$A$452,$N106))</f>
        <v/>
      </c>
      <c r="B106" s="49">
        <f>IF($N106="","",INDEX(前年度名簿!$B$3:$B$452,$N106))</f>
        <v/>
      </c>
      <c r="C106" s="49">
        <f>IF($N106="","",INDEX(前年度名簿!$C$3:$C$452,$N106))</f>
        <v/>
      </c>
      <c r="D106" s="49" t="n"/>
      <c r="E106" s="49" t="n"/>
      <c r="F106" s="49" t="n"/>
      <c r="G106" s="4">
        <f>IF(A106="","",IFERROR(INDEX(前年度名簿!$D$3:$D$452,MATCH(A106&amp;"-"&amp;B106&amp;"-"&amp;C106,前年度名簿!$F$3:$F$452,0)),""))</f>
        <v/>
      </c>
      <c r="H106" s="50">
        <f>IF(D106="","",IF(ISERROR(VALUE(D106)),D106&amp;"",IF(AND(VALUE(D106)&gt;=1,VALUE(D106)&lt;=20),IF(INDEX(設定!$P$8:$P$27,VALUE(D106))="","？",INDEX(設定!$P$8:$P$27,VALUE(D106))),"？")))</f>
        <v/>
      </c>
      <c r="I106" s="50">
        <f>IF(E106="","",IF(ISERROR(VALUE(E106)),E106&amp;"",IF(AND(VALUE(E106)&gt;=1,VALUE(E106)&lt;=20),IF(INDEX(設定!$P$8:$P$27,VALUE(E106))="","？",INDEX(設定!$P$8:$P$27,VALUE(E106))),"？")))</f>
        <v/>
      </c>
      <c r="J106" s="50">
        <f>IF(F106="","",IF(ISERROR(VALUE(F106)),F106&amp;"",IF(AND(VALUE(F106)&gt;=1,VALUE(F106)&lt;=20),IF(INDEX(設定!$P$8:$P$27,VALUE(F106))="","？",INDEX(設定!$P$8:$P$27,VALUE(F106))),"？")))</f>
        <v/>
      </c>
      <c r="K106" s="51">
        <f>IF(L106="","",IF(G106="","名簿にいない",IF(COUNTIF(L107:L$555,L106)&gt;0,"2回提出（下の行を使います）",IF(H106="転出","転出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OR(AND(H106&lt;&gt;"",H106=I106),AND(H106&lt;&gt;"",H106=J106),AND(I106&lt;&gt;"",I106=J106)),"同じクラブを重複して希望","OK")))))))</f>
        <v/>
      </c>
      <c r="L106" s="11">
        <f>IF(OR(A106="",D106=""),"",A106&amp;"-"&amp;B106&amp;"-"&amp;C106)</f>
        <v/>
      </c>
      <c r="M106" s="11">
        <f>IF(OR(L106="",G106=""),"",IF(COUNTIF(L107:L$555,L106)=0,L106,""))</f>
        <v/>
      </c>
      <c r="N106" s="11">
        <f>IFERROR(MATCH(SMALL(前年度名簿!$G$3:$G$452,102),前年度名簿!$G$3:$G$452,0),"")</f>
        <v/>
      </c>
    </row>
    <row r="107">
      <c r="A107" s="49">
        <f>IF($N107="","",INDEX(前年度名簿!$A$3:$A$452,$N107))</f>
        <v/>
      </c>
      <c r="B107" s="49">
        <f>IF($N107="","",INDEX(前年度名簿!$B$3:$B$452,$N107))</f>
        <v/>
      </c>
      <c r="C107" s="49">
        <f>IF($N107="","",INDEX(前年度名簿!$C$3:$C$452,$N107))</f>
        <v/>
      </c>
      <c r="D107" s="49" t="n"/>
      <c r="E107" s="49" t="n"/>
      <c r="F107" s="49" t="n"/>
      <c r="G107" s="4">
        <f>IF(A107="","",IFERROR(INDEX(前年度名簿!$D$3:$D$452,MATCH(A107&amp;"-"&amp;B107&amp;"-"&amp;C107,前年度名簿!$F$3:$F$452,0)),""))</f>
        <v/>
      </c>
      <c r="H107" s="50">
        <f>IF(D107="","",IF(ISERROR(VALUE(D107)),D107&amp;"",IF(AND(VALUE(D107)&gt;=1,VALUE(D107)&lt;=20),IF(INDEX(設定!$P$8:$P$27,VALUE(D107))="","？",INDEX(設定!$P$8:$P$27,VALUE(D107))),"？")))</f>
        <v/>
      </c>
      <c r="I107" s="50">
        <f>IF(E107="","",IF(ISERROR(VALUE(E107)),E107&amp;"",IF(AND(VALUE(E107)&gt;=1,VALUE(E107)&lt;=20),IF(INDEX(設定!$P$8:$P$27,VALUE(E107))="","？",INDEX(設定!$P$8:$P$27,VALUE(E107))),"？")))</f>
        <v/>
      </c>
      <c r="J107" s="50">
        <f>IF(F107="","",IF(ISERROR(VALUE(F107)),F107&amp;"",IF(AND(VALUE(F107)&gt;=1,VALUE(F107)&lt;=20),IF(INDEX(設定!$P$8:$P$27,VALUE(F107))="","？",INDEX(設定!$P$8:$P$27,VALUE(F107))),"？")))</f>
        <v/>
      </c>
      <c r="K107" s="51">
        <f>IF(L107="","",IF(G107="","名簿にいない",IF(COUNTIF(L108:L$555,L107)&gt;0,"2回提出（下の行を使います）",IF(H107="転出","転出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OR(AND(H107&lt;&gt;"",H107=I107),AND(H107&lt;&gt;"",H107=J107),AND(I107&lt;&gt;"",I107=J107)),"同じクラブを重複して希望","OK")))))))</f>
        <v/>
      </c>
      <c r="L107" s="11">
        <f>IF(OR(A107="",D107=""),"",A107&amp;"-"&amp;B107&amp;"-"&amp;C107)</f>
        <v/>
      </c>
      <c r="M107" s="11">
        <f>IF(OR(L107="",G107=""),"",IF(COUNTIF(L108:L$555,L107)=0,L107,""))</f>
        <v/>
      </c>
      <c r="N107" s="11">
        <f>IFERROR(MATCH(SMALL(前年度名簿!$G$3:$G$452,103),前年度名簿!$G$3:$G$452,0),"")</f>
        <v/>
      </c>
    </row>
    <row r="108">
      <c r="A108" s="49">
        <f>IF($N108="","",INDEX(前年度名簿!$A$3:$A$452,$N108))</f>
        <v/>
      </c>
      <c r="B108" s="49">
        <f>IF($N108="","",INDEX(前年度名簿!$B$3:$B$452,$N108))</f>
        <v/>
      </c>
      <c r="C108" s="49">
        <f>IF($N108="","",INDEX(前年度名簿!$C$3:$C$452,$N108))</f>
        <v/>
      </c>
      <c r="D108" s="49" t="n"/>
      <c r="E108" s="49" t="n"/>
      <c r="F108" s="49" t="n"/>
      <c r="G108" s="4">
        <f>IF(A108="","",IFERROR(INDEX(前年度名簿!$D$3:$D$452,MATCH(A108&amp;"-"&amp;B108&amp;"-"&amp;C108,前年度名簿!$F$3:$F$452,0)),""))</f>
        <v/>
      </c>
      <c r="H108" s="50">
        <f>IF(D108="","",IF(ISERROR(VALUE(D108)),D108&amp;"",IF(AND(VALUE(D108)&gt;=1,VALUE(D108)&lt;=20),IF(INDEX(設定!$P$8:$P$27,VALUE(D108))="","？",INDEX(設定!$P$8:$P$27,VALUE(D108))),"？")))</f>
        <v/>
      </c>
      <c r="I108" s="50">
        <f>IF(E108="","",IF(ISERROR(VALUE(E108)),E108&amp;"",IF(AND(VALUE(E108)&gt;=1,VALUE(E108)&lt;=20),IF(INDEX(設定!$P$8:$P$27,VALUE(E108))="","？",INDEX(設定!$P$8:$P$27,VALUE(E108))),"？")))</f>
        <v/>
      </c>
      <c r="J108" s="50">
        <f>IF(F108="","",IF(ISERROR(VALUE(F108)),F108&amp;"",IF(AND(VALUE(F108)&gt;=1,VALUE(F108)&lt;=20),IF(INDEX(設定!$P$8:$P$27,VALUE(F108))="","？",INDEX(設定!$P$8:$P$27,VALUE(F108))),"？")))</f>
        <v/>
      </c>
      <c r="K108" s="51">
        <f>IF(L108="","",IF(G108="","名簿にいない",IF(COUNTIF(L109:L$555,L108)&gt;0,"2回提出（下の行を使います）",IF(H108="転出","転出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OR(AND(H108&lt;&gt;"",H108=I108),AND(H108&lt;&gt;"",H108=J108),AND(I108&lt;&gt;"",I108=J108)),"同じクラブを重複して希望","OK")))))))</f>
        <v/>
      </c>
      <c r="L108" s="11">
        <f>IF(OR(A108="",D108=""),"",A108&amp;"-"&amp;B108&amp;"-"&amp;C108)</f>
        <v/>
      </c>
      <c r="M108" s="11">
        <f>IF(OR(L108="",G108=""),"",IF(COUNTIF(L109:L$555,L108)=0,L108,""))</f>
        <v/>
      </c>
      <c r="N108" s="11">
        <f>IFERROR(MATCH(SMALL(前年度名簿!$G$3:$G$452,104),前年度名簿!$G$3:$G$452,0),"")</f>
        <v/>
      </c>
    </row>
    <row r="109">
      <c r="A109" s="49">
        <f>IF($N109="","",INDEX(前年度名簿!$A$3:$A$452,$N109))</f>
        <v/>
      </c>
      <c r="B109" s="49">
        <f>IF($N109="","",INDEX(前年度名簿!$B$3:$B$452,$N109))</f>
        <v/>
      </c>
      <c r="C109" s="49">
        <f>IF($N109="","",INDEX(前年度名簿!$C$3:$C$452,$N109))</f>
        <v/>
      </c>
      <c r="D109" s="49" t="n"/>
      <c r="E109" s="49" t="n"/>
      <c r="F109" s="49" t="n"/>
      <c r="G109" s="4">
        <f>IF(A109="","",IFERROR(INDEX(前年度名簿!$D$3:$D$452,MATCH(A109&amp;"-"&amp;B109&amp;"-"&amp;C109,前年度名簿!$F$3:$F$452,0)),""))</f>
        <v/>
      </c>
      <c r="H109" s="50">
        <f>IF(D109="","",IF(ISERROR(VALUE(D109)),D109&amp;"",IF(AND(VALUE(D109)&gt;=1,VALUE(D109)&lt;=20),IF(INDEX(設定!$P$8:$P$27,VALUE(D109))="","？",INDEX(設定!$P$8:$P$27,VALUE(D109))),"？")))</f>
        <v/>
      </c>
      <c r="I109" s="50">
        <f>IF(E109="","",IF(ISERROR(VALUE(E109)),E109&amp;"",IF(AND(VALUE(E109)&gt;=1,VALUE(E109)&lt;=20),IF(INDEX(設定!$P$8:$P$27,VALUE(E109))="","？",INDEX(設定!$P$8:$P$27,VALUE(E109))),"？")))</f>
        <v/>
      </c>
      <c r="J109" s="50">
        <f>IF(F109="","",IF(ISERROR(VALUE(F109)),F109&amp;"",IF(AND(VALUE(F109)&gt;=1,VALUE(F109)&lt;=20),IF(INDEX(設定!$P$8:$P$27,VALUE(F109))="","？",INDEX(設定!$P$8:$P$27,VALUE(F109))),"？")))</f>
        <v/>
      </c>
      <c r="K109" s="51">
        <f>IF(L109="","",IF(G109="","名簿にいない",IF(COUNTIF(L110:L$555,L109)&gt;0,"2回提出（下の行を使います）",IF(H109="転出","転出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OR(AND(H109&lt;&gt;"",H109=I109),AND(H109&lt;&gt;"",H109=J109),AND(I109&lt;&gt;"",I109=J109)),"同じクラブを重複して希望","OK")))))))</f>
        <v/>
      </c>
      <c r="L109" s="11">
        <f>IF(OR(A109="",D109=""),"",A109&amp;"-"&amp;B109&amp;"-"&amp;C109)</f>
        <v/>
      </c>
      <c r="M109" s="11">
        <f>IF(OR(L109="",G109=""),"",IF(COUNTIF(L110:L$555,L109)=0,L109,""))</f>
        <v/>
      </c>
      <c r="N109" s="11">
        <f>IFERROR(MATCH(SMALL(前年度名簿!$G$3:$G$452,105),前年度名簿!$G$3:$G$452,0),"")</f>
        <v/>
      </c>
    </row>
    <row r="110">
      <c r="A110" s="49">
        <f>IF($N110="","",INDEX(前年度名簿!$A$3:$A$452,$N110))</f>
        <v/>
      </c>
      <c r="B110" s="49">
        <f>IF($N110="","",INDEX(前年度名簿!$B$3:$B$452,$N110))</f>
        <v/>
      </c>
      <c r="C110" s="49">
        <f>IF($N110="","",INDEX(前年度名簿!$C$3:$C$452,$N110))</f>
        <v/>
      </c>
      <c r="D110" s="49" t="n"/>
      <c r="E110" s="49" t="n"/>
      <c r="F110" s="49" t="n"/>
      <c r="G110" s="4">
        <f>IF(A110="","",IFERROR(INDEX(前年度名簿!$D$3:$D$452,MATCH(A110&amp;"-"&amp;B110&amp;"-"&amp;C110,前年度名簿!$F$3:$F$452,0)),""))</f>
        <v/>
      </c>
      <c r="H110" s="50">
        <f>IF(D110="","",IF(ISERROR(VALUE(D110)),D110&amp;"",IF(AND(VALUE(D110)&gt;=1,VALUE(D110)&lt;=20),IF(INDEX(設定!$P$8:$P$27,VALUE(D110))="","？",INDEX(設定!$P$8:$P$27,VALUE(D110))),"？")))</f>
        <v/>
      </c>
      <c r="I110" s="50">
        <f>IF(E110="","",IF(ISERROR(VALUE(E110)),E110&amp;"",IF(AND(VALUE(E110)&gt;=1,VALUE(E110)&lt;=20),IF(INDEX(設定!$P$8:$P$27,VALUE(E110))="","？",INDEX(設定!$P$8:$P$27,VALUE(E110))),"？")))</f>
        <v/>
      </c>
      <c r="J110" s="50">
        <f>IF(F110="","",IF(ISERROR(VALUE(F110)),F110&amp;"",IF(AND(VALUE(F110)&gt;=1,VALUE(F110)&lt;=20),IF(INDEX(設定!$P$8:$P$27,VALUE(F110))="","？",INDEX(設定!$P$8:$P$27,VALUE(F110))),"？")))</f>
        <v/>
      </c>
      <c r="K110" s="51">
        <f>IF(L110="","",IF(G110="","名簿にいない",IF(COUNTIF(L111:L$555,L110)&gt;0,"2回提出（下の行を使います）",IF(H110="転出","転出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OR(AND(H110&lt;&gt;"",H110=I110),AND(H110&lt;&gt;"",H110=J110),AND(I110&lt;&gt;"",I110=J110)),"同じクラブを重複して希望","OK")))))))</f>
        <v/>
      </c>
      <c r="L110" s="11">
        <f>IF(OR(A110="",D110=""),"",A110&amp;"-"&amp;B110&amp;"-"&amp;C110)</f>
        <v/>
      </c>
      <c r="M110" s="11">
        <f>IF(OR(L110="",G110=""),"",IF(COUNTIF(L111:L$555,L110)=0,L110,""))</f>
        <v/>
      </c>
      <c r="N110" s="11">
        <f>IFERROR(MATCH(SMALL(前年度名簿!$G$3:$G$452,106),前年度名簿!$G$3:$G$452,0),"")</f>
        <v/>
      </c>
    </row>
    <row r="111">
      <c r="A111" s="49">
        <f>IF($N111="","",INDEX(前年度名簿!$A$3:$A$452,$N111))</f>
        <v/>
      </c>
      <c r="B111" s="49">
        <f>IF($N111="","",INDEX(前年度名簿!$B$3:$B$452,$N111))</f>
        <v/>
      </c>
      <c r="C111" s="49">
        <f>IF($N111="","",INDEX(前年度名簿!$C$3:$C$452,$N111))</f>
        <v/>
      </c>
      <c r="D111" s="49" t="n"/>
      <c r="E111" s="49" t="n"/>
      <c r="F111" s="49" t="n"/>
      <c r="G111" s="4">
        <f>IF(A111="","",IFERROR(INDEX(前年度名簿!$D$3:$D$452,MATCH(A111&amp;"-"&amp;B111&amp;"-"&amp;C111,前年度名簿!$F$3:$F$452,0)),""))</f>
        <v/>
      </c>
      <c r="H111" s="50">
        <f>IF(D111="","",IF(ISERROR(VALUE(D111)),D111&amp;"",IF(AND(VALUE(D111)&gt;=1,VALUE(D111)&lt;=20),IF(INDEX(設定!$P$8:$P$27,VALUE(D111))="","？",INDEX(設定!$P$8:$P$27,VALUE(D111))),"？")))</f>
        <v/>
      </c>
      <c r="I111" s="50">
        <f>IF(E111="","",IF(ISERROR(VALUE(E111)),E111&amp;"",IF(AND(VALUE(E111)&gt;=1,VALUE(E111)&lt;=20),IF(INDEX(設定!$P$8:$P$27,VALUE(E111))="","？",INDEX(設定!$P$8:$P$27,VALUE(E111))),"？")))</f>
        <v/>
      </c>
      <c r="J111" s="50">
        <f>IF(F111="","",IF(ISERROR(VALUE(F111)),F111&amp;"",IF(AND(VALUE(F111)&gt;=1,VALUE(F111)&lt;=20),IF(INDEX(設定!$P$8:$P$27,VALUE(F111))="","？",INDEX(設定!$P$8:$P$27,VALUE(F111))),"？")))</f>
        <v/>
      </c>
      <c r="K111" s="51">
        <f>IF(L111="","",IF(G111="","名簿にいない",IF(COUNTIF(L112:L$555,L111)&gt;0,"2回提出（下の行を使います）",IF(H111="転出","転出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OR(AND(H111&lt;&gt;"",H111=I111),AND(H111&lt;&gt;"",H111=J111),AND(I111&lt;&gt;"",I111=J111)),"同じクラブを重複して希望","OK")))))))</f>
        <v/>
      </c>
      <c r="L111" s="11">
        <f>IF(OR(A111="",D111=""),"",A111&amp;"-"&amp;B111&amp;"-"&amp;C111)</f>
        <v/>
      </c>
      <c r="M111" s="11">
        <f>IF(OR(L111="",G111=""),"",IF(COUNTIF(L112:L$555,L111)=0,L111,""))</f>
        <v/>
      </c>
      <c r="N111" s="11">
        <f>IFERROR(MATCH(SMALL(前年度名簿!$G$3:$G$452,107),前年度名簿!$G$3:$G$452,0),"")</f>
        <v/>
      </c>
    </row>
    <row r="112">
      <c r="A112" s="49">
        <f>IF($N112="","",INDEX(前年度名簿!$A$3:$A$452,$N112))</f>
        <v/>
      </c>
      <c r="B112" s="49">
        <f>IF($N112="","",INDEX(前年度名簿!$B$3:$B$452,$N112))</f>
        <v/>
      </c>
      <c r="C112" s="49">
        <f>IF($N112="","",INDEX(前年度名簿!$C$3:$C$452,$N112))</f>
        <v/>
      </c>
      <c r="D112" s="49" t="n"/>
      <c r="E112" s="49" t="n"/>
      <c r="F112" s="49" t="n"/>
      <c r="G112" s="4">
        <f>IF(A112="","",IFERROR(INDEX(前年度名簿!$D$3:$D$452,MATCH(A112&amp;"-"&amp;B112&amp;"-"&amp;C112,前年度名簿!$F$3:$F$452,0)),""))</f>
        <v/>
      </c>
      <c r="H112" s="50">
        <f>IF(D112="","",IF(ISERROR(VALUE(D112)),D112&amp;"",IF(AND(VALUE(D112)&gt;=1,VALUE(D112)&lt;=20),IF(INDEX(設定!$P$8:$P$27,VALUE(D112))="","？",INDEX(設定!$P$8:$P$27,VALUE(D112))),"？")))</f>
        <v/>
      </c>
      <c r="I112" s="50">
        <f>IF(E112="","",IF(ISERROR(VALUE(E112)),E112&amp;"",IF(AND(VALUE(E112)&gt;=1,VALUE(E112)&lt;=20),IF(INDEX(設定!$P$8:$P$27,VALUE(E112))="","？",INDEX(設定!$P$8:$P$27,VALUE(E112))),"？")))</f>
        <v/>
      </c>
      <c r="J112" s="50">
        <f>IF(F112="","",IF(ISERROR(VALUE(F112)),F112&amp;"",IF(AND(VALUE(F112)&gt;=1,VALUE(F112)&lt;=20),IF(INDEX(設定!$P$8:$P$27,VALUE(F112))="","？",INDEX(設定!$P$8:$P$27,VALUE(F112))),"？")))</f>
        <v/>
      </c>
      <c r="K112" s="51">
        <f>IF(L112="","",IF(G112="","名簿にいない",IF(COUNTIF(L113:L$555,L112)&gt;0,"2回提出（下の行を使います）",IF(H112="転出","転出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OR(AND(H112&lt;&gt;"",H112=I112),AND(H112&lt;&gt;"",H112=J112),AND(I112&lt;&gt;"",I112=J112)),"同じクラブを重複して希望","OK")))))))</f>
        <v/>
      </c>
      <c r="L112" s="11">
        <f>IF(OR(A112="",D112=""),"",A112&amp;"-"&amp;B112&amp;"-"&amp;C112)</f>
        <v/>
      </c>
      <c r="M112" s="11">
        <f>IF(OR(L112="",G112=""),"",IF(COUNTIF(L113:L$555,L112)=0,L112,""))</f>
        <v/>
      </c>
      <c r="N112" s="11">
        <f>IFERROR(MATCH(SMALL(前年度名簿!$G$3:$G$452,108),前年度名簿!$G$3:$G$452,0),"")</f>
        <v/>
      </c>
    </row>
    <row r="113">
      <c r="A113" s="49">
        <f>IF($N113="","",INDEX(前年度名簿!$A$3:$A$452,$N113))</f>
        <v/>
      </c>
      <c r="B113" s="49">
        <f>IF($N113="","",INDEX(前年度名簿!$B$3:$B$452,$N113))</f>
        <v/>
      </c>
      <c r="C113" s="49">
        <f>IF($N113="","",INDEX(前年度名簿!$C$3:$C$452,$N113))</f>
        <v/>
      </c>
      <c r="D113" s="49" t="n"/>
      <c r="E113" s="49" t="n"/>
      <c r="F113" s="49" t="n"/>
      <c r="G113" s="4">
        <f>IF(A113="","",IFERROR(INDEX(前年度名簿!$D$3:$D$452,MATCH(A113&amp;"-"&amp;B113&amp;"-"&amp;C113,前年度名簿!$F$3:$F$452,0)),""))</f>
        <v/>
      </c>
      <c r="H113" s="50">
        <f>IF(D113="","",IF(ISERROR(VALUE(D113)),D113&amp;"",IF(AND(VALUE(D113)&gt;=1,VALUE(D113)&lt;=20),IF(INDEX(設定!$P$8:$P$27,VALUE(D113))="","？",INDEX(設定!$P$8:$P$27,VALUE(D113))),"？")))</f>
        <v/>
      </c>
      <c r="I113" s="50">
        <f>IF(E113="","",IF(ISERROR(VALUE(E113)),E113&amp;"",IF(AND(VALUE(E113)&gt;=1,VALUE(E113)&lt;=20),IF(INDEX(設定!$P$8:$P$27,VALUE(E113))="","？",INDEX(設定!$P$8:$P$27,VALUE(E113))),"？")))</f>
        <v/>
      </c>
      <c r="J113" s="50">
        <f>IF(F113="","",IF(ISERROR(VALUE(F113)),F113&amp;"",IF(AND(VALUE(F113)&gt;=1,VALUE(F113)&lt;=20),IF(INDEX(設定!$P$8:$P$27,VALUE(F113))="","？",INDEX(設定!$P$8:$P$27,VALUE(F113))),"？")))</f>
        <v/>
      </c>
      <c r="K113" s="51">
        <f>IF(L113="","",IF(G113="","名簿にいない",IF(COUNTIF(L114:L$555,L113)&gt;0,"2回提出（下の行を使います）",IF(H113="転出","転出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OR(AND(H113&lt;&gt;"",H113=I113),AND(H113&lt;&gt;"",H113=J113),AND(I113&lt;&gt;"",I113=J113)),"同じクラブを重複して希望","OK")))))))</f>
        <v/>
      </c>
      <c r="L113" s="11">
        <f>IF(OR(A113="",D113=""),"",A113&amp;"-"&amp;B113&amp;"-"&amp;C113)</f>
        <v/>
      </c>
      <c r="M113" s="11">
        <f>IF(OR(L113="",G113=""),"",IF(COUNTIF(L114:L$555,L113)=0,L113,""))</f>
        <v/>
      </c>
      <c r="N113" s="11">
        <f>IFERROR(MATCH(SMALL(前年度名簿!$G$3:$G$452,109),前年度名簿!$G$3:$G$452,0),"")</f>
        <v/>
      </c>
    </row>
    <row r="114">
      <c r="A114" s="49">
        <f>IF($N114="","",INDEX(前年度名簿!$A$3:$A$452,$N114))</f>
        <v/>
      </c>
      <c r="B114" s="49">
        <f>IF($N114="","",INDEX(前年度名簿!$B$3:$B$452,$N114))</f>
        <v/>
      </c>
      <c r="C114" s="49">
        <f>IF($N114="","",INDEX(前年度名簿!$C$3:$C$452,$N114))</f>
        <v/>
      </c>
      <c r="D114" s="49" t="n"/>
      <c r="E114" s="49" t="n"/>
      <c r="F114" s="49" t="n"/>
      <c r="G114" s="4">
        <f>IF(A114="","",IFERROR(INDEX(前年度名簿!$D$3:$D$452,MATCH(A114&amp;"-"&amp;B114&amp;"-"&amp;C114,前年度名簿!$F$3:$F$452,0)),""))</f>
        <v/>
      </c>
      <c r="H114" s="50">
        <f>IF(D114="","",IF(ISERROR(VALUE(D114)),D114&amp;"",IF(AND(VALUE(D114)&gt;=1,VALUE(D114)&lt;=20),IF(INDEX(設定!$P$8:$P$27,VALUE(D114))="","？",INDEX(設定!$P$8:$P$27,VALUE(D114))),"？")))</f>
        <v/>
      </c>
      <c r="I114" s="50">
        <f>IF(E114="","",IF(ISERROR(VALUE(E114)),E114&amp;"",IF(AND(VALUE(E114)&gt;=1,VALUE(E114)&lt;=20),IF(INDEX(設定!$P$8:$P$27,VALUE(E114))="","？",INDEX(設定!$P$8:$P$27,VALUE(E114))),"？")))</f>
        <v/>
      </c>
      <c r="J114" s="50">
        <f>IF(F114="","",IF(ISERROR(VALUE(F114)),F114&amp;"",IF(AND(VALUE(F114)&gt;=1,VALUE(F114)&lt;=20),IF(INDEX(設定!$P$8:$P$27,VALUE(F114))="","？",INDEX(設定!$P$8:$P$27,VALUE(F114))),"？")))</f>
        <v/>
      </c>
      <c r="K114" s="51">
        <f>IF(L114="","",IF(G114="","名簿にいない",IF(COUNTIF(L115:L$555,L114)&gt;0,"2回提出（下の行を使います）",IF(H114="転出","転出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OR(AND(H114&lt;&gt;"",H114=I114),AND(H114&lt;&gt;"",H114=J114),AND(I114&lt;&gt;"",I114=J114)),"同じクラブを重複して希望","OK")))))))</f>
        <v/>
      </c>
      <c r="L114" s="11">
        <f>IF(OR(A114="",D114=""),"",A114&amp;"-"&amp;B114&amp;"-"&amp;C114)</f>
        <v/>
      </c>
      <c r="M114" s="11">
        <f>IF(OR(L114="",G114=""),"",IF(COUNTIF(L115:L$555,L114)=0,L114,""))</f>
        <v/>
      </c>
      <c r="N114" s="11">
        <f>IFERROR(MATCH(SMALL(前年度名簿!$G$3:$G$452,110),前年度名簿!$G$3:$G$452,0),"")</f>
        <v/>
      </c>
    </row>
    <row r="115">
      <c r="A115" s="49">
        <f>IF($N115="","",INDEX(前年度名簿!$A$3:$A$452,$N115))</f>
        <v/>
      </c>
      <c r="B115" s="49">
        <f>IF($N115="","",INDEX(前年度名簿!$B$3:$B$452,$N115))</f>
        <v/>
      </c>
      <c r="C115" s="49">
        <f>IF($N115="","",INDEX(前年度名簿!$C$3:$C$452,$N115))</f>
        <v/>
      </c>
      <c r="D115" s="49" t="n"/>
      <c r="E115" s="49" t="n"/>
      <c r="F115" s="49" t="n"/>
      <c r="G115" s="4">
        <f>IF(A115="","",IFERROR(INDEX(前年度名簿!$D$3:$D$452,MATCH(A115&amp;"-"&amp;B115&amp;"-"&amp;C115,前年度名簿!$F$3:$F$452,0)),""))</f>
        <v/>
      </c>
      <c r="H115" s="50">
        <f>IF(D115="","",IF(ISERROR(VALUE(D115)),D115&amp;"",IF(AND(VALUE(D115)&gt;=1,VALUE(D115)&lt;=20),IF(INDEX(設定!$P$8:$P$27,VALUE(D115))="","？",INDEX(設定!$P$8:$P$27,VALUE(D115))),"？")))</f>
        <v/>
      </c>
      <c r="I115" s="50">
        <f>IF(E115="","",IF(ISERROR(VALUE(E115)),E115&amp;"",IF(AND(VALUE(E115)&gt;=1,VALUE(E115)&lt;=20),IF(INDEX(設定!$P$8:$P$27,VALUE(E115))="","？",INDEX(設定!$P$8:$P$27,VALUE(E115))),"？")))</f>
        <v/>
      </c>
      <c r="J115" s="50">
        <f>IF(F115="","",IF(ISERROR(VALUE(F115)),F115&amp;"",IF(AND(VALUE(F115)&gt;=1,VALUE(F115)&lt;=20),IF(INDEX(設定!$P$8:$P$27,VALUE(F115))="","？",INDEX(設定!$P$8:$P$27,VALUE(F115))),"？")))</f>
        <v/>
      </c>
      <c r="K115" s="51">
        <f>IF(L115="","",IF(G115="","名簿にいない",IF(COUNTIF(L116:L$555,L115)&gt;0,"2回提出（下の行を使います）",IF(H115="転出","転出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OR(AND(H115&lt;&gt;"",H115=I115),AND(H115&lt;&gt;"",H115=J115),AND(I115&lt;&gt;"",I115=J115)),"同じクラブを重複して希望","OK")))))))</f>
        <v/>
      </c>
      <c r="L115" s="11">
        <f>IF(OR(A115="",D115=""),"",A115&amp;"-"&amp;B115&amp;"-"&amp;C115)</f>
        <v/>
      </c>
      <c r="M115" s="11">
        <f>IF(OR(L115="",G115=""),"",IF(COUNTIF(L116:L$555,L115)=0,L115,""))</f>
        <v/>
      </c>
      <c r="N115" s="11">
        <f>IFERROR(MATCH(SMALL(前年度名簿!$G$3:$G$452,111),前年度名簿!$G$3:$G$452,0),"")</f>
        <v/>
      </c>
    </row>
    <row r="116">
      <c r="A116" s="49">
        <f>IF($N116="","",INDEX(前年度名簿!$A$3:$A$452,$N116))</f>
        <v/>
      </c>
      <c r="B116" s="49">
        <f>IF($N116="","",INDEX(前年度名簿!$B$3:$B$452,$N116))</f>
        <v/>
      </c>
      <c r="C116" s="49">
        <f>IF($N116="","",INDEX(前年度名簿!$C$3:$C$452,$N116))</f>
        <v/>
      </c>
      <c r="D116" s="49" t="n"/>
      <c r="E116" s="49" t="n"/>
      <c r="F116" s="49" t="n"/>
      <c r="G116" s="4">
        <f>IF(A116="","",IFERROR(INDEX(前年度名簿!$D$3:$D$452,MATCH(A116&amp;"-"&amp;B116&amp;"-"&amp;C116,前年度名簿!$F$3:$F$452,0)),""))</f>
        <v/>
      </c>
      <c r="H116" s="50">
        <f>IF(D116="","",IF(ISERROR(VALUE(D116)),D116&amp;"",IF(AND(VALUE(D116)&gt;=1,VALUE(D116)&lt;=20),IF(INDEX(設定!$P$8:$P$27,VALUE(D116))="","？",INDEX(設定!$P$8:$P$27,VALUE(D116))),"？")))</f>
        <v/>
      </c>
      <c r="I116" s="50">
        <f>IF(E116="","",IF(ISERROR(VALUE(E116)),E116&amp;"",IF(AND(VALUE(E116)&gt;=1,VALUE(E116)&lt;=20),IF(INDEX(設定!$P$8:$P$27,VALUE(E116))="","？",INDEX(設定!$P$8:$P$27,VALUE(E116))),"？")))</f>
        <v/>
      </c>
      <c r="J116" s="50">
        <f>IF(F116="","",IF(ISERROR(VALUE(F116)),F116&amp;"",IF(AND(VALUE(F116)&gt;=1,VALUE(F116)&lt;=20),IF(INDEX(設定!$P$8:$P$27,VALUE(F116))="","？",INDEX(設定!$P$8:$P$27,VALUE(F116))),"？")))</f>
        <v/>
      </c>
      <c r="K116" s="51">
        <f>IF(L116="","",IF(G116="","名簿にいない",IF(COUNTIF(L117:L$555,L116)&gt;0,"2回提出（下の行を使います）",IF(H116="転出","転出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OR(AND(H116&lt;&gt;"",H116=I116),AND(H116&lt;&gt;"",H116=J116),AND(I116&lt;&gt;"",I116=J116)),"同じクラブを重複して希望","OK")))))))</f>
        <v/>
      </c>
      <c r="L116" s="11">
        <f>IF(OR(A116="",D116=""),"",A116&amp;"-"&amp;B116&amp;"-"&amp;C116)</f>
        <v/>
      </c>
      <c r="M116" s="11">
        <f>IF(OR(L116="",G116=""),"",IF(COUNTIF(L117:L$555,L116)=0,L116,""))</f>
        <v/>
      </c>
      <c r="N116" s="11">
        <f>IFERROR(MATCH(SMALL(前年度名簿!$G$3:$G$452,112),前年度名簿!$G$3:$G$452,0),"")</f>
        <v/>
      </c>
    </row>
    <row r="117">
      <c r="A117" s="49">
        <f>IF($N117="","",INDEX(前年度名簿!$A$3:$A$452,$N117))</f>
        <v/>
      </c>
      <c r="B117" s="49">
        <f>IF($N117="","",INDEX(前年度名簿!$B$3:$B$452,$N117))</f>
        <v/>
      </c>
      <c r="C117" s="49">
        <f>IF($N117="","",INDEX(前年度名簿!$C$3:$C$452,$N117))</f>
        <v/>
      </c>
      <c r="D117" s="49" t="n"/>
      <c r="E117" s="49" t="n"/>
      <c r="F117" s="49" t="n"/>
      <c r="G117" s="4">
        <f>IF(A117="","",IFERROR(INDEX(前年度名簿!$D$3:$D$452,MATCH(A117&amp;"-"&amp;B117&amp;"-"&amp;C117,前年度名簿!$F$3:$F$452,0)),""))</f>
        <v/>
      </c>
      <c r="H117" s="50">
        <f>IF(D117="","",IF(ISERROR(VALUE(D117)),D117&amp;"",IF(AND(VALUE(D117)&gt;=1,VALUE(D117)&lt;=20),IF(INDEX(設定!$P$8:$P$27,VALUE(D117))="","？",INDEX(設定!$P$8:$P$27,VALUE(D117))),"？")))</f>
        <v/>
      </c>
      <c r="I117" s="50">
        <f>IF(E117="","",IF(ISERROR(VALUE(E117)),E117&amp;"",IF(AND(VALUE(E117)&gt;=1,VALUE(E117)&lt;=20),IF(INDEX(設定!$P$8:$P$27,VALUE(E117))="","？",INDEX(設定!$P$8:$P$27,VALUE(E117))),"？")))</f>
        <v/>
      </c>
      <c r="J117" s="50">
        <f>IF(F117="","",IF(ISERROR(VALUE(F117)),F117&amp;"",IF(AND(VALUE(F117)&gt;=1,VALUE(F117)&lt;=20),IF(INDEX(設定!$P$8:$P$27,VALUE(F117))="","？",INDEX(設定!$P$8:$P$27,VALUE(F117))),"？")))</f>
        <v/>
      </c>
      <c r="K117" s="51">
        <f>IF(L117="","",IF(G117="","名簿にいない",IF(COUNTIF(L118:L$555,L117)&gt;0,"2回提出（下の行を使います）",IF(H117="転出","転出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OR(AND(H117&lt;&gt;"",H117=I117),AND(H117&lt;&gt;"",H117=J117),AND(I117&lt;&gt;"",I117=J117)),"同じクラブを重複して希望","OK")))))))</f>
        <v/>
      </c>
      <c r="L117" s="11">
        <f>IF(OR(A117="",D117=""),"",A117&amp;"-"&amp;B117&amp;"-"&amp;C117)</f>
        <v/>
      </c>
      <c r="M117" s="11">
        <f>IF(OR(L117="",G117=""),"",IF(COUNTIF(L118:L$555,L117)=0,L117,""))</f>
        <v/>
      </c>
      <c r="N117" s="11">
        <f>IFERROR(MATCH(SMALL(前年度名簿!$G$3:$G$452,113),前年度名簿!$G$3:$G$452,0),"")</f>
        <v/>
      </c>
    </row>
    <row r="118">
      <c r="A118" s="49">
        <f>IF($N118="","",INDEX(前年度名簿!$A$3:$A$452,$N118))</f>
        <v/>
      </c>
      <c r="B118" s="49">
        <f>IF($N118="","",INDEX(前年度名簿!$B$3:$B$452,$N118))</f>
        <v/>
      </c>
      <c r="C118" s="49">
        <f>IF($N118="","",INDEX(前年度名簿!$C$3:$C$452,$N118))</f>
        <v/>
      </c>
      <c r="D118" s="49" t="n"/>
      <c r="E118" s="49" t="n"/>
      <c r="F118" s="49" t="n"/>
      <c r="G118" s="4">
        <f>IF(A118="","",IFERROR(INDEX(前年度名簿!$D$3:$D$452,MATCH(A118&amp;"-"&amp;B118&amp;"-"&amp;C118,前年度名簿!$F$3:$F$452,0)),""))</f>
        <v/>
      </c>
      <c r="H118" s="50">
        <f>IF(D118="","",IF(ISERROR(VALUE(D118)),D118&amp;"",IF(AND(VALUE(D118)&gt;=1,VALUE(D118)&lt;=20),IF(INDEX(設定!$P$8:$P$27,VALUE(D118))="","？",INDEX(設定!$P$8:$P$27,VALUE(D118))),"？")))</f>
        <v/>
      </c>
      <c r="I118" s="50">
        <f>IF(E118="","",IF(ISERROR(VALUE(E118)),E118&amp;"",IF(AND(VALUE(E118)&gt;=1,VALUE(E118)&lt;=20),IF(INDEX(設定!$P$8:$P$27,VALUE(E118))="","？",INDEX(設定!$P$8:$P$27,VALUE(E118))),"？")))</f>
        <v/>
      </c>
      <c r="J118" s="50">
        <f>IF(F118="","",IF(ISERROR(VALUE(F118)),F118&amp;"",IF(AND(VALUE(F118)&gt;=1,VALUE(F118)&lt;=20),IF(INDEX(設定!$P$8:$P$27,VALUE(F118))="","？",INDEX(設定!$P$8:$P$27,VALUE(F118))),"？")))</f>
        <v/>
      </c>
      <c r="K118" s="51">
        <f>IF(L118="","",IF(G118="","名簿にいない",IF(COUNTIF(L119:L$555,L118)&gt;0,"2回提出（下の行を使います）",IF(H118="転出","転出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OR(AND(H118&lt;&gt;"",H118=I118),AND(H118&lt;&gt;"",H118=J118),AND(I118&lt;&gt;"",I118=J118)),"同じクラブを重複して希望","OK")))))))</f>
        <v/>
      </c>
      <c r="L118" s="11">
        <f>IF(OR(A118="",D118=""),"",A118&amp;"-"&amp;B118&amp;"-"&amp;C118)</f>
        <v/>
      </c>
      <c r="M118" s="11">
        <f>IF(OR(L118="",G118=""),"",IF(COUNTIF(L119:L$555,L118)=0,L118,""))</f>
        <v/>
      </c>
      <c r="N118" s="11">
        <f>IFERROR(MATCH(SMALL(前年度名簿!$G$3:$G$452,114),前年度名簿!$G$3:$G$452,0),"")</f>
        <v/>
      </c>
    </row>
    <row r="119">
      <c r="A119" s="49">
        <f>IF($N119="","",INDEX(前年度名簿!$A$3:$A$452,$N119))</f>
        <v/>
      </c>
      <c r="B119" s="49">
        <f>IF($N119="","",INDEX(前年度名簿!$B$3:$B$452,$N119))</f>
        <v/>
      </c>
      <c r="C119" s="49">
        <f>IF($N119="","",INDEX(前年度名簿!$C$3:$C$452,$N119))</f>
        <v/>
      </c>
      <c r="D119" s="49" t="n"/>
      <c r="E119" s="49" t="n"/>
      <c r="F119" s="49" t="n"/>
      <c r="G119" s="4">
        <f>IF(A119="","",IFERROR(INDEX(前年度名簿!$D$3:$D$452,MATCH(A119&amp;"-"&amp;B119&amp;"-"&amp;C119,前年度名簿!$F$3:$F$452,0)),""))</f>
        <v/>
      </c>
      <c r="H119" s="50">
        <f>IF(D119="","",IF(ISERROR(VALUE(D119)),D119&amp;"",IF(AND(VALUE(D119)&gt;=1,VALUE(D119)&lt;=20),IF(INDEX(設定!$P$8:$P$27,VALUE(D119))="","？",INDEX(設定!$P$8:$P$27,VALUE(D119))),"？")))</f>
        <v/>
      </c>
      <c r="I119" s="50">
        <f>IF(E119="","",IF(ISERROR(VALUE(E119)),E119&amp;"",IF(AND(VALUE(E119)&gt;=1,VALUE(E119)&lt;=20),IF(INDEX(設定!$P$8:$P$27,VALUE(E119))="","？",INDEX(設定!$P$8:$P$27,VALUE(E119))),"？")))</f>
        <v/>
      </c>
      <c r="J119" s="50">
        <f>IF(F119="","",IF(ISERROR(VALUE(F119)),F119&amp;"",IF(AND(VALUE(F119)&gt;=1,VALUE(F119)&lt;=20),IF(INDEX(設定!$P$8:$P$27,VALUE(F119))="","？",INDEX(設定!$P$8:$P$27,VALUE(F119))),"？")))</f>
        <v/>
      </c>
      <c r="K119" s="51">
        <f>IF(L119="","",IF(G119="","名簿にいない",IF(COUNTIF(L120:L$555,L119)&gt;0,"2回提出（下の行を使います）",IF(H119="転出","転出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OR(AND(H119&lt;&gt;"",H119=I119),AND(H119&lt;&gt;"",H119=J119),AND(I119&lt;&gt;"",I119=J119)),"同じクラブを重複して希望","OK")))))))</f>
        <v/>
      </c>
      <c r="L119" s="11">
        <f>IF(OR(A119="",D119=""),"",A119&amp;"-"&amp;B119&amp;"-"&amp;C119)</f>
        <v/>
      </c>
      <c r="M119" s="11">
        <f>IF(OR(L119="",G119=""),"",IF(COUNTIF(L120:L$555,L119)=0,L119,""))</f>
        <v/>
      </c>
      <c r="N119" s="11">
        <f>IFERROR(MATCH(SMALL(前年度名簿!$G$3:$G$452,115),前年度名簿!$G$3:$G$452,0),"")</f>
        <v/>
      </c>
    </row>
    <row r="120">
      <c r="A120" s="49">
        <f>IF($N120="","",INDEX(前年度名簿!$A$3:$A$452,$N120))</f>
        <v/>
      </c>
      <c r="B120" s="49">
        <f>IF($N120="","",INDEX(前年度名簿!$B$3:$B$452,$N120))</f>
        <v/>
      </c>
      <c r="C120" s="49">
        <f>IF($N120="","",INDEX(前年度名簿!$C$3:$C$452,$N120))</f>
        <v/>
      </c>
      <c r="D120" s="49" t="n"/>
      <c r="E120" s="49" t="n"/>
      <c r="F120" s="49" t="n"/>
      <c r="G120" s="4">
        <f>IF(A120="","",IFERROR(INDEX(前年度名簿!$D$3:$D$452,MATCH(A120&amp;"-"&amp;B120&amp;"-"&amp;C120,前年度名簿!$F$3:$F$452,0)),""))</f>
        <v/>
      </c>
      <c r="H120" s="50">
        <f>IF(D120="","",IF(ISERROR(VALUE(D120)),D120&amp;"",IF(AND(VALUE(D120)&gt;=1,VALUE(D120)&lt;=20),IF(INDEX(設定!$P$8:$P$27,VALUE(D120))="","？",INDEX(設定!$P$8:$P$27,VALUE(D120))),"？")))</f>
        <v/>
      </c>
      <c r="I120" s="50">
        <f>IF(E120="","",IF(ISERROR(VALUE(E120)),E120&amp;"",IF(AND(VALUE(E120)&gt;=1,VALUE(E120)&lt;=20),IF(INDEX(設定!$P$8:$P$27,VALUE(E120))="","？",INDEX(設定!$P$8:$P$27,VALUE(E120))),"？")))</f>
        <v/>
      </c>
      <c r="J120" s="50">
        <f>IF(F120="","",IF(ISERROR(VALUE(F120)),F120&amp;"",IF(AND(VALUE(F120)&gt;=1,VALUE(F120)&lt;=20),IF(INDEX(設定!$P$8:$P$27,VALUE(F120))="","？",INDEX(設定!$P$8:$P$27,VALUE(F120))),"？")))</f>
        <v/>
      </c>
      <c r="K120" s="51">
        <f>IF(L120="","",IF(G120="","名簿にいない",IF(COUNTIF(L121:L$555,L120)&gt;0,"2回提出（下の行を使います）",IF(H120="転出","転出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OR(AND(H120&lt;&gt;"",H120=I120),AND(H120&lt;&gt;"",H120=J120),AND(I120&lt;&gt;"",I120=J120)),"同じクラブを重複して希望","OK")))))))</f>
        <v/>
      </c>
      <c r="L120" s="11">
        <f>IF(OR(A120="",D120=""),"",A120&amp;"-"&amp;B120&amp;"-"&amp;C120)</f>
        <v/>
      </c>
      <c r="M120" s="11">
        <f>IF(OR(L120="",G120=""),"",IF(COUNTIF(L121:L$555,L120)=0,L120,""))</f>
        <v/>
      </c>
      <c r="N120" s="11">
        <f>IFERROR(MATCH(SMALL(前年度名簿!$G$3:$G$452,116),前年度名簿!$G$3:$G$452,0),"")</f>
        <v/>
      </c>
    </row>
    <row r="121">
      <c r="A121" s="49">
        <f>IF($N121="","",INDEX(前年度名簿!$A$3:$A$452,$N121))</f>
        <v/>
      </c>
      <c r="B121" s="49">
        <f>IF($N121="","",INDEX(前年度名簿!$B$3:$B$452,$N121))</f>
        <v/>
      </c>
      <c r="C121" s="49">
        <f>IF($N121="","",INDEX(前年度名簿!$C$3:$C$452,$N121))</f>
        <v/>
      </c>
      <c r="D121" s="49" t="n"/>
      <c r="E121" s="49" t="n"/>
      <c r="F121" s="49" t="n"/>
      <c r="G121" s="4">
        <f>IF(A121="","",IFERROR(INDEX(前年度名簿!$D$3:$D$452,MATCH(A121&amp;"-"&amp;B121&amp;"-"&amp;C121,前年度名簿!$F$3:$F$452,0)),""))</f>
        <v/>
      </c>
      <c r="H121" s="50">
        <f>IF(D121="","",IF(ISERROR(VALUE(D121)),D121&amp;"",IF(AND(VALUE(D121)&gt;=1,VALUE(D121)&lt;=20),IF(INDEX(設定!$P$8:$P$27,VALUE(D121))="","？",INDEX(設定!$P$8:$P$27,VALUE(D121))),"？")))</f>
        <v/>
      </c>
      <c r="I121" s="50">
        <f>IF(E121="","",IF(ISERROR(VALUE(E121)),E121&amp;"",IF(AND(VALUE(E121)&gt;=1,VALUE(E121)&lt;=20),IF(INDEX(設定!$P$8:$P$27,VALUE(E121))="","？",INDEX(設定!$P$8:$P$27,VALUE(E121))),"？")))</f>
        <v/>
      </c>
      <c r="J121" s="50">
        <f>IF(F121="","",IF(ISERROR(VALUE(F121)),F121&amp;"",IF(AND(VALUE(F121)&gt;=1,VALUE(F121)&lt;=20),IF(INDEX(設定!$P$8:$P$27,VALUE(F121))="","？",INDEX(設定!$P$8:$P$27,VALUE(F121))),"？")))</f>
        <v/>
      </c>
      <c r="K121" s="51">
        <f>IF(L121="","",IF(G121="","名簿にいない",IF(COUNTIF(L122:L$555,L121)&gt;0,"2回提出（下の行を使います）",IF(H121="転出","転出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OR(AND(H121&lt;&gt;"",H121=I121),AND(H121&lt;&gt;"",H121=J121),AND(I121&lt;&gt;"",I121=J121)),"同じクラブを重複して希望","OK")))))))</f>
        <v/>
      </c>
      <c r="L121" s="11">
        <f>IF(OR(A121="",D121=""),"",A121&amp;"-"&amp;B121&amp;"-"&amp;C121)</f>
        <v/>
      </c>
      <c r="M121" s="11">
        <f>IF(OR(L121="",G121=""),"",IF(COUNTIF(L122:L$555,L121)=0,L121,""))</f>
        <v/>
      </c>
      <c r="N121" s="11">
        <f>IFERROR(MATCH(SMALL(前年度名簿!$G$3:$G$452,117),前年度名簿!$G$3:$G$452,0),"")</f>
        <v/>
      </c>
    </row>
    <row r="122">
      <c r="A122" s="49">
        <f>IF($N122="","",INDEX(前年度名簿!$A$3:$A$452,$N122))</f>
        <v/>
      </c>
      <c r="B122" s="49">
        <f>IF($N122="","",INDEX(前年度名簿!$B$3:$B$452,$N122))</f>
        <v/>
      </c>
      <c r="C122" s="49">
        <f>IF($N122="","",INDEX(前年度名簿!$C$3:$C$452,$N122))</f>
        <v/>
      </c>
      <c r="D122" s="49" t="n"/>
      <c r="E122" s="49" t="n"/>
      <c r="F122" s="49" t="n"/>
      <c r="G122" s="4">
        <f>IF(A122="","",IFERROR(INDEX(前年度名簿!$D$3:$D$452,MATCH(A122&amp;"-"&amp;B122&amp;"-"&amp;C122,前年度名簿!$F$3:$F$452,0)),""))</f>
        <v/>
      </c>
      <c r="H122" s="50">
        <f>IF(D122="","",IF(ISERROR(VALUE(D122)),D122&amp;"",IF(AND(VALUE(D122)&gt;=1,VALUE(D122)&lt;=20),IF(INDEX(設定!$P$8:$P$27,VALUE(D122))="","？",INDEX(設定!$P$8:$P$27,VALUE(D122))),"？")))</f>
        <v/>
      </c>
      <c r="I122" s="50">
        <f>IF(E122="","",IF(ISERROR(VALUE(E122)),E122&amp;"",IF(AND(VALUE(E122)&gt;=1,VALUE(E122)&lt;=20),IF(INDEX(設定!$P$8:$P$27,VALUE(E122))="","？",INDEX(設定!$P$8:$P$27,VALUE(E122))),"？")))</f>
        <v/>
      </c>
      <c r="J122" s="50">
        <f>IF(F122="","",IF(ISERROR(VALUE(F122)),F122&amp;"",IF(AND(VALUE(F122)&gt;=1,VALUE(F122)&lt;=20),IF(INDEX(設定!$P$8:$P$27,VALUE(F122))="","？",INDEX(設定!$P$8:$P$27,VALUE(F122))),"？")))</f>
        <v/>
      </c>
      <c r="K122" s="51">
        <f>IF(L122="","",IF(G122="","名簿にいない",IF(COUNTIF(L123:L$555,L122)&gt;0,"2回提出（下の行を使います）",IF(H122="転出","転出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OR(AND(H122&lt;&gt;"",H122=I122),AND(H122&lt;&gt;"",H122=J122),AND(I122&lt;&gt;"",I122=J122)),"同じクラブを重複して希望","OK")))))))</f>
        <v/>
      </c>
      <c r="L122" s="11">
        <f>IF(OR(A122="",D122=""),"",A122&amp;"-"&amp;B122&amp;"-"&amp;C122)</f>
        <v/>
      </c>
      <c r="M122" s="11">
        <f>IF(OR(L122="",G122=""),"",IF(COUNTIF(L123:L$555,L122)=0,L122,""))</f>
        <v/>
      </c>
      <c r="N122" s="11">
        <f>IFERROR(MATCH(SMALL(前年度名簿!$G$3:$G$452,118),前年度名簿!$G$3:$G$452,0),"")</f>
        <v/>
      </c>
    </row>
    <row r="123">
      <c r="A123" s="49">
        <f>IF($N123="","",INDEX(前年度名簿!$A$3:$A$452,$N123))</f>
        <v/>
      </c>
      <c r="B123" s="49">
        <f>IF($N123="","",INDEX(前年度名簿!$B$3:$B$452,$N123))</f>
        <v/>
      </c>
      <c r="C123" s="49">
        <f>IF($N123="","",INDEX(前年度名簿!$C$3:$C$452,$N123))</f>
        <v/>
      </c>
      <c r="D123" s="49" t="n"/>
      <c r="E123" s="49" t="n"/>
      <c r="F123" s="49" t="n"/>
      <c r="G123" s="4">
        <f>IF(A123="","",IFERROR(INDEX(前年度名簿!$D$3:$D$452,MATCH(A123&amp;"-"&amp;B123&amp;"-"&amp;C123,前年度名簿!$F$3:$F$452,0)),""))</f>
        <v/>
      </c>
      <c r="H123" s="50">
        <f>IF(D123="","",IF(ISERROR(VALUE(D123)),D123&amp;"",IF(AND(VALUE(D123)&gt;=1,VALUE(D123)&lt;=20),IF(INDEX(設定!$P$8:$P$27,VALUE(D123))="","？",INDEX(設定!$P$8:$P$27,VALUE(D123))),"？")))</f>
        <v/>
      </c>
      <c r="I123" s="50">
        <f>IF(E123="","",IF(ISERROR(VALUE(E123)),E123&amp;"",IF(AND(VALUE(E123)&gt;=1,VALUE(E123)&lt;=20),IF(INDEX(設定!$P$8:$P$27,VALUE(E123))="","？",INDEX(設定!$P$8:$P$27,VALUE(E123))),"？")))</f>
        <v/>
      </c>
      <c r="J123" s="50">
        <f>IF(F123="","",IF(ISERROR(VALUE(F123)),F123&amp;"",IF(AND(VALUE(F123)&gt;=1,VALUE(F123)&lt;=20),IF(INDEX(設定!$P$8:$P$27,VALUE(F123))="","？",INDEX(設定!$P$8:$P$27,VALUE(F123))),"？")))</f>
        <v/>
      </c>
      <c r="K123" s="51">
        <f>IF(L123="","",IF(G123="","名簿にいない",IF(COUNTIF(L124:L$555,L123)&gt;0,"2回提出（下の行を使います）",IF(H123="転出","転出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OR(AND(H123&lt;&gt;"",H123=I123),AND(H123&lt;&gt;"",H123=J123),AND(I123&lt;&gt;"",I123=J123)),"同じクラブを重複して希望","OK")))))))</f>
        <v/>
      </c>
      <c r="L123" s="11">
        <f>IF(OR(A123="",D123=""),"",A123&amp;"-"&amp;B123&amp;"-"&amp;C123)</f>
        <v/>
      </c>
      <c r="M123" s="11">
        <f>IF(OR(L123="",G123=""),"",IF(COUNTIF(L124:L$555,L123)=0,L123,""))</f>
        <v/>
      </c>
      <c r="N123" s="11">
        <f>IFERROR(MATCH(SMALL(前年度名簿!$G$3:$G$452,119),前年度名簿!$G$3:$G$452,0),"")</f>
        <v/>
      </c>
    </row>
    <row r="124">
      <c r="A124" s="49">
        <f>IF($N124="","",INDEX(前年度名簿!$A$3:$A$452,$N124))</f>
        <v/>
      </c>
      <c r="B124" s="49">
        <f>IF($N124="","",INDEX(前年度名簿!$B$3:$B$452,$N124))</f>
        <v/>
      </c>
      <c r="C124" s="49">
        <f>IF($N124="","",INDEX(前年度名簿!$C$3:$C$452,$N124))</f>
        <v/>
      </c>
      <c r="D124" s="49" t="n"/>
      <c r="E124" s="49" t="n"/>
      <c r="F124" s="49" t="n"/>
      <c r="G124" s="4">
        <f>IF(A124="","",IFERROR(INDEX(前年度名簿!$D$3:$D$452,MATCH(A124&amp;"-"&amp;B124&amp;"-"&amp;C124,前年度名簿!$F$3:$F$452,0)),""))</f>
        <v/>
      </c>
      <c r="H124" s="50">
        <f>IF(D124="","",IF(ISERROR(VALUE(D124)),D124&amp;"",IF(AND(VALUE(D124)&gt;=1,VALUE(D124)&lt;=20),IF(INDEX(設定!$P$8:$P$27,VALUE(D124))="","？",INDEX(設定!$P$8:$P$27,VALUE(D124))),"？")))</f>
        <v/>
      </c>
      <c r="I124" s="50">
        <f>IF(E124="","",IF(ISERROR(VALUE(E124)),E124&amp;"",IF(AND(VALUE(E124)&gt;=1,VALUE(E124)&lt;=20),IF(INDEX(設定!$P$8:$P$27,VALUE(E124))="","？",INDEX(設定!$P$8:$P$27,VALUE(E124))),"？")))</f>
        <v/>
      </c>
      <c r="J124" s="50">
        <f>IF(F124="","",IF(ISERROR(VALUE(F124)),F124&amp;"",IF(AND(VALUE(F124)&gt;=1,VALUE(F124)&lt;=20),IF(INDEX(設定!$P$8:$P$27,VALUE(F124))="","？",INDEX(設定!$P$8:$P$27,VALUE(F124))),"？")))</f>
        <v/>
      </c>
      <c r="K124" s="51">
        <f>IF(L124="","",IF(G124="","名簿にいない",IF(COUNTIF(L125:L$555,L124)&gt;0,"2回提出（下の行を使います）",IF(H124="転出","転出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OR(AND(H124&lt;&gt;"",H124=I124),AND(H124&lt;&gt;"",H124=J124),AND(I124&lt;&gt;"",I124=J124)),"同じクラブを重複して希望","OK")))))))</f>
        <v/>
      </c>
      <c r="L124" s="11">
        <f>IF(OR(A124="",D124=""),"",A124&amp;"-"&amp;B124&amp;"-"&amp;C124)</f>
        <v/>
      </c>
      <c r="M124" s="11">
        <f>IF(OR(L124="",G124=""),"",IF(COUNTIF(L125:L$555,L124)=0,L124,""))</f>
        <v/>
      </c>
      <c r="N124" s="11">
        <f>IFERROR(MATCH(SMALL(前年度名簿!$G$3:$G$452,120),前年度名簿!$G$3:$G$452,0),"")</f>
        <v/>
      </c>
    </row>
    <row r="125">
      <c r="A125" s="49">
        <f>IF($N125="","",INDEX(前年度名簿!$A$3:$A$452,$N125))</f>
        <v/>
      </c>
      <c r="B125" s="49">
        <f>IF($N125="","",INDEX(前年度名簿!$B$3:$B$452,$N125))</f>
        <v/>
      </c>
      <c r="C125" s="49">
        <f>IF($N125="","",INDEX(前年度名簿!$C$3:$C$452,$N125))</f>
        <v/>
      </c>
      <c r="D125" s="49" t="n"/>
      <c r="E125" s="49" t="n"/>
      <c r="F125" s="49" t="n"/>
      <c r="G125" s="4">
        <f>IF(A125="","",IFERROR(INDEX(前年度名簿!$D$3:$D$452,MATCH(A125&amp;"-"&amp;B125&amp;"-"&amp;C125,前年度名簿!$F$3:$F$452,0)),""))</f>
        <v/>
      </c>
      <c r="H125" s="50">
        <f>IF(D125="","",IF(ISERROR(VALUE(D125)),D125&amp;"",IF(AND(VALUE(D125)&gt;=1,VALUE(D125)&lt;=20),IF(INDEX(設定!$P$8:$P$27,VALUE(D125))="","？",INDEX(設定!$P$8:$P$27,VALUE(D125))),"？")))</f>
        <v/>
      </c>
      <c r="I125" s="50">
        <f>IF(E125="","",IF(ISERROR(VALUE(E125)),E125&amp;"",IF(AND(VALUE(E125)&gt;=1,VALUE(E125)&lt;=20),IF(INDEX(設定!$P$8:$P$27,VALUE(E125))="","？",INDEX(設定!$P$8:$P$27,VALUE(E125))),"？")))</f>
        <v/>
      </c>
      <c r="J125" s="50">
        <f>IF(F125="","",IF(ISERROR(VALUE(F125)),F125&amp;"",IF(AND(VALUE(F125)&gt;=1,VALUE(F125)&lt;=20),IF(INDEX(設定!$P$8:$P$27,VALUE(F125))="","？",INDEX(設定!$P$8:$P$27,VALUE(F125))),"？")))</f>
        <v/>
      </c>
      <c r="K125" s="51">
        <f>IF(L125="","",IF(G125="","名簿にいない",IF(COUNTIF(L126:L$555,L125)&gt;0,"2回提出（下の行を使います）",IF(H125="転出","転出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OR(AND(H125&lt;&gt;"",H125=I125),AND(H125&lt;&gt;"",H125=J125),AND(I125&lt;&gt;"",I125=J125)),"同じクラブを重複して希望","OK")))))))</f>
        <v/>
      </c>
      <c r="L125" s="11">
        <f>IF(OR(A125="",D125=""),"",A125&amp;"-"&amp;B125&amp;"-"&amp;C125)</f>
        <v/>
      </c>
      <c r="M125" s="11">
        <f>IF(OR(L125="",G125=""),"",IF(COUNTIF(L126:L$555,L125)=0,L125,""))</f>
        <v/>
      </c>
      <c r="N125" s="11">
        <f>IFERROR(MATCH(SMALL(前年度名簿!$G$3:$G$452,121),前年度名簿!$G$3:$G$452,0),"")</f>
        <v/>
      </c>
    </row>
    <row r="126">
      <c r="A126" s="49">
        <f>IF($N126="","",INDEX(前年度名簿!$A$3:$A$452,$N126))</f>
        <v/>
      </c>
      <c r="B126" s="49">
        <f>IF($N126="","",INDEX(前年度名簿!$B$3:$B$452,$N126))</f>
        <v/>
      </c>
      <c r="C126" s="49">
        <f>IF($N126="","",INDEX(前年度名簿!$C$3:$C$452,$N126))</f>
        <v/>
      </c>
      <c r="D126" s="49" t="n"/>
      <c r="E126" s="49" t="n"/>
      <c r="F126" s="49" t="n"/>
      <c r="G126" s="4">
        <f>IF(A126="","",IFERROR(INDEX(前年度名簿!$D$3:$D$452,MATCH(A126&amp;"-"&amp;B126&amp;"-"&amp;C126,前年度名簿!$F$3:$F$452,0)),""))</f>
        <v/>
      </c>
      <c r="H126" s="50">
        <f>IF(D126="","",IF(ISERROR(VALUE(D126)),D126&amp;"",IF(AND(VALUE(D126)&gt;=1,VALUE(D126)&lt;=20),IF(INDEX(設定!$P$8:$P$27,VALUE(D126))="","？",INDEX(設定!$P$8:$P$27,VALUE(D126))),"？")))</f>
        <v/>
      </c>
      <c r="I126" s="50">
        <f>IF(E126="","",IF(ISERROR(VALUE(E126)),E126&amp;"",IF(AND(VALUE(E126)&gt;=1,VALUE(E126)&lt;=20),IF(INDEX(設定!$P$8:$P$27,VALUE(E126))="","？",INDEX(設定!$P$8:$P$27,VALUE(E126))),"？")))</f>
        <v/>
      </c>
      <c r="J126" s="50">
        <f>IF(F126="","",IF(ISERROR(VALUE(F126)),F126&amp;"",IF(AND(VALUE(F126)&gt;=1,VALUE(F126)&lt;=20),IF(INDEX(設定!$P$8:$P$27,VALUE(F126))="","？",INDEX(設定!$P$8:$P$27,VALUE(F126))),"？")))</f>
        <v/>
      </c>
      <c r="K126" s="51">
        <f>IF(L126="","",IF(G126="","名簿にいない",IF(COUNTIF(L127:L$555,L126)&gt;0,"2回提出（下の行を使います）",IF(H126="転出","転出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OR(AND(H126&lt;&gt;"",H126=I126),AND(H126&lt;&gt;"",H126=J126),AND(I126&lt;&gt;"",I126=J126)),"同じクラブを重複して希望","OK")))))))</f>
        <v/>
      </c>
      <c r="L126" s="11">
        <f>IF(OR(A126="",D126=""),"",A126&amp;"-"&amp;B126&amp;"-"&amp;C126)</f>
        <v/>
      </c>
      <c r="M126" s="11">
        <f>IF(OR(L126="",G126=""),"",IF(COUNTIF(L127:L$555,L126)=0,L126,""))</f>
        <v/>
      </c>
      <c r="N126" s="11">
        <f>IFERROR(MATCH(SMALL(前年度名簿!$G$3:$G$452,122),前年度名簿!$G$3:$G$452,0),"")</f>
        <v/>
      </c>
    </row>
    <row r="127">
      <c r="A127" s="49">
        <f>IF($N127="","",INDEX(前年度名簿!$A$3:$A$452,$N127))</f>
        <v/>
      </c>
      <c r="B127" s="49">
        <f>IF($N127="","",INDEX(前年度名簿!$B$3:$B$452,$N127))</f>
        <v/>
      </c>
      <c r="C127" s="49">
        <f>IF($N127="","",INDEX(前年度名簿!$C$3:$C$452,$N127))</f>
        <v/>
      </c>
      <c r="D127" s="49" t="n"/>
      <c r="E127" s="49" t="n"/>
      <c r="F127" s="49" t="n"/>
      <c r="G127" s="4">
        <f>IF(A127="","",IFERROR(INDEX(前年度名簿!$D$3:$D$452,MATCH(A127&amp;"-"&amp;B127&amp;"-"&amp;C127,前年度名簿!$F$3:$F$452,0)),""))</f>
        <v/>
      </c>
      <c r="H127" s="50">
        <f>IF(D127="","",IF(ISERROR(VALUE(D127)),D127&amp;"",IF(AND(VALUE(D127)&gt;=1,VALUE(D127)&lt;=20),IF(INDEX(設定!$P$8:$P$27,VALUE(D127))="","？",INDEX(設定!$P$8:$P$27,VALUE(D127))),"？")))</f>
        <v/>
      </c>
      <c r="I127" s="50">
        <f>IF(E127="","",IF(ISERROR(VALUE(E127)),E127&amp;"",IF(AND(VALUE(E127)&gt;=1,VALUE(E127)&lt;=20),IF(INDEX(設定!$P$8:$P$27,VALUE(E127))="","？",INDEX(設定!$P$8:$P$27,VALUE(E127))),"？")))</f>
        <v/>
      </c>
      <c r="J127" s="50">
        <f>IF(F127="","",IF(ISERROR(VALUE(F127)),F127&amp;"",IF(AND(VALUE(F127)&gt;=1,VALUE(F127)&lt;=20),IF(INDEX(設定!$P$8:$P$27,VALUE(F127))="","？",INDEX(設定!$P$8:$P$27,VALUE(F127))),"？")))</f>
        <v/>
      </c>
      <c r="K127" s="51">
        <f>IF(L127="","",IF(G127="","名簿にいない",IF(COUNTIF(L128:L$555,L127)&gt;0,"2回提出（下の行を使います）",IF(H127="転出","転出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OR(AND(H127&lt;&gt;"",H127=I127),AND(H127&lt;&gt;"",H127=J127),AND(I127&lt;&gt;"",I127=J127)),"同じクラブを重複して希望","OK")))))))</f>
        <v/>
      </c>
      <c r="L127" s="11">
        <f>IF(OR(A127="",D127=""),"",A127&amp;"-"&amp;B127&amp;"-"&amp;C127)</f>
        <v/>
      </c>
      <c r="M127" s="11">
        <f>IF(OR(L127="",G127=""),"",IF(COUNTIF(L128:L$555,L127)=0,L127,""))</f>
        <v/>
      </c>
      <c r="N127" s="11">
        <f>IFERROR(MATCH(SMALL(前年度名簿!$G$3:$G$452,123),前年度名簿!$G$3:$G$452,0),"")</f>
        <v/>
      </c>
    </row>
    <row r="128">
      <c r="A128" s="49">
        <f>IF($N128="","",INDEX(前年度名簿!$A$3:$A$452,$N128))</f>
        <v/>
      </c>
      <c r="B128" s="49">
        <f>IF($N128="","",INDEX(前年度名簿!$B$3:$B$452,$N128))</f>
        <v/>
      </c>
      <c r="C128" s="49">
        <f>IF($N128="","",INDEX(前年度名簿!$C$3:$C$452,$N128))</f>
        <v/>
      </c>
      <c r="D128" s="49" t="n"/>
      <c r="E128" s="49" t="n"/>
      <c r="F128" s="49" t="n"/>
      <c r="G128" s="4">
        <f>IF(A128="","",IFERROR(INDEX(前年度名簿!$D$3:$D$452,MATCH(A128&amp;"-"&amp;B128&amp;"-"&amp;C128,前年度名簿!$F$3:$F$452,0)),""))</f>
        <v/>
      </c>
      <c r="H128" s="50">
        <f>IF(D128="","",IF(ISERROR(VALUE(D128)),D128&amp;"",IF(AND(VALUE(D128)&gt;=1,VALUE(D128)&lt;=20),IF(INDEX(設定!$P$8:$P$27,VALUE(D128))="","？",INDEX(設定!$P$8:$P$27,VALUE(D128))),"？")))</f>
        <v/>
      </c>
      <c r="I128" s="50">
        <f>IF(E128="","",IF(ISERROR(VALUE(E128)),E128&amp;"",IF(AND(VALUE(E128)&gt;=1,VALUE(E128)&lt;=20),IF(INDEX(設定!$P$8:$P$27,VALUE(E128))="","？",INDEX(設定!$P$8:$P$27,VALUE(E128))),"？")))</f>
        <v/>
      </c>
      <c r="J128" s="50">
        <f>IF(F128="","",IF(ISERROR(VALUE(F128)),F128&amp;"",IF(AND(VALUE(F128)&gt;=1,VALUE(F128)&lt;=20),IF(INDEX(設定!$P$8:$P$27,VALUE(F128))="","？",INDEX(設定!$P$8:$P$27,VALUE(F128))),"？")))</f>
        <v/>
      </c>
      <c r="K128" s="51">
        <f>IF(L128="","",IF(G128="","名簿にいない",IF(COUNTIF(L129:L$555,L128)&gt;0,"2回提出（下の行を使います）",IF(H128="転出","転出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OR(AND(H128&lt;&gt;"",H128=I128),AND(H128&lt;&gt;"",H128=J128),AND(I128&lt;&gt;"",I128=J128)),"同じクラブを重複して希望","OK")))))))</f>
        <v/>
      </c>
      <c r="L128" s="11">
        <f>IF(OR(A128="",D128=""),"",A128&amp;"-"&amp;B128&amp;"-"&amp;C128)</f>
        <v/>
      </c>
      <c r="M128" s="11">
        <f>IF(OR(L128="",G128=""),"",IF(COUNTIF(L129:L$555,L128)=0,L128,""))</f>
        <v/>
      </c>
      <c r="N128" s="11">
        <f>IFERROR(MATCH(SMALL(前年度名簿!$G$3:$G$452,124),前年度名簿!$G$3:$G$452,0),"")</f>
        <v/>
      </c>
    </row>
    <row r="129">
      <c r="A129" s="49">
        <f>IF($N129="","",INDEX(前年度名簿!$A$3:$A$452,$N129))</f>
        <v/>
      </c>
      <c r="B129" s="49">
        <f>IF($N129="","",INDEX(前年度名簿!$B$3:$B$452,$N129))</f>
        <v/>
      </c>
      <c r="C129" s="49">
        <f>IF($N129="","",INDEX(前年度名簿!$C$3:$C$452,$N129))</f>
        <v/>
      </c>
      <c r="D129" s="49" t="n"/>
      <c r="E129" s="49" t="n"/>
      <c r="F129" s="49" t="n"/>
      <c r="G129" s="4">
        <f>IF(A129="","",IFERROR(INDEX(前年度名簿!$D$3:$D$452,MATCH(A129&amp;"-"&amp;B129&amp;"-"&amp;C129,前年度名簿!$F$3:$F$452,0)),""))</f>
        <v/>
      </c>
      <c r="H129" s="50">
        <f>IF(D129="","",IF(ISERROR(VALUE(D129)),D129&amp;"",IF(AND(VALUE(D129)&gt;=1,VALUE(D129)&lt;=20),IF(INDEX(設定!$P$8:$P$27,VALUE(D129))="","？",INDEX(設定!$P$8:$P$27,VALUE(D129))),"？")))</f>
        <v/>
      </c>
      <c r="I129" s="50">
        <f>IF(E129="","",IF(ISERROR(VALUE(E129)),E129&amp;"",IF(AND(VALUE(E129)&gt;=1,VALUE(E129)&lt;=20),IF(INDEX(設定!$P$8:$P$27,VALUE(E129))="","？",INDEX(設定!$P$8:$P$27,VALUE(E129))),"？")))</f>
        <v/>
      </c>
      <c r="J129" s="50">
        <f>IF(F129="","",IF(ISERROR(VALUE(F129)),F129&amp;"",IF(AND(VALUE(F129)&gt;=1,VALUE(F129)&lt;=20),IF(INDEX(設定!$P$8:$P$27,VALUE(F129))="","？",INDEX(設定!$P$8:$P$27,VALUE(F129))),"？")))</f>
        <v/>
      </c>
      <c r="K129" s="51">
        <f>IF(L129="","",IF(G129="","名簿にいない",IF(COUNTIF(L130:L$555,L129)&gt;0,"2回提出（下の行を使います）",IF(H129="転出","転出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OR(AND(H129&lt;&gt;"",H129=I129),AND(H129&lt;&gt;"",H129=J129),AND(I129&lt;&gt;"",I129=J129)),"同じクラブを重複して希望","OK")))))))</f>
        <v/>
      </c>
      <c r="L129" s="11">
        <f>IF(OR(A129="",D129=""),"",A129&amp;"-"&amp;B129&amp;"-"&amp;C129)</f>
        <v/>
      </c>
      <c r="M129" s="11">
        <f>IF(OR(L129="",G129=""),"",IF(COUNTIF(L130:L$555,L129)=0,L129,""))</f>
        <v/>
      </c>
      <c r="N129" s="11">
        <f>IFERROR(MATCH(SMALL(前年度名簿!$G$3:$G$452,125),前年度名簿!$G$3:$G$452,0),"")</f>
        <v/>
      </c>
    </row>
    <row r="130">
      <c r="A130" s="49">
        <f>IF($N130="","",INDEX(前年度名簿!$A$3:$A$452,$N130))</f>
        <v/>
      </c>
      <c r="B130" s="49">
        <f>IF($N130="","",INDEX(前年度名簿!$B$3:$B$452,$N130))</f>
        <v/>
      </c>
      <c r="C130" s="49">
        <f>IF($N130="","",INDEX(前年度名簿!$C$3:$C$452,$N130))</f>
        <v/>
      </c>
      <c r="D130" s="49" t="n"/>
      <c r="E130" s="49" t="n"/>
      <c r="F130" s="49" t="n"/>
      <c r="G130" s="4">
        <f>IF(A130="","",IFERROR(INDEX(前年度名簿!$D$3:$D$452,MATCH(A130&amp;"-"&amp;B130&amp;"-"&amp;C130,前年度名簿!$F$3:$F$452,0)),""))</f>
        <v/>
      </c>
      <c r="H130" s="50">
        <f>IF(D130="","",IF(ISERROR(VALUE(D130)),D130&amp;"",IF(AND(VALUE(D130)&gt;=1,VALUE(D130)&lt;=20),IF(INDEX(設定!$P$8:$P$27,VALUE(D130))="","？",INDEX(設定!$P$8:$P$27,VALUE(D130))),"？")))</f>
        <v/>
      </c>
      <c r="I130" s="50">
        <f>IF(E130="","",IF(ISERROR(VALUE(E130)),E130&amp;"",IF(AND(VALUE(E130)&gt;=1,VALUE(E130)&lt;=20),IF(INDEX(設定!$P$8:$P$27,VALUE(E130))="","？",INDEX(設定!$P$8:$P$27,VALUE(E130))),"？")))</f>
        <v/>
      </c>
      <c r="J130" s="50">
        <f>IF(F130="","",IF(ISERROR(VALUE(F130)),F130&amp;"",IF(AND(VALUE(F130)&gt;=1,VALUE(F130)&lt;=20),IF(INDEX(設定!$P$8:$P$27,VALUE(F130))="","？",INDEX(設定!$P$8:$P$27,VALUE(F130))),"？")))</f>
        <v/>
      </c>
      <c r="K130" s="51">
        <f>IF(L130="","",IF(G130="","名簿にいない",IF(COUNTIF(L131:L$555,L130)&gt;0,"2回提出（下の行を使います）",IF(H130="転出","転出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OR(AND(H130&lt;&gt;"",H130=I130),AND(H130&lt;&gt;"",H130=J130),AND(I130&lt;&gt;"",I130=J130)),"同じクラブを重複して希望","OK")))))))</f>
        <v/>
      </c>
      <c r="L130" s="11">
        <f>IF(OR(A130="",D130=""),"",A130&amp;"-"&amp;B130&amp;"-"&amp;C130)</f>
        <v/>
      </c>
      <c r="M130" s="11">
        <f>IF(OR(L130="",G130=""),"",IF(COUNTIF(L131:L$555,L130)=0,L130,""))</f>
        <v/>
      </c>
      <c r="N130" s="11">
        <f>IFERROR(MATCH(SMALL(前年度名簿!$G$3:$G$452,126),前年度名簿!$G$3:$G$452,0),"")</f>
        <v/>
      </c>
    </row>
    <row r="131">
      <c r="A131" s="49">
        <f>IF($N131="","",INDEX(前年度名簿!$A$3:$A$452,$N131))</f>
        <v/>
      </c>
      <c r="B131" s="49">
        <f>IF($N131="","",INDEX(前年度名簿!$B$3:$B$452,$N131))</f>
        <v/>
      </c>
      <c r="C131" s="49">
        <f>IF($N131="","",INDEX(前年度名簿!$C$3:$C$452,$N131))</f>
        <v/>
      </c>
      <c r="D131" s="49" t="n"/>
      <c r="E131" s="49" t="n"/>
      <c r="F131" s="49" t="n"/>
      <c r="G131" s="4">
        <f>IF(A131="","",IFERROR(INDEX(前年度名簿!$D$3:$D$452,MATCH(A131&amp;"-"&amp;B131&amp;"-"&amp;C131,前年度名簿!$F$3:$F$452,0)),""))</f>
        <v/>
      </c>
      <c r="H131" s="50">
        <f>IF(D131="","",IF(ISERROR(VALUE(D131)),D131&amp;"",IF(AND(VALUE(D131)&gt;=1,VALUE(D131)&lt;=20),IF(INDEX(設定!$P$8:$P$27,VALUE(D131))="","？",INDEX(設定!$P$8:$P$27,VALUE(D131))),"？")))</f>
        <v/>
      </c>
      <c r="I131" s="50">
        <f>IF(E131="","",IF(ISERROR(VALUE(E131)),E131&amp;"",IF(AND(VALUE(E131)&gt;=1,VALUE(E131)&lt;=20),IF(INDEX(設定!$P$8:$P$27,VALUE(E131))="","？",INDEX(設定!$P$8:$P$27,VALUE(E131))),"？")))</f>
        <v/>
      </c>
      <c r="J131" s="50">
        <f>IF(F131="","",IF(ISERROR(VALUE(F131)),F131&amp;"",IF(AND(VALUE(F131)&gt;=1,VALUE(F131)&lt;=20),IF(INDEX(設定!$P$8:$P$27,VALUE(F131))="","？",INDEX(設定!$P$8:$P$27,VALUE(F131))),"？")))</f>
        <v/>
      </c>
      <c r="K131" s="51">
        <f>IF(L131="","",IF(G131="","名簿にいない",IF(COUNTIF(L132:L$555,L131)&gt;0,"2回提出（下の行を使います）",IF(H131="転出","転出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OR(AND(H131&lt;&gt;"",H131=I131),AND(H131&lt;&gt;"",H131=J131),AND(I131&lt;&gt;"",I131=J131)),"同じクラブを重複して希望","OK")))))))</f>
        <v/>
      </c>
      <c r="L131" s="11">
        <f>IF(OR(A131="",D131=""),"",A131&amp;"-"&amp;B131&amp;"-"&amp;C131)</f>
        <v/>
      </c>
      <c r="M131" s="11">
        <f>IF(OR(L131="",G131=""),"",IF(COUNTIF(L132:L$555,L131)=0,L131,""))</f>
        <v/>
      </c>
      <c r="N131" s="11">
        <f>IFERROR(MATCH(SMALL(前年度名簿!$G$3:$G$452,127),前年度名簿!$G$3:$G$452,0),"")</f>
        <v/>
      </c>
    </row>
    <row r="132">
      <c r="A132" s="49">
        <f>IF($N132="","",INDEX(前年度名簿!$A$3:$A$452,$N132))</f>
        <v/>
      </c>
      <c r="B132" s="49">
        <f>IF($N132="","",INDEX(前年度名簿!$B$3:$B$452,$N132))</f>
        <v/>
      </c>
      <c r="C132" s="49">
        <f>IF($N132="","",INDEX(前年度名簿!$C$3:$C$452,$N132))</f>
        <v/>
      </c>
      <c r="D132" s="49" t="n"/>
      <c r="E132" s="49" t="n"/>
      <c r="F132" s="49" t="n"/>
      <c r="G132" s="4">
        <f>IF(A132="","",IFERROR(INDEX(前年度名簿!$D$3:$D$452,MATCH(A132&amp;"-"&amp;B132&amp;"-"&amp;C132,前年度名簿!$F$3:$F$452,0)),""))</f>
        <v/>
      </c>
      <c r="H132" s="50">
        <f>IF(D132="","",IF(ISERROR(VALUE(D132)),D132&amp;"",IF(AND(VALUE(D132)&gt;=1,VALUE(D132)&lt;=20),IF(INDEX(設定!$P$8:$P$27,VALUE(D132))="","？",INDEX(設定!$P$8:$P$27,VALUE(D132))),"？")))</f>
        <v/>
      </c>
      <c r="I132" s="50">
        <f>IF(E132="","",IF(ISERROR(VALUE(E132)),E132&amp;"",IF(AND(VALUE(E132)&gt;=1,VALUE(E132)&lt;=20),IF(INDEX(設定!$P$8:$P$27,VALUE(E132))="","？",INDEX(設定!$P$8:$P$27,VALUE(E132))),"？")))</f>
        <v/>
      </c>
      <c r="J132" s="50">
        <f>IF(F132="","",IF(ISERROR(VALUE(F132)),F132&amp;"",IF(AND(VALUE(F132)&gt;=1,VALUE(F132)&lt;=20),IF(INDEX(設定!$P$8:$P$27,VALUE(F132))="","？",INDEX(設定!$P$8:$P$27,VALUE(F132))),"？")))</f>
        <v/>
      </c>
      <c r="K132" s="51">
        <f>IF(L132="","",IF(G132="","名簿にいない",IF(COUNTIF(L133:L$555,L132)&gt;0,"2回提出（下の行を使います）",IF(H132="転出","転出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OR(AND(H132&lt;&gt;"",H132=I132),AND(H132&lt;&gt;"",H132=J132),AND(I132&lt;&gt;"",I132=J132)),"同じクラブを重複して希望","OK")))))))</f>
        <v/>
      </c>
      <c r="L132" s="11">
        <f>IF(OR(A132="",D132=""),"",A132&amp;"-"&amp;B132&amp;"-"&amp;C132)</f>
        <v/>
      </c>
      <c r="M132" s="11">
        <f>IF(OR(L132="",G132=""),"",IF(COUNTIF(L133:L$555,L132)=0,L132,""))</f>
        <v/>
      </c>
      <c r="N132" s="11">
        <f>IFERROR(MATCH(SMALL(前年度名簿!$G$3:$G$452,128),前年度名簿!$G$3:$G$452,0),"")</f>
        <v/>
      </c>
    </row>
    <row r="133">
      <c r="A133" s="49">
        <f>IF($N133="","",INDEX(前年度名簿!$A$3:$A$452,$N133))</f>
        <v/>
      </c>
      <c r="B133" s="49">
        <f>IF($N133="","",INDEX(前年度名簿!$B$3:$B$452,$N133))</f>
        <v/>
      </c>
      <c r="C133" s="49">
        <f>IF($N133="","",INDEX(前年度名簿!$C$3:$C$452,$N133))</f>
        <v/>
      </c>
      <c r="D133" s="49" t="n"/>
      <c r="E133" s="49" t="n"/>
      <c r="F133" s="49" t="n"/>
      <c r="G133" s="4">
        <f>IF(A133="","",IFERROR(INDEX(前年度名簿!$D$3:$D$452,MATCH(A133&amp;"-"&amp;B133&amp;"-"&amp;C133,前年度名簿!$F$3:$F$452,0)),""))</f>
        <v/>
      </c>
      <c r="H133" s="50">
        <f>IF(D133="","",IF(ISERROR(VALUE(D133)),D133&amp;"",IF(AND(VALUE(D133)&gt;=1,VALUE(D133)&lt;=20),IF(INDEX(設定!$P$8:$P$27,VALUE(D133))="","？",INDEX(設定!$P$8:$P$27,VALUE(D133))),"？")))</f>
        <v/>
      </c>
      <c r="I133" s="50">
        <f>IF(E133="","",IF(ISERROR(VALUE(E133)),E133&amp;"",IF(AND(VALUE(E133)&gt;=1,VALUE(E133)&lt;=20),IF(INDEX(設定!$P$8:$P$27,VALUE(E133))="","？",INDEX(設定!$P$8:$P$27,VALUE(E133))),"？")))</f>
        <v/>
      </c>
      <c r="J133" s="50">
        <f>IF(F133="","",IF(ISERROR(VALUE(F133)),F133&amp;"",IF(AND(VALUE(F133)&gt;=1,VALUE(F133)&lt;=20),IF(INDEX(設定!$P$8:$P$27,VALUE(F133))="","？",INDEX(設定!$P$8:$P$27,VALUE(F133))),"？")))</f>
        <v/>
      </c>
      <c r="K133" s="51">
        <f>IF(L133="","",IF(G133="","名簿にいない",IF(COUNTIF(L134:L$555,L133)&gt;0,"2回提出（下の行を使います）",IF(H133="転出","転出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OR(AND(H133&lt;&gt;"",H133=I133),AND(H133&lt;&gt;"",H133=J133),AND(I133&lt;&gt;"",I133=J133)),"同じクラブを重複して希望","OK")))))))</f>
        <v/>
      </c>
      <c r="L133" s="11">
        <f>IF(OR(A133="",D133=""),"",A133&amp;"-"&amp;B133&amp;"-"&amp;C133)</f>
        <v/>
      </c>
      <c r="M133" s="11">
        <f>IF(OR(L133="",G133=""),"",IF(COUNTIF(L134:L$555,L133)=0,L133,""))</f>
        <v/>
      </c>
      <c r="N133" s="11">
        <f>IFERROR(MATCH(SMALL(前年度名簿!$G$3:$G$452,129),前年度名簿!$G$3:$G$452,0),"")</f>
        <v/>
      </c>
    </row>
    <row r="134">
      <c r="A134" s="49">
        <f>IF($N134="","",INDEX(前年度名簿!$A$3:$A$452,$N134))</f>
        <v/>
      </c>
      <c r="B134" s="49">
        <f>IF($N134="","",INDEX(前年度名簿!$B$3:$B$452,$N134))</f>
        <v/>
      </c>
      <c r="C134" s="49">
        <f>IF($N134="","",INDEX(前年度名簿!$C$3:$C$452,$N134))</f>
        <v/>
      </c>
      <c r="D134" s="49" t="n"/>
      <c r="E134" s="49" t="n"/>
      <c r="F134" s="49" t="n"/>
      <c r="G134" s="4">
        <f>IF(A134="","",IFERROR(INDEX(前年度名簿!$D$3:$D$452,MATCH(A134&amp;"-"&amp;B134&amp;"-"&amp;C134,前年度名簿!$F$3:$F$452,0)),""))</f>
        <v/>
      </c>
      <c r="H134" s="50">
        <f>IF(D134="","",IF(ISERROR(VALUE(D134)),D134&amp;"",IF(AND(VALUE(D134)&gt;=1,VALUE(D134)&lt;=20),IF(INDEX(設定!$P$8:$P$27,VALUE(D134))="","？",INDEX(設定!$P$8:$P$27,VALUE(D134))),"？")))</f>
        <v/>
      </c>
      <c r="I134" s="50">
        <f>IF(E134="","",IF(ISERROR(VALUE(E134)),E134&amp;"",IF(AND(VALUE(E134)&gt;=1,VALUE(E134)&lt;=20),IF(INDEX(設定!$P$8:$P$27,VALUE(E134))="","？",INDEX(設定!$P$8:$P$27,VALUE(E134))),"？")))</f>
        <v/>
      </c>
      <c r="J134" s="50">
        <f>IF(F134="","",IF(ISERROR(VALUE(F134)),F134&amp;"",IF(AND(VALUE(F134)&gt;=1,VALUE(F134)&lt;=20),IF(INDEX(設定!$P$8:$P$27,VALUE(F134))="","？",INDEX(設定!$P$8:$P$27,VALUE(F134))),"？")))</f>
        <v/>
      </c>
      <c r="K134" s="51">
        <f>IF(L134="","",IF(G134="","名簿にいない",IF(COUNTIF(L135:L$555,L134)&gt;0,"2回提出（下の行を使います）",IF(H134="転出","転出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OR(AND(H134&lt;&gt;"",H134=I134),AND(H134&lt;&gt;"",H134=J134),AND(I134&lt;&gt;"",I134=J134)),"同じクラブを重複して希望","OK")))))))</f>
        <v/>
      </c>
      <c r="L134" s="11">
        <f>IF(OR(A134="",D134=""),"",A134&amp;"-"&amp;B134&amp;"-"&amp;C134)</f>
        <v/>
      </c>
      <c r="M134" s="11">
        <f>IF(OR(L134="",G134=""),"",IF(COUNTIF(L135:L$555,L134)=0,L134,""))</f>
        <v/>
      </c>
      <c r="N134" s="11">
        <f>IFERROR(MATCH(SMALL(前年度名簿!$G$3:$G$452,130),前年度名簿!$G$3:$G$452,0),"")</f>
        <v/>
      </c>
    </row>
    <row r="135">
      <c r="A135" s="49">
        <f>IF($N135="","",INDEX(前年度名簿!$A$3:$A$452,$N135))</f>
        <v/>
      </c>
      <c r="B135" s="49">
        <f>IF($N135="","",INDEX(前年度名簿!$B$3:$B$452,$N135))</f>
        <v/>
      </c>
      <c r="C135" s="49">
        <f>IF($N135="","",INDEX(前年度名簿!$C$3:$C$452,$N135))</f>
        <v/>
      </c>
      <c r="D135" s="49" t="n"/>
      <c r="E135" s="49" t="n"/>
      <c r="F135" s="49" t="n"/>
      <c r="G135" s="4">
        <f>IF(A135="","",IFERROR(INDEX(前年度名簿!$D$3:$D$452,MATCH(A135&amp;"-"&amp;B135&amp;"-"&amp;C135,前年度名簿!$F$3:$F$452,0)),""))</f>
        <v/>
      </c>
      <c r="H135" s="50">
        <f>IF(D135="","",IF(ISERROR(VALUE(D135)),D135&amp;"",IF(AND(VALUE(D135)&gt;=1,VALUE(D135)&lt;=20),IF(INDEX(設定!$P$8:$P$27,VALUE(D135))="","？",INDEX(設定!$P$8:$P$27,VALUE(D135))),"？")))</f>
        <v/>
      </c>
      <c r="I135" s="50">
        <f>IF(E135="","",IF(ISERROR(VALUE(E135)),E135&amp;"",IF(AND(VALUE(E135)&gt;=1,VALUE(E135)&lt;=20),IF(INDEX(設定!$P$8:$P$27,VALUE(E135))="","？",INDEX(設定!$P$8:$P$27,VALUE(E135))),"？")))</f>
        <v/>
      </c>
      <c r="J135" s="50">
        <f>IF(F135="","",IF(ISERROR(VALUE(F135)),F135&amp;"",IF(AND(VALUE(F135)&gt;=1,VALUE(F135)&lt;=20),IF(INDEX(設定!$P$8:$P$27,VALUE(F135))="","？",INDEX(設定!$P$8:$P$27,VALUE(F135))),"？")))</f>
        <v/>
      </c>
      <c r="K135" s="51">
        <f>IF(L135="","",IF(G135="","名簿にいない",IF(COUNTIF(L136:L$555,L135)&gt;0,"2回提出（下の行を使います）",IF(H135="転出","転出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OR(AND(H135&lt;&gt;"",H135=I135),AND(H135&lt;&gt;"",H135=J135),AND(I135&lt;&gt;"",I135=J135)),"同じクラブを重複して希望","OK")))))))</f>
        <v/>
      </c>
      <c r="L135" s="11">
        <f>IF(OR(A135="",D135=""),"",A135&amp;"-"&amp;B135&amp;"-"&amp;C135)</f>
        <v/>
      </c>
      <c r="M135" s="11">
        <f>IF(OR(L135="",G135=""),"",IF(COUNTIF(L136:L$555,L135)=0,L135,""))</f>
        <v/>
      </c>
      <c r="N135" s="11">
        <f>IFERROR(MATCH(SMALL(前年度名簿!$G$3:$G$452,131),前年度名簿!$G$3:$G$452,0),"")</f>
        <v/>
      </c>
    </row>
    <row r="136">
      <c r="A136" s="49">
        <f>IF($N136="","",INDEX(前年度名簿!$A$3:$A$452,$N136))</f>
        <v/>
      </c>
      <c r="B136" s="49">
        <f>IF($N136="","",INDEX(前年度名簿!$B$3:$B$452,$N136))</f>
        <v/>
      </c>
      <c r="C136" s="49">
        <f>IF($N136="","",INDEX(前年度名簿!$C$3:$C$452,$N136))</f>
        <v/>
      </c>
      <c r="D136" s="49" t="n"/>
      <c r="E136" s="49" t="n"/>
      <c r="F136" s="49" t="n"/>
      <c r="G136" s="4">
        <f>IF(A136="","",IFERROR(INDEX(前年度名簿!$D$3:$D$452,MATCH(A136&amp;"-"&amp;B136&amp;"-"&amp;C136,前年度名簿!$F$3:$F$452,0)),""))</f>
        <v/>
      </c>
      <c r="H136" s="50">
        <f>IF(D136="","",IF(ISERROR(VALUE(D136)),D136&amp;"",IF(AND(VALUE(D136)&gt;=1,VALUE(D136)&lt;=20),IF(INDEX(設定!$P$8:$P$27,VALUE(D136))="","？",INDEX(設定!$P$8:$P$27,VALUE(D136))),"？")))</f>
        <v/>
      </c>
      <c r="I136" s="50">
        <f>IF(E136="","",IF(ISERROR(VALUE(E136)),E136&amp;"",IF(AND(VALUE(E136)&gt;=1,VALUE(E136)&lt;=20),IF(INDEX(設定!$P$8:$P$27,VALUE(E136))="","？",INDEX(設定!$P$8:$P$27,VALUE(E136))),"？")))</f>
        <v/>
      </c>
      <c r="J136" s="50">
        <f>IF(F136="","",IF(ISERROR(VALUE(F136)),F136&amp;"",IF(AND(VALUE(F136)&gt;=1,VALUE(F136)&lt;=20),IF(INDEX(設定!$P$8:$P$27,VALUE(F136))="","？",INDEX(設定!$P$8:$P$27,VALUE(F136))),"？")))</f>
        <v/>
      </c>
      <c r="K136" s="51">
        <f>IF(L136="","",IF(G136="","名簿にいない",IF(COUNTIF(L137:L$555,L136)&gt;0,"2回提出（下の行を使います）",IF(H136="転出","転出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OR(AND(H136&lt;&gt;"",H136=I136),AND(H136&lt;&gt;"",H136=J136),AND(I136&lt;&gt;"",I136=J136)),"同じクラブを重複して希望","OK")))))))</f>
        <v/>
      </c>
      <c r="L136" s="11">
        <f>IF(OR(A136="",D136=""),"",A136&amp;"-"&amp;B136&amp;"-"&amp;C136)</f>
        <v/>
      </c>
      <c r="M136" s="11">
        <f>IF(OR(L136="",G136=""),"",IF(COUNTIF(L137:L$555,L136)=0,L136,""))</f>
        <v/>
      </c>
      <c r="N136" s="11">
        <f>IFERROR(MATCH(SMALL(前年度名簿!$G$3:$G$452,132),前年度名簿!$G$3:$G$452,0),"")</f>
        <v/>
      </c>
    </row>
    <row r="137">
      <c r="A137" s="49">
        <f>IF($N137="","",INDEX(前年度名簿!$A$3:$A$452,$N137))</f>
        <v/>
      </c>
      <c r="B137" s="49">
        <f>IF($N137="","",INDEX(前年度名簿!$B$3:$B$452,$N137))</f>
        <v/>
      </c>
      <c r="C137" s="49">
        <f>IF($N137="","",INDEX(前年度名簿!$C$3:$C$452,$N137))</f>
        <v/>
      </c>
      <c r="D137" s="49" t="n"/>
      <c r="E137" s="49" t="n"/>
      <c r="F137" s="49" t="n"/>
      <c r="G137" s="4">
        <f>IF(A137="","",IFERROR(INDEX(前年度名簿!$D$3:$D$452,MATCH(A137&amp;"-"&amp;B137&amp;"-"&amp;C137,前年度名簿!$F$3:$F$452,0)),""))</f>
        <v/>
      </c>
      <c r="H137" s="50">
        <f>IF(D137="","",IF(ISERROR(VALUE(D137)),D137&amp;"",IF(AND(VALUE(D137)&gt;=1,VALUE(D137)&lt;=20),IF(INDEX(設定!$P$8:$P$27,VALUE(D137))="","？",INDEX(設定!$P$8:$P$27,VALUE(D137))),"？")))</f>
        <v/>
      </c>
      <c r="I137" s="50">
        <f>IF(E137="","",IF(ISERROR(VALUE(E137)),E137&amp;"",IF(AND(VALUE(E137)&gt;=1,VALUE(E137)&lt;=20),IF(INDEX(設定!$P$8:$P$27,VALUE(E137))="","？",INDEX(設定!$P$8:$P$27,VALUE(E137))),"？")))</f>
        <v/>
      </c>
      <c r="J137" s="50">
        <f>IF(F137="","",IF(ISERROR(VALUE(F137)),F137&amp;"",IF(AND(VALUE(F137)&gt;=1,VALUE(F137)&lt;=20),IF(INDEX(設定!$P$8:$P$27,VALUE(F137))="","？",INDEX(設定!$P$8:$P$27,VALUE(F137))),"？")))</f>
        <v/>
      </c>
      <c r="K137" s="51">
        <f>IF(L137="","",IF(G137="","名簿にいない",IF(COUNTIF(L138:L$555,L137)&gt;0,"2回提出（下の行を使います）",IF(H137="転出","転出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OR(AND(H137&lt;&gt;"",H137=I137),AND(H137&lt;&gt;"",H137=J137),AND(I137&lt;&gt;"",I137=J137)),"同じクラブを重複して希望","OK")))))))</f>
        <v/>
      </c>
      <c r="L137" s="11">
        <f>IF(OR(A137="",D137=""),"",A137&amp;"-"&amp;B137&amp;"-"&amp;C137)</f>
        <v/>
      </c>
      <c r="M137" s="11">
        <f>IF(OR(L137="",G137=""),"",IF(COUNTIF(L138:L$555,L137)=0,L137,""))</f>
        <v/>
      </c>
      <c r="N137" s="11">
        <f>IFERROR(MATCH(SMALL(前年度名簿!$G$3:$G$452,133),前年度名簿!$G$3:$G$452,0),"")</f>
        <v/>
      </c>
    </row>
    <row r="138">
      <c r="A138" s="49">
        <f>IF($N138="","",INDEX(前年度名簿!$A$3:$A$452,$N138))</f>
        <v/>
      </c>
      <c r="B138" s="49">
        <f>IF($N138="","",INDEX(前年度名簿!$B$3:$B$452,$N138))</f>
        <v/>
      </c>
      <c r="C138" s="49">
        <f>IF($N138="","",INDEX(前年度名簿!$C$3:$C$452,$N138))</f>
        <v/>
      </c>
      <c r="D138" s="49" t="n"/>
      <c r="E138" s="49" t="n"/>
      <c r="F138" s="49" t="n"/>
      <c r="G138" s="4">
        <f>IF(A138="","",IFERROR(INDEX(前年度名簿!$D$3:$D$452,MATCH(A138&amp;"-"&amp;B138&amp;"-"&amp;C138,前年度名簿!$F$3:$F$452,0)),""))</f>
        <v/>
      </c>
      <c r="H138" s="50">
        <f>IF(D138="","",IF(ISERROR(VALUE(D138)),D138&amp;"",IF(AND(VALUE(D138)&gt;=1,VALUE(D138)&lt;=20),IF(INDEX(設定!$P$8:$P$27,VALUE(D138))="","？",INDEX(設定!$P$8:$P$27,VALUE(D138))),"？")))</f>
        <v/>
      </c>
      <c r="I138" s="50">
        <f>IF(E138="","",IF(ISERROR(VALUE(E138)),E138&amp;"",IF(AND(VALUE(E138)&gt;=1,VALUE(E138)&lt;=20),IF(INDEX(設定!$P$8:$P$27,VALUE(E138))="","？",INDEX(設定!$P$8:$P$27,VALUE(E138))),"？")))</f>
        <v/>
      </c>
      <c r="J138" s="50">
        <f>IF(F138="","",IF(ISERROR(VALUE(F138)),F138&amp;"",IF(AND(VALUE(F138)&gt;=1,VALUE(F138)&lt;=20),IF(INDEX(設定!$P$8:$P$27,VALUE(F138))="","？",INDEX(設定!$P$8:$P$27,VALUE(F138))),"？")))</f>
        <v/>
      </c>
      <c r="K138" s="51">
        <f>IF(L138="","",IF(G138="","名簿にいない",IF(COUNTIF(L139:L$555,L138)&gt;0,"2回提出（下の行を使います）",IF(H138="転出","転出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OR(AND(H138&lt;&gt;"",H138=I138),AND(H138&lt;&gt;"",H138=J138),AND(I138&lt;&gt;"",I138=J138)),"同じクラブを重複して希望","OK")))))))</f>
        <v/>
      </c>
      <c r="L138" s="11">
        <f>IF(OR(A138="",D138=""),"",A138&amp;"-"&amp;B138&amp;"-"&amp;C138)</f>
        <v/>
      </c>
      <c r="M138" s="11">
        <f>IF(OR(L138="",G138=""),"",IF(COUNTIF(L139:L$555,L138)=0,L138,""))</f>
        <v/>
      </c>
      <c r="N138" s="11">
        <f>IFERROR(MATCH(SMALL(前年度名簿!$G$3:$G$452,134),前年度名簿!$G$3:$G$452,0),"")</f>
        <v/>
      </c>
    </row>
    <row r="139">
      <c r="A139" s="49">
        <f>IF($N139="","",INDEX(前年度名簿!$A$3:$A$452,$N139))</f>
        <v/>
      </c>
      <c r="B139" s="49">
        <f>IF($N139="","",INDEX(前年度名簿!$B$3:$B$452,$N139))</f>
        <v/>
      </c>
      <c r="C139" s="49">
        <f>IF($N139="","",INDEX(前年度名簿!$C$3:$C$452,$N139))</f>
        <v/>
      </c>
      <c r="D139" s="49" t="n"/>
      <c r="E139" s="49" t="n"/>
      <c r="F139" s="49" t="n"/>
      <c r="G139" s="4">
        <f>IF(A139="","",IFERROR(INDEX(前年度名簿!$D$3:$D$452,MATCH(A139&amp;"-"&amp;B139&amp;"-"&amp;C139,前年度名簿!$F$3:$F$452,0)),""))</f>
        <v/>
      </c>
      <c r="H139" s="50">
        <f>IF(D139="","",IF(ISERROR(VALUE(D139)),D139&amp;"",IF(AND(VALUE(D139)&gt;=1,VALUE(D139)&lt;=20),IF(INDEX(設定!$P$8:$P$27,VALUE(D139))="","？",INDEX(設定!$P$8:$P$27,VALUE(D139))),"？")))</f>
        <v/>
      </c>
      <c r="I139" s="50">
        <f>IF(E139="","",IF(ISERROR(VALUE(E139)),E139&amp;"",IF(AND(VALUE(E139)&gt;=1,VALUE(E139)&lt;=20),IF(INDEX(設定!$P$8:$P$27,VALUE(E139))="","？",INDEX(設定!$P$8:$P$27,VALUE(E139))),"？")))</f>
        <v/>
      </c>
      <c r="J139" s="50">
        <f>IF(F139="","",IF(ISERROR(VALUE(F139)),F139&amp;"",IF(AND(VALUE(F139)&gt;=1,VALUE(F139)&lt;=20),IF(INDEX(設定!$P$8:$P$27,VALUE(F139))="","？",INDEX(設定!$P$8:$P$27,VALUE(F139))),"？")))</f>
        <v/>
      </c>
      <c r="K139" s="51">
        <f>IF(L139="","",IF(G139="","名簿にいない",IF(COUNTIF(L140:L$555,L139)&gt;0,"2回提出（下の行を使います）",IF(H139="転出","転出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OR(AND(H139&lt;&gt;"",H139=I139),AND(H139&lt;&gt;"",H139=J139),AND(I139&lt;&gt;"",I139=J139)),"同じクラブを重複して希望","OK")))))))</f>
        <v/>
      </c>
      <c r="L139" s="11">
        <f>IF(OR(A139="",D139=""),"",A139&amp;"-"&amp;B139&amp;"-"&amp;C139)</f>
        <v/>
      </c>
      <c r="M139" s="11">
        <f>IF(OR(L139="",G139=""),"",IF(COUNTIF(L140:L$555,L139)=0,L139,""))</f>
        <v/>
      </c>
      <c r="N139" s="11">
        <f>IFERROR(MATCH(SMALL(前年度名簿!$G$3:$G$452,135),前年度名簿!$G$3:$G$452,0),"")</f>
        <v/>
      </c>
    </row>
    <row r="140">
      <c r="A140" s="49">
        <f>IF($N140="","",INDEX(前年度名簿!$A$3:$A$452,$N140))</f>
        <v/>
      </c>
      <c r="B140" s="49">
        <f>IF($N140="","",INDEX(前年度名簿!$B$3:$B$452,$N140))</f>
        <v/>
      </c>
      <c r="C140" s="49">
        <f>IF($N140="","",INDEX(前年度名簿!$C$3:$C$452,$N140))</f>
        <v/>
      </c>
      <c r="D140" s="49" t="n"/>
      <c r="E140" s="49" t="n"/>
      <c r="F140" s="49" t="n"/>
      <c r="G140" s="4">
        <f>IF(A140="","",IFERROR(INDEX(前年度名簿!$D$3:$D$452,MATCH(A140&amp;"-"&amp;B140&amp;"-"&amp;C140,前年度名簿!$F$3:$F$452,0)),""))</f>
        <v/>
      </c>
      <c r="H140" s="50">
        <f>IF(D140="","",IF(ISERROR(VALUE(D140)),D140&amp;"",IF(AND(VALUE(D140)&gt;=1,VALUE(D140)&lt;=20),IF(INDEX(設定!$P$8:$P$27,VALUE(D140))="","？",INDEX(設定!$P$8:$P$27,VALUE(D140))),"？")))</f>
        <v/>
      </c>
      <c r="I140" s="50">
        <f>IF(E140="","",IF(ISERROR(VALUE(E140)),E140&amp;"",IF(AND(VALUE(E140)&gt;=1,VALUE(E140)&lt;=20),IF(INDEX(設定!$P$8:$P$27,VALUE(E140))="","？",INDEX(設定!$P$8:$P$27,VALUE(E140))),"？")))</f>
        <v/>
      </c>
      <c r="J140" s="50">
        <f>IF(F140="","",IF(ISERROR(VALUE(F140)),F140&amp;"",IF(AND(VALUE(F140)&gt;=1,VALUE(F140)&lt;=20),IF(INDEX(設定!$P$8:$P$27,VALUE(F140))="","？",INDEX(設定!$P$8:$P$27,VALUE(F140))),"？")))</f>
        <v/>
      </c>
      <c r="K140" s="51">
        <f>IF(L140="","",IF(G140="","名簿にいない",IF(COUNTIF(L141:L$555,L140)&gt;0,"2回提出（下の行を使います）",IF(H140="転出","転出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OR(AND(H140&lt;&gt;"",H140=I140),AND(H140&lt;&gt;"",H140=J140),AND(I140&lt;&gt;"",I140=J140)),"同じクラブを重複して希望","OK")))))))</f>
        <v/>
      </c>
      <c r="L140" s="11">
        <f>IF(OR(A140="",D140=""),"",A140&amp;"-"&amp;B140&amp;"-"&amp;C140)</f>
        <v/>
      </c>
      <c r="M140" s="11">
        <f>IF(OR(L140="",G140=""),"",IF(COUNTIF(L141:L$555,L140)=0,L140,""))</f>
        <v/>
      </c>
      <c r="N140" s="11">
        <f>IFERROR(MATCH(SMALL(前年度名簿!$G$3:$G$452,136),前年度名簿!$G$3:$G$452,0),"")</f>
        <v/>
      </c>
    </row>
    <row r="141">
      <c r="A141" s="49">
        <f>IF($N141="","",INDEX(前年度名簿!$A$3:$A$452,$N141))</f>
        <v/>
      </c>
      <c r="B141" s="49">
        <f>IF($N141="","",INDEX(前年度名簿!$B$3:$B$452,$N141))</f>
        <v/>
      </c>
      <c r="C141" s="49">
        <f>IF($N141="","",INDEX(前年度名簿!$C$3:$C$452,$N141))</f>
        <v/>
      </c>
      <c r="D141" s="49" t="n"/>
      <c r="E141" s="49" t="n"/>
      <c r="F141" s="49" t="n"/>
      <c r="G141" s="4">
        <f>IF(A141="","",IFERROR(INDEX(前年度名簿!$D$3:$D$452,MATCH(A141&amp;"-"&amp;B141&amp;"-"&amp;C141,前年度名簿!$F$3:$F$452,0)),""))</f>
        <v/>
      </c>
      <c r="H141" s="50">
        <f>IF(D141="","",IF(ISERROR(VALUE(D141)),D141&amp;"",IF(AND(VALUE(D141)&gt;=1,VALUE(D141)&lt;=20),IF(INDEX(設定!$P$8:$P$27,VALUE(D141))="","？",INDEX(設定!$P$8:$P$27,VALUE(D141))),"？")))</f>
        <v/>
      </c>
      <c r="I141" s="50">
        <f>IF(E141="","",IF(ISERROR(VALUE(E141)),E141&amp;"",IF(AND(VALUE(E141)&gt;=1,VALUE(E141)&lt;=20),IF(INDEX(設定!$P$8:$P$27,VALUE(E141))="","？",INDEX(設定!$P$8:$P$27,VALUE(E141))),"？")))</f>
        <v/>
      </c>
      <c r="J141" s="50">
        <f>IF(F141="","",IF(ISERROR(VALUE(F141)),F141&amp;"",IF(AND(VALUE(F141)&gt;=1,VALUE(F141)&lt;=20),IF(INDEX(設定!$P$8:$P$27,VALUE(F141))="","？",INDEX(設定!$P$8:$P$27,VALUE(F141))),"？")))</f>
        <v/>
      </c>
      <c r="K141" s="51">
        <f>IF(L141="","",IF(G141="","名簿にいない",IF(COUNTIF(L142:L$555,L141)&gt;0,"2回提出（下の行を使います）",IF(H141="転出","転出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OR(AND(H141&lt;&gt;"",H141=I141),AND(H141&lt;&gt;"",H141=J141),AND(I141&lt;&gt;"",I141=J141)),"同じクラブを重複して希望","OK")))))))</f>
        <v/>
      </c>
      <c r="L141" s="11">
        <f>IF(OR(A141="",D141=""),"",A141&amp;"-"&amp;B141&amp;"-"&amp;C141)</f>
        <v/>
      </c>
      <c r="M141" s="11">
        <f>IF(OR(L141="",G141=""),"",IF(COUNTIF(L142:L$555,L141)=0,L141,""))</f>
        <v/>
      </c>
      <c r="N141" s="11">
        <f>IFERROR(MATCH(SMALL(前年度名簿!$G$3:$G$452,137),前年度名簿!$G$3:$G$452,0),"")</f>
        <v/>
      </c>
    </row>
    <row r="142">
      <c r="A142" s="49">
        <f>IF($N142="","",INDEX(前年度名簿!$A$3:$A$452,$N142))</f>
        <v/>
      </c>
      <c r="B142" s="49">
        <f>IF($N142="","",INDEX(前年度名簿!$B$3:$B$452,$N142))</f>
        <v/>
      </c>
      <c r="C142" s="49">
        <f>IF($N142="","",INDEX(前年度名簿!$C$3:$C$452,$N142))</f>
        <v/>
      </c>
      <c r="D142" s="49" t="n"/>
      <c r="E142" s="49" t="n"/>
      <c r="F142" s="49" t="n"/>
      <c r="G142" s="4">
        <f>IF(A142="","",IFERROR(INDEX(前年度名簿!$D$3:$D$452,MATCH(A142&amp;"-"&amp;B142&amp;"-"&amp;C142,前年度名簿!$F$3:$F$452,0)),""))</f>
        <v/>
      </c>
      <c r="H142" s="50">
        <f>IF(D142="","",IF(ISERROR(VALUE(D142)),D142&amp;"",IF(AND(VALUE(D142)&gt;=1,VALUE(D142)&lt;=20),IF(INDEX(設定!$P$8:$P$27,VALUE(D142))="","？",INDEX(設定!$P$8:$P$27,VALUE(D142))),"？")))</f>
        <v/>
      </c>
      <c r="I142" s="50">
        <f>IF(E142="","",IF(ISERROR(VALUE(E142)),E142&amp;"",IF(AND(VALUE(E142)&gt;=1,VALUE(E142)&lt;=20),IF(INDEX(設定!$P$8:$P$27,VALUE(E142))="","？",INDEX(設定!$P$8:$P$27,VALUE(E142))),"？")))</f>
        <v/>
      </c>
      <c r="J142" s="50">
        <f>IF(F142="","",IF(ISERROR(VALUE(F142)),F142&amp;"",IF(AND(VALUE(F142)&gt;=1,VALUE(F142)&lt;=20),IF(INDEX(設定!$P$8:$P$27,VALUE(F142))="","？",INDEX(設定!$P$8:$P$27,VALUE(F142))),"？")))</f>
        <v/>
      </c>
      <c r="K142" s="51">
        <f>IF(L142="","",IF(G142="","名簿にいない",IF(COUNTIF(L143:L$555,L142)&gt;0,"2回提出（下の行を使います）",IF(H142="転出","転出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OR(AND(H142&lt;&gt;"",H142=I142),AND(H142&lt;&gt;"",H142=J142),AND(I142&lt;&gt;"",I142=J142)),"同じクラブを重複して希望","OK")))))))</f>
        <v/>
      </c>
      <c r="L142" s="11">
        <f>IF(OR(A142="",D142=""),"",A142&amp;"-"&amp;B142&amp;"-"&amp;C142)</f>
        <v/>
      </c>
      <c r="M142" s="11">
        <f>IF(OR(L142="",G142=""),"",IF(COUNTIF(L143:L$555,L142)=0,L142,""))</f>
        <v/>
      </c>
      <c r="N142" s="11">
        <f>IFERROR(MATCH(SMALL(前年度名簿!$G$3:$G$452,138),前年度名簿!$G$3:$G$452,0),"")</f>
        <v/>
      </c>
    </row>
    <row r="143">
      <c r="A143" s="49">
        <f>IF($N143="","",INDEX(前年度名簿!$A$3:$A$452,$N143))</f>
        <v/>
      </c>
      <c r="B143" s="49">
        <f>IF($N143="","",INDEX(前年度名簿!$B$3:$B$452,$N143))</f>
        <v/>
      </c>
      <c r="C143" s="49">
        <f>IF($N143="","",INDEX(前年度名簿!$C$3:$C$452,$N143))</f>
        <v/>
      </c>
      <c r="D143" s="49" t="n"/>
      <c r="E143" s="49" t="n"/>
      <c r="F143" s="49" t="n"/>
      <c r="G143" s="4">
        <f>IF(A143="","",IFERROR(INDEX(前年度名簿!$D$3:$D$452,MATCH(A143&amp;"-"&amp;B143&amp;"-"&amp;C143,前年度名簿!$F$3:$F$452,0)),""))</f>
        <v/>
      </c>
      <c r="H143" s="50">
        <f>IF(D143="","",IF(ISERROR(VALUE(D143)),D143&amp;"",IF(AND(VALUE(D143)&gt;=1,VALUE(D143)&lt;=20),IF(INDEX(設定!$P$8:$P$27,VALUE(D143))="","？",INDEX(設定!$P$8:$P$27,VALUE(D143))),"？")))</f>
        <v/>
      </c>
      <c r="I143" s="50">
        <f>IF(E143="","",IF(ISERROR(VALUE(E143)),E143&amp;"",IF(AND(VALUE(E143)&gt;=1,VALUE(E143)&lt;=20),IF(INDEX(設定!$P$8:$P$27,VALUE(E143))="","？",INDEX(設定!$P$8:$P$27,VALUE(E143))),"？")))</f>
        <v/>
      </c>
      <c r="J143" s="50">
        <f>IF(F143="","",IF(ISERROR(VALUE(F143)),F143&amp;"",IF(AND(VALUE(F143)&gt;=1,VALUE(F143)&lt;=20),IF(INDEX(設定!$P$8:$P$27,VALUE(F143))="","？",INDEX(設定!$P$8:$P$27,VALUE(F143))),"？")))</f>
        <v/>
      </c>
      <c r="K143" s="51">
        <f>IF(L143="","",IF(G143="","名簿にいない",IF(COUNTIF(L144:L$555,L143)&gt;0,"2回提出（下の行を使います）",IF(H143="転出","転出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OR(AND(H143&lt;&gt;"",H143=I143),AND(H143&lt;&gt;"",H143=J143),AND(I143&lt;&gt;"",I143=J143)),"同じクラブを重複して希望","OK")))))))</f>
        <v/>
      </c>
      <c r="L143" s="11">
        <f>IF(OR(A143="",D143=""),"",A143&amp;"-"&amp;B143&amp;"-"&amp;C143)</f>
        <v/>
      </c>
      <c r="M143" s="11">
        <f>IF(OR(L143="",G143=""),"",IF(COUNTIF(L144:L$555,L143)=0,L143,""))</f>
        <v/>
      </c>
      <c r="N143" s="11">
        <f>IFERROR(MATCH(SMALL(前年度名簿!$G$3:$G$452,139),前年度名簿!$G$3:$G$452,0),"")</f>
        <v/>
      </c>
    </row>
    <row r="144">
      <c r="A144" s="49">
        <f>IF($N144="","",INDEX(前年度名簿!$A$3:$A$452,$N144))</f>
        <v/>
      </c>
      <c r="B144" s="49">
        <f>IF($N144="","",INDEX(前年度名簿!$B$3:$B$452,$N144))</f>
        <v/>
      </c>
      <c r="C144" s="49">
        <f>IF($N144="","",INDEX(前年度名簿!$C$3:$C$452,$N144))</f>
        <v/>
      </c>
      <c r="D144" s="49" t="n"/>
      <c r="E144" s="49" t="n"/>
      <c r="F144" s="49" t="n"/>
      <c r="G144" s="4">
        <f>IF(A144="","",IFERROR(INDEX(前年度名簿!$D$3:$D$452,MATCH(A144&amp;"-"&amp;B144&amp;"-"&amp;C144,前年度名簿!$F$3:$F$452,0)),""))</f>
        <v/>
      </c>
      <c r="H144" s="50">
        <f>IF(D144="","",IF(ISERROR(VALUE(D144)),D144&amp;"",IF(AND(VALUE(D144)&gt;=1,VALUE(D144)&lt;=20),IF(INDEX(設定!$P$8:$P$27,VALUE(D144))="","？",INDEX(設定!$P$8:$P$27,VALUE(D144))),"？")))</f>
        <v/>
      </c>
      <c r="I144" s="50">
        <f>IF(E144="","",IF(ISERROR(VALUE(E144)),E144&amp;"",IF(AND(VALUE(E144)&gt;=1,VALUE(E144)&lt;=20),IF(INDEX(設定!$P$8:$P$27,VALUE(E144))="","？",INDEX(設定!$P$8:$P$27,VALUE(E144))),"？")))</f>
        <v/>
      </c>
      <c r="J144" s="50">
        <f>IF(F144="","",IF(ISERROR(VALUE(F144)),F144&amp;"",IF(AND(VALUE(F144)&gt;=1,VALUE(F144)&lt;=20),IF(INDEX(設定!$P$8:$P$27,VALUE(F144))="","？",INDEX(設定!$P$8:$P$27,VALUE(F144))),"？")))</f>
        <v/>
      </c>
      <c r="K144" s="51">
        <f>IF(L144="","",IF(G144="","名簿にいない",IF(COUNTIF(L145:L$555,L144)&gt;0,"2回提出（下の行を使います）",IF(H144="転出","転出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OR(AND(H144&lt;&gt;"",H144=I144),AND(H144&lt;&gt;"",H144=J144),AND(I144&lt;&gt;"",I144=J144)),"同じクラブを重複して希望","OK")))))))</f>
        <v/>
      </c>
      <c r="L144" s="11">
        <f>IF(OR(A144="",D144=""),"",A144&amp;"-"&amp;B144&amp;"-"&amp;C144)</f>
        <v/>
      </c>
      <c r="M144" s="11">
        <f>IF(OR(L144="",G144=""),"",IF(COUNTIF(L145:L$555,L144)=0,L144,""))</f>
        <v/>
      </c>
      <c r="N144" s="11">
        <f>IFERROR(MATCH(SMALL(前年度名簿!$G$3:$G$452,140),前年度名簿!$G$3:$G$452,0),"")</f>
        <v/>
      </c>
    </row>
    <row r="145">
      <c r="A145" s="49">
        <f>IF($N145="","",INDEX(前年度名簿!$A$3:$A$452,$N145))</f>
        <v/>
      </c>
      <c r="B145" s="49">
        <f>IF($N145="","",INDEX(前年度名簿!$B$3:$B$452,$N145))</f>
        <v/>
      </c>
      <c r="C145" s="49">
        <f>IF($N145="","",INDEX(前年度名簿!$C$3:$C$452,$N145))</f>
        <v/>
      </c>
      <c r="D145" s="49" t="n"/>
      <c r="E145" s="49" t="n"/>
      <c r="F145" s="49" t="n"/>
      <c r="G145" s="4">
        <f>IF(A145="","",IFERROR(INDEX(前年度名簿!$D$3:$D$452,MATCH(A145&amp;"-"&amp;B145&amp;"-"&amp;C145,前年度名簿!$F$3:$F$452,0)),""))</f>
        <v/>
      </c>
      <c r="H145" s="50">
        <f>IF(D145="","",IF(ISERROR(VALUE(D145)),D145&amp;"",IF(AND(VALUE(D145)&gt;=1,VALUE(D145)&lt;=20),IF(INDEX(設定!$P$8:$P$27,VALUE(D145))="","？",INDEX(設定!$P$8:$P$27,VALUE(D145))),"？")))</f>
        <v/>
      </c>
      <c r="I145" s="50">
        <f>IF(E145="","",IF(ISERROR(VALUE(E145)),E145&amp;"",IF(AND(VALUE(E145)&gt;=1,VALUE(E145)&lt;=20),IF(INDEX(設定!$P$8:$P$27,VALUE(E145))="","？",INDEX(設定!$P$8:$P$27,VALUE(E145))),"？")))</f>
        <v/>
      </c>
      <c r="J145" s="50">
        <f>IF(F145="","",IF(ISERROR(VALUE(F145)),F145&amp;"",IF(AND(VALUE(F145)&gt;=1,VALUE(F145)&lt;=20),IF(INDEX(設定!$P$8:$P$27,VALUE(F145))="","？",INDEX(設定!$P$8:$P$27,VALUE(F145))),"？")))</f>
        <v/>
      </c>
      <c r="K145" s="51">
        <f>IF(L145="","",IF(G145="","名簿にいない",IF(COUNTIF(L146:L$555,L145)&gt;0,"2回提出（下の行を使います）",IF(H145="転出","転出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OR(AND(H145&lt;&gt;"",H145=I145),AND(H145&lt;&gt;"",H145=J145),AND(I145&lt;&gt;"",I145=J145)),"同じクラブを重複して希望","OK")))))))</f>
        <v/>
      </c>
      <c r="L145" s="11">
        <f>IF(OR(A145="",D145=""),"",A145&amp;"-"&amp;B145&amp;"-"&amp;C145)</f>
        <v/>
      </c>
      <c r="M145" s="11">
        <f>IF(OR(L145="",G145=""),"",IF(COUNTIF(L146:L$555,L145)=0,L145,""))</f>
        <v/>
      </c>
      <c r="N145" s="11">
        <f>IFERROR(MATCH(SMALL(前年度名簿!$G$3:$G$452,141),前年度名簿!$G$3:$G$452,0),"")</f>
        <v/>
      </c>
    </row>
    <row r="146">
      <c r="A146" s="49">
        <f>IF($N146="","",INDEX(前年度名簿!$A$3:$A$452,$N146))</f>
        <v/>
      </c>
      <c r="B146" s="49">
        <f>IF($N146="","",INDEX(前年度名簿!$B$3:$B$452,$N146))</f>
        <v/>
      </c>
      <c r="C146" s="49">
        <f>IF($N146="","",INDEX(前年度名簿!$C$3:$C$452,$N146))</f>
        <v/>
      </c>
      <c r="D146" s="49" t="n"/>
      <c r="E146" s="49" t="n"/>
      <c r="F146" s="49" t="n"/>
      <c r="G146" s="4">
        <f>IF(A146="","",IFERROR(INDEX(前年度名簿!$D$3:$D$452,MATCH(A146&amp;"-"&amp;B146&amp;"-"&amp;C146,前年度名簿!$F$3:$F$452,0)),""))</f>
        <v/>
      </c>
      <c r="H146" s="50">
        <f>IF(D146="","",IF(ISERROR(VALUE(D146)),D146&amp;"",IF(AND(VALUE(D146)&gt;=1,VALUE(D146)&lt;=20),IF(INDEX(設定!$P$8:$P$27,VALUE(D146))="","？",INDEX(設定!$P$8:$P$27,VALUE(D146))),"？")))</f>
        <v/>
      </c>
      <c r="I146" s="50">
        <f>IF(E146="","",IF(ISERROR(VALUE(E146)),E146&amp;"",IF(AND(VALUE(E146)&gt;=1,VALUE(E146)&lt;=20),IF(INDEX(設定!$P$8:$P$27,VALUE(E146))="","？",INDEX(設定!$P$8:$P$27,VALUE(E146))),"？")))</f>
        <v/>
      </c>
      <c r="J146" s="50">
        <f>IF(F146="","",IF(ISERROR(VALUE(F146)),F146&amp;"",IF(AND(VALUE(F146)&gt;=1,VALUE(F146)&lt;=20),IF(INDEX(設定!$P$8:$P$27,VALUE(F146))="","？",INDEX(設定!$P$8:$P$27,VALUE(F146))),"？")))</f>
        <v/>
      </c>
      <c r="K146" s="51">
        <f>IF(L146="","",IF(G146="","名簿にいない",IF(COUNTIF(L147:L$555,L146)&gt;0,"2回提出（下の行を使います）",IF(H146="転出","転出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OR(AND(H146&lt;&gt;"",H146=I146),AND(H146&lt;&gt;"",H146=J146),AND(I146&lt;&gt;"",I146=J146)),"同じクラブを重複して希望","OK")))))))</f>
        <v/>
      </c>
      <c r="L146" s="11">
        <f>IF(OR(A146="",D146=""),"",A146&amp;"-"&amp;B146&amp;"-"&amp;C146)</f>
        <v/>
      </c>
      <c r="M146" s="11">
        <f>IF(OR(L146="",G146=""),"",IF(COUNTIF(L147:L$555,L146)=0,L146,""))</f>
        <v/>
      </c>
      <c r="N146" s="11">
        <f>IFERROR(MATCH(SMALL(前年度名簿!$G$3:$G$452,142),前年度名簿!$G$3:$G$452,0),"")</f>
        <v/>
      </c>
    </row>
    <row r="147">
      <c r="A147" s="49">
        <f>IF($N147="","",INDEX(前年度名簿!$A$3:$A$452,$N147))</f>
        <v/>
      </c>
      <c r="B147" s="49">
        <f>IF($N147="","",INDEX(前年度名簿!$B$3:$B$452,$N147))</f>
        <v/>
      </c>
      <c r="C147" s="49">
        <f>IF($N147="","",INDEX(前年度名簿!$C$3:$C$452,$N147))</f>
        <v/>
      </c>
      <c r="D147" s="49" t="n"/>
      <c r="E147" s="49" t="n"/>
      <c r="F147" s="49" t="n"/>
      <c r="G147" s="4">
        <f>IF(A147="","",IFERROR(INDEX(前年度名簿!$D$3:$D$452,MATCH(A147&amp;"-"&amp;B147&amp;"-"&amp;C147,前年度名簿!$F$3:$F$452,0)),""))</f>
        <v/>
      </c>
      <c r="H147" s="50">
        <f>IF(D147="","",IF(ISERROR(VALUE(D147)),D147&amp;"",IF(AND(VALUE(D147)&gt;=1,VALUE(D147)&lt;=20),IF(INDEX(設定!$P$8:$P$27,VALUE(D147))="","？",INDEX(設定!$P$8:$P$27,VALUE(D147))),"？")))</f>
        <v/>
      </c>
      <c r="I147" s="50">
        <f>IF(E147="","",IF(ISERROR(VALUE(E147)),E147&amp;"",IF(AND(VALUE(E147)&gt;=1,VALUE(E147)&lt;=20),IF(INDEX(設定!$P$8:$P$27,VALUE(E147))="","？",INDEX(設定!$P$8:$P$27,VALUE(E147))),"？")))</f>
        <v/>
      </c>
      <c r="J147" s="50">
        <f>IF(F147="","",IF(ISERROR(VALUE(F147)),F147&amp;"",IF(AND(VALUE(F147)&gt;=1,VALUE(F147)&lt;=20),IF(INDEX(設定!$P$8:$P$27,VALUE(F147))="","？",INDEX(設定!$P$8:$P$27,VALUE(F147))),"？")))</f>
        <v/>
      </c>
      <c r="K147" s="51">
        <f>IF(L147="","",IF(G147="","名簿にいない",IF(COUNTIF(L148:L$555,L147)&gt;0,"2回提出（下の行を使います）",IF(H147="転出","転出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OR(AND(H147&lt;&gt;"",H147=I147),AND(H147&lt;&gt;"",H147=J147),AND(I147&lt;&gt;"",I147=J147)),"同じクラブを重複して希望","OK")))))))</f>
        <v/>
      </c>
      <c r="L147" s="11">
        <f>IF(OR(A147="",D147=""),"",A147&amp;"-"&amp;B147&amp;"-"&amp;C147)</f>
        <v/>
      </c>
      <c r="M147" s="11">
        <f>IF(OR(L147="",G147=""),"",IF(COUNTIF(L148:L$555,L147)=0,L147,""))</f>
        <v/>
      </c>
      <c r="N147" s="11">
        <f>IFERROR(MATCH(SMALL(前年度名簿!$G$3:$G$452,143),前年度名簿!$G$3:$G$452,0),"")</f>
        <v/>
      </c>
    </row>
    <row r="148">
      <c r="A148" s="49">
        <f>IF($N148="","",INDEX(前年度名簿!$A$3:$A$452,$N148))</f>
        <v/>
      </c>
      <c r="B148" s="49">
        <f>IF($N148="","",INDEX(前年度名簿!$B$3:$B$452,$N148))</f>
        <v/>
      </c>
      <c r="C148" s="49">
        <f>IF($N148="","",INDEX(前年度名簿!$C$3:$C$452,$N148))</f>
        <v/>
      </c>
      <c r="D148" s="49" t="n"/>
      <c r="E148" s="49" t="n"/>
      <c r="F148" s="49" t="n"/>
      <c r="G148" s="4">
        <f>IF(A148="","",IFERROR(INDEX(前年度名簿!$D$3:$D$452,MATCH(A148&amp;"-"&amp;B148&amp;"-"&amp;C148,前年度名簿!$F$3:$F$452,0)),""))</f>
        <v/>
      </c>
      <c r="H148" s="50">
        <f>IF(D148="","",IF(ISERROR(VALUE(D148)),D148&amp;"",IF(AND(VALUE(D148)&gt;=1,VALUE(D148)&lt;=20),IF(INDEX(設定!$P$8:$P$27,VALUE(D148))="","？",INDEX(設定!$P$8:$P$27,VALUE(D148))),"？")))</f>
        <v/>
      </c>
      <c r="I148" s="50">
        <f>IF(E148="","",IF(ISERROR(VALUE(E148)),E148&amp;"",IF(AND(VALUE(E148)&gt;=1,VALUE(E148)&lt;=20),IF(INDEX(設定!$P$8:$P$27,VALUE(E148))="","？",INDEX(設定!$P$8:$P$27,VALUE(E148))),"？")))</f>
        <v/>
      </c>
      <c r="J148" s="50">
        <f>IF(F148="","",IF(ISERROR(VALUE(F148)),F148&amp;"",IF(AND(VALUE(F148)&gt;=1,VALUE(F148)&lt;=20),IF(INDEX(設定!$P$8:$P$27,VALUE(F148))="","？",INDEX(設定!$P$8:$P$27,VALUE(F148))),"？")))</f>
        <v/>
      </c>
      <c r="K148" s="51">
        <f>IF(L148="","",IF(G148="","名簿にいない",IF(COUNTIF(L149:L$555,L148)&gt;0,"2回提出（下の行を使います）",IF(H148="転出","転出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OR(AND(H148&lt;&gt;"",H148=I148),AND(H148&lt;&gt;"",H148=J148),AND(I148&lt;&gt;"",I148=J148)),"同じクラブを重複して希望","OK")))))))</f>
        <v/>
      </c>
      <c r="L148" s="11">
        <f>IF(OR(A148="",D148=""),"",A148&amp;"-"&amp;B148&amp;"-"&amp;C148)</f>
        <v/>
      </c>
      <c r="M148" s="11">
        <f>IF(OR(L148="",G148=""),"",IF(COUNTIF(L149:L$555,L148)=0,L148,""))</f>
        <v/>
      </c>
      <c r="N148" s="11">
        <f>IFERROR(MATCH(SMALL(前年度名簿!$G$3:$G$452,144),前年度名簿!$G$3:$G$452,0),"")</f>
        <v/>
      </c>
    </row>
    <row r="149">
      <c r="A149" s="49">
        <f>IF($N149="","",INDEX(前年度名簿!$A$3:$A$452,$N149))</f>
        <v/>
      </c>
      <c r="B149" s="49">
        <f>IF($N149="","",INDEX(前年度名簿!$B$3:$B$452,$N149))</f>
        <v/>
      </c>
      <c r="C149" s="49">
        <f>IF($N149="","",INDEX(前年度名簿!$C$3:$C$452,$N149))</f>
        <v/>
      </c>
      <c r="D149" s="49" t="n"/>
      <c r="E149" s="49" t="n"/>
      <c r="F149" s="49" t="n"/>
      <c r="G149" s="4">
        <f>IF(A149="","",IFERROR(INDEX(前年度名簿!$D$3:$D$452,MATCH(A149&amp;"-"&amp;B149&amp;"-"&amp;C149,前年度名簿!$F$3:$F$452,0)),""))</f>
        <v/>
      </c>
      <c r="H149" s="50">
        <f>IF(D149="","",IF(ISERROR(VALUE(D149)),D149&amp;"",IF(AND(VALUE(D149)&gt;=1,VALUE(D149)&lt;=20),IF(INDEX(設定!$P$8:$P$27,VALUE(D149))="","？",INDEX(設定!$P$8:$P$27,VALUE(D149))),"？")))</f>
        <v/>
      </c>
      <c r="I149" s="50">
        <f>IF(E149="","",IF(ISERROR(VALUE(E149)),E149&amp;"",IF(AND(VALUE(E149)&gt;=1,VALUE(E149)&lt;=20),IF(INDEX(設定!$P$8:$P$27,VALUE(E149))="","？",INDEX(設定!$P$8:$P$27,VALUE(E149))),"？")))</f>
        <v/>
      </c>
      <c r="J149" s="50">
        <f>IF(F149="","",IF(ISERROR(VALUE(F149)),F149&amp;"",IF(AND(VALUE(F149)&gt;=1,VALUE(F149)&lt;=20),IF(INDEX(設定!$P$8:$P$27,VALUE(F149))="","？",INDEX(設定!$P$8:$P$27,VALUE(F149))),"？")))</f>
        <v/>
      </c>
      <c r="K149" s="51">
        <f>IF(L149="","",IF(G149="","名簿にいない",IF(COUNTIF(L150:L$555,L149)&gt;0,"2回提出（下の行を使います）",IF(H149="転出","転出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OR(AND(H149&lt;&gt;"",H149=I149),AND(H149&lt;&gt;"",H149=J149),AND(I149&lt;&gt;"",I149=J149)),"同じクラブを重複して希望","OK")))))))</f>
        <v/>
      </c>
      <c r="L149" s="11">
        <f>IF(OR(A149="",D149=""),"",A149&amp;"-"&amp;B149&amp;"-"&amp;C149)</f>
        <v/>
      </c>
      <c r="M149" s="11">
        <f>IF(OR(L149="",G149=""),"",IF(COUNTIF(L150:L$555,L149)=0,L149,""))</f>
        <v/>
      </c>
      <c r="N149" s="11">
        <f>IFERROR(MATCH(SMALL(前年度名簿!$G$3:$G$452,145),前年度名簿!$G$3:$G$452,0),"")</f>
        <v/>
      </c>
    </row>
    <row r="150">
      <c r="A150" s="49">
        <f>IF($N150="","",INDEX(前年度名簿!$A$3:$A$452,$N150))</f>
        <v/>
      </c>
      <c r="B150" s="49">
        <f>IF($N150="","",INDEX(前年度名簿!$B$3:$B$452,$N150))</f>
        <v/>
      </c>
      <c r="C150" s="49">
        <f>IF($N150="","",INDEX(前年度名簿!$C$3:$C$452,$N150))</f>
        <v/>
      </c>
      <c r="D150" s="49" t="n"/>
      <c r="E150" s="49" t="n"/>
      <c r="F150" s="49" t="n"/>
      <c r="G150" s="4">
        <f>IF(A150="","",IFERROR(INDEX(前年度名簿!$D$3:$D$452,MATCH(A150&amp;"-"&amp;B150&amp;"-"&amp;C150,前年度名簿!$F$3:$F$452,0)),""))</f>
        <v/>
      </c>
      <c r="H150" s="50">
        <f>IF(D150="","",IF(ISERROR(VALUE(D150)),D150&amp;"",IF(AND(VALUE(D150)&gt;=1,VALUE(D150)&lt;=20),IF(INDEX(設定!$P$8:$P$27,VALUE(D150))="","？",INDEX(設定!$P$8:$P$27,VALUE(D150))),"？")))</f>
        <v/>
      </c>
      <c r="I150" s="50">
        <f>IF(E150="","",IF(ISERROR(VALUE(E150)),E150&amp;"",IF(AND(VALUE(E150)&gt;=1,VALUE(E150)&lt;=20),IF(INDEX(設定!$P$8:$P$27,VALUE(E150))="","？",INDEX(設定!$P$8:$P$27,VALUE(E150))),"？")))</f>
        <v/>
      </c>
      <c r="J150" s="50">
        <f>IF(F150="","",IF(ISERROR(VALUE(F150)),F150&amp;"",IF(AND(VALUE(F150)&gt;=1,VALUE(F150)&lt;=20),IF(INDEX(設定!$P$8:$P$27,VALUE(F150))="","？",INDEX(設定!$P$8:$P$27,VALUE(F150))),"？")))</f>
        <v/>
      </c>
      <c r="K150" s="51">
        <f>IF(L150="","",IF(G150="","名簿にいない",IF(COUNTIF(L151:L$555,L150)&gt;0,"2回提出（下の行を使います）",IF(H150="転出","転出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OR(AND(H150&lt;&gt;"",H150=I150),AND(H150&lt;&gt;"",H150=J150),AND(I150&lt;&gt;"",I150=J150)),"同じクラブを重複して希望","OK")))))))</f>
        <v/>
      </c>
      <c r="L150" s="11">
        <f>IF(OR(A150="",D150=""),"",A150&amp;"-"&amp;B150&amp;"-"&amp;C150)</f>
        <v/>
      </c>
      <c r="M150" s="11">
        <f>IF(OR(L150="",G150=""),"",IF(COUNTIF(L151:L$555,L150)=0,L150,""))</f>
        <v/>
      </c>
      <c r="N150" s="11">
        <f>IFERROR(MATCH(SMALL(前年度名簿!$G$3:$G$452,146),前年度名簿!$G$3:$G$452,0),"")</f>
        <v/>
      </c>
    </row>
    <row r="151">
      <c r="A151" s="49">
        <f>IF($N151="","",INDEX(前年度名簿!$A$3:$A$452,$N151))</f>
        <v/>
      </c>
      <c r="B151" s="49">
        <f>IF($N151="","",INDEX(前年度名簿!$B$3:$B$452,$N151))</f>
        <v/>
      </c>
      <c r="C151" s="49">
        <f>IF($N151="","",INDEX(前年度名簿!$C$3:$C$452,$N151))</f>
        <v/>
      </c>
      <c r="D151" s="49" t="n"/>
      <c r="E151" s="49" t="n"/>
      <c r="F151" s="49" t="n"/>
      <c r="G151" s="4">
        <f>IF(A151="","",IFERROR(INDEX(前年度名簿!$D$3:$D$452,MATCH(A151&amp;"-"&amp;B151&amp;"-"&amp;C151,前年度名簿!$F$3:$F$452,0)),""))</f>
        <v/>
      </c>
      <c r="H151" s="50">
        <f>IF(D151="","",IF(ISERROR(VALUE(D151)),D151&amp;"",IF(AND(VALUE(D151)&gt;=1,VALUE(D151)&lt;=20),IF(INDEX(設定!$P$8:$P$27,VALUE(D151))="","？",INDEX(設定!$P$8:$P$27,VALUE(D151))),"？")))</f>
        <v/>
      </c>
      <c r="I151" s="50">
        <f>IF(E151="","",IF(ISERROR(VALUE(E151)),E151&amp;"",IF(AND(VALUE(E151)&gt;=1,VALUE(E151)&lt;=20),IF(INDEX(設定!$P$8:$P$27,VALUE(E151))="","？",INDEX(設定!$P$8:$P$27,VALUE(E151))),"？")))</f>
        <v/>
      </c>
      <c r="J151" s="50">
        <f>IF(F151="","",IF(ISERROR(VALUE(F151)),F151&amp;"",IF(AND(VALUE(F151)&gt;=1,VALUE(F151)&lt;=20),IF(INDEX(設定!$P$8:$P$27,VALUE(F151))="","？",INDEX(設定!$P$8:$P$27,VALUE(F151))),"？")))</f>
        <v/>
      </c>
      <c r="K151" s="51">
        <f>IF(L151="","",IF(G151="","名簿にいない",IF(COUNTIF(L152:L$555,L151)&gt;0,"2回提出（下の行を使います）",IF(H151="転出","転出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OR(AND(H151&lt;&gt;"",H151=I151),AND(H151&lt;&gt;"",H151=J151),AND(I151&lt;&gt;"",I151=J151)),"同じクラブを重複して希望","OK")))))))</f>
        <v/>
      </c>
      <c r="L151" s="11">
        <f>IF(OR(A151="",D151=""),"",A151&amp;"-"&amp;B151&amp;"-"&amp;C151)</f>
        <v/>
      </c>
      <c r="M151" s="11">
        <f>IF(OR(L151="",G151=""),"",IF(COUNTIF(L152:L$555,L151)=0,L151,""))</f>
        <v/>
      </c>
      <c r="N151" s="11">
        <f>IFERROR(MATCH(SMALL(前年度名簿!$G$3:$G$452,147),前年度名簿!$G$3:$G$452,0),"")</f>
        <v/>
      </c>
    </row>
    <row r="152">
      <c r="A152" s="49">
        <f>IF($N152="","",INDEX(前年度名簿!$A$3:$A$452,$N152))</f>
        <v/>
      </c>
      <c r="B152" s="49">
        <f>IF($N152="","",INDEX(前年度名簿!$B$3:$B$452,$N152))</f>
        <v/>
      </c>
      <c r="C152" s="49">
        <f>IF($N152="","",INDEX(前年度名簿!$C$3:$C$452,$N152))</f>
        <v/>
      </c>
      <c r="D152" s="49" t="n"/>
      <c r="E152" s="49" t="n"/>
      <c r="F152" s="49" t="n"/>
      <c r="G152" s="4">
        <f>IF(A152="","",IFERROR(INDEX(前年度名簿!$D$3:$D$452,MATCH(A152&amp;"-"&amp;B152&amp;"-"&amp;C152,前年度名簿!$F$3:$F$452,0)),""))</f>
        <v/>
      </c>
      <c r="H152" s="50">
        <f>IF(D152="","",IF(ISERROR(VALUE(D152)),D152&amp;"",IF(AND(VALUE(D152)&gt;=1,VALUE(D152)&lt;=20),IF(INDEX(設定!$P$8:$P$27,VALUE(D152))="","？",INDEX(設定!$P$8:$P$27,VALUE(D152))),"？")))</f>
        <v/>
      </c>
      <c r="I152" s="50">
        <f>IF(E152="","",IF(ISERROR(VALUE(E152)),E152&amp;"",IF(AND(VALUE(E152)&gt;=1,VALUE(E152)&lt;=20),IF(INDEX(設定!$P$8:$P$27,VALUE(E152))="","？",INDEX(設定!$P$8:$P$27,VALUE(E152))),"？")))</f>
        <v/>
      </c>
      <c r="J152" s="50">
        <f>IF(F152="","",IF(ISERROR(VALUE(F152)),F152&amp;"",IF(AND(VALUE(F152)&gt;=1,VALUE(F152)&lt;=20),IF(INDEX(設定!$P$8:$P$27,VALUE(F152))="","？",INDEX(設定!$P$8:$P$27,VALUE(F152))),"？")))</f>
        <v/>
      </c>
      <c r="K152" s="51">
        <f>IF(L152="","",IF(G152="","名簿にいない",IF(COUNTIF(L153:L$555,L152)&gt;0,"2回提出（下の行を使います）",IF(H152="転出","転出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OR(AND(H152&lt;&gt;"",H152=I152),AND(H152&lt;&gt;"",H152=J152),AND(I152&lt;&gt;"",I152=J152)),"同じクラブを重複して希望","OK")))))))</f>
        <v/>
      </c>
      <c r="L152" s="11">
        <f>IF(OR(A152="",D152=""),"",A152&amp;"-"&amp;B152&amp;"-"&amp;C152)</f>
        <v/>
      </c>
      <c r="M152" s="11">
        <f>IF(OR(L152="",G152=""),"",IF(COUNTIF(L153:L$555,L152)=0,L152,""))</f>
        <v/>
      </c>
      <c r="N152" s="11">
        <f>IFERROR(MATCH(SMALL(前年度名簿!$G$3:$G$452,148),前年度名簿!$G$3:$G$452,0),"")</f>
        <v/>
      </c>
    </row>
    <row r="153">
      <c r="A153" s="49">
        <f>IF($N153="","",INDEX(前年度名簿!$A$3:$A$452,$N153))</f>
        <v/>
      </c>
      <c r="B153" s="49">
        <f>IF($N153="","",INDEX(前年度名簿!$B$3:$B$452,$N153))</f>
        <v/>
      </c>
      <c r="C153" s="49">
        <f>IF($N153="","",INDEX(前年度名簿!$C$3:$C$452,$N153))</f>
        <v/>
      </c>
      <c r="D153" s="49" t="n"/>
      <c r="E153" s="49" t="n"/>
      <c r="F153" s="49" t="n"/>
      <c r="G153" s="4">
        <f>IF(A153="","",IFERROR(INDEX(前年度名簿!$D$3:$D$452,MATCH(A153&amp;"-"&amp;B153&amp;"-"&amp;C153,前年度名簿!$F$3:$F$452,0)),""))</f>
        <v/>
      </c>
      <c r="H153" s="50">
        <f>IF(D153="","",IF(ISERROR(VALUE(D153)),D153&amp;"",IF(AND(VALUE(D153)&gt;=1,VALUE(D153)&lt;=20),IF(INDEX(設定!$P$8:$P$27,VALUE(D153))="","？",INDEX(設定!$P$8:$P$27,VALUE(D153))),"？")))</f>
        <v/>
      </c>
      <c r="I153" s="50">
        <f>IF(E153="","",IF(ISERROR(VALUE(E153)),E153&amp;"",IF(AND(VALUE(E153)&gt;=1,VALUE(E153)&lt;=20),IF(INDEX(設定!$P$8:$P$27,VALUE(E153))="","？",INDEX(設定!$P$8:$P$27,VALUE(E153))),"？")))</f>
        <v/>
      </c>
      <c r="J153" s="50">
        <f>IF(F153="","",IF(ISERROR(VALUE(F153)),F153&amp;"",IF(AND(VALUE(F153)&gt;=1,VALUE(F153)&lt;=20),IF(INDEX(設定!$P$8:$P$27,VALUE(F153))="","？",INDEX(設定!$P$8:$P$27,VALUE(F153))),"？")))</f>
        <v/>
      </c>
      <c r="K153" s="51">
        <f>IF(L153="","",IF(G153="","名簿にいない",IF(COUNTIF(L154:L$555,L153)&gt;0,"2回提出（下の行を使います）",IF(H153="転出","転出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OR(AND(H153&lt;&gt;"",H153=I153),AND(H153&lt;&gt;"",H153=J153),AND(I153&lt;&gt;"",I153=J153)),"同じクラブを重複して希望","OK")))))))</f>
        <v/>
      </c>
      <c r="L153" s="11">
        <f>IF(OR(A153="",D153=""),"",A153&amp;"-"&amp;B153&amp;"-"&amp;C153)</f>
        <v/>
      </c>
      <c r="M153" s="11">
        <f>IF(OR(L153="",G153=""),"",IF(COUNTIF(L154:L$555,L153)=0,L153,""))</f>
        <v/>
      </c>
      <c r="N153" s="11">
        <f>IFERROR(MATCH(SMALL(前年度名簿!$G$3:$G$452,149),前年度名簿!$G$3:$G$452,0),"")</f>
        <v/>
      </c>
    </row>
    <row r="154">
      <c r="A154" s="49">
        <f>IF($N154="","",INDEX(前年度名簿!$A$3:$A$452,$N154))</f>
        <v/>
      </c>
      <c r="B154" s="49">
        <f>IF($N154="","",INDEX(前年度名簿!$B$3:$B$452,$N154))</f>
        <v/>
      </c>
      <c r="C154" s="49">
        <f>IF($N154="","",INDEX(前年度名簿!$C$3:$C$452,$N154))</f>
        <v/>
      </c>
      <c r="D154" s="49" t="n"/>
      <c r="E154" s="49" t="n"/>
      <c r="F154" s="49" t="n"/>
      <c r="G154" s="4">
        <f>IF(A154="","",IFERROR(INDEX(前年度名簿!$D$3:$D$452,MATCH(A154&amp;"-"&amp;B154&amp;"-"&amp;C154,前年度名簿!$F$3:$F$452,0)),""))</f>
        <v/>
      </c>
      <c r="H154" s="50">
        <f>IF(D154="","",IF(ISERROR(VALUE(D154)),D154&amp;"",IF(AND(VALUE(D154)&gt;=1,VALUE(D154)&lt;=20),IF(INDEX(設定!$P$8:$P$27,VALUE(D154))="","？",INDEX(設定!$P$8:$P$27,VALUE(D154))),"？")))</f>
        <v/>
      </c>
      <c r="I154" s="50">
        <f>IF(E154="","",IF(ISERROR(VALUE(E154)),E154&amp;"",IF(AND(VALUE(E154)&gt;=1,VALUE(E154)&lt;=20),IF(INDEX(設定!$P$8:$P$27,VALUE(E154))="","？",INDEX(設定!$P$8:$P$27,VALUE(E154))),"？")))</f>
        <v/>
      </c>
      <c r="J154" s="50">
        <f>IF(F154="","",IF(ISERROR(VALUE(F154)),F154&amp;"",IF(AND(VALUE(F154)&gt;=1,VALUE(F154)&lt;=20),IF(INDEX(設定!$P$8:$P$27,VALUE(F154))="","？",INDEX(設定!$P$8:$P$27,VALUE(F154))),"？")))</f>
        <v/>
      </c>
      <c r="K154" s="51">
        <f>IF(L154="","",IF(G154="","名簿にいない",IF(COUNTIF(L155:L$555,L154)&gt;0,"2回提出（下の行を使います）",IF(H154="転出","転出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OR(AND(H154&lt;&gt;"",H154=I154),AND(H154&lt;&gt;"",H154=J154),AND(I154&lt;&gt;"",I154=J154)),"同じクラブを重複して希望","OK")))))))</f>
        <v/>
      </c>
      <c r="L154" s="11">
        <f>IF(OR(A154="",D154=""),"",A154&amp;"-"&amp;B154&amp;"-"&amp;C154)</f>
        <v/>
      </c>
      <c r="M154" s="11">
        <f>IF(OR(L154="",G154=""),"",IF(COUNTIF(L155:L$555,L154)=0,L154,""))</f>
        <v/>
      </c>
      <c r="N154" s="11">
        <f>IFERROR(MATCH(SMALL(前年度名簿!$G$3:$G$452,150),前年度名簿!$G$3:$G$452,0),"")</f>
        <v/>
      </c>
    </row>
    <row r="155">
      <c r="A155" s="49">
        <f>IF($N155="","",INDEX(前年度名簿!$A$3:$A$452,$N155))</f>
        <v/>
      </c>
      <c r="B155" s="49">
        <f>IF($N155="","",INDEX(前年度名簿!$B$3:$B$452,$N155))</f>
        <v/>
      </c>
      <c r="C155" s="49">
        <f>IF($N155="","",INDEX(前年度名簿!$C$3:$C$452,$N155))</f>
        <v/>
      </c>
      <c r="D155" s="49" t="n"/>
      <c r="E155" s="49" t="n"/>
      <c r="F155" s="49" t="n"/>
      <c r="G155" s="4">
        <f>IF(A155="","",IFERROR(INDEX(前年度名簿!$D$3:$D$452,MATCH(A155&amp;"-"&amp;B155&amp;"-"&amp;C155,前年度名簿!$F$3:$F$452,0)),""))</f>
        <v/>
      </c>
      <c r="H155" s="50">
        <f>IF(D155="","",IF(ISERROR(VALUE(D155)),D155&amp;"",IF(AND(VALUE(D155)&gt;=1,VALUE(D155)&lt;=20),IF(INDEX(設定!$P$8:$P$27,VALUE(D155))="","？",INDEX(設定!$P$8:$P$27,VALUE(D155))),"？")))</f>
        <v/>
      </c>
      <c r="I155" s="50">
        <f>IF(E155="","",IF(ISERROR(VALUE(E155)),E155&amp;"",IF(AND(VALUE(E155)&gt;=1,VALUE(E155)&lt;=20),IF(INDEX(設定!$P$8:$P$27,VALUE(E155))="","？",INDEX(設定!$P$8:$P$27,VALUE(E155))),"？")))</f>
        <v/>
      </c>
      <c r="J155" s="50">
        <f>IF(F155="","",IF(ISERROR(VALUE(F155)),F155&amp;"",IF(AND(VALUE(F155)&gt;=1,VALUE(F155)&lt;=20),IF(INDEX(設定!$P$8:$P$27,VALUE(F155))="","？",INDEX(設定!$P$8:$P$27,VALUE(F155))),"？")))</f>
        <v/>
      </c>
      <c r="K155" s="51">
        <f>IF(L155="","",IF(G155="","名簿にいない",IF(COUNTIF(L156:L$555,L155)&gt;0,"2回提出（下の行を使います）",IF(H155="転出","転出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OR(AND(H155&lt;&gt;"",H155=I155),AND(H155&lt;&gt;"",H155=J155),AND(I155&lt;&gt;"",I155=J155)),"同じクラブを重複して希望","OK")))))))</f>
        <v/>
      </c>
      <c r="L155" s="11">
        <f>IF(OR(A155="",D155=""),"",A155&amp;"-"&amp;B155&amp;"-"&amp;C155)</f>
        <v/>
      </c>
      <c r="M155" s="11">
        <f>IF(OR(L155="",G155=""),"",IF(COUNTIF(L156:L$555,L155)=0,L155,""))</f>
        <v/>
      </c>
      <c r="N155" s="11">
        <f>IFERROR(MATCH(SMALL(前年度名簿!$G$3:$G$452,151),前年度名簿!$G$3:$G$452,0),"")</f>
        <v/>
      </c>
    </row>
    <row r="156">
      <c r="A156" s="49">
        <f>IF($N156="","",INDEX(前年度名簿!$A$3:$A$452,$N156))</f>
        <v/>
      </c>
      <c r="B156" s="49">
        <f>IF($N156="","",INDEX(前年度名簿!$B$3:$B$452,$N156))</f>
        <v/>
      </c>
      <c r="C156" s="49">
        <f>IF($N156="","",INDEX(前年度名簿!$C$3:$C$452,$N156))</f>
        <v/>
      </c>
      <c r="D156" s="49" t="n"/>
      <c r="E156" s="49" t="n"/>
      <c r="F156" s="49" t="n"/>
      <c r="G156" s="4">
        <f>IF(A156="","",IFERROR(INDEX(前年度名簿!$D$3:$D$452,MATCH(A156&amp;"-"&amp;B156&amp;"-"&amp;C156,前年度名簿!$F$3:$F$452,0)),""))</f>
        <v/>
      </c>
      <c r="H156" s="50">
        <f>IF(D156="","",IF(ISERROR(VALUE(D156)),D156&amp;"",IF(AND(VALUE(D156)&gt;=1,VALUE(D156)&lt;=20),IF(INDEX(設定!$P$8:$P$27,VALUE(D156))="","？",INDEX(設定!$P$8:$P$27,VALUE(D156))),"？")))</f>
        <v/>
      </c>
      <c r="I156" s="50">
        <f>IF(E156="","",IF(ISERROR(VALUE(E156)),E156&amp;"",IF(AND(VALUE(E156)&gt;=1,VALUE(E156)&lt;=20),IF(INDEX(設定!$P$8:$P$27,VALUE(E156))="","？",INDEX(設定!$P$8:$P$27,VALUE(E156))),"？")))</f>
        <v/>
      </c>
      <c r="J156" s="50">
        <f>IF(F156="","",IF(ISERROR(VALUE(F156)),F156&amp;"",IF(AND(VALUE(F156)&gt;=1,VALUE(F156)&lt;=20),IF(INDEX(設定!$P$8:$P$27,VALUE(F156))="","？",INDEX(設定!$P$8:$P$27,VALUE(F156))),"？")))</f>
        <v/>
      </c>
      <c r="K156" s="51">
        <f>IF(L156="","",IF(G156="","名簿にいない",IF(COUNTIF(L157:L$555,L156)&gt;0,"2回提出（下の行を使います）",IF(H156="転出","転出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OR(AND(H156&lt;&gt;"",H156=I156),AND(H156&lt;&gt;"",H156=J156),AND(I156&lt;&gt;"",I156=J156)),"同じクラブを重複して希望","OK")))))))</f>
        <v/>
      </c>
      <c r="L156" s="11">
        <f>IF(OR(A156="",D156=""),"",A156&amp;"-"&amp;B156&amp;"-"&amp;C156)</f>
        <v/>
      </c>
      <c r="M156" s="11">
        <f>IF(OR(L156="",G156=""),"",IF(COUNTIF(L157:L$555,L156)=0,L156,""))</f>
        <v/>
      </c>
      <c r="N156" s="11">
        <f>IFERROR(MATCH(SMALL(前年度名簿!$G$3:$G$452,152),前年度名簿!$G$3:$G$452,0),"")</f>
        <v/>
      </c>
    </row>
    <row r="157">
      <c r="A157" s="49">
        <f>IF($N157="","",INDEX(前年度名簿!$A$3:$A$452,$N157))</f>
        <v/>
      </c>
      <c r="B157" s="49">
        <f>IF($N157="","",INDEX(前年度名簿!$B$3:$B$452,$N157))</f>
        <v/>
      </c>
      <c r="C157" s="49">
        <f>IF($N157="","",INDEX(前年度名簿!$C$3:$C$452,$N157))</f>
        <v/>
      </c>
      <c r="D157" s="49" t="n"/>
      <c r="E157" s="49" t="n"/>
      <c r="F157" s="49" t="n"/>
      <c r="G157" s="4">
        <f>IF(A157="","",IFERROR(INDEX(前年度名簿!$D$3:$D$452,MATCH(A157&amp;"-"&amp;B157&amp;"-"&amp;C157,前年度名簿!$F$3:$F$452,0)),""))</f>
        <v/>
      </c>
      <c r="H157" s="50">
        <f>IF(D157="","",IF(ISERROR(VALUE(D157)),D157&amp;"",IF(AND(VALUE(D157)&gt;=1,VALUE(D157)&lt;=20),IF(INDEX(設定!$P$8:$P$27,VALUE(D157))="","？",INDEX(設定!$P$8:$P$27,VALUE(D157))),"？")))</f>
        <v/>
      </c>
      <c r="I157" s="50">
        <f>IF(E157="","",IF(ISERROR(VALUE(E157)),E157&amp;"",IF(AND(VALUE(E157)&gt;=1,VALUE(E157)&lt;=20),IF(INDEX(設定!$P$8:$P$27,VALUE(E157))="","？",INDEX(設定!$P$8:$P$27,VALUE(E157))),"？")))</f>
        <v/>
      </c>
      <c r="J157" s="50">
        <f>IF(F157="","",IF(ISERROR(VALUE(F157)),F157&amp;"",IF(AND(VALUE(F157)&gt;=1,VALUE(F157)&lt;=20),IF(INDEX(設定!$P$8:$P$27,VALUE(F157))="","？",INDEX(設定!$P$8:$P$27,VALUE(F157))),"？")))</f>
        <v/>
      </c>
      <c r="K157" s="51">
        <f>IF(L157="","",IF(G157="","名簿にいない",IF(COUNTIF(L158:L$555,L157)&gt;0,"2回提出（下の行を使います）",IF(H157="転出","転出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OR(AND(H157&lt;&gt;"",H157=I157),AND(H157&lt;&gt;"",H157=J157),AND(I157&lt;&gt;"",I157=J157)),"同じクラブを重複して希望","OK")))))))</f>
        <v/>
      </c>
      <c r="L157" s="11">
        <f>IF(OR(A157="",D157=""),"",A157&amp;"-"&amp;B157&amp;"-"&amp;C157)</f>
        <v/>
      </c>
      <c r="M157" s="11">
        <f>IF(OR(L157="",G157=""),"",IF(COUNTIF(L158:L$555,L157)=0,L157,""))</f>
        <v/>
      </c>
      <c r="N157" s="11">
        <f>IFERROR(MATCH(SMALL(前年度名簿!$G$3:$G$452,153),前年度名簿!$G$3:$G$452,0),"")</f>
        <v/>
      </c>
    </row>
    <row r="158">
      <c r="A158" s="49">
        <f>IF($N158="","",INDEX(前年度名簿!$A$3:$A$452,$N158))</f>
        <v/>
      </c>
      <c r="B158" s="49">
        <f>IF($N158="","",INDEX(前年度名簿!$B$3:$B$452,$N158))</f>
        <v/>
      </c>
      <c r="C158" s="49">
        <f>IF($N158="","",INDEX(前年度名簿!$C$3:$C$452,$N158))</f>
        <v/>
      </c>
      <c r="D158" s="49" t="n"/>
      <c r="E158" s="49" t="n"/>
      <c r="F158" s="49" t="n"/>
      <c r="G158" s="4">
        <f>IF(A158="","",IFERROR(INDEX(前年度名簿!$D$3:$D$452,MATCH(A158&amp;"-"&amp;B158&amp;"-"&amp;C158,前年度名簿!$F$3:$F$452,0)),""))</f>
        <v/>
      </c>
      <c r="H158" s="50">
        <f>IF(D158="","",IF(ISERROR(VALUE(D158)),D158&amp;"",IF(AND(VALUE(D158)&gt;=1,VALUE(D158)&lt;=20),IF(INDEX(設定!$P$8:$P$27,VALUE(D158))="","？",INDEX(設定!$P$8:$P$27,VALUE(D158))),"？")))</f>
        <v/>
      </c>
      <c r="I158" s="50">
        <f>IF(E158="","",IF(ISERROR(VALUE(E158)),E158&amp;"",IF(AND(VALUE(E158)&gt;=1,VALUE(E158)&lt;=20),IF(INDEX(設定!$P$8:$P$27,VALUE(E158))="","？",INDEX(設定!$P$8:$P$27,VALUE(E158))),"？")))</f>
        <v/>
      </c>
      <c r="J158" s="50">
        <f>IF(F158="","",IF(ISERROR(VALUE(F158)),F158&amp;"",IF(AND(VALUE(F158)&gt;=1,VALUE(F158)&lt;=20),IF(INDEX(設定!$P$8:$P$27,VALUE(F158))="","？",INDEX(設定!$P$8:$P$27,VALUE(F158))),"？")))</f>
        <v/>
      </c>
      <c r="K158" s="51">
        <f>IF(L158="","",IF(G158="","名簿にいない",IF(COUNTIF(L159:L$555,L158)&gt;0,"2回提出（下の行を使います）",IF(H158="転出","転出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OR(AND(H158&lt;&gt;"",H158=I158),AND(H158&lt;&gt;"",H158=J158),AND(I158&lt;&gt;"",I158=J158)),"同じクラブを重複して希望","OK")))))))</f>
        <v/>
      </c>
      <c r="L158" s="11">
        <f>IF(OR(A158="",D158=""),"",A158&amp;"-"&amp;B158&amp;"-"&amp;C158)</f>
        <v/>
      </c>
      <c r="M158" s="11">
        <f>IF(OR(L158="",G158=""),"",IF(COUNTIF(L159:L$555,L158)=0,L158,""))</f>
        <v/>
      </c>
      <c r="N158" s="11">
        <f>IFERROR(MATCH(SMALL(前年度名簿!$G$3:$G$452,154),前年度名簿!$G$3:$G$452,0),"")</f>
        <v/>
      </c>
    </row>
    <row r="159">
      <c r="A159" s="49">
        <f>IF($N159="","",INDEX(前年度名簿!$A$3:$A$452,$N159))</f>
        <v/>
      </c>
      <c r="B159" s="49">
        <f>IF($N159="","",INDEX(前年度名簿!$B$3:$B$452,$N159))</f>
        <v/>
      </c>
      <c r="C159" s="49">
        <f>IF($N159="","",INDEX(前年度名簿!$C$3:$C$452,$N159))</f>
        <v/>
      </c>
      <c r="D159" s="49" t="n"/>
      <c r="E159" s="49" t="n"/>
      <c r="F159" s="49" t="n"/>
      <c r="G159" s="4">
        <f>IF(A159="","",IFERROR(INDEX(前年度名簿!$D$3:$D$452,MATCH(A159&amp;"-"&amp;B159&amp;"-"&amp;C159,前年度名簿!$F$3:$F$452,0)),""))</f>
        <v/>
      </c>
      <c r="H159" s="50">
        <f>IF(D159="","",IF(ISERROR(VALUE(D159)),D159&amp;"",IF(AND(VALUE(D159)&gt;=1,VALUE(D159)&lt;=20),IF(INDEX(設定!$P$8:$P$27,VALUE(D159))="","？",INDEX(設定!$P$8:$P$27,VALUE(D159))),"？")))</f>
        <v/>
      </c>
      <c r="I159" s="50">
        <f>IF(E159="","",IF(ISERROR(VALUE(E159)),E159&amp;"",IF(AND(VALUE(E159)&gt;=1,VALUE(E159)&lt;=20),IF(INDEX(設定!$P$8:$P$27,VALUE(E159))="","？",INDEX(設定!$P$8:$P$27,VALUE(E159))),"？")))</f>
        <v/>
      </c>
      <c r="J159" s="50">
        <f>IF(F159="","",IF(ISERROR(VALUE(F159)),F159&amp;"",IF(AND(VALUE(F159)&gt;=1,VALUE(F159)&lt;=20),IF(INDEX(設定!$P$8:$P$27,VALUE(F159))="","？",INDEX(設定!$P$8:$P$27,VALUE(F159))),"？")))</f>
        <v/>
      </c>
      <c r="K159" s="51">
        <f>IF(L159="","",IF(G159="","名簿にいない",IF(COUNTIF(L160:L$555,L159)&gt;0,"2回提出（下の行を使います）",IF(H159="転出","転出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OR(AND(H159&lt;&gt;"",H159=I159),AND(H159&lt;&gt;"",H159=J159),AND(I159&lt;&gt;"",I159=J159)),"同じクラブを重複して希望","OK")))))))</f>
        <v/>
      </c>
      <c r="L159" s="11">
        <f>IF(OR(A159="",D159=""),"",A159&amp;"-"&amp;B159&amp;"-"&amp;C159)</f>
        <v/>
      </c>
      <c r="M159" s="11">
        <f>IF(OR(L159="",G159=""),"",IF(COUNTIF(L160:L$555,L159)=0,L159,""))</f>
        <v/>
      </c>
      <c r="N159" s="11">
        <f>IFERROR(MATCH(SMALL(前年度名簿!$G$3:$G$452,155),前年度名簿!$G$3:$G$452,0),"")</f>
        <v/>
      </c>
    </row>
    <row r="160">
      <c r="A160" s="49">
        <f>IF($N160="","",INDEX(前年度名簿!$A$3:$A$452,$N160))</f>
        <v/>
      </c>
      <c r="B160" s="49">
        <f>IF($N160="","",INDEX(前年度名簿!$B$3:$B$452,$N160))</f>
        <v/>
      </c>
      <c r="C160" s="49">
        <f>IF($N160="","",INDEX(前年度名簿!$C$3:$C$452,$N160))</f>
        <v/>
      </c>
      <c r="D160" s="49" t="n"/>
      <c r="E160" s="49" t="n"/>
      <c r="F160" s="49" t="n"/>
      <c r="G160" s="4">
        <f>IF(A160="","",IFERROR(INDEX(前年度名簿!$D$3:$D$452,MATCH(A160&amp;"-"&amp;B160&amp;"-"&amp;C160,前年度名簿!$F$3:$F$452,0)),""))</f>
        <v/>
      </c>
      <c r="H160" s="50">
        <f>IF(D160="","",IF(ISERROR(VALUE(D160)),D160&amp;"",IF(AND(VALUE(D160)&gt;=1,VALUE(D160)&lt;=20),IF(INDEX(設定!$P$8:$P$27,VALUE(D160))="","？",INDEX(設定!$P$8:$P$27,VALUE(D160))),"？")))</f>
        <v/>
      </c>
      <c r="I160" s="50">
        <f>IF(E160="","",IF(ISERROR(VALUE(E160)),E160&amp;"",IF(AND(VALUE(E160)&gt;=1,VALUE(E160)&lt;=20),IF(INDEX(設定!$P$8:$P$27,VALUE(E160))="","？",INDEX(設定!$P$8:$P$27,VALUE(E160))),"？")))</f>
        <v/>
      </c>
      <c r="J160" s="50">
        <f>IF(F160="","",IF(ISERROR(VALUE(F160)),F160&amp;"",IF(AND(VALUE(F160)&gt;=1,VALUE(F160)&lt;=20),IF(INDEX(設定!$P$8:$P$27,VALUE(F160))="","？",INDEX(設定!$P$8:$P$27,VALUE(F160))),"？")))</f>
        <v/>
      </c>
      <c r="K160" s="51">
        <f>IF(L160="","",IF(G160="","名簿にいない",IF(COUNTIF(L161:L$555,L160)&gt;0,"2回提出（下の行を使います）",IF(H160="転出","転出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OR(AND(H160&lt;&gt;"",H160=I160),AND(H160&lt;&gt;"",H160=J160),AND(I160&lt;&gt;"",I160=J160)),"同じクラブを重複して希望","OK")))))))</f>
        <v/>
      </c>
      <c r="L160" s="11">
        <f>IF(OR(A160="",D160=""),"",A160&amp;"-"&amp;B160&amp;"-"&amp;C160)</f>
        <v/>
      </c>
      <c r="M160" s="11">
        <f>IF(OR(L160="",G160=""),"",IF(COUNTIF(L161:L$555,L160)=0,L160,""))</f>
        <v/>
      </c>
      <c r="N160" s="11">
        <f>IFERROR(MATCH(SMALL(前年度名簿!$G$3:$G$452,156),前年度名簿!$G$3:$G$452,0),"")</f>
        <v/>
      </c>
    </row>
    <row r="161">
      <c r="A161" s="49">
        <f>IF($N161="","",INDEX(前年度名簿!$A$3:$A$452,$N161))</f>
        <v/>
      </c>
      <c r="B161" s="49">
        <f>IF($N161="","",INDEX(前年度名簿!$B$3:$B$452,$N161))</f>
        <v/>
      </c>
      <c r="C161" s="49">
        <f>IF($N161="","",INDEX(前年度名簿!$C$3:$C$452,$N161))</f>
        <v/>
      </c>
      <c r="D161" s="49" t="n"/>
      <c r="E161" s="49" t="n"/>
      <c r="F161" s="49" t="n"/>
      <c r="G161" s="4">
        <f>IF(A161="","",IFERROR(INDEX(前年度名簿!$D$3:$D$452,MATCH(A161&amp;"-"&amp;B161&amp;"-"&amp;C161,前年度名簿!$F$3:$F$452,0)),""))</f>
        <v/>
      </c>
      <c r="H161" s="50">
        <f>IF(D161="","",IF(ISERROR(VALUE(D161)),D161&amp;"",IF(AND(VALUE(D161)&gt;=1,VALUE(D161)&lt;=20),IF(INDEX(設定!$P$8:$P$27,VALUE(D161))="","？",INDEX(設定!$P$8:$P$27,VALUE(D161))),"？")))</f>
        <v/>
      </c>
      <c r="I161" s="50">
        <f>IF(E161="","",IF(ISERROR(VALUE(E161)),E161&amp;"",IF(AND(VALUE(E161)&gt;=1,VALUE(E161)&lt;=20),IF(INDEX(設定!$P$8:$P$27,VALUE(E161))="","？",INDEX(設定!$P$8:$P$27,VALUE(E161))),"？")))</f>
        <v/>
      </c>
      <c r="J161" s="50">
        <f>IF(F161="","",IF(ISERROR(VALUE(F161)),F161&amp;"",IF(AND(VALUE(F161)&gt;=1,VALUE(F161)&lt;=20),IF(INDEX(設定!$P$8:$P$27,VALUE(F161))="","？",INDEX(設定!$P$8:$P$27,VALUE(F161))),"？")))</f>
        <v/>
      </c>
      <c r="K161" s="51">
        <f>IF(L161="","",IF(G161="","名簿にいない",IF(COUNTIF(L162:L$555,L161)&gt;0,"2回提出（下の行を使います）",IF(H161="転出","転出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OR(AND(H161&lt;&gt;"",H161=I161),AND(H161&lt;&gt;"",H161=J161),AND(I161&lt;&gt;"",I161=J161)),"同じクラブを重複して希望","OK")))))))</f>
        <v/>
      </c>
      <c r="L161" s="11">
        <f>IF(OR(A161="",D161=""),"",A161&amp;"-"&amp;B161&amp;"-"&amp;C161)</f>
        <v/>
      </c>
      <c r="M161" s="11">
        <f>IF(OR(L161="",G161=""),"",IF(COUNTIF(L162:L$555,L161)=0,L161,""))</f>
        <v/>
      </c>
      <c r="N161" s="11">
        <f>IFERROR(MATCH(SMALL(前年度名簿!$G$3:$G$452,157),前年度名簿!$G$3:$G$452,0),"")</f>
        <v/>
      </c>
    </row>
    <row r="162">
      <c r="A162" s="49">
        <f>IF($N162="","",INDEX(前年度名簿!$A$3:$A$452,$N162))</f>
        <v/>
      </c>
      <c r="B162" s="49">
        <f>IF($N162="","",INDEX(前年度名簿!$B$3:$B$452,$N162))</f>
        <v/>
      </c>
      <c r="C162" s="49">
        <f>IF($N162="","",INDEX(前年度名簿!$C$3:$C$452,$N162))</f>
        <v/>
      </c>
      <c r="D162" s="49" t="n"/>
      <c r="E162" s="49" t="n"/>
      <c r="F162" s="49" t="n"/>
      <c r="G162" s="4">
        <f>IF(A162="","",IFERROR(INDEX(前年度名簿!$D$3:$D$452,MATCH(A162&amp;"-"&amp;B162&amp;"-"&amp;C162,前年度名簿!$F$3:$F$452,0)),""))</f>
        <v/>
      </c>
      <c r="H162" s="50">
        <f>IF(D162="","",IF(ISERROR(VALUE(D162)),D162&amp;"",IF(AND(VALUE(D162)&gt;=1,VALUE(D162)&lt;=20),IF(INDEX(設定!$P$8:$P$27,VALUE(D162))="","？",INDEX(設定!$P$8:$P$27,VALUE(D162))),"？")))</f>
        <v/>
      </c>
      <c r="I162" s="50">
        <f>IF(E162="","",IF(ISERROR(VALUE(E162)),E162&amp;"",IF(AND(VALUE(E162)&gt;=1,VALUE(E162)&lt;=20),IF(INDEX(設定!$P$8:$P$27,VALUE(E162))="","？",INDEX(設定!$P$8:$P$27,VALUE(E162))),"？")))</f>
        <v/>
      </c>
      <c r="J162" s="50">
        <f>IF(F162="","",IF(ISERROR(VALUE(F162)),F162&amp;"",IF(AND(VALUE(F162)&gt;=1,VALUE(F162)&lt;=20),IF(INDEX(設定!$P$8:$P$27,VALUE(F162))="","？",INDEX(設定!$P$8:$P$27,VALUE(F162))),"？")))</f>
        <v/>
      </c>
      <c r="K162" s="51">
        <f>IF(L162="","",IF(G162="","名簿にいない",IF(COUNTIF(L163:L$555,L162)&gt;0,"2回提出（下の行を使います）",IF(H162="転出","転出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OR(AND(H162&lt;&gt;"",H162=I162),AND(H162&lt;&gt;"",H162=J162),AND(I162&lt;&gt;"",I162=J162)),"同じクラブを重複して希望","OK")))))))</f>
        <v/>
      </c>
      <c r="L162" s="11">
        <f>IF(OR(A162="",D162=""),"",A162&amp;"-"&amp;B162&amp;"-"&amp;C162)</f>
        <v/>
      </c>
      <c r="M162" s="11">
        <f>IF(OR(L162="",G162=""),"",IF(COUNTIF(L163:L$555,L162)=0,L162,""))</f>
        <v/>
      </c>
      <c r="N162" s="11">
        <f>IFERROR(MATCH(SMALL(前年度名簿!$G$3:$G$452,158),前年度名簿!$G$3:$G$452,0),"")</f>
        <v/>
      </c>
    </row>
    <row r="163">
      <c r="A163" s="49">
        <f>IF($N163="","",INDEX(前年度名簿!$A$3:$A$452,$N163))</f>
        <v/>
      </c>
      <c r="B163" s="49">
        <f>IF($N163="","",INDEX(前年度名簿!$B$3:$B$452,$N163))</f>
        <v/>
      </c>
      <c r="C163" s="49">
        <f>IF($N163="","",INDEX(前年度名簿!$C$3:$C$452,$N163))</f>
        <v/>
      </c>
      <c r="D163" s="49" t="n"/>
      <c r="E163" s="49" t="n"/>
      <c r="F163" s="49" t="n"/>
      <c r="G163" s="4">
        <f>IF(A163="","",IFERROR(INDEX(前年度名簿!$D$3:$D$452,MATCH(A163&amp;"-"&amp;B163&amp;"-"&amp;C163,前年度名簿!$F$3:$F$452,0)),""))</f>
        <v/>
      </c>
      <c r="H163" s="50">
        <f>IF(D163="","",IF(ISERROR(VALUE(D163)),D163&amp;"",IF(AND(VALUE(D163)&gt;=1,VALUE(D163)&lt;=20),IF(INDEX(設定!$P$8:$P$27,VALUE(D163))="","？",INDEX(設定!$P$8:$P$27,VALUE(D163))),"？")))</f>
        <v/>
      </c>
      <c r="I163" s="50">
        <f>IF(E163="","",IF(ISERROR(VALUE(E163)),E163&amp;"",IF(AND(VALUE(E163)&gt;=1,VALUE(E163)&lt;=20),IF(INDEX(設定!$P$8:$P$27,VALUE(E163))="","？",INDEX(設定!$P$8:$P$27,VALUE(E163))),"？")))</f>
        <v/>
      </c>
      <c r="J163" s="50">
        <f>IF(F163="","",IF(ISERROR(VALUE(F163)),F163&amp;"",IF(AND(VALUE(F163)&gt;=1,VALUE(F163)&lt;=20),IF(INDEX(設定!$P$8:$P$27,VALUE(F163))="","？",INDEX(設定!$P$8:$P$27,VALUE(F163))),"？")))</f>
        <v/>
      </c>
      <c r="K163" s="51">
        <f>IF(L163="","",IF(G163="","名簿にいない",IF(COUNTIF(L164:L$555,L163)&gt;0,"2回提出（下の行を使います）",IF(H163="転出","転出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OR(AND(H163&lt;&gt;"",H163=I163),AND(H163&lt;&gt;"",H163=J163),AND(I163&lt;&gt;"",I163=J163)),"同じクラブを重複して希望","OK")))))))</f>
        <v/>
      </c>
      <c r="L163" s="11">
        <f>IF(OR(A163="",D163=""),"",A163&amp;"-"&amp;B163&amp;"-"&amp;C163)</f>
        <v/>
      </c>
      <c r="M163" s="11">
        <f>IF(OR(L163="",G163=""),"",IF(COUNTIF(L164:L$555,L163)=0,L163,""))</f>
        <v/>
      </c>
      <c r="N163" s="11">
        <f>IFERROR(MATCH(SMALL(前年度名簿!$G$3:$G$452,159),前年度名簿!$G$3:$G$452,0),"")</f>
        <v/>
      </c>
    </row>
    <row r="164">
      <c r="A164" s="49">
        <f>IF($N164="","",INDEX(前年度名簿!$A$3:$A$452,$N164))</f>
        <v/>
      </c>
      <c r="B164" s="49">
        <f>IF($N164="","",INDEX(前年度名簿!$B$3:$B$452,$N164))</f>
        <v/>
      </c>
      <c r="C164" s="49">
        <f>IF($N164="","",INDEX(前年度名簿!$C$3:$C$452,$N164))</f>
        <v/>
      </c>
      <c r="D164" s="49" t="n"/>
      <c r="E164" s="49" t="n"/>
      <c r="F164" s="49" t="n"/>
      <c r="G164" s="4">
        <f>IF(A164="","",IFERROR(INDEX(前年度名簿!$D$3:$D$452,MATCH(A164&amp;"-"&amp;B164&amp;"-"&amp;C164,前年度名簿!$F$3:$F$452,0)),""))</f>
        <v/>
      </c>
      <c r="H164" s="50">
        <f>IF(D164="","",IF(ISERROR(VALUE(D164)),D164&amp;"",IF(AND(VALUE(D164)&gt;=1,VALUE(D164)&lt;=20),IF(INDEX(設定!$P$8:$P$27,VALUE(D164))="","？",INDEX(設定!$P$8:$P$27,VALUE(D164))),"？")))</f>
        <v/>
      </c>
      <c r="I164" s="50">
        <f>IF(E164="","",IF(ISERROR(VALUE(E164)),E164&amp;"",IF(AND(VALUE(E164)&gt;=1,VALUE(E164)&lt;=20),IF(INDEX(設定!$P$8:$P$27,VALUE(E164))="","？",INDEX(設定!$P$8:$P$27,VALUE(E164))),"？")))</f>
        <v/>
      </c>
      <c r="J164" s="50">
        <f>IF(F164="","",IF(ISERROR(VALUE(F164)),F164&amp;"",IF(AND(VALUE(F164)&gt;=1,VALUE(F164)&lt;=20),IF(INDEX(設定!$P$8:$P$27,VALUE(F164))="","？",INDEX(設定!$P$8:$P$27,VALUE(F164))),"？")))</f>
        <v/>
      </c>
      <c r="K164" s="51">
        <f>IF(L164="","",IF(G164="","名簿にいない",IF(COUNTIF(L165:L$555,L164)&gt;0,"2回提出（下の行を使います）",IF(H164="転出","転出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OR(AND(H164&lt;&gt;"",H164=I164),AND(H164&lt;&gt;"",H164=J164),AND(I164&lt;&gt;"",I164=J164)),"同じクラブを重複して希望","OK")))))))</f>
        <v/>
      </c>
      <c r="L164" s="11">
        <f>IF(OR(A164="",D164=""),"",A164&amp;"-"&amp;B164&amp;"-"&amp;C164)</f>
        <v/>
      </c>
      <c r="M164" s="11">
        <f>IF(OR(L164="",G164=""),"",IF(COUNTIF(L165:L$555,L164)=0,L164,""))</f>
        <v/>
      </c>
      <c r="N164" s="11">
        <f>IFERROR(MATCH(SMALL(前年度名簿!$G$3:$G$452,160),前年度名簿!$G$3:$G$452,0),"")</f>
        <v/>
      </c>
    </row>
    <row r="165">
      <c r="A165" s="49">
        <f>IF($N165="","",INDEX(前年度名簿!$A$3:$A$452,$N165))</f>
        <v/>
      </c>
      <c r="B165" s="49">
        <f>IF($N165="","",INDEX(前年度名簿!$B$3:$B$452,$N165))</f>
        <v/>
      </c>
      <c r="C165" s="49">
        <f>IF($N165="","",INDEX(前年度名簿!$C$3:$C$452,$N165))</f>
        <v/>
      </c>
      <c r="D165" s="49" t="n"/>
      <c r="E165" s="49" t="n"/>
      <c r="F165" s="49" t="n"/>
      <c r="G165" s="4">
        <f>IF(A165="","",IFERROR(INDEX(前年度名簿!$D$3:$D$452,MATCH(A165&amp;"-"&amp;B165&amp;"-"&amp;C165,前年度名簿!$F$3:$F$452,0)),""))</f>
        <v/>
      </c>
      <c r="H165" s="50">
        <f>IF(D165="","",IF(ISERROR(VALUE(D165)),D165&amp;"",IF(AND(VALUE(D165)&gt;=1,VALUE(D165)&lt;=20),IF(INDEX(設定!$P$8:$P$27,VALUE(D165))="","？",INDEX(設定!$P$8:$P$27,VALUE(D165))),"？")))</f>
        <v/>
      </c>
      <c r="I165" s="50">
        <f>IF(E165="","",IF(ISERROR(VALUE(E165)),E165&amp;"",IF(AND(VALUE(E165)&gt;=1,VALUE(E165)&lt;=20),IF(INDEX(設定!$P$8:$P$27,VALUE(E165))="","？",INDEX(設定!$P$8:$P$27,VALUE(E165))),"？")))</f>
        <v/>
      </c>
      <c r="J165" s="50">
        <f>IF(F165="","",IF(ISERROR(VALUE(F165)),F165&amp;"",IF(AND(VALUE(F165)&gt;=1,VALUE(F165)&lt;=20),IF(INDEX(設定!$P$8:$P$27,VALUE(F165))="","？",INDEX(設定!$P$8:$P$27,VALUE(F165))),"？")))</f>
        <v/>
      </c>
      <c r="K165" s="51">
        <f>IF(L165="","",IF(G165="","名簿にいない",IF(COUNTIF(L166:L$555,L165)&gt;0,"2回提出（下の行を使います）",IF(H165="転出","転出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OR(AND(H165&lt;&gt;"",H165=I165),AND(H165&lt;&gt;"",H165=J165),AND(I165&lt;&gt;"",I165=J165)),"同じクラブを重複して希望","OK")))))))</f>
        <v/>
      </c>
      <c r="L165" s="11">
        <f>IF(OR(A165="",D165=""),"",A165&amp;"-"&amp;B165&amp;"-"&amp;C165)</f>
        <v/>
      </c>
      <c r="M165" s="11">
        <f>IF(OR(L165="",G165=""),"",IF(COUNTIF(L166:L$555,L165)=0,L165,""))</f>
        <v/>
      </c>
      <c r="N165" s="11">
        <f>IFERROR(MATCH(SMALL(前年度名簿!$G$3:$G$452,161),前年度名簿!$G$3:$G$452,0),"")</f>
        <v/>
      </c>
    </row>
    <row r="166">
      <c r="A166" s="49">
        <f>IF($N166="","",INDEX(前年度名簿!$A$3:$A$452,$N166))</f>
        <v/>
      </c>
      <c r="B166" s="49">
        <f>IF($N166="","",INDEX(前年度名簿!$B$3:$B$452,$N166))</f>
        <v/>
      </c>
      <c r="C166" s="49">
        <f>IF($N166="","",INDEX(前年度名簿!$C$3:$C$452,$N166))</f>
        <v/>
      </c>
      <c r="D166" s="49" t="n"/>
      <c r="E166" s="49" t="n"/>
      <c r="F166" s="49" t="n"/>
      <c r="G166" s="4">
        <f>IF(A166="","",IFERROR(INDEX(前年度名簿!$D$3:$D$452,MATCH(A166&amp;"-"&amp;B166&amp;"-"&amp;C166,前年度名簿!$F$3:$F$452,0)),""))</f>
        <v/>
      </c>
      <c r="H166" s="50">
        <f>IF(D166="","",IF(ISERROR(VALUE(D166)),D166&amp;"",IF(AND(VALUE(D166)&gt;=1,VALUE(D166)&lt;=20),IF(INDEX(設定!$P$8:$P$27,VALUE(D166))="","？",INDEX(設定!$P$8:$P$27,VALUE(D166))),"？")))</f>
        <v/>
      </c>
      <c r="I166" s="50">
        <f>IF(E166="","",IF(ISERROR(VALUE(E166)),E166&amp;"",IF(AND(VALUE(E166)&gt;=1,VALUE(E166)&lt;=20),IF(INDEX(設定!$P$8:$P$27,VALUE(E166))="","？",INDEX(設定!$P$8:$P$27,VALUE(E166))),"？")))</f>
        <v/>
      </c>
      <c r="J166" s="50">
        <f>IF(F166="","",IF(ISERROR(VALUE(F166)),F166&amp;"",IF(AND(VALUE(F166)&gt;=1,VALUE(F166)&lt;=20),IF(INDEX(設定!$P$8:$P$27,VALUE(F166))="","？",INDEX(設定!$P$8:$P$27,VALUE(F166))),"？")))</f>
        <v/>
      </c>
      <c r="K166" s="51">
        <f>IF(L166="","",IF(G166="","名簿にいない",IF(COUNTIF(L167:L$555,L166)&gt;0,"2回提出（下の行を使います）",IF(H166="転出","転出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OR(AND(H166&lt;&gt;"",H166=I166),AND(H166&lt;&gt;"",H166=J166),AND(I166&lt;&gt;"",I166=J166)),"同じクラブを重複して希望","OK")))))))</f>
        <v/>
      </c>
      <c r="L166" s="11">
        <f>IF(OR(A166="",D166=""),"",A166&amp;"-"&amp;B166&amp;"-"&amp;C166)</f>
        <v/>
      </c>
      <c r="M166" s="11">
        <f>IF(OR(L166="",G166=""),"",IF(COUNTIF(L167:L$555,L166)=0,L166,""))</f>
        <v/>
      </c>
      <c r="N166" s="11">
        <f>IFERROR(MATCH(SMALL(前年度名簿!$G$3:$G$452,162),前年度名簿!$G$3:$G$452,0),"")</f>
        <v/>
      </c>
    </row>
    <row r="167">
      <c r="A167" s="49">
        <f>IF($N167="","",INDEX(前年度名簿!$A$3:$A$452,$N167))</f>
        <v/>
      </c>
      <c r="B167" s="49">
        <f>IF($N167="","",INDEX(前年度名簿!$B$3:$B$452,$N167))</f>
        <v/>
      </c>
      <c r="C167" s="49">
        <f>IF($N167="","",INDEX(前年度名簿!$C$3:$C$452,$N167))</f>
        <v/>
      </c>
      <c r="D167" s="49" t="n"/>
      <c r="E167" s="49" t="n"/>
      <c r="F167" s="49" t="n"/>
      <c r="G167" s="4">
        <f>IF(A167="","",IFERROR(INDEX(前年度名簿!$D$3:$D$452,MATCH(A167&amp;"-"&amp;B167&amp;"-"&amp;C167,前年度名簿!$F$3:$F$452,0)),""))</f>
        <v/>
      </c>
      <c r="H167" s="50">
        <f>IF(D167="","",IF(ISERROR(VALUE(D167)),D167&amp;"",IF(AND(VALUE(D167)&gt;=1,VALUE(D167)&lt;=20),IF(INDEX(設定!$P$8:$P$27,VALUE(D167))="","？",INDEX(設定!$P$8:$P$27,VALUE(D167))),"？")))</f>
        <v/>
      </c>
      <c r="I167" s="50">
        <f>IF(E167="","",IF(ISERROR(VALUE(E167)),E167&amp;"",IF(AND(VALUE(E167)&gt;=1,VALUE(E167)&lt;=20),IF(INDEX(設定!$P$8:$P$27,VALUE(E167))="","？",INDEX(設定!$P$8:$P$27,VALUE(E167))),"？")))</f>
        <v/>
      </c>
      <c r="J167" s="50">
        <f>IF(F167="","",IF(ISERROR(VALUE(F167)),F167&amp;"",IF(AND(VALUE(F167)&gt;=1,VALUE(F167)&lt;=20),IF(INDEX(設定!$P$8:$P$27,VALUE(F167))="","？",INDEX(設定!$P$8:$P$27,VALUE(F167))),"？")))</f>
        <v/>
      </c>
      <c r="K167" s="51">
        <f>IF(L167="","",IF(G167="","名簿にいない",IF(COUNTIF(L168:L$555,L167)&gt;0,"2回提出（下の行を使います）",IF(H167="転出","転出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OR(AND(H167&lt;&gt;"",H167=I167),AND(H167&lt;&gt;"",H167=J167),AND(I167&lt;&gt;"",I167=J167)),"同じクラブを重複して希望","OK")))))))</f>
        <v/>
      </c>
      <c r="L167" s="11">
        <f>IF(OR(A167="",D167=""),"",A167&amp;"-"&amp;B167&amp;"-"&amp;C167)</f>
        <v/>
      </c>
      <c r="M167" s="11">
        <f>IF(OR(L167="",G167=""),"",IF(COUNTIF(L168:L$555,L167)=0,L167,""))</f>
        <v/>
      </c>
      <c r="N167" s="11">
        <f>IFERROR(MATCH(SMALL(前年度名簿!$G$3:$G$452,163),前年度名簿!$G$3:$G$452,0),"")</f>
        <v/>
      </c>
    </row>
    <row r="168">
      <c r="A168" s="49">
        <f>IF($N168="","",INDEX(前年度名簿!$A$3:$A$452,$N168))</f>
        <v/>
      </c>
      <c r="B168" s="49">
        <f>IF($N168="","",INDEX(前年度名簿!$B$3:$B$452,$N168))</f>
        <v/>
      </c>
      <c r="C168" s="49">
        <f>IF($N168="","",INDEX(前年度名簿!$C$3:$C$452,$N168))</f>
        <v/>
      </c>
      <c r="D168" s="49" t="n"/>
      <c r="E168" s="49" t="n"/>
      <c r="F168" s="49" t="n"/>
      <c r="G168" s="4">
        <f>IF(A168="","",IFERROR(INDEX(前年度名簿!$D$3:$D$452,MATCH(A168&amp;"-"&amp;B168&amp;"-"&amp;C168,前年度名簿!$F$3:$F$452,0)),""))</f>
        <v/>
      </c>
      <c r="H168" s="50">
        <f>IF(D168="","",IF(ISERROR(VALUE(D168)),D168&amp;"",IF(AND(VALUE(D168)&gt;=1,VALUE(D168)&lt;=20),IF(INDEX(設定!$P$8:$P$27,VALUE(D168))="","？",INDEX(設定!$P$8:$P$27,VALUE(D168))),"？")))</f>
        <v/>
      </c>
      <c r="I168" s="50">
        <f>IF(E168="","",IF(ISERROR(VALUE(E168)),E168&amp;"",IF(AND(VALUE(E168)&gt;=1,VALUE(E168)&lt;=20),IF(INDEX(設定!$P$8:$P$27,VALUE(E168))="","？",INDEX(設定!$P$8:$P$27,VALUE(E168))),"？")))</f>
        <v/>
      </c>
      <c r="J168" s="50">
        <f>IF(F168="","",IF(ISERROR(VALUE(F168)),F168&amp;"",IF(AND(VALUE(F168)&gt;=1,VALUE(F168)&lt;=20),IF(INDEX(設定!$P$8:$P$27,VALUE(F168))="","？",INDEX(設定!$P$8:$P$27,VALUE(F168))),"？")))</f>
        <v/>
      </c>
      <c r="K168" s="51">
        <f>IF(L168="","",IF(G168="","名簿にいない",IF(COUNTIF(L169:L$555,L168)&gt;0,"2回提出（下の行を使います）",IF(H168="転出","転出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OR(AND(H168&lt;&gt;"",H168=I168),AND(H168&lt;&gt;"",H168=J168),AND(I168&lt;&gt;"",I168=J168)),"同じクラブを重複して希望","OK")))))))</f>
        <v/>
      </c>
      <c r="L168" s="11">
        <f>IF(OR(A168="",D168=""),"",A168&amp;"-"&amp;B168&amp;"-"&amp;C168)</f>
        <v/>
      </c>
      <c r="M168" s="11">
        <f>IF(OR(L168="",G168=""),"",IF(COUNTIF(L169:L$555,L168)=0,L168,""))</f>
        <v/>
      </c>
      <c r="N168" s="11">
        <f>IFERROR(MATCH(SMALL(前年度名簿!$G$3:$G$452,164),前年度名簿!$G$3:$G$452,0),"")</f>
        <v/>
      </c>
    </row>
    <row r="169">
      <c r="A169" s="49">
        <f>IF($N169="","",INDEX(前年度名簿!$A$3:$A$452,$N169))</f>
        <v/>
      </c>
      <c r="B169" s="49">
        <f>IF($N169="","",INDEX(前年度名簿!$B$3:$B$452,$N169))</f>
        <v/>
      </c>
      <c r="C169" s="49">
        <f>IF($N169="","",INDEX(前年度名簿!$C$3:$C$452,$N169))</f>
        <v/>
      </c>
      <c r="D169" s="49" t="n"/>
      <c r="E169" s="49" t="n"/>
      <c r="F169" s="49" t="n"/>
      <c r="G169" s="4">
        <f>IF(A169="","",IFERROR(INDEX(前年度名簿!$D$3:$D$452,MATCH(A169&amp;"-"&amp;B169&amp;"-"&amp;C169,前年度名簿!$F$3:$F$452,0)),""))</f>
        <v/>
      </c>
      <c r="H169" s="50">
        <f>IF(D169="","",IF(ISERROR(VALUE(D169)),D169&amp;"",IF(AND(VALUE(D169)&gt;=1,VALUE(D169)&lt;=20),IF(INDEX(設定!$P$8:$P$27,VALUE(D169))="","？",INDEX(設定!$P$8:$P$27,VALUE(D169))),"？")))</f>
        <v/>
      </c>
      <c r="I169" s="50">
        <f>IF(E169="","",IF(ISERROR(VALUE(E169)),E169&amp;"",IF(AND(VALUE(E169)&gt;=1,VALUE(E169)&lt;=20),IF(INDEX(設定!$P$8:$P$27,VALUE(E169))="","？",INDEX(設定!$P$8:$P$27,VALUE(E169))),"？")))</f>
        <v/>
      </c>
      <c r="J169" s="50">
        <f>IF(F169="","",IF(ISERROR(VALUE(F169)),F169&amp;"",IF(AND(VALUE(F169)&gt;=1,VALUE(F169)&lt;=20),IF(INDEX(設定!$P$8:$P$27,VALUE(F169))="","？",INDEX(設定!$P$8:$P$27,VALUE(F169))),"？")))</f>
        <v/>
      </c>
      <c r="K169" s="51">
        <f>IF(L169="","",IF(G169="","名簿にいない",IF(COUNTIF(L170:L$555,L169)&gt;0,"2回提出（下の行を使います）",IF(H169="転出","転出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OR(AND(H169&lt;&gt;"",H169=I169),AND(H169&lt;&gt;"",H169=J169),AND(I169&lt;&gt;"",I169=J169)),"同じクラブを重複して希望","OK")))))))</f>
        <v/>
      </c>
      <c r="L169" s="11">
        <f>IF(OR(A169="",D169=""),"",A169&amp;"-"&amp;B169&amp;"-"&amp;C169)</f>
        <v/>
      </c>
      <c r="M169" s="11">
        <f>IF(OR(L169="",G169=""),"",IF(COUNTIF(L170:L$555,L169)=0,L169,""))</f>
        <v/>
      </c>
      <c r="N169" s="11">
        <f>IFERROR(MATCH(SMALL(前年度名簿!$G$3:$G$452,165),前年度名簿!$G$3:$G$452,0),"")</f>
        <v/>
      </c>
    </row>
    <row r="170">
      <c r="A170" s="49">
        <f>IF($N170="","",INDEX(前年度名簿!$A$3:$A$452,$N170))</f>
        <v/>
      </c>
      <c r="B170" s="49">
        <f>IF($N170="","",INDEX(前年度名簿!$B$3:$B$452,$N170))</f>
        <v/>
      </c>
      <c r="C170" s="49">
        <f>IF($N170="","",INDEX(前年度名簿!$C$3:$C$452,$N170))</f>
        <v/>
      </c>
      <c r="D170" s="49" t="n"/>
      <c r="E170" s="49" t="n"/>
      <c r="F170" s="49" t="n"/>
      <c r="G170" s="4">
        <f>IF(A170="","",IFERROR(INDEX(前年度名簿!$D$3:$D$452,MATCH(A170&amp;"-"&amp;B170&amp;"-"&amp;C170,前年度名簿!$F$3:$F$452,0)),""))</f>
        <v/>
      </c>
      <c r="H170" s="50">
        <f>IF(D170="","",IF(ISERROR(VALUE(D170)),D170&amp;"",IF(AND(VALUE(D170)&gt;=1,VALUE(D170)&lt;=20),IF(INDEX(設定!$P$8:$P$27,VALUE(D170))="","？",INDEX(設定!$P$8:$P$27,VALUE(D170))),"？")))</f>
        <v/>
      </c>
      <c r="I170" s="50">
        <f>IF(E170="","",IF(ISERROR(VALUE(E170)),E170&amp;"",IF(AND(VALUE(E170)&gt;=1,VALUE(E170)&lt;=20),IF(INDEX(設定!$P$8:$P$27,VALUE(E170))="","？",INDEX(設定!$P$8:$P$27,VALUE(E170))),"？")))</f>
        <v/>
      </c>
      <c r="J170" s="50">
        <f>IF(F170="","",IF(ISERROR(VALUE(F170)),F170&amp;"",IF(AND(VALUE(F170)&gt;=1,VALUE(F170)&lt;=20),IF(INDEX(設定!$P$8:$P$27,VALUE(F170))="","？",INDEX(設定!$P$8:$P$27,VALUE(F170))),"？")))</f>
        <v/>
      </c>
      <c r="K170" s="51">
        <f>IF(L170="","",IF(G170="","名簿にいない",IF(COUNTIF(L171:L$555,L170)&gt;0,"2回提出（下の行を使います）",IF(H170="転出","転出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OR(AND(H170&lt;&gt;"",H170=I170),AND(H170&lt;&gt;"",H170=J170),AND(I170&lt;&gt;"",I170=J170)),"同じクラブを重複して希望","OK")))))))</f>
        <v/>
      </c>
      <c r="L170" s="11">
        <f>IF(OR(A170="",D170=""),"",A170&amp;"-"&amp;B170&amp;"-"&amp;C170)</f>
        <v/>
      </c>
      <c r="M170" s="11">
        <f>IF(OR(L170="",G170=""),"",IF(COUNTIF(L171:L$555,L170)=0,L170,""))</f>
        <v/>
      </c>
      <c r="N170" s="11">
        <f>IFERROR(MATCH(SMALL(前年度名簿!$G$3:$G$452,166),前年度名簿!$G$3:$G$452,0),"")</f>
        <v/>
      </c>
    </row>
    <row r="171">
      <c r="A171" s="49">
        <f>IF($N171="","",INDEX(前年度名簿!$A$3:$A$452,$N171))</f>
        <v/>
      </c>
      <c r="B171" s="49">
        <f>IF($N171="","",INDEX(前年度名簿!$B$3:$B$452,$N171))</f>
        <v/>
      </c>
      <c r="C171" s="49">
        <f>IF($N171="","",INDEX(前年度名簿!$C$3:$C$452,$N171))</f>
        <v/>
      </c>
      <c r="D171" s="49" t="n"/>
      <c r="E171" s="49" t="n"/>
      <c r="F171" s="49" t="n"/>
      <c r="G171" s="4">
        <f>IF(A171="","",IFERROR(INDEX(前年度名簿!$D$3:$D$452,MATCH(A171&amp;"-"&amp;B171&amp;"-"&amp;C171,前年度名簿!$F$3:$F$452,0)),""))</f>
        <v/>
      </c>
      <c r="H171" s="50">
        <f>IF(D171="","",IF(ISERROR(VALUE(D171)),D171&amp;"",IF(AND(VALUE(D171)&gt;=1,VALUE(D171)&lt;=20),IF(INDEX(設定!$P$8:$P$27,VALUE(D171))="","？",INDEX(設定!$P$8:$P$27,VALUE(D171))),"？")))</f>
        <v/>
      </c>
      <c r="I171" s="50">
        <f>IF(E171="","",IF(ISERROR(VALUE(E171)),E171&amp;"",IF(AND(VALUE(E171)&gt;=1,VALUE(E171)&lt;=20),IF(INDEX(設定!$P$8:$P$27,VALUE(E171))="","？",INDEX(設定!$P$8:$P$27,VALUE(E171))),"？")))</f>
        <v/>
      </c>
      <c r="J171" s="50">
        <f>IF(F171="","",IF(ISERROR(VALUE(F171)),F171&amp;"",IF(AND(VALUE(F171)&gt;=1,VALUE(F171)&lt;=20),IF(INDEX(設定!$P$8:$P$27,VALUE(F171))="","？",INDEX(設定!$P$8:$P$27,VALUE(F171))),"？")))</f>
        <v/>
      </c>
      <c r="K171" s="51">
        <f>IF(L171="","",IF(G171="","名簿にいない",IF(COUNTIF(L172:L$555,L171)&gt;0,"2回提出（下の行を使います）",IF(H171="転出","転出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OR(AND(H171&lt;&gt;"",H171=I171),AND(H171&lt;&gt;"",H171=J171),AND(I171&lt;&gt;"",I171=J171)),"同じクラブを重複して希望","OK")))))))</f>
        <v/>
      </c>
      <c r="L171" s="11">
        <f>IF(OR(A171="",D171=""),"",A171&amp;"-"&amp;B171&amp;"-"&amp;C171)</f>
        <v/>
      </c>
      <c r="M171" s="11">
        <f>IF(OR(L171="",G171=""),"",IF(COUNTIF(L172:L$555,L171)=0,L171,""))</f>
        <v/>
      </c>
      <c r="N171" s="11">
        <f>IFERROR(MATCH(SMALL(前年度名簿!$G$3:$G$452,167),前年度名簿!$G$3:$G$452,0),"")</f>
        <v/>
      </c>
    </row>
    <row r="172">
      <c r="A172" s="49">
        <f>IF($N172="","",INDEX(前年度名簿!$A$3:$A$452,$N172))</f>
        <v/>
      </c>
      <c r="B172" s="49">
        <f>IF($N172="","",INDEX(前年度名簿!$B$3:$B$452,$N172))</f>
        <v/>
      </c>
      <c r="C172" s="49">
        <f>IF($N172="","",INDEX(前年度名簿!$C$3:$C$452,$N172))</f>
        <v/>
      </c>
      <c r="D172" s="49" t="n"/>
      <c r="E172" s="49" t="n"/>
      <c r="F172" s="49" t="n"/>
      <c r="G172" s="4">
        <f>IF(A172="","",IFERROR(INDEX(前年度名簿!$D$3:$D$452,MATCH(A172&amp;"-"&amp;B172&amp;"-"&amp;C172,前年度名簿!$F$3:$F$452,0)),""))</f>
        <v/>
      </c>
      <c r="H172" s="50">
        <f>IF(D172="","",IF(ISERROR(VALUE(D172)),D172&amp;"",IF(AND(VALUE(D172)&gt;=1,VALUE(D172)&lt;=20),IF(INDEX(設定!$P$8:$P$27,VALUE(D172))="","？",INDEX(設定!$P$8:$P$27,VALUE(D172))),"？")))</f>
        <v/>
      </c>
      <c r="I172" s="50">
        <f>IF(E172="","",IF(ISERROR(VALUE(E172)),E172&amp;"",IF(AND(VALUE(E172)&gt;=1,VALUE(E172)&lt;=20),IF(INDEX(設定!$P$8:$P$27,VALUE(E172))="","？",INDEX(設定!$P$8:$P$27,VALUE(E172))),"？")))</f>
        <v/>
      </c>
      <c r="J172" s="50">
        <f>IF(F172="","",IF(ISERROR(VALUE(F172)),F172&amp;"",IF(AND(VALUE(F172)&gt;=1,VALUE(F172)&lt;=20),IF(INDEX(設定!$P$8:$P$27,VALUE(F172))="","？",INDEX(設定!$P$8:$P$27,VALUE(F172))),"？")))</f>
        <v/>
      </c>
      <c r="K172" s="51">
        <f>IF(L172="","",IF(G172="","名簿にいない",IF(COUNTIF(L173:L$555,L172)&gt;0,"2回提出（下の行を使います）",IF(H172="転出","転出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OR(AND(H172&lt;&gt;"",H172=I172),AND(H172&lt;&gt;"",H172=J172),AND(I172&lt;&gt;"",I172=J172)),"同じクラブを重複して希望","OK")))))))</f>
        <v/>
      </c>
      <c r="L172" s="11">
        <f>IF(OR(A172="",D172=""),"",A172&amp;"-"&amp;B172&amp;"-"&amp;C172)</f>
        <v/>
      </c>
      <c r="M172" s="11">
        <f>IF(OR(L172="",G172=""),"",IF(COUNTIF(L173:L$555,L172)=0,L172,""))</f>
        <v/>
      </c>
      <c r="N172" s="11">
        <f>IFERROR(MATCH(SMALL(前年度名簿!$G$3:$G$452,168),前年度名簿!$G$3:$G$452,0),"")</f>
        <v/>
      </c>
    </row>
    <row r="173">
      <c r="A173" s="49">
        <f>IF($N173="","",INDEX(前年度名簿!$A$3:$A$452,$N173))</f>
        <v/>
      </c>
      <c r="B173" s="49">
        <f>IF($N173="","",INDEX(前年度名簿!$B$3:$B$452,$N173))</f>
        <v/>
      </c>
      <c r="C173" s="49">
        <f>IF($N173="","",INDEX(前年度名簿!$C$3:$C$452,$N173))</f>
        <v/>
      </c>
      <c r="D173" s="49" t="n"/>
      <c r="E173" s="49" t="n"/>
      <c r="F173" s="49" t="n"/>
      <c r="G173" s="4">
        <f>IF(A173="","",IFERROR(INDEX(前年度名簿!$D$3:$D$452,MATCH(A173&amp;"-"&amp;B173&amp;"-"&amp;C173,前年度名簿!$F$3:$F$452,0)),""))</f>
        <v/>
      </c>
      <c r="H173" s="50">
        <f>IF(D173="","",IF(ISERROR(VALUE(D173)),D173&amp;"",IF(AND(VALUE(D173)&gt;=1,VALUE(D173)&lt;=20),IF(INDEX(設定!$P$8:$P$27,VALUE(D173))="","？",INDEX(設定!$P$8:$P$27,VALUE(D173))),"？")))</f>
        <v/>
      </c>
      <c r="I173" s="50">
        <f>IF(E173="","",IF(ISERROR(VALUE(E173)),E173&amp;"",IF(AND(VALUE(E173)&gt;=1,VALUE(E173)&lt;=20),IF(INDEX(設定!$P$8:$P$27,VALUE(E173))="","？",INDEX(設定!$P$8:$P$27,VALUE(E173))),"？")))</f>
        <v/>
      </c>
      <c r="J173" s="50">
        <f>IF(F173="","",IF(ISERROR(VALUE(F173)),F173&amp;"",IF(AND(VALUE(F173)&gt;=1,VALUE(F173)&lt;=20),IF(INDEX(設定!$P$8:$P$27,VALUE(F173))="","？",INDEX(設定!$P$8:$P$27,VALUE(F173))),"？")))</f>
        <v/>
      </c>
      <c r="K173" s="51">
        <f>IF(L173="","",IF(G173="","名簿にいない",IF(COUNTIF(L174:L$555,L173)&gt;0,"2回提出（下の行を使います）",IF(H173="転出","転出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OR(AND(H173&lt;&gt;"",H173=I173),AND(H173&lt;&gt;"",H173=J173),AND(I173&lt;&gt;"",I173=J173)),"同じクラブを重複して希望","OK")))))))</f>
        <v/>
      </c>
      <c r="L173" s="11">
        <f>IF(OR(A173="",D173=""),"",A173&amp;"-"&amp;B173&amp;"-"&amp;C173)</f>
        <v/>
      </c>
      <c r="M173" s="11">
        <f>IF(OR(L173="",G173=""),"",IF(COUNTIF(L174:L$555,L173)=0,L173,""))</f>
        <v/>
      </c>
      <c r="N173" s="11">
        <f>IFERROR(MATCH(SMALL(前年度名簿!$G$3:$G$452,169),前年度名簿!$G$3:$G$452,0),"")</f>
        <v/>
      </c>
    </row>
    <row r="174">
      <c r="A174" s="49">
        <f>IF($N174="","",INDEX(前年度名簿!$A$3:$A$452,$N174))</f>
        <v/>
      </c>
      <c r="B174" s="49">
        <f>IF($N174="","",INDEX(前年度名簿!$B$3:$B$452,$N174))</f>
        <v/>
      </c>
      <c r="C174" s="49">
        <f>IF($N174="","",INDEX(前年度名簿!$C$3:$C$452,$N174))</f>
        <v/>
      </c>
      <c r="D174" s="49" t="n"/>
      <c r="E174" s="49" t="n"/>
      <c r="F174" s="49" t="n"/>
      <c r="G174" s="4">
        <f>IF(A174="","",IFERROR(INDEX(前年度名簿!$D$3:$D$452,MATCH(A174&amp;"-"&amp;B174&amp;"-"&amp;C174,前年度名簿!$F$3:$F$452,0)),""))</f>
        <v/>
      </c>
      <c r="H174" s="50">
        <f>IF(D174="","",IF(ISERROR(VALUE(D174)),D174&amp;"",IF(AND(VALUE(D174)&gt;=1,VALUE(D174)&lt;=20),IF(INDEX(設定!$P$8:$P$27,VALUE(D174))="","？",INDEX(設定!$P$8:$P$27,VALUE(D174))),"？")))</f>
        <v/>
      </c>
      <c r="I174" s="50">
        <f>IF(E174="","",IF(ISERROR(VALUE(E174)),E174&amp;"",IF(AND(VALUE(E174)&gt;=1,VALUE(E174)&lt;=20),IF(INDEX(設定!$P$8:$P$27,VALUE(E174))="","？",INDEX(設定!$P$8:$P$27,VALUE(E174))),"？")))</f>
        <v/>
      </c>
      <c r="J174" s="50">
        <f>IF(F174="","",IF(ISERROR(VALUE(F174)),F174&amp;"",IF(AND(VALUE(F174)&gt;=1,VALUE(F174)&lt;=20),IF(INDEX(設定!$P$8:$P$27,VALUE(F174))="","？",INDEX(設定!$P$8:$P$27,VALUE(F174))),"？")))</f>
        <v/>
      </c>
      <c r="K174" s="51">
        <f>IF(L174="","",IF(G174="","名簿にいない",IF(COUNTIF(L175:L$555,L174)&gt;0,"2回提出（下の行を使います）",IF(H174="転出","転出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OR(AND(H174&lt;&gt;"",H174=I174),AND(H174&lt;&gt;"",H174=J174),AND(I174&lt;&gt;"",I174=J174)),"同じクラブを重複して希望","OK")))))))</f>
        <v/>
      </c>
      <c r="L174" s="11">
        <f>IF(OR(A174="",D174=""),"",A174&amp;"-"&amp;B174&amp;"-"&amp;C174)</f>
        <v/>
      </c>
      <c r="M174" s="11">
        <f>IF(OR(L174="",G174=""),"",IF(COUNTIF(L175:L$555,L174)=0,L174,""))</f>
        <v/>
      </c>
      <c r="N174" s="11">
        <f>IFERROR(MATCH(SMALL(前年度名簿!$G$3:$G$452,170),前年度名簿!$G$3:$G$452,0),"")</f>
        <v/>
      </c>
    </row>
    <row r="175">
      <c r="A175" s="49">
        <f>IF($N175="","",INDEX(前年度名簿!$A$3:$A$452,$N175))</f>
        <v/>
      </c>
      <c r="B175" s="49">
        <f>IF($N175="","",INDEX(前年度名簿!$B$3:$B$452,$N175))</f>
        <v/>
      </c>
      <c r="C175" s="49">
        <f>IF($N175="","",INDEX(前年度名簿!$C$3:$C$452,$N175))</f>
        <v/>
      </c>
      <c r="D175" s="49" t="n"/>
      <c r="E175" s="49" t="n"/>
      <c r="F175" s="49" t="n"/>
      <c r="G175" s="4">
        <f>IF(A175="","",IFERROR(INDEX(前年度名簿!$D$3:$D$452,MATCH(A175&amp;"-"&amp;B175&amp;"-"&amp;C175,前年度名簿!$F$3:$F$452,0)),""))</f>
        <v/>
      </c>
      <c r="H175" s="50">
        <f>IF(D175="","",IF(ISERROR(VALUE(D175)),D175&amp;"",IF(AND(VALUE(D175)&gt;=1,VALUE(D175)&lt;=20),IF(INDEX(設定!$P$8:$P$27,VALUE(D175))="","？",INDEX(設定!$P$8:$P$27,VALUE(D175))),"？")))</f>
        <v/>
      </c>
      <c r="I175" s="50">
        <f>IF(E175="","",IF(ISERROR(VALUE(E175)),E175&amp;"",IF(AND(VALUE(E175)&gt;=1,VALUE(E175)&lt;=20),IF(INDEX(設定!$P$8:$P$27,VALUE(E175))="","？",INDEX(設定!$P$8:$P$27,VALUE(E175))),"？")))</f>
        <v/>
      </c>
      <c r="J175" s="50">
        <f>IF(F175="","",IF(ISERROR(VALUE(F175)),F175&amp;"",IF(AND(VALUE(F175)&gt;=1,VALUE(F175)&lt;=20),IF(INDEX(設定!$P$8:$P$27,VALUE(F175))="","？",INDEX(設定!$P$8:$P$27,VALUE(F175))),"？")))</f>
        <v/>
      </c>
      <c r="K175" s="51">
        <f>IF(L175="","",IF(G175="","名簿にいない",IF(COUNTIF(L176:L$555,L175)&gt;0,"2回提出（下の行を使います）",IF(H175="転出","転出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OR(AND(H175&lt;&gt;"",H175=I175),AND(H175&lt;&gt;"",H175=J175),AND(I175&lt;&gt;"",I175=J175)),"同じクラブを重複して希望","OK")))))))</f>
        <v/>
      </c>
      <c r="L175" s="11">
        <f>IF(OR(A175="",D175=""),"",A175&amp;"-"&amp;B175&amp;"-"&amp;C175)</f>
        <v/>
      </c>
      <c r="M175" s="11">
        <f>IF(OR(L175="",G175=""),"",IF(COUNTIF(L176:L$555,L175)=0,L175,""))</f>
        <v/>
      </c>
      <c r="N175" s="11">
        <f>IFERROR(MATCH(SMALL(前年度名簿!$G$3:$G$452,171),前年度名簿!$G$3:$G$452,0),"")</f>
        <v/>
      </c>
    </row>
    <row r="176">
      <c r="A176" s="49">
        <f>IF($N176="","",INDEX(前年度名簿!$A$3:$A$452,$N176))</f>
        <v/>
      </c>
      <c r="B176" s="49">
        <f>IF($N176="","",INDEX(前年度名簿!$B$3:$B$452,$N176))</f>
        <v/>
      </c>
      <c r="C176" s="49">
        <f>IF($N176="","",INDEX(前年度名簿!$C$3:$C$452,$N176))</f>
        <v/>
      </c>
      <c r="D176" s="49" t="n"/>
      <c r="E176" s="49" t="n"/>
      <c r="F176" s="49" t="n"/>
      <c r="G176" s="4">
        <f>IF(A176="","",IFERROR(INDEX(前年度名簿!$D$3:$D$452,MATCH(A176&amp;"-"&amp;B176&amp;"-"&amp;C176,前年度名簿!$F$3:$F$452,0)),""))</f>
        <v/>
      </c>
      <c r="H176" s="50">
        <f>IF(D176="","",IF(ISERROR(VALUE(D176)),D176&amp;"",IF(AND(VALUE(D176)&gt;=1,VALUE(D176)&lt;=20),IF(INDEX(設定!$P$8:$P$27,VALUE(D176))="","？",INDEX(設定!$P$8:$P$27,VALUE(D176))),"？")))</f>
        <v/>
      </c>
      <c r="I176" s="50">
        <f>IF(E176="","",IF(ISERROR(VALUE(E176)),E176&amp;"",IF(AND(VALUE(E176)&gt;=1,VALUE(E176)&lt;=20),IF(INDEX(設定!$P$8:$P$27,VALUE(E176))="","？",INDEX(設定!$P$8:$P$27,VALUE(E176))),"？")))</f>
        <v/>
      </c>
      <c r="J176" s="50">
        <f>IF(F176="","",IF(ISERROR(VALUE(F176)),F176&amp;"",IF(AND(VALUE(F176)&gt;=1,VALUE(F176)&lt;=20),IF(INDEX(設定!$P$8:$P$27,VALUE(F176))="","？",INDEX(設定!$P$8:$P$27,VALUE(F176))),"？")))</f>
        <v/>
      </c>
      <c r="K176" s="51">
        <f>IF(L176="","",IF(G176="","名簿にいない",IF(COUNTIF(L177:L$555,L176)&gt;0,"2回提出（下の行を使います）",IF(H176="転出","転出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OR(AND(H176&lt;&gt;"",H176=I176),AND(H176&lt;&gt;"",H176=J176),AND(I176&lt;&gt;"",I176=J176)),"同じクラブを重複して希望","OK")))))))</f>
        <v/>
      </c>
      <c r="L176" s="11">
        <f>IF(OR(A176="",D176=""),"",A176&amp;"-"&amp;B176&amp;"-"&amp;C176)</f>
        <v/>
      </c>
      <c r="M176" s="11">
        <f>IF(OR(L176="",G176=""),"",IF(COUNTIF(L177:L$555,L176)=0,L176,""))</f>
        <v/>
      </c>
      <c r="N176" s="11">
        <f>IFERROR(MATCH(SMALL(前年度名簿!$G$3:$G$452,172),前年度名簿!$G$3:$G$452,0),"")</f>
        <v/>
      </c>
    </row>
    <row r="177">
      <c r="A177" s="49">
        <f>IF($N177="","",INDEX(前年度名簿!$A$3:$A$452,$N177))</f>
        <v/>
      </c>
      <c r="B177" s="49">
        <f>IF($N177="","",INDEX(前年度名簿!$B$3:$B$452,$N177))</f>
        <v/>
      </c>
      <c r="C177" s="49">
        <f>IF($N177="","",INDEX(前年度名簿!$C$3:$C$452,$N177))</f>
        <v/>
      </c>
      <c r="D177" s="49" t="n"/>
      <c r="E177" s="49" t="n"/>
      <c r="F177" s="49" t="n"/>
      <c r="G177" s="4">
        <f>IF(A177="","",IFERROR(INDEX(前年度名簿!$D$3:$D$452,MATCH(A177&amp;"-"&amp;B177&amp;"-"&amp;C177,前年度名簿!$F$3:$F$452,0)),""))</f>
        <v/>
      </c>
      <c r="H177" s="50">
        <f>IF(D177="","",IF(ISERROR(VALUE(D177)),D177&amp;"",IF(AND(VALUE(D177)&gt;=1,VALUE(D177)&lt;=20),IF(INDEX(設定!$P$8:$P$27,VALUE(D177))="","？",INDEX(設定!$P$8:$P$27,VALUE(D177))),"？")))</f>
        <v/>
      </c>
      <c r="I177" s="50">
        <f>IF(E177="","",IF(ISERROR(VALUE(E177)),E177&amp;"",IF(AND(VALUE(E177)&gt;=1,VALUE(E177)&lt;=20),IF(INDEX(設定!$P$8:$P$27,VALUE(E177))="","？",INDEX(設定!$P$8:$P$27,VALUE(E177))),"？")))</f>
        <v/>
      </c>
      <c r="J177" s="50">
        <f>IF(F177="","",IF(ISERROR(VALUE(F177)),F177&amp;"",IF(AND(VALUE(F177)&gt;=1,VALUE(F177)&lt;=20),IF(INDEX(設定!$P$8:$P$27,VALUE(F177))="","？",INDEX(設定!$P$8:$P$27,VALUE(F177))),"？")))</f>
        <v/>
      </c>
      <c r="K177" s="51">
        <f>IF(L177="","",IF(G177="","名簿にいない",IF(COUNTIF(L178:L$555,L177)&gt;0,"2回提出（下の行を使います）",IF(H177="転出","転出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OR(AND(H177&lt;&gt;"",H177=I177),AND(H177&lt;&gt;"",H177=J177),AND(I177&lt;&gt;"",I177=J177)),"同じクラブを重複して希望","OK")))))))</f>
        <v/>
      </c>
      <c r="L177" s="11">
        <f>IF(OR(A177="",D177=""),"",A177&amp;"-"&amp;B177&amp;"-"&amp;C177)</f>
        <v/>
      </c>
      <c r="M177" s="11">
        <f>IF(OR(L177="",G177=""),"",IF(COUNTIF(L178:L$555,L177)=0,L177,""))</f>
        <v/>
      </c>
      <c r="N177" s="11">
        <f>IFERROR(MATCH(SMALL(前年度名簿!$G$3:$G$452,173),前年度名簿!$G$3:$G$452,0),"")</f>
        <v/>
      </c>
    </row>
    <row r="178">
      <c r="A178" s="49">
        <f>IF($N178="","",INDEX(前年度名簿!$A$3:$A$452,$N178))</f>
        <v/>
      </c>
      <c r="B178" s="49">
        <f>IF($N178="","",INDEX(前年度名簿!$B$3:$B$452,$N178))</f>
        <v/>
      </c>
      <c r="C178" s="49">
        <f>IF($N178="","",INDEX(前年度名簿!$C$3:$C$452,$N178))</f>
        <v/>
      </c>
      <c r="D178" s="49" t="n"/>
      <c r="E178" s="49" t="n"/>
      <c r="F178" s="49" t="n"/>
      <c r="G178" s="4">
        <f>IF(A178="","",IFERROR(INDEX(前年度名簿!$D$3:$D$452,MATCH(A178&amp;"-"&amp;B178&amp;"-"&amp;C178,前年度名簿!$F$3:$F$452,0)),""))</f>
        <v/>
      </c>
      <c r="H178" s="50">
        <f>IF(D178="","",IF(ISERROR(VALUE(D178)),D178&amp;"",IF(AND(VALUE(D178)&gt;=1,VALUE(D178)&lt;=20),IF(INDEX(設定!$P$8:$P$27,VALUE(D178))="","？",INDEX(設定!$P$8:$P$27,VALUE(D178))),"？")))</f>
        <v/>
      </c>
      <c r="I178" s="50">
        <f>IF(E178="","",IF(ISERROR(VALUE(E178)),E178&amp;"",IF(AND(VALUE(E178)&gt;=1,VALUE(E178)&lt;=20),IF(INDEX(設定!$P$8:$P$27,VALUE(E178))="","？",INDEX(設定!$P$8:$P$27,VALUE(E178))),"？")))</f>
        <v/>
      </c>
      <c r="J178" s="50">
        <f>IF(F178="","",IF(ISERROR(VALUE(F178)),F178&amp;"",IF(AND(VALUE(F178)&gt;=1,VALUE(F178)&lt;=20),IF(INDEX(設定!$P$8:$P$27,VALUE(F178))="","？",INDEX(設定!$P$8:$P$27,VALUE(F178))),"？")))</f>
        <v/>
      </c>
      <c r="K178" s="51">
        <f>IF(L178="","",IF(G178="","名簿にいない",IF(COUNTIF(L179:L$555,L178)&gt;0,"2回提出（下の行を使います）",IF(H178="転出","転出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OR(AND(H178&lt;&gt;"",H178=I178),AND(H178&lt;&gt;"",H178=J178),AND(I178&lt;&gt;"",I178=J178)),"同じクラブを重複して希望","OK")))))))</f>
        <v/>
      </c>
      <c r="L178" s="11">
        <f>IF(OR(A178="",D178=""),"",A178&amp;"-"&amp;B178&amp;"-"&amp;C178)</f>
        <v/>
      </c>
      <c r="M178" s="11">
        <f>IF(OR(L178="",G178=""),"",IF(COUNTIF(L179:L$555,L178)=0,L178,""))</f>
        <v/>
      </c>
      <c r="N178" s="11">
        <f>IFERROR(MATCH(SMALL(前年度名簿!$G$3:$G$452,174),前年度名簿!$G$3:$G$452,0),"")</f>
        <v/>
      </c>
    </row>
    <row r="179">
      <c r="A179" s="49">
        <f>IF($N179="","",INDEX(前年度名簿!$A$3:$A$452,$N179))</f>
        <v/>
      </c>
      <c r="B179" s="49">
        <f>IF($N179="","",INDEX(前年度名簿!$B$3:$B$452,$N179))</f>
        <v/>
      </c>
      <c r="C179" s="49">
        <f>IF($N179="","",INDEX(前年度名簿!$C$3:$C$452,$N179))</f>
        <v/>
      </c>
      <c r="D179" s="49" t="n"/>
      <c r="E179" s="49" t="n"/>
      <c r="F179" s="49" t="n"/>
      <c r="G179" s="4">
        <f>IF(A179="","",IFERROR(INDEX(前年度名簿!$D$3:$D$452,MATCH(A179&amp;"-"&amp;B179&amp;"-"&amp;C179,前年度名簿!$F$3:$F$452,0)),""))</f>
        <v/>
      </c>
      <c r="H179" s="50">
        <f>IF(D179="","",IF(ISERROR(VALUE(D179)),D179&amp;"",IF(AND(VALUE(D179)&gt;=1,VALUE(D179)&lt;=20),IF(INDEX(設定!$P$8:$P$27,VALUE(D179))="","？",INDEX(設定!$P$8:$P$27,VALUE(D179))),"？")))</f>
        <v/>
      </c>
      <c r="I179" s="50">
        <f>IF(E179="","",IF(ISERROR(VALUE(E179)),E179&amp;"",IF(AND(VALUE(E179)&gt;=1,VALUE(E179)&lt;=20),IF(INDEX(設定!$P$8:$P$27,VALUE(E179))="","？",INDEX(設定!$P$8:$P$27,VALUE(E179))),"？")))</f>
        <v/>
      </c>
      <c r="J179" s="50">
        <f>IF(F179="","",IF(ISERROR(VALUE(F179)),F179&amp;"",IF(AND(VALUE(F179)&gt;=1,VALUE(F179)&lt;=20),IF(INDEX(設定!$P$8:$P$27,VALUE(F179))="","？",INDEX(設定!$P$8:$P$27,VALUE(F179))),"？")))</f>
        <v/>
      </c>
      <c r="K179" s="51">
        <f>IF(L179="","",IF(G179="","名簿にいない",IF(COUNTIF(L180:L$555,L179)&gt;0,"2回提出（下の行を使います）",IF(H179="転出","転出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OR(AND(H179&lt;&gt;"",H179=I179),AND(H179&lt;&gt;"",H179=J179),AND(I179&lt;&gt;"",I179=J179)),"同じクラブを重複して希望","OK")))))))</f>
        <v/>
      </c>
      <c r="L179" s="11">
        <f>IF(OR(A179="",D179=""),"",A179&amp;"-"&amp;B179&amp;"-"&amp;C179)</f>
        <v/>
      </c>
      <c r="M179" s="11">
        <f>IF(OR(L179="",G179=""),"",IF(COUNTIF(L180:L$555,L179)=0,L179,""))</f>
        <v/>
      </c>
      <c r="N179" s="11">
        <f>IFERROR(MATCH(SMALL(前年度名簿!$G$3:$G$452,175),前年度名簿!$G$3:$G$452,0),"")</f>
        <v/>
      </c>
    </row>
    <row r="180">
      <c r="A180" s="49">
        <f>IF($N180="","",INDEX(前年度名簿!$A$3:$A$452,$N180))</f>
        <v/>
      </c>
      <c r="B180" s="49">
        <f>IF($N180="","",INDEX(前年度名簿!$B$3:$B$452,$N180))</f>
        <v/>
      </c>
      <c r="C180" s="49">
        <f>IF($N180="","",INDEX(前年度名簿!$C$3:$C$452,$N180))</f>
        <v/>
      </c>
      <c r="D180" s="49" t="n"/>
      <c r="E180" s="49" t="n"/>
      <c r="F180" s="49" t="n"/>
      <c r="G180" s="4">
        <f>IF(A180="","",IFERROR(INDEX(前年度名簿!$D$3:$D$452,MATCH(A180&amp;"-"&amp;B180&amp;"-"&amp;C180,前年度名簿!$F$3:$F$452,0)),""))</f>
        <v/>
      </c>
      <c r="H180" s="50">
        <f>IF(D180="","",IF(ISERROR(VALUE(D180)),D180&amp;"",IF(AND(VALUE(D180)&gt;=1,VALUE(D180)&lt;=20),IF(INDEX(設定!$P$8:$P$27,VALUE(D180))="","？",INDEX(設定!$P$8:$P$27,VALUE(D180))),"？")))</f>
        <v/>
      </c>
      <c r="I180" s="50">
        <f>IF(E180="","",IF(ISERROR(VALUE(E180)),E180&amp;"",IF(AND(VALUE(E180)&gt;=1,VALUE(E180)&lt;=20),IF(INDEX(設定!$P$8:$P$27,VALUE(E180))="","？",INDEX(設定!$P$8:$P$27,VALUE(E180))),"？")))</f>
        <v/>
      </c>
      <c r="J180" s="50">
        <f>IF(F180="","",IF(ISERROR(VALUE(F180)),F180&amp;"",IF(AND(VALUE(F180)&gt;=1,VALUE(F180)&lt;=20),IF(INDEX(設定!$P$8:$P$27,VALUE(F180))="","？",INDEX(設定!$P$8:$P$27,VALUE(F180))),"？")))</f>
        <v/>
      </c>
      <c r="K180" s="51">
        <f>IF(L180="","",IF(G180="","名簿にいない",IF(COUNTIF(L181:L$555,L180)&gt;0,"2回提出（下の行を使います）",IF(H180="転出","転出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OR(AND(H180&lt;&gt;"",H180=I180),AND(H180&lt;&gt;"",H180=J180),AND(I180&lt;&gt;"",I180=J180)),"同じクラブを重複して希望","OK")))))))</f>
        <v/>
      </c>
      <c r="L180" s="11">
        <f>IF(OR(A180="",D180=""),"",A180&amp;"-"&amp;B180&amp;"-"&amp;C180)</f>
        <v/>
      </c>
      <c r="M180" s="11">
        <f>IF(OR(L180="",G180=""),"",IF(COUNTIF(L181:L$555,L180)=0,L180,""))</f>
        <v/>
      </c>
      <c r="N180" s="11">
        <f>IFERROR(MATCH(SMALL(前年度名簿!$G$3:$G$452,176),前年度名簿!$G$3:$G$452,0),"")</f>
        <v/>
      </c>
    </row>
    <row r="181">
      <c r="A181" s="49">
        <f>IF($N181="","",INDEX(前年度名簿!$A$3:$A$452,$N181))</f>
        <v/>
      </c>
      <c r="B181" s="49">
        <f>IF($N181="","",INDEX(前年度名簿!$B$3:$B$452,$N181))</f>
        <v/>
      </c>
      <c r="C181" s="49">
        <f>IF($N181="","",INDEX(前年度名簿!$C$3:$C$452,$N181))</f>
        <v/>
      </c>
      <c r="D181" s="49" t="n"/>
      <c r="E181" s="49" t="n"/>
      <c r="F181" s="49" t="n"/>
      <c r="G181" s="4">
        <f>IF(A181="","",IFERROR(INDEX(前年度名簿!$D$3:$D$452,MATCH(A181&amp;"-"&amp;B181&amp;"-"&amp;C181,前年度名簿!$F$3:$F$452,0)),""))</f>
        <v/>
      </c>
      <c r="H181" s="50">
        <f>IF(D181="","",IF(ISERROR(VALUE(D181)),D181&amp;"",IF(AND(VALUE(D181)&gt;=1,VALUE(D181)&lt;=20),IF(INDEX(設定!$P$8:$P$27,VALUE(D181))="","？",INDEX(設定!$P$8:$P$27,VALUE(D181))),"？")))</f>
        <v/>
      </c>
      <c r="I181" s="50">
        <f>IF(E181="","",IF(ISERROR(VALUE(E181)),E181&amp;"",IF(AND(VALUE(E181)&gt;=1,VALUE(E181)&lt;=20),IF(INDEX(設定!$P$8:$P$27,VALUE(E181))="","？",INDEX(設定!$P$8:$P$27,VALUE(E181))),"？")))</f>
        <v/>
      </c>
      <c r="J181" s="50">
        <f>IF(F181="","",IF(ISERROR(VALUE(F181)),F181&amp;"",IF(AND(VALUE(F181)&gt;=1,VALUE(F181)&lt;=20),IF(INDEX(設定!$P$8:$P$27,VALUE(F181))="","？",INDEX(設定!$P$8:$P$27,VALUE(F181))),"？")))</f>
        <v/>
      </c>
      <c r="K181" s="51">
        <f>IF(L181="","",IF(G181="","名簿にいない",IF(COUNTIF(L182:L$555,L181)&gt;0,"2回提出（下の行を使います）",IF(H181="転出","転出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OR(AND(H181&lt;&gt;"",H181=I181),AND(H181&lt;&gt;"",H181=J181),AND(I181&lt;&gt;"",I181=J181)),"同じクラブを重複して希望","OK")))))))</f>
        <v/>
      </c>
      <c r="L181" s="11">
        <f>IF(OR(A181="",D181=""),"",A181&amp;"-"&amp;B181&amp;"-"&amp;C181)</f>
        <v/>
      </c>
      <c r="M181" s="11">
        <f>IF(OR(L181="",G181=""),"",IF(COUNTIF(L182:L$555,L181)=0,L181,""))</f>
        <v/>
      </c>
      <c r="N181" s="11">
        <f>IFERROR(MATCH(SMALL(前年度名簿!$G$3:$G$452,177),前年度名簿!$G$3:$G$452,0),"")</f>
        <v/>
      </c>
    </row>
    <row r="182">
      <c r="A182" s="49">
        <f>IF($N182="","",INDEX(前年度名簿!$A$3:$A$452,$N182))</f>
        <v/>
      </c>
      <c r="B182" s="49">
        <f>IF($N182="","",INDEX(前年度名簿!$B$3:$B$452,$N182))</f>
        <v/>
      </c>
      <c r="C182" s="49">
        <f>IF($N182="","",INDEX(前年度名簿!$C$3:$C$452,$N182))</f>
        <v/>
      </c>
      <c r="D182" s="49" t="n"/>
      <c r="E182" s="49" t="n"/>
      <c r="F182" s="49" t="n"/>
      <c r="G182" s="4">
        <f>IF(A182="","",IFERROR(INDEX(前年度名簿!$D$3:$D$452,MATCH(A182&amp;"-"&amp;B182&amp;"-"&amp;C182,前年度名簿!$F$3:$F$452,0)),""))</f>
        <v/>
      </c>
      <c r="H182" s="50">
        <f>IF(D182="","",IF(ISERROR(VALUE(D182)),D182&amp;"",IF(AND(VALUE(D182)&gt;=1,VALUE(D182)&lt;=20),IF(INDEX(設定!$P$8:$P$27,VALUE(D182))="","？",INDEX(設定!$P$8:$P$27,VALUE(D182))),"？")))</f>
        <v/>
      </c>
      <c r="I182" s="50">
        <f>IF(E182="","",IF(ISERROR(VALUE(E182)),E182&amp;"",IF(AND(VALUE(E182)&gt;=1,VALUE(E182)&lt;=20),IF(INDEX(設定!$P$8:$P$27,VALUE(E182))="","？",INDEX(設定!$P$8:$P$27,VALUE(E182))),"？")))</f>
        <v/>
      </c>
      <c r="J182" s="50">
        <f>IF(F182="","",IF(ISERROR(VALUE(F182)),F182&amp;"",IF(AND(VALUE(F182)&gt;=1,VALUE(F182)&lt;=20),IF(INDEX(設定!$P$8:$P$27,VALUE(F182))="","？",INDEX(設定!$P$8:$P$27,VALUE(F182))),"？")))</f>
        <v/>
      </c>
      <c r="K182" s="51">
        <f>IF(L182="","",IF(G182="","名簿にいない",IF(COUNTIF(L183:L$555,L182)&gt;0,"2回提出（下の行を使います）",IF(H182="転出","転出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OR(AND(H182&lt;&gt;"",H182=I182),AND(H182&lt;&gt;"",H182=J182),AND(I182&lt;&gt;"",I182=J182)),"同じクラブを重複して希望","OK")))))))</f>
        <v/>
      </c>
      <c r="L182" s="11">
        <f>IF(OR(A182="",D182=""),"",A182&amp;"-"&amp;B182&amp;"-"&amp;C182)</f>
        <v/>
      </c>
      <c r="M182" s="11">
        <f>IF(OR(L182="",G182=""),"",IF(COUNTIF(L183:L$555,L182)=0,L182,""))</f>
        <v/>
      </c>
      <c r="N182" s="11">
        <f>IFERROR(MATCH(SMALL(前年度名簿!$G$3:$G$452,178),前年度名簿!$G$3:$G$452,0),"")</f>
        <v/>
      </c>
    </row>
    <row r="183">
      <c r="A183" s="49">
        <f>IF($N183="","",INDEX(前年度名簿!$A$3:$A$452,$N183))</f>
        <v/>
      </c>
      <c r="B183" s="49">
        <f>IF($N183="","",INDEX(前年度名簿!$B$3:$B$452,$N183))</f>
        <v/>
      </c>
      <c r="C183" s="49">
        <f>IF($N183="","",INDEX(前年度名簿!$C$3:$C$452,$N183))</f>
        <v/>
      </c>
      <c r="D183" s="49" t="n"/>
      <c r="E183" s="49" t="n"/>
      <c r="F183" s="49" t="n"/>
      <c r="G183" s="4">
        <f>IF(A183="","",IFERROR(INDEX(前年度名簿!$D$3:$D$452,MATCH(A183&amp;"-"&amp;B183&amp;"-"&amp;C183,前年度名簿!$F$3:$F$452,0)),""))</f>
        <v/>
      </c>
      <c r="H183" s="50">
        <f>IF(D183="","",IF(ISERROR(VALUE(D183)),D183&amp;"",IF(AND(VALUE(D183)&gt;=1,VALUE(D183)&lt;=20),IF(INDEX(設定!$P$8:$P$27,VALUE(D183))="","？",INDEX(設定!$P$8:$P$27,VALUE(D183))),"？")))</f>
        <v/>
      </c>
      <c r="I183" s="50">
        <f>IF(E183="","",IF(ISERROR(VALUE(E183)),E183&amp;"",IF(AND(VALUE(E183)&gt;=1,VALUE(E183)&lt;=20),IF(INDEX(設定!$P$8:$P$27,VALUE(E183))="","？",INDEX(設定!$P$8:$P$27,VALUE(E183))),"？")))</f>
        <v/>
      </c>
      <c r="J183" s="50">
        <f>IF(F183="","",IF(ISERROR(VALUE(F183)),F183&amp;"",IF(AND(VALUE(F183)&gt;=1,VALUE(F183)&lt;=20),IF(INDEX(設定!$P$8:$P$27,VALUE(F183))="","？",INDEX(設定!$P$8:$P$27,VALUE(F183))),"？")))</f>
        <v/>
      </c>
      <c r="K183" s="51">
        <f>IF(L183="","",IF(G183="","名簿にいない",IF(COUNTIF(L184:L$555,L183)&gt;0,"2回提出（下の行を使います）",IF(H183="転出","転出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OR(AND(H183&lt;&gt;"",H183=I183),AND(H183&lt;&gt;"",H183=J183),AND(I183&lt;&gt;"",I183=J183)),"同じクラブを重複して希望","OK")))))))</f>
        <v/>
      </c>
      <c r="L183" s="11">
        <f>IF(OR(A183="",D183=""),"",A183&amp;"-"&amp;B183&amp;"-"&amp;C183)</f>
        <v/>
      </c>
      <c r="M183" s="11">
        <f>IF(OR(L183="",G183=""),"",IF(COUNTIF(L184:L$555,L183)=0,L183,""))</f>
        <v/>
      </c>
      <c r="N183" s="11">
        <f>IFERROR(MATCH(SMALL(前年度名簿!$G$3:$G$452,179),前年度名簿!$G$3:$G$452,0),"")</f>
        <v/>
      </c>
    </row>
    <row r="184">
      <c r="A184" s="49">
        <f>IF($N184="","",INDEX(前年度名簿!$A$3:$A$452,$N184))</f>
        <v/>
      </c>
      <c r="B184" s="49">
        <f>IF($N184="","",INDEX(前年度名簿!$B$3:$B$452,$N184))</f>
        <v/>
      </c>
      <c r="C184" s="49">
        <f>IF($N184="","",INDEX(前年度名簿!$C$3:$C$452,$N184))</f>
        <v/>
      </c>
      <c r="D184" s="49" t="n"/>
      <c r="E184" s="49" t="n"/>
      <c r="F184" s="49" t="n"/>
      <c r="G184" s="4">
        <f>IF(A184="","",IFERROR(INDEX(前年度名簿!$D$3:$D$452,MATCH(A184&amp;"-"&amp;B184&amp;"-"&amp;C184,前年度名簿!$F$3:$F$452,0)),""))</f>
        <v/>
      </c>
      <c r="H184" s="50">
        <f>IF(D184="","",IF(ISERROR(VALUE(D184)),D184&amp;"",IF(AND(VALUE(D184)&gt;=1,VALUE(D184)&lt;=20),IF(INDEX(設定!$P$8:$P$27,VALUE(D184))="","？",INDEX(設定!$P$8:$P$27,VALUE(D184))),"？")))</f>
        <v/>
      </c>
      <c r="I184" s="50">
        <f>IF(E184="","",IF(ISERROR(VALUE(E184)),E184&amp;"",IF(AND(VALUE(E184)&gt;=1,VALUE(E184)&lt;=20),IF(INDEX(設定!$P$8:$P$27,VALUE(E184))="","？",INDEX(設定!$P$8:$P$27,VALUE(E184))),"？")))</f>
        <v/>
      </c>
      <c r="J184" s="50">
        <f>IF(F184="","",IF(ISERROR(VALUE(F184)),F184&amp;"",IF(AND(VALUE(F184)&gt;=1,VALUE(F184)&lt;=20),IF(INDEX(設定!$P$8:$P$27,VALUE(F184))="","？",INDEX(設定!$P$8:$P$27,VALUE(F184))),"？")))</f>
        <v/>
      </c>
      <c r="K184" s="51">
        <f>IF(L184="","",IF(G184="","名簿にいない",IF(COUNTIF(L185:L$555,L184)&gt;0,"2回提出（下の行を使います）",IF(H184="転出","転出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OR(AND(H184&lt;&gt;"",H184=I184),AND(H184&lt;&gt;"",H184=J184),AND(I184&lt;&gt;"",I184=J184)),"同じクラブを重複して希望","OK")))))))</f>
        <v/>
      </c>
      <c r="L184" s="11">
        <f>IF(OR(A184="",D184=""),"",A184&amp;"-"&amp;B184&amp;"-"&amp;C184)</f>
        <v/>
      </c>
      <c r="M184" s="11">
        <f>IF(OR(L184="",G184=""),"",IF(COUNTIF(L185:L$555,L184)=0,L184,""))</f>
        <v/>
      </c>
      <c r="N184" s="11">
        <f>IFERROR(MATCH(SMALL(前年度名簿!$G$3:$G$452,180),前年度名簿!$G$3:$G$452,0),"")</f>
        <v/>
      </c>
    </row>
    <row r="185">
      <c r="A185" s="49">
        <f>IF($N185="","",INDEX(前年度名簿!$A$3:$A$452,$N185))</f>
        <v/>
      </c>
      <c r="B185" s="49">
        <f>IF($N185="","",INDEX(前年度名簿!$B$3:$B$452,$N185))</f>
        <v/>
      </c>
      <c r="C185" s="49">
        <f>IF($N185="","",INDEX(前年度名簿!$C$3:$C$452,$N185))</f>
        <v/>
      </c>
      <c r="D185" s="49" t="n"/>
      <c r="E185" s="49" t="n"/>
      <c r="F185" s="49" t="n"/>
      <c r="G185" s="4">
        <f>IF(A185="","",IFERROR(INDEX(前年度名簿!$D$3:$D$452,MATCH(A185&amp;"-"&amp;B185&amp;"-"&amp;C185,前年度名簿!$F$3:$F$452,0)),""))</f>
        <v/>
      </c>
      <c r="H185" s="50">
        <f>IF(D185="","",IF(ISERROR(VALUE(D185)),D185&amp;"",IF(AND(VALUE(D185)&gt;=1,VALUE(D185)&lt;=20),IF(INDEX(設定!$P$8:$P$27,VALUE(D185))="","？",INDEX(設定!$P$8:$P$27,VALUE(D185))),"？")))</f>
        <v/>
      </c>
      <c r="I185" s="50">
        <f>IF(E185="","",IF(ISERROR(VALUE(E185)),E185&amp;"",IF(AND(VALUE(E185)&gt;=1,VALUE(E185)&lt;=20),IF(INDEX(設定!$P$8:$P$27,VALUE(E185))="","？",INDEX(設定!$P$8:$P$27,VALUE(E185))),"？")))</f>
        <v/>
      </c>
      <c r="J185" s="50">
        <f>IF(F185="","",IF(ISERROR(VALUE(F185)),F185&amp;"",IF(AND(VALUE(F185)&gt;=1,VALUE(F185)&lt;=20),IF(INDEX(設定!$P$8:$P$27,VALUE(F185))="","？",INDEX(設定!$P$8:$P$27,VALUE(F185))),"？")))</f>
        <v/>
      </c>
      <c r="K185" s="51">
        <f>IF(L185="","",IF(G185="","名簿にいない",IF(COUNTIF(L186:L$555,L185)&gt;0,"2回提出（下の行を使います）",IF(H185="転出","転出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OR(AND(H185&lt;&gt;"",H185=I185),AND(H185&lt;&gt;"",H185=J185),AND(I185&lt;&gt;"",I185=J185)),"同じクラブを重複して希望","OK")))))))</f>
        <v/>
      </c>
      <c r="L185" s="11">
        <f>IF(OR(A185="",D185=""),"",A185&amp;"-"&amp;B185&amp;"-"&amp;C185)</f>
        <v/>
      </c>
      <c r="M185" s="11">
        <f>IF(OR(L185="",G185=""),"",IF(COUNTIF(L186:L$555,L185)=0,L185,""))</f>
        <v/>
      </c>
      <c r="N185" s="11">
        <f>IFERROR(MATCH(SMALL(前年度名簿!$G$3:$G$452,181),前年度名簿!$G$3:$G$452,0),"")</f>
        <v/>
      </c>
    </row>
    <row r="186">
      <c r="A186" s="49">
        <f>IF($N186="","",INDEX(前年度名簿!$A$3:$A$452,$N186))</f>
        <v/>
      </c>
      <c r="B186" s="49">
        <f>IF($N186="","",INDEX(前年度名簿!$B$3:$B$452,$N186))</f>
        <v/>
      </c>
      <c r="C186" s="49">
        <f>IF($N186="","",INDEX(前年度名簿!$C$3:$C$452,$N186))</f>
        <v/>
      </c>
      <c r="D186" s="49" t="n"/>
      <c r="E186" s="49" t="n"/>
      <c r="F186" s="49" t="n"/>
      <c r="G186" s="4">
        <f>IF(A186="","",IFERROR(INDEX(前年度名簿!$D$3:$D$452,MATCH(A186&amp;"-"&amp;B186&amp;"-"&amp;C186,前年度名簿!$F$3:$F$452,0)),""))</f>
        <v/>
      </c>
      <c r="H186" s="50">
        <f>IF(D186="","",IF(ISERROR(VALUE(D186)),D186&amp;"",IF(AND(VALUE(D186)&gt;=1,VALUE(D186)&lt;=20),IF(INDEX(設定!$P$8:$P$27,VALUE(D186))="","？",INDEX(設定!$P$8:$P$27,VALUE(D186))),"？")))</f>
        <v/>
      </c>
      <c r="I186" s="50">
        <f>IF(E186="","",IF(ISERROR(VALUE(E186)),E186&amp;"",IF(AND(VALUE(E186)&gt;=1,VALUE(E186)&lt;=20),IF(INDEX(設定!$P$8:$P$27,VALUE(E186))="","？",INDEX(設定!$P$8:$P$27,VALUE(E186))),"？")))</f>
        <v/>
      </c>
      <c r="J186" s="50">
        <f>IF(F186="","",IF(ISERROR(VALUE(F186)),F186&amp;"",IF(AND(VALUE(F186)&gt;=1,VALUE(F186)&lt;=20),IF(INDEX(設定!$P$8:$P$27,VALUE(F186))="","？",INDEX(設定!$P$8:$P$27,VALUE(F186))),"？")))</f>
        <v/>
      </c>
      <c r="K186" s="51">
        <f>IF(L186="","",IF(G186="","名簿にいない",IF(COUNTIF(L187:L$555,L186)&gt;0,"2回提出（下の行を使います）",IF(H186="転出","転出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OR(AND(H186&lt;&gt;"",H186=I186),AND(H186&lt;&gt;"",H186=J186),AND(I186&lt;&gt;"",I186=J186)),"同じクラブを重複して希望","OK")))))))</f>
        <v/>
      </c>
      <c r="L186" s="11">
        <f>IF(OR(A186="",D186=""),"",A186&amp;"-"&amp;B186&amp;"-"&amp;C186)</f>
        <v/>
      </c>
      <c r="M186" s="11">
        <f>IF(OR(L186="",G186=""),"",IF(COUNTIF(L187:L$555,L186)=0,L186,""))</f>
        <v/>
      </c>
      <c r="N186" s="11">
        <f>IFERROR(MATCH(SMALL(前年度名簿!$G$3:$G$452,182),前年度名簿!$G$3:$G$452,0),"")</f>
        <v/>
      </c>
    </row>
    <row r="187">
      <c r="A187" s="49">
        <f>IF($N187="","",INDEX(前年度名簿!$A$3:$A$452,$N187))</f>
        <v/>
      </c>
      <c r="B187" s="49">
        <f>IF($N187="","",INDEX(前年度名簿!$B$3:$B$452,$N187))</f>
        <v/>
      </c>
      <c r="C187" s="49">
        <f>IF($N187="","",INDEX(前年度名簿!$C$3:$C$452,$N187))</f>
        <v/>
      </c>
      <c r="D187" s="49" t="n"/>
      <c r="E187" s="49" t="n"/>
      <c r="F187" s="49" t="n"/>
      <c r="G187" s="4">
        <f>IF(A187="","",IFERROR(INDEX(前年度名簿!$D$3:$D$452,MATCH(A187&amp;"-"&amp;B187&amp;"-"&amp;C187,前年度名簿!$F$3:$F$452,0)),""))</f>
        <v/>
      </c>
      <c r="H187" s="50">
        <f>IF(D187="","",IF(ISERROR(VALUE(D187)),D187&amp;"",IF(AND(VALUE(D187)&gt;=1,VALUE(D187)&lt;=20),IF(INDEX(設定!$P$8:$P$27,VALUE(D187))="","？",INDEX(設定!$P$8:$P$27,VALUE(D187))),"？")))</f>
        <v/>
      </c>
      <c r="I187" s="50">
        <f>IF(E187="","",IF(ISERROR(VALUE(E187)),E187&amp;"",IF(AND(VALUE(E187)&gt;=1,VALUE(E187)&lt;=20),IF(INDEX(設定!$P$8:$P$27,VALUE(E187))="","？",INDEX(設定!$P$8:$P$27,VALUE(E187))),"？")))</f>
        <v/>
      </c>
      <c r="J187" s="50">
        <f>IF(F187="","",IF(ISERROR(VALUE(F187)),F187&amp;"",IF(AND(VALUE(F187)&gt;=1,VALUE(F187)&lt;=20),IF(INDEX(設定!$P$8:$P$27,VALUE(F187))="","？",INDEX(設定!$P$8:$P$27,VALUE(F187))),"？")))</f>
        <v/>
      </c>
      <c r="K187" s="51">
        <f>IF(L187="","",IF(G187="","名簿にいない",IF(COUNTIF(L188:L$555,L187)&gt;0,"2回提出（下の行を使います）",IF(H187="転出","転出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OR(AND(H187&lt;&gt;"",H187=I187),AND(H187&lt;&gt;"",H187=J187),AND(I187&lt;&gt;"",I187=J187)),"同じクラブを重複して希望","OK")))))))</f>
        <v/>
      </c>
      <c r="L187" s="11">
        <f>IF(OR(A187="",D187=""),"",A187&amp;"-"&amp;B187&amp;"-"&amp;C187)</f>
        <v/>
      </c>
      <c r="M187" s="11">
        <f>IF(OR(L187="",G187=""),"",IF(COUNTIF(L188:L$555,L187)=0,L187,""))</f>
        <v/>
      </c>
      <c r="N187" s="11">
        <f>IFERROR(MATCH(SMALL(前年度名簿!$G$3:$G$452,183),前年度名簿!$G$3:$G$452,0),"")</f>
        <v/>
      </c>
    </row>
    <row r="188">
      <c r="A188" s="49">
        <f>IF($N188="","",INDEX(前年度名簿!$A$3:$A$452,$N188))</f>
        <v/>
      </c>
      <c r="B188" s="49">
        <f>IF($N188="","",INDEX(前年度名簿!$B$3:$B$452,$N188))</f>
        <v/>
      </c>
      <c r="C188" s="49">
        <f>IF($N188="","",INDEX(前年度名簿!$C$3:$C$452,$N188))</f>
        <v/>
      </c>
      <c r="D188" s="49" t="n"/>
      <c r="E188" s="49" t="n"/>
      <c r="F188" s="49" t="n"/>
      <c r="G188" s="4">
        <f>IF(A188="","",IFERROR(INDEX(前年度名簿!$D$3:$D$452,MATCH(A188&amp;"-"&amp;B188&amp;"-"&amp;C188,前年度名簿!$F$3:$F$452,0)),""))</f>
        <v/>
      </c>
      <c r="H188" s="50">
        <f>IF(D188="","",IF(ISERROR(VALUE(D188)),D188&amp;"",IF(AND(VALUE(D188)&gt;=1,VALUE(D188)&lt;=20),IF(INDEX(設定!$P$8:$P$27,VALUE(D188))="","？",INDEX(設定!$P$8:$P$27,VALUE(D188))),"？")))</f>
        <v/>
      </c>
      <c r="I188" s="50">
        <f>IF(E188="","",IF(ISERROR(VALUE(E188)),E188&amp;"",IF(AND(VALUE(E188)&gt;=1,VALUE(E188)&lt;=20),IF(INDEX(設定!$P$8:$P$27,VALUE(E188))="","？",INDEX(設定!$P$8:$P$27,VALUE(E188))),"？")))</f>
        <v/>
      </c>
      <c r="J188" s="50">
        <f>IF(F188="","",IF(ISERROR(VALUE(F188)),F188&amp;"",IF(AND(VALUE(F188)&gt;=1,VALUE(F188)&lt;=20),IF(INDEX(設定!$P$8:$P$27,VALUE(F188))="","？",INDEX(設定!$P$8:$P$27,VALUE(F188))),"？")))</f>
        <v/>
      </c>
      <c r="K188" s="51">
        <f>IF(L188="","",IF(G188="","名簿にいない",IF(COUNTIF(L189:L$555,L188)&gt;0,"2回提出（下の行を使います）",IF(H188="転出","転出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OR(AND(H188&lt;&gt;"",H188=I188),AND(H188&lt;&gt;"",H188=J188),AND(I188&lt;&gt;"",I188=J188)),"同じクラブを重複して希望","OK")))))))</f>
        <v/>
      </c>
      <c r="L188" s="11">
        <f>IF(OR(A188="",D188=""),"",A188&amp;"-"&amp;B188&amp;"-"&amp;C188)</f>
        <v/>
      </c>
      <c r="M188" s="11">
        <f>IF(OR(L188="",G188=""),"",IF(COUNTIF(L189:L$555,L188)=0,L188,""))</f>
        <v/>
      </c>
      <c r="N188" s="11">
        <f>IFERROR(MATCH(SMALL(前年度名簿!$G$3:$G$452,184),前年度名簿!$G$3:$G$452,0),"")</f>
        <v/>
      </c>
    </row>
    <row r="189">
      <c r="A189" s="49">
        <f>IF($N189="","",INDEX(前年度名簿!$A$3:$A$452,$N189))</f>
        <v/>
      </c>
      <c r="B189" s="49">
        <f>IF($N189="","",INDEX(前年度名簿!$B$3:$B$452,$N189))</f>
        <v/>
      </c>
      <c r="C189" s="49">
        <f>IF($N189="","",INDEX(前年度名簿!$C$3:$C$452,$N189))</f>
        <v/>
      </c>
      <c r="D189" s="49" t="n"/>
      <c r="E189" s="49" t="n"/>
      <c r="F189" s="49" t="n"/>
      <c r="G189" s="4">
        <f>IF(A189="","",IFERROR(INDEX(前年度名簿!$D$3:$D$452,MATCH(A189&amp;"-"&amp;B189&amp;"-"&amp;C189,前年度名簿!$F$3:$F$452,0)),""))</f>
        <v/>
      </c>
      <c r="H189" s="50">
        <f>IF(D189="","",IF(ISERROR(VALUE(D189)),D189&amp;"",IF(AND(VALUE(D189)&gt;=1,VALUE(D189)&lt;=20),IF(INDEX(設定!$P$8:$P$27,VALUE(D189))="","？",INDEX(設定!$P$8:$P$27,VALUE(D189))),"？")))</f>
        <v/>
      </c>
      <c r="I189" s="50">
        <f>IF(E189="","",IF(ISERROR(VALUE(E189)),E189&amp;"",IF(AND(VALUE(E189)&gt;=1,VALUE(E189)&lt;=20),IF(INDEX(設定!$P$8:$P$27,VALUE(E189))="","？",INDEX(設定!$P$8:$P$27,VALUE(E189))),"？")))</f>
        <v/>
      </c>
      <c r="J189" s="50">
        <f>IF(F189="","",IF(ISERROR(VALUE(F189)),F189&amp;"",IF(AND(VALUE(F189)&gt;=1,VALUE(F189)&lt;=20),IF(INDEX(設定!$P$8:$P$27,VALUE(F189))="","？",INDEX(設定!$P$8:$P$27,VALUE(F189))),"？")))</f>
        <v/>
      </c>
      <c r="K189" s="51">
        <f>IF(L189="","",IF(G189="","名簿にいない",IF(COUNTIF(L190:L$555,L189)&gt;0,"2回提出（下の行を使います）",IF(H189="転出","転出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OR(AND(H189&lt;&gt;"",H189=I189),AND(H189&lt;&gt;"",H189=J189),AND(I189&lt;&gt;"",I189=J189)),"同じクラブを重複して希望","OK")))))))</f>
        <v/>
      </c>
      <c r="L189" s="11">
        <f>IF(OR(A189="",D189=""),"",A189&amp;"-"&amp;B189&amp;"-"&amp;C189)</f>
        <v/>
      </c>
      <c r="M189" s="11">
        <f>IF(OR(L189="",G189=""),"",IF(COUNTIF(L190:L$555,L189)=0,L189,""))</f>
        <v/>
      </c>
      <c r="N189" s="11">
        <f>IFERROR(MATCH(SMALL(前年度名簿!$G$3:$G$452,185),前年度名簿!$G$3:$G$452,0),"")</f>
        <v/>
      </c>
    </row>
    <row r="190">
      <c r="A190" s="49">
        <f>IF($N190="","",INDEX(前年度名簿!$A$3:$A$452,$N190))</f>
        <v/>
      </c>
      <c r="B190" s="49">
        <f>IF($N190="","",INDEX(前年度名簿!$B$3:$B$452,$N190))</f>
        <v/>
      </c>
      <c r="C190" s="49">
        <f>IF($N190="","",INDEX(前年度名簿!$C$3:$C$452,$N190))</f>
        <v/>
      </c>
      <c r="D190" s="49" t="n"/>
      <c r="E190" s="49" t="n"/>
      <c r="F190" s="49" t="n"/>
      <c r="G190" s="4">
        <f>IF(A190="","",IFERROR(INDEX(前年度名簿!$D$3:$D$452,MATCH(A190&amp;"-"&amp;B190&amp;"-"&amp;C190,前年度名簿!$F$3:$F$452,0)),""))</f>
        <v/>
      </c>
      <c r="H190" s="50">
        <f>IF(D190="","",IF(ISERROR(VALUE(D190)),D190&amp;"",IF(AND(VALUE(D190)&gt;=1,VALUE(D190)&lt;=20),IF(INDEX(設定!$P$8:$P$27,VALUE(D190))="","？",INDEX(設定!$P$8:$P$27,VALUE(D190))),"？")))</f>
        <v/>
      </c>
      <c r="I190" s="50">
        <f>IF(E190="","",IF(ISERROR(VALUE(E190)),E190&amp;"",IF(AND(VALUE(E190)&gt;=1,VALUE(E190)&lt;=20),IF(INDEX(設定!$P$8:$P$27,VALUE(E190))="","？",INDEX(設定!$P$8:$P$27,VALUE(E190))),"？")))</f>
        <v/>
      </c>
      <c r="J190" s="50">
        <f>IF(F190="","",IF(ISERROR(VALUE(F190)),F190&amp;"",IF(AND(VALUE(F190)&gt;=1,VALUE(F190)&lt;=20),IF(INDEX(設定!$P$8:$P$27,VALUE(F190))="","？",INDEX(設定!$P$8:$P$27,VALUE(F190))),"？")))</f>
        <v/>
      </c>
      <c r="K190" s="51">
        <f>IF(L190="","",IF(G190="","名簿にいない",IF(COUNTIF(L191:L$555,L190)&gt;0,"2回提出（下の行を使います）",IF(H190="転出","転出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OR(AND(H190&lt;&gt;"",H190=I190),AND(H190&lt;&gt;"",H190=J190),AND(I190&lt;&gt;"",I190=J190)),"同じクラブを重複して希望","OK")))))))</f>
        <v/>
      </c>
      <c r="L190" s="11">
        <f>IF(OR(A190="",D190=""),"",A190&amp;"-"&amp;B190&amp;"-"&amp;C190)</f>
        <v/>
      </c>
      <c r="M190" s="11">
        <f>IF(OR(L190="",G190=""),"",IF(COUNTIF(L191:L$555,L190)=0,L190,""))</f>
        <v/>
      </c>
      <c r="N190" s="11">
        <f>IFERROR(MATCH(SMALL(前年度名簿!$G$3:$G$452,186),前年度名簿!$G$3:$G$452,0),"")</f>
        <v/>
      </c>
    </row>
    <row r="191">
      <c r="A191" s="49">
        <f>IF($N191="","",INDEX(前年度名簿!$A$3:$A$452,$N191))</f>
        <v/>
      </c>
      <c r="B191" s="49">
        <f>IF($N191="","",INDEX(前年度名簿!$B$3:$B$452,$N191))</f>
        <v/>
      </c>
      <c r="C191" s="49">
        <f>IF($N191="","",INDEX(前年度名簿!$C$3:$C$452,$N191))</f>
        <v/>
      </c>
      <c r="D191" s="49" t="n"/>
      <c r="E191" s="49" t="n"/>
      <c r="F191" s="49" t="n"/>
      <c r="G191" s="4">
        <f>IF(A191="","",IFERROR(INDEX(前年度名簿!$D$3:$D$452,MATCH(A191&amp;"-"&amp;B191&amp;"-"&amp;C191,前年度名簿!$F$3:$F$452,0)),""))</f>
        <v/>
      </c>
      <c r="H191" s="50">
        <f>IF(D191="","",IF(ISERROR(VALUE(D191)),D191&amp;"",IF(AND(VALUE(D191)&gt;=1,VALUE(D191)&lt;=20),IF(INDEX(設定!$P$8:$P$27,VALUE(D191))="","？",INDEX(設定!$P$8:$P$27,VALUE(D191))),"？")))</f>
        <v/>
      </c>
      <c r="I191" s="50">
        <f>IF(E191="","",IF(ISERROR(VALUE(E191)),E191&amp;"",IF(AND(VALUE(E191)&gt;=1,VALUE(E191)&lt;=20),IF(INDEX(設定!$P$8:$P$27,VALUE(E191))="","？",INDEX(設定!$P$8:$P$27,VALUE(E191))),"？")))</f>
        <v/>
      </c>
      <c r="J191" s="50">
        <f>IF(F191="","",IF(ISERROR(VALUE(F191)),F191&amp;"",IF(AND(VALUE(F191)&gt;=1,VALUE(F191)&lt;=20),IF(INDEX(設定!$P$8:$P$27,VALUE(F191))="","？",INDEX(設定!$P$8:$P$27,VALUE(F191))),"？")))</f>
        <v/>
      </c>
      <c r="K191" s="51">
        <f>IF(L191="","",IF(G191="","名簿にいない",IF(COUNTIF(L192:L$555,L191)&gt;0,"2回提出（下の行を使います）",IF(H191="転出","転出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OR(AND(H191&lt;&gt;"",H191=I191),AND(H191&lt;&gt;"",H191=J191),AND(I191&lt;&gt;"",I191=J191)),"同じクラブを重複して希望","OK")))))))</f>
        <v/>
      </c>
      <c r="L191" s="11">
        <f>IF(OR(A191="",D191=""),"",A191&amp;"-"&amp;B191&amp;"-"&amp;C191)</f>
        <v/>
      </c>
      <c r="M191" s="11">
        <f>IF(OR(L191="",G191=""),"",IF(COUNTIF(L192:L$555,L191)=0,L191,""))</f>
        <v/>
      </c>
      <c r="N191" s="11">
        <f>IFERROR(MATCH(SMALL(前年度名簿!$G$3:$G$452,187),前年度名簿!$G$3:$G$452,0),"")</f>
        <v/>
      </c>
    </row>
    <row r="192">
      <c r="A192" s="49">
        <f>IF($N192="","",INDEX(前年度名簿!$A$3:$A$452,$N192))</f>
        <v/>
      </c>
      <c r="B192" s="49">
        <f>IF($N192="","",INDEX(前年度名簿!$B$3:$B$452,$N192))</f>
        <v/>
      </c>
      <c r="C192" s="49">
        <f>IF($N192="","",INDEX(前年度名簿!$C$3:$C$452,$N192))</f>
        <v/>
      </c>
      <c r="D192" s="49" t="n"/>
      <c r="E192" s="49" t="n"/>
      <c r="F192" s="49" t="n"/>
      <c r="G192" s="4">
        <f>IF(A192="","",IFERROR(INDEX(前年度名簿!$D$3:$D$452,MATCH(A192&amp;"-"&amp;B192&amp;"-"&amp;C192,前年度名簿!$F$3:$F$452,0)),""))</f>
        <v/>
      </c>
      <c r="H192" s="50">
        <f>IF(D192="","",IF(ISERROR(VALUE(D192)),D192&amp;"",IF(AND(VALUE(D192)&gt;=1,VALUE(D192)&lt;=20),IF(INDEX(設定!$P$8:$P$27,VALUE(D192))="","？",INDEX(設定!$P$8:$P$27,VALUE(D192))),"？")))</f>
        <v/>
      </c>
      <c r="I192" s="50">
        <f>IF(E192="","",IF(ISERROR(VALUE(E192)),E192&amp;"",IF(AND(VALUE(E192)&gt;=1,VALUE(E192)&lt;=20),IF(INDEX(設定!$P$8:$P$27,VALUE(E192))="","？",INDEX(設定!$P$8:$P$27,VALUE(E192))),"？")))</f>
        <v/>
      </c>
      <c r="J192" s="50">
        <f>IF(F192="","",IF(ISERROR(VALUE(F192)),F192&amp;"",IF(AND(VALUE(F192)&gt;=1,VALUE(F192)&lt;=20),IF(INDEX(設定!$P$8:$P$27,VALUE(F192))="","？",INDEX(設定!$P$8:$P$27,VALUE(F192))),"？")))</f>
        <v/>
      </c>
      <c r="K192" s="51">
        <f>IF(L192="","",IF(G192="","名簿にいない",IF(COUNTIF(L193:L$555,L192)&gt;0,"2回提出（下の行を使います）",IF(H192="転出","転出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OR(AND(H192&lt;&gt;"",H192=I192),AND(H192&lt;&gt;"",H192=J192),AND(I192&lt;&gt;"",I192=J192)),"同じクラブを重複して希望","OK")))))))</f>
        <v/>
      </c>
      <c r="L192" s="11">
        <f>IF(OR(A192="",D192=""),"",A192&amp;"-"&amp;B192&amp;"-"&amp;C192)</f>
        <v/>
      </c>
      <c r="M192" s="11">
        <f>IF(OR(L192="",G192=""),"",IF(COUNTIF(L193:L$555,L192)=0,L192,""))</f>
        <v/>
      </c>
      <c r="N192" s="11">
        <f>IFERROR(MATCH(SMALL(前年度名簿!$G$3:$G$452,188),前年度名簿!$G$3:$G$452,0),"")</f>
        <v/>
      </c>
    </row>
    <row r="193">
      <c r="A193" s="49">
        <f>IF($N193="","",INDEX(前年度名簿!$A$3:$A$452,$N193))</f>
        <v/>
      </c>
      <c r="B193" s="49">
        <f>IF($N193="","",INDEX(前年度名簿!$B$3:$B$452,$N193))</f>
        <v/>
      </c>
      <c r="C193" s="49">
        <f>IF($N193="","",INDEX(前年度名簿!$C$3:$C$452,$N193))</f>
        <v/>
      </c>
      <c r="D193" s="49" t="n"/>
      <c r="E193" s="49" t="n"/>
      <c r="F193" s="49" t="n"/>
      <c r="G193" s="4">
        <f>IF(A193="","",IFERROR(INDEX(前年度名簿!$D$3:$D$452,MATCH(A193&amp;"-"&amp;B193&amp;"-"&amp;C193,前年度名簿!$F$3:$F$452,0)),""))</f>
        <v/>
      </c>
      <c r="H193" s="50">
        <f>IF(D193="","",IF(ISERROR(VALUE(D193)),D193&amp;"",IF(AND(VALUE(D193)&gt;=1,VALUE(D193)&lt;=20),IF(INDEX(設定!$P$8:$P$27,VALUE(D193))="","？",INDEX(設定!$P$8:$P$27,VALUE(D193))),"？")))</f>
        <v/>
      </c>
      <c r="I193" s="50">
        <f>IF(E193="","",IF(ISERROR(VALUE(E193)),E193&amp;"",IF(AND(VALUE(E193)&gt;=1,VALUE(E193)&lt;=20),IF(INDEX(設定!$P$8:$P$27,VALUE(E193))="","？",INDEX(設定!$P$8:$P$27,VALUE(E193))),"？")))</f>
        <v/>
      </c>
      <c r="J193" s="50">
        <f>IF(F193="","",IF(ISERROR(VALUE(F193)),F193&amp;"",IF(AND(VALUE(F193)&gt;=1,VALUE(F193)&lt;=20),IF(INDEX(設定!$P$8:$P$27,VALUE(F193))="","？",INDEX(設定!$P$8:$P$27,VALUE(F193))),"？")))</f>
        <v/>
      </c>
      <c r="K193" s="51">
        <f>IF(L193="","",IF(G193="","名簿にいない",IF(COUNTIF(L194:L$555,L193)&gt;0,"2回提出（下の行を使います）",IF(H193="転出","転出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OR(AND(H193&lt;&gt;"",H193=I193),AND(H193&lt;&gt;"",H193=J193),AND(I193&lt;&gt;"",I193=J193)),"同じクラブを重複して希望","OK")))))))</f>
        <v/>
      </c>
      <c r="L193" s="11">
        <f>IF(OR(A193="",D193=""),"",A193&amp;"-"&amp;B193&amp;"-"&amp;C193)</f>
        <v/>
      </c>
      <c r="M193" s="11">
        <f>IF(OR(L193="",G193=""),"",IF(COUNTIF(L194:L$555,L193)=0,L193,""))</f>
        <v/>
      </c>
      <c r="N193" s="11">
        <f>IFERROR(MATCH(SMALL(前年度名簿!$G$3:$G$452,189),前年度名簿!$G$3:$G$452,0),"")</f>
        <v/>
      </c>
    </row>
    <row r="194">
      <c r="A194" s="49">
        <f>IF($N194="","",INDEX(前年度名簿!$A$3:$A$452,$N194))</f>
        <v/>
      </c>
      <c r="B194" s="49">
        <f>IF($N194="","",INDEX(前年度名簿!$B$3:$B$452,$N194))</f>
        <v/>
      </c>
      <c r="C194" s="49">
        <f>IF($N194="","",INDEX(前年度名簿!$C$3:$C$452,$N194))</f>
        <v/>
      </c>
      <c r="D194" s="49" t="n"/>
      <c r="E194" s="49" t="n"/>
      <c r="F194" s="49" t="n"/>
      <c r="G194" s="4">
        <f>IF(A194="","",IFERROR(INDEX(前年度名簿!$D$3:$D$452,MATCH(A194&amp;"-"&amp;B194&amp;"-"&amp;C194,前年度名簿!$F$3:$F$452,0)),""))</f>
        <v/>
      </c>
      <c r="H194" s="50">
        <f>IF(D194="","",IF(ISERROR(VALUE(D194)),D194&amp;"",IF(AND(VALUE(D194)&gt;=1,VALUE(D194)&lt;=20),IF(INDEX(設定!$P$8:$P$27,VALUE(D194))="","？",INDEX(設定!$P$8:$P$27,VALUE(D194))),"？")))</f>
        <v/>
      </c>
      <c r="I194" s="50">
        <f>IF(E194="","",IF(ISERROR(VALUE(E194)),E194&amp;"",IF(AND(VALUE(E194)&gt;=1,VALUE(E194)&lt;=20),IF(INDEX(設定!$P$8:$P$27,VALUE(E194))="","？",INDEX(設定!$P$8:$P$27,VALUE(E194))),"？")))</f>
        <v/>
      </c>
      <c r="J194" s="50">
        <f>IF(F194="","",IF(ISERROR(VALUE(F194)),F194&amp;"",IF(AND(VALUE(F194)&gt;=1,VALUE(F194)&lt;=20),IF(INDEX(設定!$P$8:$P$27,VALUE(F194))="","？",INDEX(設定!$P$8:$P$27,VALUE(F194))),"？")))</f>
        <v/>
      </c>
      <c r="K194" s="51">
        <f>IF(L194="","",IF(G194="","名簿にいない",IF(COUNTIF(L195:L$555,L194)&gt;0,"2回提出（下の行を使います）",IF(H194="転出","転出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OR(AND(H194&lt;&gt;"",H194=I194),AND(H194&lt;&gt;"",H194=J194),AND(I194&lt;&gt;"",I194=J194)),"同じクラブを重複して希望","OK")))))))</f>
        <v/>
      </c>
      <c r="L194" s="11">
        <f>IF(OR(A194="",D194=""),"",A194&amp;"-"&amp;B194&amp;"-"&amp;C194)</f>
        <v/>
      </c>
      <c r="M194" s="11">
        <f>IF(OR(L194="",G194=""),"",IF(COUNTIF(L195:L$555,L194)=0,L194,""))</f>
        <v/>
      </c>
      <c r="N194" s="11">
        <f>IFERROR(MATCH(SMALL(前年度名簿!$G$3:$G$452,190),前年度名簿!$G$3:$G$452,0),"")</f>
        <v/>
      </c>
    </row>
    <row r="195">
      <c r="A195" s="49">
        <f>IF($N195="","",INDEX(前年度名簿!$A$3:$A$452,$N195))</f>
        <v/>
      </c>
      <c r="B195" s="49">
        <f>IF($N195="","",INDEX(前年度名簿!$B$3:$B$452,$N195))</f>
        <v/>
      </c>
      <c r="C195" s="49">
        <f>IF($N195="","",INDEX(前年度名簿!$C$3:$C$452,$N195))</f>
        <v/>
      </c>
      <c r="D195" s="49" t="n"/>
      <c r="E195" s="49" t="n"/>
      <c r="F195" s="49" t="n"/>
      <c r="G195" s="4">
        <f>IF(A195="","",IFERROR(INDEX(前年度名簿!$D$3:$D$452,MATCH(A195&amp;"-"&amp;B195&amp;"-"&amp;C195,前年度名簿!$F$3:$F$452,0)),""))</f>
        <v/>
      </c>
      <c r="H195" s="50">
        <f>IF(D195="","",IF(ISERROR(VALUE(D195)),D195&amp;"",IF(AND(VALUE(D195)&gt;=1,VALUE(D195)&lt;=20),IF(INDEX(設定!$P$8:$P$27,VALUE(D195))="","？",INDEX(設定!$P$8:$P$27,VALUE(D195))),"？")))</f>
        <v/>
      </c>
      <c r="I195" s="50">
        <f>IF(E195="","",IF(ISERROR(VALUE(E195)),E195&amp;"",IF(AND(VALUE(E195)&gt;=1,VALUE(E195)&lt;=20),IF(INDEX(設定!$P$8:$P$27,VALUE(E195))="","？",INDEX(設定!$P$8:$P$27,VALUE(E195))),"？")))</f>
        <v/>
      </c>
      <c r="J195" s="50">
        <f>IF(F195="","",IF(ISERROR(VALUE(F195)),F195&amp;"",IF(AND(VALUE(F195)&gt;=1,VALUE(F195)&lt;=20),IF(INDEX(設定!$P$8:$P$27,VALUE(F195))="","？",INDEX(設定!$P$8:$P$27,VALUE(F195))),"？")))</f>
        <v/>
      </c>
      <c r="K195" s="51">
        <f>IF(L195="","",IF(G195="","名簿にいない",IF(COUNTIF(L196:L$555,L195)&gt;0,"2回提出（下の行を使います）",IF(H195="転出","転出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OR(AND(H195&lt;&gt;"",H195=I195),AND(H195&lt;&gt;"",H195=J195),AND(I195&lt;&gt;"",I195=J195)),"同じクラブを重複して希望","OK")))))))</f>
        <v/>
      </c>
      <c r="L195" s="11">
        <f>IF(OR(A195="",D195=""),"",A195&amp;"-"&amp;B195&amp;"-"&amp;C195)</f>
        <v/>
      </c>
      <c r="M195" s="11">
        <f>IF(OR(L195="",G195=""),"",IF(COUNTIF(L196:L$555,L195)=0,L195,""))</f>
        <v/>
      </c>
      <c r="N195" s="11">
        <f>IFERROR(MATCH(SMALL(前年度名簿!$G$3:$G$452,191),前年度名簿!$G$3:$G$452,0),"")</f>
        <v/>
      </c>
    </row>
    <row r="196">
      <c r="A196" s="49">
        <f>IF($N196="","",INDEX(前年度名簿!$A$3:$A$452,$N196))</f>
        <v/>
      </c>
      <c r="B196" s="49">
        <f>IF($N196="","",INDEX(前年度名簿!$B$3:$B$452,$N196))</f>
        <v/>
      </c>
      <c r="C196" s="49">
        <f>IF($N196="","",INDEX(前年度名簿!$C$3:$C$452,$N196))</f>
        <v/>
      </c>
      <c r="D196" s="49" t="n"/>
      <c r="E196" s="49" t="n"/>
      <c r="F196" s="49" t="n"/>
      <c r="G196" s="4">
        <f>IF(A196="","",IFERROR(INDEX(前年度名簿!$D$3:$D$452,MATCH(A196&amp;"-"&amp;B196&amp;"-"&amp;C196,前年度名簿!$F$3:$F$452,0)),""))</f>
        <v/>
      </c>
      <c r="H196" s="50">
        <f>IF(D196="","",IF(ISERROR(VALUE(D196)),D196&amp;"",IF(AND(VALUE(D196)&gt;=1,VALUE(D196)&lt;=20),IF(INDEX(設定!$P$8:$P$27,VALUE(D196))="","？",INDEX(設定!$P$8:$P$27,VALUE(D196))),"？")))</f>
        <v/>
      </c>
      <c r="I196" s="50">
        <f>IF(E196="","",IF(ISERROR(VALUE(E196)),E196&amp;"",IF(AND(VALUE(E196)&gt;=1,VALUE(E196)&lt;=20),IF(INDEX(設定!$P$8:$P$27,VALUE(E196))="","？",INDEX(設定!$P$8:$P$27,VALUE(E196))),"？")))</f>
        <v/>
      </c>
      <c r="J196" s="50">
        <f>IF(F196="","",IF(ISERROR(VALUE(F196)),F196&amp;"",IF(AND(VALUE(F196)&gt;=1,VALUE(F196)&lt;=20),IF(INDEX(設定!$P$8:$P$27,VALUE(F196))="","？",INDEX(設定!$P$8:$P$27,VALUE(F196))),"？")))</f>
        <v/>
      </c>
      <c r="K196" s="51">
        <f>IF(L196="","",IF(G196="","名簿にいない",IF(COUNTIF(L197:L$555,L196)&gt;0,"2回提出（下の行を使います）",IF(H196="転出","転出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OR(AND(H196&lt;&gt;"",H196=I196),AND(H196&lt;&gt;"",H196=J196),AND(I196&lt;&gt;"",I196=J196)),"同じクラブを重複して希望","OK")))))))</f>
        <v/>
      </c>
      <c r="L196" s="11">
        <f>IF(OR(A196="",D196=""),"",A196&amp;"-"&amp;B196&amp;"-"&amp;C196)</f>
        <v/>
      </c>
      <c r="M196" s="11">
        <f>IF(OR(L196="",G196=""),"",IF(COUNTIF(L197:L$555,L196)=0,L196,""))</f>
        <v/>
      </c>
      <c r="N196" s="11">
        <f>IFERROR(MATCH(SMALL(前年度名簿!$G$3:$G$452,192),前年度名簿!$G$3:$G$452,0),"")</f>
        <v/>
      </c>
    </row>
    <row r="197">
      <c r="A197" s="49">
        <f>IF($N197="","",INDEX(前年度名簿!$A$3:$A$452,$N197))</f>
        <v/>
      </c>
      <c r="B197" s="49">
        <f>IF($N197="","",INDEX(前年度名簿!$B$3:$B$452,$N197))</f>
        <v/>
      </c>
      <c r="C197" s="49">
        <f>IF($N197="","",INDEX(前年度名簿!$C$3:$C$452,$N197))</f>
        <v/>
      </c>
      <c r="D197" s="49" t="n"/>
      <c r="E197" s="49" t="n"/>
      <c r="F197" s="49" t="n"/>
      <c r="G197" s="4">
        <f>IF(A197="","",IFERROR(INDEX(前年度名簿!$D$3:$D$452,MATCH(A197&amp;"-"&amp;B197&amp;"-"&amp;C197,前年度名簿!$F$3:$F$452,0)),""))</f>
        <v/>
      </c>
      <c r="H197" s="50">
        <f>IF(D197="","",IF(ISERROR(VALUE(D197)),D197&amp;"",IF(AND(VALUE(D197)&gt;=1,VALUE(D197)&lt;=20),IF(INDEX(設定!$P$8:$P$27,VALUE(D197))="","？",INDEX(設定!$P$8:$P$27,VALUE(D197))),"？")))</f>
        <v/>
      </c>
      <c r="I197" s="50">
        <f>IF(E197="","",IF(ISERROR(VALUE(E197)),E197&amp;"",IF(AND(VALUE(E197)&gt;=1,VALUE(E197)&lt;=20),IF(INDEX(設定!$P$8:$P$27,VALUE(E197))="","？",INDEX(設定!$P$8:$P$27,VALUE(E197))),"？")))</f>
        <v/>
      </c>
      <c r="J197" s="50">
        <f>IF(F197="","",IF(ISERROR(VALUE(F197)),F197&amp;"",IF(AND(VALUE(F197)&gt;=1,VALUE(F197)&lt;=20),IF(INDEX(設定!$P$8:$P$27,VALUE(F197))="","？",INDEX(設定!$P$8:$P$27,VALUE(F197))),"？")))</f>
        <v/>
      </c>
      <c r="K197" s="51">
        <f>IF(L197="","",IF(G197="","名簿にいない",IF(COUNTIF(L198:L$555,L197)&gt;0,"2回提出（下の行を使います）",IF(H197="転出","転出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OR(AND(H197&lt;&gt;"",H197=I197),AND(H197&lt;&gt;"",H197=J197),AND(I197&lt;&gt;"",I197=J197)),"同じクラブを重複して希望","OK")))))))</f>
        <v/>
      </c>
      <c r="L197" s="11">
        <f>IF(OR(A197="",D197=""),"",A197&amp;"-"&amp;B197&amp;"-"&amp;C197)</f>
        <v/>
      </c>
      <c r="M197" s="11">
        <f>IF(OR(L197="",G197=""),"",IF(COUNTIF(L198:L$555,L197)=0,L197,""))</f>
        <v/>
      </c>
      <c r="N197" s="11">
        <f>IFERROR(MATCH(SMALL(前年度名簿!$G$3:$G$452,193),前年度名簿!$G$3:$G$452,0),"")</f>
        <v/>
      </c>
    </row>
    <row r="198">
      <c r="A198" s="49">
        <f>IF($N198="","",INDEX(前年度名簿!$A$3:$A$452,$N198))</f>
        <v/>
      </c>
      <c r="B198" s="49">
        <f>IF($N198="","",INDEX(前年度名簿!$B$3:$B$452,$N198))</f>
        <v/>
      </c>
      <c r="C198" s="49">
        <f>IF($N198="","",INDEX(前年度名簿!$C$3:$C$452,$N198))</f>
        <v/>
      </c>
      <c r="D198" s="49" t="n"/>
      <c r="E198" s="49" t="n"/>
      <c r="F198" s="49" t="n"/>
      <c r="G198" s="4">
        <f>IF(A198="","",IFERROR(INDEX(前年度名簿!$D$3:$D$452,MATCH(A198&amp;"-"&amp;B198&amp;"-"&amp;C198,前年度名簿!$F$3:$F$452,0)),""))</f>
        <v/>
      </c>
      <c r="H198" s="50">
        <f>IF(D198="","",IF(ISERROR(VALUE(D198)),D198&amp;"",IF(AND(VALUE(D198)&gt;=1,VALUE(D198)&lt;=20),IF(INDEX(設定!$P$8:$P$27,VALUE(D198))="","？",INDEX(設定!$P$8:$P$27,VALUE(D198))),"？")))</f>
        <v/>
      </c>
      <c r="I198" s="50">
        <f>IF(E198="","",IF(ISERROR(VALUE(E198)),E198&amp;"",IF(AND(VALUE(E198)&gt;=1,VALUE(E198)&lt;=20),IF(INDEX(設定!$P$8:$P$27,VALUE(E198))="","？",INDEX(設定!$P$8:$P$27,VALUE(E198))),"？")))</f>
        <v/>
      </c>
      <c r="J198" s="50">
        <f>IF(F198="","",IF(ISERROR(VALUE(F198)),F198&amp;"",IF(AND(VALUE(F198)&gt;=1,VALUE(F198)&lt;=20),IF(INDEX(設定!$P$8:$P$27,VALUE(F198))="","？",INDEX(設定!$P$8:$P$27,VALUE(F198))),"？")))</f>
        <v/>
      </c>
      <c r="K198" s="51">
        <f>IF(L198="","",IF(G198="","名簿にいない",IF(COUNTIF(L199:L$555,L198)&gt;0,"2回提出（下の行を使います）",IF(H198="転出","転出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OR(AND(H198&lt;&gt;"",H198=I198),AND(H198&lt;&gt;"",H198=J198),AND(I198&lt;&gt;"",I198=J198)),"同じクラブを重複して希望","OK")))))))</f>
        <v/>
      </c>
      <c r="L198" s="11">
        <f>IF(OR(A198="",D198=""),"",A198&amp;"-"&amp;B198&amp;"-"&amp;C198)</f>
        <v/>
      </c>
      <c r="M198" s="11">
        <f>IF(OR(L198="",G198=""),"",IF(COUNTIF(L199:L$555,L198)=0,L198,""))</f>
        <v/>
      </c>
      <c r="N198" s="11">
        <f>IFERROR(MATCH(SMALL(前年度名簿!$G$3:$G$452,194),前年度名簿!$G$3:$G$452,0),"")</f>
        <v/>
      </c>
    </row>
    <row r="199">
      <c r="A199" s="49">
        <f>IF($N199="","",INDEX(前年度名簿!$A$3:$A$452,$N199))</f>
        <v/>
      </c>
      <c r="B199" s="49">
        <f>IF($N199="","",INDEX(前年度名簿!$B$3:$B$452,$N199))</f>
        <v/>
      </c>
      <c r="C199" s="49">
        <f>IF($N199="","",INDEX(前年度名簿!$C$3:$C$452,$N199))</f>
        <v/>
      </c>
      <c r="D199" s="49" t="n"/>
      <c r="E199" s="49" t="n"/>
      <c r="F199" s="49" t="n"/>
      <c r="G199" s="4">
        <f>IF(A199="","",IFERROR(INDEX(前年度名簿!$D$3:$D$452,MATCH(A199&amp;"-"&amp;B199&amp;"-"&amp;C199,前年度名簿!$F$3:$F$452,0)),""))</f>
        <v/>
      </c>
      <c r="H199" s="50">
        <f>IF(D199="","",IF(ISERROR(VALUE(D199)),D199&amp;"",IF(AND(VALUE(D199)&gt;=1,VALUE(D199)&lt;=20),IF(INDEX(設定!$P$8:$P$27,VALUE(D199))="","？",INDEX(設定!$P$8:$P$27,VALUE(D199))),"？")))</f>
        <v/>
      </c>
      <c r="I199" s="50">
        <f>IF(E199="","",IF(ISERROR(VALUE(E199)),E199&amp;"",IF(AND(VALUE(E199)&gt;=1,VALUE(E199)&lt;=20),IF(INDEX(設定!$P$8:$P$27,VALUE(E199))="","？",INDEX(設定!$P$8:$P$27,VALUE(E199))),"？")))</f>
        <v/>
      </c>
      <c r="J199" s="50">
        <f>IF(F199="","",IF(ISERROR(VALUE(F199)),F199&amp;"",IF(AND(VALUE(F199)&gt;=1,VALUE(F199)&lt;=20),IF(INDEX(設定!$P$8:$P$27,VALUE(F199))="","？",INDEX(設定!$P$8:$P$27,VALUE(F199))),"？")))</f>
        <v/>
      </c>
      <c r="K199" s="51">
        <f>IF(L199="","",IF(G199="","名簿にいない",IF(COUNTIF(L200:L$555,L199)&gt;0,"2回提出（下の行を使います）",IF(H199="転出","転出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OR(AND(H199&lt;&gt;"",H199=I199),AND(H199&lt;&gt;"",H199=J199),AND(I199&lt;&gt;"",I199=J199)),"同じクラブを重複して希望","OK")))))))</f>
        <v/>
      </c>
      <c r="L199" s="11">
        <f>IF(OR(A199="",D199=""),"",A199&amp;"-"&amp;B199&amp;"-"&amp;C199)</f>
        <v/>
      </c>
      <c r="M199" s="11">
        <f>IF(OR(L199="",G199=""),"",IF(COUNTIF(L200:L$555,L199)=0,L199,""))</f>
        <v/>
      </c>
      <c r="N199" s="11">
        <f>IFERROR(MATCH(SMALL(前年度名簿!$G$3:$G$452,195),前年度名簿!$G$3:$G$452,0),"")</f>
        <v/>
      </c>
    </row>
    <row r="200">
      <c r="A200" s="49">
        <f>IF($N200="","",INDEX(前年度名簿!$A$3:$A$452,$N200))</f>
        <v/>
      </c>
      <c r="B200" s="49">
        <f>IF($N200="","",INDEX(前年度名簿!$B$3:$B$452,$N200))</f>
        <v/>
      </c>
      <c r="C200" s="49">
        <f>IF($N200="","",INDEX(前年度名簿!$C$3:$C$452,$N200))</f>
        <v/>
      </c>
      <c r="D200" s="49" t="n"/>
      <c r="E200" s="49" t="n"/>
      <c r="F200" s="49" t="n"/>
      <c r="G200" s="4">
        <f>IF(A200="","",IFERROR(INDEX(前年度名簿!$D$3:$D$452,MATCH(A200&amp;"-"&amp;B200&amp;"-"&amp;C200,前年度名簿!$F$3:$F$452,0)),""))</f>
        <v/>
      </c>
      <c r="H200" s="50">
        <f>IF(D200="","",IF(ISERROR(VALUE(D200)),D200&amp;"",IF(AND(VALUE(D200)&gt;=1,VALUE(D200)&lt;=20),IF(INDEX(設定!$P$8:$P$27,VALUE(D200))="","？",INDEX(設定!$P$8:$P$27,VALUE(D200))),"？")))</f>
        <v/>
      </c>
      <c r="I200" s="50">
        <f>IF(E200="","",IF(ISERROR(VALUE(E200)),E200&amp;"",IF(AND(VALUE(E200)&gt;=1,VALUE(E200)&lt;=20),IF(INDEX(設定!$P$8:$P$27,VALUE(E200))="","？",INDEX(設定!$P$8:$P$27,VALUE(E200))),"？")))</f>
        <v/>
      </c>
      <c r="J200" s="50">
        <f>IF(F200="","",IF(ISERROR(VALUE(F200)),F200&amp;"",IF(AND(VALUE(F200)&gt;=1,VALUE(F200)&lt;=20),IF(INDEX(設定!$P$8:$P$27,VALUE(F200))="","？",INDEX(設定!$P$8:$P$27,VALUE(F200))),"？")))</f>
        <v/>
      </c>
      <c r="K200" s="51">
        <f>IF(L200="","",IF(G200="","名簿にいない",IF(COUNTIF(L201:L$555,L200)&gt;0,"2回提出（下の行を使います）",IF(H200="転出","転出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OR(AND(H200&lt;&gt;"",H200=I200),AND(H200&lt;&gt;"",H200=J200),AND(I200&lt;&gt;"",I200=J200)),"同じクラブを重複して希望","OK")))))))</f>
        <v/>
      </c>
      <c r="L200" s="11">
        <f>IF(OR(A200="",D200=""),"",A200&amp;"-"&amp;B200&amp;"-"&amp;C200)</f>
        <v/>
      </c>
      <c r="M200" s="11">
        <f>IF(OR(L200="",G200=""),"",IF(COUNTIF(L201:L$555,L200)=0,L200,""))</f>
        <v/>
      </c>
      <c r="N200" s="11">
        <f>IFERROR(MATCH(SMALL(前年度名簿!$G$3:$G$452,196),前年度名簿!$G$3:$G$452,0),"")</f>
        <v/>
      </c>
    </row>
    <row r="201">
      <c r="A201" s="49">
        <f>IF($N201="","",INDEX(前年度名簿!$A$3:$A$452,$N201))</f>
        <v/>
      </c>
      <c r="B201" s="49">
        <f>IF($N201="","",INDEX(前年度名簿!$B$3:$B$452,$N201))</f>
        <v/>
      </c>
      <c r="C201" s="49">
        <f>IF($N201="","",INDEX(前年度名簿!$C$3:$C$452,$N201))</f>
        <v/>
      </c>
      <c r="D201" s="49" t="n"/>
      <c r="E201" s="49" t="n"/>
      <c r="F201" s="49" t="n"/>
      <c r="G201" s="4">
        <f>IF(A201="","",IFERROR(INDEX(前年度名簿!$D$3:$D$452,MATCH(A201&amp;"-"&amp;B201&amp;"-"&amp;C201,前年度名簿!$F$3:$F$452,0)),""))</f>
        <v/>
      </c>
      <c r="H201" s="50">
        <f>IF(D201="","",IF(ISERROR(VALUE(D201)),D201&amp;"",IF(AND(VALUE(D201)&gt;=1,VALUE(D201)&lt;=20),IF(INDEX(設定!$P$8:$P$27,VALUE(D201))="","？",INDEX(設定!$P$8:$P$27,VALUE(D201))),"？")))</f>
        <v/>
      </c>
      <c r="I201" s="50">
        <f>IF(E201="","",IF(ISERROR(VALUE(E201)),E201&amp;"",IF(AND(VALUE(E201)&gt;=1,VALUE(E201)&lt;=20),IF(INDEX(設定!$P$8:$P$27,VALUE(E201))="","？",INDEX(設定!$P$8:$P$27,VALUE(E201))),"？")))</f>
        <v/>
      </c>
      <c r="J201" s="50">
        <f>IF(F201="","",IF(ISERROR(VALUE(F201)),F201&amp;"",IF(AND(VALUE(F201)&gt;=1,VALUE(F201)&lt;=20),IF(INDEX(設定!$P$8:$P$27,VALUE(F201))="","？",INDEX(設定!$P$8:$P$27,VALUE(F201))),"？")))</f>
        <v/>
      </c>
      <c r="K201" s="51">
        <f>IF(L201="","",IF(G201="","名簿にいない",IF(COUNTIF(L202:L$555,L201)&gt;0,"2回提出（下の行を使います）",IF(H201="転出","転出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OR(AND(H201&lt;&gt;"",H201=I201),AND(H201&lt;&gt;"",H201=J201),AND(I201&lt;&gt;"",I201=J201)),"同じクラブを重複して希望","OK")))))))</f>
        <v/>
      </c>
      <c r="L201" s="11">
        <f>IF(OR(A201="",D201=""),"",A201&amp;"-"&amp;B201&amp;"-"&amp;C201)</f>
        <v/>
      </c>
      <c r="M201" s="11">
        <f>IF(OR(L201="",G201=""),"",IF(COUNTIF(L202:L$555,L201)=0,L201,""))</f>
        <v/>
      </c>
      <c r="N201" s="11">
        <f>IFERROR(MATCH(SMALL(前年度名簿!$G$3:$G$452,197),前年度名簿!$G$3:$G$452,0),"")</f>
        <v/>
      </c>
    </row>
    <row r="202">
      <c r="A202" s="49">
        <f>IF($N202="","",INDEX(前年度名簿!$A$3:$A$452,$N202))</f>
        <v/>
      </c>
      <c r="B202" s="49">
        <f>IF($N202="","",INDEX(前年度名簿!$B$3:$B$452,$N202))</f>
        <v/>
      </c>
      <c r="C202" s="49">
        <f>IF($N202="","",INDEX(前年度名簿!$C$3:$C$452,$N202))</f>
        <v/>
      </c>
      <c r="D202" s="49" t="n"/>
      <c r="E202" s="49" t="n"/>
      <c r="F202" s="49" t="n"/>
      <c r="G202" s="4">
        <f>IF(A202="","",IFERROR(INDEX(前年度名簿!$D$3:$D$452,MATCH(A202&amp;"-"&amp;B202&amp;"-"&amp;C202,前年度名簿!$F$3:$F$452,0)),""))</f>
        <v/>
      </c>
      <c r="H202" s="50">
        <f>IF(D202="","",IF(ISERROR(VALUE(D202)),D202&amp;"",IF(AND(VALUE(D202)&gt;=1,VALUE(D202)&lt;=20),IF(INDEX(設定!$P$8:$P$27,VALUE(D202))="","？",INDEX(設定!$P$8:$P$27,VALUE(D202))),"？")))</f>
        <v/>
      </c>
      <c r="I202" s="50">
        <f>IF(E202="","",IF(ISERROR(VALUE(E202)),E202&amp;"",IF(AND(VALUE(E202)&gt;=1,VALUE(E202)&lt;=20),IF(INDEX(設定!$P$8:$P$27,VALUE(E202))="","？",INDEX(設定!$P$8:$P$27,VALUE(E202))),"？")))</f>
        <v/>
      </c>
      <c r="J202" s="50">
        <f>IF(F202="","",IF(ISERROR(VALUE(F202)),F202&amp;"",IF(AND(VALUE(F202)&gt;=1,VALUE(F202)&lt;=20),IF(INDEX(設定!$P$8:$P$27,VALUE(F202))="","？",INDEX(設定!$P$8:$P$27,VALUE(F202))),"？")))</f>
        <v/>
      </c>
      <c r="K202" s="51">
        <f>IF(L202="","",IF(G202="","名簿にいない",IF(COUNTIF(L203:L$555,L202)&gt;0,"2回提出（下の行を使います）",IF(H202="転出","転出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OR(AND(H202&lt;&gt;"",H202=I202),AND(H202&lt;&gt;"",H202=J202),AND(I202&lt;&gt;"",I202=J202)),"同じクラブを重複して希望","OK")))))))</f>
        <v/>
      </c>
      <c r="L202" s="11">
        <f>IF(OR(A202="",D202=""),"",A202&amp;"-"&amp;B202&amp;"-"&amp;C202)</f>
        <v/>
      </c>
      <c r="M202" s="11">
        <f>IF(OR(L202="",G202=""),"",IF(COUNTIF(L203:L$555,L202)=0,L202,""))</f>
        <v/>
      </c>
      <c r="N202" s="11">
        <f>IFERROR(MATCH(SMALL(前年度名簿!$G$3:$G$452,198),前年度名簿!$G$3:$G$452,0),"")</f>
        <v/>
      </c>
    </row>
    <row r="203">
      <c r="A203" s="49">
        <f>IF($N203="","",INDEX(前年度名簿!$A$3:$A$452,$N203))</f>
        <v/>
      </c>
      <c r="B203" s="49">
        <f>IF($N203="","",INDEX(前年度名簿!$B$3:$B$452,$N203))</f>
        <v/>
      </c>
      <c r="C203" s="49">
        <f>IF($N203="","",INDEX(前年度名簿!$C$3:$C$452,$N203))</f>
        <v/>
      </c>
      <c r="D203" s="49" t="n"/>
      <c r="E203" s="49" t="n"/>
      <c r="F203" s="49" t="n"/>
      <c r="G203" s="4">
        <f>IF(A203="","",IFERROR(INDEX(前年度名簿!$D$3:$D$452,MATCH(A203&amp;"-"&amp;B203&amp;"-"&amp;C203,前年度名簿!$F$3:$F$452,0)),""))</f>
        <v/>
      </c>
      <c r="H203" s="50">
        <f>IF(D203="","",IF(ISERROR(VALUE(D203)),D203&amp;"",IF(AND(VALUE(D203)&gt;=1,VALUE(D203)&lt;=20),IF(INDEX(設定!$P$8:$P$27,VALUE(D203))="","？",INDEX(設定!$P$8:$P$27,VALUE(D203))),"？")))</f>
        <v/>
      </c>
      <c r="I203" s="50">
        <f>IF(E203="","",IF(ISERROR(VALUE(E203)),E203&amp;"",IF(AND(VALUE(E203)&gt;=1,VALUE(E203)&lt;=20),IF(INDEX(設定!$P$8:$P$27,VALUE(E203))="","？",INDEX(設定!$P$8:$P$27,VALUE(E203))),"？")))</f>
        <v/>
      </c>
      <c r="J203" s="50">
        <f>IF(F203="","",IF(ISERROR(VALUE(F203)),F203&amp;"",IF(AND(VALUE(F203)&gt;=1,VALUE(F203)&lt;=20),IF(INDEX(設定!$P$8:$P$27,VALUE(F203))="","？",INDEX(設定!$P$8:$P$27,VALUE(F203))),"？")))</f>
        <v/>
      </c>
      <c r="K203" s="51">
        <f>IF(L203="","",IF(G203="","名簿にいない",IF(COUNTIF(L204:L$555,L203)&gt;0,"2回提出（下の行を使います）",IF(H203="転出","転出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OR(AND(H203&lt;&gt;"",H203=I203),AND(H203&lt;&gt;"",H203=J203),AND(I203&lt;&gt;"",I203=J203)),"同じクラブを重複して希望","OK")))))))</f>
        <v/>
      </c>
      <c r="L203" s="11">
        <f>IF(OR(A203="",D203=""),"",A203&amp;"-"&amp;B203&amp;"-"&amp;C203)</f>
        <v/>
      </c>
      <c r="M203" s="11">
        <f>IF(OR(L203="",G203=""),"",IF(COUNTIF(L204:L$555,L203)=0,L203,""))</f>
        <v/>
      </c>
      <c r="N203" s="11">
        <f>IFERROR(MATCH(SMALL(前年度名簿!$G$3:$G$452,199),前年度名簿!$G$3:$G$452,0),"")</f>
        <v/>
      </c>
    </row>
    <row r="204">
      <c r="A204" s="49">
        <f>IF($N204="","",INDEX(前年度名簿!$A$3:$A$452,$N204))</f>
        <v/>
      </c>
      <c r="B204" s="49">
        <f>IF($N204="","",INDEX(前年度名簿!$B$3:$B$452,$N204))</f>
        <v/>
      </c>
      <c r="C204" s="49">
        <f>IF($N204="","",INDEX(前年度名簿!$C$3:$C$452,$N204))</f>
        <v/>
      </c>
      <c r="D204" s="49" t="n"/>
      <c r="E204" s="49" t="n"/>
      <c r="F204" s="49" t="n"/>
      <c r="G204" s="4">
        <f>IF(A204="","",IFERROR(INDEX(前年度名簿!$D$3:$D$452,MATCH(A204&amp;"-"&amp;B204&amp;"-"&amp;C204,前年度名簿!$F$3:$F$452,0)),""))</f>
        <v/>
      </c>
      <c r="H204" s="50">
        <f>IF(D204="","",IF(ISERROR(VALUE(D204)),D204&amp;"",IF(AND(VALUE(D204)&gt;=1,VALUE(D204)&lt;=20),IF(INDEX(設定!$P$8:$P$27,VALUE(D204))="","？",INDEX(設定!$P$8:$P$27,VALUE(D204))),"？")))</f>
        <v/>
      </c>
      <c r="I204" s="50">
        <f>IF(E204="","",IF(ISERROR(VALUE(E204)),E204&amp;"",IF(AND(VALUE(E204)&gt;=1,VALUE(E204)&lt;=20),IF(INDEX(設定!$P$8:$P$27,VALUE(E204))="","？",INDEX(設定!$P$8:$P$27,VALUE(E204))),"？")))</f>
        <v/>
      </c>
      <c r="J204" s="50">
        <f>IF(F204="","",IF(ISERROR(VALUE(F204)),F204&amp;"",IF(AND(VALUE(F204)&gt;=1,VALUE(F204)&lt;=20),IF(INDEX(設定!$P$8:$P$27,VALUE(F204))="","？",INDEX(設定!$P$8:$P$27,VALUE(F204))),"？")))</f>
        <v/>
      </c>
      <c r="K204" s="51">
        <f>IF(L204="","",IF(G204="","名簿にいない",IF(COUNTIF(L205:L$555,L204)&gt;0,"2回提出（下の行を使います）",IF(H204="転出","転出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OR(AND(H204&lt;&gt;"",H204=I204),AND(H204&lt;&gt;"",H204=J204),AND(I204&lt;&gt;"",I204=J204)),"同じクラブを重複して希望","OK")))))))</f>
        <v/>
      </c>
      <c r="L204" s="11">
        <f>IF(OR(A204="",D204=""),"",A204&amp;"-"&amp;B204&amp;"-"&amp;C204)</f>
        <v/>
      </c>
      <c r="M204" s="11">
        <f>IF(OR(L204="",G204=""),"",IF(COUNTIF(L205:L$555,L204)=0,L204,""))</f>
        <v/>
      </c>
      <c r="N204" s="11">
        <f>IFERROR(MATCH(SMALL(前年度名簿!$G$3:$G$452,200),前年度名簿!$G$3:$G$452,0),"")</f>
        <v/>
      </c>
    </row>
    <row r="205">
      <c r="A205" s="49">
        <f>IF($N205="","",INDEX(前年度名簿!$A$3:$A$452,$N205))</f>
        <v/>
      </c>
      <c r="B205" s="49">
        <f>IF($N205="","",INDEX(前年度名簿!$B$3:$B$452,$N205))</f>
        <v/>
      </c>
      <c r="C205" s="49">
        <f>IF($N205="","",INDEX(前年度名簿!$C$3:$C$452,$N205))</f>
        <v/>
      </c>
      <c r="D205" s="49" t="n"/>
      <c r="E205" s="49" t="n"/>
      <c r="F205" s="49" t="n"/>
      <c r="G205" s="4">
        <f>IF(A205="","",IFERROR(INDEX(前年度名簿!$D$3:$D$452,MATCH(A205&amp;"-"&amp;B205&amp;"-"&amp;C205,前年度名簿!$F$3:$F$452,0)),""))</f>
        <v/>
      </c>
      <c r="H205" s="50">
        <f>IF(D205="","",IF(ISERROR(VALUE(D205)),D205&amp;"",IF(AND(VALUE(D205)&gt;=1,VALUE(D205)&lt;=20),IF(INDEX(設定!$P$8:$P$27,VALUE(D205))="","？",INDEX(設定!$P$8:$P$27,VALUE(D205))),"？")))</f>
        <v/>
      </c>
      <c r="I205" s="50">
        <f>IF(E205="","",IF(ISERROR(VALUE(E205)),E205&amp;"",IF(AND(VALUE(E205)&gt;=1,VALUE(E205)&lt;=20),IF(INDEX(設定!$P$8:$P$27,VALUE(E205))="","？",INDEX(設定!$P$8:$P$27,VALUE(E205))),"？")))</f>
        <v/>
      </c>
      <c r="J205" s="50">
        <f>IF(F205="","",IF(ISERROR(VALUE(F205)),F205&amp;"",IF(AND(VALUE(F205)&gt;=1,VALUE(F205)&lt;=20),IF(INDEX(設定!$P$8:$P$27,VALUE(F205))="","？",INDEX(設定!$P$8:$P$27,VALUE(F205))),"？")))</f>
        <v/>
      </c>
      <c r="K205" s="51">
        <f>IF(L205="","",IF(G205="","名簿にいない",IF(COUNTIF(L206:L$555,L205)&gt;0,"2回提出（下の行を使います）",IF(H205="転出","転出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OR(AND(H205&lt;&gt;"",H205=I205),AND(H205&lt;&gt;"",H205=J205),AND(I205&lt;&gt;"",I205=J205)),"同じクラブを重複して希望","OK")))))))</f>
        <v/>
      </c>
      <c r="L205" s="11">
        <f>IF(OR(A205="",D205=""),"",A205&amp;"-"&amp;B205&amp;"-"&amp;C205)</f>
        <v/>
      </c>
      <c r="M205" s="11">
        <f>IF(OR(L205="",G205=""),"",IF(COUNTIF(L206:L$555,L205)=0,L205,""))</f>
        <v/>
      </c>
      <c r="N205" s="11">
        <f>IFERROR(MATCH(SMALL(前年度名簿!$G$3:$G$452,201),前年度名簿!$G$3:$G$452,0),"")</f>
        <v/>
      </c>
    </row>
    <row r="206">
      <c r="A206" s="49">
        <f>IF($N206="","",INDEX(前年度名簿!$A$3:$A$452,$N206))</f>
        <v/>
      </c>
      <c r="B206" s="49">
        <f>IF($N206="","",INDEX(前年度名簿!$B$3:$B$452,$N206))</f>
        <v/>
      </c>
      <c r="C206" s="49">
        <f>IF($N206="","",INDEX(前年度名簿!$C$3:$C$452,$N206))</f>
        <v/>
      </c>
      <c r="D206" s="49" t="n"/>
      <c r="E206" s="49" t="n"/>
      <c r="F206" s="49" t="n"/>
      <c r="G206" s="4">
        <f>IF(A206="","",IFERROR(INDEX(前年度名簿!$D$3:$D$452,MATCH(A206&amp;"-"&amp;B206&amp;"-"&amp;C206,前年度名簿!$F$3:$F$452,0)),""))</f>
        <v/>
      </c>
      <c r="H206" s="50">
        <f>IF(D206="","",IF(ISERROR(VALUE(D206)),D206&amp;"",IF(AND(VALUE(D206)&gt;=1,VALUE(D206)&lt;=20),IF(INDEX(設定!$P$8:$P$27,VALUE(D206))="","？",INDEX(設定!$P$8:$P$27,VALUE(D206))),"？")))</f>
        <v/>
      </c>
      <c r="I206" s="50">
        <f>IF(E206="","",IF(ISERROR(VALUE(E206)),E206&amp;"",IF(AND(VALUE(E206)&gt;=1,VALUE(E206)&lt;=20),IF(INDEX(設定!$P$8:$P$27,VALUE(E206))="","？",INDEX(設定!$P$8:$P$27,VALUE(E206))),"？")))</f>
        <v/>
      </c>
      <c r="J206" s="50">
        <f>IF(F206="","",IF(ISERROR(VALUE(F206)),F206&amp;"",IF(AND(VALUE(F206)&gt;=1,VALUE(F206)&lt;=20),IF(INDEX(設定!$P$8:$P$27,VALUE(F206))="","？",INDEX(設定!$P$8:$P$27,VALUE(F206))),"？")))</f>
        <v/>
      </c>
      <c r="K206" s="51">
        <f>IF(L206="","",IF(G206="","名簿にいない",IF(COUNTIF(L207:L$555,L206)&gt;0,"2回提出（下の行を使います）",IF(H206="転出","転出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OR(AND(H206&lt;&gt;"",H206=I206),AND(H206&lt;&gt;"",H206=J206),AND(I206&lt;&gt;"",I206=J206)),"同じクラブを重複して希望","OK")))))))</f>
        <v/>
      </c>
      <c r="L206" s="11">
        <f>IF(OR(A206="",D206=""),"",A206&amp;"-"&amp;B206&amp;"-"&amp;C206)</f>
        <v/>
      </c>
      <c r="M206" s="11">
        <f>IF(OR(L206="",G206=""),"",IF(COUNTIF(L207:L$555,L206)=0,L206,""))</f>
        <v/>
      </c>
      <c r="N206" s="11">
        <f>IFERROR(MATCH(SMALL(前年度名簿!$G$3:$G$452,202),前年度名簿!$G$3:$G$452,0),"")</f>
        <v/>
      </c>
    </row>
    <row r="207">
      <c r="A207" s="49">
        <f>IF($N207="","",INDEX(前年度名簿!$A$3:$A$452,$N207))</f>
        <v/>
      </c>
      <c r="B207" s="49">
        <f>IF($N207="","",INDEX(前年度名簿!$B$3:$B$452,$N207))</f>
        <v/>
      </c>
      <c r="C207" s="49">
        <f>IF($N207="","",INDEX(前年度名簿!$C$3:$C$452,$N207))</f>
        <v/>
      </c>
      <c r="D207" s="49" t="n"/>
      <c r="E207" s="49" t="n"/>
      <c r="F207" s="49" t="n"/>
      <c r="G207" s="4">
        <f>IF(A207="","",IFERROR(INDEX(前年度名簿!$D$3:$D$452,MATCH(A207&amp;"-"&amp;B207&amp;"-"&amp;C207,前年度名簿!$F$3:$F$452,0)),""))</f>
        <v/>
      </c>
      <c r="H207" s="50">
        <f>IF(D207="","",IF(ISERROR(VALUE(D207)),D207&amp;"",IF(AND(VALUE(D207)&gt;=1,VALUE(D207)&lt;=20),IF(INDEX(設定!$P$8:$P$27,VALUE(D207))="","？",INDEX(設定!$P$8:$P$27,VALUE(D207))),"？")))</f>
        <v/>
      </c>
      <c r="I207" s="50">
        <f>IF(E207="","",IF(ISERROR(VALUE(E207)),E207&amp;"",IF(AND(VALUE(E207)&gt;=1,VALUE(E207)&lt;=20),IF(INDEX(設定!$P$8:$P$27,VALUE(E207))="","？",INDEX(設定!$P$8:$P$27,VALUE(E207))),"？")))</f>
        <v/>
      </c>
      <c r="J207" s="50">
        <f>IF(F207="","",IF(ISERROR(VALUE(F207)),F207&amp;"",IF(AND(VALUE(F207)&gt;=1,VALUE(F207)&lt;=20),IF(INDEX(設定!$P$8:$P$27,VALUE(F207))="","？",INDEX(設定!$P$8:$P$27,VALUE(F207))),"？")))</f>
        <v/>
      </c>
      <c r="K207" s="51">
        <f>IF(L207="","",IF(G207="","名簿にいない",IF(COUNTIF(L208:L$555,L207)&gt;0,"2回提出（下の行を使います）",IF(H207="転出","転出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OR(AND(H207&lt;&gt;"",H207=I207),AND(H207&lt;&gt;"",H207=J207),AND(I207&lt;&gt;"",I207=J207)),"同じクラブを重複して希望","OK")))))))</f>
        <v/>
      </c>
      <c r="L207" s="11">
        <f>IF(OR(A207="",D207=""),"",A207&amp;"-"&amp;B207&amp;"-"&amp;C207)</f>
        <v/>
      </c>
      <c r="M207" s="11">
        <f>IF(OR(L207="",G207=""),"",IF(COUNTIF(L208:L$555,L207)=0,L207,""))</f>
        <v/>
      </c>
      <c r="N207" s="11">
        <f>IFERROR(MATCH(SMALL(前年度名簿!$G$3:$G$452,203),前年度名簿!$G$3:$G$452,0),"")</f>
        <v/>
      </c>
    </row>
    <row r="208">
      <c r="A208" s="49">
        <f>IF($N208="","",INDEX(前年度名簿!$A$3:$A$452,$N208))</f>
        <v/>
      </c>
      <c r="B208" s="49">
        <f>IF($N208="","",INDEX(前年度名簿!$B$3:$B$452,$N208))</f>
        <v/>
      </c>
      <c r="C208" s="49">
        <f>IF($N208="","",INDEX(前年度名簿!$C$3:$C$452,$N208))</f>
        <v/>
      </c>
      <c r="D208" s="49" t="n"/>
      <c r="E208" s="49" t="n"/>
      <c r="F208" s="49" t="n"/>
      <c r="G208" s="4">
        <f>IF(A208="","",IFERROR(INDEX(前年度名簿!$D$3:$D$452,MATCH(A208&amp;"-"&amp;B208&amp;"-"&amp;C208,前年度名簿!$F$3:$F$452,0)),""))</f>
        <v/>
      </c>
      <c r="H208" s="50">
        <f>IF(D208="","",IF(ISERROR(VALUE(D208)),D208&amp;"",IF(AND(VALUE(D208)&gt;=1,VALUE(D208)&lt;=20),IF(INDEX(設定!$P$8:$P$27,VALUE(D208))="","？",INDEX(設定!$P$8:$P$27,VALUE(D208))),"？")))</f>
        <v/>
      </c>
      <c r="I208" s="50">
        <f>IF(E208="","",IF(ISERROR(VALUE(E208)),E208&amp;"",IF(AND(VALUE(E208)&gt;=1,VALUE(E208)&lt;=20),IF(INDEX(設定!$P$8:$P$27,VALUE(E208))="","？",INDEX(設定!$P$8:$P$27,VALUE(E208))),"？")))</f>
        <v/>
      </c>
      <c r="J208" s="50">
        <f>IF(F208="","",IF(ISERROR(VALUE(F208)),F208&amp;"",IF(AND(VALUE(F208)&gt;=1,VALUE(F208)&lt;=20),IF(INDEX(設定!$P$8:$P$27,VALUE(F208))="","？",INDEX(設定!$P$8:$P$27,VALUE(F208))),"？")))</f>
        <v/>
      </c>
      <c r="K208" s="51">
        <f>IF(L208="","",IF(G208="","名簿にいない",IF(COUNTIF(L209:L$555,L208)&gt;0,"2回提出（下の行を使います）",IF(H208="転出","転出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OR(AND(H208&lt;&gt;"",H208=I208),AND(H208&lt;&gt;"",H208=J208),AND(I208&lt;&gt;"",I208=J208)),"同じクラブを重複して希望","OK")))))))</f>
        <v/>
      </c>
      <c r="L208" s="11">
        <f>IF(OR(A208="",D208=""),"",A208&amp;"-"&amp;B208&amp;"-"&amp;C208)</f>
        <v/>
      </c>
      <c r="M208" s="11">
        <f>IF(OR(L208="",G208=""),"",IF(COUNTIF(L209:L$555,L208)=0,L208,""))</f>
        <v/>
      </c>
      <c r="N208" s="11">
        <f>IFERROR(MATCH(SMALL(前年度名簿!$G$3:$G$452,204),前年度名簿!$G$3:$G$452,0),"")</f>
        <v/>
      </c>
    </row>
    <row r="209">
      <c r="A209" s="49">
        <f>IF($N209="","",INDEX(前年度名簿!$A$3:$A$452,$N209))</f>
        <v/>
      </c>
      <c r="B209" s="49">
        <f>IF($N209="","",INDEX(前年度名簿!$B$3:$B$452,$N209))</f>
        <v/>
      </c>
      <c r="C209" s="49">
        <f>IF($N209="","",INDEX(前年度名簿!$C$3:$C$452,$N209))</f>
        <v/>
      </c>
      <c r="D209" s="49" t="n"/>
      <c r="E209" s="49" t="n"/>
      <c r="F209" s="49" t="n"/>
      <c r="G209" s="4">
        <f>IF(A209="","",IFERROR(INDEX(前年度名簿!$D$3:$D$452,MATCH(A209&amp;"-"&amp;B209&amp;"-"&amp;C209,前年度名簿!$F$3:$F$452,0)),""))</f>
        <v/>
      </c>
      <c r="H209" s="50">
        <f>IF(D209="","",IF(ISERROR(VALUE(D209)),D209&amp;"",IF(AND(VALUE(D209)&gt;=1,VALUE(D209)&lt;=20),IF(INDEX(設定!$P$8:$P$27,VALUE(D209))="","？",INDEX(設定!$P$8:$P$27,VALUE(D209))),"？")))</f>
        <v/>
      </c>
      <c r="I209" s="50">
        <f>IF(E209="","",IF(ISERROR(VALUE(E209)),E209&amp;"",IF(AND(VALUE(E209)&gt;=1,VALUE(E209)&lt;=20),IF(INDEX(設定!$P$8:$P$27,VALUE(E209))="","？",INDEX(設定!$P$8:$P$27,VALUE(E209))),"？")))</f>
        <v/>
      </c>
      <c r="J209" s="50">
        <f>IF(F209="","",IF(ISERROR(VALUE(F209)),F209&amp;"",IF(AND(VALUE(F209)&gt;=1,VALUE(F209)&lt;=20),IF(INDEX(設定!$P$8:$P$27,VALUE(F209))="","？",INDEX(設定!$P$8:$P$27,VALUE(F209))),"？")))</f>
        <v/>
      </c>
      <c r="K209" s="51">
        <f>IF(L209="","",IF(G209="","名簿にいない",IF(COUNTIF(L210:L$555,L209)&gt;0,"2回提出（下の行を使います）",IF(H209="転出","転出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OR(AND(H209&lt;&gt;"",H209=I209),AND(H209&lt;&gt;"",H209=J209),AND(I209&lt;&gt;"",I209=J209)),"同じクラブを重複して希望","OK")))))))</f>
        <v/>
      </c>
      <c r="L209" s="11">
        <f>IF(OR(A209="",D209=""),"",A209&amp;"-"&amp;B209&amp;"-"&amp;C209)</f>
        <v/>
      </c>
      <c r="M209" s="11">
        <f>IF(OR(L209="",G209=""),"",IF(COUNTIF(L210:L$555,L209)=0,L209,""))</f>
        <v/>
      </c>
      <c r="N209" s="11">
        <f>IFERROR(MATCH(SMALL(前年度名簿!$G$3:$G$452,205),前年度名簿!$G$3:$G$452,0),"")</f>
        <v/>
      </c>
    </row>
    <row r="210">
      <c r="A210" s="49">
        <f>IF($N210="","",INDEX(前年度名簿!$A$3:$A$452,$N210))</f>
        <v/>
      </c>
      <c r="B210" s="49">
        <f>IF($N210="","",INDEX(前年度名簿!$B$3:$B$452,$N210))</f>
        <v/>
      </c>
      <c r="C210" s="49">
        <f>IF($N210="","",INDEX(前年度名簿!$C$3:$C$452,$N210))</f>
        <v/>
      </c>
      <c r="D210" s="49" t="n"/>
      <c r="E210" s="49" t="n"/>
      <c r="F210" s="49" t="n"/>
      <c r="G210" s="4">
        <f>IF(A210="","",IFERROR(INDEX(前年度名簿!$D$3:$D$452,MATCH(A210&amp;"-"&amp;B210&amp;"-"&amp;C210,前年度名簿!$F$3:$F$452,0)),""))</f>
        <v/>
      </c>
      <c r="H210" s="50">
        <f>IF(D210="","",IF(ISERROR(VALUE(D210)),D210&amp;"",IF(AND(VALUE(D210)&gt;=1,VALUE(D210)&lt;=20),IF(INDEX(設定!$P$8:$P$27,VALUE(D210))="","？",INDEX(設定!$P$8:$P$27,VALUE(D210))),"？")))</f>
        <v/>
      </c>
      <c r="I210" s="50">
        <f>IF(E210="","",IF(ISERROR(VALUE(E210)),E210&amp;"",IF(AND(VALUE(E210)&gt;=1,VALUE(E210)&lt;=20),IF(INDEX(設定!$P$8:$P$27,VALUE(E210))="","？",INDEX(設定!$P$8:$P$27,VALUE(E210))),"？")))</f>
        <v/>
      </c>
      <c r="J210" s="50">
        <f>IF(F210="","",IF(ISERROR(VALUE(F210)),F210&amp;"",IF(AND(VALUE(F210)&gt;=1,VALUE(F210)&lt;=20),IF(INDEX(設定!$P$8:$P$27,VALUE(F210))="","？",INDEX(設定!$P$8:$P$27,VALUE(F210))),"？")))</f>
        <v/>
      </c>
      <c r="K210" s="51">
        <f>IF(L210="","",IF(G210="","名簿にいない",IF(COUNTIF(L211:L$555,L210)&gt;0,"2回提出（下の行を使います）",IF(H210="転出","転出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OR(AND(H210&lt;&gt;"",H210=I210),AND(H210&lt;&gt;"",H210=J210),AND(I210&lt;&gt;"",I210=J210)),"同じクラブを重複して希望","OK")))))))</f>
        <v/>
      </c>
      <c r="L210" s="11">
        <f>IF(OR(A210="",D210=""),"",A210&amp;"-"&amp;B210&amp;"-"&amp;C210)</f>
        <v/>
      </c>
      <c r="M210" s="11">
        <f>IF(OR(L210="",G210=""),"",IF(COUNTIF(L211:L$555,L210)=0,L210,""))</f>
        <v/>
      </c>
      <c r="N210" s="11">
        <f>IFERROR(MATCH(SMALL(前年度名簿!$G$3:$G$452,206),前年度名簿!$G$3:$G$452,0),"")</f>
        <v/>
      </c>
    </row>
    <row r="211">
      <c r="A211" s="49">
        <f>IF($N211="","",INDEX(前年度名簿!$A$3:$A$452,$N211))</f>
        <v/>
      </c>
      <c r="B211" s="49">
        <f>IF($N211="","",INDEX(前年度名簿!$B$3:$B$452,$N211))</f>
        <v/>
      </c>
      <c r="C211" s="49">
        <f>IF($N211="","",INDEX(前年度名簿!$C$3:$C$452,$N211))</f>
        <v/>
      </c>
      <c r="D211" s="49" t="n"/>
      <c r="E211" s="49" t="n"/>
      <c r="F211" s="49" t="n"/>
      <c r="G211" s="4">
        <f>IF(A211="","",IFERROR(INDEX(前年度名簿!$D$3:$D$452,MATCH(A211&amp;"-"&amp;B211&amp;"-"&amp;C211,前年度名簿!$F$3:$F$452,0)),""))</f>
        <v/>
      </c>
      <c r="H211" s="50">
        <f>IF(D211="","",IF(ISERROR(VALUE(D211)),D211&amp;"",IF(AND(VALUE(D211)&gt;=1,VALUE(D211)&lt;=20),IF(INDEX(設定!$P$8:$P$27,VALUE(D211))="","？",INDEX(設定!$P$8:$P$27,VALUE(D211))),"？")))</f>
        <v/>
      </c>
      <c r="I211" s="50">
        <f>IF(E211="","",IF(ISERROR(VALUE(E211)),E211&amp;"",IF(AND(VALUE(E211)&gt;=1,VALUE(E211)&lt;=20),IF(INDEX(設定!$P$8:$P$27,VALUE(E211))="","？",INDEX(設定!$P$8:$P$27,VALUE(E211))),"？")))</f>
        <v/>
      </c>
      <c r="J211" s="50">
        <f>IF(F211="","",IF(ISERROR(VALUE(F211)),F211&amp;"",IF(AND(VALUE(F211)&gt;=1,VALUE(F211)&lt;=20),IF(INDEX(設定!$P$8:$P$27,VALUE(F211))="","？",INDEX(設定!$P$8:$P$27,VALUE(F211))),"？")))</f>
        <v/>
      </c>
      <c r="K211" s="51">
        <f>IF(L211="","",IF(G211="","名簿にいない",IF(COUNTIF(L212:L$555,L211)&gt;0,"2回提出（下の行を使います）",IF(H211="転出","転出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OR(AND(H211&lt;&gt;"",H211=I211),AND(H211&lt;&gt;"",H211=J211),AND(I211&lt;&gt;"",I211=J211)),"同じクラブを重複して希望","OK")))))))</f>
        <v/>
      </c>
      <c r="L211" s="11">
        <f>IF(OR(A211="",D211=""),"",A211&amp;"-"&amp;B211&amp;"-"&amp;C211)</f>
        <v/>
      </c>
      <c r="M211" s="11">
        <f>IF(OR(L211="",G211=""),"",IF(COUNTIF(L212:L$555,L211)=0,L211,""))</f>
        <v/>
      </c>
      <c r="N211" s="11">
        <f>IFERROR(MATCH(SMALL(前年度名簿!$G$3:$G$452,207),前年度名簿!$G$3:$G$452,0),"")</f>
        <v/>
      </c>
    </row>
    <row r="212">
      <c r="A212" s="49">
        <f>IF($N212="","",INDEX(前年度名簿!$A$3:$A$452,$N212))</f>
        <v/>
      </c>
      <c r="B212" s="49">
        <f>IF($N212="","",INDEX(前年度名簿!$B$3:$B$452,$N212))</f>
        <v/>
      </c>
      <c r="C212" s="49">
        <f>IF($N212="","",INDEX(前年度名簿!$C$3:$C$452,$N212))</f>
        <v/>
      </c>
      <c r="D212" s="49" t="n"/>
      <c r="E212" s="49" t="n"/>
      <c r="F212" s="49" t="n"/>
      <c r="G212" s="4">
        <f>IF(A212="","",IFERROR(INDEX(前年度名簿!$D$3:$D$452,MATCH(A212&amp;"-"&amp;B212&amp;"-"&amp;C212,前年度名簿!$F$3:$F$452,0)),""))</f>
        <v/>
      </c>
      <c r="H212" s="50">
        <f>IF(D212="","",IF(ISERROR(VALUE(D212)),D212&amp;"",IF(AND(VALUE(D212)&gt;=1,VALUE(D212)&lt;=20),IF(INDEX(設定!$P$8:$P$27,VALUE(D212))="","？",INDEX(設定!$P$8:$P$27,VALUE(D212))),"？")))</f>
        <v/>
      </c>
      <c r="I212" s="50">
        <f>IF(E212="","",IF(ISERROR(VALUE(E212)),E212&amp;"",IF(AND(VALUE(E212)&gt;=1,VALUE(E212)&lt;=20),IF(INDEX(設定!$P$8:$P$27,VALUE(E212))="","？",INDEX(設定!$P$8:$P$27,VALUE(E212))),"？")))</f>
        <v/>
      </c>
      <c r="J212" s="50">
        <f>IF(F212="","",IF(ISERROR(VALUE(F212)),F212&amp;"",IF(AND(VALUE(F212)&gt;=1,VALUE(F212)&lt;=20),IF(INDEX(設定!$P$8:$P$27,VALUE(F212))="","？",INDEX(設定!$P$8:$P$27,VALUE(F212))),"？")))</f>
        <v/>
      </c>
      <c r="K212" s="51">
        <f>IF(L212="","",IF(G212="","名簿にいない",IF(COUNTIF(L213:L$555,L212)&gt;0,"2回提出（下の行を使います）",IF(H212="転出","転出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OR(AND(H212&lt;&gt;"",H212=I212),AND(H212&lt;&gt;"",H212=J212),AND(I212&lt;&gt;"",I212=J212)),"同じクラブを重複して希望","OK")))))))</f>
        <v/>
      </c>
      <c r="L212" s="11">
        <f>IF(OR(A212="",D212=""),"",A212&amp;"-"&amp;B212&amp;"-"&amp;C212)</f>
        <v/>
      </c>
      <c r="M212" s="11">
        <f>IF(OR(L212="",G212=""),"",IF(COUNTIF(L213:L$555,L212)=0,L212,""))</f>
        <v/>
      </c>
      <c r="N212" s="11">
        <f>IFERROR(MATCH(SMALL(前年度名簿!$G$3:$G$452,208),前年度名簿!$G$3:$G$452,0),"")</f>
        <v/>
      </c>
    </row>
    <row r="213">
      <c r="A213" s="49">
        <f>IF($N213="","",INDEX(前年度名簿!$A$3:$A$452,$N213))</f>
        <v/>
      </c>
      <c r="B213" s="49">
        <f>IF($N213="","",INDEX(前年度名簿!$B$3:$B$452,$N213))</f>
        <v/>
      </c>
      <c r="C213" s="49">
        <f>IF($N213="","",INDEX(前年度名簿!$C$3:$C$452,$N213))</f>
        <v/>
      </c>
      <c r="D213" s="49" t="n"/>
      <c r="E213" s="49" t="n"/>
      <c r="F213" s="49" t="n"/>
      <c r="G213" s="4">
        <f>IF(A213="","",IFERROR(INDEX(前年度名簿!$D$3:$D$452,MATCH(A213&amp;"-"&amp;B213&amp;"-"&amp;C213,前年度名簿!$F$3:$F$452,0)),""))</f>
        <v/>
      </c>
      <c r="H213" s="50">
        <f>IF(D213="","",IF(ISERROR(VALUE(D213)),D213&amp;"",IF(AND(VALUE(D213)&gt;=1,VALUE(D213)&lt;=20),IF(INDEX(設定!$P$8:$P$27,VALUE(D213))="","？",INDEX(設定!$P$8:$P$27,VALUE(D213))),"？")))</f>
        <v/>
      </c>
      <c r="I213" s="50">
        <f>IF(E213="","",IF(ISERROR(VALUE(E213)),E213&amp;"",IF(AND(VALUE(E213)&gt;=1,VALUE(E213)&lt;=20),IF(INDEX(設定!$P$8:$P$27,VALUE(E213))="","？",INDEX(設定!$P$8:$P$27,VALUE(E213))),"？")))</f>
        <v/>
      </c>
      <c r="J213" s="50">
        <f>IF(F213="","",IF(ISERROR(VALUE(F213)),F213&amp;"",IF(AND(VALUE(F213)&gt;=1,VALUE(F213)&lt;=20),IF(INDEX(設定!$P$8:$P$27,VALUE(F213))="","？",INDEX(設定!$P$8:$P$27,VALUE(F213))),"？")))</f>
        <v/>
      </c>
      <c r="K213" s="51">
        <f>IF(L213="","",IF(G213="","名簿にいない",IF(COUNTIF(L214:L$555,L213)&gt;0,"2回提出（下の行を使います）",IF(H213="転出","転出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OR(AND(H213&lt;&gt;"",H213=I213),AND(H213&lt;&gt;"",H213=J213),AND(I213&lt;&gt;"",I213=J213)),"同じクラブを重複して希望","OK")))))))</f>
        <v/>
      </c>
      <c r="L213" s="11">
        <f>IF(OR(A213="",D213=""),"",A213&amp;"-"&amp;B213&amp;"-"&amp;C213)</f>
        <v/>
      </c>
      <c r="M213" s="11">
        <f>IF(OR(L213="",G213=""),"",IF(COUNTIF(L214:L$555,L213)=0,L213,""))</f>
        <v/>
      </c>
      <c r="N213" s="11">
        <f>IFERROR(MATCH(SMALL(前年度名簿!$G$3:$G$452,209),前年度名簿!$G$3:$G$452,0),"")</f>
        <v/>
      </c>
    </row>
    <row r="214">
      <c r="A214" s="49">
        <f>IF($N214="","",INDEX(前年度名簿!$A$3:$A$452,$N214))</f>
        <v/>
      </c>
      <c r="B214" s="49">
        <f>IF($N214="","",INDEX(前年度名簿!$B$3:$B$452,$N214))</f>
        <v/>
      </c>
      <c r="C214" s="49">
        <f>IF($N214="","",INDEX(前年度名簿!$C$3:$C$452,$N214))</f>
        <v/>
      </c>
      <c r="D214" s="49" t="n"/>
      <c r="E214" s="49" t="n"/>
      <c r="F214" s="49" t="n"/>
      <c r="G214" s="4">
        <f>IF(A214="","",IFERROR(INDEX(前年度名簿!$D$3:$D$452,MATCH(A214&amp;"-"&amp;B214&amp;"-"&amp;C214,前年度名簿!$F$3:$F$452,0)),""))</f>
        <v/>
      </c>
      <c r="H214" s="50">
        <f>IF(D214="","",IF(ISERROR(VALUE(D214)),D214&amp;"",IF(AND(VALUE(D214)&gt;=1,VALUE(D214)&lt;=20),IF(INDEX(設定!$P$8:$P$27,VALUE(D214))="","？",INDEX(設定!$P$8:$P$27,VALUE(D214))),"？")))</f>
        <v/>
      </c>
      <c r="I214" s="50">
        <f>IF(E214="","",IF(ISERROR(VALUE(E214)),E214&amp;"",IF(AND(VALUE(E214)&gt;=1,VALUE(E214)&lt;=20),IF(INDEX(設定!$P$8:$P$27,VALUE(E214))="","？",INDEX(設定!$P$8:$P$27,VALUE(E214))),"？")))</f>
        <v/>
      </c>
      <c r="J214" s="50">
        <f>IF(F214="","",IF(ISERROR(VALUE(F214)),F214&amp;"",IF(AND(VALUE(F214)&gt;=1,VALUE(F214)&lt;=20),IF(INDEX(設定!$P$8:$P$27,VALUE(F214))="","？",INDEX(設定!$P$8:$P$27,VALUE(F214))),"？")))</f>
        <v/>
      </c>
      <c r="K214" s="51">
        <f>IF(L214="","",IF(G214="","名簿にいない",IF(COUNTIF(L215:L$555,L214)&gt;0,"2回提出（下の行を使います）",IF(H214="転出","転出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OR(AND(H214&lt;&gt;"",H214=I214),AND(H214&lt;&gt;"",H214=J214),AND(I214&lt;&gt;"",I214=J214)),"同じクラブを重複して希望","OK")))))))</f>
        <v/>
      </c>
      <c r="L214" s="11">
        <f>IF(OR(A214="",D214=""),"",A214&amp;"-"&amp;B214&amp;"-"&amp;C214)</f>
        <v/>
      </c>
      <c r="M214" s="11">
        <f>IF(OR(L214="",G214=""),"",IF(COUNTIF(L215:L$555,L214)=0,L214,""))</f>
        <v/>
      </c>
      <c r="N214" s="11">
        <f>IFERROR(MATCH(SMALL(前年度名簿!$G$3:$G$452,210),前年度名簿!$G$3:$G$452,0),"")</f>
        <v/>
      </c>
    </row>
    <row r="215">
      <c r="A215" s="49">
        <f>IF($N215="","",INDEX(前年度名簿!$A$3:$A$452,$N215))</f>
        <v/>
      </c>
      <c r="B215" s="49">
        <f>IF($N215="","",INDEX(前年度名簿!$B$3:$B$452,$N215))</f>
        <v/>
      </c>
      <c r="C215" s="49">
        <f>IF($N215="","",INDEX(前年度名簿!$C$3:$C$452,$N215))</f>
        <v/>
      </c>
      <c r="D215" s="49" t="n"/>
      <c r="E215" s="49" t="n"/>
      <c r="F215" s="49" t="n"/>
      <c r="G215" s="4">
        <f>IF(A215="","",IFERROR(INDEX(前年度名簿!$D$3:$D$452,MATCH(A215&amp;"-"&amp;B215&amp;"-"&amp;C215,前年度名簿!$F$3:$F$452,0)),""))</f>
        <v/>
      </c>
      <c r="H215" s="50">
        <f>IF(D215="","",IF(ISERROR(VALUE(D215)),D215&amp;"",IF(AND(VALUE(D215)&gt;=1,VALUE(D215)&lt;=20),IF(INDEX(設定!$P$8:$P$27,VALUE(D215))="","？",INDEX(設定!$P$8:$P$27,VALUE(D215))),"？")))</f>
        <v/>
      </c>
      <c r="I215" s="50">
        <f>IF(E215="","",IF(ISERROR(VALUE(E215)),E215&amp;"",IF(AND(VALUE(E215)&gt;=1,VALUE(E215)&lt;=20),IF(INDEX(設定!$P$8:$P$27,VALUE(E215))="","？",INDEX(設定!$P$8:$P$27,VALUE(E215))),"？")))</f>
        <v/>
      </c>
      <c r="J215" s="50">
        <f>IF(F215="","",IF(ISERROR(VALUE(F215)),F215&amp;"",IF(AND(VALUE(F215)&gt;=1,VALUE(F215)&lt;=20),IF(INDEX(設定!$P$8:$P$27,VALUE(F215))="","？",INDEX(設定!$P$8:$P$27,VALUE(F215))),"？")))</f>
        <v/>
      </c>
      <c r="K215" s="51">
        <f>IF(L215="","",IF(G215="","名簿にいない",IF(COUNTIF(L216:L$555,L215)&gt;0,"2回提出（下の行を使います）",IF(H215="転出","転出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OR(AND(H215&lt;&gt;"",H215=I215),AND(H215&lt;&gt;"",H215=J215),AND(I215&lt;&gt;"",I215=J215)),"同じクラブを重複して希望","OK")))))))</f>
        <v/>
      </c>
      <c r="L215" s="11">
        <f>IF(OR(A215="",D215=""),"",A215&amp;"-"&amp;B215&amp;"-"&amp;C215)</f>
        <v/>
      </c>
      <c r="M215" s="11">
        <f>IF(OR(L215="",G215=""),"",IF(COUNTIF(L216:L$555,L215)=0,L215,""))</f>
        <v/>
      </c>
      <c r="N215" s="11">
        <f>IFERROR(MATCH(SMALL(前年度名簿!$G$3:$G$452,211),前年度名簿!$G$3:$G$452,0),"")</f>
        <v/>
      </c>
    </row>
    <row r="216">
      <c r="A216" s="49">
        <f>IF($N216="","",INDEX(前年度名簿!$A$3:$A$452,$N216))</f>
        <v/>
      </c>
      <c r="B216" s="49">
        <f>IF($N216="","",INDEX(前年度名簿!$B$3:$B$452,$N216))</f>
        <v/>
      </c>
      <c r="C216" s="49">
        <f>IF($N216="","",INDEX(前年度名簿!$C$3:$C$452,$N216))</f>
        <v/>
      </c>
      <c r="D216" s="49" t="n"/>
      <c r="E216" s="49" t="n"/>
      <c r="F216" s="49" t="n"/>
      <c r="G216" s="4">
        <f>IF(A216="","",IFERROR(INDEX(前年度名簿!$D$3:$D$452,MATCH(A216&amp;"-"&amp;B216&amp;"-"&amp;C216,前年度名簿!$F$3:$F$452,0)),""))</f>
        <v/>
      </c>
      <c r="H216" s="50">
        <f>IF(D216="","",IF(ISERROR(VALUE(D216)),D216&amp;"",IF(AND(VALUE(D216)&gt;=1,VALUE(D216)&lt;=20),IF(INDEX(設定!$P$8:$P$27,VALUE(D216))="","？",INDEX(設定!$P$8:$P$27,VALUE(D216))),"？")))</f>
        <v/>
      </c>
      <c r="I216" s="50">
        <f>IF(E216="","",IF(ISERROR(VALUE(E216)),E216&amp;"",IF(AND(VALUE(E216)&gt;=1,VALUE(E216)&lt;=20),IF(INDEX(設定!$P$8:$P$27,VALUE(E216))="","？",INDEX(設定!$P$8:$P$27,VALUE(E216))),"？")))</f>
        <v/>
      </c>
      <c r="J216" s="50">
        <f>IF(F216="","",IF(ISERROR(VALUE(F216)),F216&amp;"",IF(AND(VALUE(F216)&gt;=1,VALUE(F216)&lt;=20),IF(INDEX(設定!$P$8:$P$27,VALUE(F216))="","？",INDEX(設定!$P$8:$P$27,VALUE(F216))),"？")))</f>
        <v/>
      </c>
      <c r="K216" s="51">
        <f>IF(L216="","",IF(G216="","名簿にいない",IF(COUNTIF(L217:L$555,L216)&gt;0,"2回提出（下の行を使います）",IF(H216="転出","転出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OR(AND(H216&lt;&gt;"",H216=I216),AND(H216&lt;&gt;"",H216=J216),AND(I216&lt;&gt;"",I216=J216)),"同じクラブを重複して希望","OK")))))))</f>
        <v/>
      </c>
      <c r="L216" s="11">
        <f>IF(OR(A216="",D216=""),"",A216&amp;"-"&amp;B216&amp;"-"&amp;C216)</f>
        <v/>
      </c>
      <c r="M216" s="11">
        <f>IF(OR(L216="",G216=""),"",IF(COUNTIF(L217:L$555,L216)=0,L216,""))</f>
        <v/>
      </c>
      <c r="N216" s="11">
        <f>IFERROR(MATCH(SMALL(前年度名簿!$G$3:$G$452,212),前年度名簿!$G$3:$G$452,0),"")</f>
        <v/>
      </c>
    </row>
    <row r="217">
      <c r="A217" s="49">
        <f>IF($N217="","",INDEX(前年度名簿!$A$3:$A$452,$N217))</f>
        <v/>
      </c>
      <c r="B217" s="49">
        <f>IF($N217="","",INDEX(前年度名簿!$B$3:$B$452,$N217))</f>
        <v/>
      </c>
      <c r="C217" s="49">
        <f>IF($N217="","",INDEX(前年度名簿!$C$3:$C$452,$N217))</f>
        <v/>
      </c>
      <c r="D217" s="49" t="n"/>
      <c r="E217" s="49" t="n"/>
      <c r="F217" s="49" t="n"/>
      <c r="G217" s="4">
        <f>IF(A217="","",IFERROR(INDEX(前年度名簿!$D$3:$D$452,MATCH(A217&amp;"-"&amp;B217&amp;"-"&amp;C217,前年度名簿!$F$3:$F$452,0)),""))</f>
        <v/>
      </c>
      <c r="H217" s="50">
        <f>IF(D217="","",IF(ISERROR(VALUE(D217)),D217&amp;"",IF(AND(VALUE(D217)&gt;=1,VALUE(D217)&lt;=20),IF(INDEX(設定!$P$8:$P$27,VALUE(D217))="","？",INDEX(設定!$P$8:$P$27,VALUE(D217))),"？")))</f>
        <v/>
      </c>
      <c r="I217" s="50">
        <f>IF(E217="","",IF(ISERROR(VALUE(E217)),E217&amp;"",IF(AND(VALUE(E217)&gt;=1,VALUE(E217)&lt;=20),IF(INDEX(設定!$P$8:$P$27,VALUE(E217))="","？",INDEX(設定!$P$8:$P$27,VALUE(E217))),"？")))</f>
        <v/>
      </c>
      <c r="J217" s="50">
        <f>IF(F217="","",IF(ISERROR(VALUE(F217)),F217&amp;"",IF(AND(VALUE(F217)&gt;=1,VALUE(F217)&lt;=20),IF(INDEX(設定!$P$8:$P$27,VALUE(F217))="","？",INDEX(設定!$P$8:$P$27,VALUE(F217))),"？")))</f>
        <v/>
      </c>
      <c r="K217" s="51">
        <f>IF(L217="","",IF(G217="","名簿にいない",IF(COUNTIF(L218:L$555,L217)&gt;0,"2回提出（下の行を使います）",IF(H217="転出","転出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OR(AND(H217&lt;&gt;"",H217=I217),AND(H217&lt;&gt;"",H217=J217),AND(I217&lt;&gt;"",I217=J217)),"同じクラブを重複して希望","OK")))))))</f>
        <v/>
      </c>
      <c r="L217" s="11">
        <f>IF(OR(A217="",D217=""),"",A217&amp;"-"&amp;B217&amp;"-"&amp;C217)</f>
        <v/>
      </c>
      <c r="M217" s="11">
        <f>IF(OR(L217="",G217=""),"",IF(COUNTIF(L218:L$555,L217)=0,L217,""))</f>
        <v/>
      </c>
      <c r="N217" s="11">
        <f>IFERROR(MATCH(SMALL(前年度名簿!$G$3:$G$452,213),前年度名簿!$G$3:$G$452,0),"")</f>
        <v/>
      </c>
    </row>
    <row r="218">
      <c r="A218" s="49">
        <f>IF($N218="","",INDEX(前年度名簿!$A$3:$A$452,$N218))</f>
        <v/>
      </c>
      <c r="B218" s="49">
        <f>IF($N218="","",INDEX(前年度名簿!$B$3:$B$452,$N218))</f>
        <v/>
      </c>
      <c r="C218" s="49">
        <f>IF($N218="","",INDEX(前年度名簿!$C$3:$C$452,$N218))</f>
        <v/>
      </c>
      <c r="D218" s="49" t="n"/>
      <c r="E218" s="49" t="n"/>
      <c r="F218" s="49" t="n"/>
      <c r="G218" s="4">
        <f>IF(A218="","",IFERROR(INDEX(前年度名簿!$D$3:$D$452,MATCH(A218&amp;"-"&amp;B218&amp;"-"&amp;C218,前年度名簿!$F$3:$F$452,0)),""))</f>
        <v/>
      </c>
      <c r="H218" s="50">
        <f>IF(D218="","",IF(ISERROR(VALUE(D218)),D218&amp;"",IF(AND(VALUE(D218)&gt;=1,VALUE(D218)&lt;=20),IF(INDEX(設定!$P$8:$P$27,VALUE(D218))="","？",INDEX(設定!$P$8:$P$27,VALUE(D218))),"？")))</f>
        <v/>
      </c>
      <c r="I218" s="50">
        <f>IF(E218="","",IF(ISERROR(VALUE(E218)),E218&amp;"",IF(AND(VALUE(E218)&gt;=1,VALUE(E218)&lt;=20),IF(INDEX(設定!$P$8:$P$27,VALUE(E218))="","？",INDEX(設定!$P$8:$P$27,VALUE(E218))),"？")))</f>
        <v/>
      </c>
      <c r="J218" s="50">
        <f>IF(F218="","",IF(ISERROR(VALUE(F218)),F218&amp;"",IF(AND(VALUE(F218)&gt;=1,VALUE(F218)&lt;=20),IF(INDEX(設定!$P$8:$P$27,VALUE(F218))="","？",INDEX(設定!$P$8:$P$27,VALUE(F218))),"？")))</f>
        <v/>
      </c>
      <c r="K218" s="51">
        <f>IF(L218="","",IF(G218="","名簿にいない",IF(COUNTIF(L219:L$555,L218)&gt;0,"2回提出（下の行を使います）",IF(H218="転出","転出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OR(AND(H218&lt;&gt;"",H218=I218),AND(H218&lt;&gt;"",H218=J218),AND(I218&lt;&gt;"",I218=J218)),"同じクラブを重複して希望","OK")))))))</f>
        <v/>
      </c>
      <c r="L218" s="11">
        <f>IF(OR(A218="",D218=""),"",A218&amp;"-"&amp;B218&amp;"-"&amp;C218)</f>
        <v/>
      </c>
      <c r="M218" s="11">
        <f>IF(OR(L218="",G218=""),"",IF(COUNTIF(L219:L$555,L218)=0,L218,""))</f>
        <v/>
      </c>
      <c r="N218" s="11">
        <f>IFERROR(MATCH(SMALL(前年度名簿!$G$3:$G$452,214),前年度名簿!$G$3:$G$452,0),"")</f>
        <v/>
      </c>
    </row>
    <row r="219">
      <c r="A219" s="49">
        <f>IF($N219="","",INDEX(前年度名簿!$A$3:$A$452,$N219))</f>
        <v/>
      </c>
      <c r="B219" s="49">
        <f>IF($N219="","",INDEX(前年度名簿!$B$3:$B$452,$N219))</f>
        <v/>
      </c>
      <c r="C219" s="49">
        <f>IF($N219="","",INDEX(前年度名簿!$C$3:$C$452,$N219))</f>
        <v/>
      </c>
      <c r="D219" s="49" t="n"/>
      <c r="E219" s="49" t="n"/>
      <c r="F219" s="49" t="n"/>
      <c r="G219" s="4">
        <f>IF(A219="","",IFERROR(INDEX(前年度名簿!$D$3:$D$452,MATCH(A219&amp;"-"&amp;B219&amp;"-"&amp;C219,前年度名簿!$F$3:$F$452,0)),""))</f>
        <v/>
      </c>
      <c r="H219" s="50">
        <f>IF(D219="","",IF(ISERROR(VALUE(D219)),D219&amp;"",IF(AND(VALUE(D219)&gt;=1,VALUE(D219)&lt;=20),IF(INDEX(設定!$P$8:$P$27,VALUE(D219))="","？",INDEX(設定!$P$8:$P$27,VALUE(D219))),"？")))</f>
        <v/>
      </c>
      <c r="I219" s="50">
        <f>IF(E219="","",IF(ISERROR(VALUE(E219)),E219&amp;"",IF(AND(VALUE(E219)&gt;=1,VALUE(E219)&lt;=20),IF(INDEX(設定!$P$8:$P$27,VALUE(E219))="","？",INDEX(設定!$P$8:$P$27,VALUE(E219))),"？")))</f>
        <v/>
      </c>
      <c r="J219" s="50">
        <f>IF(F219="","",IF(ISERROR(VALUE(F219)),F219&amp;"",IF(AND(VALUE(F219)&gt;=1,VALUE(F219)&lt;=20),IF(INDEX(設定!$P$8:$P$27,VALUE(F219))="","？",INDEX(設定!$P$8:$P$27,VALUE(F219))),"？")))</f>
        <v/>
      </c>
      <c r="K219" s="51">
        <f>IF(L219="","",IF(G219="","名簿にいない",IF(COUNTIF(L220:L$555,L219)&gt;0,"2回提出（下の行を使います）",IF(H219="転出","転出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OR(AND(H219&lt;&gt;"",H219=I219),AND(H219&lt;&gt;"",H219=J219),AND(I219&lt;&gt;"",I219=J219)),"同じクラブを重複して希望","OK")))))))</f>
        <v/>
      </c>
      <c r="L219" s="11">
        <f>IF(OR(A219="",D219=""),"",A219&amp;"-"&amp;B219&amp;"-"&amp;C219)</f>
        <v/>
      </c>
      <c r="M219" s="11">
        <f>IF(OR(L219="",G219=""),"",IF(COUNTIF(L220:L$555,L219)=0,L219,""))</f>
        <v/>
      </c>
      <c r="N219" s="11">
        <f>IFERROR(MATCH(SMALL(前年度名簿!$G$3:$G$452,215),前年度名簿!$G$3:$G$452,0),"")</f>
        <v/>
      </c>
    </row>
    <row r="220">
      <c r="A220" s="49">
        <f>IF($N220="","",INDEX(前年度名簿!$A$3:$A$452,$N220))</f>
        <v/>
      </c>
      <c r="B220" s="49">
        <f>IF($N220="","",INDEX(前年度名簿!$B$3:$B$452,$N220))</f>
        <v/>
      </c>
      <c r="C220" s="49">
        <f>IF($N220="","",INDEX(前年度名簿!$C$3:$C$452,$N220))</f>
        <v/>
      </c>
      <c r="D220" s="49" t="n"/>
      <c r="E220" s="49" t="n"/>
      <c r="F220" s="49" t="n"/>
      <c r="G220" s="4">
        <f>IF(A220="","",IFERROR(INDEX(前年度名簿!$D$3:$D$452,MATCH(A220&amp;"-"&amp;B220&amp;"-"&amp;C220,前年度名簿!$F$3:$F$452,0)),""))</f>
        <v/>
      </c>
      <c r="H220" s="50">
        <f>IF(D220="","",IF(ISERROR(VALUE(D220)),D220&amp;"",IF(AND(VALUE(D220)&gt;=1,VALUE(D220)&lt;=20),IF(INDEX(設定!$P$8:$P$27,VALUE(D220))="","？",INDEX(設定!$P$8:$P$27,VALUE(D220))),"？")))</f>
        <v/>
      </c>
      <c r="I220" s="50">
        <f>IF(E220="","",IF(ISERROR(VALUE(E220)),E220&amp;"",IF(AND(VALUE(E220)&gt;=1,VALUE(E220)&lt;=20),IF(INDEX(設定!$P$8:$P$27,VALUE(E220))="","？",INDEX(設定!$P$8:$P$27,VALUE(E220))),"？")))</f>
        <v/>
      </c>
      <c r="J220" s="50">
        <f>IF(F220="","",IF(ISERROR(VALUE(F220)),F220&amp;"",IF(AND(VALUE(F220)&gt;=1,VALUE(F220)&lt;=20),IF(INDEX(設定!$P$8:$P$27,VALUE(F220))="","？",INDEX(設定!$P$8:$P$27,VALUE(F220))),"？")))</f>
        <v/>
      </c>
      <c r="K220" s="51">
        <f>IF(L220="","",IF(G220="","名簿にいない",IF(COUNTIF(L221:L$555,L220)&gt;0,"2回提出（下の行を使います）",IF(H220="転出","転出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OR(AND(H220&lt;&gt;"",H220=I220),AND(H220&lt;&gt;"",H220=J220),AND(I220&lt;&gt;"",I220=J220)),"同じクラブを重複して希望","OK")))))))</f>
        <v/>
      </c>
      <c r="L220" s="11">
        <f>IF(OR(A220="",D220=""),"",A220&amp;"-"&amp;B220&amp;"-"&amp;C220)</f>
        <v/>
      </c>
      <c r="M220" s="11">
        <f>IF(OR(L220="",G220=""),"",IF(COUNTIF(L221:L$555,L220)=0,L220,""))</f>
        <v/>
      </c>
      <c r="N220" s="11">
        <f>IFERROR(MATCH(SMALL(前年度名簿!$G$3:$G$452,216),前年度名簿!$G$3:$G$452,0),"")</f>
        <v/>
      </c>
    </row>
    <row r="221">
      <c r="A221" s="49">
        <f>IF($N221="","",INDEX(前年度名簿!$A$3:$A$452,$N221))</f>
        <v/>
      </c>
      <c r="B221" s="49">
        <f>IF($N221="","",INDEX(前年度名簿!$B$3:$B$452,$N221))</f>
        <v/>
      </c>
      <c r="C221" s="49">
        <f>IF($N221="","",INDEX(前年度名簿!$C$3:$C$452,$N221))</f>
        <v/>
      </c>
      <c r="D221" s="49" t="n"/>
      <c r="E221" s="49" t="n"/>
      <c r="F221" s="49" t="n"/>
      <c r="G221" s="4">
        <f>IF(A221="","",IFERROR(INDEX(前年度名簿!$D$3:$D$452,MATCH(A221&amp;"-"&amp;B221&amp;"-"&amp;C221,前年度名簿!$F$3:$F$452,0)),""))</f>
        <v/>
      </c>
      <c r="H221" s="50">
        <f>IF(D221="","",IF(ISERROR(VALUE(D221)),D221&amp;"",IF(AND(VALUE(D221)&gt;=1,VALUE(D221)&lt;=20),IF(INDEX(設定!$P$8:$P$27,VALUE(D221))="","？",INDEX(設定!$P$8:$P$27,VALUE(D221))),"？")))</f>
        <v/>
      </c>
      <c r="I221" s="50">
        <f>IF(E221="","",IF(ISERROR(VALUE(E221)),E221&amp;"",IF(AND(VALUE(E221)&gt;=1,VALUE(E221)&lt;=20),IF(INDEX(設定!$P$8:$P$27,VALUE(E221))="","？",INDEX(設定!$P$8:$P$27,VALUE(E221))),"？")))</f>
        <v/>
      </c>
      <c r="J221" s="50">
        <f>IF(F221="","",IF(ISERROR(VALUE(F221)),F221&amp;"",IF(AND(VALUE(F221)&gt;=1,VALUE(F221)&lt;=20),IF(INDEX(設定!$P$8:$P$27,VALUE(F221))="","？",INDEX(設定!$P$8:$P$27,VALUE(F221))),"？")))</f>
        <v/>
      </c>
      <c r="K221" s="51">
        <f>IF(L221="","",IF(G221="","名簿にいない",IF(COUNTIF(L222:L$555,L221)&gt;0,"2回提出（下の行を使います）",IF(H221="転出","転出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OR(AND(H221&lt;&gt;"",H221=I221),AND(H221&lt;&gt;"",H221=J221),AND(I221&lt;&gt;"",I221=J221)),"同じクラブを重複して希望","OK")))))))</f>
        <v/>
      </c>
      <c r="L221" s="11">
        <f>IF(OR(A221="",D221=""),"",A221&amp;"-"&amp;B221&amp;"-"&amp;C221)</f>
        <v/>
      </c>
      <c r="M221" s="11">
        <f>IF(OR(L221="",G221=""),"",IF(COUNTIF(L222:L$555,L221)=0,L221,""))</f>
        <v/>
      </c>
      <c r="N221" s="11">
        <f>IFERROR(MATCH(SMALL(前年度名簿!$G$3:$G$452,217),前年度名簿!$G$3:$G$452,0),"")</f>
        <v/>
      </c>
    </row>
    <row r="222">
      <c r="A222" s="49">
        <f>IF($N222="","",INDEX(前年度名簿!$A$3:$A$452,$N222))</f>
        <v/>
      </c>
      <c r="B222" s="49">
        <f>IF($N222="","",INDEX(前年度名簿!$B$3:$B$452,$N222))</f>
        <v/>
      </c>
      <c r="C222" s="49">
        <f>IF($N222="","",INDEX(前年度名簿!$C$3:$C$452,$N222))</f>
        <v/>
      </c>
      <c r="D222" s="49" t="n"/>
      <c r="E222" s="49" t="n"/>
      <c r="F222" s="49" t="n"/>
      <c r="G222" s="4">
        <f>IF(A222="","",IFERROR(INDEX(前年度名簿!$D$3:$D$452,MATCH(A222&amp;"-"&amp;B222&amp;"-"&amp;C222,前年度名簿!$F$3:$F$452,0)),""))</f>
        <v/>
      </c>
      <c r="H222" s="50">
        <f>IF(D222="","",IF(ISERROR(VALUE(D222)),D222&amp;"",IF(AND(VALUE(D222)&gt;=1,VALUE(D222)&lt;=20),IF(INDEX(設定!$P$8:$P$27,VALUE(D222))="","？",INDEX(設定!$P$8:$P$27,VALUE(D222))),"？")))</f>
        <v/>
      </c>
      <c r="I222" s="50">
        <f>IF(E222="","",IF(ISERROR(VALUE(E222)),E222&amp;"",IF(AND(VALUE(E222)&gt;=1,VALUE(E222)&lt;=20),IF(INDEX(設定!$P$8:$P$27,VALUE(E222))="","？",INDEX(設定!$P$8:$P$27,VALUE(E222))),"？")))</f>
        <v/>
      </c>
      <c r="J222" s="50">
        <f>IF(F222="","",IF(ISERROR(VALUE(F222)),F222&amp;"",IF(AND(VALUE(F222)&gt;=1,VALUE(F222)&lt;=20),IF(INDEX(設定!$P$8:$P$27,VALUE(F222))="","？",INDEX(設定!$P$8:$P$27,VALUE(F222))),"？")))</f>
        <v/>
      </c>
      <c r="K222" s="51">
        <f>IF(L222="","",IF(G222="","名簿にいない",IF(COUNTIF(L223:L$555,L222)&gt;0,"2回提出（下の行を使います）",IF(H222="転出","転出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OR(AND(H222&lt;&gt;"",H222=I222),AND(H222&lt;&gt;"",H222=J222),AND(I222&lt;&gt;"",I222=J222)),"同じクラブを重複して希望","OK")))))))</f>
        <v/>
      </c>
      <c r="L222" s="11">
        <f>IF(OR(A222="",D222=""),"",A222&amp;"-"&amp;B222&amp;"-"&amp;C222)</f>
        <v/>
      </c>
      <c r="M222" s="11">
        <f>IF(OR(L222="",G222=""),"",IF(COUNTIF(L223:L$555,L222)=0,L222,""))</f>
        <v/>
      </c>
      <c r="N222" s="11">
        <f>IFERROR(MATCH(SMALL(前年度名簿!$G$3:$G$452,218),前年度名簿!$G$3:$G$452,0),"")</f>
        <v/>
      </c>
    </row>
    <row r="223">
      <c r="A223" s="49">
        <f>IF($N223="","",INDEX(前年度名簿!$A$3:$A$452,$N223))</f>
        <v/>
      </c>
      <c r="B223" s="49">
        <f>IF($N223="","",INDEX(前年度名簿!$B$3:$B$452,$N223))</f>
        <v/>
      </c>
      <c r="C223" s="49">
        <f>IF($N223="","",INDEX(前年度名簿!$C$3:$C$452,$N223))</f>
        <v/>
      </c>
      <c r="D223" s="49" t="n"/>
      <c r="E223" s="49" t="n"/>
      <c r="F223" s="49" t="n"/>
      <c r="G223" s="4">
        <f>IF(A223="","",IFERROR(INDEX(前年度名簿!$D$3:$D$452,MATCH(A223&amp;"-"&amp;B223&amp;"-"&amp;C223,前年度名簿!$F$3:$F$452,0)),""))</f>
        <v/>
      </c>
      <c r="H223" s="50">
        <f>IF(D223="","",IF(ISERROR(VALUE(D223)),D223&amp;"",IF(AND(VALUE(D223)&gt;=1,VALUE(D223)&lt;=20),IF(INDEX(設定!$P$8:$P$27,VALUE(D223))="","？",INDEX(設定!$P$8:$P$27,VALUE(D223))),"？")))</f>
        <v/>
      </c>
      <c r="I223" s="50">
        <f>IF(E223="","",IF(ISERROR(VALUE(E223)),E223&amp;"",IF(AND(VALUE(E223)&gt;=1,VALUE(E223)&lt;=20),IF(INDEX(設定!$P$8:$P$27,VALUE(E223))="","？",INDEX(設定!$P$8:$P$27,VALUE(E223))),"？")))</f>
        <v/>
      </c>
      <c r="J223" s="50">
        <f>IF(F223="","",IF(ISERROR(VALUE(F223)),F223&amp;"",IF(AND(VALUE(F223)&gt;=1,VALUE(F223)&lt;=20),IF(INDEX(設定!$P$8:$P$27,VALUE(F223))="","？",INDEX(設定!$P$8:$P$27,VALUE(F223))),"？")))</f>
        <v/>
      </c>
      <c r="K223" s="51">
        <f>IF(L223="","",IF(G223="","名簿にいない",IF(COUNTIF(L224:L$555,L223)&gt;0,"2回提出（下の行を使います）",IF(H223="転出","転出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OR(AND(H223&lt;&gt;"",H223=I223),AND(H223&lt;&gt;"",H223=J223),AND(I223&lt;&gt;"",I223=J223)),"同じクラブを重複して希望","OK")))))))</f>
        <v/>
      </c>
      <c r="L223" s="11">
        <f>IF(OR(A223="",D223=""),"",A223&amp;"-"&amp;B223&amp;"-"&amp;C223)</f>
        <v/>
      </c>
      <c r="M223" s="11">
        <f>IF(OR(L223="",G223=""),"",IF(COUNTIF(L224:L$555,L223)=0,L223,""))</f>
        <v/>
      </c>
      <c r="N223" s="11">
        <f>IFERROR(MATCH(SMALL(前年度名簿!$G$3:$G$452,219),前年度名簿!$G$3:$G$452,0),"")</f>
        <v/>
      </c>
    </row>
    <row r="224">
      <c r="A224" s="49">
        <f>IF($N224="","",INDEX(前年度名簿!$A$3:$A$452,$N224))</f>
        <v/>
      </c>
      <c r="B224" s="49">
        <f>IF($N224="","",INDEX(前年度名簿!$B$3:$B$452,$N224))</f>
        <v/>
      </c>
      <c r="C224" s="49">
        <f>IF($N224="","",INDEX(前年度名簿!$C$3:$C$452,$N224))</f>
        <v/>
      </c>
      <c r="D224" s="49" t="n"/>
      <c r="E224" s="49" t="n"/>
      <c r="F224" s="49" t="n"/>
      <c r="G224" s="4">
        <f>IF(A224="","",IFERROR(INDEX(前年度名簿!$D$3:$D$452,MATCH(A224&amp;"-"&amp;B224&amp;"-"&amp;C224,前年度名簿!$F$3:$F$452,0)),""))</f>
        <v/>
      </c>
      <c r="H224" s="50">
        <f>IF(D224="","",IF(ISERROR(VALUE(D224)),D224&amp;"",IF(AND(VALUE(D224)&gt;=1,VALUE(D224)&lt;=20),IF(INDEX(設定!$P$8:$P$27,VALUE(D224))="","？",INDEX(設定!$P$8:$P$27,VALUE(D224))),"？")))</f>
        <v/>
      </c>
      <c r="I224" s="50">
        <f>IF(E224="","",IF(ISERROR(VALUE(E224)),E224&amp;"",IF(AND(VALUE(E224)&gt;=1,VALUE(E224)&lt;=20),IF(INDEX(設定!$P$8:$P$27,VALUE(E224))="","？",INDEX(設定!$P$8:$P$27,VALUE(E224))),"？")))</f>
        <v/>
      </c>
      <c r="J224" s="50">
        <f>IF(F224="","",IF(ISERROR(VALUE(F224)),F224&amp;"",IF(AND(VALUE(F224)&gt;=1,VALUE(F224)&lt;=20),IF(INDEX(設定!$P$8:$P$27,VALUE(F224))="","？",INDEX(設定!$P$8:$P$27,VALUE(F224))),"？")))</f>
        <v/>
      </c>
      <c r="K224" s="51">
        <f>IF(L224="","",IF(G224="","名簿にいない",IF(COUNTIF(L225:L$555,L224)&gt;0,"2回提出（下の行を使います）",IF(H224="転出","転出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OR(AND(H224&lt;&gt;"",H224=I224),AND(H224&lt;&gt;"",H224=J224),AND(I224&lt;&gt;"",I224=J224)),"同じクラブを重複して希望","OK")))))))</f>
        <v/>
      </c>
      <c r="L224" s="11">
        <f>IF(OR(A224="",D224=""),"",A224&amp;"-"&amp;B224&amp;"-"&amp;C224)</f>
        <v/>
      </c>
      <c r="M224" s="11">
        <f>IF(OR(L224="",G224=""),"",IF(COUNTIF(L225:L$555,L224)=0,L224,""))</f>
        <v/>
      </c>
      <c r="N224" s="11">
        <f>IFERROR(MATCH(SMALL(前年度名簿!$G$3:$G$452,220),前年度名簿!$G$3:$G$452,0),"")</f>
        <v/>
      </c>
    </row>
    <row r="225">
      <c r="A225" s="49">
        <f>IF($N225="","",INDEX(前年度名簿!$A$3:$A$452,$N225))</f>
        <v/>
      </c>
      <c r="B225" s="49">
        <f>IF($N225="","",INDEX(前年度名簿!$B$3:$B$452,$N225))</f>
        <v/>
      </c>
      <c r="C225" s="49">
        <f>IF($N225="","",INDEX(前年度名簿!$C$3:$C$452,$N225))</f>
        <v/>
      </c>
      <c r="D225" s="49" t="n"/>
      <c r="E225" s="49" t="n"/>
      <c r="F225" s="49" t="n"/>
      <c r="G225" s="4">
        <f>IF(A225="","",IFERROR(INDEX(前年度名簿!$D$3:$D$452,MATCH(A225&amp;"-"&amp;B225&amp;"-"&amp;C225,前年度名簿!$F$3:$F$452,0)),""))</f>
        <v/>
      </c>
      <c r="H225" s="50">
        <f>IF(D225="","",IF(ISERROR(VALUE(D225)),D225&amp;"",IF(AND(VALUE(D225)&gt;=1,VALUE(D225)&lt;=20),IF(INDEX(設定!$P$8:$P$27,VALUE(D225))="","？",INDEX(設定!$P$8:$P$27,VALUE(D225))),"？")))</f>
        <v/>
      </c>
      <c r="I225" s="50">
        <f>IF(E225="","",IF(ISERROR(VALUE(E225)),E225&amp;"",IF(AND(VALUE(E225)&gt;=1,VALUE(E225)&lt;=20),IF(INDEX(設定!$P$8:$P$27,VALUE(E225))="","？",INDEX(設定!$P$8:$P$27,VALUE(E225))),"？")))</f>
        <v/>
      </c>
      <c r="J225" s="50">
        <f>IF(F225="","",IF(ISERROR(VALUE(F225)),F225&amp;"",IF(AND(VALUE(F225)&gt;=1,VALUE(F225)&lt;=20),IF(INDEX(設定!$P$8:$P$27,VALUE(F225))="","？",INDEX(設定!$P$8:$P$27,VALUE(F225))),"？")))</f>
        <v/>
      </c>
      <c r="K225" s="51">
        <f>IF(L225="","",IF(G225="","名簿にいない",IF(COUNTIF(L226:L$555,L225)&gt;0,"2回提出（下の行を使います）",IF(H225="転出","転出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OR(AND(H225&lt;&gt;"",H225=I225),AND(H225&lt;&gt;"",H225=J225),AND(I225&lt;&gt;"",I225=J225)),"同じクラブを重複して希望","OK")))))))</f>
        <v/>
      </c>
      <c r="L225" s="11">
        <f>IF(OR(A225="",D225=""),"",A225&amp;"-"&amp;B225&amp;"-"&amp;C225)</f>
        <v/>
      </c>
      <c r="M225" s="11">
        <f>IF(OR(L225="",G225=""),"",IF(COUNTIF(L226:L$555,L225)=0,L225,""))</f>
        <v/>
      </c>
      <c r="N225" s="11">
        <f>IFERROR(MATCH(SMALL(前年度名簿!$G$3:$G$452,221),前年度名簿!$G$3:$G$452,0),"")</f>
        <v/>
      </c>
    </row>
    <row r="226">
      <c r="A226" s="49">
        <f>IF($N226="","",INDEX(前年度名簿!$A$3:$A$452,$N226))</f>
        <v/>
      </c>
      <c r="B226" s="49">
        <f>IF($N226="","",INDEX(前年度名簿!$B$3:$B$452,$N226))</f>
        <v/>
      </c>
      <c r="C226" s="49">
        <f>IF($N226="","",INDEX(前年度名簿!$C$3:$C$452,$N226))</f>
        <v/>
      </c>
      <c r="D226" s="49" t="n"/>
      <c r="E226" s="49" t="n"/>
      <c r="F226" s="49" t="n"/>
      <c r="G226" s="4">
        <f>IF(A226="","",IFERROR(INDEX(前年度名簿!$D$3:$D$452,MATCH(A226&amp;"-"&amp;B226&amp;"-"&amp;C226,前年度名簿!$F$3:$F$452,0)),""))</f>
        <v/>
      </c>
      <c r="H226" s="50">
        <f>IF(D226="","",IF(ISERROR(VALUE(D226)),D226&amp;"",IF(AND(VALUE(D226)&gt;=1,VALUE(D226)&lt;=20),IF(INDEX(設定!$P$8:$P$27,VALUE(D226))="","？",INDEX(設定!$P$8:$P$27,VALUE(D226))),"？")))</f>
        <v/>
      </c>
      <c r="I226" s="50">
        <f>IF(E226="","",IF(ISERROR(VALUE(E226)),E226&amp;"",IF(AND(VALUE(E226)&gt;=1,VALUE(E226)&lt;=20),IF(INDEX(設定!$P$8:$P$27,VALUE(E226))="","？",INDEX(設定!$P$8:$P$27,VALUE(E226))),"？")))</f>
        <v/>
      </c>
      <c r="J226" s="50">
        <f>IF(F226="","",IF(ISERROR(VALUE(F226)),F226&amp;"",IF(AND(VALUE(F226)&gt;=1,VALUE(F226)&lt;=20),IF(INDEX(設定!$P$8:$P$27,VALUE(F226))="","？",INDEX(設定!$P$8:$P$27,VALUE(F226))),"？")))</f>
        <v/>
      </c>
      <c r="K226" s="51">
        <f>IF(L226="","",IF(G226="","名簿にいない",IF(COUNTIF(L227:L$555,L226)&gt;0,"2回提出（下の行を使います）",IF(H226="転出","転出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OR(AND(H226&lt;&gt;"",H226=I226),AND(H226&lt;&gt;"",H226=J226),AND(I226&lt;&gt;"",I226=J226)),"同じクラブを重複して希望","OK")))))))</f>
        <v/>
      </c>
      <c r="L226" s="11">
        <f>IF(OR(A226="",D226=""),"",A226&amp;"-"&amp;B226&amp;"-"&amp;C226)</f>
        <v/>
      </c>
      <c r="M226" s="11">
        <f>IF(OR(L226="",G226=""),"",IF(COUNTIF(L227:L$555,L226)=0,L226,""))</f>
        <v/>
      </c>
      <c r="N226" s="11">
        <f>IFERROR(MATCH(SMALL(前年度名簿!$G$3:$G$452,222),前年度名簿!$G$3:$G$452,0),"")</f>
        <v/>
      </c>
    </row>
    <row r="227">
      <c r="A227" s="49">
        <f>IF($N227="","",INDEX(前年度名簿!$A$3:$A$452,$N227))</f>
        <v/>
      </c>
      <c r="B227" s="49">
        <f>IF($N227="","",INDEX(前年度名簿!$B$3:$B$452,$N227))</f>
        <v/>
      </c>
      <c r="C227" s="49">
        <f>IF($N227="","",INDEX(前年度名簿!$C$3:$C$452,$N227))</f>
        <v/>
      </c>
      <c r="D227" s="49" t="n"/>
      <c r="E227" s="49" t="n"/>
      <c r="F227" s="49" t="n"/>
      <c r="G227" s="4">
        <f>IF(A227="","",IFERROR(INDEX(前年度名簿!$D$3:$D$452,MATCH(A227&amp;"-"&amp;B227&amp;"-"&amp;C227,前年度名簿!$F$3:$F$452,0)),""))</f>
        <v/>
      </c>
      <c r="H227" s="50">
        <f>IF(D227="","",IF(ISERROR(VALUE(D227)),D227&amp;"",IF(AND(VALUE(D227)&gt;=1,VALUE(D227)&lt;=20),IF(INDEX(設定!$P$8:$P$27,VALUE(D227))="","？",INDEX(設定!$P$8:$P$27,VALUE(D227))),"？")))</f>
        <v/>
      </c>
      <c r="I227" s="50">
        <f>IF(E227="","",IF(ISERROR(VALUE(E227)),E227&amp;"",IF(AND(VALUE(E227)&gt;=1,VALUE(E227)&lt;=20),IF(INDEX(設定!$P$8:$P$27,VALUE(E227))="","？",INDEX(設定!$P$8:$P$27,VALUE(E227))),"？")))</f>
        <v/>
      </c>
      <c r="J227" s="50">
        <f>IF(F227="","",IF(ISERROR(VALUE(F227)),F227&amp;"",IF(AND(VALUE(F227)&gt;=1,VALUE(F227)&lt;=20),IF(INDEX(設定!$P$8:$P$27,VALUE(F227))="","？",INDEX(設定!$P$8:$P$27,VALUE(F227))),"？")))</f>
        <v/>
      </c>
      <c r="K227" s="51">
        <f>IF(L227="","",IF(G227="","名簿にいない",IF(COUNTIF(L228:L$555,L227)&gt;0,"2回提出（下の行を使います）",IF(H227="転出","転出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OR(AND(H227&lt;&gt;"",H227=I227),AND(H227&lt;&gt;"",H227=J227),AND(I227&lt;&gt;"",I227=J227)),"同じクラブを重複して希望","OK")))))))</f>
        <v/>
      </c>
      <c r="L227" s="11">
        <f>IF(OR(A227="",D227=""),"",A227&amp;"-"&amp;B227&amp;"-"&amp;C227)</f>
        <v/>
      </c>
      <c r="M227" s="11">
        <f>IF(OR(L227="",G227=""),"",IF(COUNTIF(L228:L$555,L227)=0,L227,""))</f>
        <v/>
      </c>
      <c r="N227" s="11">
        <f>IFERROR(MATCH(SMALL(前年度名簿!$G$3:$G$452,223),前年度名簿!$G$3:$G$452,0),"")</f>
        <v/>
      </c>
    </row>
    <row r="228">
      <c r="A228" s="49">
        <f>IF($N228="","",INDEX(前年度名簿!$A$3:$A$452,$N228))</f>
        <v/>
      </c>
      <c r="B228" s="49">
        <f>IF($N228="","",INDEX(前年度名簿!$B$3:$B$452,$N228))</f>
        <v/>
      </c>
      <c r="C228" s="49">
        <f>IF($N228="","",INDEX(前年度名簿!$C$3:$C$452,$N228))</f>
        <v/>
      </c>
      <c r="D228" s="49" t="n"/>
      <c r="E228" s="49" t="n"/>
      <c r="F228" s="49" t="n"/>
      <c r="G228" s="4">
        <f>IF(A228="","",IFERROR(INDEX(前年度名簿!$D$3:$D$452,MATCH(A228&amp;"-"&amp;B228&amp;"-"&amp;C228,前年度名簿!$F$3:$F$452,0)),""))</f>
        <v/>
      </c>
      <c r="H228" s="50">
        <f>IF(D228="","",IF(ISERROR(VALUE(D228)),D228&amp;"",IF(AND(VALUE(D228)&gt;=1,VALUE(D228)&lt;=20),IF(INDEX(設定!$P$8:$P$27,VALUE(D228))="","？",INDEX(設定!$P$8:$P$27,VALUE(D228))),"？")))</f>
        <v/>
      </c>
      <c r="I228" s="50">
        <f>IF(E228="","",IF(ISERROR(VALUE(E228)),E228&amp;"",IF(AND(VALUE(E228)&gt;=1,VALUE(E228)&lt;=20),IF(INDEX(設定!$P$8:$P$27,VALUE(E228))="","？",INDEX(設定!$P$8:$P$27,VALUE(E228))),"？")))</f>
        <v/>
      </c>
      <c r="J228" s="50">
        <f>IF(F228="","",IF(ISERROR(VALUE(F228)),F228&amp;"",IF(AND(VALUE(F228)&gt;=1,VALUE(F228)&lt;=20),IF(INDEX(設定!$P$8:$P$27,VALUE(F228))="","？",INDEX(設定!$P$8:$P$27,VALUE(F228))),"？")))</f>
        <v/>
      </c>
      <c r="K228" s="51">
        <f>IF(L228="","",IF(G228="","名簿にいない",IF(COUNTIF(L229:L$555,L228)&gt;0,"2回提出（下の行を使います）",IF(H228="転出","転出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OR(AND(H228&lt;&gt;"",H228=I228),AND(H228&lt;&gt;"",H228=J228),AND(I228&lt;&gt;"",I228=J228)),"同じクラブを重複して希望","OK")))))))</f>
        <v/>
      </c>
      <c r="L228" s="11">
        <f>IF(OR(A228="",D228=""),"",A228&amp;"-"&amp;B228&amp;"-"&amp;C228)</f>
        <v/>
      </c>
      <c r="M228" s="11">
        <f>IF(OR(L228="",G228=""),"",IF(COUNTIF(L229:L$555,L228)=0,L228,""))</f>
        <v/>
      </c>
      <c r="N228" s="11">
        <f>IFERROR(MATCH(SMALL(前年度名簿!$G$3:$G$452,224),前年度名簿!$G$3:$G$452,0),"")</f>
        <v/>
      </c>
    </row>
    <row r="229">
      <c r="A229" s="49">
        <f>IF($N229="","",INDEX(前年度名簿!$A$3:$A$452,$N229))</f>
        <v/>
      </c>
      <c r="B229" s="49">
        <f>IF($N229="","",INDEX(前年度名簿!$B$3:$B$452,$N229))</f>
        <v/>
      </c>
      <c r="C229" s="49">
        <f>IF($N229="","",INDEX(前年度名簿!$C$3:$C$452,$N229))</f>
        <v/>
      </c>
      <c r="D229" s="49" t="n"/>
      <c r="E229" s="49" t="n"/>
      <c r="F229" s="49" t="n"/>
      <c r="G229" s="4">
        <f>IF(A229="","",IFERROR(INDEX(前年度名簿!$D$3:$D$452,MATCH(A229&amp;"-"&amp;B229&amp;"-"&amp;C229,前年度名簿!$F$3:$F$452,0)),""))</f>
        <v/>
      </c>
      <c r="H229" s="50">
        <f>IF(D229="","",IF(ISERROR(VALUE(D229)),D229&amp;"",IF(AND(VALUE(D229)&gt;=1,VALUE(D229)&lt;=20),IF(INDEX(設定!$P$8:$P$27,VALUE(D229))="","？",INDEX(設定!$P$8:$P$27,VALUE(D229))),"？")))</f>
        <v/>
      </c>
      <c r="I229" s="50">
        <f>IF(E229="","",IF(ISERROR(VALUE(E229)),E229&amp;"",IF(AND(VALUE(E229)&gt;=1,VALUE(E229)&lt;=20),IF(INDEX(設定!$P$8:$P$27,VALUE(E229))="","？",INDEX(設定!$P$8:$P$27,VALUE(E229))),"？")))</f>
        <v/>
      </c>
      <c r="J229" s="50">
        <f>IF(F229="","",IF(ISERROR(VALUE(F229)),F229&amp;"",IF(AND(VALUE(F229)&gt;=1,VALUE(F229)&lt;=20),IF(INDEX(設定!$P$8:$P$27,VALUE(F229))="","？",INDEX(設定!$P$8:$P$27,VALUE(F229))),"？")))</f>
        <v/>
      </c>
      <c r="K229" s="51">
        <f>IF(L229="","",IF(G229="","名簿にいない",IF(COUNTIF(L230:L$555,L229)&gt;0,"2回提出（下の行を使います）",IF(H229="転出","転出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OR(AND(H229&lt;&gt;"",H229=I229),AND(H229&lt;&gt;"",H229=J229),AND(I229&lt;&gt;"",I229=J229)),"同じクラブを重複して希望","OK")))))))</f>
        <v/>
      </c>
      <c r="L229" s="11">
        <f>IF(OR(A229="",D229=""),"",A229&amp;"-"&amp;B229&amp;"-"&amp;C229)</f>
        <v/>
      </c>
      <c r="M229" s="11">
        <f>IF(OR(L229="",G229=""),"",IF(COUNTIF(L230:L$555,L229)=0,L229,""))</f>
        <v/>
      </c>
      <c r="N229" s="11">
        <f>IFERROR(MATCH(SMALL(前年度名簿!$G$3:$G$452,225),前年度名簿!$G$3:$G$452,0),"")</f>
        <v/>
      </c>
    </row>
    <row r="230">
      <c r="A230" s="49">
        <f>IF($N230="","",INDEX(前年度名簿!$A$3:$A$452,$N230))</f>
        <v/>
      </c>
      <c r="B230" s="49">
        <f>IF($N230="","",INDEX(前年度名簿!$B$3:$B$452,$N230))</f>
        <v/>
      </c>
      <c r="C230" s="49">
        <f>IF($N230="","",INDEX(前年度名簿!$C$3:$C$452,$N230))</f>
        <v/>
      </c>
      <c r="D230" s="49" t="n"/>
      <c r="E230" s="49" t="n"/>
      <c r="F230" s="49" t="n"/>
      <c r="G230" s="4">
        <f>IF(A230="","",IFERROR(INDEX(前年度名簿!$D$3:$D$452,MATCH(A230&amp;"-"&amp;B230&amp;"-"&amp;C230,前年度名簿!$F$3:$F$452,0)),""))</f>
        <v/>
      </c>
      <c r="H230" s="50">
        <f>IF(D230="","",IF(ISERROR(VALUE(D230)),D230&amp;"",IF(AND(VALUE(D230)&gt;=1,VALUE(D230)&lt;=20),IF(INDEX(設定!$P$8:$P$27,VALUE(D230))="","？",INDEX(設定!$P$8:$P$27,VALUE(D230))),"？")))</f>
        <v/>
      </c>
      <c r="I230" s="50">
        <f>IF(E230="","",IF(ISERROR(VALUE(E230)),E230&amp;"",IF(AND(VALUE(E230)&gt;=1,VALUE(E230)&lt;=20),IF(INDEX(設定!$P$8:$P$27,VALUE(E230))="","？",INDEX(設定!$P$8:$P$27,VALUE(E230))),"？")))</f>
        <v/>
      </c>
      <c r="J230" s="50">
        <f>IF(F230="","",IF(ISERROR(VALUE(F230)),F230&amp;"",IF(AND(VALUE(F230)&gt;=1,VALUE(F230)&lt;=20),IF(INDEX(設定!$P$8:$P$27,VALUE(F230))="","？",INDEX(設定!$P$8:$P$27,VALUE(F230))),"？")))</f>
        <v/>
      </c>
      <c r="K230" s="51">
        <f>IF(L230="","",IF(G230="","名簿にいない",IF(COUNTIF(L231:L$555,L230)&gt;0,"2回提出（下の行を使います）",IF(H230="転出","転出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OR(AND(H230&lt;&gt;"",H230=I230),AND(H230&lt;&gt;"",H230=J230),AND(I230&lt;&gt;"",I230=J230)),"同じクラブを重複して希望","OK")))))))</f>
        <v/>
      </c>
      <c r="L230" s="11">
        <f>IF(OR(A230="",D230=""),"",A230&amp;"-"&amp;B230&amp;"-"&amp;C230)</f>
        <v/>
      </c>
      <c r="M230" s="11">
        <f>IF(OR(L230="",G230=""),"",IF(COUNTIF(L231:L$555,L230)=0,L230,""))</f>
        <v/>
      </c>
      <c r="N230" s="11">
        <f>IFERROR(MATCH(SMALL(前年度名簿!$G$3:$G$452,226),前年度名簿!$G$3:$G$452,0),"")</f>
        <v/>
      </c>
    </row>
    <row r="231">
      <c r="A231" s="49">
        <f>IF($N231="","",INDEX(前年度名簿!$A$3:$A$452,$N231))</f>
        <v/>
      </c>
      <c r="B231" s="49">
        <f>IF($N231="","",INDEX(前年度名簿!$B$3:$B$452,$N231))</f>
        <v/>
      </c>
      <c r="C231" s="49">
        <f>IF($N231="","",INDEX(前年度名簿!$C$3:$C$452,$N231))</f>
        <v/>
      </c>
      <c r="D231" s="49" t="n"/>
      <c r="E231" s="49" t="n"/>
      <c r="F231" s="49" t="n"/>
      <c r="G231" s="4">
        <f>IF(A231="","",IFERROR(INDEX(前年度名簿!$D$3:$D$452,MATCH(A231&amp;"-"&amp;B231&amp;"-"&amp;C231,前年度名簿!$F$3:$F$452,0)),""))</f>
        <v/>
      </c>
      <c r="H231" s="50">
        <f>IF(D231="","",IF(ISERROR(VALUE(D231)),D231&amp;"",IF(AND(VALUE(D231)&gt;=1,VALUE(D231)&lt;=20),IF(INDEX(設定!$P$8:$P$27,VALUE(D231))="","？",INDEX(設定!$P$8:$P$27,VALUE(D231))),"？")))</f>
        <v/>
      </c>
      <c r="I231" s="50">
        <f>IF(E231="","",IF(ISERROR(VALUE(E231)),E231&amp;"",IF(AND(VALUE(E231)&gt;=1,VALUE(E231)&lt;=20),IF(INDEX(設定!$P$8:$P$27,VALUE(E231))="","？",INDEX(設定!$P$8:$P$27,VALUE(E231))),"？")))</f>
        <v/>
      </c>
      <c r="J231" s="50">
        <f>IF(F231="","",IF(ISERROR(VALUE(F231)),F231&amp;"",IF(AND(VALUE(F231)&gt;=1,VALUE(F231)&lt;=20),IF(INDEX(設定!$P$8:$P$27,VALUE(F231))="","？",INDEX(設定!$P$8:$P$27,VALUE(F231))),"？")))</f>
        <v/>
      </c>
      <c r="K231" s="51">
        <f>IF(L231="","",IF(G231="","名簿にいない",IF(COUNTIF(L232:L$555,L231)&gt;0,"2回提出（下の行を使います）",IF(H231="転出","転出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OR(AND(H231&lt;&gt;"",H231=I231),AND(H231&lt;&gt;"",H231=J231),AND(I231&lt;&gt;"",I231=J231)),"同じクラブを重複して希望","OK")))))))</f>
        <v/>
      </c>
      <c r="L231" s="11">
        <f>IF(OR(A231="",D231=""),"",A231&amp;"-"&amp;B231&amp;"-"&amp;C231)</f>
        <v/>
      </c>
      <c r="M231" s="11">
        <f>IF(OR(L231="",G231=""),"",IF(COUNTIF(L232:L$555,L231)=0,L231,""))</f>
        <v/>
      </c>
      <c r="N231" s="11">
        <f>IFERROR(MATCH(SMALL(前年度名簿!$G$3:$G$452,227),前年度名簿!$G$3:$G$452,0),"")</f>
        <v/>
      </c>
    </row>
    <row r="232">
      <c r="A232" s="49">
        <f>IF($N232="","",INDEX(前年度名簿!$A$3:$A$452,$N232))</f>
        <v/>
      </c>
      <c r="B232" s="49">
        <f>IF($N232="","",INDEX(前年度名簿!$B$3:$B$452,$N232))</f>
        <v/>
      </c>
      <c r="C232" s="49">
        <f>IF($N232="","",INDEX(前年度名簿!$C$3:$C$452,$N232))</f>
        <v/>
      </c>
      <c r="D232" s="49" t="n"/>
      <c r="E232" s="49" t="n"/>
      <c r="F232" s="49" t="n"/>
      <c r="G232" s="4">
        <f>IF(A232="","",IFERROR(INDEX(前年度名簿!$D$3:$D$452,MATCH(A232&amp;"-"&amp;B232&amp;"-"&amp;C232,前年度名簿!$F$3:$F$452,0)),""))</f>
        <v/>
      </c>
      <c r="H232" s="50">
        <f>IF(D232="","",IF(ISERROR(VALUE(D232)),D232&amp;"",IF(AND(VALUE(D232)&gt;=1,VALUE(D232)&lt;=20),IF(INDEX(設定!$P$8:$P$27,VALUE(D232))="","？",INDEX(設定!$P$8:$P$27,VALUE(D232))),"？")))</f>
        <v/>
      </c>
      <c r="I232" s="50">
        <f>IF(E232="","",IF(ISERROR(VALUE(E232)),E232&amp;"",IF(AND(VALUE(E232)&gt;=1,VALUE(E232)&lt;=20),IF(INDEX(設定!$P$8:$P$27,VALUE(E232))="","？",INDEX(設定!$P$8:$P$27,VALUE(E232))),"？")))</f>
        <v/>
      </c>
      <c r="J232" s="50">
        <f>IF(F232="","",IF(ISERROR(VALUE(F232)),F232&amp;"",IF(AND(VALUE(F232)&gt;=1,VALUE(F232)&lt;=20),IF(INDEX(設定!$P$8:$P$27,VALUE(F232))="","？",INDEX(設定!$P$8:$P$27,VALUE(F232))),"？")))</f>
        <v/>
      </c>
      <c r="K232" s="51">
        <f>IF(L232="","",IF(G232="","名簿にいない",IF(COUNTIF(L233:L$555,L232)&gt;0,"2回提出（下の行を使います）",IF(H232="転出","転出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OR(AND(H232&lt;&gt;"",H232=I232),AND(H232&lt;&gt;"",H232=J232),AND(I232&lt;&gt;"",I232=J232)),"同じクラブを重複して希望","OK")))))))</f>
        <v/>
      </c>
      <c r="L232" s="11">
        <f>IF(OR(A232="",D232=""),"",A232&amp;"-"&amp;B232&amp;"-"&amp;C232)</f>
        <v/>
      </c>
      <c r="M232" s="11">
        <f>IF(OR(L232="",G232=""),"",IF(COUNTIF(L233:L$555,L232)=0,L232,""))</f>
        <v/>
      </c>
      <c r="N232" s="11">
        <f>IFERROR(MATCH(SMALL(前年度名簿!$G$3:$G$452,228),前年度名簿!$G$3:$G$452,0),"")</f>
        <v/>
      </c>
    </row>
    <row r="233">
      <c r="A233" s="49">
        <f>IF($N233="","",INDEX(前年度名簿!$A$3:$A$452,$N233))</f>
        <v/>
      </c>
      <c r="B233" s="49">
        <f>IF($N233="","",INDEX(前年度名簿!$B$3:$B$452,$N233))</f>
        <v/>
      </c>
      <c r="C233" s="49">
        <f>IF($N233="","",INDEX(前年度名簿!$C$3:$C$452,$N233))</f>
        <v/>
      </c>
      <c r="D233" s="49" t="n"/>
      <c r="E233" s="49" t="n"/>
      <c r="F233" s="49" t="n"/>
      <c r="G233" s="4">
        <f>IF(A233="","",IFERROR(INDEX(前年度名簿!$D$3:$D$452,MATCH(A233&amp;"-"&amp;B233&amp;"-"&amp;C233,前年度名簿!$F$3:$F$452,0)),""))</f>
        <v/>
      </c>
      <c r="H233" s="50">
        <f>IF(D233="","",IF(ISERROR(VALUE(D233)),D233&amp;"",IF(AND(VALUE(D233)&gt;=1,VALUE(D233)&lt;=20),IF(INDEX(設定!$P$8:$P$27,VALUE(D233))="","？",INDEX(設定!$P$8:$P$27,VALUE(D233))),"？")))</f>
        <v/>
      </c>
      <c r="I233" s="50">
        <f>IF(E233="","",IF(ISERROR(VALUE(E233)),E233&amp;"",IF(AND(VALUE(E233)&gt;=1,VALUE(E233)&lt;=20),IF(INDEX(設定!$P$8:$P$27,VALUE(E233))="","？",INDEX(設定!$P$8:$P$27,VALUE(E233))),"？")))</f>
        <v/>
      </c>
      <c r="J233" s="50">
        <f>IF(F233="","",IF(ISERROR(VALUE(F233)),F233&amp;"",IF(AND(VALUE(F233)&gt;=1,VALUE(F233)&lt;=20),IF(INDEX(設定!$P$8:$P$27,VALUE(F233))="","？",INDEX(設定!$P$8:$P$27,VALUE(F233))),"？")))</f>
        <v/>
      </c>
      <c r="K233" s="51">
        <f>IF(L233="","",IF(G233="","名簿にいない",IF(COUNTIF(L234:L$555,L233)&gt;0,"2回提出（下の行を使います）",IF(H233="転出","転出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OR(AND(H233&lt;&gt;"",H233=I233),AND(H233&lt;&gt;"",H233=J233),AND(I233&lt;&gt;"",I233=J233)),"同じクラブを重複して希望","OK")))))))</f>
        <v/>
      </c>
      <c r="L233" s="11">
        <f>IF(OR(A233="",D233=""),"",A233&amp;"-"&amp;B233&amp;"-"&amp;C233)</f>
        <v/>
      </c>
      <c r="M233" s="11">
        <f>IF(OR(L233="",G233=""),"",IF(COUNTIF(L234:L$555,L233)=0,L233,""))</f>
        <v/>
      </c>
      <c r="N233" s="11">
        <f>IFERROR(MATCH(SMALL(前年度名簿!$G$3:$G$452,229),前年度名簿!$G$3:$G$452,0),"")</f>
        <v/>
      </c>
    </row>
    <row r="234">
      <c r="A234" s="49">
        <f>IF($N234="","",INDEX(前年度名簿!$A$3:$A$452,$N234))</f>
        <v/>
      </c>
      <c r="B234" s="49">
        <f>IF($N234="","",INDEX(前年度名簿!$B$3:$B$452,$N234))</f>
        <v/>
      </c>
      <c r="C234" s="49">
        <f>IF($N234="","",INDEX(前年度名簿!$C$3:$C$452,$N234))</f>
        <v/>
      </c>
      <c r="D234" s="49" t="n"/>
      <c r="E234" s="49" t="n"/>
      <c r="F234" s="49" t="n"/>
      <c r="G234" s="4">
        <f>IF(A234="","",IFERROR(INDEX(前年度名簿!$D$3:$D$452,MATCH(A234&amp;"-"&amp;B234&amp;"-"&amp;C234,前年度名簿!$F$3:$F$452,0)),""))</f>
        <v/>
      </c>
      <c r="H234" s="50">
        <f>IF(D234="","",IF(ISERROR(VALUE(D234)),D234&amp;"",IF(AND(VALUE(D234)&gt;=1,VALUE(D234)&lt;=20),IF(INDEX(設定!$P$8:$P$27,VALUE(D234))="","？",INDEX(設定!$P$8:$P$27,VALUE(D234))),"？")))</f>
        <v/>
      </c>
      <c r="I234" s="50">
        <f>IF(E234="","",IF(ISERROR(VALUE(E234)),E234&amp;"",IF(AND(VALUE(E234)&gt;=1,VALUE(E234)&lt;=20),IF(INDEX(設定!$P$8:$P$27,VALUE(E234))="","？",INDEX(設定!$P$8:$P$27,VALUE(E234))),"？")))</f>
        <v/>
      </c>
      <c r="J234" s="50">
        <f>IF(F234="","",IF(ISERROR(VALUE(F234)),F234&amp;"",IF(AND(VALUE(F234)&gt;=1,VALUE(F234)&lt;=20),IF(INDEX(設定!$P$8:$P$27,VALUE(F234))="","？",INDEX(設定!$P$8:$P$27,VALUE(F234))),"？")))</f>
        <v/>
      </c>
      <c r="K234" s="51">
        <f>IF(L234="","",IF(G234="","名簿にいない",IF(COUNTIF(L235:L$555,L234)&gt;0,"2回提出（下の行を使います）",IF(H234="転出","転出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OR(AND(H234&lt;&gt;"",H234=I234),AND(H234&lt;&gt;"",H234=J234),AND(I234&lt;&gt;"",I234=J234)),"同じクラブを重複して希望","OK")))))))</f>
        <v/>
      </c>
      <c r="L234" s="11">
        <f>IF(OR(A234="",D234=""),"",A234&amp;"-"&amp;B234&amp;"-"&amp;C234)</f>
        <v/>
      </c>
      <c r="M234" s="11">
        <f>IF(OR(L234="",G234=""),"",IF(COUNTIF(L235:L$555,L234)=0,L234,""))</f>
        <v/>
      </c>
      <c r="N234" s="11">
        <f>IFERROR(MATCH(SMALL(前年度名簿!$G$3:$G$452,230),前年度名簿!$G$3:$G$452,0),"")</f>
        <v/>
      </c>
    </row>
    <row r="235">
      <c r="A235" s="49">
        <f>IF($N235="","",INDEX(前年度名簿!$A$3:$A$452,$N235))</f>
        <v/>
      </c>
      <c r="B235" s="49">
        <f>IF($N235="","",INDEX(前年度名簿!$B$3:$B$452,$N235))</f>
        <v/>
      </c>
      <c r="C235" s="49">
        <f>IF($N235="","",INDEX(前年度名簿!$C$3:$C$452,$N235))</f>
        <v/>
      </c>
      <c r="D235" s="49" t="n"/>
      <c r="E235" s="49" t="n"/>
      <c r="F235" s="49" t="n"/>
      <c r="G235" s="4">
        <f>IF(A235="","",IFERROR(INDEX(前年度名簿!$D$3:$D$452,MATCH(A235&amp;"-"&amp;B235&amp;"-"&amp;C235,前年度名簿!$F$3:$F$452,0)),""))</f>
        <v/>
      </c>
      <c r="H235" s="50">
        <f>IF(D235="","",IF(ISERROR(VALUE(D235)),D235&amp;"",IF(AND(VALUE(D235)&gt;=1,VALUE(D235)&lt;=20),IF(INDEX(設定!$P$8:$P$27,VALUE(D235))="","？",INDEX(設定!$P$8:$P$27,VALUE(D235))),"？")))</f>
        <v/>
      </c>
      <c r="I235" s="50">
        <f>IF(E235="","",IF(ISERROR(VALUE(E235)),E235&amp;"",IF(AND(VALUE(E235)&gt;=1,VALUE(E235)&lt;=20),IF(INDEX(設定!$P$8:$P$27,VALUE(E235))="","？",INDEX(設定!$P$8:$P$27,VALUE(E235))),"？")))</f>
        <v/>
      </c>
      <c r="J235" s="50">
        <f>IF(F235="","",IF(ISERROR(VALUE(F235)),F235&amp;"",IF(AND(VALUE(F235)&gt;=1,VALUE(F235)&lt;=20),IF(INDEX(設定!$P$8:$P$27,VALUE(F235))="","？",INDEX(設定!$P$8:$P$27,VALUE(F235))),"？")))</f>
        <v/>
      </c>
      <c r="K235" s="51">
        <f>IF(L235="","",IF(G235="","名簿にいない",IF(COUNTIF(L236:L$555,L235)&gt;0,"2回提出（下の行を使います）",IF(H235="転出","転出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OR(AND(H235&lt;&gt;"",H235=I235),AND(H235&lt;&gt;"",H235=J235),AND(I235&lt;&gt;"",I235=J235)),"同じクラブを重複して希望","OK")))))))</f>
        <v/>
      </c>
      <c r="L235" s="11">
        <f>IF(OR(A235="",D235=""),"",A235&amp;"-"&amp;B235&amp;"-"&amp;C235)</f>
        <v/>
      </c>
      <c r="M235" s="11">
        <f>IF(OR(L235="",G235=""),"",IF(COUNTIF(L236:L$555,L235)=0,L235,""))</f>
        <v/>
      </c>
      <c r="N235" s="11">
        <f>IFERROR(MATCH(SMALL(前年度名簿!$G$3:$G$452,231),前年度名簿!$G$3:$G$452,0),"")</f>
        <v/>
      </c>
    </row>
    <row r="236">
      <c r="A236" s="49">
        <f>IF($N236="","",INDEX(前年度名簿!$A$3:$A$452,$N236))</f>
        <v/>
      </c>
      <c r="B236" s="49">
        <f>IF($N236="","",INDEX(前年度名簿!$B$3:$B$452,$N236))</f>
        <v/>
      </c>
      <c r="C236" s="49">
        <f>IF($N236="","",INDEX(前年度名簿!$C$3:$C$452,$N236))</f>
        <v/>
      </c>
      <c r="D236" s="49" t="n"/>
      <c r="E236" s="49" t="n"/>
      <c r="F236" s="49" t="n"/>
      <c r="G236" s="4">
        <f>IF(A236="","",IFERROR(INDEX(前年度名簿!$D$3:$D$452,MATCH(A236&amp;"-"&amp;B236&amp;"-"&amp;C236,前年度名簿!$F$3:$F$452,0)),""))</f>
        <v/>
      </c>
      <c r="H236" s="50">
        <f>IF(D236="","",IF(ISERROR(VALUE(D236)),D236&amp;"",IF(AND(VALUE(D236)&gt;=1,VALUE(D236)&lt;=20),IF(INDEX(設定!$P$8:$P$27,VALUE(D236))="","？",INDEX(設定!$P$8:$P$27,VALUE(D236))),"？")))</f>
        <v/>
      </c>
      <c r="I236" s="50">
        <f>IF(E236="","",IF(ISERROR(VALUE(E236)),E236&amp;"",IF(AND(VALUE(E236)&gt;=1,VALUE(E236)&lt;=20),IF(INDEX(設定!$P$8:$P$27,VALUE(E236))="","？",INDEX(設定!$P$8:$P$27,VALUE(E236))),"？")))</f>
        <v/>
      </c>
      <c r="J236" s="50">
        <f>IF(F236="","",IF(ISERROR(VALUE(F236)),F236&amp;"",IF(AND(VALUE(F236)&gt;=1,VALUE(F236)&lt;=20),IF(INDEX(設定!$P$8:$P$27,VALUE(F236))="","？",INDEX(設定!$P$8:$P$27,VALUE(F236))),"？")))</f>
        <v/>
      </c>
      <c r="K236" s="51">
        <f>IF(L236="","",IF(G236="","名簿にいない",IF(COUNTIF(L237:L$555,L236)&gt;0,"2回提出（下の行を使います）",IF(H236="転出","転出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OR(AND(H236&lt;&gt;"",H236=I236),AND(H236&lt;&gt;"",H236=J236),AND(I236&lt;&gt;"",I236=J236)),"同じクラブを重複して希望","OK")))))))</f>
        <v/>
      </c>
      <c r="L236" s="11">
        <f>IF(OR(A236="",D236=""),"",A236&amp;"-"&amp;B236&amp;"-"&amp;C236)</f>
        <v/>
      </c>
      <c r="M236" s="11">
        <f>IF(OR(L236="",G236=""),"",IF(COUNTIF(L237:L$555,L236)=0,L236,""))</f>
        <v/>
      </c>
      <c r="N236" s="11">
        <f>IFERROR(MATCH(SMALL(前年度名簿!$G$3:$G$452,232),前年度名簿!$G$3:$G$452,0),"")</f>
        <v/>
      </c>
    </row>
    <row r="237">
      <c r="A237" s="49">
        <f>IF($N237="","",INDEX(前年度名簿!$A$3:$A$452,$N237))</f>
        <v/>
      </c>
      <c r="B237" s="49">
        <f>IF($N237="","",INDEX(前年度名簿!$B$3:$B$452,$N237))</f>
        <v/>
      </c>
      <c r="C237" s="49">
        <f>IF($N237="","",INDEX(前年度名簿!$C$3:$C$452,$N237))</f>
        <v/>
      </c>
      <c r="D237" s="49" t="n"/>
      <c r="E237" s="49" t="n"/>
      <c r="F237" s="49" t="n"/>
      <c r="G237" s="4">
        <f>IF(A237="","",IFERROR(INDEX(前年度名簿!$D$3:$D$452,MATCH(A237&amp;"-"&amp;B237&amp;"-"&amp;C237,前年度名簿!$F$3:$F$452,0)),""))</f>
        <v/>
      </c>
      <c r="H237" s="50">
        <f>IF(D237="","",IF(ISERROR(VALUE(D237)),D237&amp;"",IF(AND(VALUE(D237)&gt;=1,VALUE(D237)&lt;=20),IF(INDEX(設定!$P$8:$P$27,VALUE(D237))="","？",INDEX(設定!$P$8:$P$27,VALUE(D237))),"？")))</f>
        <v/>
      </c>
      <c r="I237" s="50">
        <f>IF(E237="","",IF(ISERROR(VALUE(E237)),E237&amp;"",IF(AND(VALUE(E237)&gt;=1,VALUE(E237)&lt;=20),IF(INDEX(設定!$P$8:$P$27,VALUE(E237))="","？",INDEX(設定!$P$8:$P$27,VALUE(E237))),"？")))</f>
        <v/>
      </c>
      <c r="J237" s="50">
        <f>IF(F237="","",IF(ISERROR(VALUE(F237)),F237&amp;"",IF(AND(VALUE(F237)&gt;=1,VALUE(F237)&lt;=20),IF(INDEX(設定!$P$8:$P$27,VALUE(F237))="","？",INDEX(設定!$P$8:$P$27,VALUE(F237))),"？")))</f>
        <v/>
      </c>
      <c r="K237" s="51">
        <f>IF(L237="","",IF(G237="","名簿にいない",IF(COUNTIF(L238:L$555,L237)&gt;0,"2回提出（下の行を使います）",IF(H237="転出","転出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OR(AND(H237&lt;&gt;"",H237=I237),AND(H237&lt;&gt;"",H237=J237),AND(I237&lt;&gt;"",I237=J237)),"同じクラブを重複して希望","OK")))))))</f>
        <v/>
      </c>
      <c r="L237" s="11">
        <f>IF(OR(A237="",D237=""),"",A237&amp;"-"&amp;B237&amp;"-"&amp;C237)</f>
        <v/>
      </c>
      <c r="M237" s="11">
        <f>IF(OR(L237="",G237=""),"",IF(COUNTIF(L238:L$555,L237)=0,L237,""))</f>
        <v/>
      </c>
      <c r="N237" s="11">
        <f>IFERROR(MATCH(SMALL(前年度名簿!$G$3:$G$452,233),前年度名簿!$G$3:$G$452,0),"")</f>
        <v/>
      </c>
    </row>
    <row r="238">
      <c r="A238" s="49">
        <f>IF($N238="","",INDEX(前年度名簿!$A$3:$A$452,$N238))</f>
        <v/>
      </c>
      <c r="B238" s="49">
        <f>IF($N238="","",INDEX(前年度名簿!$B$3:$B$452,$N238))</f>
        <v/>
      </c>
      <c r="C238" s="49">
        <f>IF($N238="","",INDEX(前年度名簿!$C$3:$C$452,$N238))</f>
        <v/>
      </c>
      <c r="D238" s="49" t="n"/>
      <c r="E238" s="49" t="n"/>
      <c r="F238" s="49" t="n"/>
      <c r="G238" s="4">
        <f>IF(A238="","",IFERROR(INDEX(前年度名簿!$D$3:$D$452,MATCH(A238&amp;"-"&amp;B238&amp;"-"&amp;C238,前年度名簿!$F$3:$F$452,0)),""))</f>
        <v/>
      </c>
      <c r="H238" s="50">
        <f>IF(D238="","",IF(ISERROR(VALUE(D238)),D238&amp;"",IF(AND(VALUE(D238)&gt;=1,VALUE(D238)&lt;=20),IF(INDEX(設定!$P$8:$P$27,VALUE(D238))="","？",INDEX(設定!$P$8:$P$27,VALUE(D238))),"？")))</f>
        <v/>
      </c>
      <c r="I238" s="50">
        <f>IF(E238="","",IF(ISERROR(VALUE(E238)),E238&amp;"",IF(AND(VALUE(E238)&gt;=1,VALUE(E238)&lt;=20),IF(INDEX(設定!$P$8:$P$27,VALUE(E238))="","？",INDEX(設定!$P$8:$P$27,VALUE(E238))),"？")))</f>
        <v/>
      </c>
      <c r="J238" s="50">
        <f>IF(F238="","",IF(ISERROR(VALUE(F238)),F238&amp;"",IF(AND(VALUE(F238)&gt;=1,VALUE(F238)&lt;=20),IF(INDEX(設定!$P$8:$P$27,VALUE(F238))="","？",INDEX(設定!$P$8:$P$27,VALUE(F238))),"？")))</f>
        <v/>
      </c>
      <c r="K238" s="51">
        <f>IF(L238="","",IF(G238="","名簿にいない",IF(COUNTIF(L239:L$555,L238)&gt;0,"2回提出（下の行を使います）",IF(H238="転出","転出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OR(AND(H238&lt;&gt;"",H238=I238),AND(H238&lt;&gt;"",H238=J238),AND(I238&lt;&gt;"",I238=J238)),"同じクラブを重複して希望","OK")))))))</f>
        <v/>
      </c>
      <c r="L238" s="11">
        <f>IF(OR(A238="",D238=""),"",A238&amp;"-"&amp;B238&amp;"-"&amp;C238)</f>
        <v/>
      </c>
      <c r="M238" s="11">
        <f>IF(OR(L238="",G238=""),"",IF(COUNTIF(L239:L$555,L238)=0,L238,""))</f>
        <v/>
      </c>
      <c r="N238" s="11">
        <f>IFERROR(MATCH(SMALL(前年度名簿!$G$3:$G$452,234),前年度名簿!$G$3:$G$452,0),"")</f>
        <v/>
      </c>
    </row>
    <row r="239">
      <c r="A239" s="49">
        <f>IF($N239="","",INDEX(前年度名簿!$A$3:$A$452,$N239))</f>
        <v/>
      </c>
      <c r="B239" s="49">
        <f>IF($N239="","",INDEX(前年度名簿!$B$3:$B$452,$N239))</f>
        <v/>
      </c>
      <c r="C239" s="49">
        <f>IF($N239="","",INDEX(前年度名簿!$C$3:$C$452,$N239))</f>
        <v/>
      </c>
      <c r="D239" s="49" t="n"/>
      <c r="E239" s="49" t="n"/>
      <c r="F239" s="49" t="n"/>
      <c r="G239" s="4">
        <f>IF(A239="","",IFERROR(INDEX(前年度名簿!$D$3:$D$452,MATCH(A239&amp;"-"&amp;B239&amp;"-"&amp;C239,前年度名簿!$F$3:$F$452,0)),""))</f>
        <v/>
      </c>
      <c r="H239" s="50">
        <f>IF(D239="","",IF(ISERROR(VALUE(D239)),D239&amp;"",IF(AND(VALUE(D239)&gt;=1,VALUE(D239)&lt;=20),IF(INDEX(設定!$P$8:$P$27,VALUE(D239))="","？",INDEX(設定!$P$8:$P$27,VALUE(D239))),"？")))</f>
        <v/>
      </c>
      <c r="I239" s="50">
        <f>IF(E239="","",IF(ISERROR(VALUE(E239)),E239&amp;"",IF(AND(VALUE(E239)&gt;=1,VALUE(E239)&lt;=20),IF(INDEX(設定!$P$8:$P$27,VALUE(E239))="","？",INDEX(設定!$P$8:$P$27,VALUE(E239))),"？")))</f>
        <v/>
      </c>
      <c r="J239" s="50">
        <f>IF(F239="","",IF(ISERROR(VALUE(F239)),F239&amp;"",IF(AND(VALUE(F239)&gt;=1,VALUE(F239)&lt;=20),IF(INDEX(設定!$P$8:$P$27,VALUE(F239))="","？",INDEX(設定!$P$8:$P$27,VALUE(F239))),"？")))</f>
        <v/>
      </c>
      <c r="K239" s="51">
        <f>IF(L239="","",IF(G239="","名簿にいない",IF(COUNTIF(L240:L$555,L239)&gt;0,"2回提出（下の行を使います）",IF(H239="転出","転出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OR(AND(H239&lt;&gt;"",H239=I239),AND(H239&lt;&gt;"",H239=J239),AND(I239&lt;&gt;"",I239=J239)),"同じクラブを重複して希望","OK")))))))</f>
        <v/>
      </c>
      <c r="L239" s="11">
        <f>IF(OR(A239="",D239=""),"",A239&amp;"-"&amp;B239&amp;"-"&amp;C239)</f>
        <v/>
      </c>
      <c r="M239" s="11">
        <f>IF(OR(L239="",G239=""),"",IF(COUNTIF(L240:L$555,L239)=0,L239,""))</f>
        <v/>
      </c>
      <c r="N239" s="11">
        <f>IFERROR(MATCH(SMALL(前年度名簿!$G$3:$G$452,235),前年度名簿!$G$3:$G$452,0),"")</f>
        <v/>
      </c>
    </row>
    <row r="240">
      <c r="A240" s="49">
        <f>IF($N240="","",INDEX(前年度名簿!$A$3:$A$452,$N240))</f>
        <v/>
      </c>
      <c r="B240" s="49">
        <f>IF($N240="","",INDEX(前年度名簿!$B$3:$B$452,$N240))</f>
        <v/>
      </c>
      <c r="C240" s="49">
        <f>IF($N240="","",INDEX(前年度名簿!$C$3:$C$452,$N240))</f>
        <v/>
      </c>
      <c r="D240" s="49" t="n"/>
      <c r="E240" s="49" t="n"/>
      <c r="F240" s="49" t="n"/>
      <c r="G240" s="4">
        <f>IF(A240="","",IFERROR(INDEX(前年度名簿!$D$3:$D$452,MATCH(A240&amp;"-"&amp;B240&amp;"-"&amp;C240,前年度名簿!$F$3:$F$452,0)),""))</f>
        <v/>
      </c>
      <c r="H240" s="50">
        <f>IF(D240="","",IF(ISERROR(VALUE(D240)),D240&amp;"",IF(AND(VALUE(D240)&gt;=1,VALUE(D240)&lt;=20),IF(INDEX(設定!$P$8:$P$27,VALUE(D240))="","？",INDEX(設定!$P$8:$P$27,VALUE(D240))),"？")))</f>
        <v/>
      </c>
      <c r="I240" s="50">
        <f>IF(E240="","",IF(ISERROR(VALUE(E240)),E240&amp;"",IF(AND(VALUE(E240)&gt;=1,VALUE(E240)&lt;=20),IF(INDEX(設定!$P$8:$P$27,VALUE(E240))="","？",INDEX(設定!$P$8:$P$27,VALUE(E240))),"？")))</f>
        <v/>
      </c>
      <c r="J240" s="50">
        <f>IF(F240="","",IF(ISERROR(VALUE(F240)),F240&amp;"",IF(AND(VALUE(F240)&gt;=1,VALUE(F240)&lt;=20),IF(INDEX(設定!$P$8:$P$27,VALUE(F240))="","？",INDEX(設定!$P$8:$P$27,VALUE(F240))),"？")))</f>
        <v/>
      </c>
      <c r="K240" s="51">
        <f>IF(L240="","",IF(G240="","名簿にいない",IF(COUNTIF(L241:L$555,L240)&gt;0,"2回提出（下の行を使います）",IF(H240="転出","転出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OR(AND(H240&lt;&gt;"",H240=I240),AND(H240&lt;&gt;"",H240=J240),AND(I240&lt;&gt;"",I240=J240)),"同じクラブを重複して希望","OK")))))))</f>
        <v/>
      </c>
      <c r="L240" s="11">
        <f>IF(OR(A240="",D240=""),"",A240&amp;"-"&amp;B240&amp;"-"&amp;C240)</f>
        <v/>
      </c>
      <c r="M240" s="11">
        <f>IF(OR(L240="",G240=""),"",IF(COUNTIF(L241:L$555,L240)=0,L240,""))</f>
        <v/>
      </c>
      <c r="N240" s="11">
        <f>IFERROR(MATCH(SMALL(前年度名簿!$G$3:$G$452,236),前年度名簿!$G$3:$G$452,0),"")</f>
        <v/>
      </c>
    </row>
    <row r="241">
      <c r="A241" s="49">
        <f>IF($N241="","",INDEX(前年度名簿!$A$3:$A$452,$N241))</f>
        <v/>
      </c>
      <c r="B241" s="49">
        <f>IF($N241="","",INDEX(前年度名簿!$B$3:$B$452,$N241))</f>
        <v/>
      </c>
      <c r="C241" s="49">
        <f>IF($N241="","",INDEX(前年度名簿!$C$3:$C$452,$N241))</f>
        <v/>
      </c>
      <c r="D241" s="49" t="n"/>
      <c r="E241" s="49" t="n"/>
      <c r="F241" s="49" t="n"/>
      <c r="G241" s="4">
        <f>IF(A241="","",IFERROR(INDEX(前年度名簿!$D$3:$D$452,MATCH(A241&amp;"-"&amp;B241&amp;"-"&amp;C241,前年度名簿!$F$3:$F$452,0)),""))</f>
        <v/>
      </c>
      <c r="H241" s="50">
        <f>IF(D241="","",IF(ISERROR(VALUE(D241)),D241&amp;"",IF(AND(VALUE(D241)&gt;=1,VALUE(D241)&lt;=20),IF(INDEX(設定!$P$8:$P$27,VALUE(D241))="","？",INDEX(設定!$P$8:$P$27,VALUE(D241))),"？")))</f>
        <v/>
      </c>
      <c r="I241" s="50">
        <f>IF(E241="","",IF(ISERROR(VALUE(E241)),E241&amp;"",IF(AND(VALUE(E241)&gt;=1,VALUE(E241)&lt;=20),IF(INDEX(設定!$P$8:$P$27,VALUE(E241))="","？",INDEX(設定!$P$8:$P$27,VALUE(E241))),"？")))</f>
        <v/>
      </c>
      <c r="J241" s="50">
        <f>IF(F241="","",IF(ISERROR(VALUE(F241)),F241&amp;"",IF(AND(VALUE(F241)&gt;=1,VALUE(F241)&lt;=20),IF(INDEX(設定!$P$8:$P$27,VALUE(F241))="","？",INDEX(設定!$P$8:$P$27,VALUE(F241))),"？")))</f>
        <v/>
      </c>
      <c r="K241" s="51">
        <f>IF(L241="","",IF(G241="","名簿にいない",IF(COUNTIF(L242:L$555,L241)&gt;0,"2回提出（下の行を使います）",IF(H241="転出","転出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OR(AND(H241&lt;&gt;"",H241=I241),AND(H241&lt;&gt;"",H241=J241),AND(I241&lt;&gt;"",I241=J241)),"同じクラブを重複して希望","OK")))))))</f>
        <v/>
      </c>
      <c r="L241" s="11">
        <f>IF(OR(A241="",D241=""),"",A241&amp;"-"&amp;B241&amp;"-"&amp;C241)</f>
        <v/>
      </c>
      <c r="M241" s="11">
        <f>IF(OR(L241="",G241=""),"",IF(COUNTIF(L242:L$555,L241)=0,L241,""))</f>
        <v/>
      </c>
      <c r="N241" s="11">
        <f>IFERROR(MATCH(SMALL(前年度名簿!$G$3:$G$452,237),前年度名簿!$G$3:$G$452,0),"")</f>
        <v/>
      </c>
    </row>
    <row r="242">
      <c r="A242" s="49">
        <f>IF($N242="","",INDEX(前年度名簿!$A$3:$A$452,$N242))</f>
        <v/>
      </c>
      <c r="B242" s="49">
        <f>IF($N242="","",INDEX(前年度名簿!$B$3:$B$452,$N242))</f>
        <v/>
      </c>
      <c r="C242" s="49">
        <f>IF($N242="","",INDEX(前年度名簿!$C$3:$C$452,$N242))</f>
        <v/>
      </c>
      <c r="D242" s="49" t="n"/>
      <c r="E242" s="49" t="n"/>
      <c r="F242" s="49" t="n"/>
      <c r="G242" s="4">
        <f>IF(A242="","",IFERROR(INDEX(前年度名簿!$D$3:$D$452,MATCH(A242&amp;"-"&amp;B242&amp;"-"&amp;C242,前年度名簿!$F$3:$F$452,0)),""))</f>
        <v/>
      </c>
      <c r="H242" s="50">
        <f>IF(D242="","",IF(ISERROR(VALUE(D242)),D242&amp;"",IF(AND(VALUE(D242)&gt;=1,VALUE(D242)&lt;=20),IF(INDEX(設定!$P$8:$P$27,VALUE(D242))="","？",INDEX(設定!$P$8:$P$27,VALUE(D242))),"？")))</f>
        <v/>
      </c>
      <c r="I242" s="50">
        <f>IF(E242="","",IF(ISERROR(VALUE(E242)),E242&amp;"",IF(AND(VALUE(E242)&gt;=1,VALUE(E242)&lt;=20),IF(INDEX(設定!$P$8:$P$27,VALUE(E242))="","？",INDEX(設定!$P$8:$P$27,VALUE(E242))),"？")))</f>
        <v/>
      </c>
      <c r="J242" s="50">
        <f>IF(F242="","",IF(ISERROR(VALUE(F242)),F242&amp;"",IF(AND(VALUE(F242)&gt;=1,VALUE(F242)&lt;=20),IF(INDEX(設定!$P$8:$P$27,VALUE(F242))="","？",INDEX(設定!$P$8:$P$27,VALUE(F242))),"？")))</f>
        <v/>
      </c>
      <c r="K242" s="51">
        <f>IF(L242="","",IF(G242="","名簿にいない",IF(COUNTIF(L243:L$555,L242)&gt;0,"2回提出（下の行を使います）",IF(H242="転出","転出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OR(AND(H242&lt;&gt;"",H242=I242),AND(H242&lt;&gt;"",H242=J242),AND(I242&lt;&gt;"",I242=J242)),"同じクラブを重複して希望","OK")))))))</f>
        <v/>
      </c>
      <c r="L242" s="11">
        <f>IF(OR(A242="",D242=""),"",A242&amp;"-"&amp;B242&amp;"-"&amp;C242)</f>
        <v/>
      </c>
      <c r="M242" s="11">
        <f>IF(OR(L242="",G242=""),"",IF(COUNTIF(L243:L$555,L242)=0,L242,""))</f>
        <v/>
      </c>
      <c r="N242" s="11">
        <f>IFERROR(MATCH(SMALL(前年度名簿!$G$3:$G$452,238),前年度名簿!$G$3:$G$452,0),"")</f>
        <v/>
      </c>
    </row>
    <row r="243">
      <c r="A243" s="49">
        <f>IF($N243="","",INDEX(前年度名簿!$A$3:$A$452,$N243))</f>
        <v/>
      </c>
      <c r="B243" s="49">
        <f>IF($N243="","",INDEX(前年度名簿!$B$3:$B$452,$N243))</f>
        <v/>
      </c>
      <c r="C243" s="49">
        <f>IF($N243="","",INDEX(前年度名簿!$C$3:$C$452,$N243))</f>
        <v/>
      </c>
      <c r="D243" s="49" t="n"/>
      <c r="E243" s="49" t="n"/>
      <c r="F243" s="49" t="n"/>
      <c r="G243" s="4">
        <f>IF(A243="","",IFERROR(INDEX(前年度名簿!$D$3:$D$452,MATCH(A243&amp;"-"&amp;B243&amp;"-"&amp;C243,前年度名簿!$F$3:$F$452,0)),""))</f>
        <v/>
      </c>
      <c r="H243" s="50">
        <f>IF(D243="","",IF(ISERROR(VALUE(D243)),D243&amp;"",IF(AND(VALUE(D243)&gt;=1,VALUE(D243)&lt;=20),IF(INDEX(設定!$P$8:$P$27,VALUE(D243))="","？",INDEX(設定!$P$8:$P$27,VALUE(D243))),"？")))</f>
        <v/>
      </c>
      <c r="I243" s="50">
        <f>IF(E243="","",IF(ISERROR(VALUE(E243)),E243&amp;"",IF(AND(VALUE(E243)&gt;=1,VALUE(E243)&lt;=20),IF(INDEX(設定!$P$8:$P$27,VALUE(E243))="","？",INDEX(設定!$P$8:$P$27,VALUE(E243))),"？")))</f>
        <v/>
      </c>
      <c r="J243" s="50">
        <f>IF(F243="","",IF(ISERROR(VALUE(F243)),F243&amp;"",IF(AND(VALUE(F243)&gt;=1,VALUE(F243)&lt;=20),IF(INDEX(設定!$P$8:$P$27,VALUE(F243))="","？",INDEX(設定!$P$8:$P$27,VALUE(F243))),"？")))</f>
        <v/>
      </c>
      <c r="K243" s="51">
        <f>IF(L243="","",IF(G243="","名簿にいない",IF(COUNTIF(L244:L$555,L243)&gt;0,"2回提出（下の行を使います）",IF(H243="転出","転出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OR(AND(H243&lt;&gt;"",H243=I243),AND(H243&lt;&gt;"",H243=J243),AND(I243&lt;&gt;"",I243=J243)),"同じクラブを重複して希望","OK")))))))</f>
        <v/>
      </c>
      <c r="L243" s="11">
        <f>IF(OR(A243="",D243=""),"",A243&amp;"-"&amp;B243&amp;"-"&amp;C243)</f>
        <v/>
      </c>
      <c r="M243" s="11">
        <f>IF(OR(L243="",G243=""),"",IF(COUNTIF(L244:L$555,L243)=0,L243,""))</f>
        <v/>
      </c>
      <c r="N243" s="11">
        <f>IFERROR(MATCH(SMALL(前年度名簿!$G$3:$G$452,239),前年度名簿!$G$3:$G$452,0),"")</f>
        <v/>
      </c>
    </row>
    <row r="244">
      <c r="A244" s="49">
        <f>IF($N244="","",INDEX(前年度名簿!$A$3:$A$452,$N244))</f>
        <v/>
      </c>
      <c r="B244" s="49">
        <f>IF($N244="","",INDEX(前年度名簿!$B$3:$B$452,$N244))</f>
        <v/>
      </c>
      <c r="C244" s="49">
        <f>IF($N244="","",INDEX(前年度名簿!$C$3:$C$452,$N244))</f>
        <v/>
      </c>
      <c r="D244" s="49" t="n"/>
      <c r="E244" s="49" t="n"/>
      <c r="F244" s="49" t="n"/>
      <c r="G244" s="4">
        <f>IF(A244="","",IFERROR(INDEX(前年度名簿!$D$3:$D$452,MATCH(A244&amp;"-"&amp;B244&amp;"-"&amp;C244,前年度名簿!$F$3:$F$452,0)),""))</f>
        <v/>
      </c>
      <c r="H244" s="50">
        <f>IF(D244="","",IF(ISERROR(VALUE(D244)),D244&amp;"",IF(AND(VALUE(D244)&gt;=1,VALUE(D244)&lt;=20),IF(INDEX(設定!$P$8:$P$27,VALUE(D244))="","？",INDEX(設定!$P$8:$P$27,VALUE(D244))),"？")))</f>
        <v/>
      </c>
      <c r="I244" s="50">
        <f>IF(E244="","",IF(ISERROR(VALUE(E244)),E244&amp;"",IF(AND(VALUE(E244)&gt;=1,VALUE(E244)&lt;=20),IF(INDEX(設定!$P$8:$P$27,VALUE(E244))="","？",INDEX(設定!$P$8:$P$27,VALUE(E244))),"？")))</f>
        <v/>
      </c>
      <c r="J244" s="50">
        <f>IF(F244="","",IF(ISERROR(VALUE(F244)),F244&amp;"",IF(AND(VALUE(F244)&gt;=1,VALUE(F244)&lt;=20),IF(INDEX(設定!$P$8:$P$27,VALUE(F244))="","？",INDEX(設定!$P$8:$P$27,VALUE(F244))),"？")))</f>
        <v/>
      </c>
      <c r="K244" s="51">
        <f>IF(L244="","",IF(G244="","名簿にいない",IF(COUNTIF(L245:L$555,L244)&gt;0,"2回提出（下の行を使います）",IF(H244="転出","転出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OR(AND(H244&lt;&gt;"",H244=I244),AND(H244&lt;&gt;"",H244=J244),AND(I244&lt;&gt;"",I244=J244)),"同じクラブを重複して希望","OK")))))))</f>
        <v/>
      </c>
      <c r="L244" s="11">
        <f>IF(OR(A244="",D244=""),"",A244&amp;"-"&amp;B244&amp;"-"&amp;C244)</f>
        <v/>
      </c>
      <c r="M244" s="11">
        <f>IF(OR(L244="",G244=""),"",IF(COUNTIF(L245:L$555,L244)=0,L244,""))</f>
        <v/>
      </c>
      <c r="N244" s="11">
        <f>IFERROR(MATCH(SMALL(前年度名簿!$G$3:$G$452,240),前年度名簿!$G$3:$G$452,0),"")</f>
        <v/>
      </c>
    </row>
    <row r="245">
      <c r="A245" s="49">
        <f>IF($N245="","",INDEX(前年度名簿!$A$3:$A$452,$N245))</f>
        <v/>
      </c>
      <c r="B245" s="49">
        <f>IF($N245="","",INDEX(前年度名簿!$B$3:$B$452,$N245))</f>
        <v/>
      </c>
      <c r="C245" s="49">
        <f>IF($N245="","",INDEX(前年度名簿!$C$3:$C$452,$N245))</f>
        <v/>
      </c>
      <c r="D245" s="49" t="n"/>
      <c r="E245" s="49" t="n"/>
      <c r="F245" s="49" t="n"/>
      <c r="G245" s="4">
        <f>IF(A245="","",IFERROR(INDEX(前年度名簿!$D$3:$D$452,MATCH(A245&amp;"-"&amp;B245&amp;"-"&amp;C245,前年度名簿!$F$3:$F$452,0)),""))</f>
        <v/>
      </c>
      <c r="H245" s="50">
        <f>IF(D245="","",IF(ISERROR(VALUE(D245)),D245&amp;"",IF(AND(VALUE(D245)&gt;=1,VALUE(D245)&lt;=20),IF(INDEX(設定!$P$8:$P$27,VALUE(D245))="","？",INDEX(設定!$P$8:$P$27,VALUE(D245))),"？")))</f>
        <v/>
      </c>
      <c r="I245" s="50">
        <f>IF(E245="","",IF(ISERROR(VALUE(E245)),E245&amp;"",IF(AND(VALUE(E245)&gt;=1,VALUE(E245)&lt;=20),IF(INDEX(設定!$P$8:$P$27,VALUE(E245))="","？",INDEX(設定!$P$8:$P$27,VALUE(E245))),"？")))</f>
        <v/>
      </c>
      <c r="J245" s="50">
        <f>IF(F245="","",IF(ISERROR(VALUE(F245)),F245&amp;"",IF(AND(VALUE(F245)&gt;=1,VALUE(F245)&lt;=20),IF(INDEX(設定!$P$8:$P$27,VALUE(F245))="","？",INDEX(設定!$P$8:$P$27,VALUE(F245))),"？")))</f>
        <v/>
      </c>
      <c r="K245" s="51">
        <f>IF(L245="","",IF(G245="","名簿にいない",IF(COUNTIF(L246:L$555,L245)&gt;0,"2回提出（下の行を使います）",IF(H245="転出","転出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OR(AND(H245&lt;&gt;"",H245=I245),AND(H245&lt;&gt;"",H245=J245),AND(I245&lt;&gt;"",I245=J245)),"同じクラブを重複して希望","OK")))))))</f>
        <v/>
      </c>
      <c r="L245" s="11">
        <f>IF(OR(A245="",D245=""),"",A245&amp;"-"&amp;B245&amp;"-"&amp;C245)</f>
        <v/>
      </c>
      <c r="M245" s="11">
        <f>IF(OR(L245="",G245=""),"",IF(COUNTIF(L246:L$555,L245)=0,L245,""))</f>
        <v/>
      </c>
      <c r="N245" s="11">
        <f>IFERROR(MATCH(SMALL(前年度名簿!$G$3:$G$452,241),前年度名簿!$G$3:$G$452,0),"")</f>
        <v/>
      </c>
    </row>
    <row r="246">
      <c r="A246" s="49">
        <f>IF($N246="","",INDEX(前年度名簿!$A$3:$A$452,$N246))</f>
        <v/>
      </c>
      <c r="B246" s="49">
        <f>IF($N246="","",INDEX(前年度名簿!$B$3:$B$452,$N246))</f>
        <v/>
      </c>
      <c r="C246" s="49">
        <f>IF($N246="","",INDEX(前年度名簿!$C$3:$C$452,$N246))</f>
        <v/>
      </c>
      <c r="D246" s="49" t="n"/>
      <c r="E246" s="49" t="n"/>
      <c r="F246" s="49" t="n"/>
      <c r="G246" s="4">
        <f>IF(A246="","",IFERROR(INDEX(前年度名簿!$D$3:$D$452,MATCH(A246&amp;"-"&amp;B246&amp;"-"&amp;C246,前年度名簿!$F$3:$F$452,0)),""))</f>
        <v/>
      </c>
      <c r="H246" s="50">
        <f>IF(D246="","",IF(ISERROR(VALUE(D246)),D246&amp;"",IF(AND(VALUE(D246)&gt;=1,VALUE(D246)&lt;=20),IF(INDEX(設定!$P$8:$P$27,VALUE(D246))="","？",INDEX(設定!$P$8:$P$27,VALUE(D246))),"？")))</f>
        <v/>
      </c>
      <c r="I246" s="50">
        <f>IF(E246="","",IF(ISERROR(VALUE(E246)),E246&amp;"",IF(AND(VALUE(E246)&gt;=1,VALUE(E246)&lt;=20),IF(INDEX(設定!$P$8:$P$27,VALUE(E246))="","？",INDEX(設定!$P$8:$P$27,VALUE(E246))),"？")))</f>
        <v/>
      </c>
      <c r="J246" s="50">
        <f>IF(F246="","",IF(ISERROR(VALUE(F246)),F246&amp;"",IF(AND(VALUE(F246)&gt;=1,VALUE(F246)&lt;=20),IF(INDEX(設定!$P$8:$P$27,VALUE(F246))="","？",INDEX(設定!$P$8:$P$27,VALUE(F246))),"？")))</f>
        <v/>
      </c>
      <c r="K246" s="51">
        <f>IF(L246="","",IF(G246="","名簿にいない",IF(COUNTIF(L247:L$555,L246)&gt;0,"2回提出（下の行を使います）",IF(H246="転出","転出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OR(AND(H246&lt;&gt;"",H246=I246),AND(H246&lt;&gt;"",H246=J246),AND(I246&lt;&gt;"",I246=J246)),"同じクラブを重複して希望","OK")))))))</f>
        <v/>
      </c>
      <c r="L246" s="11">
        <f>IF(OR(A246="",D246=""),"",A246&amp;"-"&amp;B246&amp;"-"&amp;C246)</f>
        <v/>
      </c>
      <c r="M246" s="11">
        <f>IF(OR(L246="",G246=""),"",IF(COUNTIF(L247:L$555,L246)=0,L246,""))</f>
        <v/>
      </c>
      <c r="N246" s="11">
        <f>IFERROR(MATCH(SMALL(前年度名簿!$G$3:$G$452,242),前年度名簿!$G$3:$G$452,0),"")</f>
        <v/>
      </c>
    </row>
    <row r="247">
      <c r="A247" s="49">
        <f>IF($N247="","",INDEX(前年度名簿!$A$3:$A$452,$N247))</f>
        <v/>
      </c>
      <c r="B247" s="49">
        <f>IF($N247="","",INDEX(前年度名簿!$B$3:$B$452,$N247))</f>
        <v/>
      </c>
      <c r="C247" s="49">
        <f>IF($N247="","",INDEX(前年度名簿!$C$3:$C$452,$N247))</f>
        <v/>
      </c>
      <c r="D247" s="49" t="n"/>
      <c r="E247" s="49" t="n"/>
      <c r="F247" s="49" t="n"/>
      <c r="G247" s="4">
        <f>IF(A247="","",IFERROR(INDEX(前年度名簿!$D$3:$D$452,MATCH(A247&amp;"-"&amp;B247&amp;"-"&amp;C247,前年度名簿!$F$3:$F$452,0)),""))</f>
        <v/>
      </c>
      <c r="H247" s="50">
        <f>IF(D247="","",IF(ISERROR(VALUE(D247)),D247&amp;"",IF(AND(VALUE(D247)&gt;=1,VALUE(D247)&lt;=20),IF(INDEX(設定!$P$8:$P$27,VALUE(D247))="","？",INDEX(設定!$P$8:$P$27,VALUE(D247))),"？")))</f>
        <v/>
      </c>
      <c r="I247" s="50">
        <f>IF(E247="","",IF(ISERROR(VALUE(E247)),E247&amp;"",IF(AND(VALUE(E247)&gt;=1,VALUE(E247)&lt;=20),IF(INDEX(設定!$P$8:$P$27,VALUE(E247))="","？",INDEX(設定!$P$8:$P$27,VALUE(E247))),"？")))</f>
        <v/>
      </c>
      <c r="J247" s="50">
        <f>IF(F247="","",IF(ISERROR(VALUE(F247)),F247&amp;"",IF(AND(VALUE(F247)&gt;=1,VALUE(F247)&lt;=20),IF(INDEX(設定!$P$8:$P$27,VALUE(F247))="","？",INDEX(設定!$P$8:$P$27,VALUE(F247))),"？")))</f>
        <v/>
      </c>
      <c r="K247" s="51">
        <f>IF(L247="","",IF(G247="","名簿にいない",IF(COUNTIF(L248:L$555,L247)&gt;0,"2回提出（下の行を使います）",IF(H247="転出","転出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OR(AND(H247&lt;&gt;"",H247=I247),AND(H247&lt;&gt;"",H247=J247),AND(I247&lt;&gt;"",I247=J247)),"同じクラブを重複して希望","OK")))))))</f>
        <v/>
      </c>
      <c r="L247" s="11">
        <f>IF(OR(A247="",D247=""),"",A247&amp;"-"&amp;B247&amp;"-"&amp;C247)</f>
        <v/>
      </c>
      <c r="M247" s="11">
        <f>IF(OR(L247="",G247=""),"",IF(COUNTIF(L248:L$555,L247)=0,L247,""))</f>
        <v/>
      </c>
      <c r="N247" s="11">
        <f>IFERROR(MATCH(SMALL(前年度名簿!$G$3:$G$452,243),前年度名簿!$G$3:$G$452,0),"")</f>
        <v/>
      </c>
    </row>
    <row r="248">
      <c r="A248" s="49">
        <f>IF($N248="","",INDEX(前年度名簿!$A$3:$A$452,$N248))</f>
        <v/>
      </c>
      <c r="B248" s="49">
        <f>IF($N248="","",INDEX(前年度名簿!$B$3:$B$452,$N248))</f>
        <v/>
      </c>
      <c r="C248" s="49">
        <f>IF($N248="","",INDEX(前年度名簿!$C$3:$C$452,$N248))</f>
        <v/>
      </c>
      <c r="D248" s="49" t="n"/>
      <c r="E248" s="49" t="n"/>
      <c r="F248" s="49" t="n"/>
      <c r="G248" s="4">
        <f>IF(A248="","",IFERROR(INDEX(前年度名簿!$D$3:$D$452,MATCH(A248&amp;"-"&amp;B248&amp;"-"&amp;C248,前年度名簿!$F$3:$F$452,0)),""))</f>
        <v/>
      </c>
      <c r="H248" s="50">
        <f>IF(D248="","",IF(ISERROR(VALUE(D248)),D248&amp;"",IF(AND(VALUE(D248)&gt;=1,VALUE(D248)&lt;=20),IF(INDEX(設定!$P$8:$P$27,VALUE(D248))="","？",INDEX(設定!$P$8:$P$27,VALUE(D248))),"？")))</f>
        <v/>
      </c>
      <c r="I248" s="50">
        <f>IF(E248="","",IF(ISERROR(VALUE(E248)),E248&amp;"",IF(AND(VALUE(E248)&gt;=1,VALUE(E248)&lt;=20),IF(INDEX(設定!$P$8:$P$27,VALUE(E248))="","？",INDEX(設定!$P$8:$P$27,VALUE(E248))),"？")))</f>
        <v/>
      </c>
      <c r="J248" s="50">
        <f>IF(F248="","",IF(ISERROR(VALUE(F248)),F248&amp;"",IF(AND(VALUE(F248)&gt;=1,VALUE(F248)&lt;=20),IF(INDEX(設定!$P$8:$P$27,VALUE(F248))="","？",INDEX(設定!$P$8:$P$27,VALUE(F248))),"？")))</f>
        <v/>
      </c>
      <c r="K248" s="51">
        <f>IF(L248="","",IF(G248="","名簿にいない",IF(COUNTIF(L249:L$555,L248)&gt;0,"2回提出（下の行を使います）",IF(H248="転出","転出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OR(AND(H248&lt;&gt;"",H248=I248),AND(H248&lt;&gt;"",H248=J248),AND(I248&lt;&gt;"",I248=J248)),"同じクラブを重複して希望","OK")))))))</f>
        <v/>
      </c>
      <c r="L248" s="11">
        <f>IF(OR(A248="",D248=""),"",A248&amp;"-"&amp;B248&amp;"-"&amp;C248)</f>
        <v/>
      </c>
      <c r="M248" s="11">
        <f>IF(OR(L248="",G248=""),"",IF(COUNTIF(L249:L$555,L248)=0,L248,""))</f>
        <v/>
      </c>
      <c r="N248" s="11">
        <f>IFERROR(MATCH(SMALL(前年度名簿!$G$3:$G$452,244),前年度名簿!$G$3:$G$452,0),"")</f>
        <v/>
      </c>
    </row>
    <row r="249">
      <c r="A249" s="49">
        <f>IF($N249="","",INDEX(前年度名簿!$A$3:$A$452,$N249))</f>
        <v/>
      </c>
      <c r="B249" s="49">
        <f>IF($N249="","",INDEX(前年度名簿!$B$3:$B$452,$N249))</f>
        <v/>
      </c>
      <c r="C249" s="49">
        <f>IF($N249="","",INDEX(前年度名簿!$C$3:$C$452,$N249))</f>
        <v/>
      </c>
      <c r="D249" s="49" t="n"/>
      <c r="E249" s="49" t="n"/>
      <c r="F249" s="49" t="n"/>
      <c r="G249" s="4">
        <f>IF(A249="","",IFERROR(INDEX(前年度名簿!$D$3:$D$452,MATCH(A249&amp;"-"&amp;B249&amp;"-"&amp;C249,前年度名簿!$F$3:$F$452,0)),""))</f>
        <v/>
      </c>
      <c r="H249" s="50">
        <f>IF(D249="","",IF(ISERROR(VALUE(D249)),D249&amp;"",IF(AND(VALUE(D249)&gt;=1,VALUE(D249)&lt;=20),IF(INDEX(設定!$P$8:$P$27,VALUE(D249))="","？",INDEX(設定!$P$8:$P$27,VALUE(D249))),"？")))</f>
        <v/>
      </c>
      <c r="I249" s="50">
        <f>IF(E249="","",IF(ISERROR(VALUE(E249)),E249&amp;"",IF(AND(VALUE(E249)&gt;=1,VALUE(E249)&lt;=20),IF(INDEX(設定!$P$8:$P$27,VALUE(E249))="","？",INDEX(設定!$P$8:$P$27,VALUE(E249))),"？")))</f>
        <v/>
      </c>
      <c r="J249" s="50">
        <f>IF(F249="","",IF(ISERROR(VALUE(F249)),F249&amp;"",IF(AND(VALUE(F249)&gt;=1,VALUE(F249)&lt;=20),IF(INDEX(設定!$P$8:$P$27,VALUE(F249))="","？",INDEX(設定!$P$8:$P$27,VALUE(F249))),"？")))</f>
        <v/>
      </c>
      <c r="K249" s="51">
        <f>IF(L249="","",IF(G249="","名簿にいない",IF(COUNTIF(L250:L$555,L249)&gt;0,"2回提出（下の行を使います）",IF(H249="転出","転出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OR(AND(H249&lt;&gt;"",H249=I249),AND(H249&lt;&gt;"",H249=J249),AND(I249&lt;&gt;"",I249=J249)),"同じクラブを重複して希望","OK")))))))</f>
        <v/>
      </c>
      <c r="L249" s="11">
        <f>IF(OR(A249="",D249=""),"",A249&amp;"-"&amp;B249&amp;"-"&amp;C249)</f>
        <v/>
      </c>
      <c r="M249" s="11">
        <f>IF(OR(L249="",G249=""),"",IF(COUNTIF(L250:L$555,L249)=0,L249,""))</f>
        <v/>
      </c>
      <c r="N249" s="11">
        <f>IFERROR(MATCH(SMALL(前年度名簿!$G$3:$G$452,245),前年度名簿!$G$3:$G$452,0),"")</f>
        <v/>
      </c>
    </row>
    <row r="250">
      <c r="A250" s="49">
        <f>IF($N250="","",INDEX(前年度名簿!$A$3:$A$452,$N250))</f>
        <v/>
      </c>
      <c r="B250" s="49">
        <f>IF($N250="","",INDEX(前年度名簿!$B$3:$B$452,$N250))</f>
        <v/>
      </c>
      <c r="C250" s="49">
        <f>IF($N250="","",INDEX(前年度名簿!$C$3:$C$452,$N250))</f>
        <v/>
      </c>
      <c r="D250" s="49" t="n"/>
      <c r="E250" s="49" t="n"/>
      <c r="F250" s="49" t="n"/>
      <c r="G250" s="4">
        <f>IF(A250="","",IFERROR(INDEX(前年度名簿!$D$3:$D$452,MATCH(A250&amp;"-"&amp;B250&amp;"-"&amp;C250,前年度名簿!$F$3:$F$452,0)),""))</f>
        <v/>
      </c>
      <c r="H250" s="50">
        <f>IF(D250="","",IF(ISERROR(VALUE(D250)),D250&amp;"",IF(AND(VALUE(D250)&gt;=1,VALUE(D250)&lt;=20),IF(INDEX(設定!$P$8:$P$27,VALUE(D250))="","？",INDEX(設定!$P$8:$P$27,VALUE(D250))),"？")))</f>
        <v/>
      </c>
      <c r="I250" s="50">
        <f>IF(E250="","",IF(ISERROR(VALUE(E250)),E250&amp;"",IF(AND(VALUE(E250)&gt;=1,VALUE(E250)&lt;=20),IF(INDEX(設定!$P$8:$P$27,VALUE(E250))="","？",INDEX(設定!$P$8:$P$27,VALUE(E250))),"？")))</f>
        <v/>
      </c>
      <c r="J250" s="50">
        <f>IF(F250="","",IF(ISERROR(VALUE(F250)),F250&amp;"",IF(AND(VALUE(F250)&gt;=1,VALUE(F250)&lt;=20),IF(INDEX(設定!$P$8:$P$27,VALUE(F250))="","？",INDEX(設定!$P$8:$P$27,VALUE(F250))),"？")))</f>
        <v/>
      </c>
      <c r="K250" s="51">
        <f>IF(L250="","",IF(G250="","名簿にいない",IF(COUNTIF(L251:L$555,L250)&gt;0,"2回提出（下の行を使います）",IF(H250="転出","転出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OR(AND(H250&lt;&gt;"",H250=I250),AND(H250&lt;&gt;"",H250=J250),AND(I250&lt;&gt;"",I250=J250)),"同じクラブを重複して希望","OK")))))))</f>
        <v/>
      </c>
      <c r="L250" s="11">
        <f>IF(OR(A250="",D250=""),"",A250&amp;"-"&amp;B250&amp;"-"&amp;C250)</f>
        <v/>
      </c>
      <c r="M250" s="11">
        <f>IF(OR(L250="",G250=""),"",IF(COUNTIF(L251:L$555,L250)=0,L250,""))</f>
        <v/>
      </c>
      <c r="N250" s="11">
        <f>IFERROR(MATCH(SMALL(前年度名簿!$G$3:$G$452,246),前年度名簿!$G$3:$G$452,0),"")</f>
        <v/>
      </c>
    </row>
    <row r="251">
      <c r="A251" s="49">
        <f>IF($N251="","",INDEX(前年度名簿!$A$3:$A$452,$N251))</f>
        <v/>
      </c>
      <c r="B251" s="49">
        <f>IF($N251="","",INDEX(前年度名簿!$B$3:$B$452,$N251))</f>
        <v/>
      </c>
      <c r="C251" s="49">
        <f>IF($N251="","",INDEX(前年度名簿!$C$3:$C$452,$N251))</f>
        <v/>
      </c>
      <c r="D251" s="49" t="n"/>
      <c r="E251" s="49" t="n"/>
      <c r="F251" s="49" t="n"/>
      <c r="G251" s="4">
        <f>IF(A251="","",IFERROR(INDEX(前年度名簿!$D$3:$D$452,MATCH(A251&amp;"-"&amp;B251&amp;"-"&amp;C251,前年度名簿!$F$3:$F$452,0)),""))</f>
        <v/>
      </c>
      <c r="H251" s="50">
        <f>IF(D251="","",IF(ISERROR(VALUE(D251)),D251&amp;"",IF(AND(VALUE(D251)&gt;=1,VALUE(D251)&lt;=20),IF(INDEX(設定!$P$8:$P$27,VALUE(D251))="","？",INDEX(設定!$P$8:$P$27,VALUE(D251))),"？")))</f>
        <v/>
      </c>
      <c r="I251" s="50">
        <f>IF(E251="","",IF(ISERROR(VALUE(E251)),E251&amp;"",IF(AND(VALUE(E251)&gt;=1,VALUE(E251)&lt;=20),IF(INDEX(設定!$P$8:$P$27,VALUE(E251))="","？",INDEX(設定!$P$8:$P$27,VALUE(E251))),"？")))</f>
        <v/>
      </c>
      <c r="J251" s="50">
        <f>IF(F251="","",IF(ISERROR(VALUE(F251)),F251&amp;"",IF(AND(VALUE(F251)&gt;=1,VALUE(F251)&lt;=20),IF(INDEX(設定!$P$8:$P$27,VALUE(F251))="","？",INDEX(設定!$P$8:$P$27,VALUE(F251))),"？")))</f>
        <v/>
      </c>
      <c r="K251" s="51">
        <f>IF(L251="","",IF(G251="","名簿にいない",IF(COUNTIF(L252:L$555,L251)&gt;0,"2回提出（下の行を使います）",IF(H251="転出","転出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OR(AND(H251&lt;&gt;"",H251=I251),AND(H251&lt;&gt;"",H251=J251),AND(I251&lt;&gt;"",I251=J251)),"同じクラブを重複して希望","OK")))))))</f>
        <v/>
      </c>
      <c r="L251" s="11">
        <f>IF(OR(A251="",D251=""),"",A251&amp;"-"&amp;B251&amp;"-"&amp;C251)</f>
        <v/>
      </c>
      <c r="M251" s="11">
        <f>IF(OR(L251="",G251=""),"",IF(COUNTIF(L252:L$555,L251)=0,L251,""))</f>
        <v/>
      </c>
      <c r="N251" s="11">
        <f>IFERROR(MATCH(SMALL(前年度名簿!$G$3:$G$452,247),前年度名簿!$G$3:$G$452,0),"")</f>
        <v/>
      </c>
    </row>
    <row r="252">
      <c r="A252" s="49">
        <f>IF($N252="","",INDEX(前年度名簿!$A$3:$A$452,$N252))</f>
        <v/>
      </c>
      <c r="B252" s="49">
        <f>IF($N252="","",INDEX(前年度名簿!$B$3:$B$452,$N252))</f>
        <v/>
      </c>
      <c r="C252" s="49">
        <f>IF($N252="","",INDEX(前年度名簿!$C$3:$C$452,$N252))</f>
        <v/>
      </c>
      <c r="D252" s="49" t="n"/>
      <c r="E252" s="49" t="n"/>
      <c r="F252" s="49" t="n"/>
      <c r="G252" s="4">
        <f>IF(A252="","",IFERROR(INDEX(前年度名簿!$D$3:$D$452,MATCH(A252&amp;"-"&amp;B252&amp;"-"&amp;C252,前年度名簿!$F$3:$F$452,0)),""))</f>
        <v/>
      </c>
      <c r="H252" s="50">
        <f>IF(D252="","",IF(ISERROR(VALUE(D252)),D252&amp;"",IF(AND(VALUE(D252)&gt;=1,VALUE(D252)&lt;=20),IF(INDEX(設定!$P$8:$P$27,VALUE(D252))="","？",INDEX(設定!$P$8:$P$27,VALUE(D252))),"？")))</f>
        <v/>
      </c>
      <c r="I252" s="50">
        <f>IF(E252="","",IF(ISERROR(VALUE(E252)),E252&amp;"",IF(AND(VALUE(E252)&gt;=1,VALUE(E252)&lt;=20),IF(INDEX(設定!$P$8:$P$27,VALUE(E252))="","？",INDEX(設定!$P$8:$P$27,VALUE(E252))),"？")))</f>
        <v/>
      </c>
      <c r="J252" s="50">
        <f>IF(F252="","",IF(ISERROR(VALUE(F252)),F252&amp;"",IF(AND(VALUE(F252)&gt;=1,VALUE(F252)&lt;=20),IF(INDEX(設定!$P$8:$P$27,VALUE(F252))="","？",INDEX(設定!$P$8:$P$27,VALUE(F252))),"？")))</f>
        <v/>
      </c>
      <c r="K252" s="51">
        <f>IF(L252="","",IF(G252="","名簿にいない",IF(COUNTIF(L253:L$555,L252)&gt;0,"2回提出（下の行を使います）",IF(H252="転出","転出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OR(AND(H252&lt;&gt;"",H252=I252),AND(H252&lt;&gt;"",H252=J252),AND(I252&lt;&gt;"",I252=J252)),"同じクラブを重複して希望","OK")))))))</f>
        <v/>
      </c>
      <c r="L252" s="11">
        <f>IF(OR(A252="",D252=""),"",A252&amp;"-"&amp;B252&amp;"-"&amp;C252)</f>
        <v/>
      </c>
      <c r="M252" s="11">
        <f>IF(OR(L252="",G252=""),"",IF(COUNTIF(L253:L$555,L252)=0,L252,""))</f>
        <v/>
      </c>
      <c r="N252" s="11">
        <f>IFERROR(MATCH(SMALL(前年度名簿!$G$3:$G$452,248),前年度名簿!$G$3:$G$452,0),"")</f>
        <v/>
      </c>
    </row>
    <row r="253">
      <c r="A253" s="49">
        <f>IF($N253="","",INDEX(前年度名簿!$A$3:$A$452,$N253))</f>
        <v/>
      </c>
      <c r="B253" s="49">
        <f>IF($N253="","",INDEX(前年度名簿!$B$3:$B$452,$N253))</f>
        <v/>
      </c>
      <c r="C253" s="49">
        <f>IF($N253="","",INDEX(前年度名簿!$C$3:$C$452,$N253))</f>
        <v/>
      </c>
      <c r="D253" s="49" t="n"/>
      <c r="E253" s="49" t="n"/>
      <c r="F253" s="49" t="n"/>
      <c r="G253" s="4">
        <f>IF(A253="","",IFERROR(INDEX(前年度名簿!$D$3:$D$452,MATCH(A253&amp;"-"&amp;B253&amp;"-"&amp;C253,前年度名簿!$F$3:$F$452,0)),""))</f>
        <v/>
      </c>
      <c r="H253" s="50">
        <f>IF(D253="","",IF(ISERROR(VALUE(D253)),D253&amp;"",IF(AND(VALUE(D253)&gt;=1,VALUE(D253)&lt;=20),IF(INDEX(設定!$P$8:$P$27,VALUE(D253))="","？",INDEX(設定!$P$8:$P$27,VALUE(D253))),"？")))</f>
        <v/>
      </c>
      <c r="I253" s="50">
        <f>IF(E253="","",IF(ISERROR(VALUE(E253)),E253&amp;"",IF(AND(VALUE(E253)&gt;=1,VALUE(E253)&lt;=20),IF(INDEX(設定!$P$8:$P$27,VALUE(E253))="","？",INDEX(設定!$P$8:$P$27,VALUE(E253))),"？")))</f>
        <v/>
      </c>
      <c r="J253" s="50">
        <f>IF(F253="","",IF(ISERROR(VALUE(F253)),F253&amp;"",IF(AND(VALUE(F253)&gt;=1,VALUE(F253)&lt;=20),IF(INDEX(設定!$P$8:$P$27,VALUE(F253))="","？",INDEX(設定!$P$8:$P$27,VALUE(F253))),"？")))</f>
        <v/>
      </c>
      <c r="K253" s="51">
        <f>IF(L253="","",IF(G253="","名簿にいない",IF(COUNTIF(L254:L$555,L253)&gt;0,"2回提出（下の行を使います）",IF(H253="転出","転出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OR(AND(H253&lt;&gt;"",H253=I253),AND(H253&lt;&gt;"",H253=J253),AND(I253&lt;&gt;"",I253=J253)),"同じクラブを重複して希望","OK")))))))</f>
        <v/>
      </c>
      <c r="L253" s="11">
        <f>IF(OR(A253="",D253=""),"",A253&amp;"-"&amp;B253&amp;"-"&amp;C253)</f>
        <v/>
      </c>
      <c r="M253" s="11">
        <f>IF(OR(L253="",G253=""),"",IF(COUNTIF(L254:L$555,L253)=0,L253,""))</f>
        <v/>
      </c>
      <c r="N253" s="11">
        <f>IFERROR(MATCH(SMALL(前年度名簿!$G$3:$G$452,249),前年度名簿!$G$3:$G$452,0),"")</f>
        <v/>
      </c>
    </row>
    <row r="254">
      <c r="A254" s="49">
        <f>IF($N254="","",INDEX(前年度名簿!$A$3:$A$452,$N254))</f>
        <v/>
      </c>
      <c r="B254" s="49">
        <f>IF($N254="","",INDEX(前年度名簿!$B$3:$B$452,$N254))</f>
        <v/>
      </c>
      <c r="C254" s="49">
        <f>IF($N254="","",INDEX(前年度名簿!$C$3:$C$452,$N254))</f>
        <v/>
      </c>
      <c r="D254" s="49" t="n"/>
      <c r="E254" s="49" t="n"/>
      <c r="F254" s="49" t="n"/>
      <c r="G254" s="4">
        <f>IF(A254="","",IFERROR(INDEX(前年度名簿!$D$3:$D$452,MATCH(A254&amp;"-"&amp;B254&amp;"-"&amp;C254,前年度名簿!$F$3:$F$452,0)),""))</f>
        <v/>
      </c>
      <c r="H254" s="50">
        <f>IF(D254="","",IF(ISERROR(VALUE(D254)),D254&amp;"",IF(AND(VALUE(D254)&gt;=1,VALUE(D254)&lt;=20),IF(INDEX(設定!$P$8:$P$27,VALUE(D254))="","？",INDEX(設定!$P$8:$P$27,VALUE(D254))),"？")))</f>
        <v/>
      </c>
      <c r="I254" s="50">
        <f>IF(E254="","",IF(ISERROR(VALUE(E254)),E254&amp;"",IF(AND(VALUE(E254)&gt;=1,VALUE(E254)&lt;=20),IF(INDEX(設定!$P$8:$P$27,VALUE(E254))="","？",INDEX(設定!$P$8:$P$27,VALUE(E254))),"？")))</f>
        <v/>
      </c>
      <c r="J254" s="50">
        <f>IF(F254="","",IF(ISERROR(VALUE(F254)),F254&amp;"",IF(AND(VALUE(F254)&gt;=1,VALUE(F254)&lt;=20),IF(INDEX(設定!$P$8:$P$27,VALUE(F254))="","？",INDEX(設定!$P$8:$P$27,VALUE(F254))),"？")))</f>
        <v/>
      </c>
      <c r="K254" s="51">
        <f>IF(L254="","",IF(G254="","名簿にいない",IF(COUNTIF(L255:L$555,L254)&gt;0,"2回提出（下の行を使います）",IF(H254="転出","転出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OR(AND(H254&lt;&gt;"",H254=I254),AND(H254&lt;&gt;"",H254=J254),AND(I254&lt;&gt;"",I254=J254)),"同じクラブを重複して希望","OK")))))))</f>
        <v/>
      </c>
      <c r="L254" s="11">
        <f>IF(OR(A254="",D254=""),"",A254&amp;"-"&amp;B254&amp;"-"&amp;C254)</f>
        <v/>
      </c>
      <c r="M254" s="11">
        <f>IF(OR(L254="",G254=""),"",IF(COUNTIF(L255:L$555,L254)=0,L254,""))</f>
        <v/>
      </c>
      <c r="N254" s="11">
        <f>IFERROR(MATCH(SMALL(前年度名簿!$G$3:$G$452,250),前年度名簿!$G$3:$G$452,0),"")</f>
        <v/>
      </c>
    </row>
    <row r="255">
      <c r="A255" s="49">
        <f>IF($N255="","",INDEX(前年度名簿!$A$3:$A$452,$N255))</f>
        <v/>
      </c>
      <c r="B255" s="49">
        <f>IF($N255="","",INDEX(前年度名簿!$B$3:$B$452,$N255))</f>
        <v/>
      </c>
      <c r="C255" s="49">
        <f>IF($N255="","",INDEX(前年度名簿!$C$3:$C$452,$N255))</f>
        <v/>
      </c>
      <c r="D255" s="49" t="n"/>
      <c r="E255" s="49" t="n"/>
      <c r="F255" s="49" t="n"/>
      <c r="G255" s="4">
        <f>IF(A255="","",IFERROR(INDEX(前年度名簿!$D$3:$D$452,MATCH(A255&amp;"-"&amp;B255&amp;"-"&amp;C255,前年度名簿!$F$3:$F$452,0)),""))</f>
        <v/>
      </c>
      <c r="H255" s="50">
        <f>IF(D255="","",IF(ISERROR(VALUE(D255)),D255&amp;"",IF(AND(VALUE(D255)&gt;=1,VALUE(D255)&lt;=20),IF(INDEX(設定!$P$8:$P$27,VALUE(D255))="","？",INDEX(設定!$P$8:$P$27,VALUE(D255))),"？")))</f>
        <v/>
      </c>
      <c r="I255" s="50">
        <f>IF(E255="","",IF(ISERROR(VALUE(E255)),E255&amp;"",IF(AND(VALUE(E255)&gt;=1,VALUE(E255)&lt;=20),IF(INDEX(設定!$P$8:$P$27,VALUE(E255))="","？",INDEX(設定!$P$8:$P$27,VALUE(E255))),"？")))</f>
        <v/>
      </c>
      <c r="J255" s="50">
        <f>IF(F255="","",IF(ISERROR(VALUE(F255)),F255&amp;"",IF(AND(VALUE(F255)&gt;=1,VALUE(F255)&lt;=20),IF(INDEX(設定!$P$8:$P$27,VALUE(F255))="","？",INDEX(設定!$P$8:$P$27,VALUE(F255))),"？")))</f>
        <v/>
      </c>
      <c r="K255" s="51">
        <f>IF(L255="","",IF(G255="","名簿にいない",IF(COUNTIF(L256:L$555,L255)&gt;0,"2回提出（下の行を使います）",IF(H255="転出","転出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OR(AND(H255&lt;&gt;"",H255=I255),AND(H255&lt;&gt;"",H255=J255),AND(I255&lt;&gt;"",I255=J255)),"同じクラブを重複して希望","OK")))))))</f>
        <v/>
      </c>
      <c r="L255" s="11">
        <f>IF(OR(A255="",D255=""),"",A255&amp;"-"&amp;B255&amp;"-"&amp;C255)</f>
        <v/>
      </c>
      <c r="M255" s="11">
        <f>IF(OR(L255="",G255=""),"",IF(COUNTIF(L256:L$555,L255)=0,L255,""))</f>
        <v/>
      </c>
      <c r="N255" s="11">
        <f>IFERROR(MATCH(SMALL(前年度名簿!$G$3:$G$452,251),前年度名簿!$G$3:$G$452,0),"")</f>
        <v/>
      </c>
    </row>
    <row r="256">
      <c r="A256" s="49">
        <f>IF($N256="","",INDEX(前年度名簿!$A$3:$A$452,$N256))</f>
        <v/>
      </c>
      <c r="B256" s="49">
        <f>IF($N256="","",INDEX(前年度名簿!$B$3:$B$452,$N256))</f>
        <v/>
      </c>
      <c r="C256" s="49">
        <f>IF($N256="","",INDEX(前年度名簿!$C$3:$C$452,$N256))</f>
        <v/>
      </c>
      <c r="D256" s="49" t="n"/>
      <c r="E256" s="49" t="n"/>
      <c r="F256" s="49" t="n"/>
      <c r="G256" s="4">
        <f>IF(A256="","",IFERROR(INDEX(前年度名簿!$D$3:$D$452,MATCH(A256&amp;"-"&amp;B256&amp;"-"&amp;C256,前年度名簿!$F$3:$F$452,0)),""))</f>
        <v/>
      </c>
      <c r="H256" s="50">
        <f>IF(D256="","",IF(ISERROR(VALUE(D256)),D256&amp;"",IF(AND(VALUE(D256)&gt;=1,VALUE(D256)&lt;=20),IF(INDEX(設定!$P$8:$P$27,VALUE(D256))="","？",INDEX(設定!$P$8:$P$27,VALUE(D256))),"？")))</f>
        <v/>
      </c>
      <c r="I256" s="50">
        <f>IF(E256="","",IF(ISERROR(VALUE(E256)),E256&amp;"",IF(AND(VALUE(E256)&gt;=1,VALUE(E256)&lt;=20),IF(INDEX(設定!$P$8:$P$27,VALUE(E256))="","？",INDEX(設定!$P$8:$P$27,VALUE(E256))),"？")))</f>
        <v/>
      </c>
      <c r="J256" s="50">
        <f>IF(F256="","",IF(ISERROR(VALUE(F256)),F256&amp;"",IF(AND(VALUE(F256)&gt;=1,VALUE(F256)&lt;=20),IF(INDEX(設定!$P$8:$P$27,VALUE(F256))="","？",INDEX(設定!$P$8:$P$27,VALUE(F256))),"？")))</f>
        <v/>
      </c>
      <c r="K256" s="51">
        <f>IF(L256="","",IF(G256="","名簿にいない",IF(COUNTIF(L257:L$555,L256)&gt;0,"2回提出（下の行を使います）",IF(H256="転出","転出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OR(AND(H256&lt;&gt;"",H256=I256),AND(H256&lt;&gt;"",H256=J256),AND(I256&lt;&gt;"",I256=J256)),"同じクラブを重複して希望","OK")))))))</f>
        <v/>
      </c>
      <c r="L256" s="11">
        <f>IF(OR(A256="",D256=""),"",A256&amp;"-"&amp;B256&amp;"-"&amp;C256)</f>
        <v/>
      </c>
      <c r="M256" s="11">
        <f>IF(OR(L256="",G256=""),"",IF(COUNTIF(L257:L$555,L256)=0,L256,""))</f>
        <v/>
      </c>
      <c r="N256" s="11">
        <f>IFERROR(MATCH(SMALL(前年度名簿!$G$3:$G$452,252),前年度名簿!$G$3:$G$452,0),"")</f>
        <v/>
      </c>
    </row>
    <row r="257">
      <c r="A257" s="49">
        <f>IF($N257="","",INDEX(前年度名簿!$A$3:$A$452,$N257))</f>
        <v/>
      </c>
      <c r="B257" s="49">
        <f>IF($N257="","",INDEX(前年度名簿!$B$3:$B$452,$N257))</f>
        <v/>
      </c>
      <c r="C257" s="49">
        <f>IF($N257="","",INDEX(前年度名簿!$C$3:$C$452,$N257))</f>
        <v/>
      </c>
      <c r="D257" s="49" t="n"/>
      <c r="E257" s="49" t="n"/>
      <c r="F257" s="49" t="n"/>
      <c r="G257" s="4">
        <f>IF(A257="","",IFERROR(INDEX(前年度名簿!$D$3:$D$452,MATCH(A257&amp;"-"&amp;B257&amp;"-"&amp;C257,前年度名簿!$F$3:$F$452,0)),""))</f>
        <v/>
      </c>
      <c r="H257" s="50">
        <f>IF(D257="","",IF(ISERROR(VALUE(D257)),D257&amp;"",IF(AND(VALUE(D257)&gt;=1,VALUE(D257)&lt;=20),IF(INDEX(設定!$P$8:$P$27,VALUE(D257))="","？",INDEX(設定!$P$8:$P$27,VALUE(D257))),"？")))</f>
        <v/>
      </c>
      <c r="I257" s="50">
        <f>IF(E257="","",IF(ISERROR(VALUE(E257)),E257&amp;"",IF(AND(VALUE(E257)&gt;=1,VALUE(E257)&lt;=20),IF(INDEX(設定!$P$8:$P$27,VALUE(E257))="","？",INDEX(設定!$P$8:$P$27,VALUE(E257))),"？")))</f>
        <v/>
      </c>
      <c r="J257" s="50">
        <f>IF(F257="","",IF(ISERROR(VALUE(F257)),F257&amp;"",IF(AND(VALUE(F257)&gt;=1,VALUE(F257)&lt;=20),IF(INDEX(設定!$P$8:$P$27,VALUE(F257))="","？",INDEX(設定!$P$8:$P$27,VALUE(F257))),"？")))</f>
        <v/>
      </c>
      <c r="K257" s="51">
        <f>IF(L257="","",IF(G257="","名簿にいない",IF(COUNTIF(L258:L$555,L257)&gt;0,"2回提出（下の行を使います）",IF(H257="転出","転出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OR(AND(H257&lt;&gt;"",H257=I257),AND(H257&lt;&gt;"",H257=J257),AND(I257&lt;&gt;"",I257=J257)),"同じクラブを重複して希望","OK")))))))</f>
        <v/>
      </c>
      <c r="L257" s="11">
        <f>IF(OR(A257="",D257=""),"",A257&amp;"-"&amp;B257&amp;"-"&amp;C257)</f>
        <v/>
      </c>
      <c r="M257" s="11">
        <f>IF(OR(L257="",G257=""),"",IF(COUNTIF(L258:L$555,L257)=0,L257,""))</f>
        <v/>
      </c>
      <c r="N257" s="11">
        <f>IFERROR(MATCH(SMALL(前年度名簿!$G$3:$G$452,253),前年度名簿!$G$3:$G$452,0),"")</f>
        <v/>
      </c>
    </row>
    <row r="258">
      <c r="A258" s="49">
        <f>IF($N258="","",INDEX(前年度名簿!$A$3:$A$452,$N258))</f>
        <v/>
      </c>
      <c r="B258" s="49">
        <f>IF($N258="","",INDEX(前年度名簿!$B$3:$B$452,$N258))</f>
        <v/>
      </c>
      <c r="C258" s="49">
        <f>IF($N258="","",INDEX(前年度名簿!$C$3:$C$452,$N258))</f>
        <v/>
      </c>
      <c r="D258" s="49" t="n"/>
      <c r="E258" s="49" t="n"/>
      <c r="F258" s="49" t="n"/>
      <c r="G258" s="4">
        <f>IF(A258="","",IFERROR(INDEX(前年度名簿!$D$3:$D$452,MATCH(A258&amp;"-"&amp;B258&amp;"-"&amp;C258,前年度名簿!$F$3:$F$452,0)),""))</f>
        <v/>
      </c>
      <c r="H258" s="50">
        <f>IF(D258="","",IF(ISERROR(VALUE(D258)),D258&amp;"",IF(AND(VALUE(D258)&gt;=1,VALUE(D258)&lt;=20),IF(INDEX(設定!$P$8:$P$27,VALUE(D258))="","？",INDEX(設定!$P$8:$P$27,VALUE(D258))),"？")))</f>
        <v/>
      </c>
      <c r="I258" s="50">
        <f>IF(E258="","",IF(ISERROR(VALUE(E258)),E258&amp;"",IF(AND(VALUE(E258)&gt;=1,VALUE(E258)&lt;=20),IF(INDEX(設定!$P$8:$P$27,VALUE(E258))="","？",INDEX(設定!$P$8:$P$27,VALUE(E258))),"？")))</f>
        <v/>
      </c>
      <c r="J258" s="50">
        <f>IF(F258="","",IF(ISERROR(VALUE(F258)),F258&amp;"",IF(AND(VALUE(F258)&gt;=1,VALUE(F258)&lt;=20),IF(INDEX(設定!$P$8:$P$27,VALUE(F258))="","？",INDEX(設定!$P$8:$P$27,VALUE(F258))),"？")))</f>
        <v/>
      </c>
      <c r="K258" s="51">
        <f>IF(L258="","",IF(G258="","名簿にいない",IF(COUNTIF(L259:L$555,L258)&gt;0,"2回提出（下の行を使います）",IF(H258="転出","転出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OR(AND(H258&lt;&gt;"",H258=I258),AND(H258&lt;&gt;"",H258=J258),AND(I258&lt;&gt;"",I258=J258)),"同じクラブを重複して希望","OK")))))))</f>
        <v/>
      </c>
      <c r="L258" s="11">
        <f>IF(OR(A258="",D258=""),"",A258&amp;"-"&amp;B258&amp;"-"&amp;C258)</f>
        <v/>
      </c>
      <c r="M258" s="11">
        <f>IF(OR(L258="",G258=""),"",IF(COUNTIF(L259:L$555,L258)=0,L258,""))</f>
        <v/>
      </c>
      <c r="N258" s="11">
        <f>IFERROR(MATCH(SMALL(前年度名簿!$G$3:$G$452,254),前年度名簿!$G$3:$G$452,0),"")</f>
        <v/>
      </c>
    </row>
    <row r="259">
      <c r="A259" s="49">
        <f>IF($N259="","",INDEX(前年度名簿!$A$3:$A$452,$N259))</f>
        <v/>
      </c>
      <c r="B259" s="49">
        <f>IF($N259="","",INDEX(前年度名簿!$B$3:$B$452,$N259))</f>
        <v/>
      </c>
      <c r="C259" s="49">
        <f>IF($N259="","",INDEX(前年度名簿!$C$3:$C$452,$N259))</f>
        <v/>
      </c>
      <c r="D259" s="49" t="n"/>
      <c r="E259" s="49" t="n"/>
      <c r="F259" s="49" t="n"/>
      <c r="G259" s="4">
        <f>IF(A259="","",IFERROR(INDEX(前年度名簿!$D$3:$D$452,MATCH(A259&amp;"-"&amp;B259&amp;"-"&amp;C259,前年度名簿!$F$3:$F$452,0)),""))</f>
        <v/>
      </c>
      <c r="H259" s="50">
        <f>IF(D259="","",IF(ISERROR(VALUE(D259)),D259&amp;"",IF(AND(VALUE(D259)&gt;=1,VALUE(D259)&lt;=20),IF(INDEX(設定!$P$8:$P$27,VALUE(D259))="","？",INDEX(設定!$P$8:$P$27,VALUE(D259))),"？")))</f>
        <v/>
      </c>
      <c r="I259" s="50">
        <f>IF(E259="","",IF(ISERROR(VALUE(E259)),E259&amp;"",IF(AND(VALUE(E259)&gt;=1,VALUE(E259)&lt;=20),IF(INDEX(設定!$P$8:$P$27,VALUE(E259))="","？",INDEX(設定!$P$8:$P$27,VALUE(E259))),"？")))</f>
        <v/>
      </c>
      <c r="J259" s="50">
        <f>IF(F259="","",IF(ISERROR(VALUE(F259)),F259&amp;"",IF(AND(VALUE(F259)&gt;=1,VALUE(F259)&lt;=20),IF(INDEX(設定!$P$8:$P$27,VALUE(F259))="","？",INDEX(設定!$P$8:$P$27,VALUE(F259))),"？")))</f>
        <v/>
      </c>
      <c r="K259" s="51">
        <f>IF(L259="","",IF(G259="","名簿にいない",IF(COUNTIF(L260:L$555,L259)&gt;0,"2回提出（下の行を使います）",IF(H259="転出","転出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OR(AND(H259&lt;&gt;"",H259=I259),AND(H259&lt;&gt;"",H259=J259),AND(I259&lt;&gt;"",I259=J259)),"同じクラブを重複して希望","OK")))))))</f>
        <v/>
      </c>
      <c r="L259" s="11">
        <f>IF(OR(A259="",D259=""),"",A259&amp;"-"&amp;B259&amp;"-"&amp;C259)</f>
        <v/>
      </c>
      <c r="M259" s="11">
        <f>IF(OR(L259="",G259=""),"",IF(COUNTIF(L260:L$555,L259)=0,L259,""))</f>
        <v/>
      </c>
      <c r="N259" s="11">
        <f>IFERROR(MATCH(SMALL(前年度名簿!$G$3:$G$452,255),前年度名簿!$G$3:$G$452,0),"")</f>
        <v/>
      </c>
    </row>
    <row r="260">
      <c r="A260" s="49">
        <f>IF($N260="","",INDEX(前年度名簿!$A$3:$A$452,$N260))</f>
        <v/>
      </c>
      <c r="B260" s="49">
        <f>IF($N260="","",INDEX(前年度名簿!$B$3:$B$452,$N260))</f>
        <v/>
      </c>
      <c r="C260" s="49">
        <f>IF($N260="","",INDEX(前年度名簿!$C$3:$C$452,$N260))</f>
        <v/>
      </c>
      <c r="D260" s="49" t="n"/>
      <c r="E260" s="49" t="n"/>
      <c r="F260" s="49" t="n"/>
      <c r="G260" s="4">
        <f>IF(A260="","",IFERROR(INDEX(前年度名簿!$D$3:$D$452,MATCH(A260&amp;"-"&amp;B260&amp;"-"&amp;C260,前年度名簿!$F$3:$F$452,0)),""))</f>
        <v/>
      </c>
      <c r="H260" s="50">
        <f>IF(D260="","",IF(ISERROR(VALUE(D260)),D260&amp;"",IF(AND(VALUE(D260)&gt;=1,VALUE(D260)&lt;=20),IF(INDEX(設定!$P$8:$P$27,VALUE(D260))="","？",INDEX(設定!$P$8:$P$27,VALUE(D260))),"？")))</f>
        <v/>
      </c>
      <c r="I260" s="50">
        <f>IF(E260="","",IF(ISERROR(VALUE(E260)),E260&amp;"",IF(AND(VALUE(E260)&gt;=1,VALUE(E260)&lt;=20),IF(INDEX(設定!$P$8:$P$27,VALUE(E260))="","？",INDEX(設定!$P$8:$P$27,VALUE(E260))),"？")))</f>
        <v/>
      </c>
      <c r="J260" s="50">
        <f>IF(F260="","",IF(ISERROR(VALUE(F260)),F260&amp;"",IF(AND(VALUE(F260)&gt;=1,VALUE(F260)&lt;=20),IF(INDEX(設定!$P$8:$P$27,VALUE(F260))="","？",INDEX(設定!$P$8:$P$27,VALUE(F260))),"？")))</f>
        <v/>
      </c>
      <c r="K260" s="51">
        <f>IF(L260="","",IF(G260="","名簿にいない",IF(COUNTIF(L261:L$555,L260)&gt;0,"2回提出（下の行を使います）",IF(H260="転出","転出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OR(AND(H260&lt;&gt;"",H260=I260),AND(H260&lt;&gt;"",H260=J260),AND(I260&lt;&gt;"",I260=J260)),"同じクラブを重複して希望","OK")))))))</f>
        <v/>
      </c>
      <c r="L260" s="11">
        <f>IF(OR(A260="",D260=""),"",A260&amp;"-"&amp;B260&amp;"-"&amp;C260)</f>
        <v/>
      </c>
      <c r="M260" s="11">
        <f>IF(OR(L260="",G260=""),"",IF(COUNTIF(L261:L$555,L260)=0,L260,""))</f>
        <v/>
      </c>
      <c r="N260" s="11">
        <f>IFERROR(MATCH(SMALL(前年度名簿!$G$3:$G$452,256),前年度名簿!$G$3:$G$452,0),"")</f>
        <v/>
      </c>
    </row>
    <row r="261">
      <c r="A261" s="49">
        <f>IF($N261="","",INDEX(前年度名簿!$A$3:$A$452,$N261))</f>
        <v/>
      </c>
      <c r="B261" s="49">
        <f>IF($N261="","",INDEX(前年度名簿!$B$3:$B$452,$N261))</f>
        <v/>
      </c>
      <c r="C261" s="49">
        <f>IF($N261="","",INDEX(前年度名簿!$C$3:$C$452,$N261))</f>
        <v/>
      </c>
      <c r="D261" s="49" t="n"/>
      <c r="E261" s="49" t="n"/>
      <c r="F261" s="49" t="n"/>
      <c r="G261" s="4">
        <f>IF(A261="","",IFERROR(INDEX(前年度名簿!$D$3:$D$452,MATCH(A261&amp;"-"&amp;B261&amp;"-"&amp;C261,前年度名簿!$F$3:$F$452,0)),""))</f>
        <v/>
      </c>
      <c r="H261" s="50">
        <f>IF(D261="","",IF(ISERROR(VALUE(D261)),D261&amp;"",IF(AND(VALUE(D261)&gt;=1,VALUE(D261)&lt;=20),IF(INDEX(設定!$P$8:$P$27,VALUE(D261))="","？",INDEX(設定!$P$8:$P$27,VALUE(D261))),"？")))</f>
        <v/>
      </c>
      <c r="I261" s="50">
        <f>IF(E261="","",IF(ISERROR(VALUE(E261)),E261&amp;"",IF(AND(VALUE(E261)&gt;=1,VALUE(E261)&lt;=20),IF(INDEX(設定!$P$8:$P$27,VALUE(E261))="","？",INDEX(設定!$P$8:$P$27,VALUE(E261))),"？")))</f>
        <v/>
      </c>
      <c r="J261" s="50">
        <f>IF(F261="","",IF(ISERROR(VALUE(F261)),F261&amp;"",IF(AND(VALUE(F261)&gt;=1,VALUE(F261)&lt;=20),IF(INDEX(設定!$P$8:$P$27,VALUE(F261))="","？",INDEX(設定!$P$8:$P$27,VALUE(F261))),"？")))</f>
        <v/>
      </c>
      <c r="K261" s="51">
        <f>IF(L261="","",IF(G261="","名簿にいない",IF(COUNTIF(L262:L$555,L261)&gt;0,"2回提出（下の行を使います）",IF(H261="転出","転出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OR(AND(H261&lt;&gt;"",H261=I261),AND(H261&lt;&gt;"",H261=J261),AND(I261&lt;&gt;"",I261=J261)),"同じクラブを重複して希望","OK")))))))</f>
        <v/>
      </c>
      <c r="L261" s="11">
        <f>IF(OR(A261="",D261=""),"",A261&amp;"-"&amp;B261&amp;"-"&amp;C261)</f>
        <v/>
      </c>
      <c r="M261" s="11">
        <f>IF(OR(L261="",G261=""),"",IF(COUNTIF(L262:L$555,L261)=0,L261,""))</f>
        <v/>
      </c>
      <c r="N261" s="11">
        <f>IFERROR(MATCH(SMALL(前年度名簿!$G$3:$G$452,257),前年度名簿!$G$3:$G$452,0),"")</f>
        <v/>
      </c>
    </row>
    <row r="262">
      <c r="A262" s="49">
        <f>IF($N262="","",INDEX(前年度名簿!$A$3:$A$452,$N262))</f>
        <v/>
      </c>
      <c r="B262" s="49">
        <f>IF($N262="","",INDEX(前年度名簿!$B$3:$B$452,$N262))</f>
        <v/>
      </c>
      <c r="C262" s="49">
        <f>IF($N262="","",INDEX(前年度名簿!$C$3:$C$452,$N262))</f>
        <v/>
      </c>
      <c r="D262" s="49" t="n"/>
      <c r="E262" s="49" t="n"/>
      <c r="F262" s="49" t="n"/>
      <c r="G262" s="4">
        <f>IF(A262="","",IFERROR(INDEX(前年度名簿!$D$3:$D$452,MATCH(A262&amp;"-"&amp;B262&amp;"-"&amp;C262,前年度名簿!$F$3:$F$452,0)),""))</f>
        <v/>
      </c>
      <c r="H262" s="50">
        <f>IF(D262="","",IF(ISERROR(VALUE(D262)),D262&amp;"",IF(AND(VALUE(D262)&gt;=1,VALUE(D262)&lt;=20),IF(INDEX(設定!$P$8:$P$27,VALUE(D262))="","？",INDEX(設定!$P$8:$P$27,VALUE(D262))),"？")))</f>
        <v/>
      </c>
      <c r="I262" s="50">
        <f>IF(E262="","",IF(ISERROR(VALUE(E262)),E262&amp;"",IF(AND(VALUE(E262)&gt;=1,VALUE(E262)&lt;=20),IF(INDEX(設定!$P$8:$P$27,VALUE(E262))="","？",INDEX(設定!$P$8:$P$27,VALUE(E262))),"？")))</f>
        <v/>
      </c>
      <c r="J262" s="50">
        <f>IF(F262="","",IF(ISERROR(VALUE(F262)),F262&amp;"",IF(AND(VALUE(F262)&gt;=1,VALUE(F262)&lt;=20),IF(INDEX(設定!$P$8:$P$27,VALUE(F262))="","？",INDEX(設定!$P$8:$P$27,VALUE(F262))),"？")))</f>
        <v/>
      </c>
      <c r="K262" s="51">
        <f>IF(L262="","",IF(G262="","名簿にいない",IF(COUNTIF(L263:L$555,L262)&gt;0,"2回提出（下の行を使います）",IF(H262="転出","転出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OR(AND(H262&lt;&gt;"",H262=I262),AND(H262&lt;&gt;"",H262=J262),AND(I262&lt;&gt;"",I262=J262)),"同じクラブを重複して希望","OK")))))))</f>
        <v/>
      </c>
      <c r="L262" s="11">
        <f>IF(OR(A262="",D262=""),"",A262&amp;"-"&amp;B262&amp;"-"&amp;C262)</f>
        <v/>
      </c>
      <c r="M262" s="11">
        <f>IF(OR(L262="",G262=""),"",IF(COUNTIF(L263:L$555,L262)=0,L262,""))</f>
        <v/>
      </c>
      <c r="N262" s="11">
        <f>IFERROR(MATCH(SMALL(前年度名簿!$G$3:$G$452,258),前年度名簿!$G$3:$G$452,0),"")</f>
        <v/>
      </c>
    </row>
    <row r="263">
      <c r="A263" s="49">
        <f>IF($N263="","",INDEX(前年度名簿!$A$3:$A$452,$N263))</f>
        <v/>
      </c>
      <c r="B263" s="49">
        <f>IF($N263="","",INDEX(前年度名簿!$B$3:$B$452,$N263))</f>
        <v/>
      </c>
      <c r="C263" s="49">
        <f>IF($N263="","",INDEX(前年度名簿!$C$3:$C$452,$N263))</f>
        <v/>
      </c>
      <c r="D263" s="49" t="n"/>
      <c r="E263" s="49" t="n"/>
      <c r="F263" s="49" t="n"/>
      <c r="G263" s="4">
        <f>IF(A263="","",IFERROR(INDEX(前年度名簿!$D$3:$D$452,MATCH(A263&amp;"-"&amp;B263&amp;"-"&amp;C263,前年度名簿!$F$3:$F$452,0)),""))</f>
        <v/>
      </c>
      <c r="H263" s="50">
        <f>IF(D263="","",IF(ISERROR(VALUE(D263)),D263&amp;"",IF(AND(VALUE(D263)&gt;=1,VALUE(D263)&lt;=20),IF(INDEX(設定!$P$8:$P$27,VALUE(D263))="","？",INDEX(設定!$P$8:$P$27,VALUE(D263))),"？")))</f>
        <v/>
      </c>
      <c r="I263" s="50">
        <f>IF(E263="","",IF(ISERROR(VALUE(E263)),E263&amp;"",IF(AND(VALUE(E263)&gt;=1,VALUE(E263)&lt;=20),IF(INDEX(設定!$P$8:$P$27,VALUE(E263))="","？",INDEX(設定!$P$8:$P$27,VALUE(E263))),"？")))</f>
        <v/>
      </c>
      <c r="J263" s="50">
        <f>IF(F263="","",IF(ISERROR(VALUE(F263)),F263&amp;"",IF(AND(VALUE(F263)&gt;=1,VALUE(F263)&lt;=20),IF(INDEX(設定!$P$8:$P$27,VALUE(F263))="","？",INDEX(設定!$P$8:$P$27,VALUE(F263))),"？")))</f>
        <v/>
      </c>
      <c r="K263" s="51">
        <f>IF(L263="","",IF(G263="","名簿にいない",IF(COUNTIF(L264:L$555,L263)&gt;0,"2回提出（下の行を使います）",IF(H263="転出","転出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OR(AND(H263&lt;&gt;"",H263=I263),AND(H263&lt;&gt;"",H263=J263),AND(I263&lt;&gt;"",I263=J263)),"同じクラブを重複して希望","OK")))))))</f>
        <v/>
      </c>
      <c r="L263" s="11">
        <f>IF(OR(A263="",D263=""),"",A263&amp;"-"&amp;B263&amp;"-"&amp;C263)</f>
        <v/>
      </c>
      <c r="M263" s="11">
        <f>IF(OR(L263="",G263=""),"",IF(COUNTIF(L264:L$555,L263)=0,L263,""))</f>
        <v/>
      </c>
      <c r="N263" s="11">
        <f>IFERROR(MATCH(SMALL(前年度名簿!$G$3:$G$452,259),前年度名簿!$G$3:$G$452,0),"")</f>
        <v/>
      </c>
    </row>
    <row r="264">
      <c r="A264" s="49">
        <f>IF($N264="","",INDEX(前年度名簿!$A$3:$A$452,$N264))</f>
        <v/>
      </c>
      <c r="B264" s="49">
        <f>IF($N264="","",INDEX(前年度名簿!$B$3:$B$452,$N264))</f>
        <v/>
      </c>
      <c r="C264" s="49">
        <f>IF($N264="","",INDEX(前年度名簿!$C$3:$C$452,$N264))</f>
        <v/>
      </c>
      <c r="D264" s="49" t="n"/>
      <c r="E264" s="49" t="n"/>
      <c r="F264" s="49" t="n"/>
      <c r="G264" s="4">
        <f>IF(A264="","",IFERROR(INDEX(前年度名簿!$D$3:$D$452,MATCH(A264&amp;"-"&amp;B264&amp;"-"&amp;C264,前年度名簿!$F$3:$F$452,0)),""))</f>
        <v/>
      </c>
      <c r="H264" s="50">
        <f>IF(D264="","",IF(ISERROR(VALUE(D264)),D264&amp;"",IF(AND(VALUE(D264)&gt;=1,VALUE(D264)&lt;=20),IF(INDEX(設定!$P$8:$P$27,VALUE(D264))="","？",INDEX(設定!$P$8:$P$27,VALUE(D264))),"？")))</f>
        <v/>
      </c>
      <c r="I264" s="50">
        <f>IF(E264="","",IF(ISERROR(VALUE(E264)),E264&amp;"",IF(AND(VALUE(E264)&gt;=1,VALUE(E264)&lt;=20),IF(INDEX(設定!$P$8:$P$27,VALUE(E264))="","？",INDEX(設定!$P$8:$P$27,VALUE(E264))),"？")))</f>
        <v/>
      </c>
      <c r="J264" s="50">
        <f>IF(F264="","",IF(ISERROR(VALUE(F264)),F264&amp;"",IF(AND(VALUE(F264)&gt;=1,VALUE(F264)&lt;=20),IF(INDEX(設定!$P$8:$P$27,VALUE(F264))="","？",INDEX(設定!$P$8:$P$27,VALUE(F264))),"？")))</f>
        <v/>
      </c>
      <c r="K264" s="51">
        <f>IF(L264="","",IF(G264="","名簿にいない",IF(COUNTIF(L265:L$555,L264)&gt;0,"2回提出（下の行を使います）",IF(H264="転出","転出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OR(AND(H264&lt;&gt;"",H264=I264),AND(H264&lt;&gt;"",H264=J264),AND(I264&lt;&gt;"",I264=J264)),"同じクラブを重複して希望","OK")))))))</f>
        <v/>
      </c>
      <c r="L264" s="11">
        <f>IF(OR(A264="",D264=""),"",A264&amp;"-"&amp;B264&amp;"-"&amp;C264)</f>
        <v/>
      </c>
      <c r="M264" s="11">
        <f>IF(OR(L264="",G264=""),"",IF(COUNTIF(L265:L$555,L264)=0,L264,""))</f>
        <v/>
      </c>
      <c r="N264" s="11">
        <f>IFERROR(MATCH(SMALL(前年度名簿!$G$3:$G$452,260),前年度名簿!$G$3:$G$452,0),"")</f>
        <v/>
      </c>
    </row>
    <row r="265">
      <c r="A265" s="49">
        <f>IF($N265="","",INDEX(前年度名簿!$A$3:$A$452,$N265))</f>
        <v/>
      </c>
      <c r="B265" s="49">
        <f>IF($N265="","",INDEX(前年度名簿!$B$3:$B$452,$N265))</f>
        <v/>
      </c>
      <c r="C265" s="49">
        <f>IF($N265="","",INDEX(前年度名簿!$C$3:$C$452,$N265))</f>
        <v/>
      </c>
      <c r="D265" s="49" t="n"/>
      <c r="E265" s="49" t="n"/>
      <c r="F265" s="49" t="n"/>
      <c r="G265" s="4">
        <f>IF(A265="","",IFERROR(INDEX(前年度名簿!$D$3:$D$452,MATCH(A265&amp;"-"&amp;B265&amp;"-"&amp;C265,前年度名簿!$F$3:$F$452,0)),""))</f>
        <v/>
      </c>
      <c r="H265" s="50">
        <f>IF(D265="","",IF(ISERROR(VALUE(D265)),D265&amp;"",IF(AND(VALUE(D265)&gt;=1,VALUE(D265)&lt;=20),IF(INDEX(設定!$P$8:$P$27,VALUE(D265))="","？",INDEX(設定!$P$8:$P$27,VALUE(D265))),"？")))</f>
        <v/>
      </c>
      <c r="I265" s="50">
        <f>IF(E265="","",IF(ISERROR(VALUE(E265)),E265&amp;"",IF(AND(VALUE(E265)&gt;=1,VALUE(E265)&lt;=20),IF(INDEX(設定!$P$8:$P$27,VALUE(E265))="","？",INDEX(設定!$P$8:$P$27,VALUE(E265))),"？")))</f>
        <v/>
      </c>
      <c r="J265" s="50">
        <f>IF(F265="","",IF(ISERROR(VALUE(F265)),F265&amp;"",IF(AND(VALUE(F265)&gt;=1,VALUE(F265)&lt;=20),IF(INDEX(設定!$P$8:$P$27,VALUE(F265))="","？",INDEX(設定!$P$8:$P$27,VALUE(F265))),"？")))</f>
        <v/>
      </c>
      <c r="K265" s="51">
        <f>IF(L265="","",IF(G265="","名簿にいない",IF(COUNTIF(L266:L$555,L265)&gt;0,"2回提出（下の行を使います）",IF(H265="転出","転出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OR(AND(H265&lt;&gt;"",H265=I265),AND(H265&lt;&gt;"",H265=J265),AND(I265&lt;&gt;"",I265=J265)),"同じクラブを重複して希望","OK")))))))</f>
        <v/>
      </c>
      <c r="L265" s="11">
        <f>IF(OR(A265="",D265=""),"",A265&amp;"-"&amp;B265&amp;"-"&amp;C265)</f>
        <v/>
      </c>
      <c r="M265" s="11">
        <f>IF(OR(L265="",G265=""),"",IF(COUNTIF(L266:L$555,L265)=0,L265,""))</f>
        <v/>
      </c>
      <c r="N265" s="11">
        <f>IFERROR(MATCH(SMALL(前年度名簿!$G$3:$G$452,261),前年度名簿!$G$3:$G$452,0),"")</f>
        <v/>
      </c>
    </row>
    <row r="266">
      <c r="A266" s="49">
        <f>IF($N266="","",INDEX(前年度名簿!$A$3:$A$452,$N266))</f>
        <v/>
      </c>
      <c r="B266" s="49">
        <f>IF($N266="","",INDEX(前年度名簿!$B$3:$B$452,$N266))</f>
        <v/>
      </c>
      <c r="C266" s="49">
        <f>IF($N266="","",INDEX(前年度名簿!$C$3:$C$452,$N266))</f>
        <v/>
      </c>
      <c r="D266" s="49" t="n"/>
      <c r="E266" s="49" t="n"/>
      <c r="F266" s="49" t="n"/>
      <c r="G266" s="4">
        <f>IF(A266="","",IFERROR(INDEX(前年度名簿!$D$3:$D$452,MATCH(A266&amp;"-"&amp;B266&amp;"-"&amp;C266,前年度名簿!$F$3:$F$452,0)),""))</f>
        <v/>
      </c>
      <c r="H266" s="50">
        <f>IF(D266="","",IF(ISERROR(VALUE(D266)),D266&amp;"",IF(AND(VALUE(D266)&gt;=1,VALUE(D266)&lt;=20),IF(INDEX(設定!$P$8:$P$27,VALUE(D266))="","？",INDEX(設定!$P$8:$P$27,VALUE(D266))),"？")))</f>
        <v/>
      </c>
      <c r="I266" s="50">
        <f>IF(E266="","",IF(ISERROR(VALUE(E266)),E266&amp;"",IF(AND(VALUE(E266)&gt;=1,VALUE(E266)&lt;=20),IF(INDEX(設定!$P$8:$P$27,VALUE(E266))="","？",INDEX(設定!$P$8:$P$27,VALUE(E266))),"？")))</f>
        <v/>
      </c>
      <c r="J266" s="50">
        <f>IF(F266="","",IF(ISERROR(VALUE(F266)),F266&amp;"",IF(AND(VALUE(F266)&gt;=1,VALUE(F266)&lt;=20),IF(INDEX(設定!$P$8:$P$27,VALUE(F266))="","？",INDEX(設定!$P$8:$P$27,VALUE(F266))),"？")))</f>
        <v/>
      </c>
      <c r="K266" s="51">
        <f>IF(L266="","",IF(G266="","名簿にいない",IF(COUNTIF(L267:L$555,L266)&gt;0,"2回提出（下の行を使います）",IF(H266="転出","転出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OR(AND(H266&lt;&gt;"",H266=I266),AND(H266&lt;&gt;"",H266=J266),AND(I266&lt;&gt;"",I266=J266)),"同じクラブを重複して希望","OK")))))))</f>
        <v/>
      </c>
      <c r="L266" s="11">
        <f>IF(OR(A266="",D266=""),"",A266&amp;"-"&amp;B266&amp;"-"&amp;C266)</f>
        <v/>
      </c>
      <c r="M266" s="11">
        <f>IF(OR(L266="",G266=""),"",IF(COUNTIF(L267:L$555,L266)=0,L266,""))</f>
        <v/>
      </c>
      <c r="N266" s="11">
        <f>IFERROR(MATCH(SMALL(前年度名簿!$G$3:$G$452,262),前年度名簿!$G$3:$G$452,0),"")</f>
        <v/>
      </c>
    </row>
    <row r="267">
      <c r="A267" s="49">
        <f>IF($N267="","",INDEX(前年度名簿!$A$3:$A$452,$N267))</f>
        <v/>
      </c>
      <c r="B267" s="49">
        <f>IF($N267="","",INDEX(前年度名簿!$B$3:$B$452,$N267))</f>
        <v/>
      </c>
      <c r="C267" s="49">
        <f>IF($N267="","",INDEX(前年度名簿!$C$3:$C$452,$N267))</f>
        <v/>
      </c>
      <c r="D267" s="49" t="n"/>
      <c r="E267" s="49" t="n"/>
      <c r="F267" s="49" t="n"/>
      <c r="G267" s="4">
        <f>IF(A267="","",IFERROR(INDEX(前年度名簿!$D$3:$D$452,MATCH(A267&amp;"-"&amp;B267&amp;"-"&amp;C267,前年度名簿!$F$3:$F$452,0)),""))</f>
        <v/>
      </c>
      <c r="H267" s="50">
        <f>IF(D267="","",IF(ISERROR(VALUE(D267)),D267&amp;"",IF(AND(VALUE(D267)&gt;=1,VALUE(D267)&lt;=20),IF(INDEX(設定!$P$8:$P$27,VALUE(D267))="","？",INDEX(設定!$P$8:$P$27,VALUE(D267))),"？")))</f>
        <v/>
      </c>
      <c r="I267" s="50">
        <f>IF(E267="","",IF(ISERROR(VALUE(E267)),E267&amp;"",IF(AND(VALUE(E267)&gt;=1,VALUE(E267)&lt;=20),IF(INDEX(設定!$P$8:$P$27,VALUE(E267))="","？",INDEX(設定!$P$8:$P$27,VALUE(E267))),"？")))</f>
        <v/>
      </c>
      <c r="J267" s="50">
        <f>IF(F267="","",IF(ISERROR(VALUE(F267)),F267&amp;"",IF(AND(VALUE(F267)&gt;=1,VALUE(F267)&lt;=20),IF(INDEX(設定!$P$8:$P$27,VALUE(F267))="","？",INDEX(設定!$P$8:$P$27,VALUE(F267))),"？")))</f>
        <v/>
      </c>
      <c r="K267" s="51">
        <f>IF(L267="","",IF(G267="","名簿にいない",IF(COUNTIF(L268:L$555,L267)&gt;0,"2回提出（下の行を使います）",IF(H267="転出","転出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OR(AND(H267&lt;&gt;"",H267=I267),AND(H267&lt;&gt;"",H267=J267),AND(I267&lt;&gt;"",I267=J267)),"同じクラブを重複して希望","OK")))))))</f>
        <v/>
      </c>
      <c r="L267" s="11">
        <f>IF(OR(A267="",D267=""),"",A267&amp;"-"&amp;B267&amp;"-"&amp;C267)</f>
        <v/>
      </c>
      <c r="M267" s="11">
        <f>IF(OR(L267="",G267=""),"",IF(COUNTIF(L268:L$555,L267)=0,L267,""))</f>
        <v/>
      </c>
      <c r="N267" s="11">
        <f>IFERROR(MATCH(SMALL(前年度名簿!$G$3:$G$452,263),前年度名簿!$G$3:$G$452,0),"")</f>
        <v/>
      </c>
    </row>
    <row r="268">
      <c r="A268" s="49">
        <f>IF($N268="","",INDEX(前年度名簿!$A$3:$A$452,$N268))</f>
        <v/>
      </c>
      <c r="B268" s="49">
        <f>IF($N268="","",INDEX(前年度名簿!$B$3:$B$452,$N268))</f>
        <v/>
      </c>
      <c r="C268" s="49">
        <f>IF($N268="","",INDEX(前年度名簿!$C$3:$C$452,$N268))</f>
        <v/>
      </c>
      <c r="D268" s="49" t="n"/>
      <c r="E268" s="49" t="n"/>
      <c r="F268" s="49" t="n"/>
      <c r="G268" s="4">
        <f>IF(A268="","",IFERROR(INDEX(前年度名簿!$D$3:$D$452,MATCH(A268&amp;"-"&amp;B268&amp;"-"&amp;C268,前年度名簿!$F$3:$F$452,0)),""))</f>
        <v/>
      </c>
      <c r="H268" s="50">
        <f>IF(D268="","",IF(ISERROR(VALUE(D268)),D268&amp;"",IF(AND(VALUE(D268)&gt;=1,VALUE(D268)&lt;=20),IF(INDEX(設定!$P$8:$P$27,VALUE(D268))="","？",INDEX(設定!$P$8:$P$27,VALUE(D268))),"？")))</f>
        <v/>
      </c>
      <c r="I268" s="50">
        <f>IF(E268="","",IF(ISERROR(VALUE(E268)),E268&amp;"",IF(AND(VALUE(E268)&gt;=1,VALUE(E268)&lt;=20),IF(INDEX(設定!$P$8:$P$27,VALUE(E268))="","？",INDEX(設定!$P$8:$P$27,VALUE(E268))),"？")))</f>
        <v/>
      </c>
      <c r="J268" s="50">
        <f>IF(F268="","",IF(ISERROR(VALUE(F268)),F268&amp;"",IF(AND(VALUE(F268)&gt;=1,VALUE(F268)&lt;=20),IF(INDEX(設定!$P$8:$P$27,VALUE(F268))="","？",INDEX(設定!$P$8:$P$27,VALUE(F268))),"？")))</f>
        <v/>
      </c>
      <c r="K268" s="51">
        <f>IF(L268="","",IF(G268="","名簿にいない",IF(COUNTIF(L269:L$555,L268)&gt;0,"2回提出（下の行を使います）",IF(H268="転出","転出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OR(AND(H268&lt;&gt;"",H268=I268),AND(H268&lt;&gt;"",H268=J268),AND(I268&lt;&gt;"",I268=J268)),"同じクラブを重複して希望","OK")))))))</f>
        <v/>
      </c>
      <c r="L268" s="11">
        <f>IF(OR(A268="",D268=""),"",A268&amp;"-"&amp;B268&amp;"-"&amp;C268)</f>
        <v/>
      </c>
      <c r="M268" s="11">
        <f>IF(OR(L268="",G268=""),"",IF(COUNTIF(L269:L$555,L268)=0,L268,""))</f>
        <v/>
      </c>
      <c r="N268" s="11">
        <f>IFERROR(MATCH(SMALL(前年度名簿!$G$3:$G$452,264),前年度名簿!$G$3:$G$452,0),"")</f>
        <v/>
      </c>
    </row>
    <row r="269">
      <c r="A269" s="49">
        <f>IF($N269="","",INDEX(前年度名簿!$A$3:$A$452,$N269))</f>
        <v/>
      </c>
      <c r="B269" s="49">
        <f>IF($N269="","",INDEX(前年度名簿!$B$3:$B$452,$N269))</f>
        <v/>
      </c>
      <c r="C269" s="49">
        <f>IF($N269="","",INDEX(前年度名簿!$C$3:$C$452,$N269))</f>
        <v/>
      </c>
      <c r="D269" s="49" t="n"/>
      <c r="E269" s="49" t="n"/>
      <c r="F269" s="49" t="n"/>
      <c r="G269" s="4">
        <f>IF(A269="","",IFERROR(INDEX(前年度名簿!$D$3:$D$452,MATCH(A269&amp;"-"&amp;B269&amp;"-"&amp;C269,前年度名簿!$F$3:$F$452,0)),""))</f>
        <v/>
      </c>
      <c r="H269" s="50">
        <f>IF(D269="","",IF(ISERROR(VALUE(D269)),D269&amp;"",IF(AND(VALUE(D269)&gt;=1,VALUE(D269)&lt;=20),IF(INDEX(設定!$P$8:$P$27,VALUE(D269))="","？",INDEX(設定!$P$8:$P$27,VALUE(D269))),"？")))</f>
        <v/>
      </c>
      <c r="I269" s="50">
        <f>IF(E269="","",IF(ISERROR(VALUE(E269)),E269&amp;"",IF(AND(VALUE(E269)&gt;=1,VALUE(E269)&lt;=20),IF(INDEX(設定!$P$8:$P$27,VALUE(E269))="","？",INDEX(設定!$P$8:$P$27,VALUE(E269))),"？")))</f>
        <v/>
      </c>
      <c r="J269" s="50">
        <f>IF(F269="","",IF(ISERROR(VALUE(F269)),F269&amp;"",IF(AND(VALUE(F269)&gt;=1,VALUE(F269)&lt;=20),IF(INDEX(設定!$P$8:$P$27,VALUE(F269))="","？",INDEX(設定!$P$8:$P$27,VALUE(F269))),"？")))</f>
        <v/>
      </c>
      <c r="K269" s="51">
        <f>IF(L269="","",IF(G269="","名簿にいない",IF(COUNTIF(L270:L$555,L269)&gt;0,"2回提出（下の行を使います）",IF(H269="転出","転出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OR(AND(H269&lt;&gt;"",H269=I269),AND(H269&lt;&gt;"",H269=J269),AND(I269&lt;&gt;"",I269=J269)),"同じクラブを重複して希望","OK")))))))</f>
        <v/>
      </c>
      <c r="L269" s="11">
        <f>IF(OR(A269="",D269=""),"",A269&amp;"-"&amp;B269&amp;"-"&amp;C269)</f>
        <v/>
      </c>
      <c r="M269" s="11">
        <f>IF(OR(L269="",G269=""),"",IF(COUNTIF(L270:L$555,L269)=0,L269,""))</f>
        <v/>
      </c>
      <c r="N269" s="11">
        <f>IFERROR(MATCH(SMALL(前年度名簿!$G$3:$G$452,265),前年度名簿!$G$3:$G$452,0),"")</f>
        <v/>
      </c>
    </row>
    <row r="270">
      <c r="A270" s="49">
        <f>IF($N270="","",INDEX(前年度名簿!$A$3:$A$452,$N270))</f>
        <v/>
      </c>
      <c r="B270" s="49">
        <f>IF($N270="","",INDEX(前年度名簿!$B$3:$B$452,$N270))</f>
        <v/>
      </c>
      <c r="C270" s="49">
        <f>IF($N270="","",INDEX(前年度名簿!$C$3:$C$452,$N270))</f>
        <v/>
      </c>
      <c r="D270" s="49" t="n"/>
      <c r="E270" s="49" t="n"/>
      <c r="F270" s="49" t="n"/>
      <c r="G270" s="4">
        <f>IF(A270="","",IFERROR(INDEX(前年度名簿!$D$3:$D$452,MATCH(A270&amp;"-"&amp;B270&amp;"-"&amp;C270,前年度名簿!$F$3:$F$452,0)),""))</f>
        <v/>
      </c>
      <c r="H270" s="50">
        <f>IF(D270="","",IF(ISERROR(VALUE(D270)),D270&amp;"",IF(AND(VALUE(D270)&gt;=1,VALUE(D270)&lt;=20),IF(INDEX(設定!$P$8:$P$27,VALUE(D270))="","？",INDEX(設定!$P$8:$P$27,VALUE(D270))),"？")))</f>
        <v/>
      </c>
      <c r="I270" s="50">
        <f>IF(E270="","",IF(ISERROR(VALUE(E270)),E270&amp;"",IF(AND(VALUE(E270)&gt;=1,VALUE(E270)&lt;=20),IF(INDEX(設定!$P$8:$P$27,VALUE(E270))="","？",INDEX(設定!$P$8:$P$27,VALUE(E270))),"？")))</f>
        <v/>
      </c>
      <c r="J270" s="50">
        <f>IF(F270="","",IF(ISERROR(VALUE(F270)),F270&amp;"",IF(AND(VALUE(F270)&gt;=1,VALUE(F270)&lt;=20),IF(INDEX(設定!$P$8:$P$27,VALUE(F270))="","？",INDEX(設定!$P$8:$P$27,VALUE(F270))),"？")))</f>
        <v/>
      </c>
      <c r="K270" s="51">
        <f>IF(L270="","",IF(G270="","名簿にいない",IF(COUNTIF(L271:L$555,L270)&gt;0,"2回提出（下の行を使います）",IF(H270="転出","転出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OR(AND(H270&lt;&gt;"",H270=I270),AND(H270&lt;&gt;"",H270=J270),AND(I270&lt;&gt;"",I270=J270)),"同じクラブを重複して希望","OK")))))))</f>
        <v/>
      </c>
      <c r="L270" s="11">
        <f>IF(OR(A270="",D270=""),"",A270&amp;"-"&amp;B270&amp;"-"&amp;C270)</f>
        <v/>
      </c>
      <c r="M270" s="11">
        <f>IF(OR(L270="",G270=""),"",IF(COUNTIF(L271:L$555,L270)=0,L270,""))</f>
        <v/>
      </c>
      <c r="N270" s="11">
        <f>IFERROR(MATCH(SMALL(前年度名簿!$G$3:$G$452,266),前年度名簿!$G$3:$G$452,0),"")</f>
        <v/>
      </c>
    </row>
    <row r="271">
      <c r="A271" s="49">
        <f>IF($N271="","",INDEX(前年度名簿!$A$3:$A$452,$N271))</f>
        <v/>
      </c>
      <c r="B271" s="49">
        <f>IF($N271="","",INDEX(前年度名簿!$B$3:$B$452,$N271))</f>
        <v/>
      </c>
      <c r="C271" s="49">
        <f>IF($N271="","",INDEX(前年度名簿!$C$3:$C$452,$N271))</f>
        <v/>
      </c>
      <c r="D271" s="49" t="n"/>
      <c r="E271" s="49" t="n"/>
      <c r="F271" s="49" t="n"/>
      <c r="G271" s="4">
        <f>IF(A271="","",IFERROR(INDEX(前年度名簿!$D$3:$D$452,MATCH(A271&amp;"-"&amp;B271&amp;"-"&amp;C271,前年度名簿!$F$3:$F$452,0)),""))</f>
        <v/>
      </c>
      <c r="H271" s="50">
        <f>IF(D271="","",IF(ISERROR(VALUE(D271)),D271&amp;"",IF(AND(VALUE(D271)&gt;=1,VALUE(D271)&lt;=20),IF(INDEX(設定!$P$8:$P$27,VALUE(D271))="","？",INDEX(設定!$P$8:$P$27,VALUE(D271))),"？")))</f>
        <v/>
      </c>
      <c r="I271" s="50">
        <f>IF(E271="","",IF(ISERROR(VALUE(E271)),E271&amp;"",IF(AND(VALUE(E271)&gt;=1,VALUE(E271)&lt;=20),IF(INDEX(設定!$P$8:$P$27,VALUE(E271))="","？",INDEX(設定!$P$8:$P$27,VALUE(E271))),"？")))</f>
        <v/>
      </c>
      <c r="J271" s="50">
        <f>IF(F271="","",IF(ISERROR(VALUE(F271)),F271&amp;"",IF(AND(VALUE(F271)&gt;=1,VALUE(F271)&lt;=20),IF(INDEX(設定!$P$8:$P$27,VALUE(F271))="","？",INDEX(設定!$P$8:$P$27,VALUE(F271))),"？")))</f>
        <v/>
      </c>
      <c r="K271" s="51">
        <f>IF(L271="","",IF(G271="","名簿にいない",IF(COUNTIF(L272:L$555,L271)&gt;0,"2回提出（下の行を使います）",IF(H271="転出","転出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OR(AND(H271&lt;&gt;"",H271=I271),AND(H271&lt;&gt;"",H271=J271),AND(I271&lt;&gt;"",I271=J271)),"同じクラブを重複して希望","OK")))))))</f>
        <v/>
      </c>
      <c r="L271" s="11">
        <f>IF(OR(A271="",D271=""),"",A271&amp;"-"&amp;B271&amp;"-"&amp;C271)</f>
        <v/>
      </c>
      <c r="M271" s="11">
        <f>IF(OR(L271="",G271=""),"",IF(COUNTIF(L272:L$555,L271)=0,L271,""))</f>
        <v/>
      </c>
      <c r="N271" s="11">
        <f>IFERROR(MATCH(SMALL(前年度名簿!$G$3:$G$452,267),前年度名簿!$G$3:$G$452,0),"")</f>
        <v/>
      </c>
    </row>
    <row r="272">
      <c r="A272" s="49">
        <f>IF($N272="","",INDEX(前年度名簿!$A$3:$A$452,$N272))</f>
        <v/>
      </c>
      <c r="B272" s="49">
        <f>IF($N272="","",INDEX(前年度名簿!$B$3:$B$452,$N272))</f>
        <v/>
      </c>
      <c r="C272" s="49">
        <f>IF($N272="","",INDEX(前年度名簿!$C$3:$C$452,$N272))</f>
        <v/>
      </c>
      <c r="D272" s="49" t="n"/>
      <c r="E272" s="49" t="n"/>
      <c r="F272" s="49" t="n"/>
      <c r="G272" s="4">
        <f>IF(A272="","",IFERROR(INDEX(前年度名簿!$D$3:$D$452,MATCH(A272&amp;"-"&amp;B272&amp;"-"&amp;C272,前年度名簿!$F$3:$F$452,0)),""))</f>
        <v/>
      </c>
      <c r="H272" s="50">
        <f>IF(D272="","",IF(ISERROR(VALUE(D272)),D272&amp;"",IF(AND(VALUE(D272)&gt;=1,VALUE(D272)&lt;=20),IF(INDEX(設定!$P$8:$P$27,VALUE(D272))="","？",INDEX(設定!$P$8:$P$27,VALUE(D272))),"？")))</f>
        <v/>
      </c>
      <c r="I272" s="50">
        <f>IF(E272="","",IF(ISERROR(VALUE(E272)),E272&amp;"",IF(AND(VALUE(E272)&gt;=1,VALUE(E272)&lt;=20),IF(INDEX(設定!$P$8:$P$27,VALUE(E272))="","？",INDEX(設定!$P$8:$P$27,VALUE(E272))),"？")))</f>
        <v/>
      </c>
      <c r="J272" s="50">
        <f>IF(F272="","",IF(ISERROR(VALUE(F272)),F272&amp;"",IF(AND(VALUE(F272)&gt;=1,VALUE(F272)&lt;=20),IF(INDEX(設定!$P$8:$P$27,VALUE(F272))="","？",INDEX(設定!$P$8:$P$27,VALUE(F272))),"？")))</f>
        <v/>
      </c>
      <c r="K272" s="51">
        <f>IF(L272="","",IF(G272="","名簿にいない",IF(COUNTIF(L273:L$555,L272)&gt;0,"2回提出（下の行を使います）",IF(H272="転出","転出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OR(AND(H272&lt;&gt;"",H272=I272),AND(H272&lt;&gt;"",H272=J272),AND(I272&lt;&gt;"",I272=J272)),"同じクラブを重複して希望","OK")))))))</f>
        <v/>
      </c>
      <c r="L272" s="11">
        <f>IF(OR(A272="",D272=""),"",A272&amp;"-"&amp;B272&amp;"-"&amp;C272)</f>
        <v/>
      </c>
      <c r="M272" s="11">
        <f>IF(OR(L272="",G272=""),"",IF(COUNTIF(L273:L$555,L272)=0,L272,""))</f>
        <v/>
      </c>
      <c r="N272" s="11">
        <f>IFERROR(MATCH(SMALL(前年度名簿!$G$3:$G$452,268),前年度名簿!$G$3:$G$452,0),"")</f>
        <v/>
      </c>
    </row>
    <row r="273">
      <c r="A273" s="49">
        <f>IF($N273="","",INDEX(前年度名簿!$A$3:$A$452,$N273))</f>
        <v/>
      </c>
      <c r="B273" s="49">
        <f>IF($N273="","",INDEX(前年度名簿!$B$3:$B$452,$N273))</f>
        <v/>
      </c>
      <c r="C273" s="49">
        <f>IF($N273="","",INDEX(前年度名簿!$C$3:$C$452,$N273))</f>
        <v/>
      </c>
      <c r="D273" s="49" t="n"/>
      <c r="E273" s="49" t="n"/>
      <c r="F273" s="49" t="n"/>
      <c r="G273" s="4">
        <f>IF(A273="","",IFERROR(INDEX(前年度名簿!$D$3:$D$452,MATCH(A273&amp;"-"&amp;B273&amp;"-"&amp;C273,前年度名簿!$F$3:$F$452,0)),""))</f>
        <v/>
      </c>
      <c r="H273" s="50">
        <f>IF(D273="","",IF(ISERROR(VALUE(D273)),D273&amp;"",IF(AND(VALUE(D273)&gt;=1,VALUE(D273)&lt;=20),IF(INDEX(設定!$P$8:$P$27,VALUE(D273))="","？",INDEX(設定!$P$8:$P$27,VALUE(D273))),"？")))</f>
        <v/>
      </c>
      <c r="I273" s="50">
        <f>IF(E273="","",IF(ISERROR(VALUE(E273)),E273&amp;"",IF(AND(VALUE(E273)&gt;=1,VALUE(E273)&lt;=20),IF(INDEX(設定!$P$8:$P$27,VALUE(E273))="","？",INDEX(設定!$P$8:$P$27,VALUE(E273))),"？")))</f>
        <v/>
      </c>
      <c r="J273" s="50">
        <f>IF(F273="","",IF(ISERROR(VALUE(F273)),F273&amp;"",IF(AND(VALUE(F273)&gt;=1,VALUE(F273)&lt;=20),IF(INDEX(設定!$P$8:$P$27,VALUE(F273))="","？",INDEX(設定!$P$8:$P$27,VALUE(F273))),"？")))</f>
        <v/>
      </c>
      <c r="K273" s="51">
        <f>IF(L273="","",IF(G273="","名簿にいない",IF(COUNTIF(L274:L$555,L273)&gt;0,"2回提出（下の行を使います）",IF(H273="転出","転出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OR(AND(H273&lt;&gt;"",H273=I273),AND(H273&lt;&gt;"",H273=J273),AND(I273&lt;&gt;"",I273=J273)),"同じクラブを重複して希望","OK")))))))</f>
        <v/>
      </c>
      <c r="L273" s="11">
        <f>IF(OR(A273="",D273=""),"",A273&amp;"-"&amp;B273&amp;"-"&amp;C273)</f>
        <v/>
      </c>
      <c r="M273" s="11">
        <f>IF(OR(L273="",G273=""),"",IF(COUNTIF(L274:L$555,L273)=0,L273,""))</f>
        <v/>
      </c>
      <c r="N273" s="11">
        <f>IFERROR(MATCH(SMALL(前年度名簿!$G$3:$G$452,269),前年度名簿!$G$3:$G$452,0),"")</f>
        <v/>
      </c>
    </row>
    <row r="274">
      <c r="A274" s="49">
        <f>IF($N274="","",INDEX(前年度名簿!$A$3:$A$452,$N274))</f>
        <v/>
      </c>
      <c r="B274" s="49">
        <f>IF($N274="","",INDEX(前年度名簿!$B$3:$B$452,$N274))</f>
        <v/>
      </c>
      <c r="C274" s="49">
        <f>IF($N274="","",INDEX(前年度名簿!$C$3:$C$452,$N274))</f>
        <v/>
      </c>
      <c r="D274" s="49" t="n"/>
      <c r="E274" s="49" t="n"/>
      <c r="F274" s="49" t="n"/>
      <c r="G274" s="4">
        <f>IF(A274="","",IFERROR(INDEX(前年度名簿!$D$3:$D$452,MATCH(A274&amp;"-"&amp;B274&amp;"-"&amp;C274,前年度名簿!$F$3:$F$452,0)),""))</f>
        <v/>
      </c>
      <c r="H274" s="50">
        <f>IF(D274="","",IF(ISERROR(VALUE(D274)),D274&amp;"",IF(AND(VALUE(D274)&gt;=1,VALUE(D274)&lt;=20),IF(INDEX(設定!$P$8:$P$27,VALUE(D274))="","？",INDEX(設定!$P$8:$P$27,VALUE(D274))),"？")))</f>
        <v/>
      </c>
      <c r="I274" s="50">
        <f>IF(E274="","",IF(ISERROR(VALUE(E274)),E274&amp;"",IF(AND(VALUE(E274)&gt;=1,VALUE(E274)&lt;=20),IF(INDEX(設定!$P$8:$P$27,VALUE(E274))="","？",INDEX(設定!$P$8:$P$27,VALUE(E274))),"？")))</f>
        <v/>
      </c>
      <c r="J274" s="50">
        <f>IF(F274="","",IF(ISERROR(VALUE(F274)),F274&amp;"",IF(AND(VALUE(F274)&gt;=1,VALUE(F274)&lt;=20),IF(INDEX(設定!$P$8:$P$27,VALUE(F274))="","？",INDEX(設定!$P$8:$P$27,VALUE(F274))),"？")))</f>
        <v/>
      </c>
      <c r="K274" s="51">
        <f>IF(L274="","",IF(G274="","名簿にいない",IF(COUNTIF(L275:L$555,L274)&gt;0,"2回提出（下の行を使います）",IF(H274="転出","転出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OR(AND(H274&lt;&gt;"",H274=I274),AND(H274&lt;&gt;"",H274=J274),AND(I274&lt;&gt;"",I274=J274)),"同じクラブを重複して希望","OK")))))))</f>
        <v/>
      </c>
      <c r="L274" s="11">
        <f>IF(OR(A274="",D274=""),"",A274&amp;"-"&amp;B274&amp;"-"&amp;C274)</f>
        <v/>
      </c>
      <c r="M274" s="11">
        <f>IF(OR(L274="",G274=""),"",IF(COUNTIF(L275:L$555,L274)=0,L274,""))</f>
        <v/>
      </c>
      <c r="N274" s="11">
        <f>IFERROR(MATCH(SMALL(前年度名簿!$G$3:$G$452,270),前年度名簿!$G$3:$G$452,0),"")</f>
        <v/>
      </c>
    </row>
    <row r="275">
      <c r="A275" s="49">
        <f>IF($N275="","",INDEX(前年度名簿!$A$3:$A$452,$N275))</f>
        <v/>
      </c>
      <c r="B275" s="49">
        <f>IF($N275="","",INDEX(前年度名簿!$B$3:$B$452,$N275))</f>
        <v/>
      </c>
      <c r="C275" s="49">
        <f>IF($N275="","",INDEX(前年度名簿!$C$3:$C$452,$N275))</f>
        <v/>
      </c>
      <c r="D275" s="49" t="n"/>
      <c r="E275" s="49" t="n"/>
      <c r="F275" s="49" t="n"/>
      <c r="G275" s="4">
        <f>IF(A275="","",IFERROR(INDEX(前年度名簿!$D$3:$D$452,MATCH(A275&amp;"-"&amp;B275&amp;"-"&amp;C275,前年度名簿!$F$3:$F$452,0)),""))</f>
        <v/>
      </c>
      <c r="H275" s="50">
        <f>IF(D275="","",IF(ISERROR(VALUE(D275)),D275&amp;"",IF(AND(VALUE(D275)&gt;=1,VALUE(D275)&lt;=20),IF(INDEX(設定!$P$8:$P$27,VALUE(D275))="","？",INDEX(設定!$P$8:$P$27,VALUE(D275))),"？")))</f>
        <v/>
      </c>
      <c r="I275" s="50">
        <f>IF(E275="","",IF(ISERROR(VALUE(E275)),E275&amp;"",IF(AND(VALUE(E275)&gt;=1,VALUE(E275)&lt;=20),IF(INDEX(設定!$P$8:$P$27,VALUE(E275))="","？",INDEX(設定!$P$8:$P$27,VALUE(E275))),"？")))</f>
        <v/>
      </c>
      <c r="J275" s="50">
        <f>IF(F275="","",IF(ISERROR(VALUE(F275)),F275&amp;"",IF(AND(VALUE(F275)&gt;=1,VALUE(F275)&lt;=20),IF(INDEX(設定!$P$8:$P$27,VALUE(F275))="","？",INDEX(設定!$P$8:$P$27,VALUE(F275))),"？")))</f>
        <v/>
      </c>
      <c r="K275" s="51">
        <f>IF(L275="","",IF(G275="","名簿にいない",IF(COUNTIF(L276:L$555,L275)&gt;0,"2回提出（下の行を使います）",IF(H275="転出","転出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OR(AND(H275&lt;&gt;"",H275=I275),AND(H275&lt;&gt;"",H275=J275),AND(I275&lt;&gt;"",I275=J275)),"同じクラブを重複して希望","OK")))))))</f>
        <v/>
      </c>
      <c r="L275" s="11">
        <f>IF(OR(A275="",D275=""),"",A275&amp;"-"&amp;B275&amp;"-"&amp;C275)</f>
        <v/>
      </c>
      <c r="M275" s="11">
        <f>IF(OR(L275="",G275=""),"",IF(COUNTIF(L276:L$555,L275)=0,L275,""))</f>
        <v/>
      </c>
      <c r="N275" s="11">
        <f>IFERROR(MATCH(SMALL(前年度名簿!$G$3:$G$452,271),前年度名簿!$G$3:$G$452,0),"")</f>
        <v/>
      </c>
    </row>
    <row r="276">
      <c r="A276" s="49">
        <f>IF($N276="","",INDEX(前年度名簿!$A$3:$A$452,$N276))</f>
        <v/>
      </c>
      <c r="B276" s="49">
        <f>IF($N276="","",INDEX(前年度名簿!$B$3:$B$452,$N276))</f>
        <v/>
      </c>
      <c r="C276" s="49">
        <f>IF($N276="","",INDEX(前年度名簿!$C$3:$C$452,$N276))</f>
        <v/>
      </c>
      <c r="D276" s="49" t="n"/>
      <c r="E276" s="49" t="n"/>
      <c r="F276" s="49" t="n"/>
      <c r="G276" s="4">
        <f>IF(A276="","",IFERROR(INDEX(前年度名簿!$D$3:$D$452,MATCH(A276&amp;"-"&amp;B276&amp;"-"&amp;C276,前年度名簿!$F$3:$F$452,0)),""))</f>
        <v/>
      </c>
      <c r="H276" s="50">
        <f>IF(D276="","",IF(ISERROR(VALUE(D276)),D276&amp;"",IF(AND(VALUE(D276)&gt;=1,VALUE(D276)&lt;=20),IF(INDEX(設定!$P$8:$P$27,VALUE(D276))="","？",INDEX(設定!$P$8:$P$27,VALUE(D276))),"？")))</f>
        <v/>
      </c>
      <c r="I276" s="50">
        <f>IF(E276="","",IF(ISERROR(VALUE(E276)),E276&amp;"",IF(AND(VALUE(E276)&gt;=1,VALUE(E276)&lt;=20),IF(INDEX(設定!$P$8:$P$27,VALUE(E276))="","？",INDEX(設定!$P$8:$P$27,VALUE(E276))),"？")))</f>
        <v/>
      </c>
      <c r="J276" s="50">
        <f>IF(F276="","",IF(ISERROR(VALUE(F276)),F276&amp;"",IF(AND(VALUE(F276)&gt;=1,VALUE(F276)&lt;=20),IF(INDEX(設定!$P$8:$P$27,VALUE(F276))="","？",INDEX(設定!$P$8:$P$27,VALUE(F276))),"？")))</f>
        <v/>
      </c>
      <c r="K276" s="51">
        <f>IF(L276="","",IF(G276="","名簿にいない",IF(COUNTIF(L277:L$555,L276)&gt;0,"2回提出（下の行を使います）",IF(H276="転出","転出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OR(AND(H276&lt;&gt;"",H276=I276),AND(H276&lt;&gt;"",H276=J276),AND(I276&lt;&gt;"",I276=J276)),"同じクラブを重複して希望","OK")))))))</f>
        <v/>
      </c>
      <c r="L276" s="11">
        <f>IF(OR(A276="",D276=""),"",A276&amp;"-"&amp;B276&amp;"-"&amp;C276)</f>
        <v/>
      </c>
      <c r="M276" s="11">
        <f>IF(OR(L276="",G276=""),"",IF(COUNTIF(L277:L$555,L276)=0,L276,""))</f>
        <v/>
      </c>
      <c r="N276" s="11">
        <f>IFERROR(MATCH(SMALL(前年度名簿!$G$3:$G$452,272),前年度名簿!$G$3:$G$452,0),"")</f>
        <v/>
      </c>
    </row>
    <row r="277">
      <c r="A277" s="49">
        <f>IF($N277="","",INDEX(前年度名簿!$A$3:$A$452,$N277))</f>
        <v/>
      </c>
      <c r="B277" s="49">
        <f>IF($N277="","",INDEX(前年度名簿!$B$3:$B$452,$N277))</f>
        <v/>
      </c>
      <c r="C277" s="49">
        <f>IF($N277="","",INDEX(前年度名簿!$C$3:$C$452,$N277))</f>
        <v/>
      </c>
      <c r="D277" s="49" t="n"/>
      <c r="E277" s="49" t="n"/>
      <c r="F277" s="49" t="n"/>
      <c r="G277" s="4">
        <f>IF(A277="","",IFERROR(INDEX(前年度名簿!$D$3:$D$452,MATCH(A277&amp;"-"&amp;B277&amp;"-"&amp;C277,前年度名簿!$F$3:$F$452,0)),""))</f>
        <v/>
      </c>
      <c r="H277" s="50">
        <f>IF(D277="","",IF(ISERROR(VALUE(D277)),D277&amp;"",IF(AND(VALUE(D277)&gt;=1,VALUE(D277)&lt;=20),IF(INDEX(設定!$P$8:$P$27,VALUE(D277))="","？",INDEX(設定!$P$8:$P$27,VALUE(D277))),"？")))</f>
        <v/>
      </c>
      <c r="I277" s="50">
        <f>IF(E277="","",IF(ISERROR(VALUE(E277)),E277&amp;"",IF(AND(VALUE(E277)&gt;=1,VALUE(E277)&lt;=20),IF(INDEX(設定!$P$8:$P$27,VALUE(E277))="","？",INDEX(設定!$P$8:$P$27,VALUE(E277))),"？")))</f>
        <v/>
      </c>
      <c r="J277" s="50">
        <f>IF(F277="","",IF(ISERROR(VALUE(F277)),F277&amp;"",IF(AND(VALUE(F277)&gt;=1,VALUE(F277)&lt;=20),IF(INDEX(設定!$P$8:$P$27,VALUE(F277))="","？",INDEX(設定!$P$8:$P$27,VALUE(F277))),"？")))</f>
        <v/>
      </c>
      <c r="K277" s="51">
        <f>IF(L277="","",IF(G277="","名簿にいない",IF(COUNTIF(L278:L$555,L277)&gt;0,"2回提出（下の行を使います）",IF(H277="転出","転出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OR(AND(H277&lt;&gt;"",H277=I277),AND(H277&lt;&gt;"",H277=J277),AND(I277&lt;&gt;"",I277=J277)),"同じクラブを重複して希望","OK")))))))</f>
        <v/>
      </c>
      <c r="L277" s="11">
        <f>IF(OR(A277="",D277=""),"",A277&amp;"-"&amp;B277&amp;"-"&amp;C277)</f>
        <v/>
      </c>
      <c r="M277" s="11">
        <f>IF(OR(L277="",G277=""),"",IF(COUNTIF(L278:L$555,L277)=0,L277,""))</f>
        <v/>
      </c>
      <c r="N277" s="11">
        <f>IFERROR(MATCH(SMALL(前年度名簿!$G$3:$G$452,273),前年度名簿!$G$3:$G$452,0),"")</f>
        <v/>
      </c>
    </row>
    <row r="278">
      <c r="A278" s="49">
        <f>IF($N278="","",INDEX(前年度名簿!$A$3:$A$452,$N278))</f>
        <v/>
      </c>
      <c r="B278" s="49">
        <f>IF($N278="","",INDEX(前年度名簿!$B$3:$B$452,$N278))</f>
        <v/>
      </c>
      <c r="C278" s="49">
        <f>IF($N278="","",INDEX(前年度名簿!$C$3:$C$452,$N278))</f>
        <v/>
      </c>
      <c r="D278" s="49" t="n"/>
      <c r="E278" s="49" t="n"/>
      <c r="F278" s="49" t="n"/>
      <c r="G278" s="4">
        <f>IF(A278="","",IFERROR(INDEX(前年度名簿!$D$3:$D$452,MATCH(A278&amp;"-"&amp;B278&amp;"-"&amp;C278,前年度名簿!$F$3:$F$452,0)),""))</f>
        <v/>
      </c>
      <c r="H278" s="50">
        <f>IF(D278="","",IF(ISERROR(VALUE(D278)),D278&amp;"",IF(AND(VALUE(D278)&gt;=1,VALUE(D278)&lt;=20),IF(INDEX(設定!$P$8:$P$27,VALUE(D278))="","？",INDEX(設定!$P$8:$P$27,VALUE(D278))),"？")))</f>
        <v/>
      </c>
      <c r="I278" s="50">
        <f>IF(E278="","",IF(ISERROR(VALUE(E278)),E278&amp;"",IF(AND(VALUE(E278)&gt;=1,VALUE(E278)&lt;=20),IF(INDEX(設定!$P$8:$P$27,VALUE(E278))="","？",INDEX(設定!$P$8:$P$27,VALUE(E278))),"？")))</f>
        <v/>
      </c>
      <c r="J278" s="50">
        <f>IF(F278="","",IF(ISERROR(VALUE(F278)),F278&amp;"",IF(AND(VALUE(F278)&gt;=1,VALUE(F278)&lt;=20),IF(INDEX(設定!$P$8:$P$27,VALUE(F278))="","？",INDEX(設定!$P$8:$P$27,VALUE(F278))),"？")))</f>
        <v/>
      </c>
      <c r="K278" s="51">
        <f>IF(L278="","",IF(G278="","名簿にいない",IF(COUNTIF(L279:L$555,L278)&gt;0,"2回提出（下の行を使います）",IF(H278="転出","転出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OR(AND(H278&lt;&gt;"",H278=I278),AND(H278&lt;&gt;"",H278=J278),AND(I278&lt;&gt;"",I278=J278)),"同じクラブを重複して希望","OK")))))))</f>
        <v/>
      </c>
      <c r="L278" s="11">
        <f>IF(OR(A278="",D278=""),"",A278&amp;"-"&amp;B278&amp;"-"&amp;C278)</f>
        <v/>
      </c>
      <c r="M278" s="11">
        <f>IF(OR(L278="",G278=""),"",IF(COUNTIF(L279:L$555,L278)=0,L278,""))</f>
        <v/>
      </c>
      <c r="N278" s="11">
        <f>IFERROR(MATCH(SMALL(前年度名簿!$G$3:$G$452,274),前年度名簿!$G$3:$G$452,0),"")</f>
        <v/>
      </c>
    </row>
    <row r="279">
      <c r="A279" s="49">
        <f>IF($N279="","",INDEX(前年度名簿!$A$3:$A$452,$N279))</f>
        <v/>
      </c>
      <c r="B279" s="49">
        <f>IF($N279="","",INDEX(前年度名簿!$B$3:$B$452,$N279))</f>
        <v/>
      </c>
      <c r="C279" s="49">
        <f>IF($N279="","",INDEX(前年度名簿!$C$3:$C$452,$N279))</f>
        <v/>
      </c>
      <c r="D279" s="49" t="n"/>
      <c r="E279" s="49" t="n"/>
      <c r="F279" s="49" t="n"/>
      <c r="G279" s="4">
        <f>IF(A279="","",IFERROR(INDEX(前年度名簿!$D$3:$D$452,MATCH(A279&amp;"-"&amp;B279&amp;"-"&amp;C279,前年度名簿!$F$3:$F$452,0)),""))</f>
        <v/>
      </c>
      <c r="H279" s="50">
        <f>IF(D279="","",IF(ISERROR(VALUE(D279)),D279&amp;"",IF(AND(VALUE(D279)&gt;=1,VALUE(D279)&lt;=20),IF(INDEX(設定!$P$8:$P$27,VALUE(D279))="","？",INDEX(設定!$P$8:$P$27,VALUE(D279))),"？")))</f>
        <v/>
      </c>
      <c r="I279" s="50">
        <f>IF(E279="","",IF(ISERROR(VALUE(E279)),E279&amp;"",IF(AND(VALUE(E279)&gt;=1,VALUE(E279)&lt;=20),IF(INDEX(設定!$P$8:$P$27,VALUE(E279))="","？",INDEX(設定!$P$8:$P$27,VALUE(E279))),"？")))</f>
        <v/>
      </c>
      <c r="J279" s="50">
        <f>IF(F279="","",IF(ISERROR(VALUE(F279)),F279&amp;"",IF(AND(VALUE(F279)&gt;=1,VALUE(F279)&lt;=20),IF(INDEX(設定!$P$8:$P$27,VALUE(F279))="","？",INDEX(設定!$P$8:$P$27,VALUE(F279))),"？")))</f>
        <v/>
      </c>
      <c r="K279" s="51">
        <f>IF(L279="","",IF(G279="","名簿にいない",IF(COUNTIF(L280:L$555,L279)&gt;0,"2回提出（下の行を使います）",IF(H279="転出","転出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OR(AND(H279&lt;&gt;"",H279=I279),AND(H279&lt;&gt;"",H279=J279),AND(I279&lt;&gt;"",I279=J279)),"同じクラブを重複して希望","OK")))))))</f>
        <v/>
      </c>
      <c r="L279" s="11">
        <f>IF(OR(A279="",D279=""),"",A279&amp;"-"&amp;B279&amp;"-"&amp;C279)</f>
        <v/>
      </c>
      <c r="M279" s="11">
        <f>IF(OR(L279="",G279=""),"",IF(COUNTIF(L280:L$555,L279)=0,L279,""))</f>
        <v/>
      </c>
      <c r="N279" s="11">
        <f>IFERROR(MATCH(SMALL(前年度名簿!$G$3:$G$452,275),前年度名簿!$G$3:$G$452,0),"")</f>
        <v/>
      </c>
    </row>
    <row r="280">
      <c r="A280" s="49">
        <f>IF($N280="","",INDEX(前年度名簿!$A$3:$A$452,$N280))</f>
        <v/>
      </c>
      <c r="B280" s="49">
        <f>IF($N280="","",INDEX(前年度名簿!$B$3:$B$452,$N280))</f>
        <v/>
      </c>
      <c r="C280" s="49">
        <f>IF($N280="","",INDEX(前年度名簿!$C$3:$C$452,$N280))</f>
        <v/>
      </c>
      <c r="D280" s="49" t="n"/>
      <c r="E280" s="49" t="n"/>
      <c r="F280" s="49" t="n"/>
      <c r="G280" s="4">
        <f>IF(A280="","",IFERROR(INDEX(前年度名簿!$D$3:$D$452,MATCH(A280&amp;"-"&amp;B280&amp;"-"&amp;C280,前年度名簿!$F$3:$F$452,0)),""))</f>
        <v/>
      </c>
      <c r="H280" s="50">
        <f>IF(D280="","",IF(ISERROR(VALUE(D280)),D280&amp;"",IF(AND(VALUE(D280)&gt;=1,VALUE(D280)&lt;=20),IF(INDEX(設定!$P$8:$P$27,VALUE(D280))="","？",INDEX(設定!$P$8:$P$27,VALUE(D280))),"？")))</f>
        <v/>
      </c>
      <c r="I280" s="50">
        <f>IF(E280="","",IF(ISERROR(VALUE(E280)),E280&amp;"",IF(AND(VALUE(E280)&gt;=1,VALUE(E280)&lt;=20),IF(INDEX(設定!$P$8:$P$27,VALUE(E280))="","？",INDEX(設定!$P$8:$P$27,VALUE(E280))),"？")))</f>
        <v/>
      </c>
      <c r="J280" s="50">
        <f>IF(F280="","",IF(ISERROR(VALUE(F280)),F280&amp;"",IF(AND(VALUE(F280)&gt;=1,VALUE(F280)&lt;=20),IF(INDEX(設定!$P$8:$P$27,VALUE(F280))="","？",INDEX(設定!$P$8:$P$27,VALUE(F280))),"？")))</f>
        <v/>
      </c>
      <c r="K280" s="51">
        <f>IF(L280="","",IF(G280="","名簿にいない",IF(COUNTIF(L281:L$555,L280)&gt;0,"2回提出（下の行を使います）",IF(H280="転出","転出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OR(AND(H280&lt;&gt;"",H280=I280),AND(H280&lt;&gt;"",H280=J280),AND(I280&lt;&gt;"",I280=J280)),"同じクラブを重複して希望","OK")))))))</f>
        <v/>
      </c>
      <c r="L280" s="11">
        <f>IF(OR(A280="",D280=""),"",A280&amp;"-"&amp;B280&amp;"-"&amp;C280)</f>
        <v/>
      </c>
      <c r="M280" s="11">
        <f>IF(OR(L280="",G280=""),"",IF(COUNTIF(L281:L$555,L280)=0,L280,""))</f>
        <v/>
      </c>
      <c r="N280" s="11">
        <f>IFERROR(MATCH(SMALL(前年度名簿!$G$3:$G$452,276),前年度名簿!$G$3:$G$452,0),"")</f>
        <v/>
      </c>
    </row>
    <row r="281">
      <c r="A281" s="49">
        <f>IF($N281="","",INDEX(前年度名簿!$A$3:$A$452,$N281))</f>
        <v/>
      </c>
      <c r="B281" s="49">
        <f>IF($N281="","",INDEX(前年度名簿!$B$3:$B$452,$N281))</f>
        <v/>
      </c>
      <c r="C281" s="49">
        <f>IF($N281="","",INDEX(前年度名簿!$C$3:$C$452,$N281))</f>
        <v/>
      </c>
      <c r="D281" s="49" t="n"/>
      <c r="E281" s="49" t="n"/>
      <c r="F281" s="49" t="n"/>
      <c r="G281" s="4">
        <f>IF(A281="","",IFERROR(INDEX(前年度名簿!$D$3:$D$452,MATCH(A281&amp;"-"&amp;B281&amp;"-"&amp;C281,前年度名簿!$F$3:$F$452,0)),""))</f>
        <v/>
      </c>
      <c r="H281" s="50">
        <f>IF(D281="","",IF(ISERROR(VALUE(D281)),D281&amp;"",IF(AND(VALUE(D281)&gt;=1,VALUE(D281)&lt;=20),IF(INDEX(設定!$P$8:$P$27,VALUE(D281))="","？",INDEX(設定!$P$8:$P$27,VALUE(D281))),"？")))</f>
        <v/>
      </c>
      <c r="I281" s="50">
        <f>IF(E281="","",IF(ISERROR(VALUE(E281)),E281&amp;"",IF(AND(VALUE(E281)&gt;=1,VALUE(E281)&lt;=20),IF(INDEX(設定!$P$8:$P$27,VALUE(E281))="","？",INDEX(設定!$P$8:$P$27,VALUE(E281))),"？")))</f>
        <v/>
      </c>
      <c r="J281" s="50">
        <f>IF(F281="","",IF(ISERROR(VALUE(F281)),F281&amp;"",IF(AND(VALUE(F281)&gt;=1,VALUE(F281)&lt;=20),IF(INDEX(設定!$P$8:$P$27,VALUE(F281))="","？",INDEX(設定!$P$8:$P$27,VALUE(F281))),"？")))</f>
        <v/>
      </c>
      <c r="K281" s="51">
        <f>IF(L281="","",IF(G281="","名簿にいない",IF(COUNTIF(L282:L$555,L281)&gt;0,"2回提出（下の行を使います）",IF(H281="転出","転出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OR(AND(H281&lt;&gt;"",H281=I281),AND(H281&lt;&gt;"",H281=J281),AND(I281&lt;&gt;"",I281=J281)),"同じクラブを重複して希望","OK")))))))</f>
        <v/>
      </c>
      <c r="L281" s="11">
        <f>IF(OR(A281="",D281=""),"",A281&amp;"-"&amp;B281&amp;"-"&amp;C281)</f>
        <v/>
      </c>
      <c r="M281" s="11">
        <f>IF(OR(L281="",G281=""),"",IF(COUNTIF(L282:L$555,L281)=0,L281,""))</f>
        <v/>
      </c>
      <c r="N281" s="11">
        <f>IFERROR(MATCH(SMALL(前年度名簿!$G$3:$G$452,277),前年度名簿!$G$3:$G$452,0),"")</f>
        <v/>
      </c>
    </row>
    <row r="282">
      <c r="A282" s="49">
        <f>IF($N282="","",INDEX(前年度名簿!$A$3:$A$452,$N282))</f>
        <v/>
      </c>
      <c r="B282" s="49">
        <f>IF($N282="","",INDEX(前年度名簿!$B$3:$B$452,$N282))</f>
        <v/>
      </c>
      <c r="C282" s="49">
        <f>IF($N282="","",INDEX(前年度名簿!$C$3:$C$452,$N282))</f>
        <v/>
      </c>
      <c r="D282" s="49" t="n"/>
      <c r="E282" s="49" t="n"/>
      <c r="F282" s="49" t="n"/>
      <c r="G282" s="4">
        <f>IF(A282="","",IFERROR(INDEX(前年度名簿!$D$3:$D$452,MATCH(A282&amp;"-"&amp;B282&amp;"-"&amp;C282,前年度名簿!$F$3:$F$452,0)),""))</f>
        <v/>
      </c>
      <c r="H282" s="50">
        <f>IF(D282="","",IF(ISERROR(VALUE(D282)),D282&amp;"",IF(AND(VALUE(D282)&gt;=1,VALUE(D282)&lt;=20),IF(INDEX(設定!$P$8:$P$27,VALUE(D282))="","？",INDEX(設定!$P$8:$P$27,VALUE(D282))),"？")))</f>
        <v/>
      </c>
      <c r="I282" s="50">
        <f>IF(E282="","",IF(ISERROR(VALUE(E282)),E282&amp;"",IF(AND(VALUE(E282)&gt;=1,VALUE(E282)&lt;=20),IF(INDEX(設定!$P$8:$P$27,VALUE(E282))="","？",INDEX(設定!$P$8:$P$27,VALUE(E282))),"？")))</f>
        <v/>
      </c>
      <c r="J282" s="50">
        <f>IF(F282="","",IF(ISERROR(VALUE(F282)),F282&amp;"",IF(AND(VALUE(F282)&gt;=1,VALUE(F282)&lt;=20),IF(INDEX(設定!$P$8:$P$27,VALUE(F282))="","？",INDEX(設定!$P$8:$P$27,VALUE(F282))),"？")))</f>
        <v/>
      </c>
      <c r="K282" s="51">
        <f>IF(L282="","",IF(G282="","名簿にいない",IF(COUNTIF(L283:L$555,L282)&gt;0,"2回提出（下の行を使います）",IF(H282="転出","転出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OR(AND(H282&lt;&gt;"",H282=I282),AND(H282&lt;&gt;"",H282=J282),AND(I282&lt;&gt;"",I282=J282)),"同じクラブを重複して希望","OK")))))))</f>
        <v/>
      </c>
      <c r="L282" s="11">
        <f>IF(OR(A282="",D282=""),"",A282&amp;"-"&amp;B282&amp;"-"&amp;C282)</f>
        <v/>
      </c>
      <c r="M282" s="11">
        <f>IF(OR(L282="",G282=""),"",IF(COUNTIF(L283:L$555,L282)=0,L282,""))</f>
        <v/>
      </c>
      <c r="N282" s="11">
        <f>IFERROR(MATCH(SMALL(前年度名簿!$G$3:$G$452,278),前年度名簿!$G$3:$G$452,0),"")</f>
        <v/>
      </c>
    </row>
    <row r="283">
      <c r="A283" s="49">
        <f>IF($N283="","",INDEX(前年度名簿!$A$3:$A$452,$N283))</f>
        <v/>
      </c>
      <c r="B283" s="49">
        <f>IF($N283="","",INDEX(前年度名簿!$B$3:$B$452,$N283))</f>
        <v/>
      </c>
      <c r="C283" s="49">
        <f>IF($N283="","",INDEX(前年度名簿!$C$3:$C$452,$N283))</f>
        <v/>
      </c>
      <c r="D283" s="49" t="n"/>
      <c r="E283" s="49" t="n"/>
      <c r="F283" s="49" t="n"/>
      <c r="G283" s="4">
        <f>IF(A283="","",IFERROR(INDEX(前年度名簿!$D$3:$D$452,MATCH(A283&amp;"-"&amp;B283&amp;"-"&amp;C283,前年度名簿!$F$3:$F$452,0)),""))</f>
        <v/>
      </c>
      <c r="H283" s="50">
        <f>IF(D283="","",IF(ISERROR(VALUE(D283)),D283&amp;"",IF(AND(VALUE(D283)&gt;=1,VALUE(D283)&lt;=20),IF(INDEX(設定!$P$8:$P$27,VALUE(D283))="","？",INDEX(設定!$P$8:$P$27,VALUE(D283))),"？")))</f>
        <v/>
      </c>
      <c r="I283" s="50">
        <f>IF(E283="","",IF(ISERROR(VALUE(E283)),E283&amp;"",IF(AND(VALUE(E283)&gt;=1,VALUE(E283)&lt;=20),IF(INDEX(設定!$P$8:$P$27,VALUE(E283))="","？",INDEX(設定!$P$8:$P$27,VALUE(E283))),"？")))</f>
        <v/>
      </c>
      <c r="J283" s="50">
        <f>IF(F283="","",IF(ISERROR(VALUE(F283)),F283&amp;"",IF(AND(VALUE(F283)&gt;=1,VALUE(F283)&lt;=20),IF(INDEX(設定!$P$8:$P$27,VALUE(F283))="","？",INDEX(設定!$P$8:$P$27,VALUE(F283))),"？")))</f>
        <v/>
      </c>
      <c r="K283" s="51">
        <f>IF(L283="","",IF(G283="","名簿にいない",IF(COUNTIF(L284:L$555,L283)&gt;0,"2回提出（下の行を使います）",IF(H283="転出","転出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OR(AND(H283&lt;&gt;"",H283=I283),AND(H283&lt;&gt;"",H283=J283),AND(I283&lt;&gt;"",I283=J283)),"同じクラブを重複して希望","OK")))))))</f>
        <v/>
      </c>
      <c r="L283" s="11">
        <f>IF(OR(A283="",D283=""),"",A283&amp;"-"&amp;B283&amp;"-"&amp;C283)</f>
        <v/>
      </c>
      <c r="M283" s="11">
        <f>IF(OR(L283="",G283=""),"",IF(COUNTIF(L284:L$555,L283)=0,L283,""))</f>
        <v/>
      </c>
      <c r="N283" s="11">
        <f>IFERROR(MATCH(SMALL(前年度名簿!$G$3:$G$452,279),前年度名簿!$G$3:$G$452,0),"")</f>
        <v/>
      </c>
    </row>
    <row r="284">
      <c r="A284" s="49">
        <f>IF($N284="","",INDEX(前年度名簿!$A$3:$A$452,$N284))</f>
        <v/>
      </c>
      <c r="B284" s="49">
        <f>IF($N284="","",INDEX(前年度名簿!$B$3:$B$452,$N284))</f>
        <v/>
      </c>
      <c r="C284" s="49">
        <f>IF($N284="","",INDEX(前年度名簿!$C$3:$C$452,$N284))</f>
        <v/>
      </c>
      <c r="D284" s="49" t="n"/>
      <c r="E284" s="49" t="n"/>
      <c r="F284" s="49" t="n"/>
      <c r="G284" s="4">
        <f>IF(A284="","",IFERROR(INDEX(前年度名簿!$D$3:$D$452,MATCH(A284&amp;"-"&amp;B284&amp;"-"&amp;C284,前年度名簿!$F$3:$F$452,0)),""))</f>
        <v/>
      </c>
      <c r="H284" s="50">
        <f>IF(D284="","",IF(ISERROR(VALUE(D284)),D284&amp;"",IF(AND(VALUE(D284)&gt;=1,VALUE(D284)&lt;=20),IF(INDEX(設定!$P$8:$P$27,VALUE(D284))="","？",INDEX(設定!$P$8:$P$27,VALUE(D284))),"？")))</f>
        <v/>
      </c>
      <c r="I284" s="50">
        <f>IF(E284="","",IF(ISERROR(VALUE(E284)),E284&amp;"",IF(AND(VALUE(E284)&gt;=1,VALUE(E284)&lt;=20),IF(INDEX(設定!$P$8:$P$27,VALUE(E284))="","？",INDEX(設定!$P$8:$P$27,VALUE(E284))),"？")))</f>
        <v/>
      </c>
      <c r="J284" s="50">
        <f>IF(F284="","",IF(ISERROR(VALUE(F284)),F284&amp;"",IF(AND(VALUE(F284)&gt;=1,VALUE(F284)&lt;=20),IF(INDEX(設定!$P$8:$P$27,VALUE(F284))="","？",INDEX(設定!$P$8:$P$27,VALUE(F284))),"？")))</f>
        <v/>
      </c>
      <c r="K284" s="51">
        <f>IF(L284="","",IF(G284="","名簿にいない",IF(COUNTIF(L285:L$555,L284)&gt;0,"2回提出（下の行を使います）",IF(H284="転出","転出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OR(AND(H284&lt;&gt;"",H284=I284),AND(H284&lt;&gt;"",H284=J284),AND(I284&lt;&gt;"",I284=J284)),"同じクラブを重複して希望","OK")))))))</f>
        <v/>
      </c>
      <c r="L284" s="11">
        <f>IF(OR(A284="",D284=""),"",A284&amp;"-"&amp;B284&amp;"-"&amp;C284)</f>
        <v/>
      </c>
      <c r="M284" s="11">
        <f>IF(OR(L284="",G284=""),"",IF(COUNTIF(L285:L$555,L284)=0,L284,""))</f>
        <v/>
      </c>
      <c r="N284" s="11">
        <f>IFERROR(MATCH(SMALL(前年度名簿!$G$3:$G$452,280),前年度名簿!$G$3:$G$452,0),"")</f>
        <v/>
      </c>
    </row>
    <row r="285">
      <c r="A285" s="49">
        <f>IF($N285="","",INDEX(前年度名簿!$A$3:$A$452,$N285))</f>
        <v/>
      </c>
      <c r="B285" s="49">
        <f>IF($N285="","",INDEX(前年度名簿!$B$3:$B$452,$N285))</f>
        <v/>
      </c>
      <c r="C285" s="49">
        <f>IF($N285="","",INDEX(前年度名簿!$C$3:$C$452,$N285))</f>
        <v/>
      </c>
      <c r="D285" s="49" t="n"/>
      <c r="E285" s="49" t="n"/>
      <c r="F285" s="49" t="n"/>
      <c r="G285" s="4">
        <f>IF(A285="","",IFERROR(INDEX(前年度名簿!$D$3:$D$452,MATCH(A285&amp;"-"&amp;B285&amp;"-"&amp;C285,前年度名簿!$F$3:$F$452,0)),""))</f>
        <v/>
      </c>
      <c r="H285" s="50">
        <f>IF(D285="","",IF(ISERROR(VALUE(D285)),D285&amp;"",IF(AND(VALUE(D285)&gt;=1,VALUE(D285)&lt;=20),IF(INDEX(設定!$P$8:$P$27,VALUE(D285))="","？",INDEX(設定!$P$8:$P$27,VALUE(D285))),"？")))</f>
        <v/>
      </c>
      <c r="I285" s="50">
        <f>IF(E285="","",IF(ISERROR(VALUE(E285)),E285&amp;"",IF(AND(VALUE(E285)&gt;=1,VALUE(E285)&lt;=20),IF(INDEX(設定!$P$8:$P$27,VALUE(E285))="","？",INDEX(設定!$P$8:$P$27,VALUE(E285))),"？")))</f>
        <v/>
      </c>
      <c r="J285" s="50">
        <f>IF(F285="","",IF(ISERROR(VALUE(F285)),F285&amp;"",IF(AND(VALUE(F285)&gt;=1,VALUE(F285)&lt;=20),IF(INDEX(設定!$P$8:$P$27,VALUE(F285))="","？",INDEX(設定!$P$8:$P$27,VALUE(F285))),"？")))</f>
        <v/>
      </c>
      <c r="K285" s="51">
        <f>IF(L285="","",IF(G285="","名簿にいない",IF(COUNTIF(L286:L$555,L285)&gt;0,"2回提出（下の行を使います）",IF(H285="転出","転出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OR(AND(H285&lt;&gt;"",H285=I285),AND(H285&lt;&gt;"",H285=J285),AND(I285&lt;&gt;"",I285=J285)),"同じクラブを重複して希望","OK")))))))</f>
        <v/>
      </c>
      <c r="L285" s="11">
        <f>IF(OR(A285="",D285=""),"",A285&amp;"-"&amp;B285&amp;"-"&amp;C285)</f>
        <v/>
      </c>
      <c r="M285" s="11">
        <f>IF(OR(L285="",G285=""),"",IF(COUNTIF(L286:L$555,L285)=0,L285,""))</f>
        <v/>
      </c>
      <c r="N285" s="11">
        <f>IFERROR(MATCH(SMALL(前年度名簿!$G$3:$G$452,281),前年度名簿!$G$3:$G$452,0),"")</f>
        <v/>
      </c>
    </row>
    <row r="286">
      <c r="A286" s="49">
        <f>IF($N286="","",INDEX(前年度名簿!$A$3:$A$452,$N286))</f>
        <v/>
      </c>
      <c r="B286" s="49">
        <f>IF($N286="","",INDEX(前年度名簿!$B$3:$B$452,$N286))</f>
        <v/>
      </c>
      <c r="C286" s="49">
        <f>IF($N286="","",INDEX(前年度名簿!$C$3:$C$452,$N286))</f>
        <v/>
      </c>
      <c r="D286" s="49" t="n"/>
      <c r="E286" s="49" t="n"/>
      <c r="F286" s="49" t="n"/>
      <c r="G286" s="4">
        <f>IF(A286="","",IFERROR(INDEX(前年度名簿!$D$3:$D$452,MATCH(A286&amp;"-"&amp;B286&amp;"-"&amp;C286,前年度名簿!$F$3:$F$452,0)),""))</f>
        <v/>
      </c>
      <c r="H286" s="50">
        <f>IF(D286="","",IF(ISERROR(VALUE(D286)),D286&amp;"",IF(AND(VALUE(D286)&gt;=1,VALUE(D286)&lt;=20),IF(INDEX(設定!$P$8:$P$27,VALUE(D286))="","？",INDEX(設定!$P$8:$P$27,VALUE(D286))),"？")))</f>
        <v/>
      </c>
      <c r="I286" s="50">
        <f>IF(E286="","",IF(ISERROR(VALUE(E286)),E286&amp;"",IF(AND(VALUE(E286)&gt;=1,VALUE(E286)&lt;=20),IF(INDEX(設定!$P$8:$P$27,VALUE(E286))="","？",INDEX(設定!$P$8:$P$27,VALUE(E286))),"？")))</f>
        <v/>
      </c>
      <c r="J286" s="50">
        <f>IF(F286="","",IF(ISERROR(VALUE(F286)),F286&amp;"",IF(AND(VALUE(F286)&gt;=1,VALUE(F286)&lt;=20),IF(INDEX(設定!$P$8:$P$27,VALUE(F286))="","？",INDEX(設定!$P$8:$P$27,VALUE(F286))),"？")))</f>
        <v/>
      </c>
      <c r="K286" s="51">
        <f>IF(L286="","",IF(G286="","名簿にいない",IF(COUNTIF(L287:L$555,L286)&gt;0,"2回提出（下の行を使います）",IF(H286="転出","転出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OR(AND(H286&lt;&gt;"",H286=I286),AND(H286&lt;&gt;"",H286=J286),AND(I286&lt;&gt;"",I286=J286)),"同じクラブを重複して希望","OK")))))))</f>
        <v/>
      </c>
      <c r="L286" s="11">
        <f>IF(OR(A286="",D286=""),"",A286&amp;"-"&amp;B286&amp;"-"&amp;C286)</f>
        <v/>
      </c>
      <c r="M286" s="11">
        <f>IF(OR(L286="",G286=""),"",IF(COUNTIF(L287:L$555,L286)=0,L286,""))</f>
        <v/>
      </c>
      <c r="N286" s="11">
        <f>IFERROR(MATCH(SMALL(前年度名簿!$G$3:$G$452,282),前年度名簿!$G$3:$G$452,0),"")</f>
        <v/>
      </c>
    </row>
    <row r="287">
      <c r="A287" s="49">
        <f>IF($N287="","",INDEX(前年度名簿!$A$3:$A$452,$N287))</f>
        <v/>
      </c>
      <c r="B287" s="49">
        <f>IF($N287="","",INDEX(前年度名簿!$B$3:$B$452,$N287))</f>
        <v/>
      </c>
      <c r="C287" s="49">
        <f>IF($N287="","",INDEX(前年度名簿!$C$3:$C$452,$N287))</f>
        <v/>
      </c>
      <c r="D287" s="49" t="n"/>
      <c r="E287" s="49" t="n"/>
      <c r="F287" s="49" t="n"/>
      <c r="G287" s="4">
        <f>IF(A287="","",IFERROR(INDEX(前年度名簿!$D$3:$D$452,MATCH(A287&amp;"-"&amp;B287&amp;"-"&amp;C287,前年度名簿!$F$3:$F$452,0)),""))</f>
        <v/>
      </c>
      <c r="H287" s="50">
        <f>IF(D287="","",IF(ISERROR(VALUE(D287)),D287&amp;"",IF(AND(VALUE(D287)&gt;=1,VALUE(D287)&lt;=20),IF(INDEX(設定!$P$8:$P$27,VALUE(D287))="","？",INDEX(設定!$P$8:$P$27,VALUE(D287))),"？")))</f>
        <v/>
      </c>
      <c r="I287" s="50">
        <f>IF(E287="","",IF(ISERROR(VALUE(E287)),E287&amp;"",IF(AND(VALUE(E287)&gt;=1,VALUE(E287)&lt;=20),IF(INDEX(設定!$P$8:$P$27,VALUE(E287))="","？",INDEX(設定!$P$8:$P$27,VALUE(E287))),"？")))</f>
        <v/>
      </c>
      <c r="J287" s="50">
        <f>IF(F287="","",IF(ISERROR(VALUE(F287)),F287&amp;"",IF(AND(VALUE(F287)&gt;=1,VALUE(F287)&lt;=20),IF(INDEX(設定!$P$8:$P$27,VALUE(F287))="","？",INDEX(設定!$P$8:$P$27,VALUE(F287))),"？")))</f>
        <v/>
      </c>
      <c r="K287" s="51">
        <f>IF(L287="","",IF(G287="","名簿にいない",IF(COUNTIF(L288:L$555,L287)&gt;0,"2回提出（下の行を使います）",IF(H287="転出","転出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OR(AND(H287&lt;&gt;"",H287=I287),AND(H287&lt;&gt;"",H287=J287),AND(I287&lt;&gt;"",I287=J287)),"同じクラブを重複して希望","OK")))))))</f>
        <v/>
      </c>
      <c r="L287" s="11">
        <f>IF(OR(A287="",D287=""),"",A287&amp;"-"&amp;B287&amp;"-"&amp;C287)</f>
        <v/>
      </c>
      <c r="M287" s="11">
        <f>IF(OR(L287="",G287=""),"",IF(COUNTIF(L288:L$555,L287)=0,L287,""))</f>
        <v/>
      </c>
      <c r="N287" s="11">
        <f>IFERROR(MATCH(SMALL(前年度名簿!$G$3:$G$452,283),前年度名簿!$G$3:$G$452,0),"")</f>
        <v/>
      </c>
    </row>
    <row r="288">
      <c r="A288" s="49">
        <f>IF($N288="","",INDEX(前年度名簿!$A$3:$A$452,$N288))</f>
        <v/>
      </c>
      <c r="B288" s="49">
        <f>IF($N288="","",INDEX(前年度名簿!$B$3:$B$452,$N288))</f>
        <v/>
      </c>
      <c r="C288" s="49">
        <f>IF($N288="","",INDEX(前年度名簿!$C$3:$C$452,$N288))</f>
        <v/>
      </c>
      <c r="D288" s="49" t="n"/>
      <c r="E288" s="49" t="n"/>
      <c r="F288" s="49" t="n"/>
      <c r="G288" s="4">
        <f>IF(A288="","",IFERROR(INDEX(前年度名簿!$D$3:$D$452,MATCH(A288&amp;"-"&amp;B288&amp;"-"&amp;C288,前年度名簿!$F$3:$F$452,0)),""))</f>
        <v/>
      </c>
      <c r="H288" s="50">
        <f>IF(D288="","",IF(ISERROR(VALUE(D288)),D288&amp;"",IF(AND(VALUE(D288)&gt;=1,VALUE(D288)&lt;=20),IF(INDEX(設定!$P$8:$P$27,VALUE(D288))="","？",INDEX(設定!$P$8:$P$27,VALUE(D288))),"？")))</f>
        <v/>
      </c>
      <c r="I288" s="50">
        <f>IF(E288="","",IF(ISERROR(VALUE(E288)),E288&amp;"",IF(AND(VALUE(E288)&gt;=1,VALUE(E288)&lt;=20),IF(INDEX(設定!$P$8:$P$27,VALUE(E288))="","？",INDEX(設定!$P$8:$P$27,VALUE(E288))),"？")))</f>
        <v/>
      </c>
      <c r="J288" s="50">
        <f>IF(F288="","",IF(ISERROR(VALUE(F288)),F288&amp;"",IF(AND(VALUE(F288)&gt;=1,VALUE(F288)&lt;=20),IF(INDEX(設定!$P$8:$P$27,VALUE(F288))="","？",INDEX(設定!$P$8:$P$27,VALUE(F288))),"？")))</f>
        <v/>
      </c>
      <c r="K288" s="51">
        <f>IF(L288="","",IF(G288="","名簿にいない",IF(COUNTIF(L289:L$555,L288)&gt;0,"2回提出（下の行を使います）",IF(H288="転出","転出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OR(AND(H288&lt;&gt;"",H288=I288),AND(H288&lt;&gt;"",H288=J288),AND(I288&lt;&gt;"",I288=J288)),"同じクラブを重複して希望","OK")))))))</f>
        <v/>
      </c>
      <c r="L288" s="11">
        <f>IF(OR(A288="",D288=""),"",A288&amp;"-"&amp;B288&amp;"-"&amp;C288)</f>
        <v/>
      </c>
      <c r="M288" s="11">
        <f>IF(OR(L288="",G288=""),"",IF(COUNTIF(L289:L$555,L288)=0,L288,""))</f>
        <v/>
      </c>
      <c r="N288" s="11">
        <f>IFERROR(MATCH(SMALL(前年度名簿!$G$3:$G$452,284),前年度名簿!$G$3:$G$452,0),"")</f>
        <v/>
      </c>
    </row>
    <row r="289">
      <c r="A289" s="49">
        <f>IF($N289="","",INDEX(前年度名簿!$A$3:$A$452,$N289))</f>
        <v/>
      </c>
      <c r="B289" s="49">
        <f>IF($N289="","",INDEX(前年度名簿!$B$3:$B$452,$N289))</f>
        <v/>
      </c>
      <c r="C289" s="49">
        <f>IF($N289="","",INDEX(前年度名簿!$C$3:$C$452,$N289))</f>
        <v/>
      </c>
      <c r="D289" s="49" t="n"/>
      <c r="E289" s="49" t="n"/>
      <c r="F289" s="49" t="n"/>
      <c r="G289" s="4">
        <f>IF(A289="","",IFERROR(INDEX(前年度名簿!$D$3:$D$452,MATCH(A289&amp;"-"&amp;B289&amp;"-"&amp;C289,前年度名簿!$F$3:$F$452,0)),""))</f>
        <v/>
      </c>
      <c r="H289" s="50">
        <f>IF(D289="","",IF(ISERROR(VALUE(D289)),D289&amp;"",IF(AND(VALUE(D289)&gt;=1,VALUE(D289)&lt;=20),IF(INDEX(設定!$P$8:$P$27,VALUE(D289))="","？",INDEX(設定!$P$8:$P$27,VALUE(D289))),"？")))</f>
        <v/>
      </c>
      <c r="I289" s="50">
        <f>IF(E289="","",IF(ISERROR(VALUE(E289)),E289&amp;"",IF(AND(VALUE(E289)&gt;=1,VALUE(E289)&lt;=20),IF(INDEX(設定!$P$8:$P$27,VALUE(E289))="","？",INDEX(設定!$P$8:$P$27,VALUE(E289))),"？")))</f>
        <v/>
      </c>
      <c r="J289" s="50">
        <f>IF(F289="","",IF(ISERROR(VALUE(F289)),F289&amp;"",IF(AND(VALUE(F289)&gt;=1,VALUE(F289)&lt;=20),IF(INDEX(設定!$P$8:$P$27,VALUE(F289))="","？",INDEX(設定!$P$8:$P$27,VALUE(F289))),"？")))</f>
        <v/>
      </c>
      <c r="K289" s="51">
        <f>IF(L289="","",IF(G289="","名簿にいない",IF(COUNTIF(L290:L$555,L289)&gt;0,"2回提出（下の行を使います）",IF(H289="転出","転出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OR(AND(H289&lt;&gt;"",H289=I289),AND(H289&lt;&gt;"",H289=J289),AND(I289&lt;&gt;"",I289=J289)),"同じクラブを重複して希望","OK")))))))</f>
        <v/>
      </c>
      <c r="L289" s="11">
        <f>IF(OR(A289="",D289=""),"",A289&amp;"-"&amp;B289&amp;"-"&amp;C289)</f>
        <v/>
      </c>
      <c r="M289" s="11">
        <f>IF(OR(L289="",G289=""),"",IF(COUNTIF(L290:L$555,L289)=0,L289,""))</f>
        <v/>
      </c>
      <c r="N289" s="11">
        <f>IFERROR(MATCH(SMALL(前年度名簿!$G$3:$G$452,285),前年度名簿!$G$3:$G$452,0),"")</f>
        <v/>
      </c>
    </row>
    <row r="290">
      <c r="A290" s="49">
        <f>IF($N290="","",INDEX(前年度名簿!$A$3:$A$452,$N290))</f>
        <v/>
      </c>
      <c r="B290" s="49">
        <f>IF($N290="","",INDEX(前年度名簿!$B$3:$B$452,$N290))</f>
        <v/>
      </c>
      <c r="C290" s="49">
        <f>IF($N290="","",INDEX(前年度名簿!$C$3:$C$452,$N290))</f>
        <v/>
      </c>
      <c r="D290" s="49" t="n"/>
      <c r="E290" s="49" t="n"/>
      <c r="F290" s="49" t="n"/>
      <c r="G290" s="4">
        <f>IF(A290="","",IFERROR(INDEX(前年度名簿!$D$3:$D$452,MATCH(A290&amp;"-"&amp;B290&amp;"-"&amp;C290,前年度名簿!$F$3:$F$452,0)),""))</f>
        <v/>
      </c>
      <c r="H290" s="50">
        <f>IF(D290="","",IF(ISERROR(VALUE(D290)),D290&amp;"",IF(AND(VALUE(D290)&gt;=1,VALUE(D290)&lt;=20),IF(INDEX(設定!$P$8:$P$27,VALUE(D290))="","？",INDEX(設定!$P$8:$P$27,VALUE(D290))),"？")))</f>
        <v/>
      </c>
      <c r="I290" s="50">
        <f>IF(E290="","",IF(ISERROR(VALUE(E290)),E290&amp;"",IF(AND(VALUE(E290)&gt;=1,VALUE(E290)&lt;=20),IF(INDEX(設定!$P$8:$P$27,VALUE(E290))="","？",INDEX(設定!$P$8:$P$27,VALUE(E290))),"？")))</f>
        <v/>
      </c>
      <c r="J290" s="50">
        <f>IF(F290="","",IF(ISERROR(VALUE(F290)),F290&amp;"",IF(AND(VALUE(F290)&gt;=1,VALUE(F290)&lt;=20),IF(INDEX(設定!$P$8:$P$27,VALUE(F290))="","？",INDEX(設定!$P$8:$P$27,VALUE(F290))),"？")))</f>
        <v/>
      </c>
      <c r="K290" s="51">
        <f>IF(L290="","",IF(G290="","名簿にいない",IF(COUNTIF(L291:L$555,L290)&gt;0,"2回提出（下の行を使います）",IF(H290="転出","転出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OR(AND(H290&lt;&gt;"",H290=I290),AND(H290&lt;&gt;"",H290=J290),AND(I290&lt;&gt;"",I290=J290)),"同じクラブを重複して希望","OK")))))))</f>
        <v/>
      </c>
      <c r="L290" s="11">
        <f>IF(OR(A290="",D290=""),"",A290&amp;"-"&amp;B290&amp;"-"&amp;C290)</f>
        <v/>
      </c>
      <c r="M290" s="11">
        <f>IF(OR(L290="",G290=""),"",IF(COUNTIF(L291:L$555,L290)=0,L290,""))</f>
        <v/>
      </c>
      <c r="N290" s="11">
        <f>IFERROR(MATCH(SMALL(前年度名簿!$G$3:$G$452,286),前年度名簿!$G$3:$G$452,0),"")</f>
        <v/>
      </c>
    </row>
    <row r="291">
      <c r="A291" s="49">
        <f>IF($N291="","",INDEX(前年度名簿!$A$3:$A$452,$N291))</f>
        <v/>
      </c>
      <c r="B291" s="49">
        <f>IF($N291="","",INDEX(前年度名簿!$B$3:$B$452,$N291))</f>
        <v/>
      </c>
      <c r="C291" s="49">
        <f>IF($N291="","",INDEX(前年度名簿!$C$3:$C$452,$N291))</f>
        <v/>
      </c>
      <c r="D291" s="49" t="n"/>
      <c r="E291" s="49" t="n"/>
      <c r="F291" s="49" t="n"/>
      <c r="G291" s="4">
        <f>IF(A291="","",IFERROR(INDEX(前年度名簿!$D$3:$D$452,MATCH(A291&amp;"-"&amp;B291&amp;"-"&amp;C291,前年度名簿!$F$3:$F$452,0)),""))</f>
        <v/>
      </c>
      <c r="H291" s="50">
        <f>IF(D291="","",IF(ISERROR(VALUE(D291)),D291&amp;"",IF(AND(VALUE(D291)&gt;=1,VALUE(D291)&lt;=20),IF(INDEX(設定!$P$8:$P$27,VALUE(D291))="","？",INDEX(設定!$P$8:$P$27,VALUE(D291))),"？")))</f>
        <v/>
      </c>
      <c r="I291" s="50">
        <f>IF(E291="","",IF(ISERROR(VALUE(E291)),E291&amp;"",IF(AND(VALUE(E291)&gt;=1,VALUE(E291)&lt;=20),IF(INDEX(設定!$P$8:$P$27,VALUE(E291))="","？",INDEX(設定!$P$8:$P$27,VALUE(E291))),"？")))</f>
        <v/>
      </c>
      <c r="J291" s="50">
        <f>IF(F291="","",IF(ISERROR(VALUE(F291)),F291&amp;"",IF(AND(VALUE(F291)&gt;=1,VALUE(F291)&lt;=20),IF(INDEX(設定!$P$8:$P$27,VALUE(F291))="","？",INDEX(設定!$P$8:$P$27,VALUE(F291))),"？")))</f>
        <v/>
      </c>
      <c r="K291" s="51">
        <f>IF(L291="","",IF(G291="","名簿にいない",IF(COUNTIF(L292:L$555,L291)&gt;0,"2回提出（下の行を使います）",IF(H291="転出","転出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OR(AND(H291&lt;&gt;"",H291=I291),AND(H291&lt;&gt;"",H291=J291),AND(I291&lt;&gt;"",I291=J291)),"同じクラブを重複して希望","OK")))))))</f>
        <v/>
      </c>
      <c r="L291" s="11">
        <f>IF(OR(A291="",D291=""),"",A291&amp;"-"&amp;B291&amp;"-"&amp;C291)</f>
        <v/>
      </c>
      <c r="M291" s="11">
        <f>IF(OR(L291="",G291=""),"",IF(COUNTIF(L292:L$555,L291)=0,L291,""))</f>
        <v/>
      </c>
      <c r="N291" s="11">
        <f>IFERROR(MATCH(SMALL(前年度名簿!$G$3:$G$452,287),前年度名簿!$G$3:$G$452,0),"")</f>
        <v/>
      </c>
    </row>
    <row r="292">
      <c r="A292" s="49">
        <f>IF($N292="","",INDEX(前年度名簿!$A$3:$A$452,$N292))</f>
        <v/>
      </c>
      <c r="B292" s="49">
        <f>IF($N292="","",INDEX(前年度名簿!$B$3:$B$452,$N292))</f>
        <v/>
      </c>
      <c r="C292" s="49">
        <f>IF($N292="","",INDEX(前年度名簿!$C$3:$C$452,$N292))</f>
        <v/>
      </c>
      <c r="D292" s="49" t="n"/>
      <c r="E292" s="49" t="n"/>
      <c r="F292" s="49" t="n"/>
      <c r="G292" s="4">
        <f>IF(A292="","",IFERROR(INDEX(前年度名簿!$D$3:$D$452,MATCH(A292&amp;"-"&amp;B292&amp;"-"&amp;C292,前年度名簿!$F$3:$F$452,0)),""))</f>
        <v/>
      </c>
      <c r="H292" s="50">
        <f>IF(D292="","",IF(ISERROR(VALUE(D292)),D292&amp;"",IF(AND(VALUE(D292)&gt;=1,VALUE(D292)&lt;=20),IF(INDEX(設定!$P$8:$P$27,VALUE(D292))="","？",INDEX(設定!$P$8:$P$27,VALUE(D292))),"？")))</f>
        <v/>
      </c>
      <c r="I292" s="50">
        <f>IF(E292="","",IF(ISERROR(VALUE(E292)),E292&amp;"",IF(AND(VALUE(E292)&gt;=1,VALUE(E292)&lt;=20),IF(INDEX(設定!$P$8:$P$27,VALUE(E292))="","？",INDEX(設定!$P$8:$P$27,VALUE(E292))),"？")))</f>
        <v/>
      </c>
      <c r="J292" s="50">
        <f>IF(F292="","",IF(ISERROR(VALUE(F292)),F292&amp;"",IF(AND(VALUE(F292)&gt;=1,VALUE(F292)&lt;=20),IF(INDEX(設定!$P$8:$P$27,VALUE(F292))="","？",INDEX(設定!$P$8:$P$27,VALUE(F292))),"？")))</f>
        <v/>
      </c>
      <c r="K292" s="51">
        <f>IF(L292="","",IF(G292="","名簿にいない",IF(COUNTIF(L293:L$555,L292)&gt;0,"2回提出（下の行を使います）",IF(H292="転出","転出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OR(AND(H292&lt;&gt;"",H292=I292),AND(H292&lt;&gt;"",H292=J292),AND(I292&lt;&gt;"",I292=J292)),"同じクラブを重複して希望","OK")))))))</f>
        <v/>
      </c>
      <c r="L292" s="11">
        <f>IF(OR(A292="",D292=""),"",A292&amp;"-"&amp;B292&amp;"-"&amp;C292)</f>
        <v/>
      </c>
      <c r="M292" s="11">
        <f>IF(OR(L292="",G292=""),"",IF(COUNTIF(L293:L$555,L292)=0,L292,""))</f>
        <v/>
      </c>
      <c r="N292" s="11">
        <f>IFERROR(MATCH(SMALL(前年度名簿!$G$3:$G$452,288),前年度名簿!$G$3:$G$452,0),"")</f>
        <v/>
      </c>
    </row>
    <row r="293">
      <c r="A293" s="49">
        <f>IF($N293="","",INDEX(前年度名簿!$A$3:$A$452,$N293))</f>
        <v/>
      </c>
      <c r="B293" s="49">
        <f>IF($N293="","",INDEX(前年度名簿!$B$3:$B$452,$N293))</f>
        <v/>
      </c>
      <c r="C293" s="49">
        <f>IF($N293="","",INDEX(前年度名簿!$C$3:$C$452,$N293))</f>
        <v/>
      </c>
      <c r="D293" s="49" t="n"/>
      <c r="E293" s="49" t="n"/>
      <c r="F293" s="49" t="n"/>
      <c r="G293" s="4">
        <f>IF(A293="","",IFERROR(INDEX(前年度名簿!$D$3:$D$452,MATCH(A293&amp;"-"&amp;B293&amp;"-"&amp;C293,前年度名簿!$F$3:$F$452,0)),""))</f>
        <v/>
      </c>
      <c r="H293" s="50">
        <f>IF(D293="","",IF(ISERROR(VALUE(D293)),D293&amp;"",IF(AND(VALUE(D293)&gt;=1,VALUE(D293)&lt;=20),IF(INDEX(設定!$P$8:$P$27,VALUE(D293))="","？",INDEX(設定!$P$8:$P$27,VALUE(D293))),"？")))</f>
        <v/>
      </c>
      <c r="I293" s="50">
        <f>IF(E293="","",IF(ISERROR(VALUE(E293)),E293&amp;"",IF(AND(VALUE(E293)&gt;=1,VALUE(E293)&lt;=20),IF(INDEX(設定!$P$8:$P$27,VALUE(E293))="","？",INDEX(設定!$P$8:$P$27,VALUE(E293))),"？")))</f>
        <v/>
      </c>
      <c r="J293" s="50">
        <f>IF(F293="","",IF(ISERROR(VALUE(F293)),F293&amp;"",IF(AND(VALUE(F293)&gt;=1,VALUE(F293)&lt;=20),IF(INDEX(設定!$P$8:$P$27,VALUE(F293))="","？",INDEX(設定!$P$8:$P$27,VALUE(F293))),"？")))</f>
        <v/>
      </c>
      <c r="K293" s="51">
        <f>IF(L293="","",IF(G293="","名簿にいない",IF(COUNTIF(L294:L$555,L293)&gt;0,"2回提出（下の行を使います）",IF(H293="転出","転出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OR(AND(H293&lt;&gt;"",H293=I293),AND(H293&lt;&gt;"",H293=J293),AND(I293&lt;&gt;"",I293=J293)),"同じクラブを重複して希望","OK")))))))</f>
        <v/>
      </c>
      <c r="L293" s="11">
        <f>IF(OR(A293="",D293=""),"",A293&amp;"-"&amp;B293&amp;"-"&amp;C293)</f>
        <v/>
      </c>
      <c r="M293" s="11">
        <f>IF(OR(L293="",G293=""),"",IF(COUNTIF(L294:L$555,L293)=0,L293,""))</f>
        <v/>
      </c>
      <c r="N293" s="11">
        <f>IFERROR(MATCH(SMALL(前年度名簿!$G$3:$G$452,289),前年度名簿!$G$3:$G$452,0),"")</f>
        <v/>
      </c>
    </row>
    <row r="294">
      <c r="A294" s="49">
        <f>IF($N294="","",INDEX(前年度名簿!$A$3:$A$452,$N294))</f>
        <v/>
      </c>
      <c r="B294" s="49">
        <f>IF($N294="","",INDEX(前年度名簿!$B$3:$B$452,$N294))</f>
        <v/>
      </c>
      <c r="C294" s="49">
        <f>IF($N294="","",INDEX(前年度名簿!$C$3:$C$452,$N294))</f>
        <v/>
      </c>
      <c r="D294" s="49" t="n"/>
      <c r="E294" s="49" t="n"/>
      <c r="F294" s="49" t="n"/>
      <c r="G294" s="4">
        <f>IF(A294="","",IFERROR(INDEX(前年度名簿!$D$3:$D$452,MATCH(A294&amp;"-"&amp;B294&amp;"-"&amp;C294,前年度名簿!$F$3:$F$452,0)),""))</f>
        <v/>
      </c>
      <c r="H294" s="50">
        <f>IF(D294="","",IF(ISERROR(VALUE(D294)),D294&amp;"",IF(AND(VALUE(D294)&gt;=1,VALUE(D294)&lt;=20),IF(INDEX(設定!$P$8:$P$27,VALUE(D294))="","？",INDEX(設定!$P$8:$P$27,VALUE(D294))),"？")))</f>
        <v/>
      </c>
      <c r="I294" s="50">
        <f>IF(E294="","",IF(ISERROR(VALUE(E294)),E294&amp;"",IF(AND(VALUE(E294)&gt;=1,VALUE(E294)&lt;=20),IF(INDEX(設定!$P$8:$P$27,VALUE(E294))="","？",INDEX(設定!$P$8:$P$27,VALUE(E294))),"？")))</f>
        <v/>
      </c>
      <c r="J294" s="50">
        <f>IF(F294="","",IF(ISERROR(VALUE(F294)),F294&amp;"",IF(AND(VALUE(F294)&gt;=1,VALUE(F294)&lt;=20),IF(INDEX(設定!$P$8:$P$27,VALUE(F294))="","？",INDEX(設定!$P$8:$P$27,VALUE(F294))),"？")))</f>
        <v/>
      </c>
      <c r="K294" s="51">
        <f>IF(L294="","",IF(G294="","名簿にいない",IF(COUNTIF(L295:L$555,L294)&gt;0,"2回提出（下の行を使います）",IF(H294="転出","転出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OR(AND(H294&lt;&gt;"",H294=I294),AND(H294&lt;&gt;"",H294=J294),AND(I294&lt;&gt;"",I294=J294)),"同じクラブを重複して希望","OK")))))))</f>
        <v/>
      </c>
      <c r="L294" s="11">
        <f>IF(OR(A294="",D294=""),"",A294&amp;"-"&amp;B294&amp;"-"&amp;C294)</f>
        <v/>
      </c>
      <c r="M294" s="11">
        <f>IF(OR(L294="",G294=""),"",IF(COUNTIF(L295:L$555,L294)=0,L294,""))</f>
        <v/>
      </c>
      <c r="N294" s="11">
        <f>IFERROR(MATCH(SMALL(前年度名簿!$G$3:$G$452,290),前年度名簿!$G$3:$G$452,0),"")</f>
        <v/>
      </c>
    </row>
    <row r="295">
      <c r="A295" s="49">
        <f>IF($N295="","",INDEX(前年度名簿!$A$3:$A$452,$N295))</f>
        <v/>
      </c>
      <c r="B295" s="49">
        <f>IF($N295="","",INDEX(前年度名簿!$B$3:$B$452,$N295))</f>
        <v/>
      </c>
      <c r="C295" s="49">
        <f>IF($N295="","",INDEX(前年度名簿!$C$3:$C$452,$N295))</f>
        <v/>
      </c>
      <c r="D295" s="49" t="n"/>
      <c r="E295" s="49" t="n"/>
      <c r="F295" s="49" t="n"/>
      <c r="G295" s="4">
        <f>IF(A295="","",IFERROR(INDEX(前年度名簿!$D$3:$D$452,MATCH(A295&amp;"-"&amp;B295&amp;"-"&amp;C295,前年度名簿!$F$3:$F$452,0)),""))</f>
        <v/>
      </c>
      <c r="H295" s="50">
        <f>IF(D295="","",IF(ISERROR(VALUE(D295)),D295&amp;"",IF(AND(VALUE(D295)&gt;=1,VALUE(D295)&lt;=20),IF(INDEX(設定!$P$8:$P$27,VALUE(D295))="","？",INDEX(設定!$P$8:$P$27,VALUE(D295))),"？")))</f>
        <v/>
      </c>
      <c r="I295" s="50">
        <f>IF(E295="","",IF(ISERROR(VALUE(E295)),E295&amp;"",IF(AND(VALUE(E295)&gt;=1,VALUE(E295)&lt;=20),IF(INDEX(設定!$P$8:$P$27,VALUE(E295))="","？",INDEX(設定!$P$8:$P$27,VALUE(E295))),"？")))</f>
        <v/>
      </c>
      <c r="J295" s="50">
        <f>IF(F295="","",IF(ISERROR(VALUE(F295)),F295&amp;"",IF(AND(VALUE(F295)&gt;=1,VALUE(F295)&lt;=20),IF(INDEX(設定!$P$8:$P$27,VALUE(F295))="","？",INDEX(設定!$P$8:$P$27,VALUE(F295))),"？")))</f>
        <v/>
      </c>
      <c r="K295" s="51">
        <f>IF(L295="","",IF(G295="","名簿にいない",IF(COUNTIF(L296:L$555,L295)&gt;0,"2回提出（下の行を使います）",IF(H295="転出","転出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OR(AND(H295&lt;&gt;"",H295=I295),AND(H295&lt;&gt;"",H295=J295),AND(I295&lt;&gt;"",I295=J295)),"同じクラブを重複して希望","OK")))))))</f>
        <v/>
      </c>
      <c r="L295" s="11">
        <f>IF(OR(A295="",D295=""),"",A295&amp;"-"&amp;B295&amp;"-"&amp;C295)</f>
        <v/>
      </c>
      <c r="M295" s="11">
        <f>IF(OR(L295="",G295=""),"",IF(COUNTIF(L296:L$555,L295)=0,L295,""))</f>
        <v/>
      </c>
      <c r="N295" s="11">
        <f>IFERROR(MATCH(SMALL(前年度名簿!$G$3:$G$452,291),前年度名簿!$G$3:$G$452,0),"")</f>
        <v/>
      </c>
    </row>
    <row r="296">
      <c r="A296" s="49">
        <f>IF($N296="","",INDEX(前年度名簿!$A$3:$A$452,$N296))</f>
        <v/>
      </c>
      <c r="B296" s="49">
        <f>IF($N296="","",INDEX(前年度名簿!$B$3:$B$452,$N296))</f>
        <v/>
      </c>
      <c r="C296" s="49">
        <f>IF($N296="","",INDEX(前年度名簿!$C$3:$C$452,$N296))</f>
        <v/>
      </c>
      <c r="D296" s="49" t="n"/>
      <c r="E296" s="49" t="n"/>
      <c r="F296" s="49" t="n"/>
      <c r="G296" s="4">
        <f>IF(A296="","",IFERROR(INDEX(前年度名簿!$D$3:$D$452,MATCH(A296&amp;"-"&amp;B296&amp;"-"&amp;C296,前年度名簿!$F$3:$F$452,0)),""))</f>
        <v/>
      </c>
      <c r="H296" s="50">
        <f>IF(D296="","",IF(ISERROR(VALUE(D296)),D296&amp;"",IF(AND(VALUE(D296)&gt;=1,VALUE(D296)&lt;=20),IF(INDEX(設定!$P$8:$P$27,VALUE(D296))="","？",INDEX(設定!$P$8:$P$27,VALUE(D296))),"？")))</f>
        <v/>
      </c>
      <c r="I296" s="50">
        <f>IF(E296="","",IF(ISERROR(VALUE(E296)),E296&amp;"",IF(AND(VALUE(E296)&gt;=1,VALUE(E296)&lt;=20),IF(INDEX(設定!$P$8:$P$27,VALUE(E296))="","？",INDEX(設定!$P$8:$P$27,VALUE(E296))),"？")))</f>
        <v/>
      </c>
      <c r="J296" s="50">
        <f>IF(F296="","",IF(ISERROR(VALUE(F296)),F296&amp;"",IF(AND(VALUE(F296)&gt;=1,VALUE(F296)&lt;=20),IF(INDEX(設定!$P$8:$P$27,VALUE(F296))="","？",INDEX(設定!$P$8:$P$27,VALUE(F296))),"？")))</f>
        <v/>
      </c>
      <c r="K296" s="51">
        <f>IF(L296="","",IF(G296="","名簿にいない",IF(COUNTIF(L297:L$555,L296)&gt;0,"2回提出（下の行を使います）",IF(H296="転出","転出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OR(AND(H296&lt;&gt;"",H296=I296),AND(H296&lt;&gt;"",H296=J296),AND(I296&lt;&gt;"",I296=J296)),"同じクラブを重複して希望","OK")))))))</f>
        <v/>
      </c>
      <c r="L296" s="11">
        <f>IF(OR(A296="",D296=""),"",A296&amp;"-"&amp;B296&amp;"-"&amp;C296)</f>
        <v/>
      </c>
      <c r="M296" s="11">
        <f>IF(OR(L296="",G296=""),"",IF(COUNTIF(L297:L$555,L296)=0,L296,""))</f>
        <v/>
      </c>
      <c r="N296" s="11">
        <f>IFERROR(MATCH(SMALL(前年度名簿!$G$3:$G$452,292),前年度名簿!$G$3:$G$452,0),"")</f>
        <v/>
      </c>
    </row>
    <row r="297">
      <c r="A297" s="49">
        <f>IF($N297="","",INDEX(前年度名簿!$A$3:$A$452,$N297))</f>
        <v/>
      </c>
      <c r="B297" s="49">
        <f>IF($N297="","",INDEX(前年度名簿!$B$3:$B$452,$N297))</f>
        <v/>
      </c>
      <c r="C297" s="49">
        <f>IF($N297="","",INDEX(前年度名簿!$C$3:$C$452,$N297))</f>
        <v/>
      </c>
      <c r="D297" s="49" t="n"/>
      <c r="E297" s="49" t="n"/>
      <c r="F297" s="49" t="n"/>
      <c r="G297" s="4">
        <f>IF(A297="","",IFERROR(INDEX(前年度名簿!$D$3:$D$452,MATCH(A297&amp;"-"&amp;B297&amp;"-"&amp;C297,前年度名簿!$F$3:$F$452,0)),""))</f>
        <v/>
      </c>
      <c r="H297" s="50">
        <f>IF(D297="","",IF(ISERROR(VALUE(D297)),D297&amp;"",IF(AND(VALUE(D297)&gt;=1,VALUE(D297)&lt;=20),IF(INDEX(設定!$P$8:$P$27,VALUE(D297))="","？",INDEX(設定!$P$8:$P$27,VALUE(D297))),"？")))</f>
        <v/>
      </c>
      <c r="I297" s="50">
        <f>IF(E297="","",IF(ISERROR(VALUE(E297)),E297&amp;"",IF(AND(VALUE(E297)&gt;=1,VALUE(E297)&lt;=20),IF(INDEX(設定!$P$8:$P$27,VALUE(E297))="","？",INDEX(設定!$P$8:$P$27,VALUE(E297))),"？")))</f>
        <v/>
      </c>
      <c r="J297" s="50">
        <f>IF(F297="","",IF(ISERROR(VALUE(F297)),F297&amp;"",IF(AND(VALUE(F297)&gt;=1,VALUE(F297)&lt;=20),IF(INDEX(設定!$P$8:$P$27,VALUE(F297))="","？",INDEX(設定!$P$8:$P$27,VALUE(F297))),"？")))</f>
        <v/>
      </c>
      <c r="K297" s="51">
        <f>IF(L297="","",IF(G297="","名簿にいない",IF(COUNTIF(L298:L$555,L297)&gt;0,"2回提出（下の行を使います）",IF(H297="転出","転出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OR(AND(H297&lt;&gt;"",H297=I297),AND(H297&lt;&gt;"",H297=J297),AND(I297&lt;&gt;"",I297=J297)),"同じクラブを重複して希望","OK")))))))</f>
        <v/>
      </c>
      <c r="L297" s="11">
        <f>IF(OR(A297="",D297=""),"",A297&amp;"-"&amp;B297&amp;"-"&amp;C297)</f>
        <v/>
      </c>
      <c r="M297" s="11">
        <f>IF(OR(L297="",G297=""),"",IF(COUNTIF(L298:L$555,L297)=0,L297,""))</f>
        <v/>
      </c>
      <c r="N297" s="11">
        <f>IFERROR(MATCH(SMALL(前年度名簿!$G$3:$G$452,293),前年度名簿!$G$3:$G$452,0),"")</f>
        <v/>
      </c>
    </row>
    <row r="298">
      <c r="A298" s="49">
        <f>IF($N298="","",INDEX(前年度名簿!$A$3:$A$452,$N298))</f>
        <v/>
      </c>
      <c r="B298" s="49">
        <f>IF($N298="","",INDEX(前年度名簿!$B$3:$B$452,$N298))</f>
        <v/>
      </c>
      <c r="C298" s="49">
        <f>IF($N298="","",INDEX(前年度名簿!$C$3:$C$452,$N298))</f>
        <v/>
      </c>
      <c r="D298" s="49" t="n"/>
      <c r="E298" s="49" t="n"/>
      <c r="F298" s="49" t="n"/>
      <c r="G298" s="4">
        <f>IF(A298="","",IFERROR(INDEX(前年度名簿!$D$3:$D$452,MATCH(A298&amp;"-"&amp;B298&amp;"-"&amp;C298,前年度名簿!$F$3:$F$452,0)),""))</f>
        <v/>
      </c>
      <c r="H298" s="50">
        <f>IF(D298="","",IF(ISERROR(VALUE(D298)),D298&amp;"",IF(AND(VALUE(D298)&gt;=1,VALUE(D298)&lt;=20),IF(INDEX(設定!$P$8:$P$27,VALUE(D298))="","？",INDEX(設定!$P$8:$P$27,VALUE(D298))),"？")))</f>
        <v/>
      </c>
      <c r="I298" s="50">
        <f>IF(E298="","",IF(ISERROR(VALUE(E298)),E298&amp;"",IF(AND(VALUE(E298)&gt;=1,VALUE(E298)&lt;=20),IF(INDEX(設定!$P$8:$P$27,VALUE(E298))="","？",INDEX(設定!$P$8:$P$27,VALUE(E298))),"？")))</f>
        <v/>
      </c>
      <c r="J298" s="50">
        <f>IF(F298="","",IF(ISERROR(VALUE(F298)),F298&amp;"",IF(AND(VALUE(F298)&gt;=1,VALUE(F298)&lt;=20),IF(INDEX(設定!$P$8:$P$27,VALUE(F298))="","？",INDEX(設定!$P$8:$P$27,VALUE(F298))),"？")))</f>
        <v/>
      </c>
      <c r="K298" s="51">
        <f>IF(L298="","",IF(G298="","名簿にいない",IF(COUNTIF(L299:L$555,L298)&gt;0,"2回提出（下の行を使います）",IF(H298="転出","転出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OR(AND(H298&lt;&gt;"",H298=I298),AND(H298&lt;&gt;"",H298=J298),AND(I298&lt;&gt;"",I298=J298)),"同じクラブを重複して希望","OK")))))))</f>
        <v/>
      </c>
      <c r="L298" s="11">
        <f>IF(OR(A298="",D298=""),"",A298&amp;"-"&amp;B298&amp;"-"&amp;C298)</f>
        <v/>
      </c>
      <c r="M298" s="11">
        <f>IF(OR(L298="",G298=""),"",IF(COUNTIF(L299:L$555,L298)=0,L298,""))</f>
        <v/>
      </c>
      <c r="N298" s="11">
        <f>IFERROR(MATCH(SMALL(前年度名簿!$G$3:$G$452,294),前年度名簿!$G$3:$G$452,0),"")</f>
        <v/>
      </c>
    </row>
    <row r="299">
      <c r="A299" s="49">
        <f>IF($N299="","",INDEX(前年度名簿!$A$3:$A$452,$N299))</f>
        <v/>
      </c>
      <c r="B299" s="49">
        <f>IF($N299="","",INDEX(前年度名簿!$B$3:$B$452,$N299))</f>
        <v/>
      </c>
      <c r="C299" s="49">
        <f>IF($N299="","",INDEX(前年度名簿!$C$3:$C$452,$N299))</f>
        <v/>
      </c>
      <c r="D299" s="49" t="n"/>
      <c r="E299" s="49" t="n"/>
      <c r="F299" s="49" t="n"/>
      <c r="G299" s="4">
        <f>IF(A299="","",IFERROR(INDEX(前年度名簿!$D$3:$D$452,MATCH(A299&amp;"-"&amp;B299&amp;"-"&amp;C299,前年度名簿!$F$3:$F$452,0)),""))</f>
        <v/>
      </c>
      <c r="H299" s="50">
        <f>IF(D299="","",IF(ISERROR(VALUE(D299)),D299&amp;"",IF(AND(VALUE(D299)&gt;=1,VALUE(D299)&lt;=20),IF(INDEX(設定!$P$8:$P$27,VALUE(D299))="","？",INDEX(設定!$P$8:$P$27,VALUE(D299))),"？")))</f>
        <v/>
      </c>
      <c r="I299" s="50">
        <f>IF(E299="","",IF(ISERROR(VALUE(E299)),E299&amp;"",IF(AND(VALUE(E299)&gt;=1,VALUE(E299)&lt;=20),IF(INDEX(設定!$P$8:$P$27,VALUE(E299))="","？",INDEX(設定!$P$8:$P$27,VALUE(E299))),"？")))</f>
        <v/>
      </c>
      <c r="J299" s="50">
        <f>IF(F299="","",IF(ISERROR(VALUE(F299)),F299&amp;"",IF(AND(VALUE(F299)&gt;=1,VALUE(F299)&lt;=20),IF(INDEX(設定!$P$8:$P$27,VALUE(F299))="","？",INDEX(設定!$P$8:$P$27,VALUE(F299))),"？")))</f>
        <v/>
      </c>
      <c r="K299" s="51">
        <f>IF(L299="","",IF(G299="","名簿にいない",IF(COUNTIF(L300:L$555,L299)&gt;0,"2回提出（下の行を使います）",IF(H299="転出","転出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OR(AND(H299&lt;&gt;"",H299=I299),AND(H299&lt;&gt;"",H299=J299),AND(I299&lt;&gt;"",I299=J299)),"同じクラブを重複して希望","OK")))))))</f>
        <v/>
      </c>
      <c r="L299" s="11">
        <f>IF(OR(A299="",D299=""),"",A299&amp;"-"&amp;B299&amp;"-"&amp;C299)</f>
        <v/>
      </c>
      <c r="M299" s="11">
        <f>IF(OR(L299="",G299=""),"",IF(COUNTIF(L300:L$555,L299)=0,L299,""))</f>
        <v/>
      </c>
      <c r="N299" s="11">
        <f>IFERROR(MATCH(SMALL(前年度名簿!$G$3:$G$452,295),前年度名簿!$G$3:$G$452,0),"")</f>
        <v/>
      </c>
    </row>
    <row r="300">
      <c r="A300" s="49">
        <f>IF($N300="","",INDEX(前年度名簿!$A$3:$A$452,$N300))</f>
        <v/>
      </c>
      <c r="B300" s="49">
        <f>IF($N300="","",INDEX(前年度名簿!$B$3:$B$452,$N300))</f>
        <v/>
      </c>
      <c r="C300" s="49">
        <f>IF($N300="","",INDEX(前年度名簿!$C$3:$C$452,$N300))</f>
        <v/>
      </c>
      <c r="D300" s="49" t="n"/>
      <c r="E300" s="49" t="n"/>
      <c r="F300" s="49" t="n"/>
      <c r="G300" s="4">
        <f>IF(A300="","",IFERROR(INDEX(前年度名簿!$D$3:$D$452,MATCH(A300&amp;"-"&amp;B300&amp;"-"&amp;C300,前年度名簿!$F$3:$F$452,0)),""))</f>
        <v/>
      </c>
      <c r="H300" s="50">
        <f>IF(D300="","",IF(ISERROR(VALUE(D300)),D300&amp;"",IF(AND(VALUE(D300)&gt;=1,VALUE(D300)&lt;=20),IF(INDEX(設定!$P$8:$P$27,VALUE(D300))="","？",INDEX(設定!$P$8:$P$27,VALUE(D300))),"？")))</f>
        <v/>
      </c>
      <c r="I300" s="50">
        <f>IF(E300="","",IF(ISERROR(VALUE(E300)),E300&amp;"",IF(AND(VALUE(E300)&gt;=1,VALUE(E300)&lt;=20),IF(INDEX(設定!$P$8:$P$27,VALUE(E300))="","？",INDEX(設定!$P$8:$P$27,VALUE(E300))),"？")))</f>
        <v/>
      </c>
      <c r="J300" s="50">
        <f>IF(F300="","",IF(ISERROR(VALUE(F300)),F300&amp;"",IF(AND(VALUE(F300)&gt;=1,VALUE(F300)&lt;=20),IF(INDEX(設定!$P$8:$P$27,VALUE(F300))="","？",INDEX(設定!$P$8:$P$27,VALUE(F300))),"？")))</f>
        <v/>
      </c>
      <c r="K300" s="51">
        <f>IF(L300="","",IF(G300="","名簿にいない",IF(COUNTIF(L301:L$555,L300)&gt;0,"2回提出（下の行を使います）",IF(H300="転出","転出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OR(AND(H300&lt;&gt;"",H300=I300),AND(H300&lt;&gt;"",H300=J300),AND(I300&lt;&gt;"",I300=J300)),"同じクラブを重複して希望","OK")))))))</f>
        <v/>
      </c>
      <c r="L300" s="11">
        <f>IF(OR(A300="",D300=""),"",A300&amp;"-"&amp;B300&amp;"-"&amp;C300)</f>
        <v/>
      </c>
      <c r="M300" s="11">
        <f>IF(OR(L300="",G300=""),"",IF(COUNTIF(L301:L$555,L300)=0,L300,""))</f>
        <v/>
      </c>
      <c r="N300" s="11">
        <f>IFERROR(MATCH(SMALL(前年度名簿!$G$3:$G$452,296),前年度名簿!$G$3:$G$452,0),"")</f>
        <v/>
      </c>
    </row>
    <row r="301">
      <c r="A301" s="49">
        <f>IF($N301="","",INDEX(前年度名簿!$A$3:$A$452,$N301))</f>
        <v/>
      </c>
      <c r="B301" s="49">
        <f>IF($N301="","",INDEX(前年度名簿!$B$3:$B$452,$N301))</f>
        <v/>
      </c>
      <c r="C301" s="49">
        <f>IF($N301="","",INDEX(前年度名簿!$C$3:$C$452,$N301))</f>
        <v/>
      </c>
      <c r="D301" s="49" t="n"/>
      <c r="E301" s="49" t="n"/>
      <c r="F301" s="49" t="n"/>
      <c r="G301" s="4">
        <f>IF(A301="","",IFERROR(INDEX(前年度名簿!$D$3:$D$452,MATCH(A301&amp;"-"&amp;B301&amp;"-"&amp;C301,前年度名簿!$F$3:$F$452,0)),""))</f>
        <v/>
      </c>
      <c r="H301" s="50">
        <f>IF(D301="","",IF(ISERROR(VALUE(D301)),D301&amp;"",IF(AND(VALUE(D301)&gt;=1,VALUE(D301)&lt;=20),IF(INDEX(設定!$P$8:$P$27,VALUE(D301))="","？",INDEX(設定!$P$8:$P$27,VALUE(D301))),"？")))</f>
        <v/>
      </c>
      <c r="I301" s="50">
        <f>IF(E301="","",IF(ISERROR(VALUE(E301)),E301&amp;"",IF(AND(VALUE(E301)&gt;=1,VALUE(E301)&lt;=20),IF(INDEX(設定!$P$8:$P$27,VALUE(E301))="","？",INDEX(設定!$P$8:$P$27,VALUE(E301))),"？")))</f>
        <v/>
      </c>
      <c r="J301" s="50">
        <f>IF(F301="","",IF(ISERROR(VALUE(F301)),F301&amp;"",IF(AND(VALUE(F301)&gt;=1,VALUE(F301)&lt;=20),IF(INDEX(設定!$P$8:$P$27,VALUE(F301))="","？",INDEX(設定!$P$8:$P$27,VALUE(F301))),"？")))</f>
        <v/>
      </c>
      <c r="K301" s="51">
        <f>IF(L301="","",IF(G301="","名簿にいない",IF(COUNTIF(L302:L$555,L301)&gt;0,"2回提出（下の行を使います）",IF(H301="転出","転出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OR(AND(H301&lt;&gt;"",H301=I301),AND(H301&lt;&gt;"",H301=J301),AND(I301&lt;&gt;"",I301=J301)),"同じクラブを重複して希望","OK")))))))</f>
        <v/>
      </c>
      <c r="L301" s="11">
        <f>IF(OR(A301="",D301=""),"",A301&amp;"-"&amp;B301&amp;"-"&amp;C301)</f>
        <v/>
      </c>
      <c r="M301" s="11">
        <f>IF(OR(L301="",G301=""),"",IF(COUNTIF(L302:L$555,L301)=0,L301,""))</f>
        <v/>
      </c>
      <c r="N301" s="11">
        <f>IFERROR(MATCH(SMALL(前年度名簿!$G$3:$G$452,297),前年度名簿!$G$3:$G$452,0),"")</f>
        <v/>
      </c>
    </row>
    <row r="302">
      <c r="A302" s="49">
        <f>IF($N302="","",INDEX(前年度名簿!$A$3:$A$452,$N302))</f>
        <v/>
      </c>
      <c r="B302" s="49">
        <f>IF($N302="","",INDEX(前年度名簿!$B$3:$B$452,$N302))</f>
        <v/>
      </c>
      <c r="C302" s="49">
        <f>IF($N302="","",INDEX(前年度名簿!$C$3:$C$452,$N302))</f>
        <v/>
      </c>
      <c r="D302" s="49" t="n"/>
      <c r="E302" s="49" t="n"/>
      <c r="F302" s="49" t="n"/>
      <c r="G302" s="4">
        <f>IF(A302="","",IFERROR(INDEX(前年度名簿!$D$3:$D$452,MATCH(A302&amp;"-"&amp;B302&amp;"-"&amp;C302,前年度名簿!$F$3:$F$452,0)),""))</f>
        <v/>
      </c>
      <c r="H302" s="50">
        <f>IF(D302="","",IF(ISERROR(VALUE(D302)),D302&amp;"",IF(AND(VALUE(D302)&gt;=1,VALUE(D302)&lt;=20),IF(INDEX(設定!$P$8:$P$27,VALUE(D302))="","？",INDEX(設定!$P$8:$P$27,VALUE(D302))),"？")))</f>
        <v/>
      </c>
      <c r="I302" s="50">
        <f>IF(E302="","",IF(ISERROR(VALUE(E302)),E302&amp;"",IF(AND(VALUE(E302)&gt;=1,VALUE(E302)&lt;=20),IF(INDEX(設定!$P$8:$P$27,VALUE(E302))="","？",INDEX(設定!$P$8:$P$27,VALUE(E302))),"？")))</f>
        <v/>
      </c>
      <c r="J302" s="50">
        <f>IF(F302="","",IF(ISERROR(VALUE(F302)),F302&amp;"",IF(AND(VALUE(F302)&gt;=1,VALUE(F302)&lt;=20),IF(INDEX(設定!$P$8:$P$27,VALUE(F302))="","？",INDEX(設定!$P$8:$P$27,VALUE(F302))),"？")))</f>
        <v/>
      </c>
      <c r="K302" s="51">
        <f>IF(L302="","",IF(G302="","名簿にいない",IF(COUNTIF(L303:L$555,L302)&gt;0,"2回提出（下の行を使います）",IF(H302="転出","転出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OR(AND(H302&lt;&gt;"",H302=I302),AND(H302&lt;&gt;"",H302=J302),AND(I302&lt;&gt;"",I302=J302)),"同じクラブを重複して希望","OK")))))))</f>
        <v/>
      </c>
      <c r="L302" s="11">
        <f>IF(OR(A302="",D302=""),"",A302&amp;"-"&amp;B302&amp;"-"&amp;C302)</f>
        <v/>
      </c>
      <c r="M302" s="11">
        <f>IF(OR(L302="",G302=""),"",IF(COUNTIF(L303:L$555,L302)=0,L302,""))</f>
        <v/>
      </c>
      <c r="N302" s="11">
        <f>IFERROR(MATCH(SMALL(前年度名簿!$G$3:$G$452,298),前年度名簿!$G$3:$G$452,0),"")</f>
        <v/>
      </c>
    </row>
    <row r="303">
      <c r="A303" s="49">
        <f>IF($N303="","",INDEX(前年度名簿!$A$3:$A$452,$N303))</f>
        <v/>
      </c>
      <c r="B303" s="49">
        <f>IF($N303="","",INDEX(前年度名簿!$B$3:$B$452,$N303))</f>
        <v/>
      </c>
      <c r="C303" s="49">
        <f>IF($N303="","",INDEX(前年度名簿!$C$3:$C$452,$N303))</f>
        <v/>
      </c>
      <c r="D303" s="49" t="n"/>
      <c r="E303" s="49" t="n"/>
      <c r="F303" s="49" t="n"/>
      <c r="G303" s="4">
        <f>IF(A303="","",IFERROR(INDEX(前年度名簿!$D$3:$D$452,MATCH(A303&amp;"-"&amp;B303&amp;"-"&amp;C303,前年度名簿!$F$3:$F$452,0)),""))</f>
        <v/>
      </c>
      <c r="H303" s="50">
        <f>IF(D303="","",IF(ISERROR(VALUE(D303)),D303&amp;"",IF(AND(VALUE(D303)&gt;=1,VALUE(D303)&lt;=20),IF(INDEX(設定!$P$8:$P$27,VALUE(D303))="","？",INDEX(設定!$P$8:$P$27,VALUE(D303))),"？")))</f>
        <v/>
      </c>
      <c r="I303" s="50">
        <f>IF(E303="","",IF(ISERROR(VALUE(E303)),E303&amp;"",IF(AND(VALUE(E303)&gt;=1,VALUE(E303)&lt;=20),IF(INDEX(設定!$P$8:$P$27,VALUE(E303))="","？",INDEX(設定!$P$8:$P$27,VALUE(E303))),"？")))</f>
        <v/>
      </c>
      <c r="J303" s="50">
        <f>IF(F303="","",IF(ISERROR(VALUE(F303)),F303&amp;"",IF(AND(VALUE(F303)&gt;=1,VALUE(F303)&lt;=20),IF(INDEX(設定!$P$8:$P$27,VALUE(F303))="","？",INDEX(設定!$P$8:$P$27,VALUE(F303))),"？")))</f>
        <v/>
      </c>
      <c r="K303" s="51">
        <f>IF(L303="","",IF(G303="","名簿にいない",IF(COUNTIF(L304:L$555,L303)&gt;0,"2回提出（下の行を使います）",IF(H303="転出","転出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OR(AND(H303&lt;&gt;"",H303=I303),AND(H303&lt;&gt;"",H303=J303),AND(I303&lt;&gt;"",I303=J303)),"同じクラブを重複して希望","OK")))))))</f>
        <v/>
      </c>
      <c r="L303" s="11">
        <f>IF(OR(A303="",D303=""),"",A303&amp;"-"&amp;B303&amp;"-"&amp;C303)</f>
        <v/>
      </c>
      <c r="M303" s="11">
        <f>IF(OR(L303="",G303=""),"",IF(COUNTIF(L304:L$555,L303)=0,L303,""))</f>
        <v/>
      </c>
      <c r="N303" s="11">
        <f>IFERROR(MATCH(SMALL(前年度名簿!$G$3:$G$452,299),前年度名簿!$G$3:$G$452,0),"")</f>
        <v/>
      </c>
    </row>
    <row r="304">
      <c r="A304" s="49">
        <f>IF($N304="","",INDEX(前年度名簿!$A$3:$A$452,$N304))</f>
        <v/>
      </c>
      <c r="B304" s="49">
        <f>IF($N304="","",INDEX(前年度名簿!$B$3:$B$452,$N304))</f>
        <v/>
      </c>
      <c r="C304" s="49">
        <f>IF($N304="","",INDEX(前年度名簿!$C$3:$C$452,$N304))</f>
        <v/>
      </c>
      <c r="D304" s="49" t="n"/>
      <c r="E304" s="49" t="n"/>
      <c r="F304" s="49" t="n"/>
      <c r="G304" s="4">
        <f>IF(A304="","",IFERROR(INDEX(前年度名簿!$D$3:$D$452,MATCH(A304&amp;"-"&amp;B304&amp;"-"&amp;C304,前年度名簿!$F$3:$F$452,0)),""))</f>
        <v/>
      </c>
      <c r="H304" s="50">
        <f>IF(D304="","",IF(ISERROR(VALUE(D304)),D304&amp;"",IF(AND(VALUE(D304)&gt;=1,VALUE(D304)&lt;=20),IF(INDEX(設定!$P$8:$P$27,VALUE(D304))="","？",INDEX(設定!$P$8:$P$27,VALUE(D304))),"？")))</f>
        <v/>
      </c>
      <c r="I304" s="50">
        <f>IF(E304="","",IF(ISERROR(VALUE(E304)),E304&amp;"",IF(AND(VALUE(E304)&gt;=1,VALUE(E304)&lt;=20),IF(INDEX(設定!$P$8:$P$27,VALUE(E304))="","？",INDEX(設定!$P$8:$P$27,VALUE(E304))),"？")))</f>
        <v/>
      </c>
      <c r="J304" s="50">
        <f>IF(F304="","",IF(ISERROR(VALUE(F304)),F304&amp;"",IF(AND(VALUE(F304)&gt;=1,VALUE(F304)&lt;=20),IF(INDEX(設定!$P$8:$P$27,VALUE(F304))="","？",INDEX(設定!$P$8:$P$27,VALUE(F304))),"？")))</f>
        <v/>
      </c>
      <c r="K304" s="51">
        <f>IF(L304="","",IF(G304="","名簿にいない",IF(COUNTIF(L305:L$555,L304)&gt;0,"2回提出（下の行を使います）",IF(H304="転出","転出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OR(AND(H304&lt;&gt;"",H304=I304),AND(H304&lt;&gt;"",H304=J304),AND(I304&lt;&gt;"",I304=J304)),"同じクラブを重複して希望","OK")))))))</f>
        <v/>
      </c>
      <c r="L304" s="11">
        <f>IF(OR(A304="",D304=""),"",A304&amp;"-"&amp;B304&amp;"-"&amp;C304)</f>
        <v/>
      </c>
      <c r="M304" s="11">
        <f>IF(OR(L304="",G304=""),"",IF(COUNTIF(L305:L$555,L304)=0,L304,""))</f>
        <v/>
      </c>
      <c r="N304" s="11">
        <f>IFERROR(MATCH(SMALL(前年度名簿!$G$3:$G$452,300),前年度名簿!$G$3:$G$452,0),"")</f>
        <v/>
      </c>
    </row>
    <row r="305">
      <c r="A305" s="49">
        <f>IF($N305="","",INDEX(前年度名簿!$A$3:$A$452,$N305))</f>
        <v/>
      </c>
      <c r="B305" s="49">
        <f>IF($N305="","",INDEX(前年度名簿!$B$3:$B$452,$N305))</f>
        <v/>
      </c>
      <c r="C305" s="49">
        <f>IF($N305="","",INDEX(前年度名簿!$C$3:$C$452,$N305))</f>
        <v/>
      </c>
      <c r="D305" s="49" t="n"/>
      <c r="E305" s="49" t="n"/>
      <c r="F305" s="49" t="n"/>
      <c r="G305" s="4">
        <f>IF(A305="","",IFERROR(INDEX(前年度名簿!$D$3:$D$452,MATCH(A305&amp;"-"&amp;B305&amp;"-"&amp;C305,前年度名簿!$F$3:$F$452,0)),""))</f>
        <v/>
      </c>
      <c r="H305" s="50">
        <f>IF(D305="","",IF(ISERROR(VALUE(D305)),D305&amp;"",IF(AND(VALUE(D305)&gt;=1,VALUE(D305)&lt;=20),IF(INDEX(設定!$P$8:$P$27,VALUE(D305))="","？",INDEX(設定!$P$8:$P$27,VALUE(D305))),"？")))</f>
        <v/>
      </c>
      <c r="I305" s="50">
        <f>IF(E305="","",IF(ISERROR(VALUE(E305)),E305&amp;"",IF(AND(VALUE(E305)&gt;=1,VALUE(E305)&lt;=20),IF(INDEX(設定!$P$8:$P$27,VALUE(E305))="","？",INDEX(設定!$P$8:$P$27,VALUE(E305))),"？")))</f>
        <v/>
      </c>
      <c r="J305" s="50">
        <f>IF(F305="","",IF(ISERROR(VALUE(F305)),F305&amp;"",IF(AND(VALUE(F305)&gt;=1,VALUE(F305)&lt;=20),IF(INDEX(設定!$P$8:$P$27,VALUE(F305))="","？",INDEX(設定!$P$8:$P$27,VALUE(F305))),"？")))</f>
        <v/>
      </c>
      <c r="K305" s="51">
        <f>IF(L305="","",IF(G305="","名簿にいない",IF(COUNTIF(L306:L$555,L305)&gt;0,"2回提出（下の行を使います）",IF(H305="転出","転出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OR(AND(H305&lt;&gt;"",H305=I305),AND(H305&lt;&gt;"",H305=J305),AND(I305&lt;&gt;"",I305=J305)),"同じクラブを重複して希望","OK")))))))</f>
        <v/>
      </c>
      <c r="L305" s="11">
        <f>IF(OR(A305="",D305=""),"",A305&amp;"-"&amp;B305&amp;"-"&amp;C305)</f>
        <v/>
      </c>
      <c r="M305" s="11">
        <f>IF(OR(L305="",G305=""),"",IF(COUNTIF(L306:L$555,L305)=0,L305,""))</f>
        <v/>
      </c>
      <c r="N305" s="11">
        <f>IFERROR(MATCH(SMALL(前年度名簿!$G$3:$G$452,301),前年度名簿!$G$3:$G$452,0),"")</f>
        <v/>
      </c>
    </row>
    <row r="306">
      <c r="A306" s="49">
        <f>IF($N306="","",INDEX(前年度名簿!$A$3:$A$452,$N306))</f>
        <v/>
      </c>
      <c r="B306" s="49">
        <f>IF($N306="","",INDEX(前年度名簿!$B$3:$B$452,$N306))</f>
        <v/>
      </c>
      <c r="C306" s="49">
        <f>IF($N306="","",INDEX(前年度名簿!$C$3:$C$452,$N306))</f>
        <v/>
      </c>
      <c r="D306" s="49" t="n"/>
      <c r="E306" s="49" t="n"/>
      <c r="F306" s="49" t="n"/>
      <c r="G306" s="4">
        <f>IF(A306="","",IFERROR(INDEX(前年度名簿!$D$3:$D$452,MATCH(A306&amp;"-"&amp;B306&amp;"-"&amp;C306,前年度名簿!$F$3:$F$452,0)),""))</f>
        <v/>
      </c>
      <c r="H306" s="50">
        <f>IF(D306="","",IF(ISERROR(VALUE(D306)),D306&amp;"",IF(AND(VALUE(D306)&gt;=1,VALUE(D306)&lt;=20),IF(INDEX(設定!$P$8:$P$27,VALUE(D306))="","？",INDEX(設定!$P$8:$P$27,VALUE(D306))),"？")))</f>
        <v/>
      </c>
      <c r="I306" s="50">
        <f>IF(E306="","",IF(ISERROR(VALUE(E306)),E306&amp;"",IF(AND(VALUE(E306)&gt;=1,VALUE(E306)&lt;=20),IF(INDEX(設定!$P$8:$P$27,VALUE(E306))="","？",INDEX(設定!$P$8:$P$27,VALUE(E306))),"？")))</f>
        <v/>
      </c>
      <c r="J306" s="50">
        <f>IF(F306="","",IF(ISERROR(VALUE(F306)),F306&amp;"",IF(AND(VALUE(F306)&gt;=1,VALUE(F306)&lt;=20),IF(INDEX(設定!$P$8:$P$27,VALUE(F306))="","？",INDEX(設定!$P$8:$P$27,VALUE(F306))),"？")))</f>
        <v/>
      </c>
      <c r="K306" s="51">
        <f>IF(L306="","",IF(G306="","名簿にいない",IF(COUNTIF(L307:L$555,L306)&gt;0,"2回提出（下の行を使います）",IF(H306="転出","転出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OR(AND(H306&lt;&gt;"",H306=I306),AND(H306&lt;&gt;"",H306=J306),AND(I306&lt;&gt;"",I306=J306)),"同じクラブを重複して希望","OK")))))))</f>
        <v/>
      </c>
      <c r="L306" s="11">
        <f>IF(OR(A306="",D306=""),"",A306&amp;"-"&amp;B306&amp;"-"&amp;C306)</f>
        <v/>
      </c>
      <c r="M306" s="11">
        <f>IF(OR(L306="",G306=""),"",IF(COUNTIF(L307:L$555,L306)=0,L306,""))</f>
        <v/>
      </c>
      <c r="N306" s="11">
        <f>IFERROR(MATCH(SMALL(前年度名簿!$G$3:$G$452,302),前年度名簿!$G$3:$G$452,0),"")</f>
        <v/>
      </c>
    </row>
    <row r="307">
      <c r="A307" s="49">
        <f>IF($N307="","",INDEX(前年度名簿!$A$3:$A$452,$N307))</f>
        <v/>
      </c>
      <c r="B307" s="49">
        <f>IF($N307="","",INDEX(前年度名簿!$B$3:$B$452,$N307))</f>
        <v/>
      </c>
      <c r="C307" s="49">
        <f>IF($N307="","",INDEX(前年度名簿!$C$3:$C$452,$N307))</f>
        <v/>
      </c>
      <c r="D307" s="49" t="n"/>
      <c r="E307" s="49" t="n"/>
      <c r="F307" s="49" t="n"/>
      <c r="G307" s="4">
        <f>IF(A307="","",IFERROR(INDEX(前年度名簿!$D$3:$D$452,MATCH(A307&amp;"-"&amp;B307&amp;"-"&amp;C307,前年度名簿!$F$3:$F$452,0)),""))</f>
        <v/>
      </c>
      <c r="H307" s="50">
        <f>IF(D307="","",IF(ISERROR(VALUE(D307)),D307&amp;"",IF(AND(VALUE(D307)&gt;=1,VALUE(D307)&lt;=20),IF(INDEX(設定!$P$8:$P$27,VALUE(D307))="","？",INDEX(設定!$P$8:$P$27,VALUE(D307))),"？")))</f>
        <v/>
      </c>
      <c r="I307" s="50">
        <f>IF(E307="","",IF(ISERROR(VALUE(E307)),E307&amp;"",IF(AND(VALUE(E307)&gt;=1,VALUE(E307)&lt;=20),IF(INDEX(設定!$P$8:$P$27,VALUE(E307))="","？",INDEX(設定!$P$8:$P$27,VALUE(E307))),"？")))</f>
        <v/>
      </c>
      <c r="J307" s="50">
        <f>IF(F307="","",IF(ISERROR(VALUE(F307)),F307&amp;"",IF(AND(VALUE(F307)&gt;=1,VALUE(F307)&lt;=20),IF(INDEX(設定!$P$8:$P$27,VALUE(F307))="","？",INDEX(設定!$P$8:$P$27,VALUE(F307))),"？")))</f>
        <v/>
      </c>
      <c r="K307" s="51">
        <f>IF(L307="","",IF(G307="","名簿にいない",IF(COUNTIF(L308:L$555,L307)&gt;0,"2回提出（下の行を使います）",IF(H307="転出","転出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OR(AND(H307&lt;&gt;"",H307=I307),AND(H307&lt;&gt;"",H307=J307),AND(I307&lt;&gt;"",I307=J307)),"同じクラブを重複して希望","OK")))))))</f>
        <v/>
      </c>
      <c r="L307" s="11">
        <f>IF(OR(A307="",D307=""),"",A307&amp;"-"&amp;B307&amp;"-"&amp;C307)</f>
        <v/>
      </c>
      <c r="M307" s="11">
        <f>IF(OR(L307="",G307=""),"",IF(COUNTIF(L308:L$555,L307)=0,L307,""))</f>
        <v/>
      </c>
      <c r="N307" s="11">
        <f>IFERROR(MATCH(SMALL(前年度名簿!$G$3:$G$452,303),前年度名簿!$G$3:$G$452,0),"")</f>
        <v/>
      </c>
    </row>
    <row r="308">
      <c r="A308" s="49">
        <f>IF($N308="","",INDEX(前年度名簿!$A$3:$A$452,$N308))</f>
        <v/>
      </c>
      <c r="B308" s="49">
        <f>IF($N308="","",INDEX(前年度名簿!$B$3:$B$452,$N308))</f>
        <v/>
      </c>
      <c r="C308" s="49">
        <f>IF($N308="","",INDEX(前年度名簿!$C$3:$C$452,$N308))</f>
        <v/>
      </c>
      <c r="D308" s="49" t="n"/>
      <c r="E308" s="49" t="n"/>
      <c r="F308" s="49" t="n"/>
      <c r="G308" s="4">
        <f>IF(A308="","",IFERROR(INDEX(前年度名簿!$D$3:$D$452,MATCH(A308&amp;"-"&amp;B308&amp;"-"&amp;C308,前年度名簿!$F$3:$F$452,0)),""))</f>
        <v/>
      </c>
      <c r="H308" s="50">
        <f>IF(D308="","",IF(ISERROR(VALUE(D308)),D308&amp;"",IF(AND(VALUE(D308)&gt;=1,VALUE(D308)&lt;=20),IF(INDEX(設定!$P$8:$P$27,VALUE(D308))="","？",INDEX(設定!$P$8:$P$27,VALUE(D308))),"？")))</f>
        <v/>
      </c>
      <c r="I308" s="50">
        <f>IF(E308="","",IF(ISERROR(VALUE(E308)),E308&amp;"",IF(AND(VALUE(E308)&gt;=1,VALUE(E308)&lt;=20),IF(INDEX(設定!$P$8:$P$27,VALUE(E308))="","？",INDEX(設定!$P$8:$P$27,VALUE(E308))),"？")))</f>
        <v/>
      </c>
      <c r="J308" s="50">
        <f>IF(F308="","",IF(ISERROR(VALUE(F308)),F308&amp;"",IF(AND(VALUE(F308)&gt;=1,VALUE(F308)&lt;=20),IF(INDEX(設定!$P$8:$P$27,VALUE(F308))="","？",INDEX(設定!$P$8:$P$27,VALUE(F308))),"？")))</f>
        <v/>
      </c>
      <c r="K308" s="51">
        <f>IF(L308="","",IF(G308="","名簿にいない",IF(COUNTIF(L309:L$555,L308)&gt;0,"2回提出（下の行を使います）",IF(H308="転出","転出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OR(AND(H308&lt;&gt;"",H308=I308),AND(H308&lt;&gt;"",H308=J308),AND(I308&lt;&gt;"",I308=J308)),"同じクラブを重複して希望","OK")))))))</f>
        <v/>
      </c>
      <c r="L308" s="11">
        <f>IF(OR(A308="",D308=""),"",A308&amp;"-"&amp;B308&amp;"-"&amp;C308)</f>
        <v/>
      </c>
      <c r="M308" s="11">
        <f>IF(OR(L308="",G308=""),"",IF(COUNTIF(L309:L$555,L308)=0,L308,""))</f>
        <v/>
      </c>
      <c r="N308" s="11">
        <f>IFERROR(MATCH(SMALL(前年度名簿!$G$3:$G$452,304),前年度名簿!$G$3:$G$452,0),"")</f>
        <v/>
      </c>
    </row>
    <row r="309">
      <c r="A309" s="49">
        <f>IF($N309="","",INDEX(前年度名簿!$A$3:$A$452,$N309))</f>
        <v/>
      </c>
      <c r="B309" s="49">
        <f>IF($N309="","",INDEX(前年度名簿!$B$3:$B$452,$N309))</f>
        <v/>
      </c>
      <c r="C309" s="49">
        <f>IF($N309="","",INDEX(前年度名簿!$C$3:$C$452,$N309))</f>
        <v/>
      </c>
      <c r="D309" s="49" t="n"/>
      <c r="E309" s="49" t="n"/>
      <c r="F309" s="49" t="n"/>
      <c r="G309" s="4">
        <f>IF(A309="","",IFERROR(INDEX(前年度名簿!$D$3:$D$452,MATCH(A309&amp;"-"&amp;B309&amp;"-"&amp;C309,前年度名簿!$F$3:$F$452,0)),""))</f>
        <v/>
      </c>
      <c r="H309" s="50">
        <f>IF(D309="","",IF(ISERROR(VALUE(D309)),D309&amp;"",IF(AND(VALUE(D309)&gt;=1,VALUE(D309)&lt;=20),IF(INDEX(設定!$P$8:$P$27,VALUE(D309))="","？",INDEX(設定!$P$8:$P$27,VALUE(D309))),"？")))</f>
        <v/>
      </c>
      <c r="I309" s="50">
        <f>IF(E309="","",IF(ISERROR(VALUE(E309)),E309&amp;"",IF(AND(VALUE(E309)&gt;=1,VALUE(E309)&lt;=20),IF(INDEX(設定!$P$8:$P$27,VALUE(E309))="","？",INDEX(設定!$P$8:$P$27,VALUE(E309))),"？")))</f>
        <v/>
      </c>
      <c r="J309" s="50">
        <f>IF(F309="","",IF(ISERROR(VALUE(F309)),F309&amp;"",IF(AND(VALUE(F309)&gt;=1,VALUE(F309)&lt;=20),IF(INDEX(設定!$P$8:$P$27,VALUE(F309))="","？",INDEX(設定!$P$8:$P$27,VALUE(F309))),"？")))</f>
        <v/>
      </c>
      <c r="K309" s="51">
        <f>IF(L309="","",IF(G309="","名簿にいない",IF(COUNTIF(L310:L$555,L309)&gt;0,"2回提出（下の行を使います）",IF(H309="転出","転出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OR(AND(H309&lt;&gt;"",H309=I309),AND(H309&lt;&gt;"",H309=J309),AND(I309&lt;&gt;"",I309=J309)),"同じクラブを重複して希望","OK")))))))</f>
        <v/>
      </c>
      <c r="L309" s="11">
        <f>IF(OR(A309="",D309=""),"",A309&amp;"-"&amp;B309&amp;"-"&amp;C309)</f>
        <v/>
      </c>
      <c r="M309" s="11">
        <f>IF(OR(L309="",G309=""),"",IF(COUNTIF(L310:L$555,L309)=0,L309,""))</f>
        <v/>
      </c>
      <c r="N309" s="11">
        <f>IFERROR(MATCH(SMALL(前年度名簿!$G$3:$G$452,305),前年度名簿!$G$3:$G$452,0),"")</f>
        <v/>
      </c>
    </row>
    <row r="310">
      <c r="A310" s="49">
        <f>IF($N310="","",INDEX(前年度名簿!$A$3:$A$452,$N310))</f>
        <v/>
      </c>
      <c r="B310" s="49">
        <f>IF($N310="","",INDEX(前年度名簿!$B$3:$B$452,$N310))</f>
        <v/>
      </c>
      <c r="C310" s="49">
        <f>IF($N310="","",INDEX(前年度名簿!$C$3:$C$452,$N310))</f>
        <v/>
      </c>
      <c r="D310" s="49" t="n"/>
      <c r="E310" s="49" t="n"/>
      <c r="F310" s="49" t="n"/>
      <c r="G310" s="4">
        <f>IF(A310="","",IFERROR(INDEX(前年度名簿!$D$3:$D$452,MATCH(A310&amp;"-"&amp;B310&amp;"-"&amp;C310,前年度名簿!$F$3:$F$452,0)),""))</f>
        <v/>
      </c>
      <c r="H310" s="50">
        <f>IF(D310="","",IF(ISERROR(VALUE(D310)),D310&amp;"",IF(AND(VALUE(D310)&gt;=1,VALUE(D310)&lt;=20),IF(INDEX(設定!$P$8:$P$27,VALUE(D310))="","？",INDEX(設定!$P$8:$P$27,VALUE(D310))),"？")))</f>
        <v/>
      </c>
      <c r="I310" s="50">
        <f>IF(E310="","",IF(ISERROR(VALUE(E310)),E310&amp;"",IF(AND(VALUE(E310)&gt;=1,VALUE(E310)&lt;=20),IF(INDEX(設定!$P$8:$P$27,VALUE(E310))="","？",INDEX(設定!$P$8:$P$27,VALUE(E310))),"？")))</f>
        <v/>
      </c>
      <c r="J310" s="50">
        <f>IF(F310="","",IF(ISERROR(VALUE(F310)),F310&amp;"",IF(AND(VALUE(F310)&gt;=1,VALUE(F310)&lt;=20),IF(INDEX(設定!$P$8:$P$27,VALUE(F310))="","？",INDEX(設定!$P$8:$P$27,VALUE(F310))),"？")))</f>
        <v/>
      </c>
      <c r="K310" s="51">
        <f>IF(L310="","",IF(G310="","名簿にいない",IF(COUNTIF(L311:L$555,L310)&gt;0,"2回提出（下の行を使います）",IF(H310="転出","転出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OR(AND(H310&lt;&gt;"",H310=I310),AND(H310&lt;&gt;"",H310=J310),AND(I310&lt;&gt;"",I310=J310)),"同じクラブを重複して希望","OK")))))))</f>
        <v/>
      </c>
      <c r="L310" s="11">
        <f>IF(OR(A310="",D310=""),"",A310&amp;"-"&amp;B310&amp;"-"&amp;C310)</f>
        <v/>
      </c>
      <c r="M310" s="11">
        <f>IF(OR(L310="",G310=""),"",IF(COUNTIF(L311:L$555,L310)=0,L310,""))</f>
        <v/>
      </c>
      <c r="N310" s="11">
        <f>IFERROR(MATCH(SMALL(前年度名簿!$G$3:$G$452,306),前年度名簿!$G$3:$G$452,0),"")</f>
        <v/>
      </c>
    </row>
    <row r="311">
      <c r="A311" s="49">
        <f>IF($N311="","",INDEX(前年度名簿!$A$3:$A$452,$N311))</f>
        <v/>
      </c>
      <c r="B311" s="49">
        <f>IF($N311="","",INDEX(前年度名簿!$B$3:$B$452,$N311))</f>
        <v/>
      </c>
      <c r="C311" s="49">
        <f>IF($N311="","",INDEX(前年度名簿!$C$3:$C$452,$N311))</f>
        <v/>
      </c>
      <c r="D311" s="49" t="n"/>
      <c r="E311" s="49" t="n"/>
      <c r="F311" s="49" t="n"/>
      <c r="G311" s="4">
        <f>IF(A311="","",IFERROR(INDEX(前年度名簿!$D$3:$D$452,MATCH(A311&amp;"-"&amp;B311&amp;"-"&amp;C311,前年度名簿!$F$3:$F$452,0)),""))</f>
        <v/>
      </c>
      <c r="H311" s="50">
        <f>IF(D311="","",IF(ISERROR(VALUE(D311)),D311&amp;"",IF(AND(VALUE(D311)&gt;=1,VALUE(D311)&lt;=20),IF(INDEX(設定!$P$8:$P$27,VALUE(D311))="","？",INDEX(設定!$P$8:$P$27,VALUE(D311))),"？")))</f>
        <v/>
      </c>
      <c r="I311" s="50">
        <f>IF(E311="","",IF(ISERROR(VALUE(E311)),E311&amp;"",IF(AND(VALUE(E311)&gt;=1,VALUE(E311)&lt;=20),IF(INDEX(設定!$P$8:$P$27,VALUE(E311))="","？",INDEX(設定!$P$8:$P$27,VALUE(E311))),"？")))</f>
        <v/>
      </c>
      <c r="J311" s="50">
        <f>IF(F311="","",IF(ISERROR(VALUE(F311)),F311&amp;"",IF(AND(VALUE(F311)&gt;=1,VALUE(F311)&lt;=20),IF(INDEX(設定!$P$8:$P$27,VALUE(F311))="","？",INDEX(設定!$P$8:$P$27,VALUE(F311))),"？")))</f>
        <v/>
      </c>
      <c r="K311" s="51">
        <f>IF(L311="","",IF(G311="","名簿にいない",IF(COUNTIF(L312:L$555,L311)&gt;0,"2回提出（下の行を使います）",IF(H311="転出","転出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OR(AND(H311&lt;&gt;"",H311=I311),AND(H311&lt;&gt;"",H311=J311),AND(I311&lt;&gt;"",I311=J311)),"同じクラブを重複して希望","OK")))))))</f>
        <v/>
      </c>
      <c r="L311" s="11">
        <f>IF(OR(A311="",D311=""),"",A311&amp;"-"&amp;B311&amp;"-"&amp;C311)</f>
        <v/>
      </c>
      <c r="M311" s="11">
        <f>IF(OR(L311="",G311=""),"",IF(COUNTIF(L312:L$555,L311)=0,L311,""))</f>
        <v/>
      </c>
      <c r="N311" s="11">
        <f>IFERROR(MATCH(SMALL(前年度名簿!$G$3:$G$452,307),前年度名簿!$G$3:$G$452,0),"")</f>
        <v/>
      </c>
    </row>
    <row r="312">
      <c r="A312" s="49">
        <f>IF($N312="","",INDEX(前年度名簿!$A$3:$A$452,$N312))</f>
        <v/>
      </c>
      <c r="B312" s="49">
        <f>IF($N312="","",INDEX(前年度名簿!$B$3:$B$452,$N312))</f>
        <v/>
      </c>
      <c r="C312" s="49">
        <f>IF($N312="","",INDEX(前年度名簿!$C$3:$C$452,$N312))</f>
        <v/>
      </c>
      <c r="D312" s="49" t="n"/>
      <c r="E312" s="49" t="n"/>
      <c r="F312" s="49" t="n"/>
      <c r="G312" s="4">
        <f>IF(A312="","",IFERROR(INDEX(前年度名簿!$D$3:$D$452,MATCH(A312&amp;"-"&amp;B312&amp;"-"&amp;C312,前年度名簿!$F$3:$F$452,0)),""))</f>
        <v/>
      </c>
      <c r="H312" s="50">
        <f>IF(D312="","",IF(ISERROR(VALUE(D312)),D312&amp;"",IF(AND(VALUE(D312)&gt;=1,VALUE(D312)&lt;=20),IF(INDEX(設定!$P$8:$P$27,VALUE(D312))="","？",INDEX(設定!$P$8:$P$27,VALUE(D312))),"？")))</f>
        <v/>
      </c>
      <c r="I312" s="50">
        <f>IF(E312="","",IF(ISERROR(VALUE(E312)),E312&amp;"",IF(AND(VALUE(E312)&gt;=1,VALUE(E312)&lt;=20),IF(INDEX(設定!$P$8:$P$27,VALUE(E312))="","？",INDEX(設定!$P$8:$P$27,VALUE(E312))),"？")))</f>
        <v/>
      </c>
      <c r="J312" s="50">
        <f>IF(F312="","",IF(ISERROR(VALUE(F312)),F312&amp;"",IF(AND(VALUE(F312)&gt;=1,VALUE(F312)&lt;=20),IF(INDEX(設定!$P$8:$P$27,VALUE(F312))="","？",INDEX(設定!$P$8:$P$27,VALUE(F312))),"？")))</f>
        <v/>
      </c>
      <c r="K312" s="51">
        <f>IF(L312="","",IF(G312="","名簿にいない",IF(COUNTIF(L313:L$555,L312)&gt;0,"2回提出（下の行を使います）",IF(H312="転出","転出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OR(AND(H312&lt;&gt;"",H312=I312),AND(H312&lt;&gt;"",H312=J312),AND(I312&lt;&gt;"",I312=J312)),"同じクラブを重複して希望","OK")))))))</f>
        <v/>
      </c>
      <c r="L312" s="11">
        <f>IF(OR(A312="",D312=""),"",A312&amp;"-"&amp;B312&amp;"-"&amp;C312)</f>
        <v/>
      </c>
      <c r="M312" s="11">
        <f>IF(OR(L312="",G312=""),"",IF(COUNTIF(L313:L$555,L312)=0,L312,""))</f>
        <v/>
      </c>
      <c r="N312" s="11">
        <f>IFERROR(MATCH(SMALL(前年度名簿!$G$3:$G$452,308),前年度名簿!$G$3:$G$452,0),"")</f>
        <v/>
      </c>
    </row>
    <row r="313">
      <c r="A313" s="49">
        <f>IF($N313="","",INDEX(前年度名簿!$A$3:$A$452,$N313))</f>
        <v/>
      </c>
      <c r="B313" s="49">
        <f>IF($N313="","",INDEX(前年度名簿!$B$3:$B$452,$N313))</f>
        <v/>
      </c>
      <c r="C313" s="49">
        <f>IF($N313="","",INDEX(前年度名簿!$C$3:$C$452,$N313))</f>
        <v/>
      </c>
      <c r="D313" s="49" t="n"/>
      <c r="E313" s="49" t="n"/>
      <c r="F313" s="49" t="n"/>
      <c r="G313" s="4">
        <f>IF(A313="","",IFERROR(INDEX(前年度名簿!$D$3:$D$452,MATCH(A313&amp;"-"&amp;B313&amp;"-"&amp;C313,前年度名簿!$F$3:$F$452,0)),""))</f>
        <v/>
      </c>
      <c r="H313" s="50">
        <f>IF(D313="","",IF(ISERROR(VALUE(D313)),D313&amp;"",IF(AND(VALUE(D313)&gt;=1,VALUE(D313)&lt;=20),IF(INDEX(設定!$P$8:$P$27,VALUE(D313))="","？",INDEX(設定!$P$8:$P$27,VALUE(D313))),"？")))</f>
        <v/>
      </c>
      <c r="I313" s="50">
        <f>IF(E313="","",IF(ISERROR(VALUE(E313)),E313&amp;"",IF(AND(VALUE(E313)&gt;=1,VALUE(E313)&lt;=20),IF(INDEX(設定!$P$8:$P$27,VALUE(E313))="","？",INDEX(設定!$P$8:$P$27,VALUE(E313))),"？")))</f>
        <v/>
      </c>
      <c r="J313" s="50">
        <f>IF(F313="","",IF(ISERROR(VALUE(F313)),F313&amp;"",IF(AND(VALUE(F313)&gt;=1,VALUE(F313)&lt;=20),IF(INDEX(設定!$P$8:$P$27,VALUE(F313))="","？",INDEX(設定!$P$8:$P$27,VALUE(F313))),"？")))</f>
        <v/>
      </c>
      <c r="K313" s="51">
        <f>IF(L313="","",IF(G313="","名簿にいない",IF(COUNTIF(L314:L$555,L313)&gt;0,"2回提出（下の行を使います）",IF(H313="転出","転出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OR(AND(H313&lt;&gt;"",H313=I313),AND(H313&lt;&gt;"",H313=J313),AND(I313&lt;&gt;"",I313=J313)),"同じクラブを重複して希望","OK")))))))</f>
        <v/>
      </c>
      <c r="L313" s="11">
        <f>IF(OR(A313="",D313=""),"",A313&amp;"-"&amp;B313&amp;"-"&amp;C313)</f>
        <v/>
      </c>
      <c r="M313" s="11">
        <f>IF(OR(L313="",G313=""),"",IF(COUNTIF(L314:L$555,L313)=0,L313,""))</f>
        <v/>
      </c>
      <c r="N313" s="11">
        <f>IFERROR(MATCH(SMALL(前年度名簿!$G$3:$G$452,309),前年度名簿!$G$3:$G$452,0),"")</f>
        <v/>
      </c>
    </row>
    <row r="314">
      <c r="A314" s="49">
        <f>IF($N314="","",INDEX(前年度名簿!$A$3:$A$452,$N314))</f>
        <v/>
      </c>
      <c r="B314" s="49">
        <f>IF($N314="","",INDEX(前年度名簿!$B$3:$B$452,$N314))</f>
        <v/>
      </c>
      <c r="C314" s="49">
        <f>IF($N314="","",INDEX(前年度名簿!$C$3:$C$452,$N314))</f>
        <v/>
      </c>
      <c r="D314" s="49" t="n"/>
      <c r="E314" s="49" t="n"/>
      <c r="F314" s="49" t="n"/>
      <c r="G314" s="4">
        <f>IF(A314="","",IFERROR(INDEX(前年度名簿!$D$3:$D$452,MATCH(A314&amp;"-"&amp;B314&amp;"-"&amp;C314,前年度名簿!$F$3:$F$452,0)),""))</f>
        <v/>
      </c>
      <c r="H314" s="50">
        <f>IF(D314="","",IF(ISERROR(VALUE(D314)),D314&amp;"",IF(AND(VALUE(D314)&gt;=1,VALUE(D314)&lt;=20),IF(INDEX(設定!$P$8:$P$27,VALUE(D314))="","？",INDEX(設定!$P$8:$P$27,VALUE(D314))),"？")))</f>
        <v/>
      </c>
      <c r="I314" s="50">
        <f>IF(E314="","",IF(ISERROR(VALUE(E314)),E314&amp;"",IF(AND(VALUE(E314)&gt;=1,VALUE(E314)&lt;=20),IF(INDEX(設定!$P$8:$P$27,VALUE(E314))="","？",INDEX(設定!$P$8:$P$27,VALUE(E314))),"？")))</f>
        <v/>
      </c>
      <c r="J314" s="50">
        <f>IF(F314="","",IF(ISERROR(VALUE(F314)),F314&amp;"",IF(AND(VALUE(F314)&gt;=1,VALUE(F314)&lt;=20),IF(INDEX(設定!$P$8:$P$27,VALUE(F314))="","？",INDEX(設定!$P$8:$P$27,VALUE(F314))),"？")))</f>
        <v/>
      </c>
      <c r="K314" s="51">
        <f>IF(L314="","",IF(G314="","名簿にいない",IF(COUNTIF(L315:L$555,L314)&gt;0,"2回提出（下の行を使います）",IF(H314="転出","転出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OR(AND(H314&lt;&gt;"",H314=I314),AND(H314&lt;&gt;"",H314=J314),AND(I314&lt;&gt;"",I314=J314)),"同じクラブを重複して希望","OK")))))))</f>
        <v/>
      </c>
      <c r="L314" s="11">
        <f>IF(OR(A314="",D314=""),"",A314&amp;"-"&amp;B314&amp;"-"&amp;C314)</f>
        <v/>
      </c>
      <c r="M314" s="11">
        <f>IF(OR(L314="",G314=""),"",IF(COUNTIF(L315:L$555,L314)=0,L314,""))</f>
        <v/>
      </c>
      <c r="N314" s="11">
        <f>IFERROR(MATCH(SMALL(前年度名簿!$G$3:$G$452,310),前年度名簿!$G$3:$G$452,0),"")</f>
        <v/>
      </c>
    </row>
    <row r="315">
      <c r="A315" s="49">
        <f>IF($N315="","",INDEX(前年度名簿!$A$3:$A$452,$N315))</f>
        <v/>
      </c>
      <c r="B315" s="49">
        <f>IF($N315="","",INDEX(前年度名簿!$B$3:$B$452,$N315))</f>
        <v/>
      </c>
      <c r="C315" s="49">
        <f>IF($N315="","",INDEX(前年度名簿!$C$3:$C$452,$N315))</f>
        <v/>
      </c>
      <c r="D315" s="49" t="n"/>
      <c r="E315" s="49" t="n"/>
      <c r="F315" s="49" t="n"/>
      <c r="G315" s="4">
        <f>IF(A315="","",IFERROR(INDEX(前年度名簿!$D$3:$D$452,MATCH(A315&amp;"-"&amp;B315&amp;"-"&amp;C315,前年度名簿!$F$3:$F$452,0)),""))</f>
        <v/>
      </c>
      <c r="H315" s="50">
        <f>IF(D315="","",IF(ISERROR(VALUE(D315)),D315&amp;"",IF(AND(VALUE(D315)&gt;=1,VALUE(D315)&lt;=20),IF(INDEX(設定!$P$8:$P$27,VALUE(D315))="","？",INDEX(設定!$P$8:$P$27,VALUE(D315))),"？")))</f>
        <v/>
      </c>
      <c r="I315" s="50">
        <f>IF(E315="","",IF(ISERROR(VALUE(E315)),E315&amp;"",IF(AND(VALUE(E315)&gt;=1,VALUE(E315)&lt;=20),IF(INDEX(設定!$P$8:$P$27,VALUE(E315))="","？",INDEX(設定!$P$8:$P$27,VALUE(E315))),"？")))</f>
        <v/>
      </c>
      <c r="J315" s="50">
        <f>IF(F315="","",IF(ISERROR(VALUE(F315)),F315&amp;"",IF(AND(VALUE(F315)&gt;=1,VALUE(F315)&lt;=20),IF(INDEX(設定!$P$8:$P$27,VALUE(F315))="","？",INDEX(設定!$P$8:$P$27,VALUE(F315))),"？")))</f>
        <v/>
      </c>
      <c r="K315" s="51">
        <f>IF(L315="","",IF(G315="","名簿にいない",IF(COUNTIF(L316:L$555,L315)&gt;0,"2回提出（下の行を使います）",IF(H315="転出","転出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OR(AND(H315&lt;&gt;"",H315=I315),AND(H315&lt;&gt;"",H315=J315),AND(I315&lt;&gt;"",I315=J315)),"同じクラブを重複して希望","OK")))))))</f>
        <v/>
      </c>
      <c r="L315" s="11">
        <f>IF(OR(A315="",D315=""),"",A315&amp;"-"&amp;B315&amp;"-"&amp;C315)</f>
        <v/>
      </c>
      <c r="M315" s="11">
        <f>IF(OR(L315="",G315=""),"",IF(COUNTIF(L316:L$555,L315)=0,L315,""))</f>
        <v/>
      </c>
      <c r="N315" s="11">
        <f>IFERROR(MATCH(SMALL(前年度名簿!$G$3:$G$452,311),前年度名簿!$G$3:$G$452,0),"")</f>
        <v/>
      </c>
    </row>
    <row r="316">
      <c r="A316" s="49">
        <f>IF($N316="","",INDEX(前年度名簿!$A$3:$A$452,$N316))</f>
        <v/>
      </c>
      <c r="B316" s="49">
        <f>IF($N316="","",INDEX(前年度名簿!$B$3:$B$452,$N316))</f>
        <v/>
      </c>
      <c r="C316" s="49">
        <f>IF($N316="","",INDEX(前年度名簿!$C$3:$C$452,$N316))</f>
        <v/>
      </c>
      <c r="D316" s="49" t="n"/>
      <c r="E316" s="49" t="n"/>
      <c r="F316" s="49" t="n"/>
      <c r="G316" s="4">
        <f>IF(A316="","",IFERROR(INDEX(前年度名簿!$D$3:$D$452,MATCH(A316&amp;"-"&amp;B316&amp;"-"&amp;C316,前年度名簿!$F$3:$F$452,0)),""))</f>
        <v/>
      </c>
      <c r="H316" s="50">
        <f>IF(D316="","",IF(ISERROR(VALUE(D316)),D316&amp;"",IF(AND(VALUE(D316)&gt;=1,VALUE(D316)&lt;=20),IF(INDEX(設定!$P$8:$P$27,VALUE(D316))="","？",INDEX(設定!$P$8:$P$27,VALUE(D316))),"？")))</f>
        <v/>
      </c>
      <c r="I316" s="50">
        <f>IF(E316="","",IF(ISERROR(VALUE(E316)),E316&amp;"",IF(AND(VALUE(E316)&gt;=1,VALUE(E316)&lt;=20),IF(INDEX(設定!$P$8:$P$27,VALUE(E316))="","？",INDEX(設定!$P$8:$P$27,VALUE(E316))),"？")))</f>
        <v/>
      </c>
      <c r="J316" s="50">
        <f>IF(F316="","",IF(ISERROR(VALUE(F316)),F316&amp;"",IF(AND(VALUE(F316)&gt;=1,VALUE(F316)&lt;=20),IF(INDEX(設定!$P$8:$P$27,VALUE(F316))="","？",INDEX(設定!$P$8:$P$27,VALUE(F316))),"？")))</f>
        <v/>
      </c>
      <c r="K316" s="51">
        <f>IF(L316="","",IF(G316="","名簿にいない",IF(COUNTIF(L317:L$555,L316)&gt;0,"2回提出（下の行を使います）",IF(H316="転出","転出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OR(AND(H316&lt;&gt;"",H316=I316),AND(H316&lt;&gt;"",H316=J316),AND(I316&lt;&gt;"",I316=J316)),"同じクラブを重複して希望","OK")))))))</f>
        <v/>
      </c>
      <c r="L316" s="11">
        <f>IF(OR(A316="",D316=""),"",A316&amp;"-"&amp;B316&amp;"-"&amp;C316)</f>
        <v/>
      </c>
      <c r="M316" s="11">
        <f>IF(OR(L316="",G316=""),"",IF(COUNTIF(L317:L$555,L316)=0,L316,""))</f>
        <v/>
      </c>
      <c r="N316" s="11">
        <f>IFERROR(MATCH(SMALL(前年度名簿!$G$3:$G$452,312),前年度名簿!$G$3:$G$452,0),"")</f>
        <v/>
      </c>
    </row>
    <row r="317">
      <c r="A317" s="49">
        <f>IF($N317="","",INDEX(前年度名簿!$A$3:$A$452,$N317))</f>
        <v/>
      </c>
      <c r="B317" s="49">
        <f>IF($N317="","",INDEX(前年度名簿!$B$3:$B$452,$N317))</f>
        <v/>
      </c>
      <c r="C317" s="49">
        <f>IF($N317="","",INDEX(前年度名簿!$C$3:$C$452,$N317))</f>
        <v/>
      </c>
      <c r="D317" s="49" t="n"/>
      <c r="E317" s="49" t="n"/>
      <c r="F317" s="49" t="n"/>
      <c r="G317" s="4">
        <f>IF(A317="","",IFERROR(INDEX(前年度名簿!$D$3:$D$452,MATCH(A317&amp;"-"&amp;B317&amp;"-"&amp;C317,前年度名簿!$F$3:$F$452,0)),""))</f>
        <v/>
      </c>
      <c r="H317" s="50">
        <f>IF(D317="","",IF(ISERROR(VALUE(D317)),D317&amp;"",IF(AND(VALUE(D317)&gt;=1,VALUE(D317)&lt;=20),IF(INDEX(設定!$P$8:$P$27,VALUE(D317))="","？",INDEX(設定!$P$8:$P$27,VALUE(D317))),"？")))</f>
        <v/>
      </c>
      <c r="I317" s="50">
        <f>IF(E317="","",IF(ISERROR(VALUE(E317)),E317&amp;"",IF(AND(VALUE(E317)&gt;=1,VALUE(E317)&lt;=20),IF(INDEX(設定!$P$8:$P$27,VALUE(E317))="","？",INDEX(設定!$P$8:$P$27,VALUE(E317))),"？")))</f>
        <v/>
      </c>
      <c r="J317" s="50">
        <f>IF(F317="","",IF(ISERROR(VALUE(F317)),F317&amp;"",IF(AND(VALUE(F317)&gt;=1,VALUE(F317)&lt;=20),IF(INDEX(設定!$P$8:$P$27,VALUE(F317))="","？",INDEX(設定!$P$8:$P$27,VALUE(F317))),"？")))</f>
        <v/>
      </c>
      <c r="K317" s="51">
        <f>IF(L317="","",IF(G317="","名簿にいない",IF(COUNTIF(L318:L$555,L317)&gt;0,"2回提出（下の行を使います）",IF(H317="転出","転出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OR(AND(H317&lt;&gt;"",H317=I317),AND(H317&lt;&gt;"",H317=J317),AND(I317&lt;&gt;"",I317=J317)),"同じクラブを重複して希望","OK")))))))</f>
        <v/>
      </c>
      <c r="L317" s="11">
        <f>IF(OR(A317="",D317=""),"",A317&amp;"-"&amp;B317&amp;"-"&amp;C317)</f>
        <v/>
      </c>
      <c r="M317" s="11">
        <f>IF(OR(L317="",G317=""),"",IF(COUNTIF(L318:L$555,L317)=0,L317,""))</f>
        <v/>
      </c>
      <c r="N317" s="11">
        <f>IFERROR(MATCH(SMALL(前年度名簿!$G$3:$G$452,313),前年度名簿!$G$3:$G$452,0),"")</f>
        <v/>
      </c>
    </row>
    <row r="318">
      <c r="A318" s="49">
        <f>IF($N318="","",INDEX(前年度名簿!$A$3:$A$452,$N318))</f>
        <v/>
      </c>
      <c r="B318" s="49">
        <f>IF($N318="","",INDEX(前年度名簿!$B$3:$B$452,$N318))</f>
        <v/>
      </c>
      <c r="C318" s="49">
        <f>IF($N318="","",INDEX(前年度名簿!$C$3:$C$452,$N318))</f>
        <v/>
      </c>
      <c r="D318" s="49" t="n"/>
      <c r="E318" s="49" t="n"/>
      <c r="F318" s="49" t="n"/>
      <c r="G318" s="4">
        <f>IF(A318="","",IFERROR(INDEX(前年度名簿!$D$3:$D$452,MATCH(A318&amp;"-"&amp;B318&amp;"-"&amp;C318,前年度名簿!$F$3:$F$452,0)),""))</f>
        <v/>
      </c>
      <c r="H318" s="50">
        <f>IF(D318="","",IF(ISERROR(VALUE(D318)),D318&amp;"",IF(AND(VALUE(D318)&gt;=1,VALUE(D318)&lt;=20),IF(INDEX(設定!$P$8:$P$27,VALUE(D318))="","？",INDEX(設定!$P$8:$P$27,VALUE(D318))),"？")))</f>
        <v/>
      </c>
      <c r="I318" s="50">
        <f>IF(E318="","",IF(ISERROR(VALUE(E318)),E318&amp;"",IF(AND(VALUE(E318)&gt;=1,VALUE(E318)&lt;=20),IF(INDEX(設定!$P$8:$P$27,VALUE(E318))="","？",INDEX(設定!$P$8:$P$27,VALUE(E318))),"？")))</f>
        <v/>
      </c>
      <c r="J318" s="50">
        <f>IF(F318="","",IF(ISERROR(VALUE(F318)),F318&amp;"",IF(AND(VALUE(F318)&gt;=1,VALUE(F318)&lt;=20),IF(INDEX(設定!$P$8:$P$27,VALUE(F318))="","？",INDEX(設定!$P$8:$P$27,VALUE(F318))),"？")))</f>
        <v/>
      </c>
      <c r="K318" s="51">
        <f>IF(L318="","",IF(G318="","名簿にいない",IF(COUNTIF(L319:L$555,L318)&gt;0,"2回提出（下の行を使います）",IF(H318="転出","転出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OR(AND(H318&lt;&gt;"",H318=I318),AND(H318&lt;&gt;"",H318=J318),AND(I318&lt;&gt;"",I318=J318)),"同じクラブを重複して希望","OK")))))))</f>
        <v/>
      </c>
      <c r="L318" s="11">
        <f>IF(OR(A318="",D318=""),"",A318&amp;"-"&amp;B318&amp;"-"&amp;C318)</f>
        <v/>
      </c>
      <c r="M318" s="11">
        <f>IF(OR(L318="",G318=""),"",IF(COUNTIF(L319:L$555,L318)=0,L318,""))</f>
        <v/>
      </c>
      <c r="N318" s="11">
        <f>IFERROR(MATCH(SMALL(前年度名簿!$G$3:$G$452,314),前年度名簿!$G$3:$G$452,0),"")</f>
        <v/>
      </c>
    </row>
    <row r="319">
      <c r="A319" s="49">
        <f>IF($N319="","",INDEX(前年度名簿!$A$3:$A$452,$N319))</f>
        <v/>
      </c>
      <c r="B319" s="49">
        <f>IF($N319="","",INDEX(前年度名簿!$B$3:$B$452,$N319))</f>
        <v/>
      </c>
      <c r="C319" s="49">
        <f>IF($N319="","",INDEX(前年度名簿!$C$3:$C$452,$N319))</f>
        <v/>
      </c>
      <c r="D319" s="49" t="n"/>
      <c r="E319" s="49" t="n"/>
      <c r="F319" s="49" t="n"/>
      <c r="G319" s="4">
        <f>IF(A319="","",IFERROR(INDEX(前年度名簿!$D$3:$D$452,MATCH(A319&amp;"-"&amp;B319&amp;"-"&amp;C319,前年度名簿!$F$3:$F$452,0)),""))</f>
        <v/>
      </c>
      <c r="H319" s="50">
        <f>IF(D319="","",IF(ISERROR(VALUE(D319)),D319&amp;"",IF(AND(VALUE(D319)&gt;=1,VALUE(D319)&lt;=20),IF(INDEX(設定!$P$8:$P$27,VALUE(D319))="","？",INDEX(設定!$P$8:$P$27,VALUE(D319))),"？")))</f>
        <v/>
      </c>
      <c r="I319" s="50">
        <f>IF(E319="","",IF(ISERROR(VALUE(E319)),E319&amp;"",IF(AND(VALUE(E319)&gt;=1,VALUE(E319)&lt;=20),IF(INDEX(設定!$P$8:$P$27,VALUE(E319))="","？",INDEX(設定!$P$8:$P$27,VALUE(E319))),"？")))</f>
        <v/>
      </c>
      <c r="J319" s="50">
        <f>IF(F319="","",IF(ISERROR(VALUE(F319)),F319&amp;"",IF(AND(VALUE(F319)&gt;=1,VALUE(F319)&lt;=20),IF(INDEX(設定!$P$8:$P$27,VALUE(F319))="","？",INDEX(設定!$P$8:$P$27,VALUE(F319))),"？")))</f>
        <v/>
      </c>
      <c r="K319" s="51">
        <f>IF(L319="","",IF(G319="","名簿にいない",IF(COUNTIF(L320:L$555,L319)&gt;0,"2回提出（下の行を使います）",IF(H319="転出","転出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OR(AND(H319&lt;&gt;"",H319=I319),AND(H319&lt;&gt;"",H319=J319),AND(I319&lt;&gt;"",I319=J319)),"同じクラブを重複して希望","OK")))))))</f>
        <v/>
      </c>
      <c r="L319" s="11">
        <f>IF(OR(A319="",D319=""),"",A319&amp;"-"&amp;B319&amp;"-"&amp;C319)</f>
        <v/>
      </c>
      <c r="M319" s="11">
        <f>IF(OR(L319="",G319=""),"",IF(COUNTIF(L320:L$555,L319)=0,L319,""))</f>
        <v/>
      </c>
      <c r="N319" s="11">
        <f>IFERROR(MATCH(SMALL(前年度名簿!$G$3:$G$452,315),前年度名簿!$G$3:$G$452,0),"")</f>
        <v/>
      </c>
    </row>
    <row r="320">
      <c r="A320" s="49">
        <f>IF($N320="","",INDEX(前年度名簿!$A$3:$A$452,$N320))</f>
        <v/>
      </c>
      <c r="B320" s="49">
        <f>IF($N320="","",INDEX(前年度名簿!$B$3:$B$452,$N320))</f>
        <v/>
      </c>
      <c r="C320" s="49">
        <f>IF($N320="","",INDEX(前年度名簿!$C$3:$C$452,$N320))</f>
        <v/>
      </c>
      <c r="D320" s="49" t="n"/>
      <c r="E320" s="49" t="n"/>
      <c r="F320" s="49" t="n"/>
      <c r="G320" s="4">
        <f>IF(A320="","",IFERROR(INDEX(前年度名簿!$D$3:$D$452,MATCH(A320&amp;"-"&amp;B320&amp;"-"&amp;C320,前年度名簿!$F$3:$F$452,0)),""))</f>
        <v/>
      </c>
      <c r="H320" s="50">
        <f>IF(D320="","",IF(ISERROR(VALUE(D320)),D320&amp;"",IF(AND(VALUE(D320)&gt;=1,VALUE(D320)&lt;=20),IF(INDEX(設定!$P$8:$P$27,VALUE(D320))="","？",INDEX(設定!$P$8:$P$27,VALUE(D320))),"？")))</f>
        <v/>
      </c>
      <c r="I320" s="50">
        <f>IF(E320="","",IF(ISERROR(VALUE(E320)),E320&amp;"",IF(AND(VALUE(E320)&gt;=1,VALUE(E320)&lt;=20),IF(INDEX(設定!$P$8:$P$27,VALUE(E320))="","？",INDEX(設定!$P$8:$P$27,VALUE(E320))),"？")))</f>
        <v/>
      </c>
      <c r="J320" s="50">
        <f>IF(F320="","",IF(ISERROR(VALUE(F320)),F320&amp;"",IF(AND(VALUE(F320)&gt;=1,VALUE(F320)&lt;=20),IF(INDEX(設定!$P$8:$P$27,VALUE(F320))="","？",INDEX(設定!$P$8:$P$27,VALUE(F320))),"？")))</f>
        <v/>
      </c>
      <c r="K320" s="51">
        <f>IF(L320="","",IF(G320="","名簿にいない",IF(COUNTIF(L321:L$555,L320)&gt;0,"2回提出（下の行を使います）",IF(H320="転出","転出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OR(AND(H320&lt;&gt;"",H320=I320),AND(H320&lt;&gt;"",H320=J320),AND(I320&lt;&gt;"",I320=J320)),"同じクラブを重複して希望","OK")))))))</f>
        <v/>
      </c>
      <c r="L320" s="11">
        <f>IF(OR(A320="",D320=""),"",A320&amp;"-"&amp;B320&amp;"-"&amp;C320)</f>
        <v/>
      </c>
      <c r="M320" s="11">
        <f>IF(OR(L320="",G320=""),"",IF(COUNTIF(L321:L$555,L320)=0,L320,""))</f>
        <v/>
      </c>
      <c r="N320" s="11">
        <f>IFERROR(MATCH(SMALL(前年度名簿!$G$3:$G$452,316),前年度名簿!$G$3:$G$452,0),"")</f>
        <v/>
      </c>
    </row>
    <row r="321">
      <c r="A321" s="49">
        <f>IF($N321="","",INDEX(前年度名簿!$A$3:$A$452,$N321))</f>
        <v/>
      </c>
      <c r="B321" s="49">
        <f>IF($N321="","",INDEX(前年度名簿!$B$3:$B$452,$N321))</f>
        <v/>
      </c>
      <c r="C321" s="49">
        <f>IF($N321="","",INDEX(前年度名簿!$C$3:$C$452,$N321))</f>
        <v/>
      </c>
      <c r="D321" s="49" t="n"/>
      <c r="E321" s="49" t="n"/>
      <c r="F321" s="49" t="n"/>
      <c r="G321" s="4">
        <f>IF(A321="","",IFERROR(INDEX(前年度名簿!$D$3:$D$452,MATCH(A321&amp;"-"&amp;B321&amp;"-"&amp;C321,前年度名簿!$F$3:$F$452,0)),""))</f>
        <v/>
      </c>
      <c r="H321" s="50">
        <f>IF(D321="","",IF(ISERROR(VALUE(D321)),D321&amp;"",IF(AND(VALUE(D321)&gt;=1,VALUE(D321)&lt;=20),IF(INDEX(設定!$P$8:$P$27,VALUE(D321))="","？",INDEX(設定!$P$8:$P$27,VALUE(D321))),"？")))</f>
        <v/>
      </c>
      <c r="I321" s="50">
        <f>IF(E321="","",IF(ISERROR(VALUE(E321)),E321&amp;"",IF(AND(VALUE(E321)&gt;=1,VALUE(E321)&lt;=20),IF(INDEX(設定!$P$8:$P$27,VALUE(E321))="","？",INDEX(設定!$P$8:$P$27,VALUE(E321))),"？")))</f>
        <v/>
      </c>
      <c r="J321" s="50">
        <f>IF(F321="","",IF(ISERROR(VALUE(F321)),F321&amp;"",IF(AND(VALUE(F321)&gt;=1,VALUE(F321)&lt;=20),IF(INDEX(設定!$P$8:$P$27,VALUE(F321))="","？",INDEX(設定!$P$8:$P$27,VALUE(F321))),"？")))</f>
        <v/>
      </c>
      <c r="K321" s="51">
        <f>IF(L321="","",IF(G321="","名簿にいない",IF(COUNTIF(L322:L$555,L321)&gt;0,"2回提出（下の行を使います）",IF(H321="転出","転出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OR(AND(H321&lt;&gt;"",H321=I321),AND(H321&lt;&gt;"",H321=J321),AND(I321&lt;&gt;"",I321=J321)),"同じクラブを重複して希望","OK")))))))</f>
        <v/>
      </c>
      <c r="L321" s="11">
        <f>IF(OR(A321="",D321=""),"",A321&amp;"-"&amp;B321&amp;"-"&amp;C321)</f>
        <v/>
      </c>
      <c r="M321" s="11">
        <f>IF(OR(L321="",G321=""),"",IF(COUNTIF(L322:L$555,L321)=0,L321,""))</f>
        <v/>
      </c>
      <c r="N321" s="11">
        <f>IFERROR(MATCH(SMALL(前年度名簿!$G$3:$G$452,317),前年度名簿!$G$3:$G$452,0),"")</f>
        <v/>
      </c>
    </row>
    <row r="322">
      <c r="A322" s="49">
        <f>IF($N322="","",INDEX(前年度名簿!$A$3:$A$452,$N322))</f>
        <v/>
      </c>
      <c r="B322" s="49">
        <f>IF($N322="","",INDEX(前年度名簿!$B$3:$B$452,$N322))</f>
        <v/>
      </c>
      <c r="C322" s="49">
        <f>IF($N322="","",INDEX(前年度名簿!$C$3:$C$452,$N322))</f>
        <v/>
      </c>
      <c r="D322" s="49" t="n"/>
      <c r="E322" s="49" t="n"/>
      <c r="F322" s="49" t="n"/>
      <c r="G322" s="4">
        <f>IF(A322="","",IFERROR(INDEX(前年度名簿!$D$3:$D$452,MATCH(A322&amp;"-"&amp;B322&amp;"-"&amp;C322,前年度名簿!$F$3:$F$452,0)),""))</f>
        <v/>
      </c>
      <c r="H322" s="50">
        <f>IF(D322="","",IF(ISERROR(VALUE(D322)),D322&amp;"",IF(AND(VALUE(D322)&gt;=1,VALUE(D322)&lt;=20),IF(INDEX(設定!$P$8:$P$27,VALUE(D322))="","？",INDEX(設定!$P$8:$P$27,VALUE(D322))),"？")))</f>
        <v/>
      </c>
      <c r="I322" s="50">
        <f>IF(E322="","",IF(ISERROR(VALUE(E322)),E322&amp;"",IF(AND(VALUE(E322)&gt;=1,VALUE(E322)&lt;=20),IF(INDEX(設定!$P$8:$P$27,VALUE(E322))="","？",INDEX(設定!$P$8:$P$27,VALUE(E322))),"？")))</f>
        <v/>
      </c>
      <c r="J322" s="50">
        <f>IF(F322="","",IF(ISERROR(VALUE(F322)),F322&amp;"",IF(AND(VALUE(F322)&gt;=1,VALUE(F322)&lt;=20),IF(INDEX(設定!$P$8:$P$27,VALUE(F322))="","？",INDEX(設定!$P$8:$P$27,VALUE(F322))),"？")))</f>
        <v/>
      </c>
      <c r="K322" s="51">
        <f>IF(L322="","",IF(G322="","名簿にいない",IF(COUNTIF(L323:L$555,L322)&gt;0,"2回提出（下の行を使います）",IF(H322="転出","転出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OR(AND(H322&lt;&gt;"",H322=I322),AND(H322&lt;&gt;"",H322=J322),AND(I322&lt;&gt;"",I322=J322)),"同じクラブを重複して希望","OK")))))))</f>
        <v/>
      </c>
      <c r="L322" s="11">
        <f>IF(OR(A322="",D322=""),"",A322&amp;"-"&amp;B322&amp;"-"&amp;C322)</f>
        <v/>
      </c>
      <c r="M322" s="11">
        <f>IF(OR(L322="",G322=""),"",IF(COUNTIF(L323:L$555,L322)=0,L322,""))</f>
        <v/>
      </c>
      <c r="N322" s="11">
        <f>IFERROR(MATCH(SMALL(前年度名簿!$G$3:$G$452,318),前年度名簿!$G$3:$G$452,0),"")</f>
        <v/>
      </c>
    </row>
    <row r="323">
      <c r="A323" s="49">
        <f>IF($N323="","",INDEX(前年度名簿!$A$3:$A$452,$N323))</f>
        <v/>
      </c>
      <c r="B323" s="49">
        <f>IF($N323="","",INDEX(前年度名簿!$B$3:$B$452,$N323))</f>
        <v/>
      </c>
      <c r="C323" s="49">
        <f>IF($N323="","",INDEX(前年度名簿!$C$3:$C$452,$N323))</f>
        <v/>
      </c>
      <c r="D323" s="49" t="n"/>
      <c r="E323" s="49" t="n"/>
      <c r="F323" s="49" t="n"/>
      <c r="G323" s="4">
        <f>IF(A323="","",IFERROR(INDEX(前年度名簿!$D$3:$D$452,MATCH(A323&amp;"-"&amp;B323&amp;"-"&amp;C323,前年度名簿!$F$3:$F$452,0)),""))</f>
        <v/>
      </c>
      <c r="H323" s="50">
        <f>IF(D323="","",IF(ISERROR(VALUE(D323)),D323&amp;"",IF(AND(VALUE(D323)&gt;=1,VALUE(D323)&lt;=20),IF(INDEX(設定!$P$8:$P$27,VALUE(D323))="","？",INDEX(設定!$P$8:$P$27,VALUE(D323))),"？")))</f>
        <v/>
      </c>
      <c r="I323" s="50">
        <f>IF(E323="","",IF(ISERROR(VALUE(E323)),E323&amp;"",IF(AND(VALUE(E323)&gt;=1,VALUE(E323)&lt;=20),IF(INDEX(設定!$P$8:$P$27,VALUE(E323))="","？",INDEX(設定!$P$8:$P$27,VALUE(E323))),"？")))</f>
        <v/>
      </c>
      <c r="J323" s="50">
        <f>IF(F323="","",IF(ISERROR(VALUE(F323)),F323&amp;"",IF(AND(VALUE(F323)&gt;=1,VALUE(F323)&lt;=20),IF(INDEX(設定!$P$8:$P$27,VALUE(F323))="","？",INDEX(設定!$P$8:$P$27,VALUE(F323))),"？")))</f>
        <v/>
      </c>
      <c r="K323" s="51">
        <f>IF(L323="","",IF(G323="","名簿にいない",IF(COUNTIF(L324:L$555,L323)&gt;0,"2回提出（下の行を使います）",IF(H323="転出","転出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OR(AND(H323&lt;&gt;"",H323=I323),AND(H323&lt;&gt;"",H323=J323),AND(I323&lt;&gt;"",I323=J323)),"同じクラブを重複して希望","OK")))))))</f>
        <v/>
      </c>
      <c r="L323" s="11">
        <f>IF(OR(A323="",D323=""),"",A323&amp;"-"&amp;B323&amp;"-"&amp;C323)</f>
        <v/>
      </c>
      <c r="M323" s="11">
        <f>IF(OR(L323="",G323=""),"",IF(COUNTIF(L324:L$555,L323)=0,L323,""))</f>
        <v/>
      </c>
      <c r="N323" s="11">
        <f>IFERROR(MATCH(SMALL(前年度名簿!$G$3:$G$452,319),前年度名簿!$G$3:$G$452,0),"")</f>
        <v/>
      </c>
    </row>
    <row r="324">
      <c r="A324" s="49">
        <f>IF($N324="","",INDEX(前年度名簿!$A$3:$A$452,$N324))</f>
        <v/>
      </c>
      <c r="B324" s="49">
        <f>IF($N324="","",INDEX(前年度名簿!$B$3:$B$452,$N324))</f>
        <v/>
      </c>
      <c r="C324" s="49">
        <f>IF($N324="","",INDEX(前年度名簿!$C$3:$C$452,$N324))</f>
        <v/>
      </c>
      <c r="D324" s="49" t="n"/>
      <c r="E324" s="49" t="n"/>
      <c r="F324" s="49" t="n"/>
      <c r="G324" s="4">
        <f>IF(A324="","",IFERROR(INDEX(前年度名簿!$D$3:$D$452,MATCH(A324&amp;"-"&amp;B324&amp;"-"&amp;C324,前年度名簿!$F$3:$F$452,0)),""))</f>
        <v/>
      </c>
      <c r="H324" s="50">
        <f>IF(D324="","",IF(ISERROR(VALUE(D324)),D324&amp;"",IF(AND(VALUE(D324)&gt;=1,VALUE(D324)&lt;=20),IF(INDEX(設定!$P$8:$P$27,VALUE(D324))="","？",INDEX(設定!$P$8:$P$27,VALUE(D324))),"？")))</f>
        <v/>
      </c>
      <c r="I324" s="50">
        <f>IF(E324="","",IF(ISERROR(VALUE(E324)),E324&amp;"",IF(AND(VALUE(E324)&gt;=1,VALUE(E324)&lt;=20),IF(INDEX(設定!$P$8:$P$27,VALUE(E324))="","？",INDEX(設定!$P$8:$P$27,VALUE(E324))),"？")))</f>
        <v/>
      </c>
      <c r="J324" s="50">
        <f>IF(F324="","",IF(ISERROR(VALUE(F324)),F324&amp;"",IF(AND(VALUE(F324)&gt;=1,VALUE(F324)&lt;=20),IF(INDEX(設定!$P$8:$P$27,VALUE(F324))="","？",INDEX(設定!$P$8:$P$27,VALUE(F324))),"？")))</f>
        <v/>
      </c>
      <c r="K324" s="51">
        <f>IF(L324="","",IF(G324="","名簿にいない",IF(COUNTIF(L325:L$555,L324)&gt;0,"2回提出（下の行を使います）",IF(H324="転出","転出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OR(AND(H324&lt;&gt;"",H324=I324),AND(H324&lt;&gt;"",H324=J324),AND(I324&lt;&gt;"",I324=J324)),"同じクラブを重複して希望","OK")))))))</f>
        <v/>
      </c>
      <c r="L324" s="11">
        <f>IF(OR(A324="",D324=""),"",A324&amp;"-"&amp;B324&amp;"-"&amp;C324)</f>
        <v/>
      </c>
      <c r="M324" s="11">
        <f>IF(OR(L324="",G324=""),"",IF(COUNTIF(L325:L$555,L324)=0,L324,""))</f>
        <v/>
      </c>
      <c r="N324" s="11">
        <f>IFERROR(MATCH(SMALL(前年度名簿!$G$3:$G$452,320),前年度名簿!$G$3:$G$452,0),"")</f>
        <v/>
      </c>
    </row>
    <row r="325">
      <c r="A325" s="49">
        <f>IF($N325="","",INDEX(前年度名簿!$A$3:$A$452,$N325))</f>
        <v/>
      </c>
      <c r="B325" s="49">
        <f>IF($N325="","",INDEX(前年度名簿!$B$3:$B$452,$N325))</f>
        <v/>
      </c>
      <c r="C325" s="49">
        <f>IF($N325="","",INDEX(前年度名簿!$C$3:$C$452,$N325))</f>
        <v/>
      </c>
      <c r="D325" s="49" t="n"/>
      <c r="E325" s="49" t="n"/>
      <c r="F325" s="49" t="n"/>
      <c r="G325" s="4">
        <f>IF(A325="","",IFERROR(INDEX(前年度名簿!$D$3:$D$452,MATCH(A325&amp;"-"&amp;B325&amp;"-"&amp;C325,前年度名簿!$F$3:$F$452,0)),""))</f>
        <v/>
      </c>
      <c r="H325" s="50">
        <f>IF(D325="","",IF(ISERROR(VALUE(D325)),D325&amp;"",IF(AND(VALUE(D325)&gt;=1,VALUE(D325)&lt;=20),IF(INDEX(設定!$P$8:$P$27,VALUE(D325))="","？",INDEX(設定!$P$8:$P$27,VALUE(D325))),"？")))</f>
        <v/>
      </c>
      <c r="I325" s="50">
        <f>IF(E325="","",IF(ISERROR(VALUE(E325)),E325&amp;"",IF(AND(VALUE(E325)&gt;=1,VALUE(E325)&lt;=20),IF(INDEX(設定!$P$8:$P$27,VALUE(E325))="","？",INDEX(設定!$P$8:$P$27,VALUE(E325))),"？")))</f>
        <v/>
      </c>
      <c r="J325" s="50">
        <f>IF(F325="","",IF(ISERROR(VALUE(F325)),F325&amp;"",IF(AND(VALUE(F325)&gt;=1,VALUE(F325)&lt;=20),IF(INDEX(設定!$P$8:$P$27,VALUE(F325))="","？",INDEX(設定!$P$8:$P$27,VALUE(F325))),"？")))</f>
        <v/>
      </c>
      <c r="K325" s="51">
        <f>IF(L325="","",IF(G325="","名簿にいない",IF(COUNTIF(L326:L$555,L325)&gt;0,"2回提出（下の行を使います）",IF(H325="転出","転出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OR(AND(H325&lt;&gt;"",H325=I325),AND(H325&lt;&gt;"",H325=J325),AND(I325&lt;&gt;"",I325=J325)),"同じクラブを重複して希望","OK")))))))</f>
        <v/>
      </c>
      <c r="L325" s="11">
        <f>IF(OR(A325="",D325=""),"",A325&amp;"-"&amp;B325&amp;"-"&amp;C325)</f>
        <v/>
      </c>
      <c r="M325" s="11">
        <f>IF(OR(L325="",G325=""),"",IF(COUNTIF(L326:L$555,L325)=0,L325,""))</f>
        <v/>
      </c>
      <c r="N325" s="11">
        <f>IFERROR(MATCH(SMALL(前年度名簿!$G$3:$G$452,321),前年度名簿!$G$3:$G$452,0),"")</f>
        <v/>
      </c>
    </row>
    <row r="326">
      <c r="A326" s="49">
        <f>IF($N326="","",INDEX(前年度名簿!$A$3:$A$452,$N326))</f>
        <v/>
      </c>
      <c r="B326" s="49">
        <f>IF($N326="","",INDEX(前年度名簿!$B$3:$B$452,$N326))</f>
        <v/>
      </c>
      <c r="C326" s="49">
        <f>IF($N326="","",INDEX(前年度名簿!$C$3:$C$452,$N326))</f>
        <v/>
      </c>
      <c r="D326" s="49" t="n"/>
      <c r="E326" s="49" t="n"/>
      <c r="F326" s="49" t="n"/>
      <c r="G326" s="4">
        <f>IF(A326="","",IFERROR(INDEX(前年度名簿!$D$3:$D$452,MATCH(A326&amp;"-"&amp;B326&amp;"-"&amp;C326,前年度名簿!$F$3:$F$452,0)),""))</f>
        <v/>
      </c>
      <c r="H326" s="50">
        <f>IF(D326="","",IF(ISERROR(VALUE(D326)),D326&amp;"",IF(AND(VALUE(D326)&gt;=1,VALUE(D326)&lt;=20),IF(INDEX(設定!$P$8:$P$27,VALUE(D326))="","？",INDEX(設定!$P$8:$P$27,VALUE(D326))),"？")))</f>
        <v/>
      </c>
      <c r="I326" s="50">
        <f>IF(E326="","",IF(ISERROR(VALUE(E326)),E326&amp;"",IF(AND(VALUE(E326)&gt;=1,VALUE(E326)&lt;=20),IF(INDEX(設定!$P$8:$P$27,VALUE(E326))="","？",INDEX(設定!$P$8:$P$27,VALUE(E326))),"？")))</f>
        <v/>
      </c>
      <c r="J326" s="50">
        <f>IF(F326="","",IF(ISERROR(VALUE(F326)),F326&amp;"",IF(AND(VALUE(F326)&gt;=1,VALUE(F326)&lt;=20),IF(INDEX(設定!$P$8:$P$27,VALUE(F326))="","？",INDEX(設定!$P$8:$P$27,VALUE(F326))),"？")))</f>
        <v/>
      </c>
      <c r="K326" s="51">
        <f>IF(L326="","",IF(G326="","名簿にいない",IF(COUNTIF(L327:L$555,L326)&gt;0,"2回提出（下の行を使います）",IF(H326="転出","転出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OR(AND(H326&lt;&gt;"",H326=I326),AND(H326&lt;&gt;"",H326=J326),AND(I326&lt;&gt;"",I326=J326)),"同じクラブを重複して希望","OK")))))))</f>
        <v/>
      </c>
      <c r="L326" s="11">
        <f>IF(OR(A326="",D326=""),"",A326&amp;"-"&amp;B326&amp;"-"&amp;C326)</f>
        <v/>
      </c>
      <c r="M326" s="11">
        <f>IF(OR(L326="",G326=""),"",IF(COUNTIF(L327:L$555,L326)=0,L326,""))</f>
        <v/>
      </c>
      <c r="N326" s="11">
        <f>IFERROR(MATCH(SMALL(前年度名簿!$G$3:$G$452,322),前年度名簿!$G$3:$G$452,0),"")</f>
        <v/>
      </c>
    </row>
    <row r="327">
      <c r="A327" s="49">
        <f>IF($N327="","",INDEX(前年度名簿!$A$3:$A$452,$N327))</f>
        <v/>
      </c>
      <c r="B327" s="49">
        <f>IF($N327="","",INDEX(前年度名簿!$B$3:$B$452,$N327))</f>
        <v/>
      </c>
      <c r="C327" s="49">
        <f>IF($N327="","",INDEX(前年度名簿!$C$3:$C$452,$N327))</f>
        <v/>
      </c>
      <c r="D327" s="49" t="n"/>
      <c r="E327" s="49" t="n"/>
      <c r="F327" s="49" t="n"/>
      <c r="G327" s="4">
        <f>IF(A327="","",IFERROR(INDEX(前年度名簿!$D$3:$D$452,MATCH(A327&amp;"-"&amp;B327&amp;"-"&amp;C327,前年度名簿!$F$3:$F$452,0)),""))</f>
        <v/>
      </c>
      <c r="H327" s="50">
        <f>IF(D327="","",IF(ISERROR(VALUE(D327)),D327&amp;"",IF(AND(VALUE(D327)&gt;=1,VALUE(D327)&lt;=20),IF(INDEX(設定!$P$8:$P$27,VALUE(D327))="","？",INDEX(設定!$P$8:$P$27,VALUE(D327))),"？")))</f>
        <v/>
      </c>
      <c r="I327" s="50">
        <f>IF(E327="","",IF(ISERROR(VALUE(E327)),E327&amp;"",IF(AND(VALUE(E327)&gt;=1,VALUE(E327)&lt;=20),IF(INDEX(設定!$P$8:$P$27,VALUE(E327))="","？",INDEX(設定!$P$8:$P$27,VALUE(E327))),"？")))</f>
        <v/>
      </c>
      <c r="J327" s="50">
        <f>IF(F327="","",IF(ISERROR(VALUE(F327)),F327&amp;"",IF(AND(VALUE(F327)&gt;=1,VALUE(F327)&lt;=20),IF(INDEX(設定!$P$8:$P$27,VALUE(F327))="","？",INDEX(設定!$P$8:$P$27,VALUE(F327))),"？")))</f>
        <v/>
      </c>
      <c r="K327" s="51">
        <f>IF(L327="","",IF(G327="","名簿にいない",IF(COUNTIF(L328:L$555,L327)&gt;0,"2回提出（下の行を使います）",IF(H327="転出","転出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OR(AND(H327&lt;&gt;"",H327=I327),AND(H327&lt;&gt;"",H327=J327),AND(I327&lt;&gt;"",I327=J327)),"同じクラブを重複して希望","OK")))))))</f>
        <v/>
      </c>
      <c r="L327" s="11">
        <f>IF(OR(A327="",D327=""),"",A327&amp;"-"&amp;B327&amp;"-"&amp;C327)</f>
        <v/>
      </c>
      <c r="M327" s="11">
        <f>IF(OR(L327="",G327=""),"",IF(COUNTIF(L328:L$555,L327)=0,L327,""))</f>
        <v/>
      </c>
      <c r="N327" s="11">
        <f>IFERROR(MATCH(SMALL(前年度名簿!$G$3:$G$452,323),前年度名簿!$G$3:$G$452,0),"")</f>
        <v/>
      </c>
    </row>
    <row r="328">
      <c r="A328" s="49">
        <f>IF($N328="","",INDEX(前年度名簿!$A$3:$A$452,$N328))</f>
        <v/>
      </c>
      <c r="B328" s="49">
        <f>IF($N328="","",INDEX(前年度名簿!$B$3:$B$452,$N328))</f>
        <v/>
      </c>
      <c r="C328" s="49">
        <f>IF($N328="","",INDEX(前年度名簿!$C$3:$C$452,$N328))</f>
        <v/>
      </c>
      <c r="D328" s="49" t="n"/>
      <c r="E328" s="49" t="n"/>
      <c r="F328" s="49" t="n"/>
      <c r="G328" s="4">
        <f>IF(A328="","",IFERROR(INDEX(前年度名簿!$D$3:$D$452,MATCH(A328&amp;"-"&amp;B328&amp;"-"&amp;C328,前年度名簿!$F$3:$F$452,0)),""))</f>
        <v/>
      </c>
      <c r="H328" s="50">
        <f>IF(D328="","",IF(ISERROR(VALUE(D328)),D328&amp;"",IF(AND(VALUE(D328)&gt;=1,VALUE(D328)&lt;=20),IF(INDEX(設定!$P$8:$P$27,VALUE(D328))="","？",INDEX(設定!$P$8:$P$27,VALUE(D328))),"？")))</f>
        <v/>
      </c>
      <c r="I328" s="50">
        <f>IF(E328="","",IF(ISERROR(VALUE(E328)),E328&amp;"",IF(AND(VALUE(E328)&gt;=1,VALUE(E328)&lt;=20),IF(INDEX(設定!$P$8:$P$27,VALUE(E328))="","？",INDEX(設定!$P$8:$P$27,VALUE(E328))),"？")))</f>
        <v/>
      </c>
      <c r="J328" s="50">
        <f>IF(F328="","",IF(ISERROR(VALUE(F328)),F328&amp;"",IF(AND(VALUE(F328)&gt;=1,VALUE(F328)&lt;=20),IF(INDEX(設定!$P$8:$P$27,VALUE(F328))="","？",INDEX(設定!$P$8:$P$27,VALUE(F328))),"？")))</f>
        <v/>
      </c>
      <c r="K328" s="51">
        <f>IF(L328="","",IF(G328="","名簿にいない",IF(COUNTIF(L329:L$555,L328)&gt;0,"2回提出（下の行を使います）",IF(H328="転出","転出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OR(AND(H328&lt;&gt;"",H328=I328),AND(H328&lt;&gt;"",H328=J328),AND(I328&lt;&gt;"",I328=J328)),"同じクラブを重複して希望","OK")))))))</f>
        <v/>
      </c>
      <c r="L328" s="11">
        <f>IF(OR(A328="",D328=""),"",A328&amp;"-"&amp;B328&amp;"-"&amp;C328)</f>
        <v/>
      </c>
      <c r="M328" s="11">
        <f>IF(OR(L328="",G328=""),"",IF(COUNTIF(L329:L$555,L328)=0,L328,""))</f>
        <v/>
      </c>
      <c r="N328" s="11">
        <f>IFERROR(MATCH(SMALL(前年度名簿!$G$3:$G$452,324),前年度名簿!$G$3:$G$452,0),"")</f>
        <v/>
      </c>
    </row>
    <row r="329">
      <c r="A329" s="49">
        <f>IF($N329="","",INDEX(前年度名簿!$A$3:$A$452,$N329))</f>
        <v/>
      </c>
      <c r="B329" s="49">
        <f>IF($N329="","",INDEX(前年度名簿!$B$3:$B$452,$N329))</f>
        <v/>
      </c>
      <c r="C329" s="49">
        <f>IF($N329="","",INDEX(前年度名簿!$C$3:$C$452,$N329))</f>
        <v/>
      </c>
      <c r="D329" s="49" t="n"/>
      <c r="E329" s="49" t="n"/>
      <c r="F329" s="49" t="n"/>
      <c r="G329" s="4">
        <f>IF(A329="","",IFERROR(INDEX(前年度名簿!$D$3:$D$452,MATCH(A329&amp;"-"&amp;B329&amp;"-"&amp;C329,前年度名簿!$F$3:$F$452,0)),""))</f>
        <v/>
      </c>
      <c r="H329" s="50">
        <f>IF(D329="","",IF(ISERROR(VALUE(D329)),D329&amp;"",IF(AND(VALUE(D329)&gt;=1,VALUE(D329)&lt;=20),IF(INDEX(設定!$P$8:$P$27,VALUE(D329))="","？",INDEX(設定!$P$8:$P$27,VALUE(D329))),"？")))</f>
        <v/>
      </c>
      <c r="I329" s="50">
        <f>IF(E329="","",IF(ISERROR(VALUE(E329)),E329&amp;"",IF(AND(VALUE(E329)&gt;=1,VALUE(E329)&lt;=20),IF(INDEX(設定!$P$8:$P$27,VALUE(E329))="","？",INDEX(設定!$P$8:$P$27,VALUE(E329))),"？")))</f>
        <v/>
      </c>
      <c r="J329" s="50">
        <f>IF(F329="","",IF(ISERROR(VALUE(F329)),F329&amp;"",IF(AND(VALUE(F329)&gt;=1,VALUE(F329)&lt;=20),IF(INDEX(設定!$P$8:$P$27,VALUE(F329))="","？",INDEX(設定!$P$8:$P$27,VALUE(F329))),"？")))</f>
        <v/>
      </c>
      <c r="K329" s="51">
        <f>IF(L329="","",IF(G329="","名簿にいない",IF(COUNTIF(L330:L$555,L329)&gt;0,"2回提出（下の行を使います）",IF(H329="転出","転出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OR(AND(H329&lt;&gt;"",H329=I329),AND(H329&lt;&gt;"",H329=J329),AND(I329&lt;&gt;"",I329=J329)),"同じクラブを重複して希望","OK")))))))</f>
        <v/>
      </c>
      <c r="L329" s="11">
        <f>IF(OR(A329="",D329=""),"",A329&amp;"-"&amp;B329&amp;"-"&amp;C329)</f>
        <v/>
      </c>
      <c r="M329" s="11">
        <f>IF(OR(L329="",G329=""),"",IF(COUNTIF(L330:L$555,L329)=0,L329,""))</f>
        <v/>
      </c>
      <c r="N329" s="11">
        <f>IFERROR(MATCH(SMALL(前年度名簿!$G$3:$G$452,325),前年度名簿!$G$3:$G$452,0),"")</f>
        <v/>
      </c>
    </row>
    <row r="330">
      <c r="A330" s="49">
        <f>IF($N330="","",INDEX(前年度名簿!$A$3:$A$452,$N330))</f>
        <v/>
      </c>
      <c r="B330" s="49">
        <f>IF($N330="","",INDEX(前年度名簿!$B$3:$B$452,$N330))</f>
        <v/>
      </c>
      <c r="C330" s="49">
        <f>IF($N330="","",INDEX(前年度名簿!$C$3:$C$452,$N330))</f>
        <v/>
      </c>
      <c r="D330" s="49" t="n"/>
      <c r="E330" s="49" t="n"/>
      <c r="F330" s="49" t="n"/>
      <c r="G330" s="4">
        <f>IF(A330="","",IFERROR(INDEX(前年度名簿!$D$3:$D$452,MATCH(A330&amp;"-"&amp;B330&amp;"-"&amp;C330,前年度名簿!$F$3:$F$452,0)),""))</f>
        <v/>
      </c>
      <c r="H330" s="50">
        <f>IF(D330="","",IF(ISERROR(VALUE(D330)),D330&amp;"",IF(AND(VALUE(D330)&gt;=1,VALUE(D330)&lt;=20),IF(INDEX(設定!$P$8:$P$27,VALUE(D330))="","？",INDEX(設定!$P$8:$P$27,VALUE(D330))),"？")))</f>
        <v/>
      </c>
      <c r="I330" s="50">
        <f>IF(E330="","",IF(ISERROR(VALUE(E330)),E330&amp;"",IF(AND(VALUE(E330)&gt;=1,VALUE(E330)&lt;=20),IF(INDEX(設定!$P$8:$P$27,VALUE(E330))="","？",INDEX(設定!$P$8:$P$27,VALUE(E330))),"？")))</f>
        <v/>
      </c>
      <c r="J330" s="50">
        <f>IF(F330="","",IF(ISERROR(VALUE(F330)),F330&amp;"",IF(AND(VALUE(F330)&gt;=1,VALUE(F330)&lt;=20),IF(INDEX(設定!$P$8:$P$27,VALUE(F330))="","？",INDEX(設定!$P$8:$P$27,VALUE(F330))),"？")))</f>
        <v/>
      </c>
      <c r="K330" s="51">
        <f>IF(L330="","",IF(G330="","名簿にいない",IF(COUNTIF(L331:L$555,L330)&gt;0,"2回提出（下の行を使います）",IF(H330="転出","転出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OR(AND(H330&lt;&gt;"",H330=I330),AND(H330&lt;&gt;"",H330=J330),AND(I330&lt;&gt;"",I330=J330)),"同じクラブを重複して希望","OK")))))))</f>
        <v/>
      </c>
      <c r="L330" s="11">
        <f>IF(OR(A330="",D330=""),"",A330&amp;"-"&amp;B330&amp;"-"&amp;C330)</f>
        <v/>
      </c>
      <c r="M330" s="11">
        <f>IF(OR(L330="",G330=""),"",IF(COUNTIF(L331:L$555,L330)=0,L330,""))</f>
        <v/>
      </c>
      <c r="N330" s="11">
        <f>IFERROR(MATCH(SMALL(前年度名簿!$G$3:$G$452,326),前年度名簿!$G$3:$G$452,0),"")</f>
        <v/>
      </c>
    </row>
    <row r="331">
      <c r="A331" s="49">
        <f>IF($N331="","",INDEX(前年度名簿!$A$3:$A$452,$N331))</f>
        <v/>
      </c>
      <c r="B331" s="49">
        <f>IF($N331="","",INDEX(前年度名簿!$B$3:$B$452,$N331))</f>
        <v/>
      </c>
      <c r="C331" s="49">
        <f>IF($N331="","",INDEX(前年度名簿!$C$3:$C$452,$N331))</f>
        <v/>
      </c>
      <c r="D331" s="49" t="n"/>
      <c r="E331" s="49" t="n"/>
      <c r="F331" s="49" t="n"/>
      <c r="G331" s="4">
        <f>IF(A331="","",IFERROR(INDEX(前年度名簿!$D$3:$D$452,MATCH(A331&amp;"-"&amp;B331&amp;"-"&amp;C331,前年度名簿!$F$3:$F$452,0)),""))</f>
        <v/>
      </c>
      <c r="H331" s="50">
        <f>IF(D331="","",IF(ISERROR(VALUE(D331)),D331&amp;"",IF(AND(VALUE(D331)&gt;=1,VALUE(D331)&lt;=20),IF(INDEX(設定!$P$8:$P$27,VALUE(D331))="","？",INDEX(設定!$P$8:$P$27,VALUE(D331))),"？")))</f>
        <v/>
      </c>
      <c r="I331" s="50">
        <f>IF(E331="","",IF(ISERROR(VALUE(E331)),E331&amp;"",IF(AND(VALUE(E331)&gt;=1,VALUE(E331)&lt;=20),IF(INDEX(設定!$P$8:$P$27,VALUE(E331))="","？",INDEX(設定!$P$8:$P$27,VALUE(E331))),"？")))</f>
        <v/>
      </c>
      <c r="J331" s="50">
        <f>IF(F331="","",IF(ISERROR(VALUE(F331)),F331&amp;"",IF(AND(VALUE(F331)&gt;=1,VALUE(F331)&lt;=20),IF(INDEX(設定!$P$8:$P$27,VALUE(F331))="","？",INDEX(設定!$P$8:$P$27,VALUE(F331))),"？")))</f>
        <v/>
      </c>
      <c r="K331" s="51">
        <f>IF(L331="","",IF(G331="","名簿にいない",IF(COUNTIF(L332:L$555,L331)&gt;0,"2回提出（下の行を使います）",IF(H331="転出","転出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OR(AND(H331&lt;&gt;"",H331=I331),AND(H331&lt;&gt;"",H331=J331),AND(I331&lt;&gt;"",I331=J331)),"同じクラブを重複して希望","OK")))))))</f>
        <v/>
      </c>
      <c r="L331" s="11">
        <f>IF(OR(A331="",D331=""),"",A331&amp;"-"&amp;B331&amp;"-"&amp;C331)</f>
        <v/>
      </c>
      <c r="M331" s="11">
        <f>IF(OR(L331="",G331=""),"",IF(COUNTIF(L332:L$555,L331)=0,L331,""))</f>
        <v/>
      </c>
      <c r="N331" s="11">
        <f>IFERROR(MATCH(SMALL(前年度名簿!$G$3:$G$452,327),前年度名簿!$G$3:$G$452,0),"")</f>
        <v/>
      </c>
    </row>
    <row r="332">
      <c r="A332" s="49">
        <f>IF($N332="","",INDEX(前年度名簿!$A$3:$A$452,$N332))</f>
        <v/>
      </c>
      <c r="B332" s="49">
        <f>IF($N332="","",INDEX(前年度名簿!$B$3:$B$452,$N332))</f>
        <v/>
      </c>
      <c r="C332" s="49">
        <f>IF($N332="","",INDEX(前年度名簿!$C$3:$C$452,$N332))</f>
        <v/>
      </c>
      <c r="D332" s="49" t="n"/>
      <c r="E332" s="49" t="n"/>
      <c r="F332" s="49" t="n"/>
      <c r="G332" s="4">
        <f>IF(A332="","",IFERROR(INDEX(前年度名簿!$D$3:$D$452,MATCH(A332&amp;"-"&amp;B332&amp;"-"&amp;C332,前年度名簿!$F$3:$F$452,0)),""))</f>
        <v/>
      </c>
      <c r="H332" s="50">
        <f>IF(D332="","",IF(ISERROR(VALUE(D332)),D332&amp;"",IF(AND(VALUE(D332)&gt;=1,VALUE(D332)&lt;=20),IF(INDEX(設定!$P$8:$P$27,VALUE(D332))="","？",INDEX(設定!$P$8:$P$27,VALUE(D332))),"？")))</f>
        <v/>
      </c>
      <c r="I332" s="50">
        <f>IF(E332="","",IF(ISERROR(VALUE(E332)),E332&amp;"",IF(AND(VALUE(E332)&gt;=1,VALUE(E332)&lt;=20),IF(INDEX(設定!$P$8:$P$27,VALUE(E332))="","？",INDEX(設定!$P$8:$P$27,VALUE(E332))),"？")))</f>
        <v/>
      </c>
      <c r="J332" s="50">
        <f>IF(F332="","",IF(ISERROR(VALUE(F332)),F332&amp;"",IF(AND(VALUE(F332)&gt;=1,VALUE(F332)&lt;=20),IF(INDEX(設定!$P$8:$P$27,VALUE(F332))="","？",INDEX(設定!$P$8:$P$27,VALUE(F332))),"？")))</f>
        <v/>
      </c>
      <c r="K332" s="51">
        <f>IF(L332="","",IF(G332="","名簿にいない",IF(COUNTIF(L333:L$555,L332)&gt;0,"2回提出（下の行を使います）",IF(H332="転出","転出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OR(AND(H332&lt;&gt;"",H332=I332),AND(H332&lt;&gt;"",H332=J332),AND(I332&lt;&gt;"",I332=J332)),"同じクラブを重複して希望","OK")))))))</f>
        <v/>
      </c>
      <c r="L332" s="11">
        <f>IF(OR(A332="",D332=""),"",A332&amp;"-"&amp;B332&amp;"-"&amp;C332)</f>
        <v/>
      </c>
      <c r="M332" s="11">
        <f>IF(OR(L332="",G332=""),"",IF(COUNTIF(L333:L$555,L332)=0,L332,""))</f>
        <v/>
      </c>
      <c r="N332" s="11">
        <f>IFERROR(MATCH(SMALL(前年度名簿!$G$3:$G$452,328),前年度名簿!$G$3:$G$452,0),"")</f>
        <v/>
      </c>
    </row>
    <row r="333">
      <c r="A333" s="49">
        <f>IF($N333="","",INDEX(前年度名簿!$A$3:$A$452,$N333))</f>
        <v/>
      </c>
      <c r="B333" s="49">
        <f>IF($N333="","",INDEX(前年度名簿!$B$3:$B$452,$N333))</f>
        <v/>
      </c>
      <c r="C333" s="49">
        <f>IF($N333="","",INDEX(前年度名簿!$C$3:$C$452,$N333))</f>
        <v/>
      </c>
      <c r="D333" s="49" t="n"/>
      <c r="E333" s="49" t="n"/>
      <c r="F333" s="49" t="n"/>
      <c r="G333" s="4">
        <f>IF(A333="","",IFERROR(INDEX(前年度名簿!$D$3:$D$452,MATCH(A333&amp;"-"&amp;B333&amp;"-"&amp;C333,前年度名簿!$F$3:$F$452,0)),""))</f>
        <v/>
      </c>
      <c r="H333" s="50">
        <f>IF(D333="","",IF(ISERROR(VALUE(D333)),D333&amp;"",IF(AND(VALUE(D333)&gt;=1,VALUE(D333)&lt;=20),IF(INDEX(設定!$P$8:$P$27,VALUE(D333))="","？",INDEX(設定!$P$8:$P$27,VALUE(D333))),"？")))</f>
        <v/>
      </c>
      <c r="I333" s="50">
        <f>IF(E333="","",IF(ISERROR(VALUE(E333)),E333&amp;"",IF(AND(VALUE(E333)&gt;=1,VALUE(E333)&lt;=20),IF(INDEX(設定!$P$8:$P$27,VALUE(E333))="","？",INDEX(設定!$P$8:$P$27,VALUE(E333))),"？")))</f>
        <v/>
      </c>
      <c r="J333" s="50">
        <f>IF(F333="","",IF(ISERROR(VALUE(F333)),F333&amp;"",IF(AND(VALUE(F333)&gt;=1,VALUE(F333)&lt;=20),IF(INDEX(設定!$P$8:$P$27,VALUE(F333))="","？",INDEX(設定!$P$8:$P$27,VALUE(F333))),"？")))</f>
        <v/>
      </c>
      <c r="K333" s="51">
        <f>IF(L333="","",IF(G333="","名簿にいない",IF(COUNTIF(L334:L$555,L333)&gt;0,"2回提出（下の行を使います）",IF(H333="転出","転出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OR(AND(H333&lt;&gt;"",H333=I333),AND(H333&lt;&gt;"",H333=J333),AND(I333&lt;&gt;"",I333=J333)),"同じクラブを重複して希望","OK")))))))</f>
        <v/>
      </c>
      <c r="L333" s="11">
        <f>IF(OR(A333="",D333=""),"",A333&amp;"-"&amp;B333&amp;"-"&amp;C333)</f>
        <v/>
      </c>
      <c r="M333" s="11">
        <f>IF(OR(L333="",G333=""),"",IF(COUNTIF(L334:L$555,L333)=0,L333,""))</f>
        <v/>
      </c>
      <c r="N333" s="11">
        <f>IFERROR(MATCH(SMALL(前年度名簿!$G$3:$G$452,329),前年度名簿!$G$3:$G$452,0),"")</f>
        <v/>
      </c>
    </row>
    <row r="334">
      <c r="A334" s="49">
        <f>IF($N334="","",INDEX(前年度名簿!$A$3:$A$452,$N334))</f>
        <v/>
      </c>
      <c r="B334" s="49">
        <f>IF($N334="","",INDEX(前年度名簿!$B$3:$B$452,$N334))</f>
        <v/>
      </c>
      <c r="C334" s="49">
        <f>IF($N334="","",INDEX(前年度名簿!$C$3:$C$452,$N334))</f>
        <v/>
      </c>
      <c r="D334" s="49" t="n"/>
      <c r="E334" s="49" t="n"/>
      <c r="F334" s="49" t="n"/>
      <c r="G334" s="4">
        <f>IF(A334="","",IFERROR(INDEX(前年度名簿!$D$3:$D$452,MATCH(A334&amp;"-"&amp;B334&amp;"-"&amp;C334,前年度名簿!$F$3:$F$452,0)),""))</f>
        <v/>
      </c>
      <c r="H334" s="50">
        <f>IF(D334="","",IF(ISERROR(VALUE(D334)),D334&amp;"",IF(AND(VALUE(D334)&gt;=1,VALUE(D334)&lt;=20),IF(INDEX(設定!$P$8:$P$27,VALUE(D334))="","？",INDEX(設定!$P$8:$P$27,VALUE(D334))),"？")))</f>
        <v/>
      </c>
      <c r="I334" s="50">
        <f>IF(E334="","",IF(ISERROR(VALUE(E334)),E334&amp;"",IF(AND(VALUE(E334)&gt;=1,VALUE(E334)&lt;=20),IF(INDEX(設定!$P$8:$P$27,VALUE(E334))="","？",INDEX(設定!$P$8:$P$27,VALUE(E334))),"？")))</f>
        <v/>
      </c>
      <c r="J334" s="50">
        <f>IF(F334="","",IF(ISERROR(VALUE(F334)),F334&amp;"",IF(AND(VALUE(F334)&gt;=1,VALUE(F334)&lt;=20),IF(INDEX(設定!$P$8:$P$27,VALUE(F334))="","？",INDEX(設定!$P$8:$P$27,VALUE(F334))),"？")))</f>
        <v/>
      </c>
      <c r="K334" s="51">
        <f>IF(L334="","",IF(G334="","名簿にいない",IF(COUNTIF(L335:L$555,L334)&gt;0,"2回提出（下の行を使います）",IF(H334="転出","転出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OR(AND(H334&lt;&gt;"",H334=I334),AND(H334&lt;&gt;"",H334=J334),AND(I334&lt;&gt;"",I334=J334)),"同じクラブを重複して希望","OK")))))))</f>
        <v/>
      </c>
      <c r="L334" s="11">
        <f>IF(OR(A334="",D334=""),"",A334&amp;"-"&amp;B334&amp;"-"&amp;C334)</f>
        <v/>
      </c>
      <c r="M334" s="11">
        <f>IF(OR(L334="",G334=""),"",IF(COUNTIF(L335:L$555,L334)=0,L334,""))</f>
        <v/>
      </c>
      <c r="N334" s="11">
        <f>IFERROR(MATCH(SMALL(前年度名簿!$G$3:$G$452,330),前年度名簿!$G$3:$G$452,0),"")</f>
        <v/>
      </c>
    </row>
    <row r="335">
      <c r="A335" s="49">
        <f>IF($N335="","",INDEX(前年度名簿!$A$3:$A$452,$N335))</f>
        <v/>
      </c>
      <c r="B335" s="49">
        <f>IF($N335="","",INDEX(前年度名簿!$B$3:$B$452,$N335))</f>
        <v/>
      </c>
      <c r="C335" s="49">
        <f>IF($N335="","",INDEX(前年度名簿!$C$3:$C$452,$N335))</f>
        <v/>
      </c>
      <c r="D335" s="49" t="n"/>
      <c r="E335" s="49" t="n"/>
      <c r="F335" s="49" t="n"/>
      <c r="G335" s="4">
        <f>IF(A335="","",IFERROR(INDEX(前年度名簿!$D$3:$D$452,MATCH(A335&amp;"-"&amp;B335&amp;"-"&amp;C335,前年度名簿!$F$3:$F$452,0)),""))</f>
        <v/>
      </c>
      <c r="H335" s="50">
        <f>IF(D335="","",IF(ISERROR(VALUE(D335)),D335&amp;"",IF(AND(VALUE(D335)&gt;=1,VALUE(D335)&lt;=20),IF(INDEX(設定!$P$8:$P$27,VALUE(D335))="","？",INDEX(設定!$P$8:$P$27,VALUE(D335))),"？")))</f>
        <v/>
      </c>
      <c r="I335" s="50">
        <f>IF(E335="","",IF(ISERROR(VALUE(E335)),E335&amp;"",IF(AND(VALUE(E335)&gt;=1,VALUE(E335)&lt;=20),IF(INDEX(設定!$P$8:$P$27,VALUE(E335))="","？",INDEX(設定!$P$8:$P$27,VALUE(E335))),"？")))</f>
        <v/>
      </c>
      <c r="J335" s="50">
        <f>IF(F335="","",IF(ISERROR(VALUE(F335)),F335&amp;"",IF(AND(VALUE(F335)&gt;=1,VALUE(F335)&lt;=20),IF(INDEX(設定!$P$8:$P$27,VALUE(F335))="","？",INDEX(設定!$P$8:$P$27,VALUE(F335))),"？")))</f>
        <v/>
      </c>
      <c r="K335" s="51">
        <f>IF(L335="","",IF(G335="","名簿にいない",IF(COUNTIF(L336:L$555,L335)&gt;0,"2回提出（下の行を使います）",IF(H335="転出","転出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OR(AND(H335&lt;&gt;"",H335=I335),AND(H335&lt;&gt;"",H335=J335),AND(I335&lt;&gt;"",I335=J335)),"同じクラブを重複して希望","OK")))))))</f>
        <v/>
      </c>
      <c r="L335" s="11">
        <f>IF(OR(A335="",D335=""),"",A335&amp;"-"&amp;B335&amp;"-"&amp;C335)</f>
        <v/>
      </c>
      <c r="M335" s="11">
        <f>IF(OR(L335="",G335=""),"",IF(COUNTIF(L336:L$555,L335)=0,L335,""))</f>
        <v/>
      </c>
      <c r="N335" s="11">
        <f>IFERROR(MATCH(SMALL(前年度名簿!$G$3:$G$452,331),前年度名簿!$G$3:$G$452,0),"")</f>
        <v/>
      </c>
    </row>
    <row r="336">
      <c r="A336" s="49">
        <f>IF($N336="","",INDEX(前年度名簿!$A$3:$A$452,$N336))</f>
        <v/>
      </c>
      <c r="B336" s="49">
        <f>IF($N336="","",INDEX(前年度名簿!$B$3:$B$452,$N336))</f>
        <v/>
      </c>
      <c r="C336" s="49">
        <f>IF($N336="","",INDEX(前年度名簿!$C$3:$C$452,$N336))</f>
        <v/>
      </c>
      <c r="D336" s="49" t="n"/>
      <c r="E336" s="49" t="n"/>
      <c r="F336" s="49" t="n"/>
      <c r="G336" s="4">
        <f>IF(A336="","",IFERROR(INDEX(前年度名簿!$D$3:$D$452,MATCH(A336&amp;"-"&amp;B336&amp;"-"&amp;C336,前年度名簿!$F$3:$F$452,0)),""))</f>
        <v/>
      </c>
      <c r="H336" s="50">
        <f>IF(D336="","",IF(ISERROR(VALUE(D336)),D336&amp;"",IF(AND(VALUE(D336)&gt;=1,VALUE(D336)&lt;=20),IF(INDEX(設定!$P$8:$P$27,VALUE(D336))="","？",INDEX(設定!$P$8:$P$27,VALUE(D336))),"？")))</f>
        <v/>
      </c>
      <c r="I336" s="50">
        <f>IF(E336="","",IF(ISERROR(VALUE(E336)),E336&amp;"",IF(AND(VALUE(E336)&gt;=1,VALUE(E336)&lt;=20),IF(INDEX(設定!$P$8:$P$27,VALUE(E336))="","？",INDEX(設定!$P$8:$P$27,VALUE(E336))),"？")))</f>
        <v/>
      </c>
      <c r="J336" s="50">
        <f>IF(F336="","",IF(ISERROR(VALUE(F336)),F336&amp;"",IF(AND(VALUE(F336)&gt;=1,VALUE(F336)&lt;=20),IF(INDEX(設定!$P$8:$P$27,VALUE(F336))="","？",INDEX(設定!$P$8:$P$27,VALUE(F336))),"？")))</f>
        <v/>
      </c>
      <c r="K336" s="51">
        <f>IF(L336="","",IF(G336="","名簿にいない",IF(COUNTIF(L337:L$555,L336)&gt;0,"2回提出（下の行を使います）",IF(H336="転出","転出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OR(AND(H336&lt;&gt;"",H336=I336),AND(H336&lt;&gt;"",H336=J336),AND(I336&lt;&gt;"",I336=J336)),"同じクラブを重複して希望","OK")))))))</f>
        <v/>
      </c>
      <c r="L336" s="11">
        <f>IF(OR(A336="",D336=""),"",A336&amp;"-"&amp;B336&amp;"-"&amp;C336)</f>
        <v/>
      </c>
      <c r="M336" s="11">
        <f>IF(OR(L336="",G336=""),"",IF(COUNTIF(L337:L$555,L336)=0,L336,""))</f>
        <v/>
      </c>
      <c r="N336" s="11">
        <f>IFERROR(MATCH(SMALL(前年度名簿!$G$3:$G$452,332),前年度名簿!$G$3:$G$452,0),"")</f>
        <v/>
      </c>
    </row>
    <row r="337">
      <c r="A337" s="49">
        <f>IF($N337="","",INDEX(前年度名簿!$A$3:$A$452,$N337))</f>
        <v/>
      </c>
      <c r="B337" s="49">
        <f>IF($N337="","",INDEX(前年度名簿!$B$3:$B$452,$N337))</f>
        <v/>
      </c>
      <c r="C337" s="49">
        <f>IF($N337="","",INDEX(前年度名簿!$C$3:$C$452,$N337))</f>
        <v/>
      </c>
      <c r="D337" s="49" t="n"/>
      <c r="E337" s="49" t="n"/>
      <c r="F337" s="49" t="n"/>
      <c r="G337" s="4">
        <f>IF(A337="","",IFERROR(INDEX(前年度名簿!$D$3:$D$452,MATCH(A337&amp;"-"&amp;B337&amp;"-"&amp;C337,前年度名簿!$F$3:$F$452,0)),""))</f>
        <v/>
      </c>
      <c r="H337" s="50">
        <f>IF(D337="","",IF(ISERROR(VALUE(D337)),D337&amp;"",IF(AND(VALUE(D337)&gt;=1,VALUE(D337)&lt;=20),IF(INDEX(設定!$P$8:$P$27,VALUE(D337))="","？",INDEX(設定!$P$8:$P$27,VALUE(D337))),"？")))</f>
        <v/>
      </c>
      <c r="I337" s="50">
        <f>IF(E337="","",IF(ISERROR(VALUE(E337)),E337&amp;"",IF(AND(VALUE(E337)&gt;=1,VALUE(E337)&lt;=20),IF(INDEX(設定!$P$8:$P$27,VALUE(E337))="","？",INDEX(設定!$P$8:$P$27,VALUE(E337))),"？")))</f>
        <v/>
      </c>
      <c r="J337" s="50">
        <f>IF(F337="","",IF(ISERROR(VALUE(F337)),F337&amp;"",IF(AND(VALUE(F337)&gt;=1,VALUE(F337)&lt;=20),IF(INDEX(設定!$P$8:$P$27,VALUE(F337))="","？",INDEX(設定!$P$8:$P$27,VALUE(F337))),"？")))</f>
        <v/>
      </c>
      <c r="K337" s="51">
        <f>IF(L337="","",IF(G337="","名簿にいない",IF(COUNTIF(L338:L$555,L337)&gt;0,"2回提出（下の行を使います）",IF(H337="転出","転出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OR(AND(H337&lt;&gt;"",H337=I337),AND(H337&lt;&gt;"",H337=J337),AND(I337&lt;&gt;"",I337=J337)),"同じクラブを重複して希望","OK")))))))</f>
        <v/>
      </c>
      <c r="L337" s="11">
        <f>IF(OR(A337="",D337=""),"",A337&amp;"-"&amp;B337&amp;"-"&amp;C337)</f>
        <v/>
      </c>
      <c r="M337" s="11">
        <f>IF(OR(L337="",G337=""),"",IF(COUNTIF(L338:L$555,L337)=0,L337,""))</f>
        <v/>
      </c>
      <c r="N337" s="11">
        <f>IFERROR(MATCH(SMALL(前年度名簿!$G$3:$G$452,333),前年度名簿!$G$3:$G$452,0),"")</f>
        <v/>
      </c>
    </row>
    <row r="338">
      <c r="A338" s="49">
        <f>IF($N338="","",INDEX(前年度名簿!$A$3:$A$452,$N338))</f>
        <v/>
      </c>
      <c r="B338" s="49">
        <f>IF($N338="","",INDEX(前年度名簿!$B$3:$B$452,$N338))</f>
        <v/>
      </c>
      <c r="C338" s="49">
        <f>IF($N338="","",INDEX(前年度名簿!$C$3:$C$452,$N338))</f>
        <v/>
      </c>
      <c r="D338" s="49" t="n"/>
      <c r="E338" s="49" t="n"/>
      <c r="F338" s="49" t="n"/>
      <c r="G338" s="4">
        <f>IF(A338="","",IFERROR(INDEX(前年度名簿!$D$3:$D$452,MATCH(A338&amp;"-"&amp;B338&amp;"-"&amp;C338,前年度名簿!$F$3:$F$452,0)),""))</f>
        <v/>
      </c>
      <c r="H338" s="50">
        <f>IF(D338="","",IF(ISERROR(VALUE(D338)),D338&amp;"",IF(AND(VALUE(D338)&gt;=1,VALUE(D338)&lt;=20),IF(INDEX(設定!$P$8:$P$27,VALUE(D338))="","？",INDEX(設定!$P$8:$P$27,VALUE(D338))),"？")))</f>
        <v/>
      </c>
      <c r="I338" s="50">
        <f>IF(E338="","",IF(ISERROR(VALUE(E338)),E338&amp;"",IF(AND(VALUE(E338)&gt;=1,VALUE(E338)&lt;=20),IF(INDEX(設定!$P$8:$P$27,VALUE(E338))="","？",INDEX(設定!$P$8:$P$27,VALUE(E338))),"？")))</f>
        <v/>
      </c>
      <c r="J338" s="50">
        <f>IF(F338="","",IF(ISERROR(VALUE(F338)),F338&amp;"",IF(AND(VALUE(F338)&gt;=1,VALUE(F338)&lt;=20),IF(INDEX(設定!$P$8:$P$27,VALUE(F338))="","？",INDEX(設定!$P$8:$P$27,VALUE(F338))),"？")))</f>
        <v/>
      </c>
      <c r="K338" s="51">
        <f>IF(L338="","",IF(G338="","名簿にいない",IF(COUNTIF(L339:L$555,L338)&gt;0,"2回提出（下の行を使います）",IF(H338="転出","転出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OR(AND(H338&lt;&gt;"",H338=I338),AND(H338&lt;&gt;"",H338=J338),AND(I338&lt;&gt;"",I338=J338)),"同じクラブを重複して希望","OK")))))))</f>
        <v/>
      </c>
      <c r="L338" s="11">
        <f>IF(OR(A338="",D338=""),"",A338&amp;"-"&amp;B338&amp;"-"&amp;C338)</f>
        <v/>
      </c>
      <c r="M338" s="11">
        <f>IF(OR(L338="",G338=""),"",IF(COUNTIF(L339:L$555,L338)=0,L338,""))</f>
        <v/>
      </c>
      <c r="N338" s="11">
        <f>IFERROR(MATCH(SMALL(前年度名簿!$G$3:$G$452,334),前年度名簿!$G$3:$G$452,0),"")</f>
        <v/>
      </c>
    </row>
    <row r="339">
      <c r="A339" s="49">
        <f>IF($N339="","",INDEX(前年度名簿!$A$3:$A$452,$N339))</f>
        <v/>
      </c>
      <c r="B339" s="49">
        <f>IF($N339="","",INDEX(前年度名簿!$B$3:$B$452,$N339))</f>
        <v/>
      </c>
      <c r="C339" s="49">
        <f>IF($N339="","",INDEX(前年度名簿!$C$3:$C$452,$N339))</f>
        <v/>
      </c>
      <c r="D339" s="49" t="n"/>
      <c r="E339" s="49" t="n"/>
      <c r="F339" s="49" t="n"/>
      <c r="G339" s="4">
        <f>IF(A339="","",IFERROR(INDEX(前年度名簿!$D$3:$D$452,MATCH(A339&amp;"-"&amp;B339&amp;"-"&amp;C339,前年度名簿!$F$3:$F$452,0)),""))</f>
        <v/>
      </c>
      <c r="H339" s="50">
        <f>IF(D339="","",IF(ISERROR(VALUE(D339)),D339&amp;"",IF(AND(VALUE(D339)&gt;=1,VALUE(D339)&lt;=20),IF(INDEX(設定!$P$8:$P$27,VALUE(D339))="","？",INDEX(設定!$P$8:$P$27,VALUE(D339))),"？")))</f>
        <v/>
      </c>
      <c r="I339" s="50">
        <f>IF(E339="","",IF(ISERROR(VALUE(E339)),E339&amp;"",IF(AND(VALUE(E339)&gt;=1,VALUE(E339)&lt;=20),IF(INDEX(設定!$P$8:$P$27,VALUE(E339))="","？",INDEX(設定!$P$8:$P$27,VALUE(E339))),"？")))</f>
        <v/>
      </c>
      <c r="J339" s="50">
        <f>IF(F339="","",IF(ISERROR(VALUE(F339)),F339&amp;"",IF(AND(VALUE(F339)&gt;=1,VALUE(F339)&lt;=20),IF(INDEX(設定!$P$8:$P$27,VALUE(F339))="","？",INDEX(設定!$P$8:$P$27,VALUE(F339))),"？")))</f>
        <v/>
      </c>
      <c r="K339" s="51">
        <f>IF(L339="","",IF(G339="","名簿にいない",IF(COUNTIF(L340:L$555,L339)&gt;0,"2回提出（下の行を使います）",IF(H339="転出","転出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OR(AND(H339&lt;&gt;"",H339=I339),AND(H339&lt;&gt;"",H339=J339),AND(I339&lt;&gt;"",I339=J339)),"同じクラブを重複して希望","OK")))))))</f>
        <v/>
      </c>
      <c r="L339" s="11">
        <f>IF(OR(A339="",D339=""),"",A339&amp;"-"&amp;B339&amp;"-"&amp;C339)</f>
        <v/>
      </c>
      <c r="M339" s="11">
        <f>IF(OR(L339="",G339=""),"",IF(COUNTIF(L340:L$555,L339)=0,L339,""))</f>
        <v/>
      </c>
      <c r="N339" s="11">
        <f>IFERROR(MATCH(SMALL(前年度名簿!$G$3:$G$452,335),前年度名簿!$G$3:$G$452,0),"")</f>
        <v/>
      </c>
    </row>
    <row r="340">
      <c r="A340" s="49">
        <f>IF($N340="","",INDEX(前年度名簿!$A$3:$A$452,$N340))</f>
        <v/>
      </c>
      <c r="B340" s="49">
        <f>IF($N340="","",INDEX(前年度名簿!$B$3:$B$452,$N340))</f>
        <v/>
      </c>
      <c r="C340" s="49">
        <f>IF($N340="","",INDEX(前年度名簿!$C$3:$C$452,$N340))</f>
        <v/>
      </c>
      <c r="D340" s="49" t="n"/>
      <c r="E340" s="49" t="n"/>
      <c r="F340" s="49" t="n"/>
      <c r="G340" s="4">
        <f>IF(A340="","",IFERROR(INDEX(前年度名簿!$D$3:$D$452,MATCH(A340&amp;"-"&amp;B340&amp;"-"&amp;C340,前年度名簿!$F$3:$F$452,0)),""))</f>
        <v/>
      </c>
      <c r="H340" s="50">
        <f>IF(D340="","",IF(ISERROR(VALUE(D340)),D340&amp;"",IF(AND(VALUE(D340)&gt;=1,VALUE(D340)&lt;=20),IF(INDEX(設定!$P$8:$P$27,VALUE(D340))="","？",INDEX(設定!$P$8:$P$27,VALUE(D340))),"？")))</f>
        <v/>
      </c>
      <c r="I340" s="50">
        <f>IF(E340="","",IF(ISERROR(VALUE(E340)),E340&amp;"",IF(AND(VALUE(E340)&gt;=1,VALUE(E340)&lt;=20),IF(INDEX(設定!$P$8:$P$27,VALUE(E340))="","？",INDEX(設定!$P$8:$P$27,VALUE(E340))),"？")))</f>
        <v/>
      </c>
      <c r="J340" s="50">
        <f>IF(F340="","",IF(ISERROR(VALUE(F340)),F340&amp;"",IF(AND(VALUE(F340)&gt;=1,VALUE(F340)&lt;=20),IF(INDEX(設定!$P$8:$P$27,VALUE(F340))="","？",INDEX(設定!$P$8:$P$27,VALUE(F340))),"？")))</f>
        <v/>
      </c>
      <c r="K340" s="51">
        <f>IF(L340="","",IF(G340="","名簿にいない",IF(COUNTIF(L341:L$555,L340)&gt;0,"2回提出（下の行を使います）",IF(H340="転出","転出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OR(AND(H340&lt;&gt;"",H340=I340),AND(H340&lt;&gt;"",H340=J340),AND(I340&lt;&gt;"",I340=J340)),"同じクラブを重複して希望","OK")))))))</f>
        <v/>
      </c>
      <c r="L340" s="11">
        <f>IF(OR(A340="",D340=""),"",A340&amp;"-"&amp;B340&amp;"-"&amp;C340)</f>
        <v/>
      </c>
      <c r="M340" s="11">
        <f>IF(OR(L340="",G340=""),"",IF(COUNTIF(L341:L$555,L340)=0,L340,""))</f>
        <v/>
      </c>
      <c r="N340" s="11">
        <f>IFERROR(MATCH(SMALL(前年度名簿!$G$3:$G$452,336),前年度名簿!$G$3:$G$452,0),"")</f>
        <v/>
      </c>
    </row>
    <row r="341">
      <c r="A341" s="49">
        <f>IF($N341="","",INDEX(前年度名簿!$A$3:$A$452,$N341))</f>
        <v/>
      </c>
      <c r="B341" s="49">
        <f>IF($N341="","",INDEX(前年度名簿!$B$3:$B$452,$N341))</f>
        <v/>
      </c>
      <c r="C341" s="49">
        <f>IF($N341="","",INDEX(前年度名簿!$C$3:$C$452,$N341))</f>
        <v/>
      </c>
      <c r="D341" s="49" t="n"/>
      <c r="E341" s="49" t="n"/>
      <c r="F341" s="49" t="n"/>
      <c r="G341" s="4">
        <f>IF(A341="","",IFERROR(INDEX(前年度名簿!$D$3:$D$452,MATCH(A341&amp;"-"&amp;B341&amp;"-"&amp;C341,前年度名簿!$F$3:$F$452,0)),""))</f>
        <v/>
      </c>
      <c r="H341" s="50">
        <f>IF(D341="","",IF(ISERROR(VALUE(D341)),D341&amp;"",IF(AND(VALUE(D341)&gt;=1,VALUE(D341)&lt;=20),IF(INDEX(設定!$P$8:$P$27,VALUE(D341))="","？",INDEX(設定!$P$8:$P$27,VALUE(D341))),"？")))</f>
        <v/>
      </c>
      <c r="I341" s="50">
        <f>IF(E341="","",IF(ISERROR(VALUE(E341)),E341&amp;"",IF(AND(VALUE(E341)&gt;=1,VALUE(E341)&lt;=20),IF(INDEX(設定!$P$8:$P$27,VALUE(E341))="","？",INDEX(設定!$P$8:$P$27,VALUE(E341))),"？")))</f>
        <v/>
      </c>
      <c r="J341" s="50">
        <f>IF(F341="","",IF(ISERROR(VALUE(F341)),F341&amp;"",IF(AND(VALUE(F341)&gt;=1,VALUE(F341)&lt;=20),IF(INDEX(設定!$P$8:$P$27,VALUE(F341))="","？",INDEX(設定!$P$8:$P$27,VALUE(F341))),"？")))</f>
        <v/>
      </c>
      <c r="K341" s="51">
        <f>IF(L341="","",IF(G341="","名簿にいない",IF(COUNTIF(L342:L$555,L341)&gt;0,"2回提出（下の行を使います）",IF(H341="転出","転出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OR(AND(H341&lt;&gt;"",H341=I341),AND(H341&lt;&gt;"",H341=J341),AND(I341&lt;&gt;"",I341=J341)),"同じクラブを重複して希望","OK")))))))</f>
        <v/>
      </c>
      <c r="L341" s="11">
        <f>IF(OR(A341="",D341=""),"",A341&amp;"-"&amp;B341&amp;"-"&amp;C341)</f>
        <v/>
      </c>
      <c r="M341" s="11">
        <f>IF(OR(L341="",G341=""),"",IF(COUNTIF(L342:L$555,L341)=0,L341,""))</f>
        <v/>
      </c>
      <c r="N341" s="11">
        <f>IFERROR(MATCH(SMALL(前年度名簿!$G$3:$G$452,337),前年度名簿!$G$3:$G$452,0),"")</f>
        <v/>
      </c>
    </row>
    <row r="342">
      <c r="A342" s="49">
        <f>IF($N342="","",INDEX(前年度名簿!$A$3:$A$452,$N342))</f>
        <v/>
      </c>
      <c r="B342" s="49">
        <f>IF($N342="","",INDEX(前年度名簿!$B$3:$B$452,$N342))</f>
        <v/>
      </c>
      <c r="C342" s="49">
        <f>IF($N342="","",INDEX(前年度名簿!$C$3:$C$452,$N342))</f>
        <v/>
      </c>
      <c r="D342" s="49" t="n"/>
      <c r="E342" s="49" t="n"/>
      <c r="F342" s="49" t="n"/>
      <c r="G342" s="4">
        <f>IF(A342="","",IFERROR(INDEX(前年度名簿!$D$3:$D$452,MATCH(A342&amp;"-"&amp;B342&amp;"-"&amp;C342,前年度名簿!$F$3:$F$452,0)),""))</f>
        <v/>
      </c>
      <c r="H342" s="50">
        <f>IF(D342="","",IF(ISERROR(VALUE(D342)),D342&amp;"",IF(AND(VALUE(D342)&gt;=1,VALUE(D342)&lt;=20),IF(INDEX(設定!$P$8:$P$27,VALUE(D342))="","？",INDEX(設定!$P$8:$P$27,VALUE(D342))),"？")))</f>
        <v/>
      </c>
      <c r="I342" s="50">
        <f>IF(E342="","",IF(ISERROR(VALUE(E342)),E342&amp;"",IF(AND(VALUE(E342)&gt;=1,VALUE(E342)&lt;=20),IF(INDEX(設定!$P$8:$P$27,VALUE(E342))="","？",INDEX(設定!$P$8:$P$27,VALUE(E342))),"？")))</f>
        <v/>
      </c>
      <c r="J342" s="50">
        <f>IF(F342="","",IF(ISERROR(VALUE(F342)),F342&amp;"",IF(AND(VALUE(F342)&gt;=1,VALUE(F342)&lt;=20),IF(INDEX(設定!$P$8:$P$27,VALUE(F342))="","？",INDEX(設定!$P$8:$P$27,VALUE(F342))),"？")))</f>
        <v/>
      </c>
      <c r="K342" s="51">
        <f>IF(L342="","",IF(G342="","名簿にいない",IF(COUNTIF(L343:L$555,L342)&gt;0,"2回提出（下の行を使います）",IF(H342="転出","転出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OR(AND(H342&lt;&gt;"",H342=I342),AND(H342&lt;&gt;"",H342=J342),AND(I342&lt;&gt;"",I342=J342)),"同じクラブを重複して希望","OK")))))))</f>
        <v/>
      </c>
      <c r="L342" s="11">
        <f>IF(OR(A342="",D342=""),"",A342&amp;"-"&amp;B342&amp;"-"&amp;C342)</f>
        <v/>
      </c>
      <c r="M342" s="11">
        <f>IF(OR(L342="",G342=""),"",IF(COUNTIF(L343:L$555,L342)=0,L342,""))</f>
        <v/>
      </c>
      <c r="N342" s="11">
        <f>IFERROR(MATCH(SMALL(前年度名簿!$G$3:$G$452,338),前年度名簿!$G$3:$G$452,0),"")</f>
        <v/>
      </c>
    </row>
    <row r="343">
      <c r="A343" s="49">
        <f>IF($N343="","",INDEX(前年度名簿!$A$3:$A$452,$N343))</f>
        <v/>
      </c>
      <c r="B343" s="49">
        <f>IF($N343="","",INDEX(前年度名簿!$B$3:$B$452,$N343))</f>
        <v/>
      </c>
      <c r="C343" s="49">
        <f>IF($N343="","",INDEX(前年度名簿!$C$3:$C$452,$N343))</f>
        <v/>
      </c>
      <c r="D343" s="49" t="n"/>
      <c r="E343" s="49" t="n"/>
      <c r="F343" s="49" t="n"/>
      <c r="G343" s="4">
        <f>IF(A343="","",IFERROR(INDEX(前年度名簿!$D$3:$D$452,MATCH(A343&amp;"-"&amp;B343&amp;"-"&amp;C343,前年度名簿!$F$3:$F$452,0)),""))</f>
        <v/>
      </c>
      <c r="H343" s="50">
        <f>IF(D343="","",IF(ISERROR(VALUE(D343)),D343&amp;"",IF(AND(VALUE(D343)&gt;=1,VALUE(D343)&lt;=20),IF(INDEX(設定!$P$8:$P$27,VALUE(D343))="","？",INDEX(設定!$P$8:$P$27,VALUE(D343))),"？")))</f>
        <v/>
      </c>
      <c r="I343" s="50">
        <f>IF(E343="","",IF(ISERROR(VALUE(E343)),E343&amp;"",IF(AND(VALUE(E343)&gt;=1,VALUE(E343)&lt;=20),IF(INDEX(設定!$P$8:$P$27,VALUE(E343))="","？",INDEX(設定!$P$8:$P$27,VALUE(E343))),"？")))</f>
        <v/>
      </c>
      <c r="J343" s="50">
        <f>IF(F343="","",IF(ISERROR(VALUE(F343)),F343&amp;"",IF(AND(VALUE(F343)&gt;=1,VALUE(F343)&lt;=20),IF(INDEX(設定!$P$8:$P$27,VALUE(F343))="","？",INDEX(設定!$P$8:$P$27,VALUE(F343))),"？")))</f>
        <v/>
      </c>
      <c r="K343" s="51">
        <f>IF(L343="","",IF(G343="","名簿にいない",IF(COUNTIF(L344:L$555,L343)&gt;0,"2回提出（下の行を使います）",IF(H343="転出","転出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OR(AND(H343&lt;&gt;"",H343=I343),AND(H343&lt;&gt;"",H343=J343),AND(I343&lt;&gt;"",I343=J343)),"同じクラブを重複して希望","OK")))))))</f>
        <v/>
      </c>
      <c r="L343" s="11">
        <f>IF(OR(A343="",D343=""),"",A343&amp;"-"&amp;B343&amp;"-"&amp;C343)</f>
        <v/>
      </c>
      <c r="M343" s="11">
        <f>IF(OR(L343="",G343=""),"",IF(COUNTIF(L344:L$555,L343)=0,L343,""))</f>
        <v/>
      </c>
      <c r="N343" s="11">
        <f>IFERROR(MATCH(SMALL(前年度名簿!$G$3:$G$452,339),前年度名簿!$G$3:$G$452,0),"")</f>
        <v/>
      </c>
    </row>
    <row r="344">
      <c r="A344" s="49">
        <f>IF($N344="","",INDEX(前年度名簿!$A$3:$A$452,$N344))</f>
        <v/>
      </c>
      <c r="B344" s="49">
        <f>IF($N344="","",INDEX(前年度名簿!$B$3:$B$452,$N344))</f>
        <v/>
      </c>
      <c r="C344" s="49">
        <f>IF($N344="","",INDEX(前年度名簿!$C$3:$C$452,$N344))</f>
        <v/>
      </c>
      <c r="D344" s="49" t="n"/>
      <c r="E344" s="49" t="n"/>
      <c r="F344" s="49" t="n"/>
      <c r="G344" s="4">
        <f>IF(A344="","",IFERROR(INDEX(前年度名簿!$D$3:$D$452,MATCH(A344&amp;"-"&amp;B344&amp;"-"&amp;C344,前年度名簿!$F$3:$F$452,0)),""))</f>
        <v/>
      </c>
      <c r="H344" s="50">
        <f>IF(D344="","",IF(ISERROR(VALUE(D344)),D344&amp;"",IF(AND(VALUE(D344)&gt;=1,VALUE(D344)&lt;=20),IF(INDEX(設定!$P$8:$P$27,VALUE(D344))="","？",INDEX(設定!$P$8:$P$27,VALUE(D344))),"？")))</f>
        <v/>
      </c>
      <c r="I344" s="50">
        <f>IF(E344="","",IF(ISERROR(VALUE(E344)),E344&amp;"",IF(AND(VALUE(E344)&gt;=1,VALUE(E344)&lt;=20),IF(INDEX(設定!$P$8:$P$27,VALUE(E344))="","？",INDEX(設定!$P$8:$P$27,VALUE(E344))),"？")))</f>
        <v/>
      </c>
      <c r="J344" s="50">
        <f>IF(F344="","",IF(ISERROR(VALUE(F344)),F344&amp;"",IF(AND(VALUE(F344)&gt;=1,VALUE(F344)&lt;=20),IF(INDEX(設定!$P$8:$P$27,VALUE(F344))="","？",INDEX(設定!$P$8:$P$27,VALUE(F344))),"？")))</f>
        <v/>
      </c>
      <c r="K344" s="51">
        <f>IF(L344="","",IF(G344="","名簿にいない",IF(COUNTIF(L345:L$555,L344)&gt;0,"2回提出（下の行を使います）",IF(H344="転出","転出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OR(AND(H344&lt;&gt;"",H344=I344),AND(H344&lt;&gt;"",H344=J344),AND(I344&lt;&gt;"",I344=J344)),"同じクラブを重複して希望","OK")))))))</f>
        <v/>
      </c>
      <c r="L344" s="11">
        <f>IF(OR(A344="",D344=""),"",A344&amp;"-"&amp;B344&amp;"-"&amp;C344)</f>
        <v/>
      </c>
      <c r="M344" s="11">
        <f>IF(OR(L344="",G344=""),"",IF(COUNTIF(L345:L$555,L344)=0,L344,""))</f>
        <v/>
      </c>
      <c r="N344" s="11">
        <f>IFERROR(MATCH(SMALL(前年度名簿!$G$3:$G$452,340),前年度名簿!$G$3:$G$452,0),"")</f>
        <v/>
      </c>
    </row>
    <row r="345">
      <c r="A345" s="49">
        <f>IF($N345="","",INDEX(前年度名簿!$A$3:$A$452,$N345))</f>
        <v/>
      </c>
      <c r="B345" s="49">
        <f>IF($N345="","",INDEX(前年度名簿!$B$3:$B$452,$N345))</f>
        <v/>
      </c>
      <c r="C345" s="49">
        <f>IF($N345="","",INDEX(前年度名簿!$C$3:$C$452,$N345))</f>
        <v/>
      </c>
      <c r="D345" s="49" t="n"/>
      <c r="E345" s="49" t="n"/>
      <c r="F345" s="49" t="n"/>
      <c r="G345" s="4">
        <f>IF(A345="","",IFERROR(INDEX(前年度名簿!$D$3:$D$452,MATCH(A345&amp;"-"&amp;B345&amp;"-"&amp;C345,前年度名簿!$F$3:$F$452,0)),""))</f>
        <v/>
      </c>
      <c r="H345" s="50">
        <f>IF(D345="","",IF(ISERROR(VALUE(D345)),D345&amp;"",IF(AND(VALUE(D345)&gt;=1,VALUE(D345)&lt;=20),IF(INDEX(設定!$P$8:$P$27,VALUE(D345))="","？",INDEX(設定!$P$8:$P$27,VALUE(D345))),"？")))</f>
        <v/>
      </c>
      <c r="I345" s="50">
        <f>IF(E345="","",IF(ISERROR(VALUE(E345)),E345&amp;"",IF(AND(VALUE(E345)&gt;=1,VALUE(E345)&lt;=20),IF(INDEX(設定!$P$8:$P$27,VALUE(E345))="","？",INDEX(設定!$P$8:$P$27,VALUE(E345))),"？")))</f>
        <v/>
      </c>
      <c r="J345" s="50">
        <f>IF(F345="","",IF(ISERROR(VALUE(F345)),F345&amp;"",IF(AND(VALUE(F345)&gt;=1,VALUE(F345)&lt;=20),IF(INDEX(設定!$P$8:$P$27,VALUE(F345))="","？",INDEX(設定!$P$8:$P$27,VALUE(F345))),"？")))</f>
        <v/>
      </c>
      <c r="K345" s="51">
        <f>IF(L345="","",IF(G345="","名簿にいない",IF(COUNTIF(L346:L$555,L345)&gt;0,"2回提出（下の行を使います）",IF(H345="転出","転出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OR(AND(H345&lt;&gt;"",H345=I345),AND(H345&lt;&gt;"",H345=J345),AND(I345&lt;&gt;"",I345=J345)),"同じクラブを重複して希望","OK")))))))</f>
        <v/>
      </c>
      <c r="L345" s="11">
        <f>IF(OR(A345="",D345=""),"",A345&amp;"-"&amp;B345&amp;"-"&amp;C345)</f>
        <v/>
      </c>
      <c r="M345" s="11">
        <f>IF(OR(L345="",G345=""),"",IF(COUNTIF(L346:L$555,L345)=0,L345,""))</f>
        <v/>
      </c>
      <c r="N345" s="11">
        <f>IFERROR(MATCH(SMALL(前年度名簿!$G$3:$G$452,341),前年度名簿!$G$3:$G$452,0),"")</f>
        <v/>
      </c>
    </row>
    <row r="346">
      <c r="A346" s="49">
        <f>IF($N346="","",INDEX(前年度名簿!$A$3:$A$452,$N346))</f>
        <v/>
      </c>
      <c r="B346" s="49">
        <f>IF($N346="","",INDEX(前年度名簿!$B$3:$B$452,$N346))</f>
        <v/>
      </c>
      <c r="C346" s="49">
        <f>IF($N346="","",INDEX(前年度名簿!$C$3:$C$452,$N346))</f>
        <v/>
      </c>
      <c r="D346" s="49" t="n"/>
      <c r="E346" s="49" t="n"/>
      <c r="F346" s="49" t="n"/>
      <c r="G346" s="4">
        <f>IF(A346="","",IFERROR(INDEX(前年度名簿!$D$3:$D$452,MATCH(A346&amp;"-"&amp;B346&amp;"-"&amp;C346,前年度名簿!$F$3:$F$452,0)),""))</f>
        <v/>
      </c>
      <c r="H346" s="50">
        <f>IF(D346="","",IF(ISERROR(VALUE(D346)),D346&amp;"",IF(AND(VALUE(D346)&gt;=1,VALUE(D346)&lt;=20),IF(INDEX(設定!$P$8:$P$27,VALUE(D346))="","？",INDEX(設定!$P$8:$P$27,VALUE(D346))),"？")))</f>
        <v/>
      </c>
      <c r="I346" s="50">
        <f>IF(E346="","",IF(ISERROR(VALUE(E346)),E346&amp;"",IF(AND(VALUE(E346)&gt;=1,VALUE(E346)&lt;=20),IF(INDEX(設定!$P$8:$P$27,VALUE(E346))="","？",INDEX(設定!$P$8:$P$27,VALUE(E346))),"？")))</f>
        <v/>
      </c>
      <c r="J346" s="50">
        <f>IF(F346="","",IF(ISERROR(VALUE(F346)),F346&amp;"",IF(AND(VALUE(F346)&gt;=1,VALUE(F346)&lt;=20),IF(INDEX(設定!$P$8:$P$27,VALUE(F346))="","？",INDEX(設定!$P$8:$P$27,VALUE(F346))),"？")))</f>
        <v/>
      </c>
      <c r="K346" s="51">
        <f>IF(L346="","",IF(G346="","名簿にいない",IF(COUNTIF(L347:L$555,L346)&gt;0,"2回提出（下の行を使います）",IF(H346="転出","転出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OR(AND(H346&lt;&gt;"",H346=I346),AND(H346&lt;&gt;"",H346=J346),AND(I346&lt;&gt;"",I346=J346)),"同じクラブを重複して希望","OK")))))))</f>
        <v/>
      </c>
      <c r="L346" s="11">
        <f>IF(OR(A346="",D346=""),"",A346&amp;"-"&amp;B346&amp;"-"&amp;C346)</f>
        <v/>
      </c>
      <c r="M346" s="11">
        <f>IF(OR(L346="",G346=""),"",IF(COUNTIF(L347:L$555,L346)=0,L346,""))</f>
        <v/>
      </c>
      <c r="N346" s="11">
        <f>IFERROR(MATCH(SMALL(前年度名簿!$G$3:$G$452,342),前年度名簿!$G$3:$G$452,0),"")</f>
        <v/>
      </c>
    </row>
    <row r="347">
      <c r="A347" s="49">
        <f>IF($N347="","",INDEX(前年度名簿!$A$3:$A$452,$N347))</f>
        <v/>
      </c>
      <c r="B347" s="49">
        <f>IF($N347="","",INDEX(前年度名簿!$B$3:$B$452,$N347))</f>
        <v/>
      </c>
      <c r="C347" s="49">
        <f>IF($N347="","",INDEX(前年度名簿!$C$3:$C$452,$N347))</f>
        <v/>
      </c>
      <c r="D347" s="49" t="n"/>
      <c r="E347" s="49" t="n"/>
      <c r="F347" s="49" t="n"/>
      <c r="G347" s="4">
        <f>IF(A347="","",IFERROR(INDEX(前年度名簿!$D$3:$D$452,MATCH(A347&amp;"-"&amp;B347&amp;"-"&amp;C347,前年度名簿!$F$3:$F$452,0)),""))</f>
        <v/>
      </c>
      <c r="H347" s="50">
        <f>IF(D347="","",IF(ISERROR(VALUE(D347)),D347&amp;"",IF(AND(VALUE(D347)&gt;=1,VALUE(D347)&lt;=20),IF(INDEX(設定!$P$8:$P$27,VALUE(D347))="","？",INDEX(設定!$P$8:$P$27,VALUE(D347))),"？")))</f>
        <v/>
      </c>
      <c r="I347" s="50">
        <f>IF(E347="","",IF(ISERROR(VALUE(E347)),E347&amp;"",IF(AND(VALUE(E347)&gt;=1,VALUE(E347)&lt;=20),IF(INDEX(設定!$P$8:$P$27,VALUE(E347))="","？",INDEX(設定!$P$8:$P$27,VALUE(E347))),"？")))</f>
        <v/>
      </c>
      <c r="J347" s="50">
        <f>IF(F347="","",IF(ISERROR(VALUE(F347)),F347&amp;"",IF(AND(VALUE(F347)&gt;=1,VALUE(F347)&lt;=20),IF(INDEX(設定!$P$8:$P$27,VALUE(F347))="","？",INDEX(設定!$P$8:$P$27,VALUE(F347))),"？")))</f>
        <v/>
      </c>
      <c r="K347" s="51">
        <f>IF(L347="","",IF(G347="","名簿にいない",IF(COUNTIF(L348:L$555,L347)&gt;0,"2回提出（下の行を使います）",IF(H347="転出","転出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OR(AND(H347&lt;&gt;"",H347=I347),AND(H347&lt;&gt;"",H347=J347),AND(I347&lt;&gt;"",I347=J347)),"同じクラブを重複して希望","OK")))))))</f>
        <v/>
      </c>
      <c r="L347" s="11">
        <f>IF(OR(A347="",D347=""),"",A347&amp;"-"&amp;B347&amp;"-"&amp;C347)</f>
        <v/>
      </c>
      <c r="M347" s="11">
        <f>IF(OR(L347="",G347=""),"",IF(COUNTIF(L348:L$555,L347)=0,L347,""))</f>
        <v/>
      </c>
      <c r="N347" s="11">
        <f>IFERROR(MATCH(SMALL(前年度名簿!$G$3:$G$452,343),前年度名簿!$G$3:$G$452,0),"")</f>
        <v/>
      </c>
    </row>
    <row r="348">
      <c r="A348" s="49">
        <f>IF($N348="","",INDEX(前年度名簿!$A$3:$A$452,$N348))</f>
        <v/>
      </c>
      <c r="B348" s="49">
        <f>IF($N348="","",INDEX(前年度名簿!$B$3:$B$452,$N348))</f>
        <v/>
      </c>
      <c r="C348" s="49">
        <f>IF($N348="","",INDEX(前年度名簿!$C$3:$C$452,$N348))</f>
        <v/>
      </c>
      <c r="D348" s="49" t="n"/>
      <c r="E348" s="49" t="n"/>
      <c r="F348" s="49" t="n"/>
      <c r="G348" s="4">
        <f>IF(A348="","",IFERROR(INDEX(前年度名簿!$D$3:$D$452,MATCH(A348&amp;"-"&amp;B348&amp;"-"&amp;C348,前年度名簿!$F$3:$F$452,0)),""))</f>
        <v/>
      </c>
      <c r="H348" s="50">
        <f>IF(D348="","",IF(ISERROR(VALUE(D348)),D348&amp;"",IF(AND(VALUE(D348)&gt;=1,VALUE(D348)&lt;=20),IF(INDEX(設定!$P$8:$P$27,VALUE(D348))="","？",INDEX(設定!$P$8:$P$27,VALUE(D348))),"？")))</f>
        <v/>
      </c>
      <c r="I348" s="50">
        <f>IF(E348="","",IF(ISERROR(VALUE(E348)),E348&amp;"",IF(AND(VALUE(E348)&gt;=1,VALUE(E348)&lt;=20),IF(INDEX(設定!$P$8:$P$27,VALUE(E348))="","？",INDEX(設定!$P$8:$P$27,VALUE(E348))),"？")))</f>
        <v/>
      </c>
      <c r="J348" s="50">
        <f>IF(F348="","",IF(ISERROR(VALUE(F348)),F348&amp;"",IF(AND(VALUE(F348)&gt;=1,VALUE(F348)&lt;=20),IF(INDEX(設定!$P$8:$P$27,VALUE(F348))="","？",INDEX(設定!$P$8:$P$27,VALUE(F348))),"？")))</f>
        <v/>
      </c>
      <c r="K348" s="51">
        <f>IF(L348="","",IF(G348="","名簿にいない",IF(COUNTIF(L349:L$555,L348)&gt;0,"2回提出（下の行を使います）",IF(H348="転出","転出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OR(AND(H348&lt;&gt;"",H348=I348),AND(H348&lt;&gt;"",H348=J348),AND(I348&lt;&gt;"",I348=J348)),"同じクラブを重複して希望","OK")))))))</f>
        <v/>
      </c>
      <c r="L348" s="11">
        <f>IF(OR(A348="",D348=""),"",A348&amp;"-"&amp;B348&amp;"-"&amp;C348)</f>
        <v/>
      </c>
      <c r="M348" s="11">
        <f>IF(OR(L348="",G348=""),"",IF(COUNTIF(L349:L$555,L348)=0,L348,""))</f>
        <v/>
      </c>
      <c r="N348" s="11">
        <f>IFERROR(MATCH(SMALL(前年度名簿!$G$3:$G$452,344),前年度名簿!$G$3:$G$452,0),"")</f>
        <v/>
      </c>
    </row>
    <row r="349">
      <c r="A349" s="49">
        <f>IF($N349="","",INDEX(前年度名簿!$A$3:$A$452,$N349))</f>
        <v/>
      </c>
      <c r="B349" s="49">
        <f>IF($N349="","",INDEX(前年度名簿!$B$3:$B$452,$N349))</f>
        <v/>
      </c>
      <c r="C349" s="49">
        <f>IF($N349="","",INDEX(前年度名簿!$C$3:$C$452,$N349))</f>
        <v/>
      </c>
      <c r="D349" s="49" t="n"/>
      <c r="E349" s="49" t="n"/>
      <c r="F349" s="49" t="n"/>
      <c r="G349" s="4">
        <f>IF(A349="","",IFERROR(INDEX(前年度名簿!$D$3:$D$452,MATCH(A349&amp;"-"&amp;B349&amp;"-"&amp;C349,前年度名簿!$F$3:$F$452,0)),""))</f>
        <v/>
      </c>
      <c r="H349" s="50">
        <f>IF(D349="","",IF(ISERROR(VALUE(D349)),D349&amp;"",IF(AND(VALUE(D349)&gt;=1,VALUE(D349)&lt;=20),IF(INDEX(設定!$P$8:$P$27,VALUE(D349))="","？",INDEX(設定!$P$8:$P$27,VALUE(D349))),"？")))</f>
        <v/>
      </c>
      <c r="I349" s="50">
        <f>IF(E349="","",IF(ISERROR(VALUE(E349)),E349&amp;"",IF(AND(VALUE(E349)&gt;=1,VALUE(E349)&lt;=20),IF(INDEX(設定!$P$8:$P$27,VALUE(E349))="","？",INDEX(設定!$P$8:$P$27,VALUE(E349))),"？")))</f>
        <v/>
      </c>
      <c r="J349" s="50">
        <f>IF(F349="","",IF(ISERROR(VALUE(F349)),F349&amp;"",IF(AND(VALUE(F349)&gt;=1,VALUE(F349)&lt;=20),IF(INDEX(設定!$P$8:$P$27,VALUE(F349))="","？",INDEX(設定!$P$8:$P$27,VALUE(F349))),"？")))</f>
        <v/>
      </c>
      <c r="K349" s="51">
        <f>IF(L349="","",IF(G349="","名簿にいない",IF(COUNTIF(L350:L$555,L349)&gt;0,"2回提出（下の行を使います）",IF(H349="転出","転出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OR(AND(H349&lt;&gt;"",H349=I349),AND(H349&lt;&gt;"",H349=J349),AND(I349&lt;&gt;"",I349=J349)),"同じクラブを重複して希望","OK")))))))</f>
        <v/>
      </c>
      <c r="L349" s="11">
        <f>IF(OR(A349="",D349=""),"",A349&amp;"-"&amp;B349&amp;"-"&amp;C349)</f>
        <v/>
      </c>
      <c r="M349" s="11">
        <f>IF(OR(L349="",G349=""),"",IF(COUNTIF(L350:L$555,L349)=0,L349,""))</f>
        <v/>
      </c>
      <c r="N349" s="11">
        <f>IFERROR(MATCH(SMALL(前年度名簿!$G$3:$G$452,345),前年度名簿!$G$3:$G$452,0),"")</f>
        <v/>
      </c>
    </row>
    <row r="350">
      <c r="A350" s="49">
        <f>IF($N350="","",INDEX(前年度名簿!$A$3:$A$452,$N350))</f>
        <v/>
      </c>
      <c r="B350" s="49">
        <f>IF($N350="","",INDEX(前年度名簿!$B$3:$B$452,$N350))</f>
        <v/>
      </c>
      <c r="C350" s="49">
        <f>IF($N350="","",INDEX(前年度名簿!$C$3:$C$452,$N350))</f>
        <v/>
      </c>
      <c r="D350" s="49" t="n"/>
      <c r="E350" s="49" t="n"/>
      <c r="F350" s="49" t="n"/>
      <c r="G350" s="4">
        <f>IF(A350="","",IFERROR(INDEX(前年度名簿!$D$3:$D$452,MATCH(A350&amp;"-"&amp;B350&amp;"-"&amp;C350,前年度名簿!$F$3:$F$452,0)),""))</f>
        <v/>
      </c>
      <c r="H350" s="50">
        <f>IF(D350="","",IF(ISERROR(VALUE(D350)),D350&amp;"",IF(AND(VALUE(D350)&gt;=1,VALUE(D350)&lt;=20),IF(INDEX(設定!$P$8:$P$27,VALUE(D350))="","？",INDEX(設定!$P$8:$P$27,VALUE(D350))),"？")))</f>
        <v/>
      </c>
      <c r="I350" s="50">
        <f>IF(E350="","",IF(ISERROR(VALUE(E350)),E350&amp;"",IF(AND(VALUE(E350)&gt;=1,VALUE(E350)&lt;=20),IF(INDEX(設定!$P$8:$P$27,VALUE(E350))="","？",INDEX(設定!$P$8:$P$27,VALUE(E350))),"？")))</f>
        <v/>
      </c>
      <c r="J350" s="50">
        <f>IF(F350="","",IF(ISERROR(VALUE(F350)),F350&amp;"",IF(AND(VALUE(F350)&gt;=1,VALUE(F350)&lt;=20),IF(INDEX(設定!$P$8:$P$27,VALUE(F350))="","？",INDEX(設定!$P$8:$P$27,VALUE(F350))),"？")))</f>
        <v/>
      </c>
      <c r="K350" s="51">
        <f>IF(L350="","",IF(G350="","名簿にいない",IF(COUNTIF(L351:L$555,L350)&gt;0,"2回提出（下の行を使います）",IF(H350="転出","転出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OR(AND(H350&lt;&gt;"",H350=I350),AND(H350&lt;&gt;"",H350=J350),AND(I350&lt;&gt;"",I350=J350)),"同じクラブを重複して希望","OK")))))))</f>
        <v/>
      </c>
      <c r="L350" s="11">
        <f>IF(OR(A350="",D350=""),"",A350&amp;"-"&amp;B350&amp;"-"&amp;C350)</f>
        <v/>
      </c>
      <c r="M350" s="11">
        <f>IF(OR(L350="",G350=""),"",IF(COUNTIF(L351:L$555,L350)=0,L350,""))</f>
        <v/>
      </c>
      <c r="N350" s="11">
        <f>IFERROR(MATCH(SMALL(前年度名簿!$G$3:$G$452,346),前年度名簿!$G$3:$G$452,0),"")</f>
        <v/>
      </c>
    </row>
    <row r="351">
      <c r="A351" s="49">
        <f>IF($N351="","",INDEX(前年度名簿!$A$3:$A$452,$N351))</f>
        <v/>
      </c>
      <c r="B351" s="49">
        <f>IF($N351="","",INDEX(前年度名簿!$B$3:$B$452,$N351))</f>
        <v/>
      </c>
      <c r="C351" s="49">
        <f>IF($N351="","",INDEX(前年度名簿!$C$3:$C$452,$N351))</f>
        <v/>
      </c>
      <c r="D351" s="49" t="n"/>
      <c r="E351" s="49" t="n"/>
      <c r="F351" s="49" t="n"/>
      <c r="G351" s="4">
        <f>IF(A351="","",IFERROR(INDEX(前年度名簿!$D$3:$D$452,MATCH(A351&amp;"-"&amp;B351&amp;"-"&amp;C351,前年度名簿!$F$3:$F$452,0)),""))</f>
        <v/>
      </c>
      <c r="H351" s="50">
        <f>IF(D351="","",IF(ISERROR(VALUE(D351)),D351&amp;"",IF(AND(VALUE(D351)&gt;=1,VALUE(D351)&lt;=20),IF(INDEX(設定!$P$8:$P$27,VALUE(D351))="","？",INDEX(設定!$P$8:$P$27,VALUE(D351))),"？")))</f>
        <v/>
      </c>
      <c r="I351" s="50">
        <f>IF(E351="","",IF(ISERROR(VALUE(E351)),E351&amp;"",IF(AND(VALUE(E351)&gt;=1,VALUE(E351)&lt;=20),IF(INDEX(設定!$P$8:$P$27,VALUE(E351))="","？",INDEX(設定!$P$8:$P$27,VALUE(E351))),"？")))</f>
        <v/>
      </c>
      <c r="J351" s="50">
        <f>IF(F351="","",IF(ISERROR(VALUE(F351)),F351&amp;"",IF(AND(VALUE(F351)&gt;=1,VALUE(F351)&lt;=20),IF(INDEX(設定!$P$8:$P$27,VALUE(F351))="","？",INDEX(設定!$P$8:$P$27,VALUE(F351))),"？")))</f>
        <v/>
      </c>
      <c r="K351" s="51">
        <f>IF(L351="","",IF(G351="","名簿にいない",IF(COUNTIF(L352:L$555,L351)&gt;0,"2回提出（下の行を使います）",IF(H351="転出","転出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OR(AND(H351&lt;&gt;"",H351=I351),AND(H351&lt;&gt;"",H351=J351),AND(I351&lt;&gt;"",I351=J351)),"同じクラブを重複して希望","OK")))))))</f>
        <v/>
      </c>
      <c r="L351" s="11">
        <f>IF(OR(A351="",D351=""),"",A351&amp;"-"&amp;B351&amp;"-"&amp;C351)</f>
        <v/>
      </c>
      <c r="M351" s="11">
        <f>IF(OR(L351="",G351=""),"",IF(COUNTIF(L352:L$555,L351)=0,L351,""))</f>
        <v/>
      </c>
      <c r="N351" s="11">
        <f>IFERROR(MATCH(SMALL(前年度名簿!$G$3:$G$452,347),前年度名簿!$G$3:$G$452,0),"")</f>
        <v/>
      </c>
    </row>
    <row r="352">
      <c r="A352" s="49">
        <f>IF($N352="","",INDEX(前年度名簿!$A$3:$A$452,$N352))</f>
        <v/>
      </c>
      <c r="B352" s="49">
        <f>IF($N352="","",INDEX(前年度名簿!$B$3:$B$452,$N352))</f>
        <v/>
      </c>
      <c r="C352" s="49">
        <f>IF($N352="","",INDEX(前年度名簿!$C$3:$C$452,$N352))</f>
        <v/>
      </c>
      <c r="D352" s="49" t="n"/>
      <c r="E352" s="49" t="n"/>
      <c r="F352" s="49" t="n"/>
      <c r="G352" s="4">
        <f>IF(A352="","",IFERROR(INDEX(前年度名簿!$D$3:$D$452,MATCH(A352&amp;"-"&amp;B352&amp;"-"&amp;C352,前年度名簿!$F$3:$F$452,0)),""))</f>
        <v/>
      </c>
      <c r="H352" s="50">
        <f>IF(D352="","",IF(ISERROR(VALUE(D352)),D352&amp;"",IF(AND(VALUE(D352)&gt;=1,VALUE(D352)&lt;=20),IF(INDEX(設定!$P$8:$P$27,VALUE(D352))="","？",INDEX(設定!$P$8:$P$27,VALUE(D352))),"？")))</f>
        <v/>
      </c>
      <c r="I352" s="50">
        <f>IF(E352="","",IF(ISERROR(VALUE(E352)),E352&amp;"",IF(AND(VALUE(E352)&gt;=1,VALUE(E352)&lt;=20),IF(INDEX(設定!$P$8:$P$27,VALUE(E352))="","？",INDEX(設定!$P$8:$P$27,VALUE(E352))),"？")))</f>
        <v/>
      </c>
      <c r="J352" s="50">
        <f>IF(F352="","",IF(ISERROR(VALUE(F352)),F352&amp;"",IF(AND(VALUE(F352)&gt;=1,VALUE(F352)&lt;=20),IF(INDEX(設定!$P$8:$P$27,VALUE(F352))="","？",INDEX(設定!$P$8:$P$27,VALUE(F352))),"？")))</f>
        <v/>
      </c>
      <c r="K352" s="51">
        <f>IF(L352="","",IF(G352="","名簿にいない",IF(COUNTIF(L353:L$555,L352)&gt;0,"2回提出（下の行を使います）",IF(H352="転出","転出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OR(AND(H352&lt;&gt;"",H352=I352),AND(H352&lt;&gt;"",H352=J352),AND(I352&lt;&gt;"",I352=J352)),"同じクラブを重複して希望","OK")))))))</f>
        <v/>
      </c>
      <c r="L352" s="11">
        <f>IF(OR(A352="",D352=""),"",A352&amp;"-"&amp;B352&amp;"-"&amp;C352)</f>
        <v/>
      </c>
      <c r="M352" s="11">
        <f>IF(OR(L352="",G352=""),"",IF(COUNTIF(L353:L$555,L352)=0,L352,""))</f>
        <v/>
      </c>
      <c r="N352" s="11">
        <f>IFERROR(MATCH(SMALL(前年度名簿!$G$3:$G$452,348),前年度名簿!$G$3:$G$452,0),"")</f>
        <v/>
      </c>
    </row>
    <row r="353">
      <c r="A353" s="49">
        <f>IF($N353="","",INDEX(前年度名簿!$A$3:$A$452,$N353))</f>
        <v/>
      </c>
      <c r="B353" s="49">
        <f>IF($N353="","",INDEX(前年度名簿!$B$3:$B$452,$N353))</f>
        <v/>
      </c>
      <c r="C353" s="49">
        <f>IF($N353="","",INDEX(前年度名簿!$C$3:$C$452,$N353))</f>
        <v/>
      </c>
      <c r="D353" s="49" t="n"/>
      <c r="E353" s="49" t="n"/>
      <c r="F353" s="49" t="n"/>
      <c r="G353" s="4">
        <f>IF(A353="","",IFERROR(INDEX(前年度名簿!$D$3:$D$452,MATCH(A353&amp;"-"&amp;B353&amp;"-"&amp;C353,前年度名簿!$F$3:$F$452,0)),""))</f>
        <v/>
      </c>
      <c r="H353" s="50">
        <f>IF(D353="","",IF(ISERROR(VALUE(D353)),D353&amp;"",IF(AND(VALUE(D353)&gt;=1,VALUE(D353)&lt;=20),IF(INDEX(設定!$P$8:$P$27,VALUE(D353))="","？",INDEX(設定!$P$8:$P$27,VALUE(D353))),"？")))</f>
        <v/>
      </c>
      <c r="I353" s="50">
        <f>IF(E353="","",IF(ISERROR(VALUE(E353)),E353&amp;"",IF(AND(VALUE(E353)&gt;=1,VALUE(E353)&lt;=20),IF(INDEX(設定!$P$8:$P$27,VALUE(E353))="","？",INDEX(設定!$P$8:$P$27,VALUE(E353))),"？")))</f>
        <v/>
      </c>
      <c r="J353" s="50">
        <f>IF(F353="","",IF(ISERROR(VALUE(F353)),F353&amp;"",IF(AND(VALUE(F353)&gt;=1,VALUE(F353)&lt;=20),IF(INDEX(設定!$P$8:$P$27,VALUE(F353))="","？",INDEX(設定!$P$8:$P$27,VALUE(F353))),"？")))</f>
        <v/>
      </c>
      <c r="K353" s="51">
        <f>IF(L353="","",IF(G353="","名簿にいない",IF(COUNTIF(L354:L$555,L353)&gt;0,"2回提出（下の行を使います）",IF(H353="転出","転出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OR(AND(H353&lt;&gt;"",H353=I353),AND(H353&lt;&gt;"",H353=J353),AND(I353&lt;&gt;"",I353=J353)),"同じクラブを重複して希望","OK")))))))</f>
        <v/>
      </c>
      <c r="L353" s="11">
        <f>IF(OR(A353="",D353=""),"",A353&amp;"-"&amp;B353&amp;"-"&amp;C353)</f>
        <v/>
      </c>
      <c r="M353" s="11">
        <f>IF(OR(L353="",G353=""),"",IF(COUNTIF(L354:L$555,L353)=0,L353,""))</f>
        <v/>
      </c>
      <c r="N353" s="11">
        <f>IFERROR(MATCH(SMALL(前年度名簿!$G$3:$G$452,349),前年度名簿!$G$3:$G$452,0),"")</f>
        <v/>
      </c>
    </row>
    <row r="354">
      <c r="A354" s="49">
        <f>IF($N354="","",INDEX(前年度名簿!$A$3:$A$452,$N354))</f>
        <v/>
      </c>
      <c r="B354" s="49">
        <f>IF($N354="","",INDEX(前年度名簿!$B$3:$B$452,$N354))</f>
        <v/>
      </c>
      <c r="C354" s="49">
        <f>IF($N354="","",INDEX(前年度名簿!$C$3:$C$452,$N354))</f>
        <v/>
      </c>
      <c r="D354" s="49" t="n"/>
      <c r="E354" s="49" t="n"/>
      <c r="F354" s="49" t="n"/>
      <c r="G354" s="4">
        <f>IF(A354="","",IFERROR(INDEX(前年度名簿!$D$3:$D$452,MATCH(A354&amp;"-"&amp;B354&amp;"-"&amp;C354,前年度名簿!$F$3:$F$452,0)),""))</f>
        <v/>
      </c>
      <c r="H354" s="50">
        <f>IF(D354="","",IF(ISERROR(VALUE(D354)),D354&amp;"",IF(AND(VALUE(D354)&gt;=1,VALUE(D354)&lt;=20),IF(INDEX(設定!$P$8:$P$27,VALUE(D354))="","？",INDEX(設定!$P$8:$P$27,VALUE(D354))),"？")))</f>
        <v/>
      </c>
      <c r="I354" s="50">
        <f>IF(E354="","",IF(ISERROR(VALUE(E354)),E354&amp;"",IF(AND(VALUE(E354)&gt;=1,VALUE(E354)&lt;=20),IF(INDEX(設定!$P$8:$P$27,VALUE(E354))="","？",INDEX(設定!$P$8:$P$27,VALUE(E354))),"？")))</f>
        <v/>
      </c>
      <c r="J354" s="50">
        <f>IF(F354="","",IF(ISERROR(VALUE(F354)),F354&amp;"",IF(AND(VALUE(F354)&gt;=1,VALUE(F354)&lt;=20),IF(INDEX(設定!$P$8:$P$27,VALUE(F354))="","？",INDEX(設定!$P$8:$P$27,VALUE(F354))),"？")))</f>
        <v/>
      </c>
      <c r="K354" s="51">
        <f>IF(L354="","",IF(G354="","名簿にいない",IF(COUNTIF(L355:L$555,L354)&gt;0,"2回提出（下の行を使います）",IF(H354="転出","転出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OR(AND(H354&lt;&gt;"",H354=I354),AND(H354&lt;&gt;"",H354=J354),AND(I354&lt;&gt;"",I354=J354)),"同じクラブを重複して希望","OK")))))))</f>
        <v/>
      </c>
      <c r="L354" s="11">
        <f>IF(OR(A354="",D354=""),"",A354&amp;"-"&amp;B354&amp;"-"&amp;C354)</f>
        <v/>
      </c>
      <c r="M354" s="11">
        <f>IF(OR(L354="",G354=""),"",IF(COUNTIF(L355:L$555,L354)=0,L354,""))</f>
        <v/>
      </c>
      <c r="N354" s="11">
        <f>IFERROR(MATCH(SMALL(前年度名簿!$G$3:$G$452,350),前年度名簿!$G$3:$G$452,0),"")</f>
        <v/>
      </c>
    </row>
    <row r="355">
      <c r="A355" s="49">
        <f>IF($N355="","",INDEX(前年度名簿!$A$3:$A$452,$N355))</f>
        <v/>
      </c>
      <c r="B355" s="49">
        <f>IF($N355="","",INDEX(前年度名簿!$B$3:$B$452,$N355))</f>
        <v/>
      </c>
      <c r="C355" s="49">
        <f>IF($N355="","",INDEX(前年度名簿!$C$3:$C$452,$N355))</f>
        <v/>
      </c>
      <c r="D355" s="49" t="n"/>
      <c r="E355" s="49" t="n"/>
      <c r="F355" s="49" t="n"/>
      <c r="G355" s="4">
        <f>IF(A355="","",IFERROR(INDEX(前年度名簿!$D$3:$D$452,MATCH(A355&amp;"-"&amp;B355&amp;"-"&amp;C355,前年度名簿!$F$3:$F$452,0)),""))</f>
        <v/>
      </c>
      <c r="H355" s="50">
        <f>IF(D355="","",IF(ISERROR(VALUE(D355)),D355&amp;"",IF(AND(VALUE(D355)&gt;=1,VALUE(D355)&lt;=20),IF(INDEX(設定!$P$8:$P$27,VALUE(D355))="","？",INDEX(設定!$P$8:$P$27,VALUE(D355))),"？")))</f>
        <v/>
      </c>
      <c r="I355" s="50">
        <f>IF(E355="","",IF(ISERROR(VALUE(E355)),E355&amp;"",IF(AND(VALUE(E355)&gt;=1,VALUE(E355)&lt;=20),IF(INDEX(設定!$P$8:$P$27,VALUE(E355))="","？",INDEX(設定!$P$8:$P$27,VALUE(E355))),"？")))</f>
        <v/>
      </c>
      <c r="J355" s="50">
        <f>IF(F355="","",IF(ISERROR(VALUE(F355)),F355&amp;"",IF(AND(VALUE(F355)&gt;=1,VALUE(F355)&lt;=20),IF(INDEX(設定!$P$8:$P$27,VALUE(F355))="","？",INDEX(設定!$P$8:$P$27,VALUE(F355))),"？")))</f>
        <v/>
      </c>
      <c r="K355" s="51">
        <f>IF(L355="","",IF(G355="","名簿にいない",IF(COUNTIF(L356:L$555,L355)&gt;0,"2回提出（下の行を使います）",IF(H355="転出","転出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OR(AND(H355&lt;&gt;"",H355=I355),AND(H355&lt;&gt;"",H355=J355),AND(I355&lt;&gt;"",I355=J355)),"同じクラブを重複して希望","OK")))))))</f>
        <v/>
      </c>
      <c r="L355" s="11">
        <f>IF(OR(A355="",D355=""),"",A355&amp;"-"&amp;B355&amp;"-"&amp;C355)</f>
        <v/>
      </c>
      <c r="M355" s="11">
        <f>IF(OR(L355="",G355=""),"",IF(COUNTIF(L356:L$555,L355)=0,L355,""))</f>
        <v/>
      </c>
      <c r="N355" s="11">
        <f>IFERROR(MATCH(SMALL(前年度名簿!$G$3:$G$452,351),前年度名簿!$G$3:$G$452,0),"")</f>
        <v/>
      </c>
    </row>
    <row r="356">
      <c r="A356" s="49">
        <f>IF($N356="","",INDEX(前年度名簿!$A$3:$A$452,$N356))</f>
        <v/>
      </c>
      <c r="B356" s="49">
        <f>IF($N356="","",INDEX(前年度名簿!$B$3:$B$452,$N356))</f>
        <v/>
      </c>
      <c r="C356" s="49">
        <f>IF($N356="","",INDEX(前年度名簿!$C$3:$C$452,$N356))</f>
        <v/>
      </c>
      <c r="D356" s="49" t="n"/>
      <c r="E356" s="49" t="n"/>
      <c r="F356" s="49" t="n"/>
      <c r="G356" s="4">
        <f>IF(A356="","",IFERROR(INDEX(前年度名簿!$D$3:$D$452,MATCH(A356&amp;"-"&amp;B356&amp;"-"&amp;C356,前年度名簿!$F$3:$F$452,0)),""))</f>
        <v/>
      </c>
      <c r="H356" s="50">
        <f>IF(D356="","",IF(ISERROR(VALUE(D356)),D356&amp;"",IF(AND(VALUE(D356)&gt;=1,VALUE(D356)&lt;=20),IF(INDEX(設定!$P$8:$P$27,VALUE(D356))="","？",INDEX(設定!$P$8:$P$27,VALUE(D356))),"？")))</f>
        <v/>
      </c>
      <c r="I356" s="50">
        <f>IF(E356="","",IF(ISERROR(VALUE(E356)),E356&amp;"",IF(AND(VALUE(E356)&gt;=1,VALUE(E356)&lt;=20),IF(INDEX(設定!$P$8:$P$27,VALUE(E356))="","？",INDEX(設定!$P$8:$P$27,VALUE(E356))),"？")))</f>
        <v/>
      </c>
      <c r="J356" s="50">
        <f>IF(F356="","",IF(ISERROR(VALUE(F356)),F356&amp;"",IF(AND(VALUE(F356)&gt;=1,VALUE(F356)&lt;=20),IF(INDEX(設定!$P$8:$P$27,VALUE(F356))="","？",INDEX(設定!$P$8:$P$27,VALUE(F356))),"？")))</f>
        <v/>
      </c>
      <c r="K356" s="51">
        <f>IF(L356="","",IF(G356="","名簿にいない",IF(COUNTIF(L357:L$555,L356)&gt;0,"2回提出（下の行を使います）",IF(H356="転出","転出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OR(AND(H356&lt;&gt;"",H356=I356),AND(H356&lt;&gt;"",H356=J356),AND(I356&lt;&gt;"",I356=J356)),"同じクラブを重複して希望","OK")))))))</f>
        <v/>
      </c>
      <c r="L356" s="11">
        <f>IF(OR(A356="",D356=""),"",A356&amp;"-"&amp;B356&amp;"-"&amp;C356)</f>
        <v/>
      </c>
      <c r="M356" s="11">
        <f>IF(OR(L356="",G356=""),"",IF(COUNTIF(L357:L$555,L356)=0,L356,""))</f>
        <v/>
      </c>
      <c r="N356" s="11">
        <f>IFERROR(MATCH(SMALL(前年度名簿!$G$3:$G$452,352),前年度名簿!$G$3:$G$452,0),"")</f>
        <v/>
      </c>
    </row>
    <row r="357">
      <c r="A357" s="49">
        <f>IF($N357="","",INDEX(前年度名簿!$A$3:$A$452,$N357))</f>
        <v/>
      </c>
      <c r="B357" s="49">
        <f>IF($N357="","",INDEX(前年度名簿!$B$3:$B$452,$N357))</f>
        <v/>
      </c>
      <c r="C357" s="49">
        <f>IF($N357="","",INDEX(前年度名簿!$C$3:$C$452,$N357))</f>
        <v/>
      </c>
      <c r="D357" s="49" t="n"/>
      <c r="E357" s="49" t="n"/>
      <c r="F357" s="49" t="n"/>
      <c r="G357" s="4">
        <f>IF(A357="","",IFERROR(INDEX(前年度名簿!$D$3:$D$452,MATCH(A357&amp;"-"&amp;B357&amp;"-"&amp;C357,前年度名簿!$F$3:$F$452,0)),""))</f>
        <v/>
      </c>
      <c r="H357" s="50">
        <f>IF(D357="","",IF(ISERROR(VALUE(D357)),D357&amp;"",IF(AND(VALUE(D357)&gt;=1,VALUE(D357)&lt;=20),IF(INDEX(設定!$P$8:$P$27,VALUE(D357))="","？",INDEX(設定!$P$8:$P$27,VALUE(D357))),"？")))</f>
        <v/>
      </c>
      <c r="I357" s="50">
        <f>IF(E357="","",IF(ISERROR(VALUE(E357)),E357&amp;"",IF(AND(VALUE(E357)&gt;=1,VALUE(E357)&lt;=20),IF(INDEX(設定!$P$8:$P$27,VALUE(E357))="","？",INDEX(設定!$P$8:$P$27,VALUE(E357))),"？")))</f>
        <v/>
      </c>
      <c r="J357" s="50">
        <f>IF(F357="","",IF(ISERROR(VALUE(F357)),F357&amp;"",IF(AND(VALUE(F357)&gt;=1,VALUE(F357)&lt;=20),IF(INDEX(設定!$P$8:$P$27,VALUE(F357))="","？",INDEX(設定!$P$8:$P$27,VALUE(F357))),"？")))</f>
        <v/>
      </c>
      <c r="K357" s="51">
        <f>IF(L357="","",IF(G357="","名簿にいない",IF(COUNTIF(L358:L$555,L357)&gt;0,"2回提出（下の行を使います）",IF(H357="転出","転出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OR(AND(H357&lt;&gt;"",H357=I357),AND(H357&lt;&gt;"",H357=J357),AND(I357&lt;&gt;"",I357=J357)),"同じクラブを重複して希望","OK")))))))</f>
        <v/>
      </c>
      <c r="L357" s="11">
        <f>IF(OR(A357="",D357=""),"",A357&amp;"-"&amp;B357&amp;"-"&amp;C357)</f>
        <v/>
      </c>
      <c r="M357" s="11">
        <f>IF(OR(L357="",G357=""),"",IF(COUNTIF(L358:L$555,L357)=0,L357,""))</f>
        <v/>
      </c>
      <c r="N357" s="11">
        <f>IFERROR(MATCH(SMALL(前年度名簿!$G$3:$G$452,353),前年度名簿!$G$3:$G$452,0),"")</f>
        <v/>
      </c>
    </row>
    <row r="358">
      <c r="A358" s="49">
        <f>IF($N358="","",INDEX(前年度名簿!$A$3:$A$452,$N358))</f>
        <v/>
      </c>
      <c r="B358" s="49">
        <f>IF($N358="","",INDEX(前年度名簿!$B$3:$B$452,$N358))</f>
        <v/>
      </c>
      <c r="C358" s="49">
        <f>IF($N358="","",INDEX(前年度名簿!$C$3:$C$452,$N358))</f>
        <v/>
      </c>
      <c r="D358" s="49" t="n"/>
      <c r="E358" s="49" t="n"/>
      <c r="F358" s="49" t="n"/>
      <c r="G358" s="4">
        <f>IF(A358="","",IFERROR(INDEX(前年度名簿!$D$3:$D$452,MATCH(A358&amp;"-"&amp;B358&amp;"-"&amp;C358,前年度名簿!$F$3:$F$452,0)),""))</f>
        <v/>
      </c>
      <c r="H358" s="50">
        <f>IF(D358="","",IF(ISERROR(VALUE(D358)),D358&amp;"",IF(AND(VALUE(D358)&gt;=1,VALUE(D358)&lt;=20),IF(INDEX(設定!$P$8:$P$27,VALUE(D358))="","？",INDEX(設定!$P$8:$P$27,VALUE(D358))),"？")))</f>
        <v/>
      </c>
      <c r="I358" s="50">
        <f>IF(E358="","",IF(ISERROR(VALUE(E358)),E358&amp;"",IF(AND(VALUE(E358)&gt;=1,VALUE(E358)&lt;=20),IF(INDEX(設定!$P$8:$P$27,VALUE(E358))="","？",INDEX(設定!$P$8:$P$27,VALUE(E358))),"？")))</f>
        <v/>
      </c>
      <c r="J358" s="50">
        <f>IF(F358="","",IF(ISERROR(VALUE(F358)),F358&amp;"",IF(AND(VALUE(F358)&gt;=1,VALUE(F358)&lt;=20),IF(INDEX(設定!$P$8:$P$27,VALUE(F358))="","？",INDEX(設定!$P$8:$P$27,VALUE(F358))),"？")))</f>
        <v/>
      </c>
      <c r="K358" s="51">
        <f>IF(L358="","",IF(G358="","名簿にいない",IF(COUNTIF(L359:L$555,L358)&gt;0,"2回提出（下の行を使います）",IF(H358="転出","転出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OR(AND(H358&lt;&gt;"",H358=I358),AND(H358&lt;&gt;"",H358=J358),AND(I358&lt;&gt;"",I358=J358)),"同じクラブを重複して希望","OK")))))))</f>
        <v/>
      </c>
      <c r="L358" s="11">
        <f>IF(OR(A358="",D358=""),"",A358&amp;"-"&amp;B358&amp;"-"&amp;C358)</f>
        <v/>
      </c>
      <c r="M358" s="11">
        <f>IF(OR(L358="",G358=""),"",IF(COUNTIF(L359:L$555,L358)=0,L358,""))</f>
        <v/>
      </c>
      <c r="N358" s="11">
        <f>IFERROR(MATCH(SMALL(前年度名簿!$G$3:$G$452,354),前年度名簿!$G$3:$G$452,0),"")</f>
        <v/>
      </c>
    </row>
    <row r="359">
      <c r="A359" s="49">
        <f>IF($N359="","",INDEX(前年度名簿!$A$3:$A$452,$N359))</f>
        <v/>
      </c>
      <c r="B359" s="49">
        <f>IF($N359="","",INDEX(前年度名簿!$B$3:$B$452,$N359))</f>
        <v/>
      </c>
      <c r="C359" s="49">
        <f>IF($N359="","",INDEX(前年度名簿!$C$3:$C$452,$N359))</f>
        <v/>
      </c>
      <c r="D359" s="49" t="n"/>
      <c r="E359" s="49" t="n"/>
      <c r="F359" s="49" t="n"/>
      <c r="G359" s="4">
        <f>IF(A359="","",IFERROR(INDEX(前年度名簿!$D$3:$D$452,MATCH(A359&amp;"-"&amp;B359&amp;"-"&amp;C359,前年度名簿!$F$3:$F$452,0)),""))</f>
        <v/>
      </c>
      <c r="H359" s="50">
        <f>IF(D359="","",IF(ISERROR(VALUE(D359)),D359&amp;"",IF(AND(VALUE(D359)&gt;=1,VALUE(D359)&lt;=20),IF(INDEX(設定!$P$8:$P$27,VALUE(D359))="","？",INDEX(設定!$P$8:$P$27,VALUE(D359))),"？")))</f>
        <v/>
      </c>
      <c r="I359" s="50">
        <f>IF(E359="","",IF(ISERROR(VALUE(E359)),E359&amp;"",IF(AND(VALUE(E359)&gt;=1,VALUE(E359)&lt;=20),IF(INDEX(設定!$P$8:$P$27,VALUE(E359))="","？",INDEX(設定!$P$8:$P$27,VALUE(E359))),"？")))</f>
        <v/>
      </c>
      <c r="J359" s="50">
        <f>IF(F359="","",IF(ISERROR(VALUE(F359)),F359&amp;"",IF(AND(VALUE(F359)&gt;=1,VALUE(F359)&lt;=20),IF(INDEX(設定!$P$8:$P$27,VALUE(F359))="","？",INDEX(設定!$P$8:$P$27,VALUE(F359))),"？")))</f>
        <v/>
      </c>
      <c r="K359" s="51">
        <f>IF(L359="","",IF(G359="","名簿にいない",IF(COUNTIF(L360:L$555,L359)&gt;0,"2回提出（下の行を使います）",IF(H359="転出","転出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OR(AND(H359&lt;&gt;"",H359=I359),AND(H359&lt;&gt;"",H359=J359),AND(I359&lt;&gt;"",I359=J359)),"同じクラブを重複して希望","OK")))))))</f>
        <v/>
      </c>
      <c r="L359" s="11">
        <f>IF(OR(A359="",D359=""),"",A359&amp;"-"&amp;B359&amp;"-"&amp;C359)</f>
        <v/>
      </c>
      <c r="M359" s="11">
        <f>IF(OR(L359="",G359=""),"",IF(COUNTIF(L360:L$555,L359)=0,L359,""))</f>
        <v/>
      </c>
      <c r="N359" s="11">
        <f>IFERROR(MATCH(SMALL(前年度名簿!$G$3:$G$452,355),前年度名簿!$G$3:$G$452,0),"")</f>
        <v/>
      </c>
    </row>
    <row r="360">
      <c r="A360" s="49">
        <f>IF($N360="","",INDEX(前年度名簿!$A$3:$A$452,$N360))</f>
        <v/>
      </c>
      <c r="B360" s="49">
        <f>IF($N360="","",INDEX(前年度名簿!$B$3:$B$452,$N360))</f>
        <v/>
      </c>
      <c r="C360" s="49">
        <f>IF($N360="","",INDEX(前年度名簿!$C$3:$C$452,$N360))</f>
        <v/>
      </c>
      <c r="D360" s="49" t="n"/>
      <c r="E360" s="49" t="n"/>
      <c r="F360" s="49" t="n"/>
      <c r="G360" s="4">
        <f>IF(A360="","",IFERROR(INDEX(前年度名簿!$D$3:$D$452,MATCH(A360&amp;"-"&amp;B360&amp;"-"&amp;C360,前年度名簿!$F$3:$F$452,0)),""))</f>
        <v/>
      </c>
      <c r="H360" s="50">
        <f>IF(D360="","",IF(ISERROR(VALUE(D360)),D360&amp;"",IF(AND(VALUE(D360)&gt;=1,VALUE(D360)&lt;=20),IF(INDEX(設定!$P$8:$P$27,VALUE(D360))="","？",INDEX(設定!$P$8:$P$27,VALUE(D360))),"？")))</f>
        <v/>
      </c>
      <c r="I360" s="50">
        <f>IF(E360="","",IF(ISERROR(VALUE(E360)),E360&amp;"",IF(AND(VALUE(E360)&gt;=1,VALUE(E360)&lt;=20),IF(INDEX(設定!$P$8:$P$27,VALUE(E360))="","？",INDEX(設定!$P$8:$P$27,VALUE(E360))),"？")))</f>
        <v/>
      </c>
      <c r="J360" s="50">
        <f>IF(F360="","",IF(ISERROR(VALUE(F360)),F360&amp;"",IF(AND(VALUE(F360)&gt;=1,VALUE(F360)&lt;=20),IF(INDEX(設定!$P$8:$P$27,VALUE(F360))="","？",INDEX(設定!$P$8:$P$27,VALUE(F360))),"？")))</f>
        <v/>
      </c>
      <c r="K360" s="51">
        <f>IF(L360="","",IF(G360="","名簿にいない",IF(COUNTIF(L361:L$555,L360)&gt;0,"2回提出（下の行を使います）",IF(H360="転出","転出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OR(AND(H360&lt;&gt;"",H360=I360),AND(H360&lt;&gt;"",H360=J360),AND(I360&lt;&gt;"",I360=J360)),"同じクラブを重複して希望","OK")))))))</f>
        <v/>
      </c>
      <c r="L360" s="11">
        <f>IF(OR(A360="",D360=""),"",A360&amp;"-"&amp;B360&amp;"-"&amp;C360)</f>
        <v/>
      </c>
      <c r="M360" s="11">
        <f>IF(OR(L360="",G360=""),"",IF(COUNTIF(L361:L$555,L360)=0,L360,""))</f>
        <v/>
      </c>
      <c r="N360" s="11">
        <f>IFERROR(MATCH(SMALL(前年度名簿!$G$3:$G$452,356),前年度名簿!$G$3:$G$452,0),"")</f>
        <v/>
      </c>
    </row>
    <row r="361">
      <c r="A361" s="49">
        <f>IF($N361="","",INDEX(前年度名簿!$A$3:$A$452,$N361))</f>
        <v/>
      </c>
      <c r="B361" s="49">
        <f>IF($N361="","",INDEX(前年度名簿!$B$3:$B$452,$N361))</f>
        <v/>
      </c>
      <c r="C361" s="49">
        <f>IF($N361="","",INDEX(前年度名簿!$C$3:$C$452,$N361))</f>
        <v/>
      </c>
      <c r="D361" s="49" t="n"/>
      <c r="E361" s="49" t="n"/>
      <c r="F361" s="49" t="n"/>
      <c r="G361" s="4">
        <f>IF(A361="","",IFERROR(INDEX(前年度名簿!$D$3:$D$452,MATCH(A361&amp;"-"&amp;B361&amp;"-"&amp;C361,前年度名簿!$F$3:$F$452,0)),""))</f>
        <v/>
      </c>
      <c r="H361" s="50">
        <f>IF(D361="","",IF(ISERROR(VALUE(D361)),D361&amp;"",IF(AND(VALUE(D361)&gt;=1,VALUE(D361)&lt;=20),IF(INDEX(設定!$P$8:$P$27,VALUE(D361))="","？",INDEX(設定!$P$8:$P$27,VALUE(D361))),"？")))</f>
        <v/>
      </c>
      <c r="I361" s="50">
        <f>IF(E361="","",IF(ISERROR(VALUE(E361)),E361&amp;"",IF(AND(VALUE(E361)&gt;=1,VALUE(E361)&lt;=20),IF(INDEX(設定!$P$8:$P$27,VALUE(E361))="","？",INDEX(設定!$P$8:$P$27,VALUE(E361))),"？")))</f>
        <v/>
      </c>
      <c r="J361" s="50">
        <f>IF(F361="","",IF(ISERROR(VALUE(F361)),F361&amp;"",IF(AND(VALUE(F361)&gt;=1,VALUE(F361)&lt;=20),IF(INDEX(設定!$P$8:$P$27,VALUE(F361))="","？",INDEX(設定!$P$8:$P$27,VALUE(F361))),"？")))</f>
        <v/>
      </c>
      <c r="K361" s="51">
        <f>IF(L361="","",IF(G361="","名簿にいない",IF(COUNTIF(L362:L$555,L361)&gt;0,"2回提出（下の行を使います）",IF(H361="転出","転出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OR(AND(H361&lt;&gt;"",H361=I361),AND(H361&lt;&gt;"",H361=J361),AND(I361&lt;&gt;"",I361=J361)),"同じクラブを重複して希望","OK")))))))</f>
        <v/>
      </c>
      <c r="L361" s="11">
        <f>IF(OR(A361="",D361=""),"",A361&amp;"-"&amp;B361&amp;"-"&amp;C361)</f>
        <v/>
      </c>
      <c r="M361" s="11">
        <f>IF(OR(L361="",G361=""),"",IF(COUNTIF(L362:L$555,L361)=0,L361,""))</f>
        <v/>
      </c>
      <c r="N361" s="11">
        <f>IFERROR(MATCH(SMALL(前年度名簿!$G$3:$G$452,357),前年度名簿!$G$3:$G$452,0),"")</f>
        <v/>
      </c>
    </row>
    <row r="362">
      <c r="A362" s="49">
        <f>IF($N362="","",INDEX(前年度名簿!$A$3:$A$452,$N362))</f>
        <v/>
      </c>
      <c r="B362" s="49">
        <f>IF($N362="","",INDEX(前年度名簿!$B$3:$B$452,$N362))</f>
        <v/>
      </c>
      <c r="C362" s="49">
        <f>IF($N362="","",INDEX(前年度名簿!$C$3:$C$452,$N362))</f>
        <v/>
      </c>
      <c r="D362" s="49" t="n"/>
      <c r="E362" s="49" t="n"/>
      <c r="F362" s="49" t="n"/>
      <c r="G362" s="4">
        <f>IF(A362="","",IFERROR(INDEX(前年度名簿!$D$3:$D$452,MATCH(A362&amp;"-"&amp;B362&amp;"-"&amp;C362,前年度名簿!$F$3:$F$452,0)),""))</f>
        <v/>
      </c>
      <c r="H362" s="50">
        <f>IF(D362="","",IF(ISERROR(VALUE(D362)),D362&amp;"",IF(AND(VALUE(D362)&gt;=1,VALUE(D362)&lt;=20),IF(INDEX(設定!$P$8:$P$27,VALUE(D362))="","？",INDEX(設定!$P$8:$P$27,VALUE(D362))),"？")))</f>
        <v/>
      </c>
      <c r="I362" s="50">
        <f>IF(E362="","",IF(ISERROR(VALUE(E362)),E362&amp;"",IF(AND(VALUE(E362)&gt;=1,VALUE(E362)&lt;=20),IF(INDEX(設定!$P$8:$P$27,VALUE(E362))="","？",INDEX(設定!$P$8:$P$27,VALUE(E362))),"？")))</f>
        <v/>
      </c>
      <c r="J362" s="50">
        <f>IF(F362="","",IF(ISERROR(VALUE(F362)),F362&amp;"",IF(AND(VALUE(F362)&gt;=1,VALUE(F362)&lt;=20),IF(INDEX(設定!$P$8:$P$27,VALUE(F362))="","？",INDEX(設定!$P$8:$P$27,VALUE(F362))),"？")))</f>
        <v/>
      </c>
      <c r="K362" s="51">
        <f>IF(L362="","",IF(G362="","名簿にいない",IF(COUNTIF(L363:L$555,L362)&gt;0,"2回提出（下の行を使います）",IF(H362="転出","転出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OR(AND(H362&lt;&gt;"",H362=I362),AND(H362&lt;&gt;"",H362=J362),AND(I362&lt;&gt;"",I362=J362)),"同じクラブを重複して希望","OK")))))))</f>
        <v/>
      </c>
      <c r="L362" s="11">
        <f>IF(OR(A362="",D362=""),"",A362&amp;"-"&amp;B362&amp;"-"&amp;C362)</f>
        <v/>
      </c>
      <c r="M362" s="11">
        <f>IF(OR(L362="",G362=""),"",IF(COUNTIF(L363:L$555,L362)=0,L362,""))</f>
        <v/>
      </c>
      <c r="N362" s="11">
        <f>IFERROR(MATCH(SMALL(前年度名簿!$G$3:$G$452,358),前年度名簿!$G$3:$G$452,0),"")</f>
        <v/>
      </c>
    </row>
    <row r="363">
      <c r="A363" s="49">
        <f>IF($N363="","",INDEX(前年度名簿!$A$3:$A$452,$N363))</f>
        <v/>
      </c>
      <c r="B363" s="49">
        <f>IF($N363="","",INDEX(前年度名簿!$B$3:$B$452,$N363))</f>
        <v/>
      </c>
      <c r="C363" s="49">
        <f>IF($N363="","",INDEX(前年度名簿!$C$3:$C$452,$N363))</f>
        <v/>
      </c>
      <c r="D363" s="49" t="n"/>
      <c r="E363" s="49" t="n"/>
      <c r="F363" s="49" t="n"/>
      <c r="G363" s="4">
        <f>IF(A363="","",IFERROR(INDEX(前年度名簿!$D$3:$D$452,MATCH(A363&amp;"-"&amp;B363&amp;"-"&amp;C363,前年度名簿!$F$3:$F$452,0)),""))</f>
        <v/>
      </c>
      <c r="H363" s="50">
        <f>IF(D363="","",IF(ISERROR(VALUE(D363)),D363&amp;"",IF(AND(VALUE(D363)&gt;=1,VALUE(D363)&lt;=20),IF(INDEX(設定!$P$8:$P$27,VALUE(D363))="","？",INDEX(設定!$P$8:$P$27,VALUE(D363))),"？")))</f>
        <v/>
      </c>
      <c r="I363" s="50">
        <f>IF(E363="","",IF(ISERROR(VALUE(E363)),E363&amp;"",IF(AND(VALUE(E363)&gt;=1,VALUE(E363)&lt;=20),IF(INDEX(設定!$P$8:$P$27,VALUE(E363))="","？",INDEX(設定!$P$8:$P$27,VALUE(E363))),"？")))</f>
        <v/>
      </c>
      <c r="J363" s="50">
        <f>IF(F363="","",IF(ISERROR(VALUE(F363)),F363&amp;"",IF(AND(VALUE(F363)&gt;=1,VALUE(F363)&lt;=20),IF(INDEX(設定!$P$8:$P$27,VALUE(F363))="","？",INDEX(設定!$P$8:$P$27,VALUE(F363))),"？")))</f>
        <v/>
      </c>
      <c r="K363" s="51">
        <f>IF(L363="","",IF(G363="","名簿にいない",IF(COUNTIF(L364:L$555,L363)&gt;0,"2回提出（下の行を使います）",IF(H363="転出","転出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OR(AND(H363&lt;&gt;"",H363=I363),AND(H363&lt;&gt;"",H363=J363),AND(I363&lt;&gt;"",I363=J363)),"同じクラブを重複して希望","OK")))))))</f>
        <v/>
      </c>
      <c r="L363" s="11">
        <f>IF(OR(A363="",D363=""),"",A363&amp;"-"&amp;B363&amp;"-"&amp;C363)</f>
        <v/>
      </c>
      <c r="M363" s="11">
        <f>IF(OR(L363="",G363=""),"",IF(COUNTIF(L364:L$555,L363)=0,L363,""))</f>
        <v/>
      </c>
      <c r="N363" s="11">
        <f>IFERROR(MATCH(SMALL(前年度名簿!$G$3:$G$452,359),前年度名簿!$G$3:$G$452,0),"")</f>
        <v/>
      </c>
    </row>
    <row r="364">
      <c r="A364" s="49">
        <f>IF($N364="","",INDEX(前年度名簿!$A$3:$A$452,$N364))</f>
        <v/>
      </c>
      <c r="B364" s="49">
        <f>IF($N364="","",INDEX(前年度名簿!$B$3:$B$452,$N364))</f>
        <v/>
      </c>
      <c r="C364" s="49">
        <f>IF($N364="","",INDEX(前年度名簿!$C$3:$C$452,$N364))</f>
        <v/>
      </c>
      <c r="D364" s="49" t="n"/>
      <c r="E364" s="49" t="n"/>
      <c r="F364" s="49" t="n"/>
      <c r="G364" s="4">
        <f>IF(A364="","",IFERROR(INDEX(前年度名簿!$D$3:$D$452,MATCH(A364&amp;"-"&amp;B364&amp;"-"&amp;C364,前年度名簿!$F$3:$F$452,0)),""))</f>
        <v/>
      </c>
      <c r="H364" s="50">
        <f>IF(D364="","",IF(ISERROR(VALUE(D364)),D364&amp;"",IF(AND(VALUE(D364)&gt;=1,VALUE(D364)&lt;=20),IF(INDEX(設定!$P$8:$P$27,VALUE(D364))="","？",INDEX(設定!$P$8:$P$27,VALUE(D364))),"？")))</f>
        <v/>
      </c>
      <c r="I364" s="50">
        <f>IF(E364="","",IF(ISERROR(VALUE(E364)),E364&amp;"",IF(AND(VALUE(E364)&gt;=1,VALUE(E364)&lt;=20),IF(INDEX(設定!$P$8:$P$27,VALUE(E364))="","？",INDEX(設定!$P$8:$P$27,VALUE(E364))),"？")))</f>
        <v/>
      </c>
      <c r="J364" s="50">
        <f>IF(F364="","",IF(ISERROR(VALUE(F364)),F364&amp;"",IF(AND(VALUE(F364)&gt;=1,VALUE(F364)&lt;=20),IF(INDEX(設定!$P$8:$P$27,VALUE(F364))="","？",INDEX(設定!$P$8:$P$27,VALUE(F364))),"？")))</f>
        <v/>
      </c>
      <c r="K364" s="51">
        <f>IF(L364="","",IF(G364="","名簿にいない",IF(COUNTIF(L365:L$555,L364)&gt;0,"2回提出（下の行を使います）",IF(H364="転出","転出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OR(AND(H364&lt;&gt;"",H364=I364),AND(H364&lt;&gt;"",H364=J364),AND(I364&lt;&gt;"",I364=J364)),"同じクラブを重複して希望","OK")))))))</f>
        <v/>
      </c>
      <c r="L364" s="11">
        <f>IF(OR(A364="",D364=""),"",A364&amp;"-"&amp;B364&amp;"-"&amp;C364)</f>
        <v/>
      </c>
      <c r="M364" s="11">
        <f>IF(OR(L364="",G364=""),"",IF(COUNTIF(L365:L$555,L364)=0,L364,""))</f>
        <v/>
      </c>
      <c r="N364" s="11">
        <f>IFERROR(MATCH(SMALL(前年度名簿!$G$3:$G$452,360),前年度名簿!$G$3:$G$452,0),"")</f>
        <v/>
      </c>
    </row>
    <row r="365">
      <c r="A365" s="49">
        <f>IF($N365="","",INDEX(前年度名簿!$A$3:$A$452,$N365))</f>
        <v/>
      </c>
      <c r="B365" s="49">
        <f>IF($N365="","",INDEX(前年度名簿!$B$3:$B$452,$N365))</f>
        <v/>
      </c>
      <c r="C365" s="49">
        <f>IF($N365="","",INDEX(前年度名簿!$C$3:$C$452,$N365))</f>
        <v/>
      </c>
      <c r="D365" s="49" t="n"/>
      <c r="E365" s="49" t="n"/>
      <c r="F365" s="49" t="n"/>
      <c r="G365" s="4">
        <f>IF(A365="","",IFERROR(INDEX(前年度名簿!$D$3:$D$452,MATCH(A365&amp;"-"&amp;B365&amp;"-"&amp;C365,前年度名簿!$F$3:$F$452,0)),""))</f>
        <v/>
      </c>
      <c r="H365" s="50">
        <f>IF(D365="","",IF(ISERROR(VALUE(D365)),D365&amp;"",IF(AND(VALUE(D365)&gt;=1,VALUE(D365)&lt;=20),IF(INDEX(設定!$P$8:$P$27,VALUE(D365))="","？",INDEX(設定!$P$8:$P$27,VALUE(D365))),"？")))</f>
        <v/>
      </c>
      <c r="I365" s="50">
        <f>IF(E365="","",IF(ISERROR(VALUE(E365)),E365&amp;"",IF(AND(VALUE(E365)&gt;=1,VALUE(E365)&lt;=20),IF(INDEX(設定!$P$8:$P$27,VALUE(E365))="","？",INDEX(設定!$P$8:$P$27,VALUE(E365))),"？")))</f>
        <v/>
      </c>
      <c r="J365" s="50">
        <f>IF(F365="","",IF(ISERROR(VALUE(F365)),F365&amp;"",IF(AND(VALUE(F365)&gt;=1,VALUE(F365)&lt;=20),IF(INDEX(設定!$P$8:$P$27,VALUE(F365))="","？",INDEX(設定!$P$8:$P$27,VALUE(F365))),"？")))</f>
        <v/>
      </c>
      <c r="K365" s="51">
        <f>IF(L365="","",IF(G365="","名簿にいない",IF(COUNTIF(L366:L$555,L365)&gt;0,"2回提出（下の行を使います）",IF(H365="転出","転出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OR(AND(H365&lt;&gt;"",H365=I365),AND(H365&lt;&gt;"",H365=J365),AND(I365&lt;&gt;"",I365=J365)),"同じクラブを重複して希望","OK")))))))</f>
        <v/>
      </c>
      <c r="L365" s="11">
        <f>IF(OR(A365="",D365=""),"",A365&amp;"-"&amp;B365&amp;"-"&amp;C365)</f>
        <v/>
      </c>
      <c r="M365" s="11">
        <f>IF(OR(L365="",G365=""),"",IF(COUNTIF(L366:L$555,L365)=0,L365,""))</f>
        <v/>
      </c>
      <c r="N365" s="11">
        <f>IFERROR(MATCH(SMALL(前年度名簿!$G$3:$G$452,361),前年度名簿!$G$3:$G$452,0),"")</f>
        <v/>
      </c>
    </row>
    <row r="366">
      <c r="A366" s="49">
        <f>IF($N366="","",INDEX(前年度名簿!$A$3:$A$452,$N366))</f>
        <v/>
      </c>
      <c r="B366" s="49">
        <f>IF($N366="","",INDEX(前年度名簿!$B$3:$B$452,$N366))</f>
        <v/>
      </c>
      <c r="C366" s="49">
        <f>IF($N366="","",INDEX(前年度名簿!$C$3:$C$452,$N366))</f>
        <v/>
      </c>
      <c r="D366" s="49" t="n"/>
      <c r="E366" s="49" t="n"/>
      <c r="F366" s="49" t="n"/>
      <c r="G366" s="4">
        <f>IF(A366="","",IFERROR(INDEX(前年度名簿!$D$3:$D$452,MATCH(A366&amp;"-"&amp;B366&amp;"-"&amp;C366,前年度名簿!$F$3:$F$452,0)),""))</f>
        <v/>
      </c>
      <c r="H366" s="50">
        <f>IF(D366="","",IF(ISERROR(VALUE(D366)),D366&amp;"",IF(AND(VALUE(D366)&gt;=1,VALUE(D366)&lt;=20),IF(INDEX(設定!$P$8:$P$27,VALUE(D366))="","？",INDEX(設定!$P$8:$P$27,VALUE(D366))),"？")))</f>
        <v/>
      </c>
      <c r="I366" s="50">
        <f>IF(E366="","",IF(ISERROR(VALUE(E366)),E366&amp;"",IF(AND(VALUE(E366)&gt;=1,VALUE(E366)&lt;=20),IF(INDEX(設定!$P$8:$P$27,VALUE(E366))="","？",INDEX(設定!$P$8:$P$27,VALUE(E366))),"？")))</f>
        <v/>
      </c>
      <c r="J366" s="50">
        <f>IF(F366="","",IF(ISERROR(VALUE(F366)),F366&amp;"",IF(AND(VALUE(F366)&gt;=1,VALUE(F366)&lt;=20),IF(INDEX(設定!$P$8:$P$27,VALUE(F366))="","？",INDEX(設定!$P$8:$P$27,VALUE(F366))),"？")))</f>
        <v/>
      </c>
      <c r="K366" s="51">
        <f>IF(L366="","",IF(G366="","名簿にいない",IF(COUNTIF(L367:L$555,L366)&gt;0,"2回提出（下の行を使います）",IF(H366="転出","転出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OR(AND(H366&lt;&gt;"",H366=I366),AND(H366&lt;&gt;"",H366=J366),AND(I366&lt;&gt;"",I366=J366)),"同じクラブを重複して希望","OK")))))))</f>
        <v/>
      </c>
      <c r="L366" s="11">
        <f>IF(OR(A366="",D366=""),"",A366&amp;"-"&amp;B366&amp;"-"&amp;C366)</f>
        <v/>
      </c>
      <c r="M366" s="11">
        <f>IF(OR(L366="",G366=""),"",IF(COUNTIF(L367:L$555,L366)=0,L366,""))</f>
        <v/>
      </c>
      <c r="N366" s="11">
        <f>IFERROR(MATCH(SMALL(前年度名簿!$G$3:$G$452,362),前年度名簿!$G$3:$G$452,0),"")</f>
        <v/>
      </c>
    </row>
    <row r="367">
      <c r="A367" s="49">
        <f>IF($N367="","",INDEX(前年度名簿!$A$3:$A$452,$N367))</f>
        <v/>
      </c>
      <c r="B367" s="49">
        <f>IF($N367="","",INDEX(前年度名簿!$B$3:$B$452,$N367))</f>
        <v/>
      </c>
      <c r="C367" s="49">
        <f>IF($N367="","",INDEX(前年度名簿!$C$3:$C$452,$N367))</f>
        <v/>
      </c>
      <c r="D367" s="49" t="n"/>
      <c r="E367" s="49" t="n"/>
      <c r="F367" s="49" t="n"/>
      <c r="G367" s="4">
        <f>IF(A367="","",IFERROR(INDEX(前年度名簿!$D$3:$D$452,MATCH(A367&amp;"-"&amp;B367&amp;"-"&amp;C367,前年度名簿!$F$3:$F$452,0)),""))</f>
        <v/>
      </c>
      <c r="H367" s="50">
        <f>IF(D367="","",IF(ISERROR(VALUE(D367)),D367&amp;"",IF(AND(VALUE(D367)&gt;=1,VALUE(D367)&lt;=20),IF(INDEX(設定!$P$8:$P$27,VALUE(D367))="","？",INDEX(設定!$P$8:$P$27,VALUE(D367))),"？")))</f>
        <v/>
      </c>
      <c r="I367" s="50">
        <f>IF(E367="","",IF(ISERROR(VALUE(E367)),E367&amp;"",IF(AND(VALUE(E367)&gt;=1,VALUE(E367)&lt;=20),IF(INDEX(設定!$P$8:$P$27,VALUE(E367))="","？",INDEX(設定!$P$8:$P$27,VALUE(E367))),"？")))</f>
        <v/>
      </c>
      <c r="J367" s="50">
        <f>IF(F367="","",IF(ISERROR(VALUE(F367)),F367&amp;"",IF(AND(VALUE(F367)&gt;=1,VALUE(F367)&lt;=20),IF(INDEX(設定!$P$8:$P$27,VALUE(F367))="","？",INDEX(設定!$P$8:$P$27,VALUE(F367))),"？")))</f>
        <v/>
      </c>
      <c r="K367" s="51">
        <f>IF(L367="","",IF(G367="","名簿にいない",IF(COUNTIF(L368:L$555,L367)&gt;0,"2回提出（下の行を使います）",IF(H367="転出","転出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OR(AND(H367&lt;&gt;"",H367=I367),AND(H367&lt;&gt;"",H367=J367),AND(I367&lt;&gt;"",I367=J367)),"同じクラブを重複して希望","OK")))))))</f>
        <v/>
      </c>
      <c r="L367" s="11">
        <f>IF(OR(A367="",D367=""),"",A367&amp;"-"&amp;B367&amp;"-"&amp;C367)</f>
        <v/>
      </c>
      <c r="M367" s="11">
        <f>IF(OR(L367="",G367=""),"",IF(COUNTIF(L368:L$555,L367)=0,L367,""))</f>
        <v/>
      </c>
      <c r="N367" s="11">
        <f>IFERROR(MATCH(SMALL(前年度名簿!$G$3:$G$452,363),前年度名簿!$G$3:$G$452,0),"")</f>
        <v/>
      </c>
    </row>
    <row r="368">
      <c r="A368" s="49">
        <f>IF($N368="","",INDEX(前年度名簿!$A$3:$A$452,$N368))</f>
        <v/>
      </c>
      <c r="B368" s="49">
        <f>IF($N368="","",INDEX(前年度名簿!$B$3:$B$452,$N368))</f>
        <v/>
      </c>
      <c r="C368" s="49">
        <f>IF($N368="","",INDEX(前年度名簿!$C$3:$C$452,$N368))</f>
        <v/>
      </c>
      <c r="D368" s="49" t="n"/>
      <c r="E368" s="49" t="n"/>
      <c r="F368" s="49" t="n"/>
      <c r="G368" s="4">
        <f>IF(A368="","",IFERROR(INDEX(前年度名簿!$D$3:$D$452,MATCH(A368&amp;"-"&amp;B368&amp;"-"&amp;C368,前年度名簿!$F$3:$F$452,0)),""))</f>
        <v/>
      </c>
      <c r="H368" s="50">
        <f>IF(D368="","",IF(ISERROR(VALUE(D368)),D368&amp;"",IF(AND(VALUE(D368)&gt;=1,VALUE(D368)&lt;=20),IF(INDEX(設定!$P$8:$P$27,VALUE(D368))="","？",INDEX(設定!$P$8:$P$27,VALUE(D368))),"？")))</f>
        <v/>
      </c>
      <c r="I368" s="50">
        <f>IF(E368="","",IF(ISERROR(VALUE(E368)),E368&amp;"",IF(AND(VALUE(E368)&gt;=1,VALUE(E368)&lt;=20),IF(INDEX(設定!$P$8:$P$27,VALUE(E368))="","？",INDEX(設定!$P$8:$P$27,VALUE(E368))),"？")))</f>
        <v/>
      </c>
      <c r="J368" s="50">
        <f>IF(F368="","",IF(ISERROR(VALUE(F368)),F368&amp;"",IF(AND(VALUE(F368)&gt;=1,VALUE(F368)&lt;=20),IF(INDEX(設定!$P$8:$P$27,VALUE(F368))="","？",INDEX(設定!$P$8:$P$27,VALUE(F368))),"？")))</f>
        <v/>
      </c>
      <c r="K368" s="51">
        <f>IF(L368="","",IF(G368="","名簿にいない",IF(COUNTIF(L369:L$555,L368)&gt;0,"2回提出（下の行を使います）",IF(H368="転出","転出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OR(AND(H368&lt;&gt;"",H368=I368),AND(H368&lt;&gt;"",H368=J368),AND(I368&lt;&gt;"",I368=J368)),"同じクラブを重複して希望","OK")))))))</f>
        <v/>
      </c>
      <c r="L368" s="11">
        <f>IF(OR(A368="",D368=""),"",A368&amp;"-"&amp;B368&amp;"-"&amp;C368)</f>
        <v/>
      </c>
      <c r="M368" s="11">
        <f>IF(OR(L368="",G368=""),"",IF(COUNTIF(L369:L$555,L368)=0,L368,""))</f>
        <v/>
      </c>
      <c r="N368" s="11">
        <f>IFERROR(MATCH(SMALL(前年度名簿!$G$3:$G$452,364),前年度名簿!$G$3:$G$452,0),"")</f>
        <v/>
      </c>
    </row>
    <row r="369">
      <c r="A369" s="49">
        <f>IF($N369="","",INDEX(前年度名簿!$A$3:$A$452,$N369))</f>
        <v/>
      </c>
      <c r="B369" s="49">
        <f>IF($N369="","",INDEX(前年度名簿!$B$3:$B$452,$N369))</f>
        <v/>
      </c>
      <c r="C369" s="49">
        <f>IF($N369="","",INDEX(前年度名簿!$C$3:$C$452,$N369))</f>
        <v/>
      </c>
      <c r="D369" s="49" t="n"/>
      <c r="E369" s="49" t="n"/>
      <c r="F369" s="49" t="n"/>
      <c r="G369" s="4">
        <f>IF(A369="","",IFERROR(INDEX(前年度名簿!$D$3:$D$452,MATCH(A369&amp;"-"&amp;B369&amp;"-"&amp;C369,前年度名簿!$F$3:$F$452,0)),""))</f>
        <v/>
      </c>
      <c r="H369" s="50">
        <f>IF(D369="","",IF(ISERROR(VALUE(D369)),D369&amp;"",IF(AND(VALUE(D369)&gt;=1,VALUE(D369)&lt;=20),IF(INDEX(設定!$P$8:$P$27,VALUE(D369))="","？",INDEX(設定!$P$8:$P$27,VALUE(D369))),"？")))</f>
        <v/>
      </c>
      <c r="I369" s="50">
        <f>IF(E369="","",IF(ISERROR(VALUE(E369)),E369&amp;"",IF(AND(VALUE(E369)&gt;=1,VALUE(E369)&lt;=20),IF(INDEX(設定!$P$8:$P$27,VALUE(E369))="","？",INDEX(設定!$P$8:$P$27,VALUE(E369))),"？")))</f>
        <v/>
      </c>
      <c r="J369" s="50">
        <f>IF(F369="","",IF(ISERROR(VALUE(F369)),F369&amp;"",IF(AND(VALUE(F369)&gt;=1,VALUE(F369)&lt;=20),IF(INDEX(設定!$P$8:$P$27,VALUE(F369))="","？",INDEX(設定!$P$8:$P$27,VALUE(F369))),"？")))</f>
        <v/>
      </c>
      <c r="K369" s="51">
        <f>IF(L369="","",IF(G369="","名簿にいない",IF(COUNTIF(L370:L$555,L369)&gt;0,"2回提出（下の行を使います）",IF(H369="転出","転出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OR(AND(H369&lt;&gt;"",H369=I369),AND(H369&lt;&gt;"",H369=J369),AND(I369&lt;&gt;"",I369=J369)),"同じクラブを重複して希望","OK")))))))</f>
        <v/>
      </c>
      <c r="L369" s="11">
        <f>IF(OR(A369="",D369=""),"",A369&amp;"-"&amp;B369&amp;"-"&amp;C369)</f>
        <v/>
      </c>
      <c r="M369" s="11">
        <f>IF(OR(L369="",G369=""),"",IF(COUNTIF(L370:L$555,L369)=0,L369,""))</f>
        <v/>
      </c>
      <c r="N369" s="11">
        <f>IFERROR(MATCH(SMALL(前年度名簿!$G$3:$G$452,365),前年度名簿!$G$3:$G$452,0),"")</f>
        <v/>
      </c>
    </row>
    <row r="370">
      <c r="A370" s="49">
        <f>IF($N370="","",INDEX(前年度名簿!$A$3:$A$452,$N370))</f>
        <v/>
      </c>
      <c r="B370" s="49">
        <f>IF($N370="","",INDEX(前年度名簿!$B$3:$B$452,$N370))</f>
        <v/>
      </c>
      <c r="C370" s="49">
        <f>IF($N370="","",INDEX(前年度名簿!$C$3:$C$452,$N370))</f>
        <v/>
      </c>
      <c r="D370" s="49" t="n"/>
      <c r="E370" s="49" t="n"/>
      <c r="F370" s="49" t="n"/>
      <c r="G370" s="4">
        <f>IF(A370="","",IFERROR(INDEX(前年度名簿!$D$3:$D$452,MATCH(A370&amp;"-"&amp;B370&amp;"-"&amp;C370,前年度名簿!$F$3:$F$452,0)),""))</f>
        <v/>
      </c>
      <c r="H370" s="50">
        <f>IF(D370="","",IF(ISERROR(VALUE(D370)),D370&amp;"",IF(AND(VALUE(D370)&gt;=1,VALUE(D370)&lt;=20),IF(INDEX(設定!$P$8:$P$27,VALUE(D370))="","？",INDEX(設定!$P$8:$P$27,VALUE(D370))),"？")))</f>
        <v/>
      </c>
      <c r="I370" s="50">
        <f>IF(E370="","",IF(ISERROR(VALUE(E370)),E370&amp;"",IF(AND(VALUE(E370)&gt;=1,VALUE(E370)&lt;=20),IF(INDEX(設定!$P$8:$P$27,VALUE(E370))="","？",INDEX(設定!$P$8:$P$27,VALUE(E370))),"？")))</f>
        <v/>
      </c>
      <c r="J370" s="50">
        <f>IF(F370="","",IF(ISERROR(VALUE(F370)),F370&amp;"",IF(AND(VALUE(F370)&gt;=1,VALUE(F370)&lt;=20),IF(INDEX(設定!$P$8:$P$27,VALUE(F370))="","？",INDEX(設定!$P$8:$P$27,VALUE(F370))),"？")))</f>
        <v/>
      </c>
      <c r="K370" s="51">
        <f>IF(L370="","",IF(G370="","名簿にいない",IF(COUNTIF(L371:L$555,L370)&gt;0,"2回提出（下の行を使います）",IF(H370="転出","転出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OR(AND(H370&lt;&gt;"",H370=I370),AND(H370&lt;&gt;"",H370=J370),AND(I370&lt;&gt;"",I370=J370)),"同じクラブを重複して希望","OK")))))))</f>
        <v/>
      </c>
      <c r="L370" s="11">
        <f>IF(OR(A370="",D370=""),"",A370&amp;"-"&amp;B370&amp;"-"&amp;C370)</f>
        <v/>
      </c>
      <c r="M370" s="11">
        <f>IF(OR(L370="",G370=""),"",IF(COUNTIF(L371:L$555,L370)=0,L370,""))</f>
        <v/>
      </c>
      <c r="N370" s="11">
        <f>IFERROR(MATCH(SMALL(前年度名簿!$G$3:$G$452,366),前年度名簿!$G$3:$G$452,0),"")</f>
        <v/>
      </c>
    </row>
    <row r="371">
      <c r="A371" s="49">
        <f>IF($N371="","",INDEX(前年度名簿!$A$3:$A$452,$N371))</f>
        <v/>
      </c>
      <c r="B371" s="49">
        <f>IF($N371="","",INDEX(前年度名簿!$B$3:$B$452,$N371))</f>
        <v/>
      </c>
      <c r="C371" s="49">
        <f>IF($N371="","",INDEX(前年度名簿!$C$3:$C$452,$N371))</f>
        <v/>
      </c>
      <c r="D371" s="49" t="n"/>
      <c r="E371" s="49" t="n"/>
      <c r="F371" s="49" t="n"/>
      <c r="G371" s="4">
        <f>IF(A371="","",IFERROR(INDEX(前年度名簿!$D$3:$D$452,MATCH(A371&amp;"-"&amp;B371&amp;"-"&amp;C371,前年度名簿!$F$3:$F$452,0)),""))</f>
        <v/>
      </c>
      <c r="H371" s="50">
        <f>IF(D371="","",IF(ISERROR(VALUE(D371)),D371&amp;"",IF(AND(VALUE(D371)&gt;=1,VALUE(D371)&lt;=20),IF(INDEX(設定!$P$8:$P$27,VALUE(D371))="","？",INDEX(設定!$P$8:$P$27,VALUE(D371))),"？")))</f>
        <v/>
      </c>
      <c r="I371" s="50">
        <f>IF(E371="","",IF(ISERROR(VALUE(E371)),E371&amp;"",IF(AND(VALUE(E371)&gt;=1,VALUE(E371)&lt;=20),IF(INDEX(設定!$P$8:$P$27,VALUE(E371))="","？",INDEX(設定!$P$8:$P$27,VALUE(E371))),"？")))</f>
        <v/>
      </c>
      <c r="J371" s="50">
        <f>IF(F371="","",IF(ISERROR(VALUE(F371)),F371&amp;"",IF(AND(VALUE(F371)&gt;=1,VALUE(F371)&lt;=20),IF(INDEX(設定!$P$8:$P$27,VALUE(F371))="","？",INDEX(設定!$P$8:$P$27,VALUE(F371))),"？")))</f>
        <v/>
      </c>
      <c r="K371" s="51">
        <f>IF(L371="","",IF(G371="","名簿にいない",IF(COUNTIF(L372:L$555,L371)&gt;0,"2回提出（下の行を使います）",IF(H371="転出","転出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OR(AND(H371&lt;&gt;"",H371=I371),AND(H371&lt;&gt;"",H371=J371),AND(I371&lt;&gt;"",I371=J371)),"同じクラブを重複して希望","OK")))))))</f>
        <v/>
      </c>
      <c r="L371" s="11">
        <f>IF(OR(A371="",D371=""),"",A371&amp;"-"&amp;B371&amp;"-"&amp;C371)</f>
        <v/>
      </c>
      <c r="M371" s="11">
        <f>IF(OR(L371="",G371=""),"",IF(COUNTIF(L372:L$555,L371)=0,L371,""))</f>
        <v/>
      </c>
      <c r="N371" s="11">
        <f>IFERROR(MATCH(SMALL(前年度名簿!$G$3:$G$452,367),前年度名簿!$G$3:$G$452,0),"")</f>
        <v/>
      </c>
    </row>
    <row r="372">
      <c r="A372" s="49">
        <f>IF($N372="","",INDEX(前年度名簿!$A$3:$A$452,$N372))</f>
        <v/>
      </c>
      <c r="B372" s="49">
        <f>IF($N372="","",INDEX(前年度名簿!$B$3:$B$452,$N372))</f>
        <v/>
      </c>
      <c r="C372" s="49">
        <f>IF($N372="","",INDEX(前年度名簿!$C$3:$C$452,$N372))</f>
        <v/>
      </c>
      <c r="D372" s="49" t="n"/>
      <c r="E372" s="49" t="n"/>
      <c r="F372" s="49" t="n"/>
      <c r="G372" s="4">
        <f>IF(A372="","",IFERROR(INDEX(前年度名簿!$D$3:$D$452,MATCH(A372&amp;"-"&amp;B372&amp;"-"&amp;C372,前年度名簿!$F$3:$F$452,0)),""))</f>
        <v/>
      </c>
      <c r="H372" s="50">
        <f>IF(D372="","",IF(ISERROR(VALUE(D372)),D372&amp;"",IF(AND(VALUE(D372)&gt;=1,VALUE(D372)&lt;=20),IF(INDEX(設定!$P$8:$P$27,VALUE(D372))="","？",INDEX(設定!$P$8:$P$27,VALUE(D372))),"？")))</f>
        <v/>
      </c>
      <c r="I372" s="50">
        <f>IF(E372="","",IF(ISERROR(VALUE(E372)),E372&amp;"",IF(AND(VALUE(E372)&gt;=1,VALUE(E372)&lt;=20),IF(INDEX(設定!$P$8:$P$27,VALUE(E372))="","？",INDEX(設定!$P$8:$P$27,VALUE(E372))),"？")))</f>
        <v/>
      </c>
      <c r="J372" s="50">
        <f>IF(F372="","",IF(ISERROR(VALUE(F372)),F372&amp;"",IF(AND(VALUE(F372)&gt;=1,VALUE(F372)&lt;=20),IF(INDEX(設定!$P$8:$P$27,VALUE(F372))="","？",INDEX(設定!$P$8:$P$27,VALUE(F372))),"？")))</f>
        <v/>
      </c>
      <c r="K372" s="51">
        <f>IF(L372="","",IF(G372="","名簿にいない",IF(COUNTIF(L373:L$555,L372)&gt;0,"2回提出（下の行を使います）",IF(H372="転出","転出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OR(AND(H372&lt;&gt;"",H372=I372),AND(H372&lt;&gt;"",H372=J372),AND(I372&lt;&gt;"",I372=J372)),"同じクラブを重複して希望","OK")))))))</f>
        <v/>
      </c>
      <c r="L372" s="11">
        <f>IF(OR(A372="",D372=""),"",A372&amp;"-"&amp;B372&amp;"-"&amp;C372)</f>
        <v/>
      </c>
      <c r="M372" s="11">
        <f>IF(OR(L372="",G372=""),"",IF(COUNTIF(L373:L$555,L372)=0,L372,""))</f>
        <v/>
      </c>
      <c r="N372" s="11">
        <f>IFERROR(MATCH(SMALL(前年度名簿!$G$3:$G$452,368),前年度名簿!$G$3:$G$452,0),"")</f>
        <v/>
      </c>
    </row>
    <row r="373">
      <c r="A373" s="49">
        <f>IF($N373="","",INDEX(前年度名簿!$A$3:$A$452,$N373))</f>
        <v/>
      </c>
      <c r="B373" s="49">
        <f>IF($N373="","",INDEX(前年度名簿!$B$3:$B$452,$N373))</f>
        <v/>
      </c>
      <c r="C373" s="49">
        <f>IF($N373="","",INDEX(前年度名簿!$C$3:$C$452,$N373))</f>
        <v/>
      </c>
      <c r="D373" s="49" t="n"/>
      <c r="E373" s="49" t="n"/>
      <c r="F373" s="49" t="n"/>
      <c r="G373" s="4">
        <f>IF(A373="","",IFERROR(INDEX(前年度名簿!$D$3:$D$452,MATCH(A373&amp;"-"&amp;B373&amp;"-"&amp;C373,前年度名簿!$F$3:$F$452,0)),""))</f>
        <v/>
      </c>
      <c r="H373" s="50">
        <f>IF(D373="","",IF(ISERROR(VALUE(D373)),D373&amp;"",IF(AND(VALUE(D373)&gt;=1,VALUE(D373)&lt;=20),IF(INDEX(設定!$P$8:$P$27,VALUE(D373))="","？",INDEX(設定!$P$8:$P$27,VALUE(D373))),"？")))</f>
        <v/>
      </c>
      <c r="I373" s="50">
        <f>IF(E373="","",IF(ISERROR(VALUE(E373)),E373&amp;"",IF(AND(VALUE(E373)&gt;=1,VALUE(E373)&lt;=20),IF(INDEX(設定!$P$8:$P$27,VALUE(E373))="","？",INDEX(設定!$P$8:$P$27,VALUE(E373))),"？")))</f>
        <v/>
      </c>
      <c r="J373" s="50">
        <f>IF(F373="","",IF(ISERROR(VALUE(F373)),F373&amp;"",IF(AND(VALUE(F373)&gt;=1,VALUE(F373)&lt;=20),IF(INDEX(設定!$P$8:$P$27,VALUE(F373))="","？",INDEX(設定!$P$8:$P$27,VALUE(F373))),"？")))</f>
        <v/>
      </c>
      <c r="K373" s="51">
        <f>IF(L373="","",IF(G373="","名簿にいない",IF(COUNTIF(L374:L$555,L373)&gt;0,"2回提出（下の行を使います）",IF(H373="転出","転出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OR(AND(H373&lt;&gt;"",H373=I373),AND(H373&lt;&gt;"",H373=J373),AND(I373&lt;&gt;"",I373=J373)),"同じクラブを重複して希望","OK")))))))</f>
        <v/>
      </c>
      <c r="L373" s="11">
        <f>IF(OR(A373="",D373=""),"",A373&amp;"-"&amp;B373&amp;"-"&amp;C373)</f>
        <v/>
      </c>
      <c r="M373" s="11">
        <f>IF(OR(L373="",G373=""),"",IF(COUNTIF(L374:L$555,L373)=0,L373,""))</f>
        <v/>
      </c>
      <c r="N373" s="11">
        <f>IFERROR(MATCH(SMALL(前年度名簿!$G$3:$G$452,369),前年度名簿!$G$3:$G$452,0),"")</f>
        <v/>
      </c>
    </row>
    <row r="374">
      <c r="A374" s="49">
        <f>IF($N374="","",INDEX(前年度名簿!$A$3:$A$452,$N374))</f>
        <v/>
      </c>
      <c r="B374" s="49">
        <f>IF($N374="","",INDEX(前年度名簿!$B$3:$B$452,$N374))</f>
        <v/>
      </c>
      <c r="C374" s="49">
        <f>IF($N374="","",INDEX(前年度名簿!$C$3:$C$452,$N374))</f>
        <v/>
      </c>
      <c r="D374" s="49" t="n"/>
      <c r="E374" s="49" t="n"/>
      <c r="F374" s="49" t="n"/>
      <c r="G374" s="4">
        <f>IF(A374="","",IFERROR(INDEX(前年度名簿!$D$3:$D$452,MATCH(A374&amp;"-"&amp;B374&amp;"-"&amp;C374,前年度名簿!$F$3:$F$452,0)),""))</f>
        <v/>
      </c>
      <c r="H374" s="50">
        <f>IF(D374="","",IF(ISERROR(VALUE(D374)),D374&amp;"",IF(AND(VALUE(D374)&gt;=1,VALUE(D374)&lt;=20),IF(INDEX(設定!$P$8:$P$27,VALUE(D374))="","？",INDEX(設定!$P$8:$P$27,VALUE(D374))),"？")))</f>
        <v/>
      </c>
      <c r="I374" s="50">
        <f>IF(E374="","",IF(ISERROR(VALUE(E374)),E374&amp;"",IF(AND(VALUE(E374)&gt;=1,VALUE(E374)&lt;=20),IF(INDEX(設定!$P$8:$P$27,VALUE(E374))="","？",INDEX(設定!$P$8:$P$27,VALUE(E374))),"？")))</f>
        <v/>
      </c>
      <c r="J374" s="50">
        <f>IF(F374="","",IF(ISERROR(VALUE(F374)),F374&amp;"",IF(AND(VALUE(F374)&gt;=1,VALUE(F374)&lt;=20),IF(INDEX(設定!$P$8:$P$27,VALUE(F374))="","？",INDEX(設定!$P$8:$P$27,VALUE(F374))),"？")))</f>
        <v/>
      </c>
      <c r="K374" s="51">
        <f>IF(L374="","",IF(G374="","名簿にいない",IF(COUNTIF(L375:L$555,L374)&gt;0,"2回提出（下の行を使います）",IF(H374="転出","転出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OR(AND(H374&lt;&gt;"",H374=I374),AND(H374&lt;&gt;"",H374=J374),AND(I374&lt;&gt;"",I374=J374)),"同じクラブを重複して希望","OK")))))))</f>
        <v/>
      </c>
      <c r="L374" s="11">
        <f>IF(OR(A374="",D374=""),"",A374&amp;"-"&amp;B374&amp;"-"&amp;C374)</f>
        <v/>
      </c>
      <c r="M374" s="11">
        <f>IF(OR(L374="",G374=""),"",IF(COUNTIF(L375:L$555,L374)=0,L374,""))</f>
        <v/>
      </c>
      <c r="N374" s="11">
        <f>IFERROR(MATCH(SMALL(前年度名簿!$G$3:$G$452,370),前年度名簿!$G$3:$G$452,0),"")</f>
        <v/>
      </c>
    </row>
    <row r="375">
      <c r="A375" s="49">
        <f>IF($N375="","",INDEX(前年度名簿!$A$3:$A$452,$N375))</f>
        <v/>
      </c>
      <c r="B375" s="49">
        <f>IF($N375="","",INDEX(前年度名簿!$B$3:$B$452,$N375))</f>
        <v/>
      </c>
      <c r="C375" s="49">
        <f>IF($N375="","",INDEX(前年度名簿!$C$3:$C$452,$N375))</f>
        <v/>
      </c>
      <c r="D375" s="49" t="n"/>
      <c r="E375" s="49" t="n"/>
      <c r="F375" s="49" t="n"/>
      <c r="G375" s="4">
        <f>IF(A375="","",IFERROR(INDEX(前年度名簿!$D$3:$D$452,MATCH(A375&amp;"-"&amp;B375&amp;"-"&amp;C375,前年度名簿!$F$3:$F$452,0)),""))</f>
        <v/>
      </c>
      <c r="H375" s="50">
        <f>IF(D375="","",IF(ISERROR(VALUE(D375)),D375&amp;"",IF(AND(VALUE(D375)&gt;=1,VALUE(D375)&lt;=20),IF(INDEX(設定!$P$8:$P$27,VALUE(D375))="","？",INDEX(設定!$P$8:$P$27,VALUE(D375))),"？")))</f>
        <v/>
      </c>
      <c r="I375" s="50">
        <f>IF(E375="","",IF(ISERROR(VALUE(E375)),E375&amp;"",IF(AND(VALUE(E375)&gt;=1,VALUE(E375)&lt;=20),IF(INDEX(設定!$P$8:$P$27,VALUE(E375))="","？",INDEX(設定!$P$8:$P$27,VALUE(E375))),"？")))</f>
        <v/>
      </c>
      <c r="J375" s="50">
        <f>IF(F375="","",IF(ISERROR(VALUE(F375)),F375&amp;"",IF(AND(VALUE(F375)&gt;=1,VALUE(F375)&lt;=20),IF(INDEX(設定!$P$8:$P$27,VALUE(F375))="","？",INDEX(設定!$P$8:$P$27,VALUE(F375))),"？")))</f>
        <v/>
      </c>
      <c r="K375" s="51">
        <f>IF(L375="","",IF(G375="","名簿にいない",IF(COUNTIF(L376:L$555,L375)&gt;0,"2回提出（下の行を使います）",IF(H375="転出","転出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OR(AND(H375&lt;&gt;"",H375=I375),AND(H375&lt;&gt;"",H375=J375),AND(I375&lt;&gt;"",I375=J375)),"同じクラブを重複して希望","OK")))))))</f>
        <v/>
      </c>
      <c r="L375" s="11">
        <f>IF(OR(A375="",D375=""),"",A375&amp;"-"&amp;B375&amp;"-"&amp;C375)</f>
        <v/>
      </c>
      <c r="M375" s="11">
        <f>IF(OR(L375="",G375=""),"",IF(COUNTIF(L376:L$555,L375)=0,L375,""))</f>
        <v/>
      </c>
      <c r="N375" s="11">
        <f>IFERROR(MATCH(SMALL(前年度名簿!$G$3:$G$452,371),前年度名簿!$G$3:$G$452,0),"")</f>
        <v/>
      </c>
    </row>
    <row r="376">
      <c r="A376" s="49">
        <f>IF($N376="","",INDEX(前年度名簿!$A$3:$A$452,$N376))</f>
        <v/>
      </c>
      <c r="B376" s="49">
        <f>IF($N376="","",INDEX(前年度名簿!$B$3:$B$452,$N376))</f>
        <v/>
      </c>
      <c r="C376" s="49">
        <f>IF($N376="","",INDEX(前年度名簿!$C$3:$C$452,$N376))</f>
        <v/>
      </c>
      <c r="D376" s="49" t="n"/>
      <c r="E376" s="49" t="n"/>
      <c r="F376" s="49" t="n"/>
      <c r="G376" s="4">
        <f>IF(A376="","",IFERROR(INDEX(前年度名簿!$D$3:$D$452,MATCH(A376&amp;"-"&amp;B376&amp;"-"&amp;C376,前年度名簿!$F$3:$F$452,0)),""))</f>
        <v/>
      </c>
      <c r="H376" s="50">
        <f>IF(D376="","",IF(ISERROR(VALUE(D376)),D376&amp;"",IF(AND(VALUE(D376)&gt;=1,VALUE(D376)&lt;=20),IF(INDEX(設定!$P$8:$P$27,VALUE(D376))="","？",INDEX(設定!$P$8:$P$27,VALUE(D376))),"？")))</f>
        <v/>
      </c>
      <c r="I376" s="50">
        <f>IF(E376="","",IF(ISERROR(VALUE(E376)),E376&amp;"",IF(AND(VALUE(E376)&gt;=1,VALUE(E376)&lt;=20),IF(INDEX(設定!$P$8:$P$27,VALUE(E376))="","？",INDEX(設定!$P$8:$P$27,VALUE(E376))),"？")))</f>
        <v/>
      </c>
      <c r="J376" s="50">
        <f>IF(F376="","",IF(ISERROR(VALUE(F376)),F376&amp;"",IF(AND(VALUE(F376)&gt;=1,VALUE(F376)&lt;=20),IF(INDEX(設定!$P$8:$P$27,VALUE(F376))="","？",INDEX(設定!$P$8:$P$27,VALUE(F376))),"？")))</f>
        <v/>
      </c>
      <c r="K376" s="51">
        <f>IF(L376="","",IF(G376="","名簿にいない",IF(COUNTIF(L377:L$555,L376)&gt;0,"2回提出（下の行を使います）",IF(H376="転出","転出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OR(AND(H376&lt;&gt;"",H376=I376),AND(H376&lt;&gt;"",H376=J376),AND(I376&lt;&gt;"",I376=J376)),"同じクラブを重複して希望","OK")))))))</f>
        <v/>
      </c>
      <c r="L376" s="11">
        <f>IF(OR(A376="",D376=""),"",A376&amp;"-"&amp;B376&amp;"-"&amp;C376)</f>
        <v/>
      </c>
      <c r="M376" s="11">
        <f>IF(OR(L376="",G376=""),"",IF(COUNTIF(L377:L$555,L376)=0,L376,""))</f>
        <v/>
      </c>
      <c r="N376" s="11">
        <f>IFERROR(MATCH(SMALL(前年度名簿!$G$3:$G$452,372),前年度名簿!$G$3:$G$452,0),"")</f>
        <v/>
      </c>
    </row>
    <row r="377">
      <c r="A377" s="49">
        <f>IF($N377="","",INDEX(前年度名簿!$A$3:$A$452,$N377))</f>
        <v/>
      </c>
      <c r="B377" s="49">
        <f>IF($N377="","",INDEX(前年度名簿!$B$3:$B$452,$N377))</f>
        <v/>
      </c>
      <c r="C377" s="49">
        <f>IF($N377="","",INDEX(前年度名簿!$C$3:$C$452,$N377))</f>
        <v/>
      </c>
      <c r="D377" s="49" t="n"/>
      <c r="E377" s="49" t="n"/>
      <c r="F377" s="49" t="n"/>
      <c r="G377" s="4">
        <f>IF(A377="","",IFERROR(INDEX(前年度名簿!$D$3:$D$452,MATCH(A377&amp;"-"&amp;B377&amp;"-"&amp;C377,前年度名簿!$F$3:$F$452,0)),""))</f>
        <v/>
      </c>
      <c r="H377" s="50">
        <f>IF(D377="","",IF(ISERROR(VALUE(D377)),D377&amp;"",IF(AND(VALUE(D377)&gt;=1,VALUE(D377)&lt;=20),IF(INDEX(設定!$P$8:$P$27,VALUE(D377))="","？",INDEX(設定!$P$8:$P$27,VALUE(D377))),"？")))</f>
        <v/>
      </c>
      <c r="I377" s="50">
        <f>IF(E377="","",IF(ISERROR(VALUE(E377)),E377&amp;"",IF(AND(VALUE(E377)&gt;=1,VALUE(E377)&lt;=20),IF(INDEX(設定!$P$8:$P$27,VALUE(E377))="","？",INDEX(設定!$P$8:$P$27,VALUE(E377))),"？")))</f>
        <v/>
      </c>
      <c r="J377" s="50">
        <f>IF(F377="","",IF(ISERROR(VALUE(F377)),F377&amp;"",IF(AND(VALUE(F377)&gt;=1,VALUE(F377)&lt;=20),IF(INDEX(設定!$P$8:$P$27,VALUE(F377))="","？",INDEX(設定!$P$8:$P$27,VALUE(F377))),"？")))</f>
        <v/>
      </c>
      <c r="K377" s="51">
        <f>IF(L377="","",IF(G377="","名簿にいない",IF(COUNTIF(L378:L$555,L377)&gt;0,"2回提出（下の行を使います）",IF(H377="転出","転出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OR(AND(H377&lt;&gt;"",H377=I377),AND(H377&lt;&gt;"",H377=J377),AND(I377&lt;&gt;"",I377=J377)),"同じクラブを重複して希望","OK")))))))</f>
        <v/>
      </c>
      <c r="L377" s="11">
        <f>IF(OR(A377="",D377=""),"",A377&amp;"-"&amp;B377&amp;"-"&amp;C377)</f>
        <v/>
      </c>
      <c r="M377" s="11">
        <f>IF(OR(L377="",G377=""),"",IF(COUNTIF(L378:L$555,L377)=0,L377,""))</f>
        <v/>
      </c>
      <c r="N377" s="11">
        <f>IFERROR(MATCH(SMALL(前年度名簿!$G$3:$G$452,373),前年度名簿!$G$3:$G$452,0),"")</f>
        <v/>
      </c>
    </row>
    <row r="378">
      <c r="A378" s="49">
        <f>IF($N378="","",INDEX(前年度名簿!$A$3:$A$452,$N378))</f>
        <v/>
      </c>
      <c r="B378" s="49">
        <f>IF($N378="","",INDEX(前年度名簿!$B$3:$B$452,$N378))</f>
        <v/>
      </c>
      <c r="C378" s="49">
        <f>IF($N378="","",INDEX(前年度名簿!$C$3:$C$452,$N378))</f>
        <v/>
      </c>
      <c r="D378" s="49" t="n"/>
      <c r="E378" s="49" t="n"/>
      <c r="F378" s="49" t="n"/>
      <c r="G378" s="4">
        <f>IF(A378="","",IFERROR(INDEX(前年度名簿!$D$3:$D$452,MATCH(A378&amp;"-"&amp;B378&amp;"-"&amp;C378,前年度名簿!$F$3:$F$452,0)),""))</f>
        <v/>
      </c>
      <c r="H378" s="50">
        <f>IF(D378="","",IF(ISERROR(VALUE(D378)),D378&amp;"",IF(AND(VALUE(D378)&gt;=1,VALUE(D378)&lt;=20),IF(INDEX(設定!$P$8:$P$27,VALUE(D378))="","？",INDEX(設定!$P$8:$P$27,VALUE(D378))),"？")))</f>
        <v/>
      </c>
      <c r="I378" s="50">
        <f>IF(E378="","",IF(ISERROR(VALUE(E378)),E378&amp;"",IF(AND(VALUE(E378)&gt;=1,VALUE(E378)&lt;=20),IF(INDEX(設定!$P$8:$P$27,VALUE(E378))="","？",INDEX(設定!$P$8:$P$27,VALUE(E378))),"？")))</f>
        <v/>
      </c>
      <c r="J378" s="50">
        <f>IF(F378="","",IF(ISERROR(VALUE(F378)),F378&amp;"",IF(AND(VALUE(F378)&gt;=1,VALUE(F378)&lt;=20),IF(INDEX(設定!$P$8:$P$27,VALUE(F378))="","？",INDEX(設定!$P$8:$P$27,VALUE(F378))),"？")))</f>
        <v/>
      </c>
      <c r="K378" s="51">
        <f>IF(L378="","",IF(G378="","名簿にいない",IF(COUNTIF(L379:L$555,L378)&gt;0,"2回提出（下の行を使います）",IF(H378="転出","転出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OR(AND(H378&lt;&gt;"",H378=I378),AND(H378&lt;&gt;"",H378=J378),AND(I378&lt;&gt;"",I378=J378)),"同じクラブを重複して希望","OK")))))))</f>
        <v/>
      </c>
      <c r="L378" s="11">
        <f>IF(OR(A378="",D378=""),"",A378&amp;"-"&amp;B378&amp;"-"&amp;C378)</f>
        <v/>
      </c>
      <c r="M378" s="11">
        <f>IF(OR(L378="",G378=""),"",IF(COUNTIF(L379:L$555,L378)=0,L378,""))</f>
        <v/>
      </c>
      <c r="N378" s="11">
        <f>IFERROR(MATCH(SMALL(前年度名簿!$G$3:$G$452,374),前年度名簿!$G$3:$G$452,0),"")</f>
        <v/>
      </c>
    </row>
    <row r="379">
      <c r="A379" s="49">
        <f>IF($N379="","",INDEX(前年度名簿!$A$3:$A$452,$N379))</f>
        <v/>
      </c>
      <c r="B379" s="49">
        <f>IF($N379="","",INDEX(前年度名簿!$B$3:$B$452,$N379))</f>
        <v/>
      </c>
      <c r="C379" s="49">
        <f>IF($N379="","",INDEX(前年度名簿!$C$3:$C$452,$N379))</f>
        <v/>
      </c>
      <c r="D379" s="49" t="n"/>
      <c r="E379" s="49" t="n"/>
      <c r="F379" s="49" t="n"/>
      <c r="G379" s="4">
        <f>IF(A379="","",IFERROR(INDEX(前年度名簿!$D$3:$D$452,MATCH(A379&amp;"-"&amp;B379&amp;"-"&amp;C379,前年度名簿!$F$3:$F$452,0)),""))</f>
        <v/>
      </c>
      <c r="H379" s="50">
        <f>IF(D379="","",IF(ISERROR(VALUE(D379)),D379&amp;"",IF(AND(VALUE(D379)&gt;=1,VALUE(D379)&lt;=20),IF(INDEX(設定!$P$8:$P$27,VALUE(D379))="","？",INDEX(設定!$P$8:$P$27,VALUE(D379))),"？")))</f>
        <v/>
      </c>
      <c r="I379" s="50">
        <f>IF(E379="","",IF(ISERROR(VALUE(E379)),E379&amp;"",IF(AND(VALUE(E379)&gt;=1,VALUE(E379)&lt;=20),IF(INDEX(設定!$P$8:$P$27,VALUE(E379))="","？",INDEX(設定!$P$8:$P$27,VALUE(E379))),"？")))</f>
        <v/>
      </c>
      <c r="J379" s="50">
        <f>IF(F379="","",IF(ISERROR(VALUE(F379)),F379&amp;"",IF(AND(VALUE(F379)&gt;=1,VALUE(F379)&lt;=20),IF(INDEX(設定!$P$8:$P$27,VALUE(F379))="","？",INDEX(設定!$P$8:$P$27,VALUE(F379))),"？")))</f>
        <v/>
      </c>
      <c r="K379" s="51">
        <f>IF(L379="","",IF(G379="","名簿にいない",IF(COUNTIF(L380:L$555,L379)&gt;0,"2回提出（下の行を使います）",IF(H379="転出","転出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OR(AND(H379&lt;&gt;"",H379=I379),AND(H379&lt;&gt;"",H379=J379),AND(I379&lt;&gt;"",I379=J379)),"同じクラブを重複して希望","OK")))))))</f>
        <v/>
      </c>
      <c r="L379" s="11">
        <f>IF(OR(A379="",D379=""),"",A379&amp;"-"&amp;B379&amp;"-"&amp;C379)</f>
        <v/>
      </c>
      <c r="M379" s="11">
        <f>IF(OR(L379="",G379=""),"",IF(COUNTIF(L380:L$555,L379)=0,L379,""))</f>
        <v/>
      </c>
      <c r="N379" s="11">
        <f>IFERROR(MATCH(SMALL(前年度名簿!$G$3:$G$452,375),前年度名簿!$G$3:$G$452,0),"")</f>
        <v/>
      </c>
    </row>
    <row r="380">
      <c r="A380" s="49">
        <f>IF($N380="","",INDEX(前年度名簿!$A$3:$A$452,$N380))</f>
        <v/>
      </c>
      <c r="B380" s="49">
        <f>IF($N380="","",INDEX(前年度名簿!$B$3:$B$452,$N380))</f>
        <v/>
      </c>
      <c r="C380" s="49">
        <f>IF($N380="","",INDEX(前年度名簿!$C$3:$C$452,$N380))</f>
        <v/>
      </c>
      <c r="D380" s="49" t="n"/>
      <c r="E380" s="49" t="n"/>
      <c r="F380" s="49" t="n"/>
      <c r="G380" s="4">
        <f>IF(A380="","",IFERROR(INDEX(前年度名簿!$D$3:$D$452,MATCH(A380&amp;"-"&amp;B380&amp;"-"&amp;C380,前年度名簿!$F$3:$F$452,0)),""))</f>
        <v/>
      </c>
      <c r="H380" s="50">
        <f>IF(D380="","",IF(ISERROR(VALUE(D380)),D380&amp;"",IF(AND(VALUE(D380)&gt;=1,VALUE(D380)&lt;=20),IF(INDEX(設定!$P$8:$P$27,VALUE(D380))="","？",INDEX(設定!$P$8:$P$27,VALUE(D380))),"？")))</f>
        <v/>
      </c>
      <c r="I380" s="50">
        <f>IF(E380="","",IF(ISERROR(VALUE(E380)),E380&amp;"",IF(AND(VALUE(E380)&gt;=1,VALUE(E380)&lt;=20),IF(INDEX(設定!$P$8:$P$27,VALUE(E380))="","？",INDEX(設定!$P$8:$P$27,VALUE(E380))),"？")))</f>
        <v/>
      </c>
      <c r="J380" s="50">
        <f>IF(F380="","",IF(ISERROR(VALUE(F380)),F380&amp;"",IF(AND(VALUE(F380)&gt;=1,VALUE(F380)&lt;=20),IF(INDEX(設定!$P$8:$P$27,VALUE(F380))="","？",INDEX(設定!$P$8:$P$27,VALUE(F380))),"？")))</f>
        <v/>
      </c>
      <c r="K380" s="51">
        <f>IF(L380="","",IF(G380="","名簿にいない",IF(COUNTIF(L381:L$555,L380)&gt;0,"2回提出（下の行を使います）",IF(H380="転出","転出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OR(AND(H380&lt;&gt;"",H380=I380),AND(H380&lt;&gt;"",H380=J380),AND(I380&lt;&gt;"",I380=J380)),"同じクラブを重複して希望","OK")))))))</f>
        <v/>
      </c>
      <c r="L380" s="11">
        <f>IF(OR(A380="",D380=""),"",A380&amp;"-"&amp;B380&amp;"-"&amp;C380)</f>
        <v/>
      </c>
      <c r="M380" s="11">
        <f>IF(OR(L380="",G380=""),"",IF(COUNTIF(L381:L$555,L380)=0,L380,""))</f>
        <v/>
      </c>
      <c r="N380" s="11">
        <f>IFERROR(MATCH(SMALL(前年度名簿!$G$3:$G$452,376),前年度名簿!$G$3:$G$452,0),"")</f>
        <v/>
      </c>
    </row>
    <row r="381">
      <c r="A381" s="49">
        <f>IF($N381="","",INDEX(前年度名簿!$A$3:$A$452,$N381))</f>
        <v/>
      </c>
      <c r="B381" s="49">
        <f>IF($N381="","",INDEX(前年度名簿!$B$3:$B$452,$N381))</f>
        <v/>
      </c>
      <c r="C381" s="49">
        <f>IF($N381="","",INDEX(前年度名簿!$C$3:$C$452,$N381))</f>
        <v/>
      </c>
      <c r="D381" s="49" t="n"/>
      <c r="E381" s="49" t="n"/>
      <c r="F381" s="49" t="n"/>
      <c r="G381" s="4">
        <f>IF(A381="","",IFERROR(INDEX(前年度名簿!$D$3:$D$452,MATCH(A381&amp;"-"&amp;B381&amp;"-"&amp;C381,前年度名簿!$F$3:$F$452,0)),""))</f>
        <v/>
      </c>
      <c r="H381" s="50">
        <f>IF(D381="","",IF(ISERROR(VALUE(D381)),D381&amp;"",IF(AND(VALUE(D381)&gt;=1,VALUE(D381)&lt;=20),IF(INDEX(設定!$P$8:$P$27,VALUE(D381))="","？",INDEX(設定!$P$8:$P$27,VALUE(D381))),"？")))</f>
        <v/>
      </c>
      <c r="I381" s="50">
        <f>IF(E381="","",IF(ISERROR(VALUE(E381)),E381&amp;"",IF(AND(VALUE(E381)&gt;=1,VALUE(E381)&lt;=20),IF(INDEX(設定!$P$8:$P$27,VALUE(E381))="","？",INDEX(設定!$P$8:$P$27,VALUE(E381))),"？")))</f>
        <v/>
      </c>
      <c r="J381" s="50">
        <f>IF(F381="","",IF(ISERROR(VALUE(F381)),F381&amp;"",IF(AND(VALUE(F381)&gt;=1,VALUE(F381)&lt;=20),IF(INDEX(設定!$P$8:$P$27,VALUE(F381))="","？",INDEX(設定!$P$8:$P$27,VALUE(F381))),"？")))</f>
        <v/>
      </c>
      <c r="K381" s="51">
        <f>IF(L381="","",IF(G381="","名簿にいない",IF(COUNTIF(L382:L$555,L381)&gt;0,"2回提出（下の行を使います）",IF(H381="転出","転出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OR(AND(H381&lt;&gt;"",H381=I381),AND(H381&lt;&gt;"",H381=J381),AND(I381&lt;&gt;"",I381=J381)),"同じクラブを重複して希望","OK")))))))</f>
        <v/>
      </c>
      <c r="L381" s="11">
        <f>IF(OR(A381="",D381=""),"",A381&amp;"-"&amp;B381&amp;"-"&amp;C381)</f>
        <v/>
      </c>
      <c r="M381" s="11">
        <f>IF(OR(L381="",G381=""),"",IF(COUNTIF(L382:L$555,L381)=0,L381,""))</f>
        <v/>
      </c>
      <c r="N381" s="11">
        <f>IFERROR(MATCH(SMALL(前年度名簿!$G$3:$G$452,377),前年度名簿!$G$3:$G$452,0),"")</f>
        <v/>
      </c>
    </row>
    <row r="382">
      <c r="A382" s="49">
        <f>IF($N382="","",INDEX(前年度名簿!$A$3:$A$452,$N382))</f>
        <v/>
      </c>
      <c r="B382" s="49">
        <f>IF($N382="","",INDEX(前年度名簿!$B$3:$B$452,$N382))</f>
        <v/>
      </c>
      <c r="C382" s="49">
        <f>IF($N382="","",INDEX(前年度名簿!$C$3:$C$452,$N382))</f>
        <v/>
      </c>
      <c r="D382" s="49" t="n"/>
      <c r="E382" s="49" t="n"/>
      <c r="F382" s="49" t="n"/>
      <c r="G382" s="4">
        <f>IF(A382="","",IFERROR(INDEX(前年度名簿!$D$3:$D$452,MATCH(A382&amp;"-"&amp;B382&amp;"-"&amp;C382,前年度名簿!$F$3:$F$452,0)),""))</f>
        <v/>
      </c>
      <c r="H382" s="50">
        <f>IF(D382="","",IF(ISERROR(VALUE(D382)),D382&amp;"",IF(AND(VALUE(D382)&gt;=1,VALUE(D382)&lt;=20),IF(INDEX(設定!$P$8:$P$27,VALUE(D382))="","？",INDEX(設定!$P$8:$P$27,VALUE(D382))),"？")))</f>
        <v/>
      </c>
      <c r="I382" s="50">
        <f>IF(E382="","",IF(ISERROR(VALUE(E382)),E382&amp;"",IF(AND(VALUE(E382)&gt;=1,VALUE(E382)&lt;=20),IF(INDEX(設定!$P$8:$P$27,VALUE(E382))="","？",INDEX(設定!$P$8:$P$27,VALUE(E382))),"？")))</f>
        <v/>
      </c>
      <c r="J382" s="50">
        <f>IF(F382="","",IF(ISERROR(VALUE(F382)),F382&amp;"",IF(AND(VALUE(F382)&gt;=1,VALUE(F382)&lt;=20),IF(INDEX(設定!$P$8:$P$27,VALUE(F382))="","？",INDEX(設定!$P$8:$P$27,VALUE(F382))),"？")))</f>
        <v/>
      </c>
      <c r="K382" s="51">
        <f>IF(L382="","",IF(G382="","名簿にいない",IF(COUNTIF(L383:L$555,L382)&gt;0,"2回提出（下の行を使います）",IF(H382="転出","転出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OR(AND(H382&lt;&gt;"",H382=I382),AND(H382&lt;&gt;"",H382=J382),AND(I382&lt;&gt;"",I382=J382)),"同じクラブを重複して希望","OK")))))))</f>
        <v/>
      </c>
      <c r="L382" s="11">
        <f>IF(OR(A382="",D382=""),"",A382&amp;"-"&amp;B382&amp;"-"&amp;C382)</f>
        <v/>
      </c>
      <c r="M382" s="11">
        <f>IF(OR(L382="",G382=""),"",IF(COUNTIF(L383:L$555,L382)=0,L382,""))</f>
        <v/>
      </c>
      <c r="N382" s="11">
        <f>IFERROR(MATCH(SMALL(前年度名簿!$G$3:$G$452,378),前年度名簿!$G$3:$G$452,0),"")</f>
        <v/>
      </c>
    </row>
    <row r="383">
      <c r="A383" s="49">
        <f>IF($N383="","",INDEX(前年度名簿!$A$3:$A$452,$N383))</f>
        <v/>
      </c>
      <c r="B383" s="49">
        <f>IF($N383="","",INDEX(前年度名簿!$B$3:$B$452,$N383))</f>
        <v/>
      </c>
      <c r="C383" s="49">
        <f>IF($N383="","",INDEX(前年度名簿!$C$3:$C$452,$N383))</f>
        <v/>
      </c>
      <c r="D383" s="49" t="n"/>
      <c r="E383" s="49" t="n"/>
      <c r="F383" s="49" t="n"/>
      <c r="G383" s="4">
        <f>IF(A383="","",IFERROR(INDEX(前年度名簿!$D$3:$D$452,MATCH(A383&amp;"-"&amp;B383&amp;"-"&amp;C383,前年度名簿!$F$3:$F$452,0)),""))</f>
        <v/>
      </c>
      <c r="H383" s="50">
        <f>IF(D383="","",IF(ISERROR(VALUE(D383)),D383&amp;"",IF(AND(VALUE(D383)&gt;=1,VALUE(D383)&lt;=20),IF(INDEX(設定!$P$8:$P$27,VALUE(D383))="","？",INDEX(設定!$P$8:$P$27,VALUE(D383))),"？")))</f>
        <v/>
      </c>
      <c r="I383" s="50">
        <f>IF(E383="","",IF(ISERROR(VALUE(E383)),E383&amp;"",IF(AND(VALUE(E383)&gt;=1,VALUE(E383)&lt;=20),IF(INDEX(設定!$P$8:$P$27,VALUE(E383))="","？",INDEX(設定!$P$8:$P$27,VALUE(E383))),"？")))</f>
        <v/>
      </c>
      <c r="J383" s="50">
        <f>IF(F383="","",IF(ISERROR(VALUE(F383)),F383&amp;"",IF(AND(VALUE(F383)&gt;=1,VALUE(F383)&lt;=20),IF(INDEX(設定!$P$8:$P$27,VALUE(F383))="","？",INDEX(設定!$P$8:$P$27,VALUE(F383))),"？")))</f>
        <v/>
      </c>
      <c r="K383" s="51">
        <f>IF(L383="","",IF(G383="","名簿にいない",IF(COUNTIF(L384:L$555,L383)&gt;0,"2回提出（下の行を使います）",IF(H383="転出","転出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OR(AND(H383&lt;&gt;"",H383=I383),AND(H383&lt;&gt;"",H383=J383),AND(I383&lt;&gt;"",I383=J383)),"同じクラブを重複して希望","OK")))))))</f>
        <v/>
      </c>
      <c r="L383" s="11">
        <f>IF(OR(A383="",D383=""),"",A383&amp;"-"&amp;B383&amp;"-"&amp;C383)</f>
        <v/>
      </c>
      <c r="M383" s="11">
        <f>IF(OR(L383="",G383=""),"",IF(COUNTIF(L384:L$555,L383)=0,L383,""))</f>
        <v/>
      </c>
      <c r="N383" s="11">
        <f>IFERROR(MATCH(SMALL(前年度名簿!$G$3:$G$452,379),前年度名簿!$G$3:$G$452,0),"")</f>
        <v/>
      </c>
    </row>
    <row r="384">
      <c r="A384" s="49">
        <f>IF($N384="","",INDEX(前年度名簿!$A$3:$A$452,$N384))</f>
        <v/>
      </c>
      <c r="B384" s="49">
        <f>IF($N384="","",INDEX(前年度名簿!$B$3:$B$452,$N384))</f>
        <v/>
      </c>
      <c r="C384" s="49">
        <f>IF($N384="","",INDEX(前年度名簿!$C$3:$C$452,$N384))</f>
        <v/>
      </c>
      <c r="D384" s="49" t="n"/>
      <c r="E384" s="49" t="n"/>
      <c r="F384" s="49" t="n"/>
      <c r="G384" s="4">
        <f>IF(A384="","",IFERROR(INDEX(前年度名簿!$D$3:$D$452,MATCH(A384&amp;"-"&amp;B384&amp;"-"&amp;C384,前年度名簿!$F$3:$F$452,0)),""))</f>
        <v/>
      </c>
      <c r="H384" s="50">
        <f>IF(D384="","",IF(ISERROR(VALUE(D384)),D384&amp;"",IF(AND(VALUE(D384)&gt;=1,VALUE(D384)&lt;=20),IF(INDEX(設定!$P$8:$P$27,VALUE(D384))="","？",INDEX(設定!$P$8:$P$27,VALUE(D384))),"？")))</f>
        <v/>
      </c>
      <c r="I384" s="50">
        <f>IF(E384="","",IF(ISERROR(VALUE(E384)),E384&amp;"",IF(AND(VALUE(E384)&gt;=1,VALUE(E384)&lt;=20),IF(INDEX(設定!$P$8:$P$27,VALUE(E384))="","？",INDEX(設定!$P$8:$P$27,VALUE(E384))),"？")))</f>
        <v/>
      </c>
      <c r="J384" s="50">
        <f>IF(F384="","",IF(ISERROR(VALUE(F384)),F384&amp;"",IF(AND(VALUE(F384)&gt;=1,VALUE(F384)&lt;=20),IF(INDEX(設定!$P$8:$P$27,VALUE(F384))="","？",INDEX(設定!$P$8:$P$27,VALUE(F384))),"？")))</f>
        <v/>
      </c>
      <c r="K384" s="51">
        <f>IF(L384="","",IF(G384="","名簿にいない",IF(COUNTIF(L385:L$555,L384)&gt;0,"2回提出（下の行を使います）",IF(H384="転出","転出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OR(AND(H384&lt;&gt;"",H384=I384),AND(H384&lt;&gt;"",H384=J384),AND(I384&lt;&gt;"",I384=J384)),"同じクラブを重複して希望","OK")))))))</f>
        <v/>
      </c>
      <c r="L384" s="11">
        <f>IF(OR(A384="",D384=""),"",A384&amp;"-"&amp;B384&amp;"-"&amp;C384)</f>
        <v/>
      </c>
      <c r="M384" s="11">
        <f>IF(OR(L384="",G384=""),"",IF(COUNTIF(L385:L$555,L384)=0,L384,""))</f>
        <v/>
      </c>
      <c r="N384" s="11">
        <f>IFERROR(MATCH(SMALL(前年度名簿!$G$3:$G$452,380),前年度名簿!$G$3:$G$452,0),"")</f>
        <v/>
      </c>
    </row>
    <row r="385">
      <c r="A385" s="49">
        <f>IF($N385="","",INDEX(前年度名簿!$A$3:$A$452,$N385))</f>
        <v/>
      </c>
      <c r="B385" s="49">
        <f>IF($N385="","",INDEX(前年度名簿!$B$3:$B$452,$N385))</f>
        <v/>
      </c>
      <c r="C385" s="49">
        <f>IF($N385="","",INDEX(前年度名簿!$C$3:$C$452,$N385))</f>
        <v/>
      </c>
      <c r="D385" s="49" t="n"/>
      <c r="E385" s="49" t="n"/>
      <c r="F385" s="49" t="n"/>
      <c r="G385" s="4">
        <f>IF(A385="","",IFERROR(INDEX(前年度名簿!$D$3:$D$452,MATCH(A385&amp;"-"&amp;B385&amp;"-"&amp;C385,前年度名簿!$F$3:$F$452,0)),""))</f>
        <v/>
      </c>
      <c r="H385" s="50">
        <f>IF(D385="","",IF(ISERROR(VALUE(D385)),D385&amp;"",IF(AND(VALUE(D385)&gt;=1,VALUE(D385)&lt;=20),IF(INDEX(設定!$P$8:$P$27,VALUE(D385))="","？",INDEX(設定!$P$8:$P$27,VALUE(D385))),"？")))</f>
        <v/>
      </c>
      <c r="I385" s="50">
        <f>IF(E385="","",IF(ISERROR(VALUE(E385)),E385&amp;"",IF(AND(VALUE(E385)&gt;=1,VALUE(E385)&lt;=20),IF(INDEX(設定!$P$8:$P$27,VALUE(E385))="","？",INDEX(設定!$P$8:$P$27,VALUE(E385))),"？")))</f>
        <v/>
      </c>
      <c r="J385" s="50">
        <f>IF(F385="","",IF(ISERROR(VALUE(F385)),F385&amp;"",IF(AND(VALUE(F385)&gt;=1,VALUE(F385)&lt;=20),IF(INDEX(設定!$P$8:$P$27,VALUE(F385))="","？",INDEX(設定!$P$8:$P$27,VALUE(F385))),"？")))</f>
        <v/>
      </c>
      <c r="K385" s="51">
        <f>IF(L385="","",IF(G385="","名簿にいない",IF(COUNTIF(L386:L$555,L385)&gt;0,"2回提出（下の行を使います）",IF(H385="転出","転出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OR(AND(H385&lt;&gt;"",H385=I385),AND(H385&lt;&gt;"",H385=J385),AND(I385&lt;&gt;"",I385=J385)),"同じクラブを重複して希望","OK")))))))</f>
        <v/>
      </c>
      <c r="L385" s="11">
        <f>IF(OR(A385="",D385=""),"",A385&amp;"-"&amp;B385&amp;"-"&amp;C385)</f>
        <v/>
      </c>
      <c r="M385" s="11">
        <f>IF(OR(L385="",G385=""),"",IF(COUNTIF(L386:L$555,L385)=0,L385,""))</f>
        <v/>
      </c>
      <c r="N385" s="11">
        <f>IFERROR(MATCH(SMALL(前年度名簿!$G$3:$G$452,381),前年度名簿!$G$3:$G$452,0),"")</f>
        <v/>
      </c>
    </row>
    <row r="386">
      <c r="A386" s="49">
        <f>IF($N386="","",INDEX(前年度名簿!$A$3:$A$452,$N386))</f>
        <v/>
      </c>
      <c r="B386" s="49">
        <f>IF($N386="","",INDEX(前年度名簿!$B$3:$B$452,$N386))</f>
        <v/>
      </c>
      <c r="C386" s="49">
        <f>IF($N386="","",INDEX(前年度名簿!$C$3:$C$452,$N386))</f>
        <v/>
      </c>
      <c r="D386" s="49" t="n"/>
      <c r="E386" s="49" t="n"/>
      <c r="F386" s="49" t="n"/>
      <c r="G386" s="4">
        <f>IF(A386="","",IFERROR(INDEX(前年度名簿!$D$3:$D$452,MATCH(A386&amp;"-"&amp;B386&amp;"-"&amp;C386,前年度名簿!$F$3:$F$452,0)),""))</f>
        <v/>
      </c>
      <c r="H386" s="50">
        <f>IF(D386="","",IF(ISERROR(VALUE(D386)),D386&amp;"",IF(AND(VALUE(D386)&gt;=1,VALUE(D386)&lt;=20),IF(INDEX(設定!$P$8:$P$27,VALUE(D386))="","？",INDEX(設定!$P$8:$P$27,VALUE(D386))),"？")))</f>
        <v/>
      </c>
      <c r="I386" s="50">
        <f>IF(E386="","",IF(ISERROR(VALUE(E386)),E386&amp;"",IF(AND(VALUE(E386)&gt;=1,VALUE(E386)&lt;=20),IF(INDEX(設定!$P$8:$P$27,VALUE(E386))="","？",INDEX(設定!$P$8:$P$27,VALUE(E386))),"？")))</f>
        <v/>
      </c>
      <c r="J386" s="50">
        <f>IF(F386="","",IF(ISERROR(VALUE(F386)),F386&amp;"",IF(AND(VALUE(F386)&gt;=1,VALUE(F386)&lt;=20),IF(INDEX(設定!$P$8:$P$27,VALUE(F386))="","？",INDEX(設定!$P$8:$P$27,VALUE(F386))),"？")))</f>
        <v/>
      </c>
      <c r="K386" s="51">
        <f>IF(L386="","",IF(G386="","名簿にいない",IF(COUNTIF(L387:L$555,L386)&gt;0,"2回提出（下の行を使います）",IF(H386="転出","転出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OR(AND(H386&lt;&gt;"",H386=I386),AND(H386&lt;&gt;"",H386=J386),AND(I386&lt;&gt;"",I386=J386)),"同じクラブを重複して希望","OK")))))))</f>
        <v/>
      </c>
      <c r="L386" s="11">
        <f>IF(OR(A386="",D386=""),"",A386&amp;"-"&amp;B386&amp;"-"&amp;C386)</f>
        <v/>
      </c>
      <c r="M386" s="11">
        <f>IF(OR(L386="",G386=""),"",IF(COUNTIF(L387:L$555,L386)=0,L386,""))</f>
        <v/>
      </c>
      <c r="N386" s="11">
        <f>IFERROR(MATCH(SMALL(前年度名簿!$G$3:$G$452,382),前年度名簿!$G$3:$G$452,0),"")</f>
        <v/>
      </c>
    </row>
    <row r="387">
      <c r="A387" s="49">
        <f>IF($N387="","",INDEX(前年度名簿!$A$3:$A$452,$N387))</f>
        <v/>
      </c>
      <c r="B387" s="49">
        <f>IF($N387="","",INDEX(前年度名簿!$B$3:$B$452,$N387))</f>
        <v/>
      </c>
      <c r="C387" s="49">
        <f>IF($N387="","",INDEX(前年度名簿!$C$3:$C$452,$N387))</f>
        <v/>
      </c>
      <c r="D387" s="49" t="n"/>
      <c r="E387" s="49" t="n"/>
      <c r="F387" s="49" t="n"/>
      <c r="G387" s="4">
        <f>IF(A387="","",IFERROR(INDEX(前年度名簿!$D$3:$D$452,MATCH(A387&amp;"-"&amp;B387&amp;"-"&amp;C387,前年度名簿!$F$3:$F$452,0)),""))</f>
        <v/>
      </c>
      <c r="H387" s="50">
        <f>IF(D387="","",IF(ISERROR(VALUE(D387)),D387&amp;"",IF(AND(VALUE(D387)&gt;=1,VALUE(D387)&lt;=20),IF(INDEX(設定!$P$8:$P$27,VALUE(D387))="","？",INDEX(設定!$P$8:$P$27,VALUE(D387))),"？")))</f>
        <v/>
      </c>
      <c r="I387" s="50">
        <f>IF(E387="","",IF(ISERROR(VALUE(E387)),E387&amp;"",IF(AND(VALUE(E387)&gt;=1,VALUE(E387)&lt;=20),IF(INDEX(設定!$P$8:$P$27,VALUE(E387))="","？",INDEX(設定!$P$8:$P$27,VALUE(E387))),"？")))</f>
        <v/>
      </c>
      <c r="J387" s="50">
        <f>IF(F387="","",IF(ISERROR(VALUE(F387)),F387&amp;"",IF(AND(VALUE(F387)&gt;=1,VALUE(F387)&lt;=20),IF(INDEX(設定!$P$8:$P$27,VALUE(F387))="","？",INDEX(設定!$P$8:$P$27,VALUE(F387))),"？")))</f>
        <v/>
      </c>
      <c r="K387" s="51">
        <f>IF(L387="","",IF(G387="","名簿にいない",IF(COUNTIF(L388:L$555,L387)&gt;0,"2回提出（下の行を使います）",IF(H387="転出","転出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OR(AND(H387&lt;&gt;"",H387=I387),AND(H387&lt;&gt;"",H387=J387),AND(I387&lt;&gt;"",I387=J387)),"同じクラブを重複して希望","OK")))))))</f>
        <v/>
      </c>
      <c r="L387" s="11">
        <f>IF(OR(A387="",D387=""),"",A387&amp;"-"&amp;B387&amp;"-"&amp;C387)</f>
        <v/>
      </c>
      <c r="M387" s="11">
        <f>IF(OR(L387="",G387=""),"",IF(COUNTIF(L388:L$555,L387)=0,L387,""))</f>
        <v/>
      </c>
      <c r="N387" s="11">
        <f>IFERROR(MATCH(SMALL(前年度名簿!$G$3:$G$452,383),前年度名簿!$G$3:$G$452,0),"")</f>
        <v/>
      </c>
    </row>
    <row r="388">
      <c r="A388" s="49">
        <f>IF($N388="","",INDEX(前年度名簿!$A$3:$A$452,$N388))</f>
        <v/>
      </c>
      <c r="B388" s="49">
        <f>IF($N388="","",INDEX(前年度名簿!$B$3:$B$452,$N388))</f>
        <v/>
      </c>
      <c r="C388" s="49">
        <f>IF($N388="","",INDEX(前年度名簿!$C$3:$C$452,$N388))</f>
        <v/>
      </c>
      <c r="D388" s="49" t="n"/>
      <c r="E388" s="49" t="n"/>
      <c r="F388" s="49" t="n"/>
      <c r="G388" s="4">
        <f>IF(A388="","",IFERROR(INDEX(前年度名簿!$D$3:$D$452,MATCH(A388&amp;"-"&amp;B388&amp;"-"&amp;C388,前年度名簿!$F$3:$F$452,0)),""))</f>
        <v/>
      </c>
      <c r="H388" s="50">
        <f>IF(D388="","",IF(ISERROR(VALUE(D388)),D388&amp;"",IF(AND(VALUE(D388)&gt;=1,VALUE(D388)&lt;=20),IF(INDEX(設定!$P$8:$P$27,VALUE(D388))="","？",INDEX(設定!$P$8:$P$27,VALUE(D388))),"？")))</f>
        <v/>
      </c>
      <c r="I388" s="50">
        <f>IF(E388="","",IF(ISERROR(VALUE(E388)),E388&amp;"",IF(AND(VALUE(E388)&gt;=1,VALUE(E388)&lt;=20),IF(INDEX(設定!$P$8:$P$27,VALUE(E388))="","？",INDEX(設定!$P$8:$P$27,VALUE(E388))),"？")))</f>
        <v/>
      </c>
      <c r="J388" s="50">
        <f>IF(F388="","",IF(ISERROR(VALUE(F388)),F388&amp;"",IF(AND(VALUE(F388)&gt;=1,VALUE(F388)&lt;=20),IF(INDEX(設定!$P$8:$P$27,VALUE(F388))="","？",INDEX(設定!$P$8:$P$27,VALUE(F388))),"？")))</f>
        <v/>
      </c>
      <c r="K388" s="51">
        <f>IF(L388="","",IF(G388="","名簿にいない",IF(COUNTIF(L389:L$555,L388)&gt;0,"2回提出（下の行を使います）",IF(H388="転出","転出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OR(AND(H388&lt;&gt;"",H388=I388),AND(H388&lt;&gt;"",H388=J388),AND(I388&lt;&gt;"",I388=J388)),"同じクラブを重複して希望","OK")))))))</f>
        <v/>
      </c>
      <c r="L388" s="11">
        <f>IF(OR(A388="",D388=""),"",A388&amp;"-"&amp;B388&amp;"-"&amp;C388)</f>
        <v/>
      </c>
      <c r="M388" s="11">
        <f>IF(OR(L388="",G388=""),"",IF(COUNTIF(L389:L$555,L388)=0,L388,""))</f>
        <v/>
      </c>
      <c r="N388" s="11">
        <f>IFERROR(MATCH(SMALL(前年度名簿!$G$3:$G$452,384),前年度名簿!$G$3:$G$452,0),"")</f>
        <v/>
      </c>
    </row>
    <row r="389">
      <c r="A389" s="49">
        <f>IF($N389="","",INDEX(前年度名簿!$A$3:$A$452,$N389))</f>
        <v/>
      </c>
      <c r="B389" s="49">
        <f>IF($N389="","",INDEX(前年度名簿!$B$3:$B$452,$N389))</f>
        <v/>
      </c>
      <c r="C389" s="49">
        <f>IF($N389="","",INDEX(前年度名簿!$C$3:$C$452,$N389))</f>
        <v/>
      </c>
      <c r="D389" s="49" t="n"/>
      <c r="E389" s="49" t="n"/>
      <c r="F389" s="49" t="n"/>
      <c r="G389" s="4">
        <f>IF(A389="","",IFERROR(INDEX(前年度名簿!$D$3:$D$452,MATCH(A389&amp;"-"&amp;B389&amp;"-"&amp;C389,前年度名簿!$F$3:$F$452,0)),""))</f>
        <v/>
      </c>
      <c r="H389" s="50">
        <f>IF(D389="","",IF(ISERROR(VALUE(D389)),D389&amp;"",IF(AND(VALUE(D389)&gt;=1,VALUE(D389)&lt;=20),IF(INDEX(設定!$P$8:$P$27,VALUE(D389))="","？",INDEX(設定!$P$8:$P$27,VALUE(D389))),"？")))</f>
        <v/>
      </c>
      <c r="I389" s="50">
        <f>IF(E389="","",IF(ISERROR(VALUE(E389)),E389&amp;"",IF(AND(VALUE(E389)&gt;=1,VALUE(E389)&lt;=20),IF(INDEX(設定!$P$8:$P$27,VALUE(E389))="","？",INDEX(設定!$P$8:$P$27,VALUE(E389))),"？")))</f>
        <v/>
      </c>
      <c r="J389" s="50">
        <f>IF(F389="","",IF(ISERROR(VALUE(F389)),F389&amp;"",IF(AND(VALUE(F389)&gt;=1,VALUE(F389)&lt;=20),IF(INDEX(設定!$P$8:$P$27,VALUE(F389))="","？",INDEX(設定!$P$8:$P$27,VALUE(F389))),"？")))</f>
        <v/>
      </c>
      <c r="K389" s="51">
        <f>IF(L389="","",IF(G389="","名簿にいない",IF(COUNTIF(L390:L$555,L389)&gt;0,"2回提出（下の行を使います）",IF(H389="転出","転出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OR(AND(H389&lt;&gt;"",H389=I389),AND(H389&lt;&gt;"",H389=J389),AND(I389&lt;&gt;"",I389=J389)),"同じクラブを重複して希望","OK")))))))</f>
        <v/>
      </c>
      <c r="L389" s="11">
        <f>IF(OR(A389="",D389=""),"",A389&amp;"-"&amp;B389&amp;"-"&amp;C389)</f>
        <v/>
      </c>
      <c r="M389" s="11">
        <f>IF(OR(L389="",G389=""),"",IF(COUNTIF(L390:L$555,L389)=0,L389,""))</f>
        <v/>
      </c>
      <c r="N389" s="11">
        <f>IFERROR(MATCH(SMALL(前年度名簿!$G$3:$G$452,385),前年度名簿!$G$3:$G$452,0),"")</f>
        <v/>
      </c>
    </row>
    <row r="390">
      <c r="A390" s="49">
        <f>IF($N390="","",INDEX(前年度名簿!$A$3:$A$452,$N390))</f>
        <v/>
      </c>
      <c r="B390" s="49">
        <f>IF($N390="","",INDEX(前年度名簿!$B$3:$B$452,$N390))</f>
        <v/>
      </c>
      <c r="C390" s="49">
        <f>IF($N390="","",INDEX(前年度名簿!$C$3:$C$452,$N390))</f>
        <v/>
      </c>
      <c r="D390" s="49" t="n"/>
      <c r="E390" s="49" t="n"/>
      <c r="F390" s="49" t="n"/>
      <c r="G390" s="4">
        <f>IF(A390="","",IFERROR(INDEX(前年度名簿!$D$3:$D$452,MATCH(A390&amp;"-"&amp;B390&amp;"-"&amp;C390,前年度名簿!$F$3:$F$452,0)),""))</f>
        <v/>
      </c>
      <c r="H390" s="50">
        <f>IF(D390="","",IF(ISERROR(VALUE(D390)),D390&amp;"",IF(AND(VALUE(D390)&gt;=1,VALUE(D390)&lt;=20),IF(INDEX(設定!$P$8:$P$27,VALUE(D390))="","？",INDEX(設定!$P$8:$P$27,VALUE(D390))),"？")))</f>
        <v/>
      </c>
      <c r="I390" s="50">
        <f>IF(E390="","",IF(ISERROR(VALUE(E390)),E390&amp;"",IF(AND(VALUE(E390)&gt;=1,VALUE(E390)&lt;=20),IF(INDEX(設定!$P$8:$P$27,VALUE(E390))="","？",INDEX(設定!$P$8:$P$27,VALUE(E390))),"？")))</f>
        <v/>
      </c>
      <c r="J390" s="50">
        <f>IF(F390="","",IF(ISERROR(VALUE(F390)),F390&amp;"",IF(AND(VALUE(F390)&gt;=1,VALUE(F390)&lt;=20),IF(INDEX(設定!$P$8:$P$27,VALUE(F390))="","？",INDEX(設定!$P$8:$P$27,VALUE(F390))),"？")))</f>
        <v/>
      </c>
      <c r="K390" s="51">
        <f>IF(L390="","",IF(G390="","名簿にいない",IF(COUNTIF(L391:L$555,L390)&gt;0,"2回提出（下の行を使います）",IF(H390="転出","転出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OR(AND(H390&lt;&gt;"",H390=I390),AND(H390&lt;&gt;"",H390=J390),AND(I390&lt;&gt;"",I390=J390)),"同じクラブを重複して希望","OK")))))))</f>
        <v/>
      </c>
      <c r="L390" s="11">
        <f>IF(OR(A390="",D390=""),"",A390&amp;"-"&amp;B390&amp;"-"&amp;C390)</f>
        <v/>
      </c>
      <c r="M390" s="11">
        <f>IF(OR(L390="",G390=""),"",IF(COUNTIF(L391:L$555,L390)=0,L390,""))</f>
        <v/>
      </c>
      <c r="N390" s="11">
        <f>IFERROR(MATCH(SMALL(前年度名簿!$G$3:$G$452,386),前年度名簿!$G$3:$G$452,0),"")</f>
        <v/>
      </c>
    </row>
    <row r="391">
      <c r="A391" s="49">
        <f>IF($N391="","",INDEX(前年度名簿!$A$3:$A$452,$N391))</f>
        <v/>
      </c>
      <c r="B391" s="49">
        <f>IF($N391="","",INDEX(前年度名簿!$B$3:$B$452,$N391))</f>
        <v/>
      </c>
      <c r="C391" s="49">
        <f>IF($N391="","",INDEX(前年度名簿!$C$3:$C$452,$N391))</f>
        <v/>
      </c>
      <c r="D391" s="49" t="n"/>
      <c r="E391" s="49" t="n"/>
      <c r="F391" s="49" t="n"/>
      <c r="G391" s="4">
        <f>IF(A391="","",IFERROR(INDEX(前年度名簿!$D$3:$D$452,MATCH(A391&amp;"-"&amp;B391&amp;"-"&amp;C391,前年度名簿!$F$3:$F$452,0)),""))</f>
        <v/>
      </c>
      <c r="H391" s="50">
        <f>IF(D391="","",IF(ISERROR(VALUE(D391)),D391&amp;"",IF(AND(VALUE(D391)&gt;=1,VALUE(D391)&lt;=20),IF(INDEX(設定!$P$8:$P$27,VALUE(D391))="","？",INDEX(設定!$P$8:$P$27,VALUE(D391))),"？")))</f>
        <v/>
      </c>
      <c r="I391" s="50">
        <f>IF(E391="","",IF(ISERROR(VALUE(E391)),E391&amp;"",IF(AND(VALUE(E391)&gt;=1,VALUE(E391)&lt;=20),IF(INDEX(設定!$P$8:$P$27,VALUE(E391))="","？",INDEX(設定!$P$8:$P$27,VALUE(E391))),"？")))</f>
        <v/>
      </c>
      <c r="J391" s="50">
        <f>IF(F391="","",IF(ISERROR(VALUE(F391)),F391&amp;"",IF(AND(VALUE(F391)&gt;=1,VALUE(F391)&lt;=20),IF(INDEX(設定!$P$8:$P$27,VALUE(F391))="","？",INDEX(設定!$P$8:$P$27,VALUE(F391))),"？")))</f>
        <v/>
      </c>
      <c r="K391" s="51">
        <f>IF(L391="","",IF(G391="","名簿にいない",IF(COUNTIF(L392:L$555,L391)&gt;0,"2回提出（下の行を使います）",IF(H391="転出","転出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OR(AND(H391&lt;&gt;"",H391=I391),AND(H391&lt;&gt;"",H391=J391),AND(I391&lt;&gt;"",I391=J391)),"同じクラブを重複して希望","OK")))))))</f>
        <v/>
      </c>
      <c r="L391" s="11">
        <f>IF(OR(A391="",D391=""),"",A391&amp;"-"&amp;B391&amp;"-"&amp;C391)</f>
        <v/>
      </c>
      <c r="M391" s="11">
        <f>IF(OR(L391="",G391=""),"",IF(COUNTIF(L392:L$555,L391)=0,L391,""))</f>
        <v/>
      </c>
      <c r="N391" s="11">
        <f>IFERROR(MATCH(SMALL(前年度名簿!$G$3:$G$452,387),前年度名簿!$G$3:$G$452,0),"")</f>
        <v/>
      </c>
    </row>
    <row r="392">
      <c r="A392" s="49">
        <f>IF($N392="","",INDEX(前年度名簿!$A$3:$A$452,$N392))</f>
        <v/>
      </c>
      <c r="B392" s="49">
        <f>IF($N392="","",INDEX(前年度名簿!$B$3:$B$452,$N392))</f>
        <v/>
      </c>
      <c r="C392" s="49">
        <f>IF($N392="","",INDEX(前年度名簿!$C$3:$C$452,$N392))</f>
        <v/>
      </c>
      <c r="D392" s="49" t="n"/>
      <c r="E392" s="49" t="n"/>
      <c r="F392" s="49" t="n"/>
      <c r="G392" s="4">
        <f>IF(A392="","",IFERROR(INDEX(前年度名簿!$D$3:$D$452,MATCH(A392&amp;"-"&amp;B392&amp;"-"&amp;C392,前年度名簿!$F$3:$F$452,0)),""))</f>
        <v/>
      </c>
      <c r="H392" s="50">
        <f>IF(D392="","",IF(ISERROR(VALUE(D392)),D392&amp;"",IF(AND(VALUE(D392)&gt;=1,VALUE(D392)&lt;=20),IF(INDEX(設定!$P$8:$P$27,VALUE(D392))="","？",INDEX(設定!$P$8:$P$27,VALUE(D392))),"？")))</f>
        <v/>
      </c>
      <c r="I392" s="50">
        <f>IF(E392="","",IF(ISERROR(VALUE(E392)),E392&amp;"",IF(AND(VALUE(E392)&gt;=1,VALUE(E392)&lt;=20),IF(INDEX(設定!$P$8:$P$27,VALUE(E392))="","？",INDEX(設定!$P$8:$P$27,VALUE(E392))),"？")))</f>
        <v/>
      </c>
      <c r="J392" s="50">
        <f>IF(F392="","",IF(ISERROR(VALUE(F392)),F392&amp;"",IF(AND(VALUE(F392)&gt;=1,VALUE(F392)&lt;=20),IF(INDEX(設定!$P$8:$P$27,VALUE(F392))="","？",INDEX(設定!$P$8:$P$27,VALUE(F392))),"？")))</f>
        <v/>
      </c>
      <c r="K392" s="51">
        <f>IF(L392="","",IF(G392="","名簿にいない",IF(COUNTIF(L393:L$555,L392)&gt;0,"2回提出（下の行を使います）",IF(H392="転出","転出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OR(AND(H392&lt;&gt;"",H392=I392),AND(H392&lt;&gt;"",H392=J392),AND(I392&lt;&gt;"",I392=J392)),"同じクラブを重複して希望","OK")))))))</f>
        <v/>
      </c>
      <c r="L392" s="11">
        <f>IF(OR(A392="",D392=""),"",A392&amp;"-"&amp;B392&amp;"-"&amp;C392)</f>
        <v/>
      </c>
      <c r="M392" s="11">
        <f>IF(OR(L392="",G392=""),"",IF(COUNTIF(L393:L$555,L392)=0,L392,""))</f>
        <v/>
      </c>
      <c r="N392" s="11">
        <f>IFERROR(MATCH(SMALL(前年度名簿!$G$3:$G$452,388),前年度名簿!$G$3:$G$452,0),"")</f>
        <v/>
      </c>
    </row>
    <row r="393">
      <c r="A393" s="49">
        <f>IF($N393="","",INDEX(前年度名簿!$A$3:$A$452,$N393))</f>
        <v/>
      </c>
      <c r="B393" s="49">
        <f>IF($N393="","",INDEX(前年度名簿!$B$3:$B$452,$N393))</f>
        <v/>
      </c>
      <c r="C393" s="49">
        <f>IF($N393="","",INDEX(前年度名簿!$C$3:$C$452,$N393))</f>
        <v/>
      </c>
      <c r="D393" s="49" t="n"/>
      <c r="E393" s="49" t="n"/>
      <c r="F393" s="49" t="n"/>
      <c r="G393" s="4">
        <f>IF(A393="","",IFERROR(INDEX(前年度名簿!$D$3:$D$452,MATCH(A393&amp;"-"&amp;B393&amp;"-"&amp;C393,前年度名簿!$F$3:$F$452,0)),""))</f>
        <v/>
      </c>
      <c r="H393" s="50">
        <f>IF(D393="","",IF(ISERROR(VALUE(D393)),D393&amp;"",IF(AND(VALUE(D393)&gt;=1,VALUE(D393)&lt;=20),IF(INDEX(設定!$P$8:$P$27,VALUE(D393))="","？",INDEX(設定!$P$8:$P$27,VALUE(D393))),"？")))</f>
        <v/>
      </c>
      <c r="I393" s="50">
        <f>IF(E393="","",IF(ISERROR(VALUE(E393)),E393&amp;"",IF(AND(VALUE(E393)&gt;=1,VALUE(E393)&lt;=20),IF(INDEX(設定!$P$8:$P$27,VALUE(E393))="","？",INDEX(設定!$P$8:$P$27,VALUE(E393))),"？")))</f>
        <v/>
      </c>
      <c r="J393" s="50">
        <f>IF(F393="","",IF(ISERROR(VALUE(F393)),F393&amp;"",IF(AND(VALUE(F393)&gt;=1,VALUE(F393)&lt;=20),IF(INDEX(設定!$P$8:$P$27,VALUE(F393))="","？",INDEX(設定!$P$8:$P$27,VALUE(F393))),"？")))</f>
        <v/>
      </c>
      <c r="K393" s="51">
        <f>IF(L393="","",IF(G393="","名簿にいない",IF(COUNTIF(L394:L$555,L393)&gt;0,"2回提出（下の行を使います）",IF(H393="転出","転出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OR(AND(H393&lt;&gt;"",H393=I393),AND(H393&lt;&gt;"",H393=J393),AND(I393&lt;&gt;"",I393=J393)),"同じクラブを重複して希望","OK")))))))</f>
        <v/>
      </c>
      <c r="L393" s="11">
        <f>IF(OR(A393="",D393=""),"",A393&amp;"-"&amp;B393&amp;"-"&amp;C393)</f>
        <v/>
      </c>
      <c r="M393" s="11">
        <f>IF(OR(L393="",G393=""),"",IF(COUNTIF(L394:L$555,L393)=0,L393,""))</f>
        <v/>
      </c>
      <c r="N393" s="11">
        <f>IFERROR(MATCH(SMALL(前年度名簿!$G$3:$G$452,389),前年度名簿!$G$3:$G$452,0),"")</f>
        <v/>
      </c>
    </row>
    <row r="394">
      <c r="A394" s="49">
        <f>IF($N394="","",INDEX(前年度名簿!$A$3:$A$452,$N394))</f>
        <v/>
      </c>
      <c r="B394" s="49">
        <f>IF($N394="","",INDEX(前年度名簿!$B$3:$B$452,$N394))</f>
        <v/>
      </c>
      <c r="C394" s="49">
        <f>IF($N394="","",INDEX(前年度名簿!$C$3:$C$452,$N394))</f>
        <v/>
      </c>
      <c r="D394" s="49" t="n"/>
      <c r="E394" s="49" t="n"/>
      <c r="F394" s="49" t="n"/>
      <c r="G394" s="4">
        <f>IF(A394="","",IFERROR(INDEX(前年度名簿!$D$3:$D$452,MATCH(A394&amp;"-"&amp;B394&amp;"-"&amp;C394,前年度名簿!$F$3:$F$452,0)),""))</f>
        <v/>
      </c>
      <c r="H394" s="50">
        <f>IF(D394="","",IF(ISERROR(VALUE(D394)),D394&amp;"",IF(AND(VALUE(D394)&gt;=1,VALUE(D394)&lt;=20),IF(INDEX(設定!$P$8:$P$27,VALUE(D394))="","？",INDEX(設定!$P$8:$P$27,VALUE(D394))),"？")))</f>
        <v/>
      </c>
      <c r="I394" s="50">
        <f>IF(E394="","",IF(ISERROR(VALUE(E394)),E394&amp;"",IF(AND(VALUE(E394)&gt;=1,VALUE(E394)&lt;=20),IF(INDEX(設定!$P$8:$P$27,VALUE(E394))="","？",INDEX(設定!$P$8:$P$27,VALUE(E394))),"？")))</f>
        <v/>
      </c>
      <c r="J394" s="50">
        <f>IF(F394="","",IF(ISERROR(VALUE(F394)),F394&amp;"",IF(AND(VALUE(F394)&gt;=1,VALUE(F394)&lt;=20),IF(INDEX(設定!$P$8:$P$27,VALUE(F394))="","？",INDEX(設定!$P$8:$P$27,VALUE(F394))),"？")))</f>
        <v/>
      </c>
      <c r="K394" s="51">
        <f>IF(L394="","",IF(G394="","名簿にいない",IF(COUNTIF(L395:L$555,L394)&gt;0,"2回提出（下の行を使います）",IF(H394="転出","転出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OR(AND(H394&lt;&gt;"",H394=I394),AND(H394&lt;&gt;"",H394=J394),AND(I394&lt;&gt;"",I394=J394)),"同じクラブを重複して希望","OK")))))))</f>
        <v/>
      </c>
      <c r="L394" s="11">
        <f>IF(OR(A394="",D394=""),"",A394&amp;"-"&amp;B394&amp;"-"&amp;C394)</f>
        <v/>
      </c>
      <c r="M394" s="11">
        <f>IF(OR(L394="",G394=""),"",IF(COUNTIF(L395:L$555,L394)=0,L394,""))</f>
        <v/>
      </c>
      <c r="N394" s="11">
        <f>IFERROR(MATCH(SMALL(前年度名簿!$G$3:$G$452,390),前年度名簿!$G$3:$G$452,0),"")</f>
        <v/>
      </c>
    </row>
    <row r="395">
      <c r="A395" s="49">
        <f>IF($N395="","",INDEX(前年度名簿!$A$3:$A$452,$N395))</f>
        <v/>
      </c>
      <c r="B395" s="49">
        <f>IF($N395="","",INDEX(前年度名簿!$B$3:$B$452,$N395))</f>
        <v/>
      </c>
      <c r="C395" s="49">
        <f>IF($N395="","",INDEX(前年度名簿!$C$3:$C$452,$N395))</f>
        <v/>
      </c>
      <c r="D395" s="49" t="n"/>
      <c r="E395" s="49" t="n"/>
      <c r="F395" s="49" t="n"/>
      <c r="G395" s="4">
        <f>IF(A395="","",IFERROR(INDEX(前年度名簿!$D$3:$D$452,MATCH(A395&amp;"-"&amp;B395&amp;"-"&amp;C395,前年度名簿!$F$3:$F$452,0)),""))</f>
        <v/>
      </c>
      <c r="H395" s="50">
        <f>IF(D395="","",IF(ISERROR(VALUE(D395)),D395&amp;"",IF(AND(VALUE(D395)&gt;=1,VALUE(D395)&lt;=20),IF(INDEX(設定!$P$8:$P$27,VALUE(D395))="","？",INDEX(設定!$P$8:$P$27,VALUE(D395))),"？")))</f>
        <v/>
      </c>
      <c r="I395" s="50">
        <f>IF(E395="","",IF(ISERROR(VALUE(E395)),E395&amp;"",IF(AND(VALUE(E395)&gt;=1,VALUE(E395)&lt;=20),IF(INDEX(設定!$P$8:$P$27,VALUE(E395))="","？",INDEX(設定!$P$8:$P$27,VALUE(E395))),"？")))</f>
        <v/>
      </c>
      <c r="J395" s="50">
        <f>IF(F395="","",IF(ISERROR(VALUE(F395)),F395&amp;"",IF(AND(VALUE(F395)&gt;=1,VALUE(F395)&lt;=20),IF(INDEX(設定!$P$8:$P$27,VALUE(F395))="","？",INDEX(設定!$P$8:$P$27,VALUE(F395))),"？")))</f>
        <v/>
      </c>
      <c r="K395" s="51">
        <f>IF(L395="","",IF(G395="","名簿にいない",IF(COUNTIF(L396:L$555,L395)&gt;0,"2回提出（下の行を使います）",IF(H395="転出","転出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OR(AND(H395&lt;&gt;"",H395=I395),AND(H395&lt;&gt;"",H395=J395),AND(I395&lt;&gt;"",I395=J395)),"同じクラブを重複して希望","OK")))))))</f>
        <v/>
      </c>
      <c r="L395" s="11">
        <f>IF(OR(A395="",D395=""),"",A395&amp;"-"&amp;B395&amp;"-"&amp;C395)</f>
        <v/>
      </c>
      <c r="M395" s="11">
        <f>IF(OR(L395="",G395=""),"",IF(COUNTIF(L396:L$555,L395)=0,L395,""))</f>
        <v/>
      </c>
      <c r="N395" s="11">
        <f>IFERROR(MATCH(SMALL(前年度名簿!$G$3:$G$452,391),前年度名簿!$G$3:$G$452,0),"")</f>
        <v/>
      </c>
    </row>
    <row r="396">
      <c r="A396" s="49">
        <f>IF($N396="","",INDEX(前年度名簿!$A$3:$A$452,$N396))</f>
        <v/>
      </c>
      <c r="B396" s="49">
        <f>IF($N396="","",INDEX(前年度名簿!$B$3:$B$452,$N396))</f>
        <v/>
      </c>
      <c r="C396" s="49">
        <f>IF($N396="","",INDEX(前年度名簿!$C$3:$C$452,$N396))</f>
        <v/>
      </c>
      <c r="D396" s="49" t="n"/>
      <c r="E396" s="49" t="n"/>
      <c r="F396" s="49" t="n"/>
      <c r="G396" s="4">
        <f>IF(A396="","",IFERROR(INDEX(前年度名簿!$D$3:$D$452,MATCH(A396&amp;"-"&amp;B396&amp;"-"&amp;C396,前年度名簿!$F$3:$F$452,0)),""))</f>
        <v/>
      </c>
      <c r="H396" s="50">
        <f>IF(D396="","",IF(ISERROR(VALUE(D396)),D396&amp;"",IF(AND(VALUE(D396)&gt;=1,VALUE(D396)&lt;=20),IF(INDEX(設定!$P$8:$P$27,VALUE(D396))="","？",INDEX(設定!$P$8:$P$27,VALUE(D396))),"？")))</f>
        <v/>
      </c>
      <c r="I396" s="50">
        <f>IF(E396="","",IF(ISERROR(VALUE(E396)),E396&amp;"",IF(AND(VALUE(E396)&gt;=1,VALUE(E396)&lt;=20),IF(INDEX(設定!$P$8:$P$27,VALUE(E396))="","？",INDEX(設定!$P$8:$P$27,VALUE(E396))),"？")))</f>
        <v/>
      </c>
      <c r="J396" s="50">
        <f>IF(F396="","",IF(ISERROR(VALUE(F396)),F396&amp;"",IF(AND(VALUE(F396)&gt;=1,VALUE(F396)&lt;=20),IF(INDEX(設定!$P$8:$P$27,VALUE(F396))="","？",INDEX(設定!$P$8:$P$27,VALUE(F396))),"？")))</f>
        <v/>
      </c>
      <c r="K396" s="51">
        <f>IF(L396="","",IF(G396="","名簿にいない",IF(COUNTIF(L397:L$555,L396)&gt;0,"2回提出（下の行を使います）",IF(H396="転出","転出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OR(AND(H396&lt;&gt;"",H396=I396),AND(H396&lt;&gt;"",H396=J396),AND(I396&lt;&gt;"",I396=J396)),"同じクラブを重複して希望","OK")))))))</f>
        <v/>
      </c>
      <c r="L396" s="11">
        <f>IF(OR(A396="",D396=""),"",A396&amp;"-"&amp;B396&amp;"-"&amp;C396)</f>
        <v/>
      </c>
      <c r="M396" s="11">
        <f>IF(OR(L396="",G396=""),"",IF(COUNTIF(L397:L$555,L396)=0,L396,""))</f>
        <v/>
      </c>
      <c r="N396" s="11">
        <f>IFERROR(MATCH(SMALL(前年度名簿!$G$3:$G$452,392),前年度名簿!$G$3:$G$452,0),"")</f>
        <v/>
      </c>
    </row>
    <row r="397">
      <c r="A397" s="49">
        <f>IF($N397="","",INDEX(前年度名簿!$A$3:$A$452,$N397))</f>
        <v/>
      </c>
      <c r="B397" s="49">
        <f>IF($N397="","",INDEX(前年度名簿!$B$3:$B$452,$N397))</f>
        <v/>
      </c>
      <c r="C397" s="49">
        <f>IF($N397="","",INDEX(前年度名簿!$C$3:$C$452,$N397))</f>
        <v/>
      </c>
      <c r="D397" s="49" t="n"/>
      <c r="E397" s="49" t="n"/>
      <c r="F397" s="49" t="n"/>
      <c r="G397" s="4">
        <f>IF(A397="","",IFERROR(INDEX(前年度名簿!$D$3:$D$452,MATCH(A397&amp;"-"&amp;B397&amp;"-"&amp;C397,前年度名簿!$F$3:$F$452,0)),""))</f>
        <v/>
      </c>
      <c r="H397" s="50">
        <f>IF(D397="","",IF(ISERROR(VALUE(D397)),D397&amp;"",IF(AND(VALUE(D397)&gt;=1,VALUE(D397)&lt;=20),IF(INDEX(設定!$P$8:$P$27,VALUE(D397))="","？",INDEX(設定!$P$8:$P$27,VALUE(D397))),"？")))</f>
        <v/>
      </c>
      <c r="I397" s="50">
        <f>IF(E397="","",IF(ISERROR(VALUE(E397)),E397&amp;"",IF(AND(VALUE(E397)&gt;=1,VALUE(E397)&lt;=20),IF(INDEX(設定!$P$8:$P$27,VALUE(E397))="","？",INDEX(設定!$P$8:$P$27,VALUE(E397))),"？")))</f>
        <v/>
      </c>
      <c r="J397" s="50">
        <f>IF(F397="","",IF(ISERROR(VALUE(F397)),F397&amp;"",IF(AND(VALUE(F397)&gt;=1,VALUE(F397)&lt;=20),IF(INDEX(設定!$P$8:$P$27,VALUE(F397))="","？",INDEX(設定!$P$8:$P$27,VALUE(F397))),"？")))</f>
        <v/>
      </c>
      <c r="K397" s="51">
        <f>IF(L397="","",IF(G397="","名簿にいない",IF(COUNTIF(L398:L$555,L397)&gt;0,"2回提出（下の行を使います）",IF(H397="転出","転出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OR(AND(H397&lt;&gt;"",H397=I397),AND(H397&lt;&gt;"",H397=J397),AND(I397&lt;&gt;"",I397=J397)),"同じクラブを重複して希望","OK")))))))</f>
        <v/>
      </c>
      <c r="L397" s="11">
        <f>IF(OR(A397="",D397=""),"",A397&amp;"-"&amp;B397&amp;"-"&amp;C397)</f>
        <v/>
      </c>
      <c r="M397" s="11">
        <f>IF(OR(L397="",G397=""),"",IF(COUNTIF(L398:L$555,L397)=0,L397,""))</f>
        <v/>
      </c>
      <c r="N397" s="11">
        <f>IFERROR(MATCH(SMALL(前年度名簿!$G$3:$G$452,393),前年度名簿!$G$3:$G$452,0),"")</f>
        <v/>
      </c>
    </row>
    <row r="398">
      <c r="A398" s="49">
        <f>IF($N398="","",INDEX(前年度名簿!$A$3:$A$452,$N398))</f>
        <v/>
      </c>
      <c r="B398" s="49">
        <f>IF($N398="","",INDEX(前年度名簿!$B$3:$B$452,$N398))</f>
        <v/>
      </c>
      <c r="C398" s="49">
        <f>IF($N398="","",INDEX(前年度名簿!$C$3:$C$452,$N398))</f>
        <v/>
      </c>
      <c r="D398" s="49" t="n"/>
      <c r="E398" s="49" t="n"/>
      <c r="F398" s="49" t="n"/>
      <c r="G398" s="4">
        <f>IF(A398="","",IFERROR(INDEX(前年度名簿!$D$3:$D$452,MATCH(A398&amp;"-"&amp;B398&amp;"-"&amp;C398,前年度名簿!$F$3:$F$452,0)),""))</f>
        <v/>
      </c>
      <c r="H398" s="50">
        <f>IF(D398="","",IF(ISERROR(VALUE(D398)),D398&amp;"",IF(AND(VALUE(D398)&gt;=1,VALUE(D398)&lt;=20),IF(INDEX(設定!$P$8:$P$27,VALUE(D398))="","？",INDEX(設定!$P$8:$P$27,VALUE(D398))),"？")))</f>
        <v/>
      </c>
      <c r="I398" s="50">
        <f>IF(E398="","",IF(ISERROR(VALUE(E398)),E398&amp;"",IF(AND(VALUE(E398)&gt;=1,VALUE(E398)&lt;=20),IF(INDEX(設定!$P$8:$P$27,VALUE(E398))="","？",INDEX(設定!$P$8:$P$27,VALUE(E398))),"？")))</f>
        <v/>
      </c>
      <c r="J398" s="50">
        <f>IF(F398="","",IF(ISERROR(VALUE(F398)),F398&amp;"",IF(AND(VALUE(F398)&gt;=1,VALUE(F398)&lt;=20),IF(INDEX(設定!$P$8:$P$27,VALUE(F398))="","？",INDEX(設定!$P$8:$P$27,VALUE(F398))),"？")))</f>
        <v/>
      </c>
      <c r="K398" s="51">
        <f>IF(L398="","",IF(G398="","名簿にいない",IF(COUNTIF(L399:L$555,L398)&gt;0,"2回提出（下の行を使います）",IF(H398="転出","転出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OR(AND(H398&lt;&gt;"",H398=I398),AND(H398&lt;&gt;"",H398=J398),AND(I398&lt;&gt;"",I398=J398)),"同じクラブを重複して希望","OK")))))))</f>
        <v/>
      </c>
      <c r="L398" s="11">
        <f>IF(OR(A398="",D398=""),"",A398&amp;"-"&amp;B398&amp;"-"&amp;C398)</f>
        <v/>
      </c>
      <c r="M398" s="11">
        <f>IF(OR(L398="",G398=""),"",IF(COUNTIF(L399:L$555,L398)=0,L398,""))</f>
        <v/>
      </c>
      <c r="N398" s="11">
        <f>IFERROR(MATCH(SMALL(前年度名簿!$G$3:$G$452,394),前年度名簿!$G$3:$G$452,0),"")</f>
        <v/>
      </c>
    </row>
    <row r="399">
      <c r="A399" s="49">
        <f>IF($N399="","",INDEX(前年度名簿!$A$3:$A$452,$N399))</f>
        <v/>
      </c>
      <c r="B399" s="49">
        <f>IF($N399="","",INDEX(前年度名簿!$B$3:$B$452,$N399))</f>
        <v/>
      </c>
      <c r="C399" s="49">
        <f>IF($N399="","",INDEX(前年度名簿!$C$3:$C$452,$N399))</f>
        <v/>
      </c>
      <c r="D399" s="49" t="n"/>
      <c r="E399" s="49" t="n"/>
      <c r="F399" s="49" t="n"/>
      <c r="G399" s="4">
        <f>IF(A399="","",IFERROR(INDEX(前年度名簿!$D$3:$D$452,MATCH(A399&amp;"-"&amp;B399&amp;"-"&amp;C399,前年度名簿!$F$3:$F$452,0)),""))</f>
        <v/>
      </c>
      <c r="H399" s="50">
        <f>IF(D399="","",IF(ISERROR(VALUE(D399)),D399&amp;"",IF(AND(VALUE(D399)&gt;=1,VALUE(D399)&lt;=20),IF(INDEX(設定!$P$8:$P$27,VALUE(D399))="","？",INDEX(設定!$P$8:$P$27,VALUE(D399))),"？")))</f>
        <v/>
      </c>
      <c r="I399" s="50">
        <f>IF(E399="","",IF(ISERROR(VALUE(E399)),E399&amp;"",IF(AND(VALUE(E399)&gt;=1,VALUE(E399)&lt;=20),IF(INDEX(設定!$P$8:$P$27,VALUE(E399))="","？",INDEX(設定!$P$8:$P$27,VALUE(E399))),"？")))</f>
        <v/>
      </c>
      <c r="J399" s="50">
        <f>IF(F399="","",IF(ISERROR(VALUE(F399)),F399&amp;"",IF(AND(VALUE(F399)&gt;=1,VALUE(F399)&lt;=20),IF(INDEX(設定!$P$8:$P$27,VALUE(F399))="","？",INDEX(設定!$P$8:$P$27,VALUE(F399))),"？")))</f>
        <v/>
      </c>
      <c r="K399" s="51">
        <f>IF(L399="","",IF(G399="","名簿にいない",IF(COUNTIF(L400:L$555,L399)&gt;0,"2回提出（下の行を使います）",IF(H399="転出","転出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OR(AND(H399&lt;&gt;"",H399=I399),AND(H399&lt;&gt;"",H399=J399),AND(I399&lt;&gt;"",I399=J399)),"同じクラブを重複して希望","OK")))))))</f>
        <v/>
      </c>
      <c r="L399" s="11">
        <f>IF(OR(A399="",D399=""),"",A399&amp;"-"&amp;B399&amp;"-"&amp;C399)</f>
        <v/>
      </c>
      <c r="M399" s="11">
        <f>IF(OR(L399="",G399=""),"",IF(COUNTIF(L400:L$555,L399)=0,L399,""))</f>
        <v/>
      </c>
      <c r="N399" s="11">
        <f>IFERROR(MATCH(SMALL(前年度名簿!$G$3:$G$452,395),前年度名簿!$G$3:$G$452,0),"")</f>
        <v/>
      </c>
    </row>
    <row r="400">
      <c r="A400" s="49">
        <f>IF($N400="","",INDEX(前年度名簿!$A$3:$A$452,$N400))</f>
        <v/>
      </c>
      <c r="B400" s="49">
        <f>IF($N400="","",INDEX(前年度名簿!$B$3:$B$452,$N400))</f>
        <v/>
      </c>
      <c r="C400" s="49">
        <f>IF($N400="","",INDEX(前年度名簿!$C$3:$C$452,$N400))</f>
        <v/>
      </c>
      <c r="D400" s="49" t="n"/>
      <c r="E400" s="49" t="n"/>
      <c r="F400" s="49" t="n"/>
      <c r="G400" s="4">
        <f>IF(A400="","",IFERROR(INDEX(前年度名簿!$D$3:$D$452,MATCH(A400&amp;"-"&amp;B400&amp;"-"&amp;C400,前年度名簿!$F$3:$F$452,0)),""))</f>
        <v/>
      </c>
      <c r="H400" s="50">
        <f>IF(D400="","",IF(ISERROR(VALUE(D400)),D400&amp;"",IF(AND(VALUE(D400)&gt;=1,VALUE(D400)&lt;=20),IF(INDEX(設定!$P$8:$P$27,VALUE(D400))="","？",INDEX(設定!$P$8:$P$27,VALUE(D400))),"？")))</f>
        <v/>
      </c>
      <c r="I400" s="50">
        <f>IF(E400="","",IF(ISERROR(VALUE(E400)),E400&amp;"",IF(AND(VALUE(E400)&gt;=1,VALUE(E400)&lt;=20),IF(INDEX(設定!$P$8:$P$27,VALUE(E400))="","？",INDEX(設定!$P$8:$P$27,VALUE(E400))),"？")))</f>
        <v/>
      </c>
      <c r="J400" s="50">
        <f>IF(F400="","",IF(ISERROR(VALUE(F400)),F400&amp;"",IF(AND(VALUE(F400)&gt;=1,VALUE(F400)&lt;=20),IF(INDEX(設定!$P$8:$P$27,VALUE(F400))="","？",INDEX(設定!$P$8:$P$27,VALUE(F400))),"？")))</f>
        <v/>
      </c>
      <c r="K400" s="51">
        <f>IF(L400="","",IF(G400="","名簿にいない",IF(COUNTIF(L401:L$555,L400)&gt;0,"2回提出（下の行を使います）",IF(H400="転出","転出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OR(AND(H400&lt;&gt;"",H400=I400),AND(H400&lt;&gt;"",H400=J400),AND(I400&lt;&gt;"",I400=J400)),"同じクラブを重複して希望","OK")))))))</f>
        <v/>
      </c>
      <c r="L400" s="11">
        <f>IF(OR(A400="",D400=""),"",A400&amp;"-"&amp;B400&amp;"-"&amp;C400)</f>
        <v/>
      </c>
      <c r="M400" s="11">
        <f>IF(OR(L400="",G400=""),"",IF(COUNTIF(L401:L$555,L400)=0,L400,""))</f>
        <v/>
      </c>
      <c r="N400" s="11">
        <f>IFERROR(MATCH(SMALL(前年度名簿!$G$3:$G$452,396),前年度名簿!$G$3:$G$452,0),"")</f>
        <v/>
      </c>
    </row>
    <row r="401">
      <c r="A401" s="49">
        <f>IF($N401="","",INDEX(前年度名簿!$A$3:$A$452,$N401))</f>
        <v/>
      </c>
      <c r="B401" s="49">
        <f>IF($N401="","",INDEX(前年度名簿!$B$3:$B$452,$N401))</f>
        <v/>
      </c>
      <c r="C401" s="49">
        <f>IF($N401="","",INDEX(前年度名簿!$C$3:$C$452,$N401))</f>
        <v/>
      </c>
      <c r="D401" s="49" t="n"/>
      <c r="E401" s="49" t="n"/>
      <c r="F401" s="49" t="n"/>
      <c r="G401" s="4">
        <f>IF(A401="","",IFERROR(INDEX(前年度名簿!$D$3:$D$452,MATCH(A401&amp;"-"&amp;B401&amp;"-"&amp;C401,前年度名簿!$F$3:$F$452,0)),""))</f>
        <v/>
      </c>
      <c r="H401" s="50">
        <f>IF(D401="","",IF(ISERROR(VALUE(D401)),D401&amp;"",IF(AND(VALUE(D401)&gt;=1,VALUE(D401)&lt;=20),IF(INDEX(設定!$P$8:$P$27,VALUE(D401))="","？",INDEX(設定!$P$8:$P$27,VALUE(D401))),"？")))</f>
        <v/>
      </c>
      <c r="I401" s="50">
        <f>IF(E401="","",IF(ISERROR(VALUE(E401)),E401&amp;"",IF(AND(VALUE(E401)&gt;=1,VALUE(E401)&lt;=20),IF(INDEX(設定!$P$8:$P$27,VALUE(E401))="","？",INDEX(設定!$P$8:$P$27,VALUE(E401))),"？")))</f>
        <v/>
      </c>
      <c r="J401" s="50">
        <f>IF(F401="","",IF(ISERROR(VALUE(F401)),F401&amp;"",IF(AND(VALUE(F401)&gt;=1,VALUE(F401)&lt;=20),IF(INDEX(設定!$P$8:$P$27,VALUE(F401))="","？",INDEX(設定!$P$8:$P$27,VALUE(F401))),"？")))</f>
        <v/>
      </c>
      <c r="K401" s="51">
        <f>IF(L401="","",IF(G401="","名簿にいない",IF(COUNTIF(L402:L$555,L401)&gt;0,"2回提出（下の行を使います）",IF(H401="転出","転出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OR(AND(H401&lt;&gt;"",H401=I401),AND(H401&lt;&gt;"",H401=J401),AND(I401&lt;&gt;"",I401=J401)),"同じクラブを重複して希望","OK")))))))</f>
        <v/>
      </c>
      <c r="L401" s="11">
        <f>IF(OR(A401="",D401=""),"",A401&amp;"-"&amp;B401&amp;"-"&amp;C401)</f>
        <v/>
      </c>
      <c r="M401" s="11">
        <f>IF(OR(L401="",G401=""),"",IF(COUNTIF(L402:L$555,L401)=0,L401,""))</f>
        <v/>
      </c>
      <c r="N401" s="11">
        <f>IFERROR(MATCH(SMALL(前年度名簿!$G$3:$G$452,397),前年度名簿!$G$3:$G$452,0),"")</f>
        <v/>
      </c>
    </row>
    <row r="402">
      <c r="A402" s="49">
        <f>IF($N402="","",INDEX(前年度名簿!$A$3:$A$452,$N402))</f>
        <v/>
      </c>
      <c r="B402" s="49">
        <f>IF($N402="","",INDEX(前年度名簿!$B$3:$B$452,$N402))</f>
        <v/>
      </c>
      <c r="C402" s="49">
        <f>IF($N402="","",INDEX(前年度名簿!$C$3:$C$452,$N402))</f>
        <v/>
      </c>
      <c r="D402" s="49" t="n"/>
      <c r="E402" s="49" t="n"/>
      <c r="F402" s="49" t="n"/>
      <c r="G402" s="4">
        <f>IF(A402="","",IFERROR(INDEX(前年度名簿!$D$3:$D$452,MATCH(A402&amp;"-"&amp;B402&amp;"-"&amp;C402,前年度名簿!$F$3:$F$452,0)),""))</f>
        <v/>
      </c>
      <c r="H402" s="50">
        <f>IF(D402="","",IF(ISERROR(VALUE(D402)),D402&amp;"",IF(AND(VALUE(D402)&gt;=1,VALUE(D402)&lt;=20),IF(INDEX(設定!$P$8:$P$27,VALUE(D402))="","？",INDEX(設定!$P$8:$P$27,VALUE(D402))),"？")))</f>
        <v/>
      </c>
      <c r="I402" s="50">
        <f>IF(E402="","",IF(ISERROR(VALUE(E402)),E402&amp;"",IF(AND(VALUE(E402)&gt;=1,VALUE(E402)&lt;=20),IF(INDEX(設定!$P$8:$P$27,VALUE(E402))="","？",INDEX(設定!$P$8:$P$27,VALUE(E402))),"？")))</f>
        <v/>
      </c>
      <c r="J402" s="50">
        <f>IF(F402="","",IF(ISERROR(VALUE(F402)),F402&amp;"",IF(AND(VALUE(F402)&gt;=1,VALUE(F402)&lt;=20),IF(INDEX(設定!$P$8:$P$27,VALUE(F402))="","？",INDEX(設定!$P$8:$P$27,VALUE(F402))),"？")))</f>
        <v/>
      </c>
      <c r="K402" s="51">
        <f>IF(L402="","",IF(G402="","名簿にいない",IF(COUNTIF(L403:L$555,L402)&gt;0,"2回提出（下の行を使います）",IF(H402="転出","転出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OR(AND(H402&lt;&gt;"",H402=I402),AND(H402&lt;&gt;"",H402=J402),AND(I402&lt;&gt;"",I402=J402)),"同じクラブを重複して希望","OK")))))))</f>
        <v/>
      </c>
      <c r="L402" s="11">
        <f>IF(OR(A402="",D402=""),"",A402&amp;"-"&amp;B402&amp;"-"&amp;C402)</f>
        <v/>
      </c>
      <c r="M402" s="11">
        <f>IF(OR(L402="",G402=""),"",IF(COUNTIF(L403:L$555,L402)=0,L402,""))</f>
        <v/>
      </c>
      <c r="N402" s="11">
        <f>IFERROR(MATCH(SMALL(前年度名簿!$G$3:$G$452,398),前年度名簿!$G$3:$G$452,0),"")</f>
        <v/>
      </c>
    </row>
    <row r="403">
      <c r="A403" s="49">
        <f>IF($N403="","",INDEX(前年度名簿!$A$3:$A$452,$N403))</f>
        <v/>
      </c>
      <c r="B403" s="49">
        <f>IF($N403="","",INDEX(前年度名簿!$B$3:$B$452,$N403))</f>
        <v/>
      </c>
      <c r="C403" s="49">
        <f>IF($N403="","",INDEX(前年度名簿!$C$3:$C$452,$N403))</f>
        <v/>
      </c>
      <c r="D403" s="49" t="n"/>
      <c r="E403" s="49" t="n"/>
      <c r="F403" s="49" t="n"/>
      <c r="G403" s="4">
        <f>IF(A403="","",IFERROR(INDEX(前年度名簿!$D$3:$D$452,MATCH(A403&amp;"-"&amp;B403&amp;"-"&amp;C403,前年度名簿!$F$3:$F$452,0)),""))</f>
        <v/>
      </c>
      <c r="H403" s="50">
        <f>IF(D403="","",IF(ISERROR(VALUE(D403)),D403&amp;"",IF(AND(VALUE(D403)&gt;=1,VALUE(D403)&lt;=20),IF(INDEX(設定!$P$8:$P$27,VALUE(D403))="","？",INDEX(設定!$P$8:$P$27,VALUE(D403))),"？")))</f>
        <v/>
      </c>
      <c r="I403" s="50">
        <f>IF(E403="","",IF(ISERROR(VALUE(E403)),E403&amp;"",IF(AND(VALUE(E403)&gt;=1,VALUE(E403)&lt;=20),IF(INDEX(設定!$P$8:$P$27,VALUE(E403))="","？",INDEX(設定!$P$8:$P$27,VALUE(E403))),"？")))</f>
        <v/>
      </c>
      <c r="J403" s="50">
        <f>IF(F403="","",IF(ISERROR(VALUE(F403)),F403&amp;"",IF(AND(VALUE(F403)&gt;=1,VALUE(F403)&lt;=20),IF(INDEX(設定!$P$8:$P$27,VALUE(F403))="","？",INDEX(設定!$P$8:$P$27,VALUE(F403))),"？")))</f>
        <v/>
      </c>
      <c r="K403" s="51">
        <f>IF(L403="","",IF(G403="","名簿にいない",IF(COUNTIF(L404:L$555,L403)&gt;0,"2回提出（下の行を使います）",IF(H403="転出","転出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OR(AND(H403&lt;&gt;"",H403=I403),AND(H403&lt;&gt;"",H403=J403),AND(I403&lt;&gt;"",I403=J403)),"同じクラブを重複して希望","OK")))))))</f>
        <v/>
      </c>
      <c r="L403" s="11">
        <f>IF(OR(A403="",D403=""),"",A403&amp;"-"&amp;B403&amp;"-"&amp;C403)</f>
        <v/>
      </c>
      <c r="M403" s="11">
        <f>IF(OR(L403="",G403=""),"",IF(COUNTIF(L404:L$555,L403)=0,L403,""))</f>
        <v/>
      </c>
      <c r="N403" s="11">
        <f>IFERROR(MATCH(SMALL(前年度名簿!$G$3:$G$452,399),前年度名簿!$G$3:$G$452,0),"")</f>
        <v/>
      </c>
    </row>
    <row r="404">
      <c r="A404" s="49">
        <f>IF($N404="","",INDEX(前年度名簿!$A$3:$A$452,$N404))</f>
        <v/>
      </c>
      <c r="B404" s="49">
        <f>IF($N404="","",INDEX(前年度名簿!$B$3:$B$452,$N404))</f>
        <v/>
      </c>
      <c r="C404" s="49">
        <f>IF($N404="","",INDEX(前年度名簿!$C$3:$C$452,$N404))</f>
        <v/>
      </c>
      <c r="D404" s="49" t="n"/>
      <c r="E404" s="49" t="n"/>
      <c r="F404" s="49" t="n"/>
      <c r="G404" s="4">
        <f>IF(A404="","",IFERROR(INDEX(前年度名簿!$D$3:$D$452,MATCH(A404&amp;"-"&amp;B404&amp;"-"&amp;C404,前年度名簿!$F$3:$F$452,0)),""))</f>
        <v/>
      </c>
      <c r="H404" s="50">
        <f>IF(D404="","",IF(ISERROR(VALUE(D404)),D404&amp;"",IF(AND(VALUE(D404)&gt;=1,VALUE(D404)&lt;=20),IF(INDEX(設定!$P$8:$P$27,VALUE(D404))="","？",INDEX(設定!$P$8:$P$27,VALUE(D404))),"？")))</f>
        <v/>
      </c>
      <c r="I404" s="50">
        <f>IF(E404="","",IF(ISERROR(VALUE(E404)),E404&amp;"",IF(AND(VALUE(E404)&gt;=1,VALUE(E404)&lt;=20),IF(INDEX(設定!$P$8:$P$27,VALUE(E404))="","？",INDEX(設定!$P$8:$P$27,VALUE(E404))),"？")))</f>
        <v/>
      </c>
      <c r="J404" s="50">
        <f>IF(F404="","",IF(ISERROR(VALUE(F404)),F404&amp;"",IF(AND(VALUE(F404)&gt;=1,VALUE(F404)&lt;=20),IF(INDEX(設定!$P$8:$P$27,VALUE(F404))="","？",INDEX(設定!$P$8:$P$27,VALUE(F404))),"？")))</f>
        <v/>
      </c>
      <c r="K404" s="51">
        <f>IF(L404="","",IF(G404="","名簿にいない",IF(COUNTIF(L405:L$555,L404)&gt;0,"2回提出（下の行を使います）",IF(H404="転出","転出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OR(AND(H404&lt;&gt;"",H404=I404),AND(H404&lt;&gt;"",H404=J404),AND(I404&lt;&gt;"",I404=J404)),"同じクラブを重複して希望","OK")))))))</f>
        <v/>
      </c>
      <c r="L404" s="11">
        <f>IF(OR(A404="",D404=""),"",A404&amp;"-"&amp;B404&amp;"-"&amp;C404)</f>
        <v/>
      </c>
      <c r="M404" s="11">
        <f>IF(OR(L404="",G404=""),"",IF(COUNTIF(L405:L$555,L404)=0,L404,""))</f>
        <v/>
      </c>
      <c r="N404" s="11">
        <f>IFERROR(MATCH(SMALL(前年度名簿!$G$3:$G$452,400),前年度名簿!$G$3:$G$452,0),"")</f>
        <v/>
      </c>
    </row>
    <row r="405">
      <c r="A405" s="49">
        <f>IF($N405="","",INDEX(前年度名簿!$A$3:$A$452,$N405))</f>
        <v/>
      </c>
      <c r="B405" s="49">
        <f>IF($N405="","",INDEX(前年度名簿!$B$3:$B$452,$N405))</f>
        <v/>
      </c>
      <c r="C405" s="49">
        <f>IF($N405="","",INDEX(前年度名簿!$C$3:$C$452,$N405))</f>
        <v/>
      </c>
      <c r="D405" s="49" t="n"/>
      <c r="E405" s="49" t="n"/>
      <c r="F405" s="49" t="n"/>
      <c r="G405" s="4">
        <f>IF(A405="","",IFERROR(INDEX(前年度名簿!$D$3:$D$452,MATCH(A405&amp;"-"&amp;B405&amp;"-"&amp;C405,前年度名簿!$F$3:$F$452,0)),""))</f>
        <v/>
      </c>
      <c r="H405" s="50">
        <f>IF(D405="","",IF(ISERROR(VALUE(D405)),D405&amp;"",IF(AND(VALUE(D405)&gt;=1,VALUE(D405)&lt;=20),IF(INDEX(設定!$P$8:$P$27,VALUE(D405))="","？",INDEX(設定!$P$8:$P$27,VALUE(D405))),"？")))</f>
        <v/>
      </c>
      <c r="I405" s="50">
        <f>IF(E405="","",IF(ISERROR(VALUE(E405)),E405&amp;"",IF(AND(VALUE(E405)&gt;=1,VALUE(E405)&lt;=20),IF(INDEX(設定!$P$8:$P$27,VALUE(E405))="","？",INDEX(設定!$P$8:$P$27,VALUE(E405))),"？")))</f>
        <v/>
      </c>
      <c r="J405" s="50">
        <f>IF(F405="","",IF(ISERROR(VALUE(F405)),F405&amp;"",IF(AND(VALUE(F405)&gt;=1,VALUE(F405)&lt;=20),IF(INDEX(設定!$P$8:$P$27,VALUE(F405))="","？",INDEX(設定!$P$8:$P$27,VALUE(F405))),"？")))</f>
        <v/>
      </c>
      <c r="K405" s="51">
        <f>IF(L405="","",IF(G405="","名簿にいない",IF(COUNTIF(L406:L$555,L405)&gt;0,"2回提出（下の行を使います）",IF(H405="転出","転出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OR(AND(H405&lt;&gt;"",H405=I405),AND(H405&lt;&gt;"",H405=J405),AND(I405&lt;&gt;"",I405=J405)),"同じクラブを重複して希望","OK")))))))</f>
        <v/>
      </c>
      <c r="L405" s="11">
        <f>IF(OR(A405="",D405=""),"",A405&amp;"-"&amp;B405&amp;"-"&amp;C405)</f>
        <v/>
      </c>
      <c r="M405" s="11">
        <f>IF(OR(L405="",G405=""),"",IF(COUNTIF(L406:L$555,L405)=0,L405,""))</f>
        <v/>
      </c>
      <c r="N405" s="11">
        <f>IFERROR(MATCH(SMALL(前年度名簿!$G$3:$G$452,401),前年度名簿!$G$3:$G$452,0),"")</f>
        <v/>
      </c>
    </row>
    <row r="406">
      <c r="A406" s="49">
        <f>IF($N406="","",INDEX(前年度名簿!$A$3:$A$452,$N406))</f>
        <v/>
      </c>
      <c r="B406" s="49">
        <f>IF($N406="","",INDEX(前年度名簿!$B$3:$B$452,$N406))</f>
        <v/>
      </c>
      <c r="C406" s="49">
        <f>IF($N406="","",INDEX(前年度名簿!$C$3:$C$452,$N406))</f>
        <v/>
      </c>
      <c r="D406" s="49" t="n"/>
      <c r="E406" s="49" t="n"/>
      <c r="F406" s="49" t="n"/>
      <c r="G406" s="4">
        <f>IF(A406="","",IFERROR(INDEX(前年度名簿!$D$3:$D$452,MATCH(A406&amp;"-"&amp;B406&amp;"-"&amp;C406,前年度名簿!$F$3:$F$452,0)),""))</f>
        <v/>
      </c>
      <c r="H406" s="50">
        <f>IF(D406="","",IF(ISERROR(VALUE(D406)),D406&amp;"",IF(AND(VALUE(D406)&gt;=1,VALUE(D406)&lt;=20),IF(INDEX(設定!$P$8:$P$27,VALUE(D406))="","？",INDEX(設定!$P$8:$P$27,VALUE(D406))),"？")))</f>
        <v/>
      </c>
      <c r="I406" s="50">
        <f>IF(E406="","",IF(ISERROR(VALUE(E406)),E406&amp;"",IF(AND(VALUE(E406)&gt;=1,VALUE(E406)&lt;=20),IF(INDEX(設定!$P$8:$P$27,VALUE(E406))="","？",INDEX(設定!$P$8:$P$27,VALUE(E406))),"？")))</f>
        <v/>
      </c>
      <c r="J406" s="50">
        <f>IF(F406="","",IF(ISERROR(VALUE(F406)),F406&amp;"",IF(AND(VALUE(F406)&gt;=1,VALUE(F406)&lt;=20),IF(INDEX(設定!$P$8:$P$27,VALUE(F406))="","？",INDEX(設定!$P$8:$P$27,VALUE(F406))),"？")))</f>
        <v/>
      </c>
      <c r="K406" s="51">
        <f>IF(L406="","",IF(G406="","名簿にいない",IF(COUNTIF(L407:L$555,L406)&gt;0,"2回提出（下の行を使います）",IF(H406="転出","転出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OR(AND(H406&lt;&gt;"",H406=I406),AND(H406&lt;&gt;"",H406=J406),AND(I406&lt;&gt;"",I406=J406)),"同じクラブを重複して希望","OK")))))))</f>
        <v/>
      </c>
      <c r="L406" s="11">
        <f>IF(OR(A406="",D406=""),"",A406&amp;"-"&amp;B406&amp;"-"&amp;C406)</f>
        <v/>
      </c>
      <c r="M406" s="11">
        <f>IF(OR(L406="",G406=""),"",IF(COUNTIF(L407:L$555,L406)=0,L406,""))</f>
        <v/>
      </c>
      <c r="N406" s="11">
        <f>IFERROR(MATCH(SMALL(前年度名簿!$G$3:$G$452,402),前年度名簿!$G$3:$G$452,0),"")</f>
        <v/>
      </c>
    </row>
    <row r="407">
      <c r="A407" s="49">
        <f>IF($N407="","",INDEX(前年度名簿!$A$3:$A$452,$N407))</f>
        <v/>
      </c>
      <c r="B407" s="49">
        <f>IF($N407="","",INDEX(前年度名簿!$B$3:$B$452,$N407))</f>
        <v/>
      </c>
      <c r="C407" s="49">
        <f>IF($N407="","",INDEX(前年度名簿!$C$3:$C$452,$N407))</f>
        <v/>
      </c>
      <c r="D407" s="49" t="n"/>
      <c r="E407" s="49" t="n"/>
      <c r="F407" s="49" t="n"/>
      <c r="G407" s="4">
        <f>IF(A407="","",IFERROR(INDEX(前年度名簿!$D$3:$D$452,MATCH(A407&amp;"-"&amp;B407&amp;"-"&amp;C407,前年度名簿!$F$3:$F$452,0)),""))</f>
        <v/>
      </c>
      <c r="H407" s="50">
        <f>IF(D407="","",IF(ISERROR(VALUE(D407)),D407&amp;"",IF(AND(VALUE(D407)&gt;=1,VALUE(D407)&lt;=20),IF(INDEX(設定!$P$8:$P$27,VALUE(D407))="","？",INDEX(設定!$P$8:$P$27,VALUE(D407))),"？")))</f>
        <v/>
      </c>
      <c r="I407" s="50">
        <f>IF(E407="","",IF(ISERROR(VALUE(E407)),E407&amp;"",IF(AND(VALUE(E407)&gt;=1,VALUE(E407)&lt;=20),IF(INDEX(設定!$P$8:$P$27,VALUE(E407))="","？",INDEX(設定!$P$8:$P$27,VALUE(E407))),"？")))</f>
        <v/>
      </c>
      <c r="J407" s="50">
        <f>IF(F407="","",IF(ISERROR(VALUE(F407)),F407&amp;"",IF(AND(VALUE(F407)&gt;=1,VALUE(F407)&lt;=20),IF(INDEX(設定!$P$8:$P$27,VALUE(F407))="","？",INDEX(設定!$P$8:$P$27,VALUE(F407))),"？")))</f>
        <v/>
      </c>
      <c r="K407" s="51">
        <f>IF(L407="","",IF(G407="","名簿にいない",IF(COUNTIF(L408:L$555,L407)&gt;0,"2回提出（下の行を使います）",IF(H407="転出","転出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OR(AND(H407&lt;&gt;"",H407=I407),AND(H407&lt;&gt;"",H407=J407),AND(I407&lt;&gt;"",I407=J407)),"同じクラブを重複して希望","OK")))))))</f>
        <v/>
      </c>
      <c r="L407" s="11">
        <f>IF(OR(A407="",D407=""),"",A407&amp;"-"&amp;B407&amp;"-"&amp;C407)</f>
        <v/>
      </c>
      <c r="M407" s="11">
        <f>IF(OR(L407="",G407=""),"",IF(COUNTIF(L408:L$555,L407)=0,L407,""))</f>
        <v/>
      </c>
      <c r="N407" s="11">
        <f>IFERROR(MATCH(SMALL(前年度名簿!$G$3:$G$452,403),前年度名簿!$G$3:$G$452,0),"")</f>
        <v/>
      </c>
    </row>
    <row r="408">
      <c r="A408" s="49">
        <f>IF($N408="","",INDEX(前年度名簿!$A$3:$A$452,$N408))</f>
        <v/>
      </c>
      <c r="B408" s="49">
        <f>IF($N408="","",INDEX(前年度名簿!$B$3:$B$452,$N408))</f>
        <v/>
      </c>
      <c r="C408" s="49">
        <f>IF($N408="","",INDEX(前年度名簿!$C$3:$C$452,$N408))</f>
        <v/>
      </c>
      <c r="D408" s="49" t="n"/>
      <c r="E408" s="49" t="n"/>
      <c r="F408" s="49" t="n"/>
      <c r="G408" s="4">
        <f>IF(A408="","",IFERROR(INDEX(前年度名簿!$D$3:$D$452,MATCH(A408&amp;"-"&amp;B408&amp;"-"&amp;C408,前年度名簿!$F$3:$F$452,0)),""))</f>
        <v/>
      </c>
      <c r="H408" s="50">
        <f>IF(D408="","",IF(ISERROR(VALUE(D408)),D408&amp;"",IF(AND(VALUE(D408)&gt;=1,VALUE(D408)&lt;=20),IF(INDEX(設定!$P$8:$P$27,VALUE(D408))="","？",INDEX(設定!$P$8:$P$27,VALUE(D408))),"？")))</f>
        <v/>
      </c>
      <c r="I408" s="50">
        <f>IF(E408="","",IF(ISERROR(VALUE(E408)),E408&amp;"",IF(AND(VALUE(E408)&gt;=1,VALUE(E408)&lt;=20),IF(INDEX(設定!$P$8:$P$27,VALUE(E408))="","？",INDEX(設定!$P$8:$P$27,VALUE(E408))),"？")))</f>
        <v/>
      </c>
      <c r="J408" s="50">
        <f>IF(F408="","",IF(ISERROR(VALUE(F408)),F408&amp;"",IF(AND(VALUE(F408)&gt;=1,VALUE(F408)&lt;=20),IF(INDEX(設定!$P$8:$P$27,VALUE(F408))="","？",INDEX(設定!$P$8:$P$27,VALUE(F408))),"？")))</f>
        <v/>
      </c>
      <c r="K408" s="51">
        <f>IF(L408="","",IF(G408="","名簿にいない",IF(COUNTIF(L409:L$555,L408)&gt;0,"2回提出（下の行を使います）",IF(H408="転出","転出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OR(AND(H408&lt;&gt;"",H408=I408),AND(H408&lt;&gt;"",H408=J408),AND(I408&lt;&gt;"",I408=J408)),"同じクラブを重複して希望","OK")))))))</f>
        <v/>
      </c>
      <c r="L408" s="11">
        <f>IF(OR(A408="",D408=""),"",A408&amp;"-"&amp;B408&amp;"-"&amp;C408)</f>
        <v/>
      </c>
      <c r="M408" s="11">
        <f>IF(OR(L408="",G408=""),"",IF(COUNTIF(L409:L$555,L408)=0,L408,""))</f>
        <v/>
      </c>
      <c r="N408" s="11">
        <f>IFERROR(MATCH(SMALL(前年度名簿!$G$3:$G$452,404),前年度名簿!$G$3:$G$452,0),"")</f>
        <v/>
      </c>
    </row>
    <row r="409">
      <c r="A409" s="49">
        <f>IF($N409="","",INDEX(前年度名簿!$A$3:$A$452,$N409))</f>
        <v/>
      </c>
      <c r="B409" s="49">
        <f>IF($N409="","",INDEX(前年度名簿!$B$3:$B$452,$N409))</f>
        <v/>
      </c>
      <c r="C409" s="49">
        <f>IF($N409="","",INDEX(前年度名簿!$C$3:$C$452,$N409))</f>
        <v/>
      </c>
      <c r="D409" s="49" t="n"/>
      <c r="E409" s="49" t="n"/>
      <c r="F409" s="49" t="n"/>
      <c r="G409" s="4">
        <f>IF(A409="","",IFERROR(INDEX(前年度名簿!$D$3:$D$452,MATCH(A409&amp;"-"&amp;B409&amp;"-"&amp;C409,前年度名簿!$F$3:$F$452,0)),""))</f>
        <v/>
      </c>
      <c r="H409" s="50">
        <f>IF(D409="","",IF(ISERROR(VALUE(D409)),D409&amp;"",IF(AND(VALUE(D409)&gt;=1,VALUE(D409)&lt;=20),IF(INDEX(設定!$P$8:$P$27,VALUE(D409))="","？",INDEX(設定!$P$8:$P$27,VALUE(D409))),"？")))</f>
        <v/>
      </c>
      <c r="I409" s="50">
        <f>IF(E409="","",IF(ISERROR(VALUE(E409)),E409&amp;"",IF(AND(VALUE(E409)&gt;=1,VALUE(E409)&lt;=20),IF(INDEX(設定!$P$8:$P$27,VALUE(E409))="","？",INDEX(設定!$P$8:$P$27,VALUE(E409))),"？")))</f>
        <v/>
      </c>
      <c r="J409" s="50">
        <f>IF(F409="","",IF(ISERROR(VALUE(F409)),F409&amp;"",IF(AND(VALUE(F409)&gt;=1,VALUE(F409)&lt;=20),IF(INDEX(設定!$P$8:$P$27,VALUE(F409))="","？",INDEX(設定!$P$8:$P$27,VALUE(F409))),"？")))</f>
        <v/>
      </c>
      <c r="K409" s="51">
        <f>IF(L409="","",IF(G409="","名簿にいない",IF(COUNTIF(L410:L$555,L409)&gt;0,"2回提出（下の行を使います）",IF(H409="転出","転出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OR(AND(H409&lt;&gt;"",H409=I409),AND(H409&lt;&gt;"",H409=J409),AND(I409&lt;&gt;"",I409=J409)),"同じクラブを重複して希望","OK")))))))</f>
        <v/>
      </c>
      <c r="L409" s="11">
        <f>IF(OR(A409="",D409=""),"",A409&amp;"-"&amp;B409&amp;"-"&amp;C409)</f>
        <v/>
      </c>
      <c r="M409" s="11">
        <f>IF(OR(L409="",G409=""),"",IF(COUNTIF(L410:L$555,L409)=0,L409,""))</f>
        <v/>
      </c>
      <c r="N409" s="11">
        <f>IFERROR(MATCH(SMALL(前年度名簿!$G$3:$G$452,405),前年度名簿!$G$3:$G$452,0),"")</f>
        <v/>
      </c>
    </row>
    <row r="410">
      <c r="A410" s="49">
        <f>IF($N410="","",INDEX(前年度名簿!$A$3:$A$452,$N410))</f>
        <v/>
      </c>
      <c r="B410" s="49">
        <f>IF($N410="","",INDEX(前年度名簿!$B$3:$B$452,$N410))</f>
        <v/>
      </c>
      <c r="C410" s="49">
        <f>IF($N410="","",INDEX(前年度名簿!$C$3:$C$452,$N410))</f>
        <v/>
      </c>
      <c r="D410" s="49" t="n"/>
      <c r="E410" s="49" t="n"/>
      <c r="F410" s="49" t="n"/>
      <c r="G410" s="4">
        <f>IF(A410="","",IFERROR(INDEX(前年度名簿!$D$3:$D$452,MATCH(A410&amp;"-"&amp;B410&amp;"-"&amp;C410,前年度名簿!$F$3:$F$452,0)),""))</f>
        <v/>
      </c>
      <c r="H410" s="50">
        <f>IF(D410="","",IF(ISERROR(VALUE(D410)),D410&amp;"",IF(AND(VALUE(D410)&gt;=1,VALUE(D410)&lt;=20),IF(INDEX(設定!$P$8:$P$27,VALUE(D410))="","？",INDEX(設定!$P$8:$P$27,VALUE(D410))),"？")))</f>
        <v/>
      </c>
      <c r="I410" s="50">
        <f>IF(E410="","",IF(ISERROR(VALUE(E410)),E410&amp;"",IF(AND(VALUE(E410)&gt;=1,VALUE(E410)&lt;=20),IF(INDEX(設定!$P$8:$P$27,VALUE(E410))="","？",INDEX(設定!$P$8:$P$27,VALUE(E410))),"？")))</f>
        <v/>
      </c>
      <c r="J410" s="50">
        <f>IF(F410="","",IF(ISERROR(VALUE(F410)),F410&amp;"",IF(AND(VALUE(F410)&gt;=1,VALUE(F410)&lt;=20),IF(INDEX(設定!$P$8:$P$27,VALUE(F410))="","？",INDEX(設定!$P$8:$P$27,VALUE(F410))),"？")))</f>
        <v/>
      </c>
      <c r="K410" s="51">
        <f>IF(L410="","",IF(G410="","名簿にいない",IF(COUNTIF(L411:L$555,L410)&gt;0,"2回提出（下の行を使います）",IF(H410="転出","転出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OR(AND(H410&lt;&gt;"",H410=I410),AND(H410&lt;&gt;"",H410=J410),AND(I410&lt;&gt;"",I410=J410)),"同じクラブを重複して希望","OK")))))))</f>
        <v/>
      </c>
      <c r="L410" s="11">
        <f>IF(OR(A410="",D410=""),"",A410&amp;"-"&amp;B410&amp;"-"&amp;C410)</f>
        <v/>
      </c>
      <c r="M410" s="11">
        <f>IF(OR(L410="",G410=""),"",IF(COUNTIF(L411:L$555,L410)=0,L410,""))</f>
        <v/>
      </c>
      <c r="N410" s="11">
        <f>IFERROR(MATCH(SMALL(前年度名簿!$G$3:$G$452,406),前年度名簿!$G$3:$G$452,0),"")</f>
        <v/>
      </c>
    </row>
    <row r="411">
      <c r="A411" s="49">
        <f>IF($N411="","",INDEX(前年度名簿!$A$3:$A$452,$N411))</f>
        <v/>
      </c>
      <c r="B411" s="49">
        <f>IF($N411="","",INDEX(前年度名簿!$B$3:$B$452,$N411))</f>
        <v/>
      </c>
      <c r="C411" s="49">
        <f>IF($N411="","",INDEX(前年度名簿!$C$3:$C$452,$N411))</f>
        <v/>
      </c>
      <c r="D411" s="49" t="n"/>
      <c r="E411" s="49" t="n"/>
      <c r="F411" s="49" t="n"/>
      <c r="G411" s="4">
        <f>IF(A411="","",IFERROR(INDEX(前年度名簿!$D$3:$D$452,MATCH(A411&amp;"-"&amp;B411&amp;"-"&amp;C411,前年度名簿!$F$3:$F$452,0)),""))</f>
        <v/>
      </c>
      <c r="H411" s="50">
        <f>IF(D411="","",IF(ISERROR(VALUE(D411)),D411&amp;"",IF(AND(VALUE(D411)&gt;=1,VALUE(D411)&lt;=20),IF(INDEX(設定!$P$8:$P$27,VALUE(D411))="","？",INDEX(設定!$P$8:$P$27,VALUE(D411))),"？")))</f>
        <v/>
      </c>
      <c r="I411" s="50">
        <f>IF(E411="","",IF(ISERROR(VALUE(E411)),E411&amp;"",IF(AND(VALUE(E411)&gt;=1,VALUE(E411)&lt;=20),IF(INDEX(設定!$P$8:$P$27,VALUE(E411))="","？",INDEX(設定!$P$8:$P$27,VALUE(E411))),"？")))</f>
        <v/>
      </c>
      <c r="J411" s="50">
        <f>IF(F411="","",IF(ISERROR(VALUE(F411)),F411&amp;"",IF(AND(VALUE(F411)&gt;=1,VALUE(F411)&lt;=20),IF(INDEX(設定!$P$8:$P$27,VALUE(F411))="","？",INDEX(設定!$P$8:$P$27,VALUE(F411))),"？")))</f>
        <v/>
      </c>
      <c r="K411" s="51">
        <f>IF(L411="","",IF(G411="","名簿にいない",IF(COUNTIF(L412:L$555,L411)&gt;0,"2回提出（下の行を使います）",IF(H411="転出","転出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OR(AND(H411&lt;&gt;"",H411=I411),AND(H411&lt;&gt;"",H411=J411),AND(I411&lt;&gt;"",I411=J411)),"同じクラブを重複して希望","OK")))))))</f>
        <v/>
      </c>
      <c r="L411" s="11">
        <f>IF(OR(A411="",D411=""),"",A411&amp;"-"&amp;B411&amp;"-"&amp;C411)</f>
        <v/>
      </c>
      <c r="M411" s="11">
        <f>IF(OR(L411="",G411=""),"",IF(COUNTIF(L412:L$555,L411)=0,L411,""))</f>
        <v/>
      </c>
      <c r="N411" s="11">
        <f>IFERROR(MATCH(SMALL(前年度名簿!$G$3:$G$452,407),前年度名簿!$G$3:$G$452,0),"")</f>
        <v/>
      </c>
    </row>
    <row r="412">
      <c r="A412" s="49">
        <f>IF($N412="","",INDEX(前年度名簿!$A$3:$A$452,$N412))</f>
        <v/>
      </c>
      <c r="B412" s="49">
        <f>IF($N412="","",INDEX(前年度名簿!$B$3:$B$452,$N412))</f>
        <v/>
      </c>
      <c r="C412" s="49">
        <f>IF($N412="","",INDEX(前年度名簿!$C$3:$C$452,$N412))</f>
        <v/>
      </c>
      <c r="D412" s="49" t="n"/>
      <c r="E412" s="49" t="n"/>
      <c r="F412" s="49" t="n"/>
      <c r="G412" s="4">
        <f>IF(A412="","",IFERROR(INDEX(前年度名簿!$D$3:$D$452,MATCH(A412&amp;"-"&amp;B412&amp;"-"&amp;C412,前年度名簿!$F$3:$F$452,0)),""))</f>
        <v/>
      </c>
      <c r="H412" s="50">
        <f>IF(D412="","",IF(ISERROR(VALUE(D412)),D412&amp;"",IF(AND(VALUE(D412)&gt;=1,VALUE(D412)&lt;=20),IF(INDEX(設定!$P$8:$P$27,VALUE(D412))="","？",INDEX(設定!$P$8:$P$27,VALUE(D412))),"？")))</f>
        <v/>
      </c>
      <c r="I412" s="50">
        <f>IF(E412="","",IF(ISERROR(VALUE(E412)),E412&amp;"",IF(AND(VALUE(E412)&gt;=1,VALUE(E412)&lt;=20),IF(INDEX(設定!$P$8:$P$27,VALUE(E412))="","？",INDEX(設定!$P$8:$P$27,VALUE(E412))),"？")))</f>
        <v/>
      </c>
      <c r="J412" s="50">
        <f>IF(F412="","",IF(ISERROR(VALUE(F412)),F412&amp;"",IF(AND(VALUE(F412)&gt;=1,VALUE(F412)&lt;=20),IF(INDEX(設定!$P$8:$P$27,VALUE(F412))="","？",INDEX(設定!$P$8:$P$27,VALUE(F412))),"？")))</f>
        <v/>
      </c>
      <c r="K412" s="51">
        <f>IF(L412="","",IF(G412="","名簿にいない",IF(COUNTIF(L413:L$555,L412)&gt;0,"2回提出（下の行を使います）",IF(H412="転出","転出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OR(AND(H412&lt;&gt;"",H412=I412),AND(H412&lt;&gt;"",H412=J412),AND(I412&lt;&gt;"",I412=J412)),"同じクラブを重複して希望","OK")))))))</f>
        <v/>
      </c>
      <c r="L412" s="11">
        <f>IF(OR(A412="",D412=""),"",A412&amp;"-"&amp;B412&amp;"-"&amp;C412)</f>
        <v/>
      </c>
      <c r="M412" s="11">
        <f>IF(OR(L412="",G412=""),"",IF(COUNTIF(L413:L$555,L412)=0,L412,""))</f>
        <v/>
      </c>
      <c r="N412" s="11">
        <f>IFERROR(MATCH(SMALL(前年度名簿!$G$3:$G$452,408),前年度名簿!$G$3:$G$452,0),"")</f>
        <v/>
      </c>
    </row>
    <row r="413">
      <c r="A413" s="49">
        <f>IF($N413="","",INDEX(前年度名簿!$A$3:$A$452,$N413))</f>
        <v/>
      </c>
      <c r="B413" s="49">
        <f>IF($N413="","",INDEX(前年度名簿!$B$3:$B$452,$N413))</f>
        <v/>
      </c>
      <c r="C413" s="49">
        <f>IF($N413="","",INDEX(前年度名簿!$C$3:$C$452,$N413))</f>
        <v/>
      </c>
      <c r="D413" s="49" t="n"/>
      <c r="E413" s="49" t="n"/>
      <c r="F413" s="49" t="n"/>
      <c r="G413" s="4">
        <f>IF(A413="","",IFERROR(INDEX(前年度名簿!$D$3:$D$452,MATCH(A413&amp;"-"&amp;B413&amp;"-"&amp;C413,前年度名簿!$F$3:$F$452,0)),""))</f>
        <v/>
      </c>
      <c r="H413" s="50">
        <f>IF(D413="","",IF(ISERROR(VALUE(D413)),D413&amp;"",IF(AND(VALUE(D413)&gt;=1,VALUE(D413)&lt;=20),IF(INDEX(設定!$P$8:$P$27,VALUE(D413))="","？",INDEX(設定!$P$8:$P$27,VALUE(D413))),"？")))</f>
        <v/>
      </c>
      <c r="I413" s="50">
        <f>IF(E413="","",IF(ISERROR(VALUE(E413)),E413&amp;"",IF(AND(VALUE(E413)&gt;=1,VALUE(E413)&lt;=20),IF(INDEX(設定!$P$8:$P$27,VALUE(E413))="","？",INDEX(設定!$P$8:$P$27,VALUE(E413))),"？")))</f>
        <v/>
      </c>
      <c r="J413" s="50">
        <f>IF(F413="","",IF(ISERROR(VALUE(F413)),F413&amp;"",IF(AND(VALUE(F413)&gt;=1,VALUE(F413)&lt;=20),IF(INDEX(設定!$P$8:$P$27,VALUE(F413))="","？",INDEX(設定!$P$8:$P$27,VALUE(F413))),"？")))</f>
        <v/>
      </c>
      <c r="K413" s="51">
        <f>IF(L413="","",IF(G413="","名簿にいない",IF(COUNTIF(L414:L$555,L413)&gt;0,"2回提出（下の行を使います）",IF(H413="転出","転出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OR(AND(H413&lt;&gt;"",H413=I413),AND(H413&lt;&gt;"",H413=J413),AND(I413&lt;&gt;"",I413=J413)),"同じクラブを重複して希望","OK")))))))</f>
        <v/>
      </c>
      <c r="L413" s="11">
        <f>IF(OR(A413="",D413=""),"",A413&amp;"-"&amp;B413&amp;"-"&amp;C413)</f>
        <v/>
      </c>
      <c r="M413" s="11">
        <f>IF(OR(L413="",G413=""),"",IF(COUNTIF(L414:L$555,L413)=0,L413,""))</f>
        <v/>
      </c>
      <c r="N413" s="11">
        <f>IFERROR(MATCH(SMALL(前年度名簿!$G$3:$G$452,409),前年度名簿!$G$3:$G$452,0),"")</f>
        <v/>
      </c>
    </row>
    <row r="414">
      <c r="A414" s="49">
        <f>IF($N414="","",INDEX(前年度名簿!$A$3:$A$452,$N414))</f>
        <v/>
      </c>
      <c r="B414" s="49">
        <f>IF($N414="","",INDEX(前年度名簿!$B$3:$B$452,$N414))</f>
        <v/>
      </c>
      <c r="C414" s="49">
        <f>IF($N414="","",INDEX(前年度名簿!$C$3:$C$452,$N414))</f>
        <v/>
      </c>
      <c r="D414" s="49" t="n"/>
      <c r="E414" s="49" t="n"/>
      <c r="F414" s="49" t="n"/>
      <c r="G414" s="4">
        <f>IF(A414="","",IFERROR(INDEX(前年度名簿!$D$3:$D$452,MATCH(A414&amp;"-"&amp;B414&amp;"-"&amp;C414,前年度名簿!$F$3:$F$452,0)),""))</f>
        <v/>
      </c>
      <c r="H414" s="50">
        <f>IF(D414="","",IF(ISERROR(VALUE(D414)),D414&amp;"",IF(AND(VALUE(D414)&gt;=1,VALUE(D414)&lt;=20),IF(INDEX(設定!$P$8:$P$27,VALUE(D414))="","？",INDEX(設定!$P$8:$P$27,VALUE(D414))),"？")))</f>
        <v/>
      </c>
      <c r="I414" s="50">
        <f>IF(E414="","",IF(ISERROR(VALUE(E414)),E414&amp;"",IF(AND(VALUE(E414)&gt;=1,VALUE(E414)&lt;=20),IF(INDEX(設定!$P$8:$P$27,VALUE(E414))="","？",INDEX(設定!$P$8:$P$27,VALUE(E414))),"？")))</f>
        <v/>
      </c>
      <c r="J414" s="50">
        <f>IF(F414="","",IF(ISERROR(VALUE(F414)),F414&amp;"",IF(AND(VALUE(F414)&gt;=1,VALUE(F414)&lt;=20),IF(INDEX(設定!$P$8:$P$27,VALUE(F414))="","？",INDEX(設定!$P$8:$P$27,VALUE(F414))),"？")))</f>
        <v/>
      </c>
      <c r="K414" s="51">
        <f>IF(L414="","",IF(G414="","名簿にいない",IF(COUNTIF(L415:L$555,L414)&gt;0,"2回提出（下の行を使います）",IF(H414="転出","転出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OR(AND(H414&lt;&gt;"",H414=I414),AND(H414&lt;&gt;"",H414=J414),AND(I414&lt;&gt;"",I414=J414)),"同じクラブを重複して希望","OK")))))))</f>
        <v/>
      </c>
      <c r="L414" s="11">
        <f>IF(OR(A414="",D414=""),"",A414&amp;"-"&amp;B414&amp;"-"&amp;C414)</f>
        <v/>
      </c>
      <c r="M414" s="11">
        <f>IF(OR(L414="",G414=""),"",IF(COUNTIF(L415:L$555,L414)=0,L414,""))</f>
        <v/>
      </c>
      <c r="N414" s="11">
        <f>IFERROR(MATCH(SMALL(前年度名簿!$G$3:$G$452,410),前年度名簿!$G$3:$G$452,0),"")</f>
        <v/>
      </c>
    </row>
    <row r="415">
      <c r="A415" s="49">
        <f>IF($N415="","",INDEX(前年度名簿!$A$3:$A$452,$N415))</f>
        <v/>
      </c>
      <c r="B415" s="49">
        <f>IF($N415="","",INDEX(前年度名簿!$B$3:$B$452,$N415))</f>
        <v/>
      </c>
      <c r="C415" s="49">
        <f>IF($N415="","",INDEX(前年度名簿!$C$3:$C$452,$N415))</f>
        <v/>
      </c>
      <c r="D415" s="49" t="n"/>
      <c r="E415" s="49" t="n"/>
      <c r="F415" s="49" t="n"/>
      <c r="G415" s="4">
        <f>IF(A415="","",IFERROR(INDEX(前年度名簿!$D$3:$D$452,MATCH(A415&amp;"-"&amp;B415&amp;"-"&amp;C415,前年度名簿!$F$3:$F$452,0)),""))</f>
        <v/>
      </c>
      <c r="H415" s="50">
        <f>IF(D415="","",IF(ISERROR(VALUE(D415)),D415&amp;"",IF(AND(VALUE(D415)&gt;=1,VALUE(D415)&lt;=20),IF(INDEX(設定!$P$8:$P$27,VALUE(D415))="","？",INDEX(設定!$P$8:$P$27,VALUE(D415))),"？")))</f>
        <v/>
      </c>
      <c r="I415" s="50">
        <f>IF(E415="","",IF(ISERROR(VALUE(E415)),E415&amp;"",IF(AND(VALUE(E415)&gt;=1,VALUE(E415)&lt;=20),IF(INDEX(設定!$P$8:$P$27,VALUE(E415))="","？",INDEX(設定!$P$8:$P$27,VALUE(E415))),"？")))</f>
        <v/>
      </c>
      <c r="J415" s="50">
        <f>IF(F415="","",IF(ISERROR(VALUE(F415)),F415&amp;"",IF(AND(VALUE(F415)&gt;=1,VALUE(F415)&lt;=20),IF(INDEX(設定!$P$8:$P$27,VALUE(F415))="","？",INDEX(設定!$P$8:$P$27,VALUE(F415))),"？")))</f>
        <v/>
      </c>
      <c r="K415" s="51">
        <f>IF(L415="","",IF(G415="","名簿にいない",IF(COUNTIF(L416:L$555,L415)&gt;0,"2回提出（下の行を使います）",IF(H415="転出","転出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OR(AND(H415&lt;&gt;"",H415=I415),AND(H415&lt;&gt;"",H415=J415),AND(I415&lt;&gt;"",I415=J415)),"同じクラブを重複して希望","OK")))))))</f>
        <v/>
      </c>
      <c r="L415" s="11">
        <f>IF(OR(A415="",D415=""),"",A415&amp;"-"&amp;B415&amp;"-"&amp;C415)</f>
        <v/>
      </c>
      <c r="M415" s="11">
        <f>IF(OR(L415="",G415=""),"",IF(COUNTIF(L416:L$555,L415)=0,L415,""))</f>
        <v/>
      </c>
      <c r="N415" s="11">
        <f>IFERROR(MATCH(SMALL(前年度名簿!$G$3:$G$452,411),前年度名簿!$G$3:$G$452,0),"")</f>
        <v/>
      </c>
    </row>
    <row r="416">
      <c r="A416" s="49">
        <f>IF($N416="","",INDEX(前年度名簿!$A$3:$A$452,$N416))</f>
        <v/>
      </c>
      <c r="B416" s="49">
        <f>IF($N416="","",INDEX(前年度名簿!$B$3:$B$452,$N416))</f>
        <v/>
      </c>
      <c r="C416" s="49">
        <f>IF($N416="","",INDEX(前年度名簿!$C$3:$C$452,$N416))</f>
        <v/>
      </c>
      <c r="D416" s="49" t="n"/>
      <c r="E416" s="49" t="n"/>
      <c r="F416" s="49" t="n"/>
      <c r="G416" s="4">
        <f>IF(A416="","",IFERROR(INDEX(前年度名簿!$D$3:$D$452,MATCH(A416&amp;"-"&amp;B416&amp;"-"&amp;C416,前年度名簿!$F$3:$F$452,0)),""))</f>
        <v/>
      </c>
      <c r="H416" s="50">
        <f>IF(D416="","",IF(ISERROR(VALUE(D416)),D416&amp;"",IF(AND(VALUE(D416)&gt;=1,VALUE(D416)&lt;=20),IF(INDEX(設定!$P$8:$P$27,VALUE(D416))="","？",INDEX(設定!$P$8:$P$27,VALUE(D416))),"？")))</f>
        <v/>
      </c>
      <c r="I416" s="50">
        <f>IF(E416="","",IF(ISERROR(VALUE(E416)),E416&amp;"",IF(AND(VALUE(E416)&gt;=1,VALUE(E416)&lt;=20),IF(INDEX(設定!$P$8:$P$27,VALUE(E416))="","？",INDEX(設定!$P$8:$P$27,VALUE(E416))),"？")))</f>
        <v/>
      </c>
      <c r="J416" s="50">
        <f>IF(F416="","",IF(ISERROR(VALUE(F416)),F416&amp;"",IF(AND(VALUE(F416)&gt;=1,VALUE(F416)&lt;=20),IF(INDEX(設定!$P$8:$P$27,VALUE(F416))="","？",INDEX(設定!$P$8:$P$27,VALUE(F416))),"？")))</f>
        <v/>
      </c>
      <c r="K416" s="51">
        <f>IF(L416="","",IF(G416="","名簿にいない",IF(COUNTIF(L417:L$555,L416)&gt;0,"2回提出（下の行を使います）",IF(H416="転出","転出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OR(AND(H416&lt;&gt;"",H416=I416),AND(H416&lt;&gt;"",H416=J416),AND(I416&lt;&gt;"",I416=J416)),"同じクラブを重複して希望","OK")))))))</f>
        <v/>
      </c>
      <c r="L416" s="11">
        <f>IF(OR(A416="",D416=""),"",A416&amp;"-"&amp;B416&amp;"-"&amp;C416)</f>
        <v/>
      </c>
      <c r="M416" s="11">
        <f>IF(OR(L416="",G416=""),"",IF(COUNTIF(L417:L$555,L416)=0,L416,""))</f>
        <v/>
      </c>
      <c r="N416" s="11">
        <f>IFERROR(MATCH(SMALL(前年度名簿!$G$3:$G$452,412),前年度名簿!$G$3:$G$452,0),"")</f>
        <v/>
      </c>
    </row>
    <row r="417">
      <c r="A417" s="49">
        <f>IF($N417="","",INDEX(前年度名簿!$A$3:$A$452,$N417))</f>
        <v/>
      </c>
      <c r="B417" s="49">
        <f>IF($N417="","",INDEX(前年度名簿!$B$3:$B$452,$N417))</f>
        <v/>
      </c>
      <c r="C417" s="49">
        <f>IF($N417="","",INDEX(前年度名簿!$C$3:$C$452,$N417))</f>
        <v/>
      </c>
      <c r="D417" s="49" t="n"/>
      <c r="E417" s="49" t="n"/>
      <c r="F417" s="49" t="n"/>
      <c r="G417" s="4">
        <f>IF(A417="","",IFERROR(INDEX(前年度名簿!$D$3:$D$452,MATCH(A417&amp;"-"&amp;B417&amp;"-"&amp;C417,前年度名簿!$F$3:$F$452,0)),""))</f>
        <v/>
      </c>
      <c r="H417" s="50">
        <f>IF(D417="","",IF(ISERROR(VALUE(D417)),D417&amp;"",IF(AND(VALUE(D417)&gt;=1,VALUE(D417)&lt;=20),IF(INDEX(設定!$P$8:$P$27,VALUE(D417))="","？",INDEX(設定!$P$8:$P$27,VALUE(D417))),"？")))</f>
        <v/>
      </c>
      <c r="I417" s="50">
        <f>IF(E417="","",IF(ISERROR(VALUE(E417)),E417&amp;"",IF(AND(VALUE(E417)&gt;=1,VALUE(E417)&lt;=20),IF(INDEX(設定!$P$8:$P$27,VALUE(E417))="","？",INDEX(設定!$P$8:$P$27,VALUE(E417))),"？")))</f>
        <v/>
      </c>
      <c r="J417" s="50">
        <f>IF(F417="","",IF(ISERROR(VALUE(F417)),F417&amp;"",IF(AND(VALUE(F417)&gt;=1,VALUE(F417)&lt;=20),IF(INDEX(設定!$P$8:$P$27,VALUE(F417))="","？",INDEX(設定!$P$8:$P$27,VALUE(F417))),"？")))</f>
        <v/>
      </c>
      <c r="K417" s="51">
        <f>IF(L417="","",IF(G417="","名簿にいない",IF(COUNTIF(L418:L$555,L417)&gt;0,"2回提出（下の行を使います）",IF(H417="転出","転出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OR(AND(H417&lt;&gt;"",H417=I417),AND(H417&lt;&gt;"",H417=J417),AND(I417&lt;&gt;"",I417=J417)),"同じクラブを重複して希望","OK")))))))</f>
        <v/>
      </c>
      <c r="L417" s="11">
        <f>IF(OR(A417="",D417=""),"",A417&amp;"-"&amp;B417&amp;"-"&amp;C417)</f>
        <v/>
      </c>
      <c r="M417" s="11">
        <f>IF(OR(L417="",G417=""),"",IF(COUNTIF(L418:L$555,L417)=0,L417,""))</f>
        <v/>
      </c>
      <c r="N417" s="11">
        <f>IFERROR(MATCH(SMALL(前年度名簿!$G$3:$G$452,413),前年度名簿!$G$3:$G$452,0),"")</f>
        <v/>
      </c>
    </row>
    <row r="418">
      <c r="A418" s="49">
        <f>IF($N418="","",INDEX(前年度名簿!$A$3:$A$452,$N418))</f>
        <v/>
      </c>
      <c r="B418" s="49">
        <f>IF($N418="","",INDEX(前年度名簿!$B$3:$B$452,$N418))</f>
        <v/>
      </c>
      <c r="C418" s="49">
        <f>IF($N418="","",INDEX(前年度名簿!$C$3:$C$452,$N418))</f>
        <v/>
      </c>
      <c r="D418" s="49" t="n"/>
      <c r="E418" s="49" t="n"/>
      <c r="F418" s="49" t="n"/>
      <c r="G418" s="4">
        <f>IF(A418="","",IFERROR(INDEX(前年度名簿!$D$3:$D$452,MATCH(A418&amp;"-"&amp;B418&amp;"-"&amp;C418,前年度名簿!$F$3:$F$452,0)),""))</f>
        <v/>
      </c>
      <c r="H418" s="50">
        <f>IF(D418="","",IF(ISERROR(VALUE(D418)),D418&amp;"",IF(AND(VALUE(D418)&gt;=1,VALUE(D418)&lt;=20),IF(INDEX(設定!$P$8:$P$27,VALUE(D418))="","？",INDEX(設定!$P$8:$P$27,VALUE(D418))),"？")))</f>
        <v/>
      </c>
      <c r="I418" s="50">
        <f>IF(E418="","",IF(ISERROR(VALUE(E418)),E418&amp;"",IF(AND(VALUE(E418)&gt;=1,VALUE(E418)&lt;=20),IF(INDEX(設定!$P$8:$P$27,VALUE(E418))="","？",INDEX(設定!$P$8:$P$27,VALUE(E418))),"？")))</f>
        <v/>
      </c>
      <c r="J418" s="50">
        <f>IF(F418="","",IF(ISERROR(VALUE(F418)),F418&amp;"",IF(AND(VALUE(F418)&gt;=1,VALUE(F418)&lt;=20),IF(INDEX(設定!$P$8:$P$27,VALUE(F418))="","？",INDEX(設定!$P$8:$P$27,VALUE(F418))),"？")))</f>
        <v/>
      </c>
      <c r="K418" s="51">
        <f>IF(L418="","",IF(G418="","名簿にいない",IF(COUNTIF(L419:L$555,L418)&gt;0,"2回提出（下の行を使います）",IF(H418="転出","転出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OR(AND(H418&lt;&gt;"",H418=I418),AND(H418&lt;&gt;"",H418=J418),AND(I418&lt;&gt;"",I418=J418)),"同じクラブを重複して希望","OK")))))))</f>
        <v/>
      </c>
      <c r="L418" s="11">
        <f>IF(OR(A418="",D418=""),"",A418&amp;"-"&amp;B418&amp;"-"&amp;C418)</f>
        <v/>
      </c>
      <c r="M418" s="11">
        <f>IF(OR(L418="",G418=""),"",IF(COUNTIF(L419:L$555,L418)=0,L418,""))</f>
        <v/>
      </c>
      <c r="N418" s="11">
        <f>IFERROR(MATCH(SMALL(前年度名簿!$G$3:$G$452,414),前年度名簿!$G$3:$G$452,0),"")</f>
        <v/>
      </c>
    </row>
    <row r="419">
      <c r="A419" s="49">
        <f>IF($N419="","",INDEX(前年度名簿!$A$3:$A$452,$N419))</f>
        <v/>
      </c>
      <c r="B419" s="49">
        <f>IF($N419="","",INDEX(前年度名簿!$B$3:$B$452,$N419))</f>
        <v/>
      </c>
      <c r="C419" s="49">
        <f>IF($N419="","",INDEX(前年度名簿!$C$3:$C$452,$N419))</f>
        <v/>
      </c>
      <c r="D419" s="49" t="n"/>
      <c r="E419" s="49" t="n"/>
      <c r="F419" s="49" t="n"/>
      <c r="G419" s="4">
        <f>IF(A419="","",IFERROR(INDEX(前年度名簿!$D$3:$D$452,MATCH(A419&amp;"-"&amp;B419&amp;"-"&amp;C419,前年度名簿!$F$3:$F$452,0)),""))</f>
        <v/>
      </c>
      <c r="H419" s="50">
        <f>IF(D419="","",IF(ISERROR(VALUE(D419)),D419&amp;"",IF(AND(VALUE(D419)&gt;=1,VALUE(D419)&lt;=20),IF(INDEX(設定!$P$8:$P$27,VALUE(D419))="","？",INDEX(設定!$P$8:$P$27,VALUE(D419))),"？")))</f>
        <v/>
      </c>
      <c r="I419" s="50">
        <f>IF(E419="","",IF(ISERROR(VALUE(E419)),E419&amp;"",IF(AND(VALUE(E419)&gt;=1,VALUE(E419)&lt;=20),IF(INDEX(設定!$P$8:$P$27,VALUE(E419))="","？",INDEX(設定!$P$8:$P$27,VALUE(E419))),"？")))</f>
        <v/>
      </c>
      <c r="J419" s="50">
        <f>IF(F419="","",IF(ISERROR(VALUE(F419)),F419&amp;"",IF(AND(VALUE(F419)&gt;=1,VALUE(F419)&lt;=20),IF(INDEX(設定!$P$8:$P$27,VALUE(F419))="","？",INDEX(設定!$P$8:$P$27,VALUE(F419))),"？")))</f>
        <v/>
      </c>
      <c r="K419" s="51">
        <f>IF(L419="","",IF(G419="","名簿にいない",IF(COUNTIF(L420:L$555,L419)&gt;0,"2回提出（下の行を使います）",IF(H419="転出","転出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OR(AND(H419&lt;&gt;"",H419=I419),AND(H419&lt;&gt;"",H419=J419),AND(I419&lt;&gt;"",I419=J419)),"同じクラブを重複して希望","OK")))))))</f>
        <v/>
      </c>
      <c r="L419" s="11">
        <f>IF(OR(A419="",D419=""),"",A419&amp;"-"&amp;B419&amp;"-"&amp;C419)</f>
        <v/>
      </c>
      <c r="M419" s="11">
        <f>IF(OR(L419="",G419=""),"",IF(COUNTIF(L420:L$555,L419)=0,L419,""))</f>
        <v/>
      </c>
      <c r="N419" s="11">
        <f>IFERROR(MATCH(SMALL(前年度名簿!$G$3:$G$452,415),前年度名簿!$G$3:$G$452,0),"")</f>
        <v/>
      </c>
    </row>
    <row r="420">
      <c r="A420" s="49">
        <f>IF($N420="","",INDEX(前年度名簿!$A$3:$A$452,$N420))</f>
        <v/>
      </c>
      <c r="B420" s="49">
        <f>IF($N420="","",INDEX(前年度名簿!$B$3:$B$452,$N420))</f>
        <v/>
      </c>
      <c r="C420" s="49">
        <f>IF($N420="","",INDEX(前年度名簿!$C$3:$C$452,$N420))</f>
        <v/>
      </c>
      <c r="D420" s="49" t="n"/>
      <c r="E420" s="49" t="n"/>
      <c r="F420" s="49" t="n"/>
      <c r="G420" s="4">
        <f>IF(A420="","",IFERROR(INDEX(前年度名簿!$D$3:$D$452,MATCH(A420&amp;"-"&amp;B420&amp;"-"&amp;C420,前年度名簿!$F$3:$F$452,0)),""))</f>
        <v/>
      </c>
      <c r="H420" s="50">
        <f>IF(D420="","",IF(ISERROR(VALUE(D420)),D420&amp;"",IF(AND(VALUE(D420)&gt;=1,VALUE(D420)&lt;=20),IF(INDEX(設定!$P$8:$P$27,VALUE(D420))="","？",INDEX(設定!$P$8:$P$27,VALUE(D420))),"？")))</f>
        <v/>
      </c>
      <c r="I420" s="50">
        <f>IF(E420="","",IF(ISERROR(VALUE(E420)),E420&amp;"",IF(AND(VALUE(E420)&gt;=1,VALUE(E420)&lt;=20),IF(INDEX(設定!$P$8:$P$27,VALUE(E420))="","？",INDEX(設定!$P$8:$P$27,VALUE(E420))),"？")))</f>
        <v/>
      </c>
      <c r="J420" s="50">
        <f>IF(F420="","",IF(ISERROR(VALUE(F420)),F420&amp;"",IF(AND(VALUE(F420)&gt;=1,VALUE(F420)&lt;=20),IF(INDEX(設定!$P$8:$P$27,VALUE(F420))="","？",INDEX(設定!$P$8:$P$27,VALUE(F420))),"？")))</f>
        <v/>
      </c>
      <c r="K420" s="51">
        <f>IF(L420="","",IF(G420="","名簿にいない",IF(COUNTIF(L421:L$555,L420)&gt;0,"2回提出（下の行を使います）",IF(H420="転出","転出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OR(AND(H420&lt;&gt;"",H420=I420),AND(H420&lt;&gt;"",H420=J420),AND(I420&lt;&gt;"",I420=J420)),"同じクラブを重複して希望","OK")))))))</f>
        <v/>
      </c>
      <c r="L420" s="11">
        <f>IF(OR(A420="",D420=""),"",A420&amp;"-"&amp;B420&amp;"-"&amp;C420)</f>
        <v/>
      </c>
      <c r="M420" s="11">
        <f>IF(OR(L420="",G420=""),"",IF(COUNTIF(L421:L$555,L420)=0,L420,""))</f>
        <v/>
      </c>
      <c r="N420" s="11">
        <f>IFERROR(MATCH(SMALL(前年度名簿!$G$3:$G$452,416),前年度名簿!$G$3:$G$452,0),"")</f>
        <v/>
      </c>
    </row>
    <row r="421">
      <c r="A421" s="49">
        <f>IF($N421="","",INDEX(前年度名簿!$A$3:$A$452,$N421))</f>
        <v/>
      </c>
      <c r="B421" s="49">
        <f>IF($N421="","",INDEX(前年度名簿!$B$3:$B$452,$N421))</f>
        <v/>
      </c>
      <c r="C421" s="49">
        <f>IF($N421="","",INDEX(前年度名簿!$C$3:$C$452,$N421))</f>
        <v/>
      </c>
      <c r="D421" s="49" t="n"/>
      <c r="E421" s="49" t="n"/>
      <c r="F421" s="49" t="n"/>
      <c r="G421" s="4">
        <f>IF(A421="","",IFERROR(INDEX(前年度名簿!$D$3:$D$452,MATCH(A421&amp;"-"&amp;B421&amp;"-"&amp;C421,前年度名簿!$F$3:$F$452,0)),""))</f>
        <v/>
      </c>
      <c r="H421" s="50">
        <f>IF(D421="","",IF(ISERROR(VALUE(D421)),D421&amp;"",IF(AND(VALUE(D421)&gt;=1,VALUE(D421)&lt;=20),IF(INDEX(設定!$P$8:$P$27,VALUE(D421))="","？",INDEX(設定!$P$8:$P$27,VALUE(D421))),"？")))</f>
        <v/>
      </c>
      <c r="I421" s="50">
        <f>IF(E421="","",IF(ISERROR(VALUE(E421)),E421&amp;"",IF(AND(VALUE(E421)&gt;=1,VALUE(E421)&lt;=20),IF(INDEX(設定!$P$8:$P$27,VALUE(E421))="","？",INDEX(設定!$P$8:$P$27,VALUE(E421))),"？")))</f>
        <v/>
      </c>
      <c r="J421" s="50">
        <f>IF(F421="","",IF(ISERROR(VALUE(F421)),F421&amp;"",IF(AND(VALUE(F421)&gt;=1,VALUE(F421)&lt;=20),IF(INDEX(設定!$P$8:$P$27,VALUE(F421))="","？",INDEX(設定!$P$8:$P$27,VALUE(F421))),"？")))</f>
        <v/>
      </c>
      <c r="K421" s="51">
        <f>IF(L421="","",IF(G421="","名簿にいない",IF(COUNTIF(L422:L$555,L421)&gt;0,"2回提出（下の行を使います）",IF(H421="転出","転出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OR(AND(H421&lt;&gt;"",H421=I421),AND(H421&lt;&gt;"",H421=J421),AND(I421&lt;&gt;"",I421=J421)),"同じクラブを重複して希望","OK")))))))</f>
        <v/>
      </c>
      <c r="L421" s="11">
        <f>IF(OR(A421="",D421=""),"",A421&amp;"-"&amp;B421&amp;"-"&amp;C421)</f>
        <v/>
      </c>
      <c r="M421" s="11">
        <f>IF(OR(L421="",G421=""),"",IF(COUNTIF(L422:L$555,L421)=0,L421,""))</f>
        <v/>
      </c>
      <c r="N421" s="11">
        <f>IFERROR(MATCH(SMALL(前年度名簿!$G$3:$G$452,417),前年度名簿!$G$3:$G$452,0),"")</f>
        <v/>
      </c>
    </row>
    <row r="422">
      <c r="A422" s="49">
        <f>IF($N422="","",INDEX(前年度名簿!$A$3:$A$452,$N422))</f>
        <v/>
      </c>
      <c r="B422" s="49">
        <f>IF($N422="","",INDEX(前年度名簿!$B$3:$B$452,$N422))</f>
        <v/>
      </c>
      <c r="C422" s="49">
        <f>IF($N422="","",INDEX(前年度名簿!$C$3:$C$452,$N422))</f>
        <v/>
      </c>
      <c r="D422" s="49" t="n"/>
      <c r="E422" s="49" t="n"/>
      <c r="F422" s="49" t="n"/>
      <c r="G422" s="4">
        <f>IF(A422="","",IFERROR(INDEX(前年度名簿!$D$3:$D$452,MATCH(A422&amp;"-"&amp;B422&amp;"-"&amp;C422,前年度名簿!$F$3:$F$452,0)),""))</f>
        <v/>
      </c>
      <c r="H422" s="50">
        <f>IF(D422="","",IF(ISERROR(VALUE(D422)),D422&amp;"",IF(AND(VALUE(D422)&gt;=1,VALUE(D422)&lt;=20),IF(INDEX(設定!$P$8:$P$27,VALUE(D422))="","？",INDEX(設定!$P$8:$P$27,VALUE(D422))),"？")))</f>
        <v/>
      </c>
      <c r="I422" s="50">
        <f>IF(E422="","",IF(ISERROR(VALUE(E422)),E422&amp;"",IF(AND(VALUE(E422)&gt;=1,VALUE(E422)&lt;=20),IF(INDEX(設定!$P$8:$P$27,VALUE(E422))="","？",INDEX(設定!$P$8:$P$27,VALUE(E422))),"？")))</f>
        <v/>
      </c>
      <c r="J422" s="50">
        <f>IF(F422="","",IF(ISERROR(VALUE(F422)),F422&amp;"",IF(AND(VALUE(F422)&gt;=1,VALUE(F422)&lt;=20),IF(INDEX(設定!$P$8:$P$27,VALUE(F422))="","？",INDEX(設定!$P$8:$P$27,VALUE(F422))),"？")))</f>
        <v/>
      </c>
      <c r="K422" s="51">
        <f>IF(L422="","",IF(G422="","名簿にいない",IF(COUNTIF(L423:L$555,L422)&gt;0,"2回提出（下の行を使います）",IF(H422="転出","転出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OR(AND(H422&lt;&gt;"",H422=I422),AND(H422&lt;&gt;"",H422=J422),AND(I422&lt;&gt;"",I422=J422)),"同じクラブを重複して希望","OK")))))))</f>
        <v/>
      </c>
      <c r="L422" s="11">
        <f>IF(OR(A422="",D422=""),"",A422&amp;"-"&amp;B422&amp;"-"&amp;C422)</f>
        <v/>
      </c>
      <c r="M422" s="11">
        <f>IF(OR(L422="",G422=""),"",IF(COUNTIF(L423:L$555,L422)=0,L422,""))</f>
        <v/>
      </c>
      <c r="N422" s="11">
        <f>IFERROR(MATCH(SMALL(前年度名簿!$G$3:$G$452,418),前年度名簿!$G$3:$G$452,0),"")</f>
        <v/>
      </c>
    </row>
    <row r="423">
      <c r="A423" s="49">
        <f>IF($N423="","",INDEX(前年度名簿!$A$3:$A$452,$N423))</f>
        <v/>
      </c>
      <c r="B423" s="49">
        <f>IF($N423="","",INDEX(前年度名簿!$B$3:$B$452,$N423))</f>
        <v/>
      </c>
      <c r="C423" s="49">
        <f>IF($N423="","",INDEX(前年度名簿!$C$3:$C$452,$N423))</f>
        <v/>
      </c>
      <c r="D423" s="49" t="n"/>
      <c r="E423" s="49" t="n"/>
      <c r="F423" s="49" t="n"/>
      <c r="G423" s="4">
        <f>IF(A423="","",IFERROR(INDEX(前年度名簿!$D$3:$D$452,MATCH(A423&amp;"-"&amp;B423&amp;"-"&amp;C423,前年度名簿!$F$3:$F$452,0)),""))</f>
        <v/>
      </c>
      <c r="H423" s="50">
        <f>IF(D423="","",IF(ISERROR(VALUE(D423)),D423&amp;"",IF(AND(VALUE(D423)&gt;=1,VALUE(D423)&lt;=20),IF(INDEX(設定!$P$8:$P$27,VALUE(D423))="","？",INDEX(設定!$P$8:$P$27,VALUE(D423))),"？")))</f>
        <v/>
      </c>
      <c r="I423" s="50">
        <f>IF(E423="","",IF(ISERROR(VALUE(E423)),E423&amp;"",IF(AND(VALUE(E423)&gt;=1,VALUE(E423)&lt;=20),IF(INDEX(設定!$P$8:$P$27,VALUE(E423))="","？",INDEX(設定!$P$8:$P$27,VALUE(E423))),"？")))</f>
        <v/>
      </c>
      <c r="J423" s="50">
        <f>IF(F423="","",IF(ISERROR(VALUE(F423)),F423&amp;"",IF(AND(VALUE(F423)&gt;=1,VALUE(F423)&lt;=20),IF(INDEX(設定!$P$8:$P$27,VALUE(F423))="","？",INDEX(設定!$P$8:$P$27,VALUE(F423))),"？")))</f>
        <v/>
      </c>
      <c r="K423" s="51">
        <f>IF(L423="","",IF(G423="","名簿にいない",IF(COUNTIF(L424:L$555,L423)&gt;0,"2回提出（下の行を使います）",IF(H423="転出","転出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OR(AND(H423&lt;&gt;"",H423=I423),AND(H423&lt;&gt;"",H423=J423),AND(I423&lt;&gt;"",I423=J423)),"同じクラブを重複して希望","OK")))))))</f>
        <v/>
      </c>
      <c r="L423" s="11">
        <f>IF(OR(A423="",D423=""),"",A423&amp;"-"&amp;B423&amp;"-"&amp;C423)</f>
        <v/>
      </c>
      <c r="M423" s="11">
        <f>IF(OR(L423="",G423=""),"",IF(COUNTIF(L424:L$555,L423)=0,L423,""))</f>
        <v/>
      </c>
      <c r="N423" s="11">
        <f>IFERROR(MATCH(SMALL(前年度名簿!$G$3:$G$452,419),前年度名簿!$G$3:$G$452,0),"")</f>
        <v/>
      </c>
    </row>
    <row r="424">
      <c r="A424" s="49">
        <f>IF($N424="","",INDEX(前年度名簿!$A$3:$A$452,$N424))</f>
        <v/>
      </c>
      <c r="B424" s="49">
        <f>IF($N424="","",INDEX(前年度名簿!$B$3:$B$452,$N424))</f>
        <v/>
      </c>
      <c r="C424" s="49">
        <f>IF($N424="","",INDEX(前年度名簿!$C$3:$C$452,$N424))</f>
        <v/>
      </c>
      <c r="D424" s="49" t="n"/>
      <c r="E424" s="49" t="n"/>
      <c r="F424" s="49" t="n"/>
      <c r="G424" s="4">
        <f>IF(A424="","",IFERROR(INDEX(前年度名簿!$D$3:$D$452,MATCH(A424&amp;"-"&amp;B424&amp;"-"&amp;C424,前年度名簿!$F$3:$F$452,0)),""))</f>
        <v/>
      </c>
      <c r="H424" s="50">
        <f>IF(D424="","",IF(ISERROR(VALUE(D424)),D424&amp;"",IF(AND(VALUE(D424)&gt;=1,VALUE(D424)&lt;=20),IF(INDEX(設定!$P$8:$P$27,VALUE(D424))="","？",INDEX(設定!$P$8:$P$27,VALUE(D424))),"？")))</f>
        <v/>
      </c>
      <c r="I424" s="50">
        <f>IF(E424="","",IF(ISERROR(VALUE(E424)),E424&amp;"",IF(AND(VALUE(E424)&gt;=1,VALUE(E424)&lt;=20),IF(INDEX(設定!$P$8:$P$27,VALUE(E424))="","？",INDEX(設定!$P$8:$P$27,VALUE(E424))),"？")))</f>
        <v/>
      </c>
      <c r="J424" s="50">
        <f>IF(F424="","",IF(ISERROR(VALUE(F424)),F424&amp;"",IF(AND(VALUE(F424)&gt;=1,VALUE(F424)&lt;=20),IF(INDEX(設定!$P$8:$P$27,VALUE(F424))="","？",INDEX(設定!$P$8:$P$27,VALUE(F424))),"？")))</f>
        <v/>
      </c>
      <c r="K424" s="51">
        <f>IF(L424="","",IF(G424="","名簿にいない",IF(COUNTIF(L425:L$555,L424)&gt;0,"2回提出（下の行を使います）",IF(H424="転出","転出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OR(AND(H424&lt;&gt;"",H424=I424),AND(H424&lt;&gt;"",H424=J424),AND(I424&lt;&gt;"",I424=J424)),"同じクラブを重複して希望","OK")))))))</f>
        <v/>
      </c>
      <c r="L424" s="11">
        <f>IF(OR(A424="",D424=""),"",A424&amp;"-"&amp;B424&amp;"-"&amp;C424)</f>
        <v/>
      </c>
      <c r="M424" s="11">
        <f>IF(OR(L424="",G424=""),"",IF(COUNTIF(L425:L$555,L424)=0,L424,""))</f>
        <v/>
      </c>
      <c r="N424" s="11">
        <f>IFERROR(MATCH(SMALL(前年度名簿!$G$3:$G$452,420),前年度名簿!$G$3:$G$452,0),"")</f>
        <v/>
      </c>
    </row>
    <row r="425">
      <c r="A425" s="49">
        <f>IF($N425="","",INDEX(前年度名簿!$A$3:$A$452,$N425))</f>
        <v/>
      </c>
      <c r="B425" s="49">
        <f>IF($N425="","",INDEX(前年度名簿!$B$3:$B$452,$N425))</f>
        <v/>
      </c>
      <c r="C425" s="49">
        <f>IF($N425="","",INDEX(前年度名簿!$C$3:$C$452,$N425))</f>
        <v/>
      </c>
      <c r="D425" s="49" t="n"/>
      <c r="E425" s="49" t="n"/>
      <c r="F425" s="49" t="n"/>
      <c r="G425" s="4">
        <f>IF(A425="","",IFERROR(INDEX(前年度名簿!$D$3:$D$452,MATCH(A425&amp;"-"&amp;B425&amp;"-"&amp;C425,前年度名簿!$F$3:$F$452,0)),""))</f>
        <v/>
      </c>
      <c r="H425" s="50">
        <f>IF(D425="","",IF(ISERROR(VALUE(D425)),D425&amp;"",IF(AND(VALUE(D425)&gt;=1,VALUE(D425)&lt;=20),IF(INDEX(設定!$P$8:$P$27,VALUE(D425))="","？",INDEX(設定!$P$8:$P$27,VALUE(D425))),"？")))</f>
        <v/>
      </c>
      <c r="I425" s="50">
        <f>IF(E425="","",IF(ISERROR(VALUE(E425)),E425&amp;"",IF(AND(VALUE(E425)&gt;=1,VALUE(E425)&lt;=20),IF(INDEX(設定!$P$8:$P$27,VALUE(E425))="","？",INDEX(設定!$P$8:$P$27,VALUE(E425))),"？")))</f>
        <v/>
      </c>
      <c r="J425" s="50">
        <f>IF(F425="","",IF(ISERROR(VALUE(F425)),F425&amp;"",IF(AND(VALUE(F425)&gt;=1,VALUE(F425)&lt;=20),IF(INDEX(設定!$P$8:$P$27,VALUE(F425))="","？",INDEX(設定!$P$8:$P$27,VALUE(F425))),"？")))</f>
        <v/>
      </c>
      <c r="K425" s="51">
        <f>IF(L425="","",IF(G425="","名簿にいない",IF(COUNTIF(L426:L$555,L425)&gt;0,"2回提出（下の行を使います）",IF(H425="転出","転出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OR(AND(H425&lt;&gt;"",H425=I425),AND(H425&lt;&gt;"",H425=J425),AND(I425&lt;&gt;"",I425=J425)),"同じクラブを重複して希望","OK")))))))</f>
        <v/>
      </c>
      <c r="L425" s="11">
        <f>IF(OR(A425="",D425=""),"",A425&amp;"-"&amp;B425&amp;"-"&amp;C425)</f>
        <v/>
      </c>
      <c r="M425" s="11">
        <f>IF(OR(L425="",G425=""),"",IF(COUNTIF(L426:L$555,L425)=0,L425,""))</f>
        <v/>
      </c>
      <c r="N425" s="11">
        <f>IFERROR(MATCH(SMALL(前年度名簿!$G$3:$G$452,421),前年度名簿!$G$3:$G$452,0),"")</f>
        <v/>
      </c>
    </row>
    <row r="426">
      <c r="A426" s="49">
        <f>IF($N426="","",INDEX(前年度名簿!$A$3:$A$452,$N426))</f>
        <v/>
      </c>
      <c r="B426" s="49">
        <f>IF($N426="","",INDEX(前年度名簿!$B$3:$B$452,$N426))</f>
        <v/>
      </c>
      <c r="C426" s="49">
        <f>IF($N426="","",INDEX(前年度名簿!$C$3:$C$452,$N426))</f>
        <v/>
      </c>
      <c r="D426" s="49" t="n"/>
      <c r="E426" s="49" t="n"/>
      <c r="F426" s="49" t="n"/>
      <c r="G426" s="4">
        <f>IF(A426="","",IFERROR(INDEX(前年度名簿!$D$3:$D$452,MATCH(A426&amp;"-"&amp;B426&amp;"-"&amp;C426,前年度名簿!$F$3:$F$452,0)),""))</f>
        <v/>
      </c>
      <c r="H426" s="50">
        <f>IF(D426="","",IF(ISERROR(VALUE(D426)),D426&amp;"",IF(AND(VALUE(D426)&gt;=1,VALUE(D426)&lt;=20),IF(INDEX(設定!$P$8:$P$27,VALUE(D426))="","？",INDEX(設定!$P$8:$P$27,VALUE(D426))),"？")))</f>
        <v/>
      </c>
      <c r="I426" s="50">
        <f>IF(E426="","",IF(ISERROR(VALUE(E426)),E426&amp;"",IF(AND(VALUE(E426)&gt;=1,VALUE(E426)&lt;=20),IF(INDEX(設定!$P$8:$P$27,VALUE(E426))="","？",INDEX(設定!$P$8:$P$27,VALUE(E426))),"？")))</f>
        <v/>
      </c>
      <c r="J426" s="50">
        <f>IF(F426="","",IF(ISERROR(VALUE(F426)),F426&amp;"",IF(AND(VALUE(F426)&gt;=1,VALUE(F426)&lt;=20),IF(INDEX(設定!$P$8:$P$27,VALUE(F426))="","？",INDEX(設定!$P$8:$P$27,VALUE(F426))),"？")))</f>
        <v/>
      </c>
      <c r="K426" s="51">
        <f>IF(L426="","",IF(G426="","名簿にいない",IF(COUNTIF(L427:L$555,L426)&gt;0,"2回提出（下の行を使います）",IF(H426="転出","転出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OR(AND(H426&lt;&gt;"",H426=I426),AND(H426&lt;&gt;"",H426=J426),AND(I426&lt;&gt;"",I426=J426)),"同じクラブを重複して希望","OK")))))))</f>
        <v/>
      </c>
      <c r="L426" s="11">
        <f>IF(OR(A426="",D426=""),"",A426&amp;"-"&amp;B426&amp;"-"&amp;C426)</f>
        <v/>
      </c>
      <c r="M426" s="11">
        <f>IF(OR(L426="",G426=""),"",IF(COUNTIF(L427:L$555,L426)=0,L426,""))</f>
        <v/>
      </c>
      <c r="N426" s="11">
        <f>IFERROR(MATCH(SMALL(前年度名簿!$G$3:$G$452,422),前年度名簿!$G$3:$G$452,0),"")</f>
        <v/>
      </c>
    </row>
    <row r="427">
      <c r="A427" s="49">
        <f>IF($N427="","",INDEX(前年度名簿!$A$3:$A$452,$N427))</f>
        <v/>
      </c>
      <c r="B427" s="49">
        <f>IF($N427="","",INDEX(前年度名簿!$B$3:$B$452,$N427))</f>
        <v/>
      </c>
      <c r="C427" s="49">
        <f>IF($N427="","",INDEX(前年度名簿!$C$3:$C$452,$N427))</f>
        <v/>
      </c>
      <c r="D427" s="49" t="n"/>
      <c r="E427" s="49" t="n"/>
      <c r="F427" s="49" t="n"/>
      <c r="G427" s="4">
        <f>IF(A427="","",IFERROR(INDEX(前年度名簿!$D$3:$D$452,MATCH(A427&amp;"-"&amp;B427&amp;"-"&amp;C427,前年度名簿!$F$3:$F$452,0)),""))</f>
        <v/>
      </c>
      <c r="H427" s="50">
        <f>IF(D427="","",IF(ISERROR(VALUE(D427)),D427&amp;"",IF(AND(VALUE(D427)&gt;=1,VALUE(D427)&lt;=20),IF(INDEX(設定!$P$8:$P$27,VALUE(D427))="","？",INDEX(設定!$P$8:$P$27,VALUE(D427))),"？")))</f>
        <v/>
      </c>
      <c r="I427" s="50">
        <f>IF(E427="","",IF(ISERROR(VALUE(E427)),E427&amp;"",IF(AND(VALUE(E427)&gt;=1,VALUE(E427)&lt;=20),IF(INDEX(設定!$P$8:$P$27,VALUE(E427))="","？",INDEX(設定!$P$8:$P$27,VALUE(E427))),"？")))</f>
        <v/>
      </c>
      <c r="J427" s="50">
        <f>IF(F427="","",IF(ISERROR(VALUE(F427)),F427&amp;"",IF(AND(VALUE(F427)&gt;=1,VALUE(F427)&lt;=20),IF(INDEX(設定!$P$8:$P$27,VALUE(F427))="","？",INDEX(設定!$P$8:$P$27,VALUE(F427))),"？")))</f>
        <v/>
      </c>
      <c r="K427" s="51">
        <f>IF(L427="","",IF(G427="","名簿にいない",IF(COUNTIF(L428:L$555,L427)&gt;0,"2回提出（下の行を使います）",IF(H427="転出","転出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OR(AND(H427&lt;&gt;"",H427=I427),AND(H427&lt;&gt;"",H427=J427),AND(I427&lt;&gt;"",I427=J427)),"同じクラブを重複して希望","OK")))))))</f>
        <v/>
      </c>
      <c r="L427" s="11">
        <f>IF(OR(A427="",D427=""),"",A427&amp;"-"&amp;B427&amp;"-"&amp;C427)</f>
        <v/>
      </c>
      <c r="M427" s="11">
        <f>IF(OR(L427="",G427=""),"",IF(COUNTIF(L428:L$555,L427)=0,L427,""))</f>
        <v/>
      </c>
      <c r="N427" s="11">
        <f>IFERROR(MATCH(SMALL(前年度名簿!$G$3:$G$452,423),前年度名簿!$G$3:$G$452,0),"")</f>
        <v/>
      </c>
    </row>
    <row r="428">
      <c r="A428" s="49">
        <f>IF($N428="","",INDEX(前年度名簿!$A$3:$A$452,$N428))</f>
        <v/>
      </c>
      <c r="B428" s="49">
        <f>IF($N428="","",INDEX(前年度名簿!$B$3:$B$452,$N428))</f>
        <v/>
      </c>
      <c r="C428" s="49">
        <f>IF($N428="","",INDEX(前年度名簿!$C$3:$C$452,$N428))</f>
        <v/>
      </c>
      <c r="D428" s="49" t="n"/>
      <c r="E428" s="49" t="n"/>
      <c r="F428" s="49" t="n"/>
      <c r="G428" s="4">
        <f>IF(A428="","",IFERROR(INDEX(前年度名簿!$D$3:$D$452,MATCH(A428&amp;"-"&amp;B428&amp;"-"&amp;C428,前年度名簿!$F$3:$F$452,0)),""))</f>
        <v/>
      </c>
      <c r="H428" s="50">
        <f>IF(D428="","",IF(ISERROR(VALUE(D428)),D428&amp;"",IF(AND(VALUE(D428)&gt;=1,VALUE(D428)&lt;=20),IF(INDEX(設定!$P$8:$P$27,VALUE(D428))="","？",INDEX(設定!$P$8:$P$27,VALUE(D428))),"？")))</f>
        <v/>
      </c>
      <c r="I428" s="50">
        <f>IF(E428="","",IF(ISERROR(VALUE(E428)),E428&amp;"",IF(AND(VALUE(E428)&gt;=1,VALUE(E428)&lt;=20),IF(INDEX(設定!$P$8:$P$27,VALUE(E428))="","？",INDEX(設定!$P$8:$P$27,VALUE(E428))),"？")))</f>
        <v/>
      </c>
      <c r="J428" s="50">
        <f>IF(F428="","",IF(ISERROR(VALUE(F428)),F428&amp;"",IF(AND(VALUE(F428)&gt;=1,VALUE(F428)&lt;=20),IF(INDEX(設定!$P$8:$P$27,VALUE(F428))="","？",INDEX(設定!$P$8:$P$27,VALUE(F428))),"？")))</f>
        <v/>
      </c>
      <c r="K428" s="51">
        <f>IF(L428="","",IF(G428="","名簿にいない",IF(COUNTIF(L429:L$555,L428)&gt;0,"2回提出（下の行を使います）",IF(H428="転出","転出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OR(AND(H428&lt;&gt;"",H428=I428),AND(H428&lt;&gt;"",H428=J428),AND(I428&lt;&gt;"",I428=J428)),"同じクラブを重複して希望","OK")))))))</f>
        <v/>
      </c>
      <c r="L428" s="11">
        <f>IF(OR(A428="",D428=""),"",A428&amp;"-"&amp;B428&amp;"-"&amp;C428)</f>
        <v/>
      </c>
      <c r="M428" s="11">
        <f>IF(OR(L428="",G428=""),"",IF(COUNTIF(L429:L$555,L428)=0,L428,""))</f>
        <v/>
      </c>
      <c r="N428" s="11">
        <f>IFERROR(MATCH(SMALL(前年度名簿!$G$3:$G$452,424),前年度名簿!$G$3:$G$452,0),"")</f>
        <v/>
      </c>
    </row>
    <row r="429">
      <c r="A429" s="49">
        <f>IF($N429="","",INDEX(前年度名簿!$A$3:$A$452,$N429))</f>
        <v/>
      </c>
      <c r="B429" s="49">
        <f>IF($N429="","",INDEX(前年度名簿!$B$3:$B$452,$N429))</f>
        <v/>
      </c>
      <c r="C429" s="49">
        <f>IF($N429="","",INDEX(前年度名簿!$C$3:$C$452,$N429))</f>
        <v/>
      </c>
      <c r="D429" s="49" t="n"/>
      <c r="E429" s="49" t="n"/>
      <c r="F429" s="49" t="n"/>
      <c r="G429" s="4">
        <f>IF(A429="","",IFERROR(INDEX(前年度名簿!$D$3:$D$452,MATCH(A429&amp;"-"&amp;B429&amp;"-"&amp;C429,前年度名簿!$F$3:$F$452,0)),""))</f>
        <v/>
      </c>
      <c r="H429" s="50">
        <f>IF(D429="","",IF(ISERROR(VALUE(D429)),D429&amp;"",IF(AND(VALUE(D429)&gt;=1,VALUE(D429)&lt;=20),IF(INDEX(設定!$P$8:$P$27,VALUE(D429))="","？",INDEX(設定!$P$8:$P$27,VALUE(D429))),"？")))</f>
        <v/>
      </c>
      <c r="I429" s="50">
        <f>IF(E429="","",IF(ISERROR(VALUE(E429)),E429&amp;"",IF(AND(VALUE(E429)&gt;=1,VALUE(E429)&lt;=20),IF(INDEX(設定!$P$8:$P$27,VALUE(E429))="","？",INDEX(設定!$P$8:$P$27,VALUE(E429))),"？")))</f>
        <v/>
      </c>
      <c r="J429" s="50">
        <f>IF(F429="","",IF(ISERROR(VALUE(F429)),F429&amp;"",IF(AND(VALUE(F429)&gt;=1,VALUE(F429)&lt;=20),IF(INDEX(設定!$P$8:$P$27,VALUE(F429))="","？",INDEX(設定!$P$8:$P$27,VALUE(F429))),"？")))</f>
        <v/>
      </c>
      <c r="K429" s="51">
        <f>IF(L429="","",IF(G429="","名簿にいない",IF(COUNTIF(L430:L$555,L429)&gt;0,"2回提出（下の行を使います）",IF(H429="転出","転出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OR(AND(H429&lt;&gt;"",H429=I429),AND(H429&lt;&gt;"",H429=J429),AND(I429&lt;&gt;"",I429=J429)),"同じクラブを重複して希望","OK")))))))</f>
        <v/>
      </c>
      <c r="L429" s="11">
        <f>IF(OR(A429="",D429=""),"",A429&amp;"-"&amp;B429&amp;"-"&amp;C429)</f>
        <v/>
      </c>
      <c r="M429" s="11">
        <f>IF(OR(L429="",G429=""),"",IF(COUNTIF(L430:L$555,L429)=0,L429,""))</f>
        <v/>
      </c>
      <c r="N429" s="11">
        <f>IFERROR(MATCH(SMALL(前年度名簿!$G$3:$G$452,425),前年度名簿!$G$3:$G$452,0),"")</f>
        <v/>
      </c>
    </row>
    <row r="430">
      <c r="A430" s="49">
        <f>IF($N430="","",INDEX(前年度名簿!$A$3:$A$452,$N430))</f>
        <v/>
      </c>
      <c r="B430" s="49">
        <f>IF($N430="","",INDEX(前年度名簿!$B$3:$B$452,$N430))</f>
        <v/>
      </c>
      <c r="C430" s="49">
        <f>IF($N430="","",INDEX(前年度名簿!$C$3:$C$452,$N430))</f>
        <v/>
      </c>
      <c r="D430" s="49" t="n"/>
      <c r="E430" s="49" t="n"/>
      <c r="F430" s="49" t="n"/>
      <c r="G430" s="4">
        <f>IF(A430="","",IFERROR(INDEX(前年度名簿!$D$3:$D$452,MATCH(A430&amp;"-"&amp;B430&amp;"-"&amp;C430,前年度名簿!$F$3:$F$452,0)),""))</f>
        <v/>
      </c>
      <c r="H430" s="50">
        <f>IF(D430="","",IF(ISERROR(VALUE(D430)),D430&amp;"",IF(AND(VALUE(D430)&gt;=1,VALUE(D430)&lt;=20),IF(INDEX(設定!$P$8:$P$27,VALUE(D430))="","？",INDEX(設定!$P$8:$P$27,VALUE(D430))),"？")))</f>
        <v/>
      </c>
      <c r="I430" s="50">
        <f>IF(E430="","",IF(ISERROR(VALUE(E430)),E430&amp;"",IF(AND(VALUE(E430)&gt;=1,VALUE(E430)&lt;=20),IF(INDEX(設定!$P$8:$P$27,VALUE(E430))="","？",INDEX(設定!$P$8:$P$27,VALUE(E430))),"？")))</f>
        <v/>
      </c>
      <c r="J430" s="50">
        <f>IF(F430="","",IF(ISERROR(VALUE(F430)),F430&amp;"",IF(AND(VALUE(F430)&gt;=1,VALUE(F430)&lt;=20),IF(INDEX(設定!$P$8:$P$27,VALUE(F430))="","？",INDEX(設定!$P$8:$P$27,VALUE(F430))),"？")))</f>
        <v/>
      </c>
      <c r="K430" s="51">
        <f>IF(L430="","",IF(G430="","名簿にいない",IF(COUNTIF(L431:L$555,L430)&gt;0,"2回提出（下の行を使います）",IF(H430="転出","転出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OR(AND(H430&lt;&gt;"",H430=I430),AND(H430&lt;&gt;"",H430=J430),AND(I430&lt;&gt;"",I430=J430)),"同じクラブを重複して希望","OK")))))))</f>
        <v/>
      </c>
      <c r="L430" s="11">
        <f>IF(OR(A430="",D430=""),"",A430&amp;"-"&amp;B430&amp;"-"&amp;C430)</f>
        <v/>
      </c>
      <c r="M430" s="11">
        <f>IF(OR(L430="",G430=""),"",IF(COUNTIF(L431:L$555,L430)=0,L430,""))</f>
        <v/>
      </c>
      <c r="N430" s="11">
        <f>IFERROR(MATCH(SMALL(前年度名簿!$G$3:$G$452,426),前年度名簿!$G$3:$G$452,0),"")</f>
        <v/>
      </c>
    </row>
    <row r="431">
      <c r="A431" s="49">
        <f>IF($N431="","",INDEX(前年度名簿!$A$3:$A$452,$N431))</f>
        <v/>
      </c>
      <c r="B431" s="49">
        <f>IF($N431="","",INDEX(前年度名簿!$B$3:$B$452,$N431))</f>
        <v/>
      </c>
      <c r="C431" s="49">
        <f>IF($N431="","",INDEX(前年度名簿!$C$3:$C$452,$N431))</f>
        <v/>
      </c>
      <c r="D431" s="49" t="n"/>
      <c r="E431" s="49" t="n"/>
      <c r="F431" s="49" t="n"/>
      <c r="G431" s="4">
        <f>IF(A431="","",IFERROR(INDEX(前年度名簿!$D$3:$D$452,MATCH(A431&amp;"-"&amp;B431&amp;"-"&amp;C431,前年度名簿!$F$3:$F$452,0)),""))</f>
        <v/>
      </c>
      <c r="H431" s="50">
        <f>IF(D431="","",IF(ISERROR(VALUE(D431)),D431&amp;"",IF(AND(VALUE(D431)&gt;=1,VALUE(D431)&lt;=20),IF(INDEX(設定!$P$8:$P$27,VALUE(D431))="","？",INDEX(設定!$P$8:$P$27,VALUE(D431))),"？")))</f>
        <v/>
      </c>
      <c r="I431" s="50">
        <f>IF(E431="","",IF(ISERROR(VALUE(E431)),E431&amp;"",IF(AND(VALUE(E431)&gt;=1,VALUE(E431)&lt;=20),IF(INDEX(設定!$P$8:$P$27,VALUE(E431))="","？",INDEX(設定!$P$8:$P$27,VALUE(E431))),"？")))</f>
        <v/>
      </c>
      <c r="J431" s="50">
        <f>IF(F431="","",IF(ISERROR(VALUE(F431)),F431&amp;"",IF(AND(VALUE(F431)&gt;=1,VALUE(F431)&lt;=20),IF(INDEX(設定!$P$8:$P$27,VALUE(F431))="","？",INDEX(設定!$P$8:$P$27,VALUE(F431))),"？")))</f>
        <v/>
      </c>
      <c r="K431" s="51">
        <f>IF(L431="","",IF(G431="","名簿にいない",IF(COUNTIF(L432:L$555,L431)&gt;0,"2回提出（下の行を使います）",IF(H431="転出","転出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OR(AND(H431&lt;&gt;"",H431=I431),AND(H431&lt;&gt;"",H431=J431),AND(I431&lt;&gt;"",I431=J431)),"同じクラブを重複して希望","OK")))))))</f>
        <v/>
      </c>
      <c r="L431" s="11">
        <f>IF(OR(A431="",D431=""),"",A431&amp;"-"&amp;B431&amp;"-"&amp;C431)</f>
        <v/>
      </c>
      <c r="M431" s="11">
        <f>IF(OR(L431="",G431=""),"",IF(COUNTIF(L432:L$555,L431)=0,L431,""))</f>
        <v/>
      </c>
      <c r="N431" s="11">
        <f>IFERROR(MATCH(SMALL(前年度名簿!$G$3:$G$452,427),前年度名簿!$G$3:$G$452,0),"")</f>
        <v/>
      </c>
    </row>
    <row r="432">
      <c r="A432" s="49">
        <f>IF($N432="","",INDEX(前年度名簿!$A$3:$A$452,$N432))</f>
        <v/>
      </c>
      <c r="B432" s="49">
        <f>IF($N432="","",INDEX(前年度名簿!$B$3:$B$452,$N432))</f>
        <v/>
      </c>
      <c r="C432" s="49">
        <f>IF($N432="","",INDEX(前年度名簿!$C$3:$C$452,$N432))</f>
        <v/>
      </c>
      <c r="D432" s="49" t="n"/>
      <c r="E432" s="49" t="n"/>
      <c r="F432" s="49" t="n"/>
      <c r="G432" s="4">
        <f>IF(A432="","",IFERROR(INDEX(前年度名簿!$D$3:$D$452,MATCH(A432&amp;"-"&amp;B432&amp;"-"&amp;C432,前年度名簿!$F$3:$F$452,0)),""))</f>
        <v/>
      </c>
      <c r="H432" s="50">
        <f>IF(D432="","",IF(ISERROR(VALUE(D432)),D432&amp;"",IF(AND(VALUE(D432)&gt;=1,VALUE(D432)&lt;=20),IF(INDEX(設定!$P$8:$P$27,VALUE(D432))="","？",INDEX(設定!$P$8:$P$27,VALUE(D432))),"？")))</f>
        <v/>
      </c>
      <c r="I432" s="50">
        <f>IF(E432="","",IF(ISERROR(VALUE(E432)),E432&amp;"",IF(AND(VALUE(E432)&gt;=1,VALUE(E432)&lt;=20),IF(INDEX(設定!$P$8:$P$27,VALUE(E432))="","？",INDEX(設定!$P$8:$P$27,VALUE(E432))),"？")))</f>
        <v/>
      </c>
      <c r="J432" s="50">
        <f>IF(F432="","",IF(ISERROR(VALUE(F432)),F432&amp;"",IF(AND(VALUE(F432)&gt;=1,VALUE(F432)&lt;=20),IF(INDEX(設定!$P$8:$P$27,VALUE(F432))="","？",INDEX(設定!$P$8:$P$27,VALUE(F432))),"？")))</f>
        <v/>
      </c>
      <c r="K432" s="51">
        <f>IF(L432="","",IF(G432="","名簿にいない",IF(COUNTIF(L433:L$555,L432)&gt;0,"2回提出（下の行を使います）",IF(H432="転出","転出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OR(AND(H432&lt;&gt;"",H432=I432),AND(H432&lt;&gt;"",H432=J432),AND(I432&lt;&gt;"",I432=J432)),"同じクラブを重複して希望","OK")))))))</f>
        <v/>
      </c>
      <c r="L432" s="11">
        <f>IF(OR(A432="",D432=""),"",A432&amp;"-"&amp;B432&amp;"-"&amp;C432)</f>
        <v/>
      </c>
      <c r="M432" s="11">
        <f>IF(OR(L432="",G432=""),"",IF(COUNTIF(L433:L$555,L432)=0,L432,""))</f>
        <v/>
      </c>
      <c r="N432" s="11">
        <f>IFERROR(MATCH(SMALL(前年度名簿!$G$3:$G$452,428),前年度名簿!$G$3:$G$452,0),"")</f>
        <v/>
      </c>
    </row>
    <row r="433">
      <c r="A433" s="49">
        <f>IF($N433="","",INDEX(前年度名簿!$A$3:$A$452,$N433))</f>
        <v/>
      </c>
      <c r="B433" s="49">
        <f>IF($N433="","",INDEX(前年度名簿!$B$3:$B$452,$N433))</f>
        <v/>
      </c>
      <c r="C433" s="49">
        <f>IF($N433="","",INDEX(前年度名簿!$C$3:$C$452,$N433))</f>
        <v/>
      </c>
      <c r="D433" s="49" t="n"/>
      <c r="E433" s="49" t="n"/>
      <c r="F433" s="49" t="n"/>
      <c r="G433" s="4">
        <f>IF(A433="","",IFERROR(INDEX(前年度名簿!$D$3:$D$452,MATCH(A433&amp;"-"&amp;B433&amp;"-"&amp;C433,前年度名簿!$F$3:$F$452,0)),""))</f>
        <v/>
      </c>
      <c r="H433" s="50">
        <f>IF(D433="","",IF(ISERROR(VALUE(D433)),D433&amp;"",IF(AND(VALUE(D433)&gt;=1,VALUE(D433)&lt;=20),IF(INDEX(設定!$P$8:$P$27,VALUE(D433))="","？",INDEX(設定!$P$8:$P$27,VALUE(D433))),"？")))</f>
        <v/>
      </c>
      <c r="I433" s="50">
        <f>IF(E433="","",IF(ISERROR(VALUE(E433)),E433&amp;"",IF(AND(VALUE(E433)&gt;=1,VALUE(E433)&lt;=20),IF(INDEX(設定!$P$8:$P$27,VALUE(E433))="","？",INDEX(設定!$P$8:$P$27,VALUE(E433))),"？")))</f>
        <v/>
      </c>
      <c r="J433" s="50">
        <f>IF(F433="","",IF(ISERROR(VALUE(F433)),F433&amp;"",IF(AND(VALUE(F433)&gt;=1,VALUE(F433)&lt;=20),IF(INDEX(設定!$P$8:$P$27,VALUE(F433))="","？",INDEX(設定!$P$8:$P$27,VALUE(F433))),"？")))</f>
        <v/>
      </c>
      <c r="K433" s="51">
        <f>IF(L433="","",IF(G433="","名簿にいない",IF(COUNTIF(L434:L$555,L433)&gt;0,"2回提出（下の行を使います）",IF(H433="転出","転出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OR(AND(H433&lt;&gt;"",H433=I433),AND(H433&lt;&gt;"",H433=J433),AND(I433&lt;&gt;"",I433=J433)),"同じクラブを重複して希望","OK")))))))</f>
        <v/>
      </c>
      <c r="L433" s="11">
        <f>IF(OR(A433="",D433=""),"",A433&amp;"-"&amp;B433&amp;"-"&amp;C433)</f>
        <v/>
      </c>
      <c r="M433" s="11">
        <f>IF(OR(L433="",G433=""),"",IF(COUNTIF(L434:L$555,L433)=0,L433,""))</f>
        <v/>
      </c>
      <c r="N433" s="11">
        <f>IFERROR(MATCH(SMALL(前年度名簿!$G$3:$G$452,429),前年度名簿!$G$3:$G$452,0),"")</f>
        <v/>
      </c>
    </row>
    <row r="434">
      <c r="A434" s="49">
        <f>IF($N434="","",INDEX(前年度名簿!$A$3:$A$452,$N434))</f>
        <v/>
      </c>
      <c r="B434" s="49">
        <f>IF($N434="","",INDEX(前年度名簿!$B$3:$B$452,$N434))</f>
        <v/>
      </c>
      <c r="C434" s="49">
        <f>IF($N434="","",INDEX(前年度名簿!$C$3:$C$452,$N434))</f>
        <v/>
      </c>
      <c r="D434" s="49" t="n"/>
      <c r="E434" s="49" t="n"/>
      <c r="F434" s="49" t="n"/>
      <c r="G434" s="4">
        <f>IF(A434="","",IFERROR(INDEX(前年度名簿!$D$3:$D$452,MATCH(A434&amp;"-"&amp;B434&amp;"-"&amp;C434,前年度名簿!$F$3:$F$452,0)),""))</f>
        <v/>
      </c>
      <c r="H434" s="50">
        <f>IF(D434="","",IF(ISERROR(VALUE(D434)),D434&amp;"",IF(AND(VALUE(D434)&gt;=1,VALUE(D434)&lt;=20),IF(INDEX(設定!$P$8:$P$27,VALUE(D434))="","？",INDEX(設定!$P$8:$P$27,VALUE(D434))),"？")))</f>
        <v/>
      </c>
      <c r="I434" s="50">
        <f>IF(E434="","",IF(ISERROR(VALUE(E434)),E434&amp;"",IF(AND(VALUE(E434)&gt;=1,VALUE(E434)&lt;=20),IF(INDEX(設定!$P$8:$P$27,VALUE(E434))="","？",INDEX(設定!$P$8:$P$27,VALUE(E434))),"？")))</f>
        <v/>
      </c>
      <c r="J434" s="50">
        <f>IF(F434="","",IF(ISERROR(VALUE(F434)),F434&amp;"",IF(AND(VALUE(F434)&gt;=1,VALUE(F434)&lt;=20),IF(INDEX(設定!$P$8:$P$27,VALUE(F434))="","？",INDEX(設定!$P$8:$P$27,VALUE(F434))),"？")))</f>
        <v/>
      </c>
      <c r="K434" s="51">
        <f>IF(L434="","",IF(G434="","名簿にいない",IF(COUNTIF(L435:L$555,L434)&gt;0,"2回提出（下の行を使います）",IF(H434="転出","転出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OR(AND(H434&lt;&gt;"",H434=I434),AND(H434&lt;&gt;"",H434=J434),AND(I434&lt;&gt;"",I434=J434)),"同じクラブを重複して希望","OK")))))))</f>
        <v/>
      </c>
      <c r="L434" s="11">
        <f>IF(OR(A434="",D434=""),"",A434&amp;"-"&amp;B434&amp;"-"&amp;C434)</f>
        <v/>
      </c>
      <c r="M434" s="11">
        <f>IF(OR(L434="",G434=""),"",IF(COUNTIF(L435:L$555,L434)=0,L434,""))</f>
        <v/>
      </c>
      <c r="N434" s="11">
        <f>IFERROR(MATCH(SMALL(前年度名簿!$G$3:$G$452,430),前年度名簿!$G$3:$G$452,0),"")</f>
        <v/>
      </c>
    </row>
    <row r="435">
      <c r="A435" s="49">
        <f>IF($N435="","",INDEX(前年度名簿!$A$3:$A$452,$N435))</f>
        <v/>
      </c>
      <c r="B435" s="49">
        <f>IF($N435="","",INDEX(前年度名簿!$B$3:$B$452,$N435))</f>
        <v/>
      </c>
      <c r="C435" s="49">
        <f>IF($N435="","",INDEX(前年度名簿!$C$3:$C$452,$N435))</f>
        <v/>
      </c>
      <c r="D435" s="49" t="n"/>
      <c r="E435" s="49" t="n"/>
      <c r="F435" s="49" t="n"/>
      <c r="G435" s="4">
        <f>IF(A435="","",IFERROR(INDEX(前年度名簿!$D$3:$D$452,MATCH(A435&amp;"-"&amp;B435&amp;"-"&amp;C435,前年度名簿!$F$3:$F$452,0)),""))</f>
        <v/>
      </c>
      <c r="H435" s="50">
        <f>IF(D435="","",IF(ISERROR(VALUE(D435)),D435&amp;"",IF(AND(VALUE(D435)&gt;=1,VALUE(D435)&lt;=20),IF(INDEX(設定!$P$8:$P$27,VALUE(D435))="","？",INDEX(設定!$P$8:$P$27,VALUE(D435))),"？")))</f>
        <v/>
      </c>
      <c r="I435" s="50">
        <f>IF(E435="","",IF(ISERROR(VALUE(E435)),E435&amp;"",IF(AND(VALUE(E435)&gt;=1,VALUE(E435)&lt;=20),IF(INDEX(設定!$P$8:$P$27,VALUE(E435))="","？",INDEX(設定!$P$8:$P$27,VALUE(E435))),"？")))</f>
        <v/>
      </c>
      <c r="J435" s="50">
        <f>IF(F435="","",IF(ISERROR(VALUE(F435)),F435&amp;"",IF(AND(VALUE(F435)&gt;=1,VALUE(F435)&lt;=20),IF(INDEX(設定!$P$8:$P$27,VALUE(F435))="","？",INDEX(設定!$P$8:$P$27,VALUE(F435))),"？")))</f>
        <v/>
      </c>
      <c r="K435" s="51">
        <f>IF(L435="","",IF(G435="","名簿にいない",IF(COUNTIF(L436:L$555,L435)&gt;0,"2回提出（下の行を使います）",IF(H435="転出","転出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OR(AND(H435&lt;&gt;"",H435=I435),AND(H435&lt;&gt;"",H435=J435),AND(I435&lt;&gt;"",I435=J435)),"同じクラブを重複して希望","OK")))))))</f>
        <v/>
      </c>
      <c r="L435" s="11">
        <f>IF(OR(A435="",D435=""),"",A435&amp;"-"&amp;B435&amp;"-"&amp;C435)</f>
        <v/>
      </c>
      <c r="M435" s="11">
        <f>IF(OR(L435="",G435=""),"",IF(COUNTIF(L436:L$555,L435)=0,L435,""))</f>
        <v/>
      </c>
      <c r="N435" s="11">
        <f>IFERROR(MATCH(SMALL(前年度名簿!$G$3:$G$452,431),前年度名簿!$G$3:$G$452,0),"")</f>
        <v/>
      </c>
    </row>
    <row r="436">
      <c r="A436" s="49">
        <f>IF($N436="","",INDEX(前年度名簿!$A$3:$A$452,$N436))</f>
        <v/>
      </c>
      <c r="B436" s="49">
        <f>IF($N436="","",INDEX(前年度名簿!$B$3:$B$452,$N436))</f>
        <v/>
      </c>
      <c r="C436" s="49">
        <f>IF($N436="","",INDEX(前年度名簿!$C$3:$C$452,$N436))</f>
        <v/>
      </c>
      <c r="D436" s="49" t="n"/>
      <c r="E436" s="49" t="n"/>
      <c r="F436" s="49" t="n"/>
      <c r="G436" s="4">
        <f>IF(A436="","",IFERROR(INDEX(前年度名簿!$D$3:$D$452,MATCH(A436&amp;"-"&amp;B436&amp;"-"&amp;C436,前年度名簿!$F$3:$F$452,0)),""))</f>
        <v/>
      </c>
      <c r="H436" s="50">
        <f>IF(D436="","",IF(ISERROR(VALUE(D436)),D436&amp;"",IF(AND(VALUE(D436)&gt;=1,VALUE(D436)&lt;=20),IF(INDEX(設定!$P$8:$P$27,VALUE(D436))="","？",INDEX(設定!$P$8:$P$27,VALUE(D436))),"？")))</f>
        <v/>
      </c>
      <c r="I436" s="50">
        <f>IF(E436="","",IF(ISERROR(VALUE(E436)),E436&amp;"",IF(AND(VALUE(E436)&gt;=1,VALUE(E436)&lt;=20),IF(INDEX(設定!$P$8:$P$27,VALUE(E436))="","？",INDEX(設定!$P$8:$P$27,VALUE(E436))),"？")))</f>
        <v/>
      </c>
      <c r="J436" s="50">
        <f>IF(F436="","",IF(ISERROR(VALUE(F436)),F436&amp;"",IF(AND(VALUE(F436)&gt;=1,VALUE(F436)&lt;=20),IF(INDEX(設定!$P$8:$P$27,VALUE(F436))="","？",INDEX(設定!$P$8:$P$27,VALUE(F436))),"？")))</f>
        <v/>
      </c>
      <c r="K436" s="51">
        <f>IF(L436="","",IF(G436="","名簿にいない",IF(COUNTIF(L437:L$555,L436)&gt;0,"2回提出（下の行を使います）",IF(H436="転出","転出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OR(AND(H436&lt;&gt;"",H436=I436),AND(H436&lt;&gt;"",H436=J436),AND(I436&lt;&gt;"",I436=J436)),"同じクラブを重複して希望","OK")))))))</f>
        <v/>
      </c>
      <c r="L436" s="11">
        <f>IF(OR(A436="",D436=""),"",A436&amp;"-"&amp;B436&amp;"-"&amp;C436)</f>
        <v/>
      </c>
      <c r="M436" s="11">
        <f>IF(OR(L436="",G436=""),"",IF(COUNTIF(L437:L$555,L436)=0,L436,""))</f>
        <v/>
      </c>
      <c r="N436" s="11">
        <f>IFERROR(MATCH(SMALL(前年度名簿!$G$3:$G$452,432),前年度名簿!$G$3:$G$452,0),"")</f>
        <v/>
      </c>
    </row>
    <row r="437">
      <c r="A437" s="49">
        <f>IF($N437="","",INDEX(前年度名簿!$A$3:$A$452,$N437))</f>
        <v/>
      </c>
      <c r="B437" s="49">
        <f>IF($N437="","",INDEX(前年度名簿!$B$3:$B$452,$N437))</f>
        <v/>
      </c>
      <c r="C437" s="49">
        <f>IF($N437="","",INDEX(前年度名簿!$C$3:$C$452,$N437))</f>
        <v/>
      </c>
      <c r="D437" s="49" t="n"/>
      <c r="E437" s="49" t="n"/>
      <c r="F437" s="49" t="n"/>
      <c r="G437" s="4">
        <f>IF(A437="","",IFERROR(INDEX(前年度名簿!$D$3:$D$452,MATCH(A437&amp;"-"&amp;B437&amp;"-"&amp;C437,前年度名簿!$F$3:$F$452,0)),""))</f>
        <v/>
      </c>
      <c r="H437" s="50">
        <f>IF(D437="","",IF(ISERROR(VALUE(D437)),D437&amp;"",IF(AND(VALUE(D437)&gt;=1,VALUE(D437)&lt;=20),IF(INDEX(設定!$P$8:$P$27,VALUE(D437))="","？",INDEX(設定!$P$8:$P$27,VALUE(D437))),"？")))</f>
        <v/>
      </c>
      <c r="I437" s="50">
        <f>IF(E437="","",IF(ISERROR(VALUE(E437)),E437&amp;"",IF(AND(VALUE(E437)&gt;=1,VALUE(E437)&lt;=20),IF(INDEX(設定!$P$8:$P$27,VALUE(E437))="","？",INDEX(設定!$P$8:$P$27,VALUE(E437))),"？")))</f>
        <v/>
      </c>
      <c r="J437" s="50">
        <f>IF(F437="","",IF(ISERROR(VALUE(F437)),F437&amp;"",IF(AND(VALUE(F437)&gt;=1,VALUE(F437)&lt;=20),IF(INDEX(設定!$P$8:$P$27,VALUE(F437))="","？",INDEX(設定!$P$8:$P$27,VALUE(F437))),"？")))</f>
        <v/>
      </c>
      <c r="K437" s="51">
        <f>IF(L437="","",IF(G437="","名簿にいない",IF(COUNTIF(L438:L$555,L437)&gt;0,"2回提出（下の行を使います）",IF(H437="転出","転出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OR(AND(H437&lt;&gt;"",H437=I437),AND(H437&lt;&gt;"",H437=J437),AND(I437&lt;&gt;"",I437=J437)),"同じクラブを重複して希望","OK")))))))</f>
        <v/>
      </c>
      <c r="L437" s="11">
        <f>IF(OR(A437="",D437=""),"",A437&amp;"-"&amp;B437&amp;"-"&amp;C437)</f>
        <v/>
      </c>
      <c r="M437" s="11">
        <f>IF(OR(L437="",G437=""),"",IF(COUNTIF(L438:L$555,L437)=0,L437,""))</f>
        <v/>
      </c>
      <c r="N437" s="11">
        <f>IFERROR(MATCH(SMALL(前年度名簿!$G$3:$G$452,433),前年度名簿!$G$3:$G$452,0),"")</f>
        <v/>
      </c>
    </row>
    <row r="438">
      <c r="A438" s="49">
        <f>IF($N438="","",INDEX(前年度名簿!$A$3:$A$452,$N438))</f>
        <v/>
      </c>
      <c r="B438" s="49">
        <f>IF($N438="","",INDEX(前年度名簿!$B$3:$B$452,$N438))</f>
        <v/>
      </c>
      <c r="C438" s="49">
        <f>IF($N438="","",INDEX(前年度名簿!$C$3:$C$452,$N438))</f>
        <v/>
      </c>
      <c r="D438" s="49" t="n"/>
      <c r="E438" s="49" t="n"/>
      <c r="F438" s="49" t="n"/>
      <c r="G438" s="4">
        <f>IF(A438="","",IFERROR(INDEX(前年度名簿!$D$3:$D$452,MATCH(A438&amp;"-"&amp;B438&amp;"-"&amp;C438,前年度名簿!$F$3:$F$452,0)),""))</f>
        <v/>
      </c>
      <c r="H438" s="50">
        <f>IF(D438="","",IF(ISERROR(VALUE(D438)),D438&amp;"",IF(AND(VALUE(D438)&gt;=1,VALUE(D438)&lt;=20),IF(INDEX(設定!$P$8:$P$27,VALUE(D438))="","？",INDEX(設定!$P$8:$P$27,VALUE(D438))),"？")))</f>
        <v/>
      </c>
      <c r="I438" s="50">
        <f>IF(E438="","",IF(ISERROR(VALUE(E438)),E438&amp;"",IF(AND(VALUE(E438)&gt;=1,VALUE(E438)&lt;=20),IF(INDEX(設定!$P$8:$P$27,VALUE(E438))="","？",INDEX(設定!$P$8:$P$27,VALUE(E438))),"？")))</f>
        <v/>
      </c>
      <c r="J438" s="50">
        <f>IF(F438="","",IF(ISERROR(VALUE(F438)),F438&amp;"",IF(AND(VALUE(F438)&gt;=1,VALUE(F438)&lt;=20),IF(INDEX(設定!$P$8:$P$27,VALUE(F438))="","？",INDEX(設定!$P$8:$P$27,VALUE(F438))),"？")))</f>
        <v/>
      </c>
      <c r="K438" s="51">
        <f>IF(L438="","",IF(G438="","名簿にいない",IF(COUNTIF(L439:L$555,L438)&gt;0,"2回提出（下の行を使います）",IF(H438="転出","転出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OR(AND(H438&lt;&gt;"",H438=I438),AND(H438&lt;&gt;"",H438=J438),AND(I438&lt;&gt;"",I438=J438)),"同じクラブを重複して希望","OK")))))))</f>
        <v/>
      </c>
      <c r="L438" s="11">
        <f>IF(OR(A438="",D438=""),"",A438&amp;"-"&amp;B438&amp;"-"&amp;C438)</f>
        <v/>
      </c>
      <c r="M438" s="11">
        <f>IF(OR(L438="",G438=""),"",IF(COUNTIF(L439:L$555,L438)=0,L438,""))</f>
        <v/>
      </c>
      <c r="N438" s="11">
        <f>IFERROR(MATCH(SMALL(前年度名簿!$G$3:$G$452,434),前年度名簿!$G$3:$G$452,0),"")</f>
        <v/>
      </c>
    </row>
    <row r="439">
      <c r="A439" s="49">
        <f>IF($N439="","",INDEX(前年度名簿!$A$3:$A$452,$N439))</f>
        <v/>
      </c>
      <c r="B439" s="49">
        <f>IF($N439="","",INDEX(前年度名簿!$B$3:$B$452,$N439))</f>
        <v/>
      </c>
      <c r="C439" s="49">
        <f>IF($N439="","",INDEX(前年度名簿!$C$3:$C$452,$N439))</f>
        <v/>
      </c>
      <c r="D439" s="49" t="n"/>
      <c r="E439" s="49" t="n"/>
      <c r="F439" s="49" t="n"/>
      <c r="G439" s="4">
        <f>IF(A439="","",IFERROR(INDEX(前年度名簿!$D$3:$D$452,MATCH(A439&amp;"-"&amp;B439&amp;"-"&amp;C439,前年度名簿!$F$3:$F$452,0)),""))</f>
        <v/>
      </c>
      <c r="H439" s="50">
        <f>IF(D439="","",IF(ISERROR(VALUE(D439)),D439&amp;"",IF(AND(VALUE(D439)&gt;=1,VALUE(D439)&lt;=20),IF(INDEX(設定!$P$8:$P$27,VALUE(D439))="","？",INDEX(設定!$P$8:$P$27,VALUE(D439))),"？")))</f>
        <v/>
      </c>
      <c r="I439" s="50">
        <f>IF(E439="","",IF(ISERROR(VALUE(E439)),E439&amp;"",IF(AND(VALUE(E439)&gt;=1,VALUE(E439)&lt;=20),IF(INDEX(設定!$P$8:$P$27,VALUE(E439))="","？",INDEX(設定!$P$8:$P$27,VALUE(E439))),"？")))</f>
        <v/>
      </c>
      <c r="J439" s="50">
        <f>IF(F439="","",IF(ISERROR(VALUE(F439)),F439&amp;"",IF(AND(VALUE(F439)&gt;=1,VALUE(F439)&lt;=20),IF(INDEX(設定!$P$8:$P$27,VALUE(F439))="","？",INDEX(設定!$P$8:$P$27,VALUE(F439))),"？")))</f>
        <v/>
      </c>
      <c r="K439" s="51">
        <f>IF(L439="","",IF(G439="","名簿にいない",IF(COUNTIF(L440:L$555,L439)&gt;0,"2回提出（下の行を使います）",IF(H439="転出","転出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OR(AND(H439&lt;&gt;"",H439=I439),AND(H439&lt;&gt;"",H439=J439),AND(I439&lt;&gt;"",I439=J439)),"同じクラブを重複して希望","OK")))))))</f>
        <v/>
      </c>
      <c r="L439" s="11">
        <f>IF(OR(A439="",D439=""),"",A439&amp;"-"&amp;B439&amp;"-"&amp;C439)</f>
        <v/>
      </c>
      <c r="M439" s="11">
        <f>IF(OR(L439="",G439=""),"",IF(COUNTIF(L440:L$555,L439)=0,L439,""))</f>
        <v/>
      </c>
      <c r="N439" s="11">
        <f>IFERROR(MATCH(SMALL(前年度名簿!$G$3:$G$452,435),前年度名簿!$G$3:$G$452,0),"")</f>
        <v/>
      </c>
    </row>
    <row r="440">
      <c r="A440" s="49">
        <f>IF($N440="","",INDEX(前年度名簿!$A$3:$A$452,$N440))</f>
        <v/>
      </c>
      <c r="B440" s="49">
        <f>IF($N440="","",INDEX(前年度名簿!$B$3:$B$452,$N440))</f>
        <v/>
      </c>
      <c r="C440" s="49">
        <f>IF($N440="","",INDEX(前年度名簿!$C$3:$C$452,$N440))</f>
        <v/>
      </c>
      <c r="D440" s="49" t="n"/>
      <c r="E440" s="49" t="n"/>
      <c r="F440" s="49" t="n"/>
      <c r="G440" s="4">
        <f>IF(A440="","",IFERROR(INDEX(前年度名簿!$D$3:$D$452,MATCH(A440&amp;"-"&amp;B440&amp;"-"&amp;C440,前年度名簿!$F$3:$F$452,0)),""))</f>
        <v/>
      </c>
      <c r="H440" s="50">
        <f>IF(D440="","",IF(ISERROR(VALUE(D440)),D440&amp;"",IF(AND(VALUE(D440)&gt;=1,VALUE(D440)&lt;=20),IF(INDEX(設定!$P$8:$P$27,VALUE(D440))="","？",INDEX(設定!$P$8:$P$27,VALUE(D440))),"？")))</f>
        <v/>
      </c>
      <c r="I440" s="50">
        <f>IF(E440="","",IF(ISERROR(VALUE(E440)),E440&amp;"",IF(AND(VALUE(E440)&gt;=1,VALUE(E440)&lt;=20),IF(INDEX(設定!$P$8:$P$27,VALUE(E440))="","？",INDEX(設定!$P$8:$P$27,VALUE(E440))),"？")))</f>
        <v/>
      </c>
      <c r="J440" s="50">
        <f>IF(F440="","",IF(ISERROR(VALUE(F440)),F440&amp;"",IF(AND(VALUE(F440)&gt;=1,VALUE(F440)&lt;=20),IF(INDEX(設定!$P$8:$P$27,VALUE(F440))="","？",INDEX(設定!$P$8:$P$27,VALUE(F440))),"？")))</f>
        <v/>
      </c>
      <c r="K440" s="51">
        <f>IF(L440="","",IF(G440="","名簿にいない",IF(COUNTIF(L441:L$555,L440)&gt;0,"2回提出（下の行を使います）",IF(H440="転出","転出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OR(AND(H440&lt;&gt;"",H440=I440),AND(H440&lt;&gt;"",H440=J440),AND(I440&lt;&gt;"",I440=J440)),"同じクラブを重複して希望","OK")))))))</f>
        <v/>
      </c>
      <c r="L440" s="11">
        <f>IF(OR(A440="",D440=""),"",A440&amp;"-"&amp;B440&amp;"-"&amp;C440)</f>
        <v/>
      </c>
      <c r="M440" s="11">
        <f>IF(OR(L440="",G440=""),"",IF(COUNTIF(L441:L$555,L440)=0,L440,""))</f>
        <v/>
      </c>
      <c r="N440" s="11">
        <f>IFERROR(MATCH(SMALL(前年度名簿!$G$3:$G$452,436),前年度名簿!$G$3:$G$452,0),"")</f>
        <v/>
      </c>
    </row>
    <row r="441">
      <c r="A441" s="49">
        <f>IF($N441="","",INDEX(前年度名簿!$A$3:$A$452,$N441))</f>
        <v/>
      </c>
      <c r="B441" s="49">
        <f>IF($N441="","",INDEX(前年度名簿!$B$3:$B$452,$N441))</f>
        <v/>
      </c>
      <c r="C441" s="49">
        <f>IF($N441="","",INDEX(前年度名簿!$C$3:$C$452,$N441))</f>
        <v/>
      </c>
      <c r="D441" s="49" t="n"/>
      <c r="E441" s="49" t="n"/>
      <c r="F441" s="49" t="n"/>
      <c r="G441" s="4">
        <f>IF(A441="","",IFERROR(INDEX(前年度名簿!$D$3:$D$452,MATCH(A441&amp;"-"&amp;B441&amp;"-"&amp;C441,前年度名簿!$F$3:$F$452,0)),""))</f>
        <v/>
      </c>
      <c r="H441" s="50">
        <f>IF(D441="","",IF(ISERROR(VALUE(D441)),D441&amp;"",IF(AND(VALUE(D441)&gt;=1,VALUE(D441)&lt;=20),IF(INDEX(設定!$P$8:$P$27,VALUE(D441))="","？",INDEX(設定!$P$8:$P$27,VALUE(D441))),"？")))</f>
        <v/>
      </c>
      <c r="I441" s="50">
        <f>IF(E441="","",IF(ISERROR(VALUE(E441)),E441&amp;"",IF(AND(VALUE(E441)&gt;=1,VALUE(E441)&lt;=20),IF(INDEX(設定!$P$8:$P$27,VALUE(E441))="","？",INDEX(設定!$P$8:$P$27,VALUE(E441))),"？")))</f>
        <v/>
      </c>
      <c r="J441" s="50">
        <f>IF(F441="","",IF(ISERROR(VALUE(F441)),F441&amp;"",IF(AND(VALUE(F441)&gt;=1,VALUE(F441)&lt;=20),IF(INDEX(設定!$P$8:$P$27,VALUE(F441))="","？",INDEX(設定!$P$8:$P$27,VALUE(F441))),"？")))</f>
        <v/>
      </c>
      <c r="K441" s="51">
        <f>IF(L441="","",IF(G441="","名簿にいない",IF(COUNTIF(L442:L$555,L441)&gt;0,"2回提出（下の行を使います）",IF(H441="転出","転出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OR(AND(H441&lt;&gt;"",H441=I441),AND(H441&lt;&gt;"",H441=J441),AND(I441&lt;&gt;"",I441=J441)),"同じクラブを重複して希望","OK")))))))</f>
        <v/>
      </c>
      <c r="L441" s="11">
        <f>IF(OR(A441="",D441=""),"",A441&amp;"-"&amp;B441&amp;"-"&amp;C441)</f>
        <v/>
      </c>
      <c r="M441" s="11">
        <f>IF(OR(L441="",G441=""),"",IF(COUNTIF(L442:L$555,L441)=0,L441,""))</f>
        <v/>
      </c>
      <c r="N441" s="11">
        <f>IFERROR(MATCH(SMALL(前年度名簿!$G$3:$G$452,437),前年度名簿!$G$3:$G$452,0),"")</f>
        <v/>
      </c>
    </row>
    <row r="442">
      <c r="A442" s="49">
        <f>IF($N442="","",INDEX(前年度名簿!$A$3:$A$452,$N442))</f>
        <v/>
      </c>
      <c r="B442" s="49">
        <f>IF($N442="","",INDEX(前年度名簿!$B$3:$B$452,$N442))</f>
        <v/>
      </c>
      <c r="C442" s="49">
        <f>IF($N442="","",INDEX(前年度名簿!$C$3:$C$452,$N442))</f>
        <v/>
      </c>
      <c r="D442" s="49" t="n"/>
      <c r="E442" s="49" t="n"/>
      <c r="F442" s="49" t="n"/>
      <c r="G442" s="4">
        <f>IF(A442="","",IFERROR(INDEX(前年度名簿!$D$3:$D$452,MATCH(A442&amp;"-"&amp;B442&amp;"-"&amp;C442,前年度名簿!$F$3:$F$452,0)),""))</f>
        <v/>
      </c>
      <c r="H442" s="50">
        <f>IF(D442="","",IF(ISERROR(VALUE(D442)),D442&amp;"",IF(AND(VALUE(D442)&gt;=1,VALUE(D442)&lt;=20),IF(INDEX(設定!$P$8:$P$27,VALUE(D442))="","？",INDEX(設定!$P$8:$P$27,VALUE(D442))),"？")))</f>
        <v/>
      </c>
      <c r="I442" s="50">
        <f>IF(E442="","",IF(ISERROR(VALUE(E442)),E442&amp;"",IF(AND(VALUE(E442)&gt;=1,VALUE(E442)&lt;=20),IF(INDEX(設定!$P$8:$P$27,VALUE(E442))="","？",INDEX(設定!$P$8:$P$27,VALUE(E442))),"？")))</f>
        <v/>
      </c>
      <c r="J442" s="50">
        <f>IF(F442="","",IF(ISERROR(VALUE(F442)),F442&amp;"",IF(AND(VALUE(F442)&gt;=1,VALUE(F442)&lt;=20),IF(INDEX(設定!$P$8:$P$27,VALUE(F442))="","？",INDEX(設定!$P$8:$P$27,VALUE(F442))),"？")))</f>
        <v/>
      </c>
      <c r="K442" s="51">
        <f>IF(L442="","",IF(G442="","名簿にいない",IF(COUNTIF(L443:L$555,L442)&gt;0,"2回提出（下の行を使います）",IF(H442="転出","転出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OR(AND(H442&lt;&gt;"",H442=I442),AND(H442&lt;&gt;"",H442=J442),AND(I442&lt;&gt;"",I442=J442)),"同じクラブを重複して希望","OK")))))))</f>
        <v/>
      </c>
      <c r="L442" s="11">
        <f>IF(OR(A442="",D442=""),"",A442&amp;"-"&amp;B442&amp;"-"&amp;C442)</f>
        <v/>
      </c>
      <c r="M442" s="11">
        <f>IF(OR(L442="",G442=""),"",IF(COUNTIF(L443:L$555,L442)=0,L442,""))</f>
        <v/>
      </c>
      <c r="N442" s="11">
        <f>IFERROR(MATCH(SMALL(前年度名簿!$G$3:$G$452,438),前年度名簿!$G$3:$G$452,0),"")</f>
        <v/>
      </c>
    </row>
    <row r="443">
      <c r="A443" s="49">
        <f>IF($N443="","",INDEX(前年度名簿!$A$3:$A$452,$N443))</f>
        <v/>
      </c>
      <c r="B443" s="49">
        <f>IF($N443="","",INDEX(前年度名簿!$B$3:$B$452,$N443))</f>
        <v/>
      </c>
      <c r="C443" s="49">
        <f>IF($N443="","",INDEX(前年度名簿!$C$3:$C$452,$N443))</f>
        <v/>
      </c>
      <c r="D443" s="49" t="n"/>
      <c r="E443" s="49" t="n"/>
      <c r="F443" s="49" t="n"/>
      <c r="G443" s="4">
        <f>IF(A443="","",IFERROR(INDEX(前年度名簿!$D$3:$D$452,MATCH(A443&amp;"-"&amp;B443&amp;"-"&amp;C443,前年度名簿!$F$3:$F$452,0)),""))</f>
        <v/>
      </c>
      <c r="H443" s="50">
        <f>IF(D443="","",IF(ISERROR(VALUE(D443)),D443&amp;"",IF(AND(VALUE(D443)&gt;=1,VALUE(D443)&lt;=20),IF(INDEX(設定!$P$8:$P$27,VALUE(D443))="","？",INDEX(設定!$P$8:$P$27,VALUE(D443))),"？")))</f>
        <v/>
      </c>
      <c r="I443" s="50">
        <f>IF(E443="","",IF(ISERROR(VALUE(E443)),E443&amp;"",IF(AND(VALUE(E443)&gt;=1,VALUE(E443)&lt;=20),IF(INDEX(設定!$P$8:$P$27,VALUE(E443))="","？",INDEX(設定!$P$8:$P$27,VALUE(E443))),"？")))</f>
        <v/>
      </c>
      <c r="J443" s="50">
        <f>IF(F443="","",IF(ISERROR(VALUE(F443)),F443&amp;"",IF(AND(VALUE(F443)&gt;=1,VALUE(F443)&lt;=20),IF(INDEX(設定!$P$8:$P$27,VALUE(F443))="","？",INDEX(設定!$P$8:$P$27,VALUE(F443))),"？")))</f>
        <v/>
      </c>
      <c r="K443" s="51">
        <f>IF(L443="","",IF(G443="","名簿にいない",IF(COUNTIF(L444:L$555,L443)&gt;0,"2回提出（下の行を使います）",IF(H443="転出","転出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OR(AND(H443&lt;&gt;"",H443=I443),AND(H443&lt;&gt;"",H443=J443),AND(I443&lt;&gt;"",I443=J443)),"同じクラブを重複して希望","OK")))))))</f>
        <v/>
      </c>
      <c r="L443" s="11">
        <f>IF(OR(A443="",D443=""),"",A443&amp;"-"&amp;B443&amp;"-"&amp;C443)</f>
        <v/>
      </c>
      <c r="M443" s="11">
        <f>IF(OR(L443="",G443=""),"",IF(COUNTIF(L444:L$555,L443)=0,L443,""))</f>
        <v/>
      </c>
      <c r="N443" s="11">
        <f>IFERROR(MATCH(SMALL(前年度名簿!$G$3:$G$452,439),前年度名簿!$G$3:$G$452,0),"")</f>
        <v/>
      </c>
    </row>
    <row r="444">
      <c r="A444" s="49">
        <f>IF($N444="","",INDEX(前年度名簿!$A$3:$A$452,$N444))</f>
        <v/>
      </c>
      <c r="B444" s="49">
        <f>IF($N444="","",INDEX(前年度名簿!$B$3:$B$452,$N444))</f>
        <v/>
      </c>
      <c r="C444" s="49">
        <f>IF($N444="","",INDEX(前年度名簿!$C$3:$C$452,$N444))</f>
        <v/>
      </c>
      <c r="D444" s="49" t="n"/>
      <c r="E444" s="49" t="n"/>
      <c r="F444" s="49" t="n"/>
      <c r="G444" s="4">
        <f>IF(A444="","",IFERROR(INDEX(前年度名簿!$D$3:$D$452,MATCH(A444&amp;"-"&amp;B444&amp;"-"&amp;C444,前年度名簿!$F$3:$F$452,0)),""))</f>
        <v/>
      </c>
      <c r="H444" s="50">
        <f>IF(D444="","",IF(ISERROR(VALUE(D444)),D444&amp;"",IF(AND(VALUE(D444)&gt;=1,VALUE(D444)&lt;=20),IF(INDEX(設定!$P$8:$P$27,VALUE(D444))="","？",INDEX(設定!$P$8:$P$27,VALUE(D444))),"？")))</f>
        <v/>
      </c>
      <c r="I444" s="50">
        <f>IF(E444="","",IF(ISERROR(VALUE(E444)),E444&amp;"",IF(AND(VALUE(E444)&gt;=1,VALUE(E444)&lt;=20),IF(INDEX(設定!$P$8:$P$27,VALUE(E444))="","？",INDEX(設定!$P$8:$P$27,VALUE(E444))),"？")))</f>
        <v/>
      </c>
      <c r="J444" s="50">
        <f>IF(F444="","",IF(ISERROR(VALUE(F444)),F444&amp;"",IF(AND(VALUE(F444)&gt;=1,VALUE(F444)&lt;=20),IF(INDEX(設定!$P$8:$P$27,VALUE(F444))="","？",INDEX(設定!$P$8:$P$27,VALUE(F444))),"？")))</f>
        <v/>
      </c>
      <c r="K444" s="51">
        <f>IF(L444="","",IF(G444="","名簿にいない",IF(COUNTIF(L445:L$555,L444)&gt;0,"2回提出（下の行を使います）",IF(H444="転出","転出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OR(AND(H444&lt;&gt;"",H444=I444),AND(H444&lt;&gt;"",H444=J444),AND(I444&lt;&gt;"",I444=J444)),"同じクラブを重複して希望","OK")))))))</f>
        <v/>
      </c>
      <c r="L444" s="11">
        <f>IF(OR(A444="",D444=""),"",A444&amp;"-"&amp;B444&amp;"-"&amp;C444)</f>
        <v/>
      </c>
      <c r="M444" s="11">
        <f>IF(OR(L444="",G444=""),"",IF(COUNTIF(L445:L$555,L444)=0,L444,""))</f>
        <v/>
      </c>
      <c r="N444" s="11">
        <f>IFERROR(MATCH(SMALL(前年度名簿!$G$3:$G$452,440),前年度名簿!$G$3:$G$452,0),"")</f>
        <v/>
      </c>
    </row>
    <row r="445">
      <c r="A445" s="49">
        <f>IF($N445="","",INDEX(前年度名簿!$A$3:$A$452,$N445))</f>
        <v/>
      </c>
      <c r="B445" s="49">
        <f>IF($N445="","",INDEX(前年度名簿!$B$3:$B$452,$N445))</f>
        <v/>
      </c>
      <c r="C445" s="49">
        <f>IF($N445="","",INDEX(前年度名簿!$C$3:$C$452,$N445))</f>
        <v/>
      </c>
      <c r="D445" s="49" t="n"/>
      <c r="E445" s="49" t="n"/>
      <c r="F445" s="49" t="n"/>
      <c r="G445" s="4">
        <f>IF(A445="","",IFERROR(INDEX(前年度名簿!$D$3:$D$452,MATCH(A445&amp;"-"&amp;B445&amp;"-"&amp;C445,前年度名簿!$F$3:$F$452,0)),""))</f>
        <v/>
      </c>
      <c r="H445" s="50">
        <f>IF(D445="","",IF(ISERROR(VALUE(D445)),D445&amp;"",IF(AND(VALUE(D445)&gt;=1,VALUE(D445)&lt;=20),IF(INDEX(設定!$P$8:$P$27,VALUE(D445))="","？",INDEX(設定!$P$8:$P$27,VALUE(D445))),"？")))</f>
        <v/>
      </c>
      <c r="I445" s="50">
        <f>IF(E445="","",IF(ISERROR(VALUE(E445)),E445&amp;"",IF(AND(VALUE(E445)&gt;=1,VALUE(E445)&lt;=20),IF(INDEX(設定!$P$8:$P$27,VALUE(E445))="","？",INDEX(設定!$P$8:$P$27,VALUE(E445))),"？")))</f>
        <v/>
      </c>
      <c r="J445" s="50">
        <f>IF(F445="","",IF(ISERROR(VALUE(F445)),F445&amp;"",IF(AND(VALUE(F445)&gt;=1,VALUE(F445)&lt;=20),IF(INDEX(設定!$P$8:$P$27,VALUE(F445))="","？",INDEX(設定!$P$8:$P$27,VALUE(F445))),"？")))</f>
        <v/>
      </c>
      <c r="K445" s="51">
        <f>IF(L445="","",IF(G445="","名簿にいない",IF(COUNTIF(L446:L$555,L445)&gt;0,"2回提出（下の行を使います）",IF(H445="転出","転出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OR(AND(H445&lt;&gt;"",H445=I445),AND(H445&lt;&gt;"",H445=J445),AND(I445&lt;&gt;"",I445=J445)),"同じクラブを重複して希望","OK")))))))</f>
        <v/>
      </c>
      <c r="L445" s="11">
        <f>IF(OR(A445="",D445=""),"",A445&amp;"-"&amp;B445&amp;"-"&amp;C445)</f>
        <v/>
      </c>
      <c r="M445" s="11">
        <f>IF(OR(L445="",G445=""),"",IF(COUNTIF(L446:L$555,L445)=0,L445,""))</f>
        <v/>
      </c>
      <c r="N445" s="11">
        <f>IFERROR(MATCH(SMALL(前年度名簿!$G$3:$G$452,441),前年度名簿!$G$3:$G$452,0),"")</f>
        <v/>
      </c>
    </row>
    <row r="446">
      <c r="A446" s="49">
        <f>IF($N446="","",INDEX(前年度名簿!$A$3:$A$452,$N446))</f>
        <v/>
      </c>
      <c r="B446" s="49">
        <f>IF($N446="","",INDEX(前年度名簿!$B$3:$B$452,$N446))</f>
        <v/>
      </c>
      <c r="C446" s="49">
        <f>IF($N446="","",INDEX(前年度名簿!$C$3:$C$452,$N446))</f>
        <v/>
      </c>
      <c r="D446" s="49" t="n"/>
      <c r="E446" s="49" t="n"/>
      <c r="F446" s="49" t="n"/>
      <c r="G446" s="4">
        <f>IF(A446="","",IFERROR(INDEX(前年度名簿!$D$3:$D$452,MATCH(A446&amp;"-"&amp;B446&amp;"-"&amp;C446,前年度名簿!$F$3:$F$452,0)),""))</f>
        <v/>
      </c>
      <c r="H446" s="50">
        <f>IF(D446="","",IF(ISERROR(VALUE(D446)),D446&amp;"",IF(AND(VALUE(D446)&gt;=1,VALUE(D446)&lt;=20),IF(INDEX(設定!$P$8:$P$27,VALUE(D446))="","？",INDEX(設定!$P$8:$P$27,VALUE(D446))),"？")))</f>
        <v/>
      </c>
      <c r="I446" s="50">
        <f>IF(E446="","",IF(ISERROR(VALUE(E446)),E446&amp;"",IF(AND(VALUE(E446)&gt;=1,VALUE(E446)&lt;=20),IF(INDEX(設定!$P$8:$P$27,VALUE(E446))="","？",INDEX(設定!$P$8:$P$27,VALUE(E446))),"？")))</f>
        <v/>
      </c>
      <c r="J446" s="50">
        <f>IF(F446="","",IF(ISERROR(VALUE(F446)),F446&amp;"",IF(AND(VALUE(F446)&gt;=1,VALUE(F446)&lt;=20),IF(INDEX(設定!$P$8:$P$27,VALUE(F446))="","？",INDEX(設定!$P$8:$P$27,VALUE(F446))),"？")))</f>
        <v/>
      </c>
      <c r="K446" s="51">
        <f>IF(L446="","",IF(G446="","名簿にいない",IF(COUNTIF(L447:L$555,L446)&gt;0,"2回提出（下の行を使います）",IF(H446="転出","転出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OR(AND(H446&lt;&gt;"",H446=I446),AND(H446&lt;&gt;"",H446=J446),AND(I446&lt;&gt;"",I446=J446)),"同じクラブを重複して希望","OK")))))))</f>
        <v/>
      </c>
      <c r="L446" s="11">
        <f>IF(OR(A446="",D446=""),"",A446&amp;"-"&amp;B446&amp;"-"&amp;C446)</f>
        <v/>
      </c>
      <c r="M446" s="11">
        <f>IF(OR(L446="",G446=""),"",IF(COUNTIF(L447:L$555,L446)=0,L446,""))</f>
        <v/>
      </c>
      <c r="N446" s="11">
        <f>IFERROR(MATCH(SMALL(前年度名簿!$G$3:$G$452,442),前年度名簿!$G$3:$G$452,0),"")</f>
        <v/>
      </c>
    </row>
    <row r="447">
      <c r="A447" s="49">
        <f>IF($N447="","",INDEX(前年度名簿!$A$3:$A$452,$N447))</f>
        <v/>
      </c>
      <c r="B447" s="49">
        <f>IF($N447="","",INDEX(前年度名簿!$B$3:$B$452,$N447))</f>
        <v/>
      </c>
      <c r="C447" s="49">
        <f>IF($N447="","",INDEX(前年度名簿!$C$3:$C$452,$N447))</f>
        <v/>
      </c>
      <c r="D447" s="49" t="n"/>
      <c r="E447" s="49" t="n"/>
      <c r="F447" s="49" t="n"/>
      <c r="G447" s="4">
        <f>IF(A447="","",IFERROR(INDEX(前年度名簿!$D$3:$D$452,MATCH(A447&amp;"-"&amp;B447&amp;"-"&amp;C447,前年度名簿!$F$3:$F$452,0)),""))</f>
        <v/>
      </c>
      <c r="H447" s="50">
        <f>IF(D447="","",IF(ISERROR(VALUE(D447)),D447&amp;"",IF(AND(VALUE(D447)&gt;=1,VALUE(D447)&lt;=20),IF(INDEX(設定!$P$8:$P$27,VALUE(D447))="","？",INDEX(設定!$P$8:$P$27,VALUE(D447))),"？")))</f>
        <v/>
      </c>
      <c r="I447" s="50">
        <f>IF(E447="","",IF(ISERROR(VALUE(E447)),E447&amp;"",IF(AND(VALUE(E447)&gt;=1,VALUE(E447)&lt;=20),IF(INDEX(設定!$P$8:$P$27,VALUE(E447))="","？",INDEX(設定!$P$8:$P$27,VALUE(E447))),"？")))</f>
        <v/>
      </c>
      <c r="J447" s="50">
        <f>IF(F447="","",IF(ISERROR(VALUE(F447)),F447&amp;"",IF(AND(VALUE(F447)&gt;=1,VALUE(F447)&lt;=20),IF(INDEX(設定!$P$8:$P$27,VALUE(F447))="","？",INDEX(設定!$P$8:$P$27,VALUE(F447))),"？")))</f>
        <v/>
      </c>
      <c r="K447" s="51">
        <f>IF(L447="","",IF(G447="","名簿にいない",IF(COUNTIF(L448:L$555,L447)&gt;0,"2回提出（下の行を使います）",IF(H447="転出","転出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OR(AND(H447&lt;&gt;"",H447=I447),AND(H447&lt;&gt;"",H447=J447),AND(I447&lt;&gt;"",I447=J447)),"同じクラブを重複して希望","OK")))))))</f>
        <v/>
      </c>
      <c r="L447" s="11">
        <f>IF(OR(A447="",D447=""),"",A447&amp;"-"&amp;B447&amp;"-"&amp;C447)</f>
        <v/>
      </c>
      <c r="M447" s="11">
        <f>IF(OR(L447="",G447=""),"",IF(COUNTIF(L448:L$555,L447)=0,L447,""))</f>
        <v/>
      </c>
      <c r="N447" s="11">
        <f>IFERROR(MATCH(SMALL(前年度名簿!$G$3:$G$452,443),前年度名簿!$G$3:$G$452,0),"")</f>
        <v/>
      </c>
    </row>
    <row r="448">
      <c r="A448" s="49">
        <f>IF($N448="","",INDEX(前年度名簿!$A$3:$A$452,$N448))</f>
        <v/>
      </c>
      <c r="B448" s="49">
        <f>IF($N448="","",INDEX(前年度名簿!$B$3:$B$452,$N448))</f>
        <v/>
      </c>
      <c r="C448" s="49">
        <f>IF($N448="","",INDEX(前年度名簿!$C$3:$C$452,$N448))</f>
        <v/>
      </c>
      <c r="D448" s="49" t="n"/>
      <c r="E448" s="49" t="n"/>
      <c r="F448" s="49" t="n"/>
      <c r="G448" s="4">
        <f>IF(A448="","",IFERROR(INDEX(前年度名簿!$D$3:$D$452,MATCH(A448&amp;"-"&amp;B448&amp;"-"&amp;C448,前年度名簿!$F$3:$F$452,0)),""))</f>
        <v/>
      </c>
      <c r="H448" s="50">
        <f>IF(D448="","",IF(ISERROR(VALUE(D448)),D448&amp;"",IF(AND(VALUE(D448)&gt;=1,VALUE(D448)&lt;=20),IF(INDEX(設定!$P$8:$P$27,VALUE(D448))="","？",INDEX(設定!$P$8:$P$27,VALUE(D448))),"？")))</f>
        <v/>
      </c>
      <c r="I448" s="50">
        <f>IF(E448="","",IF(ISERROR(VALUE(E448)),E448&amp;"",IF(AND(VALUE(E448)&gt;=1,VALUE(E448)&lt;=20),IF(INDEX(設定!$P$8:$P$27,VALUE(E448))="","？",INDEX(設定!$P$8:$P$27,VALUE(E448))),"？")))</f>
        <v/>
      </c>
      <c r="J448" s="50">
        <f>IF(F448="","",IF(ISERROR(VALUE(F448)),F448&amp;"",IF(AND(VALUE(F448)&gt;=1,VALUE(F448)&lt;=20),IF(INDEX(設定!$P$8:$P$27,VALUE(F448))="","？",INDEX(設定!$P$8:$P$27,VALUE(F448))),"？")))</f>
        <v/>
      </c>
      <c r="K448" s="51">
        <f>IF(L448="","",IF(G448="","名簿にいない",IF(COUNTIF(L449:L$555,L448)&gt;0,"2回提出（下の行を使います）",IF(H448="転出","転出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OR(AND(H448&lt;&gt;"",H448=I448),AND(H448&lt;&gt;"",H448=J448),AND(I448&lt;&gt;"",I448=J448)),"同じクラブを重複して希望","OK")))))))</f>
        <v/>
      </c>
      <c r="L448" s="11">
        <f>IF(OR(A448="",D448=""),"",A448&amp;"-"&amp;B448&amp;"-"&amp;C448)</f>
        <v/>
      </c>
      <c r="M448" s="11">
        <f>IF(OR(L448="",G448=""),"",IF(COUNTIF(L449:L$555,L448)=0,L448,""))</f>
        <v/>
      </c>
      <c r="N448" s="11">
        <f>IFERROR(MATCH(SMALL(前年度名簿!$G$3:$G$452,444),前年度名簿!$G$3:$G$452,0),"")</f>
        <v/>
      </c>
    </row>
    <row r="449">
      <c r="A449" s="49">
        <f>IF($N449="","",INDEX(前年度名簿!$A$3:$A$452,$N449))</f>
        <v/>
      </c>
      <c r="B449" s="49">
        <f>IF($N449="","",INDEX(前年度名簿!$B$3:$B$452,$N449))</f>
        <v/>
      </c>
      <c r="C449" s="49">
        <f>IF($N449="","",INDEX(前年度名簿!$C$3:$C$452,$N449))</f>
        <v/>
      </c>
      <c r="D449" s="49" t="n"/>
      <c r="E449" s="49" t="n"/>
      <c r="F449" s="49" t="n"/>
      <c r="G449" s="4">
        <f>IF(A449="","",IFERROR(INDEX(前年度名簿!$D$3:$D$452,MATCH(A449&amp;"-"&amp;B449&amp;"-"&amp;C449,前年度名簿!$F$3:$F$452,0)),""))</f>
        <v/>
      </c>
      <c r="H449" s="50">
        <f>IF(D449="","",IF(ISERROR(VALUE(D449)),D449&amp;"",IF(AND(VALUE(D449)&gt;=1,VALUE(D449)&lt;=20),IF(INDEX(設定!$P$8:$P$27,VALUE(D449))="","？",INDEX(設定!$P$8:$P$27,VALUE(D449))),"？")))</f>
        <v/>
      </c>
      <c r="I449" s="50">
        <f>IF(E449="","",IF(ISERROR(VALUE(E449)),E449&amp;"",IF(AND(VALUE(E449)&gt;=1,VALUE(E449)&lt;=20),IF(INDEX(設定!$P$8:$P$27,VALUE(E449))="","？",INDEX(設定!$P$8:$P$27,VALUE(E449))),"？")))</f>
        <v/>
      </c>
      <c r="J449" s="50">
        <f>IF(F449="","",IF(ISERROR(VALUE(F449)),F449&amp;"",IF(AND(VALUE(F449)&gt;=1,VALUE(F449)&lt;=20),IF(INDEX(設定!$P$8:$P$27,VALUE(F449))="","？",INDEX(設定!$P$8:$P$27,VALUE(F449))),"？")))</f>
        <v/>
      </c>
      <c r="K449" s="51">
        <f>IF(L449="","",IF(G449="","名簿にいない",IF(COUNTIF(L450:L$555,L449)&gt;0,"2回提出（下の行を使います）",IF(H449="転出","転出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OR(AND(H449&lt;&gt;"",H449=I449),AND(H449&lt;&gt;"",H449=J449),AND(I449&lt;&gt;"",I449=J449)),"同じクラブを重複して希望","OK")))))))</f>
        <v/>
      </c>
      <c r="L449" s="11">
        <f>IF(OR(A449="",D449=""),"",A449&amp;"-"&amp;B449&amp;"-"&amp;C449)</f>
        <v/>
      </c>
      <c r="M449" s="11">
        <f>IF(OR(L449="",G449=""),"",IF(COUNTIF(L450:L$555,L449)=0,L449,""))</f>
        <v/>
      </c>
      <c r="N449" s="11">
        <f>IFERROR(MATCH(SMALL(前年度名簿!$G$3:$G$452,445),前年度名簿!$G$3:$G$452,0),"")</f>
        <v/>
      </c>
    </row>
    <row r="450">
      <c r="A450" s="49">
        <f>IF($N450="","",INDEX(前年度名簿!$A$3:$A$452,$N450))</f>
        <v/>
      </c>
      <c r="B450" s="49">
        <f>IF($N450="","",INDEX(前年度名簿!$B$3:$B$452,$N450))</f>
        <v/>
      </c>
      <c r="C450" s="49">
        <f>IF($N450="","",INDEX(前年度名簿!$C$3:$C$452,$N450))</f>
        <v/>
      </c>
      <c r="D450" s="49" t="n"/>
      <c r="E450" s="49" t="n"/>
      <c r="F450" s="49" t="n"/>
      <c r="G450" s="4">
        <f>IF(A450="","",IFERROR(INDEX(前年度名簿!$D$3:$D$452,MATCH(A450&amp;"-"&amp;B450&amp;"-"&amp;C450,前年度名簿!$F$3:$F$452,0)),""))</f>
        <v/>
      </c>
      <c r="H450" s="50">
        <f>IF(D450="","",IF(ISERROR(VALUE(D450)),D450&amp;"",IF(AND(VALUE(D450)&gt;=1,VALUE(D450)&lt;=20),IF(INDEX(設定!$P$8:$P$27,VALUE(D450))="","？",INDEX(設定!$P$8:$P$27,VALUE(D450))),"？")))</f>
        <v/>
      </c>
      <c r="I450" s="50">
        <f>IF(E450="","",IF(ISERROR(VALUE(E450)),E450&amp;"",IF(AND(VALUE(E450)&gt;=1,VALUE(E450)&lt;=20),IF(INDEX(設定!$P$8:$P$27,VALUE(E450))="","？",INDEX(設定!$P$8:$P$27,VALUE(E450))),"？")))</f>
        <v/>
      </c>
      <c r="J450" s="50">
        <f>IF(F450="","",IF(ISERROR(VALUE(F450)),F450&amp;"",IF(AND(VALUE(F450)&gt;=1,VALUE(F450)&lt;=20),IF(INDEX(設定!$P$8:$P$27,VALUE(F450))="","？",INDEX(設定!$P$8:$P$27,VALUE(F450))),"？")))</f>
        <v/>
      </c>
      <c r="K450" s="51">
        <f>IF(L450="","",IF(G450="","名簿にいない",IF(COUNTIF(L451:L$555,L450)&gt;0,"2回提出（下の行を使います）",IF(H450="転出","転出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OR(AND(H450&lt;&gt;"",H450=I450),AND(H450&lt;&gt;"",H450=J450),AND(I450&lt;&gt;"",I450=J450)),"同じクラブを重複して希望","OK")))))))</f>
        <v/>
      </c>
      <c r="L450" s="11">
        <f>IF(OR(A450="",D450=""),"",A450&amp;"-"&amp;B450&amp;"-"&amp;C450)</f>
        <v/>
      </c>
      <c r="M450" s="11">
        <f>IF(OR(L450="",G450=""),"",IF(COUNTIF(L451:L$555,L450)=0,L450,""))</f>
        <v/>
      </c>
      <c r="N450" s="11">
        <f>IFERROR(MATCH(SMALL(前年度名簿!$G$3:$G$452,446),前年度名簿!$G$3:$G$452,0),"")</f>
        <v/>
      </c>
    </row>
    <row r="451">
      <c r="A451" s="49">
        <f>IF($N451="","",INDEX(前年度名簿!$A$3:$A$452,$N451))</f>
        <v/>
      </c>
      <c r="B451" s="49">
        <f>IF($N451="","",INDEX(前年度名簿!$B$3:$B$452,$N451))</f>
        <v/>
      </c>
      <c r="C451" s="49">
        <f>IF($N451="","",INDEX(前年度名簿!$C$3:$C$452,$N451))</f>
        <v/>
      </c>
      <c r="D451" s="49" t="n"/>
      <c r="E451" s="49" t="n"/>
      <c r="F451" s="49" t="n"/>
      <c r="G451" s="4">
        <f>IF(A451="","",IFERROR(INDEX(前年度名簿!$D$3:$D$452,MATCH(A451&amp;"-"&amp;B451&amp;"-"&amp;C451,前年度名簿!$F$3:$F$452,0)),""))</f>
        <v/>
      </c>
      <c r="H451" s="50">
        <f>IF(D451="","",IF(ISERROR(VALUE(D451)),D451&amp;"",IF(AND(VALUE(D451)&gt;=1,VALUE(D451)&lt;=20),IF(INDEX(設定!$P$8:$P$27,VALUE(D451))="","？",INDEX(設定!$P$8:$P$27,VALUE(D451))),"？")))</f>
        <v/>
      </c>
      <c r="I451" s="50">
        <f>IF(E451="","",IF(ISERROR(VALUE(E451)),E451&amp;"",IF(AND(VALUE(E451)&gt;=1,VALUE(E451)&lt;=20),IF(INDEX(設定!$P$8:$P$27,VALUE(E451))="","？",INDEX(設定!$P$8:$P$27,VALUE(E451))),"？")))</f>
        <v/>
      </c>
      <c r="J451" s="50">
        <f>IF(F451="","",IF(ISERROR(VALUE(F451)),F451&amp;"",IF(AND(VALUE(F451)&gt;=1,VALUE(F451)&lt;=20),IF(INDEX(設定!$P$8:$P$27,VALUE(F451))="","？",INDEX(設定!$P$8:$P$27,VALUE(F451))),"？")))</f>
        <v/>
      </c>
      <c r="K451" s="51">
        <f>IF(L451="","",IF(G451="","名簿にいない",IF(COUNTIF(L452:L$555,L451)&gt;0,"2回提出（下の行を使います）",IF(H451="転出","転出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OR(AND(H451&lt;&gt;"",H451=I451),AND(H451&lt;&gt;"",H451=J451),AND(I451&lt;&gt;"",I451=J451)),"同じクラブを重複して希望","OK")))))))</f>
        <v/>
      </c>
      <c r="L451" s="11">
        <f>IF(OR(A451="",D451=""),"",A451&amp;"-"&amp;B451&amp;"-"&amp;C451)</f>
        <v/>
      </c>
      <c r="M451" s="11">
        <f>IF(OR(L451="",G451=""),"",IF(COUNTIF(L452:L$555,L451)=0,L451,""))</f>
        <v/>
      </c>
      <c r="N451" s="11">
        <f>IFERROR(MATCH(SMALL(前年度名簿!$G$3:$G$452,447),前年度名簿!$G$3:$G$452,0),"")</f>
        <v/>
      </c>
    </row>
    <row r="452">
      <c r="A452" s="49">
        <f>IF($N452="","",INDEX(前年度名簿!$A$3:$A$452,$N452))</f>
        <v/>
      </c>
      <c r="B452" s="49">
        <f>IF($N452="","",INDEX(前年度名簿!$B$3:$B$452,$N452))</f>
        <v/>
      </c>
      <c r="C452" s="49">
        <f>IF($N452="","",INDEX(前年度名簿!$C$3:$C$452,$N452))</f>
        <v/>
      </c>
      <c r="D452" s="49" t="n"/>
      <c r="E452" s="49" t="n"/>
      <c r="F452" s="49" t="n"/>
      <c r="G452" s="4">
        <f>IF(A452="","",IFERROR(INDEX(前年度名簿!$D$3:$D$452,MATCH(A452&amp;"-"&amp;B452&amp;"-"&amp;C452,前年度名簿!$F$3:$F$452,0)),""))</f>
        <v/>
      </c>
      <c r="H452" s="50">
        <f>IF(D452="","",IF(ISERROR(VALUE(D452)),D452&amp;"",IF(AND(VALUE(D452)&gt;=1,VALUE(D452)&lt;=20),IF(INDEX(設定!$P$8:$P$27,VALUE(D452))="","？",INDEX(設定!$P$8:$P$27,VALUE(D452))),"？")))</f>
        <v/>
      </c>
      <c r="I452" s="50">
        <f>IF(E452="","",IF(ISERROR(VALUE(E452)),E452&amp;"",IF(AND(VALUE(E452)&gt;=1,VALUE(E452)&lt;=20),IF(INDEX(設定!$P$8:$P$27,VALUE(E452))="","？",INDEX(設定!$P$8:$P$27,VALUE(E452))),"？")))</f>
        <v/>
      </c>
      <c r="J452" s="50">
        <f>IF(F452="","",IF(ISERROR(VALUE(F452)),F452&amp;"",IF(AND(VALUE(F452)&gt;=1,VALUE(F452)&lt;=20),IF(INDEX(設定!$P$8:$P$27,VALUE(F452))="","？",INDEX(設定!$P$8:$P$27,VALUE(F452))),"？")))</f>
        <v/>
      </c>
      <c r="K452" s="51">
        <f>IF(L452="","",IF(G452="","名簿にいない",IF(COUNTIF(L453:L$555,L452)&gt;0,"2回提出（下の行を使います）",IF(H452="転出","転出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OR(AND(H452&lt;&gt;"",H452=I452),AND(H452&lt;&gt;"",H452=J452),AND(I452&lt;&gt;"",I452=J452)),"同じクラブを重複して希望","OK")))))))</f>
        <v/>
      </c>
      <c r="L452" s="11">
        <f>IF(OR(A452="",D452=""),"",A452&amp;"-"&amp;B452&amp;"-"&amp;C452)</f>
        <v/>
      </c>
      <c r="M452" s="11">
        <f>IF(OR(L452="",G452=""),"",IF(COUNTIF(L453:L$555,L452)=0,L452,""))</f>
        <v/>
      </c>
      <c r="N452" s="11">
        <f>IFERROR(MATCH(SMALL(前年度名簿!$G$3:$G$452,448),前年度名簿!$G$3:$G$452,0),"")</f>
        <v/>
      </c>
    </row>
    <row r="453">
      <c r="A453" s="49">
        <f>IF($N453="","",INDEX(前年度名簿!$A$3:$A$452,$N453))</f>
        <v/>
      </c>
      <c r="B453" s="49">
        <f>IF($N453="","",INDEX(前年度名簿!$B$3:$B$452,$N453))</f>
        <v/>
      </c>
      <c r="C453" s="49">
        <f>IF($N453="","",INDEX(前年度名簿!$C$3:$C$452,$N453))</f>
        <v/>
      </c>
      <c r="D453" s="49" t="n"/>
      <c r="E453" s="49" t="n"/>
      <c r="F453" s="49" t="n"/>
      <c r="G453" s="4">
        <f>IF(A453="","",IFERROR(INDEX(前年度名簿!$D$3:$D$452,MATCH(A453&amp;"-"&amp;B453&amp;"-"&amp;C453,前年度名簿!$F$3:$F$452,0)),""))</f>
        <v/>
      </c>
      <c r="H453" s="50">
        <f>IF(D453="","",IF(ISERROR(VALUE(D453)),D453&amp;"",IF(AND(VALUE(D453)&gt;=1,VALUE(D453)&lt;=20),IF(INDEX(設定!$P$8:$P$27,VALUE(D453))="","？",INDEX(設定!$P$8:$P$27,VALUE(D453))),"？")))</f>
        <v/>
      </c>
      <c r="I453" s="50">
        <f>IF(E453="","",IF(ISERROR(VALUE(E453)),E453&amp;"",IF(AND(VALUE(E453)&gt;=1,VALUE(E453)&lt;=20),IF(INDEX(設定!$P$8:$P$27,VALUE(E453))="","？",INDEX(設定!$P$8:$P$27,VALUE(E453))),"？")))</f>
        <v/>
      </c>
      <c r="J453" s="50">
        <f>IF(F453="","",IF(ISERROR(VALUE(F453)),F453&amp;"",IF(AND(VALUE(F453)&gt;=1,VALUE(F453)&lt;=20),IF(INDEX(設定!$P$8:$P$27,VALUE(F453))="","？",INDEX(設定!$P$8:$P$27,VALUE(F453))),"？")))</f>
        <v/>
      </c>
      <c r="K453" s="51">
        <f>IF(L453="","",IF(G453="","名簿にいない",IF(COUNTIF(L454:L$555,L453)&gt;0,"2回提出（下の行を使います）",IF(H453="転出","転出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OR(AND(H453&lt;&gt;"",H453=I453),AND(H453&lt;&gt;"",H453=J453),AND(I453&lt;&gt;"",I453=J453)),"同じクラブを重複して希望","OK")))))))</f>
        <v/>
      </c>
      <c r="L453" s="11">
        <f>IF(OR(A453="",D453=""),"",A453&amp;"-"&amp;B453&amp;"-"&amp;C453)</f>
        <v/>
      </c>
      <c r="M453" s="11">
        <f>IF(OR(L453="",G453=""),"",IF(COUNTIF(L454:L$555,L453)=0,L453,""))</f>
        <v/>
      </c>
      <c r="N453" s="11">
        <f>IFERROR(MATCH(SMALL(前年度名簿!$G$3:$G$452,449),前年度名簿!$G$3:$G$452,0),"")</f>
        <v/>
      </c>
    </row>
    <row r="454">
      <c r="A454" s="49">
        <f>IF($N454="","",INDEX(前年度名簿!$A$3:$A$452,$N454))</f>
        <v/>
      </c>
      <c r="B454" s="49">
        <f>IF($N454="","",INDEX(前年度名簿!$B$3:$B$452,$N454))</f>
        <v/>
      </c>
      <c r="C454" s="49">
        <f>IF($N454="","",INDEX(前年度名簿!$C$3:$C$452,$N454))</f>
        <v/>
      </c>
      <c r="D454" s="49" t="n"/>
      <c r="E454" s="49" t="n"/>
      <c r="F454" s="49" t="n"/>
      <c r="G454" s="4">
        <f>IF(A454="","",IFERROR(INDEX(前年度名簿!$D$3:$D$452,MATCH(A454&amp;"-"&amp;B454&amp;"-"&amp;C454,前年度名簿!$F$3:$F$452,0)),""))</f>
        <v/>
      </c>
      <c r="H454" s="50">
        <f>IF(D454="","",IF(ISERROR(VALUE(D454)),D454&amp;"",IF(AND(VALUE(D454)&gt;=1,VALUE(D454)&lt;=20),IF(INDEX(設定!$P$8:$P$27,VALUE(D454))="","？",INDEX(設定!$P$8:$P$27,VALUE(D454))),"？")))</f>
        <v/>
      </c>
      <c r="I454" s="50">
        <f>IF(E454="","",IF(ISERROR(VALUE(E454)),E454&amp;"",IF(AND(VALUE(E454)&gt;=1,VALUE(E454)&lt;=20),IF(INDEX(設定!$P$8:$P$27,VALUE(E454))="","？",INDEX(設定!$P$8:$P$27,VALUE(E454))),"？")))</f>
        <v/>
      </c>
      <c r="J454" s="50">
        <f>IF(F454="","",IF(ISERROR(VALUE(F454)),F454&amp;"",IF(AND(VALUE(F454)&gt;=1,VALUE(F454)&lt;=20),IF(INDEX(設定!$P$8:$P$27,VALUE(F454))="","？",INDEX(設定!$P$8:$P$27,VALUE(F454))),"？")))</f>
        <v/>
      </c>
      <c r="K454" s="51">
        <f>IF(L454="","",IF(G454="","名簿にいない",IF(COUNTIF(L455:L$555,L454)&gt;0,"2回提出（下の行を使います）",IF(H454="転出","転出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OR(AND(H454&lt;&gt;"",H454=I454),AND(H454&lt;&gt;"",H454=J454),AND(I454&lt;&gt;"",I454=J454)),"同じクラブを重複して希望","OK")))))))</f>
        <v/>
      </c>
      <c r="L454" s="11">
        <f>IF(OR(A454="",D454=""),"",A454&amp;"-"&amp;B454&amp;"-"&amp;C454)</f>
        <v/>
      </c>
      <c r="M454" s="11">
        <f>IF(OR(L454="",G454=""),"",IF(COUNTIF(L455:L$555,L454)=0,L454,""))</f>
        <v/>
      </c>
      <c r="N454" s="11">
        <f>IFERROR(MATCH(SMALL(前年度名簿!$G$3:$G$452,450),前年度名簿!$G$3:$G$452,0),"")</f>
        <v/>
      </c>
    </row>
    <row r="455">
      <c r="A455" s="49" t="n"/>
      <c r="B455" s="49" t="n"/>
      <c r="C455" s="49" t="n"/>
      <c r="D455" s="49" t="n"/>
      <c r="E455" s="49" t="n"/>
      <c r="F455" s="49" t="n"/>
      <c r="G455" s="4">
        <f>IF(A455="","",IFERROR(INDEX(前年度名簿!$D$3:$D$452,MATCH(A455&amp;"-"&amp;B455&amp;"-"&amp;C455,前年度名簿!$F$3:$F$452,0)),""))</f>
        <v/>
      </c>
      <c r="H455" s="50">
        <f>IF(D455="","",IF(ISERROR(VALUE(D455)),D455&amp;"",IF(AND(VALUE(D455)&gt;=1,VALUE(D455)&lt;=20),IF(INDEX(設定!$P$8:$P$27,VALUE(D455))="","？",INDEX(設定!$P$8:$P$27,VALUE(D455))),"？")))</f>
        <v/>
      </c>
      <c r="I455" s="50">
        <f>IF(E455="","",IF(ISERROR(VALUE(E455)),E455&amp;"",IF(AND(VALUE(E455)&gt;=1,VALUE(E455)&lt;=20),IF(INDEX(設定!$P$8:$P$27,VALUE(E455))="","？",INDEX(設定!$P$8:$P$27,VALUE(E455))),"？")))</f>
        <v/>
      </c>
      <c r="J455" s="50">
        <f>IF(F455="","",IF(ISERROR(VALUE(F455)),F455&amp;"",IF(AND(VALUE(F455)&gt;=1,VALUE(F455)&lt;=20),IF(INDEX(設定!$P$8:$P$27,VALUE(F455))="","？",INDEX(設定!$P$8:$P$27,VALUE(F455))),"？")))</f>
        <v/>
      </c>
      <c r="K455" s="51">
        <f>IF(L455="","",IF(G455="","名簿にいない",IF(COUNTIF(L456:L$555,L455)&gt;0,"2回提出（下の行を使います）",IF(H455="転出","転出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OR(AND(H455&lt;&gt;"",H455=I455),AND(H455&lt;&gt;"",H455=J455),AND(I455&lt;&gt;"",I455=J455)),"同じクラブを重複して希望","OK")))))))</f>
        <v/>
      </c>
      <c r="L455" s="11">
        <f>IF(OR(A455="",D455=""),"",A455&amp;"-"&amp;B455&amp;"-"&amp;C455)</f>
        <v/>
      </c>
      <c r="M455" s="11">
        <f>IF(OR(L455="",G455=""),"",IF(COUNTIF(L456:L$555,L455)=0,L455,""))</f>
        <v/>
      </c>
    </row>
    <row r="456">
      <c r="A456" s="49" t="n"/>
      <c r="B456" s="49" t="n"/>
      <c r="C456" s="49" t="n"/>
      <c r="D456" s="49" t="n"/>
      <c r="E456" s="49" t="n"/>
      <c r="F456" s="49" t="n"/>
      <c r="G456" s="4">
        <f>IF(A456="","",IFERROR(INDEX(前年度名簿!$D$3:$D$452,MATCH(A456&amp;"-"&amp;B456&amp;"-"&amp;C456,前年度名簿!$F$3:$F$452,0)),""))</f>
        <v/>
      </c>
      <c r="H456" s="50">
        <f>IF(D456="","",IF(ISERROR(VALUE(D456)),D456&amp;"",IF(AND(VALUE(D456)&gt;=1,VALUE(D456)&lt;=20),IF(INDEX(設定!$P$8:$P$27,VALUE(D456))="","？",INDEX(設定!$P$8:$P$27,VALUE(D456))),"？")))</f>
        <v/>
      </c>
      <c r="I456" s="50">
        <f>IF(E456="","",IF(ISERROR(VALUE(E456)),E456&amp;"",IF(AND(VALUE(E456)&gt;=1,VALUE(E456)&lt;=20),IF(INDEX(設定!$P$8:$P$27,VALUE(E456))="","？",INDEX(設定!$P$8:$P$27,VALUE(E456))),"？")))</f>
        <v/>
      </c>
      <c r="J456" s="50">
        <f>IF(F456="","",IF(ISERROR(VALUE(F456)),F456&amp;"",IF(AND(VALUE(F456)&gt;=1,VALUE(F456)&lt;=20),IF(INDEX(設定!$P$8:$P$27,VALUE(F456))="","？",INDEX(設定!$P$8:$P$27,VALUE(F456))),"？")))</f>
        <v/>
      </c>
      <c r="K456" s="51">
        <f>IF(L456="","",IF(G456="","名簿にいない",IF(COUNTIF(L457:L$555,L456)&gt;0,"2回提出（下の行を使います）",IF(H456="転出","転出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OR(AND(H456&lt;&gt;"",H456=I456),AND(H456&lt;&gt;"",H456=J456),AND(I456&lt;&gt;"",I456=J456)),"同じクラブを重複して希望","OK")))))))</f>
        <v/>
      </c>
      <c r="L456" s="11">
        <f>IF(OR(A456="",D456=""),"",A456&amp;"-"&amp;B456&amp;"-"&amp;C456)</f>
        <v/>
      </c>
      <c r="M456" s="11">
        <f>IF(OR(L456="",G456=""),"",IF(COUNTIF(L457:L$555,L456)=0,L456,""))</f>
        <v/>
      </c>
    </row>
    <row r="457">
      <c r="A457" s="49" t="n"/>
      <c r="B457" s="49" t="n"/>
      <c r="C457" s="49" t="n"/>
      <c r="D457" s="49" t="n"/>
      <c r="E457" s="49" t="n"/>
      <c r="F457" s="49" t="n"/>
      <c r="G457" s="4">
        <f>IF(A457="","",IFERROR(INDEX(前年度名簿!$D$3:$D$452,MATCH(A457&amp;"-"&amp;B457&amp;"-"&amp;C457,前年度名簿!$F$3:$F$452,0)),""))</f>
        <v/>
      </c>
      <c r="H457" s="50">
        <f>IF(D457="","",IF(ISERROR(VALUE(D457)),D457&amp;"",IF(AND(VALUE(D457)&gt;=1,VALUE(D457)&lt;=20),IF(INDEX(設定!$P$8:$P$27,VALUE(D457))="","？",INDEX(設定!$P$8:$P$27,VALUE(D457))),"？")))</f>
        <v/>
      </c>
      <c r="I457" s="50">
        <f>IF(E457="","",IF(ISERROR(VALUE(E457)),E457&amp;"",IF(AND(VALUE(E457)&gt;=1,VALUE(E457)&lt;=20),IF(INDEX(設定!$P$8:$P$27,VALUE(E457))="","？",INDEX(設定!$P$8:$P$27,VALUE(E457))),"？")))</f>
        <v/>
      </c>
      <c r="J457" s="50">
        <f>IF(F457="","",IF(ISERROR(VALUE(F457)),F457&amp;"",IF(AND(VALUE(F457)&gt;=1,VALUE(F457)&lt;=20),IF(INDEX(設定!$P$8:$P$27,VALUE(F457))="","？",INDEX(設定!$P$8:$P$27,VALUE(F457))),"？")))</f>
        <v/>
      </c>
      <c r="K457" s="51">
        <f>IF(L457="","",IF(G457="","名簿にいない",IF(COUNTIF(L458:L$555,L457)&gt;0,"2回提出（下の行を使います）",IF(H457="転出","転出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OR(AND(H457&lt;&gt;"",H457=I457),AND(H457&lt;&gt;"",H457=J457),AND(I457&lt;&gt;"",I457=J457)),"同じクラブを重複して希望","OK")))))))</f>
        <v/>
      </c>
      <c r="L457" s="11">
        <f>IF(OR(A457="",D457=""),"",A457&amp;"-"&amp;B457&amp;"-"&amp;C457)</f>
        <v/>
      </c>
      <c r="M457" s="11">
        <f>IF(OR(L457="",G457=""),"",IF(COUNTIF(L458:L$555,L457)=0,L457,""))</f>
        <v/>
      </c>
    </row>
    <row r="458">
      <c r="A458" s="49" t="n"/>
      <c r="B458" s="49" t="n"/>
      <c r="C458" s="49" t="n"/>
      <c r="D458" s="49" t="n"/>
      <c r="E458" s="49" t="n"/>
      <c r="F458" s="49" t="n"/>
      <c r="G458" s="4">
        <f>IF(A458="","",IFERROR(INDEX(前年度名簿!$D$3:$D$452,MATCH(A458&amp;"-"&amp;B458&amp;"-"&amp;C458,前年度名簿!$F$3:$F$452,0)),""))</f>
        <v/>
      </c>
      <c r="H458" s="50">
        <f>IF(D458="","",IF(ISERROR(VALUE(D458)),D458&amp;"",IF(AND(VALUE(D458)&gt;=1,VALUE(D458)&lt;=20),IF(INDEX(設定!$P$8:$P$27,VALUE(D458))="","？",INDEX(設定!$P$8:$P$27,VALUE(D458))),"？")))</f>
        <v/>
      </c>
      <c r="I458" s="50">
        <f>IF(E458="","",IF(ISERROR(VALUE(E458)),E458&amp;"",IF(AND(VALUE(E458)&gt;=1,VALUE(E458)&lt;=20),IF(INDEX(設定!$P$8:$P$27,VALUE(E458))="","？",INDEX(設定!$P$8:$P$27,VALUE(E458))),"？")))</f>
        <v/>
      </c>
      <c r="J458" s="50">
        <f>IF(F458="","",IF(ISERROR(VALUE(F458)),F458&amp;"",IF(AND(VALUE(F458)&gt;=1,VALUE(F458)&lt;=20),IF(INDEX(設定!$P$8:$P$27,VALUE(F458))="","？",INDEX(設定!$P$8:$P$27,VALUE(F458))),"？")))</f>
        <v/>
      </c>
      <c r="K458" s="51">
        <f>IF(L458="","",IF(G458="","名簿にいない",IF(COUNTIF(L459:L$555,L458)&gt;0,"2回提出（下の行を使います）",IF(H458="転出","転出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OR(AND(H458&lt;&gt;"",H458=I458),AND(H458&lt;&gt;"",H458=J458),AND(I458&lt;&gt;"",I458=J458)),"同じクラブを重複して希望","OK")))))))</f>
        <v/>
      </c>
      <c r="L458" s="11">
        <f>IF(OR(A458="",D458=""),"",A458&amp;"-"&amp;B458&amp;"-"&amp;C458)</f>
        <v/>
      </c>
      <c r="M458" s="11">
        <f>IF(OR(L458="",G458=""),"",IF(COUNTIF(L459:L$555,L458)=0,L458,""))</f>
        <v/>
      </c>
    </row>
    <row r="459">
      <c r="A459" s="49" t="n"/>
      <c r="B459" s="49" t="n"/>
      <c r="C459" s="49" t="n"/>
      <c r="D459" s="49" t="n"/>
      <c r="E459" s="49" t="n"/>
      <c r="F459" s="49" t="n"/>
      <c r="G459" s="4">
        <f>IF(A459="","",IFERROR(INDEX(前年度名簿!$D$3:$D$452,MATCH(A459&amp;"-"&amp;B459&amp;"-"&amp;C459,前年度名簿!$F$3:$F$452,0)),""))</f>
        <v/>
      </c>
      <c r="H459" s="50">
        <f>IF(D459="","",IF(ISERROR(VALUE(D459)),D459&amp;"",IF(AND(VALUE(D459)&gt;=1,VALUE(D459)&lt;=20),IF(INDEX(設定!$P$8:$P$27,VALUE(D459))="","？",INDEX(設定!$P$8:$P$27,VALUE(D459))),"？")))</f>
        <v/>
      </c>
      <c r="I459" s="50">
        <f>IF(E459="","",IF(ISERROR(VALUE(E459)),E459&amp;"",IF(AND(VALUE(E459)&gt;=1,VALUE(E459)&lt;=20),IF(INDEX(設定!$P$8:$P$27,VALUE(E459))="","？",INDEX(設定!$P$8:$P$27,VALUE(E459))),"？")))</f>
        <v/>
      </c>
      <c r="J459" s="50">
        <f>IF(F459="","",IF(ISERROR(VALUE(F459)),F459&amp;"",IF(AND(VALUE(F459)&gt;=1,VALUE(F459)&lt;=20),IF(INDEX(設定!$P$8:$P$27,VALUE(F459))="","？",INDEX(設定!$P$8:$P$27,VALUE(F459))),"？")))</f>
        <v/>
      </c>
      <c r="K459" s="51">
        <f>IF(L459="","",IF(G459="","名簿にいない",IF(COUNTIF(L460:L$555,L459)&gt;0,"2回提出（下の行を使います）",IF(H459="転出","転出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OR(AND(H459&lt;&gt;"",H459=I459),AND(H459&lt;&gt;"",H459=J459),AND(I459&lt;&gt;"",I459=J459)),"同じクラブを重複して希望","OK")))))))</f>
        <v/>
      </c>
      <c r="L459" s="11">
        <f>IF(OR(A459="",D459=""),"",A459&amp;"-"&amp;B459&amp;"-"&amp;C459)</f>
        <v/>
      </c>
      <c r="M459" s="11">
        <f>IF(OR(L459="",G459=""),"",IF(COUNTIF(L460:L$555,L459)=0,L459,""))</f>
        <v/>
      </c>
    </row>
    <row r="460">
      <c r="A460" s="49" t="n"/>
      <c r="B460" s="49" t="n"/>
      <c r="C460" s="49" t="n"/>
      <c r="D460" s="49" t="n"/>
      <c r="E460" s="49" t="n"/>
      <c r="F460" s="49" t="n"/>
      <c r="G460" s="4">
        <f>IF(A460="","",IFERROR(INDEX(前年度名簿!$D$3:$D$452,MATCH(A460&amp;"-"&amp;B460&amp;"-"&amp;C460,前年度名簿!$F$3:$F$452,0)),""))</f>
        <v/>
      </c>
      <c r="H460" s="50">
        <f>IF(D460="","",IF(ISERROR(VALUE(D460)),D460&amp;"",IF(AND(VALUE(D460)&gt;=1,VALUE(D460)&lt;=20),IF(INDEX(設定!$P$8:$P$27,VALUE(D460))="","？",INDEX(設定!$P$8:$P$27,VALUE(D460))),"？")))</f>
        <v/>
      </c>
      <c r="I460" s="50">
        <f>IF(E460="","",IF(ISERROR(VALUE(E460)),E460&amp;"",IF(AND(VALUE(E460)&gt;=1,VALUE(E460)&lt;=20),IF(INDEX(設定!$P$8:$P$27,VALUE(E460))="","？",INDEX(設定!$P$8:$P$27,VALUE(E460))),"？")))</f>
        <v/>
      </c>
      <c r="J460" s="50">
        <f>IF(F460="","",IF(ISERROR(VALUE(F460)),F460&amp;"",IF(AND(VALUE(F460)&gt;=1,VALUE(F460)&lt;=20),IF(INDEX(設定!$P$8:$P$27,VALUE(F460))="","？",INDEX(設定!$P$8:$P$27,VALUE(F460))),"？")))</f>
        <v/>
      </c>
      <c r="K460" s="51">
        <f>IF(L460="","",IF(G460="","名簿にいない",IF(COUNTIF(L461:L$555,L460)&gt;0,"2回提出（下の行を使います）",IF(H460="転出","転出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OR(AND(H460&lt;&gt;"",H460=I460),AND(H460&lt;&gt;"",H460=J460),AND(I460&lt;&gt;"",I460=J460)),"同じクラブを重複して希望","OK")))))))</f>
        <v/>
      </c>
      <c r="L460" s="11">
        <f>IF(OR(A460="",D460=""),"",A460&amp;"-"&amp;B460&amp;"-"&amp;C460)</f>
        <v/>
      </c>
      <c r="M460" s="11">
        <f>IF(OR(L460="",G460=""),"",IF(COUNTIF(L461:L$555,L460)=0,L460,""))</f>
        <v/>
      </c>
    </row>
    <row r="461">
      <c r="A461" s="49" t="n"/>
      <c r="B461" s="49" t="n"/>
      <c r="C461" s="49" t="n"/>
      <c r="D461" s="49" t="n"/>
      <c r="E461" s="49" t="n"/>
      <c r="F461" s="49" t="n"/>
      <c r="G461" s="4">
        <f>IF(A461="","",IFERROR(INDEX(前年度名簿!$D$3:$D$452,MATCH(A461&amp;"-"&amp;B461&amp;"-"&amp;C461,前年度名簿!$F$3:$F$452,0)),""))</f>
        <v/>
      </c>
      <c r="H461" s="50">
        <f>IF(D461="","",IF(ISERROR(VALUE(D461)),D461&amp;"",IF(AND(VALUE(D461)&gt;=1,VALUE(D461)&lt;=20),IF(INDEX(設定!$P$8:$P$27,VALUE(D461))="","？",INDEX(設定!$P$8:$P$27,VALUE(D461))),"？")))</f>
        <v/>
      </c>
      <c r="I461" s="50">
        <f>IF(E461="","",IF(ISERROR(VALUE(E461)),E461&amp;"",IF(AND(VALUE(E461)&gt;=1,VALUE(E461)&lt;=20),IF(INDEX(設定!$P$8:$P$27,VALUE(E461))="","？",INDEX(設定!$P$8:$P$27,VALUE(E461))),"？")))</f>
        <v/>
      </c>
      <c r="J461" s="50">
        <f>IF(F461="","",IF(ISERROR(VALUE(F461)),F461&amp;"",IF(AND(VALUE(F461)&gt;=1,VALUE(F461)&lt;=20),IF(INDEX(設定!$P$8:$P$27,VALUE(F461))="","？",INDEX(設定!$P$8:$P$27,VALUE(F461))),"？")))</f>
        <v/>
      </c>
      <c r="K461" s="51">
        <f>IF(L461="","",IF(G461="","名簿にいない",IF(COUNTIF(L462:L$555,L461)&gt;0,"2回提出（下の行を使います）",IF(H461="転出","転出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OR(AND(H461&lt;&gt;"",H461=I461),AND(H461&lt;&gt;"",H461=J461),AND(I461&lt;&gt;"",I461=J461)),"同じクラブを重複して希望","OK")))))))</f>
        <v/>
      </c>
      <c r="L461" s="11">
        <f>IF(OR(A461="",D461=""),"",A461&amp;"-"&amp;B461&amp;"-"&amp;C461)</f>
        <v/>
      </c>
      <c r="M461" s="11">
        <f>IF(OR(L461="",G461=""),"",IF(COUNTIF(L462:L$555,L461)=0,L461,""))</f>
        <v/>
      </c>
    </row>
    <row r="462">
      <c r="A462" s="49" t="n"/>
      <c r="B462" s="49" t="n"/>
      <c r="C462" s="49" t="n"/>
      <c r="D462" s="49" t="n"/>
      <c r="E462" s="49" t="n"/>
      <c r="F462" s="49" t="n"/>
      <c r="G462" s="4">
        <f>IF(A462="","",IFERROR(INDEX(前年度名簿!$D$3:$D$452,MATCH(A462&amp;"-"&amp;B462&amp;"-"&amp;C462,前年度名簿!$F$3:$F$452,0)),""))</f>
        <v/>
      </c>
      <c r="H462" s="50">
        <f>IF(D462="","",IF(ISERROR(VALUE(D462)),D462&amp;"",IF(AND(VALUE(D462)&gt;=1,VALUE(D462)&lt;=20),IF(INDEX(設定!$P$8:$P$27,VALUE(D462))="","？",INDEX(設定!$P$8:$P$27,VALUE(D462))),"？")))</f>
        <v/>
      </c>
      <c r="I462" s="50">
        <f>IF(E462="","",IF(ISERROR(VALUE(E462)),E462&amp;"",IF(AND(VALUE(E462)&gt;=1,VALUE(E462)&lt;=20),IF(INDEX(設定!$P$8:$P$27,VALUE(E462))="","？",INDEX(設定!$P$8:$P$27,VALUE(E462))),"？")))</f>
        <v/>
      </c>
      <c r="J462" s="50">
        <f>IF(F462="","",IF(ISERROR(VALUE(F462)),F462&amp;"",IF(AND(VALUE(F462)&gt;=1,VALUE(F462)&lt;=20),IF(INDEX(設定!$P$8:$P$27,VALUE(F462))="","？",INDEX(設定!$P$8:$P$27,VALUE(F462))),"？")))</f>
        <v/>
      </c>
      <c r="K462" s="51">
        <f>IF(L462="","",IF(G462="","名簿にいない",IF(COUNTIF(L463:L$555,L462)&gt;0,"2回提出（下の行を使います）",IF(H462="転出","転出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OR(AND(H462&lt;&gt;"",H462=I462),AND(H462&lt;&gt;"",H462=J462),AND(I462&lt;&gt;"",I462=J462)),"同じクラブを重複して希望","OK")))))))</f>
        <v/>
      </c>
      <c r="L462" s="11">
        <f>IF(OR(A462="",D462=""),"",A462&amp;"-"&amp;B462&amp;"-"&amp;C462)</f>
        <v/>
      </c>
      <c r="M462" s="11">
        <f>IF(OR(L462="",G462=""),"",IF(COUNTIF(L463:L$555,L462)=0,L462,""))</f>
        <v/>
      </c>
    </row>
    <row r="463">
      <c r="A463" s="49" t="n"/>
      <c r="B463" s="49" t="n"/>
      <c r="C463" s="49" t="n"/>
      <c r="D463" s="49" t="n"/>
      <c r="E463" s="49" t="n"/>
      <c r="F463" s="49" t="n"/>
      <c r="G463" s="4">
        <f>IF(A463="","",IFERROR(INDEX(前年度名簿!$D$3:$D$452,MATCH(A463&amp;"-"&amp;B463&amp;"-"&amp;C463,前年度名簿!$F$3:$F$452,0)),""))</f>
        <v/>
      </c>
      <c r="H463" s="50">
        <f>IF(D463="","",IF(ISERROR(VALUE(D463)),D463&amp;"",IF(AND(VALUE(D463)&gt;=1,VALUE(D463)&lt;=20),IF(INDEX(設定!$P$8:$P$27,VALUE(D463))="","？",INDEX(設定!$P$8:$P$27,VALUE(D463))),"？")))</f>
        <v/>
      </c>
      <c r="I463" s="50">
        <f>IF(E463="","",IF(ISERROR(VALUE(E463)),E463&amp;"",IF(AND(VALUE(E463)&gt;=1,VALUE(E463)&lt;=20),IF(INDEX(設定!$P$8:$P$27,VALUE(E463))="","？",INDEX(設定!$P$8:$P$27,VALUE(E463))),"？")))</f>
        <v/>
      </c>
      <c r="J463" s="50">
        <f>IF(F463="","",IF(ISERROR(VALUE(F463)),F463&amp;"",IF(AND(VALUE(F463)&gt;=1,VALUE(F463)&lt;=20),IF(INDEX(設定!$P$8:$P$27,VALUE(F463))="","？",INDEX(設定!$P$8:$P$27,VALUE(F463))),"？")))</f>
        <v/>
      </c>
      <c r="K463" s="51">
        <f>IF(L463="","",IF(G463="","名簿にいない",IF(COUNTIF(L464:L$555,L463)&gt;0,"2回提出（下の行を使います）",IF(H463="転出","転出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OR(AND(H463&lt;&gt;"",H463=I463),AND(H463&lt;&gt;"",H463=J463),AND(I463&lt;&gt;"",I463=J463)),"同じクラブを重複して希望","OK")))))))</f>
        <v/>
      </c>
      <c r="L463" s="11">
        <f>IF(OR(A463="",D463=""),"",A463&amp;"-"&amp;B463&amp;"-"&amp;C463)</f>
        <v/>
      </c>
      <c r="M463" s="11">
        <f>IF(OR(L463="",G463=""),"",IF(COUNTIF(L464:L$555,L463)=0,L463,""))</f>
        <v/>
      </c>
    </row>
    <row r="464">
      <c r="A464" s="49" t="n"/>
      <c r="B464" s="49" t="n"/>
      <c r="C464" s="49" t="n"/>
      <c r="D464" s="49" t="n"/>
      <c r="E464" s="49" t="n"/>
      <c r="F464" s="49" t="n"/>
      <c r="G464" s="4">
        <f>IF(A464="","",IFERROR(INDEX(前年度名簿!$D$3:$D$452,MATCH(A464&amp;"-"&amp;B464&amp;"-"&amp;C464,前年度名簿!$F$3:$F$452,0)),""))</f>
        <v/>
      </c>
      <c r="H464" s="50">
        <f>IF(D464="","",IF(ISERROR(VALUE(D464)),D464&amp;"",IF(AND(VALUE(D464)&gt;=1,VALUE(D464)&lt;=20),IF(INDEX(設定!$P$8:$P$27,VALUE(D464))="","？",INDEX(設定!$P$8:$P$27,VALUE(D464))),"？")))</f>
        <v/>
      </c>
      <c r="I464" s="50">
        <f>IF(E464="","",IF(ISERROR(VALUE(E464)),E464&amp;"",IF(AND(VALUE(E464)&gt;=1,VALUE(E464)&lt;=20),IF(INDEX(設定!$P$8:$P$27,VALUE(E464))="","？",INDEX(設定!$P$8:$P$27,VALUE(E464))),"？")))</f>
        <v/>
      </c>
      <c r="J464" s="50">
        <f>IF(F464="","",IF(ISERROR(VALUE(F464)),F464&amp;"",IF(AND(VALUE(F464)&gt;=1,VALUE(F464)&lt;=20),IF(INDEX(設定!$P$8:$P$27,VALUE(F464))="","？",INDEX(設定!$P$8:$P$27,VALUE(F464))),"？")))</f>
        <v/>
      </c>
      <c r="K464" s="51">
        <f>IF(L464="","",IF(G464="","名簿にいない",IF(COUNTIF(L465:L$555,L464)&gt;0,"2回提出（下の行を使います）",IF(H464="転出","転出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OR(AND(H464&lt;&gt;"",H464=I464),AND(H464&lt;&gt;"",H464=J464),AND(I464&lt;&gt;"",I464=J464)),"同じクラブを重複して希望","OK")))))))</f>
        <v/>
      </c>
      <c r="L464" s="11">
        <f>IF(OR(A464="",D464=""),"",A464&amp;"-"&amp;B464&amp;"-"&amp;C464)</f>
        <v/>
      </c>
      <c r="M464" s="11">
        <f>IF(OR(L464="",G464=""),"",IF(COUNTIF(L465:L$555,L464)=0,L464,""))</f>
        <v/>
      </c>
    </row>
    <row r="465">
      <c r="A465" s="49" t="n"/>
      <c r="B465" s="49" t="n"/>
      <c r="C465" s="49" t="n"/>
      <c r="D465" s="49" t="n"/>
      <c r="E465" s="49" t="n"/>
      <c r="F465" s="49" t="n"/>
      <c r="G465" s="4">
        <f>IF(A465="","",IFERROR(INDEX(前年度名簿!$D$3:$D$452,MATCH(A465&amp;"-"&amp;B465&amp;"-"&amp;C465,前年度名簿!$F$3:$F$452,0)),""))</f>
        <v/>
      </c>
      <c r="H465" s="50">
        <f>IF(D465="","",IF(ISERROR(VALUE(D465)),D465&amp;"",IF(AND(VALUE(D465)&gt;=1,VALUE(D465)&lt;=20),IF(INDEX(設定!$P$8:$P$27,VALUE(D465))="","？",INDEX(設定!$P$8:$P$27,VALUE(D465))),"？")))</f>
        <v/>
      </c>
      <c r="I465" s="50">
        <f>IF(E465="","",IF(ISERROR(VALUE(E465)),E465&amp;"",IF(AND(VALUE(E465)&gt;=1,VALUE(E465)&lt;=20),IF(INDEX(設定!$P$8:$P$27,VALUE(E465))="","？",INDEX(設定!$P$8:$P$27,VALUE(E465))),"？")))</f>
        <v/>
      </c>
      <c r="J465" s="50">
        <f>IF(F465="","",IF(ISERROR(VALUE(F465)),F465&amp;"",IF(AND(VALUE(F465)&gt;=1,VALUE(F465)&lt;=20),IF(INDEX(設定!$P$8:$P$27,VALUE(F465))="","？",INDEX(設定!$P$8:$P$27,VALUE(F465))),"？")))</f>
        <v/>
      </c>
      <c r="K465" s="51">
        <f>IF(L465="","",IF(G465="","名簿にいない",IF(COUNTIF(L466:L$555,L465)&gt;0,"2回提出（下の行を使います）",IF(H465="転出","転出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OR(AND(H465&lt;&gt;"",H465=I465),AND(H465&lt;&gt;"",H465=J465),AND(I465&lt;&gt;"",I465=J465)),"同じクラブを重複して希望","OK")))))))</f>
        <v/>
      </c>
      <c r="L465" s="11">
        <f>IF(OR(A465="",D465=""),"",A465&amp;"-"&amp;B465&amp;"-"&amp;C465)</f>
        <v/>
      </c>
      <c r="M465" s="11">
        <f>IF(OR(L465="",G465=""),"",IF(COUNTIF(L466:L$555,L465)=0,L465,""))</f>
        <v/>
      </c>
    </row>
    <row r="466">
      <c r="A466" s="49" t="n"/>
      <c r="B466" s="49" t="n"/>
      <c r="C466" s="49" t="n"/>
      <c r="D466" s="49" t="n"/>
      <c r="E466" s="49" t="n"/>
      <c r="F466" s="49" t="n"/>
      <c r="G466" s="4">
        <f>IF(A466="","",IFERROR(INDEX(前年度名簿!$D$3:$D$452,MATCH(A466&amp;"-"&amp;B466&amp;"-"&amp;C466,前年度名簿!$F$3:$F$452,0)),""))</f>
        <v/>
      </c>
      <c r="H466" s="50">
        <f>IF(D466="","",IF(ISERROR(VALUE(D466)),D466&amp;"",IF(AND(VALUE(D466)&gt;=1,VALUE(D466)&lt;=20),IF(INDEX(設定!$P$8:$P$27,VALUE(D466))="","？",INDEX(設定!$P$8:$P$27,VALUE(D466))),"？")))</f>
        <v/>
      </c>
      <c r="I466" s="50">
        <f>IF(E466="","",IF(ISERROR(VALUE(E466)),E466&amp;"",IF(AND(VALUE(E466)&gt;=1,VALUE(E466)&lt;=20),IF(INDEX(設定!$P$8:$P$27,VALUE(E466))="","？",INDEX(設定!$P$8:$P$27,VALUE(E466))),"？")))</f>
        <v/>
      </c>
      <c r="J466" s="50">
        <f>IF(F466="","",IF(ISERROR(VALUE(F466)),F466&amp;"",IF(AND(VALUE(F466)&gt;=1,VALUE(F466)&lt;=20),IF(INDEX(設定!$P$8:$P$27,VALUE(F466))="","？",INDEX(設定!$P$8:$P$27,VALUE(F466))),"？")))</f>
        <v/>
      </c>
      <c r="K466" s="51">
        <f>IF(L466="","",IF(G466="","名簿にいない",IF(COUNTIF(L467:L$555,L466)&gt;0,"2回提出（下の行を使います）",IF(H466="転出","転出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OR(AND(H466&lt;&gt;"",H466=I466),AND(H466&lt;&gt;"",H466=J466),AND(I466&lt;&gt;"",I466=J466)),"同じクラブを重複して希望","OK")))))))</f>
        <v/>
      </c>
      <c r="L466" s="11">
        <f>IF(OR(A466="",D466=""),"",A466&amp;"-"&amp;B466&amp;"-"&amp;C466)</f>
        <v/>
      </c>
      <c r="M466" s="11">
        <f>IF(OR(L466="",G466=""),"",IF(COUNTIF(L467:L$555,L466)=0,L466,""))</f>
        <v/>
      </c>
    </row>
    <row r="467">
      <c r="A467" s="49" t="n"/>
      <c r="B467" s="49" t="n"/>
      <c r="C467" s="49" t="n"/>
      <c r="D467" s="49" t="n"/>
      <c r="E467" s="49" t="n"/>
      <c r="F467" s="49" t="n"/>
      <c r="G467" s="4">
        <f>IF(A467="","",IFERROR(INDEX(前年度名簿!$D$3:$D$452,MATCH(A467&amp;"-"&amp;B467&amp;"-"&amp;C467,前年度名簿!$F$3:$F$452,0)),""))</f>
        <v/>
      </c>
      <c r="H467" s="50">
        <f>IF(D467="","",IF(ISERROR(VALUE(D467)),D467&amp;"",IF(AND(VALUE(D467)&gt;=1,VALUE(D467)&lt;=20),IF(INDEX(設定!$P$8:$P$27,VALUE(D467))="","？",INDEX(設定!$P$8:$P$27,VALUE(D467))),"？")))</f>
        <v/>
      </c>
      <c r="I467" s="50">
        <f>IF(E467="","",IF(ISERROR(VALUE(E467)),E467&amp;"",IF(AND(VALUE(E467)&gt;=1,VALUE(E467)&lt;=20),IF(INDEX(設定!$P$8:$P$27,VALUE(E467))="","？",INDEX(設定!$P$8:$P$27,VALUE(E467))),"？")))</f>
        <v/>
      </c>
      <c r="J467" s="50">
        <f>IF(F467="","",IF(ISERROR(VALUE(F467)),F467&amp;"",IF(AND(VALUE(F467)&gt;=1,VALUE(F467)&lt;=20),IF(INDEX(設定!$P$8:$P$27,VALUE(F467))="","？",INDEX(設定!$P$8:$P$27,VALUE(F467))),"？")))</f>
        <v/>
      </c>
      <c r="K467" s="51">
        <f>IF(L467="","",IF(G467="","名簿にいない",IF(COUNTIF(L468:L$555,L467)&gt;0,"2回提出（下の行を使います）",IF(H467="転出","転出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OR(AND(H467&lt;&gt;"",H467=I467),AND(H467&lt;&gt;"",H467=J467),AND(I467&lt;&gt;"",I467=J467)),"同じクラブを重複して希望","OK")))))))</f>
        <v/>
      </c>
      <c r="L467" s="11">
        <f>IF(OR(A467="",D467=""),"",A467&amp;"-"&amp;B467&amp;"-"&amp;C467)</f>
        <v/>
      </c>
      <c r="M467" s="11">
        <f>IF(OR(L467="",G467=""),"",IF(COUNTIF(L468:L$555,L467)=0,L467,""))</f>
        <v/>
      </c>
    </row>
    <row r="468">
      <c r="A468" s="49" t="n"/>
      <c r="B468" s="49" t="n"/>
      <c r="C468" s="49" t="n"/>
      <c r="D468" s="49" t="n"/>
      <c r="E468" s="49" t="n"/>
      <c r="F468" s="49" t="n"/>
      <c r="G468" s="4">
        <f>IF(A468="","",IFERROR(INDEX(前年度名簿!$D$3:$D$452,MATCH(A468&amp;"-"&amp;B468&amp;"-"&amp;C468,前年度名簿!$F$3:$F$452,0)),""))</f>
        <v/>
      </c>
      <c r="H468" s="50">
        <f>IF(D468="","",IF(ISERROR(VALUE(D468)),D468&amp;"",IF(AND(VALUE(D468)&gt;=1,VALUE(D468)&lt;=20),IF(INDEX(設定!$P$8:$P$27,VALUE(D468))="","？",INDEX(設定!$P$8:$P$27,VALUE(D468))),"？")))</f>
        <v/>
      </c>
      <c r="I468" s="50">
        <f>IF(E468="","",IF(ISERROR(VALUE(E468)),E468&amp;"",IF(AND(VALUE(E468)&gt;=1,VALUE(E468)&lt;=20),IF(INDEX(設定!$P$8:$P$27,VALUE(E468))="","？",INDEX(設定!$P$8:$P$27,VALUE(E468))),"？")))</f>
        <v/>
      </c>
      <c r="J468" s="50">
        <f>IF(F468="","",IF(ISERROR(VALUE(F468)),F468&amp;"",IF(AND(VALUE(F468)&gt;=1,VALUE(F468)&lt;=20),IF(INDEX(設定!$P$8:$P$27,VALUE(F468))="","？",INDEX(設定!$P$8:$P$27,VALUE(F468))),"？")))</f>
        <v/>
      </c>
      <c r="K468" s="51">
        <f>IF(L468="","",IF(G468="","名簿にいない",IF(COUNTIF(L469:L$555,L468)&gt;0,"2回提出（下の行を使います）",IF(H468="転出","転出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OR(AND(H468&lt;&gt;"",H468=I468),AND(H468&lt;&gt;"",H468=J468),AND(I468&lt;&gt;"",I468=J468)),"同じクラブを重複して希望","OK")))))))</f>
        <v/>
      </c>
      <c r="L468" s="11">
        <f>IF(OR(A468="",D468=""),"",A468&amp;"-"&amp;B468&amp;"-"&amp;C468)</f>
        <v/>
      </c>
      <c r="M468" s="11">
        <f>IF(OR(L468="",G468=""),"",IF(COUNTIF(L469:L$555,L468)=0,L468,""))</f>
        <v/>
      </c>
    </row>
    <row r="469">
      <c r="A469" s="49" t="n"/>
      <c r="B469" s="49" t="n"/>
      <c r="C469" s="49" t="n"/>
      <c r="D469" s="49" t="n"/>
      <c r="E469" s="49" t="n"/>
      <c r="F469" s="49" t="n"/>
      <c r="G469" s="4">
        <f>IF(A469="","",IFERROR(INDEX(前年度名簿!$D$3:$D$452,MATCH(A469&amp;"-"&amp;B469&amp;"-"&amp;C469,前年度名簿!$F$3:$F$452,0)),""))</f>
        <v/>
      </c>
      <c r="H469" s="50">
        <f>IF(D469="","",IF(ISERROR(VALUE(D469)),D469&amp;"",IF(AND(VALUE(D469)&gt;=1,VALUE(D469)&lt;=20),IF(INDEX(設定!$P$8:$P$27,VALUE(D469))="","？",INDEX(設定!$P$8:$P$27,VALUE(D469))),"？")))</f>
        <v/>
      </c>
      <c r="I469" s="50">
        <f>IF(E469="","",IF(ISERROR(VALUE(E469)),E469&amp;"",IF(AND(VALUE(E469)&gt;=1,VALUE(E469)&lt;=20),IF(INDEX(設定!$P$8:$P$27,VALUE(E469))="","？",INDEX(設定!$P$8:$P$27,VALUE(E469))),"？")))</f>
        <v/>
      </c>
      <c r="J469" s="50">
        <f>IF(F469="","",IF(ISERROR(VALUE(F469)),F469&amp;"",IF(AND(VALUE(F469)&gt;=1,VALUE(F469)&lt;=20),IF(INDEX(設定!$P$8:$P$27,VALUE(F469))="","？",INDEX(設定!$P$8:$P$27,VALUE(F469))),"？")))</f>
        <v/>
      </c>
      <c r="K469" s="51">
        <f>IF(L469="","",IF(G469="","名簿にいない",IF(COUNTIF(L470:L$555,L469)&gt;0,"2回提出（下の行を使います）",IF(H469="転出","転出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OR(AND(H469&lt;&gt;"",H469=I469),AND(H469&lt;&gt;"",H469=J469),AND(I469&lt;&gt;"",I469=J469)),"同じクラブを重複して希望","OK")))))))</f>
        <v/>
      </c>
      <c r="L469" s="11">
        <f>IF(OR(A469="",D469=""),"",A469&amp;"-"&amp;B469&amp;"-"&amp;C469)</f>
        <v/>
      </c>
      <c r="M469" s="11">
        <f>IF(OR(L469="",G469=""),"",IF(COUNTIF(L470:L$555,L469)=0,L469,""))</f>
        <v/>
      </c>
    </row>
    <row r="470">
      <c r="A470" s="49" t="n"/>
      <c r="B470" s="49" t="n"/>
      <c r="C470" s="49" t="n"/>
      <c r="D470" s="49" t="n"/>
      <c r="E470" s="49" t="n"/>
      <c r="F470" s="49" t="n"/>
      <c r="G470" s="4">
        <f>IF(A470="","",IFERROR(INDEX(前年度名簿!$D$3:$D$452,MATCH(A470&amp;"-"&amp;B470&amp;"-"&amp;C470,前年度名簿!$F$3:$F$452,0)),""))</f>
        <v/>
      </c>
      <c r="H470" s="50">
        <f>IF(D470="","",IF(ISERROR(VALUE(D470)),D470&amp;"",IF(AND(VALUE(D470)&gt;=1,VALUE(D470)&lt;=20),IF(INDEX(設定!$P$8:$P$27,VALUE(D470))="","？",INDEX(設定!$P$8:$P$27,VALUE(D470))),"？")))</f>
        <v/>
      </c>
      <c r="I470" s="50">
        <f>IF(E470="","",IF(ISERROR(VALUE(E470)),E470&amp;"",IF(AND(VALUE(E470)&gt;=1,VALUE(E470)&lt;=20),IF(INDEX(設定!$P$8:$P$27,VALUE(E470))="","？",INDEX(設定!$P$8:$P$27,VALUE(E470))),"？")))</f>
        <v/>
      </c>
      <c r="J470" s="50">
        <f>IF(F470="","",IF(ISERROR(VALUE(F470)),F470&amp;"",IF(AND(VALUE(F470)&gt;=1,VALUE(F470)&lt;=20),IF(INDEX(設定!$P$8:$P$27,VALUE(F470))="","？",INDEX(設定!$P$8:$P$27,VALUE(F470))),"？")))</f>
        <v/>
      </c>
      <c r="K470" s="51">
        <f>IF(L470="","",IF(G470="","名簿にいない",IF(COUNTIF(L471:L$555,L470)&gt;0,"2回提出（下の行を使います）",IF(H470="転出","転出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OR(AND(H470&lt;&gt;"",H470=I470),AND(H470&lt;&gt;"",H470=J470),AND(I470&lt;&gt;"",I470=J470)),"同じクラブを重複して希望","OK")))))))</f>
        <v/>
      </c>
      <c r="L470" s="11">
        <f>IF(OR(A470="",D470=""),"",A470&amp;"-"&amp;B470&amp;"-"&amp;C470)</f>
        <v/>
      </c>
      <c r="M470" s="11">
        <f>IF(OR(L470="",G470=""),"",IF(COUNTIF(L471:L$555,L470)=0,L470,""))</f>
        <v/>
      </c>
    </row>
    <row r="471">
      <c r="A471" s="49" t="n"/>
      <c r="B471" s="49" t="n"/>
      <c r="C471" s="49" t="n"/>
      <c r="D471" s="49" t="n"/>
      <c r="E471" s="49" t="n"/>
      <c r="F471" s="49" t="n"/>
      <c r="G471" s="4">
        <f>IF(A471="","",IFERROR(INDEX(前年度名簿!$D$3:$D$452,MATCH(A471&amp;"-"&amp;B471&amp;"-"&amp;C471,前年度名簿!$F$3:$F$452,0)),""))</f>
        <v/>
      </c>
      <c r="H471" s="50">
        <f>IF(D471="","",IF(ISERROR(VALUE(D471)),D471&amp;"",IF(AND(VALUE(D471)&gt;=1,VALUE(D471)&lt;=20),IF(INDEX(設定!$P$8:$P$27,VALUE(D471))="","？",INDEX(設定!$P$8:$P$27,VALUE(D471))),"？")))</f>
        <v/>
      </c>
      <c r="I471" s="50">
        <f>IF(E471="","",IF(ISERROR(VALUE(E471)),E471&amp;"",IF(AND(VALUE(E471)&gt;=1,VALUE(E471)&lt;=20),IF(INDEX(設定!$P$8:$P$27,VALUE(E471))="","？",INDEX(設定!$P$8:$P$27,VALUE(E471))),"？")))</f>
        <v/>
      </c>
      <c r="J471" s="50">
        <f>IF(F471="","",IF(ISERROR(VALUE(F471)),F471&amp;"",IF(AND(VALUE(F471)&gt;=1,VALUE(F471)&lt;=20),IF(INDEX(設定!$P$8:$P$27,VALUE(F471))="","？",INDEX(設定!$P$8:$P$27,VALUE(F471))),"？")))</f>
        <v/>
      </c>
      <c r="K471" s="51">
        <f>IF(L471="","",IF(G471="","名簿にいない",IF(COUNTIF(L472:L$555,L471)&gt;0,"2回提出（下の行を使います）",IF(H471="転出","転出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OR(AND(H471&lt;&gt;"",H471=I471),AND(H471&lt;&gt;"",H471=J471),AND(I471&lt;&gt;"",I471=J471)),"同じクラブを重複して希望","OK")))))))</f>
        <v/>
      </c>
      <c r="L471" s="11">
        <f>IF(OR(A471="",D471=""),"",A471&amp;"-"&amp;B471&amp;"-"&amp;C471)</f>
        <v/>
      </c>
      <c r="M471" s="11">
        <f>IF(OR(L471="",G471=""),"",IF(COUNTIF(L472:L$555,L471)=0,L471,""))</f>
        <v/>
      </c>
    </row>
    <row r="472">
      <c r="A472" s="49" t="n"/>
      <c r="B472" s="49" t="n"/>
      <c r="C472" s="49" t="n"/>
      <c r="D472" s="49" t="n"/>
      <c r="E472" s="49" t="n"/>
      <c r="F472" s="49" t="n"/>
      <c r="G472" s="4">
        <f>IF(A472="","",IFERROR(INDEX(前年度名簿!$D$3:$D$452,MATCH(A472&amp;"-"&amp;B472&amp;"-"&amp;C472,前年度名簿!$F$3:$F$452,0)),""))</f>
        <v/>
      </c>
      <c r="H472" s="50">
        <f>IF(D472="","",IF(ISERROR(VALUE(D472)),D472&amp;"",IF(AND(VALUE(D472)&gt;=1,VALUE(D472)&lt;=20),IF(INDEX(設定!$P$8:$P$27,VALUE(D472))="","？",INDEX(設定!$P$8:$P$27,VALUE(D472))),"？")))</f>
        <v/>
      </c>
      <c r="I472" s="50">
        <f>IF(E472="","",IF(ISERROR(VALUE(E472)),E472&amp;"",IF(AND(VALUE(E472)&gt;=1,VALUE(E472)&lt;=20),IF(INDEX(設定!$P$8:$P$27,VALUE(E472))="","？",INDEX(設定!$P$8:$P$27,VALUE(E472))),"？")))</f>
        <v/>
      </c>
      <c r="J472" s="50">
        <f>IF(F472="","",IF(ISERROR(VALUE(F472)),F472&amp;"",IF(AND(VALUE(F472)&gt;=1,VALUE(F472)&lt;=20),IF(INDEX(設定!$P$8:$P$27,VALUE(F472))="","？",INDEX(設定!$P$8:$P$27,VALUE(F472))),"？")))</f>
        <v/>
      </c>
      <c r="K472" s="51">
        <f>IF(L472="","",IF(G472="","名簿にいない",IF(COUNTIF(L473:L$555,L472)&gt;0,"2回提出（下の行を使います）",IF(H472="転出","転出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OR(AND(H472&lt;&gt;"",H472=I472),AND(H472&lt;&gt;"",H472=J472),AND(I472&lt;&gt;"",I472=J472)),"同じクラブを重複して希望","OK")))))))</f>
        <v/>
      </c>
      <c r="L472" s="11">
        <f>IF(OR(A472="",D472=""),"",A472&amp;"-"&amp;B472&amp;"-"&amp;C472)</f>
        <v/>
      </c>
      <c r="M472" s="11">
        <f>IF(OR(L472="",G472=""),"",IF(COUNTIF(L473:L$555,L472)=0,L472,""))</f>
        <v/>
      </c>
    </row>
    <row r="473">
      <c r="A473" s="49" t="n"/>
      <c r="B473" s="49" t="n"/>
      <c r="C473" s="49" t="n"/>
      <c r="D473" s="49" t="n"/>
      <c r="E473" s="49" t="n"/>
      <c r="F473" s="49" t="n"/>
      <c r="G473" s="4">
        <f>IF(A473="","",IFERROR(INDEX(前年度名簿!$D$3:$D$452,MATCH(A473&amp;"-"&amp;B473&amp;"-"&amp;C473,前年度名簿!$F$3:$F$452,0)),""))</f>
        <v/>
      </c>
      <c r="H473" s="50">
        <f>IF(D473="","",IF(ISERROR(VALUE(D473)),D473&amp;"",IF(AND(VALUE(D473)&gt;=1,VALUE(D473)&lt;=20),IF(INDEX(設定!$P$8:$P$27,VALUE(D473))="","？",INDEX(設定!$P$8:$P$27,VALUE(D473))),"？")))</f>
        <v/>
      </c>
      <c r="I473" s="50">
        <f>IF(E473="","",IF(ISERROR(VALUE(E473)),E473&amp;"",IF(AND(VALUE(E473)&gt;=1,VALUE(E473)&lt;=20),IF(INDEX(設定!$P$8:$P$27,VALUE(E473))="","？",INDEX(設定!$P$8:$P$27,VALUE(E473))),"？")))</f>
        <v/>
      </c>
      <c r="J473" s="50">
        <f>IF(F473="","",IF(ISERROR(VALUE(F473)),F473&amp;"",IF(AND(VALUE(F473)&gt;=1,VALUE(F473)&lt;=20),IF(INDEX(設定!$P$8:$P$27,VALUE(F473))="","？",INDEX(設定!$P$8:$P$27,VALUE(F473))),"？")))</f>
        <v/>
      </c>
      <c r="K473" s="51">
        <f>IF(L473="","",IF(G473="","名簿にいない",IF(COUNTIF(L474:L$555,L473)&gt;0,"2回提出（下の行を使います）",IF(H473="転出","転出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OR(AND(H473&lt;&gt;"",H473=I473),AND(H473&lt;&gt;"",H473=J473),AND(I473&lt;&gt;"",I473=J473)),"同じクラブを重複して希望","OK")))))))</f>
        <v/>
      </c>
      <c r="L473" s="11">
        <f>IF(OR(A473="",D473=""),"",A473&amp;"-"&amp;B473&amp;"-"&amp;C473)</f>
        <v/>
      </c>
      <c r="M473" s="11">
        <f>IF(OR(L473="",G473=""),"",IF(COUNTIF(L474:L$555,L473)=0,L473,""))</f>
        <v/>
      </c>
    </row>
    <row r="474">
      <c r="A474" s="49" t="n"/>
      <c r="B474" s="49" t="n"/>
      <c r="C474" s="49" t="n"/>
      <c r="D474" s="49" t="n"/>
      <c r="E474" s="49" t="n"/>
      <c r="F474" s="49" t="n"/>
      <c r="G474" s="4">
        <f>IF(A474="","",IFERROR(INDEX(前年度名簿!$D$3:$D$452,MATCH(A474&amp;"-"&amp;B474&amp;"-"&amp;C474,前年度名簿!$F$3:$F$452,0)),""))</f>
        <v/>
      </c>
      <c r="H474" s="50">
        <f>IF(D474="","",IF(ISERROR(VALUE(D474)),D474&amp;"",IF(AND(VALUE(D474)&gt;=1,VALUE(D474)&lt;=20),IF(INDEX(設定!$P$8:$P$27,VALUE(D474))="","？",INDEX(設定!$P$8:$P$27,VALUE(D474))),"？")))</f>
        <v/>
      </c>
      <c r="I474" s="50">
        <f>IF(E474="","",IF(ISERROR(VALUE(E474)),E474&amp;"",IF(AND(VALUE(E474)&gt;=1,VALUE(E474)&lt;=20),IF(INDEX(設定!$P$8:$P$27,VALUE(E474))="","？",INDEX(設定!$P$8:$P$27,VALUE(E474))),"？")))</f>
        <v/>
      </c>
      <c r="J474" s="50">
        <f>IF(F474="","",IF(ISERROR(VALUE(F474)),F474&amp;"",IF(AND(VALUE(F474)&gt;=1,VALUE(F474)&lt;=20),IF(INDEX(設定!$P$8:$P$27,VALUE(F474))="","？",INDEX(設定!$P$8:$P$27,VALUE(F474))),"？")))</f>
        <v/>
      </c>
      <c r="K474" s="51">
        <f>IF(L474="","",IF(G474="","名簿にいない",IF(COUNTIF(L475:L$555,L474)&gt;0,"2回提出（下の行を使います）",IF(H474="転出","転出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OR(AND(H474&lt;&gt;"",H474=I474),AND(H474&lt;&gt;"",H474=J474),AND(I474&lt;&gt;"",I474=J474)),"同じクラブを重複して希望","OK")))))))</f>
        <v/>
      </c>
      <c r="L474" s="11">
        <f>IF(OR(A474="",D474=""),"",A474&amp;"-"&amp;B474&amp;"-"&amp;C474)</f>
        <v/>
      </c>
      <c r="M474" s="11">
        <f>IF(OR(L474="",G474=""),"",IF(COUNTIF(L475:L$555,L474)=0,L474,""))</f>
        <v/>
      </c>
    </row>
    <row r="475">
      <c r="A475" s="49" t="n"/>
      <c r="B475" s="49" t="n"/>
      <c r="C475" s="49" t="n"/>
      <c r="D475" s="49" t="n"/>
      <c r="E475" s="49" t="n"/>
      <c r="F475" s="49" t="n"/>
      <c r="G475" s="4">
        <f>IF(A475="","",IFERROR(INDEX(前年度名簿!$D$3:$D$452,MATCH(A475&amp;"-"&amp;B475&amp;"-"&amp;C475,前年度名簿!$F$3:$F$452,0)),""))</f>
        <v/>
      </c>
      <c r="H475" s="50">
        <f>IF(D475="","",IF(ISERROR(VALUE(D475)),D475&amp;"",IF(AND(VALUE(D475)&gt;=1,VALUE(D475)&lt;=20),IF(INDEX(設定!$P$8:$P$27,VALUE(D475))="","？",INDEX(設定!$P$8:$P$27,VALUE(D475))),"？")))</f>
        <v/>
      </c>
      <c r="I475" s="50">
        <f>IF(E475="","",IF(ISERROR(VALUE(E475)),E475&amp;"",IF(AND(VALUE(E475)&gt;=1,VALUE(E475)&lt;=20),IF(INDEX(設定!$P$8:$P$27,VALUE(E475))="","？",INDEX(設定!$P$8:$P$27,VALUE(E475))),"？")))</f>
        <v/>
      </c>
      <c r="J475" s="50">
        <f>IF(F475="","",IF(ISERROR(VALUE(F475)),F475&amp;"",IF(AND(VALUE(F475)&gt;=1,VALUE(F475)&lt;=20),IF(INDEX(設定!$P$8:$P$27,VALUE(F475))="","？",INDEX(設定!$P$8:$P$27,VALUE(F475))),"？")))</f>
        <v/>
      </c>
      <c r="K475" s="51">
        <f>IF(L475="","",IF(G475="","名簿にいない",IF(COUNTIF(L476:L$555,L475)&gt;0,"2回提出（下の行を使います）",IF(H475="転出","転出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OR(AND(H475&lt;&gt;"",H475=I475),AND(H475&lt;&gt;"",H475=J475),AND(I475&lt;&gt;"",I475=J475)),"同じクラブを重複して希望","OK")))))))</f>
        <v/>
      </c>
      <c r="L475" s="11">
        <f>IF(OR(A475="",D475=""),"",A475&amp;"-"&amp;B475&amp;"-"&amp;C475)</f>
        <v/>
      </c>
      <c r="M475" s="11">
        <f>IF(OR(L475="",G475=""),"",IF(COUNTIF(L476:L$555,L475)=0,L475,""))</f>
        <v/>
      </c>
    </row>
    <row r="476">
      <c r="A476" s="49" t="n"/>
      <c r="B476" s="49" t="n"/>
      <c r="C476" s="49" t="n"/>
      <c r="D476" s="49" t="n"/>
      <c r="E476" s="49" t="n"/>
      <c r="F476" s="49" t="n"/>
      <c r="G476" s="4">
        <f>IF(A476="","",IFERROR(INDEX(前年度名簿!$D$3:$D$452,MATCH(A476&amp;"-"&amp;B476&amp;"-"&amp;C476,前年度名簿!$F$3:$F$452,0)),""))</f>
        <v/>
      </c>
      <c r="H476" s="50">
        <f>IF(D476="","",IF(ISERROR(VALUE(D476)),D476&amp;"",IF(AND(VALUE(D476)&gt;=1,VALUE(D476)&lt;=20),IF(INDEX(設定!$P$8:$P$27,VALUE(D476))="","？",INDEX(設定!$P$8:$P$27,VALUE(D476))),"？")))</f>
        <v/>
      </c>
      <c r="I476" s="50">
        <f>IF(E476="","",IF(ISERROR(VALUE(E476)),E476&amp;"",IF(AND(VALUE(E476)&gt;=1,VALUE(E476)&lt;=20),IF(INDEX(設定!$P$8:$P$27,VALUE(E476))="","？",INDEX(設定!$P$8:$P$27,VALUE(E476))),"？")))</f>
        <v/>
      </c>
      <c r="J476" s="50">
        <f>IF(F476="","",IF(ISERROR(VALUE(F476)),F476&amp;"",IF(AND(VALUE(F476)&gt;=1,VALUE(F476)&lt;=20),IF(INDEX(設定!$P$8:$P$27,VALUE(F476))="","？",INDEX(設定!$P$8:$P$27,VALUE(F476))),"？")))</f>
        <v/>
      </c>
      <c r="K476" s="51">
        <f>IF(L476="","",IF(G476="","名簿にいない",IF(COUNTIF(L477:L$555,L476)&gt;0,"2回提出（下の行を使います）",IF(H476="転出","転出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OR(AND(H476&lt;&gt;"",H476=I476),AND(H476&lt;&gt;"",H476=J476),AND(I476&lt;&gt;"",I476=J476)),"同じクラブを重複して希望","OK")))))))</f>
        <v/>
      </c>
      <c r="L476" s="11">
        <f>IF(OR(A476="",D476=""),"",A476&amp;"-"&amp;B476&amp;"-"&amp;C476)</f>
        <v/>
      </c>
      <c r="M476" s="11">
        <f>IF(OR(L476="",G476=""),"",IF(COUNTIF(L477:L$555,L476)=0,L476,""))</f>
        <v/>
      </c>
    </row>
    <row r="477">
      <c r="A477" s="49" t="n"/>
      <c r="B477" s="49" t="n"/>
      <c r="C477" s="49" t="n"/>
      <c r="D477" s="49" t="n"/>
      <c r="E477" s="49" t="n"/>
      <c r="F477" s="49" t="n"/>
      <c r="G477" s="4">
        <f>IF(A477="","",IFERROR(INDEX(前年度名簿!$D$3:$D$452,MATCH(A477&amp;"-"&amp;B477&amp;"-"&amp;C477,前年度名簿!$F$3:$F$452,0)),""))</f>
        <v/>
      </c>
      <c r="H477" s="50">
        <f>IF(D477="","",IF(ISERROR(VALUE(D477)),D477&amp;"",IF(AND(VALUE(D477)&gt;=1,VALUE(D477)&lt;=20),IF(INDEX(設定!$P$8:$P$27,VALUE(D477))="","？",INDEX(設定!$P$8:$P$27,VALUE(D477))),"？")))</f>
        <v/>
      </c>
      <c r="I477" s="50">
        <f>IF(E477="","",IF(ISERROR(VALUE(E477)),E477&amp;"",IF(AND(VALUE(E477)&gt;=1,VALUE(E477)&lt;=20),IF(INDEX(設定!$P$8:$P$27,VALUE(E477))="","？",INDEX(設定!$P$8:$P$27,VALUE(E477))),"？")))</f>
        <v/>
      </c>
      <c r="J477" s="50">
        <f>IF(F477="","",IF(ISERROR(VALUE(F477)),F477&amp;"",IF(AND(VALUE(F477)&gt;=1,VALUE(F477)&lt;=20),IF(INDEX(設定!$P$8:$P$27,VALUE(F477))="","？",INDEX(設定!$P$8:$P$27,VALUE(F477))),"？")))</f>
        <v/>
      </c>
      <c r="K477" s="51">
        <f>IF(L477="","",IF(G477="","名簿にいない",IF(COUNTIF(L478:L$555,L477)&gt;0,"2回提出（下の行を使います）",IF(H477="転出","転出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OR(AND(H477&lt;&gt;"",H477=I477),AND(H477&lt;&gt;"",H477=J477),AND(I477&lt;&gt;"",I477=J477)),"同じクラブを重複して希望","OK")))))))</f>
        <v/>
      </c>
      <c r="L477" s="11">
        <f>IF(OR(A477="",D477=""),"",A477&amp;"-"&amp;B477&amp;"-"&amp;C477)</f>
        <v/>
      </c>
      <c r="M477" s="11">
        <f>IF(OR(L477="",G477=""),"",IF(COUNTIF(L478:L$555,L477)=0,L477,""))</f>
        <v/>
      </c>
    </row>
    <row r="478">
      <c r="A478" s="49" t="n"/>
      <c r="B478" s="49" t="n"/>
      <c r="C478" s="49" t="n"/>
      <c r="D478" s="49" t="n"/>
      <c r="E478" s="49" t="n"/>
      <c r="F478" s="49" t="n"/>
      <c r="G478" s="4">
        <f>IF(A478="","",IFERROR(INDEX(前年度名簿!$D$3:$D$452,MATCH(A478&amp;"-"&amp;B478&amp;"-"&amp;C478,前年度名簿!$F$3:$F$452,0)),""))</f>
        <v/>
      </c>
      <c r="H478" s="50">
        <f>IF(D478="","",IF(ISERROR(VALUE(D478)),D478&amp;"",IF(AND(VALUE(D478)&gt;=1,VALUE(D478)&lt;=20),IF(INDEX(設定!$P$8:$P$27,VALUE(D478))="","？",INDEX(設定!$P$8:$P$27,VALUE(D478))),"？")))</f>
        <v/>
      </c>
      <c r="I478" s="50">
        <f>IF(E478="","",IF(ISERROR(VALUE(E478)),E478&amp;"",IF(AND(VALUE(E478)&gt;=1,VALUE(E478)&lt;=20),IF(INDEX(設定!$P$8:$P$27,VALUE(E478))="","？",INDEX(設定!$P$8:$P$27,VALUE(E478))),"？")))</f>
        <v/>
      </c>
      <c r="J478" s="50">
        <f>IF(F478="","",IF(ISERROR(VALUE(F478)),F478&amp;"",IF(AND(VALUE(F478)&gt;=1,VALUE(F478)&lt;=20),IF(INDEX(設定!$P$8:$P$27,VALUE(F478))="","？",INDEX(設定!$P$8:$P$27,VALUE(F478))),"？")))</f>
        <v/>
      </c>
      <c r="K478" s="51">
        <f>IF(L478="","",IF(G478="","名簿にいない",IF(COUNTIF(L479:L$555,L478)&gt;0,"2回提出（下の行を使います）",IF(H478="転出","転出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OR(AND(H478&lt;&gt;"",H478=I478),AND(H478&lt;&gt;"",H478=J478),AND(I478&lt;&gt;"",I478=J478)),"同じクラブを重複して希望","OK")))))))</f>
        <v/>
      </c>
      <c r="L478" s="11">
        <f>IF(OR(A478="",D478=""),"",A478&amp;"-"&amp;B478&amp;"-"&amp;C478)</f>
        <v/>
      </c>
      <c r="M478" s="11">
        <f>IF(OR(L478="",G478=""),"",IF(COUNTIF(L479:L$555,L478)=0,L478,""))</f>
        <v/>
      </c>
    </row>
    <row r="479">
      <c r="A479" s="49" t="n"/>
      <c r="B479" s="49" t="n"/>
      <c r="C479" s="49" t="n"/>
      <c r="D479" s="49" t="n"/>
      <c r="E479" s="49" t="n"/>
      <c r="F479" s="49" t="n"/>
      <c r="G479" s="4">
        <f>IF(A479="","",IFERROR(INDEX(前年度名簿!$D$3:$D$452,MATCH(A479&amp;"-"&amp;B479&amp;"-"&amp;C479,前年度名簿!$F$3:$F$452,0)),""))</f>
        <v/>
      </c>
      <c r="H479" s="50">
        <f>IF(D479="","",IF(ISERROR(VALUE(D479)),D479&amp;"",IF(AND(VALUE(D479)&gt;=1,VALUE(D479)&lt;=20),IF(INDEX(設定!$P$8:$P$27,VALUE(D479))="","？",INDEX(設定!$P$8:$P$27,VALUE(D479))),"？")))</f>
        <v/>
      </c>
      <c r="I479" s="50">
        <f>IF(E479="","",IF(ISERROR(VALUE(E479)),E479&amp;"",IF(AND(VALUE(E479)&gt;=1,VALUE(E479)&lt;=20),IF(INDEX(設定!$P$8:$P$27,VALUE(E479))="","？",INDEX(設定!$P$8:$P$27,VALUE(E479))),"？")))</f>
        <v/>
      </c>
      <c r="J479" s="50">
        <f>IF(F479="","",IF(ISERROR(VALUE(F479)),F479&amp;"",IF(AND(VALUE(F479)&gt;=1,VALUE(F479)&lt;=20),IF(INDEX(設定!$P$8:$P$27,VALUE(F479))="","？",INDEX(設定!$P$8:$P$27,VALUE(F479))),"？")))</f>
        <v/>
      </c>
      <c r="K479" s="51">
        <f>IF(L479="","",IF(G479="","名簿にいない",IF(COUNTIF(L480:L$555,L479)&gt;0,"2回提出（下の行を使います）",IF(H479="転出","転出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OR(AND(H479&lt;&gt;"",H479=I479),AND(H479&lt;&gt;"",H479=J479),AND(I479&lt;&gt;"",I479=J479)),"同じクラブを重複して希望","OK")))))))</f>
        <v/>
      </c>
      <c r="L479" s="11">
        <f>IF(OR(A479="",D479=""),"",A479&amp;"-"&amp;B479&amp;"-"&amp;C479)</f>
        <v/>
      </c>
      <c r="M479" s="11">
        <f>IF(OR(L479="",G479=""),"",IF(COUNTIF(L480:L$555,L479)=0,L479,""))</f>
        <v/>
      </c>
    </row>
    <row r="480">
      <c r="A480" s="49" t="n"/>
      <c r="B480" s="49" t="n"/>
      <c r="C480" s="49" t="n"/>
      <c r="D480" s="49" t="n"/>
      <c r="E480" s="49" t="n"/>
      <c r="F480" s="49" t="n"/>
      <c r="G480" s="4">
        <f>IF(A480="","",IFERROR(INDEX(前年度名簿!$D$3:$D$452,MATCH(A480&amp;"-"&amp;B480&amp;"-"&amp;C480,前年度名簿!$F$3:$F$452,0)),""))</f>
        <v/>
      </c>
      <c r="H480" s="50">
        <f>IF(D480="","",IF(ISERROR(VALUE(D480)),D480&amp;"",IF(AND(VALUE(D480)&gt;=1,VALUE(D480)&lt;=20),IF(INDEX(設定!$P$8:$P$27,VALUE(D480))="","？",INDEX(設定!$P$8:$P$27,VALUE(D480))),"？")))</f>
        <v/>
      </c>
      <c r="I480" s="50">
        <f>IF(E480="","",IF(ISERROR(VALUE(E480)),E480&amp;"",IF(AND(VALUE(E480)&gt;=1,VALUE(E480)&lt;=20),IF(INDEX(設定!$P$8:$P$27,VALUE(E480))="","？",INDEX(設定!$P$8:$P$27,VALUE(E480))),"？")))</f>
        <v/>
      </c>
      <c r="J480" s="50">
        <f>IF(F480="","",IF(ISERROR(VALUE(F480)),F480&amp;"",IF(AND(VALUE(F480)&gt;=1,VALUE(F480)&lt;=20),IF(INDEX(設定!$P$8:$P$27,VALUE(F480))="","？",INDEX(設定!$P$8:$P$27,VALUE(F480))),"？")))</f>
        <v/>
      </c>
      <c r="K480" s="51">
        <f>IF(L480="","",IF(G480="","名簿にいない",IF(COUNTIF(L481:L$555,L480)&gt;0,"2回提出（下の行を使います）",IF(H480="転出","転出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OR(AND(H480&lt;&gt;"",H480=I480),AND(H480&lt;&gt;"",H480=J480),AND(I480&lt;&gt;"",I480=J480)),"同じクラブを重複して希望","OK")))))))</f>
        <v/>
      </c>
      <c r="L480" s="11">
        <f>IF(OR(A480="",D480=""),"",A480&amp;"-"&amp;B480&amp;"-"&amp;C480)</f>
        <v/>
      </c>
      <c r="M480" s="11">
        <f>IF(OR(L480="",G480=""),"",IF(COUNTIF(L481:L$555,L480)=0,L480,""))</f>
        <v/>
      </c>
    </row>
    <row r="481">
      <c r="A481" s="49" t="n"/>
      <c r="B481" s="49" t="n"/>
      <c r="C481" s="49" t="n"/>
      <c r="D481" s="49" t="n"/>
      <c r="E481" s="49" t="n"/>
      <c r="F481" s="49" t="n"/>
      <c r="G481" s="4">
        <f>IF(A481="","",IFERROR(INDEX(前年度名簿!$D$3:$D$452,MATCH(A481&amp;"-"&amp;B481&amp;"-"&amp;C481,前年度名簿!$F$3:$F$452,0)),""))</f>
        <v/>
      </c>
      <c r="H481" s="50">
        <f>IF(D481="","",IF(ISERROR(VALUE(D481)),D481&amp;"",IF(AND(VALUE(D481)&gt;=1,VALUE(D481)&lt;=20),IF(INDEX(設定!$P$8:$P$27,VALUE(D481))="","？",INDEX(設定!$P$8:$P$27,VALUE(D481))),"？")))</f>
        <v/>
      </c>
      <c r="I481" s="50">
        <f>IF(E481="","",IF(ISERROR(VALUE(E481)),E481&amp;"",IF(AND(VALUE(E481)&gt;=1,VALUE(E481)&lt;=20),IF(INDEX(設定!$P$8:$P$27,VALUE(E481))="","？",INDEX(設定!$P$8:$P$27,VALUE(E481))),"？")))</f>
        <v/>
      </c>
      <c r="J481" s="50">
        <f>IF(F481="","",IF(ISERROR(VALUE(F481)),F481&amp;"",IF(AND(VALUE(F481)&gt;=1,VALUE(F481)&lt;=20),IF(INDEX(設定!$P$8:$P$27,VALUE(F481))="","？",INDEX(設定!$P$8:$P$27,VALUE(F481))),"？")))</f>
        <v/>
      </c>
      <c r="K481" s="51">
        <f>IF(L481="","",IF(G481="","名簿にいない",IF(COUNTIF(L482:L$555,L481)&gt;0,"2回提出（下の行を使います）",IF(H481="転出","転出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OR(AND(H481&lt;&gt;"",H481=I481),AND(H481&lt;&gt;"",H481=J481),AND(I481&lt;&gt;"",I481=J481)),"同じクラブを重複して希望","OK")))))))</f>
        <v/>
      </c>
      <c r="L481" s="11">
        <f>IF(OR(A481="",D481=""),"",A481&amp;"-"&amp;B481&amp;"-"&amp;C481)</f>
        <v/>
      </c>
      <c r="M481" s="11">
        <f>IF(OR(L481="",G481=""),"",IF(COUNTIF(L482:L$555,L481)=0,L481,""))</f>
        <v/>
      </c>
    </row>
    <row r="482">
      <c r="A482" s="49" t="n"/>
      <c r="B482" s="49" t="n"/>
      <c r="C482" s="49" t="n"/>
      <c r="D482" s="49" t="n"/>
      <c r="E482" s="49" t="n"/>
      <c r="F482" s="49" t="n"/>
      <c r="G482" s="4">
        <f>IF(A482="","",IFERROR(INDEX(前年度名簿!$D$3:$D$452,MATCH(A482&amp;"-"&amp;B482&amp;"-"&amp;C482,前年度名簿!$F$3:$F$452,0)),""))</f>
        <v/>
      </c>
      <c r="H482" s="50">
        <f>IF(D482="","",IF(ISERROR(VALUE(D482)),D482&amp;"",IF(AND(VALUE(D482)&gt;=1,VALUE(D482)&lt;=20),IF(INDEX(設定!$P$8:$P$27,VALUE(D482))="","？",INDEX(設定!$P$8:$P$27,VALUE(D482))),"？")))</f>
        <v/>
      </c>
      <c r="I482" s="50">
        <f>IF(E482="","",IF(ISERROR(VALUE(E482)),E482&amp;"",IF(AND(VALUE(E482)&gt;=1,VALUE(E482)&lt;=20),IF(INDEX(設定!$P$8:$P$27,VALUE(E482))="","？",INDEX(設定!$P$8:$P$27,VALUE(E482))),"？")))</f>
        <v/>
      </c>
      <c r="J482" s="50">
        <f>IF(F482="","",IF(ISERROR(VALUE(F482)),F482&amp;"",IF(AND(VALUE(F482)&gt;=1,VALUE(F482)&lt;=20),IF(INDEX(設定!$P$8:$P$27,VALUE(F482))="","？",INDEX(設定!$P$8:$P$27,VALUE(F482))),"？")))</f>
        <v/>
      </c>
      <c r="K482" s="51">
        <f>IF(L482="","",IF(G482="","名簿にいない",IF(COUNTIF(L483:L$555,L482)&gt;0,"2回提出（下の行を使います）",IF(H482="転出","転出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OR(AND(H482&lt;&gt;"",H482=I482),AND(H482&lt;&gt;"",H482=J482),AND(I482&lt;&gt;"",I482=J482)),"同じクラブを重複して希望","OK")))))))</f>
        <v/>
      </c>
      <c r="L482" s="11">
        <f>IF(OR(A482="",D482=""),"",A482&amp;"-"&amp;B482&amp;"-"&amp;C482)</f>
        <v/>
      </c>
      <c r="M482" s="11">
        <f>IF(OR(L482="",G482=""),"",IF(COUNTIF(L483:L$555,L482)=0,L482,""))</f>
        <v/>
      </c>
    </row>
    <row r="483">
      <c r="A483" s="49" t="n"/>
      <c r="B483" s="49" t="n"/>
      <c r="C483" s="49" t="n"/>
      <c r="D483" s="49" t="n"/>
      <c r="E483" s="49" t="n"/>
      <c r="F483" s="49" t="n"/>
      <c r="G483" s="4">
        <f>IF(A483="","",IFERROR(INDEX(前年度名簿!$D$3:$D$452,MATCH(A483&amp;"-"&amp;B483&amp;"-"&amp;C483,前年度名簿!$F$3:$F$452,0)),""))</f>
        <v/>
      </c>
      <c r="H483" s="50">
        <f>IF(D483="","",IF(ISERROR(VALUE(D483)),D483&amp;"",IF(AND(VALUE(D483)&gt;=1,VALUE(D483)&lt;=20),IF(INDEX(設定!$P$8:$P$27,VALUE(D483))="","？",INDEX(設定!$P$8:$P$27,VALUE(D483))),"？")))</f>
        <v/>
      </c>
      <c r="I483" s="50">
        <f>IF(E483="","",IF(ISERROR(VALUE(E483)),E483&amp;"",IF(AND(VALUE(E483)&gt;=1,VALUE(E483)&lt;=20),IF(INDEX(設定!$P$8:$P$27,VALUE(E483))="","？",INDEX(設定!$P$8:$P$27,VALUE(E483))),"？")))</f>
        <v/>
      </c>
      <c r="J483" s="50">
        <f>IF(F483="","",IF(ISERROR(VALUE(F483)),F483&amp;"",IF(AND(VALUE(F483)&gt;=1,VALUE(F483)&lt;=20),IF(INDEX(設定!$P$8:$P$27,VALUE(F483))="","？",INDEX(設定!$P$8:$P$27,VALUE(F483))),"？")))</f>
        <v/>
      </c>
      <c r="K483" s="51">
        <f>IF(L483="","",IF(G483="","名簿にいない",IF(COUNTIF(L484:L$555,L483)&gt;0,"2回提出（下の行を使います）",IF(H483="転出","転出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OR(AND(H483&lt;&gt;"",H483=I483),AND(H483&lt;&gt;"",H483=J483),AND(I483&lt;&gt;"",I483=J483)),"同じクラブを重複して希望","OK")))))))</f>
        <v/>
      </c>
      <c r="L483" s="11">
        <f>IF(OR(A483="",D483=""),"",A483&amp;"-"&amp;B483&amp;"-"&amp;C483)</f>
        <v/>
      </c>
      <c r="M483" s="11">
        <f>IF(OR(L483="",G483=""),"",IF(COUNTIF(L484:L$555,L483)=0,L483,""))</f>
        <v/>
      </c>
    </row>
    <row r="484">
      <c r="A484" s="49" t="n"/>
      <c r="B484" s="49" t="n"/>
      <c r="C484" s="49" t="n"/>
      <c r="D484" s="49" t="n"/>
      <c r="E484" s="49" t="n"/>
      <c r="F484" s="49" t="n"/>
      <c r="G484" s="4">
        <f>IF(A484="","",IFERROR(INDEX(前年度名簿!$D$3:$D$452,MATCH(A484&amp;"-"&amp;B484&amp;"-"&amp;C484,前年度名簿!$F$3:$F$452,0)),""))</f>
        <v/>
      </c>
      <c r="H484" s="50">
        <f>IF(D484="","",IF(ISERROR(VALUE(D484)),D484&amp;"",IF(AND(VALUE(D484)&gt;=1,VALUE(D484)&lt;=20),IF(INDEX(設定!$P$8:$P$27,VALUE(D484))="","？",INDEX(設定!$P$8:$P$27,VALUE(D484))),"？")))</f>
        <v/>
      </c>
      <c r="I484" s="50">
        <f>IF(E484="","",IF(ISERROR(VALUE(E484)),E484&amp;"",IF(AND(VALUE(E484)&gt;=1,VALUE(E484)&lt;=20),IF(INDEX(設定!$P$8:$P$27,VALUE(E484))="","？",INDEX(設定!$P$8:$P$27,VALUE(E484))),"？")))</f>
        <v/>
      </c>
      <c r="J484" s="50">
        <f>IF(F484="","",IF(ISERROR(VALUE(F484)),F484&amp;"",IF(AND(VALUE(F484)&gt;=1,VALUE(F484)&lt;=20),IF(INDEX(設定!$P$8:$P$27,VALUE(F484))="","？",INDEX(設定!$P$8:$P$27,VALUE(F484))),"？")))</f>
        <v/>
      </c>
      <c r="K484" s="51">
        <f>IF(L484="","",IF(G484="","名簿にいない",IF(COUNTIF(L485:L$555,L484)&gt;0,"2回提出（下の行を使います）",IF(H484="転出","転出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OR(AND(H484&lt;&gt;"",H484=I484),AND(H484&lt;&gt;"",H484=J484),AND(I484&lt;&gt;"",I484=J484)),"同じクラブを重複して希望","OK")))))))</f>
        <v/>
      </c>
      <c r="L484" s="11">
        <f>IF(OR(A484="",D484=""),"",A484&amp;"-"&amp;B484&amp;"-"&amp;C484)</f>
        <v/>
      </c>
      <c r="M484" s="11">
        <f>IF(OR(L484="",G484=""),"",IF(COUNTIF(L485:L$555,L484)=0,L484,""))</f>
        <v/>
      </c>
    </row>
    <row r="485">
      <c r="A485" s="49" t="n"/>
      <c r="B485" s="49" t="n"/>
      <c r="C485" s="49" t="n"/>
      <c r="D485" s="49" t="n"/>
      <c r="E485" s="49" t="n"/>
      <c r="F485" s="49" t="n"/>
      <c r="G485" s="4">
        <f>IF(A485="","",IFERROR(INDEX(前年度名簿!$D$3:$D$452,MATCH(A485&amp;"-"&amp;B485&amp;"-"&amp;C485,前年度名簿!$F$3:$F$452,0)),""))</f>
        <v/>
      </c>
      <c r="H485" s="50">
        <f>IF(D485="","",IF(ISERROR(VALUE(D485)),D485&amp;"",IF(AND(VALUE(D485)&gt;=1,VALUE(D485)&lt;=20),IF(INDEX(設定!$P$8:$P$27,VALUE(D485))="","？",INDEX(設定!$P$8:$P$27,VALUE(D485))),"？")))</f>
        <v/>
      </c>
      <c r="I485" s="50">
        <f>IF(E485="","",IF(ISERROR(VALUE(E485)),E485&amp;"",IF(AND(VALUE(E485)&gt;=1,VALUE(E485)&lt;=20),IF(INDEX(設定!$P$8:$P$27,VALUE(E485))="","？",INDEX(設定!$P$8:$P$27,VALUE(E485))),"？")))</f>
        <v/>
      </c>
      <c r="J485" s="50">
        <f>IF(F485="","",IF(ISERROR(VALUE(F485)),F485&amp;"",IF(AND(VALUE(F485)&gt;=1,VALUE(F485)&lt;=20),IF(INDEX(設定!$P$8:$P$27,VALUE(F485))="","？",INDEX(設定!$P$8:$P$27,VALUE(F485))),"？")))</f>
        <v/>
      </c>
      <c r="K485" s="51">
        <f>IF(L485="","",IF(G485="","名簿にいない",IF(COUNTIF(L486:L$555,L485)&gt;0,"2回提出（下の行を使います）",IF(H485="転出","転出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OR(AND(H485&lt;&gt;"",H485=I485),AND(H485&lt;&gt;"",H485=J485),AND(I485&lt;&gt;"",I485=J485)),"同じクラブを重複して希望","OK")))))))</f>
        <v/>
      </c>
      <c r="L485" s="11">
        <f>IF(OR(A485="",D485=""),"",A485&amp;"-"&amp;B485&amp;"-"&amp;C485)</f>
        <v/>
      </c>
      <c r="M485" s="11">
        <f>IF(OR(L485="",G485=""),"",IF(COUNTIF(L486:L$555,L485)=0,L485,""))</f>
        <v/>
      </c>
    </row>
    <row r="486">
      <c r="A486" s="49" t="n"/>
      <c r="B486" s="49" t="n"/>
      <c r="C486" s="49" t="n"/>
      <c r="D486" s="49" t="n"/>
      <c r="E486" s="49" t="n"/>
      <c r="F486" s="49" t="n"/>
      <c r="G486" s="4">
        <f>IF(A486="","",IFERROR(INDEX(前年度名簿!$D$3:$D$452,MATCH(A486&amp;"-"&amp;B486&amp;"-"&amp;C486,前年度名簿!$F$3:$F$452,0)),""))</f>
        <v/>
      </c>
      <c r="H486" s="50">
        <f>IF(D486="","",IF(ISERROR(VALUE(D486)),D486&amp;"",IF(AND(VALUE(D486)&gt;=1,VALUE(D486)&lt;=20),IF(INDEX(設定!$P$8:$P$27,VALUE(D486))="","？",INDEX(設定!$P$8:$P$27,VALUE(D486))),"？")))</f>
        <v/>
      </c>
      <c r="I486" s="50">
        <f>IF(E486="","",IF(ISERROR(VALUE(E486)),E486&amp;"",IF(AND(VALUE(E486)&gt;=1,VALUE(E486)&lt;=20),IF(INDEX(設定!$P$8:$P$27,VALUE(E486))="","？",INDEX(設定!$P$8:$P$27,VALUE(E486))),"？")))</f>
        <v/>
      </c>
      <c r="J486" s="50">
        <f>IF(F486="","",IF(ISERROR(VALUE(F486)),F486&amp;"",IF(AND(VALUE(F486)&gt;=1,VALUE(F486)&lt;=20),IF(INDEX(設定!$P$8:$P$27,VALUE(F486))="","？",INDEX(設定!$P$8:$P$27,VALUE(F486))),"？")))</f>
        <v/>
      </c>
      <c r="K486" s="51">
        <f>IF(L486="","",IF(G486="","名簿にいない",IF(COUNTIF(L487:L$555,L486)&gt;0,"2回提出（下の行を使います）",IF(H486="転出","転出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OR(AND(H486&lt;&gt;"",H486=I486),AND(H486&lt;&gt;"",H486=J486),AND(I486&lt;&gt;"",I486=J486)),"同じクラブを重複して希望","OK")))))))</f>
        <v/>
      </c>
      <c r="L486" s="11">
        <f>IF(OR(A486="",D486=""),"",A486&amp;"-"&amp;B486&amp;"-"&amp;C486)</f>
        <v/>
      </c>
      <c r="M486" s="11">
        <f>IF(OR(L486="",G486=""),"",IF(COUNTIF(L487:L$555,L486)=0,L486,""))</f>
        <v/>
      </c>
    </row>
    <row r="487">
      <c r="A487" s="49" t="n"/>
      <c r="B487" s="49" t="n"/>
      <c r="C487" s="49" t="n"/>
      <c r="D487" s="49" t="n"/>
      <c r="E487" s="49" t="n"/>
      <c r="F487" s="49" t="n"/>
      <c r="G487" s="4">
        <f>IF(A487="","",IFERROR(INDEX(前年度名簿!$D$3:$D$452,MATCH(A487&amp;"-"&amp;B487&amp;"-"&amp;C487,前年度名簿!$F$3:$F$452,0)),""))</f>
        <v/>
      </c>
      <c r="H487" s="50">
        <f>IF(D487="","",IF(ISERROR(VALUE(D487)),D487&amp;"",IF(AND(VALUE(D487)&gt;=1,VALUE(D487)&lt;=20),IF(INDEX(設定!$P$8:$P$27,VALUE(D487))="","？",INDEX(設定!$P$8:$P$27,VALUE(D487))),"？")))</f>
        <v/>
      </c>
      <c r="I487" s="50">
        <f>IF(E487="","",IF(ISERROR(VALUE(E487)),E487&amp;"",IF(AND(VALUE(E487)&gt;=1,VALUE(E487)&lt;=20),IF(INDEX(設定!$P$8:$P$27,VALUE(E487))="","？",INDEX(設定!$P$8:$P$27,VALUE(E487))),"？")))</f>
        <v/>
      </c>
      <c r="J487" s="50">
        <f>IF(F487="","",IF(ISERROR(VALUE(F487)),F487&amp;"",IF(AND(VALUE(F487)&gt;=1,VALUE(F487)&lt;=20),IF(INDEX(設定!$P$8:$P$27,VALUE(F487))="","？",INDEX(設定!$P$8:$P$27,VALUE(F487))),"？")))</f>
        <v/>
      </c>
      <c r="K487" s="51">
        <f>IF(L487="","",IF(G487="","名簿にいない",IF(COUNTIF(L488:L$555,L487)&gt;0,"2回提出（下の行を使います）",IF(H487="転出","転出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OR(AND(H487&lt;&gt;"",H487=I487),AND(H487&lt;&gt;"",H487=J487),AND(I487&lt;&gt;"",I487=J487)),"同じクラブを重複して希望","OK")))))))</f>
        <v/>
      </c>
      <c r="L487" s="11">
        <f>IF(OR(A487="",D487=""),"",A487&amp;"-"&amp;B487&amp;"-"&amp;C487)</f>
        <v/>
      </c>
      <c r="M487" s="11">
        <f>IF(OR(L487="",G487=""),"",IF(COUNTIF(L488:L$555,L487)=0,L487,""))</f>
        <v/>
      </c>
    </row>
    <row r="488">
      <c r="A488" s="49" t="n"/>
      <c r="B488" s="49" t="n"/>
      <c r="C488" s="49" t="n"/>
      <c r="D488" s="49" t="n"/>
      <c r="E488" s="49" t="n"/>
      <c r="F488" s="49" t="n"/>
      <c r="G488" s="4">
        <f>IF(A488="","",IFERROR(INDEX(前年度名簿!$D$3:$D$452,MATCH(A488&amp;"-"&amp;B488&amp;"-"&amp;C488,前年度名簿!$F$3:$F$452,0)),""))</f>
        <v/>
      </c>
      <c r="H488" s="50">
        <f>IF(D488="","",IF(ISERROR(VALUE(D488)),D488&amp;"",IF(AND(VALUE(D488)&gt;=1,VALUE(D488)&lt;=20),IF(INDEX(設定!$P$8:$P$27,VALUE(D488))="","？",INDEX(設定!$P$8:$P$27,VALUE(D488))),"？")))</f>
        <v/>
      </c>
      <c r="I488" s="50">
        <f>IF(E488="","",IF(ISERROR(VALUE(E488)),E488&amp;"",IF(AND(VALUE(E488)&gt;=1,VALUE(E488)&lt;=20),IF(INDEX(設定!$P$8:$P$27,VALUE(E488))="","？",INDEX(設定!$P$8:$P$27,VALUE(E488))),"？")))</f>
        <v/>
      </c>
      <c r="J488" s="50">
        <f>IF(F488="","",IF(ISERROR(VALUE(F488)),F488&amp;"",IF(AND(VALUE(F488)&gt;=1,VALUE(F488)&lt;=20),IF(INDEX(設定!$P$8:$P$27,VALUE(F488))="","？",INDEX(設定!$P$8:$P$27,VALUE(F488))),"？")))</f>
        <v/>
      </c>
      <c r="K488" s="51">
        <f>IF(L488="","",IF(G488="","名簿にいない",IF(COUNTIF(L489:L$555,L488)&gt;0,"2回提出（下の行を使います）",IF(H488="転出","転出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OR(AND(H488&lt;&gt;"",H488=I488),AND(H488&lt;&gt;"",H488=J488),AND(I488&lt;&gt;"",I488=J488)),"同じクラブを重複して希望","OK")))))))</f>
        <v/>
      </c>
      <c r="L488" s="11">
        <f>IF(OR(A488="",D488=""),"",A488&amp;"-"&amp;B488&amp;"-"&amp;C488)</f>
        <v/>
      </c>
      <c r="M488" s="11">
        <f>IF(OR(L488="",G488=""),"",IF(COUNTIF(L489:L$555,L488)=0,L488,""))</f>
        <v/>
      </c>
    </row>
    <row r="489">
      <c r="A489" s="49" t="n"/>
      <c r="B489" s="49" t="n"/>
      <c r="C489" s="49" t="n"/>
      <c r="D489" s="49" t="n"/>
      <c r="E489" s="49" t="n"/>
      <c r="F489" s="49" t="n"/>
      <c r="G489" s="4">
        <f>IF(A489="","",IFERROR(INDEX(前年度名簿!$D$3:$D$452,MATCH(A489&amp;"-"&amp;B489&amp;"-"&amp;C489,前年度名簿!$F$3:$F$452,0)),""))</f>
        <v/>
      </c>
      <c r="H489" s="50">
        <f>IF(D489="","",IF(ISERROR(VALUE(D489)),D489&amp;"",IF(AND(VALUE(D489)&gt;=1,VALUE(D489)&lt;=20),IF(INDEX(設定!$P$8:$P$27,VALUE(D489))="","？",INDEX(設定!$P$8:$P$27,VALUE(D489))),"？")))</f>
        <v/>
      </c>
      <c r="I489" s="50">
        <f>IF(E489="","",IF(ISERROR(VALUE(E489)),E489&amp;"",IF(AND(VALUE(E489)&gt;=1,VALUE(E489)&lt;=20),IF(INDEX(設定!$P$8:$P$27,VALUE(E489))="","？",INDEX(設定!$P$8:$P$27,VALUE(E489))),"？")))</f>
        <v/>
      </c>
      <c r="J489" s="50">
        <f>IF(F489="","",IF(ISERROR(VALUE(F489)),F489&amp;"",IF(AND(VALUE(F489)&gt;=1,VALUE(F489)&lt;=20),IF(INDEX(設定!$P$8:$P$27,VALUE(F489))="","？",INDEX(設定!$P$8:$P$27,VALUE(F489))),"？")))</f>
        <v/>
      </c>
      <c r="K489" s="51">
        <f>IF(L489="","",IF(G489="","名簿にいない",IF(COUNTIF(L490:L$555,L489)&gt;0,"2回提出（下の行を使います）",IF(H489="転出","転出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OR(AND(H489&lt;&gt;"",H489=I489),AND(H489&lt;&gt;"",H489=J489),AND(I489&lt;&gt;"",I489=J489)),"同じクラブを重複して希望","OK")))))))</f>
        <v/>
      </c>
      <c r="L489" s="11">
        <f>IF(OR(A489="",D489=""),"",A489&amp;"-"&amp;B489&amp;"-"&amp;C489)</f>
        <v/>
      </c>
      <c r="M489" s="11">
        <f>IF(OR(L489="",G489=""),"",IF(COUNTIF(L490:L$555,L489)=0,L489,""))</f>
        <v/>
      </c>
    </row>
    <row r="490">
      <c r="A490" s="49" t="n"/>
      <c r="B490" s="49" t="n"/>
      <c r="C490" s="49" t="n"/>
      <c r="D490" s="49" t="n"/>
      <c r="E490" s="49" t="n"/>
      <c r="F490" s="49" t="n"/>
      <c r="G490" s="4">
        <f>IF(A490="","",IFERROR(INDEX(前年度名簿!$D$3:$D$452,MATCH(A490&amp;"-"&amp;B490&amp;"-"&amp;C490,前年度名簿!$F$3:$F$452,0)),""))</f>
        <v/>
      </c>
      <c r="H490" s="50">
        <f>IF(D490="","",IF(ISERROR(VALUE(D490)),D490&amp;"",IF(AND(VALUE(D490)&gt;=1,VALUE(D490)&lt;=20),IF(INDEX(設定!$P$8:$P$27,VALUE(D490))="","？",INDEX(設定!$P$8:$P$27,VALUE(D490))),"？")))</f>
        <v/>
      </c>
      <c r="I490" s="50">
        <f>IF(E490="","",IF(ISERROR(VALUE(E490)),E490&amp;"",IF(AND(VALUE(E490)&gt;=1,VALUE(E490)&lt;=20),IF(INDEX(設定!$P$8:$P$27,VALUE(E490))="","？",INDEX(設定!$P$8:$P$27,VALUE(E490))),"？")))</f>
        <v/>
      </c>
      <c r="J490" s="50">
        <f>IF(F490="","",IF(ISERROR(VALUE(F490)),F490&amp;"",IF(AND(VALUE(F490)&gt;=1,VALUE(F490)&lt;=20),IF(INDEX(設定!$P$8:$P$27,VALUE(F490))="","？",INDEX(設定!$P$8:$P$27,VALUE(F490))),"？")))</f>
        <v/>
      </c>
      <c r="K490" s="51">
        <f>IF(L490="","",IF(G490="","名簿にいない",IF(COUNTIF(L491:L$555,L490)&gt;0,"2回提出（下の行を使います）",IF(H490="転出","転出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OR(AND(H490&lt;&gt;"",H490=I490),AND(H490&lt;&gt;"",H490=J490),AND(I490&lt;&gt;"",I490=J490)),"同じクラブを重複して希望","OK")))))))</f>
        <v/>
      </c>
      <c r="L490" s="11">
        <f>IF(OR(A490="",D490=""),"",A490&amp;"-"&amp;B490&amp;"-"&amp;C490)</f>
        <v/>
      </c>
      <c r="M490" s="11">
        <f>IF(OR(L490="",G490=""),"",IF(COUNTIF(L491:L$555,L490)=0,L490,""))</f>
        <v/>
      </c>
    </row>
    <row r="491">
      <c r="A491" s="49" t="n"/>
      <c r="B491" s="49" t="n"/>
      <c r="C491" s="49" t="n"/>
      <c r="D491" s="49" t="n"/>
      <c r="E491" s="49" t="n"/>
      <c r="F491" s="49" t="n"/>
      <c r="G491" s="4">
        <f>IF(A491="","",IFERROR(INDEX(前年度名簿!$D$3:$D$452,MATCH(A491&amp;"-"&amp;B491&amp;"-"&amp;C491,前年度名簿!$F$3:$F$452,0)),""))</f>
        <v/>
      </c>
      <c r="H491" s="50">
        <f>IF(D491="","",IF(ISERROR(VALUE(D491)),D491&amp;"",IF(AND(VALUE(D491)&gt;=1,VALUE(D491)&lt;=20),IF(INDEX(設定!$P$8:$P$27,VALUE(D491))="","？",INDEX(設定!$P$8:$P$27,VALUE(D491))),"？")))</f>
        <v/>
      </c>
      <c r="I491" s="50">
        <f>IF(E491="","",IF(ISERROR(VALUE(E491)),E491&amp;"",IF(AND(VALUE(E491)&gt;=1,VALUE(E491)&lt;=20),IF(INDEX(設定!$P$8:$P$27,VALUE(E491))="","？",INDEX(設定!$P$8:$P$27,VALUE(E491))),"？")))</f>
        <v/>
      </c>
      <c r="J491" s="50">
        <f>IF(F491="","",IF(ISERROR(VALUE(F491)),F491&amp;"",IF(AND(VALUE(F491)&gt;=1,VALUE(F491)&lt;=20),IF(INDEX(設定!$P$8:$P$27,VALUE(F491))="","？",INDEX(設定!$P$8:$P$27,VALUE(F491))),"？")))</f>
        <v/>
      </c>
      <c r="K491" s="51">
        <f>IF(L491="","",IF(G491="","名簿にいない",IF(COUNTIF(L492:L$555,L491)&gt;0,"2回提出（下の行を使います）",IF(H491="転出","転出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OR(AND(H491&lt;&gt;"",H491=I491),AND(H491&lt;&gt;"",H491=J491),AND(I491&lt;&gt;"",I491=J491)),"同じクラブを重複して希望","OK")))))))</f>
        <v/>
      </c>
      <c r="L491" s="11">
        <f>IF(OR(A491="",D491=""),"",A491&amp;"-"&amp;B491&amp;"-"&amp;C491)</f>
        <v/>
      </c>
      <c r="M491" s="11">
        <f>IF(OR(L491="",G491=""),"",IF(COUNTIF(L492:L$555,L491)=0,L491,""))</f>
        <v/>
      </c>
    </row>
    <row r="492">
      <c r="A492" s="49" t="n"/>
      <c r="B492" s="49" t="n"/>
      <c r="C492" s="49" t="n"/>
      <c r="D492" s="49" t="n"/>
      <c r="E492" s="49" t="n"/>
      <c r="F492" s="49" t="n"/>
      <c r="G492" s="4">
        <f>IF(A492="","",IFERROR(INDEX(前年度名簿!$D$3:$D$452,MATCH(A492&amp;"-"&amp;B492&amp;"-"&amp;C492,前年度名簿!$F$3:$F$452,0)),""))</f>
        <v/>
      </c>
      <c r="H492" s="50">
        <f>IF(D492="","",IF(ISERROR(VALUE(D492)),D492&amp;"",IF(AND(VALUE(D492)&gt;=1,VALUE(D492)&lt;=20),IF(INDEX(設定!$P$8:$P$27,VALUE(D492))="","？",INDEX(設定!$P$8:$P$27,VALUE(D492))),"？")))</f>
        <v/>
      </c>
      <c r="I492" s="50">
        <f>IF(E492="","",IF(ISERROR(VALUE(E492)),E492&amp;"",IF(AND(VALUE(E492)&gt;=1,VALUE(E492)&lt;=20),IF(INDEX(設定!$P$8:$P$27,VALUE(E492))="","？",INDEX(設定!$P$8:$P$27,VALUE(E492))),"？")))</f>
        <v/>
      </c>
      <c r="J492" s="50">
        <f>IF(F492="","",IF(ISERROR(VALUE(F492)),F492&amp;"",IF(AND(VALUE(F492)&gt;=1,VALUE(F492)&lt;=20),IF(INDEX(設定!$P$8:$P$27,VALUE(F492))="","？",INDEX(設定!$P$8:$P$27,VALUE(F492))),"？")))</f>
        <v/>
      </c>
      <c r="K492" s="51">
        <f>IF(L492="","",IF(G492="","名簿にいない",IF(COUNTIF(L493:L$555,L492)&gt;0,"2回提出（下の行を使います）",IF(H492="転出","転出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OR(AND(H492&lt;&gt;"",H492=I492),AND(H492&lt;&gt;"",H492=J492),AND(I492&lt;&gt;"",I492=J492)),"同じクラブを重複して希望","OK")))))))</f>
        <v/>
      </c>
      <c r="L492" s="11">
        <f>IF(OR(A492="",D492=""),"",A492&amp;"-"&amp;B492&amp;"-"&amp;C492)</f>
        <v/>
      </c>
      <c r="M492" s="11">
        <f>IF(OR(L492="",G492=""),"",IF(COUNTIF(L493:L$555,L492)=0,L492,""))</f>
        <v/>
      </c>
    </row>
    <row r="493">
      <c r="A493" s="49" t="n"/>
      <c r="B493" s="49" t="n"/>
      <c r="C493" s="49" t="n"/>
      <c r="D493" s="49" t="n"/>
      <c r="E493" s="49" t="n"/>
      <c r="F493" s="49" t="n"/>
      <c r="G493" s="4">
        <f>IF(A493="","",IFERROR(INDEX(前年度名簿!$D$3:$D$452,MATCH(A493&amp;"-"&amp;B493&amp;"-"&amp;C493,前年度名簿!$F$3:$F$452,0)),""))</f>
        <v/>
      </c>
      <c r="H493" s="50">
        <f>IF(D493="","",IF(ISERROR(VALUE(D493)),D493&amp;"",IF(AND(VALUE(D493)&gt;=1,VALUE(D493)&lt;=20),IF(INDEX(設定!$P$8:$P$27,VALUE(D493))="","？",INDEX(設定!$P$8:$P$27,VALUE(D493))),"？")))</f>
        <v/>
      </c>
      <c r="I493" s="50">
        <f>IF(E493="","",IF(ISERROR(VALUE(E493)),E493&amp;"",IF(AND(VALUE(E493)&gt;=1,VALUE(E493)&lt;=20),IF(INDEX(設定!$P$8:$P$27,VALUE(E493))="","？",INDEX(設定!$P$8:$P$27,VALUE(E493))),"？")))</f>
        <v/>
      </c>
      <c r="J493" s="50">
        <f>IF(F493="","",IF(ISERROR(VALUE(F493)),F493&amp;"",IF(AND(VALUE(F493)&gt;=1,VALUE(F493)&lt;=20),IF(INDEX(設定!$P$8:$P$27,VALUE(F493))="","？",INDEX(設定!$P$8:$P$27,VALUE(F493))),"？")))</f>
        <v/>
      </c>
      <c r="K493" s="51">
        <f>IF(L493="","",IF(G493="","名簿にいない",IF(COUNTIF(L494:L$555,L493)&gt;0,"2回提出（下の行を使います）",IF(H493="転出","転出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OR(AND(H493&lt;&gt;"",H493=I493),AND(H493&lt;&gt;"",H493=J493),AND(I493&lt;&gt;"",I493=J493)),"同じクラブを重複して希望","OK")))))))</f>
        <v/>
      </c>
      <c r="L493" s="11">
        <f>IF(OR(A493="",D493=""),"",A493&amp;"-"&amp;B493&amp;"-"&amp;C493)</f>
        <v/>
      </c>
      <c r="M493" s="11">
        <f>IF(OR(L493="",G493=""),"",IF(COUNTIF(L494:L$555,L493)=0,L493,""))</f>
        <v/>
      </c>
    </row>
    <row r="494">
      <c r="A494" s="49" t="n"/>
      <c r="B494" s="49" t="n"/>
      <c r="C494" s="49" t="n"/>
      <c r="D494" s="49" t="n"/>
      <c r="E494" s="49" t="n"/>
      <c r="F494" s="49" t="n"/>
      <c r="G494" s="4">
        <f>IF(A494="","",IFERROR(INDEX(前年度名簿!$D$3:$D$452,MATCH(A494&amp;"-"&amp;B494&amp;"-"&amp;C494,前年度名簿!$F$3:$F$452,0)),""))</f>
        <v/>
      </c>
      <c r="H494" s="50">
        <f>IF(D494="","",IF(ISERROR(VALUE(D494)),D494&amp;"",IF(AND(VALUE(D494)&gt;=1,VALUE(D494)&lt;=20),IF(INDEX(設定!$P$8:$P$27,VALUE(D494))="","？",INDEX(設定!$P$8:$P$27,VALUE(D494))),"？")))</f>
        <v/>
      </c>
      <c r="I494" s="50">
        <f>IF(E494="","",IF(ISERROR(VALUE(E494)),E494&amp;"",IF(AND(VALUE(E494)&gt;=1,VALUE(E494)&lt;=20),IF(INDEX(設定!$P$8:$P$27,VALUE(E494))="","？",INDEX(設定!$P$8:$P$27,VALUE(E494))),"？")))</f>
        <v/>
      </c>
      <c r="J494" s="50">
        <f>IF(F494="","",IF(ISERROR(VALUE(F494)),F494&amp;"",IF(AND(VALUE(F494)&gt;=1,VALUE(F494)&lt;=20),IF(INDEX(設定!$P$8:$P$27,VALUE(F494))="","？",INDEX(設定!$P$8:$P$27,VALUE(F494))),"？")))</f>
        <v/>
      </c>
      <c r="K494" s="51">
        <f>IF(L494="","",IF(G494="","名簿にいない",IF(COUNTIF(L495:L$555,L494)&gt;0,"2回提出（下の行を使います）",IF(H494="転出","転出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OR(AND(H494&lt;&gt;"",H494=I494),AND(H494&lt;&gt;"",H494=J494),AND(I494&lt;&gt;"",I494=J494)),"同じクラブを重複して希望","OK")))))))</f>
        <v/>
      </c>
      <c r="L494" s="11">
        <f>IF(OR(A494="",D494=""),"",A494&amp;"-"&amp;B494&amp;"-"&amp;C494)</f>
        <v/>
      </c>
      <c r="M494" s="11">
        <f>IF(OR(L494="",G494=""),"",IF(COUNTIF(L495:L$555,L494)=0,L494,""))</f>
        <v/>
      </c>
    </row>
    <row r="495">
      <c r="A495" s="49" t="n"/>
      <c r="B495" s="49" t="n"/>
      <c r="C495" s="49" t="n"/>
      <c r="D495" s="49" t="n"/>
      <c r="E495" s="49" t="n"/>
      <c r="F495" s="49" t="n"/>
      <c r="G495" s="4">
        <f>IF(A495="","",IFERROR(INDEX(前年度名簿!$D$3:$D$452,MATCH(A495&amp;"-"&amp;B495&amp;"-"&amp;C495,前年度名簿!$F$3:$F$452,0)),""))</f>
        <v/>
      </c>
      <c r="H495" s="50">
        <f>IF(D495="","",IF(ISERROR(VALUE(D495)),D495&amp;"",IF(AND(VALUE(D495)&gt;=1,VALUE(D495)&lt;=20),IF(INDEX(設定!$P$8:$P$27,VALUE(D495))="","？",INDEX(設定!$P$8:$P$27,VALUE(D495))),"？")))</f>
        <v/>
      </c>
      <c r="I495" s="50">
        <f>IF(E495="","",IF(ISERROR(VALUE(E495)),E495&amp;"",IF(AND(VALUE(E495)&gt;=1,VALUE(E495)&lt;=20),IF(INDEX(設定!$P$8:$P$27,VALUE(E495))="","？",INDEX(設定!$P$8:$P$27,VALUE(E495))),"？")))</f>
        <v/>
      </c>
      <c r="J495" s="50">
        <f>IF(F495="","",IF(ISERROR(VALUE(F495)),F495&amp;"",IF(AND(VALUE(F495)&gt;=1,VALUE(F495)&lt;=20),IF(INDEX(設定!$P$8:$P$27,VALUE(F495))="","？",INDEX(設定!$P$8:$P$27,VALUE(F495))),"？")))</f>
        <v/>
      </c>
      <c r="K495" s="51">
        <f>IF(L495="","",IF(G495="","名簿にいない",IF(COUNTIF(L496:L$555,L495)&gt;0,"2回提出（下の行を使います）",IF(H495="転出","転出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OR(AND(H495&lt;&gt;"",H495=I495),AND(H495&lt;&gt;"",H495=J495),AND(I495&lt;&gt;"",I495=J495)),"同じクラブを重複して希望","OK")))))))</f>
        <v/>
      </c>
      <c r="L495" s="11">
        <f>IF(OR(A495="",D495=""),"",A495&amp;"-"&amp;B495&amp;"-"&amp;C495)</f>
        <v/>
      </c>
      <c r="M495" s="11">
        <f>IF(OR(L495="",G495=""),"",IF(COUNTIF(L496:L$555,L495)=0,L495,""))</f>
        <v/>
      </c>
    </row>
    <row r="496">
      <c r="A496" s="49" t="n"/>
      <c r="B496" s="49" t="n"/>
      <c r="C496" s="49" t="n"/>
      <c r="D496" s="49" t="n"/>
      <c r="E496" s="49" t="n"/>
      <c r="F496" s="49" t="n"/>
      <c r="G496" s="4">
        <f>IF(A496="","",IFERROR(INDEX(前年度名簿!$D$3:$D$452,MATCH(A496&amp;"-"&amp;B496&amp;"-"&amp;C496,前年度名簿!$F$3:$F$452,0)),""))</f>
        <v/>
      </c>
      <c r="H496" s="50">
        <f>IF(D496="","",IF(ISERROR(VALUE(D496)),D496&amp;"",IF(AND(VALUE(D496)&gt;=1,VALUE(D496)&lt;=20),IF(INDEX(設定!$P$8:$P$27,VALUE(D496))="","？",INDEX(設定!$P$8:$P$27,VALUE(D496))),"？")))</f>
        <v/>
      </c>
      <c r="I496" s="50">
        <f>IF(E496="","",IF(ISERROR(VALUE(E496)),E496&amp;"",IF(AND(VALUE(E496)&gt;=1,VALUE(E496)&lt;=20),IF(INDEX(設定!$P$8:$P$27,VALUE(E496))="","？",INDEX(設定!$P$8:$P$27,VALUE(E496))),"？")))</f>
        <v/>
      </c>
      <c r="J496" s="50">
        <f>IF(F496="","",IF(ISERROR(VALUE(F496)),F496&amp;"",IF(AND(VALUE(F496)&gt;=1,VALUE(F496)&lt;=20),IF(INDEX(設定!$P$8:$P$27,VALUE(F496))="","？",INDEX(設定!$P$8:$P$27,VALUE(F496))),"？")))</f>
        <v/>
      </c>
      <c r="K496" s="51">
        <f>IF(L496="","",IF(G496="","名簿にいない",IF(COUNTIF(L497:L$555,L496)&gt;0,"2回提出（下の行を使います）",IF(H496="転出","転出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OR(AND(H496&lt;&gt;"",H496=I496),AND(H496&lt;&gt;"",H496=J496),AND(I496&lt;&gt;"",I496=J496)),"同じクラブを重複して希望","OK")))))))</f>
        <v/>
      </c>
      <c r="L496" s="11">
        <f>IF(OR(A496="",D496=""),"",A496&amp;"-"&amp;B496&amp;"-"&amp;C496)</f>
        <v/>
      </c>
      <c r="M496" s="11">
        <f>IF(OR(L496="",G496=""),"",IF(COUNTIF(L497:L$555,L496)=0,L496,""))</f>
        <v/>
      </c>
    </row>
    <row r="497">
      <c r="A497" s="49" t="n"/>
      <c r="B497" s="49" t="n"/>
      <c r="C497" s="49" t="n"/>
      <c r="D497" s="49" t="n"/>
      <c r="E497" s="49" t="n"/>
      <c r="F497" s="49" t="n"/>
      <c r="G497" s="4">
        <f>IF(A497="","",IFERROR(INDEX(前年度名簿!$D$3:$D$452,MATCH(A497&amp;"-"&amp;B497&amp;"-"&amp;C497,前年度名簿!$F$3:$F$452,0)),""))</f>
        <v/>
      </c>
      <c r="H497" s="50">
        <f>IF(D497="","",IF(ISERROR(VALUE(D497)),D497&amp;"",IF(AND(VALUE(D497)&gt;=1,VALUE(D497)&lt;=20),IF(INDEX(設定!$P$8:$P$27,VALUE(D497))="","？",INDEX(設定!$P$8:$P$27,VALUE(D497))),"？")))</f>
        <v/>
      </c>
      <c r="I497" s="50">
        <f>IF(E497="","",IF(ISERROR(VALUE(E497)),E497&amp;"",IF(AND(VALUE(E497)&gt;=1,VALUE(E497)&lt;=20),IF(INDEX(設定!$P$8:$P$27,VALUE(E497))="","？",INDEX(設定!$P$8:$P$27,VALUE(E497))),"？")))</f>
        <v/>
      </c>
      <c r="J497" s="50">
        <f>IF(F497="","",IF(ISERROR(VALUE(F497)),F497&amp;"",IF(AND(VALUE(F497)&gt;=1,VALUE(F497)&lt;=20),IF(INDEX(設定!$P$8:$P$27,VALUE(F497))="","？",INDEX(設定!$P$8:$P$27,VALUE(F497))),"？")))</f>
        <v/>
      </c>
      <c r="K497" s="51">
        <f>IF(L497="","",IF(G497="","名簿にいない",IF(COUNTIF(L498:L$555,L497)&gt;0,"2回提出（下の行を使います）",IF(H497="転出","転出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OR(AND(H497&lt;&gt;"",H497=I497),AND(H497&lt;&gt;"",H497=J497),AND(I497&lt;&gt;"",I497=J497)),"同じクラブを重複して希望","OK")))))))</f>
        <v/>
      </c>
      <c r="L497" s="11">
        <f>IF(OR(A497="",D497=""),"",A497&amp;"-"&amp;B497&amp;"-"&amp;C497)</f>
        <v/>
      </c>
      <c r="M497" s="11">
        <f>IF(OR(L497="",G497=""),"",IF(COUNTIF(L498:L$555,L497)=0,L497,""))</f>
        <v/>
      </c>
    </row>
    <row r="498">
      <c r="A498" s="49" t="n"/>
      <c r="B498" s="49" t="n"/>
      <c r="C498" s="49" t="n"/>
      <c r="D498" s="49" t="n"/>
      <c r="E498" s="49" t="n"/>
      <c r="F498" s="49" t="n"/>
      <c r="G498" s="4">
        <f>IF(A498="","",IFERROR(INDEX(前年度名簿!$D$3:$D$452,MATCH(A498&amp;"-"&amp;B498&amp;"-"&amp;C498,前年度名簿!$F$3:$F$452,0)),""))</f>
        <v/>
      </c>
      <c r="H498" s="50">
        <f>IF(D498="","",IF(ISERROR(VALUE(D498)),D498&amp;"",IF(AND(VALUE(D498)&gt;=1,VALUE(D498)&lt;=20),IF(INDEX(設定!$P$8:$P$27,VALUE(D498))="","？",INDEX(設定!$P$8:$P$27,VALUE(D498))),"？")))</f>
        <v/>
      </c>
      <c r="I498" s="50">
        <f>IF(E498="","",IF(ISERROR(VALUE(E498)),E498&amp;"",IF(AND(VALUE(E498)&gt;=1,VALUE(E498)&lt;=20),IF(INDEX(設定!$P$8:$P$27,VALUE(E498))="","？",INDEX(設定!$P$8:$P$27,VALUE(E498))),"？")))</f>
        <v/>
      </c>
      <c r="J498" s="50">
        <f>IF(F498="","",IF(ISERROR(VALUE(F498)),F498&amp;"",IF(AND(VALUE(F498)&gt;=1,VALUE(F498)&lt;=20),IF(INDEX(設定!$P$8:$P$27,VALUE(F498))="","？",INDEX(設定!$P$8:$P$27,VALUE(F498))),"？")))</f>
        <v/>
      </c>
      <c r="K498" s="51">
        <f>IF(L498="","",IF(G498="","名簿にいない",IF(COUNTIF(L499:L$555,L498)&gt;0,"2回提出（下の行を使います）",IF(H498="転出","転出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OR(AND(H498&lt;&gt;"",H498=I498),AND(H498&lt;&gt;"",H498=J498),AND(I498&lt;&gt;"",I498=J498)),"同じクラブを重複して希望","OK")))))))</f>
        <v/>
      </c>
      <c r="L498" s="11">
        <f>IF(OR(A498="",D498=""),"",A498&amp;"-"&amp;B498&amp;"-"&amp;C498)</f>
        <v/>
      </c>
      <c r="M498" s="11">
        <f>IF(OR(L498="",G498=""),"",IF(COUNTIF(L499:L$555,L498)=0,L498,""))</f>
        <v/>
      </c>
    </row>
    <row r="499">
      <c r="A499" s="49" t="n"/>
      <c r="B499" s="49" t="n"/>
      <c r="C499" s="49" t="n"/>
      <c r="D499" s="49" t="n"/>
      <c r="E499" s="49" t="n"/>
      <c r="F499" s="49" t="n"/>
      <c r="G499" s="4">
        <f>IF(A499="","",IFERROR(INDEX(前年度名簿!$D$3:$D$452,MATCH(A499&amp;"-"&amp;B499&amp;"-"&amp;C499,前年度名簿!$F$3:$F$452,0)),""))</f>
        <v/>
      </c>
      <c r="H499" s="50">
        <f>IF(D499="","",IF(ISERROR(VALUE(D499)),D499&amp;"",IF(AND(VALUE(D499)&gt;=1,VALUE(D499)&lt;=20),IF(INDEX(設定!$P$8:$P$27,VALUE(D499))="","？",INDEX(設定!$P$8:$P$27,VALUE(D499))),"？")))</f>
        <v/>
      </c>
      <c r="I499" s="50">
        <f>IF(E499="","",IF(ISERROR(VALUE(E499)),E499&amp;"",IF(AND(VALUE(E499)&gt;=1,VALUE(E499)&lt;=20),IF(INDEX(設定!$P$8:$P$27,VALUE(E499))="","？",INDEX(設定!$P$8:$P$27,VALUE(E499))),"？")))</f>
        <v/>
      </c>
      <c r="J499" s="50">
        <f>IF(F499="","",IF(ISERROR(VALUE(F499)),F499&amp;"",IF(AND(VALUE(F499)&gt;=1,VALUE(F499)&lt;=20),IF(INDEX(設定!$P$8:$P$27,VALUE(F499))="","？",INDEX(設定!$P$8:$P$27,VALUE(F499))),"？")))</f>
        <v/>
      </c>
      <c r="K499" s="51">
        <f>IF(L499="","",IF(G499="","名簿にいない",IF(COUNTIF(L500:L$555,L499)&gt;0,"2回提出（下の行を使います）",IF(H499="転出","転出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OR(AND(H499&lt;&gt;"",H499=I499),AND(H499&lt;&gt;"",H499=J499),AND(I499&lt;&gt;"",I499=J499)),"同じクラブを重複して希望","OK")))))))</f>
        <v/>
      </c>
      <c r="L499" s="11">
        <f>IF(OR(A499="",D499=""),"",A499&amp;"-"&amp;B499&amp;"-"&amp;C499)</f>
        <v/>
      </c>
      <c r="M499" s="11">
        <f>IF(OR(L499="",G499=""),"",IF(COUNTIF(L500:L$555,L499)=0,L499,""))</f>
        <v/>
      </c>
    </row>
    <row r="500">
      <c r="A500" s="49" t="n"/>
      <c r="B500" s="49" t="n"/>
      <c r="C500" s="49" t="n"/>
      <c r="D500" s="49" t="n"/>
      <c r="E500" s="49" t="n"/>
      <c r="F500" s="49" t="n"/>
      <c r="G500" s="4">
        <f>IF(A500="","",IFERROR(INDEX(前年度名簿!$D$3:$D$452,MATCH(A500&amp;"-"&amp;B500&amp;"-"&amp;C500,前年度名簿!$F$3:$F$452,0)),""))</f>
        <v/>
      </c>
      <c r="H500" s="50">
        <f>IF(D500="","",IF(ISERROR(VALUE(D500)),D500&amp;"",IF(AND(VALUE(D500)&gt;=1,VALUE(D500)&lt;=20),IF(INDEX(設定!$P$8:$P$27,VALUE(D500))="","？",INDEX(設定!$P$8:$P$27,VALUE(D500))),"？")))</f>
        <v/>
      </c>
      <c r="I500" s="50">
        <f>IF(E500="","",IF(ISERROR(VALUE(E500)),E500&amp;"",IF(AND(VALUE(E500)&gt;=1,VALUE(E500)&lt;=20),IF(INDEX(設定!$P$8:$P$27,VALUE(E500))="","？",INDEX(設定!$P$8:$P$27,VALUE(E500))),"？")))</f>
        <v/>
      </c>
      <c r="J500" s="50">
        <f>IF(F500="","",IF(ISERROR(VALUE(F500)),F500&amp;"",IF(AND(VALUE(F500)&gt;=1,VALUE(F500)&lt;=20),IF(INDEX(設定!$P$8:$P$27,VALUE(F500))="","？",INDEX(設定!$P$8:$P$27,VALUE(F500))),"？")))</f>
        <v/>
      </c>
      <c r="K500" s="51">
        <f>IF(L500="","",IF(G500="","名簿にいない",IF(COUNTIF(L501:L$555,L500)&gt;0,"2回提出（下の行を使います）",IF(H500="転出","転出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OR(AND(H500&lt;&gt;"",H500=I500),AND(H500&lt;&gt;"",H500=J500),AND(I500&lt;&gt;"",I500=J500)),"同じクラブを重複して希望","OK")))))))</f>
        <v/>
      </c>
      <c r="L500" s="11">
        <f>IF(OR(A500="",D500=""),"",A500&amp;"-"&amp;B500&amp;"-"&amp;C500)</f>
        <v/>
      </c>
      <c r="M500" s="11">
        <f>IF(OR(L500="",G500=""),"",IF(COUNTIF(L501:L$555,L500)=0,L500,""))</f>
        <v/>
      </c>
    </row>
    <row r="501">
      <c r="A501" s="49" t="n"/>
      <c r="B501" s="49" t="n"/>
      <c r="C501" s="49" t="n"/>
      <c r="D501" s="49" t="n"/>
      <c r="E501" s="49" t="n"/>
      <c r="F501" s="49" t="n"/>
      <c r="G501" s="4">
        <f>IF(A501="","",IFERROR(INDEX(前年度名簿!$D$3:$D$452,MATCH(A501&amp;"-"&amp;B501&amp;"-"&amp;C501,前年度名簿!$F$3:$F$452,0)),""))</f>
        <v/>
      </c>
      <c r="H501" s="50">
        <f>IF(D501="","",IF(ISERROR(VALUE(D501)),D501&amp;"",IF(AND(VALUE(D501)&gt;=1,VALUE(D501)&lt;=20),IF(INDEX(設定!$P$8:$P$27,VALUE(D501))="","？",INDEX(設定!$P$8:$P$27,VALUE(D501))),"？")))</f>
        <v/>
      </c>
      <c r="I501" s="50">
        <f>IF(E501="","",IF(ISERROR(VALUE(E501)),E501&amp;"",IF(AND(VALUE(E501)&gt;=1,VALUE(E501)&lt;=20),IF(INDEX(設定!$P$8:$P$27,VALUE(E501))="","？",INDEX(設定!$P$8:$P$27,VALUE(E501))),"？")))</f>
        <v/>
      </c>
      <c r="J501" s="50">
        <f>IF(F501="","",IF(ISERROR(VALUE(F501)),F501&amp;"",IF(AND(VALUE(F501)&gt;=1,VALUE(F501)&lt;=20),IF(INDEX(設定!$P$8:$P$27,VALUE(F501))="","？",INDEX(設定!$P$8:$P$27,VALUE(F501))),"？")))</f>
        <v/>
      </c>
      <c r="K501" s="51">
        <f>IF(L501="","",IF(G501="","名簿にいない",IF(COUNTIF(L502:L$555,L501)&gt;0,"2回提出（下の行を使います）",IF(H501="転出","転出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OR(AND(H501&lt;&gt;"",H501=I501),AND(H501&lt;&gt;"",H501=J501),AND(I501&lt;&gt;"",I501=J501)),"同じクラブを重複して希望","OK")))))))</f>
        <v/>
      </c>
      <c r="L501" s="11">
        <f>IF(OR(A501="",D501=""),"",A501&amp;"-"&amp;B501&amp;"-"&amp;C501)</f>
        <v/>
      </c>
      <c r="M501" s="11">
        <f>IF(OR(L501="",G501=""),"",IF(COUNTIF(L502:L$555,L501)=0,L501,""))</f>
        <v/>
      </c>
    </row>
    <row r="502">
      <c r="A502" s="49" t="n"/>
      <c r="B502" s="49" t="n"/>
      <c r="C502" s="49" t="n"/>
      <c r="D502" s="49" t="n"/>
      <c r="E502" s="49" t="n"/>
      <c r="F502" s="49" t="n"/>
      <c r="G502" s="4">
        <f>IF(A502="","",IFERROR(INDEX(前年度名簿!$D$3:$D$452,MATCH(A502&amp;"-"&amp;B502&amp;"-"&amp;C502,前年度名簿!$F$3:$F$452,0)),""))</f>
        <v/>
      </c>
      <c r="H502" s="50">
        <f>IF(D502="","",IF(ISERROR(VALUE(D502)),D502&amp;"",IF(AND(VALUE(D502)&gt;=1,VALUE(D502)&lt;=20),IF(INDEX(設定!$P$8:$P$27,VALUE(D502))="","？",INDEX(設定!$P$8:$P$27,VALUE(D502))),"？")))</f>
        <v/>
      </c>
      <c r="I502" s="50">
        <f>IF(E502="","",IF(ISERROR(VALUE(E502)),E502&amp;"",IF(AND(VALUE(E502)&gt;=1,VALUE(E502)&lt;=20),IF(INDEX(設定!$P$8:$P$27,VALUE(E502))="","？",INDEX(設定!$P$8:$P$27,VALUE(E502))),"？")))</f>
        <v/>
      </c>
      <c r="J502" s="50">
        <f>IF(F502="","",IF(ISERROR(VALUE(F502)),F502&amp;"",IF(AND(VALUE(F502)&gt;=1,VALUE(F502)&lt;=20),IF(INDEX(設定!$P$8:$P$27,VALUE(F502))="","？",INDEX(設定!$P$8:$P$27,VALUE(F502))),"？")))</f>
        <v/>
      </c>
      <c r="K502" s="51">
        <f>IF(L502="","",IF(G502="","名簿にいない",IF(COUNTIF(L503:L$555,L502)&gt;0,"2回提出（下の行を使います）",IF(H502="転出","転出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OR(AND(H502&lt;&gt;"",H502=I502),AND(H502&lt;&gt;"",H502=J502),AND(I502&lt;&gt;"",I502=J502)),"同じクラブを重複して希望","OK")))))))</f>
        <v/>
      </c>
      <c r="L502" s="11">
        <f>IF(OR(A502="",D502=""),"",A502&amp;"-"&amp;B502&amp;"-"&amp;C502)</f>
        <v/>
      </c>
      <c r="M502" s="11">
        <f>IF(OR(L502="",G502=""),"",IF(COUNTIF(L503:L$555,L502)=0,L502,""))</f>
        <v/>
      </c>
    </row>
    <row r="503">
      <c r="A503" s="49" t="n"/>
      <c r="B503" s="49" t="n"/>
      <c r="C503" s="49" t="n"/>
      <c r="D503" s="49" t="n"/>
      <c r="E503" s="49" t="n"/>
      <c r="F503" s="49" t="n"/>
      <c r="G503" s="4">
        <f>IF(A503="","",IFERROR(INDEX(前年度名簿!$D$3:$D$452,MATCH(A503&amp;"-"&amp;B503&amp;"-"&amp;C503,前年度名簿!$F$3:$F$452,0)),""))</f>
        <v/>
      </c>
      <c r="H503" s="50">
        <f>IF(D503="","",IF(ISERROR(VALUE(D503)),D503&amp;"",IF(AND(VALUE(D503)&gt;=1,VALUE(D503)&lt;=20),IF(INDEX(設定!$P$8:$P$27,VALUE(D503))="","？",INDEX(設定!$P$8:$P$27,VALUE(D503))),"？")))</f>
        <v/>
      </c>
      <c r="I503" s="50">
        <f>IF(E503="","",IF(ISERROR(VALUE(E503)),E503&amp;"",IF(AND(VALUE(E503)&gt;=1,VALUE(E503)&lt;=20),IF(INDEX(設定!$P$8:$P$27,VALUE(E503))="","？",INDEX(設定!$P$8:$P$27,VALUE(E503))),"？")))</f>
        <v/>
      </c>
      <c r="J503" s="50">
        <f>IF(F503="","",IF(ISERROR(VALUE(F503)),F503&amp;"",IF(AND(VALUE(F503)&gt;=1,VALUE(F503)&lt;=20),IF(INDEX(設定!$P$8:$P$27,VALUE(F503))="","？",INDEX(設定!$P$8:$P$27,VALUE(F503))),"？")))</f>
        <v/>
      </c>
      <c r="K503" s="51">
        <f>IF(L503="","",IF(G503="","名簿にいない",IF(COUNTIF(L504:L$555,L503)&gt;0,"2回提出（下の行を使います）",IF(H503="転出","転出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OR(AND(H503&lt;&gt;"",H503=I503),AND(H503&lt;&gt;"",H503=J503),AND(I503&lt;&gt;"",I503=J503)),"同じクラブを重複して希望","OK")))))))</f>
        <v/>
      </c>
      <c r="L503" s="11">
        <f>IF(OR(A503="",D503=""),"",A503&amp;"-"&amp;B503&amp;"-"&amp;C503)</f>
        <v/>
      </c>
      <c r="M503" s="11">
        <f>IF(OR(L503="",G503=""),"",IF(COUNTIF(L504:L$555,L503)=0,L503,""))</f>
        <v/>
      </c>
    </row>
    <row r="504">
      <c r="A504" s="49" t="n"/>
      <c r="B504" s="49" t="n"/>
      <c r="C504" s="49" t="n"/>
      <c r="D504" s="49" t="n"/>
      <c r="E504" s="49" t="n"/>
      <c r="F504" s="49" t="n"/>
      <c r="G504" s="4">
        <f>IF(A504="","",IFERROR(INDEX(前年度名簿!$D$3:$D$452,MATCH(A504&amp;"-"&amp;B504&amp;"-"&amp;C504,前年度名簿!$F$3:$F$452,0)),""))</f>
        <v/>
      </c>
      <c r="H504" s="50">
        <f>IF(D504="","",IF(ISERROR(VALUE(D504)),D504&amp;"",IF(AND(VALUE(D504)&gt;=1,VALUE(D504)&lt;=20),IF(INDEX(設定!$P$8:$P$27,VALUE(D504))="","？",INDEX(設定!$P$8:$P$27,VALUE(D504))),"？")))</f>
        <v/>
      </c>
      <c r="I504" s="50">
        <f>IF(E504="","",IF(ISERROR(VALUE(E504)),E504&amp;"",IF(AND(VALUE(E504)&gt;=1,VALUE(E504)&lt;=20),IF(INDEX(設定!$P$8:$P$27,VALUE(E504))="","？",INDEX(設定!$P$8:$P$27,VALUE(E504))),"？")))</f>
        <v/>
      </c>
      <c r="J504" s="50">
        <f>IF(F504="","",IF(ISERROR(VALUE(F504)),F504&amp;"",IF(AND(VALUE(F504)&gt;=1,VALUE(F504)&lt;=20),IF(INDEX(設定!$P$8:$P$27,VALUE(F504))="","？",INDEX(設定!$P$8:$P$27,VALUE(F504))),"？")))</f>
        <v/>
      </c>
      <c r="K504" s="51">
        <f>IF(L504="","",IF(G504="","名簿にいない",IF(COUNTIF(L505:L$555,L504)&gt;0,"2回提出（下の行を使います）",IF(H504="転出","転出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OR(AND(H504&lt;&gt;"",H504=I504),AND(H504&lt;&gt;"",H504=J504),AND(I504&lt;&gt;"",I504=J504)),"同じクラブを重複して希望","OK")))))))</f>
        <v/>
      </c>
      <c r="L504" s="11">
        <f>IF(OR(A504="",D504=""),"",A504&amp;"-"&amp;B504&amp;"-"&amp;C504)</f>
        <v/>
      </c>
      <c r="M504" s="11">
        <f>IF(OR(L504="",G504=""),"",IF(COUNTIF(L505:L$555,L504)=0,L504,""))</f>
        <v/>
      </c>
    </row>
    <row r="505">
      <c r="A505" s="49" t="n"/>
      <c r="B505" s="49" t="n"/>
      <c r="C505" s="49" t="n"/>
      <c r="D505" s="49" t="n"/>
      <c r="E505" s="49" t="n"/>
      <c r="F505" s="49" t="n"/>
      <c r="G505" s="4">
        <f>IF(A505="","",IFERROR(INDEX(前年度名簿!$D$3:$D$452,MATCH(A505&amp;"-"&amp;B505&amp;"-"&amp;C505,前年度名簿!$F$3:$F$452,0)),""))</f>
        <v/>
      </c>
      <c r="H505" s="50">
        <f>IF(D505="","",IF(ISERROR(VALUE(D505)),D505&amp;"",IF(AND(VALUE(D505)&gt;=1,VALUE(D505)&lt;=20),IF(INDEX(設定!$P$8:$P$27,VALUE(D505))="","？",INDEX(設定!$P$8:$P$27,VALUE(D505))),"？")))</f>
        <v/>
      </c>
      <c r="I505" s="50">
        <f>IF(E505="","",IF(ISERROR(VALUE(E505)),E505&amp;"",IF(AND(VALUE(E505)&gt;=1,VALUE(E505)&lt;=20),IF(INDEX(設定!$P$8:$P$27,VALUE(E505))="","？",INDEX(設定!$P$8:$P$27,VALUE(E505))),"？")))</f>
        <v/>
      </c>
      <c r="J505" s="50">
        <f>IF(F505="","",IF(ISERROR(VALUE(F505)),F505&amp;"",IF(AND(VALUE(F505)&gt;=1,VALUE(F505)&lt;=20),IF(INDEX(設定!$P$8:$P$27,VALUE(F505))="","？",INDEX(設定!$P$8:$P$27,VALUE(F505))),"？")))</f>
        <v/>
      </c>
      <c r="K505" s="51">
        <f>IF(L505="","",IF(G505="","名簿にいない",IF(COUNTIF(L506:L$555,L505)&gt;0,"2回提出（下の行を使います）",IF(H505="転出","転出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OR(AND(H505&lt;&gt;"",H505=I505),AND(H505&lt;&gt;"",H505=J505),AND(I505&lt;&gt;"",I505=J505)),"同じクラブを重複して希望","OK")))))))</f>
        <v/>
      </c>
      <c r="L505" s="11">
        <f>IF(OR(A505="",D505=""),"",A505&amp;"-"&amp;B505&amp;"-"&amp;C505)</f>
        <v/>
      </c>
      <c r="M505" s="11">
        <f>IF(OR(L505="",G505=""),"",IF(COUNTIF(L506:L$555,L505)=0,L505,""))</f>
        <v/>
      </c>
    </row>
    <row r="506">
      <c r="A506" s="49" t="n"/>
      <c r="B506" s="49" t="n"/>
      <c r="C506" s="49" t="n"/>
      <c r="D506" s="49" t="n"/>
      <c r="E506" s="49" t="n"/>
      <c r="F506" s="49" t="n"/>
      <c r="G506" s="4">
        <f>IF(A506="","",IFERROR(INDEX(前年度名簿!$D$3:$D$452,MATCH(A506&amp;"-"&amp;B506&amp;"-"&amp;C506,前年度名簿!$F$3:$F$452,0)),""))</f>
        <v/>
      </c>
      <c r="H506" s="50">
        <f>IF(D506="","",IF(ISERROR(VALUE(D506)),D506&amp;"",IF(AND(VALUE(D506)&gt;=1,VALUE(D506)&lt;=20),IF(INDEX(設定!$P$8:$P$27,VALUE(D506))="","？",INDEX(設定!$P$8:$P$27,VALUE(D506))),"？")))</f>
        <v/>
      </c>
      <c r="I506" s="50">
        <f>IF(E506="","",IF(ISERROR(VALUE(E506)),E506&amp;"",IF(AND(VALUE(E506)&gt;=1,VALUE(E506)&lt;=20),IF(INDEX(設定!$P$8:$P$27,VALUE(E506))="","？",INDEX(設定!$P$8:$P$27,VALUE(E506))),"？")))</f>
        <v/>
      </c>
      <c r="J506" s="50">
        <f>IF(F506="","",IF(ISERROR(VALUE(F506)),F506&amp;"",IF(AND(VALUE(F506)&gt;=1,VALUE(F506)&lt;=20),IF(INDEX(設定!$P$8:$P$27,VALUE(F506))="","？",INDEX(設定!$P$8:$P$27,VALUE(F506))),"？")))</f>
        <v/>
      </c>
      <c r="K506" s="51">
        <f>IF(L506="","",IF(G506="","名簿にいない",IF(COUNTIF(L507:L$555,L506)&gt;0,"2回提出（下の行を使います）",IF(H506="転出","転出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OR(AND(H506&lt;&gt;"",H506=I506),AND(H506&lt;&gt;"",H506=J506),AND(I506&lt;&gt;"",I506=J506)),"同じクラブを重複して希望","OK")))))))</f>
        <v/>
      </c>
      <c r="L506" s="11">
        <f>IF(OR(A506="",D506=""),"",A506&amp;"-"&amp;B506&amp;"-"&amp;C506)</f>
        <v/>
      </c>
      <c r="M506" s="11">
        <f>IF(OR(L506="",G506=""),"",IF(COUNTIF(L507:L$555,L506)=0,L506,""))</f>
        <v/>
      </c>
    </row>
    <row r="507">
      <c r="A507" s="49" t="n"/>
      <c r="B507" s="49" t="n"/>
      <c r="C507" s="49" t="n"/>
      <c r="D507" s="49" t="n"/>
      <c r="E507" s="49" t="n"/>
      <c r="F507" s="49" t="n"/>
      <c r="G507" s="4">
        <f>IF(A507="","",IFERROR(INDEX(前年度名簿!$D$3:$D$452,MATCH(A507&amp;"-"&amp;B507&amp;"-"&amp;C507,前年度名簿!$F$3:$F$452,0)),""))</f>
        <v/>
      </c>
      <c r="H507" s="50">
        <f>IF(D507="","",IF(ISERROR(VALUE(D507)),D507&amp;"",IF(AND(VALUE(D507)&gt;=1,VALUE(D507)&lt;=20),IF(INDEX(設定!$P$8:$P$27,VALUE(D507))="","？",INDEX(設定!$P$8:$P$27,VALUE(D507))),"？")))</f>
        <v/>
      </c>
      <c r="I507" s="50">
        <f>IF(E507="","",IF(ISERROR(VALUE(E507)),E507&amp;"",IF(AND(VALUE(E507)&gt;=1,VALUE(E507)&lt;=20),IF(INDEX(設定!$P$8:$P$27,VALUE(E507))="","？",INDEX(設定!$P$8:$P$27,VALUE(E507))),"？")))</f>
        <v/>
      </c>
      <c r="J507" s="50">
        <f>IF(F507="","",IF(ISERROR(VALUE(F507)),F507&amp;"",IF(AND(VALUE(F507)&gt;=1,VALUE(F507)&lt;=20),IF(INDEX(設定!$P$8:$P$27,VALUE(F507))="","？",INDEX(設定!$P$8:$P$27,VALUE(F507))),"？")))</f>
        <v/>
      </c>
      <c r="K507" s="51">
        <f>IF(L507="","",IF(G507="","名簿にいない",IF(COUNTIF(L508:L$555,L507)&gt;0,"2回提出（下の行を使います）",IF(H507="転出","転出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OR(AND(H507&lt;&gt;"",H507=I507),AND(H507&lt;&gt;"",H507=J507),AND(I507&lt;&gt;"",I507=J507)),"同じクラブを重複して希望","OK")))))))</f>
        <v/>
      </c>
      <c r="L507" s="11">
        <f>IF(OR(A507="",D507=""),"",A507&amp;"-"&amp;B507&amp;"-"&amp;C507)</f>
        <v/>
      </c>
      <c r="M507" s="11">
        <f>IF(OR(L507="",G507=""),"",IF(COUNTIF(L508:L$555,L507)=0,L507,""))</f>
        <v/>
      </c>
    </row>
    <row r="508">
      <c r="A508" s="49" t="n"/>
      <c r="B508" s="49" t="n"/>
      <c r="C508" s="49" t="n"/>
      <c r="D508" s="49" t="n"/>
      <c r="E508" s="49" t="n"/>
      <c r="F508" s="49" t="n"/>
      <c r="G508" s="4">
        <f>IF(A508="","",IFERROR(INDEX(前年度名簿!$D$3:$D$452,MATCH(A508&amp;"-"&amp;B508&amp;"-"&amp;C508,前年度名簿!$F$3:$F$452,0)),""))</f>
        <v/>
      </c>
      <c r="H508" s="50">
        <f>IF(D508="","",IF(ISERROR(VALUE(D508)),D508&amp;"",IF(AND(VALUE(D508)&gt;=1,VALUE(D508)&lt;=20),IF(INDEX(設定!$P$8:$P$27,VALUE(D508))="","？",INDEX(設定!$P$8:$P$27,VALUE(D508))),"？")))</f>
        <v/>
      </c>
      <c r="I508" s="50">
        <f>IF(E508="","",IF(ISERROR(VALUE(E508)),E508&amp;"",IF(AND(VALUE(E508)&gt;=1,VALUE(E508)&lt;=20),IF(INDEX(設定!$P$8:$P$27,VALUE(E508))="","？",INDEX(設定!$P$8:$P$27,VALUE(E508))),"？")))</f>
        <v/>
      </c>
      <c r="J508" s="50">
        <f>IF(F508="","",IF(ISERROR(VALUE(F508)),F508&amp;"",IF(AND(VALUE(F508)&gt;=1,VALUE(F508)&lt;=20),IF(INDEX(設定!$P$8:$P$27,VALUE(F508))="","？",INDEX(設定!$P$8:$P$27,VALUE(F508))),"？")))</f>
        <v/>
      </c>
      <c r="K508" s="51">
        <f>IF(L508="","",IF(G508="","名簿にいない",IF(COUNTIF(L509:L$555,L508)&gt;0,"2回提出（下の行を使います）",IF(H508="転出","転出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OR(AND(H508&lt;&gt;"",H508=I508),AND(H508&lt;&gt;"",H508=J508),AND(I508&lt;&gt;"",I508=J508)),"同じクラブを重複して希望","OK")))))))</f>
        <v/>
      </c>
      <c r="L508" s="11">
        <f>IF(OR(A508="",D508=""),"",A508&amp;"-"&amp;B508&amp;"-"&amp;C508)</f>
        <v/>
      </c>
      <c r="M508" s="11">
        <f>IF(OR(L508="",G508=""),"",IF(COUNTIF(L509:L$555,L508)=0,L508,""))</f>
        <v/>
      </c>
    </row>
    <row r="509">
      <c r="A509" s="49" t="n"/>
      <c r="B509" s="49" t="n"/>
      <c r="C509" s="49" t="n"/>
      <c r="D509" s="49" t="n"/>
      <c r="E509" s="49" t="n"/>
      <c r="F509" s="49" t="n"/>
      <c r="G509" s="4">
        <f>IF(A509="","",IFERROR(INDEX(前年度名簿!$D$3:$D$452,MATCH(A509&amp;"-"&amp;B509&amp;"-"&amp;C509,前年度名簿!$F$3:$F$452,0)),""))</f>
        <v/>
      </c>
      <c r="H509" s="50">
        <f>IF(D509="","",IF(ISERROR(VALUE(D509)),D509&amp;"",IF(AND(VALUE(D509)&gt;=1,VALUE(D509)&lt;=20),IF(INDEX(設定!$P$8:$P$27,VALUE(D509))="","？",INDEX(設定!$P$8:$P$27,VALUE(D509))),"？")))</f>
        <v/>
      </c>
      <c r="I509" s="50">
        <f>IF(E509="","",IF(ISERROR(VALUE(E509)),E509&amp;"",IF(AND(VALUE(E509)&gt;=1,VALUE(E509)&lt;=20),IF(INDEX(設定!$P$8:$P$27,VALUE(E509))="","？",INDEX(設定!$P$8:$P$27,VALUE(E509))),"？")))</f>
        <v/>
      </c>
      <c r="J509" s="50">
        <f>IF(F509="","",IF(ISERROR(VALUE(F509)),F509&amp;"",IF(AND(VALUE(F509)&gt;=1,VALUE(F509)&lt;=20),IF(INDEX(設定!$P$8:$P$27,VALUE(F509))="","？",INDEX(設定!$P$8:$P$27,VALUE(F509))),"？")))</f>
        <v/>
      </c>
      <c r="K509" s="51">
        <f>IF(L509="","",IF(G509="","名簿にいない",IF(COUNTIF(L510:L$555,L509)&gt;0,"2回提出（下の行を使います）",IF(H509="転出","転出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OR(AND(H509&lt;&gt;"",H509=I509),AND(H509&lt;&gt;"",H509=J509),AND(I509&lt;&gt;"",I509=J509)),"同じクラブを重複して希望","OK")))))))</f>
        <v/>
      </c>
      <c r="L509" s="11">
        <f>IF(OR(A509="",D509=""),"",A509&amp;"-"&amp;B509&amp;"-"&amp;C509)</f>
        <v/>
      </c>
      <c r="M509" s="11">
        <f>IF(OR(L509="",G509=""),"",IF(COUNTIF(L510:L$555,L509)=0,L509,""))</f>
        <v/>
      </c>
    </row>
    <row r="510">
      <c r="A510" s="49" t="n"/>
      <c r="B510" s="49" t="n"/>
      <c r="C510" s="49" t="n"/>
      <c r="D510" s="49" t="n"/>
      <c r="E510" s="49" t="n"/>
      <c r="F510" s="49" t="n"/>
      <c r="G510" s="4">
        <f>IF(A510="","",IFERROR(INDEX(前年度名簿!$D$3:$D$452,MATCH(A510&amp;"-"&amp;B510&amp;"-"&amp;C510,前年度名簿!$F$3:$F$452,0)),""))</f>
        <v/>
      </c>
      <c r="H510" s="50">
        <f>IF(D510="","",IF(ISERROR(VALUE(D510)),D510&amp;"",IF(AND(VALUE(D510)&gt;=1,VALUE(D510)&lt;=20),IF(INDEX(設定!$P$8:$P$27,VALUE(D510))="","？",INDEX(設定!$P$8:$P$27,VALUE(D510))),"？")))</f>
        <v/>
      </c>
      <c r="I510" s="50">
        <f>IF(E510="","",IF(ISERROR(VALUE(E510)),E510&amp;"",IF(AND(VALUE(E510)&gt;=1,VALUE(E510)&lt;=20),IF(INDEX(設定!$P$8:$P$27,VALUE(E510))="","？",INDEX(設定!$P$8:$P$27,VALUE(E510))),"？")))</f>
        <v/>
      </c>
      <c r="J510" s="50">
        <f>IF(F510="","",IF(ISERROR(VALUE(F510)),F510&amp;"",IF(AND(VALUE(F510)&gt;=1,VALUE(F510)&lt;=20),IF(INDEX(設定!$P$8:$P$27,VALUE(F510))="","？",INDEX(設定!$P$8:$P$27,VALUE(F510))),"？")))</f>
        <v/>
      </c>
      <c r="K510" s="51">
        <f>IF(L510="","",IF(G510="","名簿にいない",IF(COUNTIF(L511:L$555,L510)&gt;0,"2回提出（下の行を使います）",IF(H510="転出","転出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OR(AND(H510&lt;&gt;"",H510=I510),AND(H510&lt;&gt;"",H510=J510),AND(I510&lt;&gt;"",I510=J510)),"同じクラブを重複して希望","OK")))))))</f>
        <v/>
      </c>
      <c r="L510" s="11">
        <f>IF(OR(A510="",D510=""),"",A510&amp;"-"&amp;B510&amp;"-"&amp;C510)</f>
        <v/>
      </c>
      <c r="M510" s="11">
        <f>IF(OR(L510="",G510=""),"",IF(COUNTIF(L511:L$555,L510)=0,L510,""))</f>
        <v/>
      </c>
    </row>
    <row r="511">
      <c r="A511" s="49" t="n"/>
      <c r="B511" s="49" t="n"/>
      <c r="C511" s="49" t="n"/>
      <c r="D511" s="49" t="n"/>
      <c r="E511" s="49" t="n"/>
      <c r="F511" s="49" t="n"/>
      <c r="G511" s="4">
        <f>IF(A511="","",IFERROR(INDEX(前年度名簿!$D$3:$D$452,MATCH(A511&amp;"-"&amp;B511&amp;"-"&amp;C511,前年度名簿!$F$3:$F$452,0)),""))</f>
        <v/>
      </c>
      <c r="H511" s="50">
        <f>IF(D511="","",IF(ISERROR(VALUE(D511)),D511&amp;"",IF(AND(VALUE(D511)&gt;=1,VALUE(D511)&lt;=20),IF(INDEX(設定!$P$8:$P$27,VALUE(D511))="","？",INDEX(設定!$P$8:$P$27,VALUE(D511))),"？")))</f>
        <v/>
      </c>
      <c r="I511" s="50">
        <f>IF(E511="","",IF(ISERROR(VALUE(E511)),E511&amp;"",IF(AND(VALUE(E511)&gt;=1,VALUE(E511)&lt;=20),IF(INDEX(設定!$P$8:$P$27,VALUE(E511))="","？",INDEX(設定!$P$8:$P$27,VALUE(E511))),"？")))</f>
        <v/>
      </c>
      <c r="J511" s="50">
        <f>IF(F511="","",IF(ISERROR(VALUE(F511)),F511&amp;"",IF(AND(VALUE(F511)&gt;=1,VALUE(F511)&lt;=20),IF(INDEX(設定!$P$8:$P$27,VALUE(F511))="","？",INDEX(設定!$P$8:$P$27,VALUE(F511))),"？")))</f>
        <v/>
      </c>
      <c r="K511" s="51">
        <f>IF(L511="","",IF(G511="","名簿にいない",IF(COUNTIF(L512:L$555,L511)&gt;0,"2回提出（下の行を使います）",IF(H511="転出","転出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OR(AND(H511&lt;&gt;"",H511=I511),AND(H511&lt;&gt;"",H511=J511),AND(I511&lt;&gt;"",I511=J511)),"同じクラブを重複して希望","OK")))))))</f>
        <v/>
      </c>
      <c r="L511" s="11">
        <f>IF(OR(A511="",D511=""),"",A511&amp;"-"&amp;B511&amp;"-"&amp;C511)</f>
        <v/>
      </c>
      <c r="M511" s="11">
        <f>IF(OR(L511="",G511=""),"",IF(COUNTIF(L512:L$555,L511)=0,L511,""))</f>
        <v/>
      </c>
    </row>
    <row r="512">
      <c r="A512" s="49" t="n"/>
      <c r="B512" s="49" t="n"/>
      <c r="C512" s="49" t="n"/>
      <c r="D512" s="49" t="n"/>
      <c r="E512" s="49" t="n"/>
      <c r="F512" s="49" t="n"/>
      <c r="G512" s="4">
        <f>IF(A512="","",IFERROR(INDEX(前年度名簿!$D$3:$D$452,MATCH(A512&amp;"-"&amp;B512&amp;"-"&amp;C512,前年度名簿!$F$3:$F$452,0)),""))</f>
        <v/>
      </c>
      <c r="H512" s="50">
        <f>IF(D512="","",IF(ISERROR(VALUE(D512)),D512&amp;"",IF(AND(VALUE(D512)&gt;=1,VALUE(D512)&lt;=20),IF(INDEX(設定!$P$8:$P$27,VALUE(D512))="","？",INDEX(設定!$P$8:$P$27,VALUE(D512))),"？")))</f>
        <v/>
      </c>
      <c r="I512" s="50">
        <f>IF(E512="","",IF(ISERROR(VALUE(E512)),E512&amp;"",IF(AND(VALUE(E512)&gt;=1,VALUE(E512)&lt;=20),IF(INDEX(設定!$P$8:$P$27,VALUE(E512))="","？",INDEX(設定!$P$8:$P$27,VALUE(E512))),"？")))</f>
        <v/>
      </c>
      <c r="J512" s="50">
        <f>IF(F512="","",IF(ISERROR(VALUE(F512)),F512&amp;"",IF(AND(VALUE(F512)&gt;=1,VALUE(F512)&lt;=20),IF(INDEX(設定!$P$8:$P$27,VALUE(F512))="","？",INDEX(設定!$P$8:$P$27,VALUE(F512))),"？")))</f>
        <v/>
      </c>
      <c r="K512" s="51">
        <f>IF(L512="","",IF(G512="","名簿にいない",IF(COUNTIF(L513:L$555,L512)&gt;0,"2回提出（下の行を使います）",IF(H512="転出","転出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OR(AND(H512&lt;&gt;"",H512=I512),AND(H512&lt;&gt;"",H512=J512),AND(I512&lt;&gt;"",I512=J512)),"同じクラブを重複して希望","OK")))))))</f>
        <v/>
      </c>
      <c r="L512" s="11">
        <f>IF(OR(A512="",D512=""),"",A512&amp;"-"&amp;B512&amp;"-"&amp;C512)</f>
        <v/>
      </c>
      <c r="M512" s="11">
        <f>IF(OR(L512="",G512=""),"",IF(COUNTIF(L513:L$555,L512)=0,L512,""))</f>
        <v/>
      </c>
    </row>
    <row r="513">
      <c r="A513" s="49" t="n"/>
      <c r="B513" s="49" t="n"/>
      <c r="C513" s="49" t="n"/>
      <c r="D513" s="49" t="n"/>
      <c r="E513" s="49" t="n"/>
      <c r="F513" s="49" t="n"/>
      <c r="G513" s="4">
        <f>IF(A513="","",IFERROR(INDEX(前年度名簿!$D$3:$D$452,MATCH(A513&amp;"-"&amp;B513&amp;"-"&amp;C513,前年度名簿!$F$3:$F$452,0)),""))</f>
        <v/>
      </c>
      <c r="H513" s="50">
        <f>IF(D513="","",IF(ISERROR(VALUE(D513)),D513&amp;"",IF(AND(VALUE(D513)&gt;=1,VALUE(D513)&lt;=20),IF(INDEX(設定!$P$8:$P$27,VALUE(D513))="","？",INDEX(設定!$P$8:$P$27,VALUE(D513))),"？")))</f>
        <v/>
      </c>
      <c r="I513" s="50">
        <f>IF(E513="","",IF(ISERROR(VALUE(E513)),E513&amp;"",IF(AND(VALUE(E513)&gt;=1,VALUE(E513)&lt;=20),IF(INDEX(設定!$P$8:$P$27,VALUE(E513))="","？",INDEX(設定!$P$8:$P$27,VALUE(E513))),"？")))</f>
        <v/>
      </c>
      <c r="J513" s="50">
        <f>IF(F513="","",IF(ISERROR(VALUE(F513)),F513&amp;"",IF(AND(VALUE(F513)&gt;=1,VALUE(F513)&lt;=20),IF(INDEX(設定!$P$8:$P$27,VALUE(F513))="","？",INDEX(設定!$P$8:$P$27,VALUE(F513))),"？")))</f>
        <v/>
      </c>
      <c r="K513" s="51">
        <f>IF(L513="","",IF(G513="","名簿にいない",IF(COUNTIF(L514:L$555,L513)&gt;0,"2回提出（下の行を使います）",IF(H513="転出","転出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OR(AND(H513&lt;&gt;"",H513=I513),AND(H513&lt;&gt;"",H513=J513),AND(I513&lt;&gt;"",I513=J513)),"同じクラブを重複して希望","OK")))))))</f>
        <v/>
      </c>
      <c r="L513" s="11">
        <f>IF(OR(A513="",D513=""),"",A513&amp;"-"&amp;B513&amp;"-"&amp;C513)</f>
        <v/>
      </c>
      <c r="M513" s="11">
        <f>IF(OR(L513="",G513=""),"",IF(COUNTIF(L514:L$555,L513)=0,L513,""))</f>
        <v/>
      </c>
    </row>
    <row r="514">
      <c r="A514" s="49" t="n"/>
      <c r="B514" s="49" t="n"/>
      <c r="C514" s="49" t="n"/>
      <c r="D514" s="49" t="n"/>
      <c r="E514" s="49" t="n"/>
      <c r="F514" s="49" t="n"/>
      <c r="G514" s="4">
        <f>IF(A514="","",IFERROR(INDEX(前年度名簿!$D$3:$D$452,MATCH(A514&amp;"-"&amp;B514&amp;"-"&amp;C514,前年度名簿!$F$3:$F$452,0)),""))</f>
        <v/>
      </c>
      <c r="H514" s="50">
        <f>IF(D514="","",IF(ISERROR(VALUE(D514)),D514&amp;"",IF(AND(VALUE(D514)&gt;=1,VALUE(D514)&lt;=20),IF(INDEX(設定!$P$8:$P$27,VALUE(D514))="","？",INDEX(設定!$P$8:$P$27,VALUE(D514))),"？")))</f>
        <v/>
      </c>
      <c r="I514" s="50">
        <f>IF(E514="","",IF(ISERROR(VALUE(E514)),E514&amp;"",IF(AND(VALUE(E514)&gt;=1,VALUE(E514)&lt;=20),IF(INDEX(設定!$P$8:$P$27,VALUE(E514))="","？",INDEX(設定!$P$8:$P$27,VALUE(E514))),"？")))</f>
        <v/>
      </c>
      <c r="J514" s="50">
        <f>IF(F514="","",IF(ISERROR(VALUE(F514)),F514&amp;"",IF(AND(VALUE(F514)&gt;=1,VALUE(F514)&lt;=20),IF(INDEX(設定!$P$8:$P$27,VALUE(F514))="","？",INDEX(設定!$P$8:$P$27,VALUE(F514))),"？")))</f>
        <v/>
      </c>
      <c r="K514" s="51">
        <f>IF(L514="","",IF(G514="","名簿にいない",IF(COUNTIF(L515:L$555,L514)&gt;0,"2回提出（下の行を使います）",IF(H514="転出","転出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OR(AND(H514&lt;&gt;"",H514=I514),AND(H514&lt;&gt;"",H514=J514),AND(I514&lt;&gt;"",I514=J514)),"同じクラブを重複して希望","OK")))))))</f>
        <v/>
      </c>
      <c r="L514" s="11">
        <f>IF(OR(A514="",D514=""),"",A514&amp;"-"&amp;B514&amp;"-"&amp;C514)</f>
        <v/>
      </c>
      <c r="M514" s="11">
        <f>IF(OR(L514="",G514=""),"",IF(COUNTIF(L515:L$555,L514)=0,L514,""))</f>
        <v/>
      </c>
    </row>
    <row r="515">
      <c r="A515" s="49" t="n"/>
      <c r="B515" s="49" t="n"/>
      <c r="C515" s="49" t="n"/>
      <c r="D515" s="49" t="n"/>
      <c r="E515" s="49" t="n"/>
      <c r="F515" s="49" t="n"/>
      <c r="G515" s="4">
        <f>IF(A515="","",IFERROR(INDEX(前年度名簿!$D$3:$D$452,MATCH(A515&amp;"-"&amp;B515&amp;"-"&amp;C515,前年度名簿!$F$3:$F$452,0)),""))</f>
        <v/>
      </c>
      <c r="H515" s="50">
        <f>IF(D515="","",IF(ISERROR(VALUE(D515)),D515&amp;"",IF(AND(VALUE(D515)&gt;=1,VALUE(D515)&lt;=20),IF(INDEX(設定!$P$8:$P$27,VALUE(D515))="","？",INDEX(設定!$P$8:$P$27,VALUE(D515))),"？")))</f>
        <v/>
      </c>
      <c r="I515" s="50">
        <f>IF(E515="","",IF(ISERROR(VALUE(E515)),E515&amp;"",IF(AND(VALUE(E515)&gt;=1,VALUE(E515)&lt;=20),IF(INDEX(設定!$P$8:$P$27,VALUE(E515))="","？",INDEX(設定!$P$8:$P$27,VALUE(E515))),"？")))</f>
        <v/>
      </c>
      <c r="J515" s="50">
        <f>IF(F515="","",IF(ISERROR(VALUE(F515)),F515&amp;"",IF(AND(VALUE(F515)&gt;=1,VALUE(F515)&lt;=20),IF(INDEX(設定!$P$8:$P$27,VALUE(F515))="","？",INDEX(設定!$P$8:$P$27,VALUE(F515))),"？")))</f>
        <v/>
      </c>
      <c r="K515" s="51">
        <f>IF(L515="","",IF(G515="","名簿にいない",IF(COUNTIF(L516:L$555,L515)&gt;0,"2回提出（下の行を使います）",IF(H515="転出","転出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OR(AND(H515&lt;&gt;"",H515=I515),AND(H515&lt;&gt;"",H515=J515),AND(I515&lt;&gt;"",I515=J515)),"同じクラブを重複して希望","OK")))))))</f>
        <v/>
      </c>
      <c r="L515" s="11">
        <f>IF(OR(A515="",D515=""),"",A515&amp;"-"&amp;B515&amp;"-"&amp;C515)</f>
        <v/>
      </c>
      <c r="M515" s="11">
        <f>IF(OR(L515="",G515=""),"",IF(COUNTIF(L516:L$555,L515)=0,L515,""))</f>
        <v/>
      </c>
    </row>
    <row r="516">
      <c r="A516" s="49" t="n"/>
      <c r="B516" s="49" t="n"/>
      <c r="C516" s="49" t="n"/>
      <c r="D516" s="49" t="n"/>
      <c r="E516" s="49" t="n"/>
      <c r="F516" s="49" t="n"/>
      <c r="G516" s="4">
        <f>IF(A516="","",IFERROR(INDEX(前年度名簿!$D$3:$D$452,MATCH(A516&amp;"-"&amp;B516&amp;"-"&amp;C516,前年度名簿!$F$3:$F$452,0)),""))</f>
        <v/>
      </c>
      <c r="H516" s="50">
        <f>IF(D516="","",IF(ISERROR(VALUE(D516)),D516&amp;"",IF(AND(VALUE(D516)&gt;=1,VALUE(D516)&lt;=20),IF(INDEX(設定!$P$8:$P$27,VALUE(D516))="","？",INDEX(設定!$P$8:$P$27,VALUE(D516))),"？")))</f>
        <v/>
      </c>
      <c r="I516" s="50">
        <f>IF(E516="","",IF(ISERROR(VALUE(E516)),E516&amp;"",IF(AND(VALUE(E516)&gt;=1,VALUE(E516)&lt;=20),IF(INDEX(設定!$P$8:$P$27,VALUE(E516))="","？",INDEX(設定!$P$8:$P$27,VALUE(E516))),"？")))</f>
        <v/>
      </c>
      <c r="J516" s="50">
        <f>IF(F516="","",IF(ISERROR(VALUE(F516)),F516&amp;"",IF(AND(VALUE(F516)&gt;=1,VALUE(F516)&lt;=20),IF(INDEX(設定!$P$8:$P$27,VALUE(F516))="","？",INDEX(設定!$P$8:$P$27,VALUE(F516))),"？")))</f>
        <v/>
      </c>
      <c r="K516" s="51">
        <f>IF(L516="","",IF(G516="","名簿にいない",IF(COUNTIF(L517:L$555,L516)&gt;0,"2回提出（下の行を使います）",IF(H516="転出","転出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OR(AND(H516&lt;&gt;"",H516=I516),AND(H516&lt;&gt;"",H516=J516),AND(I516&lt;&gt;"",I516=J516)),"同じクラブを重複して希望","OK")))))))</f>
        <v/>
      </c>
      <c r="L516" s="11">
        <f>IF(OR(A516="",D516=""),"",A516&amp;"-"&amp;B516&amp;"-"&amp;C516)</f>
        <v/>
      </c>
      <c r="M516" s="11">
        <f>IF(OR(L516="",G516=""),"",IF(COUNTIF(L517:L$555,L516)=0,L516,""))</f>
        <v/>
      </c>
    </row>
    <row r="517">
      <c r="A517" s="49" t="n"/>
      <c r="B517" s="49" t="n"/>
      <c r="C517" s="49" t="n"/>
      <c r="D517" s="49" t="n"/>
      <c r="E517" s="49" t="n"/>
      <c r="F517" s="49" t="n"/>
      <c r="G517" s="4">
        <f>IF(A517="","",IFERROR(INDEX(前年度名簿!$D$3:$D$452,MATCH(A517&amp;"-"&amp;B517&amp;"-"&amp;C517,前年度名簿!$F$3:$F$452,0)),""))</f>
        <v/>
      </c>
      <c r="H517" s="50">
        <f>IF(D517="","",IF(ISERROR(VALUE(D517)),D517&amp;"",IF(AND(VALUE(D517)&gt;=1,VALUE(D517)&lt;=20),IF(INDEX(設定!$P$8:$P$27,VALUE(D517))="","？",INDEX(設定!$P$8:$P$27,VALUE(D517))),"？")))</f>
        <v/>
      </c>
      <c r="I517" s="50">
        <f>IF(E517="","",IF(ISERROR(VALUE(E517)),E517&amp;"",IF(AND(VALUE(E517)&gt;=1,VALUE(E517)&lt;=20),IF(INDEX(設定!$P$8:$P$27,VALUE(E517))="","？",INDEX(設定!$P$8:$P$27,VALUE(E517))),"？")))</f>
        <v/>
      </c>
      <c r="J517" s="50">
        <f>IF(F517="","",IF(ISERROR(VALUE(F517)),F517&amp;"",IF(AND(VALUE(F517)&gt;=1,VALUE(F517)&lt;=20),IF(INDEX(設定!$P$8:$P$27,VALUE(F517))="","？",INDEX(設定!$P$8:$P$27,VALUE(F517))),"？")))</f>
        <v/>
      </c>
      <c r="K517" s="51">
        <f>IF(L517="","",IF(G517="","名簿にいない",IF(COUNTIF(L518:L$555,L517)&gt;0,"2回提出（下の行を使います）",IF(H517="転出","転出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OR(AND(H517&lt;&gt;"",H517=I517),AND(H517&lt;&gt;"",H517=J517),AND(I517&lt;&gt;"",I517=J517)),"同じクラブを重複して希望","OK")))))))</f>
        <v/>
      </c>
      <c r="L517" s="11">
        <f>IF(OR(A517="",D517=""),"",A517&amp;"-"&amp;B517&amp;"-"&amp;C517)</f>
        <v/>
      </c>
      <c r="M517" s="11">
        <f>IF(OR(L517="",G517=""),"",IF(COUNTIF(L518:L$555,L517)=0,L517,""))</f>
        <v/>
      </c>
    </row>
    <row r="518">
      <c r="A518" s="49" t="n"/>
      <c r="B518" s="49" t="n"/>
      <c r="C518" s="49" t="n"/>
      <c r="D518" s="49" t="n"/>
      <c r="E518" s="49" t="n"/>
      <c r="F518" s="49" t="n"/>
      <c r="G518" s="4">
        <f>IF(A518="","",IFERROR(INDEX(前年度名簿!$D$3:$D$452,MATCH(A518&amp;"-"&amp;B518&amp;"-"&amp;C518,前年度名簿!$F$3:$F$452,0)),""))</f>
        <v/>
      </c>
      <c r="H518" s="50">
        <f>IF(D518="","",IF(ISERROR(VALUE(D518)),D518&amp;"",IF(AND(VALUE(D518)&gt;=1,VALUE(D518)&lt;=20),IF(INDEX(設定!$P$8:$P$27,VALUE(D518))="","？",INDEX(設定!$P$8:$P$27,VALUE(D518))),"？")))</f>
        <v/>
      </c>
      <c r="I518" s="50">
        <f>IF(E518="","",IF(ISERROR(VALUE(E518)),E518&amp;"",IF(AND(VALUE(E518)&gt;=1,VALUE(E518)&lt;=20),IF(INDEX(設定!$P$8:$P$27,VALUE(E518))="","？",INDEX(設定!$P$8:$P$27,VALUE(E518))),"？")))</f>
        <v/>
      </c>
      <c r="J518" s="50">
        <f>IF(F518="","",IF(ISERROR(VALUE(F518)),F518&amp;"",IF(AND(VALUE(F518)&gt;=1,VALUE(F518)&lt;=20),IF(INDEX(設定!$P$8:$P$27,VALUE(F518))="","？",INDEX(設定!$P$8:$P$27,VALUE(F518))),"？")))</f>
        <v/>
      </c>
      <c r="K518" s="51">
        <f>IF(L518="","",IF(G518="","名簿にいない",IF(COUNTIF(L519:L$555,L518)&gt;0,"2回提出（下の行を使います）",IF(H518="転出","転出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OR(AND(H518&lt;&gt;"",H518=I518),AND(H518&lt;&gt;"",H518=J518),AND(I518&lt;&gt;"",I518=J518)),"同じクラブを重複して希望","OK")))))))</f>
        <v/>
      </c>
      <c r="L518" s="11">
        <f>IF(OR(A518="",D518=""),"",A518&amp;"-"&amp;B518&amp;"-"&amp;C518)</f>
        <v/>
      </c>
      <c r="M518" s="11">
        <f>IF(OR(L518="",G518=""),"",IF(COUNTIF(L519:L$555,L518)=0,L518,""))</f>
        <v/>
      </c>
    </row>
    <row r="519">
      <c r="A519" s="49" t="n"/>
      <c r="B519" s="49" t="n"/>
      <c r="C519" s="49" t="n"/>
      <c r="D519" s="49" t="n"/>
      <c r="E519" s="49" t="n"/>
      <c r="F519" s="49" t="n"/>
      <c r="G519" s="4">
        <f>IF(A519="","",IFERROR(INDEX(前年度名簿!$D$3:$D$452,MATCH(A519&amp;"-"&amp;B519&amp;"-"&amp;C519,前年度名簿!$F$3:$F$452,0)),""))</f>
        <v/>
      </c>
      <c r="H519" s="50">
        <f>IF(D519="","",IF(ISERROR(VALUE(D519)),D519&amp;"",IF(AND(VALUE(D519)&gt;=1,VALUE(D519)&lt;=20),IF(INDEX(設定!$P$8:$P$27,VALUE(D519))="","？",INDEX(設定!$P$8:$P$27,VALUE(D519))),"？")))</f>
        <v/>
      </c>
      <c r="I519" s="50">
        <f>IF(E519="","",IF(ISERROR(VALUE(E519)),E519&amp;"",IF(AND(VALUE(E519)&gt;=1,VALUE(E519)&lt;=20),IF(INDEX(設定!$P$8:$P$27,VALUE(E519))="","？",INDEX(設定!$P$8:$P$27,VALUE(E519))),"？")))</f>
        <v/>
      </c>
      <c r="J519" s="50">
        <f>IF(F519="","",IF(ISERROR(VALUE(F519)),F519&amp;"",IF(AND(VALUE(F519)&gt;=1,VALUE(F519)&lt;=20),IF(INDEX(設定!$P$8:$P$27,VALUE(F519))="","？",INDEX(設定!$P$8:$P$27,VALUE(F519))),"？")))</f>
        <v/>
      </c>
      <c r="K519" s="51">
        <f>IF(L519="","",IF(G519="","名簿にいない",IF(COUNTIF(L520:L$555,L519)&gt;0,"2回提出（下の行を使います）",IF(H519="転出","転出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OR(AND(H519&lt;&gt;"",H519=I519),AND(H519&lt;&gt;"",H519=J519),AND(I519&lt;&gt;"",I519=J519)),"同じクラブを重複して希望","OK")))))))</f>
        <v/>
      </c>
      <c r="L519" s="11">
        <f>IF(OR(A519="",D519=""),"",A519&amp;"-"&amp;B519&amp;"-"&amp;C519)</f>
        <v/>
      </c>
      <c r="M519" s="11">
        <f>IF(OR(L519="",G519=""),"",IF(COUNTIF(L520:L$555,L519)=0,L519,""))</f>
        <v/>
      </c>
    </row>
    <row r="520">
      <c r="A520" s="49" t="n"/>
      <c r="B520" s="49" t="n"/>
      <c r="C520" s="49" t="n"/>
      <c r="D520" s="49" t="n"/>
      <c r="E520" s="49" t="n"/>
      <c r="F520" s="49" t="n"/>
      <c r="G520" s="4">
        <f>IF(A520="","",IFERROR(INDEX(前年度名簿!$D$3:$D$452,MATCH(A520&amp;"-"&amp;B520&amp;"-"&amp;C520,前年度名簿!$F$3:$F$452,0)),""))</f>
        <v/>
      </c>
      <c r="H520" s="50">
        <f>IF(D520="","",IF(ISERROR(VALUE(D520)),D520&amp;"",IF(AND(VALUE(D520)&gt;=1,VALUE(D520)&lt;=20),IF(INDEX(設定!$P$8:$P$27,VALUE(D520))="","？",INDEX(設定!$P$8:$P$27,VALUE(D520))),"？")))</f>
        <v/>
      </c>
      <c r="I520" s="50">
        <f>IF(E520="","",IF(ISERROR(VALUE(E520)),E520&amp;"",IF(AND(VALUE(E520)&gt;=1,VALUE(E520)&lt;=20),IF(INDEX(設定!$P$8:$P$27,VALUE(E520))="","？",INDEX(設定!$P$8:$P$27,VALUE(E520))),"？")))</f>
        <v/>
      </c>
      <c r="J520" s="50">
        <f>IF(F520="","",IF(ISERROR(VALUE(F520)),F520&amp;"",IF(AND(VALUE(F520)&gt;=1,VALUE(F520)&lt;=20),IF(INDEX(設定!$P$8:$P$27,VALUE(F520))="","？",INDEX(設定!$P$8:$P$27,VALUE(F520))),"？")))</f>
        <v/>
      </c>
      <c r="K520" s="51">
        <f>IF(L520="","",IF(G520="","名簿にいない",IF(COUNTIF(L521:L$555,L520)&gt;0,"2回提出（下の行を使います）",IF(H520="転出","転出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OR(AND(H520&lt;&gt;"",H520=I520),AND(H520&lt;&gt;"",H520=J520),AND(I520&lt;&gt;"",I520=J520)),"同じクラブを重複して希望","OK")))))))</f>
        <v/>
      </c>
      <c r="L520" s="11">
        <f>IF(OR(A520="",D520=""),"",A520&amp;"-"&amp;B520&amp;"-"&amp;C520)</f>
        <v/>
      </c>
      <c r="M520" s="11">
        <f>IF(OR(L520="",G520=""),"",IF(COUNTIF(L521:L$555,L520)=0,L520,""))</f>
        <v/>
      </c>
    </row>
    <row r="521">
      <c r="A521" s="49" t="n"/>
      <c r="B521" s="49" t="n"/>
      <c r="C521" s="49" t="n"/>
      <c r="D521" s="49" t="n"/>
      <c r="E521" s="49" t="n"/>
      <c r="F521" s="49" t="n"/>
      <c r="G521" s="4">
        <f>IF(A521="","",IFERROR(INDEX(前年度名簿!$D$3:$D$452,MATCH(A521&amp;"-"&amp;B521&amp;"-"&amp;C521,前年度名簿!$F$3:$F$452,0)),""))</f>
        <v/>
      </c>
      <c r="H521" s="50">
        <f>IF(D521="","",IF(ISERROR(VALUE(D521)),D521&amp;"",IF(AND(VALUE(D521)&gt;=1,VALUE(D521)&lt;=20),IF(INDEX(設定!$P$8:$P$27,VALUE(D521))="","？",INDEX(設定!$P$8:$P$27,VALUE(D521))),"？")))</f>
        <v/>
      </c>
      <c r="I521" s="50">
        <f>IF(E521="","",IF(ISERROR(VALUE(E521)),E521&amp;"",IF(AND(VALUE(E521)&gt;=1,VALUE(E521)&lt;=20),IF(INDEX(設定!$P$8:$P$27,VALUE(E521))="","？",INDEX(設定!$P$8:$P$27,VALUE(E521))),"？")))</f>
        <v/>
      </c>
      <c r="J521" s="50">
        <f>IF(F521="","",IF(ISERROR(VALUE(F521)),F521&amp;"",IF(AND(VALUE(F521)&gt;=1,VALUE(F521)&lt;=20),IF(INDEX(設定!$P$8:$P$27,VALUE(F521))="","？",INDEX(設定!$P$8:$P$27,VALUE(F521))),"？")))</f>
        <v/>
      </c>
      <c r="K521" s="51">
        <f>IF(L521="","",IF(G521="","名簿にいない",IF(COUNTIF(L522:L$555,L521)&gt;0,"2回提出（下の行を使います）",IF(H521="転出","転出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OR(AND(H521&lt;&gt;"",H521=I521),AND(H521&lt;&gt;"",H521=J521),AND(I521&lt;&gt;"",I521=J521)),"同じクラブを重複して希望","OK")))))))</f>
        <v/>
      </c>
      <c r="L521" s="11">
        <f>IF(OR(A521="",D521=""),"",A521&amp;"-"&amp;B521&amp;"-"&amp;C521)</f>
        <v/>
      </c>
      <c r="M521" s="11">
        <f>IF(OR(L521="",G521=""),"",IF(COUNTIF(L522:L$555,L521)=0,L521,""))</f>
        <v/>
      </c>
    </row>
    <row r="522">
      <c r="A522" s="49" t="n"/>
      <c r="B522" s="49" t="n"/>
      <c r="C522" s="49" t="n"/>
      <c r="D522" s="49" t="n"/>
      <c r="E522" s="49" t="n"/>
      <c r="F522" s="49" t="n"/>
      <c r="G522" s="4">
        <f>IF(A522="","",IFERROR(INDEX(前年度名簿!$D$3:$D$452,MATCH(A522&amp;"-"&amp;B522&amp;"-"&amp;C522,前年度名簿!$F$3:$F$452,0)),""))</f>
        <v/>
      </c>
      <c r="H522" s="50">
        <f>IF(D522="","",IF(ISERROR(VALUE(D522)),D522&amp;"",IF(AND(VALUE(D522)&gt;=1,VALUE(D522)&lt;=20),IF(INDEX(設定!$P$8:$P$27,VALUE(D522))="","？",INDEX(設定!$P$8:$P$27,VALUE(D522))),"？")))</f>
        <v/>
      </c>
      <c r="I522" s="50">
        <f>IF(E522="","",IF(ISERROR(VALUE(E522)),E522&amp;"",IF(AND(VALUE(E522)&gt;=1,VALUE(E522)&lt;=20),IF(INDEX(設定!$P$8:$P$27,VALUE(E522))="","？",INDEX(設定!$P$8:$P$27,VALUE(E522))),"？")))</f>
        <v/>
      </c>
      <c r="J522" s="50">
        <f>IF(F522="","",IF(ISERROR(VALUE(F522)),F522&amp;"",IF(AND(VALUE(F522)&gt;=1,VALUE(F522)&lt;=20),IF(INDEX(設定!$P$8:$P$27,VALUE(F522))="","？",INDEX(設定!$P$8:$P$27,VALUE(F522))),"？")))</f>
        <v/>
      </c>
      <c r="K522" s="51">
        <f>IF(L522="","",IF(G522="","名簿にいない",IF(COUNTIF(L523:L$555,L522)&gt;0,"2回提出（下の行を使います）",IF(H522="転出","転出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OR(AND(H522&lt;&gt;"",H522=I522),AND(H522&lt;&gt;"",H522=J522),AND(I522&lt;&gt;"",I522=J522)),"同じクラブを重複して希望","OK")))))))</f>
        <v/>
      </c>
      <c r="L522" s="11">
        <f>IF(OR(A522="",D522=""),"",A522&amp;"-"&amp;B522&amp;"-"&amp;C522)</f>
        <v/>
      </c>
      <c r="M522" s="11">
        <f>IF(OR(L522="",G522=""),"",IF(COUNTIF(L523:L$555,L522)=0,L522,""))</f>
        <v/>
      </c>
    </row>
    <row r="523">
      <c r="A523" s="49" t="n"/>
      <c r="B523" s="49" t="n"/>
      <c r="C523" s="49" t="n"/>
      <c r="D523" s="49" t="n"/>
      <c r="E523" s="49" t="n"/>
      <c r="F523" s="49" t="n"/>
      <c r="G523" s="4">
        <f>IF(A523="","",IFERROR(INDEX(前年度名簿!$D$3:$D$452,MATCH(A523&amp;"-"&amp;B523&amp;"-"&amp;C523,前年度名簿!$F$3:$F$452,0)),""))</f>
        <v/>
      </c>
      <c r="H523" s="50">
        <f>IF(D523="","",IF(ISERROR(VALUE(D523)),D523&amp;"",IF(AND(VALUE(D523)&gt;=1,VALUE(D523)&lt;=20),IF(INDEX(設定!$P$8:$P$27,VALUE(D523))="","？",INDEX(設定!$P$8:$P$27,VALUE(D523))),"？")))</f>
        <v/>
      </c>
      <c r="I523" s="50">
        <f>IF(E523="","",IF(ISERROR(VALUE(E523)),E523&amp;"",IF(AND(VALUE(E523)&gt;=1,VALUE(E523)&lt;=20),IF(INDEX(設定!$P$8:$P$27,VALUE(E523))="","？",INDEX(設定!$P$8:$P$27,VALUE(E523))),"？")))</f>
        <v/>
      </c>
      <c r="J523" s="50">
        <f>IF(F523="","",IF(ISERROR(VALUE(F523)),F523&amp;"",IF(AND(VALUE(F523)&gt;=1,VALUE(F523)&lt;=20),IF(INDEX(設定!$P$8:$P$27,VALUE(F523))="","？",INDEX(設定!$P$8:$P$27,VALUE(F523))),"？")))</f>
        <v/>
      </c>
      <c r="K523" s="51">
        <f>IF(L523="","",IF(G523="","名簿にいない",IF(COUNTIF(L524:L$555,L523)&gt;0,"2回提出（下の行を使います）",IF(H523="転出","転出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OR(AND(H523&lt;&gt;"",H523=I523),AND(H523&lt;&gt;"",H523=J523),AND(I523&lt;&gt;"",I523=J523)),"同じクラブを重複して希望","OK")))))))</f>
        <v/>
      </c>
      <c r="L523" s="11">
        <f>IF(OR(A523="",D523=""),"",A523&amp;"-"&amp;B523&amp;"-"&amp;C523)</f>
        <v/>
      </c>
      <c r="M523" s="11">
        <f>IF(OR(L523="",G523=""),"",IF(COUNTIF(L524:L$555,L523)=0,L523,""))</f>
        <v/>
      </c>
    </row>
    <row r="524">
      <c r="A524" s="49" t="n"/>
      <c r="B524" s="49" t="n"/>
      <c r="C524" s="49" t="n"/>
      <c r="D524" s="49" t="n"/>
      <c r="E524" s="49" t="n"/>
      <c r="F524" s="49" t="n"/>
      <c r="G524" s="4">
        <f>IF(A524="","",IFERROR(INDEX(前年度名簿!$D$3:$D$452,MATCH(A524&amp;"-"&amp;B524&amp;"-"&amp;C524,前年度名簿!$F$3:$F$452,0)),""))</f>
        <v/>
      </c>
      <c r="H524" s="50">
        <f>IF(D524="","",IF(ISERROR(VALUE(D524)),D524&amp;"",IF(AND(VALUE(D524)&gt;=1,VALUE(D524)&lt;=20),IF(INDEX(設定!$P$8:$P$27,VALUE(D524))="","？",INDEX(設定!$P$8:$P$27,VALUE(D524))),"？")))</f>
        <v/>
      </c>
      <c r="I524" s="50">
        <f>IF(E524="","",IF(ISERROR(VALUE(E524)),E524&amp;"",IF(AND(VALUE(E524)&gt;=1,VALUE(E524)&lt;=20),IF(INDEX(設定!$P$8:$P$27,VALUE(E524))="","？",INDEX(設定!$P$8:$P$27,VALUE(E524))),"？")))</f>
        <v/>
      </c>
      <c r="J524" s="50">
        <f>IF(F524="","",IF(ISERROR(VALUE(F524)),F524&amp;"",IF(AND(VALUE(F524)&gt;=1,VALUE(F524)&lt;=20),IF(INDEX(設定!$P$8:$P$27,VALUE(F524))="","？",INDEX(設定!$P$8:$P$27,VALUE(F524))),"？")))</f>
        <v/>
      </c>
      <c r="K524" s="51">
        <f>IF(L524="","",IF(G524="","名簿にいない",IF(COUNTIF(L525:L$555,L524)&gt;0,"2回提出（下の行を使います）",IF(H524="転出","転出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OR(AND(H524&lt;&gt;"",H524=I524),AND(H524&lt;&gt;"",H524=J524),AND(I524&lt;&gt;"",I524=J524)),"同じクラブを重複して希望","OK")))))))</f>
        <v/>
      </c>
      <c r="L524" s="11">
        <f>IF(OR(A524="",D524=""),"",A524&amp;"-"&amp;B524&amp;"-"&amp;C524)</f>
        <v/>
      </c>
      <c r="M524" s="11">
        <f>IF(OR(L524="",G524=""),"",IF(COUNTIF(L525:L$555,L524)=0,L524,""))</f>
        <v/>
      </c>
    </row>
    <row r="525">
      <c r="A525" s="49" t="n"/>
      <c r="B525" s="49" t="n"/>
      <c r="C525" s="49" t="n"/>
      <c r="D525" s="49" t="n"/>
      <c r="E525" s="49" t="n"/>
      <c r="F525" s="49" t="n"/>
      <c r="G525" s="4">
        <f>IF(A525="","",IFERROR(INDEX(前年度名簿!$D$3:$D$452,MATCH(A525&amp;"-"&amp;B525&amp;"-"&amp;C525,前年度名簿!$F$3:$F$452,0)),""))</f>
        <v/>
      </c>
      <c r="H525" s="50">
        <f>IF(D525="","",IF(ISERROR(VALUE(D525)),D525&amp;"",IF(AND(VALUE(D525)&gt;=1,VALUE(D525)&lt;=20),IF(INDEX(設定!$P$8:$P$27,VALUE(D525))="","？",INDEX(設定!$P$8:$P$27,VALUE(D525))),"？")))</f>
        <v/>
      </c>
      <c r="I525" s="50">
        <f>IF(E525="","",IF(ISERROR(VALUE(E525)),E525&amp;"",IF(AND(VALUE(E525)&gt;=1,VALUE(E525)&lt;=20),IF(INDEX(設定!$P$8:$P$27,VALUE(E525))="","？",INDEX(設定!$P$8:$P$27,VALUE(E525))),"？")))</f>
        <v/>
      </c>
      <c r="J525" s="50">
        <f>IF(F525="","",IF(ISERROR(VALUE(F525)),F525&amp;"",IF(AND(VALUE(F525)&gt;=1,VALUE(F525)&lt;=20),IF(INDEX(設定!$P$8:$P$27,VALUE(F525))="","？",INDEX(設定!$P$8:$P$27,VALUE(F525))),"？")))</f>
        <v/>
      </c>
      <c r="K525" s="51">
        <f>IF(L525="","",IF(G525="","名簿にいない",IF(COUNTIF(L526:L$555,L525)&gt;0,"2回提出（下の行を使います）",IF(H525="転出","転出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OR(AND(H525&lt;&gt;"",H525=I525),AND(H525&lt;&gt;"",H525=J525),AND(I525&lt;&gt;"",I525=J525)),"同じクラブを重複して希望","OK")))))))</f>
        <v/>
      </c>
      <c r="L525" s="11">
        <f>IF(OR(A525="",D525=""),"",A525&amp;"-"&amp;B525&amp;"-"&amp;C525)</f>
        <v/>
      </c>
      <c r="M525" s="11">
        <f>IF(OR(L525="",G525=""),"",IF(COUNTIF(L526:L$555,L525)=0,L525,""))</f>
        <v/>
      </c>
    </row>
    <row r="526">
      <c r="A526" s="49" t="n"/>
      <c r="B526" s="49" t="n"/>
      <c r="C526" s="49" t="n"/>
      <c r="D526" s="49" t="n"/>
      <c r="E526" s="49" t="n"/>
      <c r="F526" s="49" t="n"/>
      <c r="G526" s="4">
        <f>IF(A526="","",IFERROR(INDEX(前年度名簿!$D$3:$D$452,MATCH(A526&amp;"-"&amp;B526&amp;"-"&amp;C526,前年度名簿!$F$3:$F$452,0)),""))</f>
        <v/>
      </c>
      <c r="H526" s="50">
        <f>IF(D526="","",IF(ISERROR(VALUE(D526)),D526&amp;"",IF(AND(VALUE(D526)&gt;=1,VALUE(D526)&lt;=20),IF(INDEX(設定!$P$8:$P$27,VALUE(D526))="","？",INDEX(設定!$P$8:$P$27,VALUE(D526))),"？")))</f>
        <v/>
      </c>
      <c r="I526" s="50">
        <f>IF(E526="","",IF(ISERROR(VALUE(E526)),E526&amp;"",IF(AND(VALUE(E526)&gt;=1,VALUE(E526)&lt;=20),IF(INDEX(設定!$P$8:$P$27,VALUE(E526))="","？",INDEX(設定!$P$8:$P$27,VALUE(E526))),"？")))</f>
        <v/>
      </c>
      <c r="J526" s="50">
        <f>IF(F526="","",IF(ISERROR(VALUE(F526)),F526&amp;"",IF(AND(VALUE(F526)&gt;=1,VALUE(F526)&lt;=20),IF(INDEX(設定!$P$8:$P$27,VALUE(F526))="","？",INDEX(設定!$P$8:$P$27,VALUE(F526))),"？")))</f>
        <v/>
      </c>
      <c r="K526" s="51">
        <f>IF(L526="","",IF(G526="","名簿にいない",IF(COUNTIF(L527:L$555,L526)&gt;0,"2回提出（下の行を使います）",IF(H526="転出","転出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OR(AND(H526&lt;&gt;"",H526=I526),AND(H526&lt;&gt;"",H526=J526),AND(I526&lt;&gt;"",I526=J526)),"同じクラブを重複して希望","OK")))))))</f>
        <v/>
      </c>
      <c r="L526" s="11">
        <f>IF(OR(A526="",D526=""),"",A526&amp;"-"&amp;B526&amp;"-"&amp;C526)</f>
        <v/>
      </c>
      <c r="M526" s="11">
        <f>IF(OR(L526="",G526=""),"",IF(COUNTIF(L527:L$555,L526)=0,L526,""))</f>
        <v/>
      </c>
    </row>
    <row r="527">
      <c r="A527" s="49" t="n"/>
      <c r="B527" s="49" t="n"/>
      <c r="C527" s="49" t="n"/>
      <c r="D527" s="49" t="n"/>
      <c r="E527" s="49" t="n"/>
      <c r="F527" s="49" t="n"/>
      <c r="G527" s="4">
        <f>IF(A527="","",IFERROR(INDEX(前年度名簿!$D$3:$D$452,MATCH(A527&amp;"-"&amp;B527&amp;"-"&amp;C527,前年度名簿!$F$3:$F$452,0)),""))</f>
        <v/>
      </c>
      <c r="H527" s="50">
        <f>IF(D527="","",IF(ISERROR(VALUE(D527)),D527&amp;"",IF(AND(VALUE(D527)&gt;=1,VALUE(D527)&lt;=20),IF(INDEX(設定!$P$8:$P$27,VALUE(D527))="","？",INDEX(設定!$P$8:$P$27,VALUE(D527))),"？")))</f>
        <v/>
      </c>
      <c r="I527" s="50">
        <f>IF(E527="","",IF(ISERROR(VALUE(E527)),E527&amp;"",IF(AND(VALUE(E527)&gt;=1,VALUE(E527)&lt;=20),IF(INDEX(設定!$P$8:$P$27,VALUE(E527))="","？",INDEX(設定!$P$8:$P$27,VALUE(E527))),"？")))</f>
        <v/>
      </c>
      <c r="J527" s="50">
        <f>IF(F527="","",IF(ISERROR(VALUE(F527)),F527&amp;"",IF(AND(VALUE(F527)&gt;=1,VALUE(F527)&lt;=20),IF(INDEX(設定!$P$8:$P$27,VALUE(F527))="","？",INDEX(設定!$P$8:$P$27,VALUE(F527))),"？")))</f>
        <v/>
      </c>
      <c r="K527" s="51">
        <f>IF(L527="","",IF(G527="","名簿にいない",IF(COUNTIF(L528:L$555,L527)&gt;0,"2回提出（下の行を使います）",IF(H527="転出","転出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OR(AND(H527&lt;&gt;"",H527=I527),AND(H527&lt;&gt;"",H527=J527),AND(I527&lt;&gt;"",I527=J527)),"同じクラブを重複して希望","OK")))))))</f>
        <v/>
      </c>
      <c r="L527" s="11">
        <f>IF(OR(A527="",D527=""),"",A527&amp;"-"&amp;B527&amp;"-"&amp;C527)</f>
        <v/>
      </c>
      <c r="M527" s="11">
        <f>IF(OR(L527="",G527=""),"",IF(COUNTIF(L528:L$555,L527)=0,L527,""))</f>
        <v/>
      </c>
    </row>
    <row r="528">
      <c r="A528" s="49" t="n"/>
      <c r="B528" s="49" t="n"/>
      <c r="C528" s="49" t="n"/>
      <c r="D528" s="49" t="n"/>
      <c r="E528" s="49" t="n"/>
      <c r="F528" s="49" t="n"/>
      <c r="G528" s="4">
        <f>IF(A528="","",IFERROR(INDEX(前年度名簿!$D$3:$D$452,MATCH(A528&amp;"-"&amp;B528&amp;"-"&amp;C528,前年度名簿!$F$3:$F$452,0)),""))</f>
        <v/>
      </c>
      <c r="H528" s="50">
        <f>IF(D528="","",IF(ISERROR(VALUE(D528)),D528&amp;"",IF(AND(VALUE(D528)&gt;=1,VALUE(D528)&lt;=20),IF(INDEX(設定!$P$8:$P$27,VALUE(D528))="","？",INDEX(設定!$P$8:$P$27,VALUE(D528))),"？")))</f>
        <v/>
      </c>
      <c r="I528" s="50">
        <f>IF(E528="","",IF(ISERROR(VALUE(E528)),E528&amp;"",IF(AND(VALUE(E528)&gt;=1,VALUE(E528)&lt;=20),IF(INDEX(設定!$P$8:$P$27,VALUE(E528))="","？",INDEX(設定!$P$8:$P$27,VALUE(E528))),"？")))</f>
        <v/>
      </c>
      <c r="J528" s="50">
        <f>IF(F528="","",IF(ISERROR(VALUE(F528)),F528&amp;"",IF(AND(VALUE(F528)&gt;=1,VALUE(F528)&lt;=20),IF(INDEX(設定!$P$8:$P$27,VALUE(F528))="","？",INDEX(設定!$P$8:$P$27,VALUE(F528))),"？")))</f>
        <v/>
      </c>
      <c r="K528" s="51">
        <f>IF(L528="","",IF(G528="","名簿にいない",IF(COUNTIF(L529:L$555,L528)&gt;0,"2回提出（下の行を使います）",IF(H528="転出","転出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OR(AND(H528&lt;&gt;"",H528=I528),AND(H528&lt;&gt;"",H528=J528),AND(I528&lt;&gt;"",I528=J528)),"同じクラブを重複して希望","OK")))))))</f>
        <v/>
      </c>
      <c r="L528" s="11">
        <f>IF(OR(A528="",D528=""),"",A528&amp;"-"&amp;B528&amp;"-"&amp;C528)</f>
        <v/>
      </c>
      <c r="M528" s="11">
        <f>IF(OR(L528="",G528=""),"",IF(COUNTIF(L529:L$555,L528)=0,L528,""))</f>
        <v/>
      </c>
    </row>
    <row r="529">
      <c r="A529" s="49" t="n"/>
      <c r="B529" s="49" t="n"/>
      <c r="C529" s="49" t="n"/>
      <c r="D529" s="49" t="n"/>
      <c r="E529" s="49" t="n"/>
      <c r="F529" s="49" t="n"/>
      <c r="G529" s="4">
        <f>IF(A529="","",IFERROR(INDEX(前年度名簿!$D$3:$D$452,MATCH(A529&amp;"-"&amp;B529&amp;"-"&amp;C529,前年度名簿!$F$3:$F$452,0)),""))</f>
        <v/>
      </c>
      <c r="H529" s="50">
        <f>IF(D529="","",IF(ISERROR(VALUE(D529)),D529&amp;"",IF(AND(VALUE(D529)&gt;=1,VALUE(D529)&lt;=20),IF(INDEX(設定!$P$8:$P$27,VALUE(D529))="","？",INDEX(設定!$P$8:$P$27,VALUE(D529))),"？")))</f>
        <v/>
      </c>
      <c r="I529" s="50">
        <f>IF(E529="","",IF(ISERROR(VALUE(E529)),E529&amp;"",IF(AND(VALUE(E529)&gt;=1,VALUE(E529)&lt;=20),IF(INDEX(設定!$P$8:$P$27,VALUE(E529))="","？",INDEX(設定!$P$8:$P$27,VALUE(E529))),"？")))</f>
        <v/>
      </c>
      <c r="J529" s="50">
        <f>IF(F529="","",IF(ISERROR(VALUE(F529)),F529&amp;"",IF(AND(VALUE(F529)&gt;=1,VALUE(F529)&lt;=20),IF(INDEX(設定!$P$8:$P$27,VALUE(F529))="","？",INDEX(設定!$P$8:$P$27,VALUE(F529))),"？")))</f>
        <v/>
      </c>
      <c r="K529" s="51">
        <f>IF(L529="","",IF(G529="","名簿にいない",IF(COUNTIF(L530:L$555,L529)&gt;0,"2回提出（下の行を使います）",IF(H529="転出","転出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OR(AND(H529&lt;&gt;"",H529=I529),AND(H529&lt;&gt;"",H529=J529),AND(I529&lt;&gt;"",I529=J529)),"同じクラブを重複して希望","OK")))))))</f>
        <v/>
      </c>
      <c r="L529" s="11">
        <f>IF(OR(A529="",D529=""),"",A529&amp;"-"&amp;B529&amp;"-"&amp;C529)</f>
        <v/>
      </c>
      <c r="M529" s="11">
        <f>IF(OR(L529="",G529=""),"",IF(COUNTIF(L530:L$555,L529)=0,L529,""))</f>
        <v/>
      </c>
    </row>
    <row r="530">
      <c r="A530" s="49" t="n"/>
      <c r="B530" s="49" t="n"/>
      <c r="C530" s="49" t="n"/>
      <c r="D530" s="49" t="n"/>
      <c r="E530" s="49" t="n"/>
      <c r="F530" s="49" t="n"/>
      <c r="G530" s="4">
        <f>IF(A530="","",IFERROR(INDEX(前年度名簿!$D$3:$D$452,MATCH(A530&amp;"-"&amp;B530&amp;"-"&amp;C530,前年度名簿!$F$3:$F$452,0)),""))</f>
        <v/>
      </c>
      <c r="H530" s="50">
        <f>IF(D530="","",IF(ISERROR(VALUE(D530)),D530&amp;"",IF(AND(VALUE(D530)&gt;=1,VALUE(D530)&lt;=20),IF(INDEX(設定!$P$8:$P$27,VALUE(D530))="","？",INDEX(設定!$P$8:$P$27,VALUE(D530))),"？")))</f>
        <v/>
      </c>
      <c r="I530" s="50">
        <f>IF(E530="","",IF(ISERROR(VALUE(E530)),E530&amp;"",IF(AND(VALUE(E530)&gt;=1,VALUE(E530)&lt;=20),IF(INDEX(設定!$P$8:$P$27,VALUE(E530))="","？",INDEX(設定!$P$8:$P$27,VALUE(E530))),"？")))</f>
        <v/>
      </c>
      <c r="J530" s="50">
        <f>IF(F530="","",IF(ISERROR(VALUE(F530)),F530&amp;"",IF(AND(VALUE(F530)&gt;=1,VALUE(F530)&lt;=20),IF(INDEX(設定!$P$8:$P$27,VALUE(F530))="","？",INDEX(設定!$P$8:$P$27,VALUE(F530))),"？")))</f>
        <v/>
      </c>
      <c r="K530" s="51">
        <f>IF(L530="","",IF(G530="","名簿にいない",IF(COUNTIF(L531:L$555,L530)&gt;0,"2回提出（下の行を使います）",IF(H530="転出","転出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OR(AND(H530&lt;&gt;"",H530=I530),AND(H530&lt;&gt;"",H530=J530),AND(I530&lt;&gt;"",I530=J530)),"同じクラブを重複して希望","OK")))))))</f>
        <v/>
      </c>
      <c r="L530" s="11">
        <f>IF(OR(A530="",D530=""),"",A530&amp;"-"&amp;B530&amp;"-"&amp;C530)</f>
        <v/>
      </c>
      <c r="M530" s="11">
        <f>IF(OR(L530="",G530=""),"",IF(COUNTIF(L531:L$555,L530)=0,L530,""))</f>
        <v/>
      </c>
    </row>
    <row r="531">
      <c r="A531" s="49" t="n"/>
      <c r="B531" s="49" t="n"/>
      <c r="C531" s="49" t="n"/>
      <c r="D531" s="49" t="n"/>
      <c r="E531" s="49" t="n"/>
      <c r="F531" s="49" t="n"/>
      <c r="G531" s="4">
        <f>IF(A531="","",IFERROR(INDEX(前年度名簿!$D$3:$D$452,MATCH(A531&amp;"-"&amp;B531&amp;"-"&amp;C531,前年度名簿!$F$3:$F$452,0)),""))</f>
        <v/>
      </c>
      <c r="H531" s="50">
        <f>IF(D531="","",IF(ISERROR(VALUE(D531)),D531&amp;"",IF(AND(VALUE(D531)&gt;=1,VALUE(D531)&lt;=20),IF(INDEX(設定!$P$8:$P$27,VALUE(D531))="","？",INDEX(設定!$P$8:$P$27,VALUE(D531))),"？")))</f>
        <v/>
      </c>
      <c r="I531" s="50">
        <f>IF(E531="","",IF(ISERROR(VALUE(E531)),E531&amp;"",IF(AND(VALUE(E531)&gt;=1,VALUE(E531)&lt;=20),IF(INDEX(設定!$P$8:$P$27,VALUE(E531))="","？",INDEX(設定!$P$8:$P$27,VALUE(E531))),"？")))</f>
        <v/>
      </c>
      <c r="J531" s="50">
        <f>IF(F531="","",IF(ISERROR(VALUE(F531)),F531&amp;"",IF(AND(VALUE(F531)&gt;=1,VALUE(F531)&lt;=20),IF(INDEX(設定!$P$8:$P$27,VALUE(F531))="","？",INDEX(設定!$P$8:$P$27,VALUE(F531))),"？")))</f>
        <v/>
      </c>
      <c r="K531" s="51">
        <f>IF(L531="","",IF(G531="","名簿にいない",IF(COUNTIF(L532:L$555,L531)&gt;0,"2回提出（下の行を使います）",IF(H531="転出","転出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OR(AND(H531&lt;&gt;"",H531=I531),AND(H531&lt;&gt;"",H531=J531),AND(I531&lt;&gt;"",I531=J531)),"同じクラブを重複して希望","OK")))))))</f>
        <v/>
      </c>
      <c r="L531" s="11">
        <f>IF(OR(A531="",D531=""),"",A531&amp;"-"&amp;B531&amp;"-"&amp;C531)</f>
        <v/>
      </c>
      <c r="M531" s="11">
        <f>IF(OR(L531="",G531=""),"",IF(COUNTIF(L532:L$555,L531)=0,L531,""))</f>
        <v/>
      </c>
    </row>
    <row r="532">
      <c r="A532" s="49" t="n"/>
      <c r="B532" s="49" t="n"/>
      <c r="C532" s="49" t="n"/>
      <c r="D532" s="49" t="n"/>
      <c r="E532" s="49" t="n"/>
      <c r="F532" s="49" t="n"/>
      <c r="G532" s="4">
        <f>IF(A532="","",IFERROR(INDEX(前年度名簿!$D$3:$D$452,MATCH(A532&amp;"-"&amp;B532&amp;"-"&amp;C532,前年度名簿!$F$3:$F$452,0)),""))</f>
        <v/>
      </c>
      <c r="H532" s="50">
        <f>IF(D532="","",IF(ISERROR(VALUE(D532)),D532&amp;"",IF(AND(VALUE(D532)&gt;=1,VALUE(D532)&lt;=20),IF(INDEX(設定!$P$8:$P$27,VALUE(D532))="","？",INDEX(設定!$P$8:$P$27,VALUE(D532))),"？")))</f>
        <v/>
      </c>
      <c r="I532" s="50">
        <f>IF(E532="","",IF(ISERROR(VALUE(E532)),E532&amp;"",IF(AND(VALUE(E532)&gt;=1,VALUE(E532)&lt;=20),IF(INDEX(設定!$P$8:$P$27,VALUE(E532))="","？",INDEX(設定!$P$8:$P$27,VALUE(E532))),"？")))</f>
        <v/>
      </c>
      <c r="J532" s="50">
        <f>IF(F532="","",IF(ISERROR(VALUE(F532)),F532&amp;"",IF(AND(VALUE(F532)&gt;=1,VALUE(F532)&lt;=20),IF(INDEX(設定!$P$8:$P$27,VALUE(F532))="","？",INDEX(設定!$P$8:$P$27,VALUE(F532))),"？")))</f>
        <v/>
      </c>
      <c r="K532" s="51">
        <f>IF(L532="","",IF(G532="","名簿にいない",IF(COUNTIF(L533:L$555,L532)&gt;0,"2回提出（下の行を使います）",IF(H532="転出","転出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OR(AND(H532&lt;&gt;"",H532=I532),AND(H532&lt;&gt;"",H532=J532),AND(I532&lt;&gt;"",I532=J532)),"同じクラブを重複して希望","OK")))))))</f>
        <v/>
      </c>
      <c r="L532" s="11">
        <f>IF(OR(A532="",D532=""),"",A532&amp;"-"&amp;B532&amp;"-"&amp;C532)</f>
        <v/>
      </c>
      <c r="M532" s="11">
        <f>IF(OR(L532="",G532=""),"",IF(COUNTIF(L533:L$555,L532)=0,L532,""))</f>
        <v/>
      </c>
    </row>
    <row r="533">
      <c r="A533" s="49" t="n"/>
      <c r="B533" s="49" t="n"/>
      <c r="C533" s="49" t="n"/>
      <c r="D533" s="49" t="n"/>
      <c r="E533" s="49" t="n"/>
      <c r="F533" s="49" t="n"/>
      <c r="G533" s="4">
        <f>IF(A533="","",IFERROR(INDEX(前年度名簿!$D$3:$D$452,MATCH(A533&amp;"-"&amp;B533&amp;"-"&amp;C533,前年度名簿!$F$3:$F$452,0)),""))</f>
        <v/>
      </c>
      <c r="H533" s="50">
        <f>IF(D533="","",IF(ISERROR(VALUE(D533)),D533&amp;"",IF(AND(VALUE(D533)&gt;=1,VALUE(D533)&lt;=20),IF(INDEX(設定!$P$8:$P$27,VALUE(D533))="","？",INDEX(設定!$P$8:$P$27,VALUE(D533))),"？")))</f>
        <v/>
      </c>
      <c r="I533" s="50">
        <f>IF(E533="","",IF(ISERROR(VALUE(E533)),E533&amp;"",IF(AND(VALUE(E533)&gt;=1,VALUE(E533)&lt;=20),IF(INDEX(設定!$P$8:$P$27,VALUE(E533))="","？",INDEX(設定!$P$8:$P$27,VALUE(E533))),"？")))</f>
        <v/>
      </c>
      <c r="J533" s="50">
        <f>IF(F533="","",IF(ISERROR(VALUE(F533)),F533&amp;"",IF(AND(VALUE(F533)&gt;=1,VALUE(F533)&lt;=20),IF(INDEX(設定!$P$8:$P$27,VALUE(F533))="","？",INDEX(設定!$P$8:$P$27,VALUE(F533))),"？")))</f>
        <v/>
      </c>
      <c r="K533" s="51">
        <f>IF(L533="","",IF(G533="","名簿にいない",IF(COUNTIF(L534:L$555,L533)&gt;0,"2回提出（下の行を使います）",IF(H533="転出","転出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OR(AND(H533&lt;&gt;"",H533=I533),AND(H533&lt;&gt;"",H533=J533),AND(I533&lt;&gt;"",I533=J533)),"同じクラブを重複して希望","OK")))))))</f>
        <v/>
      </c>
      <c r="L533" s="11">
        <f>IF(OR(A533="",D533=""),"",A533&amp;"-"&amp;B533&amp;"-"&amp;C533)</f>
        <v/>
      </c>
      <c r="M533" s="11">
        <f>IF(OR(L533="",G533=""),"",IF(COUNTIF(L534:L$555,L533)=0,L533,""))</f>
        <v/>
      </c>
    </row>
    <row r="534">
      <c r="A534" s="49" t="n"/>
      <c r="B534" s="49" t="n"/>
      <c r="C534" s="49" t="n"/>
      <c r="D534" s="49" t="n"/>
      <c r="E534" s="49" t="n"/>
      <c r="F534" s="49" t="n"/>
      <c r="G534" s="4">
        <f>IF(A534="","",IFERROR(INDEX(前年度名簿!$D$3:$D$452,MATCH(A534&amp;"-"&amp;B534&amp;"-"&amp;C534,前年度名簿!$F$3:$F$452,0)),""))</f>
        <v/>
      </c>
      <c r="H534" s="50">
        <f>IF(D534="","",IF(ISERROR(VALUE(D534)),D534&amp;"",IF(AND(VALUE(D534)&gt;=1,VALUE(D534)&lt;=20),IF(INDEX(設定!$P$8:$P$27,VALUE(D534))="","？",INDEX(設定!$P$8:$P$27,VALUE(D534))),"？")))</f>
        <v/>
      </c>
      <c r="I534" s="50">
        <f>IF(E534="","",IF(ISERROR(VALUE(E534)),E534&amp;"",IF(AND(VALUE(E534)&gt;=1,VALUE(E534)&lt;=20),IF(INDEX(設定!$P$8:$P$27,VALUE(E534))="","？",INDEX(設定!$P$8:$P$27,VALUE(E534))),"？")))</f>
        <v/>
      </c>
      <c r="J534" s="50">
        <f>IF(F534="","",IF(ISERROR(VALUE(F534)),F534&amp;"",IF(AND(VALUE(F534)&gt;=1,VALUE(F534)&lt;=20),IF(INDEX(設定!$P$8:$P$27,VALUE(F534))="","？",INDEX(設定!$P$8:$P$27,VALUE(F534))),"？")))</f>
        <v/>
      </c>
      <c r="K534" s="51">
        <f>IF(L534="","",IF(G534="","名簿にいない",IF(COUNTIF(L535:L$555,L534)&gt;0,"2回提出（下の行を使います）",IF(H534="転出","転出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OR(AND(H534&lt;&gt;"",H534=I534),AND(H534&lt;&gt;"",H534=J534),AND(I534&lt;&gt;"",I534=J534)),"同じクラブを重複して希望","OK")))))))</f>
        <v/>
      </c>
      <c r="L534" s="11">
        <f>IF(OR(A534="",D534=""),"",A534&amp;"-"&amp;B534&amp;"-"&amp;C534)</f>
        <v/>
      </c>
      <c r="M534" s="11">
        <f>IF(OR(L534="",G534=""),"",IF(COUNTIF(L535:L$555,L534)=0,L534,""))</f>
        <v/>
      </c>
    </row>
    <row r="535">
      <c r="A535" s="49" t="n"/>
      <c r="B535" s="49" t="n"/>
      <c r="C535" s="49" t="n"/>
      <c r="D535" s="49" t="n"/>
      <c r="E535" s="49" t="n"/>
      <c r="F535" s="49" t="n"/>
      <c r="G535" s="4">
        <f>IF(A535="","",IFERROR(INDEX(前年度名簿!$D$3:$D$452,MATCH(A535&amp;"-"&amp;B535&amp;"-"&amp;C535,前年度名簿!$F$3:$F$452,0)),""))</f>
        <v/>
      </c>
      <c r="H535" s="50">
        <f>IF(D535="","",IF(ISERROR(VALUE(D535)),D535&amp;"",IF(AND(VALUE(D535)&gt;=1,VALUE(D535)&lt;=20),IF(INDEX(設定!$P$8:$P$27,VALUE(D535))="","？",INDEX(設定!$P$8:$P$27,VALUE(D535))),"？")))</f>
        <v/>
      </c>
      <c r="I535" s="50">
        <f>IF(E535="","",IF(ISERROR(VALUE(E535)),E535&amp;"",IF(AND(VALUE(E535)&gt;=1,VALUE(E535)&lt;=20),IF(INDEX(設定!$P$8:$P$27,VALUE(E535))="","？",INDEX(設定!$P$8:$P$27,VALUE(E535))),"？")))</f>
        <v/>
      </c>
      <c r="J535" s="50">
        <f>IF(F535="","",IF(ISERROR(VALUE(F535)),F535&amp;"",IF(AND(VALUE(F535)&gt;=1,VALUE(F535)&lt;=20),IF(INDEX(設定!$P$8:$P$27,VALUE(F535))="","？",INDEX(設定!$P$8:$P$27,VALUE(F535))),"？")))</f>
        <v/>
      </c>
      <c r="K535" s="51">
        <f>IF(L535="","",IF(G535="","名簿にいない",IF(COUNTIF(L536:L$555,L535)&gt;0,"2回提出（下の行を使います）",IF(H535="転出","転出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OR(AND(H535&lt;&gt;"",H535=I535),AND(H535&lt;&gt;"",H535=J535),AND(I535&lt;&gt;"",I535=J535)),"同じクラブを重複して希望","OK")))))))</f>
        <v/>
      </c>
      <c r="L535" s="11">
        <f>IF(OR(A535="",D535=""),"",A535&amp;"-"&amp;B535&amp;"-"&amp;C535)</f>
        <v/>
      </c>
      <c r="M535" s="11">
        <f>IF(OR(L535="",G535=""),"",IF(COUNTIF(L536:L$555,L535)=0,L535,""))</f>
        <v/>
      </c>
    </row>
    <row r="536">
      <c r="A536" s="49" t="n"/>
      <c r="B536" s="49" t="n"/>
      <c r="C536" s="49" t="n"/>
      <c r="D536" s="49" t="n"/>
      <c r="E536" s="49" t="n"/>
      <c r="F536" s="49" t="n"/>
      <c r="G536" s="4">
        <f>IF(A536="","",IFERROR(INDEX(前年度名簿!$D$3:$D$452,MATCH(A536&amp;"-"&amp;B536&amp;"-"&amp;C536,前年度名簿!$F$3:$F$452,0)),""))</f>
        <v/>
      </c>
      <c r="H536" s="50">
        <f>IF(D536="","",IF(ISERROR(VALUE(D536)),D536&amp;"",IF(AND(VALUE(D536)&gt;=1,VALUE(D536)&lt;=20),IF(INDEX(設定!$P$8:$P$27,VALUE(D536))="","？",INDEX(設定!$P$8:$P$27,VALUE(D536))),"？")))</f>
        <v/>
      </c>
      <c r="I536" s="50">
        <f>IF(E536="","",IF(ISERROR(VALUE(E536)),E536&amp;"",IF(AND(VALUE(E536)&gt;=1,VALUE(E536)&lt;=20),IF(INDEX(設定!$P$8:$P$27,VALUE(E536))="","？",INDEX(設定!$P$8:$P$27,VALUE(E536))),"？")))</f>
        <v/>
      </c>
      <c r="J536" s="50">
        <f>IF(F536="","",IF(ISERROR(VALUE(F536)),F536&amp;"",IF(AND(VALUE(F536)&gt;=1,VALUE(F536)&lt;=20),IF(INDEX(設定!$P$8:$P$27,VALUE(F536))="","？",INDEX(設定!$P$8:$P$27,VALUE(F536))),"？")))</f>
        <v/>
      </c>
      <c r="K536" s="51">
        <f>IF(L536="","",IF(G536="","名簿にいない",IF(COUNTIF(L537:L$555,L536)&gt;0,"2回提出（下の行を使います）",IF(H536="転出","転出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OR(AND(H536&lt;&gt;"",H536=I536),AND(H536&lt;&gt;"",H536=J536),AND(I536&lt;&gt;"",I536=J536)),"同じクラブを重複して希望","OK")))))))</f>
        <v/>
      </c>
      <c r="L536" s="11">
        <f>IF(OR(A536="",D536=""),"",A536&amp;"-"&amp;B536&amp;"-"&amp;C536)</f>
        <v/>
      </c>
      <c r="M536" s="11">
        <f>IF(OR(L536="",G536=""),"",IF(COUNTIF(L537:L$555,L536)=0,L536,""))</f>
        <v/>
      </c>
    </row>
    <row r="537">
      <c r="A537" s="49" t="n"/>
      <c r="B537" s="49" t="n"/>
      <c r="C537" s="49" t="n"/>
      <c r="D537" s="49" t="n"/>
      <c r="E537" s="49" t="n"/>
      <c r="F537" s="49" t="n"/>
      <c r="G537" s="4">
        <f>IF(A537="","",IFERROR(INDEX(前年度名簿!$D$3:$D$452,MATCH(A537&amp;"-"&amp;B537&amp;"-"&amp;C537,前年度名簿!$F$3:$F$452,0)),""))</f>
        <v/>
      </c>
      <c r="H537" s="50">
        <f>IF(D537="","",IF(ISERROR(VALUE(D537)),D537&amp;"",IF(AND(VALUE(D537)&gt;=1,VALUE(D537)&lt;=20),IF(INDEX(設定!$P$8:$P$27,VALUE(D537))="","？",INDEX(設定!$P$8:$P$27,VALUE(D537))),"？")))</f>
        <v/>
      </c>
      <c r="I537" s="50">
        <f>IF(E537="","",IF(ISERROR(VALUE(E537)),E537&amp;"",IF(AND(VALUE(E537)&gt;=1,VALUE(E537)&lt;=20),IF(INDEX(設定!$P$8:$P$27,VALUE(E537))="","？",INDEX(設定!$P$8:$P$27,VALUE(E537))),"？")))</f>
        <v/>
      </c>
      <c r="J537" s="50">
        <f>IF(F537="","",IF(ISERROR(VALUE(F537)),F537&amp;"",IF(AND(VALUE(F537)&gt;=1,VALUE(F537)&lt;=20),IF(INDEX(設定!$P$8:$P$27,VALUE(F537))="","？",INDEX(設定!$P$8:$P$27,VALUE(F537))),"？")))</f>
        <v/>
      </c>
      <c r="K537" s="51">
        <f>IF(L537="","",IF(G537="","名簿にいない",IF(COUNTIF(L538:L$555,L537)&gt;0,"2回提出（下の行を使います）",IF(H537="転出","転出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OR(AND(H537&lt;&gt;"",H537=I537),AND(H537&lt;&gt;"",H537=J537),AND(I537&lt;&gt;"",I537=J537)),"同じクラブを重複して希望","OK")))))))</f>
        <v/>
      </c>
      <c r="L537" s="11">
        <f>IF(OR(A537="",D537=""),"",A537&amp;"-"&amp;B537&amp;"-"&amp;C537)</f>
        <v/>
      </c>
      <c r="M537" s="11">
        <f>IF(OR(L537="",G537=""),"",IF(COUNTIF(L538:L$555,L537)=0,L537,""))</f>
        <v/>
      </c>
    </row>
    <row r="538">
      <c r="A538" s="49" t="n"/>
      <c r="B538" s="49" t="n"/>
      <c r="C538" s="49" t="n"/>
      <c r="D538" s="49" t="n"/>
      <c r="E538" s="49" t="n"/>
      <c r="F538" s="49" t="n"/>
      <c r="G538" s="4">
        <f>IF(A538="","",IFERROR(INDEX(前年度名簿!$D$3:$D$452,MATCH(A538&amp;"-"&amp;B538&amp;"-"&amp;C538,前年度名簿!$F$3:$F$452,0)),""))</f>
        <v/>
      </c>
      <c r="H538" s="50">
        <f>IF(D538="","",IF(ISERROR(VALUE(D538)),D538&amp;"",IF(AND(VALUE(D538)&gt;=1,VALUE(D538)&lt;=20),IF(INDEX(設定!$P$8:$P$27,VALUE(D538))="","？",INDEX(設定!$P$8:$P$27,VALUE(D538))),"？")))</f>
        <v/>
      </c>
      <c r="I538" s="50">
        <f>IF(E538="","",IF(ISERROR(VALUE(E538)),E538&amp;"",IF(AND(VALUE(E538)&gt;=1,VALUE(E538)&lt;=20),IF(INDEX(設定!$P$8:$P$27,VALUE(E538))="","？",INDEX(設定!$P$8:$P$27,VALUE(E538))),"？")))</f>
        <v/>
      </c>
      <c r="J538" s="50">
        <f>IF(F538="","",IF(ISERROR(VALUE(F538)),F538&amp;"",IF(AND(VALUE(F538)&gt;=1,VALUE(F538)&lt;=20),IF(INDEX(設定!$P$8:$P$27,VALUE(F538))="","？",INDEX(設定!$P$8:$P$27,VALUE(F538))),"？")))</f>
        <v/>
      </c>
      <c r="K538" s="51">
        <f>IF(L538="","",IF(G538="","名簿にいない",IF(COUNTIF(L539:L$555,L538)&gt;0,"2回提出（下の行を使います）",IF(H538="転出","転出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OR(AND(H538&lt;&gt;"",H538=I538),AND(H538&lt;&gt;"",H538=J538),AND(I538&lt;&gt;"",I538=J538)),"同じクラブを重複して希望","OK")))))))</f>
        <v/>
      </c>
      <c r="L538" s="11">
        <f>IF(OR(A538="",D538=""),"",A538&amp;"-"&amp;B538&amp;"-"&amp;C538)</f>
        <v/>
      </c>
      <c r="M538" s="11">
        <f>IF(OR(L538="",G538=""),"",IF(COUNTIF(L539:L$555,L538)=0,L538,""))</f>
        <v/>
      </c>
    </row>
    <row r="539">
      <c r="A539" s="49" t="n"/>
      <c r="B539" s="49" t="n"/>
      <c r="C539" s="49" t="n"/>
      <c r="D539" s="49" t="n"/>
      <c r="E539" s="49" t="n"/>
      <c r="F539" s="49" t="n"/>
      <c r="G539" s="4">
        <f>IF(A539="","",IFERROR(INDEX(前年度名簿!$D$3:$D$452,MATCH(A539&amp;"-"&amp;B539&amp;"-"&amp;C539,前年度名簿!$F$3:$F$452,0)),""))</f>
        <v/>
      </c>
      <c r="H539" s="50">
        <f>IF(D539="","",IF(ISERROR(VALUE(D539)),D539&amp;"",IF(AND(VALUE(D539)&gt;=1,VALUE(D539)&lt;=20),IF(INDEX(設定!$P$8:$P$27,VALUE(D539))="","？",INDEX(設定!$P$8:$P$27,VALUE(D539))),"？")))</f>
        <v/>
      </c>
      <c r="I539" s="50">
        <f>IF(E539="","",IF(ISERROR(VALUE(E539)),E539&amp;"",IF(AND(VALUE(E539)&gt;=1,VALUE(E539)&lt;=20),IF(INDEX(設定!$P$8:$P$27,VALUE(E539))="","？",INDEX(設定!$P$8:$P$27,VALUE(E539))),"？")))</f>
        <v/>
      </c>
      <c r="J539" s="50">
        <f>IF(F539="","",IF(ISERROR(VALUE(F539)),F539&amp;"",IF(AND(VALUE(F539)&gt;=1,VALUE(F539)&lt;=20),IF(INDEX(設定!$P$8:$P$27,VALUE(F539))="","？",INDEX(設定!$P$8:$P$27,VALUE(F539))),"？")))</f>
        <v/>
      </c>
      <c r="K539" s="51">
        <f>IF(L539="","",IF(G539="","名簿にいない",IF(COUNTIF(L540:L$555,L539)&gt;0,"2回提出（下の行を使います）",IF(H539="転出","転出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OR(AND(H539&lt;&gt;"",H539=I539),AND(H539&lt;&gt;"",H539=J539),AND(I539&lt;&gt;"",I539=J539)),"同じクラブを重複して希望","OK")))))))</f>
        <v/>
      </c>
      <c r="L539" s="11">
        <f>IF(OR(A539="",D539=""),"",A539&amp;"-"&amp;B539&amp;"-"&amp;C539)</f>
        <v/>
      </c>
      <c r="M539" s="11">
        <f>IF(OR(L539="",G539=""),"",IF(COUNTIF(L540:L$555,L539)=0,L539,""))</f>
        <v/>
      </c>
    </row>
    <row r="540">
      <c r="A540" s="49" t="n"/>
      <c r="B540" s="49" t="n"/>
      <c r="C540" s="49" t="n"/>
      <c r="D540" s="49" t="n"/>
      <c r="E540" s="49" t="n"/>
      <c r="F540" s="49" t="n"/>
      <c r="G540" s="4">
        <f>IF(A540="","",IFERROR(INDEX(前年度名簿!$D$3:$D$452,MATCH(A540&amp;"-"&amp;B540&amp;"-"&amp;C540,前年度名簿!$F$3:$F$452,0)),""))</f>
        <v/>
      </c>
      <c r="H540" s="50">
        <f>IF(D540="","",IF(ISERROR(VALUE(D540)),D540&amp;"",IF(AND(VALUE(D540)&gt;=1,VALUE(D540)&lt;=20),IF(INDEX(設定!$P$8:$P$27,VALUE(D540))="","？",INDEX(設定!$P$8:$P$27,VALUE(D540))),"？")))</f>
        <v/>
      </c>
      <c r="I540" s="50">
        <f>IF(E540="","",IF(ISERROR(VALUE(E540)),E540&amp;"",IF(AND(VALUE(E540)&gt;=1,VALUE(E540)&lt;=20),IF(INDEX(設定!$P$8:$P$27,VALUE(E540))="","？",INDEX(設定!$P$8:$P$27,VALUE(E540))),"？")))</f>
        <v/>
      </c>
      <c r="J540" s="50">
        <f>IF(F540="","",IF(ISERROR(VALUE(F540)),F540&amp;"",IF(AND(VALUE(F540)&gt;=1,VALUE(F540)&lt;=20),IF(INDEX(設定!$P$8:$P$27,VALUE(F540))="","？",INDEX(設定!$P$8:$P$27,VALUE(F540))),"？")))</f>
        <v/>
      </c>
      <c r="K540" s="51">
        <f>IF(L540="","",IF(G540="","名簿にいない",IF(COUNTIF(L541:L$555,L540)&gt;0,"2回提出（下の行を使います）",IF(H540="転出","転出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OR(AND(H540&lt;&gt;"",H540=I540),AND(H540&lt;&gt;"",H540=J540),AND(I540&lt;&gt;"",I540=J540)),"同じクラブを重複して希望","OK")))))))</f>
        <v/>
      </c>
      <c r="L540" s="11">
        <f>IF(OR(A540="",D540=""),"",A540&amp;"-"&amp;B540&amp;"-"&amp;C540)</f>
        <v/>
      </c>
      <c r="M540" s="11">
        <f>IF(OR(L540="",G540=""),"",IF(COUNTIF(L541:L$555,L540)=0,L540,""))</f>
        <v/>
      </c>
    </row>
    <row r="541">
      <c r="A541" s="49" t="n"/>
      <c r="B541" s="49" t="n"/>
      <c r="C541" s="49" t="n"/>
      <c r="D541" s="49" t="n"/>
      <c r="E541" s="49" t="n"/>
      <c r="F541" s="49" t="n"/>
      <c r="G541" s="4">
        <f>IF(A541="","",IFERROR(INDEX(前年度名簿!$D$3:$D$452,MATCH(A541&amp;"-"&amp;B541&amp;"-"&amp;C541,前年度名簿!$F$3:$F$452,0)),""))</f>
        <v/>
      </c>
      <c r="H541" s="50">
        <f>IF(D541="","",IF(ISERROR(VALUE(D541)),D541&amp;"",IF(AND(VALUE(D541)&gt;=1,VALUE(D541)&lt;=20),IF(INDEX(設定!$P$8:$P$27,VALUE(D541))="","？",INDEX(設定!$P$8:$P$27,VALUE(D541))),"？")))</f>
        <v/>
      </c>
      <c r="I541" s="50">
        <f>IF(E541="","",IF(ISERROR(VALUE(E541)),E541&amp;"",IF(AND(VALUE(E541)&gt;=1,VALUE(E541)&lt;=20),IF(INDEX(設定!$P$8:$P$27,VALUE(E541))="","？",INDEX(設定!$P$8:$P$27,VALUE(E541))),"？")))</f>
        <v/>
      </c>
      <c r="J541" s="50">
        <f>IF(F541="","",IF(ISERROR(VALUE(F541)),F541&amp;"",IF(AND(VALUE(F541)&gt;=1,VALUE(F541)&lt;=20),IF(INDEX(設定!$P$8:$P$27,VALUE(F541))="","？",INDEX(設定!$P$8:$P$27,VALUE(F541))),"？")))</f>
        <v/>
      </c>
      <c r="K541" s="51">
        <f>IF(L541="","",IF(G541="","名簿にいない",IF(COUNTIF(L542:L$555,L541)&gt;0,"2回提出（下の行を使います）",IF(H541="転出","転出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OR(AND(H541&lt;&gt;"",H541=I541),AND(H541&lt;&gt;"",H541=J541),AND(I541&lt;&gt;"",I541=J541)),"同じクラブを重複して希望","OK")))))))</f>
        <v/>
      </c>
      <c r="L541" s="11">
        <f>IF(OR(A541="",D541=""),"",A541&amp;"-"&amp;B541&amp;"-"&amp;C541)</f>
        <v/>
      </c>
      <c r="M541" s="11">
        <f>IF(OR(L541="",G541=""),"",IF(COUNTIF(L542:L$555,L541)=0,L541,""))</f>
        <v/>
      </c>
    </row>
    <row r="542">
      <c r="A542" s="49" t="n"/>
      <c r="B542" s="49" t="n"/>
      <c r="C542" s="49" t="n"/>
      <c r="D542" s="49" t="n"/>
      <c r="E542" s="49" t="n"/>
      <c r="F542" s="49" t="n"/>
      <c r="G542" s="4">
        <f>IF(A542="","",IFERROR(INDEX(前年度名簿!$D$3:$D$452,MATCH(A542&amp;"-"&amp;B542&amp;"-"&amp;C542,前年度名簿!$F$3:$F$452,0)),""))</f>
        <v/>
      </c>
      <c r="H542" s="50">
        <f>IF(D542="","",IF(ISERROR(VALUE(D542)),D542&amp;"",IF(AND(VALUE(D542)&gt;=1,VALUE(D542)&lt;=20),IF(INDEX(設定!$P$8:$P$27,VALUE(D542))="","？",INDEX(設定!$P$8:$P$27,VALUE(D542))),"？")))</f>
        <v/>
      </c>
      <c r="I542" s="50">
        <f>IF(E542="","",IF(ISERROR(VALUE(E542)),E542&amp;"",IF(AND(VALUE(E542)&gt;=1,VALUE(E542)&lt;=20),IF(INDEX(設定!$P$8:$P$27,VALUE(E542))="","？",INDEX(設定!$P$8:$P$27,VALUE(E542))),"？")))</f>
        <v/>
      </c>
      <c r="J542" s="50">
        <f>IF(F542="","",IF(ISERROR(VALUE(F542)),F542&amp;"",IF(AND(VALUE(F542)&gt;=1,VALUE(F542)&lt;=20),IF(INDEX(設定!$P$8:$P$27,VALUE(F542))="","？",INDEX(設定!$P$8:$P$27,VALUE(F542))),"？")))</f>
        <v/>
      </c>
      <c r="K542" s="51">
        <f>IF(L542="","",IF(G542="","名簿にいない",IF(COUNTIF(L543:L$555,L542)&gt;0,"2回提出（下の行を使います）",IF(H542="転出","転出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OR(AND(H542&lt;&gt;"",H542=I542),AND(H542&lt;&gt;"",H542=J542),AND(I542&lt;&gt;"",I542=J542)),"同じクラブを重複して希望","OK")))))))</f>
        <v/>
      </c>
      <c r="L542" s="11">
        <f>IF(OR(A542="",D542=""),"",A542&amp;"-"&amp;B542&amp;"-"&amp;C542)</f>
        <v/>
      </c>
      <c r="M542" s="11">
        <f>IF(OR(L542="",G542=""),"",IF(COUNTIF(L543:L$555,L542)=0,L542,""))</f>
        <v/>
      </c>
    </row>
    <row r="543">
      <c r="A543" s="49" t="n"/>
      <c r="B543" s="49" t="n"/>
      <c r="C543" s="49" t="n"/>
      <c r="D543" s="49" t="n"/>
      <c r="E543" s="49" t="n"/>
      <c r="F543" s="49" t="n"/>
      <c r="G543" s="4">
        <f>IF(A543="","",IFERROR(INDEX(前年度名簿!$D$3:$D$452,MATCH(A543&amp;"-"&amp;B543&amp;"-"&amp;C543,前年度名簿!$F$3:$F$452,0)),""))</f>
        <v/>
      </c>
      <c r="H543" s="50">
        <f>IF(D543="","",IF(ISERROR(VALUE(D543)),D543&amp;"",IF(AND(VALUE(D543)&gt;=1,VALUE(D543)&lt;=20),IF(INDEX(設定!$P$8:$P$27,VALUE(D543))="","？",INDEX(設定!$P$8:$P$27,VALUE(D543))),"？")))</f>
        <v/>
      </c>
      <c r="I543" s="50">
        <f>IF(E543="","",IF(ISERROR(VALUE(E543)),E543&amp;"",IF(AND(VALUE(E543)&gt;=1,VALUE(E543)&lt;=20),IF(INDEX(設定!$P$8:$P$27,VALUE(E543))="","？",INDEX(設定!$P$8:$P$27,VALUE(E543))),"？")))</f>
        <v/>
      </c>
      <c r="J543" s="50">
        <f>IF(F543="","",IF(ISERROR(VALUE(F543)),F543&amp;"",IF(AND(VALUE(F543)&gt;=1,VALUE(F543)&lt;=20),IF(INDEX(設定!$P$8:$P$27,VALUE(F543))="","？",INDEX(設定!$P$8:$P$27,VALUE(F543))),"？")))</f>
        <v/>
      </c>
      <c r="K543" s="51">
        <f>IF(L543="","",IF(G543="","名簿にいない",IF(COUNTIF(L544:L$555,L543)&gt;0,"2回提出（下の行を使います）",IF(H543="転出","転出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OR(AND(H543&lt;&gt;"",H543=I543),AND(H543&lt;&gt;"",H543=J543),AND(I543&lt;&gt;"",I543=J543)),"同じクラブを重複して希望","OK")))))))</f>
        <v/>
      </c>
      <c r="L543" s="11">
        <f>IF(OR(A543="",D543=""),"",A543&amp;"-"&amp;B543&amp;"-"&amp;C543)</f>
        <v/>
      </c>
      <c r="M543" s="11">
        <f>IF(OR(L543="",G543=""),"",IF(COUNTIF(L544:L$555,L543)=0,L543,""))</f>
        <v/>
      </c>
    </row>
    <row r="544">
      <c r="A544" s="49" t="n"/>
      <c r="B544" s="49" t="n"/>
      <c r="C544" s="49" t="n"/>
      <c r="D544" s="49" t="n"/>
      <c r="E544" s="49" t="n"/>
      <c r="F544" s="49" t="n"/>
      <c r="G544" s="4">
        <f>IF(A544="","",IFERROR(INDEX(前年度名簿!$D$3:$D$452,MATCH(A544&amp;"-"&amp;B544&amp;"-"&amp;C544,前年度名簿!$F$3:$F$452,0)),""))</f>
        <v/>
      </c>
      <c r="H544" s="50">
        <f>IF(D544="","",IF(ISERROR(VALUE(D544)),D544&amp;"",IF(AND(VALUE(D544)&gt;=1,VALUE(D544)&lt;=20),IF(INDEX(設定!$P$8:$P$27,VALUE(D544))="","？",INDEX(設定!$P$8:$P$27,VALUE(D544))),"？")))</f>
        <v/>
      </c>
      <c r="I544" s="50">
        <f>IF(E544="","",IF(ISERROR(VALUE(E544)),E544&amp;"",IF(AND(VALUE(E544)&gt;=1,VALUE(E544)&lt;=20),IF(INDEX(設定!$P$8:$P$27,VALUE(E544))="","？",INDEX(設定!$P$8:$P$27,VALUE(E544))),"？")))</f>
        <v/>
      </c>
      <c r="J544" s="50">
        <f>IF(F544="","",IF(ISERROR(VALUE(F544)),F544&amp;"",IF(AND(VALUE(F544)&gt;=1,VALUE(F544)&lt;=20),IF(INDEX(設定!$P$8:$P$27,VALUE(F544))="","？",INDEX(設定!$P$8:$P$27,VALUE(F544))),"？")))</f>
        <v/>
      </c>
      <c r="K544" s="51">
        <f>IF(L544="","",IF(G544="","名簿にいない",IF(COUNTIF(L545:L$555,L544)&gt;0,"2回提出（下の行を使います）",IF(H544="転出","転出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OR(AND(H544&lt;&gt;"",H544=I544),AND(H544&lt;&gt;"",H544=J544),AND(I544&lt;&gt;"",I544=J544)),"同じクラブを重複して希望","OK")))))))</f>
        <v/>
      </c>
      <c r="L544" s="11">
        <f>IF(OR(A544="",D544=""),"",A544&amp;"-"&amp;B544&amp;"-"&amp;C544)</f>
        <v/>
      </c>
      <c r="M544" s="11">
        <f>IF(OR(L544="",G544=""),"",IF(COUNTIF(L545:L$555,L544)=0,L544,""))</f>
        <v/>
      </c>
    </row>
    <row r="545">
      <c r="A545" s="49" t="n"/>
      <c r="B545" s="49" t="n"/>
      <c r="C545" s="49" t="n"/>
      <c r="D545" s="49" t="n"/>
      <c r="E545" s="49" t="n"/>
      <c r="F545" s="49" t="n"/>
      <c r="G545" s="4">
        <f>IF(A545="","",IFERROR(INDEX(前年度名簿!$D$3:$D$452,MATCH(A545&amp;"-"&amp;B545&amp;"-"&amp;C545,前年度名簿!$F$3:$F$452,0)),""))</f>
        <v/>
      </c>
      <c r="H545" s="50">
        <f>IF(D545="","",IF(ISERROR(VALUE(D545)),D545&amp;"",IF(AND(VALUE(D545)&gt;=1,VALUE(D545)&lt;=20),IF(INDEX(設定!$P$8:$P$27,VALUE(D545))="","？",INDEX(設定!$P$8:$P$27,VALUE(D545))),"？")))</f>
        <v/>
      </c>
      <c r="I545" s="50">
        <f>IF(E545="","",IF(ISERROR(VALUE(E545)),E545&amp;"",IF(AND(VALUE(E545)&gt;=1,VALUE(E545)&lt;=20),IF(INDEX(設定!$P$8:$P$27,VALUE(E545))="","？",INDEX(設定!$P$8:$P$27,VALUE(E545))),"？")))</f>
        <v/>
      </c>
      <c r="J545" s="50">
        <f>IF(F545="","",IF(ISERROR(VALUE(F545)),F545&amp;"",IF(AND(VALUE(F545)&gt;=1,VALUE(F545)&lt;=20),IF(INDEX(設定!$P$8:$P$27,VALUE(F545))="","？",INDEX(設定!$P$8:$P$27,VALUE(F545))),"？")))</f>
        <v/>
      </c>
      <c r="K545" s="51">
        <f>IF(L545="","",IF(G545="","名簿にいない",IF(COUNTIF(L546:L$555,L545)&gt;0,"2回提出（下の行を使います）",IF(H545="転出","転出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OR(AND(H545&lt;&gt;"",H545=I545),AND(H545&lt;&gt;"",H545=J545),AND(I545&lt;&gt;"",I545=J545)),"同じクラブを重複して希望","OK")))))))</f>
        <v/>
      </c>
      <c r="L545" s="11">
        <f>IF(OR(A545="",D545=""),"",A545&amp;"-"&amp;B545&amp;"-"&amp;C545)</f>
        <v/>
      </c>
      <c r="M545" s="11">
        <f>IF(OR(L545="",G545=""),"",IF(COUNTIF(L546:L$555,L545)=0,L545,""))</f>
        <v/>
      </c>
    </row>
    <row r="546">
      <c r="A546" s="49" t="n"/>
      <c r="B546" s="49" t="n"/>
      <c r="C546" s="49" t="n"/>
      <c r="D546" s="49" t="n"/>
      <c r="E546" s="49" t="n"/>
      <c r="F546" s="49" t="n"/>
      <c r="G546" s="4">
        <f>IF(A546="","",IFERROR(INDEX(前年度名簿!$D$3:$D$452,MATCH(A546&amp;"-"&amp;B546&amp;"-"&amp;C546,前年度名簿!$F$3:$F$452,0)),""))</f>
        <v/>
      </c>
      <c r="H546" s="50">
        <f>IF(D546="","",IF(ISERROR(VALUE(D546)),D546&amp;"",IF(AND(VALUE(D546)&gt;=1,VALUE(D546)&lt;=20),IF(INDEX(設定!$P$8:$P$27,VALUE(D546))="","？",INDEX(設定!$P$8:$P$27,VALUE(D546))),"？")))</f>
        <v/>
      </c>
      <c r="I546" s="50">
        <f>IF(E546="","",IF(ISERROR(VALUE(E546)),E546&amp;"",IF(AND(VALUE(E546)&gt;=1,VALUE(E546)&lt;=20),IF(INDEX(設定!$P$8:$P$27,VALUE(E546))="","？",INDEX(設定!$P$8:$P$27,VALUE(E546))),"？")))</f>
        <v/>
      </c>
      <c r="J546" s="50">
        <f>IF(F546="","",IF(ISERROR(VALUE(F546)),F546&amp;"",IF(AND(VALUE(F546)&gt;=1,VALUE(F546)&lt;=20),IF(INDEX(設定!$P$8:$P$27,VALUE(F546))="","？",INDEX(設定!$P$8:$P$27,VALUE(F546))),"？")))</f>
        <v/>
      </c>
      <c r="K546" s="51">
        <f>IF(L546="","",IF(G546="","名簿にいない",IF(COUNTIF(L547:L$555,L546)&gt;0,"2回提出（下の行を使います）",IF(H546="転出","転出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OR(AND(H546&lt;&gt;"",H546=I546),AND(H546&lt;&gt;"",H546=J546),AND(I546&lt;&gt;"",I546=J546)),"同じクラブを重複して希望","OK")))))))</f>
        <v/>
      </c>
      <c r="L546" s="11">
        <f>IF(OR(A546="",D546=""),"",A546&amp;"-"&amp;B546&amp;"-"&amp;C546)</f>
        <v/>
      </c>
      <c r="M546" s="11">
        <f>IF(OR(L546="",G546=""),"",IF(COUNTIF(L547:L$555,L546)=0,L546,""))</f>
        <v/>
      </c>
    </row>
    <row r="547">
      <c r="A547" s="49" t="n"/>
      <c r="B547" s="49" t="n"/>
      <c r="C547" s="49" t="n"/>
      <c r="D547" s="49" t="n"/>
      <c r="E547" s="49" t="n"/>
      <c r="F547" s="49" t="n"/>
      <c r="G547" s="4">
        <f>IF(A547="","",IFERROR(INDEX(前年度名簿!$D$3:$D$452,MATCH(A547&amp;"-"&amp;B547&amp;"-"&amp;C547,前年度名簿!$F$3:$F$452,0)),""))</f>
        <v/>
      </c>
      <c r="H547" s="50">
        <f>IF(D547="","",IF(ISERROR(VALUE(D547)),D547&amp;"",IF(AND(VALUE(D547)&gt;=1,VALUE(D547)&lt;=20),IF(INDEX(設定!$P$8:$P$27,VALUE(D547))="","？",INDEX(設定!$P$8:$P$27,VALUE(D547))),"？")))</f>
        <v/>
      </c>
      <c r="I547" s="50">
        <f>IF(E547="","",IF(ISERROR(VALUE(E547)),E547&amp;"",IF(AND(VALUE(E547)&gt;=1,VALUE(E547)&lt;=20),IF(INDEX(設定!$P$8:$P$27,VALUE(E547))="","？",INDEX(設定!$P$8:$P$27,VALUE(E547))),"？")))</f>
        <v/>
      </c>
      <c r="J547" s="50">
        <f>IF(F547="","",IF(ISERROR(VALUE(F547)),F547&amp;"",IF(AND(VALUE(F547)&gt;=1,VALUE(F547)&lt;=20),IF(INDEX(設定!$P$8:$P$27,VALUE(F547))="","？",INDEX(設定!$P$8:$P$27,VALUE(F547))),"？")))</f>
        <v/>
      </c>
      <c r="K547" s="51">
        <f>IF(L547="","",IF(G547="","名簿にいない",IF(COUNTIF(L548:L$555,L547)&gt;0,"2回提出（下の行を使います）",IF(H547="転出","転出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OR(AND(H547&lt;&gt;"",H547=I547),AND(H547&lt;&gt;"",H547=J547),AND(I547&lt;&gt;"",I547=J547)),"同じクラブを重複して希望","OK")))))))</f>
        <v/>
      </c>
      <c r="L547" s="11">
        <f>IF(OR(A547="",D547=""),"",A547&amp;"-"&amp;B547&amp;"-"&amp;C547)</f>
        <v/>
      </c>
      <c r="M547" s="11">
        <f>IF(OR(L547="",G547=""),"",IF(COUNTIF(L548:L$555,L547)=0,L547,""))</f>
        <v/>
      </c>
    </row>
    <row r="548">
      <c r="A548" s="49" t="n"/>
      <c r="B548" s="49" t="n"/>
      <c r="C548" s="49" t="n"/>
      <c r="D548" s="49" t="n"/>
      <c r="E548" s="49" t="n"/>
      <c r="F548" s="49" t="n"/>
      <c r="G548" s="4">
        <f>IF(A548="","",IFERROR(INDEX(前年度名簿!$D$3:$D$452,MATCH(A548&amp;"-"&amp;B548&amp;"-"&amp;C548,前年度名簿!$F$3:$F$452,0)),""))</f>
        <v/>
      </c>
      <c r="H548" s="50">
        <f>IF(D548="","",IF(ISERROR(VALUE(D548)),D548&amp;"",IF(AND(VALUE(D548)&gt;=1,VALUE(D548)&lt;=20),IF(INDEX(設定!$P$8:$P$27,VALUE(D548))="","？",INDEX(設定!$P$8:$P$27,VALUE(D548))),"？")))</f>
        <v/>
      </c>
      <c r="I548" s="50">
        <f>IF(E548="","",IF(ISERROR(VALUE(E548)),E548&amp;"",IF(AND(VALUE(E548)&gt;=1,VALUE(E548)&lt;=20),IF(INDEX(設定!$P$8:$P$27,VALUE(E548))="","？",INDEX(設定!$P$8:$P$27,VALUE(E548))),"？")))</f>
        <v/>
      </c>
      <c r="J548" s="50">
        <f>IF(F548="","",IF(ISERROR(VALUE(F548)),F548&amp;"",IF(AND(VALUE(F548)&gt;=1,VALUE(F548)&lt;=20),IF(INDEX(設定!$P$8:$P$27,VALUE(F548))="","？",INDEX(設定!$P$8:$P$27,VALUE(F548))),"？")))</f>
        <v/>
      </c>
      <c r="K548" s="51">
        <f>IF(L548="","",IF(G548="","名簿にいない",IF(COUNTIF(L549:L$555,L548)&gt;0,"2回提出（下の行を使います）",IF(H548="転出","転出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OR(AND(H548&lt;&gt;"",H548=I548),AND(H548&lt;&gt;"",H548=J548),AND(I548&lt;&gt;"",I548=J548)),"同じクラブを重複して希望","OK")))))))</f>
        <v/>
      </c>
      <c r="L548" s="11">
        <f>IF(OR(A548="",D548=""),"",A548&amp;"-"&amp;B548&amp;"-"&amp;C548)</f>
        <v/>
      </c>
      <c r="M548" s="11">
        <f>IF(OR(L548="",G548=""),"",IF(COUNTIF(L549:L$555,L548)=0,L548,""))</f>
        <v/>
      </c>
    </row>
    <row r="549">
      <c r="A549" s="49" t="n"/>
      <c r="B549" s="49" t="n"/>
      <c r="C549" s="49" t="n"/>
      <c r="D549" s="49" t="n"/>
      <c r="E549" s="49" t="n"/>
      <c r="F549" s="49" t="n"/>
      <c r="G549" s="4">
        <f>IF(A549="","",IFERROR(INDEX(前年度名簿!$D$3:$D$452,MATCH(A549&amp;"-"&amp;B549&amp;"-"&amp;C549,前年度名簿!$F$3:$F$452,0)),""))</f>
        <v/>
      </c>
      <c r="H549" s="50">
        <f>IF(D549="","",IF(ISERROR(VALUE(D549)),D549&amp;"",IF(AND(VALUE(D549)&gt;=1,VALUE(D549)&lt;=20),IF(INDEX(設定!$P$8:$P$27,VALUE(D549))="","？",INDEX(設定!$P$8:$P$27,VALUE(D549))),"？")))</f>
        <v/>
      </c>
      <c r="I549" s="50">
        <f>IF(E549="","",IF(ISERROR(VALUE(E549)),E549&amp;"",IF(AND(VALUE(E549)&gt;=1,VALUE(E549)&lt;=20),IF(INDEX(設定!$P$8:$P$27,VALUE(E549))="","？",INDEX(設定!$P$8:$P$27,VALUE(E549))),"？")))</f>
        <v/>
      </c>
      <c r="J549" s="50">
        <f>IF(F549="","",IF(ISERROR(VALUE(F549)),F549&amp;"",IF(AND(VALUE(F549)&gt;=1,VALUE(F549)&lt;=20),IF(INDEX(設定!$P$8:$P$27,VALUE(F549))="","？",INDEX(設定!$P$8:$P$27,VALUE(F549))),"？")))</f>
        <v/>
      </c>
      <c r="K549" s="51">
        <f>IF(L549="","",IF(G549="","名簿にいない",IF(COUNTIF(L550:L$555,L549)&gt;0,"2回提出（下の行を使います）",IF(H549="転出","転出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OR(AND(H549&lt;&gt;"",H549=I549),AND(H549&lt;&gt;"",H549=J549),AND(I549&lt;&gt;"",I549=J549)),"同じクラブを重複して希望","OK")))))))</f>
        <v/>
      </c>
      <c r="L549" s="11">
        <f>IF(OR(A549="",D549=""),"",A549&amp;"-"&amp;B549&amp;"-"&amp;C549)</f>
        <v/>
      </c>
      <c r="M549" s="11">
        <f>IF(OR(L549="",G549=""),"",IF(COUNTIF(L550:L$555,L549)=0,L549,""))</f>
        <v/>
      </c>
    </row>
    <row r="550">
      <c r="A550" s="49" t="n"/>
      <c r="B550" s="49" t="n"/>
      <c r="C550" s="49" t="n"/>
      <c r="D550" s="49" t="n"/>
      <c r="E550" s="49" t="n"/>
      <c r="F550" s="49" t="n"/>
      <c r="G550" s="4">
        <f>IF(A550="","",IFERROR(INDEX(前年度名簿!$D$3:$D$452,MATCH(A550&amp;"-"&amp;B550&amp;"-"&amp;C550,前年度名簿!$F$3:$F$452,0)),""))</f>
        <v/>
      </c>
      <c r="H550" s="50">
        <f>IF(D550="","",IF(ISERROR(VALUE(D550)),D550&amp;"",IF(AND(VALUE(D550)&gt;=1,VALUE(D550)&lt;=20),IF(INDEX(設定!$P$8:$P$27,VALUE(D550))="","？",INDEX(設定!$P$8:$P$27,VALUE(D550))),"？")))</f>
        <v/>
      </c>
      <c r="I550" s="50">
        <f>IF(E550="","",IF(ISERROR(VALUE(E550)),E550&amp;"",IF(AND(VALUE(E550)&gt;=1,VALUE(E550)&lt;=20),IF(INDEX(設定!$P$8:$P$27,VALUE(E550))="","？",INDEX(設定!$P$8:$P$27,VALUE(E550))),"？")))</f>
        <v/>
      </c>
      <c r="J550" s="50">
        <f>IF(F550="","",IF(ISERROR(VALUE(F550)),F550&amp;"",IF(AND(VALUE(F550)&gt;=1,VALUE(F550)&lt;=20),IF(INDEX(設定!$P$8:$P$27,VALUE(F550))="","？",INDEX(設定!$P$8:$P$27,VALUE(F550))),"？")))</f>
        <v/>
      </c>
      <c r="K550" s="51">
        <f>IF(L550="","",IF(G550="","名簿にいない",IF(COUNTIF(L551:L$555,L550)&gt;0,"2回提出（下の行を使います）",IF(H550="転出","転出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OR(AND(H550&lt;&gt;"",H550=I550),AND(H550&lt;&gt;"",H550=J550),AND(I550&lt;&gt;"",I550=J550)),"同じクラブを重複して希望","OK")))))))</f>
        <v/>
      </c>
      <c r="L550" s="11">
        <f>IF(OR(A550="",D550=""),"",A550&amp;"-"&amp;B550&amp;"-"&amp;C550)</f>
        <v/>
      </c>
      <c r="M550" s="11">
        <f>IF(OR(L550="",G550=""),"",IF(COUNTIF(L551:L$555,L550)=0,L550,""))</f>
        <v/>
      </c>
    </row>
    <row r="551">
      <c r="A551" s="49" t="n"/>
      <c r="B551" s="49" t="n"/>
      <c r="C551" s="49" t="n"/>
      <c r="D551" s="49" t="n"/>
      <c r="E551" s="49" t="n"/>
      <c r="F551" s="49" t="n"/>
      <c r="G551" s="4">
        <f>IF(A551="","",IFERROR(INDEX(前年度名簿!$D$3:$D$452,MATCH(A551&amp;"-"&amp;B551&amp;"-"&amp;C551,前年度名簿!$F$3:$F$452,0)),""))</f>
        <v/>
      </c>
      <c r="H551" s="50">
        <f>IF(D551="","",IF(ISERROR(VALUE(D551)),D551&amp;"",IF(AND(VALUE(D551)&gt;=1,VALUE(D551)&lt;=20),IF(INDEX(設定!$P$8:$P$27,VALUE(D551))="","？",INDEX(設定!$P$8:$P$27,VALUE(D551))),"？")))</f>
        <v/>
      </c>
      <c r="I551" s="50">
        <f>IF(E551="","",IF(ISERROR(VALUE(E551)),E551&amp;"",IF(AND(VALUE(E551)&gt;=1,VALUE(E551)&lt;=20),IF(INDEX(設定!$P$8:$P$27,VALUE(E551))="","？",INDEX(設定!$P$8:$P$27,VALUE(E551))),"？")))</f>
        <v/>
      </c>
      <c r="J551" s="50">
        <f>IF(F551="","",IF(ISERROR(VALUE(F551)),F551&amp;"",IF(AND(VALUE(F551)&gt;=1,VALUE(F551)&lt;=20),IF(INDEX(設定!$P$8:$P$27,VALUE(F551))="","？",INDEX(設定!$P$8:$P$27,VALUE(F551))),"？")))</f>
        <v/>
      </c>
      <c r="K551" s="51">
        <f>IF(L551="","",IF(G551="","名簿にいない",IF(COUNTIF(L552:L$555,L551)&gt;0,"2回提出（下の行を使います）",IF(H551="転出","転出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OR(AND(H551&lt;&gt;"",H551=I551),AND(H551&lt;&gt;"",H551=J551),AND(I551&lt;&gt;"",I551=J551)),"同じクラブを重複して希望","OK")))))))</f>
        <v/>
      </c>
      <c r="L551" s="11">
        <f>IF(OR(A551="",D551=""),"",A551&amp;"-"&amp;B551&amp;"-"&amp;C551)</f>
        <v/>
      </c>
      <c r="M551" s="11">
        <f>IF(OR(L551="",G551=""),"",IF(COUNTIF(L552:L$555,L551)=0,L551,""))</f>
        <v/>
      </c>
    </row>
    <row r="552">
      <c r="A552" s="49" t="n"/>
      <c r="B552" s="49" t="n"/>
      <c r="C552" s="49" t="n"/>
      <c r="D552" s="49" t="n"/>
      <c r="E552" s="49" t="n"/>
      <c r="F552" s="49" t="n"/>
      <c r="G552" s="4">
        <f>IF(A552="","",IFERROR(INDEX(前年度名簿!$D$3:$D$452,MATCH(A552&amp;"-"&amp;B552&amp;"-"&amp;C552,前年度名簿!$F$3:$F$452,0)),""))</f>
        <v/>
      </c>
      <c r="H552" s="50">
        <f>IF(D552="","",IF(ISERROR(VALUE(D552)),D552&amp;"",IF(AND(VALUE(D552)&gt;=1,VALUE(D552)&lt;=20),IF(INDEX(設定!$P$8:$P$27,VALUE(D552))="","？",INDEX(設定!$P$8:$P$27,VALUE(D552))),"？")))</f>
        <v/>
      </c>
      <c r="I552" s="50">
        <f>IF(E552="","",IF(ISERROR(VALUE(E552)),E552&amp;"",IF(AND(VALUE(E552)&gt;=1,VALUE(E552)&lt;=20),IF(INDEX(設定!$P$8:$P$27,VALUE(E552))="","？",INDEX(設定!$P$8:$P$27,VALUE(E552))),"？")))</f>
        <v/>
      </c>
      <c r="J552" s="50">
        <f>IF(F552="","",IF(ISERROR(VALUE(F552)),F552&amp;"",IF(AND(VALUE(F552)&gt;=1,VALUE(F552)&lt;=20),IF(INDEX(設定!$P$8:$P$27,VALUE(F552))="","？",INDEX(設定!$P$8:$P$27,VALUE(F552))),"？")))</f>
        <v/>
      </c>
      <c r="K552" s="51">
        <f>IF(L552="","",IF(G552="","名簿にいない",IF(COUNTIF(L553:L$555,L552)&gt;0,"2回提出（下の行を使います）",IF(H552="転出","転出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OR(AND(H552&lt;&gt;"",H552=I552),AND(H552&lt;&gt;"",H552=J552),AND(I552&lt;&gt;"",I552=J552)),"同じクラブを重複して希望","OK")))))))</f>
        <v/>
      </c>
      <c r="L552" s="11">
        <f>IF(OR(A552="",D552=""),"",A552&amp;"-"&amp;B552&amp;"-"&amp;C552)</f>
        <v/>
      </c>
      <c r="M552" s="11">
        <f>IF(OR(L552="",G552=""),"",IF(COUNTIF(L553:L$555,L552)=0,L552,""))</f>
        <v/>
      </c>
    </row>
    <row r="553">
      <c r="A553" s="49" t="n"/>
      <c r="B553" s="49" t="n"/>
      <c r="C553" s="49" t="n"/>
      <c r="D553" s="49" t="n"/>
      <c r="E553" s="49" t="n"/>
      <c r="F553" s="49" t="n"/>
      <c r="G553" s="4">
        <f>IF(A553="","",IFERROR(INDEX(前年度名簿!$D$3:$D$452,MATCH(A553&amp;"-"&amp;B553&amp;"-"&amp;C553,前年度名簿!$F$3:$F$452,0)),""))</f>
        <v/>
      </c>
      <c r="H553" s="50">
        <f>IF(D553="","",IF(ISERROR(VALUE(D553)),D553&amp;"",IF(AND(VALUE(D553)&gt;=1,VALUE(D553)&lt;=20),IF(INDEX(設定!$P$8:$P$27,VALUE(D553))="","？",INDEX(設定!$P$8:$P$27,VALUE(D553))),"？")))</f>
        <v/>
      </c>
      <c r="I553" s="50">
        <f>IF(E553="","",IF(ISERROR(VALUE(E553)),E553&amp;"",IF(AND(VALUE(E553)&gt;=1,VALUE(E553)&lt;=20),IF(INDEX(設定!$P$8:$P$27,VALUE(E553))="","？",INDEX(設定!$P$8:$P$27,VALUE(E553))),"？")))</f>
        <v/>
      </c>
      <c r="J553" s="50">
        <f>IF(F553="","",IF(ISERROR(VALUE(F553)),F553&amp;"",IF(AND(VALUE(F553)&gt;=1,VALUE(F553)&lt;=20),IF(INDEX(設定!$P$8:$P$27,VALUE(F553))="","？",INDEX(設定!$P$8:$P$27,VALUE(F553))),"？")))</f>
        <v/>
      </c>
      <c r="K553" s="51">
        <f>IF(L553="","",IF(G553="","名簿にいない",IF(COUNTIF(L554:L$555,L553)&gt;0,"2回提出（下の行を使います）",IF(H553="転出","転出",IF(OR(H553="？",I553="？",J553="？"),"クラブ番号がちがう",IF(OR(AND(H553&lt;&gt;"",H553&lt;&gt;"？",COUNTIF(設定!$P$8:$P$27,H553)=0),AND(I553&lt;&gt;"",I553&lt;&gt;"？",COUNTIF(設定!$P$8:$P$27,I553)=0),AND(J553&lt;&gt;"",J553&lt;&gt;"？",COUNTIF(設定!$P$8:$P$27,J553)=0)),"クラブ名がちがう",IF(OR(AND(H553&lt;&gt;"",H553=I553),AND(H553&lt;&gt;"",H553=J553),AND(I553&lt;&gt;"",I553=J553)),"同じクラブを重複して希望","OK")))))))</f>
        <v/>
      </c>
      <c r="L553" s="11">
        <f>IF(OR(A553="",D553=""),"",A553&amp;"-"&amp;B553&amp;"-"&amp;C553)</f>
        <v/>
      </c>
      <c r="M553" s="11">
        <f>IF(OR(L553="",G553=""),"",IF(COUNTIF(L554:L$555,L553)=0,L553,""))</f>
        <v/>
      </c>
    </row>
    <row r="554">
      <c r="A554" s="49" t="n"/>
      <c r="B554" s="49" t="n"/>
      <c r="C554" s="49" t="n"/>
      <c r="D554" s="49" t="n"/>
      <c r="E554" s="49" t="n"/>
      <c r="F554" s="49" t="n"/>
      <c r="G554" s="4">
        <f>IF(A554="","",IFERROR(INDEX(前年度名簿!$D$3:$D$452,MATCH(A554&amp;"-"&amp;B554&amp;"-"&amp;C554,前年度名簿!$F$3:$F$452,0)),""))</f>
        <v/>
      </c>
      <c r="H554" s="50">
        <f>IF(D554="","",IF(ISERROR(VALUE(D554)),D554&amp;"",IF(AND(VALUE(D554)&gt;=1,VALUE(D554)&lt;=20),IF(INDEX(設定!$P$8:$P$27,VALUE(D554))="","？",INDEX(設定!$P$8:$P$27,VALUE(D554))),"？")))</f>
        <v/>
      </c>
      <c r="I554" s="50">
        <f>IF(E554="","",IF(ISERROR(VALUE(E554)),E554&amp;"",IF(AND(VALUE(E554)&gt;=1,VALUE(E554)&lt;=20),IF(INDEX(設定!$P$8:$P$27,VALUE(E554))="","？",INDEX(設定!$P$8:$P$27,VALUE(E554))),"？")))</f>
        <v/>
      </c>
      <c r="J554" s="50">
        <f>IF(F554="","",IF(ISERROR(VALUE(F554)),F554&amp;"",IF(AND(VALUE(F554)&gt;=1,VALUE(F554)&lt;=20),IF(INDEX(設定!$P$8:$P$27,VALUE(F554))="","？",INDEX(設定!$P$8:$P$27,VALUE(F554))),"？")))</f>
        <v/>
      </c>
      <c r="K554" s="51">
        <f>IF(L554="","",IF(G554="","名簿にいない",IF(COUNTIF(L555:L$555,L554)&gt;0,"2回提出（下の行を使います）",IF(H554="転出","転出",IF(OR(H554="？",I554="？",J554="？"),"クラブ番号がちがう",IF(OR(AND(H554&lt;&gt;"",H554&lt;&gt;"？",COUNTIF(設定!$P$8:$P$27,H554)=0),AND(I554&lt;&gt;"",I554&lt;&gt;"？",COUNTIF(設定!$P$8:$P$27,I554)=0),AND(J554&lt;&gt;"",J554&lt;&gt;"？",COUNTIF(設定!$P$8:$P$27,J554)=0)),"クラブ名がちがう",IF(OR(AND(H554&lt;&gt;"",H554=I554),AND(H554&lt;&gt;"",H554=J554),AND(I554&lt;&gt;"",I554=J554)),"同じクラブを重複して希望","OK")))))))</f>
        <v/>
      </c>
      <c r="L554" s="11">
        <f>IF(OR(A554="",D554=""),"",A554&amp;"-"&amp;B554&amp;"-"&amp;C554)</f>
        <v/>
      </c>
      <c r="M554" s="11">
        <f>IF(OR(L554="",G554=""),"",IF(COUNTIF(L555:L$555,L554)=0,L554,""))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2:K2"/>
    <mergeCell ref="A1:F1"/>
    <mergeCell ref="A3:K3"/>
  </mergeCells>
  <conditionalFormatting sqref="K5:K554">
    <cfRule type="expression" priority="1" dxfId="11">
      <formula>K5="転出"</formula>
    </cfRule>
    <cfRule type="expression" priority="2" dxfId="8">
      <formula>AND(K5&lt;&gt;"",K5&lt;&gt;"OK")</formula>
    </cfRule>
  </conditionalFormatting>
  <conditionalFormatting sqref="H5:J554">
    <cfRule type="expression" priority="3" dxfId="8">
      <formula>H5="？"</formula>
    </cfRule>
  </conditionalFormatting>
  <conditionalFormatting sqref="A5:K554">
    <cfRule type="expression" priority="4" dxfId="11">
      <formula>$D5="転出"</formula>
    </cfRule>
  </conditionalFormatting>
  <conditionalFormatting sqref="E4:E554">
    <cfRule type="expression" priority="5" dxfId="11">
      <formula>設定!$Q$33&lt;2</formula>
    </cfRule>
  </conditionalFormatting>
  <conditionalFormatting sqref="I4:I554">
    <cfRule type="expression" priority="6" dxfId="11">
      <formula>設定!$Q$33&lt;2</formula>
    </cfRule>
  </conditionalFormatting>
  <conditionalFormatting sqref="F4:F554">
    <cfRule type="expression" priority="7" dxfId="11">
      <formula>設定!$Q$33&lt;3</formula>
    </cfRule>
  </conditionalFormatting>
  <conditionalFormatting sqref="J4:J554">
    <cfRule type="expression" priority="8" dxfId="11">
      <formula>設定!$Q$33&lt;3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52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53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54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46" t="inlineStr">
        <is>
          <t>新学年</t>
        </is>
      </c>
      <c r="B6" s="46" t="inlineStr">
        <is>
          <t>前年度の組</t>
        </is>
      </c>
      <c r="C6" s="46" t="inlineStr">
        <is>
          <t>番号</t>
        </is>
      </c>
      <c r="D6" s="46" t="inlineStr">
        <is>
          <t>名前</t>
        </is>
      </c>
      <c r="E6" s="46" t="inlineStr">
        <is>
          <t>新年度の組</t>
        </is>
      </c>
      <c r="F6" s="46" t="inlineStr">
        <is>
          <t>新番号</t>
        </is>
      </c>
      <c r="G6" s="46" t="inlineStr">
        <is>
          <t>第1希望</t>
        </is>
      </c>
      <c r="H6" s="46">
        <f>IF(設定!$Q$33&gt;=2,"第2希望","（使いません）")</f>
        <v/>
      </c>
      <c r="I6" s="46">
        <f>IF(設定!$Q$33&gt;=3,"第3希望","（使いません）")</f>
        <v/>
      </c>
      <c r="J6" s="46" t="inlineStr">
        <is>
          <t>自動仮決定</t>
        </is>
      </c>
      <c r="K6" s="55" t="inlineStr">
        <is>
          <t>先生の決定</t>
        </is>
      </c>
      <c r="L6" s="46" t="inlineStr">
        <is>
          <t>最終決定</t>
        </is>
      </c>
      <c r="M6" s="46" t="inlineStr">
        <is>
          <t>状態</t>
        </is>
      </c>
      <c r="N6" s="46">
        <f>IF(設定!$Q$33&gt;=2,"第2希望の空き","（使いません）")</f>
        <v/>
      </c>
      <c r="O6" s="46">
        <f>IF(設定!$Q$33&gt;=3,"第3希望の空き","（使いません）")</f>
        <v/>
      </c>
      <c r="P6" s="48" t="inlineStr">
        <is>
          <t>名簿行</t>
        </is>
      </c>
      <c r="Q6" s="48" t="inlineStr">
        <is>
          <t>希望行</t>
        </is>
      </c>
      <c r="R6" s="48" t="inlineStr">
        <is>
          <t>キー</t>
        </is>
      </c>
      <c r="S6" s="48" t="inlineStr">
        <is>
          <t>名前キー</t>
        </is>
      </c>
      <c r="T6" s="48" t="inlineStr">
        <is>
          <t>新名簿行</t>
        </is>
      </c>
      <c r="U6" s="48" t="inlineStr">
        <is>
          <t>クラブNo</t>
        </is>
      </c>
      <c r="V6" s="48" t="inlineStr">
        <is>
          <t>順</t>
        </is>
      </c>
      <c r="W6" s="48" t="inlineStr">
        <is>
          <t>一覧キー</t>
        </is>
      </c>
    </row>
    <row r="7">
      <c r="A7" s="50">
        <f>IF(P7="","",INDEX(前年度名簿!$H$3:$H$452,P7))</f>
        <v/>
      </c>
      <c r="B7" s="50">
        <f>IF(P7="","",IFERROR(INDEX(設定!$G$8:$G$31,INT(INDEX(前年度名簿!$G$3:$G$452,P7)/1000)),INDEX(前年度名簿!$A$3:$A$452,P7)&amp;INDEX(前年度名簿!$B$3:$B$452,P7)))</f>
        <v/>
      </c>
      <c r="C7" s="50">
        <f>IF(P7="","",INDEX(前年度名簿!$C$3:$C$452,P7))</f>
        <v/>
      </c>
      <c r="D7" s="4">
        <f>IF(P7="","",INDEX(前年度名簿!$D$3:$D$452,P7))</f>
        <v/>
      </c>
      <c r="E7" s="50">
        <f>IF(T7="","",INDEX(新年度名簿!$K$3:$K$452,T7))</f>
        <v/>
      </c>
      <c r="F7" s="50">
        <f>IF(T7="","",INDEX(新年度名簿!$C$3:$C$452,T7))</f>
        <v/>
      </c>
      <c r="G7" s="50">
        <f>IF(Q7="","",INDEX(希望入力!$H$5:$H$554,Q7)&amp;"")</f>
        <v/>
      </c>
      <c r="H7" s="50">
        <f>IF(Q7="","",INDEX(希望入力!$I$5:$I$554,Q7)&amp;"")</f>
        <v/>
      </c>
      <c r="I7" s="50">
        <f>IF(Q7="","",INDEX(希望入力!$J$5:$J$554,Q7)&amp;"")</f>
        <v/>
      </c>
      <c r="J7" s="50">
        <f>IF(Q7="","",IF(G7="転出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)</f>
        <v/>
      </c>
      <c r="K7" s="49" t="n"/>
      <c r="L7" s="56">
        <f>IF(P7="","",IF(G7="転出","",IF(K7&lt;&gt;"",K7,IF(OR(J7="",J7="要調整"),"",J7))))</f>
        <v/>
      </c>
      <c r="M7" s="50">
        <f>IF(P7="","",IF(OR(G7="転出",AND(計算用!$B$1=1,T7="")),"転出",IF(L7&lt;&gt;"","決定",IF(Q7="","未提出","要調整"))))</f>
        <v/>
      </c>
      <c r="N7" s="50">
        <f>IF(OR(M7&lt;&gt;"要調整",H7=""),"",IFERROR((INDEX(設定!$Q$8:$Q$27,MATCH(H7,設定!$P$8:$P$27,0))+N(INDEX(設定!$R$8:$R$27,MATCH(H7,設定!$P$8:$P$27,0))))-INDEX(定員チェック!$I$7:$I$26,MATCH(H7,設定!$P$8:$P$27,0))-COUNTIFS($M$7:$M$456,"要調整",$G$7:$G$456,H7),""))</f>
        <v/>
      </c>
      <c r="O7" s="50">
        <f>IF(OR(M7&lt;&gt;"要調整",I7=""),"",IFERROR((INDEX(設定!$Q$8:$Q$27,MATCH(I7,設定!$P$8:$P$27,0))+N(INDEX(設定!$R$8:$R$27,MATCH(I7,設定!$P$8:$P$27,0))))-INDEX(定員チェック!$I$7:$I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IF(R7="","",IFERROR(MATCH(R7,希望入力!$M$5:$M$554,0),""))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50">
        <f>IF(P8="","",INDEX(前年度名簿!$H$3:$H$452,P8))</f>
        <v/>
      </c>
      <c r="B8" s="50">
        <f>IF(P8="","",IFERROR(INDEX(設定!$G$8:$G$31,INT(INDEX(前年度名簿!$G$3:$G$452,P8)/1000)),INDEX(前年度名簿!$A$3:$A$452,P8)&amp;INDEX(前年度名簿!$B$3:$B$452,P8)))</f>
        <v/>
      </c>
      <c r="C8" s="50">
        <f>IF(P8="","",INDEX(前年度名簿!$C$3:$C$452,P8))</f>
        <v/>
      </c>
      <c r="D8" s="4">
        <f>IF(P8="","",INDEX(前年度名簿!$D$3:$D$452,P8))</f>
        <v/>
      </c>
      <c r="E8" s="50">
        <f>IF(T8="","",INDEX(新年度名簿!$K$3:$K$452,T8))</f>
        <v/>
      </c>
      <c r="F8" s="50">
        <f>IF(T8="","",INDEX(新年度名簿!$C$3:$C$452,T8))</f>
        <v/>
      </c>
      <c r="G8" s="50">
        <f>IF(Q8="","",INDEX(希望入力!$H$5:$H$554,Q8)&amp;"")</f>
        <v/>
      </c>
      <c r="H8" s="50">
        <f>IF(Q8="","",INDEX(希望入力!$I$5:$I$554,Q8)&amp;"")</f>
        <v/>
      </c>
      <c r="I8" s="50">
        <f>IF(Q8="","",INDEX(希望入力!$J$5:$J$554,Q8)&amp;"")</f>
        <v/>
      </c>
      <c r="J8" s="50">
        <f>IF(Q8="","",IF(G8="転出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)</f>
        <v/>
      </c>
      <c r="K8" s="49" t="n"/>
      <c r="L8" s="56">
        <f>IF(P8="","",IF(G8="転出","",IF(K8&lt;&gt;"",K8,IF(OR(J8="",J8="要調整"),"",J8))))</f>
        <v/>
      </c>
      <c r="M8" s="50">
        <f>IF(P8="","",IF(OR(G8="転出",AND(計算用!$B$1=1,T8="")),"転出",IF(L8&lt;&gt;"","決定",IF(Q8="","未提出","要調整"))))</f>
        <v/>
      </c>
      <c r="N8" s="50">
        <f>IF(OR(M8&lt;&gt;"要調整",H8=""),"",IFERROR((INDEX(設定!$Q$8:$Q$27,MATCH(H8,設定!$P$8:$P$27,0))+N(INDEX(設定!$R$8:$R$27,MATCH(H8,設定!$P$8:$P$27,0))))-INDEX(定員チェック!$I$7:$I$26,MATCH(H8,設定!$P$8:$P$27,0))-COUNTIFS($M$7:$M$456,"要調整",$G$7:$G$456,H8),""))</f>
        <v/>
      </c>
      <c r="O8" s="50">
        <f>IF(OR(M8&lt;&gt;"要調整",I8=""),"",IFERROR((INDEX(設定!$Q$8:$Q$27,MATCH(I8,設定!$P$8:$P$27,0))+N(INDEX(設定!$R$8:$R$27,MATCH(I8,設定!$P$8:$P$27,0))))-INDEX(定員チェック!$I$7:$I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IF(R8="","",IFERROR(MATCH(R8,希望入力!$M$5:$M$554,0),""))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50">
        <f>IF(P9="","",INDEX(前年度名簿!$H$3:$H$452,P9))</f>
        <v/>
      </c>
      <c r="B9" s="50">
        <f>IF(P9="","",IFERROR(INDEX(設定!$G$8:$G$31,INT(INDEX(前年度名簿!$G$3:$G$452,P9)/1000)),INDEX(前年度名簿!$A$3:$A$452,P9)&amp;INDEX(前年度名簿!$B$3:$B$452,P9)))</f>
        <v/>
      </c>
      <c r="C9" s="50">
        <f>IF(P9="","",INDEX(前年度名簿!$C$3:$C$452,P9))</f>
        <v/>
      </c>
      <c r="D9" s="4">
        <f>IF(P9="","",INDEX(前年度名簿!$D$3:$D$452,P9))</f>
        <v/>
      </c>
      <c r="E9" s="50">
        <f>IF(T9="","",INDEX(新年度名簿!$K$3:$K$452,T9))</f>
        <v/>
      </c>
      <c r="F9" s="50">
        <f>IF(T9="","",INDEX(新年度名簿!$C$3:$C$452,T9))</f>
        <v/>
      </c>
      <c r="G9" s="50">
        <f>IF(Q9="","",INDEX(希望入力!$H$5:$H$554,Q9)&amp;"")</f>
        <v/>
      </c>
      <c r="H9" s="50">
        <f>IF(Q9="","",INDEX(希望入力!$I$5:$I$554,Q9)&amp;"")</f>
        <v/>
      </c>
      <c r="I9" s="50">
        <f>IF(Q9="","",INDEX(希望入力!$J$5:$J$554,Q9)&amp;"")</f>
        <v/>
      </c>
      <c r="J9" s="50">
        <f>IF(Q9="","",IF(G9="転出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)</f>
        <v/>
      </c>
      <c r="K9" s="49" t="n"/>
      <c r="L9" s="56">
        <f>IF(P9="","",IF(G9="転出","",IF(K9&lt;&gt;"",K9,IF(OR(J9="",J9="要調整"),"",J9))))</f>
        <v/>
      </c>
      <c r="M9" s="50">
        <f>IF(P9="","",IF(OR(G9="転出",AND(計算用!$B$1=1,T9="")),"転出",IF(L9&lt;&gt;"","決定",IF(Q9="","未提出","要調整"))))</f>
        <v/>
      </c>
      <c r="N9" s="50">
        <f>IF(OR(M9&lt;&gt;"要調整",H9=""),"",IFERROR((INDEX(設定!$Q$8:$Q$27,MATCH(H9,設定!$P$8:$P$27,0))+N(INDEX(設定!$R$8:$R$27,MATCH(H9,設定!$P$8:$P$27,0))))-INDEX(定員チェック!$I$7:$I$26,MATCH(H9,設定!$P$8:$P$27,0))-COUNTIFS($M$7:$M$456,"要調整",$G$7:$G$456,H9),""))</f>
        <v/>
      </c>
      <c r="O9" s="50">
        <f>IF(OR(M9&lt;&gt;"要調整",I9=""),"",IFERROR((INDEX(設定!$Q$8:$Q$27,MATCH(I9,設定!$P$8:$P$27,0))+N(INDEX(設定!$R$8:$R$27,MATCH(I9,設定!$P$8:$P$27,0))))-INDEX(定員チェック!$I$7:$I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IF(R9="","",IFERROR(MATCH(R9,希望入力!$M$5:$M$554,0),""))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50">
        <f>IF(P10="","",INDEX(前年度名簿!$H$3:$H$452,P10))</f>
        <v/>
      </c>
      <c r="B10" s="50">
        <f>IF(P10="","",IFERROR(INDEX(設定!$G$8:$G$31,INT(INDEX(前年度名簿!$G$3:$G$452,P10)/1000)),INDEX(前年度名簿!$A$3:$A$452,P10)&amp;INDEX(前年度名簿!$B$3:$B$452,P10)))</f>
        <v/>
      </c>
      <c r="C10" s="50">
        <f>IF(P10="","",INDEX(前年度名簿!$C$3:$C$452,P10))</f>
        <v/>
      </c>
      <c r="D10" s="4">
        <f>IF(P10="","",INDEX(前年度名簿!$D$3:$D$452,P10))</f>
        <v/>
      </c>
      <c r="E10" s="50">
        <f>IF(T10="","",INDEX(新年度名簿!$K$3:$K$452,T10))</f>
        <v/>
      </c>
      <c r="F10" s="50">
        <f>IF(T10="","",INDEX(新年度名簿!$C$3:$C$452,T10))</f>
        <v/>
      </c>
      <c r="G10" s="50">
        <f>IF(Q10="","",INDEX(希望入力!$H$5:$H$554,Q10)&amp;"")</f>
        <v/>
      </c>
      <c r="H10" s="50">
        <f>IF(Q10="","",INDEX(希望入力!$I$5:$I$554,Q10)&amp;"")</f>
        <v/>
      </c>
      <c r="I10" s="50">
        <f>IF(Q10="","",INDEX(希望入力!$J$5:$J$554,Q10)&amp;"")</f>
        <v/>
      </c>
      <c r="J10" s="50">
        <f>IF(Q10="","",IF(G10="転出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)</f>
        <v/>
      </c>
      <c r="K10" s="49" t="n"/>
      <c r="L10" s="56">
        <f>IF(P10="","",IF(G10="転出","",IF(K10&lt;&gt;"",K10,IF(OR(J10="",J10="要調整"),"",J10))))</f>
        <v/>
      </c>
      <c r="M10" s="50">
        <f>IF(P10="","",IF(OR(G10="転出",AND(計算用!$B$1=1,T10="")),"転出",IF(L10&lt;&gt;"","決定",IF(Q10="","未提出","要調整"))))</f>
        <v/>
      </c>
      <c r="N10" s="50">
        <f>IF(OR(M10&lt;&gt;"要調整",H10=""),"",IFERROR((INDEX(設定!$Q$8:$Q$27,MATCH(H10,設定!$P$8:$P$27,0))+N(INDEX(設定!$R$8:$R$27,MATCH(H10,設定!$P$8:$P$27,0))))-INDEX(定員チェック!$I$7:$I$26,MATCH(H10,設定!$P$8:$P$27,0))-COUNTIFS($M$7:$M$456,"要調整",$G$7:$G$456,H10),""))</f>
        <v/>
      </c>
      <c r="O10" s="50">
        <f>IF(OR(M10&lt;&gt;"要調整",I10=""),"",IFERROR((INDEX(設定!$Q$8:$Q$27,MATCH(I10,設定!$P$8:$P$27,0))+N(INDEX(設定!$R$8:$R$27,MATCH(I10,設定!$P$8:$P$27,0))))-INDEX(定員チェック!$I$7:$I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IF(R10="","",IFERROR(MATCH(R10,希望入力!$M$5:$M$554,0),""))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50">
        <f>IF(P11="","",INDEX(前年度名簿!$H$3:$H$452,P11))</f>
        <v/>
      </c>
      <c r="B11" s="50">
        <f>IF(P11="","",IFERROR(INDEX(設定!$G$8:$G$31,INT(INDEX(前年度名簿!$G$3:$G$452,P11)/1000)),INDEX(前年度名簿!$A$3:$A$452,P11)&amp;INDEX(前年度名簿!$B$3:$B$452,P11)))</f>
        <v/>
      </c>
      <c r="C11" s="50">
        <f>IF(P11="","",INDEX(前年度名簿!$C$3:$C$452,P11))</f>
        <v/>
      </c>
      <c r="D11" s="4">
        <f>IF(P11="","",INDEX(前年度名簿!$D$3:$D$452,P11))</f>
        <v/>
      </c>
      <c r="E11" s="50">
        <f>IF(T11="","",INDEX(新年度名簿!$K$3:$K$452,T11))</f>
        <v/>
      </c>
      <c r="F11" s="50">
        <f>IF(T11="","",INDEX(新年度名簿!$C$3:$C$452,T11))</f>
        <v/>
      </c>
      <c r="G11" s="50">
        <f>IF(Q11="","",INDEX(希望入力!$H$5:$H$554,Q11)&amp;"")</f>
        <v/>
      </c>
      <c r="H11" s="50">
        <f>IF(Q11="","",INDEX(希望入力!$I$5:$I$554,Q11)&amp;"")</f>
        <v/>
      </c>
      <c r="I11" s="50">
        <f>IF(Q11="","",INDEX(希望入力!$J$5:$J$554,Q11)&amp;"")</f>
        <v/>
      </c>
      <c r="J11" s="50">
        <f>IF(Q11="","",IF(G11="転出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)</f>
        <v/>
      </c>
      <c r="K11" s="49" t="n"/>
      <c r="L11" s="56">
        <f>IF(P11="","",IF(G11="転出","",IF(K11&lt;&gt;"",K11,IF(OR(J11="",J11="要調整"),"",J11))))</f>
        <v/>
      </c>
      <c r="M11" s="50">
        <f>IF(P11="","",IF(OR(G11="転出",AND(計算用!$B$1=1,T11="")),"転出",IF(L11&lt;&gt;"","決定",IF(Q11="","未提出","要調整"))))</f>
        <v/>
      </c>
      <c r="N11" s="50">
        <f>IF(OR(M11&lt;&gt;"要調整",H11=""),"",IFERROR((INDEX(設定!$Q$8:$Q$27,MATCH(H11,設定!$P$8:$P$27,0))+N(INDEX(設定!$R$8:$R$27,MATCH(H11,設定!$P$8:$P$27,0))))-INDEX(定員チェック!$I$7:$I$26,MATCH(H11,設定!$P$8:$P$27,0))-COUNTIFS($M$7:$M$456,"要調整",$G$7:$G$456,H11),""))</f>
        <v/>
      </c>
      <c r="O11" s="50">
        <f>IF(OR(M11&lt;&gt;"要調整",I11=""),"",IFERROR((INDEX(設定!$Q$8:$Q$27,MATCH(I11,設定!$P$8:$P$27,0))+N(INDEX(設定!$R$8:$R$27,MATCH(I11,設定!$P$8:$P$27,0))))-INDEX(定員チェック!$I$7:$I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IF(R11="","",IFERROR(MATCH(R11,希望入力!$M$5:$M$554,0),""))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50">
        <f>IF(P12="","",INDEX(前年度名簿!$H$3:$H$452,P12))</f>
        <v/>
      </c>
      <c r="B12" s="50">
        <f>IF(P12="","",IFERROR(INDEX(設定!$G$8:$G$31,INT(INDEX(前年度名簿!$G$3:$G$452,P12)/1000)),INDEX(前年度名簿!$A$3:$A$452,P12)&amp;INDEX(前年度名簿!$B$3:$B$452,P12)))</f>
        <v/>
      </c>
      <c r="C12" s="50">
        <f>IF(P12="","",INDEX(前年度名簿!$C$3:$C$452,P12))</f>
        <v/>
      </c>
      <c r="D12" s="4">
        <f>IF(P12="","",INDEX(前年度名簿!$D$3:$D$452,P12))</f>
        <v/>
      </c>
      <c r="E12" s="50">
        <f>IF(T12="","",INDEX(新年度名簿!$K$3:$K$452,T12))</f>
        <v/>
      </c>
      <c r="F12" s="50">
        <f>IF(T12="","",INDEX(新年度名簿!$C$3:$C$452,T12))</f>
        <v/>
      </c>
      <c r="G12" s="50">
        <f>IF(Q12="","",INDEX(希望入力!$H$5:$H$554,Q12)&amp;"")</f>
        <v/>
      </c>
      <c r="H12" s="50">
        <f>IF(Q12="","",INDEX(希望入力!$I$5:$I$554,Q12)&amp;"")</f>
        <v/>
      </c>
      <c r="I12" s="50">
        <f>IF(Q12="","",INDEX(希望入力!$J$5:$J$554,Q12)&amp;"")</f>
        <v/>
      </c>
      <c r="J12" s="50">
        <f>IF(Q12="","",IF(G12="転出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)</f>
        <v/>
      </c>
      <c r="K12" s="49" t="n"/>
      <c r="L12" s="56">
        <f>IF(P12="","",IF(G12="転出","",IF(K12&lt;&gt;"",K12,IF(OR(J12="",J12="要調整"),"",J12))))</f>
        <v/>
      </c>
      <c r="M12" s="50">
        <f>IF(P12="","",IF(OR(G12="転出",AND(計算用!$B$1=1,T12="")),"転出",IF(L12&lt;&gt;"","決定",IF(Q12="","未提出","要調整"))))</f>
        <v/>
      </c>
      <c r="N12" s="50">
        <f>IF(OR(M12&lt;&gt;"要調整",H12=""),"",IFERROR((INDEX(設定!$Q$8:$Q$27,MATCH(H12,設定!$P$8:$P$27,0))+N(INDEX(設定!$R$8:$R$27,MATCH(H12,設定!$P$8:$P$27,0))))-INDEX(定員チェック!$I$7:$I$26,MATCH(H12,設定!$P$8:$P$27,0))-COUNTIFS($M$7:$M$456,"要調整",$G$7:$G$456,H12),""))</f>
        <v/>
      </c>
      <c r="O12" s="50">
        <f>IF(OR(M12&lt;&gt;"要調整",I12=""),"",IFERROR((INDEX(設定!$Q$8:$Q$27,MATCH(I12,設定!$P$8:$P$27,0))+N(INDEX(設定!$R$8:$R$27,MATCH(I12,設定!$P$8:$P$27,0))))-INDEX(定員チェック!$I$7:$I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IF(R12="","",IFERROR(MATCH(R12,希望入力!$M$5:$M$554,0),""))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50">
        <f>IF(P13="","",INDEX(前年度名簿!$H$3:$H$452,P13))</f>
        <v/>
      </c>
      <c r="B13" s="50">
        <f>IF(P13="","",IFERROR(INDEX(設定!$G$8:$G$31,INT(INDEX(前年度名簿!$G$3:$G$452,P13)/1000)),INDEX(前年度名簿!$A$3:$A$452,P13)&amp;INDEX(前年度名簿!$B$3:$B$452,P13)))</f>
        <v/>
      </c>
      <c r="C13" s="50">
        <f>IF(P13="","",INDEX(前年度名簿!$C$3:$C$452,P13))</f>
        <v/>
      </c>
      <c r="D13" s="4">
        <f>IF(P13="","",INDEX(前年度名簿!$D$3:$D$452,P13))</f>
        <v/>
      </c>
      <c r="E13" s="50">
        <f>IF(T13="","",INDEX(新年度名簿!$K$3:$K$452,T13))</f>
        <v/>
      </c>
      <c r="F13" s="50">
        <f>IF(T13="","",INDEX(新年度名簿!$C$3:$C$452,T13))</f>
        <v/>
      </c>
      <c r="G13" s="50">
        <f>IF(Q13="","",INDEX(希望入力!$H$5:$H$554,Q13)&amp;"")</f>
        <v/>
      </c>
      <c r="H13" s="50">
        <f>IF(Q13="","",INDEX(希望入力!$I$5:$I$554,Q13)&amp;"")</f>
        <v/>
      </c>
      <c r="I13" s="50">
        <f>IF(Q13="","",INDEX(希望入力!$J$5:$J$554,Q13)&amp;"")</f>
        <v/>
      </c>
      <c r="J13" s="50">
        <f>IF(Q13="","",IF(G13="転出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)</f>
        <v/>
      </c>
      <c r="K13" s="49" t="n"/>
      <c r="L13" s="56">
        <f>IF(P13="","",IF(G13="転出","",IF(K13&lt;&gt;"",K13,IF(OR(J13="",J13="要調整"),"",J13))))</f>
        <v/>
      </c>
      <c r="M13" s="50">
        <f>IF(P13="","",IF(OR(G13="転出",AND(計算用!$B$1=1,T13="")),"転出",IF(L13&lt;&gt;"","決定",IF(Q13="","未提出","要調整"))))</f>
        <v/>
      </c>
      <c r="N13" s="50">
        <f>IF(OR(M13&lt;&gt;"要調整",H13=""),"",IFERROR((INDEX(設定!$Q$8:$Q$27,MATCH(H13,設定!$P$8:$P$27,0))+N(INDEX(設定!$R$8:$R$27,MATCH(H13,設定!$P$8:$P$27,0))))-INDEX(定員チェック!$I$7:$I$26,MATCH(H13,設定!$P$8:$P$27,0))-COUNTIFS($M$7:$M$456,"要調整",$G$7:$G$456,H13),""))</f>
        <v/>
      </c>
      <c r="O13" s="50">
        <f>IF(OR(M13&lt;&gt;"要調整",I13=""),"",IFERROR((INDEX(設定!$Q$8:$Q$27,MATCH(I13,設定!$P$8:$P$27,0))+N(INDEX(設定!$R$8:$R$27,MATCH(I13,設定!$P$8:$P$27,0))))-INDEX(定員チェック!$I$7:$I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IF(R13="","",IFERROR(MATCH(R13,希望入力!$M$5:$M$554,0),""))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50">
        <f>IF(P14="","",INDEX(前年度名簿!$H$3:$H$452,P14))</f>
        <v/>
      </c>
      <c r="B14" s="50">
        <f>IF(P14="","",IFERROR(INDEX(設定!$G$8:$G$31,INT(INDEX(前年度名簿!$G$3:$G$452,P14)/1000)),INDEX(前年度名簿!$A$3:$A$452,P14)&amp;INDEX(前年度名簿!$B$3:$B$452,P14)))</f>
        <v/>
      </c>
      <c r="C14" s="50">
        <f>IF(P14="","",INDEX(前年度名簿!$C$3:$C$452,P14))</f>
        <v/>
      </c>
      <c r="D14" s="4">
        <f>IF(P14="","",INDEX(前年度名簿!$D$3:$D$452,P14))</f>
        <v/>
      </c>
      <c r="E14" s="50">
        <f>IF(T14="","",INDEX(新年度名簿!$K$3:$K$452,T14))</f>
        <v/>
      </c>
      <c r="F14" s="50">
        <f>IF(T14="","",INDEX(新年度名簿!$C$3:$C$452,T14))</f>
        <v/>
      </c>
      <c r="G14" s="50">
        <f>IF(Q14="","",INDEX(希望入力!$H$5:$H$554,Q14)&amp;"")</f>
        <v/>
      </c>
      <c r="H14" s="50">
        <f>IF(Q14="","",INDEX(希望入力!$I$5:$I$554,Q14)&amp;"")</f>
        <v/>
      </c>
      <c r="I14" s="50">
        <f>IF(Q14="","",INDEX(希望入力!$J$5:$J$554,Q14)&amp;"")</f>
        <v/>
      </c>
      <c r="J14" s="50">
        <f>IF(Q14="","",IF(G14="転出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)</f>
        <v/>
      </c>
      <c r="K14" s="49" t="n"/>
      <c r="L14" s="56">
        <f>IF(P14="","",IF(G14="転出","",IF(K14&lt;&gt;"",K14,IF(OR(J14="",J14="要調整"),"",J14))))</f>
        <v/>
      </c>
      <c r="M14" s="50">
        <f>IF(P14="","",IF(OR(G14="転出",AND(計算用!$B$1=1,T14="")),"転出",IF(L14&lt;&gt;"","決定",IF(Q14="","未提出","要調整"))))</f>
        <v/>
      </c>
      <c r="N14" s="50">
        <f>IF(OR(M14&lt;&gt;"要調整",H14=""),"",IFERROR((INDEX(設定!$Q$8:$Q$27,MATCH(H14,設定!$P$8:$P$27,0))+N(INDEX(設定!$R$8:$R$27,MATCH(H14,設定!$P$8:$P$27,0))))-INDEX(定員チェック!$I$7:$I$26,MATCH(H14,設定!$P$8:$P$27,0))-COUNTIFS($M$7:$M$456,"要調整",$G$7:$G$456,H14),""))</f>
        <v/>
      </c>
      <c r="O14" s="50">
        <f>IF(OR(M14&lt;&gt;"要調整",I14=""),"",IFERROR((INDEX(設定!$Q$8:$Q$27,MATCH(I14,設定!$P$8:$P$27,0))+N(INDEX(設定!$R$8:$R$27,MATCH(I14,設定!$P$8:$P$27,0))))-INDEX(定員チェック!$I$7:$I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IF(R14="","",IFERROR(MATCH(R14,希望入力!$M$5:$M$554,0),""))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50">
        <f>IF(P15="","",INDEX(前年度名簿!$H$3:$H$452,P15))</f>
        <v/>
      </c>
      <c r="B15" s="50">
        <f>IF(P15="","",IFERROR(INDEX(設定!$G$8:$G$31,INT(INDEX(前年度名簿!$G$3:$G$452,P15)/1000)),INDEX(前年度名簿!$A$3:$A$452,P15)&amp;INDEX(前年度名簿!$B$3:$B$452,P15)))</f>
        <v/>
      </c>
      <c r="C15" s="50">
        <f>IF(P15="","",INDEX(前年度名簿!$C$3:$C$452,P15))</f>
        <v/>
      </c>
      <c r="D15" s="4">
        <f>IF(P15="","",INDEX(前年度名簿!$D$3:$D$452,P15))</f>
        <v/>
      </c>
      <c r="E15" s="50">
        <f>IF(T15="","",INDEX(新年度名簿!$K$3:$K$452,T15))</f>
        <v/>
      </c>
      <c r="F15" s="50">
        <f>IF(T15="","",INDEX(新年度名簿!$C$3:$C$452,T15))</f>
        <v/>
      </c>
      <c r="G15" s="50">
        <f>IF(Q15="","",INDEX(希望入力!$H$5:$H$554,Q15)&amp;"")</f>
        <v/>
      </c>
      <c r="H15" s="50">
        <f>IF(Q15="","",INDEX(希望入力!$I$5:$I$554,Q15)&amp;"")</f>
        <v/>
      </c>
      <c r="I15" s="50">
        <f>IF(Q15="","",INDEX(希望入力!$J$5:$J$554,Q15)&amp;"")</f>
        <v/>
      </c>
      <c r="J15" s="50">
        <f>IF(Q15="","",IF(G15="転出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)</f>
        <v/>
      </c>
      <c r="K15" s="49" t="n"/>
      <c r="L15" s="56">
        <f>IF(P15="","",IF(G15="転出","",IF(K15&lt;&gt;"",K15,IF(OR(J15="",J15="要調整"),"",J15))))</f>
        <v/>
      </c>
      <c r="M15" s="50">
        <f>IF(P15="","",IF(OR(G15="転出",AND(計算用!$B$1=1,T15="")),"転出",IF(L15&lt;&gt;"","決定",IF(Q15="","未提出","要調整"))))</f>
        <v/>
      </c>
      <c r="N15" s="50">
        <f>IF(OR(M15&lt;&gt;"要調整",H15=""),"",IFERROR((INDEX(設定!$Q$8:$Q$27,MATCH(H15,設定!$P$8:$P$27,0))+N(INDEX(設定!$R$8:$R$27,MATCH(H15,設定!$P$8:$P$27,0))))-INDEX(定員チェック!$I$7:$I$26,MATCH(H15,設定!$P$8:$P$27,0))-COUNTIFS($M$7:$M$456,"要調整",$G$7:$G$456,H15),""))</f>
        <v/>
      </c>
      <c r="O15" s="50">
        <f>IF(OR(M15&lt;&gt;"要調整",I15=""),"",IFERROR((INDEX(設定!$Q$8:$Q$27,MATCH(I15,設定!$P$8:$P$27,0))+N(INDEX(設定!$R$8:$R$27,MATCH(I15,設定!$P$8:$P$27,0))))-INDEX(定員チェック!$I$7:$I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IF(R15="","",IFERROR(MATCH(R15,希望入力!$M$5:$M$554,0),""))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50">
        <f>IF(P16="","",INDEX(前年度名簿!$H$3:$H$452,P16))</f>
        <v/>
      </c>
      <c r="B16" s="50">
        <f>IF(P16="","",IFERROR(INDEX(設定!$G$8:$G$31,INT(INDEX(前年度名簿!$G$3:$G$452,P16)/1000)),INDEX(前年度名簿!$A$3:$A$452,P16)&amp;INDEX(前年度名簿!$B$3:$B$452,P16)))</f>
        <v/>
      </c>
      <c r="C16" s="50">
        <f>IF(P16="","",INDEX(前年度名簿!$C$3:$C$452,P16))</f>
        <v/>
      </c>
      <c r="D16" s="4">
        <f>IF(P16="","",INDEX(前年度名簿!$D$3:$D$452,P16))</f>
        <v/>
      </c>
      <c r="E16" s="50">
        <f>IF(T16="","",INDEX(新年度名簿!$K$3:$K$452,T16))</f>
        <v/>
      </c>
      <c r="F16" s="50">
        <f>IF(T16="","",INDEX(新年度名簿!$C$3:$C$452,T16))</f>
        <v/>
      </c>
      <c r="G16" s="50">
        <f>IF(Q16="","",INDEX(希望入力!$H$5:$H$554,Q16)&amp;"")</f>
        <v/>
      </c>
      <c r="H16" s="50">
        <f>IF(Q16="","",INDEX(希望入力!$I$5:$I$554,Q16)&amp;"")</f>
        <v/>
      </c>
      <c r="I16" s="50">
        <f>IF(Q16="","",INDEX(希望入力!$J$5:$J$554,Q16)&amp;"")</f>
        <v/>
      </c>
      <c r="J16" s="50">
        <f>IF(Q16="","",IF(G16="転出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)</f>
        <v/>
      </c>
      <c r="K16" s="49" t="n"/>
      <c r="L16" s="56">
        <f>IF(P16="","",IF(G16="転出","",IF(K16&lt;&gt;"",K16,IF(OR(J16="",J16="要調整"),"",J16))))</f>
        <v/>
      </c>
      <c r="M16" s="50">
        <f>IF(P16="","",IF(OR(G16="転出",AND(計算用!$B$1=1,T16="")),"転出",IF(L16&lt;&gt;"","決定",IF(Q16="","未提出","要調整"))))</f>
        <v/>
      </c>
      <c r="N16" s="50">
        <f>IF(OR(M16&lt;&gt;"要調整",H16=""),"",IFERROR((INDEX(設定!$Q$8:$Q$27,MATCH(H16,設定!$P$8:$P$27,0))+N(INDEX(設定!$R$8:$R$27,MATCH(H16,設定!$P$8:$P$27,0))))-INDEX(定員チェック!$I$7:$I$26,MATCH(H16,設定!$P$8:$P$27,0))-COUNTIFS($M$7:$M$456,"要調整",$G$7:$G$456,H16),""))</f>
        <v/>
      </c>
      <c r="O16" s="50">
        <f>IF(OR(M16&lt;&gt;"要調整",I16=""),"",IFERROR((INDEX(設定!$Q$8:$Q$27,MATCH(I16,設定!$P$8:$P$27,0))+N(INDEX(設定!$R$8:$R$27,MATCH(I16,設定!$P$8:$P$27,0))))-INDEX(定員チェック!$I$7:$I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IF(R16="","",IFERROR(MATCH(R16,希望入力!$M$5:$M$554,0),""))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50">
        <f>IF(P17="","",INDEX(前年度名簿!$H$3:$H$452,P17))</f>
        <v/>
      </c>
      <c r="B17" s="50">
        <f>IF(P17="","",IFERROR(INDEX(設定!$G$8:$G$31,INT(INDEX(前年度名簿!$G$3:$G$452,P17)/1000)),INDEX(前年度名簿!$A$3:$A$452,P17)&amp;INDEX(前年度名簿!$B$3:$B$452,P17)))</f>
        <v/>
      </c>
      <c r="C17" s="50">
        <f>IF(P17="","",INDEX(前年度名簿!$C$3:$C$452,P17))</f>
        <v/>
      </c>
      <c r="D17" s="4">
        <f>IF(P17="","",INDEX(前年度名簿!$D$3:$D$452,P17))</f>
        <v/>
      </c>
      <c r="E17" s="50">
        <f>IF(T17="","",INDEX(新年度名簿!$K$3:$K$452,T17))</f>
        <v/>
      </c>
      <c r="F17" s="50">
        <f>IF(T17="","",INDEX(新年度名簿!$C$3:$C$452,T17))</f>
        <v/>
      </c>
      <c r="G17" s="50">
        <f>IF(Q17="","",INDEX(希望入力!$H$5:$H$554,Q17)&amp;"")</f>
        <v/>
      </c>
      <c r="H17" s="50">
        <f>IF(Q17="","",INDEX(希望入力!$I$5:$I$554,Q17)&amp;"")</f>
        <v/>
      </c>
      <c r="I17" s="50">
        <f>IF(Q17="","",INDEX(希望入力!$J$5:$J$554,Q17)&amp;"")</f>
        <v/>
      </c>
      <c r="J17" s="50">
        <f>IF(Q17="","",IF(G17="転出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)</f>
        <v/>
      </c>
      <c r="K17" s="49" t="n"/>
      <c r="L17" s="56">
        <f>IF(P17="","",IF(G17="転出","",IF(K17&lt;&gt;"",K17,IF(OR(J17="",J17="要調整"),"",J17))))</f>
        <v/>
      </c>
      <c r="M17" s="50">
        <f>IF(P17="","",IF(OR(G17="転出",AND(計算用!$B$1=1,T17="")),"転出",IF(L17&lt;&gt;"","決定",IF(Q17="","未提出","要調整"))))</f>
        <v/>
      </c>
      <c r="N17" s="50">
        <f>IF(OR(M17&lt;&gt;"要調整",H17=""),"",IFERROR((INDEX(設定!$Q$8:$Q$27,MATCH(H17,設定!$P$8:$P$27,0))+N(INDEX(設定!$R$8:$R$27,MATCH(H17,設定!$P$8:$P$27,0))))-INDEX(定員チェック!$I$7:$I$26,MATCH(H17,設定!$P$8:$P$27,0))-COUNTIFS($M$7:$M$456,"要調整",$G$7:$G$456,H17),""))</f>
        <v/>
      </c>
      <c r="O17" s="50">
        <f>IF(OR(M17&lt;&gt;"要調整",I17=""),"",IFERROR((INDEX(設定!$Q$8:$Q$27,MATCH(I17,設定!$P$8:$P$27,0))+N(INDEX(設定!$R$8:$R$27,MATCH(I17,設定!$P$8:$P$27,0))))-INDEX(定員チェック!$I$7:$I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IF(R17="","",IFERROR(MATCH(R17,希望入力!$M$5:$M$554,0),""))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50">
        <f>IF(P18="","",INDEX(前年度名簿!$H$3:$H$452,P18))</f>
        <v/>
      </c>
      <c r="B18" s="50">
        <f>IF(P18="","",IFERROR(INDEX(設定!$G$8:$G$31,INT(INDEX(前年度名簿!$G$3:$G$452,P18)/1000)),INDEX(前年度名簿!$A$3:$A$452,P18)&amp;INDEX(前年度名簿!$B$3:$B$452,P18)))</f>
        <v/>
      </c>
      <c r="C18" s="50">
        <f>IF(P18="","",INDEX(前年度名簿!$C$3:$C$452,P18))</f>
        <v/>
      </c>
      <c r="D18" s="4">
        <f>IF(P18="","",INDEX(前年度名簿!$D$3:$D$452,P18))</f>
        <v/>
      </c>
      <c r="E18" s="50">
        <f>IF(T18="","",INDEX(新年度名簿!$K$3:$K$452,T18))</f>
        <v/>
      </c>
      <c r="F18" s="50">
        <f>IF(T18="","",INDEX(新年度名簿!$C$3:$C$452,T18))</f>
        <v/>
      </c>
      <c r="G18" s="50">
        <f>IF(Q18="","",INDEX(希望入力!$H$5:$H$554,Q18)&amp;"")</f>
        <v/>
      </c>
      <c r="H18" s="50">
        <f>IF(Q18="","",INDEX(希望入力!$I$5:$I$554,Q18)&amp;"")</f>
        <v/>
      </c>
      <c r="I18" s="50">
        <f>IF(Q18="","",INDEX(希望入力!$J$5:$J$554,Q18)&amp;"")</f>
        <v/>
      </c>
      <c r="J18" s="50">
        <f>IF(Q18="","",IF(G18="転出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)</f>
        <v/>
      </c>
      <c r="K18" s="49" t="n"/>
      <c r="L18" s="56">
        <f>IF(P18="","",IF(G18="転出","",IF(K18&lt;&gt;"",K18,IF(OR(J18="",J18="要調整"),"",J18))))</f>
        <v/>
      </c>
      <c r="M18" s="50">
        <f>IF(P18="","",IF(OR(G18="転出",AND(計算用!$B$1=1,T18="")),"転出",IF(L18&lt;&gt;"","決定",IF(Q18="","未提出","要調整"))))</f>
        <v/>
      </c>
      <c r="N18" s="50">
        <f>IF(OR(M18&lt;&gt;"要調整",H18=""),"",IFERROR((INDEX(設定!$Q$8:$Q$27,MATCH(H18,設定!$P$8:$P$27,0))+N(INDEX(設定!$R$8:$R$27,MATCH(H18,設定!$P$8:$P$27,0))))-INDEX(定員チェック!$I$7:$I$26,MATCH(H18,設定!$P$8:$P$27,0))-COUNTIFS($M$7:$M$456,"要調整",$G$7:$G$456,H18),""))</f>
        <v/>
      </c>
      <c r="O18" s="50">
        <f>IF(OR(M18&lt;&gt;"要調整",I18=""),"",IFERROR((INDEX(設定!$Q$8:$Q$27,MATCH(I18,設定!$P$8:$P$27,0))+N(INDEX(設定!$R$8:$R$27,MATCH(I18,設定!$P$8:$P$27,0))))-INDEX(定員チェック!$I$7:$I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IF(R18="","",IFERROR(MATCH(R18,希望入力!$M$5:$M$554,0),""))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50">
        <f>IF(P19="","",INDEX(前年度名簿!$H$3:$H$452,P19))</f>
        <v/>
      </c>
      <c r="B19" s="50">
        <f>IF(P19="","",IFERROR(INDEX(設定!$G$8:$G$31,INT(INDEX(前年度名簿!$G$3:$G$452,P19)/1000)),INDEX(前年度名簿!$A$3:$A$452,P19)&amp;INDEX(前年度名簿!$B$3:$B$452,P19)))</f>
        <v/>
      </c>
      <c r="C19" s="50">
        <f>IF(P19="","",INDEX(前年度名簿!$C$3:$C$452,P19))</f>
        <v/>
      </c>
      <c r="D19" s="4">
        <f>IF(P19="","",INDEX(前年度名簿!$D$3:$D$452,P19))</f>
        <v/>
      </c>
      <c r="E19" s="50">
        <f>IF(T19="","",INDEX(新年度名簿!$K$3:$K$452,T19))</f>
        <v/>
      </c>
      <c r="F19" s="50">
        <f>IF(T19="","",INDEX(新年度名簿!$C$3:$C$452,T19))</f>
        <v/>
      </c>
      <c r="G19" s="50">
        <f>IF(Q19="","",INDEX(希望入力!$H$5:$H$554,Q19)&amp;"")</f>
        <v/>
      </c>
      <c r="H19" s="50">
        <f>IF(Q19="","",INDEX(希望入力!$I$5:$I$554,Q19)&amp;"")</f>
        <v/>
      </c>
      <c r="I19" s="50">
        <f>IF(Q19="","",INDEX(希望入力!$J$5:$J$554,Q19)&amp;"")</f>
        <v/>
      </c>
      <c r="J19" s="50">
        <f>IF(Q19="","",IF(G19="転出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)</f>
        <v/>
      </c>
      <c r="K19" s="49" t="n"/>
      <c r="L19" s="56">
        <f>IF(P19="","",IF(G19="転出","",IF(K19&lt;&gt;"",K19,IF(OR(J19="",J19="要調整"),"",J19))))</f>
        <v/>
      </c>
      <c r="M19" s="50">
        <f>IF(P19="","",IF(OR(G19="転出",AND(計算用!$B$1=1,T19="")),"転出",IF(L19&lt;&gt;"","決定",IF(Q19="","未提出","要調整"))))</f>
        <v/>
      </c>
      <c r="N19" s="50">
        <f>IF(OR(M19&lt;&gt;"要調整",H19=""),"",IFERROR((INDEX(設定!$Q$8:$Q$27,MATCH(H19,設定!$P$8:$P$27,0))+N(INDEX(設定!$R$8:$R$27,MATCH(H19,設定!$P$8:$P$27,0))))-INDEX(定員チェック!$I$7:$I$26,MATCH(H19,設定!$P$8:$P$27,0))-COUNTIFS($M$7:$M$456,"要調整",$G$7:$G$456,H19),""))</f>
        <v/>
      </c>
      <c r="O19" s="50">
        <f>IF(OR(M19&lt;&gt;"要調整",I19=""),"",IFERROR((INDEX(設定!$Q$8:$Q$27,MATCH(I19,設定!$P$8:$P$27,0))+N(INDEX(設定!$R$8:$R$27,MATCH(I19,設定!$P$8:$P$27,0))))-INDEX(定員チェック!$I$7:$I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IF(R19="","",IFERROR(MATCH(R19,希望入力!$M$5:$M$554,0),""))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50">
        <f>IF(P20="","",INDEX(前年度名簿!$H$3:$H$452,P20))</f>
        <v/>
      </c>
      <c r="B20" s="50">
        <f>IF(P20="","",IFERROR(INDEX(設定!$G$8:$G$31,INT(INDEX(前年度名簿!$G$3:$G$452,P20)/1000)),INDEX(前年度名簿!$A$3:$A$452,P20)&amp;INDEX(前年度名簿!$B$3:$B$452,P20)))</f>
        <v/>
      </c>
      <c r="C20" s="50">
        <f>IF(P20="","",INDEX(前年度名簿!$C$3:$C$452,P20))</f>
        <v/>
      </c>
      <c r="D20" s="4">
        <f>IF(P20="","",INDEX(前年度名簿!$D$3:$D$452,P20))</f>
        <v/>
      </c>
      <c r="E20" s="50">
        <f>IF(T20="","",INDEX(新年度名簿!$K$3:$K$452,T20))</f>
        <v/>
      </c>
      <c r="F20" s="50">
        <f>IF(T20="","",INDEX(新年度名簿!$C$3:$C$452,T20))</f>
        <v/>
      </c>
      <c r="G20" s="50">
        <f>IF(Q20="","",INDEX(希望入力!$H$5:$H$554,Q20)&amp;"")</f>
        <v/>
      </c>
      <c r="H20" s="50">
        <f>IF(Q20="","",INDEX(希望入力!$I$5:$I$554,Q20)&amp;"")</f>
        <v/>
      </c>
      <c r="I20" s="50">
        <f>IF(Q20="","",INDEX(希望入力!$J$5:$J$554,Q20)&amp;"")</f>
        <v/>
      </c>
      <c r="J20" s="50">
        <f>IF(Q20="","",IF(G20="転出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)</f>
        <v/>
      </c>
      <c r="K20" s="49" t="n"/>
      <c r="L20" s="56">
        <f>IF(P20="","",IF(G20="転出","",IF(K20&lt;&gt;"",K20,IF(OR(J20="",J20="要調整"),"",J20))))</f>
        <v/>
      </c>
      <c r="M20" s="50">
        <f>IF(P20="","",IF(OR(G20="転出",AND(計算用!$B$1=1,T20="")),"転出",IF(L20&lt;&gt;"","決定",IF(Q20="","未提出","要調整"))))</f>
        <v/>
      </c>
      <c r="N20" s="50">
        <f>IF(OR(M20&lt;&gt;"要調整",H20=""),"",IFERROR((INDEX(設定!$Q$8:$Q$27,MATCH(H20,設定!$P$8:$P$27,0))+N(INDEX(設定!$R$8:$R$27,MATCH(H20,設定!$P$8:$P$27,0))))-INDEX(定員チェック!$I$7:$I$26,MATCH(H20,設定!$P$8:$P$27,0))-COUNTIFS($M$7:$M$456,"要調整",$G$7:$G$456,H20),""))</f>
        <v/>
      </c>
      <c r="O20" s="50">
        <f>IF(OR(M20&lt;&gt;"要調整",I20=""),"",IFERROR((INDEX(設定!$Q$8:$Q$27,MATCH(I20,設定!$P$8:$P$27,0))+N(INDEX(設定!$R$8:$R$27,MATCH(I20,設定!$P$8:$P$27,0))))-INDEX(定員チェック!$I$7:$I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IF(R20="","",IFERROR(MATCH(R20,希望入力!$M$5:$M$554,0),""))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50">
        <f>IF(P21="","",INDEX(前年度名簿!$H$3:$H$452,P21))</f>
        <v/>
      </c>
      <c r="B21" s="50">
        <f>IF(P21="","",IFERROR(INDEX(設定!$G$8:$G$31,INT(INDEX(前年度名簿!$G$3:$G$452,P21)/1000)),INDEX(前年度名簿!$A$3:$A$452,P21)&amp;INDEX(前年度名簿!$B$3:$B$452,P21)))</f>
        <v/>
      </c>
      <c r="C21" s="50">
        <f>IF(P21="","",INDEX(前年度名簿!$C$3:$C$452,P21))</f>
        <v/>
      </c>
      <c r="D21" s="4">
        <f>IF(P21="","",INDEX(前年度名簿!$D$3:$D$452,P21))</f>
        <v/>
      </c>
      <c r="E21" s="50">
        <f>IF(T21="","",INDEX(新年度名簿!$K$3:$K$452,T21))</f>
        <v/>
      </c>
      <c r="F21" s="50">
        <f>IF(T21="","",INDEX(新年度名簿!$C$3:$C$452,T21))</f>
        <v/>
      </c>
      <c r="G21" s="50">
        <f>IF(Q21="","",INDEX(希望入力!$H$5:$H$554,Q21)&amp;"")</f>
        <v/>
      </c>
      <c r="H21" s="50">
        <f>IF(Q21="","",INDEX(希望入力!$I$5:$I$554,Q21)&amp;"")</f>
        <v/>
      </c>
      <c r="I21" s="50">
        <f>IF(Q21="","",INDEX(希望入力!$J$5:$J$554,Q21)&amp;"")</f>
        <v/>
      </c>
      <c r="J21" s="50">
        <f>IF(Q21="","",IF(G21="転出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)</f>
        <v/>
      </c>
      <c r="K21" s="49" t="n"/>
      <c r="L21" s="56">
        <f>IF(P21="","",IF(G21="転出","",IF(K21&lt;&gt;"",K21,IF(OR(J21="",J21="要調整"),"",J21))))</f>
        <v/>
      </c>
      <c r="M21" s="50">
        <f>IF(P21="","",IF(OR(G21="転出",AND(計算用!$B$1=1,T21="")),"転出",IF(L21&lt;&gt;"","決定",IF(Q21="","未提出","要調整"))))</f>
        <v/>
      </c>
      <c r="N21" s="50">
        <f>IF(OR(M21&lt;&gt;"要調整",H21=""),"",IFERROR((INDEX(設定!$Q$8:$Q$27,MATCH(H21,設定!$P$8:$P$27,0))+N(INDEX(設定!$R$8:$R$27,MATCH(H21,設定!$P$8:$P$27,0))))-INDEX(定員チェック!$I$7:$I$26,MATCH(H21,設定!$P$8:$P$27,0))-COUNTIFS($M$7:$M$456,"要調整",$G$7:$G$456,H21),""))</f>
        <v/>
      </c>
      <c r="O21" s="50">
        <f>IF(OR(M21&lt;&gt;"要調整",I21=""),"",IFERROR((INDEX(設定!$Q$8:$Q$27,MATCH(I21,設定!$P$8:$P$27,0))+N(INDEX(設定!$R$8:$R$27,MATCH(I21,設定!$P$8:$P$27,0))))-INDEX(定員チェック!$I$7:$I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IF(R21="","",IFERROR(MATCH(R21,希望入力!$M$5:$M$554,0),""))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50">
        <f>IF(P22="","",INDEX(前年度名簿!$H$3:$H$452,P22))</f>
        <v/>
      </c>
      <c r="B22" s="50">
        <f>IF(P22="","",IFERROR(INDEX(設定!$G$8:$G$31,INT(INDEX(前年度名簿!$G$3:$G$452,P22)/1000)),INDEX(前年度名簿!$A$3:$A$452,P22)&amp;INDEX(前年度名簿!$B$3:$B$452,P22)))</f>
        <v/>
      </c>
      <c r="C22" s="50">
        <f>IF(P22="","",INDEX(前年度名簿!$C$3:$C$452,P22))</f>
        <v/>
      </c>
      <c r="D22" s="4">
        <f>IF(P22="","",INDEX(前年度名簿!$D$3:$D$452,P22))</f>
        <v/>
      </c>
      <c r="E22" s="50">
        <f>IF(T22="","",INDEX(新年度名簿!$K$3:$K$452,T22))</f>
        <v/>
      </c>
      <c r="F22" s="50">
        <f>IF(T22="","",INDEX(新年度名簿!$C$3:$C$452,T22))</f>
        <v/>
      </c>
      <c r="G22" s="50">
        <f>IF(Q22="","",INDEX(希望入力!$H$5:$H$554,Q22)&amp;"")</f>
        <v/>
      </c>
      <c r="H22" s="50">
        <f>IF(Q22="","",INDEX(希望入力!$I$5:$I$554,Q22)&amp;"")</f>
        <v/>
      </c>
      <c r="I22" s="50">
        <f>IF(Q22="","",INDEX(希望入力!$J$5:$J$554,Q22)&amp;"")</f>
        <v/>
      </c>
      <c r="J22" s="50">
        <f>IF(Q22="","",IF(G22="転出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)</f>
        <v/>
      </c>
      <c r="K22" s="49" t="n"/>
      <c r="L22" s="56">
        <f>IF(P22="","",IF(G22="転出","",IF(K22&lt;&gt;"",K22,IF(OR(J22="",J22="要調整"),"",J22))))</f>
        <v/>
      </c>
      <c r="M22" s="50">
        <f>IF(P22="","",IF(OR(G22="転出",AND(計算用!$B$1=1,T22="")),"転出",IF(L22&lt;&gt;"","決定",IF(Q22="","未提出","要調整"))))</f>
        <v/>
      </c>
      <c r="N22" s="50">
        <f>IF(OR(M22&lt;&gt;"要調整",H22=""),"",IFERROR((INDEX(設定!$Q$8:$Q$27,MATCH(H22,設定!$P$8:$P$27,0))+N(INDEX(設定!$R$8:$R$27,MATCH(H22,設定!$P$8:$P$27,0))))-INDEX(定員チェック!$I$7:$I$26,MATCH(H22,設定!$P$8:$P$27,0))-COUNTIFS($M$7:$M$456,"要調整",$G$7:$G$456,H22),""))</f>
        <v/>
      </c>
      <c r="O22" s="50">
        <f>IF(OR(M22&lt;&gt;"要調整",I22=""),"",IFERROR((INDEX(設定!$Q$8:$Q$27,MATCH(I22,設定!$P$8:$P$27,0))+N(INDEX(設定!$R$8:$R$27,MATCH(I22,設定!$P$8:$P$27,0))))-INDEX(定員チェック!$I$7:$I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IF(R22="","",IFERROR(MATCH(R22,希望入力!$M$5:$M$554,0),""))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50">
        <f>IF(P23="","",INDEX(前年度名簿!$H$3:$H$452,P23))</f>
        <v/>
      </c>
      <c r="B23" s="50">
        <f>IF(P23="","",IFERROR(INDEX(設定!$G$8:$G$31,INT(INDEX(前年度名簿!$G$3:$G$452,P23)/1000)),INDEX(前年度名簿!$A$3:$A$452,P23)&amp;INDEX(前年度名簿!$B$3:$B$452,P23)))</f>
        <v/>
      </c>
      <c r="C23" s="50">
        <f>IF(P23="","",INDEX(前年度名簿!$C$3:$C$452,P23))</f>
        <v/>
      </c>
      <c r="D23" s="4">
        <f>IF(P23="","",INDEX(前年度名簿!$D$3:$D$452,P23))</f>
        <v/>
      </c>
      <c r="E23" s="50">
        <f>IF(T23="","",INDEX(新年度名簿!$K$3:$K$452,T23))</f>
        <v/>
      </c>
      <c r="F23" s="50">
        <f>IF(T23="","",INDEX(新年度名簿!$C$3:$C$452,T23))</f>
        <v/>
      </c>
      <c r="G23" s="50">
        <f>IF(Q23="","",INDEX(希望入力!$H$5:$H$554,Q23)&amp;"")</f>
        <v/>
      </c>
      <c r="H23" s="50">
        <f>IF(Q23="","",INDEX(希望入力!$I$5:$I$554,Q23)&amp;"")</f>
        <v/>
      </c>
      <c r="I23" s="50">
        <f>IF(Q23="","",INDEX(希望入力!$J$5:$J$554,Q23)&amp;"")</f>
        <v/>
      </c>
      <c r="J23" s="50">
        <f>IF(Q23="","",IF(G23="転出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)</f>
        <v/>
      </c>
      <c r="K23" s="49" t="n"/>
      <c r="L23" s="56">
        <f>IF(P23="","",IF(G23="転出","",IF(K23&lt;&gt;"",K23,IF(OR(J23="",J23="要調整"),"",J23))))</f>
        <v/>
      </c>
      <c r="M23" s="50">
        <f>IF(P23="","",IF(OR(G23="転出",AND(計算用!$B$1=1,T23="")),"転出",IF(L23&lt;&gt;"","決定",IF(Q23="","未提出","要調整"))))</f>
        <v/>
      </c>
      <c r="N23" s="50">
        <f>IF(OR(M23&lt;&gt;"要調整",H23=""),"",IFERROR((INDEX(設定!$Q$8:$Q$27,MATCH(H23,設定!$P$8:$P$27,0))+N(INDEX(設定!$R$8:$R$27,MATCH(H23,設定!$P$8:$P$27,0))))-INDEX(定員チェック!$I$7:$I$26,MATCH(H23,設定!$P$8:$P$27,0))-COUNTIFS($M$7:$M$456,"要調整",$G$7:$G$456,H23),""))</f>
        <v/>
      </c>
      <c r="O23" s="50">
        <f>IF(OR(M23&lt;&gt;"要調整",I23=""),"",IFERROR((INDEX(設定!$Q$8:$Q$27,MATCH(I23,設定!$P$8:$P$27,0))+N(INDEX(設定!$R$8:$R$27,MATCH(I23,設定!$P$8:$P$27,0))))-INDEX(定員チェック!$I$7:$I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IF(R23="","",IFERROR(MATCH(R23,希望入力!$M$5:$M$554,0),""))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50">
        <f>IF(P24="","",INDEX(前年度名簿!$H$3:$H$452,P24))</f>
        <v/>
      </c>
      <c r="B24" s="50">
        <f>IF(P24="","",IFERROR(INDEX(設定!$G$8:$G$31,INT(INDEX(前年度名簿!$G$3:$G$452,P24)/1000)),INDEX(前年度名簿!$A$3:$A$452,P24)&amp;INDEX(前年度名簿!$B$3:$B$452,P24)))</f>
        <v/>
      </c>
      <c r="C24" s="50">
        <f>IF(P24="","",INDEX(前年度名簿!$C$3:$C$452,P24))</f>
        <v/>
      </c>
      <c r="D24" s="4">
        <f>IF(P24="","",INDEX(前年度名簿!$D$3:$D$452,P24))</f>
        <v/>
      </c>
      <c r="E24" s="50">
        <f>IF(T24="","",INDEX(新年度名簿!$K$3:$K$452,T24))</f>
        <v/>
      </c>
      <c r="F24" s="50">
        <f>IF(T24="","",INDEX(新年度名簿!$C$3:$C$452,T24))</f>
        <v/>
      </c>
      <c r="G24" s="50">
        <f>IF(Q24="","",INDEX(希望入力!$H$5:$H$554,Q24)&amp;"")</f>
        <v/>
      </c>
      <c r="H24" s="50">
        <f>IF(Q24="","",INDEX(希望入力!$I$5:$I$554,Q24)&amp;"")</f>
        <v/>
      </c>
      <c r="I24" s="50">
        <f>IF(Q24="","",INDEX(希望入力!$J$5:$J$554,Q24)&amp;"")</f>
        <v/>
      </c>
      <c r="J24" s="50">
        <f>IF(Q24="","",IF(G24="転出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)</f>
        <v/>
      </c>
      <c r="K24" s="49" t="n"/>
      <c r="L24" s="56">
        <f>IF(P24="","",IF(G24="転出","",IF(K24&lt;&gt;"",K24,IF(OR(J24="",J24="要調整"),"",J24))))</f>
        <v/>
      </c>
      <c r="M24" s="50">
        <f>IF(P24="","",IF(OR(G24="転出",AND(計算用!$B$1=1,T24="")),"転出",IF(L24&lt;&gt;"","決定",IF(Q24="","未提出","要調整"))))</f>
        <v/>
      </c>
      <c r="N24" s="50">
        <f>IF(OR(M24&lt;&gt;"要調整",H24=""),"",IFERROR((INDEX(設定!$Q$8:$Q$27,MATCH(H24,設定!$P$8:$P$27,0))+N(INDEX(設定!$R$8:$R$27,MATCH(H24,設定!$P$8:$P$27,0))))-INDEX(定員チェック!$I$7:$I$26,MATCH(H24,設定!$P$8:$P$27,0))-COUNTIFS($M$7:$M$456,"要調整",$G$7:$G$456,H24),""))</f>
        <v/>
      </c>
      <c r="O24" s="50">
        <f>IF(OR(M24&lt;&gt;"要調整",I24=""),"",IFERROR((INDEX(設定!$Q$8:$Q$27,MATCH(I24,設定!$P$8:$P$27,0))+N(INDEX(設定!$R$8:$R$27,MATCH(I24,設定!$P$8:$P$27,0))))-INDEX(定員チェック!$I$7:$I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IF(R24="","",IFERROR(MATCH(R24,希望入力!$M$5:$M$554,0),""))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50">
        <f>IF(P25="","",INDEX(前年度名簿!$H$3:$H$452,P25))</f>
        <v/>
      </c>
      <c r="B25" s="50">
        <f>IF(P25="","",IFERROR(INDEX(設定!$G$8:$G$31,INT(INDEX(前年度名簿!$G$3:$G$452,P25)/1000)),INDEX(前年度名簿!$A$3:$A$452,P25)&amp;INDEX(前年度名簿!$B$3:$B$452,P25)))</f>
        <v/>
      </c>
      <c r="C25" s="50">
        <f>IF(P25="","",INDEX(前年度名簿!$C$3:$C$452,P25))</f>
        <v/>
      </c>
      <c r="D25" s="4">
        <f>IF(P25="","",INDEX(前年度名簿!$D$3:$D$452,P25))</f>
        <v/>
      </c>
      <c r="E25" s="50">
        <f>IF(T25="","",INDEX(新年度名簿!$K$3:$K$452,T25))</f>
        <v/>
      </c>
      <c r="F25" s="50">
        <f>IF(T25="","",INDEX(新年度名簿!$C$3:$C$452,T25))</f>
        <v/>
      </c>
      <c r="G25" s="50">
        <f>IF(Q25="","",INDEX(希望入力!$H$5:$H$554,Q25)&amp;"")</f>
        <v/>
      </c>
      <c r="H25" s="50">
        <f>IF(Q25="","",INDEX(希望入力!$I$5:$I$554,Q25)&amp;"")</f>
        <v/>
      </c>
      <c r="I25" s="50">
        <f>IF(Q25="","",INDEX(希望入力!$J$5:$J$554,Q25)&amp;"")</f>
        <v/>
      </c>
      <c r="J25" s="50">
        <f>IF(Q25="","",IF(G25="転出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)</f>
        <v/>
      </c>
      <c r="K25" s="49" t="n"/>
      <c r="L25" s="56">
        <f>IF(P25="","",IF(G25="転出","",IF(K25&lt;&gt;"",K25,IF(OR(J25="",J25="要調整"),"",J25))))</f>
        <v/>
      </c>
      <c r="M25" s="50">
        <f>IF(P25="","",IF(OR(G25="転出",AND(計算用!$B$1=1,T25="")),"転出",IF(L25&lt;&gt;"","決定",IF(Q25="","未提出","要調整"))))</f>
        <v/>
      </c>
      <c r="N25" s="50">
        <f>IF(OR(M25&lt;&gt;"要調整",H25=""),"",IFERROR((INDEX(設定!$Q$8:$Q$27,MATCH(H25,設定!$P$8:$P$27,0))+N(INDEX(設定!$R$8:$R$27,MATCH(H25,設定!$P$8:$P$27,0))))-INDEX(定員チェック!$I$7:$I$26,MATCH(H25,設定!$P$8:$P$27,0))-COUNTIFS($M$7:$M$456,"要調整",$G$7:$G$456,H25),""))</f>
        <v/>
      </c>
      <c r="O25" s="50">
        <f>IF(OR(M25&lt;&gt;"要調整",I25=""),"",IFERROR((INDEX(設定!$Q$8:$Q$27,MATCH(I25,設定!$P$8:$P$27,0))+N(INDEX(設定!$R$8:$R$27,MATCH(I25,設定!$P$8:$P$27,0))))-INDEX(定員チェック!$I$7:$I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IF(R25="","",IFERROR(MATCH(R25,希望入力!$M$5:$M$554,0),""))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50">
        <f>IF(P26="","",INDEX(前年度名簿!$H$3:$H$452,P26))</f>
        <v/>
      </c>
      <c r="B26" s="50">
        <f>IF(P26="","",IFERROR(INDEX(設定!$G$8:$G$31,INT(INDEX(前年度名簿!$G$3:$G$452,P26)/1000)),INDEX(前年度名簿!$A$3:$A$452,P26)&amp;INDEX(前年度名簿!$B$3:$B$452,P26)))</f>
        <v/>
      </c>
      <c r="C26" s="50">
        <f>IF(P26="","",INDEX(前年度名簿!$C$3:$C$452,P26))</f>
        <v/>
      </c>
      <c r="D26" s="4">
        <f>IF(P26="","",INDEX(前年度名簿!$D$3:$D$452,P26))</f>
        <v/>
      </c>
      <c r="E26" s="50">
        <f>IF(T26="","",INDEX(新年度名簿!$K$3:$K$452,T26))</f>
        <v/>
      </c>
      <c r="F26" s="50">
        <f>IF(T26="","",INDEX(新年度名簿!$C$3:$C$452,T26))</f>
        <v/>
      </c>
      <c r="G26" s="50">
        <f>IF(Q26="","",INDEX(希望入力!$H$5:$H$554,Q26)&amp;"")</f>
        <v/>
      </c>
      <c r="H26" s="50">
        <f>IF(Q26="","",INDEX(希望入力!$I$5:$I$554,Q26)&amp;"")</f>
        <v/>
      </c>
      <c r="I26" s="50">
        <f>IF(Q26="","",INDEX(希望入力!$J$5:$J$554,Q26)&amp;"")</f>
        <v/>
      </c>
      <c r="J26" s="50">
        <f>IF(Q26="","",IF(G26="転出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)</f>
        <v/>
      </c>
      <c r="K26" s="49" t="n"/>
      <c r="L26" s="56">
        <f>IF(P26="","",IF(G26="転出","",IF(K26&lt;&gt;"",K26,IF(OR(J26="",J26="要調整"),"",J26))))</f>
        <v/>
      </c>
      <c r="M26" s="50">
        <f>IF(P26="","",IF(OR(G26="転出",AND(計算用!$B$1=1,T26="")),"転出",IF(L26&lt;&gt;"","決定",IF(Q26="","未提出","要調整"))))</f>
        <v/>
      </c>
      <c r="N26" s="50">
        <f>IF(OR(M26&lt;&gt;"要調整",H26=""),"",IFERROR((INDEX(設定!$Q$8:$Q$27,MATCH(H26,設定!$P$8:$P$27,0))+N(INDEX(設定!$R$8:$R$27,MATCH(H26,設定!$P$8:$P$27,0))))-INDEX(定員チェック!$I$7:$I$26,MATCH(H26,設定!$P$8:$P$27,0))-COUNTIFS($M$7:$M$456,"要調整",$G$7:$G$456,H26),""))</f>
        <v/>
      </c>
      <c r="O26" s="50">
        <f>IF(OR(M26&lt;&gt;"要調整",I26=""),"",IFERROR((INDEX(設定!$Q$8:$Q$27,MATCH(I26,設定!$P$8:$P$27,0))+N(INDEX(設定!$R$8:$R$27,MATCH(I26,設定!$P$8:$P$27,0))))-INDEX(定員チェック!$I$7:$I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IF(R26="","",IFERROR(MATCH(R26,希望入力!$M$5:$M$554,0),""))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50">
        <f>IF(P27="","",INDEX(前年度名簿!$H$3:$H$452,P27))</f>
        <v/>
      </c>
      <c r="B27" s="50">
        <f>IF(P27="","",IFERROR(INDEX(設定!$G$8:$G$31,INT(INDEX(前年度名簿!$G$3:$G$452,P27)/1000)),INDEX(前年度名簿!$A$3:$A$452,P27)&amp;INDEX(前年度名簿!$B$3:$B$452,P27)))</f>
        <v/>
      </c>
      <c r="C27" s="50">
        <f>IF(P27="","",INDEX(前年度名簿!$C$3:$C$452,P27))</f>
        <v/>
      </c>
      <c r="D27" s="4">
        <f>IF(P27="","",INDEX(前年度名簿!$D$3:$D$452,P27))</f>
        <v/>
      </c>
      <c r="E27" s="50">
        <f>IF(T27="","",INDEX(新年度名簿!$K$3:$K$452,T27))</f>
        <v/>
      </c>
      <c r="F27" s="50">
        <f>IF(T27="","",INDEX(新年度名簿!$C$3:$C$452,T27))</f>
        <v/>
      </c>
      <c r="G27" s="50">
        <f>IF(Q27="","",INDEX(希望入力!$H$5:$H$554,Q27)&amp;"")</f>
        <v/>
      </c>
      <c r="H27" s="50">
        <f>IF(Q27="","",INDEX(希望入力!$I$5:$I$554,Q27)&amp;"")</f>
        <v/>
      </c>
      <c r="I27" s="50">
        <f>IF(Q27="","",INDEX(希望入力!$J$5:$J$554,Q27)&amp;"")</f>
        <v/>
      </c>
      <c r="J27" s="50">
        <f>IF(Q27="","",IF(G27="転出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)</f>
        <v/>
      </c>
      <c r="K27" s="49" t="n"/>
      <c r="L27" s="56">
        <f>IF(P27="","",IF(G27="転出","",IF(K27&lt;&gt;"",K27,IF(OR(J27="",J27="要調整"),"",J27))))</f>
        <v/>
      </c>
      <c r="M27" s="50">
        <f>IF(P27="","",IF(OR(G27="転出",AND(計算用!$B$1=1,T27="")),"転出",IF(L27&lt;&gt;"","決定",IF(Q27="","未提出","要調整"))))</f>
        <v/>
      </c>
      <c r="N27" s="50">
        <f>IF(OR(M27&lt;&gt;"要調整",H27=""),"",IFERROR((INDEX(設定!$Q$8:$Q$27,MATCH(H27,設定!$P$8:$P$27,0))+N(INDEX(設定!$R$8:$R$27,MATCH(H27,設定!$P$8:$P$27,0))))-INDEX(定員チェック!$I$7:$I$26,MATCH(H27,設定!$P$8:$P$27,0))-COUNTIFS($M$7:$M$456,"要調整",$G$7:$G$456,H27),""))</f>
        <v/>
      </c>
      <c r="O27" s="50">
        <f>IF(OR(M27&lt;&gt;"要調整",I27=""),"",IFERROR((INDEX(設定!$Q$8:$Q$27,MATCH(I27,設定!$P$8:$P$27,0))+N(INDEX(設定!$R$8:$R$27,MATCH(I27,設定!$P$8:$P$27,0))))-INDEX(定員チェック!$I$7:$I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IF(R27="","",IFERROR(MATCH(R27,希望入力!$M$5:$M$554,0),""))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50">
        <f>IF(P28="","",INDEX(前年度名簿!$H$3:$H$452,P28))</f>
        <v/>
      </c>
      <c r="B28" s="50">
        <f>IF(P28="","",IFERROR(INDEX(設定!$G$8:$G$31,INT(INDEX(前年度名簿!$G$3:$G$452,P28)/1000)),INDEX(前年度名簿!$A$3:$A$452,P28)&amp;INDEX(前年度名簿!$B$3:$B$452,P28)))</f>
        <v/>
      </c>
      <c r="C28" s="50">
        <f>IF(P28="","",INDEX(前年度名簿!$C$3:$C$452,P28))</f>
        <v/>
      </c>
      <c r="D28" s="4">
        <f>IF(P28="","",INDEX(前年度名簿!$D$3:$D$452,P28))</f>
        <v/>
      </c>
      <c r="E28" s="50">
        <f>IF(T28="","",INDEX(新年度名簿!$K$3:$K$452,T28))</f>
        <v/>
      </c>
      <c r="F28" s="50">
        <f>IF(T28="","",INDEX(新年度名簿!$C$3:$C$452,T28))</f>
        <v/>
      </c>
      <c r="G28" s="50">
        <f>IF(Q28="","",INDEX(希望入力!$H$5:$H$554,Q28)&amp;"")</f>
        <v/>
      </c>
      <c r="H28" s="50">
        <f>IF(Q28="","",INDEX(希望入力!$I$5:$I$554,Q28)&amp;"")</f>
        <v/>
      </c>
      <c r="I28" s="50">
        <f>IF(Q28="","",INDEX(希望入力!$J$5:$J$554,Q28)&amp;"")</f>
        <v/>
      </c>
      <c r="J28" s="50">
        <f>IF(Q28="","",IF(G28="転出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)</f>
        <v/>
      </c>
      <c r="K28" s="49" t="n"/>
      <c r="L28" s="56">
        <f>IF(P28="","",IF(G28="転出","",IF(K28&lt;&gt;"",K28,IF(OR(J28="",J28="要調整"),"",J28))))</f>
        <v/>
      </c>
      <c r="M28" s="50">
        <f>IF(P28="","",IF(OR(G28="転出",AND(計算用!$B$1=1,T28="")),"転出",IF(L28&lt;&gt;"","決定",IF(Q28="","未提出","要調整"))))</f>
        <v/>
      </c>
      <c r="N28" s="50">
        <f>IF(OR(M28&lt;&gt;"要調整",H28=""),"",IFERROR((INDEX(設定!$Q$8:$Q$27,MATCH(H28,設定!$P$8:$P$27,0))+N(INDEX(設定!$R$8:$R$27,MATCH(H28,設定!$P$8:$P$27,0))))-INDEX(定員チェック!$I$7:$I$26,MATCH(H28,設定!$P$8:$P$27,0))-COUNTIFS($M$7:$M$456,"要調整",$G$7:$G$456,H28),""))</f>
        <v/>
      </c>
      <c r="O28" s="50">
        <f>IF(OR(M28&lt;&gt;"要調整",I28=""),"",IFERROR((INDEX(設定!$Q$8:$Q$27,MATCH(I28,設定!$P$8:$P$27,0))+N(INDEX(設定!$R$8:$R$27,MATCH(I28,設定!$P$8:$P$27,0))))-INDEX(定員チェック!$I$7:$I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IF(R28="","",IFERROR(MATCH(R28,希望入力!$M$5:$M$554,0),""))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50">
        <f>IF(P29="","",INDEX(前年度名簿!$H$3:$H$452,P29))</f>
        <v/>
      </c>
      <c r="B29" s="50">
        <f>IF(P29="","",IFERROR(INDEX(設定!$G$8:$G$31,INT(INDEX(前年度名簿!$G$3:$G$452,P29)/1000)),INDEX(前年度名簿!$A$3:$A$452,P29)&amp;INDEX(前年度名簿!$B$3:$B$452,P29)))</f>
        <v/>
      </c>
      <c r="C29" s="50">
        <f>IF(P29="","",INDEX(前年度名簿!$C$3:$C$452,P29))</f>
        <v/>
      </c>
      <c r="D29" s="4">
        <f>IF(P29="","",INDEX(前年度名簿!$D$3:$D$452,P29))</f>
        <v/>
      </c>
      <c r="E29" s="50">
        <f>IF(T29="","",INDEX(新年度名簿!$K$3:$K$452,T29))</f>
        <v/>
      </c>
      <c r="F29" s="50">
        <f>IF(T29="","",INDEX(新年度名簿!$C$3:$C$452,T29))</f>
        <v/>
      </c>
      <c r="G29" s="50">
        <f>IF(Q29="","",INDEX(希望入力!$H$5:$H$554,Q29)&amp;"")</f>
        <v/>
      </c>
      <c r="H29" s="50">
        <f>IF(Q29="","",INDEX(希望入力!$I$5:$I$554,Q29)&amp;"")</f>
        <v/>
      </c>
      <c r="I29" s="50">
        <f>IF(Q29="","",INDEX(希望入力!$J$5:$J$554,Q29)&amp;"")</f>
        <v/>
      </c>
      <c r="J29" s="50">
        <f>IF(Q29="","",IF(G29="転出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)</f>
        <v/>
      </c>
      <c r="K29" s="49" t="n"/>
      <c r="L29" s="56">
        <f>IF(P29="","",IF(G29="転出","",IF(K29&lt;&gt;"",K29,IF(OR(J29="",J29="要調整"),"",J29))))</f>
        <v/>
      </c>
      <c r="M29" s="50">
        <f>IF(P29="","",IF(OR(G29="転出",AND(計算用!$B$1=1,T29="")),"転出",IF(L29&lt;&gt;"","決定",IF(Q29="","未提出","要調整"))))</f>
        <v/>
      </c>
      <c r="N29" s="50">
        <f>IF(OR(M29&lt;&gt;"要調整",H29=""),"",IFERROR((INDEX(設定!$Q$8:$Q$27,MATCH(H29,設定!$P$8:$P$27,0))+N(INDEX(設定!$R$8:$R$27,MATCH(H29,設定!$P$8:$P$27,0))))-INDEX(定員チェック!$I$7:$I$26,MATCH(H29,設定!$P$8:$P$27,0))-COUNTIFS($M$7:$M$456,"要調整",$G$7:$G$456,H29),""))</f>
        <v/>
      </c>
      <c r="O29" s="50">
        <f>IF(OR(M29&lt;&gt;"要調整",I29=""),"",IFERROR((INDEX(設定!$Q$8:$Q$27,MATCH(I29,設定!$P$8:$P$27,0))+N(INDEX(設定!$R$8:$R$27,MATCH(I29,設定!$P$8:$P$27,0))))-INDEX(定員チェック!$I$7:$I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IF(R29="","",IFERROR(MATCH(R29,希望入力!$M$5:$M$554,0),""))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50">
        <f>IF(P30="","",INDEX(前年度名簿!$H$3:$H$452,P30))</f>
        <v/>
      </c>
      <c r="B30" s="50">
        <f>IF(P30="","",IFERROR(INDEX(設定!$G$8:$G$31,INT(INDEX(前年度名簿!$G$3:$G$452,P30)/1000)),INDEX(前年度名簿!$A$3:$A$452,P30)&amp;INDEX(前年度名簿!$B$3:$B$452,P30)))</f>
        <v/>
      </c>
      <c r="C30" s="50">
        <f>IF(P30="","",INDEX(前年度名簿!$C$3:$C$452,P30))</f>
        <v/>
      </c>
      <c r="D30" s="4">
        <f>IF(P30="","",INDEX(前年度名簿!$D$3:$D$452,P30))</f>
        <v/>
      </c>
      <c r="E30" s="50">
        <f>IF(T30="","",INDEX(新年度名簿!$K$3:$K$452,T30))</f>
        <v/>
      </c>
      <c r="F30" s="50">
        <f>IF(T30="","",INDEX(新年度名簿!$C$3:$C$452,T30))</f>
        <v/>
      </c>
      <c r="G30" s="50">
        <f>IF(Q30="","",INDEX(希望入力!$H$5:$H$554,Q30)&amp;"")</f>
        <v/>
      </c>
      <c r="H30" s="50">
        <f>IF(Q30="","",INDEX(希望入力!$I$5:$I$554,Q30)&amp;"")</f>
        <v/>
      </c>
      <c r="I30" s="50">
        <f>IF(Q30="","",INDEX(希望入力!$J$5:$J$554,Q30)&amp;"")</f>
        <v/>
      </c>
      <c r="J30" s="50">
        <f>IF(Q30="","",IF(G30="転出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)</f>
        <v/>
      </c>
      <c r="K30" s="49" t="n"/>
      <c r="L30" s="56">
        <f>IF(P30="","",IF(G30="転出","",IF(K30&lt;&gt;"",K30,IF(OR(J30="",J30="要調整"),"",J30))))</f>
        <v/>
      </c>
      <c r="M30" s="50">
        <f>IF(P30="","",IF(OR(G30="転出",AND(計算用!$B$1=1,T30="")),"転出",IF(L30&lt;&gt;"","決定",IF(Q30="","未提出","要調整"))))</f>
        <v/>
      </c>
      <c r="N30" s="50">
        <f>IF(OR(M30&lt;&gt;"要調整",H30=""),"",IFERROR((INDEX(設定!$Q$8:$Q$27,MATCH(H30,設定!$P$8:$P$27,0))+N(INDEX(設定!$R$8:$R$27,MATCH(H30,設定!$P$8:$P$27,0))))-INDEX(定員チェック!$I$7:$I$26,MATCH(H30,設定!$P$8:$P$27,0))-COUNTIFS($M$7:$M$456,"要調整",$G$7:$G$456,H30),""))</f>
        <v/>
      </c>
      <c r="O30" s="50">
        <f>IF(OR(M30&lt;&gt;"要調整",I30=""),"",IFERROR((INDEX(設定!$Q$8:$Q$27,MATCH(I30,設定!$P$8:$P$27,0))+N(INDEX(設定!$R$8:$R$27,MATCH(I30,設定!$P$8:$P$27,0))))-INDEX(定員チェック!$I$7:$I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IF(R30="","",IFERROR(MATCH(R30,希望入力!$M$5:$M$554,0),""))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50">
        <f>IF(P31="","",INDEX(前年度名簿!$H$3:$H$452,P31))</f>
        <v/>
      </c>
      <c r="B31" s="50">
        <f>IF(P31="","",IFERROR(INDEX(設定!$G$8:$G$31,INT(INDEX(前年度名簿!$G$3:$G$452,P31)/1000)),INDEX(前年度名簿!$A$3:$A$452,P31)&amp;INDEX(前年度名簿!$B$3:$B$452,P31)))</f>
        <v/>
      </c>
      <c r="C31" s="50">
        <f>IF(P31="","",INDEX(前年度名簿!$C$3:$C$452,P31))</f>
        <v/>
      </c>
      <c r="D31" s="4">
        <f>IF(P31="","",INDEX(前年度名簿!$D$3:$D$452,P31))</f>
        <v/>
      </c>
      <c r="E31" s="50">
        <f>IF(T31="","",INDEX(新年度名簿!$K$3:$K$452,T31))</f>
        <v/>
      </c>
      <c r="F31" s="50">
        <f>IF(T31="","",INDEX(新年度名簿!$C$3:$C$452,T31))</f>
        <v/>
      </c>
      <c r="G31" s="50">
        <f>IF(Q31="","",INDEX(希望入力!$H$5:$H$554,Q31)&amp;"")</f>
        <v/>
      </c>
      <c r="H31" s="50">
        <f>IF(Q31="","",INDEX(希望入力!$I$5:$I$554,Q31)&amp;"")</f>
        <v/>
      </c>
      <c r="I31" s="50">
        <f>IF(Q31="","",INDEX(希望入力!$J$5:$J$554,Q31)&amp;"")</f>
        <v/>
      </c>
      <c r="J31" s="50">
        <f>IF(Q31="","",IF(G31="転出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)</f>
        <v/>
      </c>
      <c r="K31" s="49" t="n"/>
      <c r="L31" s="56">
        <f>IF(P31="","",IF(G31="転出","",IF(K31&lt;&gt;"",K31,IF(OR(J31="",J31="要調整"),"",J31))))</f>
        <v/>
      </c>
      <c r="M31" s="50">
        <f>IF(P31="","",IF(OR(G31="転出",AND(計算用!$B$1=1,T31="")),"転出",IF(L31&lt;&gt;"","決定",IF(Q31="","未提出","要調整"))))</f>
        <v/>
      </c>
      <c r="N31" s="50">
        <f>IF(OR(M31&lt;&gt;"要調整",H31=""),"",IFERROR((INDEX(設定!$Q$8:$Q$27,MATCH(H31,設定!$P$8:$P$27,0))+N(INDEX(設定!$R$8:$R$27,MATCH(H31,設定!$P$8:$P$27,0))))-INDEX(定員チェック!$I$7:$I$26,MATCH(H31,設定!$P$8:$P$27,0))-COUNTIFS($M$7:$M$456,"要調整",$G$7:$G$456,H31),""))</f>
        <v/>
      </c>
      <c r="O31" s="50">
        <f>IF(OR(M31&lt;&gt;"要調整",I31=""),"",IFERROR((INDEX(設定!$Q$8:$Q$27,MATCH(I31,設定!$P$8:$P$27,0))+N(INDEX(設定!$R$8:$R$27,MATCH(I31,設定!$P$8:$P$27,0))))-INDEX(定員チェック!$I$7:$I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IF(R31="","",IFERROR(MATCH(R31,希望入力!$M$5:$M$554,0),""))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50">
        <f>IF(P32="","",INDEX(前年度名簿!$H$3:$H$452,P32))</f>
        <v/>
      </c>
      <c r="B32" s="50">
        <f>IF(P32="","",IFERROR(INDEX(設定!$G$8:$G$31,INT(INDEX(前年度名簿!$G$3:$G$452,P32)/1000)),INDEX(前年度名簿!$A$3:$A$452,P32)&amp;INDEX(前年度名簿!$B$3:$B$452,P32)))</f>
        <v/>
      </c>
      <c r="C32" s="50">
        <f>IF(P32="","",INDEX(前年度名簿!$C$3:$C$452,P32))</f>
        <v/>
      </c>
      <c r="D32" s="4">
        <f>IF(P32="","",INDEX(前年度名簿!$D$3:$D$452,P32))</f>
        <v/>
      </c>
      <c r="E32" s="50">
        <f>IF(T32="","",INDEX(新年度名簿!$K$3:$K$452,T32))</f>
        <v/>
      </c>
      <c r="F32" s="50">
        <f>IF(T32="","",INDEX(新年度名簿!$C$3:$C$452,T32))</f>
        <v/>
      </c>
      <c r="G32" s="50">
        <f>IF(Q32="","",INDEX(希望入力!$H$5:$H$554,Q32)&amp;"")</f>
        <v/>
      </c>
      <c r="H32" s="50">
        <f>IF(Q32="","",INDEX(希望入力!$I$5:$I$554,Q32)&amp;"")</f>
        <v/>
      </c>
      <c r="I32" s="50">
        <f>IF(Q32="","",INDEX(希望入力!$J$5:$J$554,Q32)&amp;"")</f>
        <v/>
      </c>
      <c r="J32" s="50">
        <f>IF(Q32="","",IF(G32="転出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)</f>
        <v/>
      </c>
      <c r="K32" s="49" t="n"/>
      <c r="L32" s="56">
        <f>IF(P32="","",IF(G32="転出","",IF(K32&lt;&gt;"",K32,IF(OR(J32="",J32="要調整"),"",J32))))</f>
        <v/>
      </c>
      <c r="M32" s="50">
        <f>IF(P32="","",IF(OR(G32="転出",AND(計算用!$B$1=1,T32="")),"転出",IF(L32&lt;&gt;"","決定",IF(Q32="","未提出","要調整"))))</f>
        <v/>
      </c>
      <c r="N32" s="50">
        <f>IF(OR(M32&lt;&gt;"要調整",H32=""),"",IFERROR((INDEX(設定!$Q$8:$Q$27,MATCH(H32,設定!$P$8:$P$27,0))+N(INDEX(設定!$R$8:$R$27,MATCH(H32,設定!$P$8:$P$27,0))))-INDEX(定員チェック!$I$7:$I$26,MATCH(H32,設定!$P$8:$P$27,0))-COUNTIFS($M$7:$M$456,"要調整",$G$7:$G$456,H32),""))</f>
        <v/>
      </c>
      <c r="O32" s="50">
        <f>IF(OR(M32&lt;&gt;"要調整",I32=""),"",IFERROR((INDEX(設定!$Q$8:$Q$27,MATCH(I32,設定!$P$8:$P$27,0))+N(INDEX(設定!$R$8:$R$27,MATCH(I32,設定!$P$8:$P$27,0))))-INDEX(定員チェック!$I$7:$I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IF(R32="","",IFERROR(MATCH(R32,希望入力!$M$5:$M$554,0),""))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50">
        <f>IF(P33="","",INDEX(前年度名簿!$H$3:$H$452,P33))</f>
        <v/>
      </c>
      <c r="B33" s="50">
        <f>IF(P33="","",IFERROR(INDEX(設定!$G$8:$G$31,INT(INDEX(前年度名簿!$G$3:$G$452,P33)/1000)),INDEX(前年度名簿!$A$3:$A$452,P33)&amp;INDEX(前年度名簿!$B$3:$B$452,P33)))</f>
        <v/>
      </c>
      <c r="C33" s="50">
        <f>IF(P33="","",INDEX(前年度名簿!$C$3:$C$452,P33))</f>
        <v/>
      </c>
      <c r="D33" s="4">
        <f>IF(P33="","",INDEX(前年度名簿!$D$3:$D$452,P33))</f>
        <v/>
      </c>
      <c r="E33" s="50">
        <f>IF(T33="","",INDEX(新年度名簿!$K$3:$K$452,T33))</f>
        <v/>
      </c>
      <c r="F33" s="50">
        <f>IF(T33="","",INDEX(新年度名簿!$C$3:$C$452,T33))</f>
        <v/>
      </c>
      <c r="G33" s="50">
        <f>IF(Q33="","",INDEX(希望入力!$H$5:$H$554,Q33)&amp;"")</f>
        <v/>
      </c>
      <c r="H33" s="50">
        <f>IF(Q33="","",INDEX(希望入力!$I$5:$I$554,Q33)&amp;"")</f>
        <v/>
      </c>
      <c r="I33" s="50">
        <f>IF(Q33="","",INDEX(希望入力!$J$5:$J$554,Q33)&amp;"")</f>
        <v/>
      </c>
      <c r="J33" s="50">
        <f>IF(Q33="","",IF(G33="転出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)</f>
        <v/>
      </c>
      <c r="K33" s="49" t="n"/>
      <c r="L33" s="56">
        <f>IF(P33="","",IF(G33="転出","",IF(K33&lt;&gt;"",K33,IF(OR(J33="",J33="要調整"),"",J33))))</f>
        <v/>
      </c>
      <c r="M33" s="50">
        <f>IF(P33="","",IF(OR(G33="転出",AND(計算用!$B$1=1,T33="")),"転出",IF(L33&lt;&gt;"","決定",IF(Q33="","未提出","要調整"))))</f>
        <v/>
      </c>
      <c r="N33" s="50">
        <f>IF(OR(M33&lt;&gt;"要調整",H33=""),"",IFERROR((INDEX(設定!$Q$8:$Q$27,MATCH(H33,設定!$P$8:$P$27,0))+N(INDEX(設定!$R$8:$R$27,MATCH(H33,設定!$P$8:$P$27,0))))-INDEX(定員チェック!$I$7:$I$26,MATCH(H33,設定!$P$8:$P$27,0))-COUNTIFS($M$7:$M$456,"要調整",$G$7:$G$456,H33),""))</f>
        <v/>
      </c>
      <c r="O33" s="50">
        <f>IF(OR(M33&lt;&gt;"要調整",I33=""),"",IFERROR((INDEX(設定!$Q$8:$Q$27,MATCH(I33,設定!$P$8:$P$27,0))+N(INDEX(設定!$R$8:$R$27,MATCH(I33,設定!$P$8:$P$27,0))))-INDEX(定員チェック!$I$7:$I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IF(R33="","",IFERROR(MATCH(R33,希望入力!$M$5:$M$554,0),""))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50">
        <f>IF(P34="","",INDEX(前年度名簿!$H$3:$H$452,P34))</f>
        <v/>
      </c>
      <c r="B34" s="50">
        <f>IF(P34="","",IFERROR(INDEX(設定!$G$8:$G$31,INT(INDEX(前年度名簿!$G$3:$G$452,P34)/1000)),INDEX(前年度名簿!$A$3:$A$452,P34)&amp;INDEX(前年度名簿!$B$3:$B$452,P34)))</f>
        <v/>
      </c>
      <c r="C34" s="50">
        <f>IF(P34="","",INDEX(前年度名簿!$C$3:$C$452,P34))</f>
        <v/>
      </c>
      <c r="D34" s="4">
        <f>IF(P34="","",INDEX(前年度名簿!$D$3:$D$452,P34))</f>
        <v/>
      </c>
      <c r="E34" s="50">
        <f>IF(T34="","",INDEX(新年度名簿!$K$3:$K$452,T34))</f>
        <v/>
      </c>
      <c r="F34" s="50">
        <f>IF(T34="","",INDEX(新年度名簿!$C$3:$C$452,T34))</f>
        <v/>
      </c>
      <c r="G34" s="50">
        <f>IF(Q34="","",INDEX(希望入力!$H$5:$H$554,Q34)&amp;"")</f>
        <v/>
      </c>
      <c r="H34" s="50">
        <f>IF(Q34="","",INDEX(希望入力!$I$5:$I$554,Q34)&amp;"")</f>
        <v/>
      </c>
      <c r="I34" s="50">
        <f>IF(Q34="","",INDEX(希望入力!$J$5:$J$554,Q34)&amp;"")</f>
        <v/>
      </c>
      <c r="J34" s="50">
        <f>IF(Q34="","",IF(G34="転出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)</f>
        <v/>
      </c>
      <c r="K34" s="49" t="n"/>
      <c r="L34" s="56">
        <f>IF(P34="","",IF(G34="転出","",IF(K34&lt;&gt;"",K34,IF(OR(J34="",J34="要調整"),"",J34))))</f>
        <v/>
      </c>
      <c r="M34" s="50">
        <f>IF(P34="","",IF(OR(G34="転出",AND(計算用!$B$1=1,T34="")),"転出",IF(L34&lt;&gt;"","決定",IF(Q34="","未提出","要調整"))))</f>
        <v/>
      </c>
      <c r="N34" s="50">
        <f>IF(OR(M34&lt;&gt;"要調整",H34=""),"",IFERROR((INDEX(設定!$Q$8:$Q$27,MATCH(H34,設定!$P$8:$P$27,0))+N(INDEX(設定!$R$8:$R$27,MATCH(H34,設定!$P$8:$P$27,0))))-INDEX(定員チェック!$I$7:$I$26,MATCH(H34,設定!$P$8:$P$27,0))-COUNTIFS($M$7:$M$456,"要調整",$G$7:$G$456,H34),""))</f>
        <v/>
      </c>
      <c r="O34" s="50">
        <f>IF(OR(M34&lt;&gt;"要調整",I34=""),"",IFERROR((INDEX(設定!$Q$8:$Q$27,MATCH(I34,設定!$P$8:$P$27,0))+N(INDEX(設定!$R$8:$R$27,MATCH(I34,設定!$P$8:$P$27,0))))-INDEX(定員チェック!$I$7:$I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IF(R34="","",IFERROR(MATCH(R34,希望入力!$M$5:$M$554,0),""))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50">
        <f>IF(P35="","",INDEX(前年度名簿!$H$3:$H$452,P35))</f>
        <v/>
      </c>
      <c r="B35" s="50">
        <f>IF(P35="","",IFERROR(INDEX(設定!$G$8:$G$31,INT(INDEX(前年度名簿!$G$3:$G$452,P35)/1000)),INDEX(前年度名簿!$A$3:$A$452,P35)&amp;INDEX(前年度名簿!$B$3:$B$452,P35)))</f>
        <v/>
      </c>
      <c r="C35" s="50">
        <f>IF(P35="","",INDEX(前年度名簿!$C$3:$C$452,P35))</f>
        <v/>
      </c>
      <c r="D35" s="4">
        <f>IF(P35="","",INDEX(前年度名簿!$D$3:$D$452,P35))</f>
        <v/>
      </c>
      <c r="E35" s="50">
        <f>IF(T35="","",INDEX(新年度名簿!$K$3:$K$452,T35))</f>
        <v/>
      </c>
      <c r="F35" s="50">
        <f>IF(T35="","",INDEX(新年度名簿!$C$3:$C$452,T35))</f>
        <v/>
      </c>
      <c r="G35" s="50">
        <f>IF(Q35="","",INDEX(希望入力!$H$5:$H$554,Q35)&amp;"")</f>
        <v/>
      </c>
      <c r="H35" s="50">
        <f>IF(Q35="","",INDEX(希望入力!$I$5:$I$554,Q35)&amp;"")</f>
        <v/>
      </c>
      <c r="I35" s="50">
        <f>IF(Q35="","",INDEX(希望入力!$J$5:$J$554,Q35)&amp;"")</f>
        <v/>
      </c>
      <c r="J35" s="50">
        <f>IF(Q35="","",IF(G35="転出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)</f>
        <v/>
      </c>
      <c r="K35" s="49" t="n"/>
      <c r="L35" s="56">
        <f>IF(P35="","",IF(G35="転出","",IF(K35&lt;&gt;"",K35,IF(OR(J35="",J35="要調整"),"",J35))))</f>
        <v/>
      </c>
      <c r="M35" s="50">
        <f>IF(P35="","",IF(OR(G35="転出",AND(計算用!$B$1=1,T35="")),"転出",IF(L35&lt;&gt;"","決定",IF(Q35="","未提出","要調整"))))</f>
        <v/>
      </c>
      <c r="N35" s="50">
        <f>IF(OR(M35&lt;&gt;"要調整",H35=""),"",IFERROR((INDEX(設定!$Q$8:$Q$27,MATCH(H35,設定!$P$8:$P$27,0))+N(INDEX(設定!$R$8:$R$27,MATCH(H35,設定!$P$8:$P$27,0))))-INDEX(定員チェック!$I$7:$I$26,MATCH(H35,設定!$P$8:$P$27,0))-COUNTIFS($M$7:$M$456,"要調整",$G$7:$G$456,H35),""))</f>
        <v/>
      </c>
      <c r="O35" s="50">
        <f>IF(OR(M35&lt;&gt;"要調整",I35=""),"",IFERROR((INDEX(設定!$Q$8:$Q$27,MATCH(I35,設定!$P$8:$P$27,0))+N(INDEX(設定!$R$8:$R$27,MATCH(I35,設定!$P$8:$P$27,0))))-INDEX(定員チェック!$I$7:$I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IF(R35="","",IFERROR(MATCH(R35,希望入力!$M$5:$M$554,0),""))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50">
        <f>IF(P36="","",INDEX(前年度名簿!$H$3:$H$452,P36))</f>
        <v/>
      </c>
      <c r="B36" s="50">
        <f>IF(P36="","",IFERROR(INDEX(設定!$G$8:$G$31,INT(INDEX(前年度名簿!$G$3:$G$452,P36)/1000)),INDEX(前年度名簿!$A$3:$A$452,P36)&amp;INDEX(前年度名簿!$B$3:$B$452,P36)))</f>
        <v/>
      </c>
      <c r="C36" s="50">
        <f>IF(P36="","",INDEX(前年度名簿!$C$3:$C$452,P36))</f>
        <v/>
      </c>
      <c r="D36" s="4">
        <f>IF(P36="","",INDEX(前年度名簿!$D$3:$D$452,P36))</f>
        <v/>
      </c>
      <c r="E36" s="50">
        <f>IF(T36="","",INDEX(新年度名簿!$K$3:$K$452,T36))</f>
        <v/>
      </c>
      <c r="F36" s="50">
        <f>IF(T36="","",INDEX(新年度名簿!$C$3:$C$452,T36))</f>
        <v/>
      </c>
      <c r="G36" s="50">
        <f>IF(Q36="","",INDEX(希望入力!$H$5:$H$554,Q36)&amp;"")</f>
        <v/>
      </c>
      <c r="H36" s="50">
        <f>IF(Q36="","",INDEX(希望入力!$I$5:$I$554,Q36)&amp;"")</f>
        <v/>
      </c>
      <c r="I36" s="50">
        <f>IF(Q36="","",INDEX(希望入力!$J$5:$J$554,Q36)&amp;"")</f>
        <v/>
      </c>
      <c r="J36" s="50">
        <f>IF(Q36="","",IF(G36="転出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)</f>
        <v/>
      </c>
      <c r="K36" s="49" t="n"/>
      <c r="L36" s="56">
        <f>IF(P36="","",IF(G36="転出","",IF(K36&lt;&gt;"",K36,IF(OR(J36="",J36="要調整"),"",J36))))</f>
        <v/>
      </c>
      <c r="M36" s="50">
        <f>IF(P36="","",IF(OR(G36="転出",AND(計算用!$B$1=1,T36="")),"転出",IF(L36&lt;&gt;"","決定",IF(Q36="","未提出","要調整"))))</f>
        <v/>
      </c>
      <c r="N36" s="50">
        <f>IF(OR(M36&lt;&gt;"要調整",H36=""),"",IFERROR((INDEX(設定!$Q$8:$Q$27,MATCH(H36,設定!$P$8:$P$27,0))+N(INDEX(設定!$R$8:$R$27,MATCH(H36,設定!$P$8:$P$27,0))))-INDEX(定員チェック!$I$7:$I$26,MATCH(H36,設定!$P$8:$P$27,0))-COUNTIFS($M$7:$M$456,"要調整",$G$7:$G$456,H36),""))</f>
        <v/>
      </c>
      <c r="O36" s="50">
        <f>IF(OR(M36&lt;&gt;"要調整",I36=""),"",IFERROR((INDEX(設定!$Q$8:$Q$27,MATCH(I36,設定!$P$8:$P$27,0))+N(INDEX(設定!$R$8:$R$27,MATCH(I36,設定!$P$8:$P$27,0))))-INDEX(定員チェック!$I$7:$I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IF(R36="","",IFERROR(MATCH(R36,希望入力!$M$5:$M$554,0),""))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50">
        <f>IF(P37="","",INDEX(前年度名簿!$H$3:$H$452,P37))</f>
        <v/>
      </c>
      <c r="B37" s="50">
        <f>IF(P37="","",IFERROR(INDEX(設定!$G$8:$G$31,INT(INDEX(前年度名簿!$G$3:$G$452,P37)/1000)),INDEX(前年度名簿!$A$3:$A$452,P37)&amp;INDEX(前年度名簿!$B$3:$B$452,P37)))</f>
        <v/>
      </c>
      <c r="C37" s="50">
        <f>IF(P37="","",INDEX(前年度名簿!$C$3:$C$452,P37))</f>
        <v/>
      </c>
      <c r="D37" s="4">
        <f>IF(P37="","",INDEX(前年度名簿!$D$3:$D$452,P37))</f>
        <v/>
      </c>
      <c r="E37" s="50">
        <f>IF(T37="","",INDEX(新年度名簿!$K$3:$K$452,T37))</f>
        <v/>
      </c>
      <c r="F37" s="50">
        <f>IF(T37="","",INDEX(新年度名簿!$C$3:$C$452,T37))</f>
        <v/>
      </c>
      <c r="G37" s="50">
        <f>IF(Q37="","",INDEX(希望入力!$H$5:$H$554,Q37)&amp;"")</f>
        <v/>
      </c>
      <c r="H37" s="50">
        <f>IF(Q37="","",INDEX(希望入力!$I$5:$I$554,Q37)&amp;"")</f>
        <v/>
      </c>
      <c r="I37" s="50">
        <f>IF(Q37="","",INDEX(希望入力!$J$5:$J$554,Q37)&amp;"")</f>
        <v/>
      </c>
      <c r="J37" s="50">
        <f>IF(Q37="","",IF(G37="転出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)</f>
        <v/>
      </c>
      <c r="K37" s="49" t="n"/>
      <c r="L37" s="56">
        <f>IF(P37="","",IF(G37="転出","",IF(K37&lt;&gt;"",K37,IF(OR(J37="",J37="要調整"),"",J37))))</f>
        <v/>
      </c>
      <c r="M37" s="50">
        <f>IF(P37="","",IF(OR(G37="転出",AND(計算用!$B$1=1,T37="")),"転出",IF(L37&lt;&gt;"","決定",IF(Q37="","未提出","要調整"))))</f>
        <v/>
      </c>
      <c r="N37" s="50">
        <f>IF(OR(M37&lt;&gt;"要調整",H37=""),"",IFERROR((INDEX(設定!$Q$8:$Q$27,MATCH(H37,設定!$P$8:$P$27,0))+N(INDEX(設定!$R$8:$R$27,MATCH(H37,設定!$P$8:$P$27,0))))-INDEX(定員チェック!$I$7:$I$26,MATCH(H37,設定!$P$8:$P$27,0))-COUNTIFS($M$7:$M$456,"要調整",$G$7:$G$456,H37),""))</f>
        <v/>
      </c>
      <c r="O37" s="50">
        <f>IF(OR(M37&lt;&gt;"要調整",I37=""),"",IFERROR((INDEX(設定!$Q$8:$Q$27,MATCH(I37,設定!$P$8:$P$27,0))+N(INDEX(設定!$R$8:$R$27,MATCH(I37,設定!$P$8:$P$27,0))))-INDEX(定員チェック!$I$7:$I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IF(R37="","",IFERROR(MATCH(R37,希望入力!$M$5:$M$554,0),""))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50">
        <f>IF(P38="","",INDEX(前年度名簿!$H$3:$H$452,P38))</f>
        <v/>
      </c>
      <c r="B38" s="50">
        <f>IF(P38="","",IFERROR(INDEX(設定!$G$8:$G$31,INT(INDEX(前年度名簿!$G$3:$G$452,P38)/1000)),INDEX(前年度名簿!$A$3:$A$452,P38)&amp;INDEX(前年度名簿!$B$3:$B$452,P38)))</f>
        <v/>
      </c>
      <c r="C38" s="50">
        <f>IF(P38="","",INDEX(前年度名簿!$C$3:$C$452,P38))</f>
        <v/>
      </c>
      <c r="D38" s="4">
        <f>IF(P38="","",INDEX(前年度名簿!$D$3:$D$452,P38))</f>
        <v/>
      </c>
      <c r="E38" s="50">
        <f>IF(T38="","",INDEX(新年度名簿!$K$3:$K$452,T38))</f>
        <v/>
      </c>
      <c r="F38" s="50">
        <f>IF(T38="","",INDEX(新年度名簿!$C$3:$C$452,T38))</f>
        <v/>
      </c>
      <c r="G38" s="50">
        <f>IF(Q38="","",INDEX(希望入力!$H$5:$H$554,Q38)&amp;"")</f>
        <v/>
      </c>
      <c r="H38" s="50">
        <f>IF(Q38="","",INDEX(希望入力!$I$5:$I$554,Q38)&amp;"")</f>
        <v/>
      </c>
      <c r="I38" s="50">
        <f>IF(Q38="","",INDEX(希望入力!$J$5:$J$554,Q38)&amp;"")</f>
        <v/>
      </c>
      <c r="J38" s="50">
        <f>IF(Q38="","",IF(G38="転出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)</f>
        <v/>
      </c>
      <c r="K38" s="49" t="n"/>
      <c r="L38" s="56">
        <f>IF(P38="","",IF(G38="転出","",IF(K38&lt;&gt;"",K38,IF(OR(J38="",J38="要調整"),"",J38))))</f>
        <v/>
      </c>
      <c r="M38" s="50">
        <f>IF(P38="","",IF(OR(G38="転出",AND(計算用!$B$1=1,T38="")),"転出",IF(L38&lt;&gt;"","決定",IF(Q38="","未提出","要調整"))))</f>
        <v/>
      </c>
      <c r="N38" s="50">
        <f>IF(OR(M38&lt;&gt;"要調整",H38=""),"",IFERROR((INDEX(設定!$Q$8:$Q$27,MATCH(H38,設定!$P$8:$P$27,0))+N(INDEX(設定!$R$8:$R$27,MATCH(H38,設定!$P$8:$P$27,0))))-INDEX(定員チェック!$I$7:$I$26,MATCH(H38,設定!$P$8:$P$27,0))-COUNTIFS($M$7:$M$456,"要調整",$G$7:$G$456,H38),""))</f>
        <v/>
      </c>
      <c r="O38" s="50">
        <f>IF(OR(M38&lt;&gt;"要調整",I38=""),"",IFERROR((INDEX(設定!$Q$8:$Q$27,MATCH(I38,設定!$P$8:$P$27,0))+N(INDEX(設定!$R$8:$R$27,MATCH(I38,設定!$P$8:$P$27,0))))-INDEX(定員チェック!$I$7:$I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IF(R38="","",IFERROR(MATCH(R38,希望入力!$M$5:$M$554,0),""))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50">
        <f>IF(P39="","",INDEX(前年度名簿!$H$3:$H$452,P39))</f>
        <v/>
      </c>
      <c r="B39" s="50">
        <f>IF(P39="","",IFERROR(INDEX(設定!$G$8:$G$31,INT(INDEX(前年度名簿!$G$3:$G$452,P39)/1000)),INDEX(前年度名簿!$A$3:$A$452,P39)&amp;INDEX(前年度名簿!$B$3:$B$452,P39)))</f>
        <v/>
      </c>
      <c r="C39" s="50">
        <f>IF(P39="","",INDEX(前年度名簿!$C$3:$C$452,P39))</f>
        <v/>
      </c>
      <c r="D39" s="4">
        <f>IF(P39="","",INDEX(前年度名簿!$D$3:$D$452,P39))</f>
        <v/>
      </c>
      <c r="E39" s="50">
        <f>IF(T39="","",INDEX(新年度名簿!$K$3:$K$452,T39))</f>
        <v/>
      </c>
      <c r="F39" s="50">
        <f>IF(T39="","",INDEX(新年度名簿!$C$3:$C$452,T39))</f>
        <v/>
      </c>
      <c r="G39" s="50">
        <f>IF(Q39="","",INDEX(希望入力!$H$5:$H$554,Q39)&amp;"")</f>
        <v/>
      </c>
      <c r="H39" s="50">
        <f>IF(Q39="","",INDEX(希望入力!$I$5:$I$554,Q39)&amp;"")</f>
        <v/>
      </c>
      <c r="I39" s="50">
        <f>IF(Q39="","",INDEX(希望入力!$J$5:$J$554,Q39)&amp;"")</f>
        <v/>
      </c>
      <c r="J39" s="50">
        <f>IF(Q39="","",IF(G39="転出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)</f>
        <v/>
      </c>
      <c r="K39" s="49" t="n"/>
      <c r="L39" s="56">
        <f>IF(P39="","",IF(G39="転出","",IF(K39&lt;&gt;"",K39,IF(OR(J39="",J39="要調整"),"",J39))))</f>
        <v/>
      </c>
      <c r="M39" s="50">
        <f>IF(P39="","",IF(OR(G39="転出",AND(計算用!$B$1=1,T39="")),"転出",IF(L39&lt;&gt;"","決定",IF(Q39="","未提出","要調整"))))</f>
        <v/>
      </c>
      <c r="N39" s="50">
        <f>IF(OR(M39&lt;&gt;"要調整",H39=""),"",IFERROR((INDEX(設定!$Q$8:$Q$27,MATCH(H39,設定!$P$8:$P$27,0))+N(INDEX(設定!$R$8:$R$27,MATCH(H39,設定!$P$8:$P$27,0))))-INDEX(定員チェック!$I$7:$I$26,MATCH(H39,設定!$P$8:$P$27,0))-COUNTIFS($M$7:$M$456,"要調整",$G$7:$G$456,H39),""))</f>
        <v/>
      </c>
      <c r="O39" s="50">
        <f>IF(OR(M39&lt;&gt;"要調整",I39=""),"",IFERROR((INDEX(設定!$Q$8:$Q$27,MATCH(I39,設定!$P$8:$P$27,0))+N(INDEX(設定!$R$8:$R$27,MATCH(I39,設定!$P$8:$P$27,0))))-INDEX(定員チェック!$I$7:$I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IF(R39="","",IFERROR(MATCH(R39,希望入力!$M$5:$M$554,0),""))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50">
        <f>IF(P40="","",INDEX(前年度名簿!$H$3:$H$452,P40))</f>
        <v/>
      </c>
      <c r="B40" s="50">
        <f>IF(P40="","",IFERROR(INDEX(設定!$G$8:$G$31,INT(INDEX(前年度名簿!$G$3:$G$452,P40)/1000)),INDEX(前年度名簿!$A$3:$A$452,P40)&amp;INDEX(前年度名簿!$B$3:$B$452,P40)))</f>
        <v/>
      </c>
      <c r="C40" s="50">
        <f>IF(P40="","",INDEX(前年度名簿!$C$3:$C$452,P40))</f>
        <v/>
      </c>
      <c r="D40" s="4">
        <f>IF(P40="","",INDEX(前年度名簿!$D$3:$D$452,P40))</f>
        <v/>
      </c>
      <c r="E40" s="50">
        <f>IF(T40="","",INDEX(新年度名簿!$K$3:$K$452,T40))</f>
        <v/>
      </c>
      <c r="F40" s="50">
        <f>IF(T40="","",INDEX(新年度名簿!$C$3:$C$452,T40))</f>
        <v/>
      </c>
      <c r="G40" s="50">
        <f>IF(Q40="","",INDEX(希望入力!$H$5:$H$554,Q40)&amp;"")</f>
        <v/>
      </c>
      <c r="H40" s="50">
        <f>IF(Q40="","",INDEX(希望入力!$I$5:$I$554,Q40)&amp;"")</f>
        <v/>
      </c>
      <c r="I40" s="50">
        <f>IF(Q40="","",INDEX(希望入力!$J$5:$J$554,Q40)&amp;"")</f>
        <v/>
      </c>
      <c r="J40" s="50">
        <f>IF(Q40="","",IF(G40="転出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)</f>
        <v/>
      </c>
      <c r="K40" s="49" t="n"/>
      <c r="L40" s="56">
        <f>IF(P40="","",IF(G40="転出","",IF(K40&lt;&gt;"",K40,IF(OR(J40="",J40="要調整"),"",J40))))</f>
        <v/>
      </c>
      <c r="M40" s="50">
        <f>IF(P40="","",IF(OR(G40="転出",AND(計算用!$B$1=1,T40="")),"転出",IF(L40&lt;&gt;"","決定",IF(Q40="","未提出","要調整"))))</f>
        <v/>
      </c>
      <c r="N40" s="50">
        <f>IF(OR(M40&lt;&gt;"要調整",H40=""),"",IFERROR((INDEX(設定!$Q$8:$Q$27,MATCH(H40,設定!$P$8:$P$27,0))+N(INDEX(設定!$R$8:$R$27,MATCH(H40,設定!$P$8:$P$27,0))))-INDEX(定員チェック!$I$7:$I$26,MATCH(H40,設定!$P$8:$P$27,0))-COUNTIFS($M$7:$M$456,"要調整",$G$7:$G$456,H40),""))</f>
        <v/>
      </c>
      <c r="O40" s="50">
        <f>IF(OR(M40&lt;&gt;"要調整",I40=""),"",IFERROR((INDEX(設定!$Q$8:$Q$27,MATCH(I40,設定!$P$8:$P$27,0))+N(INDEX(設定!$R$8:$R$27,MATCH(I40,設定!$P$8:$P$27,0))))-INDEX(定員チェック!$I$7:$I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IF(R40="","",IFERROR(MATCH(R40,希望入力!$M$5:$M$554,0),""))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50">
        <f>IF(P41="","",INDEX(前年度名簿!$H$3:$H$452,P41))</f>
        <v/>
      </c>
      <c r="B41" s="50">
        <f>IF(P41="","",IFERROR(INDEX(設定!$G$8:$G$31,INT(INDEX(前年度名簿!$G$3:$G$452,P41)/1000)),INDEX(前年度名簿!$A$3:$A$452,P41)&amp;INDEX(前年度名簿!$B$3:$B$452,P41)))</f>
        <v/>
      </c>
      <c r="C41" s="50">
        <f>IF(P41="","",INDEX(前年度名簿!$C$3:$C$452,P41))</f>
        <v/>
      </c>
      <c r="D41" s="4">
        <f>IF(P41="","",INDEX(前年度名簿!$D$3:$D$452,P41))</f>
        <v/>
      </c>
      <c r="E41" s="50">
        <f>IF(T41="","",INDEX(新年度名簿!$K$3:$K$452,T41))</f>
        <v/>
      </c>
      <c r="F41" s="50">
        <f>IF(T41="","",INDEX(新年度名簿!$C$3:$C$452,T41))</f>
        <v/>
      </c>
      <c r="G41" s="50">
        <f>IF(Q41="","",INDEX(希望入力!$H$5:$H$554,Q41)&amp;"")</f>
        <v/>
      </c>
      <c r="H41" s="50">
        <f>IF(Q41="","",INDEX(希望入力!$I$5:$I$554,Q41)&amp;"")</f>
        <v/>
      </c>
      <c r="I41" s="50">
        <f>IF(Q41="","",INDEX(希望入力!$J$5:$J$554,Q41)&amp;"")</f>
        <v/>
      </c>
      <c r="J41" s="50">
        <f>IF(Q41="","",IF(G41="転出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)</f>
        <v/>
      </c>
      <c r="K41" s="49" t="n"/>
      <c r="L41" s="56">
        <f>IF(P41="","",IF(G41="転出","",IF(K41&lt;&gt;"",K41,IF(OR(J41="",J41="要調整"),"",J41))))</f>
        <v/>
      </c>
      <c r="M41" s="50">
        <f>IF(P41="","",IF(OR(G41="転出",AND(計算用!$B$1=1,T41="")),"転出",IF(L41&lt;&gt;"","決定",IF(Q41="","未提出","要調整"))))</f>
        <v/>
      </c>
      <c r="N41" s="50">
        <f>IF(OR(M41&lt;&gt;"要調整",H41=""),"",IFERROR((INDEX(設定!$Q$8:$Q$27,MATCH(H41,設定!$P$8:$P$27,0))+N(INDEX(設定!$R$8:$R$27,MATCH(H41,設定!$P$8:$P$27,0))))-INDEX(定員チェック!$I$7:$I$26,MATCH(H41,設定!$P$8:$P$27,0))-COUNTIFS($M$7:$M$456,"要調整",$G$7:$G$456,H41),""))</f>
        <v/>
      </c>
      <c r="O41" s="50">
        <f>IF(OR(M41&lt;&gt;"要調整",I41=""),"",IFERROR((INDEX(設定!$Q$8:$Q$27,MATCH(I41,設定!$P$8:$P$27,0))+N(INDEX(設定!$R$8:$R$27,MATCH(I41,設定!$P$8:$P$27,0))))-INDEX(定員チェック!$I$7:$I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IF(R41="","",IFERROR(MATCH(R41,希望入力!$M$5:$M$554,0),""))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50">
        <f>IF(P42="","",INDEX(前年度名簿!$H$3:$H$452,P42))</f>
        <v/>
      </c>
      <c r="B42" s="50">
        <f>IF(P42="","",IFERROR(INDEX(設定!$G$8:$G$31,INT(INDEX(前年度名簿!$G$3:$G$452,P42)/1000)),INDEX(前年度名簿!$A$3:$A$452,P42)&amp;INDEX(前年度名簿!$B$3:$B$452,P42)))</f>
        <v/>
      </c>
      <c r="C42" s="50">
        <f>IF(P42="","",INDEX(前年度名簿!$C$3:$C$452,P42))</f>
        <v/>
      </c>
      <c r="D42" s="4">
        <f>IF(P42="","",INDEX(前年度名簿!$D$3:$D$452,P42))</f>
        <v/>
      </c>
      <c r="E42" s="50">
        <f>IF(T42="","",INDEX(新年度名簿!$K$3:$K$452,T42))</f>
        <v/>
      </c>
      <c r="F42" s="50">
        <f>IF(T42="","",INDEX(新年度名簿!$C$3:$C$452,T42))</f>
        <v/>
      </c>
      <c r="G42" s="50">
        <f>IF(Q42="","",INDEX(希望入力!$H$5:$H$554,Q42)&amp;"")</f>
        <v/>
      </c>
      <c r="H42" s="50">
        <f>IF(Q42="","",INDEX(希望入力!$I$5:$I$554,Q42)&amp;"")</f>
        <v/>
      </c>
      <c r="I42" s="50">
        <f>IF(Q42="","",INDEX(希望入力!$J$5:$J$554,Q42)&amp;"")</f>
        <v/>
      </c>
      <c r="J42" s="50">
        <f>IF(Q42="","",IF(G42="転出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)</f>
        <v/>
      </c>
      <c r="K42" s="49" t="n"/>
      <c r="L42" s="56">
        <f>IF(P42="","",IF(G42="転出","",IF(K42&lt;&gt;"",K42,IF(OR(J42="",J42="要調整"),"",J42))))</f>
        <v/>
      </c>
      <c r="M42" s="50">
        <f>IF(P42="","",IF(OR(G42="転出",AND(計算用!$B$1=1,T42="")),"転出",IF(L42&lt;&gt;"","決定",IF(Q42="","未提出","要調整"))))</f>
        <v/>
      </c>
      <c r="N42" s="50">
        <f>IF(OR(M42&lt;&gt;"要調整",H42=""),"",IFERROR((INDEX(設定!$Q$8:$Q$27,MATCH(H42,設定!$P$8:$P$27,0))+N(INDEX(設定!$R$8:$R$27,MATCH(H42,設定!$P$8:$P$27,0))))-INDEX(定員チェック!$I$7:$I$26,MATCH(H42,設定!$P$8:$P$27,0))-COUNTIFS($M$7:$M$456,"要調整",$G$7:$G$456,H42),""))</f>
        <v/>
      </c>
      <c r="O42" s="50">
        <f>IF(OR(M42&lt;&gt;"要調整",I42=""),"",IFERROR((INDEX(設定!$Q$8:$Q$27,MATCH(I42,設定!$P$8:$P$27,0))+N(INDEX(設定!$R$8:$R$27,MATCH(I42,設定!$P$8:$P$27,0))))-INDEX(定員チェック!$I$7:$I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IF(R42="","",IFERROR(MATCH(R42,希望入力!$M$5:$M$554,0),""))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50">
        <f>IF(P43="","",INDEX(前年度名簿!$H$3:$H$452,P43))</f>
        <v/>
      </c>
      <c r="B43" s="50">
        <f>IF(P43="","",IFERROR(INDEX(設定!$G$8:$G$31,INT(INDEX(前年度名簿!$G$3:$G$452,P43)/1000)),INDEX(前年度名簿!$A$3:$A$452,P43)&amp;INDEX(前年度名簿!$B$3:$B$452,P43)))</f>
        <v/>
      </c>
      <c r="C43" s="50">
        <f>IF(P43="","",INDEX(前年度名簿!$C$3:$C$452,P43))</f>
        <v/>
      </c>
      <c r="D43" s="4">
        <f>IF(P43="","",INDEX(前年度名簿!$D$3:$D$452,P43))</f>
        <v/>
      </c>
      <c r="E43" s="50">
        <f>IF(T43="","",INDEX(新年度名簿!$K$3:$K$452,T43))</f>
        <v/>
      </c>
      <c r="F43" s="50">
        <f>IF(T43="","",INDEX(新年度名簿!$C$3:$C$452,T43))</f>
        <v/>
      </c>
      <c r="G43" s="50">
        <f>IF(Q43="","",INDEX(希望入力!$H$5:$H$554,Q43)&amp;"")</f>
        <v/>
      </c>
      <c r="H43" s="50">
        <f>IF(Q43="","",INDEX(希望入力!$I$5:$I$554,Q43)&amp;"")</f>
        <v/>
      </c>
      <c r="I43" s="50">
        <f>IF(Q43="","",INDEX(希望入力!$J$5:$J$554,Q43)&amp;"")</f>
        <v/>
      </c>
      <c r="J43" s="50">
        <f>IF(Q43="","",IF(G43="転出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)</f>
        <v/>
      </c>
      <c r="K43" s="49" t="n"/>
      <c r="L43" s="56">
        <f>IF(P43="","",IF(G43="転出","",IF(K43&lt;&gt;"",K43,IF(OR(J43="",J43="要調整"),"",J43))))</f>
        <v/>
      </c>
      <c r="M43" s="50">
        <f>IF(P43="","",IF(OR(G43="転出",AND(計算用!$B$1=1,T43="")),"転出",IF(L43&lt;&gt;"","決定",IF(Q43="","未提出","要調整"))))</f>
        <v/>
      </c>
      <c r="N43" s="50">
        <f>IF(OR(M43&lt;&gt;"要調整",H43=""),"",IFERROR((INDEX(設定!$Q$8:$Q$27,MATCH(H43,設定!$P$8:$P$27,0))+N(INDEX(設定!$R$8:$R$27,MATCH(H43,設定!$P$8:$P$27,0))))-INDEX(定員チェック!$I$7:$I$26,MATCH(H43,設定!$P$8:$P$27,0))-COUNTIFS($M$7:$M$456,"要調整",$G$7:$G$456,H43),""))</f>
        <v/>
      </c>
      <c r="O43" s="50">
        <f>IF(OR(M43&lt;&gt;"要調整",I43=""),"",IFERROR((INDEX(設定!$Q$8:$Q$27,MATCH(I43,設定!$P$8:$P$27,0))+N(INDEX(設定!$R$8:$R$27,MATCH(I43,設定!$P$8:$P$27,0))))-INDEX(定員チェック!$I$7:$I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IF(R43="","",IFERROR(MATCH(R43,希望入力!$M$5:$M$554,0),""))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50">
        <f>IF(P44="","",INDEX(前年度名簿!$H$3:$H$452,P44))</f>
        <v/>
      </c>
      <c r="B44" s="50">
        <f>IF(P44="","",IFERROR(INDEX(設定!$G$8:$G$31,INT(INDEX(前年度名簿!$G$3:$G$452,P44)/1000)),INDEX(前年度名簿!$A$3:$A$452,P44)&amp;INDEX(前年度名簿!$B$3:$B$452,P44)))</f>
        <v/>
      </c>
      <c r="C44" s="50">
        <f>IF(P44="","",INDEX(前年度名簿!$C$3:$C$452,P44))</f>
        <v/>
      </c>
      <c r="D44" s="4">
        <f>IF(P44="","",INDEX(前年度名簿!$D$3:$D$452,P44))</f>
        <v/>
      </c>
      <c r="E44" s="50">
        <f>IF(T44="","",INDEX(新年度名簿!$K$3:$K$452,T44))</f>
        <v/>
      </c>
      <c r="F44" s="50">
        <f>IF(T44="","",INDEX(新年度名簿!$C$3:$C$452,T44))</f>
        <v/>
      </c>
      <c r="G44" s="50">
        <f>IF(Q44="","",INDEX(希望入力!$H$5:$H$554,Q44)&amp;"")</f>
        <v/>
      </c>
      <c r="H44" s="50">
        <f>IF(Q44="","",INDEX(希望入力!$I$5:$I$554,Q44)&amp;"")</f>
        <v/>
      </c>
      <c r="I44" s="50">
        <f>IF(Q44="","",INDEX(希望入力!$J$5:$J$554,Q44)&amp;"")</f>
        <v/>
      </c>
      <c r="J44" s="50">
        <f>IF(Q44="","",IF(G44="転出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)</f>
        <v/>
      </c>
      <c r="K44" s="49" t="n"/>
      <c r="L44" s="56">
        <f>IF(P44="","",IF(G44="転出","",IF(K44&lt;&gt;"",K44,IF(OR(J44="",J44="要調整"),"",J44))))</f>
        <v/>
      </c>
      <c r="M44" s="50">
        <f>IF(P44="","",IF(OR(G44="転出",AND(計算用!$B$1=1,T44="")),"転出",IF(L44&lt;&gt;"","決定",IF(Q44="","未提出","要調整"))))</f>
        <v/>
      </c>
      <c r="N44" s="50">
        <f>IF(OR(M44&lt;&gt;"要調整",H44=""),"",IFERROR((INDEX(設定!$Q$8:$Q$27,MATCH(H44,設定!$P$8:$P$27,0))+N(INDEX(設定!$R$8:$R$27,MATCH(H44,設定!$P$8:$P$27,0))))-INDEX(定員チェック!$I$7:$I$26,MATCH(H44,設定!$P$8:$P$27,0))-COUNTIFS($M$7:$M$456,"要調整",$G$7:$G$456,H44),""))</f>
        <v/>
      </c>
      <c r="O44" s="50">
        <f>IF(OR(M44&lt;&gt;"要調整",I44=""),"",IFERROR((INDEX(設定!$Q$8:$Q$27,MATCH(I44,設定!$P$8:$P$27,0))+N(INDEX(設定!$R$8:$R$27,MATCH(I44,設定!$P$8:$P$27,0))))-INDEX(定員チェック!$I$7:$I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IF(R44="","",IFERROR(MATCH(R44,希望入力!$M$5:$M$554,0),""))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50">
        <f>IF(P45="","",INDEX(前年度名簿!$H$3:$H$452,P45))</f>
        <v/>
      </c>
      <c r="B45" s="50">
        <f>IF(P45="","",IFERROR(INDEX(設定!$G$8:$G$31,INT(INDEX(前年度名簿!$G$3:$G$452,P45)/1000)),INDEX(前年度名簿!$A$3:$A$452,P45)&amp;INDEX(前年度名簿!$B$3:$B$452,P45)))</f>
        <v/>
      </c>
      <c r="C45" s="50">
        <f>IF(P45="","",INDEX(前年度名簿!$C$3:$C$452,P45))</f>
        <v/>
      </c>
      <c r="D45" s="4">
        <f>IF(P45="","",INDEX(前年度名簿!$D$3:$D$452,P45))</f>
        <v/>
      </c>
      <c r="E45" s="50">
        <f>IF(T45="","",INDEX(新年度名簿!$K$3:$K$452,T45))</f>
        <v/>
      </c>
      <c r="F45" s="50">
        <f>IF(T45="","",INDEX(新年度名簿!$C$3:$C$452,T45))</f>
        <v/>
      </c>
      <c r="G45" s="50">
        <f>IF(Q45="","",INDEX(希望入力!$H$5:$H$554,Q45)&amp;"")</f>
        <v/>
      </c>
      <c r="H45" s="50">
        <f>IF(Q45="","",INDEX(希望入力!$I$5:$I$554,Q45)&amp;"")</f>
        <v/>
      </c>
      <c r="I45" s="50">
        <f>IF(Q45="","",INDEX(希望入力!$J$5:$J$554,Q45)&amp;"")</f>
        <v/>
      </c>
      <c r="J45" s="50">
        <f>IF(Q45="","",IF(G45="転出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)</f>
        <v/>
      </c>
      <c r="K45" s="49" t="n"/>
      <c r="L45" s="56">
        <f>IF(P45="","",IF(G45="転出","",IF(K45&lt;&gt;"",K45,IF(OR(J45="",J45="要調整"),"",J45))))</f>
        <v/>
      </c>
      <c r="M45" s="50">
        <f>IF(P45="","",IF(OR(G45="転出",AND(計算用!$B$1=1,T45="")),"転出",IF(L45&lt;&gt;"","決定",IF(Q45="","未提出","要調整"))))</f>
        <v/>
      </c>
      <c r="N45" s="50">
        <f>IF(OR(M45&lt;&gt;"要調整",H45=""),"",IFERROR((INDEX(設定!$Q$8:$Q$27,MATCH(H45,設定!$P$8:$P$27,0))+N(INDEX(設定!$R$8:$R$27,MATCH(H45,設定!$P$8:$P$27,0))))-INDEX(定員チェック!$I$7:$I$26,MATCH(H45,設定!$P$8:$P$27,0))-COUNTIFS($M$7:$M$456,"要調整",$G$7:$G$456,H45),""))</f>
        <v/>
      </c>
      <c r="O45" s="50">
        <f>IF(OR(M45&lt;&gt;"要調整",I45=""),"",IFERROR((INDEX(設定!$Q$8:$Q$27,MATCH(I45,設定!$P$8:$P$27,0))+N(INDEX(設定!$R$8:$R$27,MATCH(I45,設定!$P$8:$P$27,0))))-INDEX(定員チェック!$I$7:$I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IF(R45="","",IFERROR(MATCH(R45,希望入力!$M$5:$M$554,0),""))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50">
        <f>IF(P46="","",INDEX(前年度名簿!$H$3:$H$452,P46))</f>
        <v/>
      </c>
      <c r="B46" s="50">
        <f>IF(P46="","",IFERROR(INDEX(設定!$G$8:$G$31,INT(INDEX(前年度名簿!$G$3:$G$452,P46)/1000)),INDEX(前年度名簿!$A$3:$A$452,P46)&amp;INDEX(前年度名簿!$B$3:$B$452,P46)))</f>
        <v/>
      </c>
      <c r="C46" s="50">
        <f>IF(P46="","",INDEX(前年度名簿!$C$3:$C$452,P46))</f>
        <v/>
      </c>
      <c r="D46" s="4">
        <f>IF(P46="","",INDEX(前年度名簿!$D$3:$D$452,P46))</f>
        <v/>
      </c>
      <c r="E46" s="50">
        <f>IF(T46="","",INDEX(新年度名簿!$K$3:$K$452,T46))</f>
        <v/>
      </c>
      <c r="F46" s="50">
        <f>IF(T46="","",INDEX(新年度名簿!$C$3:$C$452,T46))</f>
        <v/>
      </c>
      <c r="G46" s="50">
        <f>IF(Q46="","",INDEX(希望入力!$H$5:$H$554,Q46)&amp;"")</f>
        <v/>
      </c>
      <c r="H46" s="50">
        <f>IF(Q46="","",INDEX(希望入力!$I$5:$I$554,Q46)&amp;"")</f>
        <v/>
      </c>
      <c r="I46" s="50">
        <f>IF(Q46="","",INDEX(希望入力!$J$5:$J$554,Q46)&amp;"")</f>
        <v/>
      </c>
      <c r="J46" s="50">
        <f>IF(Q46="","",IF(G46="転出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)</f>
        <v/>
      </c>
      <c r="K46" s="49" t="n"/>
      <c r="L46" s="56">
        <f>IF(P46="","",IF(G46="転出","",IF(K46&lt;&gt;"",K46,IF(OR(J46="",J46="要調整"),"",J46))))</f>
        <v/>
      </c>
      <c r="M46" s="50">
        <f>IF(P46="","",IF(OR(G46="転出",AND(計算用!$B$1=1,T46="")),"転出",IF(L46&lt;&gt;"","決定",IF(Q46="","未提出","要調整"))))</f>
        <v/>
      </c>
      <c r="N46" s="50">
        <f>IF(OR(M46&lt;&gt;"要調整",H46=""),"",IFERROR((INDEX(設定!$Q$8:$Q$27,MATCH(H46,設定!$P$8:$P$27,0))+N(INDEX(設定!$R$8:$R$27,MATCH(H46,設定!$P$8:$P$27,0))))-INDEX(定員チェック!$I$7:$I$26,MATCH(H46,設定!$P$8:$P$27,0))-COUNTIFS($M$7:$M$456,"要調整",$G$7:$G$456,H46),""))</f>
        <v/>
      </c>
      <c r="O46" s="50">
        <f>IF(OR(M46&lt;&gt;"要調整",I46=""),"",IFERROR((INDEX(設定!$Q$8:$Q$27,MATCH(I46,設定!$P$8:$P$27,0))+N(INDEX(設定!$R$8:$R$27,MATCH(I46,設定!$P$8:$P$27,0))))-INDEX(定員チェック!$I$7:$I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IF(R46="","",IFERROR(MATCH(R46,希望入力!$M$5:$M$554,0),""))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50">
        <f>IF(P47="","",INDEX(前年度名簿!$H$3:$H$452,P47))</f>
        <v/>
      </c>
      <c r="B47" s="50">
        <f>IF(P47="","",IFERROR(INDEX(設定!$G$8:$G$31,INT(INDEX(前年度名簿!$G$3:$G$452,P47)/1000)),INDEX(前年度名簿!$A$3:$A$452,P47)&amp;INDEX(前年度名簿!$B$3:$B$452,P47)))</f>
        <v/>
      </c>
      <c r="C47" s="50">
        <f>IF(P47="","",INDEX(前年度名簿!$C$3:$C$452,P47))</f>
        <v/>
      </c>
      <c r="D47" s="4">
        <f>IF(P47="","",INDEX(前年度名簿!$D$3:$D$452,P47))</f>
        <v/>
      </c>
      <c r="E47" s="50">
        <f>IF(T47="","",INDEX(新年度名簿!$K$3:$K$452,T47))</f>
        <v/>
      </c>
      <c r="F47" s="50">
        <f>IF(T47="","",INDEX(新年度名簿!$C$3:$C$452,T47))</f>
        <v/>
      </c>
      <c r="G47" s="50">
        <f>IF(Q47="","",INDEX(希望入力!$H$5:$H$554,Q47)&amp;"")</f>
        <v/>
      </c>
      <c r="H47" s="50">
        <f>IF(Q47="","",INDEX(希望入力!$I$5:$I$554,Q47)&amp;"")</f>
        <v/>
      </c>
      <c r="I47" s="50">
        <f>IF(Q47="","",INDEX(希望入力!$J$5:$J$554,Q47)&amp;"")</f>
        <v/>
      </c>
      <c r="J47" s="50">
        <f>IF(Q47="","",IF(G47="転出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)</f>
        <v/>
      </c>
      <c r="K47" s="49" t="n"/>
      <c r="L47" s="56">
        <f>IF(P47="","",IF(G47="転出","",IF(K47&lt;&gt;"",K47,IF(OR(J47="",J47="要調整"),"",J47))))</f>
        <v/>
      </c>
      <c r="M47" s="50">
        <f>IF(P47="","",IF(OR(G47="転出",AND(計算用!$B$1=1,T47="")),"転出",IF(L47&lt;&gt;"","決定",IF(Q47="","未提出","要調整"))))</f>
        <v/>
      </c>
      <c r="N47" s="50">
        <f>IF(OR(M47&lt;&gt;"要調整",H47=""),"",IFERROR((INDEX(設定!$Q$8:$Q$27,MATCH(H47,設定!$P$8:$P$27,0))+N(INDEX(設定!$R$8:$R$27,MATCH(H47,設定!$P$8:$P$27,0))))-INDEX(定員チェック!$I$7:$I$26,MATCH(H47,設定!$P$8:$P$27,0))-COUNTIFS($M$7:$M$456,"要調整",$G$7:$G$456,H47),""))</f>
        <v/>
      </c>
      <c r="O47" s="50">
        <f>IF(OR(M47&lt;&gt;"要調整",I47=""),"",IFERROR((INDEX(設定!$Q$8:$Q$27,MATCH(I47,設定!$P$8:$P$27,0))+N(INDEX(設定!$R$8:$R$27,MATCH(I47,設定!$P$8:$P$27,0))))-INDEX(定員チェック!$I$7:$I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IF(R47="","",IFERROR(MATCH(R47,希望入力!$M$5:$M$554,0),""))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50">
        <f>IF(P48="","",INDEX(前年度名簿!$H$3:$H$452,P48))</f>
        <v/>
      </c>
      <c r="B48" s="50">
        <f>IF(P48="","",IFERROR(INDEX(設定!$G$8:$G$31,INT(INDEX(前年度名簿!$G$3:$G$452,P48)/1000)),INDEX(前年度名簿!$A$3:$A$452,P48)&amp;INDEX(前年度名簿!$B$3:$B$452,P48)))</f>
        <v/>
      </c>
      <c r="C48" s="50">
        <f>IF(P48="","",INDEX(前年度名簿!$C$3:$C$452,P48))</f>
        <v/>
      </c>
      <c r="D48" s="4">
        <f>IF(P48="","",INDEX(前年度名簿!$D$3:$D$452,P48))</f>
        <v/>
      </c>
      <c r="E48" s="50">
        <f>IF(T48="","",INDEX(新年度名簿!$K$3:$K$452,T48))</f>
        <v/>
      </c>
      <c r="F48" s="50">
        <f>IF(T48="","",INDEX(新年度名簿!$C$3:$C$452,T48))</f>
        <v/>
      </c>
      <c r="G48" s="50">
        <f>IF(Q48="","",INDEX(希望入力!$H$5:$H$554,Q48)&amp;"")</f>
        <v/>
      </c>
      <c r="H48" s="50">
        <f>IF(Q48="","",INDEX(希望入力!$I$5:$I$554,Q48)&amp;"")</f>
        <v/>
      </c>
      <c r="I48" s="50">
        <f>IF(Q48="","",INDEX(希望入力!$J$5:$J$554,Q48)&amp;"")</f>
        <v/>
      </c>
      <c r="J48" s="50">
        <f>IF(Q48="","",IF(G48="転出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)</f>
        <v/>
      </c>
      <c r="K48" s="49" t="n"/>
      <c r="L48" s="56">
        <f>IF(P48="","",IF(G48="転出","",IF(K48&lt;&gt;"",K48,IF(OR(J48="",J48="要調整"),"",J48))))</f>
        <v/>
      </c>
      <c r="M48" s="50">
        <f>IF(P48="","",IF(OR(G48="転出",AND(計算用!$B$1=1,T48="")),"転出",IF(L48&lt;&gt;"","決定",IF(Q48="","未提出","要調整"))))</f>
        <v/>
      </c>
      <c r="N48" s="50">
        <f>IF(OR(M48&lt;&gt;"要調整",H48=""),"",IFERROR((INDEX(設定!$Q$8:$Q$27,MATCH(H48,設定!$P$8:$P$27,0))+N(INDEX(設定!$R$8:$R$27,MATCH(H48,設定!$P$8:$P$27,0))))-INDEX(定員チェック!$I$7:$I$26,MATCH(H48,設定!$P$8:$P$27,0))-COUNTIFS($M$7:$M$456,"要調整",$G$7:$G$456,H48),""))</f>
        <v/>
      </c>
      <c r="O48" s="50">
        <f>IF(OR(M48&lt;&gt;"要調整",I48=""),"",IFERROR((INDEX(設定!$Q$8:$Q$27,MATCH(I48,設定!$P$8:$P$27,0))+N(INDEX(設定!$R$8:$R$27,MATCH(I48,設定!$P$8:$P$27,0))))-INDEX(定員チェック!$I$7:$I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IF(R48="","",IFERROR(MATCH(R48,希望入力!$M$5:$M$554,0),""))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50">
        <f>IF(P49="","",INDEX(前年度名簿!$H$3:$H$452,P49))</f>
        <v/>
      </c>
      <c r="B49" s="50">
        <f>IF(P49="","",IFERROR(INDEX(設定!$G$8:$G$31,INT(INDEX(前年度名簿!$G$3:$G$452,P49)/1000)),INDEX(前年度名簿!$A$3:$A$452,P49)&amp;INDEX(前年度名簿!$B$3:$B$452,P49)))</f>
        <v/>
      </c>
      <c r="C49" s="50">
        <f>IF(P49="","",INDEX(前年度名簿!$C$3:$C$452,P49))</f>
        <v/>
      </c>
      <c r="D49" s="4">
        <f>IF(P49="","",INDEX(前年度名簿!$D$3:$D$452,P49))</f>
        <v/>
      </c>
      <c r="E49" s="50">
        <f>IF(T49="","",INDEX(新年度名簿!$K$3:$K$452,T49))</f>
        <v/>
      </c>
      <c r="F49" s="50">
        <f>IF(T49="","",INDEX(新年度名簿!$C$3:$C$452,T49))</f>
        <v/>
      </c>
      <c r="G49" s="50">
        <f>IF(Q49="","",INDEX(希望入力!$H$5:$H$554,Q49)&amp;"")</f>
        <v/>
      </c>
      <c r="H49" s="50">
        <f>IF(Q49="","",INDEX(希望入力!$I$5:$I$554,Q49)&amp;"")</f>
        <v/>
      </c>
      <c r="I49" s="50">
        <f>IF(Q49="","",INDEX(希望入力!$J$5:$J$554,Q49)&amp;"")</f>
        <v/>
      </c>
      <c r="J49" s="50">
        <f>IF(Q49="","",IF(G49="転出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)</f>
        <v/>
      </c>
      <c r="K49" s="49" t="n"/>
      <c r="L49" s="56">
        <f>IF(P49="","",IF(G49="転出","",IF(K49&lt;&gt;"",K49,IF(OR(J49="",J49="要調整"),"",J49))))</f>
        <v/>
      </c>
      <c r="M49" s="50">
        <f>IF(P49="","",IF(OR(G49="転出",AND(計算用!$B$1=1,T49="")),"転出",IF(L49&lt;&gt;"","決定",IF(Q49="","未提出","要調整"))))</f>
        <v/>
      </c>
      <c r="N49" s="50">
        <f>IF(OR(M49&lt;&gt;"要調整",H49=""),"",IFERROR((INDEX(設定!$Q$8:$Q$27,MATCH(H49,設定!$P$8:$P$27,0))+N(INDEX(設定!$R$8:$R$27,MATCH(H49,設定!$P$8:$P$27,0))))-INDEX(定員チェック!$I$7:$I$26,MATCH(H49,設定!$P$8:$P$27,0))-COUNTIFS($M$7:$M$456,"要調整",$G$7:$G$456,H49),""))</f>
        <v/>
      </c>
      <c r="O49" s="50">
        <f>IF(OR(M49&lt;&gt;"要調整",I49=""),"",IFERROR((INDEX(設定!$Q$8:$Q$27,MATCH(I49,設定!$P$8:$P$27,0))+N(INDEX(設定!$R$8:$R$27,MATCH(I49,設定!$P$8:$P$27,0))))-INDEX(定員チェック!$I$7:$I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IF(R49="","",IFERROR(MATCH(R49,希望入力!$M$5:$M$554,0),""))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50">
        <f>IF(P50="","",INDEX(前年度名簿!$H$3:$H$452,P50))</f>
        <v/>
      </c>
      <c r="B50" s="50">
        <f>IF(P50="","",IFERROR(INDEX(設定!$G$8:$G$31,INT(INDEX(前年度名簿!$G$3:$G$452,P50)/1000)),INDEX(前年度名簿!$A$3:$A$452,P50)&amp;INDEX(前年度名簿!$B$3:$B$452,P50)))</f>
        <v/>
      </c>
      <c r="C50" s="50">
        <f>IF(P50="","",INDEX(前年度名簿!$C$3:$C$452,P50))</f>
        <v/>
      </c>
      <c r="D50" s="4">
        <f>IF(P50="","",INDEX(前年度名簿!$D$3:$D$452,P50))</f>
        <v/>
      </c>
      <c r="E50" s="50">
        <f>IF(T50="","",INDEX(新年度名簿!$K$3:$K$452,T50))</f>
        <v/>
      </c>
      <c r="F50" s="50">
        <f>IF(T50="","",INDEX(新年度名簿!$C$3:$C$452,T50))</f>
        <v/>
      </c>
      <c r="G50" s="50">
        <f>IF(Q50="","",INDEX(希望入力!$H$5:$H$554,Q50)&amp;"")</f>
        <v/>
      </c>
      <c r="H50" s="50">
        <f>IF(Q50="","",INDEX(希望入力!$I$5:$I$554,Q50)&amp;"")</f>
        <v/>
      </c>
      <c r="I50" s="50">
        <f>IF(Q50="","",INDEX(希望入力!$J$5:$J$554,Q50)&amp;"")</f>
        <v/>
      </c>
      <c r="J50" s="50">
        <f>IF(Q50="","",IF(G50="転出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)</f>
        <v/>
      </c>
      <c r="K50" s="49" t="n"/>
      <c r="L50" s="56">
        <f>IF(P50="","",IF(G50="転出","",IF(K50&lt;&gt;"",K50,IF(OR(J50="",J50="要調整"),"",J50))))</f>
        <v/>
      </c>
      <c r="M50" s="50">
        <f>IF(P50="","",IF(OR(G50="転出",AND(計算用!$B$1=1,T50="")),"転出",IF(L50&lt;&gt;"","決定",IF(Q50="","未提出","要調整"))))</f>
        <v/>
      </c>
      <c r="N50" s="50">
        <f>IF(OR(M50&lt;&gt;"要調整",H50=""),"",IFERROR((INDEX(設定!$Q$8:$Q$27,MATCH(H50,設定!$P$8:$P$27,0))+N(INDEX(設定!$R$8:$R$27,MATCH(H50,設定!$P$8:$P$27,0))))-INDEX(定員チェック!$I$7:$I$26,MATCH(H50,設定!$P$8:$P$27,0))-COUNTIFS($M$7:$M$456,"要調整",$G$7:$G$456,H50),""))</f>
        <v/>
      </c>
      <c r="O50" s="50">
        <f>IF(OR(M50&lt;&gt;"要調整",I50=""),"",IFERROR((INDEX(設定!$Q$8:$Q$27,MATCH(I50,設定!$P$8:$P$27,0))+N(INDEX(設定!$R$8:$R$27,MATCH(I50,設定!$P$8:$P$27,0))))-INDEX(定員チェック!$I$7:$I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IF(R50="","",IFERROR(MATCH(R50,希望入力!$M$5:$M$554,0),""))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50">
        <f>IF(P51="","",INDEX(前年度名簿!$H$3:$H$452,P51))</f>
        <v/>
      </c>
      <c r="B51" s="50">
        <f>IF(P51="","",IFERROR(INDEX(設定!$G$8:$G$31,INT(INDEX(前年度名簿!$G$3:$G$452,P51)/1000)),INDEX(前年度名簿!$A$3:$A$452,P51)&amp;INDEX(前年度名簿!$B$3:$B$452,P51)))</f>
        <v/>
      </c>
      <c r="C51" s="50">
        <f>IF(P51="","",INDEX(前年度名簿!$C$3:$C$452,P51))</f>
        <v/>
      </c>
      <c r="D51" s="4">
        <f>IF(P51="","",INDEX(前年度名簿!$D$3:$D$452,P51))</f>
        <v/>
      </c>
      <c r="E51" s="50">
        <f>IF(T51="","",INDEX(新年度名簿!$K$3:$K$452,T51))</f>
        <v/>
      </c>
      <c r="F51" s="50">
        <f>IF(T51="","",INDEX(新年度名簿!$C$3:$C$452,T51))</f>
        <v/>
      </c>
      <c r="G51" s="50">
        <f>IF(Q51="","",INDEX(希望入力!$H$5:$H$554,Q51)&amp;"")</f>
        <v/>
      </c>
      <c r="H51" s="50">
        <f>IF(Q51="","",INDEX(希望入力!$I$5:$I$554,Q51)&amp;"")</f>
        <v/>
      </c>
      <c r="I51" s="50">
        <f>IF(Q51="","",INDEX(希望入力!$J$5:$J$554,Q51)&amp;"")</f>
        <v/>
      </c>
      <c r="J51" s="50">
        <f>IF(Q51="","",IF(G51="転出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)</f>
        <v/>
      </c>
      <c r="K51" s="49" t="n"/>
      <c r="L51" s="56">
        <f>IF(P51="","",IF(G51="転出","",IF(K51&lt;&gt;"",K51,IF(OR(J51="",J51="要調整"),"",J51))))</f>
        <v/>
      </c>
      <c r="M51" s="50">
        <f>IF(P51="","",IF(OR(G51="転出",AND(計算用!$B$1=1,T51="")),"転出",IF(L51&lt;&gt;"","決定",IF(Q51="","未提出","要調整"))))</f>
        <v/>
      </c>
      <c r="N51" s="50">
        <f>IF(OR(M51&lt;&gt;"要調整",H51=""),"",IFERROR((INDEX(設定!$Q$8:$Q$27,MATCH(H51,設定!$P$8:$P$27,0))+N(INDEX(設定!$R$8:$R$27,MATCH(H51,設定!$P$8:$P$27,0))))-INDEX(定員チェック!$I$7:$I$26,MATCH(H51,設定!$P$8:$P$27,0))-COUNTIFS($M$7:$M$456,"要調整",$G$7:$G$456,H51),""))</f>
        <v/>
      </c>
      <c r="O51" s="50">
        <f>IF(OR(M51&lt;&gt;"要調整",I51=""),"",IFERROR((INDEX(設定!$Q$8:$Q$27,MATCH(I51,設定!$P$8:$P$27,0))+N(INDEX(設定!$R$8:$R$27,MATCH(I51,設定!$P$8:$P$27,0))))-INDEX(定員チェック!$I$7:$I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IF(R51="","",IFERROR(MATCH(R51,希望入力!$M$5:$M$554,0),""))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50">
        <f>IF(P52="","",INDEX(前年度名簿!$H$3:$H$452,P52))</f>
        <v/>
      </c>
      <c r="B52" s="50">
        <f>IF(P52="","",IFERROR(INDEX(設定!$G$8:$G$31,INT(INDEX(前年度名簿!$G$3:$G$452,P52)/1000)),INDEX(前年度名簿!$A$3:$A$452,P52)&amp;INDEX(前年度名簿!$B$3:$B$452,P52)))</f>
        <v/>
      </c>
      <c r="C52" s="50">
        <f>IF(P52="","",INDEX(前年度名簿!$C$3:$C$452,P52))</f>
        <v/>
      </c>
      <c r="D52" s="4">
        <f>IF(P52="","",INDEX(前年度名簿!$D$3:$D$452,P52))</f>
        <v/>
      </c>
      <c r="E52" s="50">
        <f>IF(T52="","",INDEX(新年度名簿!$K$3:$K$452,T52))</f>
        <v/>
      </c>
      <c r="F52" s="50">
        <f>IF(T52="","",INDEX(新年度名簿!$C$3:$C$452,T52))</f>
        <v/>
      </c>
      <c r="G52" s="50">
        <f>IF(Q52="","",INDEX(希望入力!$H$5:$H$554,Q52)&amp;"")</f>
        <v/>
      </c>
      <c r="H52" s="50">
        <f>IF(Q52="","",INDEX(希望入力!$I$5:$I$554,Q52)&amp;"")</f>
        <v/>
      </c>
      <c r="I52" s="50">
        <f>IF(Q52="","",INDEX(希望入力!$J$5:$J$554,Q52)&amp;"")</f>
        <v/>
      </c>
      <c r="J52" s="50">
        <f>IF(Q52="","",IF(G52="転出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)</f>
        <v/>
      </c>
      <c r="K52" s="49" t="n"/>
      <c r="L52" s="56">
        <f>IF(P52="","",IF(G52="転出","",IF(K52&lt;&gt;"",K52,IF(OR(J52="",J52="要調整"),"",J52))))</f>
        <v/>
      </c>
      <c r="M52" s="50">
        <f>IF(P52="","",IF(OR(G52="転出",AND(計算用!$B$1=1,T52="")),"転出",IF(L52&lt;&gt;"","決定",IF(Q52="","未提出","要調整"))))</f>
        <v/>
      </c>
      <c r="N52" s="50">
        <f>IF(OR(M52&lt;&gt;"要調整",H52=""),"",IFERROR((INDEX(設定!$Q$8:$Q$27,MATCH(H52,設定!$P$8:$P$27,0))+N(INDEX(設定!$R$8:$R$27,MATCH(H52,設定!$P$8:$P$27,0))))-INDEX(定員チェック!$I$7:$I$26,MATCH(H52,設定!$P$8:$P$27,0))-COUNTIFS($M$7:$M$456,"要調整",$G$7:$G$456,H52),""))</f>
        <v/>
      </c>
      <c r="O52" s="50">
        <f>IF(OR(M52&lt;&gt;"要調整",I52=""),"",IFERROR((INDEX(設定!$Q$8:$Q$27,MATCH(I52,設定!$P$8:$P$27,0))+N(INDEX(設定!$R$8:$R$27,MATCH(I52,設定!$P$8:$P$27,0))))-INDEX(定員チェック!$I$7:$I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IF(R52="","",IFERROR(MATCH(R52,希望入力!$M$5:$M$554,0),""))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50">
        <f>IF(P53="","",INDEX(前年度名簿!$H$3:$H$452,P53))</f>
        <v/>
      </c>
      <c r="B53" s="50">
        <f>IF(P53="","",IFERROR(INDEX(設定!$G$8:$G$31,INT(INDEX(前年度名簿!$G$3:$G$452,P53)/1000)),INDEX(前年度名簿!$A$3:$A$452,P53)&amp;INDEX(前年度名簿!$B$3:$B$452,P53)))</f>
        <v/>
      </c>
      <c r="C53" s="50">
        <f>IF(P53="","",INDEX(前年度名簿!$C$3:$C$452,P53))</f>
        <v/>
      </c>
      <c r="D53" s="4">
        <f>IF(P53="","",INDEX(前年度名簿!$D$3:$D$452,P53))</f>
        <v/>
      </c>
      <c r="E53" s="50">
        <f>IF(T53="","",INDEX(新年度名簿!$K$3:$K$452,T53))</f>
        <v/>
      </c>
      <c r="F53" s="50">
        <f>IF(T53="","",INDEX(新年度名簿!$C$3:$C$452,T53))</f>
        <v/>
      </c>
      <c r="G53" s="50">
        <f>IF(Q53="","",INDEX(希望入力!$H$5:$H$554,Q53)&amp;"")</f>
        <v/>
      </c>
      <c r="H53" s="50">
        <f>IF(Q53="","",INDEX(希望入力!$I$5:$I$554,Q53)&amp;"")</f>
        <v/>
      </c>
      <c r="I53" s="50">
        <f>IF(Q53="","",INDEX(希望入力!$J$5:$J$554,Q53)&amp;"")</f>
        <v/>
      </c>
      <c r="J53" s="50">
        <f>IF(Q53="","",IF(G53="転出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)</f>
        <v/>
      </c>
      <c r="K53" s="49" t="n"/>
      <c r="L53" s="56">
        <f>IF(P53="","",IF(G53="転出","",IF(K53&lt;&gt;"",K53,IF(OR(J53="",J53="要調整"),"",J53))))</f>
        <v/>
      </c>
      <c r="M53" s="50">
        <f>IF(P53="","",IF(OR(G53="転出",AND(計算用!$B$1=1,T53="")),"転出",IF(L53&lt;&gt;"","決定",IF(Q53="","未提出","要調整"))))</f>
        <v/>
      </c>
      <c r="N53" s="50">
        <f>IF(OR(M53&lt;&gt;"要調整",H53=""),"",IFERROR((INDEX(設定!$Q$8:$Q$27,MATCH(H53,設定!$P$8:$P$27,0))+N(INDEX(設定!$R$8:$R$27,MATCH(H53,設定!$P$8:$P$27,0))))-INDEX(定員チェック!$I$7:$I$26,MATCH(H53,設定!$P$8:$P$27,0))-COUNTIFS($M$7:$M$456,"要調整",$G$7:$G$456,H53),""))</f>
        <v/>
      </c>
      <c r="O53" s="50">
        <f>IF(OR(M53&lt;&gt;"要調整",I53=""),"",IFERROR((INDEX(設定!$Q$8:$Q$27,MATCH(I53,設定!$P$8:$P$27,0))+N(INDEX(設定!$R$8:$R$27,MATCH(I53,設定!$P$8:$P$27,0))))-INDEX(定員チェック!$I$7:$I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IF(R53="","",IFERROR(MATCH(R53,希望入力!$M$5:$M$554,0),""))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50">
        <f>IF(P54="","",INDEX(前年度名簿!$H$3:$H$452,P54))</f>
        <v/>
      </c>
      <c r="B54" s="50">
        <f>IF(P54="","",IFERROR(INDEX(設定!$G$8:$G$31,INT(INDEX(前年度名簿!$G$3:$G$452,P54)/1000)),INDEX(前年度名簿!$A$3:$A$452,P54)&amp;INDEX(前年度名簿!$B$3:$B$452,P54)))</f>
        <v/>
      </c>
      <c r="C54" s="50">
        <f>IF(P54="","",INDEX(前年度名簿!$C$3:$C$452,P54))</f>
        <v/>
      </c>
      <c r="D54" s="4">
        <f>IF(P54="","",INDEX(前年度名簿!$D$3:$D$452,P54))</f>
        <v/>
      </c>
      <c r="E54" s="50">
        <f>IF(T54="","",INDEX(新年度名簿!$K$3:$K$452,T54))</f>
        <v/>
      </c>
      <c r="F54" s="50">
        <f>IF(T54="","",INDEX(新年度名簿!$C$3:$C$452,T54))</f>
        <v/>
      </c>
      <c r="G54" s="50">
        <f>IF(Q54="","",INDEX(希望入力!$H$5:$H$554,Q54)&amp;"")</f>
        <v/>
      </c>
      <c r="H54" s="50">
        <f>IF(Q54="","",INDEX(希望入力!$I$5:$I$554,Q54)&amp;"")</f>
        <v/>
      </c>
      <c r="I54" s="50">
        <f>IF(Q54="","",INDEX(希望入力!$J$5:$J$554,Q54)&amp;"")</f>
        <v/>
      </c>
      <c r="J54" s="50">
        <f>IF(Q54="","",IF(G54="転出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)</f>
        <v/>
      </c>
      <c r="K54" s="49" t="n"/>
      <c r="L54" s="56">
        <f>IF(P54="","",IF(G54="転出","",IF(K54&lt;&gt;"",K54,IF(OR(J54="",J54="要調整"),"",J54))))</f>
        <v/>
      </c>
      <c r="M54" s="50">
        <f>IF(P54="","",IF(OR(G54="転出",AND(計算用!$B$1=1,T54="")),"転出",IF(L54&lt;&gt;"","決定",IF(Q54="","未提出","要調整"))))</f>
        <v/>
      </c>
      <c r="N54" s="50">
        <f>IF(OR(M54&lt;&gt;"要調整",H54=""),"",IFERROR((INDEX(設定!$Q$8:$Q$27,MATCH(H54,設定!$P$8:$P$27,0))+N(INDEX(設定!$R$8:$R$27,MATCH(H54,設定!$P$8:$P$27,0))))-INDEX(定員チェック!$I$7:$I$26,MATCH(H54,設定!$P$8:$P$27,0))-COUNTIFS($M$7:$M$456,"要調整",$G$7:$G$456,H54),""))</f>
        <v/>
      </c>
      <c r="O54" s="50">
        <f>IF(OR(M54&lt;&gt;"要調整",I54=""),"",IFERROR((INDEX(設定!$Q$8:$Q$27,MATCH(I54,設定!$P$8:$P$27,0))+N(INDEX(設定!$R$8:$R$27,MATCH(I54,設定!$P$8:$P$27,0))))-INDEX(定員チェック!$I$7:$I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IF(R54="","",IFERROR(MATCH(R54,希望入力!$M$5:$M$554,0),""))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50">
        <f>IF(P55="","",INDEX(前年度名簿!$H$3:$H$452,P55))</f>
        <v/>
      </c>
      <c r="B55" s="50">
        <f>IF(P55="","",IFERROR(INDEX(設定!$G$8:$G$31,INT(INDEX(前年度名簿!$G$3:$G$452,P55)/1000)),INDEX(前年度名簿!$A$3:$A$452,P55)&amp;INDEX(前年度名簿!$B$3:$B$452,P55)))</f>
        <v/>
      </c>
      <c r="C55" s="50">
        <f>IF(P55="","",INDEX(前年度名簿!$C$3:$C$452,P55))</f>
        <v/>
      </c>
      <c r="D55" s="4">
        <f>IF(P55="","",INDEX(前年度名簿!$D$3:$D$452,P55))</f>
        <v/>
      </c>
      <c r="E55" s="50">
        <f>IF(T55="","",INDEX(新年度名簿!$K$3:$K$452,T55))</f>
        <v/>
      </c>
      <c r="F55" s="50">
        <f>IF(T55="","",INDEX(新年度名簿!$C$3:$C$452,T55))</f>
        <v/>
      </c>
      <c r="G55" s="50">
        <f>IF(Q55="","",INDEX(希望入力!$H$5:$H$554,Q55)&amp;"")</f>
        <v/>
      </c>
      <c r="H55" s="50">
        <f>IF(Q55="","",INDEX(希望入力!$I$5:$I$554,Q55)&amp;"")</f>
        <v/>
      </c>
      <c r="I55" s="50">
        <f>IF(Q55="","",INDEX(希望入力!$J$5:$J$554,Q55)&amp;"")</f>
        <v/>
      </c>
      <c r="J55" s="50">
        <f>IF(Q55="","",IF(G55="転出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)</f>
        <v/>
      </c>
      <c r="K55" s="49" t="n"/>
      <c r="L55" s="56">
        <f>IF(P55="","",IF(G55="転出","",IF(K55&lt;&gt;"",K55,IF(OR(J55="",J55="要調整"),"",J55))))</f>
        <v/>
      </c>
      <c r="M55" s="50">
        <f>IF(P55="","",IF(OR(G55="転出",AND(計算用!$B$1=1,T55="")),"転出",IF(L55&lt;&gt;"","決定",IF(Q55="","未提出","要調整"))))</f>
        <v/>
      </c>
      <c r="N55" s="50">
        <f>IF(OR(M55&lt;&gt;"要調整",H55=""),"",IFERROR((INDEX(設定!$Q$8:$Q$27,MATCH(H55,設定!$P$8:$P$27,0))+N(INDEX(設定!$R$8:$R$27,MATCH(H55,設定!$P$8:$P$27,0))))-INDEX(定員チェック!$I$7:$I$26,MATCH(H55,設定!$P$8:$P$27,0))-COUNTIFS($M$7:$M$456,"要調整",$G$7:$G$456,H55),""))</f>
        <v/>
      </c>
      <c r="O55" s="50">
        <f>IF(OR(M55&lt;&gt;"要調整",I55=""),"",IFERROR((INDEX(設定!$Q$8:$Q$27,MATCH(I55,設定!$P$8:$P$27,0))+N(INDEX(設定!$R$8:$R$27,MATCH(I55,設定!$P$8:$P$27,0))))-INDEX(定員チェック!$I$7:$I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IF(R55="","",IFERROR(MATCH(R55,希望入力!$M$5:$M$554,0),""))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50">
        <f>IF(P56="","",INDEX(前年度名簿!$H$3:$H$452,P56))</f>
        <v/>
      </c>
      <c r="B56" s="50">
        <f>IF(P56="","",IFERROR(INDEX(設定!$G$8:$G$31,INT(INDEX(前年度名簿!$G$3:$G$452,P56)/1000)),INDEX(前年度名簿!$A$3:$A$452,P56)&amp;INDEX(前年度名簿!$B$3:$B$452,P56)))</f>
        <v/>
      </c>
      <c r="C56" s="50">
        <f>IF(P56="","",INDEX(前年度名簿!$C$3:$C$452,P56))</f>
        <v/>
      </c>
      <c r="D56" s="4">
        <f>IF(P56="","",INDEX(前年度名簿!$D$3:$D$452,P56))</f>
        <v/>
      </c>
      <c r="E56" s="50">
        <f>IF(T56="","",INDEX(新年度名簿!$K$3:$K$452,T56))</f>
        <v/>
      </c>
      <c r="F56" s="50">
        <f>IF(T56="","",INDEX(新年度名簿!$C$3:$C$452,T56))</f>
        <v/>
      </c>
      <c r="G56" s="50">
        <f>IF(Q56="","",INDEX(希望入力!$H$5:$H$554,Q56)&amp;"")</f>
        <v/>
      </c>
      <c r="H56" s="50">
        <f>IF(Q56="","",INDEX(希望入力!$I$5:$I$554,Q56)&amp;"")</f>
        <v/>
      </c>
      <c r="I56" s="50">
        <f>IF(Q56="","",INDEX(希望入力!$J$5:$J$554,Q56)&amp;"")</f>
        <v/>
      </c>
      <c r="J56" s="50">
        <f>IF(Q56="","",IF(G56="転出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)</f>
        <v/>
      </c>
      <c r="K56" s="49" t="n"/>
      <c r="L56" s="56">
        <f>IF(P56="","",IF(G56="転出","",IF(K56&lt;&gt;"",K56,IF(OR(J56="",J56="要調整"),"",J56))))</f>
        <v/>
      </c>
      <c r="M56" s="50">
        <f>IF(P56="","",IF(OR(G56="転出",AND(計算用!$B$1=1,T56="")),"転出",IF(L56&lt;&gt;"","決定",IF(Q56="","未提出","要調整"))))</f>
        <v/>
      </c>
      <c r="N56" s="50">
        <f>IF(OR(M56&lt;&gt;"要調整",H56=""),"",IFERROR((INDEX(設定!$Q$8:$Q$27,MATCH(H56,設定!$P$8:$P$27,0))+N(INDEX(設定!$R$8:$R$27,MATCH(H56,設定!$P$8:$P$27,0))))-INDEX(定員チェック!$I$7:$I$26,MATCH(H56,設定!$P$8:$P$27,0))-COUNTIFS($M$7:$M$456,"要調整",$G$7:$G$456,H56),""))</f>
        <v/>
      </c>
      <c r="O56" s="50">
        <f>IF(OR(M56&lt;&gt;"要調整",I56=""),"",IFERROR((INDEX(設定!$Q$8:$Q$27,MATCH(I56,設定!$P$8:$P$27,0))+N(INDEX(設定!$R$8:$R$27,MATCH(I56,設定!$P$8:$P$27,0))))-INDEX(定員チェック!$I$7:$I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IF(R56="","",IFERROR(MATCH(R56,希望入力!$M$5:$M$554,0),""))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50">
        <f>IF(P57="","",INDEX(前年度名簿!$H$3:$H$452,P57))</f>
        <v/>
      </c>
      <c r="B57" s="50">
        <f>IF(P57="","",IFERROR(INDEX(設定!$G$8:$G$31,INT(INDEX(前年度名簿!$G$3:$G$452,P57)/1000)),INDEX(前年度名簿!$A$3:$A$452,P57)&amp;INDEX(前年度名簿!$B$3:$B$452,P57)))</f>
        <v/>
      </c>
      <c r="C57" s="50">
        <f>IF(P57="","",INDEX(前年度名簿!$C$3:$C$452,P57))</f>
        <v/>
      </c>
      <c r="D57" s="4">
        <f>IF(P57="","",INDEX(前年度名簿!$D$3:$D$452,P57))</f>
        <v/>
      </c>
      <c r="E57" s="50">
        <f>IF(T57="","",INDEX(新年度名簿!$K$3:$K$452,T57))</f>
        <v/>
      </c>
      <c r="F57" s="50">
        <f>IF(T57="","",INDEX(新年度名簿!$C$3:$C$452,T57))</f>
        <v/>
      </c>
      <c r="G57" s="50">
        <f>IF(Q57="","",INDEX(希望入力!$H$5:$H$554,Q57)&amp;"")</f>
        <v/>
      </c>
      <c r="H57" s="50">
        <f>IF(Q57="","",INDEX(希望入力!$I$5:$I$554,Q57)&amp;"")</f>
        <v/>
      </c>
      <c r="I57" s="50">
        <f>IF(Q57="","",INDEX(希望入力!$J$5:$J$554,Q57)&amp;"")</f>
        <v/>
      </c>
      <c r="J57" s="50">
        <f>IF(Q57="","",IF(G57="転出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)</f>
        <v/>
      </c>
      <c r="K57" s="49" t="n"/>
      <c r="L57" s="56">
        <f>IF(P57="","",IF(G57="転出","",IF(K57&lt;&gt;"",K57,IF(OR(J57="",J57="要調整"),"",J57))))</f>
        <v/>
      </c>
      <c r="M57" s="50">
        <f>IF(P57="","",IF(OR(G57="転出",AND(計算用!$B$1=1,T57="")),"転出",IF(L57&lt;&gt;"","決定",IF(Q57="","未提出","要調整"))))</f>
        <v/>
      </c>
      <c r="N57" s="50">
        <f>IF(OR(M57&lt;&gt;"要調整",H57=""),"",IFERROR((INDEX(設定!$Q$8:$Q$27,MATCH(H57,設定!$P$8:$P$27,0))+N(INDEX(設定!$R$8:$R$27,MATCH(H57,設定!$P$8:$P$27,0))))-INDEX(定員チェック!$I$7:$I$26,MATCH(H57,設定!$P$8:$P$27,0))-COUNTIFS($M$7:$M$456,"要調整",$G$7:$G$456,H57),""))</f>
        <v/>
      </c>
      <c r="O57" s="50">
        <f>IF(OR(M57&lt;&gt;"要調整",I57=""),"",IFERROR((INDEX(設定!$Q$8:$Q$27,MATCH(I57,設定!$P$8:$P$27,0))+N(INDEX(設定!$R$8:$R$27,MATCH(I57,設定!$P$8:$P$27,0))))-INDEX(定員チェック!$I$7:$I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IF(R57="","",IFERROR(MATCH(R57,希望入力!$M$5:$M$554,0),""))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50">
        <f>IF(P58="","",INDEX(前年度名簿!$H$3:$H$452,P58))</f>
        <v/>
      </c>
      <c r="B58" s="50">
        <f>IF(P58="","",IFERROR(INDEX(設定!$G$8:$G$31,INT(INDEX(前年度名簿!$G$3:$G$452,P58)/1000)),INDEX(前年度名簿!$A$3:$A$452,P58)&amp;INDEX(前年度名簿!$B$3:$B$452,P58)))</f>
        <v/>
      </c>
      <c r="C58" s="50">
        <f>IF(P58="","",INDEX(前年度名簿!$C$3:$C$452,P58))</f>
        <v/>
      </c>
      <c r="D58" s="4">
        <f>IF(P58="","",INDEX(前年度名簿!$D$3:$D$452,P58))</f>
        <v/>
      </c>
      <c r="E58" s="50">
        <f>IF(T58="","",INDEX(新年度名簿!$K$3:$K$452,T58))</f>
        <v/>
      </c>
      <c r="F58" s="50">
        <f>IF(T58="","",INDEX(新年度名簿!$C$3:$C$452,T58))</f>
        <v/>
      </c>
      <c r="G58" s="50">
        <f>IF(Q58="","",INDEX(希望入力!$H$5:$H$554,Q58)&amp;"")</f>
        <v/>
      </c>
      <c r="H58" s="50">
        <f>IF(Q58="","",INDEX(希望入力!$I$5:$I$554,Q58)&amp;"")</f>
        <v/>
      </c>
      <c r="I58" s="50">
        <f>IF(Q58="","",INDEX(希望入力!$J$5:$J$554,Q58)&amp;"")</f>
        <v/>
      </c>
      <c r="J58" s="50">
        <f>IF(Q58="","",IF(G58="転出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)</f>
        <v/>
      </c>
      <c r="K58" s="49" t="n"/>
      <c r="L58" s="56">
        <f>IF(P58="","",IF(G58="転出","",IF(K58&lt;&gt;"",K58,IF(OR(J58="",J58="要調整"),"",J58))))</f>
        <v/>
      </c>
      <c r="M58" s="50">
        <f>IF(P58="","",IF(OR(G58="転出",AND(計算用!$B$1=1,T58="")),"転出",IF(L58&lt;&gt;"","決定",IF(Q58="","未提出","要調整"))))</f>
        <v/>
      </c>
      <c r="N58" s="50">
        <f>IF(OR(M58&lt;&gt;"要調整",H58=""),"",IFERROR((INDEX(設定!$Q$8:$Q$27,MATCH(H58,設定!$P$8:$P$27,0))+N(INDEX(設定!$R$8:$R$27,MATCH(H58,設定!$P$8:$P$27,0))))-INDEX(定員チェック!$I$7:$I$26,MATCH(H58,設定!$P$8:$P$27,0))-COUNTIFS($M$7:$M$456,"要調整",$G$7:$G$456,H58),""))</f>
        <v/>
      </c>
      <c r="O58" s="50">
        <f>IF(OR(M58&lt;&gt;"要調整",I58=""),"",IFERROR((INDEX(設定!$Q$8:$Q$27,MATCH(I58,設定!$P$8:$P$27,0))+N(INDEX(設定!$R$8:$R$27,MATCH(I58,設定!$P$8:$P$27,0))))-INDEX(定員チェック!$I$7:$I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IF(R58="","",IFERROR(MATCH(R58,希望入力!$M$5:$M$554,0),""))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50">
        <f>IF(P59="","",INDEX(前年度名簿!$H$3:$H$452,P59))</f>
        <v/>
      </c>
      <c r="B59" s="50">
        <f>IF(P59="","",IFERROR(INDEX(設定!$G$8:$G$31,INT(INDEX(前年度名簿!$G$3:$G$452,P59)/1000)),INDEX(前年度名簿!$A$3:$A$452,P59)&amp;INDEX(前年度名簿!$B$3:$B$452,P59)))</f>
        <v/>
      </c>
      <c r="C59" s="50">
        <f>IF(P59="","",INDEX(前年度名簿!$C$3:$C$452,P59))</f>
        <v/>
      </c>
      <c r="D59" s="4">
        <f>IF(P59="","",INDEX(前年度名簿!$D$3:$D$452,P59))</f>
        <v/>
      </c>
      <c r="E59" s="50">
        <f>IF(T59="","",INDEX(新年度名簿!$K$3:$K$452,T59))</f>
        <v/>
      </c>
      <c r="F59" s="50">
        <f>IF(T59="","",INDEX(新年度名簿!$C$3:$C$452,T59))</f>
        <v/>
      </c>
      <c r="G59" s="50">
        <f>IF(Q59="","",INDEX(希望入力!$H$5:$H$554,Q59)&amp;"")</f>
        <v/>
      </c>
      <c r="H59" s="50">
        <f>IF(Q59="","",INDEX(希望入力!$I$5:$I$554,Q59)&amp;"")</f>
        <v/>
      </c>
      <c r="I59" s="50">
        <f>IF(Q59="","",INDEX(希望入力!$J$5:$J$554,Q59)&amp;"")</f>
        <v/>
      </c>
      <c r="J59" s="50">
        <f>IF(Q59="","",IF(G59="転出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)</f>
        <v/>
      </c>
      <c r="K59" s="49" t="n"/>
      <c r="L59" s="56">
        <f>IF(P59="","",IF(G59="転出","",IF(K59&lt;&gt;"",K59,IF(OR(J59="",J59="要調整"),"",J59))))</f>
        <v/>
      </c>
      <c r="M59" s="50">
        <f>IF(P59="","",IF(OR(G59="転出",AND(計算用!$B$1=1,T59="")),"転出",IF(L59&lt;&gt;"","決定",IF(Q59="","未提出","要調整"))))</f>
        <v/>
      </c>
      <c r="N59" s="50">
        <f>IF(OR(M59&lt;&gt;"要調整",H59=""),"",IFERROR((INDEX(設定!$Q$8:$Q$27,MATCH(H59,設定!$P$8:$P$27,0))+N(INDEX(設定!$R$8:$R$27,MATCH(H59,設定!$P$8:$P$27,0))))-INDEX(定員チェック!$I$7:$I$26,MATCH(H59,設定!$P$8:$P$27,0))-COUNTIFS($M$7:$M$456,"要調整",$G$7:$G$456,H59),""))</f>
        <v/>
      </c>
      <c r="O59" s="50">
        <f>IF(OR(M59&lt;&gt;"要調整",I59=""),"",IFERROR((INDEX(設定!$Q$8:$Q$27,MATCH(I59,設定!$P$8:$P$27,0))+N(INDEX(設定!$R$8:$R$27,MATCH(I59,設定!$P$8:$P$27,0))))-INDEX(定員チェック!$I$7:$I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IF(R59="","",IFERROR(MATCH(R59,希望入力!$M$5:$M$554,0),""))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50">
        <f>IF(P60="","",INDEX(前年度名簿!$H$3:$H$452,P60))</f>
        <v/>
      </c>
      <c r="B60" s="50">
        <f>IF(P60="","",IFERROR(INDEX(設定!$G$8:$G$31,INT(INDEX(前年度名簿!$G$3:$G$452,P60)/1000)),INDEX(前年度名簿!$A$3:$A$452,P60)&amp;INDEX(前年度名簿!$B$3:$B$452,P60)))</f>
        <v/>
      </c>
      <c r="C60" s="50">
        <f>IF(P60="","",INDEX(前年度名簿!$C$3:$C$452,P60))</f>
        <v/>
      </c>
      <c r="D60" s="4">
        <f>IF(P60="","",INDEX(前年度名簿!$D$3:$D$452,P60))</f>
        <v/>
      </c>
      <c r="E60" s="50">
        <f>IF(T60="","",INDEX(新年度名簿!$K$3:$K$452,T60))</f>
        <v/>
      </c>
      <c r="F60" s="50">
        <f>IF(T60="","",INDEX(新年度名簿!$C$3:$C$452,T60))</f>
        <v/>
      </c>
      <c r="G60" s="50">
        <f>IF(Q60="","",INDEX(希望入力!$H$5:$H$554,Q60)&amp;"")</f>
        <v/>
      </c>
      <c r="H60" s="50">
        <f>IF(Q60="","",INDEX(希望入力!$I$5:$I$554,Q60)&amp;"")</f>
        <v/>
      </c>
      <c r="I60" s="50">
        <f>IF(Q60="","",INDEX(希望入力!$J$5:$J$554,Q60)&amp;"")</f>
        <v/>
      </c>
      <c r="J60" s="50">
        <f>IF(Q60="","",IF(G60="転出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)</f>
        <v/>
      </c>
      <c r="K60" s="49" t="n"/>
      <c r="L60" s="56">
        <f>IF(P60="","",IF(G60="転出","",IF(K60&lt;&gt;"",K60,IF(OR(J60="",J60="要調整"),"",J60))))</f>
        <v/>
      </c>
      <c r="M60" s="50">
        <f>IF(P60="","",IF(OR(G60="転出",AND(計算用!$B$1=1,T60="")),"転出",IF(L60&lt;&gt;"","決定",IF(Q60="","未提出","要調整"))))</f>
        <v/>
      </c>
      <c r="N60" s="50">
        <f>IF(OR(M60&lt;&gt;"要調整",H60=""),"",IFERROR((INDEX(設定!$Q$8:$Q$27,MATCH(H60,設定!$P$8:$P$27,0))+N(INDEX(設定!$R$8:$R$27,MATCH(H60,設定!$P$8:$P$27,0))))-INDEX(定員チェック!$I$7:$I$26,MATCH(H60,設定!$P$8:$P$27,0))-COUNTIFS($M$7:$M$456,"要調整",$G$7:$G$456,H60),""))</f>
        <v/>
      </c>
      <c r="O60" s="50">
        <f>IF(OR(M60&lt;&gt;"要調整",I60=""),"",IFERROR((INDEX(設定!$Q$8:$Q$27,MATCH(I60,設定!$P$8:$P$27,0))+N(INDEX(設定!$R$8:$R$27,MATCH(I60,設定!$P$8:$P$27,0))))-INDEX(定員チェック!$I$7:$I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IF(R60="","",IFERROR(MATCH(R60,希望入力!$M$5:$M$554,0),""))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50">
        <f>IF(P61="","",INDEX(前年度名簿!$H$3:$H$452,P61))</f>
        <v/>
      </c>
      <c r="B61" s="50">
        <f>IF(P61="","",IFERROR(INDEX(設定!$G$8:$G$31,INT(INDEX(前年度名簿!$G$3:$G$452,P61)/1000)),INDEX(前年度名簿!$A$3:$A$452,P61)&amp;INDEX(前年度名簿!$B$3:$B$452,P61)))</f>
        <v/>
      </c>
      <c r="C61" s="50">
        <f>IF(P61="","",INDEX(前年度名簿!$C$3:$C$452,P61))</f>
        <v/>
      </c>
      <c r="D61" s="4">
        <f>IF(P61="","",INDEX(前年度名簿!$D$3:$D$452,P61))</f>
        <v/>
      </c>
      <c r="E61" s="50">
        <f>IF(T61="","",INDEX(新年度名簿!$K$3:$K$452,T61))</f>
        <v/>
      </c>
      <c r="F61" s="50">
        <f>IF(T61="","",INDEX(新年度名簿!$C$3:$C$452,T61))</f>
        <v/>
      </c>
      <c r="G61" s="50">
        <f>IF(Q61="","",INDEX(希望入力!$H$5:$H$554,Q61)&amp;"")</f>
        <v/>
      </c>
      <c r="H61" s="50">
        <f>IF(Q61="","",INDEX(希望入力!$I$5:$I$554,Q61)&amp;"")</f>
        <v/>
      </c>
      <c r="I61" s="50">
        <f>IF(Q61="","",INDEX(希望入力!$J$5:$J$554,Q61)&amp;"")</f>
        <v/>
      </c>
      <c r="J61" s="50">
        <f>IF(Q61="","",IF(G61="転出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)</f>
        <v/>
      </c>
      <c r="K61" s="49" t="n"/>
      <c r="L61" s="56">
        <f>IF(P61="","",IF(G61="転出","",IF(K61&lt;&gt;"",K61,IF(OR(J61="",J61="要調整"),"",J61))))</f>
        <v/>
      </c>
      <c r="M61" s="50">
        <f>IF(P61="","",IF(OR(G61="転出",AND(計算用!$B$1=1,T61="")),"転出",IF(L61&lt;&gt;"","決定",IF(Q61="","未提出","要調整"))))</f>
        <v/>
      </c>
      <c r="N61" s="50">
        <f>IF(OR(M61&lt;&gt;"要調整",H61=""),"",IFERROR((INDEX(設定!$Q$8:$Q$27,MATCH(H61,設定!$P$8:$P$27,0))+N(INDEX(設定!$R$8:$R$27,MATCH(H61,設定!$P$8:$P$27,0))))-INDEX(定員チェック!$I$7:$I$26,MATCH(H61,設定!$P$8:$P$27,0))-COUNTIFS($M$7:$M$456,"要調整",$G$7:$G$456,H61),""))</f>
        <v/>
      </c>
      <c r="O61" s="50">
        <f>IF(OR(M61&lt;&gt;"要調整",I61=""),"",IFERROR((INDEX(設定!$Q$8:$Q$27,MATCH(I61,設定!$P$8:$P$27,0))+N(INDEX(設定!$R$8:$R$27,MATCH(I61,設定!$P$8:$P$27,0))))-INDEX(定員チェック!$I$7:$I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IF(R61="","",IFERROR(MATCH(R61,希望入力!$M$5:$M$554,0),""))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50">
        <f>IF(P62="","",INDEX(前年度名簿!$H$3:$H$452,P62))</f>
        <v/>
      </c>
      <c r="B62" s="50">
        <f>IF(P62="","",IFERROR(INDEX(設定!$G$8:$G$31,INT(INDEX(前年度名簿!$G$3:$G$452,P62)/1000)),INDEX(前年度名簿!$A$3:$A$452,P62)&amp;INDEX(前年度名簿!$B$3:$B$452,P62)))</f>
        <v/>
      </c>
      <c r="C62" s="50">
        <f>IF(P62="","",INDEX(前年度名簿!$C$3:$C$452,P62))</f>
        <v/>
      </c>
      <c r="D62" s="4">
        <f>IF(P62="","",INDEX(前年度名簿!$D$3:$D$452,P62))</f>
        <v/>
      </c>
      <c r="E62" s="50">
        <f>IF(T62="","",INDEX(新年度名簿!$K$3:$K$452,T62))</f>
        <v/>
      </c>
      <c r="F62" s="50">
        <f>IF(T62="","",INDEX(新年度名簿!$C$3:$C$452,T62))</f>
        <v/>
      </c>
      <c r="G62" s="50">
        <f>IF(Q62="","",INDEX(希望入力!$H$5:$H$554,Q62)&amp;"")</f>
        <v/>
      </c>
      <c r="H62" s="50">
        <f>IF(Q62="","",INDEX(希望入力!$I$5:$I$554,Q62)&amp;"")</f>
        <v/>
      </c>
      <c r="I62" s="50">
        <f>IF(Q62="","",INDEX(希望入力!$J$5:$J$554,Q62)&amp;"")</f>
        <v/>
      </c>
      <c r="J62" s="50">
        <f>IF(Q62="","",IF(G62="転出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)</f>
        <v/>
      </c>
      <c r="K62" s="49" t="n"/>
      <c r="L62" s="56">
        <f>IF(P62="","",IF(G62="転出","",IF(K62&lt;&gt;"",K62,IF(OR(J62="",J62="要調整"),"",J62))))</f>
        <v/>
      </c>
      <c r="M62" s="50">
        <f>IF(P62="","",IF(OR(G62="転出",AND(計算用!$B$1=1,T62="")),"転出",IF(L62&lt;&gt;"","決定",IF(Q62="","未提出","要調整"))))</f>
        <v/>
      </c>
      <c r="N62" s="50">
        <f>IF(OR(M62&lt;&gt;"要調整",H62=""),"",IFERROR((INDEX(設定!$Q$8:$Q$27,MATCH(H62,設定!$P$8:$P$27,0))+N(INDEX(設定!$R$8:$R$27,MATCH(H62,設定!$P$8:$P$27,0))))-INDEX(定員チェック!$I$7:$I$26,MATCH(H62,設定!$P$8:$P$27,0))-COUNTIFS($M$7:$M$456,"要調整",$G$7:$G$456,H62),""))</f>
        <v/>
      </c>
      <c r="O62" s="50">
        <f>IF(OR(M62&lt;&gt;"要調整",I62=""),"",IFERROR((INDEX(設定!$Q$8:$Q$27,MATCH(I62,設定!$P$8:$P$27,0))+N(INDEX(設定!$R$8:$R$27,MATCH(I62,設定!$P$8:$P$27,0))))-INDEX(定員チェック!$I$7:$I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IF(R62="","",IFERROR(MATCH(R62,希望入力!$M$5:$M$554,0),""))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50">
        <f>IF(P63="","",INDEX(前年度名簿!$H$3:$H$452,P63))</f>
        <v/>
      </c>
      <c r="B63" s="50">
        <f>IF(P63="","",IFERROR(INDEX(設定!$G$8:$G$31,INT(INDEX(前年度名簿!$G$3:$G$452,P63)/1000)),INDEX(前年度名簿!$A$3:$A$452,P63)&amp;INDEX(前年度名簿!$B$3:$B$452,P63)))</f>
        <v/>
      </c>
      <c r="C63" s="50">
        <f>IF(P63="","",INDEX(前年度名簿!$C$3:$C$452,P63))</f>
        <v/>
      </c>
      <c r="D63" s="4">
        <f>IF(P63="","",INDEX(前年度名簿!$D$3:$D$452,P63))</f>
        <v/>
      </c>
      <c r="E63" s="50">
        <f>IF(T63="","",INDEX(新年度名簿!$K$3:$K$452,T63))</f>
        <v/>
      </c>
      <c r="F63" s="50">
        <f>IF(T63="","",INDEX(新年度名簿!$C$3:$C$452,T63))</f>
        <v/>
      </c>
      <c r="G63" s="50">
        <f>IF(Q63="","",INDEX(希望入力!$H$5:$H$554,Q63)&amp;"")</f>
        <v/>
      </c>
      <c r="H63" s="50">
        <f>IF(Q63="","",INDEX(希望入力!$I$5:$I$554,Q63)&amp;"")</f>
        <v/>
      </c>
      <c r="I63" s="50">
        <f>IF(Q63="","",INDEX(希望入力!$J$5:$J$554,Q63)&amp;"")</f>
        <v/>
      </c>
      <c r="J63" s="50">
        <f>IF(Q63="","",IF(G63="転出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)</f>
        <v/>
      </c>
      <c r="K63" s="49" t="n"/>
      <c r="L63" s="56">
        <f>IF(P63="","",IF(G63="転出","",IF(K63&lt;&gt;"",K63,IF(OR(J63="",J63="要調整"),"",J63))))</f>
        <v/>
      </c>
      <c r="M63" s="50">
        <f>IF(P63="","",IF(OR(G63="転出",AND(計算用!$B$1=1,T63="")),"転出",IF(L63&lt;&gt;"","決定",IF(Q63="","未提出","要調整"))))</f>
        <v/>
      </c>
      <c r="N63" s="50">
        <f>IF(OR(M63&lt;&gt;"要調整",H63=""),"",IFERROR((INDEX(設定!$Q$8:$Q$27,MATCH(H63,設定!$P$8:$P$27,0))+N(INDEX(設定!$R$8:$R$27,MATCH(H63,設定!$P$8:$P$27,0))))-INDEX(定員チェック!$I$7:$I$26,MATCH(H63,設定!$P$8:$P$27,0))-COUNTIFS($M$7:$M$456,"要調整",$G$7:$G$456,H63),""))</f>
        <v/>
      </c>
      <c r="O63" s="50">
        <f>IF(OR(M63&lt;&gt;"要調整",I63=""),"",IFERROR((INDEX(設定!$Q$8:$Q$27,MATCH(I63,設定!$P$8:$P$27,0))+N(INDEX(設定!$R$8:$R$27,MATCH(I63,設定!$P$8:$P$27,0))))-INDEX(定員チェック!$I$7:$I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IF(R63="","",IFERROR(MATCH(R63,希望入力!$M$5:$M$554,0),""))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50">
        <f>IF(P64="","",INDEX(前年度名簿!$H$3:$H$452,P64))</f>
        <v/>
      </c>
      <c r="B64" s="50">
        <f>IF(P64="","",IFERROR(INDEX(設定!$G$8:$G$31,INT(INDEX(前年度名簿!$G$3:$G$452,P64)/1000)),INDEX(前年度名簿!$A$3:$A$452,P64)&amp;INDEX(前年度名簿!$B$3:$B$452,P64)))</f>
        <v/>
      </c>
      <c r="C64" s="50">
        <f>IF(P64="","",INDEX(前年度名簿!$C$3:$C$452,P64))</f>
        <v/>
      </c>
      <c r="D64" s="4">
        <f>IF(P64="","",INDEX(前年度名簿!$D$3:$D$452,P64))</f>
        <v/>
      </c>
      <c r="E64" s="50">
        <f>IF(T64="","",INDEX(新年度名簿!$K$3:$K$452,T64))</f>
        <v/>
      </c>
      <c r="F64" s="50">
        <f>IF(T64="","",INDEX(新年度名簿!$C$3:$C$452,T64))</f>
        <v/>
      </c>
      <c r="G64" s="50">
        <f>IF(Q64="","",INDEX(希望入力!$H$5:$H$554,Q64)&amp;"")</f>
        <v/>
      </c>
      <c r="H64" s="50">
        <f>IF(Q64="","",INDEX(希望入力!$I$5:$I$554,Q64)&amp;"")</f>
        <v/>
      </c>
      <c r="I64" s="50">
        <f>IF(Q64="","",INDEX(希望入力!$J$5:$J$554,Q64)&amp;"")</f>
        <v/>
      </c>
      <c r="J64" s="50">
        <f>IF(Q64="","",IF(G64="転出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)</f>
        <v/>
      </c>
      <c r="K64" s="49" t="n"/>
      <c r="L64" s="56">
        <f>IF(P64="","",IF(G64="転出","",IF(K64&lt;&gt;"",K64,IF(OR(J64="",J64="要調整"),"",J64))))</f>
        <v/>
      </c>
      <c r="M64" s="50">
        <f>IF(P64="","",IF(OR(G64="転出",AND(計算用!$B$1=1,T64="")),"転出",IF(L64&lt;&gt;"","決定",IF(Q64="","未提出","要調整"))))</f>
        <v/>
      </c>
      <c r="N64" s="50">
        <f>IF(OR(M64&lt;&gt;"要調整",H64=""),"",IFERROR((INDEX(設定!$Q$8:$Q$27,MATCH(H64,設定!$P$8:$P$27,0))+N(INDEX(設定!$R$8:$R$27,MATCH(H64,設定!$P$8:$P$27,0))))-INDEX(定員チェック!$I$7:$I$26,MATCH(H64,設定!$P$8:$P$27,0))-COUNTIFS($M$7:$M$456,"要調整",$G$7:$G$456,H64),""))</f>
        <v/>
      </c>
      <c r="O64" s="50">
        <f>IF(OR(M64&lt;&gt;"要調整",I64=""),"",IFERROR((INDEX(設定!$Q$8:$Q$27,MATCH(I64,設定!$P$8:$P$27,0))+N(INDEX(設定!$R$8:$R$27,MATCH(I64,設定!$P$8:$P$27,0))))-INDEX(定員チェック!$I$7:$I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IF(R64="","",IFERROR(MATCH(R64,希望入力!$M$5:$M$554,0),""))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50">
        <f>IF(P65="","",INDEX(前年度名簿!$H$3:$H$452,P65))</f>
        <v/>
      </c>
      <c r="B65" s="50">
        <f>IF(P65="","",IFERROR(INDEX(設定!$G$8:$G$31,INT(INDEX(前年度名簿!$G$3:$G$452,P65)/1000)),INDEX(前年度名簿!$A$3:$A$452,P65)&amp;INDEX(前年度名簿!$B$3:$B$452,P65)))</f>
        <v/>
      </c>
      <c r="C65" s="50">
        <f>IF(P65="","",INDEX(前年度名簿!$C$3:$C$452,P65))</f>
        <v/>
      </c>
      <c r="D65" s="4">
        <f>IF(P65="","",INDEX(前年度名簿!$D$3:$D$452,P65))</f>
        <v/>
      </c>
      <c r="E65" s="50">
        <f>IF(T65="","",INDEX(新年度名簿!$K$3:$K$452,T65))</f>
        <v/>
      </c>
      <c r="F65" s="50">
        <f>IF(T65="","",INDEX(新年度名簿!$C$3:$C$452,T65))</f>
        <v/>
      </c>
      <c r="G65" s="50">
        <f>IF(Q65="","",INDEX(希望入力!$H$5:$H$554,Q65)&amp;"")</f>
        <v/>
      </c>
      <c r="H65" s="50">
        <f>IF(Q65="","",INDEX(希望入力!$I$5:$I$554,Q65)&amp;"")</f>
        <v/>
      </c>
      <c r="I65" s="50">
        <f>IF(Q65="","",INDEX(希望入力!$J$5:$J$554,Q65)&amp;"")</f>
        <v/>
      </c>
      <c r="J65" s="50">
        <f>IF(Q65="","",IF(G65="転出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)</f>
        <v/>
      </c>
      <c r="K65" s="49" t="n"/>
      <c r="L65" s="56">
        <f>IF(P65="","",IF(G65="転出","",IF(K65&lt;&gt;"",K65,IF(OR(J65="",J65="要調整"),"",J65))))</f>
        <v/>
      </c>
      <c r="M65" s="50">
        <f>IF(P65="","",IF(OR(G65="転出",AND(計算用!$B$1=1,T65="")),"転出",IF(L65&lt;&gt;"","決定",IF(Q65="","未提出","要調整"))))</f>
        <v/>
      </c>
      <c r="N65" s="50">
        <f>IF(OR(M65&lt;&gt;"要調整",H65=""),"",IFERROR((INDEX(設定!$Q$8:$Q$27,MATCH(H65,設定!$P$8:$P$27,0))+N(INDEX(設定!$R$8:$R$27,MATCH(H65,設定!$P$8:$P$27,0))))-INDEX(定員チェック!$I$7:$I$26,MATCH(H65,設定!$P$8:$P$27,0))-COUNTIFS($M$7:$M$456,"要調整",$G$7:$G$456,H65),""))</f>
        <v/>
      </c>
      <c r="O65" s="50">
        <f>IF(OR(M65&lt;&gt;"要調整",I65=""),"",IFERROR((INDEX(設定!$Q$8:$Q$27,MATCH(I65,設定!$P$8:$P$27,0))+N(INDEX(設定!$R$8:$R$27,MATCH(I65,設定!$P$8:$P$27,0))))-INDEX(定員チェック!$I$7:$I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IF(R65="","",IFERROR(MATCH(R65,希望入力!$M$5:$M$554,0),""))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50">
        <f>IF(P66="","",INDEX(前年度名簿!$H$3:$H$452,P66))</f>
        <v/>
      </c>
      <c r="B66" s="50">
        <f>IF(P66="","",IFERROR(INDEX(設定!$G$8:$G$31,INT(INDEX(前年度名簿!$G$3:$G$452,P66)/1000)),INDEX(前年度名簿!$A$3:$A$452,P66)&amp;INDEX(前年度名簿!$B$3:$B$452,P66)))</f>
        <v/>
      </c>
      <c r="C66" s="50">
        <f>IF(P66="","",INDEX(前年度名簿!$C$3:$C$452,P66))</f>
        <v/>
      </c>
      <c r="D66" s="4">
        <f>IF(P66="","",INDEX(前年度名簿!$D$3:$D$452,P66))</f>
        <v/>
      </c>
      <c r="E66" s="50">
        <f>IF(T66="","",INDEX(新年度名簿!$K$3:$K$452,T66))</f>
        <v/>
      </c>
      <c r="F66" s="50">
        <f>IF(T66="","",INDEX(新年度名簿!$C$3:$C$452,T66))</f>
        <v/>
      </c>
      <c r="G66" s="50">
        <f>IF(Q66="","",INDEX(希望入力!$H$5:$H$554,Q66)&amp;"")</f>
        <v/>
      </c>
      <c r="H66" s="50">
        <f>IF(Q66="","",INDEX(希望入力!$I$5:$I$554,Q66)&amp;"")</f>
        <v/>
      </c>
      <c r="I66" s="50">
        <f>IF(Q66="","",INDEX(希望入力!$J$5:$J$554,Q66)&amp;"")</f>
        <v/>
      </c>
      <c r="J66" s="50">
        <f>IF(Q66="","",IF(G66="転出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)</f>
        <v/>
      </c>
      <c r="K66" s="49" t="n"/>
      <c r="L66" s="56">
        <f>IF(P66="","",IF(G66="転出","",IF(K66&lt;&gt;"",K66,IF(OR(J66="",J66="要調整"),"",J66))))</f>
        <v/>
      </c>
      <c r="M66" s="50">
        <f>IF(P66="","",IF(OR(G66="転出",AND(計算用!$B$1=1,T66="")),"転出",IF(L66&lt;&gt;"","決定",IF(Q66="","未提出","要調整"))))</f>
        <v/>
      </c>
      <c r="N66" s="50">
        <f>IF(OR(M66&lt;&gt;"要調整",H66=""),"",IFERROR((INDEX(設定!$Q$8:$Q$27,MATCH(H66,設定!$P$8:$P$27,0))+N(INDEX(設定!$R$8:$R$27,MATCH(H66,設定!$P$8:$P$27,0))))-INDEX(定員チェック!$I$7:$I$26,MATCH(H66,設定!$P$8:$P$27,0))-COUNTIFS($M$7:$M$456,"要調整",$G$7:$G$456,H66),""))</f>
        <v/>
      </c>
      <c r="O66" s="50">
        <f>IF(OR(M66&lt;&gt;"要調整",I66=""),"",IFERROR((INDEX(設定!$Q$8:$Q$27,MATCH(I66,設定!$P$8:$P$27,0))+N(INDEX(設定!$R$8:$R$27,MATCH(I66,設定!$P$8:$P$27,0))))-INDEX(定員チェック!$I$7:$I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IF(R66="","",IFERROR(MATCH(R66,希望入力!$M$5:$M$554,0),""))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50">
        <f>IF(P67="","",INDEX(前年度名簿!$H$3:$H$452,P67))</f>
        <v/>
      </c>
      <c r="B67" s="50">
        <f>IF(P67="","",IFERROR(INDEX(設定!$G$8:$G$31,INT(INDEX(前年度名簿!$G$3:$G$452,P67)/1000)),INDEX(前年度名簿!$A$3:$A$452,P67)&amp;INDEX(前年度名簿!$B$3:$B$452,P67)))</f>
        <v/>
      </c>
      <c r="C67" s="50">
        <f>IF(P67="","",INDEX(前年度名簿!$C$3:$C$452,P67))</f>
        <v/>
      </c>
      <c r="D67" s="4">
        <f>IF(P67="","",INDEX(前年度名簿!$D$3:$D$452,P67))</f>
        <v/>
      </c>
      <c r="E67" s="50">
        <f>IF(T67="","",INDEX(新年度名簿!$K$3:$K$452,T67))</f>
        <v/>
      </c>
      <c r="F67" s="50">
        <f>IF(T67="","",INDEX(新年度名簿!$C$3:$C$452,T67))</f>
        <v/>
      </c>
      <c r="G67" s="50">
        <f>IF(Q67="","",INDEX(希望入力!$H$5:$H$554,Q67)&amp;"")</f>
        <v/>
      </c>
      <c r="H67" s="50">
        <f>IF(Q67="","",INDEX(希望入力!$I$5:$I$554,Q67)&amp;"")</f>
        <v/>
      </c>
      <c r="I67" s="50">
        <f>IF(Q67="","",INDEX(希望入力!$J$5:$J$554,Q67)&amp;"")</f>
        <v/>
      </c>
      <c r="J67" s="50">
        <f>IF(Q67="","",IF(G67="転出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)</f>
        <v/>
      </c>
      <c r="K67" s="49" t="n"/>
      <c r="L67" s="56">
        <f>IF(P67="","",IF(G67="転出","",IF(K67&lt;&gt;"",K67,IF(OR(J67="",J67="要調整"),"",J67))))</f>
        <v/>
      </c>
      <c r="M67" s="50">
        <f>IF(P67="","",IF(OR(G67="転出",AND(計算用!$B$1=1,T67="")),"転出",IF(L67&lt;&gt;"","決定",IF(Q67="","未提出","要調整"))))</f>
        <v/>
      </c>
      <c r="N67" s="50">
        <f>IF(OR(M67&lt;&gt;"要調整",H67=""),"",IFERROR((INDEX(設定!$Q$8:$Q$27,MATCH(H67,設定!$P$8:$P$27,0))+N(INDEX(設定!$R$8:$R$27,MATCH(H67,設定!$P$8:$P$27,0))))-INDEX(定員チェック!$I$7:$I$26,MATCH(H67,設定!$P$8:$P$27,0))-COUNTIFS($M$7:$M$456,"要調整",$G$7:$G$456,H67),""))</f>
        <v/>
      </c>
      <c r="O67" s="50">
        <f>IF(OR(M67&lt;&gt;"要調整",I67=""),"",IFERROR((INDEX(設定!$Q$8:$Q$27,MATCH(I67,設定!$P$8:$P$27,0))+N(INDEX(設定!$R$8:$R$27,MATCH(I67,設定!$P$8:$P$27,0))))-INDEX(定員チェック!$I$7:$I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IF(R67="","",IFERROR(MATCH(R67,希望入力!$M$5:$M$554,0),""))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50">
        <f>IF(P68="","",INDEX(前年度名簿!$H$3:$H$452,P68))</f>
        <v/>
      </c>
      <c r="B68" s="50">
        <f>IF(P68="","",IFERROR(INDEX(設定!$G$8:$G$31,INT(INDEX(前年度名簿!$G$3:$G$452,P68)/1000)),INDEX(前年度名簿!$A$3:$A$452,P68)&amp;INDEX(前年度名簿!$B$3:$B$452,P68)))</f>
        <v/>
      </c>
      <c r="C68" s="50">
        <f>IF(P68="","",INDEX(前年度名簿!$C$3:$C$452,P68))</f>
        <v/>
      </c>
      <c r="D68" s="4">
        <f>IF(P68="","",INDEX(前年度名簿!$D$3:$D$452,P68))</f>
        <v/>
      </c>
      <c r="E68" s="50">
        <f>IF(T68="","",INDEX(新年度名簿!$K$3:$K$452,T68))</f>
        <v/>
      </c>
      <c r="F68" s="50">
        <f>IF(T68="","",INDEX(新年度名簿!$C$3:$C$452,T68))</f>
        <v/>
      </c>
      <c r="G68" s="50">
        <f>IF(Q68="","",INDEX(希望入力!$H$5:$H$554,Q68)&amp;"")</f>
        <v/>
      </c>
      <c r="H68" s="50">
        <f>IF(Q68="","",INDEX(希望入力!$I$5:$I$554,Q68)&amp;"")</f>
        <v/>
      </c>
      <c r="I68" s="50">
        <f>IF(Q68="","",INDEX(希望入力!$J$5:$J$554,Q68)&amp;"")</f>
        <v/>
      </c>
      <c r="J68" s="50">
        <f>IF(Q68="","",IF(G68="転出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)</f>
        <v/>
      </c>
      <c r="K68" s="49" t="n"/>
      <c r="L68" s="56">
        <f>IF(P68="","",IF(G68="転出","",IF(K68&lt;&gt;"",K68,IF(OR(J68="",J68="要調整"),"",J68))))</f>
        <v/>
      </c>
      <c r="M68" s="50">
        <f>IF(P68="","",IF(OR(G68="転出",AND(計算用!$B$1=1,T68="")),"転出",IF(L68&lt;&gt;"","決定",IF(Q68="","未提出","要調整"))))</f>
        <v/>
      </c>
      <c r="N68" s="50">
        <f>IF(OR(M68&lt;&gt;"要調整",H68=""),"",IFERROR((INDEX(設定!$Q$8:$Q$27,MATCH(H68,設定!$P$8:$P$27,0))+N(INDEX(設定!$R$8:$R$27,MATCH(H68,設定!$P$8:$P$27,0))))-INDEX(定員チェック!$I$7:$I$26,MATCH(H68,設定!$P$8:$P$27,0))-COUNTIFS($M$7:$M$456,"要調整",$G$7:$G$456,H68),""))</f>
        <v/>
      </c>
      <c r="O68" s="50">
        <f>IF(OR(M68&lt;&gt;"要調整",I68=""),"",IFERROR((INDEX(設定!$Q$8:$Q$27,MATCH(I68,設定!$P$8:$P$27,0))+N(INDEX(設定!$R$8:$R$27,MATCH(I68,設定!$P$8:$P$27,0))))-INDEX(定員チェック!$I$7:$I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IF(R68="","",IFERROR(MATCH(R68,希望入力!$M$5:$M$554,0),""))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50">
        <f>IF(P69="","",INDEX(前年度名簿!$H$3:$H$452,P69))</f>
        <v/>
      </c>
      <c r="B69" s="50">
        <f>IF(P69="","",IFERROR(INDEX(設定!$G$8:$G$31,INT(INDEX(前年度名簿!$G$3:$G$452,P69)/1000)),INDEX(前年度名簿!$A$3:$A$452,P69)&amp;INDEX(前年度名簿!$B$3:$B$452,P69)))</f>
        <v/>
      </c>
      <c r="C69" s="50">
        <f>IF(P69="","",INDEX(前年度名簿!$C$3:$C$452,P69))</f>
        <v/>
      </c>
      <c r="D69" s="4">
        <f>IF(P69="","",INDEX(前年度名簿!$D$3:$D$452,P69))</f>
        <v/>
      </c>
      <c r="E69" s="50">
        <f>IF(T69="","",INDEX(新年度名簿!$K$3:$K$452,T69))</f>
        <v/>
      </c>
      <c r="F69" s="50">
        <f>IF(T69="","",INDEX(新年度名簿!$C$3:$C$452,T69))</f>
        <v/>
      </c>
      <c r="G69" s="50">
        <f>IF(Q69="","",INDEX(希望入力!$H$5:$H$554,Q69)&amp;"")</f>
        <v/>
      </c>
      <c r="H69" s="50">
        <f>IF(Q69="","",INDEX(希望入力!$I$5:$I$554,Q69)&amp;"")</f>
        <v/>
      </c>
      <c r="I69" s="50">
        <f>IF(Q69="","",INDEX(希望入力!$J$5:$J$554,Q69)&amp;"")</f>
        <v/>
      </c>
      <c r="J69" s="50">
        <f>IF(Q69="","",IF(G69="転出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)</f>
        <v/>
      </c>
      <c r="K69" s="49" t="n"/>
      <c r="L69" s="56">
        <f>IF(P69="","",IF(G69="転出","",IF(K69&lt;&gt;"",K69,IF(OR(J69="",J69="要調整"),"",J69))))</f>
        <v/>
      </c>
      <c r="M69" s="50">
        <f>IF(P69="","",IF(OR(G69="転出",AND(計算用!$B$1=1,T69="")),"転出",IF(L69&lt;&gt;"","決定",IF(Q69="","未提出","要調整"))))</f>
        <v/>
      </c>
      <c r="N69" s="50">
        <f>IF(OR(M69&lt;&gt;"要調整",H69=""),"",IFERROR((INDEX(設定!$Q$8:$Q$27,MATCH(H69,設定!$P$8:$P$27,0))+N(INDEX(設定!$R$8:$R$27,MATCH(H69,設定!$P$8:$P$27,0))))-INDEX(定員チェック!$I$7:$I$26,MATCH(H69,設定!$P$8:$P$27,0))-COUNTIFS($M$7:$M$456,"要調整",$G$7:$G$456,H69),""))</f>
        <v/>
      </c>
      <c r="O69" s="50">
        <f>IF(OR(M69&lt;&gt;"要調整",I69=""),"",IFERROR((INDEX(設定!$Q$8:$Q$27,MATCH(I69,設定!$P$8:$P$27,0))+N(INDEX(設定!$R$8:$R$27,MATCH(I69,設定!$P$8:$P$27,0))))-INDEX(定員チェック!$I$7:$I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IF(R69="","",IFERROR(MATCH(R69,希望入力!$M$5:$M$554,0),""))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50">
        <f>IF(P70="","",INDEX(前年度名簿!$H$3:$H$452,P70))</f>
        <v/>
      </c>
      <c r="B70" s="50">
        <f>IF(P70="","",IFERROR(INDEX(設定!$G$8:$G$31,INT(INDEX(前年度名簿!$G$3:$G$452,P70)/1000)),INDEX(前年度名簿!$A$3:$A$452,P70)&amp;INDEX(前年度名簿!$B$3:$B$452,P70)))</f>
        <v/>
      </c>
      <c r="C70" s="50">
        <f>IF(P70="","",INDEX(前年度名簿!$C$3:$C$452,P70))</f>
        <v/>
      </c>
      <c r="D70" s="4">
        <f>IF(P70="","",INDEX(前年度名簿!$D$3:$D$452,P70))</f>
        <v/>
      </c>
      <c r="E70" s="50">
        <f>IF(T70="","",INDEX(新年度名簿!$K$3:$K$452,T70))</f>
        <v/>
      </c>
      <c r="F70" s="50">
        <f>IF(T70="","",INDEX(新年度名簿!$C$3:$C$452,T70))</f>
        <v/>
      </c>
      <c r="G70" s="50">
        <f>IF(Q70="","",INDEX(希望入力!$H$5:$H$554,Q70)&amp;"")</f>
        <v/>
      </c>
      <c r="H70" s="50">
        <f>IF(Q70="","",INDEX(希望入力!$I$5:$I$554,Q70)&amp;"")</f>
        <v/>
      </c>
      <c r="I70" s="50">
        <f>IF(Q70="","",INDEX(希望入力!$J$5:$J$554,Q70)&amp;"")</f>
        <v/>
      </c>
      <c r="J70" s="50">
        <f>IF(Q70="","",IF(G70="転出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)</f>
        <v/>
      </c>
      <c r="K70" s="49" t="n"/>
      <c r="L70" s="56">
        <f>IF(P70="","",IF(G70="転出","",IF(K70&lt;&gt;"",K70,IF(OR(J70="",J70="要調整"),"",J70))))</f>
        <v/>
      </c>
      <c r="M70" s="50">
        <f>IF(P70="","",IF(OR(G70="転出",AND(計算用!$B$1=1,T70="")),"転出",IF(L70&lt;&gt;"","決定",IF(Q70="","未提出","要調整"))))</f>
        <v/>
      </c>
      <c r="N70" s="50">
        <f>IF(OR(M70&lt;&gt;"要調整",H70=""),"",IFERROR((INDEX(設定!$Q$8:$Q$27,MATCH(H70,設定!$P$8:$P$27,0))+N(INDEX(設定!$R$8:$R$27,MATCH(H70,設定!$P$8:$P$27,0))))-INDEX(定員チェック!$I$7:$I$26,MATCH(H70,設定!$P$8:$P$27,0))-COUNTIFS($M$7:$M$456,"要調整",$G$7:$G$456,H70),""))</f>
        <v/>
      </c>
      <c r="O70" s="50">
        <f>IF(OR(M70&lt;&gt;"要調整",I70=""),"",IFERROR((INDEX(設定!$Q$8:$Q$27,MATCH(I70,設定!$P$8:$P$27,0))+N(INDEX(設定!$R$8:$R$27,MATCH(I70,設定!$P$8:$P$27,0))))-INDEX(定員チェック!$I$7:$I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IF(R70="","",IFERROR(MATCH(R70,希望入力!$M$5:$M$554,0),""))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50">
        <f>IF(P71="","",INDEX(前年度名簿!$H$3:$H$452,P71))</f>
        <v/>
      </c>
      <c r="B71" s="50">
        <f>IF(P71="","",IFERROR(INDEX(設定!$G$8:$G$31,INT(INDEX(前年度名簿!$G$3:$G$452,P71)/1000)),INDEX(前年度名簿!$A$3:$A$452,P71)&amp;INDEX(前年度名簿!$B$3:$B$452,P71)))</f>
        <v/>
      </c>
      <c r="C71" s="50">
        <f>IF(P71="","",INDEX(前年度名簿!$C$3:$C$452,P71))</f>
        <v/>
      </c>
      <c r="D71" s="4">
        <f>IF(P71="","",INDEX(前年度名簿!$D$3:$D$452,P71))</f>
        <v/>
      </c>
      <c r="E71" s="50">
        <f>IF(T71="","",INDEX(新年度名簿!$K$3:$K$452,T71))</f>
        <v/>
      </c>
      <c r="F71" s="50">
        <f>IF(T71="","",INDEX(新年度名簿!$C$3:$C$452,T71))</f>
        <v/>
      </c>
      <c r="G71" s="50">
        <f>IF(Q71="","",INDEX(希望入力!$H$5:$H$554,Q71)&amp;"")</f>
        <v/>
      </c>
      <c r="H71" s="50">
        <f>IF(Q71="","",INDEX(希望入力!$I$5:$I$554,Q71)&amp;"")</f>
        <v/>
      </c>
      <c r="I71" s="50">
        <f>IF(Q71="","",INDEX(希望入力!$J$5:$J$554,Q71)&amp;"")</f>
        <v/>
      </c>
      <c r="J71" s="50">
        <f>IF(Q71="","",IF(G71="転出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)</f>
        <v/>
      </c>
      <c r="K71" s="49" t="n"/>
      <c r="L71" s="56">
        <f>IF(P71="","",IF(G71="転出","",IF(K71&lt;&gt;"",K71,IF(OR(J71="",J71="要調整"),"",J71))))</f>
        <v/>
      </c>
      <c r="M71" s="50">
        <f>IF(P71="","",IF(OR(G71="転出",AND(計算用!$B$1=1,T71="")),"転出",IF(L71&lt;&gt;"","決定",IF(Q71="","未提出","要調整"))))</f>
        <v/>
      </c>
      <c r="N71" s="50">
        <f>IF(OR(M71&lt;&gt;"要調整",H71=""),"",IFERROR((INDEX(設定!$Q$8:$Q$27,MATCH(H71,設定!$P$8:$P$27,0))+N(INDEX(設定!$R$8:$R$27,MATCH(H71,設定!$P$8:$P$27,0))))-INDEX(定員チェック!$I$7:$I$26,MATCH(H71,設定!$P$8:$P$27,0))-COUNTIFS($M$7:$M$456,"要調整",$G$7:$G$456,H71),""))</f>
        <v/>
      </c>
      <c r="O71" s="50">
        <f>IF(OR(M71&lt;&gt;"要調整",I71=""),"",IFERROR((INDEX(設定!$Q$8:$Q$27,MATCH(I71,設定!$P$8:$P$27,0))+N(INDEX(設定!$R$8:$R$27,MATCH(I71,設定!$P$8:$P$27,0))))-INDEX(定員チェック!$I$7:$I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IF(R71="","",IFERROR(MATCH(R71,希望入力!$M$5:$M$554,0),""))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50">
        <f>IF(P72="","",INDEX(前年度名簿!$H$3:$H$452,P72))</f>
        <v/>
      </c>
      <c r="B72" s="50">
        <f>IF(P72="","",IFERROR(INDEX(設定!$G$8:$G$31,INT(INDEX(前年度名簿!$G$3:$G$452,P72)/1000)),INDEX(前年度名簿!$A$3:$A$452,P72)&amp;INDEX(前年度名簿!$B$3:$B$452,P72)))</f>
        <v/>
      </c>
      <c r="C72" s="50">
        <f>IF(P72="","",INDEX(前年度名簿!$C$3:$C$452,P72))</f>
        <v/>
      </c>
      <c r="D72" s="4">
        <f>IF(P72="","",INDEX(前年度名簿!$D$3:$D$452,P72))</f>
        <v/>
      </c>
      <c r="E72" s="50">
        <f>IF(T72="","",INDEX(新年度名簿!$K$3:$K$452,T72))</f>
        <v/>
      </c>
      <c r="F72" s="50">
        <f>IF(T72="","",INDEX(新年度名簿!$C$3:$C$452,T72))</f>
        <v/>
      </c>
      <c r="G72" s="50">
        <f>IF(Q72="","",INDEX(希望入力!$H$5:$H$554,Q72)&amp;"")</f>
        <v/>
      </c>
      <c r="H72" s="50">
        <f>IF(Q72="","",INDEX(希望入力!$I$5:$I$554,Q72)&amp;"")</f>
        <v/>
      </c>
      <c r="I72" s="50">
        <f>IF(Q72="","",INDEX(希望入力!$J$5:$J$554,Q72)&amp;"")</f>
        <v/>
      </c>
      <c r="J72" s="50">
        <f>IF(Q72="","",IF(G72="転出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)</f>
        <v/>
      </c>
      <c r="K72" s="49" t="n"/>
      <c r="L72" s="56">
        <f>IF(P72="","",IF(G72="転出","",IF(K72&lt;&gt;"",K72,IF(OR(J72="",J72="要調整"),"",J72))))</f>
        <v/>
      </c>
      <c r="M72" s="50">
        <f>IF(P72="","",IF(OR(G72="転出",AND(計算用!$B$1=1,T72="")),"転出",IF(L72&lt;&gt;"","決定",IF(Q72="","未提出","要調整"))))</f>
        <v/>
      </c>
      <c r="N72" s="50">
        <f>IF(OR(M72&lt;&gt;"要調整",H72=""),"",IFERROR((INDEX(設定!$Q$8:$Q$27,MATCH(H72,設定!$P$8:$P$27,0))+N(INDEX(設定!$R$8:$R$27,MATCH(H72,設定!$P$8:$P$27,0))))-INDEX(定員チェック!$I$7:$I$26,MATCH(H72,設定!$P$8:$P$27,0))-COUNTIFS($M$7:$M$456,"要調整",$G$7:$G$456,H72),""))</f>
        <v/>
      </c>
      <c r="O72" s="50">
        <f>IF(OR(M72&lt;&gt;"要調整",I72=""),"",IFERROR((INDEX(設定!$Q$8:$Q$27,MATCH(I72,設定!$P$8:$P$27,0))+N(INDEX(設定!$R$8:$R$27,MATCH(I72,設定!$P$8:$P$27,0))))-INDEX(定員チェック!$I$7:$I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IF(R72="","",IFERROR(MATCH(R72,希望入力!$M$5:$M$554,0),""))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50">
        <f>IF(P73="","",INDEX(前年度名簿!$H$3:$H$452,P73))</f>
        <v/>
      </c>
      <c r="B73" s="50">
        <f>IF(P73="","",IFERROR(INDEX(設定!$G$8:$G$31,INT(INDEX(前年度名簿!$G$3:$G$452,P73)/1000)),INDEX(前年度名簿!$A$3:$A$452,P73)&amp;INDEX(前年度名簿!$B$3:$B$452,P73)))</f>
        <v/>
      </c>
      <c r="C73" s="50">
        <f>IF(P73="","",INDEX(前年度名簿!$C$3:$C$452,P73))</f>
        <v/>
      </c>
      <c r="D73" s="4">
        <f>IF(P73="","",INDEX(前年度名簿!$D$3:$D$452,P73))</f>
        <v/>
      </c>
      <c r="E73" s="50">
        <f>IF(T73="","",INDEX(新年度名簿!$K$3:$K$452,T73))</f>
        <v/>
      </c>
      <c r="F73" s="50">
        <f>IF(T73="","",INDEX(新年度名簿!$C$3:$C$452,T73))</f>
        <v/>
      </c>
      <c r="G73" s="50">
        <f>IF(Q73="","",INDEX(希望入力!$H$5:$H$554,Q73)&amp;"")</f>
        <v/>
      </c>
      <c r="H73" s="50">
        <f>IF(Q73="","",INDEX(希望入力!$I$5:$I$554,Q73)&amp;"")</f>
        <v/>
      </c>
      <c r="I73" s="50">
        <f>IF(Q73="","",INDEX(希望入力!$J$5:$J$554,Q73)&amp;"")</f>
        <v/>
      </c>
      <c r="J73" s="50">
        <f>IF(Q73="","",IF(G73="転出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)</f>
        <v/>
      </c>
      <c r="K73" s="49" t="n"/>
      <c r="L73" s="56">
        <f>IF(P73="","",IF(G73="転出","",IF(K73&lt;&gt;"",K73,IF(OR(J73="",J73="要調整"),"",J73))))</f>
        <v/>
      </c>
      <c r="M73" s="50">
        <f>IF(P73="","",IF(OR(G73="転出",AND(計算用!$B$1=1,T73="")),"転出",IF(L73&lt;&gt;"","決定",IF(Q73="","未提出","要調整"))))</f>
        <v/>
      </c>
      <c r="N73" s="50">
        <f>IF(OR(M73&lt;&gt;"要調整",H73=""),"",IFERROR((INDEX(設定!$Q$8:$Q$27,MATCH(H73,設定!$P$8:$P$27,0))+N(INDEX(設定!$R$8:$R$27,MATCH(H73,設定!$P$8:$P$27,0))))-INDEX(定員チェック!$I$7:$I$26,MATCH(H73,設定!$P$8:$P$27,0))-COUNTIFS($M$7:$M$456,"要調整",$G$7:$G$456,H73),""))</f>
        <v/>
      </c>
      <c r="O73" s="50">
        <f>IF(OR(M73&lt;&gt;"要調整",I73=""),"",IFERROR((INDEX(設定!$Q$8:$Q$27,MATCH(I73,設定!$P$8:$P$27,0))+N(INDEX(設定!$R$8:$R$27,MATCH(I73,設定!$P$8:$P$27,0))))-INDEX(定員チェック!$I$7:$I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IF(R73="","",IFERROR(MATCH(R73,希望入力!$M$5:$M$554,0),""))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50">
        <f>IF(P74="","",INDEX(前年度名簿!$H$3:$H$452,P74))</f>
        <v/>
      </c>
      <c r="B74" s="50">
        <f>IF(P74="","",IFERROR(INDEX(設定!$G$8:$G$31,INT(INDEX(前年度名簿!$G$3:$G$452,P74)/1000)),INDEX(前年度名簿!$A$3:$A$452,P74)&amp;INDEX(前年度名簿!$B$3:$B$452,P74)))</f>
        <v/>
      </c>
      <c r="C74" s="50">
        <f>IF(P74="","",INDEX(前年度名簿!$C$3:$C$452,P74))</f>
        <v/>
      </c>
      <c r="D74" s="4">
        <f>IF(P74="","",INDEX(前年度名簿!$D$3:$D$452,P74))</f>
        <v/>
      </c>
      <c r="E74" s="50">
        <f>IF(T74="","",INDEX(新年度名簿!$K$3:$K$452,T74))</f>
        <v/>
      </c>
      <c r="F74" s="50">
        <f>IF(T74="","",INDEX(新年度名簿!$C$3:$C$452,T74))</f>
        <v/>
      </c>
      <c r="G74" s="50">
        <f>IF(Q74="","",INDEX(希望入力!$H$5:$H$554,Q74)&amp;"")</f>
        <v/>
      </c>
      <c r="H74" s="50">
        <f>IF(Q74="","",INDEX(希望入力!$I$5:$I$554,Q74)&amp;"")</f>
        <v/>
      </c>
      <c r="I74" s="50">
        <f>IF(Q74="","",INDEX(希望入力!$J$5:$J$554,Q74)&amp;"")</f>
        <v/>
      </c>
      <c r="J74" s="50">
        <f>IF(Q74="","",IF(G74="転出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)</f>
        <v/>
      </c>
      <c r="K74" s="49" t="n"/>
      <c r="L74" s="56">
        <f>IF(P74="","",IF(G74="転出","",IF(K74&lt;&gt;"",K74,IF(OR(J74="",J74="要調整"),"",J74))))</f>
        <v/>
      </c>
      <c r="M74" s="50">
        <f>IF(P74="","",IF(OR(G74="転出",AND(計算用!$B$1=1,T74="")),"転出",IF(L74&lt;&gt;"","決定",IF(Q74="","未提出","要調整"))))</f>
        <v/>
      </c>
      <c r="N74" s="50">
        <f>IF(OR(M74&lt;&gt;"要調整",H74=""),"",IFERROR((INDEX(設定!$Q$8:$Q$27,MATCH(H74,設定!$P$8:$P$27,0))+N(INDEX(設定!$R$8:$R$27,MATCH(H74,設定!$P$8:$P$27,0))))-INDEX(定員チェック!$I$7:$I$26,MATCH(H74,設定!$P$8:$P$27,0))-COUNTIFS($M$7:$M$456,"要調整",$G$7:$G$456,H74),""))</f>
        <v/>
      </c>
      <c r="O74" s="50">
        <f>IF(OR(M74&lt;&gt;"要調整",I74=""),"",IFERROR((INDEX(設定!$Q$8:$Q$27,MATCH(I74,設定!$P$8:$P$27,0))+N(INDEX(設定!$R$8:$R$27,MATCH(I74,設定!$P$8:$P$27,0))))-INDEX(定員チェック!$I$7:$I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IF(R74="","",IFERROR(MATCH(R74,希望入力!$M$5:$M$554,0),""))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50">
        <f>IF(P75="","",INDEX(前年度名簿!$H$3:$H$452,P75))</f>
        <v/>
      </c>
      <c r="B75" s="50">
        <f>IF(P75="","",IFERROR(INDEX(設定!$G$8:$G$31,INT(INDEX(前年度名簿!$G$3:$G$452,P75)/1000)),INDEX(前年度名簿!$A$3:$A$452,P75)&amp;INDEX(前年度名簿!$B$3:$B$452,P75)))</f>
        <v/>
      </c>
      <c r="C75" s="50">
        <f>IF(P75="","",INDEX(前年度名簿!$C$3:$C$452,P75))</f>
        <v/>
      </c>
      <c r="D75" s="4">
        <f>IF(P75="","",INDEX(前年度名簿!$D$3:$D$452,P75))</f>
        <v/>
      </c>
      <c r="E75" s="50">
        <f>IF(T75="","",INDEX(新年度名簿!$K$3:$K$452,T75))</f>
        <v/>
      </c>
      <c r="F75" s="50">
        <f>IF(T75="","",INDEX(新年度名簿!$C$3:$C$452,T75))</f>
        <v/>
      </c>
      <c r="G75" s="50">
        <f>IF(Q75="","",INDEX(希望入力!$H$5:$H$554,Q75)&amp;"")</f>
        <v/>
      </c>
      <c r="H75" s="50">
        <f>IF(Q75="","",INDEX(希望入力!$I$5:$I$554,Q75)&amp;"")</f>
        <v/>
      </c>
      <c r="I75" s="50">
        <f>IF(Q75="","",INDEX(希望入力!$J$5:$J$554,Q75)&amp;"")</f>
        <v/>
      </c>
      <c r="J75" s="50">
        <f>IF(Q75="","",IF(G75="転出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)</f>
        <v/>
      </c>
      <c r="K75" s="49" t="n"/>
      <c r="L75" s="56">
        <f>IF(P75="","",IF(G75="転出","",IF(K75&lt;&gt;"",K75,IF(OR(J75="",J75="要調整"),"",J75))))</f>
        <v/>
      </c>
      <c r="M75" s="50">
        <f>IF(P75="","",IF(OR(G75="転出",AND(計算用!$B$1=1,T75="")),"転出",IF(L75&lt;&gt;"","決定",IF(Q75="","未提出","要調整"))))</f>
        <v/>
      </c>
      <c r="N75" s="50">
        <f>IF(OR(M75&lt;&gt;"要調整",H75=""),"",IFERROR((INDEX(設定!$Q$8:$Q$27,MATCH(H75,設定!$P$8:$P$27,0))+N(INDEX(設定!$R$8:$R$27,MATCH(H75,設定!$P$8:$P$27,0))))-INDEX(定員チェック!$I$7:$I$26,MATCH(H75,設定!$P$8:$P$27,0))-COUNTIFS($M$7:$M$456,"要調整",$G$7:$G$456,H75),""))</f>
        <v/>
      </c>
      <c r="O75" s="50">
        <f>IF(OR(M75&lt;&gt;"要調整",I75=""),"",IFERROR((INDEX(設定!$Q$8:$Q$27,MATCH(I75,設定!$P$8:$P$27,0))+N(INDEX(設定!$R$8:$R$27,MATCH(I75,設定!$P$8:$P$27,0))))-INDEX(定員チェック!$I$7:$I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IF(R75="","",IFERROR(MATCH(R75,希望入力!$M$5:$M$554,0),""))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50">
        <f>IF(P76="","",INDEX(前年度名簿!$H$3:$H$452,P76))</f>
        <v/>
      </c>
      <c r="B76" s="50">
        <f>IF(P76="","",IFERROR(INDEX(設定!$G$8:$G$31,INT(INDEX(前年度名簿!$G$3:$G$452,P76)/1000)),INDEX(前年度名簿!$A$3:$A$452,P76)&amp;INDEX(前年度名簿!$B$3:$B$452,P76)))</f>
        <v/>
      </c>
      <c r="C76" s="50">
        <f>IF(P76="","",INDEX(前年度名簿!$C$3:$C$452,P76))</f>
        <v/>
      </c>
      <c r="D76" s="4">
        <f>IF(P76="","",INDEX(前年度名簿!$D$3:$D$452,P76))</f>
        <v/>
      </c>
      <c r="E76" s="50">
        <f>IF(T76="","",INDEX(新年度名簿!$K$3:$K$452,T76))</f>
        <v/>
      </c>
      <c r="F76" s="50">
        <f>IF(T76="","",INDEX(新年度名簿!$C$3:$C$452,T76))</f>
        <v/>
      </c>
      <c r="G76" s="50">
        <f>IF(Q76="","",INDEX(希望入力!$H$5:$H$554,Q76)&amp;"")</f>
        <v/>
      </c>
      <c r="H76" s="50">
        <f>IF(Q76="","",INDEX(希望入力!$I$5:$I$554,Q76)&amp;"")</f>
        <v/>
      </c>
      <c r="I76" s="50">
        <f>IF(Q76="","",INDEX(希望入力!$J$5:$J$554,Q76)&amp;"")</f>
        <v/>
      </c>
      <c r="J76" s="50">
        <f>IF(Q76="","",IF(G76="転出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)</f>
        <v/>
      </c>
      <c r="K76" s="49" t="n"/>
      <c r="L76" s="56">
        <f>IF(P76="","",IF(G76="転出","",IF(K76&lt;&gt;"",K76,IF(OR(J76="",J76="要調整"),"",J76))))</f>
        <v/>
      </c>
      <c r="M76" s="50">
        <f>IF(P76="","",IF(OR(G76="転出",AND(計算用!$B$1=1,T76="")),"転出",IF(L76&lt;&gt;"","決定",IF(Q76="","未提出","要調整"))))</f>
        <v/>
      </c>
      <c r="N76" s="50">
        <f>IF(OR(M76&lt;&gt;"要調整",H76=""),"",IFERROR((INDEX(設定!$Q$8:$Q$27,MATCH(H76,設定!$P$8:$P$27,0))+N(INDEX(設定!$R$8:$R$27,MATCH(H76,設定!$P$8:$P$27,0))))-INDEX(定員チェック!$I$7:$I$26,MATCH(H76,設定!$P$8:$P$27,0))-COUNTIFS($M$7:$M$456,"要調整",$G$7:$G$456,H76),""))</f>
        <v/>
      </c>
      <c r="O76" s="50">
        <f>IF(OR(M76&lt;&gt;"要調整",I76=""),"",IFERROR((INDEX(設定!$Q$8:$Q$27,MATCH(I76,設定!$P$8:$P$27,0))+N(INDEX(設定!$R$8:$R$27,MATCH(I76,設定!$P$8:$P$27,0))))-INDEX(定員チェック!$I$7:$I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IF(R76="","",IFERROR(MATCH(R76,希望入力!$M$5:$M$554,0),""))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50">
        <f>IF(P77="","",INDEX(前年度名簿!$H$3:$H$452,P77))</f>
        <v/>
      </c>
      <c r="B77" s="50">
        <f>IF(P77="","",IFERROR(INDEX(設定!$G$8:$G$31,INT(INDEX(前年度名簿!$G$3:$G$452,P77)/1000)),INDEX(前年度名簿!$A$3:$A$452,P77)&amp;INDEX(前年度名簿!$B$3:$B$452,P77)))</f>
        <v/>
      </c>
      <c r="C77" s="50">
        <f>IF(P77="","",INDEX(前年度名簿!$C$3:$C$452,P77))</f>
        <v/>
      </c>
      <c r="D77" s="4">
        <f>IF(P77="","",INDEX(前年度名簿!$D$3:$D$452,P77))</f>
        <v/>
      </c>
      <c r="E77" s="50">
        <f>IF(T77="","",INDEX(新年度名簿!$K$3:$K$452,T77))</f>
        <v/>
      </c>
      <c r="F77" s="50">
        <f>IF(T77="","",INDEX(新年度名簿!$C$3:$C$452,T77))</f>
        <v/>
      </c>
      <c r="G77" s="50">
        <f>IF(Q77="","",INDEX(希望入力!$H$5:$H$554,Q77)&amp;"")</f>
        <v/>
      </c>
      <c r="H77" s="50">
        <f>IF(Q77="","",INDEX(希望入力!$I$5:$I$554,Q77)&amp;"")</f>
        <v/>
      </c>
      <c r="I77" s="50">
        <f>IF(Q77="","",INDEX(希望入力!$J$5:$J$554,Q77)&amp;"")</f>
        <v/>
      </c>
      <c r="J77" s="50">
        <f>IF(Q77="","",IF(G77="転出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)</f>
        <v/>
      </c>
      <c r="K77" s="49" t="n"/>
      <c r="L77" s="56">
        <f>IF(P77="","",IF(G77="転出","",IF(K77&lt;&gt;"",K77,IF(OR(J77="",J77="要調整"),"",J77))))</f>
        <v/>
      </c>
      <c r="M77" s="50">
        <f>IF(P77="","",IF(OR(G77="転出",AND(計算用!$B$1=1,T77="")),"転出",IF(L77&lt;&gt;"","決定",IF(Q77="","未提出","要調整"))))</f>
        <v/>
      </c>
      <c r="N77" s="50">
        <f>IF(OR(M77&lt;&gt;"要調整",H77=""),"",IFERROR((INDEX(設定!$Q$8:$Q$27,MATCH(H77,設定!$P$8:$P$27,0))+N(INDEX(設定!$R$8:$R$27,MATCH(H77,設定!$P$8:$P$27,0))))-INDEX(定員チェック!$I$7:$I$26,MATCH(H77,設定!$P$8:$P$27,0))-COUNTIFS($M$7:$M$456,"要調整",$G$7:$G$456,H77),""))</f>
        <v/>
      </c>
      <c r="O77" s="50">
        <f>IF(OR(M77&lt;&gt;"要調整",I77=""),"",IFERROR((INDEX(設定!$Q$8:$Q$27,MATCH(I77,設定!$P$8:$P$27,0))+N(INDEX(設定!$R$8:$R$27,MATCH(I77,設定!$P$8:$P$27,0))))-INDEX(定員チェック!$I$7:$I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IF(R77="","",IFERROR(MATCH(R77,希望入力!$M$5:$M$554,0),""))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50">
        <f>IF(P78="","",INDEX(前年度名簿!$H$3:$H$452,P78))</f>
        <v/>
      </c>
      <c r="B78" s="50">
        <f>IF(P78="","",IFERROR(INDEX(設定!$G$8:$G$31,INT(INDEX(前年度名簿!$G$3:$G$452,P78)/1000)),INDEX(前年度名簿!$A$3:$A$452,P78)&amp;INDEX(前年度名簿!$B$3:$B$452,P78)))</f>
        <v/>
      </c>
      <c r="C78" s="50">
        <f>IF(P78="","",INDEX(前年度名簿!$C$3:$C$452,P78))</f>
        <v/>
      </c>
      <c r="D78" s="4">
        <f>IF(P78="","",INDEX(前年度名簿!$D$3:$D$452,P78))</f>
        <v/>
      </c>
      <c r="E78" s="50">
        <f>IF(T78="","",INDEX(新年度名簿!$K$3:$K$452,T78))</f>
        <v/>
      </c>
      <c r="F78" s="50">
        <f>IF(T78="","",INDEX(新年度名簿!$C$3:$C$452,T78))</f>
        <v/>
      </c>
      <c r="G78" s="50">
        <f>IF(Q78="","",INDEX(希望入力!$H$5:$H$554,Q78)&amp;"")</f>
        <v/>
      </c>
      <c r="H78" s="50">
        <f>IF(Q78="","",INDEX(希望入力!$I$5:$I$554,Q78)&amp;"")</f>
        <v/>
      </c>
      <c r="I78" s="50">
        <f>IF(Q78="","",INDEX(希望入力!$J$5:$J$554,Q78)&amp;"")</f>
        <v/>
      </c>
      <c r="J78" s="50">
        <f>IF(Q78="","",IF(G78="転出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)</f>
        <v/>
      </c>
      <c r="K78" s="49" t="n"/>
      <c r="L78" s="56">
        <f>IF(P78="","",IF(G78="転出","",IF(K78&lt;&gt;"",K78,IF(OR(J78="",J78="要調整"),"",J78))))</f>
        <v/>
      </c>
      <c r="M78" s="50">
        <f>IF(P78="","",IF(OR(G78="転出",AND(計算用!$B$1=1,T78="")),"転出",IF(L78&lt;&gt;"","決定",IF(Q78="","未提出","要調整"))))</f>
        <v/>
      </c>
      <c r="N78" s="50">
        <f>IF(OR(M78&lt;&gt;"要調整",H78=""),"",IFERROR((INDEX(設定!$Q$8:$Q$27,MATCH(H78,設定!$P$8:$P$27,0))+N(INDEX(設定!$R$8:$R$27,MATCH(H78,設定!$P$8:$P$27,0))))-INDEX(定員チェック!$I$7:$I$26,MATCH(H78,設定!$P$8:$P$27,0))-COUNTIFS($M$7:$M$456,"要調整",$G$7:$G$456,H78),""))</f>
        <v/>
      </c>
      <c r="O78" s="50">
        <f>IF(OR(M78&lt;&gt;"要調整",I78=""),"",IFERROR((INDEX(設定!$Q$8:$Q$27,MATCH(I78,設定!$P$8:$P$27,0))+N(INDEX(設定!$R$8:$R$27,MATCH(I78,設定!$P$8:$P$27,0))))-INDEX(定員チェック!$I$7:$I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IF(R78="","",IFERROR(MATCH(R78,希望入力!$M$5:$M$554,0),""))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50">
        <f>IF(P79="","",INDEX(前年度名簿!$H$3:$H$452,P79))</f>
        <v/>
      </c>
      <c r="B79" s="50">
        <f>IF(P79="","",IFERROR(INDEX(設定!$G$8:$G$31,INT(INDEX(前年度名簿!$G$3:$G$452,P79)/1000)),INDEX(前年度名簿!$A$3:$A$452,P79)&amp;INDEX(前年度名簿!$B$3:$B$452,P79)))</f>
        <v/>
      </c>
      <c r="C79" s="50">
        <f>IF(P79="","",INDEX(前年度名簿!$C$3:$C$452,P79))</f>
        <v/>
      </c>
      <c r="D79" s="4">
        <f>IF(P79="","",INDEX(前年度名簿!$D$3:$D$452,P79))</f>
        <v/>
      </c>
      <c r="E79" s="50">
        <f>IF(T79="","",INDEX(新年度名簿!$K$3:$K$452,T79))</f>
        <v/>
      </c>
      <c r="F79" s="50">
        <f>IF(T79="","",INDEX(新年度名簿!$C$3:$C$452,T79))</f>
        <v/>
      </c>
      <c r="G79" s="50">
        <f>IF(Q79="","",INDEX(希望入力!$H$5:$H$554,Q79)&amp;"")</f>
        <v/>
      </c>
      <c r="H79" s="50">
        <f>IF(Q79="","",INDEX(希望入力!$I$5:$I$554,Q79)&amp;"")</f>
        <v/>
      </c>
      <c r="I79" s="50">
        <f>IF(Q79="","",INDEX(希望入力!$J$5:$J$554,Q79)&amp;"")</f>
        <v/>
      </c>
      <c r="J79" s="50">
        <f>IF(Q79="","",IF(G79="転出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)</f>
        <v/>
      </c>
      <c r="K79" s="49" t="n"/>
      <c r="L79" s="56">
        <f>IF(P79="","",IF(G79="転出","",IF(K79&lt;&gt;"",K79,IF(OR(J79="",J79="要調整"),"",J79))))</f>
        <v/>
      </c>
      <c r="M79" s="50">
        <f>IF(P79="","",IF(OR(G79="転出",AND(計算用!$B$1=1,T79="")),"転出",IF(L79&lt;&gt;"","決定",IF(Q79="","未提出","要調整"))))</f>
        <v/>
      </c>
      <c r="N79" s="50">
        <f>IF(OR(M79&lt;&gt;"要調整",H79=""),"",IFERROR((INDEX(設定!$Q$8:$Q$27,MATCH(H79,設定!$P$8:$P$27,0))+N(INDEX(設定!$R$8:$R$27,MATCH(H79,設定!$P$8:$P$27,0))))-INDEX(定員チェック!$I$7:$I$26,MATCH(H79,設定!$P$8:$P$27,0))-COUNTIFS($M$7:$M$456,"要調整",$G$7:$G$456,H79),""))</f>
        <v/>
      </c>
      <c r="O79" s="50">
        <f>IF(OR(M79&lt;&gt;"要調整",I79=""),"",IFERROR((INDEX(設定!$Q$8:$Q$27,MATCH(I79,設定!$P$8:$P$27,0))+N(INDEX(設定!$R$8:$R$27,MATCH(I79,設定!$P$8:$P$27,0))))-INDEX(定員チェック!$I$7:$I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IF(R79="","",IFERROR(MATCH(R79,希望入力!$M$5:$M$554,0),""))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50">
        <f>IF(P80="","",INDEX(前年度名簿!$H$3:$H$452,P80))</f>
        <v/>
      </c>
      <c r="B80" s="50">
        <f>IF(P80="","",IFERROR(INDEX(設定!$G$8:$G$31,INT(INDEX(前年度名簿!$G$3:$G$452,P80)/1000)),INDEX(前年度名簿!$A$3:$A$452,P80)&amp;INDEX(前年度名簿!$B$3:$B$452,P80)))</f>
        <v/>
      </c>
      <c r="C80" s="50">
        <f>IF(P80="","",INDEX(前年度名簿!$C$3:$C$452,P80))</f>
        <v/>
      </c>
      <c r="D80" s="4">
        <f>IF(P80="","",INDEX(前年度名簿!$D$3:$D$452,P80))</f>
        <v/>
      </c>
      <c r="E80" s="50">
        <f>IF(T80="","",INDEX(新年度名簿!$K$3:$K$452,T80))</f>
        <v/>
      </c>
      <c r="F80" s="50">
        <f>IF(T80="","",INDEX(新年度名簿!$C$3:$C$452,T80))</f>
        <v/>
      </c>
      <c r="G80" s="50">
        <f>IF(Q80="","",INDEX(希望入力!$H$5:$H$554,Q80)&amp;"")</f>
        <v/>
      </c>
      <c r="H80" s="50">
        <f>IF(Q80="","",INDEX(希望入力!$I$5:$I$554,Q80)&amp;"")</f>
        <v/>
      </c>
      <c r="I80" s="50">
        <f>IF(Q80="","",INDEX(希望入力!$J$5:$J$554,Q80)&amp;"")</f>
        <v/>
      </c>
      <c r="J80" s="50">
        <f>IF(Q80="","",IF(G80="転出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)</f>
        <v/>
      </c>
      <c r="K80" s="49" t="n"/>
      <c r="L80" s="56">
        <f>IF(P80="","",IF(G80="転出","",IF(K80&lt;&gt;"",K80,IF(OR(J80="",J80="要調整"),"",J80))))</f>
        <v/>
      </c>
      <c r="M80" s="50">
        <f>IF(P80="","",IF(OR(G80="転出",AND(計算用!$B$1=1,T80="")),"転出",IF(L80&lt;&gt;"","決定",IF(Q80="","未提出","要調整"))))</f>
        <v/>
      </c>
      <c r="N80" s="50">
        <f>IF(OR(M80&lt;&gt;"要調整",H80=""),"",IFERROR((INDEX(設定!$Q$8:$Q$27,MATCH(H80,設定!$P$8:$P$27,0))+N(INDEX(設定!$R$8:$R$27,MATCH(H80,設定!$P$8:$P$27,0))))-INDEX(定員チェック!$I$7:$I$26,MATCH(H80,設定!$P$8:$P$27,0))-COUNTIFS($M$7:$M$456,"要調整",$G$7:$G$456,H80),""))</f>
        <v/>
      </c>
      <c r="O80" s="50">
        <f>IF(OR(M80&lt;&gt;"要調整",I80=""),"",IFERROR((INDEX(設定!$Q$8:$Q$27,MATCH(I80,設定!$P$8:$P$27,0))+N(INDEX(設定!$R$8:$R$27,MATCH(I80,設定!$P$8:$P$27,0))))-INDEX(定員チェック!$I$7:$I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IF(R80="","",IFERROR(MATCH(R80,希望入力!$M$5:$M$554,0),""))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50">
        <f>IF(P81="","",INDEX(前年度名簿!$H$3:$H$452,P81))</f>
        <v/>
      </c>
      <c r="B81" s="50">
        <f>IF(P81="","",IFERROR(INDEX(設定!$G$8:$G$31,INT(INDEX(前年度名簿!$G$3:$G$452,P81)/1000)),INDEX(前年度名簿!$A$3:$A$452,P81)&amp;INDEX(前年度名簿!$B$3:$B$452,P81)))</f>
        <v/>
      </c>
      <c r="C81" s="50">
        <f>IF(P81="","",INDEX(前年度名簿!$C$3:$C$452,P81))</f>
        <v/>
      </c>
      <c r="D81" s="4">
        <f>IF(P81="","",INDEX(前年度名簿!$D$3:$D$452,P81))</f>
        <v/>
      </c>
      <c r="E81" s="50">
        <f>IF(T81="","",INDEX(新年度名簿!$K$3:$K$452,T81))</f>
        <v/>
      </c>
      <c r="F81" s="50">
        <f>IF(T81="","",INDEX(新年度名簿!$C$3:$C$452,T81))</f>
        <v/>
      </c>
      <c r="G81" s="50">
        <f>IF(Q81="","",INDEX(希望入力!$H$5:$H$554,Q81)&amp;"")</f>
        <v/>
      </c>
      <c r="H81" s="50">
        <f>IF(Q81="","",INDEX(希望入力!$I$5:$I$554,Q81)&amp;"")</f>
        <v/>
      </c>
      <c r="I81" s="50">
        <f>IF(Q81="","",INDEX(希望入力!$J$5:$J$554,Q81)&amp;"")</f>
        <v/>
      </c>
      <c r="J81" s="50">
        <f>IF(Q81="","",IF(G81="転出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)</f>
        <v/>
      </c>
      <c r="K81" s="49" t="n"/>
      <c r="L81" s="56">
        <f>IF(P81="","",IF(G81="転出","",IF(K81&lt;&gt;"",K81,IF(OR(J81="",J81="要調整"),"",J81))))</f>
        <v/>
      </c>
      <c r="M81" s="50">
        <f>IF(P81="","",IF(OR(G81="転出",AND(計算用!$B$1=1,T81="")),"転出",IF(L81&lt;&gt;"","決定",IF(Q81="","未提出","要調整"))))</f>
        <v/>
      </c>
      <c r="N81" s="50">
        <f>IF(OR(M81&lt;&gt;"要調整",H81=""),"",IFERROR((INDEX(設定!$Q$8:$Q$27,MATCH(H81,設定!$P$8:$P$27,0))+N(INDEX(設定!$R$8:$R$27,MATCH(H81,設定!$P$8:$P$27,0))))-INDEX(定員チェック!$I$7:$I$26,MATCH(H81,設定!$P$8:$P$27,0))-COUNTIFS($M$7:$M$456,"要調整",$G$7:$G$456,H81),""))</f>
        <v/>
      </c>
      <c r="O81" s="50">
        <f>IF(OR(M81&lt;&gt;"要調整",I81=""),"",IFERROR((INDEX(設定!$Q$8:$Q$27,MATCH(I81,設定!$P$8:$P$27,0))+N(INDEX(設定!$R$8:$R$27,MATCH(I81,設定!$P$8:$P$27,0))))-INDEX(定員チェック!$I$7:$I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IF(R81="","",IFERROR(MATCH(R81,希望入力!$M$5:$M$554,0),""))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50">
        <f>IF(P82="","",INDEX(前年度名簿!$H$3:$H$452,P82))</f>
        <v/>
      </c>
      <c r="B82" s="50">
        <f>IF(P82="","",IFERROR(INDEX(設定!$G$8:$G$31,INT(INDEX(前年度名簿!$G$3:$G$452,P82)/1000)),INDEX(前年度名簿!$A$3:$A$452,P82)&amp;INDEX(前年度名簿!$B$3:$B$452,P82)))</f>
        <v/>
      </c>
      <c r="C82" s="50">
        <f>IF(P82="","",INDEX(前年度名簿!$C$3:$C$452,P82))</f>
        <v/>
      </c>
      <c r="D82" s="4">
        <f>IF(P82="","",INDEX(前年度名簿!$D$3:$D$452,P82))</f>
        <v/>
      </c>
      <c r="E82" s="50">
        <f>IF(T82="","",INDEX(新年度名簿!$K$3:$K$452,T82))</f>
        <v/>
      </c>
      <c r="F82" s="50">
        <f>IF(T82="","",INDEX(新年度名簿!$C$3:$C$452,T82))</f>
        <v/>
      </c>
      <c r="G82" s="50">
        <f>IF(Q82="","",INDEX(希望入力!$H$5:$H$554,Q82)&amp;"")</f>
        <v/>
      </c>
      <c r="H82" s="50">
        <f>IF(Q82="","",INDEX(希望入力!$I$5:$I$554,Q82)&amp;"")</f>
        <v/>
      </c>
      <c r="I82" s="50">
        <f>IF(Q82="","",INDEX(希望入力!$J$5:$J$554,Q82)&amp;"")</f>
        <v/>
      </c>
      <c r="J82" s="50">
        <f>IF(Q82="","",IF(G82="転出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)</f>
        <v/>
      </c>
      <c r="K82" s="49" t="n"/>
      <c r="L82" s="56">
        <f>IF(P82="","",IF(G82="転出","",IF(K82&lt;&gt;"",K82,IF(OR(J82="",J82="要調整"),"",J82))))</f>
        <v/>
      </c>
      <c r="M82" s="50">
        <f>IF(P82="","",IF(OR(G82="転出",AND(計算用!$B$1=1,T82="")),"転出",IF(L82&lt;&gt;"","決定",IF(Q82="","未提出","要調整"))))</f>
        <v/>
      </c>
      <c r="N82" s="50">
        <f>IF(OR(M82&lt;&gt;"要調整",H82=""),"",IFERROR((INDEX(設定!$Q$8:$Q$27,MATCH(H82,設定!$P$8:$P$27,0))+N(INDEX(設定!$R$8:$R$27,MATCH(H82,設定!$P$8:$P$27,0))))-INDEX(定員チェック!$I$7:$I$26,MATCH(H82,設定!$P$8:$P$27,0))-COUNTIFS($M$7:$M$456,"要調整",$G$7:$G$456,H82),""))</f>
        <v/>
      </c>
      <c r="O82" s="50">
        <f>IF(OR(M82&lt;&gt;"要調整",I82=""),"",IFERROR((INDEX(設定!$Q$8:$Q$27,MATCH(I82,設定!$P$8:$P$27,0))+N(INDEX(設定!$R$8:$R$27,MATCH(I82,設定!$P$8:$P$27,0))))-INDEX(定員チェック!$I$7:$I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IF(R82="","",IFERROR(MATCH(R82,希望入力!$M$5:$M$554,0),""))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50">
        <f>IF(P83="","",INDEX(前年度名簿!$H$3:$H$452,P83))</f>
        <v/>
      </c>
      <c r="B83" s="50">
        <f>IF(P83="","",IFERROR(INDEX(設定!$G$8:$G$31,INT(INDEX(前年度名簿!$G$3:$G$452,P83)/1000)),INDEX(前年度名簿!$A$3:$A$452,P83)&amp;INDEX(前年度名簿!$B$3:$B$452,P83)))</f>
        <v/>
      </c>
      <c r="C83" s="50">
        <f>IF(P83="","",INDEX(前年度名簿!$C$3:$C$452,P83))</f>
        <v/>
      </c>
      <c r="D83" s="4">
        <f>IF(P83="","",INDEX(前年度名簿!$D$3:$D$452,P83))</f>
        <v/>
      </c>
      <c r="E83" s="50">
        <f>IF(T83="","",INDEX(新年度名簿!$K$3:$K$452,T83))</f>
        <v/>
      </c>
      <c r="F83" s="50">
        <f>IF(T83="","",INDEX(新年度名簿!$C$3:$C$452,T83))</f>
        <v/>
      </c>
      <c r="G83" s="50">
        <f>IF(Q83="","",INDEX(希望入力!$H$5:$H$554,Q83)&amp;"")</f>
        <v/>
      </c>
      <c r="H83" s="50">
        <f>IF(Q83="","",INDEX(希望入力!$I$5:$I$554,Q83)&amp;"")</f>
        <v/>
      </c>
      <c r="I83" s="50">
        <f>IF(Q83="","",INDEX(希望入力!$J$5:$J$554,Q83)&amp;"")</f>
        <v/>
      </c>
      <c r="J83" s="50">
        <f>IF(Q83="","",IF(G83="転出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)</f>
        <v/>
      </c>
      <c r="K83" s="49" t="n"/>
      <c r="L83" s="56">
        <f>IF(P83="","",IF(G83="転出","",IF(K83&lt;&gt;"",K83,IF(OR(J83="",J83="要調整"),"",J83))))</f>
        <v/>
      </c>
      <c r="M83" s="50">
        <f>IF(P83="","",IF(OR(G83="転出",AND(計算用!$B$1=1,T83="")),"転出",IF(L83&lt;&gt;"","決定",IF(Q83="","未提出","要調整"))))</f>
        <v/>
      </c>
      <c r="N83" s="50">
        <f>IF(OR(M83&lt;&gt;"要調整",H83=""),"",IFERROR((INDEX(設定!$Q$8:$Q$27,MATCH(H83,設定!$P$8:$P$27,0))+N(INDEX(設定!$R$8:$R$27,MATCH(H83,設定!$P$8:$P$27,0))))-INDEX(定員チェック!$I$7:$I$26,MATCH(H83,設定!$P$8:$P$27,0))-COUNTIFS($M$7:$M$456,"要調整",$G$7:$G$456,H83),""))</f>
        <v/>
      </c>
      <c r="O83" s="50">
        <f>IF(OR(M83&lt;&gt;"要調整",I83=""),"",IFERROR((INDEX(設定!$Q$8:$Q$27,MATCH(I83,設定!$P$8:$P$27,0))+N(INDEX(設定!$R$8:$R$27,MATCH(I83,設定!$P$8:$P$27,0))))-INDEX(定員チェック!$I$7:$I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IF(R83="","",IFERROR(MATCH(R83,希望入力!$M$5:$M$554,0),""))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50">
        <f>IF(P84="","",INDEX(前年度名簿!$H$3:$H$452,P84))</f>
        <v/>
      </c>
      <c r="B84" s="50">
        <f>IF(P84="","",IFERROR(INDEX(設定!$G$8:$G$31,INT(INDEX(前年度名簿!$G$3:$G$452,P84)/1000)),INDEX(前年度名簿!$A$3:$A$452,P84)&amp;INDEX(前年度名簿!$B$3:$B$452,P84)))</f>
        <v/>
      </c>
      <c r="C84" s="50">
        <f>IF(P84="","",INDEX(前年度名簿!$C$3:$C$452,P84))</f>
        <v/>
      </c>
      <c r="D84" s="4">
        <f>IF(P84="","",INDEX(前年度名簿!$D$3:$D$452,P84))</f>
        <v/>
      </c>
      <c r="E84" s="50">
        <f>IF(T84="","",INDEX(新年度名簿!$K$3:$K$452,T84))</f>
        <v/>
      </c>
      <c r="F84" s="50">
        <f>IF(T84="","",INDEX(新年度名簿!$C$3:$C$452,T84))</f>
        <v/>
      </c>
      <c r="G84" s="50">
        <f>IF(Q84="","",INDEX(希望入力!$H$5:$H$554,Q84)&amp;"")</f>
        <v/>
      </c>
      <c r="H84" s="50">
        <f>IF(Q84="","",INDEX(希望入力!$I$5:$I$554,Q84)&amp;"")</f>
        <v/>
      </c>
      <c r="I84" s="50">
        <f>IF(Q84="","",INDEX(希望入力!$J$5:$J$554,Q84)&amp;"")</f>
        <v/>
      </c>
      <c r="J84" s="50">
        <f>IF(Q84="","",IF(G84="転出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)</f>
        <v/>
      </c>
      <c r="K84" s="49" t="n"/>
      <c r="L84" s="56">
        <f>IF(P84="","",IF(G84="転出","",IF(K84&lt;&gt;"",K84,IF(OR(J84="",J84="要調整"),"",J84))))</f>
        <v/>
      </c>
      <c r="M84" s="50">
        <f>IF(P84="","",IF(OR(G84="転出",AND(計算用!$B$1=1,T84="")),"転出",IF(L84&lt;&gt;"","決定",IF(Q84="","未提出","要調整"))))</f>
        <v/>
      </c>
      <c r="N84" s="50">
        <f>IF(OR(M84&lt;&gt;"要調整",H84=""),"",IFERROR((INDEX(設定!$Q$8:$Q$27,MATCH(H84,設定!$P$8:$P$27,0))+N(INDEX(設定!$R$8:$R$27,MATCH(H84,設定!$P$8:$P$27,0))))-INDEX(定員チェック!$I$7:$I$26,MATCH(H84,設定!$P$8:$P$27,0))-COUNTIFS($M$7:$M$456,"要調整",$G$7:$G$456,H84),""))</f>
        <v/>
      </c>
      <c r="O84" s="50">
        <f>IF(OR(M84&lt;&gt;"要調整",I84=""),"",IFERROR((INDEX(設定!$Q$8:$Q$27,MATCH(I84,設定!$P$8:$P$27,0))+N(INDEX(設定!$R$8:$R$27,MATCH(I84,設定!$P$8:$P$27,0))))-INDEX(定員チェック!$I$7:$I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IF(R84="","",IFERROR(MATCH(R84,希望入力!$M$5:$M$554,0),""))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50">
        <f>IF(P85="","",INDEX(前年度名簿!$H$3:$H$452,P85))</f>
        <v/>
      </c>
      <c r="B85" s="50">
        <f>IF(P85="","",IFERROR(INDEX(設定!$G$8:$G$31,INT(INDEX(前年度名簿!$G$3:$G$452,P85)/1000)),INDEX(前年度名簿!$A$3:$A$452,P85)&amp;INDEX(前年度名簿!$B$3:$B$452,P85)))</f>
        <v/>
      </c>
      <c r="C85" s="50">
        <f>IF(P85="","",INDEX(前年度名簿!$C$3:$C$452,P85))</f>
        <v/>
      </c>
      <c r="D85" s="4">
        <f>IF(P85="","",INDEX(前年度名簿!$D$3:$D$452,P85))</f>
        <v/>
      </c>
      <c r="E85" s="50">
        <f>IF(T85="","",INDEX(新年度名簿!$K$3:$K$452,T85))</f>
        <v/>
      </c>
      <c r="F85" s="50">
        <f>IF(T85="","",INDEX(新年度名簿!$C$3:$C$452,T85))</f>
        <v/>
      </c>
      <c r="G85" s="50">
        <f>IF(Q85="","",INDEX(希望入力!$H$5:$H$554,Q85)&amp;"")</f>
        <v/>
      </c>
      <c r="H85" s="50">
        <f>IF(Q85="","",INDEX(希望入力!$I$5:$I$554,Q85)&amp;"")</f>
        <v/>
      </c>
      <c r="I85" s="50">
        <f>IF(Q85="","",INDEX(希望入力!$J$5:$J$554,Q85)&amp;"")</f>
        <v/>
      </c>
      <c r="J85" s="50">
        <f>IF(Q85="","",IF(G85="転出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)</f>
        <v/>
      </c>
      <c r="K85" s="49" t="n"/>
      <c r="L85" s="56">
        <f>IF(P85="","",IF(G85="転出","",IF(K85&lt;&gt;"",K85,IF(OR(J85="",J85="要調整"),"",J85))))</f>
        <v/>
      </c>
      <c r="M85" s="50">
        <f>IF(P85="","",IF(OR(G85="転出",AND(計算用!$B$1=1,T85="")),"転出",IF(L85&lt;&gt;"","決定",IF(Q85="","未提出","要調整"))))</f>
        <v/>
      </c>
      <c r="N85" s="50">
        <f>IF(OR(M85&lt;&gt;"要調整",H85=""),"",IFERROR((INDEX(設定!$Q$8:$Q$27,MATCH(H85,設定!$P$8:$P$27,0))+N(INDEX(設定!$R$8:$R$27,MATCH(H85,設定!$P$8:$P$27,0))))-INDEX(定員チェック!$I$7:$I$26,MATCH(H85,設定!$P$8:$P$27,0))-COUNTIFS($M$7:$M$456,"要調整",$G$7:$G$456,H85),""))</f>
        <v/>
      </c>
      <c r="O85" s="50">
        <f>IF(OR(M85&lt;&gt;"要調整",I85=""),"",IFERROR((INDEX(設定!$Q$8:$Q$27,MATCH(I85,設定!$P$8:$P$27,0))+N(INDEX(設定!$R$8:$R$27,MATCH(I85,設定!$P$8:$P$27,0))))-INDEX(定員チェック!$I$7:$I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IF(R85="","",IFERROR(MATCH(R85,希望入力!$M$5:$M$554,0),""))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50">
        <f>IF(P86="","",INDEX(前年度名簿!$H$3:$H$452,P86))</f>
        <v/>
      </c>
      <c r="B86" s="50">
        <f>IF(P86="","",IFERROR(INDEX(設定!$G$8:$G$31,INT(INDEX(前年度名簿!$G$3:$G$452,P86)/1000)),INDEX(前年度名簿!$A$3:$A$452,P86)&amp;INDEX(前年度名簿!$B$3:$B$452,P86)))</f>
        <v/>
      </c>
      <c r="C86" s="50">
        <f>IF(P86="","",INDEX(前年度名簿!$C$3:$C$452,P86))</f>
        <v/>
      </c>
      <c r="D86" s="4">
        <f>IF(P86="","",INDEX(前年度名簿!$D$3:$D$452,P86))</f>
        <v/>
      </c>
      <c r="E86" s="50">
        <f>IF(T86="","",INDEX(新年度名簿!$K$3:$K$452,T86))</f>
        <v/>
      </c>
      <c r="F86" s="50">
        <f>IF(T86="","",INDEX(新年度名簿!$C$3:$C$452,T86))</f>
        <v/>
      </c>
      <c r="G86" s="50">
        <f>IF(Q86="","",INDEX(希望入力!$H$5:$H$554,Q86)&amp;"")</f>
        <v/>
      </c>
      <c r="H86" s="50">
        <f>IF(Q86="","",INDEX(希望入力!$I$5:$I$554,Q86)&amp;"")</f>
        <v/>
      </c>
      <c r="I86" s="50">
        <f>IF(Q86="","",INDEX(希望入力!$J$5:$J$554,Q86)&amp;"")</f>
        <v/>
      </c>
      <c r="J86" s="50">
        <f>IF(Q86="","",IF(G86="転出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)</f>
        <v/>
      </c>
      <c r="K86" s="49" t="n"/>
      <c r="L86" s="56">
        <f>IF(P86="","",IF(G86="転出","",IF(K86&lt;&gt;"",K86,IF(OR(J86="",J86="要調整"),"",J86))))</f>
        <v/>
      </c>
      <c r="M86" s="50">
        <f>IF(P86="","",IF(OR(G86="転出",AND(計算用!$B$1=1,T86="")),"転出",IF(L86&lt;&gt;"","決定",IF(Q86="","未提出","要調整"))))</f>
        <v/>
      </c>
      <c r="N86" s="50">
        <f>IF(OR(M86&lt;&gt;"要調整",H86=""),"",IFERROR((INDEX(設定!$Q$8:$Q$27,MATCH(H86,設定!$P$8:$P$27,0))+N(INDEX(設定!$R$8:$R$27,MATCH(H86,設定!$P$8:$P$27,0))))-INDEX(定員チェック!$I$7:$I$26,MATCH(H86,設定!$P$8:$P$27,0))-COUNTIFS($M$7:$M$456,"要調整",$G$7:$G$456,H86),""))</f>
        <v/>
      </c>
      <c r="O86" s="50">
        <f>IF(OR(M86&lt;&gt;"要調整",I86=""),"",IFERROR((INDEX(設定!$Q$8:$Q$27,MATCH(I86,設定!$P$8:$P$27,0))+N(INDEX(設定!$R$8:$R$27,MATCH(I86,設定!$P$8:$P$27,0))))-INDEX(定員チェック!$I$7:$I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IF(R86="","",IFERROR(MATCH(R86,希望入力!$M$5:$M$554,0),""))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50">
        <f>IF(P87="","",INDEX(前年度名簿!$H$3:$H$452,P87))</f>
        <v/>
      </c>
      <c r="B87" s="50">
        <f>IF(P87="","",IFERROR(INDEX(設定!$G$8:$G$31,INT(INDEX(前年度名簿!$G$3:$G$452,P87)/1000)),INDEX(前年度名簿!$A$3:$A$452,P87)&amp;INDEX(前年度名簿!$B$3:$B$452,P87)))</f>
        <v/>
      </c>
      <c r="C87" s="50">
        <f>IF(P87="","",INDEX(前年度名簿!$C$3:$C$452,P87))</f>
        <v/>
      </c>
      <c r="D87" s="4">
        <f>IF(P87="","",INDEX(前年度名簿!$D$3:$D$452,P87))</f>
        <v/>
      </c>
      <c r="E87" s="50">
        <f>IF(T87="","",INDEX(新年度名簿!$K$3:$K$452,T87))</f>
        <v/>
      </c>
      <c r="F87" s="50">
        <f>IF(T87="","",INDEX(新年度名簿!$C$3:$C$452,T87))</f>
        <v/>
      </c>
      <c r="G87" s="50">
        <f>IF(Q87="","",INDEX(希望入力!$H$5:$H$554,Q87)&amp;"")</f>
        <v/>
      </c>
      <c r="H87" s="50">
        <f>IF(Q87="","",INDEX(希望入力!$I$5:$I$554,Q87)&amp;"")</f>
        <v/>
      </c>
      <c r="I87" s="50">
        <f>IF(Q87="","",INDEX(希望入力!$J$5:$J$554,Q87)&amp;"")</f>
        <v/>
      </c>
      <c r="J87" s="50">
        <f>IF(Q87="","",IF(G87="転出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)</f>
        <v/>
      </c>
      <c r="K87" s="49" t="n"/>
      <c r="L87" s="56">
        <f>IF(P87="","",IF(G87="転出","",IF(K87&lt;&gt;"",K87,IF(OR(J87="",J87="要調整"),"",J87))))</f>
        <v/>
      </c>
      <c r="M87" s="50">
        <f>IF(P87="","",IF(OR(G87="転出",AND(計算用!$B$1=1,T87="")),"転出",IF(L87&lt;&gt;"","決定",IF(Q87="","未提出","要調整"))))</f>
        <v/>
      </c>
      <c r="N87" s="50">
        <f>IF(OR(M87&lt;&gt;"要調整",H87=""),"",IFERROR((INDEX(設定!$Q$8:$Q$27,MATCH(H87,設定!$P$8:$P$27,0))+N(INDEX(設定!$R$8:$R$27,MATCH(H87,設定!$P$8:$P$27,0))))-INDEX(定員チェック!$I$7:$I$26,MATCH(H87,設定!$P$8:$P$27,0))-COUNTIFS($M$7:$M$456,"要調整",$G$7:$G$456,H87),""))</f>
        <v/>
      </c>
      <c r="O87" s="50">
        <f>IF(OR(M87&lt;&gt;"要調整",I87=""),"",IFERROR((INDEX(設定!$Q$8:$Q$27,MATCH(I87,設定!$P$8:$P$27,0))+N(INDEX(設定!$R$8:$R$27,MATCH(I87,設定!$P$8:$P$27,0))))-INDEX(定員チェック!$I$7:$I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IF(R87="","",IFERROR(MATCH(R87,希望入力!$M$5:$M$554,0),""))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50">
        <f>IF(P88="","",INDEX(前年度名簿!$H$3:$H$452,P88))</f>
        <v/>
      </c>
      <c r="B88" s="50">
        <f>IF(P88="","",IFERROR(INDEX(設定!$G$8:$G$31,INT(INDEX(前年度名簿!$G$3:$G$452,P88)/1000)),INDEX(前年度名簿!$A$3:$A$452,P88)&amp;INDEX(前年度名簿!$B$3:$B$452,P88)))</f>
        <v/>
      </c>
      <c r="C88" s="50">
        <f>IF(P88="","",INDEX(前年度名簿!$C$3:$C$452,P88))</f>
        <v/>
      </c>
      <c r="D88" s="4">
        <f>IF(P88="","",INDEX(前年度名簿!$D$3:$D$452,P88))</f>
        <v/>
      </c>
      <c r="E88" s="50">
        <f>IF(T88="","",INDEX(新年度名簿!$K$3:$K$452,T88))</f>
        <v/>
      </c>
      <c r="F88" s="50">
        <f>IF(T88="","",INDEX(新年度名簿!$C$3:$C$452,T88))</f>
        <v/>
      </c>
      <c r="G88" s="50">
        <f>IF(Q88="","",INDEX(希望入力!$H$5:$H$554,Q88)&amp;"")</f>
        <v/>
      </c>
      <c r="H88" s="50">
        <f>IF(Q88="","",INDEX(希望入力!$I$5:$I$554,Q88)&amp;"")</f>
        <v/>
      </c>
      <c r="I88" s="50">
        <f>IF(Q88="","",INDEX(希望入力!$J$5:$J$554,Q88)&amp;"")</f>
        <v/>
      </c>
      <c r="J88" s="50">
        <f>IF(Q88="","",IF(G88="転出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)</f>
        <v/>
      </c>
      <c r="K88" s="49" t="n"/>
      <c r="L88" s="56">
        <f>IF(P88="","",IF(G88="転出","",IF(K88&lt;&gt;"",K88,IF(OR(J88="",J88="要調整"),"",J88))))</f>
        <v/>
      </c>
      <c r="M88" s="50">
        <f>IF(P88="","",IF(OR(G88="転出",AND(計算用!$B$1=1,T88="")),"転出",IF(L88&lt;&gt;"","決定",IF(Q88="","未提出","要調整"))))</f>
        <v/>
      </c>
      <c r="N88" s="50">
        <f>IF(OR(M88&lt;&gt;"要調整",H88=""),"",IFERROR((INDEX(設定!$Q$8:$Q$27,MATCH(H88,設定!$P$8:$P$27,0))+N(INDEX(設定!$R$8:$R$27,MATCH(H88,設定!$P$8:$P$27,0))))-INDEX(定員チェック!$I$7:$I$26,MATCH(H88,設定!$P$8:$P$27,0))-COUNTIFS($M$7:$M$456,"要調整",$G$7:$G$456,H88),""))</f>
        <v/>
      </c>
      <c r="O88" s="50">
        <f>IF(OR(M88&lt;&gt;"要調整",I88=""),"",IFERROR((INDEX(設定!$Q$8:$Q$27,MATCH(I88,設定!$P$8:$P$27,0))+N(INDEX(設定!$R$8:$R$27,MATCH(I88,設定!$P$8:$P$27,0))))-INDEX(定員チェック!$I$7:$I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IF(R88="","",IFERROR(MATCH(R88,希望入力!$M$5:$M$554,0),""))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50">
        <f>IF(P89="","",INDEX(前年度名簿!$H$3:$H$452,P89))</f>
        <v/>
      </c>
      <c r="B89" s="50">
        <f>IF(P89="","",IFERROR(INDEX(設定!$G$8:$G$31,INT(INDEX(前年度名簿!$G$3:$G$452,P89)/1000)),INDEX(前年度名簿!$A$3:$A$452,P89)&amp;INDEX(前年度名簿!$B$3:$B$452,P89)))</f>
        <v/>
      </c>
      <c r="C89" s="50">
        <f>IF(P89="","",INDEX(前年度名簿!$C$3:$C$452,P89))</f>
        <v/>
      </c>
      <c r="D89" s="4">
        <f>IF(P89="","",INDEX(前年度名簿!$D$3:$D$452,P89))</f>
        <v/>
      </c>
      <c r="E89" s="50">
        <f>IF(T89="","",INDEX(新年度名簿!$K$3:$K$452,T89))</f>
        <v/>
      </c>
      <c r="F89" s="50">
        <f>IF(T89="","",INDEX(新年度名簿!$C$3:$C$452,T89))</f>
        <v/>
      </c>
      <c r="G89" s="50">
        <f>IF(Q89="","",INDEX(希望入力!$H$5:$H$554,Q89)&amp;"")</f>
        <v/>
      </c>
      <c r="H89" s="50">
        <f>IF(Q89="","",INDEX(希望入力!$I$5:$I$554,Q89)&amp;"")</f>
        <v/>
      </c>
      <c r="I89" s="50">
        <f>IF(Q89="","",INDEX(希望入力!$J$5:$J$554,Q89)&amp;"")</f>
        <v/>
      </c>
      <c r="J89" s="50">
        <f>IF(Q89="","",IF(G89="転出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)</f>
        <v/>
      </c>
      <c r="K89" s="49" t="n"/>
      <c r="L89" s="56">
        <f>IF(P89="","",IF(G89="転出","",IF(K89&lt;&gt;"",K89,IF(OR(J89="",J89="要調整"),"",J89))))</f>
        <v/>
      </c>
      <c r="M89" s="50">
        <f>IF(P89="","",IF(OR(G89="転出",AND(計算用!$B$1=1,T89="")),"転出",IF(L89&lt;&gt;"","決定",IF(Q89="","未提出","要調整"))))</f>
        <v/>
      </c>
      <c r="N89" s="50">
        <f>IF(OR(M89&lt;&gt;"要調整",H89=""),"",IFERROR((INDEX(設定!$Q$8:$Q$27,MATCH(H89,設定!$P$8:$P$27,0))+N(INDEX(設定!$R$8:$R$27,MATCH(H89,設定!$P$8:$P$27,0))))-INDEX(定員チェック!$I$7:$I$26,MATCH(H89,設定!$P$8:$P$27,0))-COUNTIFS($M$7:$M$456,"要調整",$G$7:$G$456,H89),""))</f>
        <v/>
      </c>
      <c r="O89" s="50">
        <f>IF(OR(M89&lt;&gt;"要調整",I89=""),"",IFERROR((INDEX(設定!$Q$8:$Q$27,MATCH(I89,設定!$P$8:$P$27,0))+N(INDEX(設定!$R$8:$R$27,MATCH(I89,設定!$P$8:$P$27,0))))-INDEX(定員チェック!$I$7:$I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IF(R89="","",IFERROR(MATCH(R89,希望入力!$M$5:$M$554,0),""))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50">
        <f>IF(P90="","",INDEX(前年度名簿!$H$3:$H$452,P90))</f>
        <v/>
      </c>
      <c r="B90" s="50">
        <f>IF(P90="","",IFERROR(INDEX(設定!$G$8:$G$31,INT(INDEX(前年度名簿!$G$3:$G$452,P90)/1000)),INDEX(前年度名簿!$A$3:$A$452,P90)&amp;INDEX(前年度名簿!$B$3:$B$452,P90)))</f>
        <v/>
      </c>
      <c r="C90" s="50">
        <f>IF(P90="","",INDEX(前年度名簿!$C$3:$C$452,P90))</f>
        <v/>
      </c>
      <c r="D90" s="4">
        <f>IF(P90="","",INDEX(前年度名簿!$D$3:$D$452,P90))</f>
        <v/>
      </c>
      <c r="E90" s="50">
        <f>IF(T90="","",INDEX(新年度名簿!$K$3:$K$452,T90))</f>
        <v/>
      </c>
      <c r="F90" s="50">
        <f>IF(T90="","",INDEX(新年度名簿!$C$3:$C$452,T90))</f>
        <v/>
      </c>
      <c r="G90" s="50">
        <f>IF(Q90="","",INDEX(希望入力!$H$5:$H$554,Q90)&amp;"")</f>
        <v/>
      </c>
      <c r="H90" s="50">
        <f>IF(Q90="","",INDEX(希望入力!$I$5:$I$554,Q90)&amp;"")</f>
        <v/>
      </c>
      <c r="I90" s="50">
        <f>IF(Q90="","",INDEX(希望入力!$J$5:$J$554,Q90)&amp;"")</f>
        <v/>
      </c>
      <c r="J90" s="50">
        <f>IF(Q90="","",IF(G90="転出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)</f>
        <v/>
      </c>
      <c r="K90" s="49" t="n"/>
      <c r="L90" s="56">
        <f>IF(P90="","",IF(G90="転出","",IF(K90&lt;&gt;"",K90,IF(OR(J90="",J90="要調整"),"",J90))))</f>
        <v/>
      </c>
      <c r="M90" s="50">
        <f>IF(P90="","",IF(OR(G90="転出",AND(計算用!$B$1=1,T90="")),"転出",IF(L90&lt;&gt;"","決定",IF(Q90="","未提出","要調整"))))</f>
        <v/>
      </c>
      <c r="N90" s="50">
        <f>IF(OR(M90&lt;&gt;"要調整",H90=""),"",IFERROR((INDEX(設定!$Q$8:$Q$27,MATCH(H90,設定!$P$8:$P$27,0))+N(INDEX(設定!$R$8:$R$27,MATCH(H90,設定!$P$8:$P$27,0))))-INDEX(定員チェック!$I$7:$I$26,MATCH(H90,設定!$P$8:$P$27,0))-COUNTIFS($M$7:$M$456,"要調整",$G$7:$G$456,H90),""))</f>
        <v/>
      </c>
      <c r="O90" s="50">
        <f>IF(OR(M90&lt;&gt;"要調整",I90=""),"",IFERROR((INDEX(設定!$Q$8:$Q$27,MATCH(I90,設定!$P$8:$P$27,0))+N(INDEX(設定!$R$8:$R$27,MATCH(I90,設定!$P$8:$P$27,0))))-INDEX(定員チェック!$I$7:$I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IF(R90="","",IFERROR(MATCH(R90,希望入力!$M$5:$M$554,0),""))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50">
        <f>IF(P91="","",INDEX(前年度名簿!$H$3:$H$452,P91))</f>
        <v/>
      </c>
      <c r="B91" s="50">
        <f>IF(P91="","",IFERROR(INDEX(設定!$G$8:$G$31,INT(INDEX(前年度名簿!$G$3:$G$452,P91)/1000)),INDEX(前年度名簿!$A$3:$A$452,P91)&amp;INDEX(前年度名簿!$B$3:$B$452,P91)))</f>
        <v/>
      </c>
      <c r="C91" s="50">
        <f>IF(P91="","",INDEX(前年度名簿!$C$3:$C$452,P91))</f>
        <v/>
      </c>
      <c r="D91" s="4">
        <f>IF(P91="","",INDEX(前年度名簿!$D$3:$D$452,P91))</f>
        <v/>
      </c>
      <c r="E91" s="50">
        <f>IF(T91="","",INDEX(新年度名簿!$K$3:$K$452,T91))</f>
        <v/>
      </c>
      <c r="F91" s="50">
        <f>IF(T91="","",INDEX(新年度名簿!$C$3:$C$452,T91))</f>
        <v/>
      </c>
      <c r="G91" s="50">
        <f>IF(Q91="","",INDEX(希望入力!$H$5:$H$554,Q91)&amp;"")</f>
        <v/>
      </c>
      <c r="H91" s="50">
        <f>IF(Q91="","",INDEX(希望入力!$I$5:$I$554,Q91)&amp;"")</f>
        <v/>
      </c>
      <c r="I91" s="50">
        <f>IF(Q91="","",INDEX(希望入力!$J$5:$J$554,Q91)&amp;"")</f>
        <v/>
      </c>
      <c r="J91" s="50">
        <f>IF(Q91="","",IF(G91="転出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)</f>
        <v/>
      </c>
      <c r="K91" s="49" t="n"/>
      <c r="L91" s="56">
        <f>IF(P91="","",IF(G91="転出","",IF(K91&lt;&gt;"",K91,IF(OR(J91="",J91="要調整"),"",J91))))</f>
        <v/>
      </c>
      <c r="M91" s="50">
        <f>IF(P91="","",IF(OR(G91="転出",AND(計算用!$B$1=1,T91="")),"転出",IF(L91&lt;&gt;"","決定",IF(Q91="","未提出","要調整"))))</f>
        <v/>
      </c>
      <c r="N91" s="50">
        <f>IF(OR(M91&lt;&gt;"要調整",H91=""),"",IFERROR((INDEX(設定!$Q$8:$Q$27,MATCH(H91,設定!$P$8:$P$27,0))+N(INDEX(設定!$R$8:$R$27,MATCH(H91,設定!$P$8:$P$27,0))))-INDEX(定員チェック!$I$7:$I$26,MATCH(H91,設定!$P$8:$P$27,0))-COUNTIFS($M$7:$M$456,"要調整",$G$7:$G$456,H91),""))</f>
        <v/>
      </c>
      <c r="O91" s="50">
        <f>IF(OR(M91&lt;&gt;"要調整",I91=""),"",IFERROR((INDEX(設定!$Q$8:$Q$27,MATCH(I91,設定!$P$8:$P$27,0))+N(INDEX(設定!$R$8:$R$27,MATCH(I91,設定!$P$8:$P$27,0))))-INDEX(定員チェック!$I$7:$I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IF(R91="","",IFERROR(MATCH(R91,希望入力!$M$5:$M$554,0),""))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50">
        <f>IF(P92="","",INDEX(前年度名簿!$H$3:$H$452,P92))</f>
        <v/>
      </c>
      <c r="B92" s="50">
        <f>IF(P92="","",IFERROR(INDEX(設定!$G$8:$G$31,INT(INDEX(前年度名簿!$G$3:$G$452,P92)/1000)),INDEX(前年度名簿!$A$3:$A$452,P92)&amp;INDEX(前年度名簿!$B$3:$B$452,P92)))</f>
        <v/>
      </c>
      <c r="C92" s="50">
        <f>IF(P92="","",INDEX(前年度名簿!$C$3:$C$452,P92))</f>
        <v/>
      </c>
      <c r="D92" s="4">
        <f>IF(P92="","",INDEX(前年度名簿!$D$3:$D$452,P92))</f>
        <v/>
      </c>
      <c r="E92" s="50">
        <f>IF(T92="","",INDEX(新年度名簿!$K$3:$K$452,T92))</f>
        <v/>
      </c>
      <c r="F92" s="50">
        <f>IF(T92="","",INDEX(新年度名簿!$C$3:$C$452,T92))</f>
        <v/>
      </c>
      <c r="G92" s="50">
        <f>IF(Q92="","",INDEX(希望入力!$H$5:$H$554,Q92)&amp;"")</f>
        <v/>
      </c>
      <c r="H92" s="50">
        <f>IF(Q92="","",INDEX(希望入力!$I$5:$I$554,Q92)&amp;"")</f>
        <v/>
      </c>
      <c r="I92" s="50">
        <f>IF(Q92="","",INDEX(希望入力!$J$5:$J$554,Q92)&amp;"")</f>
        <v/>
      </c>
      <c r="J92" s="50">
        <f>IF(Q92="","",IF(G92="転出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)</f>
        <v/>
      </c>
      <c r="K92" s="49" t="n"/>
      <c r="L92" s="56">
        <f>IF(P92="","",IF(G92="転出","",IF(K92&lt;&gt;"",K92,IF(OR(J92="",J92="要調整"),"",J92))))</f>
        <v/>
      </c>
      <c r="M92" s="50">
        <f>IF(P92="","",IF(OR(G92="転出",AND(計算用!$B$1=1,T92="")),"転出",IF(L92&lt;&gt;"","決定",IF(Q92="","未提出","要調整"))))</f>
        <v/>
      </c>
      <c r="N92" s="50">
        <f>IF(OR(M92&lt;&gt;"要調整",H92=""),"",IFERROR((INDEX(設定!$Q$8:$Q$27,MATCH(H92,設定!$P$8:$P$27,0))+N(INDEX(設定!$R$8:$R$27,MATCH(H92,設定!$P$8:$P$27,0))))-INDEX(定員チェック!$I$7:$I$26,MATCH(H92,設定!$P$8:$P$27,0))-COUNTIFS($M$7:$M$456,"要調整",$G$7:$G$456,H92),""))</f>
        <v/>
      </c>
      <c r="O92" s="50">
        <f>IF(OR(M92&lt;&gt;"要調整",I92=""),"",IFERROR((INDEX(設定!$Q$8:$Q$27,MATCH(I92,設定!$P$8:$P$27,0))+N(INDEX(設定!$R$8:$R$27,MATCH(I92,設定!$P$8:$P$27,0))))-INDEX(定員チェック!$I$7:$I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IF(R92="","",IFERROR(MATCH(R92,希望入力!$M$5:$M$554,0),""))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50">
        <f>IF(P93="","",INDEX(前年度名簿!$H$3:$H$452,P93))</f>
        <v/>
      </c>
      <c r="B93" s="50">
        <f>IF(P93="","",IFERROR(INDEX(設定!$G$8:$G$31,INT(INDEX(前年度名簿!$G$3:$G$452,P93)/1000)),INDEX(前年度名簿!$A$3:$A$452,P93)&amp;INDEX(前年度名簿!$B$3:$B$452,P93)))</f>
        <v/>
      </c>
      <c r="C93" s="50">
        <f>IF(P93="","",INDEX(前年度名簿!$C$3:$C$452,P93))</f>
        <v/>
      </c>
      <c r="D93" s="4">
        <f>IF(P93="","",INDEX(前年度名簿!$D$3:$D$452,P93))</f>
        <v/>
      </c>
      <c r="E93" s="50">
        <f>IF(T93="","",INDEX(新年度名簿!$K$3:$K$452,T93))</f>
        <v/>
      </c>
      <c r="F93" s="50">
        <f>IF(T93="","",INDEX(新年度名簿!$C$3:$C$452,T93))</f>
        <v/>
      </c>
      <c r="G93" s="50">
        <f>IF(Q93="","",INDEX(希望入力!$H$5:$H$554,Q93)&amp;"")</f>
        <v/>
      </c>
      <c r="H93" s="50">
        <f>IF(Q93="","",INDEX(希望入力!$I$5:$I$554,Q93)&amp;"")</f>
        <v/>
      </c>
      <c r="I93" s="50">
        <f>IF(Q93="","",INDEX(希望入力!$J$5:$J$554,Q93)&amp;"")</f>
        <v/>
      </c>
      <c r="J93" s="50">
        <f>IF(Q93="","",IF(G93="転出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)</f>
        <v/>
      </c>
      <c r="K93" s="49" t="n"/>
      <c r="L93" s="56">
        <f>IF(P93="","",IF(G93="転出","",IF(K93&lt;&gt;"",K93,IF(OR(J93="",J93="要調整"),"",J93))))</f>
        <v/>
      </c>
      <c r="M93" s="50">
        <f>IF(P93="","",IF(OR(G93="転出",AND(計算用!$B$1=1,T93="")),"転出",IF(L93&lt;&gt;"","決定",IF(Q93="","未提出","要調整"))))</f>
        <v/>
      </c>
      <c r="N93" s="50">
        <f>IF(OR(M93&lt;&gt;"要調整",H93=""),"",IFERROR((INDEX(設定!$Q$8:$Q$27,MATCH(H93,設定!$P$8:$P$27,0))+N(INDEX(設定!$R$8:$R$27,MATCH(H93,設定!$P$8:$P$27,0))))-INDEX(定員チェック!$I$7:$I$26,MATCH(H93,設定!$P$8:$P$27,0))-COUNTIFS($M$7:$M$456,"要調整",$G$7:$G$456,H93),""))</f>
        <v/>
      </c>
      <c r="O93" s="50">
        <f>IF(OR(M93&lt;&gt;"要調整",I93=""),"",IFERROR((INDEX(設定!$Q$8:$Q$27,MATCH(I93,設定!$P$8:$P$27,0))+N(INDEX(設定!$R$8:$R$27,MATCH(I93,設定!$P$8:$P$27,0))))-INDEX(定員チェック!$I$7:$I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IF(R93="","",IFERROR(MATCH(R93,希望入力!$M$5:$M$554,0),""))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50">
        <f>IF(P94="","",INDEX(前年度名簿!$H$3:$H$452,P94))</f>
        <v/>
      </c>
      <c r="B94" s="50">
        <f>IF(P94="","",IFERROR(INDEX(設定!$G$8:$G$31,INT(INDEX(前年度名簿!$G$3:$G$452,P94)/1000)),INDEX(前年度名簿!$A$3:$A$452,P94)&amp;INDEX(前年度名簿!$B$3:$B$452,P94)))</f>
        <v/>
      </c>
      <c r="C94" s="50">
        <f>IF(P94="","",INDEX(前年度名簿!$C$3:$C$452,P94))</f>
        <v/>
      </c>
      <c r="D94" s="4">
        <f>IF(P94="","",INDEX(前年度名簿!$D$3:$D$452,P94))</f>
        <v/>
      </c>
      <c r="E94" s="50">
        <f>IF(T94="","",INDEX(新年度名簿!$K$3:$K$452,T94))</f>
        <v/>
      </c>
      <c r="F94" s="50">
        <f>IF(T94="","",INDEX(新年度名簿!$C$3:$C$452,T94))</f>
        <v/>
      </c>
      <c r="G94" s="50">
        <f>IF(Q94="","",INDEX(希望入力!$H$5:$H$554,Q94)&amp;"")</f>
        <v/>
      </c>
      <c r="H94" s="50">
        <f>IF(Q94="","",INDEX(希望入力!$I$5:$I$554,Q94)&amp;"")</f>
        <v/>
      </c>
      <c r="I94" s="50">
        <f>IF(Q94="","",INDEX(希望入力!$J$5:$J$554,Q94)&amp;"")</f>
        <v/>
      </c>
      <c r="J94" s="50">
        <f>IF(Q94="","",IF(G94="転出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)</f>
        <v/>
      </c>
      <c r="K94" s="49" t="n"/>
      <c r="L94" s="56">
        <f>IF(P94="","",IF(G94="転出","",IF(K94&lt;&gt;"",K94,IF(OR(J94="",J94="要調整"),"",J94))))</f>
        <v/>
      </c>
      <c r="M94" s="50">
        <f>IF(P94="","",IF(OR(G94="転出",AND(計算用!$B$1=1,T94="")),"転出",IF(L94&lt;&gt;"","決定",IF(Q94="","未提出","要調整"))))</f>
        <v/>
      </c>
      <c r="N94" s="50">
        <f>IF(OR(M94&lt;&gt;"要調整",H94=""),"",IFERROR((INDEX(設定!$Q$8:$Q$27,MATCH(H94,設定!$P$8:$P$27,0))+N(INDEX(設定!$R$8:$R$27,MATCH(H94,設定!$P$8:$P$27,0))))-INDEX(定員チェック!$I$7:$I$26,MATCH(H94,設定!$P$8:$P$27,0))-COUNTIFS($M$7:$M$456,"要調整",$G$7:$G$456,H94),""))</f>
        <v/>
      </c>
      <c r="O94" s="50">
        <f>IF(OR(M94&lt;&gt;"要調整",I94=""),"",IFERROR((INDEX(設定!$Q$8:$Q$27,MATCH(I94,設定!$P$8:$P$27,0))+N(INDEX(設定!$R$8:$R$27,MATCH(I94,設定!$P$8:$P$27,0))))-INDEX(定員チェック!$I$7:$I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IF(R94="","",IFERROR(MATCH(R94,希望入力!$M$5:$M$554,0),""))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50">
        <f>IF(P95="","",INDEX(前年度名簿!$H$3:$H$452,P95))</f>
        <v/>
      </c>
      <c r="B95" s="50">
        <f>IF(P95="","",IFERROR(INDEX(設定!$G$8:$G$31,INT(INDEX(前年度名簿!$G$3:$G$452,P95)/1000)),INDEX(前年度名簿!$A$3:$A$452,P95)&amp;INDEX(前年度名簿!$B$3:$B$452,P95)))</f>
        <v/>
      </c>
      <c r="C95" s="50">
        <f>IF(P95="","",INDEX(前年度名簿!$C$3:$C$452,P95))</f>
        <v/>
      </c>
      <c r="D95" s="4">
        <f>IF(P95="","",INDEX(前年度名簿!$D$3:$D$452,P95))</f>
        <v/>
      </c>
      <c r="E95" s="50">
        <f>IF(T95="","",INDEX(新年度名簿!$K$3:$K$452,T95))</f>
        <v/>
      </c>
      <c r="F95" s="50">
        <f>IF(T95="","",INDEX(新年度名簿!$C$3:$C$452,T95))</f>
        <v/>
      </c>
      <c r="G95" s="50">
        <f>IF(Q95="","",INDEX(希望入力!$H$5:$H$554,Q95)&amp;"")</f>
        <v/>
      </c>
      <c r="H95" s="50">
        <f>IF(Q95="","",INDEX(希望入力!$I$5:$I$554,Q95)&amp;"")</f>
        <v/>
      </c>
      <c r="I95" s="50">
        <f>IF(Q95="","",INDEX(希望入力!$J$5:$J$554,Q95)&amp;"")</f>
        <v/>
      </c>
      <c r="J95" s="50">
        <f>IF(Q95="","",IF(G95="転出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)</f>
        <v/>
      </c>
      <c r="K95" s="49" t="n"/>
      <c r="L95" s="56">
        <f>IF(P95="","",IF(G95="転出","",IF(K95&lt;&gt;"",K95,IF(OR(J95="",J95="要調整"),"",J95))))</f>
        <v/>
      </c>
      <c r="M95" s="50">
        <f>IF(P95="","",IF(OR(G95="転出",AND(計算用!$B$1=1,T95="")),"転出",IF(L95&lt;&gt;"","決定",IF(Q95="","未提出","要調整"))))</f>
        <v/>
      </c>
      <c r="N95" s="50">
        <f>IF(OR(M95&lt;&gt;"要調整",H95=""),"",IFERROR((INDEX(設定!$Q$8:$Q$27,MATCH(H95,設定!$P$8:$P$27,0))+N(INDEX(設定!$R$8:$R$27,MATCH(H95,設定!$P$8:$P$27,0))))-INDEX(定員チェック!$I$7:$I$26,MATCH(H95,設定!$P$8:$P$27,0))-COUNTIFS($M$7:$M$456,"要調整",$G$7:$G$456,H95),""))</f>
        <v/>
      </c>
      <c r="O95" s="50">
        <f>IF(OR(M95&lt;&gt;"要調整",I95=""),"",IFERROR((INDEX(設定!$Q$8:$Q$27,MATCH(I95,設定!$P$8:$P$27,0))+N(INDEX(設定!$R$8:$R$27,MATCH(I95,設定!$P$8:$P$27,0))))-INDEX(定員チェック!$I$7:$I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IF(R95="","",IFERROR(MATCH(R95,希望入力!$M$5:$M$554,0),""))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50">
        <f>IF(P96="","",INDEX(前年度名簿!$H$3:$H$452,P96))</f>
        <v/>
      </c>
      <c r="B96" s="50">
        <f>IF(P96="","",IFERROR(INDEX(設定!$G$8:$G$31,INT(INDEX(前年度名簿!$G$3:$G$452,P96)/1000)),INDEX(前年度名簿!$A$3:$A$452,P96)&amp;INDEX(前年度名簿!$B$3:$B$452,P96)))</f>
        <v/>
      </c>
      <c r="C96" s="50">
        <f>IF(P96="","",INDEX(前年度名簿!$C$3:$C$452,P96))</f>
        <v/>
      </c>
      <c r="D96" s="4">
        <f>IF(P96="","",INDEX(前年度名簿!$D$3:$D$452,P96))</f>
        <v/>
      </c>
      <c r="E96" s="50">
        <f>IF(T96="","",INDEX(新年度名簿!$K$3:$K$452,T96))</f>
        <v/>
      </c>
      <c r="F96" s="50">
        <f>IF(T96="","",INDEX(新年度名簿!$C$3:$C$452,T96))</f>
        <v/>
      </c>
      <c r="G96" s="50">
        <f>IF(Q96="","",INDEX(希望入力!$H$5:$H$554,Q96)&amp;"")</f>
        <v/>
      </c>
      <c r="H96" s="50">
        <f>IF(Q96="","",INDEX(希望入力!$I$5:$I$554,Q96)&amp;"")</f>
        <v/>
      </c>
      <c r="I96" s="50">
        <f>IF(Q96="","",INDEX(希望入力!$J$5:$J$554,Q96)&amp;"")</f>
        <v/>
      </c>
      <c r="J96" s="50">
        <f>IF(Q96="","",IF(G96="転出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)</f>
        <v/>
      </c>
      <c r="K96" s="49" t="n"/>
      <c r="L96" s="56">
        <f>IF(P96="","",IF(G96="転出","",IF(K96&lt;&gt;"",K96,IF(OR(J96="",J96="要調整"),"",J96))))</f>
        <v/>
      </c>
      <c r="M96" s="50">
        <f>IF(P96="","",IF(OR(G96="転出",AND(計算用!$B$1=1,T96="")),"転出",IF(L96&lt;&gt;"","決定",IF(Q96="","未提出","要調整"))))</f>
        <v/>
      </c>
      <c r="N96" s="50">
        <f>IF(OR(M96&lt;&gt;"要調整",H96=""),"",IFERROR((INDEX(設定!$Q$8:$Q$27,MATCH(H96,設定!$P$8:$P$27,0))+N(INDEX(設定!$R$8:$R$27,MATCH(H96,設定!$P$8:$P$27,0))))-INDEX(定員チェック!$I$7:$I$26,MATCH(H96,設定!$P$8:$P$27,0))-COUNTIFS($M$7:$M$456,"要調整",$G$7:$G$456,H96),""))</f>
        <v/>
      </c>
      <c r="O96" s="50">
        <f>IF(OR(M96&lt;&gt;"要調整",I96=""),"",IFERROR((INDEX(設定!$Q$8:$Q$27,MATCH(I96,設定!$P$8:$P$27,0))+N(INDEX(設定!$R$8:$R$27,MATCH(I96,設定!$P$8:$P$27,0))))-INDEX(定員チェック!$I$7:$I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IF(R96="","",IFERROR(MATCH(R96,希望入力!$M$5:$M$554,0),""))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50">
        <f>IF(P97="","",INDEX(前年度名簿!$H$3:$H$452,P97))</f>
        <v/>
      </c>
      <c r="B97" s="50">
        <f>IF(P97="","",IFERROR(INDEX(設定!$G$8:$G$31,INT(INDEX(前年度名簿!$G$3:$G$452,P97)/1000)),INDEX(前年度名簿!$A$3:$A$452,P97)&amp;INDEX(前年度名簿!$B$3:$B$452,P97)))</f>
        <v/>
      </c>
      <c r="C97" s="50">
        <f>IF(P97="","",INDEX(前年度名簿!$C$3:$C$452,P97))</f>
        <v/>
      </c>
      <c r="D97" s="4">
        <f>IF(P97="","",INDEX(前年度名簿!$D$3:$D$452,P97))</f>
        <v/>
      </c>
      <c r="E97" s="50">
        <f>IF(T97="","",INDEX(新年度名簿!$K$3:$K$452,T97))</f>
        <v/>
      </c>
      <c r="F97" s="50">
        <f>IF(T97="","",INDEX(新年度名簿!$C$3:$C$452,T97))</f>
        <v/>
      </c>
      <c r="G97" s="50">
        <f>IF(Q97="","",INDEX(希望入力!$H$5:$H$554,Q97)&amp;"")</f>
        <v/>
      </c>
      <c r="H97" s="50">
        <f>IF(Q97="","",INDEX(希望入力!$I$5:$I$554,Q97)&amp;"")</f>
        <v/>
      </c>
      <c r="I97" s="50">
        <f>IF(Q97="","",INDEX(希望入力!$J$5:$J$554,Q97)&amp;"")</f>
        <v/>
      </c>
      <c r="J97" s="50">
        <f>IF(Q97="","",IF(G97="転出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)</f>
        <v/>
      </c>
      <c r="K97" s="49" t="n"/>
      <c r="L97" s="56">
        <f>IF(P97="","",IF(G97="転出","",IF(K97&lt;&gt;"",K97,IF(OR(J97="",J97="要調整"),"",J97))))</f>
        <v/>
      </c>
      <c r="M97" s="50">
        <f>IF(P97="","",IF(OR(G97="転出",AND(計算用!$B$1=1,T97="")),"転出",IF(L97&lt;&gt;"","決定",IF(Q97="","未提出","要調整"))))</f>
        <v/>
      </c>
      <c r="N97" s="50">
        <f>IF(OR(M97&lt;&gt;"要調整",H97=""),"",IFERROR((INDEX(設定!$Q$8:$Q$27,MATCH(H97,設定!$P$8:$P$27,0))+N(INDEX(設定!$R$8:$R$27,MATCH(H97,設定!$P$8:$P$27,0))))-INDEX(定員チェック!$I$7:$I$26,MATCH(H97,設定!$P$8:$P$27,0))-COUNTIFS($M$7:$M$456,"要調整",$G$7:$G$456,H97),""))</f>
        <v/>
      </c>
      <c r="O97" s="50">
        <f>IF(OR(M97&lt;&gt;"要調整",I97=""),"",IFERROR((INDEX(設定!$Q$8:$Q$27,MATCH(I97,設定!$P$8:$P$27,0))+N(INDEX(設定!$R$8:$R$27,MATCH(I97,設定!$P$8:$P$27,0))))-INDEX(定員チェック!$I$7:$I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IF(R97="","",IFERROR(MATCH(R97,希望入力!$M$5:$M$554,0),""))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50">
        <f>IF(P98="","",INDEX(前年度名簿!$H$3:$H$452,P98))</f>
        <v/>
      </c>
      <c r="B98" s="50">
        <f>IF(P98="","",IFERROR(INDEX(設定!$G$8:$G$31,INT(INDEX(前年度名簿!$G$3:$G$452,P98)/1000)),INDEX(前年度名簿!$A$3:$A$452,P98)&amp;INDEX(前年度名簿!$B$3:$B$452,P98)))</f>
        <v/>
      </c>
      <c r="C98" s="50">
        <f>IF(P98="","",INDEX(前年度名簿!$C$3:$C$452,P98))</f>
        <v/>
      </c>
      <c r="D98" s="4">
        <f>IF(P98="","",INDEX(前年度名簿!$D$3:$D$452,P98))</f>
        <v/>
      </c>
      <c r="E98" s="50">
        <f>IF(T98="","",INDEX(新年度名簿!$K$3:$K$452,T98))</f>
        <v/>
      </c>
      <c r="F98" s="50">
        <f>IF(T98="","",INDEX(新年度名簿!$C$3:$C$452,T98))</f>
        <v/>
      </c>
      <c r="G98" s="50">
        <f>IF(Q98="","",INDEX(希望入力!$H$5:$H$554,Q98)&amp;"")</f>
        <v/>
      </c>
      <c r="H98" s="50">
        <f>IF(Q98="","",INDEX(希望入力!$I$5:$I$554,Q98)&amp;"")</f>
        <v/>
      </c>
      <c r="I98" s="50">
        <f>IF(Q98="","",INDEX(希望入力!$J$5:$J$554,Q98)&amp;"")</f>
        <v/>
      </c>
      <c r="J98" s="50">
        <f>IF(Q98="","",IF(G98="転出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)</f>
        <v/>
      </c>
      <c r="K98" s="49" t="n"/>
      <c r="L98" s="56">
        <f>IF(P98="","",IF(G98="転出","",IF(K98&lt;&gt;"",K98,IF(OR(J98="",J98="要調整"),"",J98))))</f>
        <v/>
      </c>
      <c r="M98" s="50">
        <f>IF(P98="","",IF(OR(G98="転出",AND(計算用!$B$1=1,T98="")),"転出",IF(L98&lt;&gt;"","決定",IF(Q98="","未提出","要調整"))))</f>
        <v/>
      </c>
      <c r="N98" s="50">
        <f>IF(OR(M98&lt;&gt;"要調整",H98=""),"",IFERROR((INDEX(設定!$Q$8:$Q$27,MATCH(H98,設定!$P$8:$P$27,0))+N(INDEX(設定!$R$8:$R$27,MATCH(H98,設定!$P$8:$P$27,0))))-INDEX(定員チェック!$I$7:$I$26,MATCH(H98,設定!$P$8:$P$27,0))-COUNTIFS($M$7:$M$456,"要調整",$G$7:$G$456,H98),""))</f>
        <v/>
      </c>
      <c r="O98" s="50">
        <f>IF(OR(M98&lt;&gt;"要調整",I98=""),"",IFERROR((INDEX(設定!$Q$8:$Q$27,MATCH(I98,設定!$P$8:$P$27,0))+N(INDEX(設定!$R$8:$R$27,MATCH(I98,設定!$P$8:$P$27,0))))-INDEX(定員チェック!$I$7:$I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IF(R98="","",IFERROR(MATCH(R98,希望入力!$M$5:$M$554,0),""))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50">
        <f>IF(P99="","",INDEX(前年度名簿!$H$3:$H$452,P99))</f>
        <v/>
      </c>
      <c r="B99" s="50">
        <f>IF(P99="","",IFERROR(INDEX(設定!$G$8:$G$31,INT(INDEX(前年度名簿!$G$3:$G$452,P99)/1000)),INDEX(前年度名簿!$A$3:$A$452,P99)&amp;INDEX(前年度名簿!$B$3:$B$452,P99)))</f>
        <v/>
      </c>
      <c r="C99" s="50">
        <f>IF(P99="","",INDEX(前年度名簿!$C$3:$C$452,P99))</f>
        <v/>
      </c>
      <c r="D99" s="4">
        <f>IF(P99="","",INDEX(前年度名簿!$D$3:$D$452,P99))</f>
        <v/>
      </c>
      <c r="E99" s="50">
        <f>IF(T99="","",INDEX(新年度名簿!$K$3:$K$452,T99))</f>
        <v/>
      </c>
      <c r="F99" s="50">
        <f>IF(T99="","",INDEX(新年度名簿!$C$3:$C$452,T99))</f>
        <v/>
      </c>
      <c r="G99" s="50">
        <f>IF(Q99="","",INDEX(希望入力!$H$5:$H$554,Q99)&amp;"")</f>
        <v/>
      </c>
      <c r="H99" s="50">
        <f>IF(Q99="","",INDEX(希望入力!$I$5:$I$554,Q99)&amp;"")</f>
        <v/>
      </c>
      <c r="I99" s="50">
        <f>IF(Q99="","",INDEX(希望入力!$J$5:$J$554,Q99)&amp;"")</f>
        <v/>
      </c>
      <c r="J99" s="50">
        <f>IF(Q99="","",IF(G99="転出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)</f>
        <v/>
      </c>
      <c r="K99" s="49" t="n"/>
      <c r="L99" s="56">
        <f>IF(P99="","",IF(G99="転出","",IF(K99&lt;&gt;"",K99,IF(OR(J99="",J99="要調整"),"",J99))))</f>
        <v/>
      </c>
      <c r="M99" s="50">
        <f>IF(P99="","",IF(OR(G99="転出",AND(計算用!$B$1=1,T99="")),"転出",IF(L99&lt;&gt;"","決定",IF(Q99="","未提出","要調整"))))</f>
        <v/>
      </c>
      <c r="N99" s="50">
        <f>IF(OR(M99&lt;&gt;"要調整",H99=""),"",IFERROR((INDEX(設定!$Q$8:$Q$27,MATCH(H99,設定!$P$8:$P$27,0))+N(INDEX(設定!$R$8:$R$27,MATCH(H99,設定!$P$8:$P$27,0))))-INDEX(定員チェック!$I$7:$I$26,MATCH(H99,設定!$P$8:$P$27,0))-COUNTIFS($M$7:$M$456,"要調整",$G$7:$G$456,H99),""))</f>
        <v/>
      </c>
      <c r="O99" s="50">
        <f>IF(OR(M99&lt;&gt;"要調整",I99=""),"",IFERROR((INDEX(設定!$Q$8:$Q$27,MATCH(I99,設定!$P$8:$P$27,0))+N(INDEX(設定!$R$8:$R$27,MATCH(I99,設定!$P$8:$P$27,0))))-INDEX(定員チェック!$I$7:$I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IF(R99="","",IFERROR(MATCH(R99,希望入力!$M$5:$M$554,0),""))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50">
        <f>IF(P100="","",INDEX(前年度名簿!$H$3:$H$452,P100))</f>
        <v/>
      </c>
      <c r="B100" s="50">
        <f>IF(P100="","",IFERROR(INDEX(設定!$G$8:$G$31,INT(INDEX(前年度名簿!$G$3:$G$452,P100)/1000)),INDEX(前年度名簿!$A$3:$A$452,P100)&amp;INDEX(前年度名簿!$B$3:$B$452,P100)))</f>
        <v/>
      </c>
      <c r="C100" s="50">
        <f>IF(P100="","",INDEX(前年度名簿!$C$3:$C$452,P100))</f>
        <v/>
      </c>
      <c r="D100" s="4">
        <f>IF(P100="","",INDEX(前年度名簿!$D$3:$D$452,P100))</f>
        <v/>
      </c>
      <c r="E100" s="50">
        <f>IF(T100="","",INDEX(新年度名簿!$K$3:$K$452,T100))</f>
        <v/>
      </c>
      <c r="F100" s="50">
        <f>IF(T100="","",INDEX(新年度名簿!$C$3:$C$452,T100))</f>
        <v/>
      </c>
      <c r="G100" s="50">
        <f>IF(Q100="","",INDEX(希望入力!$H$5:$H$554,Q100)&amp;"")</f>
        <v/>
      </c>
      <c r="H100" s="50">
        <f>IF(Q100="","",INDEX(希望入力!$I$5:$I$554,Q100)&amp;"")</f>
        <v/>
      </c>
      <c r="I100" s="50">
        <f>IF(Q100="","",INDEX(希望入力!$J$5:$J$554,Q100)&amp;"")</f>
        <v/>
      </c>
      <c r="J100" s="50">
        <f>IF(Q100="","",IF(G100="転出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)</f>
        <v/>
      </c>
      <c r="K100" s="49" t="n"/>
      <c r="L100" s="56">
        <f>IF(P100="","",IF(G100="転出","",IF(K100&lt;&gt;"",K100,IF(OR(J100="",J100="要調整"),"",J100))))</f>
        <v/>
      </c>
      <c r="M100" s="50">
        <f>IF(P100="","",IF(OR(G100="転出",AND(計算用!$B$1=1,T100="")),"転出",IF(L100&lt;&gt;"","決定",IF(Q100="","未提出","要調整"))))</f>
        <v/>
      </c>
      <c r="N100" s="50">
        <f>IF(OR(M100&lt;&gt;"要調整",H100=""),"",IFERROR((INDEX(設定!$Q$8:$Q$27,MATCH(H100,設定!$P$8:$P$27,0))+N(INDEX(設定!$R$8:$R$27,MATCH(H100,設定!$P$8:$P$27,0))))-INDEX(定員チェック!$I$7:$I$26,MATCH(H100,設定!$P$8:$P$27,0))-COUNTIFS($M$7:$M$456,"要調整",$G$7:$G$456,H100),""))</f>
        <v/>
      </c>
      <c r="O100" s="50">
        <f>IF(OR(M100&lt;&gt;"要調整",I100=""),"",IFERROR((INDEX(設定!$Q$8:$Q$27,MATCH(I100,設定!$P$8:$P$27,0))+N(INDEX(設定!$R$8:$R$27,MATCH(I100,設定!$P$8:$P$27,0))))-INDEX(定員チェック!$I$7:$I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IF(R100="","",IFERROR(MATCH(R100,希望入力!$M$5:$M$554,0),""))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50">
        <f>IF(P101="","",INDEX(前年度名簿!$H$3:$H$452,P101))</f>
        <v/>
      </c>
      <c r="B101" s="50">
        <f>IF(P101="","",IFERROR(INDEX(設定!$G$8:$G$31,INT(INDEX(前年度名簿!$G$3:$G$452,P101)/1000)),INDEX(前年度名簿!$A$3:$A$452,P101)&amp;INDEX(前年度名簿!$B$3:$B$452,P101)))</f>
        <v/>
      </c>
      <c r="C101" s="50">
        <f>IF(P101="","",INDEX(前年度名簿!$C$3:$C$452,P101))</f>
        <v/>
      </c>
      <c r="D101" s="4">
        <f>IF(P101="","",INDEX(前年度名簿!$D$3:$D$452,P101))</f>
        <v/>
      </c>
      <c r="E101" s="50">
        <f>IF(T101="","",INDEX(新年度名簿!$K$3:$K$452,T101))</f>
        <v/>
      </c>
      <c r="F101" s="50">
        <f>IF(T101="","",INDEX(新年度名簿!$C$3:$C$452,T101))</f>
        <v/>
      </c>
      <c r="G101" s="50">
        <f>IF(Q101="","",INDEX(希望入力!$H$5:$H$554,Q101)&amp;"")</f>
        <v/>
      </c>
      <c r="H101" s="50">
        <f>IF(Q101="","",INDEX(希望入力!$I$5:$I$554,Q101)&amp;"")</f>
        <v/>
      </c>
      <c r="I101" s="50">
        <f>IF(Q101="","",INDEX(希望入力!$J$5:$J$554,Q101)&amp;"")</f>
        <v/>
      </c>
      <c r="J101" s="50">
        <f>IF(Q101="","",IF(G101="転出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)</f>
        <v/>
      </c>
      <c r="K101" s="49" t="n"/>
      <c r="L101" s="56">
        <f>IF(P101="","",IF(G101="転出","",IF(K101&lt;&gt;"",K101,IF(OR(J101="",J101="要調整"),"",J101))))</f>
        <v/>
      </c>
      <c r="M101" s="50">
        <f>IF(P101="","",IF(OR(G101="転出",AND(計算用!$B$1=1,T101="")),"転出",IF(L101&lt;&gt;"","決定",IF(Q101="","未提出","要調整"))))</f>
        <v/>
      </c>
      <c r="N101" s="50">
        <f>IF(OR(M101&lt;&gt;"要調整",H101=""),"",IFERROR((INDEX(設定!$Q$8:$Q$27,MATCH(H101,設定!$P$8:$P$27,0))+N(INDEX(設定!$R$8:$R$27,MATCH(H101,設定!$P$8:$P$27,0))))-INDEX(定員チェック!$I$7:$I$26,MATCH(H101,設定!$P$8:$P$27,0))-COUNTIFS($M$7:$M$456,"要調整",$G$7:$G$456,H101),""))</f>
        <v/>
      </c>
      <c r="O101" s="50">
        <f>IF(OR(M101&lt;&gt;"要調整",I101=""),"",IFERROR((INDEX(設定!$Q$8:$Q$27,MATCH(I101,設定!$P$8:$P$27,0))+N(INDEX(設定!$R$8:$R$27,MATCH(I101,設定!$P$8:$P$27,0))))-INDEX(定員チェック!$I$7:$I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IF(R101="","",IFERROR(MATCH(R101,希望入力!$M$5:$M$554,0),""))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50">
        <f>IF(P102="","",INDEX(前年度名簿!$H$3:$H$452,P102))</f>
        <v/>
      </c>
      <c r="B102" s="50">
        <f>IF(P102="","",IFERROR(INDEX(設定!$G$8:$G$31,INT(INDEX(前年度名簿!$G$3:$G$452,P102)/1000)),INDEX(前年度名簿!$A$3:$A$452,P102)&amp;INDEX(前年度名簿!$B$3:$B$452,P102)))</f>
        <v/>
      </c>
      <c r="C102" s="50">
        <f>IF(P102="","",INDEX(前年度名簿!$C$3:$C$452,P102))</f>
        <v/>
      </c>
      <c r="D102" s="4">
        <f>IF(P102="","",INDEX(前年度名簿!$D$3:$D$452,P102))</f>
        <v/>
      </c>
      <c r="E102" s="50">
        <f>IF(T102="","",INDEX(新年度名簿!$K$3:$K$452,T102))</f>
        <v/>
      </c>
      <c r="F102" s="50">
        <f>IF(T102="","",INDEX(新年度名簿!$C$3:$C$452,T102))</f>
        <v/>
      </c>
      <c r="G102" s="50">
        <f>IF(Q102="","",INDEX(希望入力!$H$5:$H$554,Q102)&amp;"")</f>
        <v/>
      </c>
      <c r="H102" s="50">
        <f>IF(Q102="","",INDEX(希望入力!$I$5:$I$554,Q102)&amp;"")</f>
        <v/>
      </c>
      <c r="I102" s="50">
        <f>IF(Q102="","",INDEX(希望入力!$J$5:$J$554,Q102)&amp;"")</f>
        <v/>
      </c>
      <c r="J102" s="50">
        <f>IF(Q102="","",IF(G102="転出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)</f>
        <v/>
      </c>
      <c r="K102" s="49" t="n"/>
      <c r="L102" s="56">
        <f>IF(P102="","",IF(G102="転出","",IF(K102&lt;&gt;"",K102,IF(OR(J102="",J102="要調整"),"",J102))))</f>
        <v/>
      </c>
      <c r="M102" s="50">
        <f>IF(P102="","",IF(OR(G102="転出",AND(計算用!$B$1=1,T102="")),"転出",IF(L102&lt;&gt;"","決定",IF(Q102="","未提出","要調整"))))</f>
        <v/>
      </c>
      <c r="N102" s="50">
        <f>IF(OR(M102&lt;&gt;"要調整",H102=""),"",IFERROR((INDEX(設定!$Q$8:$Q$27,MATCH(H102,設定!$P$8:$P$27,0))+N(INDEX(設定!$R$8:$R$27,MATCH(H102,設定!$P$8:$P$27,0))))-INDEX(定員チェック!$I$7:$I$26,MATCH(H102,設定!$P$8:$P$27,0))-COUNTIFS($M$7:$M$456,"要調整",$G$7:$G$456,H102),""))</f>
        <v/>
      </c>
      <c r="O102" s="50">
        <f>IF(OR(M102&lt;&gt;"要調整",I102=""),"",IFERROR((INDEX(設定!$Q$8:$Q$27,MATCH(I102,設定!$P$8:$P$27,0))+N(INDEX(設定!$R$8:$R$27,MATCH(I102,設定!$P$8:$P$27,0))))-INDEX(定員チェック!$I$7:$I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IF(R102="","",IFERROR(MATCH(R102,希望入力!$M$5:$M$554,0),""))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50">
        <f>IF(P103="","",INDEX(前年度名簿!$H$3:$H$452,P103))</f>
        <v/>
      </c>
      <c r="B103" s="50">
        <f>IF(P103="","",IFERROR(INDEX(設定!$G$8:$G$31,INT(INDEX(前年度名簿!$G$3:$G$452,P103)/1000)),INDEX(前年度名簿!$A$3:$A$452,P103)&amp;INDEX(前年度名簿!$B$3:$B$452,P103)))</f>
        <v/>
      </c>
      <c r="C103" s="50">
        <f>IF(P103="","",INDEX(前年度名簿!$C$3:$C$452,P103))</f>
        <v/>
      </c>
      <c r="D103" s="4">
        <f>IF(P103="","",INDEX(前年度名簿!$D$3:$D$452,P103))</f>
        <v/>
      </c>
      <c r="E103" s="50">
        <f>IF(T103="","",INDEX(新年度名簿!$K$3:$K$452,T103))</f>
        <v/>
      </c>
      <c r="F103" s="50">
        <f>IF(T103="","",INDEX(新年度名簿!$C$3:$C$452,T103))</f>
        <v/>
      </c>
      <c r="G103" s="50">
        <f>IF(Q103="","",INDEX(希望入力!$H$5:$H$554,Q103)&amp;"")</f>
        <v/>
      </c>
      <c r="H103" s="50">
        <f>IF(Q103="","",INDEX(希望入力!$I$5:$I$554,Q103)&amp;"")</f>
        <v/>
      </c>
      <c r="I103" s="50">
        <f>IF(Q103="","",INDEX(希望入力!$J$5:$J$554,Q103)&amp;"")</f>
        <v/>
      </c>
      <c r="J103" s="50">
        <f>IF(Q103="","",IF(G103="転出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)</f>
        <v/>
      </c>
      <c r="K103" s="49" t="n"/>
      <c r="L103" s="56">
        <f>IF(P103="","",IF(G103="転出","",IF(K103&lt;&gt;"",K103,IF(OR(J103="",J103="要調整"),"",J103))))</f>
        <v/>
      </c>
      <c r="M103" s="50">
        <f>IF(P103="","",IF(OR(G103="転出",AND(計算用!$B$1=1,T103="")),"転出",IF(L103&lt;&gt;"","決定",IF(Q103="","未提出","要調整"))))</f>
        <v/>
      </c>
      <c r="N103" s="50">
        <f>IF(OR(M103&lt;&gt;"要調整",H103=""),"",IFERROR((INDEX(設定!$Q$8:$Q$27,MATCH(H103,設定!$P$8:$P$27,0))+N(INDEX(設定!$R$8:$R$27,MATCH(H103,設定!$P$8:$P$27,0))))-INDEX(定員チェック!$I$7:$I$26,MATCH(H103,設定!$P$8:$P$27,0))-COUNTIFS($M$7:$M$456,"要調整",$G$7:$G$456,H103),""))</f>
        <v/>
      </c>
      <c r="O103" s="50">
        <f>IF(OR(M103&lt;&gt;"要調整",I103=""),"",IFERROR((INDEX(設定!$Q$8:$Q$27,MATCH(I103,設定!$P$8:$P$27,0))+N(INDEX(設定!$R$8:$R$27,MATCH(I103,設定!$P$8:$P$27,0))))-INDEX(定員チェック!$I$7:$I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IF(R103="","",IFERROR(MATCH(R103,希望入力!$M$5:$M$554,0),""))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50">
        <f>IF(P104="","",INDEX(前年度名簿!$H$3:$H$452,P104))</f>
        <v/>
      </c>
      <c r="B104" s="50">
        <f>IF(P104="","",IFERROR(INDEX(設定!$G$8:$G$31,INT(INDEX(前年度名簿!$G$3:$G$452,P104)/1000)),INDEX(前年度名簿!$A$3:$A$452,P104)&amp;INDEX(前年度名簿!$B$3:$B$452,P104)))</f>
        <v/>
      </c>
      <c r="C104" s="50">
        <f>IF(P104="","",INDEX(前年度名簿!$C$3:$C$452,P104))</f>
        <v/>
      </c>
      <c r="D104" s="4">
        <f>IF(P104="","",INDEX(前年度名簿!$D$3:$D$452,P104))</f>
        <v/>
      </c>
      <c r="E104" s="50">
        <f>IF(T104="","",INDEX(新年度名簿!$K$3:$K$452,T104))</f>
        <v/>
      </c>
      <c r="F104" s="50">
        <f>IF(T104="","",INDEX(新年度名簿!$C$3:$C$452,T104))</f>
        <v/>
      </c>
      <c r="G104" s="50">
        <f>IF(Q104="","",INDEX(希望入力!$H$5:$H$554,Q104)&amp;"")</f>
        <v/>
      </c>
      <c r="H104" s="50">
        <f>IF(Q104="","",INDEX(希望入力!$I$5:$I$554,Q104)&amp;"")</f>
        <v/>
      </c>
      <c r="I104" s="50">
        <f>IF(Q104="","",INDEX(希望入力!$J$5:$J$554,Q104)&amp;"")</f>
        <v/>
      </c>
      <c r="J104" s="50">
        <f>IF(Q104="","",IF(G104="転出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)</f>
        <v/>
      </c>
      <c r="K104" s="49" t="n"/>
      <c r="L104" s="56">
        <f>IF(P104="","",IF(G104="転出","",IF(K104&lt;&gt;"",K104,IF(OR(J104="",J104="要調整"),"",J104))))</f>
        <v/>
      </c>
      <c r="M104" s="50">
        <f>IF(P104="","",IF(OR(G104="転出",AND(計算用!$B$1=1,T104="")),"転出",IF(L104&lt;&gt;"","決定",IF(Q104="","未提出","要調整"))))</f>
        <v/>
      </c>
      <c r="N104" s="50">
        <f>IF(OR(M104&lt;&gt;"要調整",H104=""),"",IFERROR((INDEX(設定!$Q$8:$Q$27,MATCH(H104,設定!$P$8:$P$27,0))+N(INDEX(設定!$R$8:$R$27,MATCH(H104,設定!$P$8:$P$27,0))))-INDEX(定員チェック!$I$7:$I$26,MATCH(H104,設定!$P$8:$P$27,0))-COUNTIFS($M$7:$M$456,"要調整",$G$7:$G$456,H104),""))</f>
        <v/>
      </c>
      <c r="O104" s="50">
        <f>IF(OR(M104&lt;&gt;"要調整",I104=""),"",IFERROR((INDEX(設定!$Q$8:$Q$27,MATCH(I104,設定!$P$8:$P$27,0))+N(INDEX(設定!$R$8:$R$27,MATCH(I104,設定!$P$8:$P$27,0))))-INDEX(定員チェック!$I$7:$I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IF(R104="","",IFERROR(MATCH(R104,希望入力!$M$5:$M$554,0),""))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50">
        <f>IF(P105="","",INDEX(前年度名簿!$H$3:$H$452,P105))</f>
        <v/>
      </c>
      <c r="B105" s="50">
        <f>IF(P105="","",IFERROR(INDEX(設定!$G$8:$G$31,INT(INDEX(前年度名簿!$G$3:$G$452,P105)/1000)),INDEX(前年度名簿!$A$3:$A$452,P105)&amp;INDEX(前年度名簿!$B$3:$B$452,P105)))</f>
        <v/>
      </c>
      <c r="C105" s="50">
        <f>IF(P105="","",INDEX(前年度名簿!$C$3:$C$452,P105))</f>
        <v/>
      </c>
      <c r="D105" s="4">
        <f>IF(P105="","",INDEX(前年度名簿!$D$3:$D$452,P105))</f>
        <v/>
      </c>
      <c r="E105" s="50">
        <f>IF(T105="","",INDEX(新年度名簿!$K$3:$K$452,T105))</f>
        <v/>
      </c>
      <c r="F105" s="50">
        <f>IF(T105="","",INDEX(新年度名簿!$C$3:$C$452,T105))</f>
        <v/>
      </c>
      <c r="G105" s="50">
        <f>IF(Q105="","",INDEX(希望入力!$H$5:$H$554,Q105)&amp;"")</f>
        <v/>
      </c>
      <c r="H105" s="50">
        <f>IF(Q105="","",INDEX(希望入力!$I$5:$I$554,Q105)&amp;"")</f>
        <v/>
      </c>
      <c r="I105" s="50">
        <f>IF(Q105="","",INDEX(希望入力!$J$5:$J$554,Q105)&amp;"")</f>
        <v/>
      </c>
      <c r="J105" s="50">
        <f>IF(Q105="","",IF(G105="転出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)</f>
        <v/>
      </c>
      <c r="K105" s="49" t="n"/>
      <c r="L105" s="56">
        <f>IF(P105="","",IF(G105="転出","",IF(K105&lt;&gt;"",K105,IF(OR(J105="",J105="要調整"),"",J105))))</f>
        <v/>
      </c>
      <c r="M105" s="50">
        <f>IF(P105="","",IF(OR(G105="転出",AND(計算用!$B$1=1,T105="")),"転出",IF(L105&lt;&gt;"","決定",IF(Q105="","未提出","要調整"))))</f>
        <v/>
      </c>
      <c r="N105" s="50">
        <f>IF(OR(M105&lt;&gt;"要調整",H105=""),"",IFERROR((INDEX(設定!$Q$8:$Q$27,MATCH(H105,設定!$P$8:$P$27,0))+N(INDEX(設定!$R$8:$R$27,MATCH(H105,設定!$P$8:$P$27,0))))-INDEX(定員チェック!$I$7:$I$26,MATCH(H105,設定!$P$8:$P$27,0))-COUNTIFS($M$7:$M$456,"要調整",$G$7:$G$456,H105),""))</f>
        <v/>
      </c>
      <c r="O105" s="50">
        <f>IF(OR(M105&lt;&gt;"要調整",I105=""),"",IFERROR((INDEX(設定!$Q$8:$Q$27,MATCH(I105,設定!$P$8:$P$27,0))+N(INDEX(設定!$R$8:$R$27,MATCH(I105,設定!$P$8:$P$27,0))))-INDEX(定員チェック!$I$7:$I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IF(R105="","",IFERROR(MATCH(R105,希望入力!$M$5:$M$554,0),""))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50">
        <f>IF(P106="","",INDEX(前年度名簿!$H$3:$H$452,P106))</f>
        <v/>
      </c>
      <c r="B106" s="50">
        <f>IF(P106="","",IFERROR(INDEX(設定!$G$8:$G$31,INT(INDEX(前年度名簿!$G$3:$G$452,P106)/1000)),INDEX(前年度名簿!$A$3:$A$452,P106)&amp;INDEX(前年度名簿!$B$3:$B$452,P106)))</f>
        <v/>
      </c>
      <c r="C106" s="50">
        <f>IF(P106="","",INDEX(前年度名簿!$C$3:$C$452,P106))</f>
        <v/>
      </c>
      <c r="D106" s="4">
        <f>IF(P106="","",INDEX(前年度名簿!$D$3:$D$452,P106))</f>
        <v/>
      </c>
      <c r="E106" s="50">
        <f>IF(T106="","",INDEX(新年度名簿!$K$3:$K$452,T106))</f>
        <v/>
      </c>
      <c r="F106" s="50">
        <f>IF(T106="","",INDEX(新年度名簿!$C$3:$C$452,T106))</f>
        <v/>
      </c>
      <c r="G106" s="50">
        <f>IF(Q106="","",INDEX(希望入力!$H$5:$H$554,Q106)&amp;"")</f>
        <v/>
      </c>
      <c r="H106" s="50">
        <f>IF(Q106="","",INDEX(希望入力!$I$5:$I$554,Q106)&amp;"")</f>
        <v/>
      </c>
      <c r="I106" s="50">
        <f>IF(Q106="","",INDEX(希望入力!$J$5:$J$554,Q106)&amp;"")</f>
        <v/>
      </c>
      <c r="J106" s="50">
        <f>IF(Q106="","",IF(G106="転出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)</f>
        <v/>
      </c>
      <c r="K106" s="49" t="n"/>
      <c r="L106" s="56">
        <f>IF(P106="","",IF(G106="転出","",IF(K106&lt;&gt;"",K106,IF(OR(J106="",J106="要調整"),"",J106))))</f>
        <v/>
      </c>
      <c r="M106" s="50">
        <f>IF(P106="","",IF(OR(G106="転出",AND(計算用!$B$1=1,T106="")),"転出",IF(L106&lt;&gt;"","決定",IF(Q106="","未提出","要調整"))))</f>
        <v/>
      </c>
      <c r="N106" s="50">
        <f>IF(OR(M106&lt;&gt;"要調整",H106=""),"",IFERROR((INDEX(設定!$Q$8:$Q$27,MATCH(H106,設定!$P$8:$P$27,0))+N(INDEX(設定!$R$8:$R$27,MATCH(H106,設定!$P$8:$P$27,0))))-INDEX(定員チェック!$I$7:$I$26,MATCH(H106,設定!$P$8:$P$27,0))-COUNTIFS($M$7:$M$456,"要調整",$G$7:$G$456,H106),""))</f>
        <v/>
      </c>
      <c r="O106" s="50">
        <f>IF(OR(M106&lt;&gt;"要調整",I106=""),"",IFERROR((INDEX(設定!$Q$8:$Q$27,MATCH(I106,設定!$P$8:$P$27,0))+N(INDEX(設定!$R$8:$R$27,MATCH(I106,設定!$P$8:$P$27,0))))-INDEX(定員チェック!$I$7:$I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IF(R106="","",IFERROR(MATCH(R106,希望入力!$M$5:$M$554,0),""))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50">
        <f>IF(P107="","",INDEX(前年度名簿!$H$3:$H$452,P107))</f>
        <v/>
      </c>
      <c r="B107" s="50">
        <f>IF(P107="","",IFERROR(INDEX(設定!$G$8:$G$31,INT(INDEX(前年度名簿!$G$3:$G$452,P107)/1000)),INDEX(前年度名簿!$A$3:$A$452,P107)&amp;INDEX(前年度名簿!$B$3:$B$452,P107)))</f>
        <v/>
      </c>
      <c r="C107" s="50">
        <f>IF(P107="","",INDEX(前年度名簿!$C$3:$C$452,P107))</f>
        <v/>
      </c>
      <c r="D107" s="4">
        <f>IF(P107="","",INDEX(前年度名簿!$D$3:$D$452,P107))</f>
        <v/>
      </c>
      <c r="E107" s="50">
        <f>IF(T107="","",INDEX(新年度名簿!$K$3:$K$452,T107))</f>
        <v/>
      </c>
      <c r="F107" s="50">
        <f>IF(T107="","",INDEX(新年度名簿!$C$3:$C$452,T107))</f>
        <v/>
      </c>
      <c r="G107" s="50">
        <f>IF(Q107="","",INDEX(希望入力!$H$5:$H$554,Q107)&amp;"")</f>
        <v/>
      </c>
      <c r="H107" s="50">
        <f>IF(Q107="","",INDEX(希望入力!$I$5:$I$554,Q107)&amp;"")</f>
        <v/>
      </c>
      <c r="I107" s="50">
        <f>IF(Q107="","",INDEX(希望入力!$J$5:$J$554,Q107)&amp;"")</f>
        <v/>
      </c>
      <c r="J107" s="50">
        <f>IF(Q107="","",IF(G107="転出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)</f>
        <v/>
      </c>
      <c r="K107" s="49" t="n"/>
      <c r="L107" s="56">
        <f>IF(P107="","",IF(G107="転出","",IF(K107&lt;&gt;"",K107,IF(OR(J107="",J107="要調整"),"",J107))))</f>
        <v/>
      </c>
      <c r="M107" s="50">
        <f>IF(P107="","",IF(OR(G107="転出",AND(計算用!$B$1=1,T107="")),"転出",IF(L107&lt;&gt;"","決定",IF(Q107="","未提出","要調整"))))</f>
        <v/>
      </c>
      <c r="N107" s="50">
        <f>IF(OR(M107&lt;&gt;"要調整",H107=""),"",IFERROR((INDEX(設定!$Q$8:$Q$27,MATCH(H107,設定!$P$8:$P$27,0))+N(INDEX(設定!$R$8:$R$27,MATCH(H107,設定!$P$8:$P$27,0))))-INDEX(定員チェック!$I$7:$I$26,MATCH(H107,設定!$P$8:$P$27,0))-COUNTIFS($M$7:$M$456,"要調整",$G$7:$G$456,H107),""))</f>
        <v/>
      </c>
      <c r="O107" s="50">
        <f>IF(OR(M107&lt;&gt;"要調整",I107=""),"",IFERROR((INDEX(設定!$Q$8:$Q$27,MATCH(I107,設定!$P$8:$P$27,0))+N(INDEX(設定!$R$8:$R$27,MATCH(I107,設定!$P$8:$P$27,0))))-INDEX(定員チェック!$I$7:$I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IF(R107="","",IFERROR(MATCH(R107,希望入力!$M$5:$M$554,0),""))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50">
        <f>IF(P108="","",INDEX(前年度名簿!$H$3:$H$452,P108))</f>
        <v/>
      </c>
      <c r="B108" s="50">
        <f>IF(P108="","",IFERROR(INDEX(設定!$G$8:$G$31,INT(INDEX(前年度名簿!$G$3:$G$452,P108)/1000)),INDEX(前年度名簿!$A$3:$A$452,P108)&amp;INDEX(前年度名簿!$B$3:$B$452,P108)))</f>
        <v/>
      </c>
      <c r="C108" s="50">
        <f>IF(P108="","",INDEX(前年度名簿!$C$3:$C$452,P108))</f>
        <v/>
      </c>
      <c r="D108" s="4">
        <f>IF(P108="","",INDEX(前年度名簿!$D$3:$D$452,P108))</f>
        <v/>
      </c>
      <c r="E108" s="50">
        <f>IF(T108="","",INDEX(新年度名簿!$K$3:$K$452,T108))</f>
        <v/>
      </c>
      <c r="F108" s="50">
        <f>IF(T108="","",INDEX(新年度名簿!$C$3:$C$452,T108))</f>
        <v/>
      </c>
      <c r="G108" s="50">
        <f>IF(Q108="","",INDEX(希望入力!$H$5:$H$554,Q108)&amp;"")</f>
        <v/>
      </c>
      <c r="H108" s="50">
        <f>IF(Q108="","",INDEX(希望入力!$I$5:$I$554,Q108)&amp;"")</f>
        <v/>
      </c>
      <c r="I108" s="50">
        <f>IF(Q108="","",INDEX(希望入力!$J$5:$J$554,Q108)&amp;"")</f>
        <v/>
      </c>
      <c r="J108" s="50">
        <f>IF(Q108="","",IF(G108="転出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)</f>
        <v/>
      </c>
      <c r="K108" s="49" t="n"/>
      <c r="L108" s="56">
        <f>IF(P108="","",IF(G108="転出","",IF(K108&lt;&gt;"",K108,IF(OR(J108="",J108="要調整"),"",J108))))</f>
        <v/>
      </c>
      <c r="M108" s="50">
        <f>IF(P108="","",IF(OR(G108="転出",AND(計算用!$B$1=1,T108="")),"転出",IF(L108&lt;&gt;"","決定",IF(Q108="","未提出","要調整"))))</f>
        <v/>
      </c>
      <c r="N108" s="50">
        <f>IF(OR(M108&lt;&gt;"要調整",H108=""),"",IFERROR((INDEX(設定!$Q$8:$Q$27,MATCH(H108,設定!$P$8:$P$27,0))+N(INDEX(設定!$R$8:$R$27,MATCH(H108,設定!$P$8:$P$27,0))))-INDEX(定員チェック!$I$7:$I$26,MATCH(H108,設定!$P$8:$P$27,0))-COUNTIFS($M$7:$M$456,"要調整",$G$7:$G$456,H108),""))</f>
        <v/>
      </c>
      <c r="O108" s="50">
        <f>IF(OR(M108&lt;&gt;"要調整",I108=""),"",IFERROR((INDEX(設定!$Q$8:$Q$27,MATCH(I108,設定!$P$8:$P$27,0))+N(INDEX(設定!$R$8:$R$27,MATCH(I108,設定!$P$8:$P$27,0))))-INDEX(定員チェック!$I$7:$I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IF(R108="","",IFERROR(MATCH(R108,希望入力!$M$5:$M$554,0),""))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50">
        <f>IF(P109="","",INDEX(前年度名簿!$H$3:$H$452,P109))</f>
        <v/>
      </c>
      <c r="B109" s="50">
        <f>IF(P109="","",IFERROR(INDEX(設定!$G$8:$G$31,INT(INDEX(前年度名簿!$G$3:$G$452,P109)/1000)),INDEX(前年度名簿!$A$3:$A$452,P109)&amp;INDEX(前年度名簿!$B$3:$B$452,P109)))</f>
        <v/>
      </c>
      <c r="C109" s="50">
        <f>IF(P109="","",INDEX(前年度名簿!$C$3:$C$452,P109))</f>
        <v/>
      </c>
      <c r="D109" s="4">
        <f>IF(P109="","",INDEX(前年度名簿!$D$3:$D$452,P109))</f>
        <v/>
      </c>
      <c r="E109" s="50">
        <f>IF(T109="","",INDEX(新年度名簿!$K$3:$K$452,T109))</f>
        <v/>
      </c>
      <c r="F109" s="50">
        <f>IF(T109="","",INDEX(新年度名簿!$C$3:$C$452,T109))</f>
        <v/>
      </c>
      <c r="G109" s="50">
        <f>IF(Q109="","",INDEX(希望入力!$H$5:$H$554,Q109)&amp;"")</f>
        <v/>
      </c>
      <c r="H109" s="50">
        <f>IF(Q109="","",INDEX(希望入力!$I$5:$I$554,Q109)&amp;"")</f>
        <v/>
      </c>
      <c r="I109" s="50">
        <f>IF(Q109="","",INDEX(希望入力!$J$5:$J$554,Q109)&amp;"")</f>
        <v/>
      </c>
      <c r="J109" s="50">
        <f>IF(Q109="","",IF(G109="転出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)</f>
        <v/>
      </c>
      <c r="K109" s="49" t="n"/>
      <c r="L109" s="56">
        <f>IF(P109="","",IF(G109="転出","",IF(K109&lt;&gt;"",K109,IF(OR(J109="",J109="要調整"),"",J109))))</f>
        <v/>
      </c>
      <c r="M109" s="50">
        <f>IF(P109="","",IF(OR(G109="転出",AND(計算用!$B$1=1,T109="")),"転出",IF(L109&lt;&gt;"","決定",IF(Q109="","未提出","要調整"))))</f>
        <v/>
      </c>
      <c r="N109" s="50">
        <f>IF(OR(M109&lt;&gt;"要調整",H109=""),"",IFERROR((INDEX(設定!$Q$8:$Q$27,MATCH(H109,設定!$P$8:$P$27,0))+N(INDEX(設定!$R$8:$R$27,MATCH(H109,設定!$P$8:$P$27,0))))-INDEX(定員チェック!$I$7:$I$26,MATCH(H109,設定!$P$8:$P$27,0))-COUNTIFS($M$7:$M$456,"要調整",$G$7:$G$456,H109),""))</f>
        <v/>
      </c>
      <c r="O109" s="50">
        <f>IF(OR(M109&lt;&gt;"要調整",I109=""),"",IFERROR((INDEX(設定!$Q$8:$Q$27,MATCH(I109,設定!$P$8:$P$27,0))+N(INDEX(設定!$R$8:$R$27,MATCH(I109,設定!$P$8:$P$27,0))))-INDEX(定員チェック!$I$7:$I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IF(R109="","",IFERROR(MATCH(R109,希望入力!$M$5:$M$554,0),""))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50">
        <f>IF(P110="","",INDEX(前年度名簿!$H$3:$H$452,P110))</f>
        <v/>
      </c>
      <c r="B110" s="50">
        <f>IF(P110="","",IFERROR(INDEX(設定!$G$8:$G$31,INT(INDEX(前年度名簿!$G$3:$G$452,P110)/1000)),INDEX(前年度名簿!$A$3:$A$452,P110)&amp;INDEX(前年度名簿!$B$3:$B$452,P110)))</f>
        <v/>
      </c>
      <c r="C110" s="50">
        <f>IF(P110="","",INDEX(前年度名簿!$C$3:$C$452,P110))</f>
        <v/>
      </c>
      <c r="D110" s="4">
        <f>IF(P110="","",INDEX(前年度名簿!$D$3:$D$452,P110))</f>
        <v/>
      </c>
      <c r="E110" s="50">
        <f>IF(T110="","",INDEX(新年度名簿!$K$3:$K$452,T110))</f>
        <v/>
      </c>
      <c r="F110" s="50">
        <f>IF(T110="","",INDEX(新年度名簿!$C$3:$C$452,T110))</f>
        <v/>
      </c>
      <c r="G110" s="50">
        <f>IF(Q110="","",INDEX(希望入力!$H$5:$H$554,Q110)&amp;"")</f>
        <v/>
      </c>
      <c r="H110" s="50">
        <f>IF(Q110="","",INDEX(希望入力!$I$5:$I$554,Q110)&amp;"")</f>
        <v/>
      </c>
      <c r="I110" s="50">
        <f>IF(Q110="","",INDEX(希望入力!$J$5:$J$554,Q110)&amp;"")</f>
        <v/>
      </c>
      <c r="J110" s="50">
        <f>IF(Q110="","",IF(G110="転出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)</f>
        <v/>
      </c>
      <c r="K110" s="49" t="n"/>
      <c r="L110" s="56">
        <f>IF(P110="","",IF(G110="転出","",IF(K110&lt;&gt;"",K110,IF(OR(J110="",J110="要調整"),"",J110))))</f>
        <v/>
      </c>
      <c r="M110" s="50">
        <f>IF(P110="","",IF(OR(G110="転出",AND(計算用!$B$1=1,T110="")),"転出",IF(L110&lt;&gt;"","決定",IF(Q110="","未提出","要調整"))))</f>
        <v/>
      </c>
      <c r="N110" s="50">
        <f>IF(OR(M110&lt;&gt;"要調整",H110=""),"",IFERROR((INDEX(設定!$Q$8:$Q$27,MATCH(H110,設定!$P$8:$P$27,0))+N(INDEX(設定!$R$8:$R$27,MATCH(H110,設定!$P$8:$P$27,0))))-INDEX(定員チェック!$I$7:$I$26,MATCH(H110,設定!$P$8:$P$27,0))-COUNTIFS($M$7:$M$456,"要調整",$G$7:$G$456,H110),""))</f>
        <v/>
      </c>
      <c r="O110" s="50">
        <f>IF(OR(M110&lt;&gt;"要調整",I110=""),"",IFERROR((INDEX(設定!$Q$8:$Q$27,MATCH(I110,設定!$P$8:$P$27,0))+N(INDEX(設定!$R$8:$R$27,MATCH(I110,設定!$P$8:$P$27,0))))-INDEX(定員チェック!$I$7:$I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IF(R110="","",IFERROR(MATCH(R110,希望入力!$M$5:$M$554,0),""))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50">
        <f>IF(P111="","",INDEX(前年度名簿!$H$3:$H$452,P111))</f>
        <v/>
      </c>
      <c r="B111" s="50">
        <f>IF(P111="","",IFERROR(INDEX(設定!$G$8:$G$31,INT(INDEX(前年度名簿!$G$3:$G$452,P111)/1000)),INDEX(前年度名簿!$A$3:$A$452,P111)&amp;INDEX(前年度名簿!$B$3:$B$452,P111)))</f>
        <v/>
      </c>
      <c r="C111" s="50">
        <f>IF(P111="","",INDEX(前年度名簿!$C$3:$C$452,P111))</f>
        <v/>
      </c>
      <c r="D111" s="4">
        <f>IF(P111="","",INDEX(前年度名簿!$D$3:$D$452,P111))</f>
        <v/>
      </c>
      <c r="E111" s="50">
        <f>IF(T111="","",INDEX(新年度名簿!$K$3:$K$452,T111))</f>
        <v/>
      </c>
      <c r="F111" s="50">
        <f>IF(T111="","",INDEX(新年度名簿!$C$3:$C$452,T111))</f>
        <v/>
      </c>
      <c r="G111" s="50">
        <f>IF(Q111="","",INDEX(希望入力!$H$5:$H$554,Q111)&amp;"")</f>
        <v/>
      </c>
      <c r="H111" s="50">
        <f>IF(Q111="","",INDEX(希望入力!$I$5:$I$554,Q111)&amp;"")</f>
        <v/>
      </c>
      <c r="I111" s="50">
        <f>IF(Q111="","",INDEX(希望入力!$J$5:$J$554,Q111)&amp;"")</f>
        <v/>
      </c>
      <c r="J111" s="50">
        <f>IF(Q111="","",IF(G111="転出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)</f>
        <v/>
      </c>
      <c r="K111" s="49" t="n"/>
      <c r="L111" s="56">
        <f>IF(P111="","",IF(G111="転出","",IF(K111&lt;&gt;"",K111,IF(OR(J111="",J111="要調整"),"",J111))))</f>
        <v/>
      </c>
      <c r="M111" s="50">
        <f>IF(P111="","",IF(OR(G111="転出",AND(計算用!$B$1=1,T111="")),"転出",IF(L111&lt;&gt;"","決定",IF(Q111="","未提出","要調整"))))</f>
        <v/>
      </c>
      <c r="N111" s="50">
        <f>IF(OR(M111&lt;&gt;"要調整",H111=""),"",IFERROR((INDEX(設定!$Q$8:$Q$27,MATCH(H111,設定!$P$8:$P$27,0))+N(INDEX(設定!$R$8:$R$27,MATCH(H111,設定!$P$8:$P$27,0))))-INDEX(定員チェック!$I$7:$I$26,MATCH(H111,設定!$P$8:$P$27,0))-COUNTIFS($M$7:$M$456,"要調整",$G$7:$G$456,H111),""))</f>
        <v/>
      </c>
      <c r="O111" s="50">
        <f>IF(OR(M111&lt;&gt;"要調整",I111=""),"",IFERROR((INDEX(設定!$Q$8:$Q$27,MATCH(I111,設定!$P$8:$P$27,0))+N(INDEX(設定!$R$8:$R$27,MATCH(I111,設定!$P$8:$P$27,0))))-INDEX(定員チェック!$I$7:$I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IF(R111="","",IFERROR(MATCH(R111,希望入力!$M$5:$M$554,0),""))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50">
        <f>IF(P112="","",INDEX(前年度名簿!$H$3:$H$452,P112))</f>
        <v/>
      </c>
      <c r="B112" s="50">
        <f>IF(P112="","",IFERROR(INDEX(設定!$G$8:$G$31,INT(INDEX(前年度名簿!$G$3:$G$452,P112)/1000)),INDEX(前年度名簿!$A$3:$A$452,P112)&amp;INDEX(前年度名簿!$B$3:$B$452,P112)))</f>
        <v/>
      </c>
      <c r="C112" s="50">
        <f>IF(P112="","",INDEX(前年度名簿!$C$3:$C$452,P112))</f>
        <v/>
      </c>
      <c r="D112" s="4">
        <f>IF(P112="","",INDEX(前年度名簿!$D$3:$D$452,P112))</f>
        <v/>
      </c>
      <c r="E112" s="50">
        <f>IF(T112="","",INDEX(新年度名簿!$K$3:$K$452,T112))</f>
        <v/>
      </c>
      <c r="F112" s="50">
        <f>IF(T112="","",INDEX(新年度名簿!$C$3:$C$452,T112))</f>
        <v/>
      </c>
      <c r="G112" s="50">
        <f>IF(Q112="","",INDEX(希望入力!$H$5:$H$554,Q112)&amp;"")</f>
        <v/>
      </c>
      <c r="H112" s="50">
        <f>IF(Q112="","",INDEX(希望入力!$I$5:$I$554,Q112)&amp;"")</f>
        <v/>
      </c>
      <c r="I112" s="50">
        <f>IF(Q112="","",INDEX(希望入力!$J$5:$J$554,Q112)&amp;"")</f>
        <v/>
      </c>
      <c r="J112" s="50">
        <f>IF(Q112="","",IF(G112="転出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)</f>
        <v/>
      </c>
      <c r="K112" s="49" t="n"/>
      <c r="L112" s="56">
        <f>IF(P112="","",IF(G112="転出","",IF(K112&lt;&gt;"",K112,IF(OR(J112="",J112="要調整"),"",J112))))</f>
        <v/>
      </c>
      <c r="M112" s="50">
        <f>IF(P112="","",IF(OR(G112="転出",AND(計算用!$B$1=1,T112="")),"転出",IF(L112&lt;&gt;"","決定",IF(Q112="","未提出","要調整"))))</f>
        <v/>
      </c>
      <c r="N112" s="50">
        <f>IF(OR(M112&lt;&gt;"要調整",H112=""),"",IFERROR((INDEX(設定!$Q$8:$Q$27,MATCH(H112,設定!$P$8:$P$27,0))+N(INDEX(設定!$R$8:$R$27,MATCH(H112,設定!$P$8:$P$27,0))))-INDEX(定員チェック!$I$7:$I$26,MATCH(H112,設定!$P$8:$P$27,0))-COUNTIFS($M$7:$M$456,"要調整",$G$7:$G$456,H112),""))</f>
        <v/>
      </c>
      <c r="O112" s="50">
        <f>IF(OR(M112&lt;&gt;"要調整",I112=""),"",IFERROR((INDEX(設定!$Q$8:$Q$27,MATCH(I112,設定!$P$8:$P$27,0))+N(INDEX(設定!$R$8:$R$27,MATCH(I112,設定!$P$8:$P$27,0))))-INDEX(定員チェック!$I$7:$I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IF(R112="","",IFERROR(MATCH(R112,希望入力!$M$5:$M$554,0),""))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50">
        <f>IF(P113="","",INDEX(前年度名簿!$H$3:$H$452,P113))</f>
        <v/>
      </c>
      <c r="B113" s="50">
        <f>IF(P113="","",IFERROR(INDEX(設定!$G$8:$G$31,INT(INDEX(前年度名簿!$G$3:$G$452,P113)/1000)),INDEX(前年度名簿!$A$3:$A$452,P113)&amp;INDEX(前年度名簿!$B$3:$B$452,P113)))</f>
        <v/>
      </c>
      <c r="C113" s="50">
        <f>IF(P113="","",INDEX(前年度名簿!$C$3:$C$452,P113))</f>
        <v/>
      </c>
      <c r="D113" s="4">
        <f>IF(P113="","",INDEX(前年度名簿!$D$3:$D$452,P113))</f>
        <v/>
      </c>
      <c r="E113" s="50">
        <f>IF(T113="","",INDEX(新年度名簿!$K$3:$K$452,T113))</f>
        <v/>
      </c>
      <c r="F113" s="50">
        <f>IF(T113="","",INDEX(新年度名簿!$C$3:$C$452,T113))</f>
        <v/>
      </c>
      <c r="G113" s="50">
        <f>IF(Q113="","",INDEX(希望入力!$H$5:$H$554,Q113)&amp;"")</f>
        <v/>
      </c>
      <c r="H113" s="50">
        <f>IF(Q113="","",INDEX(希望入力!$I$5:$I$554,Q113)&amp;"")</f>
        <v/>
      </c>
      <c r="I113" s="50">
        <f>IF(Q113="","",INDEX(希望入力!$J$5:$J$554,Q113)&amp;"")</f>
        <v/>
      </c>
      <c r="J113" s="50">
        <f>IF(Q113="","",IF(G113="転出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)</f>
        <v/>
      </c>
      <c r="K113" s="49" t="n"/>
      <c r="L113" s="56">
        <f>IF(P113="","",IF(G113="転出","",IF(K113&lt;&gt;"",K113,IF(OR(J113="",J113="要調整"),"",J113))))</f>
        <v/>
      </c>
      <c r="M113" s="50">
        <f>IF(P113="","",IF(OR(G113="転出",AND(計算用!$B$1=1,T113="")),"転出",IF(L113&lt;&gt;"","決定",IF(Q113="","未提出","要調整"))))</f>
        <v/>
      </c>
      <c r="N113" s="50">
        <f>IF(OR(M113&lt;&gt;"要調整",H113=""),"",IFERROR((INDEX(設定!$Q$8:$Q$27,MATCH(H113,設定!$P$8:$P$27,0))+N(INDEX(設定!$R$8:$R$27,MATCH(H113,設定!$P$8:$P$27,0))))-INDEX(定員チェック!$I$7:$I$26,MATCH(H113,設定!$P$8:$P$27,0))-COUNTIFS($M$7:$M$456,"要調整",$G$7:$G$456,H113),""))</f>
        <v/>
      </c>
      <c r="O113" s="50">
        <f>IF(OR(M113&lt;&gt;"要調整",I113=""),"",IFERROR((INDEX(設定!$Q$8:$Q$27,MATCH(I113,設定!$P$8:$P$27,0))+N(INDEX(設定!$R$8:$R$27,MATCH(I113,設定!$P$8:$P$27,0))))-INDEX(定員チェック!$I$7:$I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IF(R113="","",IFERROR(MATCH(R113,希望入力!$M$5:$M$554,0),""))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50">
        <f>IF(P114="","",INDEX(前年度名簿!$H$3:$H$452,P114))</f>
        <v/>
      </c>
      <c r="B114" s="50">
        <f>IF(P114="","",IFERROR(INDEX(設定!$G$8:$G$31,INT(INDEX(前年度名簿!$G$3:$G$452,P114)/1000)),INDEX(前年度名簿!$A$3:$A$452,P114)&amp;INDEX(前年度名簿!$B$3:$B$452,P114)))</f>
        <v/>
      </c>
      <c r="C114" s="50">
        <f>IF(P114="","",INDEX(前年度名簿!$C$3:$C$452,P114))</f>
        <v/>
      </c>
      <c r="D114" s="4">
        <f>IF(P114="","",INDEX(前年度名簿!$D$3:$D$452,P114))</f>
        <v/>
      </c>
      <c r="E114" s="50">
        <f>IF(T114="","",INDEX(新年度名簿!$K$3:$K$452,T114))</f>
        <v/>
      </c>
      <c r="F114" s="50">
        <f>IF(T114="","",INDEX(新年度名簿!$C$3:$C$452,T114))</f>
        <v/>
      </c>
      <c r="G114" s="50">
        <f>IF(Q114="","",INDEX(希望入力!$H$5:$H$554,Q114)&amp;"")</f>
        <v/>
      </c>
      <c r="H114" s="50">
        <f>IF(Q114="","",INDEX(希望入力!$I$5:$I$554,Q114)&amp;"")</f>
        <v/>
      </c>
      <c r="I114" s="50">
        <f>IF(Q114="","",INDEX(希望入力!$J$5:$J$554,Q114)&amp;"")</f>
        <v/>
      </c>
      <c r="J114" s="50">
        <f>IF(Q114="","",IF(G114="転出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)</f>
        <v/>
      </c>
      <c r="K114" s="49" t="n"/>
      <c r="L114" s="56">
        <f>IF(P114="","",IF(G114="転出","",IF(K114&lt;&gt;"",K114,IF(OR(J114="",J114="要調整"),"",J114))))</f>
        <v/>
      </c>
      <c r="M114" s="50">
        <f>IF(P114="","",IF(OR(G114="転出",AND(計算用!$B$1=1,T114="")),"転出",IF(L114&lt;&gt;"","決定",IF(Q114="","未提出","要調整"))))</f>
        <v/>
      </c>
      <c r="N114" s="50">
        <f>IF(OR(M114&lt;&gt;"要調整",H114=""),"",IFERROR((INDEX(設定!$Q$8:$Q$27,MATCH(H114,設定!$P$8:$P$27,0))+N(INDEX(設定!$R$8:$R$27,MATCH(H114,設定!$P$8:$P$27,0))))-INDEX(定員チェック!$I$7:$I$26,MATCH(H114,設定!$P$8:$P$27,0))-COUNTIFS($M$7:$M$456,"要調整",$G$7:$G$456,H114),""))</f>
        <v/>
      </c>
      <c r="O114" s="50">
        <f>IF(OR(M114&lt;&gt;"要調整",I114=""),"",IFERROR((INDEX(設定!$Q$8:$Q$27,MATCH(I114,設定!$P$8:$P$27,0))+N(INDEX(設定!$R$8:$R$27,MATCH(I114,設定!$P$8:$P$27,0))))-INDEX(定員チェック!$I$7:$I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IF(R114="","",IFERROR(MATCH(R114,希望入力!$M$5:$M$554,0),""))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50">
        <f>IF(P115="","",INDEX(前年度名簿!$H$3:$H$452,P115))</f>
        <v/>
      </c>
      <c r="B115" s="50">
        <f>IF(P115="","",IFERROR(INDEX(設定!$G$8:$G$31,INT(INDEX(前年度名簿!$G$3:$G$452,P115)/1000)),INDEX(前年度名簿!$A$3:$A$452,P115)&amp;INDEX(前年度名簿!$B$3:$B$452,P115)))</f>
        <v/>
      </c>
      <c r="C115" s="50">
        <f>IF(P115="","",INDEX(前年度名簿!$C$3:$C$452,P115))</f>
        <v/>
      </c>
      <c r="D115" s="4">
        <f>IF(P115="","",INDEX(前年度名簿!$D$3:$D$452,P115))</f>
        <v/>
      </c>
      <c r="E115" s="50">
        <f>IF(T115="","",INDEX(新年度名簿!$K$3:$K$452,T115))</f>
        <v/>
      </c>
      <c r="F115" s="50">
        <f>IF(T115="","",INDEX(新年度名簿!$C$3:$C$452,T115))</f>
        <v/>
      </c>
      <c r="G115" s="50">
        <f>IF(Q115="","",INDEX(希望入力!$H$5:$H$554,Q115)&amp;"")</f>
        <v/>
      </c>
      <c r="H115" s="50">
        <f>IF(Q115="","",INDEX(希望入力!$I$5:$I$554,Q115)&amp;"")</f>
        <v/>
      </c>
      <c r="I115" s="50">
        <f>IF(Q115="","",INDEX(希望入力!$J$5:$J$554,Q115)&amp;"")</f>
        <v/>
      </c>
      <c r="J115" s="50">
        <f>IF(Q115="","",IF(G115="転出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)</f>
        <v/>
      </c>
      <c r="K115" s="49" t="n"/>
      <c r="L115" s="56">
        <f>IF(P115="","",IF(G115="転出","",IF(K115&lt;&gt;"",K115,IF(OR(J115="",J115="要調整"),"",J115))))</f>
        <v/>
      </c>
      <c r="M115" s="50">
        <f>IF(P115="","",IF(OR(G115="転出",AND(計算用!$B$1=1,T115="")),"転出",IF(L115&lt;&gt;"","決定",IF(Q115="","未提出","要調整"))))</f>
        <v/>
      </c>
      <c r="N115" s="50">
        <f>IF(OR(M115&lt;&gt;"要調整",H115=""),"",IFERROR((INDEX(設定!$Q$8:$Q$27,MATCH(H115,設定!$P$8:$P$27,0))+N(INDEX(設定!$R$8:$R$27,MATCH(H115,設定!$P$8:$P$27,0))))-INDEX(定員チェック!$I$7:$I$26,MATCH(H115,設定!$P$8:$P$27,0))-COUNTIFS($M$7:$M$456,"要調整",$G$7:$G$456,H115),""))</f>
        <v/>
      </c>
      <c r="O115" s="50">
        <f>IF(OR(M115&lt;&gt;"要調整",I115=""),"",IFERROR((INDEX(設定!$Q$8:$Q$27,MATCH(I115,設定!$P$8:$P$27,0))+N(INDEX(設定!$R$8:$R$27,MATCH(I115,設定!$P$8:$P$27,0))))-INDEX(定員チェック!$I$7:$I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IF(R115="","",IFERROR(MATCH(R115,希望入力!$M$5:$M$554,0),""))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50">
        <f>IF(P116="","",INDEX(前年度名簿!$H$3:$H$452,P116))</f>
        <v/>
      </c>
      <c r="B116" s="50">
        <f>IF(P116="","",IFERROR(INDEX(設定!$G$8:$G$31,INT(INDEX(前年度名簿!$G$3:$G$452,P116)/1000)),INDEX(前年度名簿!$A$3:$A$452,P116)&amp;INDEX(前年度名簿!$B$3:$B$452,P116)))</f>
        <v/>
      </c>
      <c r="C116" s="50">
        <f>IF(P116="","",INDEX(前年度名簿!$C$3:$C$452,P116))</f>
        <v/>
      </c>
      <c r="D116" s="4">
        <f>IF(P116="","",INDEX(前年度名簿!$D$3:$D$452,P116))</f>
        <v/>
      </c>
      <c r="E116" s="50">
        <f>IF(T116="","",INDEX(新年度名簿!$K$3:$K$452,T116))</f>
        <v/>
      </c>
      <c r="F116" s="50">
        <f>IF(T116="","",INDEX(新年度名簿!$C$3:$C$452,T116))</f>
        <v/>
      </c>
      <c r="G116" s="50">
        <f>IF(Q116="","",INDEX(希望入力!$H$5:$H$554,Q116)&amp;"")</f>
        <v/>
      </c>
      <c r="H116" s="50">
        <f>IF(Q116="","",INDEX(希望入力!$I$5:$I$554,Q116)&amp;"")</f>
        <v/>
      </c>
      <c r="I116" s="50">
        <f>IF(Q116="","",INDEX(希望入力!$J$5:$J$554,Q116)&amp;"")</f>
        <v/>
      </c>
      <c r="J116" s="50">
        <f>IF(Q116="","",IF(G116="転出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)</f>
        <v/>
      </c>
      <c r="K116" s="49" t="n"/>
      <c r="L116" s="56">
        <f>IF(P116="","",IF(G116="転出","",IF(K116&lt;&gt;"",K116,IF(OR(J116="",J116="要調整"),"",J116))))</f>
        <v/>
      </c>
      <c r="M116" s="50">
        <f>IF(P116="","",IF(OR(G116="転出",AND(計算用!$B$1=1,T116="")),"転出",IF(L116&lt;&gt;"","決定",IF(Q116="","未提出","要調整"))))</f>
        <v/>
      </c>
      <c r="N116" s="50">
        <f>IF(OR(M116&lt;&gt;"要調整",H116=""),"",IFERROR((INDEX(設定!$Q$8:$Q$27,MATCH(H116,設定!$P$8:$P$27,0))+N(INDEX(設定!$R$8:$R$27,MATCH(H116,設定!$P$8:$P$27,0))))-INDEX(定員チェック!$I$7:$I$26,MATCH(H116,設定!$P$8:$P$27,0))-COUNTIFS($M$7:$M$456,"要調整",$G$7:$G$456,H116),""))</f>
        <v/>
      </c>
      <c r="O116" s="50">
        <f>IF(OR(M116&lt;&gt;"要調整",I116=""),"",IFERROR((INDEX(設定!$Q$8:$Q$27,MATCH(I116,設定!$P$8:$P$27,0))+N(INDEX(設定!$R$8:$R$27,MATCH(I116,設定!$P$8:$P$27,0))))-INDEX(定員チェック!$I$7:$I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IF(R116="","",IFERROR(MATCH(R116,希望入力!$M$5:$M$554,0),""))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50">
        <f>IF(P117="","",INDEX(前年度名簿!$H$3:$H$452,P117))</f>
        <v/>
      </c>
      <c r="B117" s="50">
        <f>IF(P117="","",IFERROR(INDEX(設定!$G$8:$G$31,INT(INDEX(前年度名簿!$G$3:$G$452,P117)/1000)),INDEX(前年度名簿!$A$3:$A$452,P117)&amp;INDEX(前年度名簿!$B$3:$B$452,P117)))</f>
        <v/>
      </c>
      <c r="C117" s="50">
        <f>IF(P117="","",INDEX(前年度名簿!$C$3:$C$452,P117))</f>
        <v/>
      </c>
      <c r="D117" s="4">
        <f>IF(P117="","",INDEX(前年度名簿!$D$3:$D$452,P117))</f>
        <v/>
      </c>
      <c r="E117" s="50">
        <f>IF(T117="","",INDEX(新年度名簿!$K$3:$K$452,T117))</f>
        <v/>
      </c>
      <c r="F117" s="50">
        <f>IF(T117="","",INDEX(新年度名簿!$C$3:$C$452,T117))</f>
        <v/>
      </c>
      <c r="G117" s="50">
        <f>IF(Q117="","",INDEX(希望入力!$H$5:$H$554,Q117)&amp;"")</f>
        <v/>
      </c>
      <c r="H117" s="50">
        <f>IF(Q117="","",INDEX(希望入力!$I$5:$I$554,Q117)&amp;"")</f>
        <v/>
      </c>
      <c r="I117" s="50">
        <f>IF(Q117="","",INDEX(希望入力!$J$5:$J$554,Q117)&amp;"")</f>
        <v/>
      </c>
      <c r="J117" s="50">
        <f>IF(Q117="","",IF(G117="転出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)</f>
        <v/>
      </c>
      <c r="K117" s="49" t="n"/>
      <c r="L117" s="56">
        <f>IF(P117="","",IF(G117="転出","",IF(K117&lt;&gt;"",K117,IF(OR(J117="",J117="要調整"),"",J117))))</f>
        <v/>
      </c>
      <c r="M117" s="50">
        <f>IF(P117="","",IF(OR(G117="転出",AND(計算用!$B$1=1,T117="")),"転出",IF(L117&lt;&gt;"","決定",IF(Q117="","未提出","要調整"))))</f>
        <v/>
      </c>
      <c r="N117" s="50">
        <f>IF(OR(M117&lt;&gt;"要調整",H117=""),"",IFERROR((INDEX(設定!$Q$8:$Q$27,MATCH(H117,設定!$P$8:$P$27,0))+N(INDEX(設定!$R$8:$R$27,MATCH(H117,設定!$P$8:$P$27,0))))-INDEX(定員チェック!$I$7:$I$26,MATCH(H117,設定!$P$8:$P$27,0))-COUNTIFS($M$7:$M$456,"要調整",$G$7:$G$456,H117),""))</f>
        <v/>
      </c>
      <c r="O117" s="50">
        <f>IF(OR(M117&lt;&gt;"要調整",I117=""),"",IFERROR((INDEX(設定!$Q$8:$Q$27,MATCH(I117,設定!$P$8:$P$27,0))+N(INDEX(設定!$R$8:$R$27,MATCH(I117,設定!$P$8:$P$27,0))))-INDEX(定員チェック!$I$7:$I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IF(R117="","",IFERROR(MATCH(R117,希望入力!$M$5:$M$554,0),""))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50">
        <f>IF(P118="","",INDEX(前年度名簿!$H$3:$H$452,P118))</f>
        <v/>
      </c>
      <c r="B118" s="50">
        <f>IF(P118="","",IFERROR(INDEX(設定!$G$8:$G$31,INT(INDEX(前年度名簿!$G$3:$G$452,P118)/1000)),INDEX(前年度名簿!$A$3:$A$452,P118)&amp;INDEX(前年度名簿!$B$3:$B$452,P118)))</f>
        <v/>
      </c>
      <c r="C118" s="50">
        <f>IF(P118="","",INDEX(前年度名簿!$C$3:$C$452,P118))</f>
        <v/>
      </c>
      <c r="D118" s="4">
        <f>IF(P118="","",INDEX(前年度名簿!$D$3:$D$452,P118))</f>
        <v/>
      </c>
      <c r="E118" s="50">
        <f>IF(T118="","",INDEX(新年度名簿!$K$3:$K$452,T118))</f>
        <v/>
      </c>
      <c r="F118" s="50">
        <f>IF(T118="","",INDEX(新年度名簿!$C$3:$C$452,T118))</f>
        <v/>
      </c>
      <c r="G118" s="50">
        <f>IF(Q118="","",INDEX(希望入力!$H$5:$H$554,Q118)&amp;"")</f>
        <v/>
      </c>
      <c r="H118" s="50">
        <f>IF(Q118="","",INDEX(希望入力!$I$5:$I$554,Q118)&amp;"")</f>
        <v/>
      </c>
      <c r="I118" s="50">
        <f>IF(Q118="","",INDEX(希望入力!$J$5:$J$554,Q118)&amp;"")</f>
        <v/>
      </c>
      <c r="J118" s="50">
        <f>IF(Q118="","",IF(G118="転出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)</f>
        <v/>
      </c>
      <c r="K118" s="49" t="n"/>
      <c r="L118" s="56">
        <f>IF(P118="","",IF(G118="転出","",IF(K118&lt;&gt;"",K118,IF(OR(J118="",J118="要調整"),"",J118))))</f>
        <v/>
      </c>
      <c r="M118" s="50">
        <f>IF(P118="","",IF(OR(G118="転出",AND(計算用!$B$1=1,T118="")),"転出",IF(L118&lt;&gt;"","決定",IF(Q118="","未提出","要調整"))))</f>
        <v/>
      </c>
      <c r="N118" s="50">
        <f>IF(OR(M118&lt;&gt;"要調整",H118=""),"",IFERROR((INDEX(設定!$Q$8:$Q$27,MATCH(H118,設定!$P$8:$P$27,0))+N(INDEX(設定!$R$8:$R$27,MATCH(H118,設定!$P$8:$P$27,0))))-INDEX(定員チェック!$I$7:$I$26,MATCH(H118,設定!$P$8:$P$27,0))-COUNTIFS($M$7:$M$456,"要調整",$G$7:$G$456,H118),""))</f>
        <v/>
      </c>
      <c r="O118" s="50">
        <f>IF(OR(M118&lt;&gt;"要調整",I118=""),"",IFERROR((INDEX(設定!$Q$8:$Q$27,MATCH(I118,設定!$P$8:$P$27,0))+N(INDEX(設定!$R$8:$R$27,MATCH(I118,設定!$P$8:$P$27,0))))-INDEX(定員チェック!$I$7:$I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IF(R118="","",IFERROR(MATCH(R118,希望入力!$M$5:$M$554,0),""))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50">
        <f>IF(P119="","",INDEX(前年度名簿!$H$3:$H$452,P119))</f>
        <v/>
      </c>
      <c r="B119" s="50">
        <f>IF(P119="","",IFERROR(INDEX(設定!$G$8:$G$31,INT(INDEX(前年度名簿!$G$3:$G$452,P119)/1000)),INDEX(前年度名簿!$A$3:$A$452,P119)&amp;INDEX(前年度名簿!$B$3:$B$452,P119)))</f>
        <v/>
      </c>
      <c r="C119" s="50">
        <f>IF(P119="","",INDEX(前年度名簿!$C$3:$C$452,P119))</f>
        <v/>
      </c>
      <c r="D119" s="4">
        <f>IF(P119="","",INDEX(前年度名簿!$D$3:$D$452,P119))</f>
        <v/>
      </c>
      <c r="E119" s="50">
        <f>IF(T119="","",INDEX(新年度名簿!$K$3:$K$452,T119))</f>
        <v/>
      </c>
      <c r="F119" s="50">
        <f>IF(T119="","",INDEX(新年度名簿!$C$3:$C$452,T119))</f>
        <v/>
      </c>
      <c r="G119" s="50">
        <f>IF(Q119="","",INDEX(希望入力!$H$5:$H$554,Q119)&amp;"")</f>
        <v/>
      </c>
      <c r="H119" s="50">
        <f>IF(Q119="","",INDEX(希望入力!$I$5:$I$554,Q119)&amp;"")</f>
        <v/>
      </c>
      <c r="I119" s="50">
        <f>IF(Q119="","",INDEX(希望入力!$J$5:$J$554,Q119)&amp;"")</f>
        <v/>
      </c>
      <c r="J119" s="50">
        <f>IF(Q119="","",IF(G119="転出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)</f>
        <v/>
      </c>
      <c r="K119" s="49" t="n"/>
      <c r="L119" s="56">
        <f>IF(P119="","",IF(G119="転出","",IF(K119&lt;&gt;"",K119,IF(OR(J119="",J119="要調整"),"",J119))))</f>
        <v/>
      </c>
      <c r="M119" s="50">
        <f>IF(P119="","",IF(OR(G119="転出",AND(計算用!$B$1=1,T119="")),"転出",IF(L119&lt;&gt;"","決定",IF(Q119="","未提出","要調整"))))</f>
        <v/>
      </c>
      <c r="N119" s="50">
        <f>IF(OR(M119&lt;&gt;"要調整",H119=""),"",IFERROR((INDEX(設定!$Q$8:$Q$27,MATCH(H119,設定!$P$8:$P$27,0))+N(INDEX(設定!$R$8:$R$27,MATCH(H119,設定!$P$8:$P$27,0))))-INDEX(定員チェック!$I$7:$I$26,MATCH(H119,設定!$P$8:$P$27,0))-COUNTIFS($M$7:$M$456,"要調整",$G$7:$G$456,H119),""))</f>
        <v/>
      </c>
      <c r="O119" s="50">
        <f>IF(OR(M119&lt;&gt;"要調整",I119=""),"",IFERROR((INDEX(設定!$Q$8:$Q$27,MATCH(I119,設定!$P$8:$P$27,0))+N(INDEX(設定!$R$8:$R$27,MATCH(I119,設定!$P$8:$P$27,0))))-INDEX(定員チェック!$I$7:$I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IF(R119="","",IFERROR(MATCH(R119,希望入力!$M$5:$M$554,0),""))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50">
        <f>IF(P120="","",INDEX(前年度名簿!$H$3:$H$452,P120))</f>
        <v/>
      </c>
      <c r="B120" s="50">
        <f>IF(P120="","",IFERROR(INDEX(設定!$G$8:$G$31,INT(INDEX(前年度名簿!$G$3:$G$452,P120)/1000)),INDEX(前年度名簿!$A$3:$A$452,P120)&amp;INDEX(前年度名簿!$B$3:$B$452,P120)))</f>
        <v/>
      </c>
      <c r="C120" s="50">
        <f>IF(P120="","",INDEX(前年度名簿!$C$3:$C$452,P120))</f>
        <v/>
      </c>
      <c r="D120" s="4">
        <f>IF(P120="","",INDEX(前年度名簿!$D$3:$D$452,P120))</f>
        <v/>
      </c>
      <c r="E120" s="50">
        <f>IF(T120="","",INDEX(新年度名簿!$K$3:$K$452,T120))</f>
        <v/>
      </c>
      <c r="F120" s="50">
        <f>IF(T120="","",INDEX(新年度名簿!$C$3:$C$452,T120))</f>
        <v/>
      </c>
      <c r="G120" s="50">
        <f>IF(Q120="","",INDEX(希望入力!$H$5:$H$554,Q120)&amp;"")</f>
        <v/>
      </c>
      <c r="H120" s="50">
        <f>IF(Q120="","",INDEX(希望入力!$I$5:$I$554,Q120)&amp;"")</f>
        <v/>
      </c>
      <c r="I120" s="50">
        <f>IF(Q120="","",INDEX(希望入力!$J$5:$J$554,Q120)&amp;"")</f>
        <v/>
      </c>
      <c r="J120" s="50">
        <f>IF(Q120="","",IF(G120="転出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)</f>
        <v/>
      </c>
      <c r="K120" s="49" t="n"/>
      <c r="L120" s="56">
        <f>IF(P120="","",IF(G120="転出","",IF(K120&lt;&gt;"",K120,IF(OR(J120="",J120="要調整"),"",J120))))</f>
        <v/>
      </c>
      <c r="M120" s="50">
        <f>IF(P120="","",IF(OR(G120="転出",AND(計算用!$B$1=1,T120="")),"転出",IF(L120&lt;&gt;"","決定",IF(Q120="","未提出","要調整"))))</f>
        <v/>
      </c>
      <c r="N120" s="50">
        <f>IF(OR(M120&lt;&gt;"要調整",H120=""),"",IFERROR((INDEX(設定!$Q$8:$Q$27,MATCH(H120,設定!$P$8:$P$27,0))+N(INDEX(設定!$R$8:$R$27,MATCH(H120,設定!$P$8:$P$27,0))))-INDEX(定員チェック!$I$7:$I$26,MATCH(H120,設定!$P$8:$P$27,0))-COUNTIFS($M$7:$M$456,"要調整",$G$7:$G$456,H120),""))</f>
        <v/>
      </c>
      <c r="O120" s="50">
        <f>IF(OR(M120&lt;&gt;"要調整",I120=""),"",IFERROR((INDEX(設定!$Q$8:$Q$27,MATCH(I120,設定!$P$8:$P$27,0))+N(INDEX(設定!$R$8:$R$27,MATCH(I120,設定!$P$8:$P$27,0))))-INDEX(定員チェック!$I$7:$I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IF(R120="","",IFERROR(MATCH(R120,希望入力!$M$5:$M$554,0),""))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50">
        <f>IF(P121="","",INDEX(前年度名簿!$H$3:$H$452,P121))</f>
        <v/>
      </c>
      <c r="B121" s="50">
        <f>IF(P121="","",IFERROR(INDEX(設定!$G$8:$G$31,INT(INDEX(前年度名簿!$G$3:$G$452,P121)/1000)),INDEX(前年度名簿!$A$3:$A$452,P121)&amp;INDEX(前年度名簿!$B$3:$B$452,P121)))</f>
        <v/>
      </c>
      <c r="C121" s="50">
        <f>IF(P121="","",INDEX(前年度名簿!$C$3:$C$452,P121))</f>
        <v/>
      </c>
      <c r="D121" s="4">
        <f>IF(P121="","",INDEX(前年度名簿!$D$3:$D$452,P121))</f>
        <v/>
      </c>
      <c r="E121" s="50">
        <f>IF(T121="","",INDEX(新年度名簿!$K$3:$K$452,T121))</f>
        <v/>
      </c>
      <c r="F121" s="50">
        <f>IF(T121="","",INDEX(新年度名簿!$C$3:$C$452,T121))</f>
        <v/>
      </c>
      <c r="G121" s="50">
        <f>IF(Q121="","",INDEX(希望入力!$H$5:$H$554,Q121)&amp;"")</f>
        <v/>
      </c>
      <c r="H121" s="50">
        <f>IF(Q121="","",INDEX(希望入力!$I$5:$I$554,Q121)&amp;"")</f>
        <v/>
      </c>
      <c r="I121" s="50">
        <f>IF(Q121="","",INDEX(希望入力!$J$5:$J$554,Q121)&amp;"")</f>
        <v/>
      </c>
      <c r="J121" s="50">
        <f>IF(Q121="","",IF(G121="転出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)</f>
        <v/>
      </c>
      <c r="K121" s="49" t="n"/>
      <c r="L121" s="56">
        <f>IF(P121="","",IF(G121="転出","",IF(K121&lt;&gt;"",K121,IF(OR(J121="",J121="要調整"),"",J121))))</f>
        <v/>
      </c>
      <c r="M121" s="50">
        <f>IF(P121="","",IF(OR(G121="転出",AND(計算用!$B$1=1,T121="")),"転出",IF(L121&lt;&gt;"","決定",IF(Q121="","未提出","要調整"))))</f>
        <v/>
      </c>
      <c r="N121" s="50">
        <f>IF(OR(M121&lt;&gt;"要調整",H121=""),"",IFERROR((INDEX(設定!$Q$8:$Q$27,MATCH(H121,設定!$P$8:$P$27,0))+N(INDEX(設定!$R$8:$R$27,MATCH(H121,設定!$P$8:$P$27,0))))-INDEX(定員チェック!$I$7:$I$26,MATCH(H121,設定!$P$8:$P$27,0))-COUNTIFS($M$7:$M$456,"要調整",$G$7:$G$456,H121),""))</f>
        <v/>
      </c>
      <c r="O121" s="50">
        <f>IF(OR(M121&lt;&gt;"要調整",I121=""),"",IFERROR((INDEX(設定!$Q$8:$Q$27,MATCH(I121,設定!$P$8:$P$27,0))+N(INDEX(設定!$R$8:$R$27,MATCH(I121,設定!$P$8:$P$27,0))))-INDEX(定員チェック!$I$7:$I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IF(R121="","",IFERROR(MATCH(R121,希望入力!$M$5:$M$554,0),""))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50">
        <f>IF(P122="","",INDEX(前年度名簿!$H$3:$H$452,P122))</f>
        <v/>
      </c>
      <c r="B122" s="50">
        <f>IF(P122="","",IFERROR(INDEX(設定!$G$8:$G$31,INT(INDEX(前年度名簿!$G$3:$G$452,P122)/1000)),INDEX(前年度名簿!$A$3:$A$452,P122)&amp;INDEX(前年度名簿!$B$3:$B$452,P122)))</f>
        <v/>
      </c>
      <c r="C122" s="50">
        <f>IF(P122="","",INDEX(前年度名簿!$C$3:$C$452,P122))</f>
        <v/>
      </c>
      <c r="D122" s="4">
        <f>IF(P122="","",INDEX(前年度名簿!$D$3:$D$452,P122))</f>
        <v/>
      </c>
      <c r="E122" s="50">
        <f>IF(T122="","",INDEX(新年度名簿!$K$3:$K$452,T122))</f>
        <v/>
      </c>
      <c r="F122" s="50">
        <f>IF(T122="","",INDEX(新年度名簿!$C$3:$C$452,T122))</f>
        <v/>
      </c>
      <c r="G122" s="50">
        <f>IF(Q122="","",INDEX(希望入力!$H$5:$H$554,Q122)&amp;"")</f>
        <v/>
      </c>
      <c r="H122" s="50">
        <f>IF(Q122="","",INDEX(希望入力!$I$5:$I$554,Q122)&amp;"")</f>
        <v/>
      </c>
      <c r="I122" s="50">
        <f>IF(Q122="","",INDEX(希望入力!$J$5:$J$554,Q122)&amp;"")</f>
        <v/>
      </c>
      <c r="J122" s="50">
        <f>IF(Q122="","",IF(G122="転出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)</f>
        <v/>
      </c>
      <c r="K122" s="49" t="n"/>
      <c r="L122" s="56">
        <f>IF(P122="","",IF(G122="転出","",IF(K122&lt;&gt;"",K122,IF(OR(J122="",J122="要調整"),"",J122))))</f>
        <v/>
      </c>
      <c r="M122" s="50">
        <f>IF(P122="","",IF(OR(G122="転出",AND(計算用!$B$1=1,T122="")),"転出",IF(L122&lt;&gt;"","決定",IF(Q122="","未提出","要調整"))))</f>
        <v/>
      </c>
      <c r="N122" s="50">
        <f>IF(OR(M122&lt;&gt;"要調整",H122=""),"",IFERROR((INDEX(設定!$Q$8:$Q$27,MATCH(H122,設定!$P$8:$P$27,0))+N(INDEX(設定!$R$8:$R$27,MATCH(H122,設定!$P$8:$P$27,0))))-INDEX(定員チェック!$I$7:$I$26,MATCH(H122,設定!$P$8:$P$27,0))-COUNTIFS($M$7:$M$456,"要調整",$G$7:$G$456,H122),""))</f>
        <v/>
      </c>
      <c r="O122" s="50">
        <f>IF(OR(M122&lt;&gt;"要調整",I122=""),"",IFERROR((INDEX(設定!$Q$8:$Q$27,MATCH(I122,設定!$P$8:$P$27,0))+N(INDEX(設定!$R$8:$R$27,MATCH(I122,設定!$P$8:$P$27,0))))-INDEX(定員チェック!$I$7:$I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IF(R122="","",IFERROR(MATCH(R122,希望入力!$M$5:$M$554,0),""))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50">
        <f>IF(P123="","",INDEX(前年度名簿!$H$3:$H$452,P123))</f>
        <v/>
      </c>
      <c r="B123" s="50">
        <f>IF(P123="","",IFERROR(INDEX(設定!$G$8:$G$31,INT(INDEX(前年度名簿!$G$3:$G$452,P123)/1000)),INDEX(前年度名簿!$A$3:$A$452,P123)&amp;INDEX(前年度名簿!$B$3:$B$452,P123)))</f>
        <v/>
      </c>
      <c r="C123" s="50">
        <f>IF(P123="","",INDEX(前年度名簿!$C$3:$C$452,P123))</f>
        <v/>
      </c>
      <c r="D123" s="4">
        <f>IF(P123="","",INDEX(前年度名簿!$D$3:$D$452,P123))</f>
        <v/>
      </c>
      <c r="E123" s="50">
        <f>IF(T123="","",INDEX(新年度名簿!$K$3:$K$452,T123))</f>
        <v/>
      </c>
      <c r="F123" s="50">
        <f>IF(T123="","",INDEX(新年度名簿!$C$3:$C$452,T123))</f>
        <v/>
      </c>
      <c r="G123" s="50">
        <f>IF(Q123="","",INDEX(希望入力!$H$5:$H$554,Q123)&amp;"")</f>
        <v/>
      </c>
      <c r="H123" s="50">
        <f>IF(Q123="","",INDEX(希望入力!$I$5:$I$554,Q123)&amp;"")</f>
        <v/>
      </c>
      <c r="I123" s="50">
        <f>IF(Q123="","",INDEX(希望入力!$J$5:$J$554,Q123)&amp;"")</f>
        <v/>
      </c>
      <c r="J123" s="50">
        <f>IF(Q123="","",IF(G123="転出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)</f>
        <v/>
      </c>
      <c r="K123" s="49" t="n"/>
      <c r="L123" s="56">
        <f>IF(P123="","",IF(G123="転出","",IF(K123&lt;&gt;"",K123,IF(OR(J123="",J123="要調整"),"",J123))))</f>
        <v/>
      </c>
      <c r="M123" s="50">
        <f>IF(P123="","",IF(OR(G123="転出",AND(計算用!$B$1=1,T123="")),"転出",IF(L123&lt;&gt;"","決定",IF(Q123="","未提出","要調整"))))</f>
        <v/>
      </c>
      <c r="N123" s="50">
        <f>IF(OR(M123&lt;&gt;"要調整",H123=""),"",IFERROR((INDEX(設定!$Q$8:$Q$27,MATCH(H123,設定!$P$8:$P$27,0))+N(INDEX(設定!$R$8:$R$27,MATCH(H123,設定!$P$8:$P$27,0))))-INDEX(定員チェック!$I$7:$I$26,MATCH(H123,設定!$P$8:$P$27,0))-COUNTIFS($M$7:$M$456,"要調整",$G$7:$G$456,H123),""))</f>
        <v/>
      </c>
      <c r="O123" s="50">
        <f>IF(OR(M123&lt;&gt;"要調整",I123=""),"",IFERROR((INDEX(設定!$Q$8:$Q$27,MATCH(I123,設定!$P$8:$P$27,0))+N(INDEX(設定!$R$8:$R$27,MATCH(I123,設定!$P$8:$P$27,0))))-INDEX(定員チェック!$I$7:$I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IF(R123="","",IFERROR(MATCH(R123,希望入力!$M$5:$M$554,0),""))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50">
        <f>IF(P124="","",INDEX(前年度名簿!$H$3:$H$452,P124))</f>
        <v/>
      </c>
      <c r="B124" s="50">
        <f>IF(P124="","",IFERROR(INDEX(設定!$G$8:$G$31,INT(INDEX(前年度名簿!$G$3:$G$452,P124)/1000)),INDEX(前年度名簿!$A$3:$A$452,P124)&amp;INDEX(前年度名簿!$B$3:$B$452,P124)))</f>
        <v/>
      </c>
      <c r="C124" s="50">
        <f>IF(P124="","",INDEX(前年度名簿!$C$3:$C$452,P124))</f>
        <v/>
      </c>
      <c r="D124" s="4">
        <f>IF(P124="","",INDEX(前年度名簿!$D$3:$D$452,P124))</f>
        <v/>
      </c>
      <c r="E124" s="50">
        <f>IF(T124="","",INDEX(新年度名簿!$K$3:$K$452,T124))</f>
        <v/>
      </c>
      <c r="F124" s="50">
        <f>IF(T124="","",INDEX(新年度名簿!$C$3:$C$452,T124))</f>
        <v/>
      </c>
      <c r="G124" s="50">
        <f>IF(Q124="","",INDEX(希望入力!$H$5:$H$554,Q124)&amp;"")</f>
        <v/>
      </c>
      <c r="H124" s="50">
        <f>IF(Q124="","",INDEX(希望入力!$I$5:$I$554,Q124)&amp;"")</f>
        <v/>
      </c>
      <c r="I124" s="50">
        <f>IF(Q124="","",INDEX(希望入力!$J$5:$J$554,Q124)&amp;"")</f>
        <v/>
      </c>
      <c r="J124" s="50">
        <f>IF(Q124="","",IF(G124="転出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)</f>
        <v/>
      </c>
      <c r="K124" s="49" t="n"/>
      <c r="L124" s="56">
        <f>IF(P124="","",IF(G124="転出","",IF(K124&lt;&gt;"",K124,IF(OR(J124="",J124="要調整"),"",J124))))</f>
        <v/>
      </c>
      <c r="M124" s="50">
        <f>IF(P124="","",IF(OR(G124="転出",AND(計算用!$B$1=1,T124="")),"転出",IF(L124&lt;&gt;"","決定",IF(Q124="","未提出","要調整"))))</f>
        <v/>
      </c>
      <c r="N124" s="50">
        <f>IF(OR(M124&lt;&gt;"要調整",H124=""),"",IFERROR((INDEX(設定!$Q$8:$Q$27,MATCH(H124,設定!$P$8:$P$27,0))+N(INDEX(設定!$R$8:$R$27,MATCH(H124,設定!$P$8:$P$27,0))))-INDEX(定員チェック!$I$7:$I$26,MATCH(H124,設定!$P$8:$P$27,0))-COUNTIFS($M$7:$M$456,"要調整",$G$7:$G$456,H124),""))</f>
        <v/>
      </c>
      <c r="O124" s="50">
        <f>IF(OR(M124&lt;&gt;"要調整",I124=""),"",IFERROR((INDEX(設定!$Q$8:$Q$27,MATCH(I124,設定!$P$8:$P$27,0))+N(INDEX(設定!$R$8:$R$27,MATCH(I124,設定!$P$8:$P$27,0))))-INDEX(定員チェック!$I$7:$I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IF(R124="","",IFERROR(MATCH(R124,希望入力!$M$5:$M$554,0),""))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50">
        <f>IF(P125="","",INDEX(前年度名簿!$H$3:$H$452,P125))</f>
        <v/>
      </c>
      <c r="B125" s="50">
        <f>IF(P125="","",IFERROR(INDEX(設定!$G$8:$G$31,INT(INDEX(前年度名簿!$G$3:$G$452,P125)/1000)),INDEX(前年度名簿!$A$3:$A$452,P125)&amp;INDEX(前年度名簿!$B$3:$B$452,P125)))</f>
        <v/>
      </c>
      <c r="C125" s="50">
        <f>IF(P125="","",INDEX(前年度名簿!$C$3:$C$452,P125))</f>
        <v/>
      </c>
      <c r="D125" s="4">
        <f>IF(P125="","",INDEX(前年度名簿!$D$3:$D$452,P125))</f>
        <v/>
      </c>
      <c r="E125" s="50">
        <f>IF(T125="","",INDEX(新年度名簿!$K$3:$K$452,T125))</f>
        <v/>
      </c>
      <c r="F125" s="50">
        <f>IF(T125="","",INDEX(新年度名簿!$C$3:$C$452,T125))</f>
        <v/>
      </c>
      <c r="G125" s="50">
        <f>IF(Q125="","",INDEX(希望入力!$H$5:$H$554,Q125)&amp;"")</f>
        <v/>
      </c>
      <c r="H125" s="50">
        <f>IF(Q125="","",INDEX(希望入力!$I$5:$I$554,Q125)&amp;"")</f>
        <v/>
      </c>
      <c r="I125" s="50">
        <f>IF(Q125="","",INDEX(希望入力!$J$5:$J$554,Q125)&amp;"")</f>
        <v/>
      </c>
      <c r="J125" s="50">
        <f>IF(Q125="","",IF(G125="転出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)</f>
        <v/>
      </c>
      <c r="K125" s="49" t="n"/>
      <c r="L125" s="56">
        <f>IF(P125="","",IF(G125="転出","",IF(K125&lt;&gt;"",K125,IF(OR(J125="",J125="要調整"),"",J125))))</f>
        <v/>
      </c>
      <c r="M125" s="50">
        <f>IF(P125="","",IF(OR(G125="転出",AND(計算用!$B$1=1,T125="")),"転出",IF(L125&lt;&gt;"","決定",IF(Q125="","未提出","要調整"))))</f>
        <v/>
      </c>
      <c r="N125" s="50">
        <f>IF(OR(M125&lt;&gt;"要調整",H125=""),"",IFERROR((INDEX(設定!$Q$8:$Q$27,MATCH(H125,設定!$P$8:$P$27,0))+N(INDEX(設定!$R$8:$R$27,MATCH(H125,設定!$P$8:$P$27,0))))-INDEX(定員チェック!$I$7:$I$26,MATCH(H125,設定!$P$8:$P$27,0))-COUNTIFS($M$7:$M$456,"要調整",$G$7:$G$456,H125),""))</f>
        <v/>
      </c>
      <c r="O125" s="50">
        <f>IF(OR(M125&lt;&gt;"要調整",I125=""),"",IFERROR((INDEX(設定!$Q$8:$Q$27,MATCH(I125,設定!$P$8:$P$27,0))+N(INDEX(設定!$R$8:$R$27,MATCH(I125,設定!$P$8:$P$27,0))))-INDEX(定員チェック!$I$7:$I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IF(R125="","",IFERROR(MATCH(R125,希望入力!$M$5:$M$554,0),""))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50">
        <f>IF(P126="","",INDEX(前年度名簿!$H$3:$H$452,P126))</f>
        <v/>
      </c>
      <c r="B126" s="50">
        <f>IF(P126="","",IFERROR(INDEX(設定!$G$8:$G$31,INT(INDEX(前年度名簿!$G$3:$G$452,P126)/1000)),INDEX(前年度名簿!$A$3:$A$452,P126)&amp;INDEX(前年度名簿!$B$3:$B$452,P126)))</f>
        <v/>
      </c>
      <c r="C126" s="50">
        <f>IF(P126="","",INDEX(前年度名簿!$C$3:$C$452,P126))</f>
        <v/>
      </c>
      <c r="D126" s="4">
        <f>IF(P126="","",INDEX(前年度名簿!$D$3:$D$452,P126))</f>
        <v/>
      </c>
      <c r="E126" s="50">
        <f>IF(T126="","",INDEX(新年度名簿!$K$3:$K$452,T126))</f>
        <v/>
      </c>
      <c r="F126" s="50">
        <f>IF(T126="","",INDEX(新年度名簿!$C$3:$C$452,T126))</f>
        <v/>
      </c>
      <c r="G126" s="50">
        <f>IF(Q126="","",INDEX(希望入力!$H$5:$H$554,Q126)&amp;"")</f>
        <v/>
      </c>
      <c r="H126" s="50">
        <f>IF(Q126="","",INDEX(希望入力!$I$5:$I$554,Q126)&amp;"")</f>
        <v/>
      </c>
      <c r="I126" s="50">
        <f>IF(Q126="","",INDEX(希望入力!$J$5:$J$554,Q126)&amp;"")</f>
        <v/>
      </c>
      <c r="J126" s="50">
        <f>IF(Q126="","",IF(G126="転出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)</f>
        <v/>
      </c>
      <c r="K126" s="49" t="n"/>
      <c r="L126" s="56">
        <f>IF(P126="","",IF(G126="転出","",IF(K126&lt;&gt;"",K126,IF(OR(J126="",J126="要調整"),"",J126))))</f>
        <v/>
      </c>
      <c r="M126" s="50">
        <f>IF(P126="","",IF(OR(G126="転出",AND(計算用!$B$1=1,T126="")),"転出",IF(L126&lt;&gt;"","決定",IF(Q126="","未提出","要調整"))))</f>
        <v/>
      </c>
      <c r="N126" s="50">
        <f>IF(OR(M126&lt;&gt;"要調整",H126=""),"",IFERROR((INDEX(設定!$Q$8:$Q$27,MATCH(H126,設定!$P$8:$P$27,0))+N(INDEX(設定!$R$8:$R$27,MATCH(H126,設定!$P$8:$P$27,0))))-INDEX(定員チェック!$I$7:$I$26,MATCH(H126,設定!$P$8:$P$27,0))-COUNTIFS($M$7:$M$456,"要調整",$G$7:$G$456,H126),""))</f>
        <v/>
      </c>
      <c r="O126" s="50">
        <f>IF(OR(M126&lt;&gt;"要調整",I126=""),"",IFERROR((INDEX(設定!$Q$8:$Q$27,MATCH(I126,設定!$P$8:$P$27,0))+N(INDEX(設定!$R$8:$R$27,MATCH(I126,設定!$P$8:$P$27,0))))-INDEX(定員チェック!$I$7:$I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IF(R126="","",IFERROR(MATCH(R126,希望入力!$M$5:$M$554,0),""))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50">
        <f>IF(P127="","",INDEX(前年度名簿!$H$3:$H$452,P127))</f>
        <v/>
      </c>
      <c r="B127" s="50">
        <f>IF(P127="","",IFERROR(INDEX(設定!$G$8:$G$31,INT(INDEX(前年度名簿!$G$3:$G$452,P127)/1000)),INDEX(前年度名簿!$A$3:$A$452,P127)&amp;INDEX(前年度名簿!$B$3:$B$452,P127)))</f>
        <v/>
      </c>
      <c r="C127" s="50">
        <f>IF(P127="","",INDEX(前年度名簿!$C$3:$C$452,P127))</f>
        <v/>
      </c>
      <c r="D127" s="4">
        <f>IF(P127="","",INDEX(前年度名簿!$D$3:$D$452,P127))</f>
        <v/>
      </c>
      <c r="E127" s="50">
        <f>IF(T127="","",INDEX(新年度名簿!$K$3:$K$452,T127))</f>
        <v/>
      </c>
      <c r="F127" s="50">
        <f>IF(T127="","",INDEX(新年度名簿!$C$3:$C$452,T127))</f>
        <v/>
      </c>
      <c r="G127" s="50">
        <f>IF(Q127="","",INDEX(希望入力!$H$5:$H$554,Q127)&amp;"")</f>
        <v/>
      </c>
      <c r="H127" s="50">
        <f>IF(Q127="","",INDEX(希望入力!$I$5:$I$554,Q127)&amp;"")</f>
        <v/>
      </c>
      <c r="I127" s="50">
        <f>IF(Q127="","",INDEX(希望入力!$J$5:$J$554,Q127)&amp;"")</f>
        <v/>
      </c>
      <c r="J127" s="50">
        <f>IF(Q127="","",IF(G127="転出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)</f>
        <v/>
      </c>
      <c r="K127" s="49" t="n"/>
      <c r="L127" s="56">
        <f>IF(P127="","",IF(G127="転出","",IF(K127&lt;&gt;"",K127,IF(OR(J127="",J127="要調整"),"",J127))))</f>
        <v/>
      </c>
      <c r="M127" s="50">
        <f>IF(P127="","",IF(OR(G127="転出",AND(計算用!$B$1=1,T127="")),"転出",IF(L127&lt;&gt;"","決定",IF(Q127="","未提出","要調整"))))</f>
        <v/>
      </c>
      <c r="N127" s="50">
        <f>IF(OR(M127&lt;&gt;"要調整",H127=""),"",IFERROR((INDEX(設定!$Q$8:$Q$27,MATCH(H127,設定!$P$8:$P$27,0))+N(INDEX(設定!$R$8:$R$27,MATCH(H127,設定!$P$8:$P$27,0))))-INDEX(定員チェック!$I$7:$I$26,MATCH(H127,設定!$P$8:$P$27,0))-COUNTIFS($M$7:$M$456,"要調整",$G$7:$G$456,H127),""))</f>
        <v/>
      </c>
      <c r="O127" s="50">
        <f>IF(OR(M127&lt;&gt;"要調整",I127=""),"",IFERROR((INDEX(設定!$Q$8:$Q$27,MATCH(I127,設定!$P$8:$P$27,0))+N(INDEX(設定!$R$8:$R$27,MATCH(I127,設定!$P$8:$P$27,0))))-INDEX(定員チェック!$I$7:$I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IF(R127="","",IFERROR(MATCH(R127,希望入力!$M$5:$M$554,0),""))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50">
        <f>IF(P128="","",INDEX(前年度名簿!$H$3:$H$452,P128))</f>
        <v/>
      </c>
      <c r="B128" s="50">
        <f>IF(P128="","",IFERROR(INDEX(設定!$G$8:$G$31,INT(INDEX(前年度名簿!$G$3:$G$452,P128)/1000)),INDEX(前年度名簿!$A$3:$A$452,P128)&amp;INDEX(前年度名簿!$B$3:$B$452,P128)))</f>
        <v/>
      </c>
      <c r="C128" s="50">
        <f>IF(P128="","",INDEX(前年度名簿!$C$3:$C$452,P128))</f>
        <v/>
      </c>
      <c r="D128" s="4">
        <f>IF(P128="","",INDEX(前年度名簿!$D$3:$D$452,P128))</f>
        <v/>
      </c>
      <c r="E128" s="50">
        <f>IF(T128="","",INDEX(新年度名簿!$K$3:$K$452,T128))</f>
        <v/>
      </c>
      <c r="F128" s="50">
        <f>IF(T128="","",INDEX(新年度名簿!$C$3:$C$452,T128))</f>
        <v/>
      </c>
      <c r="G128" s="50">
        <f>IF(Q128="","",INDEX(希望入力!$H$5:$H$554,Q128)&amp;"")</f>
        <v/>
      </c>
      <c r="H128" s="50">
        <f>IF(Q128="","",INDEX(希望入力!$I$5:$I$554,Q128)&amp;"")</f>
        <v/>
      </c>
      <c r="I128" s="50">
        <f>IF(Q128="","",INDEX(希望入力!$J$5:$J$554,Q128)&amp;"")</f>
        <v/>
      </c>
      <c r="J128" s="50">
        <f>IF(Q128="","",IF(G128="転出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)</f>
        <v/>
      </c>
      <c r="K128" s="49" t="n"/>
      <c r="L128" s="56">
        <f>IF(P128="","",IF(G128="転出","",IF(K128&lt;&gt;"",K128,IF(OR(J128="",J128="要調整"),"",J128))))</f>
        <v/>
      </c>
      <c r="M128" s="50">
        <f>IF(P128="","",IF(OR(G128="転出",AND(計算用!$B$1=1,T128="")),"転出",IF(L128&lt;&gt;"","決定",IF(Q128="","未提出","要調整"))))</f>
        <v/>
      </c>
      <c r="N128" s="50">
        <f>IF(OR(M128&lt;&gt;"要調整",H128=""),"",IFERROR((INDEX(設定!$Q$8:$Q$27,MATCH(H128,設定!$P$8:$P$27,0))+N(INDEX(設定!$R$8:$R$27,MATCH(H128,設定!$P$8:$P$27,0))))-INDEX(定員チェック!$I$7:$I$26,MATCH(H128,設定!$P$8:$P$27,0))-COUNTIFS($M$7:$M$456,"要調整",$G$7:$G$456,H128),""))</f>
        <v/>
      </c>
      <c r="O128" s="50">
        <f>IF(OR(M128&lt;&gt;"要調整",I128=""),"",IFERROR((INDEX(設定!$Q$8:$Q$27,MATCH(I128,設定!$P$8:$P$27,0))+N(INDEX(設定!$R$8:$R$27,MATCH(I128,設定!$P$8:$P$27,0))))-INDEX(定員チェック!$I$7:$I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IF(R128="","",IFERROR(MATCH(R128,希望入力!$M$5:$M$554,0),""))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50">
        <f>IF(P129="","",INDEX(前年度名簿!$H$3:$H$452,P129))</f>
        <v/>
      </c>
      <c r="B129" s="50">
        <f>IF(P129="","",IFERROR(INDEX(設定!$G$8:$G$31,INT(INDEX(前年度名簿!$G$3:$G$452,P129)/1000)),INDEX(前年度名簿!$A$3:$A$452,P129)&amp;INDEX(前年度名簿!$B$3:$B$452,P129)))</f>
        <v/>
      </c>
      <c r="C129" s="50">
        <f>IF(P129="","",INDEX(前年度名簿!$C$3:$C$452,P129))</f>
        <v/>
      </c>
      <c r="D129" s="4">
        <f>IF(P129="","",INDEX(前年度名簿!$D$3:$D$452,P129))</f>
        <v/>
      </c>
      <c r="E129" s="50">
        <f>IF(T129="","",INDEX(新年度名簿!$K$3:$K$452,T129))</f>
        <v/>
      </c>
      <c r="F129" s="50">
        <f>IF(T129="","",INDEX(新年度名簿!$C$3:$C$452,T129))</f>
        <v/>
      </c>
      <c r="G129" s="50">
        <f>IF(Q129="","",INDEX(希望入力!$H$5:$H$554,Q129)&amp;"")</f>
        <v/>
      </c>
      <c r="H129" s="50">
        <f>IF(Q129="","",INDEX(希望入力!$I$5:$I$554,Q129)&amp;"")</f>
        <v/>
      </c>
      <c r="I129" s="50">
        <f>IF(Q129="","",INDEX(希望入力!$J$5:$J$554,Q129)&amp;"")</f>
        <v/>
      </c>
      <c r="J129" s="50">
        <f>IF(Q129="","",IF(G129="転出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)</f>
        <v/>
      </c>
      <c r="K129" s="49" t="n"/>
      <c r="L129" s="56">
        <f>IF(P129="","",IF(G129="転出","",IF(K129&lt;&gt;"",K129,IF(OR(J129="",J129="要調整"),"",J129))))</f>
        <v/>
      </c>
      <c r="M129" s="50">
        <f>IF(P129="","",IF(OR(G129="転出",AND(計算用!$B$1=1,T129="")),"転出",IF(L129&lt;&gt;"","決定",IF(Q129="","未提出","要調整"))))</f>
        <v/>
      </c>
      <c r="N129" s="50">
        <f>IF(OR(M129&lt;&gt;"要調整",H129=""),"",IFERROR((INDEX(設定!$Q$8:$Q$27,MATCH(H129,設定!$P$8:$P$27,0))+N(INDEX(設定!$R$8:$R$27,MATCH(H129,設定!$P$8:$P$27,0))))-INDEX(定員チェック!$I$7:$I$26,MATCH(H129,設定!$P$8:$P$27,0))-COUNTIFS($M$7:$M$456,"要調整",$G$7:$G$456,H129),""))</f>
        <v/>
      </c>
      <c r="O129" s="50">
        <f>IF(OR(M129&lt;&gt;"要調整",I129=""),"",IFERROR((INDEX(設定!$Q$8:$Q$27,MATCH(I129,設定!$P$8:$P$27,0))+N(INDEX(設定!$R$8:$R$27,MATCH(I129,設定!$P$8:$P$27,0))))-INDEX(定員チェック!$I$7:$I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IF(R129="","",IFERROR(MATCH(R129,希望入力!$M$5:$M$554,0),""))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50">
        <f>IF(P130="","",INDEX(前年度名簿!$H$3:$H$452,P130))</f>
        <v/>
      </c>
      <c r="B130" s="50">
        <f>IF(P130="","",IFERROR(INDEX(設定!$G$8:$G$31,INT(INDEX(前年度名簿!$G$3:$G$452,P130)/1000)),INDEX(前年度名簿!$A$3:$A$452,P130)&amp;INDEX(前年度名簿!$B$3:$B$452,P130)))</f>
        <v/>
      </c>
      <c r="C130" s="50">
        <f>IF(P130="","",INDEX(前年度名簿!$C$3:$C$452,P130))</f>
        <v/>
      </c>
      <c r="D130" s="4">
        <f>IF(P130="","",INDEX(前年度名簿!$D$3:$D$452,P130))</f>
        <v/>
      </c>
      <c r="E130" s="50">
        <f>IF(T130="","",INDEX(新年度名簿!$K$3:$K$452,T130))</f>
        <v/>
      </c>
      <c r="F130" s="50">
        <f>IF(T130="","",INDEX(新年度名簿!$C$3:$C$452,T130))</f>
        <v/>
      </c>
      <c r="G130" s="50">
        <f>IF(Q130="","",INDEX(希望入力!$H$5:$H$554,Q130)&amp;"")</f>
        <v/>
      </c>
      <c r="H130" s="50">
        <f>IF(Q130="","",INDEX(希望入力!$I$5:$I$554,Q130)&amp;"")</f>
        <v/>
      </c>
      <c r="I130" s="50">
        <f>IF(Q130="","",INDEX(希望入力!$J$5:$J$554,Q130)&amp;"")</f>
        <v/>
      </c>
      <c r="J130" s="50">
        <f>IF(Q130="","",IF(G130="転出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)</f>
        <v/>
      </c>
      <c r="K130" s="49" t="n"/>
      <c r="L130" s="56">
        <f>IF(P130="","",IF(G130="転出","",IF(K130&lt;&gt;"",K130,IF(OR(J130="",J130="要調整"),"",J130))))</f>
        <v/>
      </c>
      <c r="M130" s="50">
        <f>IF(P130="","",IF(OR(G130="転出",AND(計算用!$B$1=1,T130="")),"転出",IF(L130&lt;&gt;"","決定",IF(Q130="","未提出","要調整"))))</f>
        <v/>
      </c>
      <c r="N130" s="50">
        <f>IF(OR(M130&lt;&gt;"要調整",H130=""),"",IFERROR((INDEX(設定!$Q$8:$Q$27,MATCH(H130,設定!$P$8:$P$27,0))+N(INDEX(設定!$R$8:$R$27,MATCH(H130,設定!$P$8:$P$27,0))))-INDEX(定員チェック!$I$7:$I$26,MATCH(H130,設定!$P$8:$P$27,0))-COUNTIFS($M$7:$M$456,"要調整",$G$7:$G$456,H130),""))</f>
        <v/>
      </c>
      <c r="O130" s="50">
        <f>IF(OR(M130&lt;&gt;"要調整",I130=""),"",IFERROR((INDEX(設定!$Q$8:$Q$27,MATCH(I130,設定!$P$8:$P$27,0))+N(INDEX(設定!$R$8:$R$27,MATCH(I130,設定!$P$8:$P$27,0))))-INDEX(定員チェック!$I$7:$I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IF(R130="","",IFERROR(MATCH(R130,希望入力!$M$5:$M$554,0),""))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50">
        <f>IF(P131="","",INDEX(前年度名簿!$H$3:$H$452,P131))</f>
        <v/>
      </c>
      <c r="B131" s="50">
        <f>IF(P131="","",IFERROR(INDEX(設定!$G$8:$G$31,INT(INDEX(前年度名簿!$G$3:$G$452,P131)/1000)),INDEX(前年度名簿!$A$3:$A$452,P131)&amp;INDEX(前年度名簿!$B$3:$B$452,P131)))</f>
        <v/>
      </c>
      <c r="C131" s="50">
        <f>IF(P131="","",INDEX(前年度名簿!$C$3:$C$452,P131))</f>
        <v/>
      </c>
      <c r="D131" s="4">
        <f>IF(P131="","",INDEX(前年度名簿!$D$3:$D$452,P131))</f>
        <v/>
      </c>
      <c r="E131" s="50">
        <f>IF(T131="","",INDEX(新年度名簿!$K$3:$K$452,T131))</f>
        <v/>
      </c>
      <c r="F131" s="50">
        <f>IF(T131="","",INDEX(新年度名簿!$C$3:$C$452,T131))</f>
        <v/>
      </c>
      <c r="G131" s="50">
        <f>IF(Q131="","",INDEX(希望入力!$H$5:$H$554,Q131)&amp;"")</f>
        <v/>
      </c>
      <c r="H131" s="50">
        <f>IF(Q131="","",INDEX(希望入力!$I$5:$I$554,Q131)&amp;"")</f>
        <v/>
      </c>
      <c r="I131" s="50">
        <f>IF(Q131="","",INDEX(希望入力!$J$5:$J$554,Q131)&amp;"")</f>
        <v/>
      </c>
      <c r="J131" s="50">
        <f>IF(Q131="","",IF(G131="転出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)</f>
        <v/>
      </c>
      <c r="K131" s="49" t="n"/>
      <c r="L131" s="56">
        <f>IF(P131="","",IF(G131="転出","",IF(K131&lt;&gt;"",K131,IF(OR(J131="",J131="要調整"),"",J131))))</f>
        <v/>
      </c>
      <c r="M131" s="50">
        <f>IF(P131="","",IF(OR(G131="転出",AND(計算用!$B$1=1,T131="")),"転出",IF(L131&lt;&gt;"","決定",IF(Q131="","未提出","要調整"))))</f>
        <v/>
      </c>
      <c r="N131" s="50">
        <f>IF(OR(M131&lt;&gt;"要調整",H131=""),"",IFERROR((INDEX(設定!$Q$8:$Q$27,MATCH(H131,設定!$P$8:$P$27,0))+N(INDEX(設定!$R$8:$R$27,MATCH(H131,設定!$P$8:$P$27,0))))-INDEX(定員チェック!$I$7:$I$26,MATCH(H131,設定!$P$8:$P$27,0))-COUNTIFS($M$7:$M$456,"要調整",$G$7:$G$456,H131),""))</f>
        <v/>
      </c>
      <c r="O131" s="50">
        <f>IF(OR(M131&lt;&gt;"要調整",I131=""),"",IFERROR((INDEX(設定!$Q$8:$Q$27,MATCH(I131,設定!$P$8:$P$27,0))+N(INDEX(設定!$R$8:$R$27,MATCH(I131,設定!$P$8:$P$27,0))))-INDEX(定員チェック!$I$7:$I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IF(R131="","",IFERROR(MATCH(R131,希望入力!$M$5:$M$554,0),""))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50">
        <f>IF(P132="","",INDEX(前年度名簿!$H$3:$H$452,P132))</f>
        <v/>
      </c>
      <c r="B132" s="50">
        <f>IF(P132="","",IFERROR(INDEX(設定!$G$8:$G$31,INT(INDEX(前年度名簿!$G$3:$G$452,P132)/1000)),INDEX(前年度名簿!$A$3:$A$452,P132)&amp;INDEX(前年度名簿!$B$3:$B$452,P132)))</f>
        <v/>
      </c>
      <c r="C132" s="50">
        <f>IF(P132="","",INDEX(前年度名簿!$C$3:$C$452,P132))</f>
        <v/>
      </c>
      <c r="D132" s="4">
        <f>IF(P132="","",INDEX(前年度名簿!$D$3:$D$452,P132))</f>
        <v/>
      </c>
      <c r="E132" s="50">
        <f>IF(T132="","",INDEX(新年度名簿!$K$3:$K$452,T132))</f>
        <v/>
      </c>
      <c r="F132" s="50">
        <f>IF(T132="","",INDEX(新年度名簿!$C$3:$C$452,T132))</f>
        <v/>
      </c>
      <c r="G132" s="50">
        <f>IF(Q132="","",INDEX(希望入力!$H$5:$H$554,Q132)&amp;"")</f>
        <v/>
      </c>
      <c r="H132" s="50">
        <f>IF(Q132="","",INDEX(希望入力!$I$5:$I$554,Q132)&amp;"")</f>
        <v/>
      </c>
      <c r="I132" s="50">
        <f>IF(Q132="","",INDEX(希望入力!$J$5:$J$554,Q132)&amp;"")</f>
        <v/>
      </c>
      <c r="J132" s="50">
        <f>IF(Q132="","",IF(G132="転出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)</f>
        <v/>
      </c>
      <c r="K132" s="49" t="n"/>
      <c r="L132" s="56">
        <f>IF(P132="","",IF(G132="転出","",IF(K132&lt;&gt;"",K132,IF(OR(J132="",J132="要調整"),"",J132))))</f>
        <v/>
      </c>
      <c r="M132" s="50">
        <f>IF(P132="","",IF(OR(G132="転出",AND(計算用!$B$1=1,T132="")),"転出",IF(L132&lt;&gt;"","決定",IF(Q132="","未提出","要調整"))))</f>
        <v/>
      </c>
      <c r="N132" s="50">
        <f>IF(OR(M132&lt;&gt;"要調整",H132=""),"",IFERROR((INDEX(設定!$Q$8:$Q$27,MATCH(H132,設定!$P$8:$P$27,0))+N(INDEX(設定!$R$8:$R$27,MATCH(H132,設定!$P$8:$P$27,0))))-INDEX(定員チェック!$I$7:$I$26,MATCH(H132,設定!$P$8:$P$27,0))-COUNTIFS($M$7:$M$456,"要調整",$G$7:$G$456,H132),""))</f>
        <v/>
      </c>
      <c r="O132" s="50">
        <f>IF(OR(M132&lt;&gt;"要調整",I132=""),"",IFERROR((INDEX(設定!$Q$8:$Q$27,MATCH(I132,設定!$P$8:$P$27,0))+N(INDEX(設定!$R$8:$R$27,MATCH(I132,設定!$P$8:$P$27,0))))-INDEX(定員チェック!$I$7:$I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IF(R132="","",IFERROR(MATCH(R132,希望入力!$M$5:$M$554,0),""))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50">
        <f>IF(P133="","",INDEX(前年度名簿!$H$3:$H$452,P133))</f>
        <v/>
      </c>
      <c r="B133" s="50">
        <f>IF(P133="","",IFERROR(INDEX(設定!$G$8:$G$31,INT(INDEX(前年度名簿!$G$3:$G$452,P133)/1000)),INDEX(前年度名簿!$A$3:$A$452,P133)&amp;INDEX(前年度名簿!$B$3:$B$452,P133)))</f>
        <v/>
      </c>
      <c r="C133" s="50">
        <f>IF(P133="","",INDEX(前年度名簿!$C$3:$C$452,P133))</f>
        <v/>
      </c>
      <c r="D133" s="4">
        <f>IF(P133="","",INDEX(前年度名簿!$D$3:$D$452,P133))</f>
        <v/>
      </c>
      <c r="E133" s="50">
        <f>IF(T133="","",INDEX(新年度名簿!$K$3:$K$452,T133))</f>
        <v/>
      </c>
      <c r="F133" s="50">
        <f>IF(T133="","",INDEX(新年度名簿!$C$3:$C$452,T133))</f>
        <v/>
      </c>
      <c r="G133" s="50">
        <f>IF(Q133="","",INDEX(希望入力!$H$5:$H$554,Q133)&amp;"")</f>
        <v/>
      </c>
      <c r="H133" s="50">
        <f>IF(Q133="","",INDEX(希望入力!$I$5:$I$554,Q133)&amp;"")</f>
        <v/>
      </c>
      <c r="I133" s="50">
        <f>IF(Q133="","",INDEX(希望入力!$J$5:$J$554,Q133)&amp;"")</f>
        <v/>
      </c>
      <c r="J133" s="50">
        <f>IF(Q133="","",IF(G133="転出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)</f>
        <v/>
      </c>
      <c r="K133" s="49" t="n"/>
      <c r="L133" s="56">
        <f>IF(P133="","",IF(G133="転出","",IF(K133&lt;&gt;"",K133,IF(OR(J133="",J133="要調整"),"",J133))))</f>
        <v/>
      </c>
      <c r="M133" s="50">
        <f>IF(P133="","",IF(OR(G133="転出",AND(計算用!$B$1=1,T133="")),"転出",IF(L133&lt;&gt;"","決定",IF(Q133="","未提出","要調整"))))</f>
        <v/>
      </c>
      <c r="N133" s="50">
        <f>IF(OR(M133&lt;&gt;"要調整",H133=""),"",IFERROR((INDEX(設定!$Q$8:$Q$27,MATCH(H133,設定!$P$8:$P$27,0))+N(INDEX(設定!$R$8:$R$27,MATCH(H133,設定!$P$8:$P$27,0))))-INDEX(定員チェック!$I$7:$I$26,MATCH(H133,設定!$P$8:$P$27,0))-COUNTIFS($M$7:$M$456,"要調整",$G$7:$G$456,H133),""))</f>
        <v/>
      </c>
      <c r="O133" s="50">
        <f>IF(OR(M133&lt;&gt;"要調整",I133=""),"",IFERROR((INDEX(設定!$Q$8:$Q$27,MATCH(I133,設定!$P$8:$P$27,0))+N(INDEX(設定!$R$8:$R$27,MATCH(I133,設定!$P$8:$P$27,0))))-INDEX(定員チェック!$I$7:$I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IF(R133="","",IFERROR(MATCH(R133,希望入力!$M$5:$M$554,0),""))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50">
        <f>IF(P134="","",INDEX(前年度名簿!$H$3:$H$452,P134))</f>
        <v/>
      </c>
      <c r="B134" s="50">
        <f>IF(P134="","",IFERROR(INDEX(設定!$G$8:$G$31,INT(INDEX(前年度名簿!$G$3:$G$452,P134)/1000)),INDEX(前年度名簿!$A$3:$A$452,P134)&amp;INDEX(前年度名簿!$B$3:$B$452,P134)))</f>
        <v/>
      </c>
      <c r="C134" s="50">
        <f>IF(P134="","",INDEX(前年度名簿!$C$3:$C$452,P134))</f>
        <v/>
      </c>
      <c r="D134" s="4">
        <f>IF(P134="","",INDEX(前年度名簿!$D$3:$D$452,P134))</f>
        <v/>
      </c>
      <c r="E134" s="50">
        <f>IF(T134="","",INDEX(新年度名簿!$K$3:$K$452,T134))</f>
        <v/>
      </c>
      <c r="F134" s="50">
        <f>IF(T134="","",INDEX(新年度名簿!$C$3:$C$452,T134))</f>
        <v/>
      </c>
      <c r="G134" s="50">
        <f>IF(Q134="","",INDEX(希望入力!$H$5:$H$554,Q134)&amp;"")</f>
        <v/>
      </c>
      <c r="H134" s="50">
        <f>IF(Q134="","",INDEX(希望入力!$I$5:$I$554,Q134)&amp;"")</f>
        <v/>
      </c>
      <c r="I134" s="50">
        <f>IF(Q134="","",INDEX(希望入力!$J$5:$J$554,Q134)&amp;"")</f>
        <v/>
      </c>
      <c r="J134" s="50">
        <f>IF(Q134="","",IF(G134="転出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)</f>
        <v/>
      </c>
      <c r="K134" s="49" t="n"/>
      <c r="L134" s="56">
        <f>IF(P134="","",IF(G134="転出","",IF(K134&lt;&gt;"",K134,IF(OR(J134="",J134="要調整"),"",J134))))</f>
        <v/>
      </c>
      <c r="M134" s="50">
        <f>IF(P134="","",IF(OR(G134="転出",AND(計算用!$B$1=1,T134="")),"転出",IF(L134&lt;&gt;"","決定",IF(Q134="","未提出","要調整"))))</f>
        <v/>
      </c>
      <c r="N134" s="50">
        <f>IF(OR(M134&lt;&gt;"要調整",H134=""),"",IFERROR((INDEX(設定!$Q$8:$Q$27,MATCH(H134,設定!$P$8:$P$27,0))+N(INDEX(設定!$R$8:$R$27,MATCH(H134,設定!$P$8:$P$27,0))))-INDEX(定員チェック!$I$7:$I$26,MATCH(H134,設定!$P$8:$P$27,0))-COUNTIFS($M$7:$M$456,"要調整",$G$7:$G$456,H134),""))</f>
        <v/>
      </c>
      <c r="O134" s="50">
        <f>IF(OR(M134&lt;&gt;"要調整",I134=""),"",IFERROR((INDEX(設定!$Q$8:$Q$27,MATCH(I134,設定!$P$8:$P$27,0))+N(INDEX(設定!$R$8:$R$27,MATCH(I134,設定!$P$8:$P$27,0))))-INDEX(定員チェック!$I$7:$I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IF(R134="","",IFERROR(MATCH(R134,希望入力!$M$5:$M$554,0),""))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50">
        <f>IF(P135="","",INDEX(前年度名簿!$H$3:$H$452,P135))</f>
        <v/>
      </c>
      <c r="B135" s="50">
        <f>IF(P135="","",IFERROR(INDEX(設定!$G$8:$G$31,INT(INDEX(前年度名簿!$G$3:$G$452,P135)/1000)),INDEX(前年度名簿!$A$3:$A$452,P135)&amp;INDEX(前年度名簿!$B$3:$B$452,P135)))</f>
        <v/>
      </c>
      <c r="C135" s="50">
        <f>IF(P135="","",INDEX(前年度名簿!$C$3:$C$452,P135))</f>
        <v/>
      </c>
      <c r="D135" s="4">
        <f>IF(P135="","",INDEX(前年度名簿!$D$3:$D$452,P135))</f>
        <v/>
      </c>
      <c r="E135" s="50">
        <f>IF(T135="","",INDEX(新年度名簿!$K$3:$K$452,T135))</f>
        <v/>
      </c>
      <c r="F135" s="50">
        <f>IF(T135="","",INDEX(新年度名簿!$C$3:$C$452,T135))</f>
        <v/>
      </c>
      <c r="G135" s="50">
        <f>IF(Q135="","",INDEX(希望入力!$H$5:$H$554,Q135)&amp;"")</f>
        <v/>
      </c>
      <c r="H135" s="50">
        <f>IF(Q135="","",INDEX(希望入力!$I$5:$I$554,Q135)&amp;"")</f>
        <v/>
      </c>
      <c r="I135" s="50">
        <f>IF(Q135="","",INDEX(希望入力!$J$5:$J$554,Q135)&amp;"")</f>
        <v/>
      </c>
      <c r="J135" s="50">
        <f>IF(Q135="","",IF(G135="転出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)</f>
        <v/>
      </c>
      <c r="K135" s="49" t="n"/>
      <c r="L135" s="56">
        <f>IF(P135="","",IF(G135="転出","",IF(K135&lt;&gt;"",K135,IF(OR(J135="",J135="要調整"),"",J135))))</f>
        <v/>
      </c>
      <c r="M135" s="50">
        <f>IF(P135="","",IF(OR(G135="転出",AND(計算用!$B$1=1,T135="")),"転出",IF(L135&lt;&gt;"","決定",IF(Q135="","未提出","要調整"))))</f>
        <v/>
      </c>
      <c r="N135" s="50">
        <f>IF(OR(M135&lt;&gt;"要調整",H135=""),"",IFERROR((INDEX(設定!$Q$8:$Q$27,MATCH(H135,設定!$P$8:$P$27,0))+N(INDEX(設定!$R$8:$R$27,MATCH(H135,設定!$P$8:$P$27,0))))-INDEX(定員チェック!$I$7:$I$26,MATCH(H135,設定!$P$8:$P$27,0))-COUNTIFS($M$7:$M$456,"要調整",$G$7:$G$456,H135),""))</f>
        <v/>
      </c>
      <c r="O135" s="50">
        <f>IF(OR(M135&lt;&gt;"要調整",I135=""),"",IFERROR((INDEX(設定!$Q$8:$Q$27,MATCH(I135,設定!$P$8:$P$27,0))+N(INDEX(設定!$R$8:$R$27,MATCH(I135,設定!$P$8:$P$27,0))))-INDEX(定員チェック!$I$7:$I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IF(R135="","",IFERROR(MATCH(R135,希望入力!$M$5:$M$554,0),""))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50">
        <f>IF(P136="","",INDEX(前年度名簿!$H$3:$H$452,P136))</f>
        <v/>
      </c>
      <c r="B136" s="50">
        <f>IF(P136="","",IFERROR(INDEX(設定!$G$8:$G$31,INT(INDEX(前年度名簿!$G$3:$G$452,P136)/1000)),INDEX(前年度名簿!$A$3:$A$452,P136)&amp;INDEX(前年度名簿!$B$3:$B$452,P136)))</f>
        <v/>
      </c>
      <c r="C136" s="50">
        <f>IF(P136="","",INDEX(前年度名簿!$C$3:$C$452,P136))</f>
        <v/>
      </c>
      <c r="D136" s="4">
        <f>IF(P136="","",INDEX(前年度名簿!$D$3:$D$452,P136))</f>
        <v/>
      </c>
      <c r="E136" s="50">
        <f>IF(T136="","",INDEX(新年度名簿!$K$3:$K$452,T136))</f>
        <v/>
      </c>
      <c r="F136" s="50">
        <f>IF(T136="","",INDEX(新年度名簿!$C$3:$C$452,T136))</f>
        <v/>
      </c>
      <c r="G136" s="50">
        <f>IF(Q136="","",INDEX(希望入力!$H$5:$H$554,Q136)&amp;"")</f>
        <v/>
      </c>
      <c r="H136" s="50">
        <f>IF(Q136="","",INDEX(希望入力!$I$5:$I$554,Q136)&amp;"")</f>
        <v/>
      </c>
      <c r="I136" s="50">
        <f>IF(Q136="","",INDEX(希望入力!$J$5:$J$554,Q136)&amp;"")</f>
        <v/>
      </c>
      <c r="J136" s="50">
        <f>IF(Q136="","",IF(G136="転出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)</f>
        <v/>
      </c>
      <c r="K136" s="49" t="n"/>
      <c r="L136" s="56">
        <f>IF(P136="","",IF(G136="転出","",IF(K136&lt;&gt;"",K136,IF(OR(J136="",J136="要調整"),"",J136))))</f>
        <v/>
      </c>
      <c r="M136" s="50">
        <f>IF(P136="","",IF(OR(G136="転出",AND(計算用!$B$1=1,T136="")),"転出",IF(L136&lt;&gt;"","決定",IF(Q136="","未提出","要調整"))))</f>
        <v/>
      </c>
      <c r="N136" s="50">
        <f>IF(OR(M136&lt;&gt;"要調整",H136=""),"",IFERROR((INDEX(設定!$Q$8:$Q$27,MATCH(H136,設定!$P$8:$P$27,0))+N(INDEX(設定!$R$8:$R$27,MATCH(H136,設定!$P$8:$P$27,0))))-INDEX(定員チェック!$I$7:$I$26,MATCH(H136,設定!$P$8:$P$27,0))-COUNTIFS($M$7:$M$456,"要調整",$G$7:$G$456,H136),""))</f>
        <v/>
      </c>
      <c r="O136" s="50">
        <f>IF(OR(M136&lt;&gt;"要調整",I136=""),"",IFERROR((INDEX(設定!$Q$8:$Q$27,MATCH(I136,設定!$P$8:$P$27,0))+N(INDEX(設定!$R$8:$R$27,MATCH(I136,設定!$P$8:$P$27,0))))-INDEX(定員チェック!$I$7:$I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IF(R136="","",IFERROR(MATCH(R136,希望入力!$M$5:$M$554,0),""))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50">
        <f>IF(P137="","",INDEX(前年度名簿!$H$3:$H$452,P137))</f>
        <v/>
      </c>
      <c r="B137" s="50">
        <f>IF(P137="","",IFERROR(INDEX(設定!$G$8:$G$31,INT(INDEX(前年度名簿!$G$3:$G$452,P137)/1000)),INDEX(前年度名簿!$A$3:$A$452,P137)&amp;INDEX(前年度名簿!$B$3:$B$452,P137)))</f>
        <v/>
      </c>
      <c r="C137" s="50">
        <f>IF(P137="","",INDEX(前年度名簿!$C$3:$C$452,P137))</f>
        <v/>
      </c>
      <c r="D137" s="4">
        <f>IF(P137="","",INDEX(前年度名簿!$D$3:$D$452,P137))</f>
        <v/>
      </c>
      <c r="E137" s="50">
        <f>IF(T137="","",INDEX(新年度名簿!$K$3:$K$452,T137))</f>
        <v/>
      </c>
      <c r="F137" s="50">
        <f>IF(T137="","",INDEX(新年度名簿!$C$3:$C$452,T137))</f>
        <v/>
      </c>
      <c r="G137" s="50">
        <f>IF(Q137="","",INDEX(希望入力!$H$5:$H$554,Q137)&amp;"")</f>
        <v/>
      </c>
      <c r="H137" s="50">
        <f>IF(Q137="","",INDEX(希望入力!$I$5:$I$554,Q137)&amp;"")</f>
        <v/>
      </c>
      <c r="I137" s="50">
        <f>IF(Q137="","",INDEX(希望入力!$J$5:$J$554,Q137)&amp;"")</f>
        <v/>
      </c>
      <c r="J137" s="50">
        <f>IF(Q137="","",IF(G137="転出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)</f>
        <v/>
      </c>
      <c r="K137" s="49" t="n"/>
      <c r="L137" s="56">
        <f>IF(P137="","",IF(G137="転出","",IF(K137&lt;&gt;"",K137,IF(OR(J137="",J137="要調整"),"",J137))))</f>
        <v/>
      </c>
      <c r="M137" s="50">
        <f>IF(P137="","",IF(OR(G137="転出",AND(計算用!$B$1=1,T137="")),"転出",IF(L137&lt;&gt;"","決定",IF(Q137="","未提出","要調整"))))</f>
        <v/>
      </c>
      <c r="N137" s="50">
        <f>IF(OR(M137&lt;&gt;"要調整",H137=""),"",IFERROR((INDEX(設定!$Q$8:$Q$27,MATCH(H137,設定!$P$8:$P$27,0))+N(INDEX(設定!$R$8:$R$27,MATCH(H137,設定!$P$8:$P$27,0))))-INDEX(定員チェック!$I$7:$I$26,MATCH(H137,設定!$P$8:$P$27,0))-COUNTIFS($M$7:$M$456,"要調整",$G$7:$G$456,H137),""))</f>
        <v/>
      </c>
      <c r="O137" s="50">
        <f>IF(OR(M137&lt;&gt;"要調整",I137=""),"",IFERROR((INDEX(設定!$Q$8:$Q$27,MATCH(I137,設定!$P$8:$P$27,0))+N(INDEX(設定!$R$8:$R$27,MATCH(I137,設定!$P$8:$P$27,0))))-INDEX(定員チェック!$I$7:$I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IF(R137="","",IFERROR(MATCH(R137,希望入力!$M$5:$M$554,0),""))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50">
        <f>IF(P138="","",INDEX(前年度名簿!$H$3:$H$452,P138))</f>
        <v/>
      </c>
      <c r="B138" s="50">
        <f>IF(P138="","",IFERROR(INDEX(設定!$G$8:$G$31,INT(INDEX(前年度名簿!$G$3:$G$452,P138)/1000)),INDEX(前年度名簿!$A$3:$A$452,P138)&amp;INDEX(前年度名簿!$B$3:$B$452,P138)))</f>
        <v/>
      </c>
      <c r="C138" s="50">
        <f>IF(P138="","",INDEX(前年度名簿!$C$3:$C$452,P138))</f>
        <v/>
      </c>
      <c r="D138" s="4">
        <f>IF(P138="","",INDEX(前年度名簿!$D$3:$D$452,P138))</f>
        <v/>
      </c>
      <c r="E138" s="50">
        <f>IF(T138="","",INDEX(新年度名簿!$K$3:$K$452,T138))</f>
        <v/>
      </c>
      <c r="F138" s="50">
        <f>IF(T138="","",INDEX(新年度名簿!$C$3:$C$452,T138))</f>
        <v/>
      </c>
      <c r="G138" s="50">
        <f>IF(Q138="","",INDEX(希望入力!$H$5:$H$554,Q138)&amp;"")</f>
        <v/>
      </c>
      <c r="H138" s="50">
        <f>IF(Q138="","",INDEX(希望入力!$I$5:$I$554,Q138)&amp;"")</f>
        <v/>
      </c>
      <c r="I138" s="50">
        <f>IF(Q138="","",INDEX(希望入力!$J$5:$J$554,Q138)&amp;"")</f>
        <v/>
      </c>
      <c r="J138" s="50">
        <f>IF(Q138="","",IF(G138="転出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)</f>
        <v/>
      </c>
      <c r="K138" s="49" t="n"/>
      <c r="L138" s="56">
        <f>IF(P138="","",IF(G138="転出","",IF(K138&lt;&gt;"",K138,IF(OR(J138="",J138="要調整"),"",J138))))</f>
        <v/>
      </c>
      <c r="M138" s="50">
        <f>IF(P138="","",IF(OR(G138="転出",AND(計算用!$B$1=1,T138="")),"転出",IF(L138&lt;&gt;"","決定",IF(Q138="","未提出","要調整"))))</f>
        <v/>
      </c>
      <c r="N138" s="50">
        <f>IF(OR(M138&lt;&gt;"要調整",H138=""),"",IFERROR((INDEX(設定!$Q$8:$Q$27,MATCH(H138,設定!$P$8:$P$27,0))+N(INDEX(設定!$R$8:$R$27,MATCH(H138,設定!$P$8:$P$27,0))))-INDEX(定員チェック!$I$7:$I$26,MATCH(H138,設定!$P$8:$P$27,0))-COUNTIFS($M$7:$M$456,"要調整",$G$7:$G$456,H138),""))</f>
        <v/>
      </c>
      <c r="O138" s="50">
        <f>IF(OR(M138&lt;&gt;"要調整",I138=""),"",IFERROR((INDEX(設定!$Q$8:$Q$27,MATCH(I138,設定!$P$8:$P$27,0))+N(INDEX(設定!$R$8:$R$27,MATCH(I138,設定!$P$8:$P$27,0))))-INDEX(定員チェック!$I$7:$I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IF(R138="","",IFERROR(MATCH(R138,希望入力!$M$5:$M$554,0),""))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50">
        <f>IF(P139="","",INDEX(前年度名簿!$H$3:$H$452,P139))</f>
        <v/>
      </c>
      <c r="B139" s="50">
        <f>IF(P139="","",IFERROR(INDEX(設定!$G$8:$G$31,INT(INDEX(前年度名簿!$G$3:$G$452,P139)/1000)),INDEX(前年度名簿!$A$3:$A$452,P139)&amp;INDEX(前年度名簿!$B$3:$B$452,P139)))</f>
        <v/>
      </c>
      <c r="C139" s="50">
        <f>IF(P139="","",INDEX(前年度名簿!$C$3:$C$452,P139))</f>
        <v/>
      </c>
      <c r="D139" s="4">
        <f>IF(P139="","",INDEX(前年度名簿!$D$3:$D$452,P139))</f>
        <v/>
      </c>
      <c r="E139" s="50">
        <f>IF(T139="","",INDEX(新年度名簿!$K$3:$K$452,T139))</f>
        <v/>
      </c>
      <c r="F139" s="50">
        <f>IF(T139="","",INDEX(新年度名簿!$C$3:$C$452,T139))</f>
        <v/>
      </c>
      <c r="G139" s="50">
        <f>IF(Q139="","",INDEX(希望入力!$H$5:$H$554,Q139)&amp;"")</f>
        <v/>
      </c>
      <c r="H139" s="50">
        <f>IF(Q139="","",INDEX(希望入力!$I$5:$I$554,Q139)&amp;"")</f>
        <v/>
      </c>
      <c r="I139" s="50">
        <f>IF(Q139="","",INDEX(希望入力!$J$5:$J$554,Q139)&amp;"")</f>
        <v/>
      </c>
      <c r="J139" s="50">
        <f>IF(Q139="","",IF(G139="転出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)</f>
        <v/>
      </c>
      <c r="K139" s="49" t="n"/>
      <c r="L139" s="56">
        <f>IF(P139="","",IF(G139="転出","",IF(K139&lt;&gt;"",K139,IF(OR(J139="",J139="要調整"),"",J139))))</f>
        <v/>
      </c>
      <c r="M139" s="50">
        <f>IF(P139="","",IF(OR(G139="転出",AND(計算用!$B$1=1,T139="")),"転出",IF(L139&lt;&gt;"","決定",IF(Q139="","未提出","要調整"))))</f>
        <v/>
      </c>
      <c r="N139" s="50">
        <f>IF(OR(M139&lt;&gt;"要調整",H139=""),"",IFERROR((INDEX(設定!$Q$8:$Q$27,MATCH(H139,設定!$P$8:$P$27,0))+N(INDEX(設定!$R$8:$R$27,MATCH(H139,設定!$P$8:$P$27,0))))-INDEX(定員チェック!$I$7:$I$26,MATCH(H139,設定!$P$8:$P$27,0))-COUNTIFS($M$7:$M$456,"要調整",$G$7:$G$456,H139),""))</f>
        <v/>
      </c>
      <c r="O139" s="50">
        <f>IF(OR(M139&lt;&gt;"要調整",I139=""),"",IFERROR((INDEX(設定!$Q$8:$Q$27,MATCH(I139,設定!$P$8:$P$27,0))+N(INDEX(設定!$R$8:$R$27,MATCH(I139,設定!$P$8:$P$27,0))))-INDEX(定員チェック!$I$7:$I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IF(R139="","",IFERROR(MATCH(R139,希望入力!$M$5:$M$554,0),""))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50">
        <f>IF(P140="","",INDEX(前年度名簿!$H$3:$H$452,P140))</f>
        <v/>
      </c>
      <c r="B140" s="50">
        <f>IF(P140="","",IFERROR(INDEX(設定!$G$8:$G$31,INT(INDEX(前年度名簿!$G$3:$G$452,P140)/1000)),INDEX(前年度名簿!$A$3:$A$452,P140)&amp;INDEX(前年度名簿!$B$3:$B$452,P140)))</f>
        <v/>
      </c>
      <c r="C140" s="50">
        <f>IF(P140="","",INDEX(前年度名簿!$C$3:$C$452,P140))</f>
        <v/>
      </c>
      <c r="D140" s="4">
        <f>IF(P140="","",INDEX(前年度名簿!$D$3:$D$452,P140))</f>
        <v/>
      </c>
      <c r="E140" s="50">
        <f>IF(T140="","",INDEX(新年度名簿!$K$3:$K$452,T140))</f>
        <v/>
      </c>
      <c r="F140" s="50">
        <f>IF(T140="","",INDEX(新年度名簿!$C$3:$C$452,T140))</f>
        <v/>
      </c>
      <c r="G140" s="50">
        <f>IF(Q140="","",INDEX(希望入力!$H$5:$H$554,Q140)&amp;"")</f>
        <v/>
      </c>
      <c r="H140" s="50">
        <f>IF(Q140="","",INDEX(希望入力!$I$5:$I$554,Q140)&amp;"")</f>
        <v/>
      </c>
      <c r="I140" s="50">
        <f>IF(Q140="","",INDEX(希望入力!$J$5:$J$554,Q140)&amp;"")</f>
        <v/>
      </c>
      <c r="J140" s="50">
        <f>IF(Q140="","",IF(G140="転出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)</f>
        <v/>
      </c>
      <c r="K140" s="49" t="n"/>
      <c r="L140" s="56">
        <f>IF(P140="","",IF(G140="転出","",IF(K140&lt;&gt;"",K140,IF(OR(J140="",J140="要調整"),"",J140))))</f>
        <v/>
      </c>
      <c r="M140" s="50">
        <f>IF(P140="","",IF(OR(G140="転出",AND(計算用!$B$1=1,T140="")),"転出",IF(L140&lt;&gt;"","決定",IF(Q140="","未提出","要調整"))))</f>
        <v/>
      </c>
      <c r="N140" s="50">
        <f>IF(OR(M140&lt;&gt;"要調整",H140=""),"",IFERROR((INDEX(設定!$Q$8:$Q$27,MATCH(H140,設定!$P$8:$P$27,0))+N(INDEX(設定!$R$8:$R$27,MATCH(H140,設定!$P$8:$P$27,0))))-INDEX(定員チェック!$I$7:$I$26,MATCH(H140,設定!$P$8:$P$27,0))-COUNTIFS($M$7:$M$456,"要調整",$G$7:$G$456,H140),""))</f>
        <v/>
      </c>
      <c r="O140" s="50">
        <f>IF(OR(M140&lt;&gt;"要調整",I140=""),"",IFERROR((INDEX(設定!$Q$8:$Q$27,MATCH(I140,設定!$P$8:$P$27,0))+N(INDEX(設定!$R$8:$R$27,MATCH(I140,設定!$P$8:$P$27,0))))-INDEX(定員チェック!$I$7:$I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IF(R140="","",IFERROR(MATCH(R140,希望入力!$M$5:$M$554,0),""))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50">
        <f>IF(P141="","",INDEX(前年度名簿!$H$3:$H$452,P141))</f>
        <v/>
      </c>
      <c r="B141" s="50">
        <f>IF(P141="","",IFERROR(INDEX(設定!$G$8:$G$31,INT(INDEX(前年度名簿!$G$3:$G$452,P141)/1000)),INDEX(前年度名簿!$A$3:$A$452,P141)&amp;INDEX(前年度名簿!$B$3:$B$452,P141)))</f>
        <v/>
      </c>
      <c r="C141" s="50">
        <f>IF(P141="","",INDEX(前年度名簿!$C$3:$C$452,P141))</f>
        <v/>
      </c>
      <c r="D141" s="4">
        <f>IF(P141="","",INDEX(前年度名簿!$D$3:$D$452,P141))</f>
        <v/>
      </c>
      <c r="E141" s="50">
        <f>IF(T141="","",INDEX(新年度名簿!$K$3:$K$452,T141))</f>
        <v/>
      </c>
      <c r="F141" s="50">
        <f>IF(T141="","",INDEX(新年度名簿!$C$3:$C$452,T141))</f>
        <v/>
      </c>
      <c r="G141" s="50">
        <f>IF(Q141="","",INDEX(希望入力!$H$5:$H$554,Q141)&amp;"")</f>
        <v/>
      </c>
      <c r="H141" s="50">
        <f>IF(Q141="","",INDEX(希望入力!$I$5:$I$554,Q141)&amp;"")</f>
        <v/>
      </c>
      <c r="I141" s="50">
        <f>IF(Q141="","",INDEX(希望入力!$J$5:$J$554,Q141)&amp;"")</f>
        <v/>
      </c>
      <c r="J141" s="50">
        <f>IF(Q141="","",IF(G141="転出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)</f>
        <v/>
      </c>
      <c r="K141" s="49" t="n"/>
      <c r="L141" s="56">
        <f>IF(P141="","",IF(G141="転出","",IF(K141&lt;&gt;"",K141,IF(OR(J141="",J141="要調整"),"",J141))))</f>
        <v/>
      </c>
      <c r="M141" s="50">
        <f>IF(P141="","",IF(OR(G141="転出",AND(計算用!$B$1=1,T141="")),"転出",IF(L141&lt;&gt;"","決定",IF(Q141="","未提出","要調整"))))</f>
        <v/>
      </c>
      <c r="N141" s="50">
        <f>IF(OR(M141&lt;&gt;"要調整",H141=""),"",IFERROR((INDEX(設定!$Q$8:$Q$27,MATCH(H141,設定!$P$8:$P$27,0))+N(INDEX(設定!$R$8:$R$27,MATCH(H141,設定!$P$8:$P$27,0))))-INDEX(定員チェック!$I$7:$I$26,MATCH(H141,設定!$P$8:$P$27,0))-COUNTIFS($M$7:$M$456,"要調整",$G$7:$G$456,H141),""))</f>
        <v/>
      </c>
      <c r="O141" s="50">
        <f>IF(OR(M141&lt;&gt;"要調整",I141=""),"",IFERROR((INDEX(設定!$Q$8:$Q$27,MATCH(I141,設定!$P$8:$P$27,0))+N(INDEX(設定!$R$8:$R$27,MATCH(I141,設定!$P$8:$P$27,0))))-INDEX(定員チェック!$I$7:$I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IF(R141="","",IFERROR(MATCH(R141,希望入力!$M$5:$M$554,0),""))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50">
        <f>IF(P142="","",INDEX(前年度名簿!$H$3:$H$452,P142))</f>
        <v/>
      </c>
      <c r="B142" s="50">
        <f>IF(P142="","",IFERROR(INDEX(設定!$G$8:$G$31,INT(INDEX(前年度名簿!$G$3:$G$452,P142)/1000)),INDEX(前年度名簿!$A$3:$A$452,P142)&amp;INDEX(前年度名簿!$B$3:$B$452,P142)))</f>
        <v/>
      </c>
      <c r="C142" s="50">
        <f>IF(P142="","",INDEX(前年度名簿!$C$3:$C$452,P142))</f>
        <v/>
      </c>
      <c r="D142" s="4">
        <f>IF(P142="","",INDEX(前年度名簿!$D$3:$D$452,P142))</f>
        <v/>
      </c>
      <c r="E142" s="50">
        <f>IF(T142="","",INDEX(新年度名簿!$K$3:$K$452,T142))</f>
        <v/>
      </c>
      <c r="F142" s="50">
        <f>IF(T142="","",INDEX(新年度名簿!$C$3:$C$452,T142))</f>
        <v/>
      </c>
      <c r="G142" s="50">
        <f>IF(Q142="","",INDEX(希望入力!$H$5:$H$554,Q142)&amp;"")</f>
        <v/>
      </c>
      <c r="H142" s="50">
        <f>IF(Q142="","",INDEX(希望入力!$I$5:$I$554,Q142)&amp;"")</f>
        <v/>
      </c>
      <c r="I142" s="50">
        <f>IF(Q142="","",INDEX(希望入力!$J$5:$J$554,Q142)&amp;"")</f>
        <v/>
      </c>
      <c r="J142" s="50">
        <f>IF(Q142="","",IF(G142="転出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)</f>
        <v/>
      </c>
      <c r="K142" s="49" t="n"/>
      <c r="L142" s="56">
        <f>IF(P142="","",IF(G142="転出","",IF(K142&lt;&gt;"",K142,IF(OR(J142="",J142="要調整"),"",J142))))</f>
        <v/>
      </c>
      <c r="M142" s="50">
        <f>IF(P142="","",IF(OR(G142="転出",AND(計算用!$B$1=1,T142="")),"転出",IF(L142&lt;&gt;"","決定",IF(Q142="","未提出","要調整"))))</f>
        <v/>
      </c>
      <c r="N142" s="50">
        <f>IF(OR(M142&lt;&gt;"要調整",H142=""),"",IFERROR((INDEX(設定!$Q$8:$Q$27,MATCH(H142,設定!$P$8:$P$27,0))+N(INDEX(設定!$R$8:$R$27,MATCH(H142,設定!$P$8:$P$27,0))))-INDEX(定員チェック!$I$7:$I$26,MATCH(H142,設定!$P$8:$P$27,0))-COUNTIFS($M$7:$M$456,"要調整",$G$7:$G$456,H142),""))</f>
        <v/>
      </c>
      <c r="O142" s="50">
        <f>IF(OR(M142&lt;&gt;"要調整",I142=""),"",IFERROR((INDEX(設定!$Q$8:$Q$27,MATCH(I142,設定!$P$8:$P$27,0))+N(INDEX(設定!$R$8:$R$27,MATCH(I142,設定!$P$8:$P$27,0))))-INDEX(定員チェック!$I$7:$I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IF(R142="","",IFERROR(MATCH(R142,希望入力!$M$5:$M$554,0),""))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50">
        <f>IF(P143="","",INDEX(前年度名簿!$H$3:$H$452,P143))</f>
        <v/>
      </c>
      <c r="B143" s="50">
        <f>IF(P143="","",IFERROR(INDEX(設定!$G$8:$G$31,INT(INDEX(前年度名簿!$G$3:$G$452,P143)/1000)),INDEX(前年度名簿!$A$3:$A$452,P143)&amp;INDEX(前年度名簿!$B$3:$B$452,P143)))</f>
        <v/>
      </c>
      <c r="C143" s="50">
        <f>IF(P143="","",INDEX(前年度名簿!$C$3:$C$452,P143))</f>
        <v/>
      </c>
      <c r="D143" s="4">
        <f>IF(P143="","",INDEX(前年度名簿!$D$3:$D$452,P143))</f>
        <v/>
      </c>
      <c r="E143" s="50">
        <f>IF(T143="","",INDEX(新年度名簿!$K$3:$K$452,T143))</f>
        <v/>
      </c>
      <c r="F143" s="50">
        <f>IF(T143="","",INDEX(新年度名簿!$C$3:$C$452,T143))</f>
        <v/>
      </c>
      <c r="G143" s="50">
        <f>IF(Q143="","",INDEX(希望入力!$H$5:$H$554,Q143)&amp;"")</f>
        <v/>
      </c>
      <c r="H143" s="50">
        <f>IF(Q143="","",INDEX(希望入力!$I$5:$I$554,Q143)&amp;"")</f>
        <v/>
      </c>
      <c r="I143" s="50">
        <f>IF(Q143="","",INDEX(希望入力!$J$5:$J$554,Q143)&amp;"")</f>
        <v/>
      </c>
      <c r="J143" s="50">
        <f>IF(Q143="","",IF(G143="転出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)</f>
        <v/>
      </c>
      <c r="K143" s="49" t="n"/>
      <c r="L143" s="56">
        <f>IF(P143="","",IF(G143="転出","",IF(K143&lt;&gt;"",K143,IF(OR(J143="",J143="要調整"),"",J143))))</f>
        <v/>
      </c>
      <c r="M143" s="50">
        <f>IF(P143="","",IF(OR(G143="転出",AND(計算用!$B$1=1,T143="")),"転出",IF(L143&lt;&gt;"","決定",IF(Q143="","未提出","要調整"))))</f>
        <v/>
      </c>
      <c r="N143" s="50">
        <f>IF(OR(M143&lt;&gt;"要調整",H143=""),"",IFERROR((INDEX(設定!$Q$8:$Q$27,MATCH(H143,設定!$P$8:$P$27,0))+N(INDEX(設定!$R$8:$R$27,MATCH(H143,設定!$P$8:$P$27,0))))-INDEX(定員チェック!$I$7:$I$26,MATCH(H143,設定!$P$8:$P$27,0))-COUNTIFS($M$7:$M$456,"要調整",$G$7:$G$456,H143),""))</f>
        <v/>
      </c>
      <c r="O143" s="50">
        <f>IF(OR(M143&lt;&gt;"要調整",I143=""),"",IFERROR((INDEX(設定!$Q$8:$Q$27,MATCH(I143,設定!$P$8:$P$27,0))+N(INDEX(設定!$R$8:$R$27,MATCH(I143,設定!$P$8:$P$27,0))))-INDEX(定員チェック!$I$7:$I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IF(R143="","",IFERROR(MATCH(R143,希望入力!$M$5:$M$554,0),""))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50">
        <f>IF(P144="","",INDEX(前年度名簿!$H$3:$H$452,P144))</f>
        <v/>
      </c>
      <c r="B144" s="50">
        <f>IF(P144="","",IFERROR(INDEX(設定!$G$8:$G$31,INT(INDEX(前年度名簿!$G$3:$G$452,P144)/1000)),INDEX(前年度名簿!$A$3:$A$452,P144)&amp;INDEX(前年度名簿!$B$3:$B$452,P144)))</f>
        <v/>
      </c>
      <c r="C144" s="50">
        <f>IF(P144="","",INDEX(前年度名簿!$C$3:$C$452,P144))</f>
        <v/>
      </c>
      <c r="D144" s="4">
        <f>IF(P144="","",INDEX(前年度名簿!$D$3:$D$452,P144))</f>
        <v/>
      </c>
      <c r="E144" s="50">
        <f>IF(T144="","",INDEX(新年度名簿!$K$3:$K$452,T144))</f>
        <v/>
      </c>
      <c r="F144" s="50">
        <f>IF(T144="","",INDEX(新年度名簿!$C$3:$C$452,T144))</f>
        <v/>
      </c>
      <c r="G144" s="50">
        <f>IF(Q144="","",INDEX(希望入力!$H$5:$H$554,Q144)&amp;"")</f>
        <v/>
      </c>
      <c r="H144" s="50">
        <f>IF(Q144="","",INDEX(希望入力!$I$5:$I$554,Q144)&amp;"")</f>
        <v/>
      </c>
      <c r="I144" s="50">
        <f>IF(Q144="","",INDEX(希望入力!$J$5:$J$554,Q144)&amp;"")</f>
        <v/>
      </c>
      <c r="J144" s="50">
        <f>IF(Q144="","",IF(G144="転出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)</f>
        <v/>
      </c>
      <c r="K144" s="49" t="n"/>
      <c r="L144" s="56">
        <f>IF(P144="","",IF(G144="転出","",IF(K144&lt;&gt;"",K144,IF(OR(J144="",J144="要調整"),"",J144))))</f>
        <v/>
      </c>
      <c r="M144" s="50">
        <f>IF(P144="","",IF(OR(G144="転出",AND(計算用!$B$1=1,T144="")),"転出",IF(L144&lt;&gt;"","決定",IF(Q144="","未提出","要調整"))))</f>
        <v/>
      </c>
      <c r="N144" s="50">
        <f>IF(OR(M144&lt;&gt;"要調整",H144=""),"",IFERROR((INDEX(設定!$Q$8:$Q$27,MATCH(H144,設定!$P$8:$P$27,0))+N(INDEX(設定!$R$8:$R$27,MATCH(H144,設定!$P$8:$P$27,0))))-INDEX(定員チェック!$I$7:$I$26,MATCH(H144,設定!$P$8:$P$27,0))-COUNTIFS($M$7:$M$456,"要調整",$G$7:$G$456,H144),""))</f>
        <v/>
      </c>
      <c r="O144" s="50">
        <f>IF(OR(M144&lt;&gt;"要調整",I144=""),"",IFERROR((INDEX(設定!$Q$8:$Q$27,MATCH(I144,設定!$P$8:$P$27,0))+N(INDEX(設定!$R$8:$R$27,MATCH(I144,設定!$P$8:$P$27,0))))-INDEX(定員チェック!$I$7:$I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IF(R144="","",IFERROR(MATCH(R144,希望入力!$M$5:$M$554,0),""))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50">
        <f>IF(P145="","",INDEX(前年度名簿!$H$3:$H$452,P145))</f>
        <v/>
      </c>
      <c r="B145" s="50">
        <f>IF(P145="","",IFERROR(INDEX(設定!$G$8:$G$31,INT(INDEX(前年度名簿!$G$3:$G$452,P145)/1000)),INDEX(前年度名簿!$A$3:$A$452,P145)&amp;INDEX(前年度名簿!$B$3:$B$452,P145)))</f>
        <v/>
      </c>
      <c r="C145" s="50">
        <f>IF(P145="","",INDEX(前年度名簿!$C$3:$C$452,P145))</f>
        <v/>
      </c>
      <c r="D145" s="4">
        <f>IF(P145="","",INDEX(前年度名簿!$D$3:$D$452,P145))</f>
        <v/>
      </c>
      <c r="E145" s="50">
        <f>IF(T145="","",INDEX(新年度名簿!$K$3:$K$452,T145))</f>
        <v/>
      </c>
      <c r="F145" s="50">
        <f>IF(T145="","",INDEX(新年度名簿!$C$3:$C$452,T145))</f>
        <v/>
      </c>
      <c r="G145" s="50">
        <f>IF(Q145="","",INDEX(希望入力!$H$5:$H$554,Q145)&amp;"")</f>
        <v/>
      </c>
      <c r="H145" s="50">
        <f>IF(Q145="","",INDEX(希望入力!$I$5:$I$554,Q145)&amp;"")</f>
        <v/>
      </c>
      <c r="I145" s="50">
        <f>IF(Q145="","",INDEX(希望入力!$J$5:$J$554,Q145)&amp;"")</f>
        <v/>
      </c>
      <c r="J145" s="50">
        <f>IF(Q145="","",IF(G145="転出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)</f>
        <v/>
      </c>
      <c r="K145" s="49" t="n"/>
      <c r="L145" s="56">
        <f>IF(P145="","",IF(G145="転出","",IF(K145&lt;&gt;"",K145,IF(OR(J145="",J145="要調整"),"",J145))))</f>
        <v/>
      </c>
      <c r="M145" s="50">
        <f>IF(P145="","",IF(OR(G145="転出",AND(計算用!$B$1=1,T145="")),"転出",IF(L145&lt;&gt;"","決定",IF(Q145="","未提出","要調整"))))</f>
        <v/>
      </c>
      <c r="N145" s="50">
        <f>IF(OR(M145&lt;&gt;"要調整",H145=""),"",IFERROR((INDEX(設定!$Q$8:$Q$27,MATCH(H145,設定!$P$8:$P$27,0))+N(INDEX(設定!$R$8:$R$27,MATCH(H145,設定!$P$8:$P$27,0))))-INDEX(定員チェック!$I$7:$I$26,MATCH(H145,設定!$P$8:$P$27,0))-COUNTIFS($M$7:$M$456,"要調整",$G$7:$G$456,H145),""))</f>
        <v/>
      </c>
      <c r="O145" s="50">
        <f>IF(OR(M145&lt;&gt;"要調整",I145=""),"",IFERROR((INDEX(設定!$Q$8:$Q$27,MATCH(I145,設定!$P$8:$P$27,0))+N(INDEX(設定!$R$8:$R$27,MATCH(I145,設定!$P$8:$P$27,0))))-INDEX(定員チェック!$I$7:$I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IF(R145="","",IFERROR(MATCH(R145,希望入力!$M$5:$M$554,0),""))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50">
        <f>IF(P146="","",INDEX(前年度名簿!$H$3:$H$452,P146))</f>
        <v/>
      </c>
      <c r="B146" s="50">
        <f>IF(P146="","",IFERROR(INDEX(設定!$G$8:$G$31,INT(INDEX(前年度名簿!$G$3:$G$452,P146)/1000)),INDEX(前年度名簿!$A$3:$A$452,P146)&amp;INDEX(前年度名簿!$B$3:$B$452,P146)))</f>
        <v/>
      </c>
      <c r="C146" s="50">
        <f>IF(P146="","",INDEX(前年度名簿!$C$3:$C$452,P146))</f>
        <v/>
      </c>
      <c r="D146" s="4">
        <f>IF(P146="","",INDEX(前年度名簿!$D$3:$D$452,P146))</f>
        <v/>
      </c>
      <c r="E146" s="50">
        <f>IF(T146="","",INDEX(新年度名簿!$K$3:$K$452,T146))</f>
        <v/>
      </c>
      <c r="F146" s="50">
        <f>IF(T146="","",INDEX(新年度名簿!$C$3:$C$452,T146))</f>
        <v/>
      </c>
      <c r="G146" s="50">
        <f>IF(Q146="","",INDEX(希望入力!$H$5:$H$554,Q146)&amp;"")</f>
        <v/>
      </c>
      <c r="H146" s="50">
        <f>IF(Q146="","",INDEX(希望入力!$I$5:$I$554,Q146)&amp;"")</f>
        <v/>
      </c>
      <c r="I146" s="50">
        <f>IF(Q146="","",INDEX(希望入力!$J$5:$J$554,Q146)&amp;"")</f>
        <v/>
      </c>
      <c r="J146" s="50">
        <f>IF(Q146="","",IF(G146="転出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)</f>
        <v/>
      </c>
      <c r="K146" s="49" t="n"/>
      <c r="L146" s="56">
        <f>IF(P146="","",IF(G146="転出","",IF(K146&lt;&gt;"",K146,IF(OR(J146="",J146="要調整"),"",J146))))</f>
        <v/>
      </c>
      <c r="M146" s="50">
        <f>IF(P146="","",IF(OR(G146="転出",AND(計算用!$B$1=1,T146="")),"転出",IF(L146&lt;&gt;"","決定",IF(Q146="","未提出","要調整"))))</f>
        <v/>
      </c>
      <c r="N146" s="50">
        <f>IF(OR(M146&lt;&gt;"要調整",H146=""),"",IFERROR((INDEX(設定!$Q$8:$Q$27,MATCH(H146,設定!$P$8:$P$27,0))+N(INDEX(設定!$R$8:$R$27,MATCH(H146,設定!$P$8:$P$27,0))))-INDEX(定員チェック!$I$7:$I$26,MATCH(H146,設定!$P$8:$P$27,0))-COUNTIFS($M$7:$M$456,"要調整",$G$7:$G$456,H146),""))</f>
        <v/>
      </c>
      <c r="O146" s="50">
        <f>IF(OR(M146&lt;&gt;"要調整",I146=""),"",IFERROR((INDEX(設定!$Q$8:$Q$27,MATCH(I146,設定!$P$8:$P$27,0))+N(INDEX(設定!$R$8:$R$27,MATCH(I146,設定!$P$8:$P$27,0))))-INDEX(定員チェック!$I$7:$I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IF(R146="","",IFERROR(MATCH(R146,希望入力!$M$5:$M$554,0),""))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50">
        <f>IF(P147="","",INDEX(前年度名簿!$H$3:$H$452,P147))</f>
        <v/>
      </c>
      <c r="B147" s="50">
        <f>IF(P147="","",IFERROR(INDEX(設定!$G$8:$G$31,INT(INDEX(前年度名簿!$G$3:$G$452,P147)/1000)),INDEX(前年度名簿!$A$3:$A$452,P147)&amp;INDEX(前年度名簿!$B$3:$B$452,P147)))</f>
        <v/>
      </c>
      <c r="C147" s="50">
        <f>IF(P147="","",INDEX(前年度名簿!$C$3:$C$452,P147))</f>
        <v/>
      </c>
      <c r="D147" s="4">
        <f>IF(P147="","",INDEX(前年度名簿!$D$3:$D$452,P147))</f>
        <v/>
      </c>
      <c r="E147" s="50">
        <f>IF(T147="","",INDEX(新年度名簿!$K$3:$K$452,T147))</f>
        <v/>
      </c>
      <c r="F147" s="50">
        <f>IF(T147="","",INDEX(新年度名簿!$C$3:$C$452,T147))</f>
        <v/>
      </c>
      <c r="G147" s="50">
        <f>IF(Q147="","",INDEX(希望入力!$H$5:$H$554,Q147)&amp;"")</f>
        <v/>
      </c>
      <c r="H147" s="50">
        <f>IF(Q147="","",INDEX(希望入力!$I$5:$I$554,Q147)&amp;"")</f>
        <v/>
      </c>
      <c r="I147" s="50">
        <f>IF(Q147="","",INDEX(希望入力!$J$5:$J$554,Q147)&amp;"")</f>
        <v/>
      </c>
      <c r="J147" s="50">
        <f>IF(Q147="","",IF(G147="転出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)</f>
        <v/>
      </c>
      <c r="K147" s="49" t="n"/>
      <c r="L147" s="56">
        <f>IF(P147="","",IF(G147="転出","",IF(K147&lt;&gt;"",K147,IF(OR(J147="",J147="要調整"),"",J147))))</f>
        <v/>
      </c>
      <c r="M147" s="50">
        <f>IF(P147="","",IF(OR(G147="転出",AND(計算用!$B$1=1,T147="")),"転出",IF(L147&lt;&gt;"","決定",IF(Q147="","未提出","要調整"))))</f>
        <v/>
      </c>
      <c r="N147" s="50">
        <f>IF(OR(M147&lt;&gt;"要調整",H147=""),"",IFERROR((INDEX(設定!$Q$8:$Q$27,MATCH(H147,設定!$P$8:$P$27,0))+N(INDEX(設定!$R$8:$R$27,MATCH(H147,設定!$P$8:$P$27,0))))-INDEX(定員チェック!$I$7:$I$26,MATCH(H147,設定!$P$8:$P$27,0))-COUNTIFS($M$7:$M$456,"要調整",$G$7:$G$456,H147),""))</f>
        <v/>
      </c>
      <c r="O147" s="50">
        <f>IF(OR(M147&lt;&gt;"要調整",I147=""),"",IFERROR((INDEX(設定!$Q$8:$Q$27,MATCH(I147,設定!$P$8:$P$27,0))+N(INDEX(設定!$R$8:$R$27,MATCH(I147,設定!$P$8:$P$27,0))))-INDEX(定員チェック!$I$7:$I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IF(R147="","",IFERROR(MATCH(R147,希望入力!$M$5:$M$554,0),""))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50">
        <f>IF(P148="","",INDEX(前年度名簿!$H$3:$H$452,P148))</f>
        <v/>
      </c>
      <c r="B148" s="50">
        <f>IF(P148="","",IFERROR(INDEX(設定!$G$8:$G$31,INT(INDEX(前年度名簿!$G$3:$G$452,P148)/1000)),INDEX(前年度名簿!$A$3:$A$452,P148)&amp;INDEX(前年度名簿!$B$3:$B$452,P148)))</f>
        <v/>
      </c>
      <c r="C148" s="50">
        <f>IF(P148="","",INDEX(前年度名簿!$C$3:$C$452,P148))</f>
        <v/>
      </c>
      <c r="D148" s="4">
        <f>IF(P148="","",INDEX(前年度名簿!$D$3:$D$452,P148))</f>
        <v/>
      </c>
      <c r="E148" s="50">
        <f>IF(T148="","",INDEX(新年度名簿!$K$3:$K$452,T148))</f>
        <v/>
      </c>
      <c r="F148" s="50">
        <f>IF(T148="","",INDEX(新年度名簿!$C$3:$C$452,T148))</f>
        <v/>
      </c>
      <c r="G148" s="50">
        <f>IF(Q148="","",INDEX(希望入力!$H$5:$H$554,Q148)&amp;"")</f>
        <v/>
      </c>
      <c r="H148" s="50">
        <f>IF(Q148="","",INDEX(希望入力!$I$5:$I$554,Q148)&amp;"")</f>
        <v/>
      </c>
      <c r="I148" s="50">
        <f>IF(Q148="","",INDEX(希望入力!$J$5:$J$554,Q148)&amp;"")</f>
        <v/>
      </c>
      <c r="J148" s="50">
        <f>IF(Q148="","",IF(G148="転出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)</f>
        <v/>
      </c>
      <c r="K148" s="49" t="n"/>
      <c r="L148" s="56">
        <f>IF(P148="","",IF(G148="転出","",IF(K148&lt;&gt;"",K148,IF(OR(J148="",J148="要調整"),"",J148))))</f>
        <v/>
      </c>
      <c r="M148" s="50">
        <f>IF(P148="","",IF(OR(G148="転出",AND(計算用!$B$1=1,T148="")),"転出",IF(L148&lt;&gt;"","決定",IF(Q148="","未提出","要調整"))))</f>
        <v/>
      </c>
      <c r="N148" s="50">
        <f>IF(OR(M148&lt;&gt;"要調整",H148=""),"",IFERROR((INDEX(設定!$Q$8:$Q$27,MATCH(H148,設定!$P$8:$P$27,0))+N(INDEX(設定!$R$8:$R$27,MATCH(H148,設定!$P$8:$P$27,0))))-INDEX(定員チェック!$I$7:$I$26,MATCH(H148,設定!$P$8:$P$27,0))-COUNTIFS($M$7:$M$456,"要調整",$G$7:$G$456,H148),""))</f>
        <v/>
      </c>
      <c r="O148" s="50">
        <f>IF(OR(M148&lt;&gt;"要調整",I148=""),"",IFERROR((INDEX(設定!$Q$8:$Q$27,MATCH(I148,設定!$P$8:$P$27,0))+N(INDEX(設定!$R$8:$R$27,MATCH(I148,設定!$P$8:$P$27,0))))-INDEX(定員チェック!$I$7:$I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IF(R148="","",IFERROR(MATCH(R148,希望入力!$M$5:$M$554,0),""))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50">
        <f>IF(P149="","",INDEX(前年度名簿!$H$3:$H$452,P149))</f>
        <v/>
      </c>
      <c r="B149" s="50">
        <f>IF(P149="","",IFERROR(INDEX(設定!$G$8:$G$31,INT(INDEX(前年度名簿!$G$3:$G$452,P149)/1000)),INDEX(前年度名簿!$A$3:$A$452,P149)&amp;INDEX(前年度名簿!$B$3:$B$452,P149)))</f>
        <v/>
      </c>
      <c r="C149" s="50">
        <f>IF(P149="","",INDEX(前年度名簿!$C$3:$C$452,P149))</f>
        <v/>
      </c>
      <c r="D149" s="4">
        <f>IF(P149="","",INDEX(前年度名簿!$D$3:$D$452,P149))</f>
        <v/>
      </c>
      <c r="E149" s="50">
        <f>IF(T149="","",INDEX(新年度名簿!$K$3:$K$452,T149))</f>
        <v/>
      </c>
      <c r="F149" s="50">
        <f>IF(T149="","",INDEX(新年度名簿!$C$3:$C$452,T149))</f>
        <v/>
      </c>
      <c r="G149" s="50">
        <f>IF(Q149="","",INDEX(希望入力!$H$5:$H$554,Q149)&amp;"")</f>
        <v/>
      </c>
      <c r="H149" s="50">
        <f>IF(Q149="","",INDEX(希望入力!$I$5:$I$554,Q149)&amp;"")</f>
        <v/>
      </c>
      <c r="I149" s="50">
        <f>IF(Q149="","",INDEX(希望入力!$J$5:$J$554,Q149)&amp;"")</f>
        <v/>
      </c>
      <c r="J149" s="50">
        <f>IF(Q149="","",IF(G149="転出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)</f>
        <v/>
      </c>
      <c r="K149" s="49" t="n"/>
      <c r="L149" s="56">
        <f>IF(P149="","",IF(G149="転出","",IF(K149&lt;&gt;"",K149,IF(OR(J149="",J149="要調整"),"",J149))))</f>
        <v/>
      </c>
      <c r="M149" s="50">
        <f>IF(P149="","",IF(OR(G149="転出",AND(計算用!$B$1=1,T149="")),"転出",IF(L149&lt;&gt;"","決定",IF(Q149="","未提出","要調整"))))</f>
        <v/>
      </c>
      <c r="N149" s="50">
        <f>IF(OR(M149&lt;&gt;"要調整",H149=""),"",IFERROR((INDEX(設定!$Q$8:$Q$27,MATCH(H149,設定!$P$8:$P$27,0))+N(INDEX(設定!$R$8:$R$27,MATCH(H149,設定!$P$8:$P$27,0))))-INDEX(定員チェック!$I$7:$I$26,MATCH(H149,設定!$P$8:$P$27,0))-COUNTIFS($M$7:$M$456,"要調整",$G$7:$G$456,H149),""))</f>
        <v/>
      </c>
      <c r="O149" s="50">
        <f>IF(OR(M149&lt;&gt;"要調整",I149=""),"",IFERROR((INDEX(設定!$Q$8:$Q$27,MATCH(I149,設定!$P$8:$P$27,0))+N(INDEX(設定!$R$8:$R$27,MATCH(I149,設定!$P$8:$P$27,0))))-INDEX(定員チェック!$I$7:$I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IF(R149="","",IFERROR(MATCH(R149,希望入力!$M$5:$M$554,0),""))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50">
        <f>IF(P150="","",INDEX(前年度名簿!$H$3:$H$452,P150))</f>
        <v/>
      </c>
      <c r="B150" s="50">
        <f>IF(P150="","",IFERROR(INDEX(設定!$G$8:$G$31,INT(INDEX(前年度名簿!$G$3:$G$452,P150)/1000)),INDEX(前年度名簿!$A$3:$A$452,P150)&amp;INDEX(前年度名簿!$B$3:$B$452,P150)))</f>
        <v/>
      </c>
      <c r="C150" s="50">
        <f>IF(P150="","",INDEX(前年度名簿!$C$3:$C$452,P150))</f>
        <v/>
      </c>
      <c r="D150" s="4">
        <f>IF(P150="","",INDEX(前年度名簿!$D$3:$D$452,P150))</f>
        <v/>
      </c>
      <c r="E150" s="50">
        <f>IF(T150="","",INDEX(新年度名簿!$K$3:$K$452,T150))</f>
        <v/>
      </c>
      <c r="F150" s="50">
        <f>IF(T150="","",INDEX(新年度名簿!$C$3:$C$452,T150))</f>
        <v/>
      </c>
      <c r="G150" s="50">
        <f>IF(Q150="","",INDEX(希望入力!$H$5:$H$554,Q150)&amp;"")</f>
        <v/>
      </c>
      <c r="H150" s="50">
        <f>IF(Q150="","",INDEX(希望入力!$I$5:$I$554,Q150)&amp;"")</f>
        <v/>
      </c>
      <c r="I150" s="50">
        <f>IF(Q150="","",INDEX(希望入力!$J$5:$J$554,Q150)&amp;"")</f>
        <v/>
      </c>
      <c r="J150" s="50">
        <f>IF(Q150="","",IF(G150="転出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)</f>
        <v/>
      </c>
      <c r="K150" s="49" t="n"/>
      <c r="L150" s="56">
        <f>IF(P150="","",IF(G150="転出","",IF(K150&lt;&gt;"",K150,IF(OR(J150="",J150="要調整"),"",J150))))</f>
        <v/>
      </c>
      <c r="M150" s="50">
        <f>IF(P150="","",IF(OR(G150="転出",AND(計算用!$B$1=1,T150="")),"転出",IF(L150&lt;&gt;"","決定",IF(Q150="","未提出","要調整"))))</f>
        <v/>
      </c>
      <c r="N150" s="50">
        <f>IF(OR(M150&lt;&gt;"要調整",H150=""),"",IFERROR((INDEX(設定!$Q$8:$Q$27,MATCH(H150,設定!$P$8:$P$27,0))+N(INDEX(設定!$R$8:$R$27,MATCH(H150,設定!$P$8:$P$27,0))))-INDEX(定員チェック!$I$7:$I$26,MATCH(H150,設定!$P$8:$P$27,0))-COUNTIFS($M$7:$M$456,"要調整",$G$7:$G$456,H150),""))</f>
        <v/>
      </c>
      <c r="O150" s="50">
        <f>IF(OR(M150&lt;&gt;"要調整",I150=""),"",IFERROR((INDEX(設定!$Q$8:$Q$27,MATCH(I150,設定!$P$8:$P$27,0))+N(INDEX(設定!$R$8:$R$27,MATCH(I150,設定!$P$8:$P$27,0))))-INDEX(定員チェック!$I$7:$I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IF(R150="","",IFERROR(MATCH(R150,希望入力!$M$5:$M$554,0),""))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50">
        <f>IF(P151="","",INDEX(前年度名簿!$H$3:$H$452,P151))</f>
        <v/>
      </c>
      <c r="B151" s="50">
        <f>IF(P151="","",IFERROR(INDEX(設定!$G$8:$G$31,INT(INDEX(前年度名簿!$G$3:$G$452,P151)/1000)),INDEX(前年度名簿!$A$3:$A$452,P151)&amp;INDEX(前年度名簿!$B$3:$B$452,P151)))</f>
        <v/>
      </c>
      <c r="C151" s="50">
        <f>IF(P151="","",INDEX(前年度名簿!$C$3:$C$452,P151))</f>
        <v/>
      </c>
      <c r="D151" s="4">
        <f>IF(P151="","",INDEX(前年度名簿!$D$3:$D$452,P151))</f>
        <v/>
      </c>
      <c r="E151" s="50">
        <f>IF(T151="","",INDEX(新年度名簿!$K$3:$K$452,T151))</f>
        <v/>
      </c>
      <c r="F151" s="50">
        <f>IF(T151="","",INDEX(新年度名簿!$C$3:$C$452,T151))</f>
        <v/>
      </c>
      <c r="G151" s="50">
        <f>IF(Q151="","",INDEX(希望入力!$H$5:$H$554,Q151)&amp;"")</f>
        <v/>
      </c>
      <c r="H151" s="50">
        <f>IF(Q151="","",INDEX(希望入力!$I$5:$I$554,Q151)&amp;"")</f>
        <v/>
      </c>
      <c r="I151" s="50">
        <f>IF(Q151="","",INDEX(希望入力!$J$5:$J$554,Q151)&amp;"")</f>
        <v/>
      </c>
      <c r="J151" s="50">
        <f>IF(Q151="","",IF(G151="転出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)</f>
        <v/>
      </c>
      <c r="K151" s="49" t="n"/>
      <c r="L151" s="56">
        <f>IF(P151="","",IF(G151="転出","",IF(K151&lt;&gt;"",K151,IF(OR(J151="",J151="要調整"),"",J151))))</f>
        <v/>
      </c>
      <c r="M151" s="50">
        <f>IF(P151="","",IF(OR(G151="転出",AND(計算用!$B$1=1,T151="")),"転出",IF(L151&lt;&gt;"","決定",IF(Q151="","未提出","要調整"))))</f>
        <v/>
      </c>
      <c r="N151" s="50">
        <f>IF(OR(M151&lt;&gt;"要調整",H151=""),"",IFERROR((INDEX(設定!$Q$8:$Q$27,MATCH(H151,設定!$P$8:$P$27,0))+N(INDEX(設定!$R$8:$R$27,MATCH(H151,設定!$P$8:$P$27,0))))-INDEX(定員チェック!$I$7:$I$26,MATCH(H151,設定!$P$8:$P$27,0))-COUNTIFS($M$7:$M$456,"要調整",$G$7:$G$456,H151),""))</f>
        <v/>
      </c>
      <c r="O151" s="50">
        <f>IF(OR(M151&lt;&gt;"要調整",I151=""),"",IFERROR((INDEX(設定!$Q$8:$Q$27,MATCH(I151,設定!$P$8:$P$27,0))+N(INDEX(設定!$R$8:$R$27,MATCH(I151,設定!$P$8:$P$27,0))))-INDEX(定員チェック!$I$7:$I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IF(R151="","",IFERROR(MATCH(R151,希望入力!$M$5:$M$554,0),""))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50">
        <f>IF(P152="","",INDEX(前年度名簿!$H$3:$H$452,P152))</f>
        <v/>
      </c>
      <c r="B152" s="50">
        <f>IF(P152="","",IFERROR(INDEX(設定!$G$8:$G$31,INT(INDEX(前年度名簿!$G$3:$G$452,P152)/1000)),INDEX(前年度名簿!$A$3:$A$452,P152)&amp;INDEX(前年度名簿!$B$3:$B$452,P152)))</f>
        <v/>
      </c>
      <c r="C152" s="50">
        <f>IF(P152="","",INDEX(前年度名簿!$C$3:$C$452,P152))</f>
        <v/>
      </c>
      <c r="D152" s="4">
        <f>IF(P152="","",INDEX(前年度名簿!$D$3:$D$452,P152))</f>
        <v/>
      </c>
      <c r="E152" s="50">
        <f>IF(T152="","",INDEX(新年度名簿!$K$3:$K$452,T152))</f>
        <v/>
      </c>
      <c r="F152" s="50">
        <f>IF(T152="","",INDEX(新年度名簿!$C$3:$C$452,T152))</f>
        <v/>
      </c>
      <c r="G152" s="50">
        <f>IF(Q152="","",INDEX(希望入力!$H$5:$H$554,Q152)&amp;"")</f>
        <v/>
      </c>
      <c r="H152" s="50">
        <f>IF(Q152="","",INDEX(希望入力!$I$5:$I$554,Q152)&amp;"")</f>
        <v/>
      </c>
      <c r="I152" s="50">
        <f>IF(Q152="","",INDEX(希望入力!$J$5:$J$554,Q152)&amp;"")</f>
        <v/>
      </c>
      <c r="J152" s="50">
        <f>IF(Q152="","",IF(G152="転出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)</f>
        <v/>
      </c>
      <c r="K152" s="49" t="n"/>
      <c r="L152" s="56">
        <f>IF(P152="","",IF(G152="転出","",IF(K152&lt;&gt;"",K152,IF(OR(J152="",J152="要調整"),"",J152))))</f>
        <v/>
      </c>
      <c r="M152" s="50">
        <f>IF(P152="","",IF(OR(G152="転出",AND(計算用!$B$1=1,T152="")),"転出",IF(L152&lt;&gt;"","決定",IF(Q152="","未提出","要調整"))))</f>
        <v/>
      </c>
      <c r="N152" s="50">
        <f>IF(OR(M152&lt;&gt;"要調整",H152=""),"",IFERROR((INDEX(設定!$Q$8:$Q$27,MATCH(H152,設定!$P$8:$P$27,0))+N(INDEX(設定!$R$8:$R$27,MATCH(H152,設定!$P$8:$P$27,0))))-INDEX(定員チェック!$I$7:$I$26,MATCH(H152,設定!$P$8:$P$27,0))-COUNTIFS($M$7:$M$456,"要調整",$G$7:$G$456,H152),""))</f>
        <v/>
      </c>
      <c r="O152" s="50">
        <f>IF(OR(M152&lt;&gt;"要調整",I152=""),"",IFERROR((INDEX(設定!$Q$8:$Q$27,MATCH(I152,設定!$P$8:$P$27,0))+N(INDEX(設定!$R$8:$R$27,MATCH(I152,設定!$P$8:$P$27,0))))-INDEX(定員チェック!$I$7:$I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IF(R152="","",IFERROR(MATCH(R152,希望入力!$M$5:$M$554,0),""))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50">
        <f>IF(P153="","",INDEX(前年度名簿!$H$3:$H$452,P153))</f>
        <v/>
      </c>
      <c r="B153" s="50">
        <f>IF(P153="","",IFERROR(INDEX(設定!$G$8:$G$31,INT(INDEX(前年度名簿!$G$3:$G$452,P153)/1000)),INDEX(前年度名簿!$A$3:$A$452,P153)&amp;INDEX(前年度名簿!$B$3:$B$452,P153)))</f>
        <v/>
      </c>
      <c r="C153" s="50">
        <f>IF(P153="","",INDEX(前年度名簿!$C$3:$C$452,P153))</f>
        <v/>
      </c>
      <c r="D153" s="4">
        <f>IF(P153="","",INDEX(前年度名簿!$D$3:$D$452,P153))</f>
        <v/>
      </c>
      <c r="E153" s="50">
        <f>IF(T153="","",INDEX(新年度名簿!$K$3:$K$452,T153))</f>
        <v/>
      </c>
      <c r="F153" s="50">
        <f>IF(T153="","",INDEX(新年度名簿!$C$3:$C$452,T153))</f>
        <v/>
      </c>
      <c r="G153" s="50">
        <f>IF(Q153="","",INDEX(希望入力!$H$5:$H$554,Q153)&amp;"")</f>
        <v/>
      </c>
      <c r="H153" s="50">
        <f>IF(Q153="","",INDEX(希望入力!$I$5:$I$554,Q153)&amp;"")</f>
        <v/>
      </c>
      <c r="I153" s="50">
        <f>IF(Q153="","",INDEX(希望入力!$J$5:$J$554,Q153)&amp;"")</f>
        <v/>
      </c>
      <c r="J153" s="50">
        <f>IF(Q153="","",IF(G153="転出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)</f>
        <v/>
      </c>
      <c r="K153" s="49" t="n"/>
      <c r="L153" s="56">
        <f>IF(P153="","",IF(G153="転出","",IF(K153&lt;&gt;"",K153,IF(OR(J153="",J153="要調整"),"",J153))))</f>
        <v/>
      </c>
      <c r="M153" s="50">
        <f>IF(P153="","",IF(OR(G153="転出",AND(計算用!$B$1=1,T153="")),"転出",IF(L153&lt;&gt;"","決定",IF(Q153="","未提出","要調整"))))</f>
        <v/>
      </c>
      <c r="N153" s="50">
        <f>IF(OR(M153&lt;&gt;"要調整",H153=""),"",IFERROR((INDEX(設定!$Q$8:$Q$27,MATCH(H153,設定!$P$8:$P$27,0))+N(INDEX(設定!$R$8:$R$27,MATCH(H153,設定!$P$8:$P$27,0))))-INDEX(定員チェック!$I$7:$I$26,MATCH(H153,設定!$P$8:$P$27,0))-COUNTIFS($M$7:$M$456,"要調整",$G$7:$G$456,H153),""))</f>
        <v/>
      </c>
      <c r="O153" s="50">
        <f>IF(OR(M153&lt;&gt;"要調整",I153=""),"",IFERROR((INDEX(設定!$Q$8:$Q$27,MATCH(I153,設定!$P$8:$P$27,0))+N(INDEX(設定!$R$8:$R$27,MATCH(I153,設定!$P$8:$P$27,0))))-INDEX(定員チェック!$I$7:$I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IF(R153="","",IFERROR(MATCH(R153,希望入力!$M$5:$M$554,0),""))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50">
        <f>IF(P154="","",INDEX(前年度名簿!$H$3:$H$452,P154))</f>
        <v/>
      </c>
      <c r="B154" s="50">
        <f>IF(P154="","",IFERROR(INDEX(設定!$G$8:$G$31,INT(INDEX(前年度名簿!$G$3:$G$452,P154)/1000)),INDEX(前年度名簿!$A$3:$A$452,P154)&amp;INDEX(前年度名簿!$B$3:$B$452,P154)))</f>
        <v/>
      </c>
      <c r="C154" s="50">
        <f>IF(P154="","",INDEX(前年度名簿!$C$3:$C$452,P154))</f>
        <v/>
      </c>
      <c r="D154" s="4">
        <f>IF(P154="","",INDEX(前年度名簿!$D$3:$D$452,P154))</f>
        <v/>
      </c>
      <c r="E154" s="50">
        <f>IF(T154="","",INDEX(新年度名簿!$K$3:$K$452,T154))</f>
        <v/>
      </c>
      <c r="F154" s="50">
        <f>IF(T154="","",INDEX(新年度名簿!$C$3:$C$452,T154))</f>
        <v/>
      </c>
      <c r="G154" s="50">
        <f>IF(Q154="","",INDEX(希望入力!$H$5:$H$554,Q154)&amp;"")</f>
        <v/>
      </c>
      <c r="H154" s="50">
        <f>IF(Q154="","",INDEX(希望入力!$I$5:$I$554,Q154)&amp;"")</f>
        <v/>
      </c>
      <c r="I154" s="50">
        <f>IF(Q154="","",INDEX(希望入力!$J$5:$J$554,Q154)&amp;"")</f>
        <v/>
      </c>
      <c r="J154" s="50">
        <f>IF(Q154="","",IF(G154="転出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)</f>
        <v/>
      </c>
      <c r="K154" s="49" t="n"/>
      <c r="L154" s="56">
        <f>IF(P154="","",IF(G154="転出","",IF(K154&lt;&gt;"",K154,IF(OR(J154="",J154="要調整"),"",J154))))</f>
        <v/>
      </c>
      <c r="M154" s="50">
        <f>IF(P154="","",IF(OR(G154="転出",AND(計算用!$B$1=1,T154="")),"転出",IF(L154&lt;&gt;"","決定",IF(Q154="","未提出","要調整"))))</f>
        <v/>
      </c>
      <c r="N154" s="50">
        <f>IF(OR(M154&lt;&gt;"要調整",H154=""),"",IFERROR((INDEX(設定!$Q$8:$Q$27,MATCH(H154,設定!$P$8:$P$27,0))+N(INDEX(設定!$R$8:$R$27,MATCH(H154,設定!$P$8:$P$27,0))))-INDEX(定員チェック!$I$7:$I$26,MATCH(H154,設定!$P$8:$P$27,0))-COUNTIFS($M$7:$M$456,"要調整",$G$7:$G$456,H154),""))</f>
        <v/>
      </c>
      <c r="O154" s="50">
        <f>IF(OR(M154&lt;&gt;"要調整",I154=""),"",IFERROR((INDEX(設定!$Q$8:$Q$27,MATCH(I154,設定!$P$8:$P$27,0))+N(INDEX(設定!$R$8:$R$27,MATCH(I154,設定!$P$8:$P$27,0))))-INDEX(定員チェック!$I$7:$I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IF(R154="","",IFERROR(MATCH(R154,希望入力!$M$5:$M$554,0),""))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50">
        <f>IF(P155="","",INDEX(前年度名簿!$H$3:$H$452,P155))</f>
        <v/>
      </c>
      <c r="B155" s="50">
        <f>IF(P155="","",IFERROR(INDEX(設定!$G$8:$G$31,INT(INDEX(前年度名簿!$G$3:$G$452,P155)/1000)),INDEX(前年度名簿!$A$3:$A$452,P155)&amp;INDEX(前年度名簿!$B$3:$B$452,P155)))</f>
        <v/>
      </c>
      <c r="C155" s="50">
        <f>IF(P155="","",INDEX(前年度名簿!$C$3:$C$452,P155))</f>
        <v/>
      </c>
      <c r="D155" s="4">
        <f>IF(P155="","",INDEX(前年度名簿!$D$3:$D$452,P155))</f>
        <v/>
      </c>
      <c r="E155" s="50">
        <f>IF(T155="","",INDEX(新年度名簿!$K$3:$K$452,T155))</f>
        <v/>
      </c>
      <c r="F155" s="50">
        <f>IF(T155="","",INDEX(新年度名簿!$C$3:$C$452,T155))</f>
        <v/>
      </c>
      <c r="G155" s="50">
        <f>IF(Q155="","",INDEX(希望入力!$H$5:$H$554,Q155)&amp;"")</f>
        <v/>
      </c>
      <c r="H155" s="50">
        <f>IF(Q155="","",INDEX(希望入力!$I$5:$I$554,Q155)&amp;"")</f>
        <v/>
      </c>
      <c r="I155" s="50">
        <f>IF(Q155="","",INDEX(希望入力!$J$5:$J$554,Q155)&amp;"")</f>
        <v/>
      </c>
      <c r="J155" s="50">
        <f>IF(Q155="","",IF(G155="転出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)</f>
        <v/>
      </c>
      <c r="K155" s="49" t="n"/>
      <c r="L155" s="56">
        <f>IF(P155="","",IF(G155="転出","",IF(K155&lt;&gt;"",K155,IF(OR(J155="",J155="要調整"),"",J155))))</f>
        <v/>
      </c>
      <c r="M155" s="50">
        <f>IF(P155="","",IF(OR(G155="転出",AND(計算用!$B$1=1,T155="")),"転出",IF(L155&lt;&gt;"","決定",IF(Q155="","未提出","要調整"))))</f>
        <v/>
      </c>
      <c r="N155" s="50">
        <f>IF(OR(M155&lt;&gt;"要調整",H155=""),"",IFERROR((INDEX(設定!$Q$8:$Q$27,MATCH(H155,設定!$P$8:$P$27,0))+N(INDEX(設定!$R$8:$R$27,MATCH(H155,設定!$P$8:$P$27,0))))-INDEX(定員チェック!$I$7:$I$26,MATCH(H155,設定!$P$8:$P$27,0))-COUNTIFS($M$7:$M$456,"要調整",$G$7:$G$456,H155),""))</f>
        <v/>
      </c>
      <c r="O155" s="50">
        <f>IF(OR(M155&lt;&gt;"要調整",I155=""),"",IFERROR((INDEX(設定!$Q$8:$Q$27,MATCH(I155,設定!$P$8:$P$27,0))+N(INDEX(設定!$R$8:$R$27,MATCH(I155,設定!$P$8:$P$27,0))))-INDEX(定員チェック!$I$7:$I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IF(R155="","",IFERROR(MATCH(R155,希望入力!$M$5:$M$554,0),""))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50">
        <f>IF(P156="","",INDEX(前年度名簿!$H$3:$H$452,P156))</f>
        <v/>
      </c>
      <c r="B156" s="50">
        <f>IF(P156="","",IFERROR(INDEX(設定!$G$8:$G$31,INT(INDEX(前年度名簿!$G$3:$G$452,P156)/1000)),INDEX(前年度名簿!$A$3:$A$452,P156)&amp;INDEX(前年度名簿!$B$3:$B$452,P156)))</f>
        <v/>
      </c>
      <c r="C156" s="50">
        <f>IF(P156="","",INDEX(前年度名簿!$C$3:$C$452,P156))</f>
        <v/>
      </c>
      <c r="D156" s="4">
        <f>IF(P156="","",INDEX(前年度名簿!$D$3:$D$452,P156))</f>
        <v/>
      </c>
      <c r="E156" s="50">
        <f>IF(T156="","",INDEX(新年度名簿!$K$3:$K$452,T156))</f>
        <v/>
      </c>
      <c r="F156" s="50">
        <f>IF(T156="","",INDEX(新年度名簿!$C$3:$C$452,T156))</f>
        <v/>
      </c>
      <c r="G156" s="50">
        <f>IF(Q156="","",INDEX(希望入力!$H$5:$H$554,Q156)&amp;"")</f>
        <v/>
      </c>
      <c r="H156" s="50">
        <f>IF(Q156="","",INDEX(希望入力!$I$5:$I$554,Q156)&amp;"")</f>
        <v/>
      </c>
      <c r="I156" s="50">
        <f>IF(Q156="","",INDEX(希望入力!$J$5:$J$554,Q156)&amp;"")</f>
        <v/>
      </c>
      <c r="J156" s="50">
        <f>IF(Q156="","",IF(G156="転出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)</f>
        <v/>
      </c>
      <c r="K156" s="49" t="n"/>
      <c r="L156" s="56">
        <f>IF(P156="","",IF(G156="転出","",IF(K156&lt;&gt;"",K156,IF(OR(J156="",J156="要調整"),"",J156))))</f>
        <v/>
      </c>
      <c r="M156" s="50">
        <f>IF(P156="","",IF(OR(G156="転出",AND(計算用!$B$1=1,T156="")),"転出",IF(L156&lt;&gt;"","決定",IF(Q156="","未提出","要調整"))))</f>
        <v/>
      </c>
      <c r="N156" s="50">
        <f>IF(OR(M156&lt;&gt;"要調整",H156=""),"",IFERROR((INDEX(設定!$Q$8:$Q$27,MATCH(H156,設定!$P$8:$P$27,0))+N(INDEX(設定!$R$8:$R$27,MATCH(H156,設定!$P$8:$P$27,0))))-INDEX(定員チェック!$I$7:$I$26,MATCH(H156,設定!$P$8:$P$27,0))-COUNTIFS($M$7:$M$456,"要調整",$G$7:$G$456,H156),""))</f>
        <v/>
      </c>
      <c r="O156" s="50">
        <f>IF(OR(M156&lt;&gt;"要調整",I156=""),"",IFERROR((INDEX(設定!$Q$8:$Q$27,MATCH(I156,設定!$P$8:$P$27,0))+N(INDEX(設定!$R$8:$R$27,MATCH(I156,設定!$P$8:$P$27,0))))-INDEX(定員チェック!$I$7:$I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IF(R156="","",IFERROR(MATCH(R156,希望入力!$M$5:$M$554,0),""))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50">
        <f>IF(P157="","",INDEX(前年度名簿!$H$3:$H$452,P157))</f>
        <v/>
      </c>
      <c r="B157" s="50">
        <f>IF(P157="","",IFERROR(INDEX(設定!$G$8:$G$31,INT(INDEX(前年度名簿!$G$3:$G$452,P157)/1000)),INDEX(前年度名簿!$A$3:$A$452,P157)&amp;INDEX(前年度名簿!$B$3:$B$452,P157)))</f>
        <v/>
      </c>
      <c r="C157" s="50">
        <f>IF(P157="","",INDEX(前年度名簿!$C$3:$C$452,P157))</f>
        <v/>
      </c>
      <c r="D157" s="4">
        <f>IF(P157="","",INDEX(前年度名簿!$D$3:$D$452,P157))</f>
        <v/>
      </c>
      <c r="E157" s="50">
        <f>IF(T157="","",INDEX(新年度名簿!$K$3:$K$452,T157))</f>
        <v/>
      </c>
      <c r="F157" s="50">
        <f>IF(T157="","",INDEX(新年度名簿!$C$3:$C$452,T157))</f>
        <v/>
      </c>
      <c r="G157" s="50">
        <f>IF(Q157="","",INDEX(希望入力!$H$5:$H$554,Q157)&amp;"")</f>
        <v/>
      </c>
      <c r="H157" s="50">
        <f>IF(Q157="","",INDEX(希望入力!$I$5:$I$554,Q157)&amp;"")</f>
        <v/>
      </c>
      <c r="I157" s="50">
        <f>IF(Q157="","",INDEX(希望入力!$J$5:$J$554,Q157)&amp;"")</f>
        <v/>
      </c>
      <c r="J157" s="50">
        <f>IF(Q157="","",IF(G157="転出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)</f>
        <v/>
      </c>
      <c r="K157" s="49" t="n"/>
      <c r="L157" s="56">
        <f>IF(P157="","",IF(G157="転出","",IF(K157&lt;&gt;"",K157,IF(OR(J157="",J157="要調整"),"",J157))))</f>
        <v/>
      </c>
      <c r="M157" s="50">
        <f>IF(P157="","",IF(OR(G157="転出",AND(計算用!$B$1=1,T157="")),"転出",IF(L157&lt;&gt;"","決定",IF(Q157="","未提出","要調整"))))</f>
        <v/>
      </c>
      <c r="N157" s="50">
        <f>IF(OR(M157&lt;&gt;"要調整",H157=""),"",IFERROR((INDEX(設定!$Q$8:$Q$27,MATCH(H157,設定!$P$8:$P$27,0))+N(INDEX(設定!$R$8:$R$27,MATCH(H157,設定!$P$8:$P$27,0))))-INDEX(定員チェック!$I$7:$I$26,MATCH(H157,設定!$P$8:$P$27,0))-COUNTIFS($M$7:$M$456,"要調整",$G$7:$G$456,H157),""))</f>
        <v/>
      </c>
      <c r="O157" s="50">
        <f>IF(OR(M157&lt;&gt;"要調整",I157=""),"",IFERROR((INDEX(設定!$Q$8:$Q$27,MATCH(I157,設定!$P$8:$P$27,0))+N(INDEX(設定!$R$8:$R$27,MATCH(I157,設定!$P$8:$P$27,0))))-INDEX(定員チェック!$I$7:$I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IF(R157="","",IFERROR(MATCH(R157,希望入力!$M$5:$M$554,0),""))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50">
        <f>IF(P158="","",INDEX(前年度名簿!$H$3:$H$452,P158))</f>
        <v/>
      </c>
      <c r="B158" s="50">
        <f>IF(P158="","",IFERROR(INDEX(設定!$G$8:$G$31,INT(INDEX(前年度名簿!$G$3:$G$452,P158)/1000)),INDEX(前年度名簿!$A$3:$A$452,P158)&amp;INDEX(前年度名簿!$B$3:$B$452,P158)))</f>
        <v/>
      </c>
      <c r="C158" s="50">
        <f>IF(P158="","",INDEX(前年度名簿!$C$3:$C$452,P158))</f>
        <v/>
      </c>
      <c r="D158" s="4">
        <f>IF(P158="","",INDEX(前年度名簿!$D$3:$D$452,P158))</f>
        <v/>
      </c>
      <c r="E158" s="50">
        <f>IF(T158="","",INDEX(新年度名簿!$K$3:$K$452,T158))</f>
        <v/>
      </c>
      <c r="F158" s="50">
        <f>IF(T158="","",INDEX(新年度名簿!$C$3:$C$452,T158))</f>
        <v/>
      </c>
      <c r="G158" s="50">
        <f>IF(Q158="","",INDEX(希望入力!$H$5:$H$554,Q158)&amp;"")</f>
        <v/>
      </c>
      <c r="H158" s="50">
        <f>IF(Q158="","",INDEX(希望入力!$I$5:$I$554,Q158)&amp;"")</f>
        <v/>
      </c>
      <c r="I158" s="50">
        <f>IF(Q158="","",INDEX(希望入力!$J$5:$J$554,Q158)&amp;"")</f>
        <v/>
      </c>
      <c r="J158" s="50">
        <f>IF(Q158="","",IF(G158="転出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)</f>
        <v/>
      </c>
      <c r="K158" s="49" t="n"/>
      <c r="L158" s="56">
        <f>IF(P158="","",IF(G158="転出","",IF(K158&lt;&gt;"",K158,IF(OR(J158="",J158="要調整"),"",J158))))</f>
        <v/>
      </c>
      <c r="M158" s="50">
        <f>IF(P158="","",IF(OR(G158="転出",AND(計算用!$B$1=1,T158="")),"転出",IF(L158&lt;&gt;"","決定",IF(Q158="","未提出","要調整"))))</f>
        <v/>
      </c>
      <c r="N158" s="50">
        <f>IF(OR(M158&lt;&gt;"要調整",H158=""),"",IFERROR((INDEX(設定!$Q$8:$Q$27,MATCH(H158,設定!$P$8:$P$27,0))+N(INDEX(設定!$R$8:$R$27,MATCH(H158,設定!$P$8:$P$27,0))))-INDEX(定員チェック!$I$7:$I$26,MATCH(H158,設定!$P$8:$P$27,0))-COUNTIFS($M$7:$M$456,"要調整",$G$7:$G$456,H158),""))</f>
        <v/>
      </c>
      <c r="O158" s="50">
        <f>IF(OR(M158&lt;&gt;"要調整",I158=""),"",IFERROR((INDEX(設定!$Q$8:$Q$27,MATCH(I158,設定!$P$8:$P$27,0))+N(INDEX(設定!$R$8:$R$27,MATCH(I158,設定!$P$8:$P$27,0))))-INDEX(定員チェック!$I$7:$I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IF(R158="","",IFERROR(MATCH(R158,希望入力!$M$5:$M$554,0),""))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50">
        <f>IF(P159="","",INDEX(前年度名簿!$H$3:$H$452,P159))</f>
        <v/>
      </c>
      <c r="B159" s="50">
        <f>IF(P159="","",IFERROR(INDEX(設定!$G$8:$G$31,INT(INDEX(前年度名簿!$G$3:$G$452,P159)/1000)),INDEX(前年度名簿!$A$3:$A$452,P159)&amp;INDEX(前年度名簿!$B$3:$B$452,P159)))</f>
        <v/>
      </c>
      <c r="C159" s="50">
        <f>IF(P159="","",INDEX(前年度名簿!$C$3:$C$452,P159))</f>
        <v/>
      </c>
      <c r="D159" s="4">
        <f>IF(P159="","",INDEX(前年度名簿!$D$3:$D$452,P159))</f>
        <v/>
      </c>
      <c r="E159" s="50">
        <f>IF(T159="","",INDEX(新年度名簿!$K$3:$K$452,T159))</f>
        <v/>
      </c>
      <c r="F159" s="50">
        <f>IF(T159="","",INDEX(新年度名簿!$C$3:$C$452,T159))</f>
        <v/>
      </c>
      <c r="G159" s="50">
        <f>IF(Q159="","",INDEX(希望入力!$H$5:$H$554,Q159)&amp;"")</f>
        <v/>
      </c>
      <c r="H159" s="50">
        <f>IF(Q159="","",INDEX(希望入力!$I$5:$I$554,Q159)&amp;"")</f>
        <v/>
      </c>
      <c r="I159" s="50">
        <f>IF(Q159="","",INDEX(希望入力!$J$5:$J$554,Q159)&amp;"")</f>
        <v/>
      </c>
      <c r="J159" s="50">
        <f>IF(Q159="","",IF(G159="転出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)</f>
        <v/>
      </c>
      <c r="K159" s="49" t="n"/>
      <c r="L159" s="56">
        <f>IF(P159="","",IF(G159="転出","",IF(K159&lt;&gt;"",K159,IF(OR(J159="",J159="要調整"),"",J159))))</f>
        <v/>
      </c>
      <c r="M159" s="50">
        <f>IF(P159="","",IF(OR(G159="転出",AND(計算用!$B$1=1,T159="")),"転出",IF(L159&lt;&gt;"","決定",IF(Q159="","未提出","要調整"))))</f>
        <v/>
      </c>
      <c r="N159" s="50">
        <f>IF(OR(M159&lt;&gt;"要調整",H159=""),"",IFERROR((INDEX(設定!$Q$8:$Q$27,MATCH(H159,設定!$P$8:$P$27,0))+N(INDEX(設定!$R$8:$R$27,MATCH(H159,設定!$P$8:$P$27,0))))-INDEX(定員チェック!$I$7:$I$26,MATCH(H159,設定!$P$8:$P$27,0))-COUNTIFS($M$7:$M$456,"要調整",$G$7:$G$456,H159),""))</f>
        <v/>
      </c>
      <c r="O159" s="50">
        <f>IF(OR(M159&lt;&gt;"要調整",I159=""),"",IFERROR((INDEX(設定!$Q$8:$Q$27,MATCH(I159,設定!$P$8:$P$27,0))+N(INDEX(設定!$R$8:$R$27,MATCH(I159,設定!$P$8:$P$27,0))))-INDEX(定員チェック!$I$7:$I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IF(R159="","",IFERROR(MATCH(R159,希望入力!$M$5:$M$554,0),""))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50">
        <f>IF(P160="","",INDEX(前年度名簿!$H$3:$H$452,P160))</f>
        <v/>
      </c>
      <c r="B160" s="50">
        <f>IF(P160="","",IFERROR(INDEX(設定!$G$8:$G$31,INT(INDEX(前年度名簿!$G$3:$G$452,P160)/1000)),INDEX(前年度名簿!$A$3:$A$452,P160)&amp;INDEX(前年度名簿!$B$3:$B$452,P160)))</f>
        <v/>
      </c>
      <c r="C160" s="50">
        <f>IF(P160="","",INDEX(前年度名簿!$C$3:$C$452,P160))</f>
        <v/>
      </c>
      <c r="D160" s="4">
        <f>IF(P160="","",INDEX(前年度名簿!$D$3:$D$452,P160))</f>
        <v/>
      </c>
      <c r="E160" s="50">
        <f>IF(T160="","",INDEX(新年度名簿!$K$3:$K$452,T160))</f>
        <v/>
      </c>
      <c r="F160" s="50">
        <f>IF(T160="","",INDEX(新年度名簿!$C$3:$C$452,T160))</f>
        <v/>
      </c>
      <c r="G160" s="50">
        <f>IF(Q160="","",INDEX(希望入力!$H$5:$H$554,Q160)&amp;"")</f>
        <v/>
      </c>
      <c r="H160" s="50">
        <f>IF(Q160="","",INDEX(希望入力!$I$5:$I$554,Q160)&amp;"")</f>
        <v/>
      </c>
      <c r="I160" s="50">
        <f>IF(Q160="","",INDEX(希望入力!$J$5:$J$554,Q160)&amp;"")</f>
        <v/>
      </c>
      <c r="J160" s="50">
        <f>IF(Q160="","",IF(G160="転出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)</f>
        <v/>
      </c>
      <c r="K160" s="49" t="n"/>
      <c r="L160" s="56">
        <f>IF(P160="","",IF(G160="転出","",IF(K160&lt;&gt;"",K160,IF(OR(J160="",J160="要調整"),"",J160))))</f>
        <v/>
      </c>
      <c r="M160" s="50">
        <f>IF(P160="","",IF(OR(G160="転出",AND(計算用!$B$1=1,T160="")),"転出",IF(L160&lt;&gt;"","決定",IF(Q160="","未提出","要調整"))))</f>
        <v/>
      </c>
      <c r="N160" s="50">
        <f>IF(OR(M160&lt;&gt;"要調整",H160=""),"",IFERROR((INDEX(設定!$Q$8:$Q$27,MATCH(H160,設定!$P$8:$P$27,0))+N(INDEX(設定!$R$8:$R$27,MATCH(H160,設定!$P$8:$P$27,0))))-INDEX(定員チェック!$I$7:$I$26,MATCH(H160,設定!$P$8:$P$27,0))-COUNTIFS($M$7:$M$456,"要調整",$G$7:$G$456,H160),""))</f>
        <v/>
      </c>
      <c r="O160" s="50">
        <f>IF(OR(M160&lt;&gt;"要調整",I160=""),"",IFERROR((INDEX(設定!$Q$8:$Q$27,MATCH(I160,設定!$P$8:$P$27,0))+N(INDEX(設定!$R$8:$R$27,MATCH(I160,設定!$P$8:$P$27,0))))-INDEX(定員チェック!$I$7:$I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IF(R160="","",IFERROR(MATCH(R160,希望入力!$M$5:$M$554,0),""))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50">
        <f>IF(P161="","",INDEX(前年度名簿!$H$3:$H$452,P161))</f>
        <v/>
      </c>
      <c r="B161" s="50">
        <f>IF(P161="","",IFERROR(INDEX(設定!$G$8:$G$31,INT(INDEX(前年度名簿!$G$3:$G$452,P161)/1000)),INDEX(前年度名簿!$A$3:$A$452,P161)&amp;INDEX(前年度名簿!$B$3:$B$452,P161)))</f>
        <v/>
      </c>
      <c r="C161" s="50">
        <f>IF(P161="","",INDEX(前年度名簿!$C$3:$C$452,P161))</f>
        <v/>
      </c>
      <c r="D161" s="4">
        <f>IF(P161="","",INDEX(前年度名簿!$D$3:$D$452,P161))</f>
        <v/>
      </c>
      <c r="E161" s="50">
        <f>IF(T161="","",INDEX(新年度名簿!$K$3:$K$452,T161))</f>
        <v/>
      </c>
      <c r="F161" s="50">
        <f>IF(T161="","",INDEX(新年度名簿!$C$3:$C$452,T161))</f>
        <v/>
      </c>
      <c r="G161" s="50">
        <f>IF(Q161="","",INDEX(希望入力!$H$5:$H$554,Q161)&amp;"")</f>
        <v/>
      </c>
      <c r="H161" s="50">
        <f>IF(Q161="","",INDEX(希望入力!$I$5:$I$554,Q161)&amp;"")</f>
        <v/>
      </c>
      <c r="I161" s="50">
        <f>IF(Q161="","",INDEX(希望入力!$J$5:$J$554,Q161)&amp;"")</f>
        <v/>
      </c>
      <c r="J161" s="50">
        <f>IF(Q161="","",IF(G161="転出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)</f>
        <v/>
      </c>
      <c r="K161" s="49" t="n"/>
      <c r="L161" s="56">
        <f>IF(P161="","",IF(G161="転出","",IF(K161&lt;&gt;"",K161,IF(OR(J161="",J161="要調整"),"",J161))))</f>
        <v/>
      </c>
      <c r="M161" s="50">
        <f>IF(P161="","",IF(OR(G161="転出",AND(計算用!$B$1=1,T161="")),"転出",IF(L161&lt;&gt;"","決定",IF(Q161="","未提出","要調整"))))</f>
        <v/>
      </c>
      <c r="N161" s="50">
        <f>IF(OR(M161&lt;&gt;"要調整",H161=""),"",IFERROR((INDEX(設定!$Q$8:$Q$27,MATCH(H161,設定!$P$8:$P$27,0))+N(INDEX(設定!$R$8:$R$27,MATCH(H161,設定!$P$8:$P$27,0))))-INDEX(定員チェック!$I$7:$I$26,MATCH(H161,設定!$P$8:$P$27,0))-COUNTIFS($M$7:$M$456,"要調整",$G$7:$G$456,H161),""))</f>
        <v/>
      </c>
      <c r="O161" s="50">
        <f>IF(OR(M161&lt;&gt;"要調整",I161=""),"",IFERROR((INDEX(設定!$Q$8:$Q$27,MATCH(I161,設定!$P$8:$P$27,0))+N(INDEX(設定!$R$8:$R$27,MATCH(I161,設定!$P$8:$P$27,0))))-INDEX(定員チェック!$I$7:$I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IF(R161="","",IFERROR(MATCH(R161,希望入力!$M$5:$M$554,0),""))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50">
        <f>IF(P162="","",INDEX(前年度名簿!$H$3:$H$452,P162))</f>
        <v/>
      </c>
      <c r="B162" s="50">
        <f>IF(P162="","",IFERROR(INDEX(設定!$G$8:$G$31,INT(INDEX(前年度名簿!$G$3:$G$452,P162)/1000)),INDEX(前年度名簿!$A$3:$A$452,P162)&amp;INDEX(前年度名簿!$B$3:$B$452,P162)))</f>
        <v/>
      </c>
      <c r="C162" s="50">
        <f>IF(P162="","",INDEX(前年度名簿!$C$3:$C$452,P162))</f>
        <v/>
      </c>
      <c r="D162" s="4">
        <f>IF(P162="","",INDEX(前年度名簿!$D$3:$D$452,P162))</f>
        <v/>
      </c>
      <c r="E162" s="50">
        <f>IF(T162="","",INDEX(新年度名簿!$K$3:$K$452,T162))</f>
        <v/>
      </c>
      <c r="F162" s="50">
        <f>IF(T162="","",INDEX(新年度名簿!$C$3:$C$452,T162))</f>
        <v/>
      </c>
      <c r="G162" s="50">
        <f>IF(Q162="","",INDEX(希望入力!$H$5:$H$554,Q162)&amp;"")</f>
        <v/>
      </c>
      <c r="H162" s="50">
        <f>IF(Q162="","",INDEX(希望入力!$I$5:$I$554,Q162)&amp;"")</f>
        <v/>
      </c>
      <c r="I162" s="50">
        <f>IF(Q162="","",INDEX(希望入力!$J$5:$J$554,Q162)&amp;"")</f>
        <v/>
      </c>
      <c r="J162" s="50">
        <f>IF(Q162="","",IF(G162="転出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)</f>
        <v/>
      </c>
      <c r="K162" s="49" t="n"/>
      <c r="L162" s="56">
        <f>IF(P162="","",IF(G162="転出","",IF(K162&lt;&gt;"",K162,IF(OR(J162="",J162="要調整"),"",J162))))</f>
        <v/>
      </c>
      <c r="M162" s="50">
        <f>IF(P162="","",IF(OR(G162="転出",AND(計算用!$B$1=1,T162="")),"転出",IF(L162&lt;&gt;"","決定",IF(Q162="","未提出","要調整"))))</f>
        <v/>
      </c>
      <c r="N162" s="50">
        <f>IF(OR(M162&lt;&gt;"要調整",H162=""),"",IFERROR((INDEX(設定!$Q$8:$Q$27,MATCH(H162,設定!$P$8:$P$27,0))+N(INDEX(設定!$R$8:$R$27,MATCH(H162,設定!$P$8:$P$27,0))))-INDEX(定員チェック!$I$7:$I$26,MATCH(H162,設定!$P$8:$P$27,0))-COUNTIFS($M$7:$M$456,"要調整",$G$7:$G$456,H162),""))</f>
        <v/>
      </c>
      <c r="O162" s="50">
        <f>IF(OR(M162&lt;&gt;"要調整",I162=""),"",IFERROR((INDEX(設定!$Q$8:$Q$27,MATCH(I162,設定!$P$8:$P$27,0))+N(INDEX(設定!$R$8:$R$27,MATCH(I162,設定!$P$8:$P$27,0))))-INDEX(定員チェック!$I$7:$I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IF(R162="","",IFERROR(MATCH(R162,希望入力!$M$5:$M$554,0),""))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50">
        <f>IF(P163="","",INDEX(前年度名簿!$H$3:$H$452,P163))</f>
        <v/>
      </c>
      <c r="B163" s="50">
        <f>IF(P163="","",IFERROR(INDEX(設定!$G$8:$G$31,INT(INDEX(前年度名簿!$G$3:$G$452,P163)/1000)),INDEX(前年度名簿!$A$3:$A$452,P163)&amp;INDEX(前年度名簿!$B$3:$B$452,P163)))</f>
        <v/>
      </c>
      <c r="C163" s="50">
        <f>IF(P163="","",INDEX(前年度名簿!$C$3:$C$452,P163))</f>
        <v/>
      </c>
      <c r="D163" s="4">
        <f>IF(P163="","",INDEX(前年度名簿!$D$3:$D$452,P163))</f>
        <v/>
      </c>
      <c r="E163" s="50">
        <f>IF(T163="","",INDEX(新年度名簿!$K$3:$K$452,T163))</f>
        <v/>
      </c>
      <c r="F163" s="50">
        <f>IF(T163="","",INDEX(新年度名簿!$C$3:$C$452,T163))</f>
        <v/>
      </c>
      <c r="G163" s="50">
        <f>IF(Q163="","",INDEX(希望入力!$H$5:$H$554,Q163)&amp;"")</f>
        <v/>
      </c>
      <c r="H163" s="50">
        <f>IF(Q163="","",INDEX(希望入力!$I$5:$I$554,Q163)&amp;"")</f>
        <v/>
      </c>
      <c r="I163" s="50">
        <f>IF(Q163="","",INDEX(希望入力!$J$5:$J$554,Q163)&amp;"")</f>
        <v/>
      </c>
      <c r="J163" s="50">
        <f>IF(Q163="","",IF(G163="転出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)</f>
        <v/>
      </c>
      <c r="K163" s="49" t="n"/>
      <c r="L163" s="56">
        <f>IF(P163="","",IF(G163="転出","",IF(K163&lt;&gt;"",K163,IF(OR(J163="",J163="要調整"),"",J163))))</f>
        <v/>
      </c>
      <c r="M163" s="50">
        <f>IF(P163="","",IF(OR(G163="転出",AND(計算用!$B$1=1,T163="")),"転出",IF(L163&lt;&gt;"","決定",IF(Q163="","未提出","要調整"))))</f>
        <v/>
      </c>
      <c r="N163" s="50">
        <f>IF(OR(M163&lt;&gt;"要調整",H163=""),"",IFERROR((INDEX(設定!$Q$8:$Q$27,MATCH(H163,設定!$P$8:$P$27,0))+N(INDEX(設定!$R$8:$R$27,MATCH(H163,設定!$P$8:$P$27,0))))-INDEX(定員チェック!$I$7:$I$26,MATCH(H163,設定!$P$8:$P$27,0))-COUNTIFS($M$7:$M$456,"要調整",$G$7:$G$456,H163),""))</f>
        <v/>
      </c>
      <c r="O163" s="50">
        <f>IF(OR(M163&lt;&gt;"要調整",I163=""),"",IFERROR((INDEX(設定!$Q$8:$Q$27,MATCH(I163,設定!$P$8:$P$27,0))+N(INDEX(設定!$R$8:$R$27,MATCH(I163,設定!$P$8:$P$27,0))))-INDEX(定員チェック!$I$7:$I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IF(R163="","",IFERROR(MATCH(R163,希望入力!$M$5:$M$554,0),""))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50">
        <f>IF(P164="","",INDEX(前年度名簿!$H$3:$H$452,P164))</f>
        <v/>
      </c>
      <c r="B164" s="50">
        <f>IF(P164="","",IFERROR(INDEX(設定!$G$8:$G$31,INT(INDEX(前年度名簿!$G$3:$G$452,P164)/1000)),INDEX(前年度名簿!$A$3:$A$452,P164)&amp;INDEX(前年度名簿!$B$3:$B$452,P164)))</f>
        <v/>
      </c>
      <c r="C164" s="50">
        <f>IF(P164="","",INDEX(前年度名簿!$C$3:$C$452,P164))</f>
        <v/>
      </c>
      <c r="D164" s="4">
        <f>IF(P164="","",INDEX(前年度名簿!$D$3:$D$452,P164))</f>
        <v/>
      </c>
      <c r="E164" s="50">
        <f>IF(T164="","",INDEX(新年度名簿!$K$3:$K$452,T164))</f>
        <v/>
      </c>
      <c r="F164" s="50">
        <f>IF(T164="","",INDEX(新年度名簿!$C$3:$C$452,T164))</f>
        <v/>
      </c>
      <c r="G164" s="50">
        <f>IF(Q164="","",INDEX(希望入力!$H$5:$H$554,Q164)&amp;"")</f>
        <v/>
      </c>
      <c r="H164" s="50">
        <f>IF(Q164="","",INDEX(希望入力!$I$5:$I$554,Q164)&amp;"")</f>
        <v/>
      </c>
      <c r="I164" s="50">
        <f>IF(Q164="","",INDEX(希望入力!$J$5:$J$554,Q164)&amp;"")</f>
        <v/>
      </c>
      <c r="J164" s="50">
        <f>IF(Q164="","",IF(G164="転出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)</f>
        <v/>
      </c>
      <c r="K164" s="49" t="n"/>
      <c r="L164" s="56">
        <f>IF(P164="","",IF(G164="転出","",IF(K164&lt;&gt;"",K164,IF(OR(J164="",J164="要調整"),"",J164))))</f>
        <v/>
      </c>
      <c r="M164" s="50">
        <f>IF(P164="","",IF(OR(G164="転出",AND(計算用!$B$1=1,T164="")),"転出",IF(L164&lt;&gt;"","決定",IF(Q164="","未提出","要調整"))))</f>
        <v/>
      </c>
      <c r="N164" s="50">
        <f>IF(OR(M164&lt;&gt;"要調整",H164=""),"",IFERROR((INDEX(設定!$Q$8:$Q$27,MATCH(H164,設定!$P$8:$P$27,0))+N(INDEX(設定!$R$8:$R$27,MATCH(H164,設定!$P$8:$P$27,0))))-INDEX(定員チェック!$I$7:$I$26,MATCH(H164,設定!$P$8:$P$27,0))-COUNTIFS($M$7:$M$456,"要調整",$G$7:$G$456,H164),""))</f>
        <v/>
      </c>
      <c r="O164" s="50">
        <f>IF(OR(M164&lt;&gt;"要調整",I164=""),"",IFERROR((INDEX(設定!$Q$8:$Q$27,MATCH(I164,設定!$P$8:$P$27,0))+N(INDEX(設定!$R$8:$R$27,MATCH(I164,設定!$P$8:$P$27,0))))-INDEX(定員チェック!$I$7:$I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IF(R164="","",IFERROR(MATCH(R164,希望入力!$M$5:$M$554,0),""))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50">
        <f>IF(P165="","",INDEX(前年度名簿!$H$3:$H$452,P165))</f>
        <v/>
      </c>
      <c r="B165" s="50">
        <f>IF(P165="","",IFERROR(INDEX(設定!$G$8:$G$31,INT(INDEX(前年度名簿!$G$3:$G$452,P165)/1000)),INDEX(前年度名簿!$A$3:$A$452,P165)&amp;INDEX(前年度名簿!$B$3:$B$452,P165)))</f>
        <v/>
      </c>
      <c r="C165" s="50">
        <f>IF(P165="","",INDEX(前年度名簿!$C$3:$C$452,P165))</f>
        <v/>
      </c>
      <c r="D165" s="4">
        <f>IF(P165="","",INDEX(前年度名簿!$D$3:$D$452,P165))</f>
        <v/>
      </c>
      <c r="E165" s="50">
        <f>IF(T165="","",INDEX(新年度名簿!$K$3:$K$452,T165))</f>
        <v/>
      </c>
      <c r="F165" s="50">
        <f>IF(T165="","",INDEX(新年度名簿!$C$3:$C$452,T165))</f>
        <v/>
      </c>
      <c r="G165" s="50">
        <f>IF(Q165="","",INDEX(希望入力!$H$5:$H$554,Q165)&amp;"")</f>
        <v/>
      </c>
      <c r="H165" s="50">
        <f>IF(Q165="","",INDEX(希望入力!$I$5:$I$554,Q165)&amp;"")</f>
        <v/>
      </c>
      <c r="I165" s="50">
        <f>IF(Q165="","",INDEX(希望入力!$J$5:$J$554,Q165)&amp;"")</f>
        <v/>
      </c>
      <c r="J165" s="50">
        <f>IF(Q165="","",IF(G165="転出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)</f>
        <v/>
      </c>
      <c r="K165" s="49" t="n"/>
      <c r="L165" s="56">
        <f>IF(P165="","",IF(G165="転出","",IF(K165&lt;&gt;"",K165,IF(OR(J165="",J165="要調整"),"",J165))))</f>
        <v/>
      </c>
      <c r="M165" s="50">
        <f>IF(P165="","",IF(OR(G165="転出",AND(計算用!$B$1=1,T165="")),"転出",IF(L165&lt;&gt;"","決定",IF(Q165="","未提出","要調整"))))</f>
        <v/>
      </c>
      <c r="N165" s="50">
        <f>IF(OR(M165&lt;&gt;"要調整",H165=""),"",IFERROR((INDEX(設定!$Q$8:$Q$27,MATCH(H165,設定!$P$8:$P$27,0))+N(INDEX(設定!$R$8:$R$27,MATCH(H165,設定!$P$8:$P$27,0))))-INDEX(定員チェック!$I$7:$I$26,MATCH(H165,設定!$P$8:$P$27,0))-COUNTIFS($M$7:$M$456,"要調整",$G$7:$G$456,H165),""))</f>
        <v/>
      </c>
      <c r="O165" s="50">
        <f>IF(OR(M165&lt;&gt;"要調整",I165=""),"",IFERROR((INDEX(設定!$Q$8:$Q$27,MATCH(I165,設定!$P$8:$P$27,0))+N(INDEX(設定!$R$8:$R$27,MATCH(I165,設定!$P$8:$P$27,0))))-INDEX(定員チェック!$I$7:$I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IF(R165="","",IFERROR(MATCH(R165,希望入力!$M$5:$M$554,0),""))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50">
        <f>IF(P166="","",INDEX(前年度名簿!$H$3:$H$452,P166))</f>
        <v/>
      </c>
      <c r="B166" s="50">
        <f>IF(P166="","",IFERROR(INDEX(設定!$G$8:$G$31,INT(INDEX(前年度名簿!$G$3:$G$452,P166)/1000)),INDEX(前年度名簿!$A$3:$A$452,P166)&amp;INDEX(前年度名簿!$B$3:$B$452,P166)))</f>
        <v/>
      </c>
      <c r="C166" s="50">
        <f>IF(P166="","",INDEX(前年度名簿!$C$3:$C$452,P166))</f>
        <v/>
      </c>
      <c r="D166" s="4">
        <f>IF(P166="","",INDEX(前年度名簿!$D$3:$D$452,P166))</f>
        <v/>
      </c>
      <c r="E166" s="50">
        <f>IF(T166="","",INDEX(新年度名簿!$K$3:$K$452,T166))</f>
        <v/>
      </c>
      <c r="F166" s="50">
        <f>IF(T166="","",INDEX(新年度名簿!$C$3:$C$452,T166))</f>
        <v/>
      </c>
      <c r="G166" s="50">
        <f>IF(Q166="","",INDEX(希望入力!$H$5:$H$554,Q166)&amp;"")</f>
        <v/>
      </c>
      <c r="H166" s="50">
        <f>IF(Q166="","",INDEX(希望入力!$I$5:$I$554,Q166)&amp;"")</f>
        <v/>
      </c>
      <c r="I166" s="50">
        <f>IF(Q166="","",INDEX(希望入力!$J$5:$J$554,Q166)&amp;"")</f>
        <v/>
      </c>
      <c r="J166" s="50">
        <f>IF(Q166="","",IF(G166="転出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)</f>
        <v/>
      </c>
      <c r="K166" s="49" t="n"/>
      <c r="L166" s="56">
        <f>IF(P166="","",IF(G166="転出","",IF(K166&lt;&gt;"",K166,IF(OR(J166="",J166="要調整"),"",J166))))</f>
        <v/>
      </c>
      <c r="M166" s="50">
        <f>IF(P166="","",IF(OR(G166="転出",AND(計算用!$B$1=1,T166="")),"転出",IF(L166&lt;&gt;"","決定",IF(Q166="","未提出","要調整"))))</f>
        <v/>
      </c>
      <c r="N166" s="50">
        <f>IF(OR(M166&lt;&gt;"要調整",H166=""),"",IFERROR((INDEX(設定!$Q$8:$Q$27,MATCH(H166,設定!$P$8:$P$27,0))+N(INDEX(設定!$R$8:$R$27,MATCH(H166,設定!$P$8:$P$27,0))))-INDEX(定員チェック!$I$7:$I$26,MATCH(H166,設定!$P$8:$P$27,0))-COUNTIFS($M$7:$M$456,"要調整",$G$7:$G$456,H166),""))</f>
        <v/>
      </c>
      <c r="O166" s="50">
        <f>IF(OR(M166&lt;&gt;"要調整",I166=""),"",IFERROR((INDEX(設定!$Q$8:$Q$27,MATCH(I166,設定!$P$8:$P$27,0))+N(INDEX(設定!$R$8:$R$27,MATCH(I166,設定!$P$8:$P$27,0))))-INDEX(定員チェック!$I$7:$I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IF(R166="","",IFERROR(MATCH(R166,希望入力!$M$5:$M$554,0),""))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50">
        <f>IF(P167="","",INDEX(前年度名簿!$H$3:$H$452,P167))</f>
        <v/>
      </c>
      <c r="B167" s="50">
        <f>IF(P167="","",IFERROR(INDEX(設定!$G$8:$G$31,INT(INDEX(前年度名簿!$G$3:$G$452,P167)/1000)),INDEX(前年度名簿!$A$3:$A$452,P167)&amp;INDEX(前年度名簿!$B$3:$B$452,P167)))</f>
        <v/>
      </c>
      <c r="C167" s="50">
        <f>IF(P167="","",INDEX(前年度名簿!$C$3:$C$452,P167))</f>
        <v/>
      </c>
      <c r="D167" s="4">
        <f>IF(P167="","",INDEX(前年度名簿!$D$3:$D$452,P167))</f>
        <v/>
      </c>
      <c r="E167" s="50">
        <f>IF(T167="","",INDEX(新年度名簿!$K$3:$K$452,T167))</f>
        <v/>
      </c>
      <c r="F167" s="50">
        <f>IF(T167="","",INDEX(新年度名簿!$C$3:$C$452,T167))</f>
        <v/>
      </c>
      <c r="G167" s="50">
        <f>IF(Q167="","",INDEX(希望入力!$H$5:$H$554,Q167)&amp;"")</f>
        <v/>
      </c>
      <c r="H167" s="50">
        <f>IF(Q167="","",INDEX(希望入力!$I$5:$I$554,Q167)&amp;"")</f>
        <v/>
      </c>
      <c r="I167" s="50">
        <f>IF(Q167="","",INDEX(希望入力!$J$5:$J$554,Q167)&amp;"")</f>
        <v/>
      </c>
      <c r="J167" s="50">
        <f>IF(Q167="","",IF(G167="転出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)</f>
        <v/>
      </c>
      <c r="K167" s="49" t="n"/>
      <c r="L167" s="56">
        <f>IF(P167="","",IF(G167="転出","",IF(K167&lt;&gt;"",K167,IF(OR(J167="",J167="要調整"),"",J167))))</f>
        <v/>
      </c>
      <c r="M167" s="50">
        <f>IF(P167="","",IF(OR(G167="転出",AND(計算用!$B$1=1,T167="")),"転出",IF(L167&lt;&gt;"","決定",IF(Q167="","未提出","要調整"))))</f>
        <v/>
      </c>
      <c r="N167" s="50">
        <f>IF(OR(M167&lt;&gt;"要調整",H167=""),"",IFERROR((INDEX(設定!$Q$8:$Q$27,MATCH(H167,設定!$P$8:$P$27,0))+N(INDEX(設定!$R$8:$R$27,MATCH(H167,設定!$P$8:$P$27,0))))-INDEX(定員チェック!$I$7:$I$26,MATCH(H167,設定!$P$8:$P$27,0))-COUNTIFS($M$7:$M$456,"要調整",$G$7:$G$456,H167),""))</f>
        <v/>
      </c>
      <c r="O167" s="50">
        <f>IF(OR(M167&lt;&gt;"要調整",I167=""),"",IFERROR((INDEX(設定!$Q$8:$Q$27,MATCH(I167,設定!$P$8:$P$27,0))+N(INDEX(設定!$R$8:$R$27,MATCH(I167,設定!$P$8:$P$27,0))))-INDEX(定員チェック!$I$7:$I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IF(R167="","",IFERROR(MATCH(R167,希望入力!$M$5:$M$554,0),""))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50">
        <f>IF(P168="","",INDEX(前年度名簿!$H$3:$H$452,P168))</f>
        <v/>
      </c>
      <c r="B168" s="50">
        <f>IF(P168="","",IFERROR(INDEX(設定!$G$8:$G$31,INT(INDEX(前年度名簿!$G$3:$G$452,P168)/1000)),INDEX(前年度名簿!$A$3:$A$452,P168)&amp;INDEX(前年度名簿!$B$3:$B$452,P168)))</f>
        <v/>
      </c>
      <c r="C168" s="50">
        <f>IF(P168="","",INDEX(前年度名簿!$C$3:$C$452,P168))</f>
        <v/>
      </c>
      <c r="D168" s="4">
        <f>IF(P168="","",INDEX(前年度名簿!$D$3:$D$452,P168))</f>
        <v/>
      </c>
      <c r="E168" s="50">
        <f>IF(T168="","",INDEX(新年度名簿!$K$3:$K$452,T168))</f>
        <v/>
      </c>
      <c r="F168" s="50">
        <f>IF(T168="","",INDEX(新年度名簿!$C$3:$C$452,T168))</f>
        <v/>
      </c>
      <c r="G168" s="50">
        <f>IF(Q168="","",INDEX(希望入力!$H$5:$H$554,Q168)&amp;"")</f>
        <v/>
      </c>
      <c r="H168" s="50">
        <f>IF(Q168="","",INDEX(希望入力!$I$5:$I$554,Q168)&amp;"")</f>
        <v/>
      </c>
      <c r="I168" s="50">
        <f>IF(Q168="","",INDEX(希望入力!$J$5:$J$554,Q168)&amp;"")</f>
        <v/>
      </c>
      <c r="J168" s="50">
        <f>IF(Q168="","",IF(G168="転出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)</f>
        <v/>
      </c>
      <c r="K168" s="49" t="n"/>
      <c r="L168" s="56">
        <f>IF(P168="","",IF(G168="転出","",IF(K168&lt;&gt;"",K168,IF(OR(J168="",J168="要調整"),"",J168))))</f>
        <v/>
      </c>
      <c r="M168" s="50">
        <f>IF(P168="","",IF(OR(G168="転出",AND(計算用!$B$1=1,T168="")),"転出",IF(L168&lt;&gt;"","決定",IF(Q168="","未提出","要調整"))))</f>
        <v/>
      </c>
      <c r="N168" s="50">
        <f>IF(OR(M168&lt;&gt;"要調整",H168=""),"",IFERROR((INDEX(設定!$Q$8:$Q$27,MATCH(H168,設定!$P$8:$P$27,0))+N(INDEX(設定!$R$8:$R$27,MATCH(H168,設定!$P$8:$P$27,0))))-INDEX(定員チェック!$I$7:$I$26,MATCH(H168,設定!$P$8:$P$27,0))-COUNTIFS($M$7:$M$456,"要調整",$G$7:$G$456,H168),""))</f>
        <v/>
      </c>
      <c r="O168" s="50">
        <f>IF(OR(M168&lt;&gt;"要調整",I168=""),"",IFERROR((INDEX(設定!$Q$8:$Q$27,MATCH(I168,設定!$P$8:$P$27,0))+N(INDEX(設定!$R$8:$R$27,MATCH(I168,設定!$P$8:$P$27,0))))-INDEX(定員チェック!$I$7:$I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IF(R168="","",IFERROR(MATCH(R168,希望入力!$M$5:$M$554,0),""))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50">
        <f>IF(P169="","",INDEX(前年度名簿!$H$3:$H$452,P169))</f>
        <v/>
      </c>
      <c r="B169" s="50">
        <f>IF(P169="","",IFERROR(INDEX(設定!$G$8:$G$31,INT(INDEX(前年度名簿!$G$3:$G$452,P169)/1000)),INDEX(前年度名簿!$A$3:$A$452,P169)&amp;INDEX(前年度名簿!$B$3:$B$452,P169)))</f>
        <v/>
      </c>
      <c r="C169" s="50">
        <f>IF(P169="","",INDEX(前年度名簿!$C$3:$C$452,P169))</f>
        <v/>
      </c>
      <c r="D169" s="4">
        <f>IF(P169="","",INDEX(前年度名簿!$D$3:$D$452,P169))</f>
        <v/>
      </c>
      <c r="E169" s="50">
        <f>IF(T169="","",INDEX(新年度名簿!$K$3:$K$452,T169))</f>
        <v/>
      </c>
      <c r="F169" s="50">
        <f>IF(T169="","",INDEX(新年度名簿!$C$3:$C$452,T169))</f>
        <v/>
      </c>
      <c r="G169" s="50">
        <f>IF(Q169="","",INDEX(希望入力!$H$5:$H$554,Q169)&amp;"")</f>
        <v/>
      </c>
      <c r="H169" s="50">
        <f>IF(Q169="","",INDEX(希望入力!$I$5:$I$554,Q169)&amp;"")</f>
        <v/>
      </c>
      <c r="I169" s="50">
        <f>IF(Q169="","",INDEX(希望入力!$J$5:$J$554,Q169)&amp;"")</f>
        <v/>
      </c>
      <c r="J169" s="50">
        <f>IF(Q169="","",IF(G169="転出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)</f>
        <v/>
      </c>
      <c r="K169" s="49" t="n"/>
      <c r="L169" s="56">
        <f>IF(P169="","",IF(G169="転出","",IF(K169&lt;&gt;"",K169,IF(OR(J169="",J169="要調整"),"",J169))))</f>
        <v/>
      </c>
      <c r="M169" s="50">
        <f>IF(P169="","",IF(OR(G169="転出",AND(計算用!$B$1=1,T169="")),"転出",IF(L169&lt;&gt;"","決定",IF(Q169="","未提出","要調整"))))</f>
        <v/>
      </c>
      <c r="N169" s="50">
        <f>IF(OR(M169&lt;&gt;"要調整",H169=""),"",IFERROR((INDEX(設定!$Q$8:$Q$27,MATCH(H169,設定!$P$8:$P$27,0))+N(INDEX(設定!$R$8:$R$27,MATCH(H169,設定!$P$8:$P$27,0))))-INDEX(定員チェック!$I$7:$I$26,MATCH(H169,設定!$P$8:$P$27,0))-COUNTIFS($M$7:$M$456,"要調整",$G$7:$G$456,H169),""))</f>
        <v/>
      </c>
      <c r="O169" s="50">
        <f>IF(OR(M169&lt;&gt;"要調整",I169=""),"",IFERROR((INDEX(設定!$Q$8:$Q$27,MATCH(I169,設定!$P$8:$P$27,0))+N(INDEX(設定!$R$8:$R$27,MATCH(I169,設定!$P$8:$P$27,0))))-INDEX(定員チェック!$I$7:$I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IF(R169="","",IFERROR(MATCH(R169,希望入力!$M$5:$M$554,0),""))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50">
        <f>IF(P170="","",INDEX(前年度名簿!$H$3:$H$452,P170))</f>
        <v/>
      </c>
      <c r="B170" s="50">
        <f>IF(P170="","",IFERROR(INDEX(設定!$G$8:$G$31,INT(INDEX(前年度名簿!$G$3:$G$452,P170)/1000)),INDEX(前年度名簿!$A$3:$A$452,P170)&amp;INDEX(前年度名簿!$B$3:$B$452,P170)))</f>
        <v/>
      </c>
      <c r="C170" s="50">
        <f>IF(P170="","",INDEX(前年度名簿!$C$3:$C$452,P170))</f>
        <v/>
      </c>
      <c r="D170" s="4">
        <f>IF(P170="","",INDEX(前年度名簿!$D$3:$D$452,P170))</f>
        <v/>
      </c>
      <c r="E170" s="50">
        <f>IF(T170="","",INDEX(新年度名簿!$K$3:$K$452,T170))</f>
        <v/>
      </c>
      <c r="F170" s="50">
        <f>IF(T170="","",INDEX(新年度名簿!$C$3:$C$452,T170))</f>
        <v/>
      </c>
      <c r="G170" s="50">
        <f>IF(Q170="","",INDEX(希望入力!$H$5:$H$554,Q170)&amp;"")</f>
        <v/>
      </c>
      <c r="H170" s="50">
        <f>IF(Q170="","",INDEX(希望入力!$I$5:$I$554,Q170)&amp;"")</f>
        <v/>
      </c>
      <c r="I170" s="50">
        <f>IF(Q170="","",INDEX(希望入力!$J$5:$J$554,Q170)&amp;"")</f>
        <v/>
      </c>
      <c r="J170" s="50">
        <f>IF(Q170="","",IF(G170="転出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)</f>
        <v/>
      </c>
      <c r="K170" s="49" t="n"/>
      <c r="L170" s="56">
        <f>IF(P170="","",IF(G170="転出","",IF(K170&lt;&gt;"",K170,IF(OR(J170="",J170="要調整"),"",J170))))</f>
        <v/>
      </c>
      <c r="M170" s="50">
        <f>IF(P170="","",IF(OR(G170="転出",AND(計算用!$B$1=1,T170="")),"転出",IF(L170&lt;&gt;"","決定",IF(Q170="","未提出","要調整"))))</f>
        <v/>
      </c>
      <c r="N170" s="50">
        <f>IF(OR(M170&lt;&gt;"要調整",H170=""),"",IFERROR((INDEX(設定!$Q$8:$Q$27,MATCH(H170,設定!$P$8:$P$27,0))+N(INDEX(設定!$R$8:$R$27,MATCH(H170,設定!$P$8:$P$27,0))))-INDEX(定員チェック!$I$7:$I$26,MATCH(H170,設定!$P$8:$P$27,0))-COUNTIFS($M$7:$M$456,"要調整",$G$7:$G$456,H170),""))</f>
        <v/>
      </c>
      <c r="O170" s="50">
        <f>IF(OR(M170&lt;&gt;"要調整",I170=""),"",IFERROR((INDEX(設定!$Q$8:$Q$27,MATCH(I170,設定!$P$8:$P$27,0))+N(INDEX(設定!$R$8:$R$27,MATCH(I170,設定!$P$8:$P$27,0))))-INDEX(定員チェック!$I$7:$I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IF(R170="","",IFERROR(MATCH(R170,希望入力!$M$5:$M$554,0),""))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50">
        <f>IF(P171="","",INDEX(前年度名簿!$H$3:$H$452,P171))</f>
        <v/>
      </c>
      <c r="B171" s="50">
        <f>IF(P171="","",IFERROR(INDEX(設定!$G$8:$G$31,INT(INDEX(前年度名簿!$G$3:$G$452,P171)/1000)),INDEX(前年度名簿!$A$3:$A$452,P171)&amp;INDEX(前年度名簿!$B$3:$B$452,P171)))</f>
        <v/>
      </c>
      <c r="C171" s="50">
        <f>IF(P171="","",INDEX(前年度名簿!$C$3:$C$452,P171))</f>
        <v/>
      </c>
      <c r="D171" s="4">
        <f>IF(P171="","",INDEX(前年度名簿!$D$3:$D$452,P171))</f>
        <v/>
      </c>
      <c r="E171" s="50">
        <f>IF(T171="","",INDEX(新年度名簿!$K$3:$K$452,T171))</f>
        <v/>
      </c>
      <c r="F171" s="50">
        <f>IF(T171="","",INDEX(新年度名簿!$C$3:$C$452,T171))</f>
        <v/>
      </c>
      <c r="G171" s="50">
        <f>IF(Q171="","",INDEX(希望入力!$H$5:$H$554,Q171)&amp;"")</f>
        <v/>
      </c>
      <c r="H171" s="50">
        <f>IF(Q171="","",INDEX(希望入力!$I$5:$I$554,Q171)&amp;"")</f>
        <v/>
      </c>
      <c r="I171" s="50">
        <f>IF(Q171="","",INDEX(希望入力!$J$5:$J$554,Q171)&amp;"")</f>
        <v/>
      </c>
      <c r="J171" s="50">
        <f>IF(Q171="","",IF(G171="転出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)</f>
        <v/>
      </c>
      <c r="K171" s="49" t="n"/>
      <c r="L171" s="56">
        <f>IF(P171="","",IF(G171="転出","",IF(K171&lt;&gt;"",K171,IF(OR(J171="",J171="要調整"),"",J171))))</f>
        <v/>
      </c>
      <c r="M171" s="50">
        <f>IF(P171="","",IF(OR(G171="転出",AND(計算用!$B$1=1,T171="")),"転出",IF(L171&lt;&gt;"","決定",IF(Q171="","未提出","要調整"))))</f>
        <v/>
      </c>
      <c r="N171" s="50">
        <f>IF(OR(M171&lt;&gt;"要調整",H171=""),"",IFERROR((INDEX(設定!$Q$8:$Q$27,MATCH(H171,設定!$P$8:$P$27,0))+N(INDEX(設定!$R$8:$R$27,MATCH(H171,設定!$P$8:$P$27,0))))-INDEX(定員チェック!$I$7:$I$26,MATCH(H171,設定!$P$8:$P$27,0))-COUNTIFS($M$7:$M$456,"要調整",$G$7:$G$456,H171),""))</f>
        <v/>
      </c>
      <c r="O171" s="50">
        <f>IF(OR(M171&lt;&gt;"要調整",I171=""),"",IFERROR((INDEX(設定!$Q$8:$Q$27,MATCH(I171,設定!$P$8:$P$27,0))+N(INDEX(設定!$R$8:$R$27,MATCH(I171,設定!$P$8:$P$27,0))))-INDEX(定員チェック!$I$7:$I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IF(R171="","",IFERROR(MATCH(R171,希望入力!$M$5:$M$554,0),""))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50">
        <f>IF(P172="","",INDEX(前年度名簿!$H$3:$H$452,P172))</f>
        <v/>
      </c>
      <c r="B172" s="50">
        <f>IF(P172="","",IFERROR(INDEX(設定!$G$8:$G$31,INT(INDEX(前年度名簿!$G$3:$G$452,P172)/1000)),INDEX(前年度名簿!$A$3:$A$452,P172)&amp;INDEX(前年度名簿!$B$3:$B$452,P172)))</f>
        <v/>
      </c>
      <c r="C172" s="50">
        <f>IF(P172="","",INDEX(前年度名簿!$C$3:$C$452,P172))</f>
        <v/>
      </c>
      <c r="D172" s="4">
        <f>IF(P172="","",INDEX(前年度名簿!$D$3:$D$452,P172))</f>
        <v/>
      </c>
      <c r="E172" s="50">
        <f>IF(T172="","",INDEX(新年度名簿!$K$3:$K$452,T172))</f>
        <v/>
      </c>
      <c r="F172" s="50">
        <f>IF(T172="","",INDEX(新年度名簿!$C$3:$C$452,T172))</f>
        <v/>
      </c>
      <c r="G172" s="50">
        <f>IF(Q172="","",INDEX(希望入力!$H$5:$H$554,Q172)&amp;"")</f>
        <v/>
      </c>
      <c r="H172" s="50">
        <f>IF(Q172="","",INDEX(希望入力!$I$5:$I$554,Q172)&amp;"")</f>
        <v/>
      </c>
      <c r="I172" s="50">
        <f>IF(Q172="","",INDEX(希望入力!$J$5:$J$554,Q172)&amp;"")</f>
        <v/>
      </c>
      <c r="J172" s="50">
        <f>IF(Q172="","",IF(G172="転出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)</f>
        <v/>
      </c>
      <c r="K172" s="49" t="n"/>
      <c r="L172" s="56">
        <f>IF(P172="","",IF(G172="転出","",IF(K172&lt;&gt;"",K172,IF(OR(J172="",J172="要調整"),"",J172))))</f>
        <v/>
      </c>
      <c r="M172" s="50">
        <f>IF(P172="","",IF(OR(G172="転出",AND(計算用!$B$1=1,T172="")),"転出",IF(L172&lt;&gt;"","決定",IF(Q172="","未提出","要調整"))))</f>
        <v/>
      </c>
      <c r="N172" s="50">
        <f>IF(OR(M172&lt;&gt;"要調整",H172=""),"",IFERROR((INDEX(設定!$Q$8:$Q$27,MATCH(H172,設定!$P$8:$P$27,0))+N(INDEX(設定!$R$8:$R$27,MATCH(H172,設定!$P$8:$P$27,0))))-INDEX(定員チェック!$I$7:$I$26,MATCH(H172,設定!$P$8:$P$27,0))-COUNTIFS($M$7:$M$456,"要調整",$G$7:$G$456,H172),""))</f>
        <v/>
      </c>
      <c r="O172" s="50">
        <f>IF(OR(M172&lt;&gt;"要調整",I172=""),"",IFERROR((INDEX(設定!$Q$8:$Q$27,MATCH(I172,設定!$P$8:$P$27,0))+N(INDEX(設定!$R$8:$R$27,MATCH(I172,設定!$P$8:$P$27,0))))-INDEX(定員チェック!$I$7:$I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IF(R172="","",IFERROR(MATCH(R172,希望入力!$M$5:$M$554,0),""))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50">
        <f>IF(P173="","",INDEX(前年度名簿!$H$3:$H$452,P173))</f>
        <v/>
      </c>
      <c r="B173" s="50">
        <f>IF(P173="","",IFERROR(INDEX(設定!$G$8:$G$31,INT(INDEX(前年度名簿!$G$3:$G$452,P173)/1000)),INDEX(前年度名簿!$A$3:$A$452,P173)&amp;INDEX(前年度名簿!$B$3:$B$452,P173)))</f>
        <v/>
      </c>
      <c r="C173" s="50">
        <f>IF(P173="","",INDEX(前年度名簿!$C$3:$C$452,P173))</f>
        <v/>
      </c>
      <c r="D173" s="4">
        <f>IF(P173="","",INDEX(前年度名簿!$D$3:$D$452,P173))</f>
        <v/>
      </c>
      <c r="E173" s="50">
        <f>IF(T173="","",INDEX(新年度名簿!$K$3:$K$452,T173))</f>
        <v/>
      </c>
      <c r="F173" s="50">
        <f>IF(T173="","",INDEX(新年度名簿!$C$3:$C$452,T173))</f>
        <v/>
      </c>
      <c r="G173" s="50">
        <f>IF(Q173="","",INDEX(希望入力!$H$5:$H$554,Q173)&amp;"")</f>
        <v/>
      </c>
      <c r="H173" s="50">
        <f>IF(Q173="","",INDEX(希望入力!$I$5:$I$554,Q173)&amp;"")</f>
        <v/>
      </c>
      <c r="I173" s="50">
        <f>IF(Q173="","",INDEX(希望入力!$J$5:$J$554,Q173)&amp;"")</f>
        <v/>
      </c>
      <c r="J173" s="50">
        <f>IF(Q173="","",IF(G173="転出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)</f>
        <v/>
      </c>
      <c r="K173" s="49" t="n"/>
      <c r="L173" s="56">
        <f>IF(P173="","",IF(G173="転出","",IF(K173&lt;&gt;"",K173,IF(OR(J173="",J173="要調整"),"",J173))))</f>
        <v/>
      </c>
      <c r="M173" s="50">
        <f>IF(P173="","",IF(OR(G173="転出",AND(計算用!$B$1=1,T173="")),"転出",IF(L173&lt;&gt;"","決定",IF(Q173="","未提出","要調整"))))</f>
        <v/>
      </c>
      <c r="N173" s="50">
        <f>IF(OR(M173&lt;&gt;"要調整",H173=""),"",IFERROR((INDEX(設定!$Q$8:$Q$27,MATCH(H173,設定!$P$8:$P$27,0))+N(INDEX(設定!$R$8:$R$27,MATCH(H173,設定!$P$8:$P$27,0))))-INDEX(定員チェック!$I$7:$I$26,MATCH(H173,設定!$P$8:$P$27,0))-COUNTIFS($M$7:$M$456,"要調整",$G$7:$G$456,H173),""))</f>
        <v/>
      </c>
      <c r="O173" s="50">
        <f>IF(OR(M173&lt;&gt;"要調整",I173=""),"",IFERROR((INDEX(設定!$Q$8:$Q$27,MATCH(I173,設定!$P$8:$P$27,0))+N(INDEX(設定!$R$8:$R$27,MATCH(I173,設定!$P$8:$P$27,0))))-INDEX(定員チェック!$I$7:$I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IF(R173="","",IFERROR(MATCH(R173,希望入力!$M$5:$M$554,0),""))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50">
        <f>IF(P174="","",INDEX(前年度名簿!$H$3:$H$452,P174))</f>
        <v/>
      </c>
      <c r="B174" s="50">
        <f>IF(P174="","",IFERROR(INDEX(設定!$G$8:$G$31,INT(INDEX(前年度名簿!$G$3:$G$452,P174)/1000)),INDEX(前年度名簿!$A$3:$A$452,P174)&amp;INDEX(前年度名簿!$B$3:$B$452,P174)))</f>
        <v/>
      </c>
      <c r="C174" s="50">
        <f>IF(P174="","",INDEX(前年度名簿!$C$3:$C$452,P174))</f>
        <v/>
      </c>
      <c r="D174" s="4">
        <f>IF(P174="","",INDEX(前年度名簿!$D$3:$D$452,P174))</f>
        <v/>
      </c>
      <c r="E174" s="50">
        <f>IF(T174="","",INDEX(新年度名簿!$K$3:$K$452,T174))</f>
        <v/>
      </c>
      <c r="F174" s="50">
        <f>IF(T174="","",INDEX(新年度名簿!$C$3:$C$452,T174))</f>
        <v/>
      </c>
      <c r="G174" s="50">
        <f>IF(Q174="","",INDEX(希望入力!$H$5:$H$554,Q174)&amp;"")</f>
        <v/>
      </c>
      <c r="H174" s="50">
        <f>IF(Q174="","",INDEX(希望入力!$I$5:$I$554,Q174)&amp;"")</f>
        <v/>
      </c>
      <c r="I174" s="50">
        <f>IF(Q174="","",INDEX(希望入力!$J$5:$J$554,Q174)&amp;"")</f>
        <v/>
      </c>
      <c r="J174" s="50">
        <f>IF(Q174="","",IF(G174="転出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)</f>
        <v/>
      </c>
      <c r="K174" s="49" t="n"/>
      <c r="L174" s="56">
        <f>IF(P174="","",IF(G174="転出","",IF(K174&lt;&gt;"",K174,IF(OR(J174="",J174="要調整"),"",J174))))</f>
        <v/>
      </c>
      <c r="M174" s="50">
        <f>IF(P174="","",IF(OR(G174="転出",AND(計算用!$B$1=1,T174="")),"転出",IF(L174&lt;&gt;"","決定",IF(Q174="","未提出","要調整"))))</f>
        <v/>
      </c>
      <c r="N174" s="50">
        <f>IF(OR(M174&lt;&gt;"要調整",H174=""),"",IFERROR((INDEX(設定!$Q$8:$Q$27,MATCH(H174,設定!$P$8:$P$27,0))+N(INDEX(設定!$R$8:$R$27,MATCH(H174,設定!$P$8:$P$27,0))))-INDEX(定員チェック!$I$7:$I$26,MATCH(H174,設定!$P$8:$P$27,0))-COUNTIFS($M$7:$M$456,"要調整",$G$7:$G$456,H174),""))</f>
        <v/>
      </c>
      <c r="O174" s="50">
        <f>IF(OR(M174&lt;&gt;"要調整",I174=""),"",IFERROR((INDEX(設定!$Q$8:$Q$27,MATCH(I174,設定!$P$8:$P$27,0))+N(INDEX(設定!$R$8:$R$27,MATCH(I174,設定!$P$8:$P$27,0))))-INDEX(定員チェック!$I$7:$I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IF(R174="","",IFERROR(MATCH(R174,希望入力!$M$5:$M$554,0),""))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50">
        <f>IF(P175="","",INDEX(前年度名簿!$H$3:$H$452,P175))</f>
        <v/>
      </c>
      <c r="B175" s="50">
        <f>IF(P175="","",IFERROR(INDEX(設定!$G$8:$G$31,INT(INDEX(前年度名簿!$G$3:$G$452,P175)/1000)),INDEX(前年度名簿!$A$3:$A$452,P175)&amp;INDEX(前年度名簿!$B$3:$B$452,P175)))</f>
        <v/>
      </c>
      <c r="C175" s="50">
        <f>IF(P175="","",INDEX(前年度名簿!$C$3:$C$452,P175))</f>
        <v/>
      </c>
      <c r="D175" s="4">
        <f>IF(P175="","",INDEX(前年度名簿!$D$3:$D$452,P175))</f>
        <v/>
      </c>
      <c r="E175" s="50">
        <f>IF(T175="","",INDEX(新年度名簿!$K$3:$K$452,T175))</f>
        <v/>
      </c>
      <c r="F175" s="50">
        <f>IF(T175="","",INDEX(新年度名簿!$C$3:$C$452,T175))</f>
        <v/>
      </c>
      <c r="G175" s="50">
        <f>IF(Q175="","",INDEX(希望入力!$H$5:$H$554,Q175)&amp;"")</f>
        <v/>
      </c>
      <c r="H175" s="50">
        <f>IF(Q175="","",INDEX(希望入力!$I$5:$I$554,Q175)&amp;"")</f>
        <v/>
      </c>
      <c r="I175" s="50">
        <f>IF(Q175="","",INDEX(希望入力!$J$5:$J$554,Q175)&amp;"")</f>
        <v/>
      </c>
      <c r="J175" s="50">
        <f>IF(Q175="","",IF(G175="転出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)</f>
        <v/>
      </c>
      <c r="K175" s="49" t="n"/>
      <c r="L175" s="56">
        <f>IF(P175="","",IF(G175="転出","",IF(K175&lt;&gt;"",K175,IF(OR(J175="",J175="要調整"),"",J175))))</f>
        <v/>
      </c>
      <c r="M175" s="50">
        <f>IF(P175="","",IF(OR(G175="転出",AND(計算用!$B$1=1,T175="")),"転出",IF(L175&lt;&gt;"","決定",IF(Q175="","未提出","要調整"))))</f>
        <v/>
      </c>
      <c r="N175" s="50">
        <f>IF(OR(M175&lt;&gt;"要調整",H175=""),"",IFERROR((INDEX(設定!$Q$8:$Q$27,MATCH(H175,設定!$P$8:$P$27,0))+N(INDEX(設定!$R$8:$R$27,MATCH(H175,設定!$P$8:$P$27,0))))-INDEX(定員チェック!$I$7:$I$26,MATCH(H175,設定!$P$8:$P$27,0))-COUNTIFS($M$7:$M$456,"要調整",$G$7:$G$456,H175),""))</f>
        <v/>
      </c>
      <c r="O175" s="50">
        <f>IF(OR(M175&lt;&gt;"要調整",I175=""),"",IFERROR((INDEX(設定!$Q$8:$Q$27,MATCH(I175,設定!$P$8:$P$27,0))+N(INDEX(設定!$R$8:$R$27,MATCH(I175,設定!$P$8:$P$27,0))))-INDEX(定員チェック!$I$7:$I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IF(R175="","",IFERROR(MATCH(R175,希望入力!$M$5:$M$554,0),""))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50">
        <f>IF(P176="","",INDEX(前年度名簿!$H$3:$H$452,P176))</f>
        <v/>
      </c>
      <c r="B176" s="50">
        <f>IF(P176="","",IFERROR(INDEX(設定!$G$8:$G$31,INT(INDEX(前年度名簿!$G$3:$G$452,P176)/1000)),INDEX(前年度名簿!$A$3:$A$452,P176)&amp;INDEX(前年度名簿!$B$3:$B$452,P176)))</f>
        <v/>
      </c>
      <c r="C176" s="50">
        <f>IF(P176="","",INDEX(前年度名簿!$C$3:$C$452,P176))</f>
        <v/>
      </c>
      <c r="D176" s="4">
        <f>IF(P176="","",INDEX(前年度名簿!$D$3:$D$452,P176))</f>
        <v/>
      </c>
      <c r="E176" s="50">
        <f>IF(T176="","",INDEX(新年度名簿!$K$3:$K$452,T176))</f>
        <v/>
      </c>
      <c r="F176" s="50">
        <f>IF(T176="","",INDEX(新年度名簿!$C$3:$C$452,T176))</f>
        <v/>
      </c>
      <c r="G176" s="50">
        <f>IF(Q176="","",INDEX(希望入力!$H$5:$H$554,Q176)&amp;"")</f>
        <v/>
      </c>
      <c r="H176" s="50">
        <f>IF(Q176="","",INDEX(希望入力!$I$5:$I$554,Q176)&amp;"")</f>
        <v/>
      </c>
      <c r="I176" s="50">
        <f>IF(Q176="","",INDEX(希望入力!$J$5:$J$554,Q176)&amp;"")</f>
        <v/>
      </c>
      <c r="J176" s="50">
        <f>IF(Q176="","",IF(G176="転出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)</f>
        <v/>
      </c>
      <c r="K176" s="49" t="n"/>
      <c r="L176" s="56">
        <f>IF(P176="","",IF(G176="転出","",IF(K176&lt;&gt;"",K176,IF(OR(J176="",J176="要調整"),"",J176))))</f>
        <v/>
      </c>
      <c r="M176" s="50">
        <f>IF(P176="","",IF(OR(G176="転出",AND(計算用!$B$1=1,T176="")),"転出",IF(L176&lt;&gt;"","決定",IF(Q176="","未提出","要調整"))))</f>
        <v/>
      </c>
      <c r="N176" s="50">
        <f>IF(OR(M176&lt;&gt;"要調整",H176=""),"",IFERROR((INDEX(設定!$Q$8:$Q$27,MATCH(H176,設定!$P$8:$P$27,0))+N(INDEX(設定!$R$8:$R$27,MATCH(H176,設定!$P$8:$P$27,0))))-INDEX(定員チェック!$I$7:$I$26,MATCH(H176,設定!$P$8:$P$27,0))-COUNTIFS($M$7:$M$456,"要調整",$G$7:$G$456,H176),""))</f>
        <v/>
      </c>
      <c r="O176" s="50">
        <f>IF(OR(M176&lt;&gt;"要調整",I176=""),"",IFERROR((INDEX(設定!$Q$8:$Q$27,MATCH(I176,設定!$P$8:$P$27,0))+N(INDEX(設定!$R$8:$R$27,MATCH(I176,設定!$P$8:$P$27,0))))-INDEX(定員チェック!$I$7:$I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IF(R176="","",IFERROR(MATCH(R176,希望入力!$M$5:$M$554,0),""))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50">
        <f>IF(P177="","",INDEX(前年度名簿!$H$3:$H$452,P177))</f>
        <v/>
      </c>
      <c r="B177" s="50">
        <f>IF(P177="","",IFERROR(INDEX(設定!$G$8:$G$31,INT(INDEX(前年度名簿!$G$3:$G$452,P177)/1000)),INDEX(前年度名簿!$A$3:$A$452,P177)&amp;INDEX(前年度名簿!$B$3:$B$452,P177)))</f>
        <v/>
      </c>
      <c r="C177" s="50">
        <f>IF(P177="","",INDEX(前年度名簿!$C$3:$C$452,P177))</f>
        <v/>
      </c>
      <c r="D177" s="4">
        <f>IF(P177="","",INDEX(前年度名簿!$D$3:$D$452,P177))</f>
        <v/>
      </c>
      <c r="E177" s="50">
        <f>IF(T177="","",INDEX(新年度名簿!$K$3:$K$452,T177))</f>
        <v/>
      </c>
      <c r="F177" s="50">
        <f>IF(T177="","",INDEX(新年度名簿!$C$3:$C$452,T177))</f>
        <v/>
      </c>
      <c r="G177" s="50">
        <f>IF(Q177="","",INDEX(希望入力!$H$5:$H$554,Q177)&amp;"")</f>
        <v/>
      </c>
      <c r="H177" s="50">
        <f>IF(Q177="","",INDEX(希望入力!$I$5:$I$554,Q177)&amp;"")</f>
        <v/>
      </c>
      <c r="I177" s="50">
        <f>IF(Q177="","",INDEX(希望入力!$J$5:$J$554,Q177)&amp;"")</f>
        <v/>
      </c>
      <c r="J177" s="50">
        <f>IF(Q177="","",IF(G177="転出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)</f>
        <v/>
      </c>
      <c r="K177" s="49" t="n"/>
      <c r="L177" s="56">
        <f>IF(P177="","",IF(G177="転出","",IF(K177&lt;&gt;"",K177,IF(OR(J177="",J177="要調整"),"",J177))))</f>
        <v/>
      </c>
      <c r="M177" s="50">
        <f>IF(P177="","",IF(OR(G177="転出",AND(計算用!$B$1=1,T177="")),"転出",IF(L177&lt;&gt;"","決定",IF(Q177="","未提出","要調整"))))</f>
        <v/>
      </c>
      <c r="N177" s="50">
        <f>IF(OR(M177&lt;&gt;"要調整",H177=""),"",IFERROR((INDEX(設定!$Q$8:$Q$27,MATCH(H177,設定!$P$8:$P$27,0))+N(INDEX(設定!$R$8:$R$27,MATCH(H177,設定!$P$8:$P$27,0))))-INDEX(定員チェック!$I$7:$I$26,MATCH(H177,設定!$P$8:$P$27,0))-COUNTIFS($M$7:$M$456,"要調整",$G$7:$G$456,H177),""))</f>
        <v/>
      </c>
      <c r="O177" s="50">
        <f>IF(OR(M177&lt;&gt;"要調整",I177=""),"",IFERROR((INDEX(設定!$Q$8:$Q$27,MATCH(I177,設定!$P$8:$P$27,0))+N(INDEX(設定!$R$8:$R$27,MATCH(I177,設定!$P$8:$P$27,0))))-INDEX(定員チェック!$I$7:$I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IF(R177="","",IFERROR(MATCH(R177,希望入力!$M$5:$M$554,0),""))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50">
        <f>IF(P178="","",INDEX(前年度名簿!$H$3:$H$452,P178))</f>
        <v/>
      </c>
      <c r="B178" s="50">
        <f>IF(P178="","",IFERROR(INDEX(設定!$G$8:$G$31,INT(INDEX(前年度名簿!$G$3:$G$452,P178)/1000)),INDEX(前年度名簿!$A$3:$A$452,P178)&amp;INDEX(前年度名簿!$B$3:$B$452,P178)))</f>
        <v/>
      </c>
      <c r="C178" s="50">
        <f>IF(P178="","",INDEX(前年度名簿!$C$3:$C$452,P178))</f>
        <v/>
      </c>
      <c r="D178" s="4">
        <f>IF(P178="","",INDEX(前年度名簿!$D$3:$D$452,P178))</f>
        <v/>
      </c>
      <c r="E178" s="50">
        <f>IF(T178="","",INDEX(新年度名簿!$K$3:$K$452,T178))</f>
        <v/>
      </c>
      <c r="F178" s="50">
        <f>IF(T178="","",INDEX(新年度名簿!$C$3:$C$452,T178))</f>
        <v/>
      </c>
      <c r="G178" s="50">
        <f>IF(Q178="","",INDEX(希望入力!$H$5:$H$554,Q178)&amp;"")</f>
        <v/>
      </c>
      <c r="H178" s="50">
        <f>IF(Q178="","",INDEX(希望入力!$I$5:$I$554,Q178)&amp;"")</f>
        <v/>
      </c>
      <c r="I178" s="50">
        <f>IF(Q178="","",INDEX(希望入力!$J$5:$J$554,Q178)&amp;"")</f>
        <v/>
      </c>
      <c r="J178" s="50">
        <f>IF(Q178="","",IF(G178="転出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)</f>
        <v/>
      </c>
      <c r="K178" s="49" t="n"/>
      <c r="L178" s="56">
        <f>IF(P178="","",IF(G178="転出","",IF(K178&lt;&gt;"",K178,IF(OR(J178="",J178="要調整"),"",J178))))</f>
        <v/>
      </c>
      <c r="M178" s="50">
        <f>IF(P178="","",IF(OR(G178="転出",AND(計算用!$B$1=1,T178="")),"転出",IF(L178&lt;&gt;"","決定",IF(Q178="","未提出","要調整"))))</f>
        <v/>
      </c>
      <c r="N178" s="50">
        <f>IF(OR(M178&lt;&gt;"要調整",H178=""),"",IFERROR((INDEX(設定!$Q$8:$Q$27,MATCH(H178,設定!$P$8:$P$27,0))+N(INDEX(設定!$R$8:$R$27,MATCH(H178,設定!$P$8:$P$27,0))))-INDEX(定員チェック!$I$7:$I$26,MATCH(H178,設定!$P$8:$P$27,0))-COUNTIFS($M$7:$M$456,"要調整",$G$7:$G$456,H178),""))</f>
        <v/>
      </c>
      <c r="O178" s="50">
        <f>IF(OR(M178&lt;&gt;"要調整",I178=""),"",IFERROR((INDEX(設定!$Q$8:$Q$27,MATCH(I178,設定!$P$8:$P$27,0))+N(INDEX(設定!$R$8:$R$27,MATCH(I178,設定!$P$8:$P$27,0))))-INDEX(定員チェック!$I$7:$I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IF(R178="","",IFERROR(MATCH(R178,希望入力!$M$5:$M$554,0),""))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50">
        <f>IF(P179="","",INDEX(前年度名簿!$H$3:$H$452,P179))</f>
        <v/>
      </c>
      <c r="B179" s="50">
        <f>IF(P179="","",IFERROR(INDEX(設定!$G$8:$G$31,INT(INDEX(前年度名簿!$G$3:$G$452,P179)/1000)),INDEX(前年度名簿!$A$3:$A$452,P179)&amp;INDEX(前年度名簿!$B$3:$B$452,P179)))</f>
        <v/>
      </c>
      <c r="C179" s="50">
        <f>IF(P179="","",INDEX(前年度名簿!$C$3:$C$452,P179))</f>
        <v/>
      </c>
      <c r="D179" s="4">
        <f>IF(P179="","",INDEX(前年度名簿!$D$3:$D$452,P179))</f>
        <v/>
      </c>
      <c r="E179" s="50">
        <f>IF(T179="","",INDEX(新年度名簿!$K$3:$K$452,T179))</f>
        <v/>
      </c>
      <c r="F179" s="50">
        <f>IF(T179="","",INDEX(新年度名簿!$C$3:$C$452,T179))</f>
        <v/>
      </c>
      <c r="G179" s="50">
        <f>IF(Q179="","",INDEX(希望入力!$H$5:$H$554,Q179)&amp;"")</f>
        <v/>
      </c>
      <c r="H179" s="50">
        <f>IF(Q179="","",INDEX(希望入力!$I$5:$I$554,Q179)&amp;"")</f>
        <v/>
      </c>
      <c r="I179" s="50">
        <f>IF(Q179="","",INDEX(希望入力!$J$5:$J$554,Q179)&amp;"")</f>
        <v/>
      </c>
      <c r="J179" s="50">
        <f>IF(Q179="","",IF(G179="転出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)</f>
        <v/>
      </c>
      <c r="K179" s="49" t="n"/>
      <c r="L179" s="56">
        <f>IF(P179="","",IF(G179="転出","",IF(K179&lt;&gt;"",K179,IF(OR(J179="",J179="要調整"),"",J179))))</f>
        <v/>
      </c>
      <c r="M179" s="50">
        <f>IF(P179="","",IF(OR(G179="転出",AND(計算用!$B$1=1,T179="")),"転出",IF(L179&lt;&gt;"","決定",IF(Q179="","未提出","要調整"))))</f>
        <v/>
      </c>
      <c r="N179" s="50">
        <f>IF(OR(M179&lt;&gt;"要調整",H179=""),"",IFERROR((INDEX(設定!$Q$8:$Q$27,MATCH(H179,設定!$P$8:$P$27,0))+N(INDEX(設定!$R$8:$R$27,MATCH(H179,設定!$P$8:$P$27,0))))-INDEX(定員チェック!$I$7:$I$26,MATCH(H179,設定!$P$8:$P$27,0))-COUNTIFS($M$7:$M$456,"要調整",$G$7:$G$456,H179),""))</f>
        <v/>
      </c>
      <c r="O179" s="50">
        <f>IF(OR(M179&lt;&gt;"要調整",I179=""),"",IFERROR((INDEX(設定!$Q$8:$Q$27,MATCH(I179,設定!$P$8:$P$27,0))+N(INDEX(設定!$R$8:$R$27,MATCH(I179,設定!$P$8:$P$27,0))))-INDEX(定員チェック!$I$7:$I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IF(R179="","",IFERROR(MATCH(R179,希望入力!$M$5:$M$554,0),""))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50">
        <f>IF(P180="","",INDEX(前年度名簿!$H$3:$H$452,P180))</f>
        <v/>
      </c>
      <c r="B180" s="50">
        <f>IF(P180="","",IFERROR(INDEX(設定!$G$8:$G$31,INT(INDEX(前年度名簿!$G$3:$G$452,P180)/1000)),INDEX(前年度名簿!$A$3:$A$452,P180)&amp;INDEX(前年度名簿!$B$3:$B$452,P180)))</f>
        <v/>
      </c>
      <c r="C180" s="50">
        <f>IF(P180="","",INDEX(前年度名簿!$C$3:$C$452,P180))</f>
        <v/>
      </c>
      <c r="D180" s="4">
        <f>IF(P180="","",INDEX(前年度名簿!$D$3:$D$452,P180))</f>
        <v/>
      </c>
      <c r="E180" s="50">
        <f>IF(T180="","",INDEX(新年度名簿!$K$3:$K$452,T180))</f>
        <v/>
      </c>
      <c r="F180" s="50">
        <f>IF(T180="","",INDEX(新年度名簿!$C$3:$C$452,T180))</f>
        <v/>
      </c>
      <c r="G180" s="50">
        <f>IF(Q180="","",INDEX(希望入力!$H$5:$H$554,Q180)&amp;"")</f>
        <v/>
      </c>
      <c r="H180" s="50">
        <f>IF(Q180="","",INDEX(希望入力!$I$5:$I$554,Q180)&amp;"")</f>
        <v/>
      </c>
      <c r="I180" s="50">
        <f>IF(Q180="","",INDEX(希望入力!$J$5:$J$554,Q180)&amp;"")</f>
        <v/>
      </c>
      <c r="J180" s="50">
        <f>IF(Q180="","",IF(G180="転出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)</f>
        <v/>
      </c>
      <c r="K180" s="49" t="n"/>
      <c r="L180" s="56">
        <f>IF(P180="","",IF(G180="転出","",IF(K180&lt;&gt;"",K180,IF(OR(J180="",J180="要調整"),"",J180))))</f>
        <v/>
      </c>
      <c r="M180" s="50">
        <f>IF(P180="","",IF(OR(G180="転出",AND(計算用!$B$1=1,T180="")),"転出",IF(L180&lt;&gt;"","決定",IF(Q180="","未提出","要調整"))))</f>
        <v/>
      </c>
      <c r="N180" s="50">
        <f>IF(OR(M180&lt;&gt;"要調整",H180=""),"",IFERROR((INDEX(設定!$Q$8:$Q$27,MATCH(H180,設定!$P$8:$P$27,0))+N(INDEX(設定!$R$8:$R$27,MATCH(H180,設定!$P$8:$P$27,0))))-INDEX(定員チェック!$I$7:$I$26,MATCH(H180,設定!$P$8:$P$27,0))-COUNTIFS($M$7:$M$456,"要調整",$G$7:$G$456,H180),""))</f>
        <v/>
      </c>
      <c r="O180" s="50">
        <f>IF(OR(M180&lt;&gt;"要調整",I180=""),"",IFERROR((INDEX(設定!$Q$8:$Q$27,MATCH(I180,設定!$P$8:$P$27,0))+N(INDEX(設定!$R$8:$R$27,MATCH(I180,設定!$P$8:$P$27,0))))-INDEX(定員チェック!$I$7:$I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IF(R180="","",IFERROR(MATCH(R180,希望入力!$M$5:$M$554,0),""))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50">
        <f>IF(P181="","",INDEX(前年度名簿!$H$3:$H$452,P181))</f>
        <v/>
      </c>
      <c r="B181" s="50">
        <f>IF(P181="","",IFERROR(INDEX(設定!$G$8:$G$31,INT(INDEX(前年度名簿!$G$3:$G$452,P181)/1000)),INDEX(前年度名簿!$A$3:$A$452,P181)&amp;INDEX(前年度名簿!$B$3:$B$452,P181)))</f>
        <v/>
      </c>
      <c r="C181" s="50">
        <f>IF(P181="","",INDEX(前年度名簿!$C$3:$C$452,P181))</f>
        <v/>
      </c>
      <c r="D181" s="4">
        <f>IF(P181="","",INDEX(前年度名簿!$D$3:$D$452,P181))</f>
        <v/>
      </c>
      <c r="E181" s="50">
        <f>IF(T181="","",INDEX(新年度名簿!$K$3:$K$452,T181))</f>
        <v/>
      </c>
      <c r="F181" s="50">
        <f>IF(T181="","",INDEX(新年度名簿!$C$3:$C$452,T181))</f>
        <v/>
      </c>
      <c r="G181" s="50">
        <f>IF(Q181="","",INDEX(希望入力!$H$5:$H$554,Q181)&amp;"")</f>
        <v/>
      </c>
      <c r="H181" s="50">
        <f>IF(Q181="","",INDEX(希望入力!$I$5:$I$554,Q181)&amp;"")</f>
        <v/>
      </c>
      <c r="I181" s="50">
        <f>IF(Q181="","",INDEX(希望入力!$J$5:$J$554,Q181)&amp;"")</f>
        <v/>
      </c>
      <c r="J181" s="50">
        <f>IF(Q181="","",IF(G181="転出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)</f>
        <v/>
      </c>
      <c r="K181" s="49" t="n"/>
      <c r="L181" s="56">
        <f>IF(P181="","",IF(G181="転出","",IF(K181&lt;&gt;"",K181,IF(OR(J181="",J181="要調整"),"",J181))))</f>
        <v/>
      </c>
      <c r="M181" s="50">
        <f>IF(P181="","",IF(OR(G181="転出",AND(計算用!$B$1=1,T181="")),"転出",IF(L181&lt;&gt;"","決定",IF(Q181="","未提出","要調整"))))</f>
        <v/>
      </c>
      <c r="N181" s="50">
        <f>IF(OR(M181&lt;&gt;"要調整",H181=""),"",IFERROR((INDEX(設定!$Q$8:$Q$27,MATCH(H181,設定!$P$8:$P$27,0))+N(INDEX(設定!$R$8:$R$27,MATCH(H181,設定!$P$8:$P$27,0))))-INDEX(定員チェック!$I$7:$I$26,MATCH(H181,設定!$P$8:$P$27,0))-COUNTIFS($M$7:$M$456,"要調整",$G$7:$G$456,H181),""))</f>
        <v/>
      </c>
      <c r="O181" s="50">
        <f>IF(OR(M181&lt;&gt;"要調整",I181=""),"",IFERROR((INDEX(設定!$Q$8:$Q$27,MATCH(I181,設定!$P$8:$P$27,0))+N(INDEX(設定!$R$8:$R$27,MATCH(I181,設定!$P$8:$P$27,0))))-INDEX(定員チェック!$I$7:$I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IF(R181="","",IFERROR(MATCH(R181,希望入力!$M$5:$M$554,0),""))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50">
        <f>IF(P182="","",INDEX(前年度名簿!$H$3:$H$452,P182))</f>
        <v/>
      </c>
      <c r="B182" s="50">
        <f>IF(P182="","",IFERROR(INDEX(設定!$G$8:$G$31,INT(INDEX(前年度名簿!$G$3:$G$452,P182)/1000)),INDEX(前年度名簿!$A$3:$A$452,P182)&amp;INDEX(前年度名簿!$B$3:$B$452,P182)))</f>
        <v/>
      </c>
      <c r="C182" s="50">
        <f>IF(P182="","",INDEX(前年度名簿!$C$3:$C$452,P182))</f>
        <v/>
      </c>
      <c r="D182" s="4">
        <f>IF(P182="","",INDEX(前年度名簿!$D$3:$D$452,P182))</f>
        <v/>
      </c>
      <c r="E182" s="50">
        <f>IF(T182="","",INDEX(新年度名簿!$K$3:$K$452,T182))</f>
        <v/>
      </c>
      <c r="F182" s="50">
        <f>IF(T182="","",INDEX(新年度名簿!$C$3:$C$452,T182))</f>
        <v/>
      </c>
      <c r="G182" s="50">
        <f>IF(Q182="","",INDEX(希望入力!$H$5:$H$554,Q182)&amp;"")</f>
        <v/>
      </c>
      <c r="H182" s="50">
        <f>IF(Q182="","",INDEX(希望入力!$I$5:$I$554,Q182)&amp;"")</f>
        <v/>
      </c>
      <c r="I182" s="50">
        <f>IF(Q182="","",INDEX(希望入力!$J$5:$J$554,Q182)&amp;"")</f>
        <v/>
      </c>
      <c r="J182" s="50">
        <f>IF(Q182="","",IF(G182="転出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)</f>
        <v/>
      </c>
      <c r="K182" s="49" t="n"/>
      <c r="L182" s="56">
        <f>IF(P182="","",IF(G182="転出","",IF(K182&lt;&gt;"",K182,IF(OR(J182="",J182="要調整"),"",J182))))</f>
        <v/>
      </c>
      <c r="M182" s="50">
        <f>IF(P182="","",IF(OR(G182="転出",AND(計算用!$B$1=1,T182="")),"転出",IF(L182&lt;&gt;"","決定",IF(Q182="","未提出","要調整"))))</f>
        <v/>
      </c>
      <c r="N182" s="50">
        <f>IF(OR(M182&lt;&gt;"要調整",H182=""),"",IFERROR((INDEX(設定!$Q$8:$Q$27,MATCH(H182,設定!$P$8:$P$27,0))+N(INDEX(設定!$R$8:$R$27,MATCH(H182,設定!$P$8:$P$27,0))))-INDEX(定員チェック!$I$7:$I$26,MATCH(H182,設定!$P$8:$P$27,0))-COUNTIFS($M$7:$M$456,"要調整",$G$7:$G$456,H182),""))</f>
        <v/>
      </c>
      <c r="O182" s="50">
        <f>IF(OR(M182&lt;&gt;"要調整",I182=""),"",IFERROR((INDEX(設定!$Q$8:$Q$27,MATCH(I182,設定!$P$8:$P$27,0))+N(INDEX(設定!$R$8:$R$27,MATCH(I182,設定!$P$8:$P$27,0))))-INDEX(定員チェック!$I$7:$I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IF(R182="","",IFERROR(MATCH(R182,希望入力!$M$5:$M$554,0),""))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50">
        <f>IF(P183="","",INDEX(前年度名簿!$H$3:$H$452,P183))</f>
        <v/>
      </c>
      <c r="B183" s="50">
        <f>IF(P183="","",IFERROR(INDEX(設定!$G$8:$G$31,INT(INDEX(前年度名簿!$G$3:$G$452,P183)/1000)),INDEX(前年度名簿!$A$3:$A$452,P183)&amp;INDEX(前年度名簿!$B$3:$B$452,P183)))</f>
        <v/>
      </c>
      <c r="C183" s="50">
        <f>IF(P183="","",INDEX(前年度名簿!$C$3:$C$452,P183))</f>
        <v/>
      </c>
      <c r="D183" s="4">
        <f>IF(P183="","",INDEX(前年度名簿!$D$3:$D$452,P183))</f>
        <v/>
      </c>
      <c r="E183" s="50">
        <f>IF(T183="","",INDEX(新年度名簿!$K$3:$K$452,T183))</f>
        <v/>
      </c>
      <c r="F183" s="50">
        <f>IF(T183="","",INDEX(新年度名簿!$C$3:$C$452,T183))</f>
        <v/>
      </c>
      <c r="G183" s="50">
        <f>IF(Q183="","",INDEX(希望入力!$H$5:$H$554,Q183)&amp;"")</f>
        <v/>
      </c>
      <c r="H183" s="50">
        <f>IF(Q183="","",INDEX(希望入力!$I$5:$I$554,Q183)&amp;"")</f>
        <v/>
      </c>
      <c r="I183" s="50">
        <f>IF(Q183="","",INDEX(希望入力!$J$5:$J$554,Q183)&amp;"")</f>
        <v/>
      </c>
      <c r="J183" s="50">
        <f>IF(Q183="","",IF(G183="転出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)</f>
        <v/>
      </c>
      <c r="K183" s="49" t="n"/>
      <c r="L183" s="56">
        <f>IF(P183="","",IF(G183="転出","",IF(K183&lt;&gt;"",K183,IF(OR(J183="",J183="要調整"),"",J183))))</f>
        <v/>
      </c>
      <c r="M183" s="50">
        <f>IF(P183="","",IF(OR(G183="転出",AND(計算用!$B$1=1,T183="")),"転出",IF(L183&lt;&gt;"","決定",IF(Q183="","未提出","要調整"))))</f>
        <v/>
      </c>
      <c r="N183" s="50">
        <f>IF(OR(M183&lt;&gt;"要調整",H183=""),"",IFERROR((INDEX(設定!$Q$8:$Q$27,MATCH(H183,設定!$P$8:$P$27,0))+N(INDEX(設定!$R$8:$R$27,MATCH(H183,設定!$P$8:$P$27,0))))-INDEX(定員チェック!$I$7:$I$26,MATCH(H183,設定!$P$8:$P$27,0))-COUNTIFS($M$7:$M$456,"要調整",$G$7:$G$456,H183),""))</f>
        <v/>
      </c>
      <c r="O183" s="50">
        <f>IF(OR(M183&lt;&gt;"要調整",I183=""),"",IFERROR((INDEX(設定!$Q$8:$Q$27,MATCH(I183,設定!$P$8:$P$27,0))+N(INDEX(設定!$R$8:$R$27,MATCH(I183,設定!$P$8:$P$27,0))))-INDEX(定員チェック!$I$7:$I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IF(R183="","",IFERROR(MATCH(R183,希望入力!$M$5:$M$554,0),""))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50">
        <f>IF(P184="","",INDEX(前年度名簿!$H$3:$H$452,P184))</f>
        <v/>
      </c>
      <c r="B184" s="50">
        <f>IF(P184="","",IFERROR(INDEX(設定!$G$8:$G$31,INT(INDEX(前年度名簿!$G$3:$G$452,P184)/1000)),INDEX(前年度名簿!$A$3:$A$452,P184)&amp;INDEX(前年度名簿!$B$3:$B$452,P184)))</f>
        <v/>
      </c>
      <c r="C184" s="50">
        <f>IF(P184="","",INDEX(前年度名簿!$C$3:$C$452,P184))</f>
        <v/>
      </c>
      <c r="D184" s="4">
        <f>IF(P184="","",INDEX(前年度名簿!$D$3:$D$452,P184))</f>
        <v/>
      </c>
      <c r="E184" s="50">
        <f>IF(T184="","",INDEX(新年度名簿!$K$3:$K$452,T184))</f>
        <v/>
      </c>
      <c r="F184" s="50">
        <f>IF(T184="","",INDEX(新年度名簿!$C$3:$C$452,T184))</f>
        <v/>
      </c>
      <c r="G184" s="50">
        <f>IF(Q184="","",INDEX(希望入力!$H$5:$H$554,Q184)&amp;"")</f>
        <v/>
      </c>
      <c r="H184" s="50">
        <f>IF(Q184="","",INDEX(希望入力!$I$5:$I$554,Q184)&amp;"")</f>
        <v/>
      </c>
      <c r="I184" s="50">
        <f>IF(Q184="","",INDEX(希望入力!$J$5:$J$554,Q184)&amp;"")</f>
        <v/>
      </c>
      <c r="J184" s="50">
        <f>IF(Q184="","",IF(G184="転出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)</f>
        <v/>
      </c>
      <c r="K184" s="49" t="n"/>
      <c r="L184" s="56">
        <f>IF(P184="","",IF(G184="転出","",IF(K184&lt;&gt;"",K184,IF(OR(J184="",J184="要調整"),"",J184))))</f>
        <v/>
      </c>
      <c r="M184" s="50">
        <f>IF(P184="","",IF(OR(G184="転出",AND(計算用!$B$1=1,T184="")),"転出",IF(L184&lt;&gt;"","決定",IF(Q184="","未提出","要調整"))))</f>
        <v/>
      </c>
      <c r="N184" s="50">
        <f>IF(OR(M184&lt;&gt;"要調整",H184=""),"",IFERROR((INDEX(設定!$Q$8:$Q$27,MATCH(H184,設定!$P$8:$P$27,0))+N(INDEX(設定!$R$8:$R$27,MATCH(H184,設定!$P$8:$P$27,0))))-INDEX(定員チェック!$I$7:$I$26,MATCH(H184,設定!$P$8:$P$27,0))-COUNTIFS($M$7:$M$456,"要調整",$G$7:$G$456,H184),""))</f>
        <v/>
      </c>
      <c r="O184" s="50">
        <f>IF(OR(M184&lt;&gt;"要調整",I184=""),"",IFERROR((INDEX(設定!$Q$8:$Q$27,MATCH(I184,設定!$P$8:$P$27,0))+N(INDEX(設定!$R$8:$R$27,MATCH(I184,設定!$P$8:$P$27,0))))-INDEX(定員チェック!$I$7:$I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IF(R184="","",IFERROR(MATCH(R184,希望入力!$M$5:$M$554,0),""))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50">
        <f>IF(P185="","",INDEX(前年度名簿!$H$3:$H$452,P185))</f>
        <v/>
      </c>
      <c r="B185" s="50">
        <f>IF(P185="","",IFERROR(INDEX(設定!$G$8:$G$31,INT(INDEX(前年度名簿!$G$3:$G$452,P185)/1000)),INDEX(前年度名簿!$A$3:$A$452,P185)&amp;INDEX(前年度名簿!$B$3:$B$452,P185)))</f>
        <v/>
      </c>
      <c r="C185" s="50">
        <f>IF(P185="","",INDEX(前年度名簿!$C$3:$C$452,P185))</f>
        <v/>
      </c>
      <c r="D185" s="4">
        <f>IF(P185="","",INDEX(前年度名簿!$D$3:$D$452,P185))</f>
        <v/>
      </c>
      <c r="E185" s="50">
        <f>IF(T185="","",INDEX(新年度名簿!$K$3:$K$452,T185))</f>
        <v/>
      </c>
      <c r="F185" s="50">
        <f>IF(T185="","",INDEX(新年度名簿!$C$3:$C$452,T185))</f>
        <v/>
      </c>
      <c r="G185" s="50">
        <f>IF(Q185="","",INDEX(希望入力!$H$5:$H$554,Q185)&amp;"")</f>
        <v/>
      </c>
      <c r="H185" s="50">
        <f>IF(Q185="","",INDEX(希望入力!$I$5:$I$554,Q185)&amp;"")</f>
        <v/>
      </c>
      <c r="I185" s="50">
        <f>IF(Q185="","",INDEX(希望入力!$J$5:$J$554,Q185)&amp;"")</f>
        <v/>
      </c>
      <c r="J185" s="50">
        <f>IF(Q185="","",IF(G185="転出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)</f>
        <v/>
      </c>
      <c r="K185" s="49" t="n"/>
      <c r="L185" s="56">
        <f>IF(P185="","",IF(G185="転出","",IF(K185&lt;&gt;"",K185,IF(OR(J185="",J185="要調整"),"",J185))))</f>
        <v/>
      </c>
      <c r="M185" s="50">
        <f>IF(P185="","",IF(OR(G185="転出",AND(計算用!$B$1=1,T185="")),"転出",IF(L185&lt;&gt;"","決定",IF(Q185="","未提出","要調整"))))</f>
        <v/>
      </c>
      <c r="N185" s="50">
        <f>IF(OR(M185&lt;&gt;"要調整",H185=""),"",IFERROR((INDEX(設定!$Q$8:$Q$27,MATCH(H185,設定!$P$8:$P$27,0))+N(INDEX(設定!$R$8:$R$27,MATCH(H185,設定!$P$8:$P$27,0))))-INDEX(定員チェック!$I$7:$I$26,MATCH(H185,設定!$P$8:$P$27,0))-COUNTIFS($M$7:$M$456,"要調整",$G$7:$G$456,H185),""))</f>
        <v/>
      </c>
      <c r="O185" s="50">
        <f>IF(OR(M185&lt;&gt;"要調整",I185=""),"",IFERROR((INDEX(設定!$Q$8:$Q$27,MATCH(I185,設定!$P$8:$P$27,0))+N(INDEX(設定!$R$8:$R$27,MATCH(I185,設定!$P$8:$P$27,0))))-INDEX(定員チェック!$I$7:$I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IF(R185="","",IFERROR(MATCH(R185,希望入力!$M$5:$M$554,0),""))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50">
        <f>IF(P186="","",INDEX(前年度名簿!$H$3:$H$452,P186))</f>
        <v/>
      </c>
      <c r="B186" s="50">
        <f>IF(P186="","",IFERROR(INDEX(設定!$G$8:$G$31,INT(INDEX(前年度名簿!$G$3:$G$452,P186)/1000)),INDEX(前年度名簿!$A$3:$A$452,P186)&amp;INDEX(前年度名簿!$B$3:$B$452,P186)))</f>
        <v/>
      </c>
      <c r="C186" s="50">
        <f>IF(P186="","",INDEX(前年度名簿!$C$3:$C$452,P186))</f>
        <v/>
      </c>
      <c r="D186" s="4">
        <f>IF(P186="","",INDEX(前年度名簿!$D$3:$D$452,P186))</f>
        <v/>
      </c>
      <c r="E186" s="50">
        <f>IF(T186="","",INDEX(新年度名簿!$K$3:$K$452,T186))</f>
        <v/>
      </c>
      <c r="F186" s="50">
        <f>IF(T186="","",INDEX(新年度名簿!$C$3:$C$452,T186))</f>
        <v/>
      </c>
      <c r="G186" s="50">
        <f>IF(Q186="","",INDEX(希望入力!$H$5:$H$554,Q186)&amp;"")</f>
        <v/>
      </c>
      <c r="H186" s="50">
        <f>IF(Q186="","",INDEX(希望入力!$I$5:$I$554,Q186)&amp;"")</f>
        <v/>
      </c>
      <c r="I186" s="50">
        <f>IF(Q186="","",INDEX(希望入力!$J$5:$J$554,Q186)&amp;"")</f>
        <v/>
      </c>
      <c r="J186" s="50">
        <f>IF(Q186="","",IF(G186="転出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)</f>
        <v/>
      </c>
      <c r="K186" s="49" t="n"/>
      <c r="L186" s="56">
        <f>IF(P186="","",IF(G186="転出","",IF(K186&lt;&gt;"",K186,IF(OR(J186="",J186="要調整"),"",J186))))</f>
        <v/>
      </c>
      <c r="M186" s="50">
        <f>IF(P186="","",IF(OR(G186="転出",AND(計算用!$B$1=1,T186="")),"転出",IF(L186&lt;&gt;"","決定",IF(Q186="","未提出","要調整"))))</f>
        <v/>
      </c>
      <c r="N186" s="50">
        <f>IF(OR(M186&lt;&gt;"要調整",H186=""),"",IFERROR((INDEX(設定!$Q$8:$Q$27,MATCH(H186,設定!$P$8:$P$27,0))+N(INDEX(設定!$R$8:$R$27,MATCH(H186,設定!$P$8:$P$27,0))))-INDEX(定員チェック!$I$7:$I$26,MATCH(H186,設定!$P$8:$P$27,0))-COUNTIFS($M$7:$M$456,"要調整",$G$7:$G$456,H186),""))</f>
        <v/>
      </c>
      <c r="O186" s="50">
        <f>IF(OR(M186&lt;&gt;"要調整",I186=""),"",IFERROR((INDEX(設定!$Q$8:$Q$27,MATCH(I186,設定!$P$8:$P$27,0))+N(INDEX(設定!$R$8:$R$27,MATCH(I186,設定!$P$8:$P$27,0))))-INDEX(定員チェック!$I$7:$I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IF(R186="","",IFERROR(MATCH(R186,希望入力!$M$5:$M$554,0),""))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50">
        <f>IF(P187="","",INDEX(前年度名簿!$H$3:$H$452,P187))</f>
        <v/>
      </c>
      <c r="B187" s="50">
        <f>IF(P187="","",IFERROR(INDEX(設定!$G$8:$G$31,INT(INDEX(前年度名簿!$G$3:$G$452,P187)/1000)),INDEX(前年度名簿!$A$3:$A$452,P187)&amp;INDEX(前年度名簿!$B$3:$B$452,P187)))</f>
        <v/>
      </c>
      <c r="C187" s="50">
        <f>IF(P187="","",INDEX(前年度名簿!$C$3:$C$452,P187))</f>
        <v/>
      </c>
      <c r="D187" s="4">
        <f>IF(P187="","",INDEX(前年度名簿!$D$3:$D$452,P187))</f>
        <v/>
      </c>
      <c r="E187" s="50">
        <f>IF(T187="","",INDEX(新年度名簿!$K$3:$K$452,T187))</f>
        <v/>
      </c>
      <c r="F187" s="50">
        <f>IF(T187="","",INDEX(新年度名簿!$C$3:$C$452,T187))</f>
        <v/>
      </c>
      <c r="G187" s="50">
        <f>IF(Q187="","",INDEX(希望入力!$H$5:$H$554,Q187)&amp;"")</f>
        <v/>
      </c>
      <c r="H187" s="50">
        <f>IF(Q187="","",INDEX(希望入力!$I$5:$I$554,Q187)&amp;"")</f>
        <v/>
      </c>
      <c r="I187" s="50">
        <f>IF(Q187="","",INDEX(希望入力!$J$5:$J$554,Q187)&amp;"")</f>
        <v/>
      </c>
      <c r="J187" s="50">
        <f>IF(Q187="","",IF(G187="転出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)</f>
        <v/>
      </c>
      <c r="K187" s="49" t="n"/>
      <c r="L187" s="56">
        <f>IF(P187="","",IF(G187="転出","",IF(K187&lt;&gt;"",K187,IF(OR(J187="",J187="要調整"),"",J187))))</f>
        <v/>
      </c>
      <c r="M187" s="50">
        <f>IF(P187="","",IF(OR(G187="転出",AND(計算用!$B$1=1,T187="")),"転出",IF(L187&lt;&gt;"","決定",IF(Q187="","未提出","要調整"))))</f>
        <v/>
      </c>
      <c r="N187" s="50">
        <f>IF(OR(M187&lt;&gt;"要調整",H187=""),"",IFERROR((INDEX(設定!$Q$8:$Q$27,MATCH(H187,設定!$P$8:$P$27,0))+N(INDEX(設定!$R$8:$R$27,MATCH(H187,設定!$P$8:$P$27,0))))-INDEX(定員チェック!$I$7:$I$26,MATCH(H187,設定!$P$8:$P$27,0))-COUNTIFS($M$7:$M$456,"要調整",$G$7:$G$456,H187),""))</f>
        <v/>
      </c>
      <c r="O187" s="50">
        <f>IF(OR(M187&lt;&gt;"要調整",I187=""),"",IFERROR((INDEX(設定!$Q$8:$Q$27,MATCH(I187,設定!$P$8:$P$27,0))+N(INDEX(設定!$R$8:$R$27,MATCH(I187,設定!$P$8:$P$27,0))))-INDEX(定員チェック!$I$7:$I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IF(R187="","",IFERROR(MATCH(R187,希望入力!$M$5:$M$554,0),""))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50">
        <f>IF(P188="","",INDEX(前年度名簿!$H$3:$H$452,P188))</f>
        <v/>
      </c>
      <c r="B188" s="50">
        <f>IF(P188="","",IFERROR(INDEX(設定!$G$8:$G$31,INT(INDEX(前年度名簿!$G$3:$G$452,P188)/1000)),INDEX(前年度名簿!$A$3:$A$452,P188)&amp;INDEX(前年度名簿!$B$3:$B$452,P188)))</f>
        <v/>
      </c>
      <c r="C188" s="50">
        <f>IF(P188="","",INDEX(前年度名簿!$C$3:$C$452,P188))</f>
        <v/>
      </c>
      <c r="D188" s="4">
        <f>IF(P188="","",INDEX(前年度名簿!$D$3:$D$452,P188))</f>
        <v/>
      </c>
      <c r="E188" s="50">
        <f>IF(T188="","",INDEX(新年度名簿!$K$3:$K$452,T188))</f>
        <v/>
      </c>
      <c r="F188" s="50">
        <f>IF(T188="","",INDEX(新年度名簿!$C$3:$C$452,T188))</f>
        <v/>
      </c>
      <c r="G188" s="50">
        <f>IF(Q188="","",INDEX(希望入力!$H$5:$H$554,Q188)&amp;"")</f>
        <v/>
      </c>
      <c r="H188" s="50">
        <f>IF(Q188="","",INDEX(希望入力!$I$5:$I$554,Q188)&amp;"")</f>
        <v/>
      </c>
      <c r="I188" s="50">
        <f>IF(Q188="","",INDEX(希望入力!$J$5:$J$554,Q188)&amp;"")</f>
        <v/>
      </c>
      <c r="J188" s="50">
        <f>IF(Q188="","",IF(G188="転出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)</f>
        <v/>
      </c>
      <c r="K188" s="49" t="n"/>
      <c r="L188" s="56">
        <f>IF(P188="","",IF(G188="転出","",IF(K188&lt;&gt;"",K188,IF(OR(J188="",J188="要調整"),"",J188))))</f>
        <v/>
      </c>
      <c r="M188" s="50">
        <f>IF(P188="","",IF(OR(G188="転出",AND(計算用!$B$1=1,T188="")),"転出",IF(L188&lt;&gt;"","決定",IF(Q188="","未提出","要調整"))))</f>
        <v/>
      </c>
      <c r="N188" s="50">
        <f>IF(OR(M188&lt;&gt;"要調整",H188=""),"",IFERROR((INDEX(設定!$Q$8:$Q$27,MATCH(H188,設定!$P$8:$P$27,0))+N(INDEX(設定!$R$8:$R$27,MATCH(H188,設定!$P$8:$P$27,0))))-INDEX(定員チェック!$I$7:$I$26,MATCH(H188,設定!$P$8:$P$27,0))-COUNTIFS($M$7:$M$456,"要調整",$G$7:$G$456,H188),""))</f>
        <v/>
      </c>
      <c r="O188" s="50">
        <f>IF(OR(M188&lt;&gt;"要調整",I188=""),"",IFERROR((INDEX(設定!$Q$8:$Q$27,MATCH(I188,設定!$P$8:$P$27,0))+N(INDEX(設定!$R$8:$R$27,MATCH(I188,設定!$P$8:$P$27,0))))-INDEX(定員チェック!$I$7:$I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IF(R188="","",IFERROR(MATCH(R188,希望入力!$M$5:$M$554,0),""))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50">
        <f>IF(P189="","",INDEX(前年度名簿!$H$3:$H$452,P189))</f>
        <v/>
      </c>
      <c r="B189" s="50">
        <f>IF(P189="","",IFERROR(INDEX(設定!$G$8:$G$31,INT(INDEX(前年度名簿!$G$3:$G$452,P189)/1000)),INDEX(前年度名簿!$A$3:$A$452,P189)&amp;INDEX(前年度名簿!$B$3:$B$452,P189)))</f>
        <v/>
      </c>
      <c r="C189" s="50">
        <f>IF(P189="","",INDEX(前年度名簿!$C$3:$C$452,P189))</f>
        <v/>
      </c>
      <c r="D189" s="4">
        <f>IF(P189="","",INDEX(前年度名簿!$D$3:$D$452,P189))</f>
        <v/>
      </c>
      <c r="E189" s="50">
        <f>IF(T189="","",INDEX(新年度名簿!$K$3:$K$452,T189))</f>
        <v/>
      </c>
      <c r="F189" s="50">
        <f>IF(T189="","",INDEX(新年度名簿!$C$3:$C$452,T189))</f>
        <v/>
      </c>
      <c r="G189" s="50">
        <f>IF(Q189="","",INDEX(希望入力!$H$5:$H$554,Q189)&amp;"")</f>
        <v/>
      </c>
      <c r="H189" s="50">
        <f>IF(Q189="","",INDEX(希望入力!$I$5:$I$554,Q189)&amp;"")</f>
        <v/>
      </c>
      <c r="I189" s="50">
        <f>IF(Q189="","",INDEX(希望入力!$J$5:$J$554,Q189)&amp;"")</f>
        <v/>
      </c>
      <c r="J189" s="50">
        <f>IF(Q189="","",IF(G189="転出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)</f>
        <v/>
      </c>
      <c r="K189" s="49" t="n"/>
      <c r="L189" s="56">
        <f>IF(P189="","",IF(G189="転出","",IF(K189&lt;&gt;"",K189,IF(OR(J189="",J189="要調整"),"",J189))))</f>
        <v/>
      </c>
      <c r="M189" s="50">
        <f>IF(P189="","",IF(OR(G189="転出",AND(計算用!$B$1=1,T189="")),"転出",IF(L189&lt;&gt;"","決定",IF(Q189="","未提出","要調整"))))</f>
        <v/>
      </c>
      <c r="N189" s="50">
        <f>IF(OR(M189&lt;&gt;"要調整",H189=""),"",IFERROR((INDEX(設定!$Q$8:$Q$27,MATCH(H189,設定!$P$8:$P$27,0))+N(INDEX(設定!$R$8:$R$27,MATCH(H189,設定!$P$8:$P$27,0))))-INDEX(定員チェック!$I$7:$I$26,MATCH(H189,設定!$P$8:$P$27,0))-COUNTIFS($M$7:$M$456,"要調整",$G$7:$G$456,H189),""))</f>
        <v/>
      </c>
      <c r="O189" s="50">
        <f>IF(OR(M189&lt;&gt;"要調整",I189=""),"",IFERROR((INDEX(設定!$Q$8:$Q$27,MATCH(I189,設定!$P$8:$P$27,0))+N(INDEX(設定!$R$8:$R$27,MATCH(I189,設定!$P$8:$P$27,0))))-INDEX(定員チェック!$I$7:$I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IF(R189="","",IFERROR(MATCH(R189,希望入力!$M$5:$M$554,0),""))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50">
        <f>IF(P190="","",INDEX(前年度名簿!$H$3:$H$452,P190))</f>
        <v/>
      </c>
      <c r="B190" s="50">
        <f>IF(P190="","",IFERROR(INDEX(設定!$G$8:$G$31,INT(INDEX(前年度名簿!$G$3:$G$452,P190)/1000)),INDEX(前年度名簿!$A$3:$A$452,P190)&amp;INDEX(前年度名簿!$B$3:$B$452,P190)))</f>
        <v/>
      </c>
      <c r="C190" s="50">
        <f>IF(P190="","",INDEX(前年度名簿!$C$3:$C$452,P190))</f>
        <v/>
      </c>
      <c r="D190" s="4">
        <f>IF(P190="","",INDEX(前年度名簿!$D$3:$D$452,P190))</f>
        <v/>
      </c>
      <c r="E190" s="50">
        <f>IF(T190="","",INDEX(新年度名簿!$K$3:$K$452,T190))</f>
        <v/>
      </c>
      <c r="F190" s="50">
        <f>IF(T190="","",INDEX(新年度名簿!$C$3:$C$452,T190))</f>
        <v/>
      </c>
      <c r="G190" s="50">
        <f>IF(Q190="","",INDEX(希望入力!$H$5:$H$554,Q190)&amp;"")</f>
        <v/>
      </c>
      <c r="H190" s="50">
        <f>IF(Q190="","",INDEX(希望入力!$I$5:$I$554,Q190)&amp;"")</f>
        <v/>
      </c>
      <c r="I190" s="50">
        <f>IF(Q190="","",INDEX(希望入力!$J$5:$J$554,Q190)&amp;"")</f>
        <v/>
      </c>
      <c r="J190" s="50">
        <f>IF(Q190="","",IF(G190="転出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)</f>
        <v/>
      </c>
      <c r="K190" s="49" t="n"/>
      <c r="L190" s="56">
        <f>IF(P190="","",IF(G190="転出","",IF(K190&lt;&gt;"",K190,IF(OR(J190="",J190="要調整"),"",J190))))</f>
        <v/>
      </c>
      <c r="M190" s="50">
        <f>IF(P190="","",IF(OR(G190="転出",AND(計算用!$B$1=1,T190="")),"転出",IF(L190&lt;&gt;"","決定",IF(Q190="","未提出","要調整"))))</f>
        <v/>
      </c>
      <c r="N190" s="50">
        <f>IF(OR(M190&lt;&gt;"要調整",H190=""),"",IFERROR((INDEX(設定!$Q$8:$Q$27,MATCH(H190,設定!$P$8:$P$27,0))+N(INDEX(設定!$R$8:$R$27,MATCH(H190,設定!$P$8:$P$27,0))))-INDEX(定員チェック!$I$7:$I$26,MATCH(H190,設定!$P$8:$P$27,0))-COUNTIFS($M$7:$M$456,"要調整",$G$7:$G$456,H190),""))</f>
        <v/>
      </c>
      <c r="O190" s="50">
        <f>IF(OR(M190&lt;&gt;"要調整",I190=""),"",IFERROR((INDEX(設定!$Q$8:$Q$27,MATCH(I190,設定!$P$8:$P$27,0))+N(INDEX(設定!$R$8:$R$27,MATCH(I190,設定!$P$8:$P$27,0))))-INDEX(定員チェック!$I$7:$I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IF(R190="","",IFERROR(MATCH(R190,希望入力!$M$5:$M$554,0),""))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50">
        <f>IF(P191="","",INDEX(前年度名簿!$H$3:$H$452,P191))</f>
        <v/>
      </c>
      <c r="B191" s="50">
        <f>IF(P191="","",IFERROR(INDEX(設定!$G$8:$G$31,INT(INDEX(前年度名簿!$G$3:$G$452,P191)/1000)),INDEX(前年度名簿!$A$3:$A$452,P191)&amp;INDEX(前年度名簿!$B$3:$B$452,P191)))</f>
        <v/>
      </c>
      <c r="C191" s="50">
        <f>IF(P191="","",INDEX(前年度名簿!$C$3:$C$452,P191))</f>
        <v/>
      </c>
      <c r="D191" s="4">
        <f>IF(P191="","",INDEX(前年度名簿!$D$3:$D$452,P191))</f>
        <v/>
      </c>
      <c r="E191" s="50">
        <f>IF(T191="","",INDEX(新年度名簿!$K$3:$K$452,T191))</f>
        <v/>
      </c>
      <c r="F191" s="50">
        <f>IF(T191="","",INDEX(新年度名簿!$C$3:$C$452,T191))</f>
        <v/>
      </c>
      <c r="G191" s="50">
        <f>IF(Q191="","",INDEX(希望入力!$H$5:$H$554,Q191)&amp;"")</f>
        <v/>
      </c>
      <c r="H191" s="50">
        <f>IF(Q191="","",INDEX(希望入力!$I$5:$I$554,Q191)&amp;"")</f>
        <v/>
      </c>
      <c r="I191" s="50">
        <f>IF(Q191="","",INDEX(希望入力!$J$5:$J$554,Q191)&amp;"")</f>
        <v/>
      </c>
      <c r="J191" s="50">
        <f>IF(Q191="","",IF(G191="転出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)</f>
        <v/>
      </c>
      <c r="K191" s="49" t="n"/>
      <c r="L191" s="56">
        <f>IF(P191="","",IF(G191="転出","",IF(K191&lt;&gt;"",K191,IF(OR(J191="",J191="要調整"),"",J191))))</f>
        <v/>
      </c>
      <c r="M191" s="50">
        <f>IF(P191="","",IF(OR(G191="転出",AND(計算用!$B$1=1,T191="")),"転出",IF(L191&lt;&gt;"","決定",IF(Q191="","未提出","要調整"))))</f>
        <v/>
      </c>
      <c r="N191" s="50">
        <f>IF(OR(M191&lt;&gt;"要調整",H191=""),"",IFERROR((INDEX(設定!$Q$8:$Q$27,MATCH(H191,設定!$P$8:$P$27,0))+N(INDEX(設定!$R$8:$R$27,MATCH(H191,設定!$P$8:$P$27,0))))-INDEX(定員チェック!$I$7:$I$26,MATCH(H191,設定!$P$8:$P$27,0))-COUNTIFS($M$7:$M$456,"要調整",$G$7:$G$456,H191),""))</f>
        <v/>
      </c>
      <c r="O191" s="50">
        <f>IF(OR(M191&lt;&gt;"要調整",I191=""),"",IFERROR((INDEX(設定!$Q$8:$Q$27,MATCH(I191,設定!$P$8:$P$27,0))+N(INDEX(設定!$R$8:$R$27,MATCH(I191,設定!$P$8:$P$27,0))))-INDEX(定員チェック!$I$7:$I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IF(R191="","",IFERROR(MATCH(R191,希望入力!$M$5:$M$554,0),""))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50">
        <f>IF(P192="","",INDEX(前年度名簿!$H$3:$H$452,P192))</f>
        <v/>
      </c>
      <c r="B192" s="50">
        <f>IF(P192="","",IFERROR(INDEX(設定!$G$8:$G$31,INT(INDEX(前年度名簿!$G$3:$G$452,P192)/1000)),INDEX(前年度名簿!$A$3:$A$452,P192)&amp;INDEX(前年度名簿!$B$3:$B$452,P192)))</f>
        <v/>
      </c>
      <c r="C192" s="50">
        <f>IF(P192="","",INDEX(前年度名簿!$C$3:$C$452,P192))</f>
        <v/>
      </c>
      <c r="D192" s="4">
        <f>IF(P192="","",INDEX(前年度名簿!$D$3:$D$452,P192))</f>
        <v/>
      </c>
      <c r="E192" s="50">
        <f>IF(T192="","",INDEX(新年度名簿!$K$3:$K$452,T192))</f>
        <v/>
      </c>
      <c r="F192" s="50">
        <f>IF(T192="","",INDEX(新年度名簿!$C$3:$C$452,T192))</f>
        <v/>
      </c>
      <c r="G192" s="50">
        <f>IF(Q192="","",INDEX(希望入力!$H$5:$H$554,Q192)&amp;"")</f>
        <v/>
      </c>
      <c r="H192" s="50">
        <f>IF(Q192="","",INDEX(希望入力!$I$5:$I$554,Q192)&amp;"")</f>
        <v/>
      </c>
      <c r="I192" s="50">
        <f>IF(Q192="","",INDEX(希望入力!$J$5:$J$554,Q192)&amp;"")</f>
        <v/>
      </c>
      <c r="J192" s="50">
        <f>IF(Q192="","",IF(G192="転出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)</f>
        <v/>
      </c>
      <c r="K192" s="49" t="n"/>
      <c r="L192" s="56">
        <f>IF(P192="","",IF(G192="転出","",IF(K192&lt;&gt;"",K192,IF(OR(J192="",J192="要調整"),"",J192))))</f>
        <v/>
      </c>
      <c r="M192" s="50">
        <f>IF(P192="","",IF(OR(G192="転出",AND(計算用!$B$1=1,T192="")),"転出",IF(L192&lt;&gt;"","決定",IF(Q192="","未提出","要調整"))))</f>
        <v/>
      </c>
      <c r="N192" s="50">
        <f>IF(OR(M192&lt;&gt;"要調整",H192=""),"",IFERROR((INDEX(設定!$Q$8:$Q$27,MATCH(H192,設定!$P$8:$P$27,0))+N(INDEX(設定!$R$8:$R$27,MATCH(H192,設定!$P$8:$P$27,0))))-INDEX(定員チェック!$I$7:$I$26,MATCH(H192,設定!$P$8:$P$27,0))-COUNTIFS($M$7:$M$456,"要調整",$G$7:$G$456,H192),""))</f>
        <v/>
      </c>
      <c r="O192" s="50">
        <f>IF(OR(M192&lt;&gt;"要調整",I192=""),"",IFERROR((INDEX(設定!$Q$8:$Q$27,MATCH(I192,設定!$P$8:$P$27,0))+N(INDEX(設定!$R$8:$R$27,MATCH(I192,設定!$P$8:$P$27,0))))-INDEX(定員チェック!$I$7:$I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IF(R192="","",IFERROR(MATCH(R192,希望入力!$M$5:$M$554,0),""))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50">
        <f>IF(P193="","",INDEX(前年度名簿!$H$3:$H$452,P193))</f>
        <v/>
      </c>
      <c r="B193" s="50">
        <f>IF(P193="","",IFERROR(INDEX(設定!$G$8:$G$31,INT(INDEX(前年度名簿!$G$3:$G$452,P193)/1000)),INDEX(前年度名簿!$A$3:$A$452,P193)&amp;INDEX(前年度名簿!$B$3:$B$452,P193)))</f>
        <v/>
      </c>
      <c r="C193" s="50">
        <f>IF(P193="","",INDEX(前年度名簿!$C$3:$C$452,P193))</f>
        <v/>
      </c>
      <c r="D193" s="4">
        <f>IF(P193="","",INDEX(前年度名簿!$D$3:$D$452,P193))</f>
        <v/>
      </c>
      <c r="E193" s="50">
        <f>IF(T193="","",INDEX(新年度名簿!$K$3:$K$452,T193))</f>
        <v/>
      </c>
      <c r="F193" s="50">
        <f>IF(T193="","",INDEX(新年度名簿!$C$3:$C$452,T193))</f>
        <v/>
      </c>
      <c r="G193" s="50">
        <f>IF(Q193="","",INDEX(希望入力!$H$5:$H$554,Q193)&amp;"")</f>
        <v/>
      </c>
      <c r="H193" s="50">
        <f>IF(Q193="","",INDEX(希望入力!$I$5:$I$554,Q193)&amp;"")</f>
        <v/>
      </c>
      <c r="I193" s="50">
        <f>IF(Q193="","",INDEX(希望入力!$J$5:$J$554,Q193)&amp;"")</f>
        <v/>
      </c>
      <c r="J193" s="50">
        <f>IF(Q193="","",IF(G193="転出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)</f>
        <v/>
      </c>
      <c r="K193" s="49" t="n"/>
      <c r="L193" s="56">
        <f>IF(P193="","",IF(G193="転出","",IF(K193&lt;&gt;"",K193,IF(OR(J193="",J193="要調整"),"",J193))))</f>
        <v/>
      </c>
      <c r="M193" s="50">
        <f>IF(P193="","",IF(OR(G193="転出",AND(計算用!$B$1=1,T193="")),"転出",IF(L193&lt;&gt;"","決定",IF(Q193="","未提出","要調整"))))</f>
        <v/>
      </c>
      <c r="N193" s="50">
        <f>IF(OR(M193&lt;&gt;"要調整",H193=""),"",IFERROR((INDEX(設定!$Q$8:$Q$27,MATCH(H193,設定!$P$8:$P$27,0))+N(INDEX(設定!$R$8:$R$27,MATCH(H193,設定!$P$8:$P$27,0))))-INDEX(定員チェック!$I$7:$I$26,MATCH(H193,設定!$P$8:$P$27,0))-COUNTIFS($M$7:$M$456,"要調整",$G$7:$G$456,H193),""))</f>
        <v/>
      </c>
      <c r="O193" s="50">
        <f>IF(OR(M193&lt;&gt;"要調整",I193=""),"",IFERROR((INDEX(設定!$Q$8:$Q$27,MATCH(I193,設定!$P$8:$P$27,0))+N(INDEX(設定!$R$8:$R$27,MATCH(I193,設定!$P$8:$P$27,0))))-INDEX(定員チェック!$I$7:$I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IF(R193="","",IFERROR(MATCH(R193,希望入力!$M$5:$M$554,0),""))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50">
        <f>IF(P194="","",INDEX(前年度名簿!$H$3:$H$452,P194))</f>
        <v/>
      </c>
      <c r="B194" s="50">
        <f>IF(P194="","",IFERROR(INDEX(設定!$G$8:$G$31,INT(INDEX(前年度名簿!$G$3:$G$452,P194)/1000)),INDEX(前年度名簿!$A$3:$A$452,P194)&amp;INDEX(前年度名簿!$B$3:$B$452,P194)))</f>
        <v/>
      </c>
      <c r="C194" s="50">
        <f>IF(P194="","",INDEX(前年度名簿!$C$3:$C$452,P194))</f>
        <v/>
      </c>
      <c r="D194" s="4">
        <f>IF(P194="","",INDEX(前年度名簿!$D$3:$D$452,P194))</f>
        <v/>
      </c>
      <c r="E194" s="50">
        <f>IF(T194="","",INDEX(新年度名簿!$K$3:$K$452,T194))</f>
        <v/>
      </c>
      <c r="F194" s="50">
        <f>IF(T194="","",INDEX(新年度名簿!$C$3:$C$452,T194))</f>
        <v/>
      </c>
      <c r="G194" s="50">
        <f>IF(Q194="","",INDEX(希望入力!$H$5:$H$554,Q194)&amp;"")</f>
        <v/>
      </c>
      <c r="H194" s="50">
        <f>IF(Q194="","",INDEX(希望入力!$I$5:$I$554,Q194)&amp;"")</f>
        <v/>
      </c>
      <c r="I194" s="50">
        <f>IF(Q194="","",INDEX(希望入力!$J$5:$J$554,Q194)&amp;"")</f>
        <v/>
      </c>
      <c r="J194" s="50">
        <f>IF(Q194="","",IF(G194="転出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)</f>
        <v/>
      </c>
      <c r="K194" s="49" t="n"/>
      <c r="L194" s="56">
        <f>IF(P194="","",IF(G194="転出","",IF(K194&lt;&gt;"",K194,IF(OR(J194="",J194="要調整"),"",J194))))</f>
        <v/>
      </c>
      <c r="M194" s="50">
        <f>IF(P194="","",IF(OR(G194="転出",AND(計算用!$B$1=1,T194="")),"転出",IF(L194&lt;&gt;"","決定",IF(Q194="","未提出","要調整"))))</f>
        <v/>
      </c>
      <c r="N194" s="50">
        <f>IF(OR(M194&lt;&gt;"要調整",H194=""),"",IFERROR((INDEX(設定!$Q$8:$Q$27,MATCH(H194,設定!$P$8:$P$27,0))+N(INDEX(設定!$R$8:$R$27,MATCH(H194,設定!$P$8:$P$27,0))))-INDEX(定員チェック!$I$7:$I$26,MATCH(H194,設定!$P$8:$P$27,0))-COUNTIFS($M$7:$M$456,"要調整",$G$7:$G$456,H194),""))</f>
        <v/>
      </c>
      <c r="O194" s="50">
        <f>IF(OR(M194&lt;&gt;"要調整",I194=""),"",IFERROR((INDEX(設定!$Q$8:$Q$27,MATCH(I194,設定!$P$8:$P$27,0))+N(INDEX(設定!$R$8:$R$27,MATCH(I194,設定!$P$8:$P$27,0))))-INDEX(定員チェック!$I$7:$I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IF(R194="","",IFERROR(MATCH(R194,希望入力!$M$5:$M$554,0),""))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50">
        <f>IF(P195="","",INDEX(前年度名簿!$H$3:$H$452,P195))</f>
        <v/>
      </c>
      <c r="B195" s="50">
        <f>IF(P195="","",IFERROR(INDEX(設定!$G$8:$G$31,INT(INDEX(前年度名簿!$G$3:$G$452,P195)/1000)),INDEX(前年度名簿!$A$3:$A$452,P195)&amp;INDEX(前年度名簿!$B$3:$B$452,P195)))</f>
        <v/>
      </c>
      <c r="C195" s="50">
        <f>IF(P195="","",INDEX(前年度名簿!$C$3:$C$452,P195))</f>
        <v/>
      </c>
      <c r="D195" s="4">
        <f>IF(P195="","",INDEX(前年度名簿!$D$3:$D$452,P195))</f>
        <v/>
      </c>
      <c r="E195" s="50">
        <f>IF(T195="","",INDEX(新年度名簿!$K$3:$K$452,T195))</f>
        <v/>
      </c>
      <c r="F195" s="50">
        <f>IF(T195="","",INDEX(新年度名簿!$C$3:$C$452,T195))</f>
        <v/>
      </c>
      <c r="G195" s="50">
        <f>IF(Q195="","",INDEX(希望入力!$H$5:$H$554,Q195)&amp;"")</f>
        <v/>
      </c>
      <c r="H195" s="50">
        <f>IF(Q195="","",INDEX(希望入力!$I$5:$I$554,Q195)&amp;"")</f>
        <v/>
      </c>
      <c r="I195" s="50">
        <f>IF(Q195="","",INDEX(希望入力!$J$5:$J$554,Q195)&amp;"")</f>
        <v/>
      </c>
      <c r="J195" s="50">
        <f>IF(Q195="","",IF(G195="転出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)</f>
        <v/>
      </c>
      <c r="K195" s="49" t="n"/>
      <c r="L195" s="56">
        <f>IF(P195="","",IF(G195="転出","",IF(K195&lt;&gt;"",K195,IF(OR(J195="",J195="要調整"),"",J195))))</f>
        <v/>
      </c>
      <c r="M195" s="50">
        <f>IF(P195="","",IF(OR(G195="転出",AND(計算用!$B$1=1,T195="")),"転出",IF(L195&lt;&gt;"","決定",IF(Q195="","未提出","要調整"))))</f>
        <v/>
      </c>
      <c r="N195" s="50">
        <f>IF(OR(M195&lt;&gt;"要調整",H195=""),"",IFERROR((INDEX(設定!$Q$8:$Q$27,MATCH(H195,設定!$P$8:$P$27,0))+N(INDEX(設定!$R$8:$R$27,MATCH(H195,設定!$P$8:$P$27,0))))-INDEX(定員チェック!$I$7:$I$26,MATCH(H195,設定!$P$8:$P$27,0))-COUNTIFS($M$7:$M$456,"要調整",$G$7:$G$456,H195),""))</f>
        <v/>
      </c>
      <c r="O195" s="50">
        <f>IF(OR(M195&lt;&gt;"要調整",I195=""),"",IFERROR((INDEX(設定!$Q$8:$Q$27,MATCH(I195,設定!$P$8:$P$27,0))+N(INDEX(設定!$R$8:$R$27,MATCH(I195,設定!$P$8:$P$27,0))))-INDEX(定員チェック!$I$7:$I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IF(R195="","",IFERROR(MATCH(R195,希望入力!$M$5:$M$554,0),""))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50">
        <f>IF(P196="","",INDEX(前年度名簿!$H$3:$H$452,P196))</f>
        <v/>
      </c>
      <c r="B196" s="50">
        <f>IF(P196="","",IFERROR(INDEX(設定!$G$8:$G$31,INT(INDEX(前年度名簿!$G$3:$G$452,P196)/1000)),INDEX(前年度名簿!$A$3:$A$452,P196)&amp;INDEX(前年度名簿!$B$3:$B$452,P196)))</f>
        <v/>
      </c>
      <c r="C196" s="50">
        <f>IF(P196="","",INDEX(前年度名簿!$C$3:$C$452,P196))</f>
        <v/>
      </c>
      <c r="D196" s="4">
        <f>IF(P196="","",INDEX(前年度名簿!$D$3:$D$452,P196))</f>
        <v/>
      </c>
      <c r="E196" s="50">
        <f>IF(T196="","",INDEX(新年度名簿!$K$3:$K$452,T196))</f>
        <v/>
      </c>
      <c r="F196" s="50">
        <f>IF(T196="","",INDEX(新年度名簿!$C$3:$C$452,T196))</f>
        <v/>
      </c>
      <c r="G196" s="50">
        <f>IF(Q196="","",INDEX(希望入力!$H$5:$H$554,Q196)&amp;"")</f>
        <v/>
      </c>
      <c r="H196" s="50">
        <f>IF(Q196="","",INDEX(希望入力!$I$5:$I$554,Q196)&amp;"")</f>
        <v/>
      </c>
      <c r="I196" s="50">
        <f>IF(Q196="","",INDEX(希望入力!$J$5:$J$554,Q196)&amp;"")</f>
        <v/>
      </c>
      <c r="J196" s="50">
        <f>IF(Q196="","",IF(G196="転出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)</f>
        <v/>
      </c>
      <c r="K196" s="49" t="n"/>
      <c r="L196" s="56">
        <f>IF(P196="","",IF(G196="転出","",IF(K196&lt;&gt;"",K196,IF(OR(J196="",J196="要調整"),"",J196))))</f>
        <v/>
      </c>
      <c r="M196" s="50">
        <f>IF(P196="","",IF(OR(G196="転出",AND(計算用!$B$1=1,T196="")),"転出",IF(L196&lt;&gt;"","決定",IF(Q196="","未提出","要調整"))))</f>
        <v/>
      </c>
      <c r="N196" s="50">
        <f>IF(OR(M196&lt;&gt;"要調整",H196=""),"",IFERROR((INDEX(設定!$Q$8:$Q$27,MATCH(H196,設定!$P$8:$P$27,0))+N(INDEX(設定!$R$8:$R$27,MATCH(H196,設定!$P$8:$P$27,0))))-INDEX(定員チェック!$I$7:$I$26,MATCH(H196,設定!$P$8:$P$27,0))-COUNTIFS($M$7:$M$456,"要調整",$G$7:$G$456,H196),""))</f>
        <v/>
      </c>
      <c r="O196" s="50">
        <f>IF(OR(M196&lt;&gt;"要調整",I196=""),"",IFERROR((INDEX(設定!$Q$8:$Q$27,MATCH(I196,設定!$P$8:$P$27,0))+N(INDEX(設定!$R$8:$R$27,MATCH(I196,設定!$P$8:$P$27,0))))-INDEX(定員チェック!$I$7:$I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IF(R196="","",IFERROR(MATCH(R196,希望入力!$M$5:$M$554,0),""))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50">
        <f>IF(P197="","",INDEX(前年度名簿!$H$3:$H$452,P197))</f>
        <v/>
      </c>
      <c r="B197" s="50">
        <f>IF(P197="","",IFERROR(INDEX(設定!$G$8:$G$31,INT(INDEX(前年度名簿!$G$3:$G$452,P197)/1000)),INDEX(前年度名簿!$A$3:$A$452,P197)&amp;INDEX(前年度名簿!$B$3:$B$452,P197)))</f>
        <v/>
      </c>
      <c r="C197" s="50">
        <f>IF(P197="","",INDEX(前年度名簿!$C$3:$C$452,P197))</f>
        <v/>
      </c>
      <c r="D197" s="4">
        <f>IF(P197="","",INDEX(前年度名簿!$D$3:$D$452,P197))</f>
        <v/>
      </c>
      <c r="E197" s="50">
        <f>IF(T197="","",INDEX(新年度名簿!$K$3:$K$452,T197))</f>
        <v/>
      </c>
      <c r="F197" s="50">
        <f>IF(T197="","",INDEX(新年度名簿!$C$3:$C$452,T197))</f>
        <v/>
      </c>
      <c r="G197" s="50">
        <f>IF(Q197="","",INDEX(希望入力!$H$5:$H$554,Q197)&amp;"")</f>
        <v/>
      </c>
      <c r="H197" s="50">
        <f>IF(Q197="","",INDEX(希望入力!$I$5:$I$554,Q197)&amp;"")</f>
        <v/>
      </c>
      <c r="I197" s="50">
        <f>IF(Q197="","",INDEX(希望入力!$J$5:$J$554,Q197)&amp;"")</f>
        <v/>
      </c>
      <c r="J197" s="50">
        <f>IF(Q197="","",IF(G197="転出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)</f>
        <v/>
      </c>
      <c r="K197" s="49" t="n"/>
      <c r="L197" s="56">
        <f>IF(P197="","",IF(G197="転出","",IF(K197&lt;&gt;"",K197,IF(OR(J197="",J197="要調整"),"",J197))))</f>
        <v/>
      </c>
      <c r="M197" s="50">
        <f>IF(P197="","",IF(OR(G197="転出",AND(計算用!$B$1=1,T197="")),"転出",IF(L197&lt;&gt;"","決定",IF(Q197="","未提出","要調整"))))</f>
        <v/>
      </c>
      <c r="N197" s="50">
        <f>IF(OR(M197&lt;&gt;"要調整",H197=""),"",IFERROR((INDEX(設定!$Q$8:$Q$27,MATCH(H197,設定!$P$8:$P$27,0))+N(INDEX(設定!$R$8:$R$27,MATCH(H197,設定!$P$8:$P$27,0))))-INDEX(定員チェック!$I$7:$I$26,MATCH(H197,設定!$P$8:$P$27,0))-COUNTIFS($M$7:$M$456,"要調整",$G$7:$G$456,H197),""))</f>
        <v/>
      </c>
      <c r="O197" s="50">
        <f>IF(OR(M197&lt;&gt;"要調整",I197=""),"",IFERROR((INDEX(設定!$Q$8:$Q$27,MATCH(I197,設定!$P$8:$P$27,0))+N(INDEX(設定!$R$8:$R$27,MATCH(I197,設定!$P$8:$P$27,0))))-INDEX(定員チェック!$I$7:$I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IF(R197="","",IFERROR(MATCH(R197,希望入力!$M$5:$M$554,0),""))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50">
        <f>IF(P198="","",INDEX(前年度名簿!$H$3:$H$452,P198))</f>
        <v/>
      </c>
      <c r="B198" s="50">
        <f>IF(P198="","",IFERROR(INDEX(設定!$G$8:$G$31,INT(INDEX(前年度名簿!$G$3:$G$452,P198)/1000)),INDEX(前年度名簿!$A$3:$A$452,P198)&amp;INDEX(前年度名簿!$B$3:$B$452,P198)))</f>
        <v/>
      </c>
      <c r="C198" s="50">
        <f>IF(P198="","",INDEX(前年度名簿!$C$3:$C$452,P198))</f>
        <v/>
      </c>
      <c r="D198" s="4">
        <f>IF(P198="","",INDEX(前年度名簿!$D$3:$D$452,P198))</f>
        <v/>
      </c>
      <c r="E198" s="50">
        <f>IF(T198="","",INDEX(新年度名簿!$K$3:$K$452,T198))</f>
        <v/>
      </c>
      <c r="F198" s="50">
        <f>IF(T198="","",INDEX(新年度名簿!$C$3:$C$452,T198))</f>
        <v/>
      </c>
      <c r="G198" s="50">
        <f>IF(Q198="","",INDEX(希望入力!$H$5:$H$554,Q198)&amp;"")</f>
        <v/>
      </c>
      <c r="H198" s="50">
        <f>IF(Q198="","",INDEX(希望入力!$I$5:$I$554,Q198)&amp;"")</f>
        <v/>
      </c>
      <c r="I198" s="50">
        <f>IF(Q198="","",INDEX(希望入力!$J$5:$J$554,Q198)&amp;"")</f>
        <v/>
      </c>
      <c r="J198" s="50">
        <f>IF(Q198="","",IF(G198="転出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)</f>
        <v/>
      </c>
      <c r="K198" s="49" t="n"/>
      <c r="L198" s="56">
        <f>IF(P198="","",IF(G198="転出","",IF(K198&lt;&gt;"",K198,IF(OR(J198="",J198="要調整"),"",J198))))</f>
        <v/>
      </c>
      <c r="M198" s="50">
        <f>IF(P198="","",IF(OR(G198="転出",AND(計算用!$B$1=1,T198="")),"転出",IF(L198&lt;&gt;"","決定",IF(Q198="","未提出","要調整"))))</f>
        <v/>
      </c>
      <c r="N198" s="50">
        <f>IF(OR(M198&lt;&gt;"要調整",H198=""),"",IFERROR((INDEX(設定!$Q$8:$Q$27,MATCH(H198,設定!$P$8:$P$27,0))+N(INDEX(設定!$R$8:$R$27,MATCH(H198,設定!$P$8:$P$27,0))))-INDEX(定員チェック!$I$7:$I$26,MATCH(H198,設定!$P$8:$P$27,0))-COUNTIFS($M$7:$M$456,"要調整",$G$7:$G$456,H198),""))</f>
        <v/>
      </c>
      <c r="O198" s="50">
        <f>IF(OR(M198&lt;&gt;"要調整",I198=""),"",IFERROR((INDEX(設定!$Q$8:$Q$27,MATCH(I198,設定!$P$8:$P$27,0))+N(INDEX(設定!$R$8:$R$27,MATCH(I198,設定!$P$8:$P$27,0))))-INDEX(定員チェック!$I$7:$I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IF(R198="","",IFERROR(MATCH(R198,希望入力!$M$5:$M$554,0),""))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50">
        <f>IF(P199="","",INDEX(前年度名簿!$H$3:$H$452,P199))</f>
        <v/>
      </c>
      <c r="B199" s="50">
        <f>IF(P199="","",IFERROR(INDEX(設定!$G$8:$G$31,INT(INDEX(前年度名簿!$G$3:$G$452,P199)/1000)),INDEX(前年度名簿!$A$3:$A$452,P199)&amp;INDEX(前年度名簿!$B$3:$B$452,P199)))</f>
        <v/>
      </c>
      <c r="C199" s="50">
        <f>IF(P199="","",INDEX(前年度名簿!$C$3:$C$452,P199))</f>
        <v/>
      </c>
      <c r="D199" s="4">
        <f>IF(P199="","",INDEX(前年度名簿!$D$3:$D$452,P199))</f>
        <v/>
      </c>
      <c r="E199" s="50">
        <f>IF(T199="","",INDEX(新年度名簿!$K$3:$K$452,T199))</f>
        <v/>
      </c>
      <c r="F199" s="50">
        <f>IF(T199="","",INDEX(新年度名簿!$C$3:$C$452,T199))</f>
        <v/>
      </c>
      <c r="G199" s="50">
        <f>IF(Q199="","",INDEX(希望入力!$H$5:$H$554,Q199)&amp;"")</f>
        <v/>
      </c>
      <c r="H199" s="50">
        <f>IF(Q199="","",INDEX(希望入力!$I$5:$I$554,Q199)&amp;"")</f>
        <v/>
      </c>
      <c r="I199" s="50">
        <f>IF(Q199="","",INDEX(希望入力!$J$5:$J$554,Q199)&amp;"")</f>
        <v/>
      </c>
      <c r="J199" s="50">
        <f>IF(Q199="","",IF(G199="転出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)</f>
        <v/>
      </c>
      <c r="K199" s="49" t="n"/>
      <c r="L199" s="56">
        <f>IF(P199="","",IF(G199="転出","",IF(K199&lt;&gt;"",K199,IF(OR(J199="",J199="要調整"),"",J199))))</f>
        <v/>
      </c>
      <c r="M199" s="50">
        <f>IF(P199="","",IF(OR(G199="転出",AND(計算用!$B$1=1,T199="")),"転出",IF(L199&lt;&gt;"","決定",IF(Q199="","未提出","要調整"))))</f>
        <v/>
      </c>
      <c r="N199" s="50">
        <f>IF(OR(M199&lt;&gt;"要調整",H199=""),"",IFERROR((INDEX(設定!$Q$8:$Q$27,MATCH(H199,設定!$P$8:$P$27,0))+N(INDEX(設定!$R$8:$R$27,MATCH(H199,設定!$P$8:$P$27,0))))-INDEX(定員チェック!$I$7:$I$26,MATCH(H199,設定!$P$8:$P$27,0))-COUNTIFS($M$7:$M$456,"要調整",$G$7:$G$456,H199),""))</f>
        <v/>
      </c>
      <c r="O199" s="50">
        <f>IF(OR(M199&lt;&gt;"要調整",I199=""),"",IFERROR((INDEX(設定!$Q$8:$Q$27,MATCH(I199,設定!$P$8:$P$27,0))+N(INDEX(設定!$R$8:$R$27,MATCH(I199,設定!$P$8:$P$27,0))))-INDEX(定員チェック!$I$7:$I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IF(R199="","",IFERROR(MATCH(R199,希望入力!$M$5:$M$554,0),""))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50">
        <f>IF(P200="","",INDEX(前年度名簿!$H$3:$H$452,P200))</f>
        <v/>
      </c>
      <c r="B200" s="50">
        <f>IF(P200="","",IFERROR(INDEX(設定!$G$8:$G$31,INT(INDEX(前年度名簿!$G$3:$G$452,P200)/1000)),INDEX(前年度名簿!$A$3:$A$452,P200)&amp;INDEX(前年度名簿!$B$3:$B$452,P200)))</f>
        <v/>
      </c>
      <c r="C200" s="50">
        <f>IF(P200="","",INDEX(前年度名簿!$C$3:$C$452,P200))</f>
        <v/>
      </c>
      <c r="D200" s="4">
        <f>IF(P200="","",INDEX(前年度名簿!$D$3:$D$452,P200))</f>
        <v/>
      </c>
      <c r="E200" s="50">
        <f>IF(T200="","",INDEX(新年度名簿!$K$3:$K$452,T200))</f>
        <v/>
      </c>
      <c r="F200" s="50">
        <f>IF(T200="","",INDEX(新年度名簿!$C$3:$C$452,T200))</f>
        <v/>
      </c>
      <c r="G200" s="50">
        <f>IF(Q200="","",INDEX(希望入力!$H$5:$H$554,Q200)&amp;"")</f>
        <v/>
      </c>
      <c r="H200" s="50">
        <f>IF(Q200="","",INDEX(希望入力!$I$5:$I$554,Q200)&amp;"")</f>
        <v/>
      </c>
      <c r="I200" s="50">
        <f>IF(Q200="","",INDEX(希望入力!$J$5:$J$554,Q200)&amp;"")</f>
        <v/>
      </c>
      <c r="J200" s="50">
        <f>IF(Q200="","",IF(G200="転出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)</f>
        <v/>
      </c>
      <c r="K200" s="49" t="n"/>
      <c r="L200" s="56">
        <f>IF(P200="","",IF(G200="転出","",IF(K200&lt;&gt;"",K200,IF(OR(J200="",J200="要調整"),"",J200))))</f>
        <v/>
      </c>
      <c r="M200" s="50">
        <f>IF(P200="","",IF(OR(G200="転出",AND(計算用!$B$1=1,T200="")),"転出",IF(L200&lt;&gt;"","決定",IF(Q200="","未提出","要調整"))))</f>
        <v/>
      </c>
      <c r="N200" s="50">
        <f>IF(OR(M200&lt;&gt;"要調整",H200=""),"",IFERROR((INDEX(設定!$Q$8:$Q$27,MATCH(H200,設定!$P$8:$P$27,0))+N(INDEX(設定!$R$8:$R$27,MATCH(H200,設定!$P$8:$P$27,0))))-INDEX(定員チェック!$I$7:$I$26,MATCH(H200,設定!$P$8:$P$27,0))-COUNTIFS($M$7:$M$456,"要調整",$G$7:$G$456,H200),""))</f>
        <v/>
      </c>
      <c r="O200" s="50">
        <f>IF(OR(M200&lt;&gt;"要調整",I200=""),"",IFERROR((INDEX(設定!$Q$8:$Q$27,MATCH(I200,設定!$P$8:$P$27,0))+N(INDEX(設定!$R$8:$R$27,MATCH(I200,設定!$P$8:$P$27,0))))-INDEX(定員チェック!$I$7:$I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IF(R200="","",IFERROR(MATCH(R200,希望入力!$M$5:$M$554,0),""))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50">
        <f>IF(P201="","",INDEX(前年度名簿!$H$3:$H$452,P201))</f>
        <v/>
      </c>
      <c r="B201" s="50">
        <f>IF(P201="","",IFERROR(INDEX(設定!$G$8:$G$31,INT(INDEX(前年度名簿!$G$3:$G$452,P201)/1000)),INDEX(前年度名簿!$A$3:$A$452,P201)&amp;INDEX(前年度名簿!$B$3:$B$452,P201)))</f>
        <v/>
      </c>
      <c r="C201" s="50">
        <f>IF(P201="","",INDEX(前年度名簿!$C$3:$C$452,P201))</f>
        <v/>
      </c>
      <c r="D201" s="4">
        <f>IF(P201="","",INDEX(前年度名簿!$D$3:$D$452,P201))</f>
        <v/>
      </c>
      <c r="E201" s="50">
        <f>IF(T201="","",INDEX(新年度名簿!$K$3:$K$452,T201))</f>
        <v/>
      </c>
      <c r="F201" s="50">
        <f>IF(T201="","",INDEX(新年度名簿!$C$3:$C$452,T201))</f>
        <v/>
      </c>
      <c r="G201" s="50">
        <f>IF(Q201="","",INDEX(希望入力!$H$5:$H$554,Q201)&amp;"")</f>
        <v/>
      </c>
      <c r="H201" s="50">
        <f>IF(Q201="","",INDEX(希望入力!$I$5:$I$554,Q201)&amp;"")</f>
        <v/>
      </c>
      <c r="I201" s="50">
        <f>IF(Q201="","",INDEX(希望入力!$J$5:$J$554,Q201)&amp;"")</f>
        <v/>
      </c>
      <c r="J201" s="50">
        <f>IF(Q201="","",IF(G201="転出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)</f>
        <v/>
      </c>
      <c r="K201" s="49" t="n"/>
      <c r="L201" s="56">
        <f>IF(P201="","",IF(G201="転出","",IF(K201&lt;&gt;"",K201,IF(OR(J201="",J201="要調整"),"",J201))))</f>
        <v/>
      </c>
      <c r="M201" s="50">
        <f>IF(P201="","",IF(OR(G201="転出",AND(計算用!$B$1=1,T201="")),"転出",IF(L201&lt;&gt;"","決定",IF(Q201="","未提出","要調整"))))</f>
        <v/>
      </c>
      <c r="N201" s="50">
        <f>IF(OR(M201&lt;&gt;"要調整",H201=""),"",IFERROR((INDEX(設定!$Q$8:$Q$27,MATCH(H201,設定!$P$8:$P$27,0))+N(INDEX(設定!$R$8:$R$27,MATCH(H201,設定!$P$8:$P$27,0))))-INDEX(定員チェック!$I$7:$I$26,MATCH(H201,設定!$P$8:$P$27,0))-COUNTIFS($M$7:$M$456,"要調整",$G$7:$G$456,H201),""))</f>
        <v/>
      </c>
      <c r="O201" s="50">
        <f>IF(OR(M201&lt;&gt;"要調整",I201=""),"",IFERROR((INDEX(設定!$Q$8:$Q$27,MATCH(I201,設定!$P$8:$P$27,0))+N(INDEX(設定!$R$8:$R$27,MATCH(I201,設定!$P$8:$P$27,0))))-INDEX(定員チェック!$I$7:$I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IF(R201="","",IFERROR(MATCH(R201,希望入力!$M$5:$M$554,0),""))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50">
        <f>IF(P202="","",INDEX(前年度名簿!$H$3:$H$452,P202))</f>
        <v/>
      </c>
      <c r="B202" s="50">
        <f>IF(P202="","",IFERROR(INDEX(設定!$G$8:$G$31,INT(INDEX(前年度名簿!$G$3:$G$452,P202)/1000)),INDEX(前年度名簿!$A$3:$A$452,P202)&amp;INDEX(前年度名簿!$B$3:$B$452,P202)))</f>
        <v/>
      </c>
      <c r="C202" s="50">
        <f>IF(P202="","",INDEX(前年度名簿!$C$3:$C$452,P202))</f>
        <v/>
      </c>
      <c r="D202" s="4">
        <f>IF(P202="","",INDEX(前年度名簿!$D$3:$D$452,P202))</f>
        <v/>
      </c>
      <c r="E202" s="50">
        <f>IF(T202="","",INDEX(新年度名簿!$K$3:$K$452,T202))</f>
        <v/>
      </c>
      <c r="F202" s="50">
        <f>IF(T202="","",INDEX(新年度名簿!$C$3:$C$452,T202))</f>
        <v/>
      </c>
      <c r="G202" s="50">
        <f>IF(Q202="","",INDEX(希望入力!$H$5:$H$554,Q202)&amp;"")</f>
        <v/>
      </c>
      <c r="H202" s="50">
        <f>IF(Q202="","",INDEX(希望入力!$I$5:$I$554,Q202)&amp;"")</f>
        <v/>
      </c>
      <c r="I202" s="50">
        <f>IF(Q202="","",INDEX(希望入力!$J$5:$J$554,Q202)&amp;"")</f>
        <v/>
      </c>
      <c r="J202" s="50">
        <f>IF(Q202="","",IF(G202="転出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)</f>
        <v/>
      </c>
      <c r="K202" s="49" t="n"/>
      <c r="L202" s="56">
        <f>IF(P202="","",IF(G202="転出","",IF(K202&lt;&gt;"",K202,IF(OR(J202="",J202="要調整"),"",J202))))</f>
        <v/>
      </c>
      <c r="M202" s="50">
        <f>IF(P202="","",IF(OR(G202="転出",AND(計算用!$B$1=1,T202="")),"転出",IF(L202&lt;&gt;"","決定",IF(Q202="","未提出","要調整"))))</f>
        <v/>
      </c>
      <c r="N202" s="50">
        <f>IF(OR(M202&lt;&gt;"要調整",H202=""),"",IFERROR((INDEX(設定!$Q$8:$Q$27,MATCH(H202,設定!$P$8:$P$27,0))+N(INDEX(設定!$R$8:$R$27,MATCH(H202,設定!$P$8:$P$27,0))))-INDEX(定員チェック!$I$7:$I$26,MATCH(H202,設定!$P$8:$P$27,0))-COUNTIFS($M$7:$M$456,"要調整",$G$7:$G$456,H202),""))</f>
        <v/>
      </c>
      <c r="O202" s="50">
        <f>IF(OR(M202&lt;&gt;"要調整",I202=""),"",IFERROR((INDEX(設定!$Q$8:$Q$27,MATCH(I202,設定!$P$8:$P$27,0))+N(INDEX(設定!$R$8:$R$27,MATCH(I202,設定!$P$8:$P$27,0))))-INDEX(定員チェック!$I$7:$I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IF(R202="","",IFERROR(MATCH(R202,希望入力!$M$5:$M$554,0),""))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50">
        <f>IF(P203="","",INDEX(前年度名簿!$H$3:$H$452,P203))</f>
        <v/>
      </c>
      <c r="B203" s="50">
        <f>IF(P203="","",IFERROR(INDEX(設定!$G$8:$G$31,INT(INDEX(前年度名簿!$G$3:$G$452,P203)/1000)),INDEX(前年度名簿!$A$3:$A$452,P203)&amp;INDEX(前年度名簿!$B$3:$B$452,P203)))</f>
        <v/>
      </c>
      <c r="C203" s="50">
        <f>IF(P203="","",INDEX(前年度名簿!$C$3:$C$452,P203))</f>
        <v/>
      </c>
      <c r="D203" s="4">
        <f>IF(P203="","",INDEX(前年度名簿!$D$3:$D$452,P203))</f>
        <v/>
      </c>
      <c r="E203" s="50">
        <f>IF(T203="","",INDEX(新年度名簿!$K$3:$K$452,T203))</f>
        <v/>
      </c>
      <c r="F203" s="50">
        <f>IF(T203="","",INDEX(新年度名簿!$C$3:$C$452,T203))</f>
        <v/>
      </c>
      <c r="G203" s="50">
        <f>IF(Q203="","",INDEX(希望入力!$H$5:$H$554,Q203)&amp;"")</f>
        <v/>
      </c>
      <c r="H203" s="50">
        <f>IF(Q203="","",INDEX(希望入力!$I$5:$I$554,Q203)&amp;"")</f>
        <v/>
      </c>
      <c r="I203" s="50">
        <f>IF(Q203="","",INDEX(希望入力!$J$5:$J$554,Q203)&amp;"")</f>
        <v/>
      </c>
      <c r="J203" s="50">
        <f>IF(Q203="","",IF(G203="転出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)</f>
        <v/>
      </c>
      <c r="K203" s="49" t="n"/>
      <c r="L203" s="56">
        <f>IF(P203="","",IF(G203="転出","",IF(K203&lt;&gt;"",K203,IF(OR(J203="",J203="要調整"),"",J203))))</f>
        <v/>
      </c>
      <c r="M203" s="50">
        <f>IF(P203="","",IF(OR(G203="転出",AND(計算用!$B$1=1,T203="")),"転出",IF(L203&lt;&gt;"","決定",IF(Q203="","未提出","要調整"))))</f>
        <v/>
      </c>
      <c r="N203" s="50">
        <f>IF(OR(M203&lt;&gt;"要調整",H203=""),"",IFERROR((INDEX(設定!$Q$8:$Q$27,MATCH(H203,設定!$P$8:$P$27,0))+N(INDEX(設定!$R$8:$R$27,MATCH(H203,設定!$P$8:$P$27,0))))-INDEX(定員チェック!$I$7:$I$26,MATCH(H203,設定!$P$8:$P$27,0))-COUNTIFS($M$7:$M$456,"要調整",$G$7:$G$456,H203),""))</f>
        <v/>
      </c>
      <c r="O203" s="50">
        <f>IF(OR(M203&lt;&gt;"要調整",I203=""),"",IFERROR((INDEX(設定!$Q$8:$Q$27,MATCH(I203,設定!$P$8:$P$27,0))+N(INDEX(設定!$R$8:$R$27,MATCH(I203,設定!$P$8:$P$27,0))))-INDEX(定員チェック!$I$7:$I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IF(R203="","",IFERROR(MATCH(R203,希望入力!$M$5:$M$554,0),""))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50">
        <f>IF(P204="","",INDEX(前年度名簿!$H$3:$H$452,P204))</f>
        <v/>
      </c>
      <c r="B204" s="50">
        <f>IF(P204="","",IFERROR(INDEX(設定!$G$8:$G$31,INT(INDEX(前年度名簿!$G$3:$G$452,P204)/1000)),INDEX(前年度名簿!$A$3:$A$452,P204)&amp;INDEX(前年度名簿!$B$3:$B$452,P204)))</f>
        <v/>
      </c>
      <c r="C204" s="50">
        <f>IF(P204="","",INDEX(前年度名簿!$C$3:$C$452,P204))</f>
        <v/>
      </c>
      <c r="D204" s="4">
        <f>IF(P204="","",INDEX(前年度名簿!$D$3:$D$452,P204))</f>
        <v/>
      </c>
      <c r="E204" s="50">
        <f>IF(T204="","",INDEX(新年度名簿!$K$3:$K$452,T204))</f>
        <v/>
      </c>
      <c r="F204" s="50">
        <f>IF(T204="","",INDEX(新年度名簿!$C$3:$C$452,T204))</f>
        <v/>
      </c>
      <c r="G204" s="50">
        <f>IF(Q204="","",INDEX(希望入力!$H$5:$H$554,Q204)&amp;"")</f>
        <v/>
      </c>
      <c r="H204" s="50">
        <f>IF(Q204="","",INDEX(希望入力!$I$5:$I$554,Q204)&amp;"")</f>
        <v/>
      </c>
      <c r="I204" s="50">
        <f>IF(Q204="","",INDEX(希望入力!$J$5:$J$554,Q204)&amp;"")</f>
        <v/>
      </c>
      <c r="J204" s="50">
        <f>IF(Q204="","",IF(G204="転出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)</f>
        <v/>
      </c>
      <c r="K204" s="49" t="n"/>
      <c r="L204" s="56">
        <f>IF(P204="","",IF(G204="転出","",IF(K204&lt;&gt;"",K204,IF(OR(J204="",J204="要調整"),"",J204))))</f>
        <v/>
      </c>
      <c r="M204" s="50">
        <f>IF(P204="","",IF(OR(G204="転出",AND(計算用!$B$1=1,T204="")),"転出",IF(L204&lt;&gt;"","決定",IF(Q204="","未提出","要調整"))))</f>
        <v/>
      </c>
      <c r="N204" s="50">
        <f>IF(OR(M204&lt;&gt;"要調整",H204=""),"",IFERROR((INDEX(設定!$Q$8:$Q$27,MATCH(H204,設定!$P$8:$P$27,0))+N(INDEX(設定!$R$8:$R$27,MATCH(H204,設定!$P$8:$P$27,0))))-INDEX(定員チェック!$I$7:$I$26,MATCH(H204,設定!$P$8:$P$27,0))-COUNTIFS($M$7:$M$456,"要調整",$G$7:$G$456,H204),""))</f>
        <v/>
      </c>
      <c r="O204" s="50">
        <f>IF(OR(M204&lt;&gt;"要調整",I204=""),"",IFERROR((INDEX(設定!$Q$8:$Q$27,MATCH(I204,設定!$P$8:$P$27,0))+N(INDEX(設定!$R$8:$R$27,MATCH(I204,設定!$P$8:$P$27,0))))-INDEX(定員チェック!$I$7:$I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IF(R204="","",IFERROR(MATCH(R204,希望入力!$M$5:$M$554,0),""))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50">
        <f>IF(P205="","",INDEX(前年度名簿!$H$3:$H$452,P205))</f>
        <v/>
      </c>
      <c r="B205" s="50">
        <f>IF(P205="","",IFERROR(INDEX(設定!$G$8:$G$31,INT(INDEX(前年度名簿!$G$3:$G$452,P205)/1000)),INDEX(前年度名簿!$A$3:$A$452,P205)&amp;INDEX(前年度名簿!$B$3:$B$452,P205)))</f>
        <v/>
      </c>
      <c r="C205" s="50">
        <f>IF(P205="","",INDEX(前年度名簿!$C$3:$C$452,P205))</f>
        <v/>
      </c>
      <c r="D205" s="4">
        <f>IF(P205="","",INDEX(前年度名簿!$D$3:$D$452,P205))</f>
        <v/>
      </c>
      <c r="E205" s="50">
        <f>IF(T205="","",INDEX(新年度名簿!$K$3:$K$452,T205))</f>
        <v/>
      </c>
      <c r="F205" s="50">
        <f>IF(T205="","",INDEX(新年度名簿!$C$3:$C$452,T205))</f>
        <v/>
      </c>
      <c r="G205" s="50">
        <f>IF(Q205="","",INDEX(希望入力!$H$5:$H$554,Q205)&amp;"")</f>
        <v/>
      </c>
      <c r="H205" s="50">
        <f>IF(Q205="","",INDEX(希望入力!$I$5:$I$554,Q205)&amp;"")</f>
        <v/>
      </c>
      <c r="I205" s="50">
        <f>IF(Q205="","",INDEX(希望入力!$J$5:$J$554,Q205)&amp;"")</f>
        <v/>
      </c>
      <c r="J205" s="50">
        <f>IF(Q205="","",IF(G205="転出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)</f>
        <v/>
      </c>
      <c r="K205" s="49" t="n"/>
      <c r="L205" s="56">
        <f>IF(P205="","",IF(G205="転出","",IF(K205&lt;&gt;"",K205,IF(OR(J205="",J205="要調整"),"",J205))))</f>
        <v/>
      </c>
      <c r="M205" s="50">
        <f>IF(P205="","",IF(OR(G205="転出",AND(計算用!$B$1=1,T205="")),"転出",IF(L205&lt;&gt;"","決定",IF(Q205="","未提出","要調整"))))</f>
        <v/>
      </c>
      <c r="N205" s="50">
        <f>IF(OR(M205&lt;&gt;"要調整",H205=""),"",IFERROR((INDEX(設定!$Q$8:$Q$27,MATCH(H205,設定!$P$8:$P$27,0))+N(INDEX(設定!$R$8:$R$27,MATCH(H205,設定!$P$8:$P$27,0))))-INDEX(定員チェック!$I$7:$I$26,MATCH(H205,設定!$P$8:$P$27,0))-COUNTIFS($M$7:$M$456,"要調整",$G$7:$G$456,H205),""))</f>
        <v/>
      </c>
      <c r="O205" s="50">
        <f>IF(OR(M205&lt;&gt;"要調整",I205=""),"",IFERROR((INDEX(設定!$Q$8:$Q$27,MATCH(I205,設定!$P$8:$P$27,0))+N(INDEX(設定!$R$8:$R$27,MATCH(I205,設定!$P$8:$P$27,0))))-INDEX(定員チェック!$I$7:$I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IF(R205="","",IFERROR(MATCH(R205,希望入力!$M$5:$M$554,0),""))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50">
        <f>IF(P206="","",INDEX(前年度名簿!$H$3:$H$452,P206))</f>
        <v/>
      </c>
      <c r="B206" s="50">
        <f>IF(P206="","",IFERROR(INDEX(設定!$G$8:$G$31,INT(INDEX(前年度名簿!$G$3:$G$452,P206)/1000)),INDEX(前年度名簿!$A$3:$A$452,P206)&amp;INDEX(前年度名簿!$B$3:$B$452,P206)))</f>
        <v/>
      </c>
      <c r="C206" s="50">
        <f>IF(P206="","",INDEX(前年度名簿!$C$3:$C$452,P206))</f>
        <v/>
      </c>
      <c r="D206" s="4">
        <f>IF(P206="","",INDEX(前年度名簿!$D$3:$D$452,P206))</f>
        <v/>
      </c>
      <c r="E206" s="50">
        <f>IF(T206="","",INDEX(新年度名簿!$K$3:$K$452,T206))</f>
        <v/>
      </c>
      <c r="F206" s="50">
        <f>IF(T206="","",INDEX(新年度名簿!$C$3:$C$452,T206))</f>
        <v/>
      </c>
      <c r="G206" s="50">
        <f>IF(Q206="","",INDEX(希望入力!$H$5:$H$554,Q206)&amp;"")</f>
        <v/>
      </c>
      <c r="H206" s="50">
        <f>IF(Q206="","",INDEX(希望入力!$I$5:$I$554,Q206)&amp;"")</f>
        <v/>
      </c>
      <c r="I206" s="50">
        <f>IF(Q206="","",INDEX(希望入力!$J$5:$J$554,Q206)&amp;"")</f>
        <v/>
      </c>
      <c r="J206" s="50">
        <f>IF(Q206="","",IF(G206="転出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)</f>
        <v/>
      </c>
      <c r="K206" s="49" t="n"/>
      <c r="L206" s="56">
        <f>IF(P206="","",IF(G206="転出","",IF(K206&lt;&gt;"",K206,IF(OR(J206="",J206="要調整"),"",J206))))</f>
        <v/>
      </c>
      <c r="M206" s="50">
        <f>IF(P206="","",IF(OR(G206="転出",AND(計算用!$B$1=1,T206="")),"転出",IF(L206&lt;&gt;"","決定",IF(Q206="","未提出","要調整"))))</f>
        <v/>
      </c>
      <c r="N206" s="50">
        <f>IF(OR(M206&lt;&gt;"要調整",H206=""),"",IFERROR((INDEX(設定!$Q$8:$Q$27,MATCH(H206,設定!$P$8:$P$27,0))+N(INDEX(設定!$R$8:$R$27,MATCH(H206,設定!$P$8:$P$27,0))))-INDEX(定員チェック!$I$7:$I$26,MATCH(H206,設定!$P$8:$P$27,0))-COUNTIFS($M$7:$M$456,"要調整",$G$7:$G$456,H206),""))</f>
        <v/>
      </c>
      <c r="O206" s="50">
        <f>IF(OR(M206&lt;&gt;"要調整",I206=""),"",IFERROR((INDEX(設定!$Q$8:$Q$27,MATCH(I206,設定!$P$8:$P$27,0))+N(INDEX(設定!$R$8:$R$27,MATCH(I206,設定!$P$8:$P$27,0))))-INDEX(定員チェック!$I$7:$I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IF(R206="","",IFERROR(MATCH(R206,希望入力!$M$5:$M$554,0),""))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50">
        <f>IF(P207="","",INDEX(前年度名簿!$H$3:$H$452,P207))</f>
        <v/>
      </c>
      <c r="B207" s="50">
        <f>IF(P207="","",IFERROR(INDEX(設定!$G$8:$G$31,INT(INDEX(前年度名簿!$G$3:$G$452,P207)/1000)),INDEX(前年度名簿!$A$3:$A$452,P207)&amp;INDEX(前年度名簿!$B$3:$B$452,P207)))</f>
        <v/>
      </c>
      <c r="C207" s="50">
        <f>IF(P207="","",INDEX(前年度名簿!$C$3:$C$452,P207))</f>
        <v/>
      </c>
      <c r="D207" s="4">
        <f>IF(P207="","",INDEX(前年度名簿!$D$3:$D$452,P207))</f>
        <v/>
      </c>
      <c r="E207" s="50">
        <f>IF(T207="","",INDEX(新年度名簿!$K$3:$K$452,T207))</f>
        <v/>
      </c>
      <c r="F207" s="50">
        <f>IF(T207="","",INDEX(新年度名簿!$C$3:$C$452,T207))</f>
        <v/>
      </c>
      <c r="G207" s="50">
        <f>IF(Q207="","",INDEX(希望入力!$H$5:$H$554,Q207)&amp;"")</f>
        <v/>
      </c>
      <c r="H207" s="50">
        <f>IF(Q207="","",INDEX(希望入力!$I$5:$I$554,Q207)&amp;"")</f>
        <v/>
      </c>
      <c r="I207" s="50">
        <f>IF(Q207="","",INDEX(希望入力!$J$5:$J$554,Q207)&amp;"")</f>
        <v/>
      </c>
      <c r="J207" s="50">
        <f>IF(Q207="","",IF(G207="転出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)</f>
        <v/>
      </c>
      <c r="K207" s="49" t="n"/>
      <c r="L207" s="56">
        <f>IF(P207="","",IF(G207="転出","",IF(K207&lt;&gt;"",K207,IF(OR(J207="",J207="要調整"),"",J207))))</f>
        <v/>
      </c>
      <c r="M207" s="50">
        <f>IF(P207="","",IF(OR(G207="転出",AND(計算用!$B$1=1,T207="")),"転出",IF(L207&lt;&gt;"","決定",IF(Q207="","未提出","要調整"))))</f>
        <v/>
      </c>
      <c r="N207" s="50">
        <f>IF(OR(M207&lt;&gt;"要調整",H207=""),"",IFERROR((INDEX(設定!$Q$8:$Q$27,MATCH(H207,設定!$P$8:$P$27,0))+N(INDEX(設定!$R$8:$R$27,MATCH(H207,設定!$P$8:$P$27,0))))-INDEX(定員チェック!$I$7:$I$26,MATCH(H207,設定!$P$8:$P$27,0))-COUNTIFS($M$7:$M$456,"要調整",$G$7:$G$456,H207),""))</f>
        <v/>
      </c>
      <c r="O207" s="50">
        <f>IF(OR(M207&lt;&gt;"要調整",I207=""),"",IFERROR((INDEX(設定!$Q$8:$Q$27,MATCH(I207,設定!$P$8:$P$27,0))+N(INDEX(設定!$R$8:$R$27,MATCH(I207,設定!$P$8:$P$27,0))))-INDEX(定員チェック!$I$7:$I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IF(R207="","",IFERROR(MATCH(R207,希望入力!$M$5:$M$554,0),""))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50">
        <f>IF(P208="","",INDEX(前年度名簿!$H$3:$H$452,P208))</f>
        <v/>
      </c>
      <c r="B208" s="50">
        <f>IF(P208="","",IFERROR(INDEX(設定!$G$8:$G$31,INT(INDEX(前年度名簿!$G$3:$G$452,P208)/1000)),INDEX(前年度名簿!$A$3:$A$452,P208)&amp;INDEX(前年度名簿!$B$3:$B$452,P208)))</f>
        <v/>
      </c>
      <c r="C208" s="50">
        <f>IF(P208="","",INDEX(前年度名簿!$C$3:$C$452,P208))</f>
        <v/>
      </c>
      <c r="D208" s="4">
        <f>IF(P208="","",INDEX(前年度名簿!$D$3:$D$452,P208))</f>
        <v/>
      </c>
      <c r="E208" s="50">
        <f>IF(T208="","",INDEX(新年度名簿!$K$3:$K$452,T208))</f>
        <v/>
      </c>
      <c r="F208" s="50">
        <f>IF(T208="","",INDEX(新年度名簿!$C$3:$C$452,T208))</f>
        <v/>
      </c>
      <c r="G208" s="50">
        <f>IF(Q208="","",INDEX(希望入力!$H$5:$H$554,Q208)&amp;"")</f>
        <v/>
      </c>
      <c r="H208" s="50">
        <f>IF(Q208="","",INDEX(希望入力!$I$5:$I$554,Q208)&amp;"")</f>
        <v/>
      </c>
      <c r="I208" s="50">
        <f>IF(Q208="","",INDEX(希望入力!$J$5:$J$554,Q208)&amp;"")</f>
        <v/>
      </c>
      <c r="J208" s="50">
        <f>IF(Q208="","",IF(G208="転出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)</f>
        <v/>
      </c>
      <c r="K208" s="49" t="n"/>
      <c r="L208" s="56">
        <f>IF(P208="","",IF(G208="転出","",IF(K208&lt;&gt;"",K208,IF(OR(J208="",J208="要調整"),"",J208))))</f>
        <v/>
      </c>
      <c r="M208" s="50">
        <f>IF(P208="","",IF(OR(G208="転出",AND(計算用!$B$1=1,T208="")),"転出",IF(L208&lt;&gt;"","決定",IF(Q208="","未提出","要調整"))))</f>
        <v/>
      </c>
      <c r="N208" s="50">
        <f>IF(OR(M208&lt;&gt;"要調整",H208=""),"",IFERROR((INDEX(設定!$Q$8:$Q$27,MATCH(H208,設定!$P$8:$P$27,0))+N(INDEX(設定!$R$8:$R$27,MATCH(H208,設定!$P$8:$P$27,0))))-INDEX(定員チェック!$I$7:$I$26,MATCH(H208,設定!$P$8:$P$27,0))-COUNTIFS($M$7:$M$456,"要調整",$G$7:$G$456,H208),""))</f>
        <v/>
      </c>
      <c r="O208" s="50">
        <f>IF(OR(M208&lt;&gt;"要調整",I208=""),"",IFERROR((INDEX(設定!$Q$8:$Q$27,MATCH(I208,設定!$P$8:$P$27,0))+N(INDEX(設定!$R$8:$R$27,MATCH(I208,設定!$P$8:$P$27,0))))-INDEX(定員チェック!$I$7:$I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IF(R208="","",IFERROR(MATCH(R208,希望入力!$M$5:$M$554,0),""))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50">
        <f>IF(P209="","",INDEX(前年度名簿!$H$3:$H$452,P209))</f>
        <v/>
      </c>
      <c r="B209" s="50">
        <f>IF(P209="","",IFERROR(INDEX(設定!$G$8:$G$31,INT(INDEX(前年度名簿!$G$3:$G$452,P209)/1000)),INDEX(前年度名簿!$A$3:$A$452,P209)&amp;INDEX(前年度名簿!$B$3:$B$452,P209)))</f>
        <v/>
      </c>
      <c r="C209" s="50">
        <f>IF(P209="","",INDEX(前年度名簿!$C$3:$C$452,P209))</f>
        <v/>
      </c>
      <c r="D209" s="4">
        <f>IF(P209="","",INDEX(前年度名簿!$D$3:$D$452,P209))</f>
        <v/>
      </c>
      <c r="E209" s="50">
        <f>IF(T209="","",INDEX(新年度名簿!$K$3:$K$452,T209))</f>
        <v/>
      </c>
      <c r="F209" s="50">
        <f>IF(T209="","",INDEX(新年度名簿!$C$3:$C$452,T209))</f>
        <v/>
      </c>
      <c r="G209" s="50">
        <f>IF(Q209="","",INDEX(希望入力!$H$5:$H$554,Q209)&amp;"")</f>
        <v/>
      </c>
      <c r="H209" s="50">
        <f>IF(Q209="","",INDEX(希望入力!$I$5:$I$554,Q209)&amp;"")</f>
        <v/>
      </c>
      <c r="I209" s="50">
        <f>IF(Q209="","",INDEX(希望入力!$J$5:$J$554,Q209)&amp;"")</f>
        <v/>
      </c>
      <c r="J209" s="50">
        <f>IF(Q209="","",IF(G209="転出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)</f>
        <v/>
      </c>
      <c r="K209" s="49" t="n"/>
      <c r="L209" s="56">
        <f>IF(P209="","",IF(G209="転出","",IF(K209&lt;&gt;"",K209,IF(OR(J209="",J209="要調整"),"",J209))))</f>
        <v/>
      </c>
      <c r="M209" s="50">
        <f>IF(P209="","",IF(OR(G209="転出",AND(計算用!$B$1=1,T209="")),"転出",IF(L209&lt;&gt;"","決定",IF(Q209="","未提出","要調整"))))</f>
        <v/>
      </c>
      <c r="N209" s="50">
        <f>IF(OR(M209&lt;&gt;"要調整",H209=""),"",IFERROR((INDEX(設定!$Q$8:$Q$27,MATCH(H209,設定!$P$8:$P$27,0))+N(INDEX(設定!$R$8:$R$27,MATCH(H209,設定!$P$8:$P$27,0))))-INDEX(定員チェック!$I$7:$I$26,MATCH(H209,設定!$P$8:$P$27,0))-COUNTIFS($M$7:$M$456,"要調整",$G$7:$G$456,H209),""))</f>
        <v/>
      </c>
      <c r="O209" s="50">
        <f>IF(OR(M209&lt;&gt;"要調整",I209=""),"",IFERROR((INDEX(設定!$Q$8:$Q$27,MATCH(I209,設定!$P$8:$P$27,0))+N(INDEX(設定!$R$8:$R$27,MATCH(I209,設定!$P$8:$P$27,0))))-INDEX(定員チェック!$I$7:$I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IF(R209="","",IFERROR(MATCH(R209,希望入力!$M$5:$M$554,0),""))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50">
        <f>IF(P210="","",INDEX(前年度名簿!$H$3:$H$452,P210))</f>
        <v/>
      </c>
      <c r="B210" s="50">
        <f>IF(P210="","",IFERROR(INDEX(設定!$G$8:$G$31,INT(INDEX(前年度名簿!$G$3:$G$452,P210)/1000)),INDEX(前年度名簿!$A$3:$A$452,P210)&amp;INDEX(前年度名簿!$B$3:$B$452,P210)))</f>
        <v/>
      </c>
      <c r="C210" s="50">
        <f>IF(P210="","",INDEX(前年度名簿!$C$3:$C$452,P210))</f>
        <v/>
      </c>
      <c r="D210" s="4">
        <f>IF(P210="","",INDEX(前年度名簿!$D$3:$D$452,P210))</f>
        <v/>
      </c>
      <c r="E210" s="50">
        <f>IF(T210="","",INDEX(新年度名簿!$K$3:$K$452,T210))</f>
        <v/>
      </c>
      <c r="F210" s="50">
        <f>IF(T210="","",INDEX(新年度名簿!$C$3:$C$452,T210))</f>
        <v/>
      </c>
      <c r="G210" s="50">
        <f>IF(Q210="","",INDEX(希望入力!$H$5:$H$554,Q210)&amp;"")</f>
        <v/>
      </c>
      <c r="H210" s="50">
        <f>IF(Q210="","",INDEX(希望入力!$I$5:$I$554,Q210)&amp;"")</f>
        <v/>
      </c>
      <c r="I210" s="50">
        <f>IF(Q210="","",INDEX(希望入力!$J$5:$J$554,Q210)&amp;"")</f>
        <v/>
      </c>
      <c r="J210" s="50">
        <f>IF(Q210="","",IF(G210="転出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)</f>
        <v/>
      </c>
      <c r="K210" s="49" t="n"/>
      <c r="L210" s="56">
        <f>IF(P210="","",IF(G210="転出","",IF(K210&lt;&gt;"",K210,IF(OR(J210="",J210="要調整"),"",J210))))</f>
        <v/>
      </c>
      <c r="M210" s="50">
        <f>IF(P210="","",IF(OR(G210="転出",AND(計算用!$B$1=1,T210="")),"転出",IF(L210&lt;&gt;"","決定",IF(Q210="","未提出","要調整"))))</f>
        <v/>
      </c>
      <c r="N210" s="50">
        <f>IF(OR(M210&lt;&gt;"要調整",H210=""),"",IFERROR((INDEX(設定!$Q$8:$Q$27,MATCH(H210,設定!$P$8:$P$27,0))+N(INDEX(設定!$R$8:$R$27,MATCH(H210,設定!$P$8:$P$27,0))))-INDEX(定員チェック!$I$7:$I$26,MATCH(H210,設定!$P$8:$P$27,0))-COUNTIFS($M$7:$M$456,"要調整",$G$7:$G$456,H210),""))</f>
        <v/>
      </c>
      <c r="O210" s="50">
        <f>IF(OR(M210&lt;&gt;"要調整",I210=""),"",IFERROR((INDEX(設定!$Q$8:$Q$27,MATCH(I210,設定!$P$8:$P$27,0))+N(INDEX(設定!$R$8:$R$27,MATCH(I210,設定!$P$8:$P$27,0))))-INDEX(定員チェック!$I$7:$I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IF(R210="","",IFERROR(MATCH(R210,希望入力!$M$5:$M$554,0),""))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50">
        <f>IF(P211="","",INDEX(前年度名簿!$H$3:$H$452,P211))</f>
        <v/>
      </c>
      <c r="B211" s="50">
        <f>IF(P211="","",IFERROR(INDEX(設定!$G$8:$G$31,INT(INDEX(前年度名簿!$G$3:$G$452,P211)/1000)),INDEX(前年度名簿!$A$3:$A$452,P211)&amp;INDEX(前年度名簿!$B$3:$B$452,P211)))</f>
        <v/>
      </c>
      <c r="C211" s="50">
        <f>IF(P211="","",INDEX(前年度名簿!$C$3:$C$452,P211))</f>
        <v/>
      </c>
      <c r="D211" s="4">
        <f>IF(P211="","",INDEX(前年度名簿!$D$3:$D$452,P211))</f>
        <v/>
      </c>
      <c r="E211" s="50">
        <f>IF(T211="","",INDEX(新年度名簿!$K$3:$K$452,T211))</f>
        <v/>
      </c>
      <c r="F211" s="50">
        <f>IF(T211="","",INDEX(新年度名簿!$C$3:$C$452,T211))</f>
        <v/>
      </c>
      <c r="G211" s="50">
        <f>IF(Q211="","",INDEX(希望入力!$H$5:$H$554,Q211)&amp;"")</f>
        <v/>
      </c>
      <c r="H211" s="50">
        <f>IF(Q211="","",INDEX(希望入力!$I$5:$I$554,Q211)&amp;"")</f>
        <v/>
      </c>
      <c r="I211" s="50">
        <f>IF(Q211="","",INDEX(希望入力!$J$5:$J$554,Q211)&amp;"")</f>
        <v/>
      </c>
      <c r="J211" s="50">
        <f>IF(Q211="","",IF(G211="転出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)</f>
        <v/>
      </c>
      <c r="K211" s="49" t="n"/>
      <c r="L211" s="56">
        <f>IF(P211="","",IF(G211="転出","",IF(K211&lt;&gt;"",K211,IF(OR(J211="",J211="要調整"),"",J211))))</f>
        <v/>
      </c>
      <c r="M211" s="50">
        <f>IF(P211="","",IF(OR(G211="転出",AND(計算用!$B$1=1,T211="")),"転出",IF(L211&lt;&gt;"","決定",IF(Q211="","未提出","要調整"))))</f>
        <v/>
      </c>
      <c r="N211" s="50">
        <f>IF(OR(M211&lt;&gt;"要調整",H211=""),"",IFERROR((INDEX(設定!$Q$8:$Q$27,MATCH(H211,設定!$P$8:$P$27,0))+N(INDEX(設定!$R$8:$R$27,MATCH(H211,設定!$P$8:$P$27,0))))-INDEX(定員チェック!$I$7:$I$26,MATCH(H211,設定!$P$8:$P$27,0))-COUNTIFS($M$7:$M$456,"要調整",$G$7:$G$456,H211),""))</f>
        <v/>
      </c>
      <c r="O211" s="50">
        <f>IF(OR(M211&lt;&gt;"要調整",I211=""),"",IFERROR((INDEX(設定!$Q$8:$Q$27,MATCH(I211,設定!$P$8:$P$27,0))+N(INDEX(設定!$R$8:$R$27,MATCH(I211,設定!$P$8:$P$27,0))))-INDEX(定員チェック!$I$7:$I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IF(R211="","",IFERROR(MATCH(R211,希望入力!$M$5:$M$554,0),""))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50">
        <f>IF(P212="","",INDEX(前年度名簿!$H$3:$H$452,P212))</f>
        <v/>
      </c>
      <c r="B212" s="50">
        <f>IF(P212="","",IFERROR(INDEX(設定!$G$8:$G$31,INT(INDEX(前年度名簿!$G$3:$G$452,P212)/1000)),INDEX(前年度名簿!$A$3:$A$452,P212)&amp;INDEX(前年度名簿!$B$3:$B$452,P212)))</f>
        <v/>
      </c>
      <c r="C212" s="50">
        <f>IF(P212="","",INDEX(前年度名簿!$C$3:$C$452,P212))</f>
        <v/>
      </c>
      <c r="D212" s="4">
        <f>IF(P212="","",INDEX(前年度名簿!$D$3:$D$452,P212))</f>
        <v/>
      </c>
      <c r="E212" s="50">
        <f>IF(T212="","",INDEX(新年度名簿!$K$3:$K$452,T212))</f>
        <v/>
      </c>
      <c r="F212" s="50">
        <f>IF(T212="","",INDEX(新年度名簿!$C$3:$C$452,T212))</f>
        <v/>
      </c>
      <c r="G212" s="50">
        <f>IF(Q212="","",INDEX(希望入力!$H$5:$H$554,Q212)&amp;"")</f>
        <v/>
      </c>
      <c r="H212" s="50">
        <f>IF(Q212="","",INDEX(希望入力!$I$5:$I$554,Q212)&amp;"")</f>
        <v/>
      </c>
      <c r="I212" s="50">
        <f>IF(Q212="","",INDEX(希望入力!$J$5:$J$554,Q212)&amp;"")</f>
        <v/>
      </c>
      <c r="J212" s="50">
        <f>IF(Q212="","",IF(G212="転出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)</f>
        <v/>
      </c>
      <c r="K212" s="49" t="n"/>
      <c r="L212" s="56">
        <f>IF(P212="","",IF(G212="転出","",IF(K212&lt;&gt;"",K212,IF(OR(J212="",J212="要調整"),"",J212))))</f>
        <v/>
      </c>
      <c r="M212" s="50">
        <f>IF(P212="","",IF(OR(G212="転出",AND(計算用!$B$1=1,T212="")),"転出",IF(L212&lt;&gt;"","決定",IF(Q212="","未提出","要調整"))))</f>
        <v/>
      </c>
      <c r="N212" s="50">
        <f>IF(OR(M212&lt;&gt;"要調整",H212=""),"",IFERROR((INDEX(設定!$Q$8:$Q$27,MATCH(H212,設定!$P$8:$P$27,0))+N(INDEX(設定!$R$8:$R$27,MATCH(H212,設定!$P$8:$P$27,0))))-INDEX(定員チェック!$I$7:$I$26,MATCH(H212,設定!$P$8:$P$27,0))-COUNTIFS($M$7:$M$456,"要調整",$G$7:$G$456,H212),""))</f>
        <v/>
      </c>
      <c r="O212" s="50">
        <f>IF(OR(M212&lt;&gt;"要調整",I212=""),"",IFERROR((INDEX(設定!$Q$8:$Q$27,MATCH(I212,設定!$P$8:$P$27,0))+N(INDEX(設定!$R$8:$R$27,MATCH(I212,設定!$P$8:$P$27,0))))-INDEX(定員チェック!$I$7:$I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IF(R212="","",IFERROR(MATCH(R212,希望入力!$M$5:$M$554,0),""))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50">
        <f>IF(P213="","",INDEX(前年度名簿!$H$3:$H$452,P213))</f>
        <v/>
      </c>
      <c r="B213" s="50">
        <f>IF(P213="","",IFERROR(INDEX(設定!$G$8:$G$31,INT(INDEX(前年度名簿!$G$3:$G$452,P213)/1000)),INDEX(前年度名簿!$A$3:$A$452,P213)&amp;INDEX(前年度名簿!$B$3:$B$452,P213)))</f>
        <v/>
      </c>
      <c r="C213" s="50">
        <f>IF(P213="","",INDEX(前年度名簿!$C$3:$C$452,P213))</f>
        <v/>
      </c>
      <c r="D213" s="4">
        <f>IF(P213="","",INDEX(前年度名簿!$D$3:$D$452,P213))</f>
        <v/>
      </c>
      <c r="E213" s="50">
        <f>IF(T213="","",INDEX(新年度名簿!$K$3:$K$452,T213))</f>
        <v/>
      </c>
      <c r="F213" s="50">
        <f>IF(T213="","",INDEX(新年度名簿!$C$3:$C$452,T213))</f>
        <v/>
      </c>
      <c r="G213" s="50">
        <f>IF(Q213="","",INDEX(希望入力!$H$5:$H$554,Q213)&amp;"")</f>
        <v/>
      </c>
      <c r="H213" s="50">
        <f>IF(Q213="","",INDEX(希望入力!$I$5:$I$554,Q213)&amp;"")</f>
        <v/>
      </c>
      <c r="I213" s="50">
        <f>IF(Q213="","",INDEX(希望入力!$J$5:$J$554,Q213)&amp;"")</f>
        <v/>
      </c>
      <c r="J213" s="50">
        <f>IF(Q213="","",IF(G213="転出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)</f>
        <v/>
      </c>
      <c r="K213" s="49" t="n"/>
      <c r="L213" s="56">
        <f>IF(P213="","",IF(G213="転出","",IF(K213&lt;&gt;"",K213,IF(OR(J213="",J213="要調整"),"",J213))))</f>
        <v/>
      </c>
      <c r="M213" s="50">
        <f>IF(P213="","",IF(OR(G213="転出",AND(計算用!$B$1=1,T213="")),"転出",IF(L213&lt;&gt;"","決定",IF(Q213="","未提出","要調整"))))</f>
        <v/>
      </c>
      <c r="N213" s="50">
        <f>IF(OR(M213&lt;&gt;"要調整",H213=""),"",IFERROR((INDEX(設定!$Q$8:$Q$27,MATCH(H213,設定!$P$8:$P$27,0))+N(INDEX(設定!$R$8:$R$27,MATCH(H213,設定!$P$8:$P$27,0))))-INDEX(定員チェック!$I$7:$I$26,MATCH(H213,設定!$P$8:$P$27,0))-COUNTIFS($M$7:$M$456,"要調整",$G$7:$G$456,H213),""))</f>
        <v/>
      </c>
      <c r="O213" s="50">
        <f>IF(OR(M213&lt;&gt;"要調整",I213=""),"",IFERROR((INDEX(設定!$Q$8:$Q$27,MATCH(I213,設定!$P$8:$P$27,0))+N(INDEX(設定!$R$8:$R$27,MATCH(I213,設定!$P$8:$P$27,0))))-INDEX(定員チェック!$I$7:$I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IF(R213="","",IFERROR(MATCH(R213,希望入力!$M$5:$M$554,0),""))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50">
        <f>IF(P214="","",INDEX(前年度名簿!$H$3:$H$452,P214))</f>
        <v/>
      </c>
      <c r="B214" s="50">
        <f>IF(P214="","",IFERROR(INDEX(設定!$G$8:$G$31,INT(INDEX(前年度名簿!$G$3:$G$452,P214)/1000)),INDEX(前年度名簿!$A$3:$A$452,P214)&amp;INDEX(前年度名簿!$B$3:$B$452,P214)))</f>
        <v/>
      </c>
      <c r="C214" s="50">
        <f>IF(P214="","",INDEX(前年度名簿!$C$3:$C$452,P214))</f>
        <v/>
      </c>
      <c r="D214" s="4">
        <f>IF(P214="","",INDEX(前年度名簿!$D$3:$D$452,P214))</f>
        <v/>
      </c>
      <c r="E214" s="50">
        <f>IF(T214="","",INDEX(新年度名簿!$K$3:$K$452,T214))</f>
        <v/>
      </c>
      <c r="F214" s="50">
        <f>IF(T214="","",INDEX(新年度名簿!$C$3:$C$452,T214))</f>
        <v/>
      </c>
      <c r="G214" s="50">
        <f>IF(Q214="","",INDEX(希望入力!$H$5:$H$554,Q214)&amp;"")</f>
        <v/>
      </c>
      <c r="H214" s="50">
        <f>IF(Q214="","",INDEX(希望入力!$I$5:$I$554,Q214)&amp;"")</f>
        <v/>
      </c>
      <c r="I214" s="50">
        <f>IF(Q214="","",INDEX(希望入力!$J$5:$J$554,Q214)&amp;"")</f>
        <v/>
      </c>
      <c r="J214" s="50">
        <f>IF(Q214="","",IF(G214="転出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)</f>
        <v/>
      </c>
      <c r="K214" s="49" t="n"/>
      <c r="L214" s="56">
        <f>IF(P214="","",IF(G214="転出","",IF(K214&lt;&gt;"",K214,IF(OR(J214="",J214="要調整"),"",J214))))</f>
        <v/>
      </c>
      <c r="M214" s="50">
        <f>IF(P214="","",IF(OR(G214="転出",AND(計算用!$B$1=1,T214="")),"転出",IF(L214&lt;&gt;"","決定",IF(Q214="","未提出","要調整"))))</f>
        <v/>
      </c>
      <c r="N214" s="50">
        <f>IF(OR(M214&lt;&gt;"要調整",H214=""),"",IFERROR((INDEX(設定!$Q$8:$Q$27,MATCH(H214,設定!$P$8:$P$27,0))+N(INDEX(設定!$R$8:$R$27,MATCH(H214,設定!$P$8:$P$27,0))))-INDEX(定員チェック!$I$7:$I$26,MATCH(H214,設定!$P$8:$P$27,0))-COUNTIFS($M$7:$M$456,"要調整",$G$7:$G$456,H214),""))</f>
        <v/>
      </c>
      <c r="O214" s="50">
        <f>IF(OR(M214&lt;&gt;"要調整",I214=""),"",IFERROR((INDEX(設定!$Q$8:$Q$27,MATCH(I214,設定!$P$8:$P$27,0))+N(INDEX(設定!$R$8:$R$27,MATCH(I214,設定!$P$8:$P$27,0))))-INDEX(定員チェック!$I$7:$I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IF(R214="","",IFERROR(MATCH(R214,希望入力!$M$5:$M$554,0),""))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50">
        <f>IF(P215="","",INDEX(前年度名簿!$H$3:$H$452,P215))</f>
        <v/>
      </c>
      <c r="B215" s="50">
        <f>IF(P215="","",IFERROR(INDEX(設定!$G$8:$G$31,INT(INDEX(前年度名簿!$G$3:$G$452,P215)/1000)),INDEX(前年度名簿!$A$3:$A$452,P215)&amp;INDEX(前年度名簿!$B$3:$B$452,P215)))</f>
        <v/>
      </c>
      <c r="C215" s="50">
        <f>IF(P215="","",INDEX(前年度名簿!$C$3:$C$452,P215))</f>
        <v/>
      </c>
      <c r="D215" s="4">
        <f>IF(P215="","",INDEX(前年度名簿!$D$3:$D$452,P215))</f>
        <v/>
      </c>
      <c r="E215" s="50">
        <f>IF(T215="","",INDEX(新年度名簿!$K$3:$K$452,T215))</f>
        <v/>
      </c>
      <c r="F215" s="50">
        <f>IF(T215="","",INDEX(新年度名簿!$C$3:$C$452,T215))</f>
        <v/>
      </c>
      <c r="G215" s="50">
        <f>IF(Q215="","",INDEX(希望入力!$H$5:$H$554,Q215)&amp;"")</f>
        <v/>
      </c>
      <c r="H215" s="50">
        <f>IF(Q215="","",INDEX(希望入力!$I$5:$I$554,Q215)&amp;"")</f>
        <v/>
      </c>
      <c r="I215" s="50">
        <f>IF(Q215="","",INDEX(希望入力!$J$5:$J$554,Q215)&amp;"")</f>
        <v/>
      </c>
      <c r="J215" s="50">
        <f>IF(Q215="","",IF(G215="転出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)</f>
        <v/>
      </c>
      <c r="K215" s="49" t="n"/>
      <c r="L215" s="56">
        <f>IF(P215="","",IF(G215="転出","",IF(K215&lt;&gt;"",K215,IF(OR(J215="",J215="要調整"),"",J215))))</f>
        <v/>
      </c>
      <c r="M215" s="50">
        <f>IF(P215="","",IF(OR(G215="転出",AND(計算用!$B$1=1,T215="")),"転出",IF(L215&lt;&gt;"","決定",IF(Q215="","未提出","要調整"))))</f>
        <v/>
      </c>
      <c r="N215" s="50">
        <f>IF(OR(M215&lt;&gt;"要調整",H215=""),"",IFERROR((INDEX(設定!$Q$8:$Q$27,MATCH(H215,設定!$P$8:$P$27,0))+N(INDEX(設定!$R$8:$R$27,MATCH(H215,設定!$P$8:$P$27,0))))-INDEX(定員チェック!$I$7:$I$26,MATCH(H215,設定!$P$8:$P$27,0))-COUNTIFS($M$7:$M$456,"要調整",$G$7:$G$456,H215),""))</f>
        <v/>
      </c>
      <c r="O215" s="50">
        <f>IF(OR(M215&lt;&gt;"要調整",I215=""),"",IFERROR((INDEX(設定!$Q$8:$Q$27,MATCH(I215,設定!$P$8:$P$27,0))+N(INDEX(設定!$R$8:$R$27,MATCH(I215,設定!$P$8:$P$27,0))))-INDEX(定員チェック!$I$7:$I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IF(R215="","",IFERROR(MATCH(R215,希望入力!$M$5:$M$554,0),""))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50">
        <f>IF(P216="","",INDEX(前年度名簿!$H$3:$H$452,P216))</f>
        <v/>
      </c>
      <c r="B216" s="50">
        <f>IF(P216="","",IFERROR(INDEX(設定!$G$8:$G$31,INT(INDEX(前年度名簿!$G$3:$G$452,P216)/1000)),INDEX(前年度名簿!$A$3:$A$452,P216)&amp;INDEX(前年度名簿!$B$3:$B$452,P216)))</f>
        <v/>
      </c>
      <c r="C216" s="50">
        <f>IF(P216="","",INDEX(前年度名簿!$C$3:$C$452,P216))</f>
        <v/>
      </c>
      <c r="D216" s="4">
        <f>IF(P216="","",INDEX(前年度名簿!$D$3:$D$452,P216))</f>
        <v/>
      </c>
      <c r="E216" s="50">
        <f>IF(T216="","",INDEX(新年度名簿!$K$3:$K$452,T216))</f>
        <v/>
      </c>
      <c r="F216" s="50">
        <f>IF(T216="","",INDEX(新年度名簿!$C$3:$C$452,T216))</f>
        <v/>
      </c>
      <c r="G216" s="50">
        <f>IF(Q216="","",INDEX(希望入力!$H$5:$H$554,Q216)&amp;"")</f>
        <v/>
      </c>
      <c r="H216" s="50">
        <f>IF(Q216="","",INDEX(希望入力!$I$5:$I$554,Q216)&amp;"")</f>
        <v/>
      </c>
      <c r="I216" s="50">
        <f>IF(Q216="","",INDEX(希望入力!$J$5:$J$554,Q216)&amp;"")</f>
        <v/>
      </c>
      <c r="J216" s="50">
        <f>IF(Q216="","",IF(G216="転出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)</f>
        <v/>
      </c>
      <c r="K216" s="49" t="n"/>
      <c r="L216" s="56">
        <f>IF(P216="","",IF(G216="転出","",IF(K216&lt;&gt;"",K216,IF(OR(J216="",J216="要調整"),"",J216))))</f>
        <v/>
      </c>
      <c r="M216" s="50">
        <f>IF(P216="","",IF(OR(G216="転出",AND(計算用!$B$1=1,T216="")),"転出",IF(L216&lt;&gt;"","決定",IF(Q216="","未提出","要調整"))))</f>
        <v/>
      </c>
      <c r="N216" s="50">
        <f>IF(OR(M216&lt;&gt;"要調整",H216=""),"",IFERROR((INDEX(設定!$Q$8:$Q$27,MATCH(H216,設定!$P$8:$P$27,0))+N(INDEX(設定!$R$8:$R$27,MATCH(H216,設定!$P$8:$P$27,0))))-INDEX(定員チェック!$I$7:$I$26,MATCH(H216,設定!$P$8:$P$27,0))-COUNTIFS($M$7:$M$456,"要調整",$G$7:$G$456,H216),""))</f>
        <v/>
      </c>
      <c r="O216" s="50">
        <f>IF(OR(M216&lt;&gt;"要調整",I216=""),"",IFERROR((INDEX(設定!$Q$8:$Q$27,MATCH(I216,設定!$P$8:$P$27,0))+N(INDEX(設定!$R$8:$R$27,MATCH(I216,設定!$P$8:$P$27,0))))-INDEX(定員チェック!$I$7:$I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IF(R216="","",IFERROR(MATCH(R216,希望入力!$M$5:$M$554,0),""))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50">
        <f>IF(P217="","",INDEX(前年度名簿!$H$3:$H$452,P217))</f>
        <v/>
      </c>
      <c r="B217" s="50">
        <f>IF(P217="","",IFERROR(INDEX(設定!$G$8:$G$31,INT(INDEX(前年度名簿!$G$3:$G$452,P217)/1000)),INDEX(前年度名簿!$A$3:$A$452,P217)&amp;INDEX(前年度名簿!$B$3:$B$452,P217)))</f>
        <v/>
      </c>
      <c r="C217" s="50">
        <f>IF(P217="","",INDEX(前年度名簿!$C$3:$C$452,P217))</f>
        <v/>
      </c>
      <c r="D217" s="4">
        <f>IF(P217="","",INDEX(前年度名簿!$D$3:$D$452,P217))</f>
        <v/>
      </c>
      <c r="E217" s="50">
        <f>IF(T217="","",INDEX(新年度名簿!$K$3:$K$452,T217))</f>
        <v/>
      </c>
      <c r="F217" s="50">
        <f>IF(T217="","",INDEX(新年度名簿!$C$3:$C$452,T217))</f>
        <v/>
      </c>
      <c r="G217" s="50">
        <f>IF(Q217="","",INDEX(希望入力!$H$5:$H$554,Q217)&amp;"")</f>
        <v/>
      </c>
      <c r="H217" s="50">
        <f>IF(Q217="","",INDEX(希望入力!$I$5:$I$554,Q217)&amp;"")</f>
        <v/>
      </c>
      <c r="I217" s="50">
        <f>IF(Q217="","",INDEX(希望入力!$J$5:$J$554,Q217)&amp;"")</f>
        <v/>
      </c>
      <c r="J217" s="50">
        <f>IF(Q217="","",IF(G217="転出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)</f>
        <v/>
      </c>
      <c r="K217" s="49" t="n"/>
      <c r="L217" s="56">
        <f>IF(P217="","",IF(G217="転出","",IF(K217&lt;&gt;"",K217,IF(OR(J217="",J217="要調整"),"",J217))))</f>
        <v/>
      </c>
      <c r="M217" s="50">
        <f>IF(P217="","",IF(OR(G217="転出",AND(計算用!$B$1=1,T217="")),"転出",IF(L217&lt;&gt;"","決定",IF(Q217="","未提出","要調整"))))</f>
        <v/>
      </c>
      <c r="N217" s="50">
        <f>IF(OR(M217&lt;&gt;"要調整",H217=""),"",IFERROR((INDEX(設定!$Q$8:$Q$27,MATCH(H217,設定!$P$8:$P$27,0))+N(INDEX(設定!$R$8:$R$27,MATCH(H217,設定!$P$8:$P$27,0))))-INDEX(定員チェック!$I$7:$I$26,MATCH(H217,設定!$P$8:$P$27,0))-COUNTIFS($M$7:$M$456,"要調整",$G$7:$G$456,H217),""))</f>
        <v/>
      </c>
      <c r="O217" s="50">
        <f>IF(OR(M217&lt;&gt;"要調整",I217=""),"",IFERROR((INDEX(設定!$Q$8:$Q$27,MATCH(I217,設定!$P$8:$P$27,0))+N(INDEX(設定!$R$8:$R$27,MATCH(I217,設定!$P$8:$P$27,0))))-INDEX(定員チェック!$I$7:$I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IF(R217="","",IFERROR(MATCH(R217,希望入力!$M$5:$M$554,0),""))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50">
        <f>IF(P218="","",INDEX(前年度名簿!$H$3:$H$452,P218))</f>
        <v/>
      </c>
      <c r="B218" s="50">
        <f>IF(P218="","",IFERROR(INDEX(設定!$G$8:$G$31,INT(INDEX(前年度名簿!$G$3:$G$452,P218)/1000)),INDEX(前年度名簿!$A$3:$A$452,P218)&amp;INDEX(前年度名簿!$B$3:$B$452,P218)))</f>
        <v/>
      </c>
      <c r="C218" s="50">
        <f>IF(P218="","",INDEX(前年度名簿!$C$3:$C$452,P218))</f>
        <v/>
      </c>
      <c r="D218" s="4">
        <f>IF(P218="","",INDEX(前年度名簿!$D$3:$D$452,P218))</f>
        <v/>
      </c>
      <c r="E218" s="50">
        <f>IF(T218="","",INDEX(新年度名簿!$K$3:$K$452,T218))</f>
        <v/>
      </c>
      <c r="F218" s="50">
        <f>IF(T218="","",INDEX(新年度名簿!$C$3:$C$452,T218))</f>
        <v/>
      </c>
      <c r="G218" s="50">
        <f>IF(Q218="","",INDEX(希望入力!$H$5:$H$554,Q218)&amp;"")</f>
        <v/>
      </c>
      <c r="H218" s="50">
        <f>IF(Q218="","",INDEX(希望入力!$I$5:$I$554,Q218)&amp;"")</f>
        <v/>
      </c>
      <c r="I218" s="50">
        <f>IF(Q218="","",INDEX(希望入力!$J$5:$J$554,Q218)&amp;"")</f>
        <v/>
      </c>
      <c r="J218" s="50">
        <f>IF(Q218="","",IF(G218="転出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)</f>
        <v/>
      </c>
      <c r="K218" s="49" t="n"/>
      <c r="L218" s="56">
        <f>IF(P218="","",IF(G218="転出","",IF(K218&lt;&gt;"",K218,IF(OR(J218="",J218="要調整"),"",J218))))</f>
        <v/>
      </c>
      <c r="M218" s="50">
        <f>IF(P218="","",IF(OR(G218="転出",AND(計算用!$B$1=1,T218="")),"転出",IF(L218&lt;&gt;"","決定",IF(Q218="","未提出","要調整"))))</f>
        <v/>
      </c>
      <c r="N218" s="50">
        <f>IF(OR(M218&lt;&gt;"要調整",H218=""),"",IFERROR((INDEX(設定!$Q$8:$Q$27,MATCH(H218,設定!$P$8:$P$27,0))+N(INDEX(設定!$R$8:$R$27,MATCH(H218,設定!$P$8:$P$27,0))))-INDEX(定員チェック!$I$7:$I$26,MATCH(H218,設定!$P$8:$P$27,0))-COUNTIFS($M$7:$M$456,"要調整",$G$7:$G$456,H218),""))</f>
        <v/>
      </c>
      <c r="O218" s="50">
        <f>IF(OR(M218&lt;&gt;"要調整",I218=""),"",IFERROR((INDEX(設定!$Q$8:$Q$27,MATCH(I218,設定!$P$8:$P$27,0))+N(INDEX(設定!$R$8:$R$27,MATCH(I218,設定!$P$8:$P$27,0))))-INDEX(定員チェック!$I$7:$I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IF(R218="","",IFERROR(MATCH(R218,希望入力!$M$5:$M$554,0),""))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50">
        <f>IF(P219="","",INDEX(前年度名簿!$H$3:$H$452,P219))</f>
        <v/>
      </c>
      <c r="B219" s="50">
        <f>IF(P219="","",IFERROR(INDEX(設定!$G$8:$G$31,INT(INDEX(前年度名簿!$G$3:$G$452,P219)/1000)),INDEX(前年度名簿!$A$3:$A$452,P219)&amp;INDEX(前年度名簿!$B$3:$B$452,P219)))</f>
        <v/>
      </c>
      <c r="C219" s="50">
        <f>IF(P219="","",INDEX(前年度名簿!$C$3:$C$452,P219))</f>
        <v/>
      </c>
      <c r="D219" s="4">
        <f>IF(P219="","",INDEX(前年度名簿!$D$3:$D$452,P219))</f>
        <v/>
      </c>
      <c r="E219" s="50">
        <f>IF(T219="","",INDEX(新年度名簿!$K$3:$K$452,T219))</f>
        <v/>
      </c>
      <c r="F219" s="50">
        <f>IF(T219="","",INDEX(新年度名簿!$C$3:$C$452,T219))</f>
        <v/>
      </c>
      <c r="G219" s="50">
        <f>IF(Q219="","",INDEX(希望入力!$H$5:$H$554,Q219)&amp;"")</f>
        <v/>
      </c>
      <c r="H219" s="50">
        <f>IF(Q219="","",INDEX(希望入力!$I$5:$I$554,Q219)&amp;"")</f>
        <v/>
      </c>
      <c r="I219" s="50">
        <f>IF(Q219="","",INDEX(希望入力!$J$5:$J$554,Q219)&amp;"")</f>
        <v/>
      </c>
      <c r="J219" s="50">
        <f>IF(Q219="","",IF(G219="転出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)</f>
        <v/>
      </c>
      <c r="K219" s="49" t="n"/>
      <c r="L219" s="56">
        <f>IF(P219="","",IF(G219="転出","",IF(K219&lt;&gt;"",K219,IF(OR(J219="",J219="要調整"),"",J219))))</f>
        <v/>
      </c>
      <c r="M219" s="50">
        <f>IF(P219="","",IF(OR(G219="転出",AND(計算用!$B$1=1,T219="")),"転出",IF(L219&lt;&gt;"","決定",IF(Q219="","未提出","要調整"))))</f>
        <v/>
      </c>
      <c r="N219" s="50">
        <f>IF(OR(M219&lt;&gt;"要調整",H219=""),"",IFERROR((INDEX(設定!$Q$8:$Q$27,MATCH(H219,設定!$P$8:$P$27,0))+N(INDEX(設定!$R$8:$R$27,MATCH(H219,設定!$P$8:$P$27,0))))-INDEX(定員チェック!$I$7:$I$26,MATCH(H219,設定!$P$8:$P$27,0))-COUNTIFS($M$7:$M$456,"要調整",$G$7:$G$456,H219),""))</f>
        <v/>
      </c>
      <c r="O219" s="50">
        <f>IF(OR(M219&lt;&gt;"要調整",I219=""),"",IFERROR((INDEX(設定!$Q$8:$Q$27,MATCH(I219,設定!$P$8:$P$27,0))+N(INDEX(設定!$R$8:$R$27,MATCH(I219,設定!$P$8:$P$27,0))))-INDEX(定員チェック!$I$7:$I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IF(R219="","",IFERROR(MATCH(R219,希望入力!$M$5:$M$554,0),""))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50">
        <f>IF(P220="","",INDEX(前年度名簿!$H$3:$H$452,P220))</f>
        <v/>
      </c>
      <c r="B220" s="50">
        <f>IF(P220="","",IFERROR(INDEX(設定!$G$8:$G$31,INT(INDEX(前年度名簿!$G$3:$G$452,P220)/1000)),INDEX(前年度名簿!$A$3:$A$452,P220)&amp;INDEX(前年度名簿!$B$3:$B$452,P220)))</f>
        <v/>
      </c>
      <c r="C220" s="50">
        <f>IF(P220="","",INDEX(前年度名簿!$C$3:$C$452,P220))</f>
        <v/>
      </c>
      <c r="D220" s="4">
        <f>IF(P220="","",INDEX(前年度名簿!$D$3:$D$452,P220))</f>
        <v/>
      </c>
      <c r="E220" s="50">
        <f>IF(T220="","",INDEX(新年度名簿!$K$3:$K$452,T220))</f>
        <v/>
      </c>
      <c r="F220" s="50">
        <f>IF(T220="","",INDEX(新年度名簿!$C$3:$C$452,T220))</f>
        <v/>
      </c>
      <c r="G220" s="50">
        <f>IF(Q220="","",INDEX(希望入力!$H$5:$H$554,Q220)&amp;"")</f>
        <v/>
      </c>
      <c r="H220" s="50">
        <f>IF(Q220="","",INDEX(希望入力!$I$5:$I$554,Q220)&amp;"")</f>
        <v/>
      </c>
      <c r="I220" s="50">
        <f>IF(Q220="","",INDEX(希望入力!$J$5:$J$554,Q220)&amp;"")</f>
        <v/>
      </c>
      <c r="J220" s="50">
        <f>IF(Q220="","",IF(G220="転出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)</f>
        <v/>
      </c>
      <c r="K220" s="49" t="n"/>
      <c r="L220" s="56">
        <f>IF(P220="","",IF(G220="転出","",IF(K220&lt;&gt;"",K220,IF(OR(J220="",J220="要調整"),"",J220))))</f>
        <v/>
      </c>
      <c r="M220" s="50">
        <f>IF(P220="","",IF(OR(G220="転出",AND(計算用!$B$1=1,T220="")),"転出",IF(L220&lt;&gt;"","決定",IF(Q220="","未提出","要調整"))))</f>
        <v/>
      </c>
      <c r="N220" s="50">
        <f>IF(OR(M220&lt;&gt;"要調整",H220=""),"",IFERROR((INDEX(設定!$Q$8:$Q$27,MATCH(H220,設定!$P$8:$P$27,0))+N(INDEX(設定!$R$8:$R$27,MATCH(H220,設定!$P$8:$P$27,0))))-INDEX(定員チェック!$I$7:$I$26,MATCH(H220,設定!$P$8:$P$27,0))-COUNTIFS($M$7:$M$456,"要調整",$G$7:$G$456,H220),""))</f>
        <v/>
      </c>
      <c r="O220" s="50">
        <f>IF(OR(M220&lt;&gt;"要調整",I220=""),"",IFERROR((INDEX(設定!$Q$8:$Q$27,MATCH(I220,設定!$P$8:$P$27,0))+N(INDEX(設定!$R$8:$R$27,MATCH(I220,設定!$P$8:$P$27,0))))-INDEX(定員チェック!$I$7:$I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IF(R220="","",IFERROR(MATCH(R220,希望入力!$M$5:$M$554,0),""))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50">
        <f>IF(P221="","",INDEX(前年度名簿!$H$3:$H$452,P221))</f>
        <v/>
      </c>
      <c r="B221" s="50">
        <f>IF(P221="","",IFERROR(INDEX(設定!$G$8:$G$31,INT(INDEX(前年度名簿!$G$3:$G$452,P221)/1000)),INDEX(前年度名簿!$A$3:$A$452,P221)&amp;INDEX(前年度名簿!$B$3:$B$452,P221)))</f>
        <v/>
      </c>
      <c r="C221" s="50">
        <f>IF(P221="","",INDEX(前年度名簿!$C$3:$C$452,P221))</f>
        <v/>
      </c>
      <c r="D221" s="4">
        <f>IF(P221="","",INDEX(前年度名簿!$D$3:$D$452,P221))</f>
        <v/>
      </c>
      <c r="E221" s="50">
        <f>IF(T221="","",INDEX(新年度名簿!$K$3:$K$452,T221))</f>
        <v/>
      </c>
      <c r="F221" s="50">
        <f>IF(T221="","",INDEX(新年度名簿!$C$3:$C$452,T221))</f>
        <v/>
      </c>
      <c r="G221" s="50">
        <f>IF(Q221="","",INDEX(希望入力!$H$5:$H$554,Q221)&amp;"")</f>
        <v/>
      </c>
      <c r="H221" s="50">
        <f>IF(Q221="","",INDEX(希望入力!$I$5:$I$554,Q221)&amp;"")</f>
        <v/>
      </c>
      <c r="I221" s="50">
        <f>IF(Q221="","",INDEX(希望入力!$J$5:$J$554,Q221)&amp;"")</f>
        <v/>
      </c>
      <c r="J221" s="50">
        <f>IF(Q221="","",IF(G221="転出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)</f>
        <v/>
      </c>
      <c r="K221" s="49" t="n"/>
      <c r="L221" s="56">
        <f>IF(P221="","",IF(G221="転出","",IF(K221&lt;&gt;"",K221,IF(OR(J221="",J221="要調整"),"",J221))))</f>
        <v/>
      </c>
      <c r="M221" s="50">
        <f>IF(P221="","",IF(OR(G221="転出",AND(計算用!$B$1=1,T221="")),"転出",IF(L221&lt;&gt;"","決定",IF(Q221="","未提出","要調整"))))</f>
        <v/>
      </c>
      <c r="N221" s="50">
        <f>IF(OR(M221&lt;&gt;"要調整",H221=""),"",IFERROR((INDEX(設定!$Q$8:$Q$27,MATCH(H221,設定!$P$8:$P$27,0))+N(INDEX(設定!$R$8:$R$27,MATCH(H221,設定!$P$8:$P$27,0))))-INDEX(定員チェック!$I$7:$I$26,MATCH(H221,設定!$P$8:$P$27,0))-COUNTIFS($M$7:$M$456,"要調整",$G$7:$G$456,H221),""))</f>
        <v/>
      </c>
      <c r="O221" s="50">
        <f>IF(OR(M221&lt;&gt;"要調整",I221=""),"",IFERROR((INDEX(設定!$Q$8:$Q$27,MATCH(I221,設定!$P$8:$P$27,0))+N(INDEX(設定!$R$8:$R$27,MATCH(I221,設定!$P$8:$P$27,0))))-INDEX(定員チェック!$I$7:$I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IF(R221="","",IFERROR(MATCH(R221,希望入力!$M$5:$M$554,0),""))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50">
        <f>IF(P222="","",INDEX(前年度名簿!$H$3:$H$452,P222))</f>
        <v/>
      </c>
      <c r="B222" s="50">
        <f>IF(P222="","",IFERROR(INDEX(設定!$G$8:$G$31,INT(INDEX(前年度名簿!$G$3:$G$452,P222)/1000)),INDEX(前年度名簿!$A$3:$A$452,P222)&amp;INDEX(前年度名簿!$B$3:$B$452,P222)))</f>
        <v/>
      </c>
      <c r="C222" s="50">
        <f>IF(P222="","",INDEX(前年度名簿!$C$3:$C$452,P222))</f>
        <v/>
      </c>
      <c r="D222" s="4">
        <f>IF(P222="","",INDEX(前年度名簿!$D$3:$D$452,P222))</f>
        <v/>
      </c>
      <c r="E222" s="50">
        <f>IF(T222="","",INDEX(新年度名簿!$K$3:$K$452,T222))</f>
        <v/>
      </c>
      <c r="F222" s="50">
        <f>IF(T222="","",INDEX(新年度名簿!$C$3:$C$452,T222))</f>
        <v/>
      </c>
      <c r="G222" s="50">
        <f>IF(Q222="","",INDEX(希望入力!$H$5:$H$554,Q222)&amp;"")</f>
        <v/>
      </c>
      <c r="H222" s="50">
        <f>IF(Q222="","",INDEX(希望入力!$I$5:$I$554,Q222)&amp;"")</f>
        <v/>
      </c>
      <c r="I222" s="50">
        <f>IF(Q222="","",INDEX(希望入力!$J$5:$J$554,Q222)&amp;"")</f>
        <v/>
      </c>
      <c r="J222" s="50">
        <f>IF(Q222="","",IF(G222="転出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)</f>
        <v/>
      </c>
      <c r="K222" s="49" t="n"/>
      <c r="L222" s="56">
        <f>IF(P222="","",IF(G222="転出","",IF(K222&lt;&gt;"",K222,IF(OR(J222="",J222="要調整"),"",J222))))</f>
        <v/>
      </c>
      <c r="M222" s="50">
        <f>IF(P222="","",IF(OR(G222="転出",AND(計算用!$B$1=1,T222="")),"転出",IF(L222&lt;&gt;"","決定",IF(Q222="","未提出","要調整"))))</f>
        <v/>
      </c>
      <c r="N222" s="50">
        <f>IF(OR(M222&lt;&gt;"要調整",H222=""),"",IFERROR((INDEX(設定!$Q$8:$Q$27,MATCH(H222,設定!$P$8:$P$27,0))+N(INDEX(設定!$R$8:$R$27,MATCH(H222,設定!$P$8:$P$27,0))))-INDEX(定員チェック!$I$7:$I$26,MATCH(H222,設定!$P$8:$P$27,0))-COUNTIFS($M$7:$M$456,"要調整",$G$7:$G$456,H222),""))</f>
        <v/>
      </c>
      <c r="O222" s="50">
        <f>IF(OR(M222&lt;&gt;"要調整",I222=""),"",IFERROR((INDEX(設定!$Q$8:$Q$27,MATCH(I222,設定!$P$8:$P$27,0))+N(INDEX(設定!$R$8:$R$27,MATCH(I222,設定!$P$8:$P$27,0))))-INDEX(定員チェック!$I$7:$I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IF(R222="","",IFERROR(MATCH(R222,希望入力!$M$5:$M$554,0),""))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50">
        <f>IF(P223="","",INDEX(前年度名簿!$H$3:$H$452,P223))</f>
        <v/>
      </c>
      <c r="B223" s="50">
        <f>IF(P223="","",IFERROR(INDEX(設定!$G$8:$G$31,INT(INDEX(前年度名簿!$G$3:$G$452,P223)/1000)),INDEX(前年度名簿!$A$3:$A$452,P223)&amp;INDEX(前年度名簿!$B$3:$B$452,P223)))</f>
        <v/>
      </c>
      <c r="C223" s="50">
        <f>IF(P223="","",INDEX(前年度名簿!$C$3:$C$452,P223))</f>
        <v/>
      </c>
      <c r="D223" s="4">
        <f>IF(P223="","",INDEX(前年度名簿!$D$3:$D$452,P223))</f>
        <v/>
      </c>
      <c r="E223" s="50">
        <f>IF(T223="","",INDEX(新年度名簿!$K$3:$K$452,T223))</f>
        <v/>
      </c>
      <c r="F223" s="50">
        <f>IF(T223="","",INDEX(新年度名簿!$C$3:$C$452,T223))</f>
        <v/>
      </c>
      <c r="G223" s="50">
        <f>IF(Q223="","",INDEX(希望入力!$H$5:$H$554,Q223)&amp;"")</f>
        <v/>
      </c>
      <c r="H223" s="50">
        <f>IF(Q223="","",INDEX(希望入力!$I$5:$I$554,Q223)&amp;"")</f>
        <v/>
      </c>
      <c r="I223" s="50">
        <f>IF(Q223="","",INDEX(希望入力!$J$5:$J$554,Q223)&amp;"")</f>
        <v/>
      </c>
      <c r="J223" s="50">
        <f>IF(Q223="","",IF(G223="転出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)</f>
        <v/>
      </c>
      <c r="K223" s="49" t="n"/>
      <c r="L223" s="56">
        <f>IF(P223="","",IF(G223="転出","",IF(K223&lt;&gt;"",K223,IF(OR(J223="",J223="要調整"),"",J223))))</f>
        <v/>
      </c>
      <c r="M223" s="50">
        <f>IF(P223="","",IF(OR(G223="転出",AND(計算用!$B$1=1,T223="")),"転出",IF(L223&lt;&gt;"","決定",IF(Q223="","未提出","要調整"))))</f>
        <v/>
      </c>
      <c r="N223" s="50">
        <f>IF(OR(M223&lt;&gt;"要調整",H223=""),"",IFERROR((INDEX(設定!$Q$8:$Q$27,MATCH(H223,設定!$P$8:$P$27,0))+N(INDEX(設定!$R$8:$R$27,MATCH(H223,設定!$P$8:$P$27,0))))-INDEX(定員チェック!$I$7:$I$26,MATCH(H223,設定!$P$8:$P$27,0))-COUNTIFS($M$7:$M$456,"要調整",$G$7:$G$456,H223),""))</f>
        <v/>
      </c>
      <c r="O223" s="50">
        <f>IF(OR(M223&lt;&gt;"要調整",I223=""),"",IFERROR((INDEX(設定!$Q$8:$Q$27,MATCH(I223,設定!$P$8:$P$27,0))+N(INDEX(設定!$R$8:$R$27,MATCH(I223,設定!$P$8:$P$27,0))))-INDEX(定員チェック!$I$7:$I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IF(R223="","",IFERROR(MATCH(R223,希望入力!$M$5:$M$554,0),""))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50">
        <f>IF(P224="","",INDEX(前年度名簿!$H$3:$H$452,P224))</f>
        <v/>
      </c>
      <c r="B224" s="50">
        <f>IF(P224="","",IFERROR(INDEX(設定!$G$8:$G$31,INT(INDEX(前年度名簿!$G$3:$G$452,P224)/1000)),INDEX(前年度名簿!$A$3:$A$452,P224)&amp;INDEX(前年度名簿!$B$3:$B$452,P224)))</f>
        <v/>
      </c>
      <c r="C224" s="50">
        <f>IF(P224="","",INDEX(前年度名簿!$C$3:$C$452,P224))</f>
        <v/>
      </c>
      <c r="D224" s="4">
        <f>IF(P224="","",INDEX(前年度名簿!$D$3:$D$452,P224))</f>
        <v/>
      </c>
      <c r="E224" s="50">
        <f>IF(T224="","",INDEX(新年度名簿!$K$3:$K$452,T224))</f>
        <v/>
      </c>
      <c r="F224" s="50">
        <f>IF(T224="","",INDEX(新年度名簿!$C$3:$C$452,T224))</f>
        <v/>
      </c>
      <c r="G224" s="50">
        <f>IF(Q224="","",INDEX(希望入力!$H$5:$H$554,Q224)&amp;"")</f>
        <v/>
      </c>
      <c r="H224" s="50">
        <f>IF(Q224="","",INDEX(希望入力!$I$5:$I$554,Q224)&amp;"")</f>
        <v/>
      </c>
      <c r="I224" s="50">
        <f>IF(Q224="","",INDEX(希望入力!$J$5:$J$554,Q224)&amp;"")</f>
        <v/>
      </c>
      <c r="J224" s="50">
        <f>IF(Q224="","",IF(G224="転出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)</f>
        <v/>
      </c>
      <c r="K224" s="49" t="n"/>
      <c r="L224" s="56">
        <f>IF(P224="","",IF(G224="転出","",IF(K224&lt;&gt;"",K224,IF(OR(J224="",J224="要調整"),"",J224))))</f>
        <v/>
      </c>
      <c r="M224" s="50">
        <f>IF(P224="","",IF(OR(G224="転出",AND(計算用!$B$1=1,T224="")),"転出",IF(L224&lt;&gt;"","決定",IF(Q224="","未提出","要調整"))))</f>
        <v/>
      </c>
      <c r="N224" s="50">
        <f>IF(OR(M224&lt;&gt;"要調整",H224=""),"",IFERROR((INDEX(設定!$Q$8:$Q$27,MATCH(H224,設定!$P$8:$P$27,0))+N(INDEX(設定!$R$8:$R$27,MATCH(H224,設定!$P$8:$P$27,0))))-INDEX(定員チェック!$I$7:$I$26,MATCH(H224,設定!$P$8:$P$27,0))-COUNTIFS($M$7:$M$456,"要調整",$G$7:$G$456,H224),""))</f>
        <v/>
      </c>
      <c r="O224" s="50">
        <f>IF(OR(M224&lt;&gt;"要調整",I224=""),"",IFERROR((INDEX(設定!$Q$8:$Q$27,MATCH(I224,設定!$P$8:$P$27,0))+N(INDEX(設定!$R$8:$R$27,MATCH(I224,設定!$P$8:$P$27,0))))-INDEX(定員チェック!$I$7:$I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IF(R224="","",IFERROR(MATCH(R224,希望入力!$M$5:$M$554,0),""))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50">
        <f>IF(P225="","",INDEX(前年度名簿!$H$3:$H$452,P225))</f>
        <v/>
      </c>
      <c r="B225" s="50">
        <f>IF(P225="","",IFERROR(INDEX(設定!$G$8:$G$31,INT(INDEX(前年度名簿!$G$3:$G$452,P225)/1000)),INDEX(前年度名簿!$A$3:$A$452,P225)&amp;INDEX(前年度名簿!$B$3:$B$452,P225)))</f>
        <v/>
      </c>
      <c r="C225" s="50">
        <f>IF(P225="","",INDEX(前年度名簿!$C$3:$C$452,P225))</f>
        <v/>
      </c>
      <c r="D225" s="4">
        <f>IF(P225="","",INDEX(前年度名簿!$D$3:$D$452,P225))</f>
        <v/>
      </c>
      <c r="E225" s="50">
        <f>IF(T225="","",INDEX(新年度名簿!$K$3:$K$452,T225))</f>
        <v/>
      </c>
      <c r="F225" s="50">
        <f>IF(T225="","",INDEX(新年度名簿!$C$3:$C$452,T225))</f>
        <v/>
      </c>
      <c r="G225" s="50">
        <f>IF(Q225="","",INDEX(希望入力!$H$5:$H$554,Q225)&amp;"")</f>
        <v/>
      </c>
      <c r="H225" s="50">
        <f>IF(Q225="","",INDEX(希望入力!$I$5:$I$554,Q225)&amp;"")</f>
        <v/>
      </c>
      <c r="I225" s="50">
        <f>IF(Q225="","",INDEX(希望入力!$J$5:$J$554,Q225)&amp;"")</f>
        <v/>
      </c>
      <c r="J225" s="50">
        <f>IF(Q225="","",IF(G225="転出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)</f>
        <v/>
      </c>
      <c r="K225" s="49" t="n"/>
      <c r="L225" s="56">
        <f>IF(P225="","",IF(G225="転出","",IF(K225&lt;&gt;"",K225,IF(OR(J225="",J225="要調整"),"",J225))))</f>
        <v/>
      </c>
      <c r="M225" s="50">
        <f>IF(P225="","",IF(OR(G225="転出",AND(計算用!$B$1=1,T225="")),"転出",IF(L225&lt;&gt;"","決定",IF(Q225="","未提出","要調整"))))</f>
        <v/>
      </c>
      <c r="N225" s="50">
        <f>IF(OR(M225&lt;&gt;"要調整",H225=""),"",IFERROR((INDEX(設定!$Q$8:$Q$27,MATCH(H225,設定!$P$8:$P$27,0))+N(INDEX(設定!$R$8:$R$27,MATCH(H225,設定!$P$8:$P$27,0))))-INDEX(定員チェック!$I$7:$I$26,MATCH(H225,設定!$P$8:$P$27,0))-COUNTIFS($M$7:$M$456,"要調整",$G$7:$G$456,H225),""))</f>
        <v/>
      </c>
      <c r="O225" s="50">
        <f>IF(OR(M225&lt;&gt;"要調整",I225=""),"",IFERROR((INDEX(設定!$Q$8:$Q$27,MATCH(I225,設定!$P$8:$P$27,0))+N(INDEX(設定!$R$8:$R$27,MATCH(I225,設定!$P$8:$P$27,0))))-INDEX(定員チェック!$I$7:$I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IF(R225="","",IFERROR(MATCH(R225,希望入力!$M$5:$M$554,0),""))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50">
        <f>IF(P226="","",INDEX(前年度名簿!$H$3:$H$452,P226))</f>
        <v/>
      </c>
      <c r="B226" s="50">
        <f>IF(P226="","",IFERROR(INDEX(設定!$G$8:$G$31,INT(INDEX(前年度名簿!$G$3:$G$452,P226)/1000)),INDEX(前年度名簿!$A$3:$A$452,P226)&amp;INDEX(前年度名簿!$B$3:$B$452,P226)))</f>
        <v/>
      </c>
      <c r="C226" s="50">
        <f>IF(P226="","",INDEX(前年度名簿!$C$3:$C$452,P226))</f>
        <v/>
      </c>
      <c r="D226" s="4">
        <f>IF(P226="","",INDEX(前年度名簿!$D$3:$D$452,P226))</f>
        <v/>
      </c>
      <c r="E226" s="50">
        <f>IF(T226="","",INDEX(新年度名簿!$K$3:$K$452,T226))</f>
        <v/>
      </c>
      <c r="F226" s="50">
        <f>IF(T226="","",INDEX(新年度名簿!$C$3:$C$452,T226))</f>
        <v/>
      </c>
      <c r="G226" s="50">
        <f>IF(Q226="","",INDEX(希望入力!$H$5:$H$554,Q226)&amp;"")</f>
        <v/>
      </c>
      <c r="H226" s="50">
        <f>IF(Q226="","",INDEX(希望入力!$I$5:$I$554,Q226)&amp;"")</f>
        <v/>
      </c>
      <c r="I226" s="50">
        <f>IF(Q226="","",INDEX(希望入力!$J$5:$J$554,Q226)&amp;"")</f>
        <v/>
      </c>
      <c r="J226" s="50">
        <f>IF(Q226="","",IF(G226="転出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)</f>
        <v/>
      </c>
      <c r="K226" s="49" t="n"/>
      <c r="L226" s="56">
        <f>IF(P226="","",IF(G226="転出","",IF(K226&lt;&gt;"",K226,IF(OR(J226="",J226="要調整"),"",J226))))</f>
        <v/>
      </c>
      <c r="M226" s="50">
        <f>IF(P226="","",IF(OR(G226="転出",AND(計算用!$B$1=1,T226="")),"転出",IF(L226&lt;&gt;"","決定",IF(Q226="","未提出","要調整"))))</f>
        <v/>
      </c>
      <c r="N226" s="50">
        <f>IF(OR(M226&lt;&gt;"要調整",H226=""),"",IFERROR((INDEX(設定!$Q$8:$Q$27,MATCH(H226,設定!$P$8:$P$27,0))+N(INDEX(設定!$R$8:$R$27,MATCH(H226,設定!$P$8:$P$27,0))))-INDEX(定員チェック!$I$7:$I$26,MATCH(H226,設定!$P$8:$P$27,0))-COUNTIFS($M$7:$M$456,"要調整",$G$7:$G$456,H226),""))</f>
        <v/>
      </c>
      <c r="O226" s="50">
        <f>IF(OR(M226&lt;&gt;"要調整",I226=""),"",IFERROR((INDEX(設定!$Q$8:$Q$27,MATCH(I226,設定!$P$8:$P$27,0))+N(INDEX(設定!$R$8:$R$27,MATCH(I226,設定!$P$8:$P$27,0))))-INDEX(定員チェック!$I$7:$I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IF(R226="","",IFERROR(MATCH(R226,希望入力!$M$5:$M$554,0),""))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50">
        <f>IF(P227="","",INDEX(前年度名簿!$H$3:$H$452,P227))</f>
        <v/>
      </c>
      <c r="B227" s="50">
        <f>IF(P227="","",IFERROR(INDEX(設定!$G$8:$G$31,INT(INDEX(前年度名簿!$G$3:$G$452,P227)/1000)),INDEX(前年度名簿!$A$3:$A$452,P227)&amp;INDEX(前年度名簿!$B$3:$B$452,P227)))</f>
        <v/>
      </c>
      <c r="C227" s="50">
        <f>IF(P227="","",INDEX(前年度名簿!$C$3:$C$452,P227))</f>
        <v/>
      </c>
      <c r="D227" s="4">
        <f>IF(P227="","",INDEX(前年度名簿!$D$3:$D$452,P227))</f>
        <v/>
      </c>
      <c r="E227" s="50">
        <f>IF(T227="","",INDEX(新年度名簿!$K$3:$K$452,T227))</f>
        <v/>
      </c>
      <c r="F227" s="50">
        <f>IF(T227="","",INDEX(新年度名簿!$C$3:$C$452,T227))</f>
        <v/>
      </c>
      <c r="G227" s="50">
        <f>IF(Q227="","",INDEX(希望入力!$H$5:$H$554,Q227)&amp;"")</f>
        <v/>
      </c>
      <c r="H227" s="50">
        <f>IF(Q227="","",INDEX(希望入力!$I$5:$I$554,Q227)&amp;"")</f>
        <v/>
      </c>
      <c r="I227" s="50">
        <f>IF(Q227="","",INDEX(希望入力!$J$5:$J$554,Q227)&amp;"")</f>
        <v/>
      </c>
      <c r="J227" s="50">
        <f>IF(Q227="","",IF(G227="転出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)</f>
        <v/>
      </c>
      <c r="K227" s="49" t="n"/>
      <c r="L227" s="56">
        <f>IF(P227="","",IF(G227="転出","",IF(K227&lt;&gt;"",K227,IF(OR(J227="",J227="要調整"),"",J227))))</f>
        <v/>
      </c>
      <c r="M227" s="50">
        <f>IF(P227="","",IF(OR(G227="転出",AND(計算用!$B$1=1,T227="")),"転出",IF(L227&lt;&gt;"","決定",IF(Q227="","未提出","要調整"))))</f>
        <v/>
      </c>
      <c r="N227" s="50">
        <f>IF(OR(M227&lt;&gt;"要調整",H227=""),"",IFERROR((INDEX(設定!$Q$8:$Q$27,MATCH(H227,設定!$P$8:$P$27,0))+N(INDEX(設定!$R$8:$R$27,MATCH(H227,設定!$P$8:$P$27,0))))-INDEX(定員チェック!$I$7:$I$26,MATCH(H227,設定!$P$8:$P$27,0))-COUNTIFS($M$7:$M$456,"要調整",$G$7:$G$456,H227),""))</f>
        <v/>
      </c>
      <c r="O227" s="50">
        <f>IF(OR(M227&lt;&gt;"要調整",I227=""),"",IFERROR((INDEX(設定!$Q$8:$Q$27,MATCH(I227,設定!$P$8:$P$27,0))+N(INDEX(設定!$R$8:$R$27,MATCH(I227,設定!$P$8:$P$27,0))))-INDEX(定員チェック!$I$7:$I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IF(R227="","",IFERROR(MATCH(R227,希望入力!$M$5:$M$554,0),""))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50">
        <f>IF(P228="","",INDEX(前年度名簿!$H$3:$H$452,P228))</f>
        <v/>
      </c>
      <c r="B228" s="50">
        <f>IF(P228="","",IFERROR(INDEX(設定!$G$8:$G$31,INT(INDEX(前年度名簿!$G$3:$G$452,P228)/1000)),INDEX(前年度名簿!$A$3:$A$452,P228)&amp;INDEX(前年度名簿!$B$3:$B$452,P228)))</f>
        <v/>
      </c>
      <c r="C228" s="50">
        <f>IF(P228="","",INDEX(前年度名簿!$C$3:$C$452,P228))</f>
        <v/>
      </c>
      <c r="D228" s="4">
        <f>IF(P228="","",INDEX(前年度名簿!$D$3:$D$452,P228))</f>
        <v/>
      </c>
      <c r="E228" s="50">
        <f>IF(T228="","",INDEX(新年度名簿!$K$3:$K$452,T228))</f>
        <v/>
      </c>
      <c r="F228" s="50">
        <f>IF(T228="","",INDEX(新年度名簿!$C$3:$C$452,T228))</f>
        <v/>
      </c>
      <c r="G228" s="50">
        <f>IF(Q228="","",INDEX(希望入力!$H$5:$H$554,Q228)&amp;"")</f>
        <v/>
      </c>
      <c r="H228" s="50">
        <f>IF(Q228="","",INDEX(希望入力!$I$5:$I$554,Q228)&amp;"")</f>
        <v/>
      </c>
      <c r="I228" s="50">
        <f>IF(Q228="","",INDEX(希望入力!$J$5:$J$554,Q228)&amp;"")</f>
        <v/>
      </c>
      <c r="J228" s="50">
        <f>IF(Q228="","",IF(G228="転出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)</f>
        <v/>
      </c>
      <c r="K228" s="49" t="n"/>
      <c r="L228" s="56">
        <f>IF(P228="","",IF(G228="転出","",IF(K228&lt;&gt;"",K228,IF(OR(J228="",J228="要調整"),"",J228))))</f>
        <v/>
      </c>
      <c r="M228" s="50">
        <f>IF(P228="","",IF(OR(G228="転出",AND(計算用!$B$1=1,T228="")),"転出",IF(L228&lt;&gt;"","決定",IF(Q228="","未提出","要調整"))))</f>
        <v/>
      </c>
      <c r="N228" s="50">
        <f>IF(OR(M228&lt;&gt;"要調整",H228=""),"",IFERROR((INDEX(設定!$Q$8:$Q$27,MATCH(H228,設定!$P$8:$P$27,0))+N(INDEX(設定!$R$8:$R$27,MATCH(H228,設定!$P$8:$P$27,0))))-INDEX(定員チェック!$I$7:$I$26,MATCH(H228,設定!$P$8:$P$27,0))-COUNTIFS($M$7:$M$456,"要調整",$G$7:$G$456,H228),""))</f>
        <v/>
      </c>
      <c r="O228" s="50">
        <f>IF(OR(M228&lt;&gt;"要調整",I228=""),"",IFERROR((INDEX(設定!$Q$8:$Q$27,MATCH(I228,設定!$P$8:$P$27,0))+N(INDEX(設定!$R$8:$R$27,MATCH(I228,設定!$P$8:$P$27,0))))-INDEX(定員チェック!$I$7:$I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IF(R228="","",IFERROR(MATCH(R228,希望入力!$M$5:$M$554,0),""))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50">
        <f>IF(P229="","",INDEX(前年度名簿!$H$3:$H$452,P229))</f>
        <v/>
      </c>
      <c r="B229" s="50">
        <f>IF(P229="","",IFERROR(INDEX(設定!$G$8:$G$31,INT(INDEX(前年度名簿!$G$3:$G$452,P229)/1000)),INDEX(前年度名簿!$A$3:$A$452,P229)&amp;INDEX(前年度名簿!$B$3:$B$452,P229)))</f>
        <v/>
      </c>
      <c r="C229" s="50">
        <f>IF(P229="","",INDEX(前年度名簿!$C$3:$C$452,P229))</f>
        <v/>
      </c>
      <c r="D229" s="4">
        <f>IF(P229="","",INDEX(前年度名簿!$D$3:$D$452,P229))</f>
        <v/>
      </c>
      <c r="E229" s="50">
        <f>IF(T229="","",INDEX(新年度名簿!$K$3:$K$452,T229))</f>
        <v/>
      </c>
      <c r="F229" s="50">
        <f>IF(T229="","",INDEX(新年度名簿!$C$3:$C$452,T229))</f>
        <v/>
      </c>
      <c r="G229" s="50">
        <f>IF(Q229="","",INDEX(希望入力!$H$5:$H$554,Q229)&amp;"")</f>
        <v/>
      </c>
      <c r="H229" s="50">
        <f>IF(Q229="","",INDEX(希望入力!$I$5:$I$554,Q229)&amp;"")</f>
        <v/>
      </c>
      <c r="I229" s="50">
        <f>IF(Q229="","",INDEX(希望入力!$J$5:$J$554,Q229)&amp;"")</f>
        <v/>
      </c>
      <c r="J229" s="50">
        <f>IF(Q229="","",IF(G229="転出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)</f>
        <v/>
      </c>
      <c r="K229" s="49" t="n"/>
      <c r="L229" s="56">
        <f>IF(P229="","",IF(G229="転出","",IF(K229&lt;&gt;"",K229,IF(OR(J229="",J229="要調整"),"",J229))))</f>
        <v/>
      </c>
      <c r="M229" s="50">
        <f>IF(P229="","",IF(OR(G229="転出",AND(計算用!$B$1=1,T229="")),"転出",IF(L229&lt;&gt;"","決定",IF(Q229="","未提出","要調整"))))</f>
        <v/>
      </c>
      <c r="N229" s="50">
        <f>IF(OR(M229&lt;&gt;"要調整",H229=""),"",IFERROR((INDEX(設定!$Q$8:$Q$27,MATCH(H229,設定!$P$8:$P$27,0))+N(INDEX(設定!$R$8:$R$27,MATCH(H229,設定!$P$8:$P$27,0))))-INDEX(定員チェック!$I$7:$I$26,MATCH(H229,設定!$P$8:$P$27,0))-COUNTIFS($M$7:$M$456,"要調整",$G$7:$G$456,H229),""))</f>
        <v/>
      </c>
      <c r="O229" s="50">
        <f>IF(OR(M229&lt;&gt;"要調整",I229=""),"",IFERROR((INDEX(設定!$Q$8:$Q$27,MATCH(I229,設定!$P$8:$P$27,0))+N(INDEX(設定!$R$8:$R$27,MATCH(I229,設定!$P$8:$P$27,0))))-INDEX(定員チェック!$I$7:$I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IF(R229="","",IFERROR(MATCH(R229,希望入力!$M$5:$M$554,0),""))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50">
        <f>IF(P230="","",INDEX(前年度名簿!$H$3:$H$452,P230))</f>
        <v/>
      </c>
      <c r="B230" s="50">
        <f>IF(P230="","",IFERROR(INDEX(設定!$G$8:$G$31,INT(INDEX(前年度名簿!$G$3:$G$452,P230)/1000)),INDEX(前年度名簿!$A$3:$A$452,P230)&amp;INDEX(前年度名簿!$B$3:$B$452,P230)))</f>
        <v/>
      </c>
      <c r="C230" s="50">
        <f>IF(P230="","",INDEX(前年度名簿!$C$3:$C$452,P230))</f>
        <v/>
      </c>
      <c r="D230" s="4">
        <f>IF(P230="","",INDEX(前年度名簿!$D$3:$D$452,P230))</f>
        <v/>
      </c>
      <c r="E230" s="50">
        <f>IF(T230="","",INDEX(新年度名簿!$K$3:$K$452,T230))</f>
        <v/>
      </c>
      <c r="F230" s="50">
        <f>IF(T230="","",INDEX(新年度名簿!$C$3:$C$452,T230))</f>
        <v/>
      </c>
      <c r="G230" s="50">
        <f>IF(Q230="","",INDEX(希望入力!$H$5:$H$554,Q230)&amp;"")</f>
        <v/>
      </c>
      <c r="H230" s="50">
        <f>IF(Q230="","",INDEX(希望入力!$I$5:$I$554,Q230)&amp;"")</f>
        <v/>
      </c>
      <c r="I230" s="50">
        <f>IF(Q230="","",INDEX(希望入力!$J$5:$J$554,Q230)&amp;"")</f>
        <v/>
      </c>
      <c r="J230" s="50">
        <f>IF(Q230="","",IF(G230="転出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)</f>
        <v/>
      </c>
      <c r="K230" s="49" t="n"/>
      <c r="L230" s="56">
        <f>IF(P230="","",IF(G230="転出","",IF(K230&lt;&gt;"",K230,IF(OR(J230="",J230="要調整"),"",J230))))</f>
        <v/>
      </c>
      <c r="M230" s="50">
        <f>IF(P230="","",IF(OR(G230="転出",AND(計算用!$B$1=1,T230="")),"転出",IF(L230&lt;&gt;"","決定",IF(Q230="","未提出","要調整"))))</f>
        <v/>
      </c>
      <c r="N230" s="50">
        <f>IF(OR(M230&lt;&gt;"要調整",H230=""),"",IFERROR((INDEX(設定!$Q$8:$Q$27,MATCH(H230,設定!$P$8:$P$27,0))+N(INDEX(設定!$R$8:$R$27,MATCH(H230,設定!$P$8:$P$27,0))))-INDEX(定員チェック!$I$7:$I$26,MATCH(H230,設定!$P$8:$P$27,0))-COUNTIFS($M$7:$M$456,"要調整",$G$7:$G$456,H230),""))</f>
        <v/>
      </c>
      <c r="O230" s="50">
        <f>IF(OR(M230&lt;&gt;"要調整",I230=""),"",IFERROR((INDEX(設定!$Q$8:$Q$27,MATCH(I230,設定!$P$8:$P$27,0))+N(INDEX(設定!$R$8:$R$27,MATCH(I230,設定!$P$8:$P$27,0))))-INDEX(定員チェック!$I$7:$I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IF(R230="","",IFERROR(MATCH(R230,希望入力!$M$5:$M$554,0),""))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50">
        <f>IF(P231="","",INDEX(前年度名簿!$H$3:$H$452,P231))</f>
        <v/>
      </c>
      <c r="B231" s="50">
        <f>IF(P231="","",IFERROR(INDEX(設定!$G$8:$G$31,INT(INDEX(前年度名簿!$G$3:$G$452,P231)/1000)),INDEX(前年度名簿!$A$3:$A$452,P231)&amp;INDEX(前年度名簿!$B$3:$B$452,P231)))</f>
        <v/>
      </c>
      <c r="C231" s="50">
        <f>IF(P231="","",INDEX(前年度名簿!$C$3:$C$452,P231))</f>
        <v/>
      </c>
      <c r="D231" s="4">
        <f>IF(P231="","",INDEX(前年度名簿!$D$3:$D$452,P231))</f>
        <v/>
      </c>
      <c r="E231" s="50">
        <f>IF(T231="","",INDEX(新年度名簿!$K$3:$K$452,T231))</f>
        <v/>
      </c>
      <c r="F231" s="50">
        <f>IF(T231="","",INDEX(新年度名簿!$C$3:$C$452,T231))</f>
        <v/>
      </c>
      <c r="G231" s="50">
        <f>IF(Q231="","",INDEX(希望入力!$H$5:$H$554,Q231)&amp;"")</f>
        <v/>
      </c>
      <c r="H231" s="50">
        <f>IF(Q231="","",INDEX(希望入力!$I$5:$I$554,Q231)&amp;"")</f>
        <v/>
      </c>
      <c r="I231" s="50">
        <f>IF(Q231="","",INDEX(希望入力!$J$5:$J$554,Q231)&amp;"")</f>
        <v/>
      </c>
      <c r="J231" s="50">
        <f>IF(Q231="","",IF(G231="転出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)</f>
        <v/>
      </c>
      <c r="K231" s="49" t="n"/>
      <c r="L231" s="56">
        <f>IF(P231="","",IF(G231="転出","",IF(K231&lt;&gt;"",K231,IF(OR(J231="",J231="要調整"),"",J231))))</f>
        <v/>
      </c>
      <c r="M231" s="50">
        <f>IF(P231="","",IF(OR(G231="転出",AND(計算用!$B$1=1,T231="")),"転出",IF(L231&lt;&gt;"","決定",IF(Q231="","未提出","要調整"))))</f>
        <v/>
      </c>
      <c r="N231" s="50">
        <f>IF(OR(M231&lt;&gt;"要調整",H231=""),"",IFERROR((INDEX(設定!$Q$8:$Q$27,MATCH(H231,設定!$P$8:$P$27,0))+N(INDEX(設定!$R$8:$R$27,MATCH(H231,設定!$P$8:$P$27,0))))-INDEX(定員チェック!$I$7:$I$26,MATCH(H231,設定!$P$8:$P$27,0))-COUNTIFS($M$7:$M$456,"要調整",$G$7:$G$456,H231),""))</f>
        <v/>
      </c>
      <c r="O231" s="50">
        <f>IF(OR(M231&lt;&gt;"要調整",I231=""),"",IFERROR((INDEX(設定!$Q$8:$Q$27,MATCH(I231,設定!$P$8:$P$27,0))+N(INDEX(設定!$R$8:$R$27,MATCH(I231,設定!$P$8:$P$27,0))))-INDEX(定員チェック!$I$7:$I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IF(R231="","",IFERROR(MATCH(R231,希望入力!$M$5:$M$554,0),""))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50">
        <f>IF(P232="","",INDEX(前年度名簿!$H$3:$H$452,P232))</f>
        <v/>
      </c>
      <c r="B232" s="50">
        <f>IF(P232="","",IFERROR(INDEX(設定!$G$8:$G$31,INT(INDEX(前年度名簿!$G$3:$G$452,P232)/1000)),INDEX(前年度名簿!$A$3:$A$452,P232)&amp;INDEX(前年度名簿!$B$3:$B$452,P232)))</f>
        <v/>
      </c>
      <c r="C232" s="50">
        <f>IF(P232="","",INDEX(前年度名簿!$C$3:$C$452,P232))</f>
        <v/>
      </c>
      <c r="D232" s="4">
        <f>IF(P232="","",INDEX(前年度名簿!$D$3:$D$452,P232))</f>
        <v/>
      </c>
      <c r="E232" s="50">
        <f>IF(T232="","",INDEX(新年度名簿!$K$3:$K$452,T232))</f>
        <v/>
      </c>
      <c r="F232" s="50">
        <f>IF(T232="","",INDEX(新年度名簿!$C$3:$C$452,T232))</f>
        <v/>
      </c>
      <c r="G232" s="50">
        <f>IF(Q232="","",INDEX(希望入力!$H$5:$H$554,Q232)&amp;"")</f>
        <v/>
      </c>
      <c r="H232" s="50">
        <f>IF(Q232="","",INDEX(希望入力!$I$5:$I$554,Q232)&amp;"")</f>
        <v/>
      </c>
      <c r="I232" s="50">
        <f>IF(Q232="","",INDEX(希望入力!$J$5:$J$554,Q232)&amp;"")</f>
        <v/>
      </c>
      <c r="J232" s="50">
        <f>IF(Q232="","",IF(G232="転出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)</f>
        <v/>
      </c>
      <c r="K232" s="49" t="n"/>
      <c r="L232" s="56">
        <f>IF(P232="","",IF(G232="転出","",IF(K232&lt;&gt;"",K232,IF(OR(J232="",J232="要調整"),"",J232))))</f>
        <v/>
      </c>
      <c r="M232" s="50">
        <f>IF(P232="","",IF(OR(G232="転出",AND(計算用!$B$1=1,T232="")),"転出",IF(L232&lt;&gt;"","決定",IF(Q232="","未提出","要調整"))))</f>
        <v/>
      </c>
      <c r="N232" s="50">
        <f>IF(OR(M232&lt;&gt;"要調整",H232=""),"",IFERROR((INDEX(設定!$Q$8:$Q$27,MATCH(H232,設定!$P$8:$P$27,0))+N(INDEX(設定!$R$8:$R$27,MATCH(H232,設定!$P$8:$P$27,0))))-INDEX(定員チェック!$I$7:$I$26,MATCH(H232,設定!$P$8:$P$27,0))-COUNTIFS($M$7:$M$456,"要調整",$G$7:$G$456,H232),""))</f>
        <v/>
      </c>
      <c r="O232" s="50">
        <f>IF(OR(M232&lt;&gt;"要調整",I232=""),"",IFERROR((INDEX(設定!$Q$8:$Q$27,MATCH(I232,設定!$P$8:$P$27,0))+N(INDEX(設定!$R$8:$R$27,MATCH(I232,設定!$P$8:$P$27,0))))-INDEX(定員チェック!$I$7:$I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IF(R232="","",IFERROR(MATCH(R232,希望入力!$M$5:$M$554,0),""))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50">
        <f>IF(P233="","",INDEX(前年度名簿!$H$3:$H$452,P233))</f>
        <v/>
      </c>
      <c r="B233" s="50">
        <f>IF(P233="","",IFERROR(INDEX(設定!$G$8:$G$31,INT(INDEX(前年度名簿!$G$3:$G$452,P233)/1000)),INDEX(前年度名簿!$A$3:$A$452,P233)&amp;INDEX(前年度名簿!$B$3:$B$452,P233)))</f>
        <v/>
      </c>
      <c r="C233" s="50">
        <f>IF(P233="","",INDEX(前年度名簿!$C$3:$C$452,P233))</f>
        <v/>
      </c>
      <c r="D233" s="4">
        <f>IF(P233="","",INDEX(前年度名簿!$D$3:$D$452,P233))</f>
        <v/>
      </c>
      <c r="E233" s="50">
        <f>IF(T233="","",INDEX(新年度名簿!$K$3:$K$452,T233))</f>
        <v/>
      </c>
      <c r="F233" s="50">
        <f>IF(T233="","",INDEX(新年度名簿!$C$3:$C$452,T233))</f>
        <v/>
      </c>
      <c r="G233" s="50">
        <f>IF(Q233="","",INDEX(希望入力!$H$5:$H$554,Q233)&amp;"")</f>
        <v/>
      </c>
      <c r="H233" s="50">
        <f>IF(Q233="","",INDEX(希望入力!$I$5:$I$554,Q233)&amp;"")</f>
        <v/>
      </c>
      <c r="I233" s="50">
        <f>IF(Q233="","",INDEX(希望入力!$J$5:$J$554,Q233)&amp;"")</f>
        <v/>
      </c>
      <c r="J233" s="50">
        <f>IF(Q233="","",IF(G233="転出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)</f>
        <v/>
      </c>
      <c r="K233" s="49" t="n"/>
      <c r="L233" s="56">
        <f>IF(P233="","",IF(G233="転出","",IF(K233&lt;&gt;"",K233,IF(OR(J233="",J233="要調整"),"",J233))))</f>
        <v/>
      </c>
      <c r="M233" s="50">
        <f>IF(P233="","",IF(OR(G233="転出",AND(計算用!$B$1=1,T233="")),"転出",IF(L233&lt;&gt;"","決定",IF(Q233="","未提出","要調整"))))</f>
        <v/>
      </c>
      <c r="N233" s="50">
        <f>IF(OR(M233&lt;&gt;"要調整",H233=""),"",IFERROR((INDEX(設定!$Q$8:$Q$27,MATCH(H233,設定!$P$8:$P$27,0))+N(INDEX(設定!$R$8:$R$27,MATCH(H233,設定!$P$8:$P$27,0))))-INDEX(定員チェック!$I$7:$I$26,MATCH(H233,設定!$P$8:$P$27,0))-COUNTIFS($M$7:$M$456,"要調整",$G$7:$G$456,H233),""))</f>
        <v/>
      </c>
      <c r="O233" s="50">
        <f>IF(OR(M233&lt;&gt;"要調整",I233=""),"",IFERROR((INDEX(設定!$Q$8:$Q$27,MATCH(I233,設定!$P$8:$P$27,0))+N(INDEX(設定!$R$8:$R$27,MATCH(I233,設定!$P$8:$P$27,0))))-INDEX(定員チェック!$I$7:$I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IF(R233="","",IFERROR(MATCH(R233,希望入力!$M$5:$M$554,0),""))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50">
        <f>IF(P234="","",INDEX(前年度名簿!$H$3:$H$452,P234))</f>
        <v/>
      </c>
      <c r="B234" s="50">
        <f>IF(P234="","",IFERROR(INDEX(設定!$G$8:$G$31,INT(INDEX(前年度名簿!$G$3:$G$452,P234)/1000)),INDEX(前年度名簿!$A$3:$A$452,P234)&amp;INDEX(前年度名簿!$B$3:$B$452,P234)))</f>
        <v/>
      </c>
      <c r="C234" s="50">
        <f>IF(P234="","",INDEX(前年度名簿!$C$3:$C$452,P234))</f>
        <v/>
      </c>
      <c r="D234" s="4">
        <f>IF(P234="","",INDEX(前年度名簿!$D$3:$D$452,P234))</f>
        <v/>
      </c>
      <c r="E234" s="50">
        <f>IF(T234="","",INDEX(新年度名簿!$K$3:$K$452,T234))</f>
        <v/>
      </c>
      <c r="F234" s="50">
        <f>IF(T234="","",INDEX(新年度名簿!$C$3:$C$452,T234))</f>
        <v/>
      </c>
      <c r="G234" s="50">
        <f>IF(Q234="","",INDEX(希望入力!$H$5:$H$554,Q234)&amp;"")</f>
        <v/>
      </c>
      <c r="H234" s="50">
        <f>IF(Q234="","",INDEX(希望入力!$I$5:$I$554,Q234)&amp;"")</f>
        <v/>
      </c>
      <c r="I234" s="50">
        <f>IF(Q234="","",INDEX(希望入力!$J$5:$J$554,Q234)&amp;"")</f>
        <v/>
      </c>
      <c r="J234" s="50">
        <f>IF(Q234="","",IF(G234="転出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)</f>
        <v/>
      </c>
      <c r="K234" s="49" t="n"/>
      <c r="L234" s="56">
        <f>IF(P234="","",IF(G234="転出","",IF(K234&lt;&gt;"",K234,IF(OR(J234="",J234="要調整"),"",J234))))</f>
        <v/>
      </c>
      <c r="M234" s="50">
        <f>IF(P234="","",IF(OR(G234="転出",AND(計算用!$B$1=1,T234="")),"転出",IF(L234&lt;&gt;"","決定",IF(Q234="","未提出","要調整"))))</f>
        <v/>
      </c>
      <c r="N234" s="50">
        <f>IF(OR(M234&lt;&gt;"要調整",H234=""),"",IFERROR((INDEX(設定!$Q$8:$Q$27,MATCH(H234,設定!$P$8:$P$27,0))+N(INDEX(設定!$R$8:$R$27,MATCH(H234,設定!$P$8:$P$27,0))))-INDEX(定員チェック!$I$7:$I$26,MATCH(H234,設定!$P$8:$P$27,0))-COUNTIFS($M$7:$M$456,"要調整",$G$7:$G$456,H234),""))</f>
        <v/>
      </c>
      <c r="O234" s="50">
        <f>IF(OR(M234&lt;&gt;"要調整",I234=""),"",IFERROR((INDEX(設定!$Q$8:$Q$27,MATCH(I234,設定!$P$8:$P$27,0))+N(INDEX(設定!$R$8:$R$27,MATCH(I234,設定!$P$8:$P$27,0))))-INDEX(定員チェック!$I$7:$I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IF(R234="","",IFERROR(MATCH(R234,希望入力!$M$5:$M$554,0),""))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50">
        <f>IF(P235="","",INDEX(前年度名簿!$H$3:$H$452,P235))</f>
        <v/>
      </c>
      <c r="B235" s="50">
        <f>IF(P235="","",IFERROR(INDEX(設定!$G$8:$G$31,INT(INDEX(前年度名簿!$G$3:$G$452,P235)/1000)),INDEX(前年度名簿!$A$3:$A$452,P235)&amp;INDEX(前年度名簿!$B$3:$B$452,P235)))</f>
        <v/>
      </c>
      <c r="C235" s="50">
        <f>IF(P235="","",INDEX(前年度名簿!$C$3:$C$452,P235))</f>
        <v/>
      </c>
      <c r="D235" s="4">
        <f>IF(P235="","",INDEX(前年度名簿!$D$3:$D$452,P235))</f>
        <v/>
      </c>
      <c r="E235" s="50">
        <f>IF(T235="","",INDEX(新年度名簿!$K$3:$K$452,T235))</f>
        <v/>
      </c>
      <c r="F235" s="50">
        <f>IF(T235="","",INDEX(新年度名簿!$C$3:$C$452,T235))</f>
        <v/>
      </c>
      <c r="G235" s="50">
        <f>IF(Q235="","",INDEX(希望入力!$H$5:$H$554,Q235)&amp;"")</f>
        <v/>
      </c>
      <c r="H235" s="50">
        <f>IF(Q235="","",INDEX(希望入力!$I$5:$I$554,Q235)&amp;"")</f>
        <v/>
      </c>
      <c r="I235" s="50">
        <f>IF(Q235="","",INDEX(希望入力!$J$5:$J$554,Q235)&amp;"")</f>
        <v/>
      </c>
      <c r="J235" s="50">
        <f>IF(Q235="","",IF(G235="転出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)</f>
        <v/>
      </c>
      <c r="K235" s="49" t="n"/>
      <c r="L235" s="56">
        <f>IF(P235="","",IF(G235="転出","",IF(K235&lt;&gt;"",K235,IF(OR(J235="",J235="要調整"),"",J235))))</f>
        <v/>
      </c>
      <c r="M235" s="50">
        <f>IF(P235="","",IF(OR(G235="転出",AND(計算用!$B$1=1,T235="")),"転出",IF(L235&lt;&gt;"","決定",IF(Q235="","未提出","要調整"))))</f>
        <v/>
      </c>
      <c r="N235" s="50">
        <f>IF(OR(M235&lt;&gt;"要調整",H235=""),"",IFERROR((INDEX(設定!$Q$8:$Q$27,MATCH(H235,設定!$P$8:$P$27,0))+N(INDEX(設定!$R$8:$R$27,MATCH(H235,設定!$P$8:$P$27,0))))-INDEX(定員チェック!$I$7:$I$26,MATCH(H235,設定!$P$8:$P$27,0))-COUNTIFS($M$7:$M$456,"要調整",$G$7:$G$456,H235),""))</f>
        <v/>
      </c>
      <c r="O235" s="50">
        <f>IF(OR(M235&lt;&gt;"要調整",I235=""),"",IFERROR((INDEX(設定!$Q$8:$Q$27,MATCH(I235,設定!$P$8:$P$27,0))+N(INDEX(設定!$R$8:$R$27,MATCH(I235,設定!$P$8:$P$27,0))))-INDEX(定員チェック!$I$7:$I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IF(R235="","",IFERROR(MATCH(R235,希望入力!$M$5:$M$554,0),""))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50">
        <f>IF(P236="","",INDEX(前年度名簿!$H$3:$H$452,P236))</f>
        <v/>
      </c>
      <c r="B236" s="50">
        <f>IF(P236="","",IFERROR(INDEX(設定!$G$8:$G$31,INT(INDEX(前年度名簿!$G$3:$G$452,P236)/1000)),INDEX(前年度名簿!$A$3:$A$452,P236)&amp;INDEX(前年度名簿!$B$3:$B$452,P236)))</f>
        <v/>
      </c>
      <c r="C236" s="50">
        <f>IF(P236="","",INDEX(前年度名簿!$C$3:$C$452,P236))</f>
        <v/>
      </c>
      <c r="D236" s="4">
        <f>IF(P236="","",INDEX(前年度名簿!$D$3:$D$452,P236))</f>
        <v/>
      </c>
      <c r="E236" s="50">
        <f>IF(T236="","",INDEX(新年度名簿!$K$3:$K$452,T236))</f>
        <v/>
      </c>
      <c r="F236" s="50">
        <f>IF(T236="","",INDEX(新年度名簿!$C$3:$C$452,T236))</f>
        <v/>
      </c>
      <c r="G236" s="50">
        <f>IF(Q236="","",INDEX(希望入力!$H$5:$H$554,Q236)&amp;"")</f>
        <v/>
      </c>
      <c r="H236" s="50">
        <f>IF(Q236="","",INDEX(希望入力!$I$5:$I$554,Q236)&amp;"")</f>
        <v/>
      </c>
      <c r="I236" s="50">
        <f>IF(Q236="","",INDEX(希望入力!$J$5:$J$554,Q236)&amp;"")</f>
        <v/>
      </c>
      <c r="J236" s="50">
        <f>IF(Q236="","",IF(G236="転出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)</f>
        <v/>
      </c>
      <c r="K236" s="49" t="n"/>
      <c r="L236" s="56">
        <f>IF(P236="","",IF(G236="転出","",IF(K236&lt;&gt;"",K236,IF(OR(J236="",J236="要調整"),"",J236))))</f>
        <v/>
      </c>
      <c r="M236" s="50">
        <f>IF(P236="","",IF(OR(G236="転出",AND(計算用!$B$1=1,T236="")),"転出",IF(L236&lt;&gt;"","決定",IF(Q236="","未提出","要調整"))))</f>
        <v/>
      </c>
      <c r="N236" s="50">
        <f>IF(OR(M236&lt;&gt;"要調整",H236=""),"",IFERROR((INDEX(設定!$Q$8:$Q$27,MATCH(H236,設定!$P$8:$P$27,0))+N(INDEX(設定!$R$8:$R$27,MATCH(H236,設定!$P$8:$P$27,0))))-INDEX(定員チェック!$I$7:$I$26,MATCH(H236,設定!$P$8:$P$27,0))-COUNTIFS($M$7:$M$456,"要調整",$G$7:$G$456,H236),""))</f>
        <v/>
      </c>
      <c r="O236" s="50">
        <f>IF(OR(M236&lt;&gt;"要調整",I236=""),"",IFERROR((INDEX(設定!$Q$8:$Q$27,MATCH(I236,設定!$P$8:$P$27,0))+N(INDEX(設定!$R$8:$R$27,MATCH(I236,設定!$P$8:$P$27,0))))-INDEX(定員チェック!$I$7:$I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IF(R236="","",IFERROR(MATCH(R236,希望入力!$M$5:$M$554,0),""))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50">
        <f>IF(P237="","",INDEX(前年度名簿!$H$3:$H$452,P237))</f>
        <v/>
      </c>
      <c r="B237" s="50">
        <f>IF(P237="","",IFERROR(INDEX(設定!$G$8:$G$31,INT(INDEX(前年度名簿!$G$3:$G$452,P237)/1000)),INDEX(前年度名簿!$A$3:$A$452,P237)&amp;INDEX(前年度名簿!$B$3:$B$452,P237)))</f>
        <v/>
      </c>
      <c r="C237" s="50">
        <f>IF(P237="","",INDEX(前年度名簿!$C$3:$C$452,P237))</f>
        <v/>
      </c>
      <c r="D237" s="4">
        <f>IF(P237="","",INDEX(前年度名簿!$D$3:$D$452,P237))</f>
        <v/>
      </c>
      <c r="E237" s="50">
        <f>IF(T237="","",INDEX(新年度名簿!$K$3:$K$452,T237))</f>
        <v/>
      </c>
      <c r="F237" s="50">
        <f>IF(T237="","",INDEX(新年度名簿!$C$3:$C$452,T237))</f>
        <v/>
      </c>
      <c r="G237" s="50">
        <f>IF(Q237="","",INDEX(希望入力!$H$5:$H$554,Q237)&amp;"")</f>
        <v/>
      </c>
      <c r="H237" s="50">
        <f>IF(Q237="","",INDEX(希望入力!$I$5:$I$554,Q237)&amp;"")</f>
        <v/>
      </c>
      <c r="I237" s="50">
        <f>IF(Q237="","",INDEX(希望入力!$J$5:$J$554,Q237)&amp;"")</f>
        <v/>
      </c>
      <c r="J237" s="50">
        <f>IF(Q237="","",IF(G237="転出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)</f>
        <v/>
      </c>
      <c r="K237" s="49" t="n"/>
      <c r="L237" s="56">
        <f>IF(P237="","",IF(G237="転出","",IF(K237&lt;&gt;"",K237,IF(OR(J237="",J237="要調整"),"",J237))))</f>
        <v/>
      </c>
      <c r="M237" s="50">
        <f>IF(P237="","",IF(OR(G237="転出",AND(計算用!$B$1=1,T237="")),"転出",IF(L237&lt;&gt;"","決定",IF(Q237="","未提出","要調整"))))</f>
        <v/>
      </c>
      <c r="N237" s="50">
        <f>IF(OR(M237&lt;&gt;"要調整",H237=""),"",IFERROR((INDEX(設定!$Q$8:$Q$27,MATCH(H237,設定!$P$8:$P$27,0))+N(INDEX(設定!$R$8:$R$27,MATCH(H237,設定!$P$8:$P$27,0))))-INDEX(定員チェック!$I$7:$I$26,MATCH(H237,設定!$P$8:$P$27,0))-COUNTIFS($M$7:$M$456,"要調整",$G$7:$G$456,H237),""))</f>
        <v/>
      </c>
      <c r="O237" s="50">
        <f>IF(OR(M237&lt;&gt;"要調整",I237=""),"",IFERROR((INDEX(設定!$Q$8:$Q$27,MATCH(I237,設定!$P$8:$P$27,0))+N(INDEX(設定!$R$8:$R$27,MATCH(I237,設定!$P$8:$P$27,0))))-INDEX(定員チェック!$I$7:$I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IF(R237="","",IFERROR(MATCH(R237,希望入力!$M$5:$M$554,0),""))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50">
        <f>IF(P238="","",INDEX(前年度名簿!$H$3:$H$452,P238))</f>
        <v/>
      </c>
      <c r="B238" s="50">
        <f>IF(P238="","",IFERROR(INDEX(設定!$G$8:$G$31,INT(INDEX(前年度名簿!$G$3:$G$452,P238)/1000)),INDEX(前年度名簿!$A$3:$A$452,P238)&amp;INDEX(前年度名簿!$B$3:$B$452,P238)))</f>
        <v/>
      </c>
      <c r="C238" s="50">
        <f>IF(P238="","",INDEX(前年度名簿!$C$3:$C$452,P238))</f>
        <v/>
      </c>
      <c r="D238" s="4">
        <f>IF(P238="","",INDEX(前年度名簿!$D$3:$D$452,P238))</f>
        <v/>
      </c>
      <c r="E238" s="50">
        <f>IF(T238="","",INDEX(新年度名簿!$K$3:$K$452,T238))</f>
        <v/>
      </c>
      <c r="F238" s="50">
        <f>IF(T238="","",INDEX(新年度名簿!$C$3:$C$452,T238))</f>
        <v/>
      </c>
      <c r="G238" s="50">
        <f>IF(Q238="","",INDEX(希望入力!$H$5:$H$554,Q238)&amp;"")</f>
        <v/>
      </c>
      <c r="H238" s="50">
        <f>IF(Q238="","",INDEX(希望入力!$I$5:$I$554,Q238)&amp;"")</f>
        <v/>
      </c>
      <c r="I238" s="50">
        <f>IF(Q238="","",INDEX(希望入力!$J$5:$J$554,Q238)&amp;"")</f>
        <v/>
      </c>
      <c r="J238" s="50">
        <f>IF(Q238="","",IF(G238="転出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)</f>
        <v/>
      </c>
      <c r="K238" s="49" t="n"/>
      <c r="L238" s="56">
        <f>IF(P238="","",IF(G238="転出","",IF(K238&lt;&gt;"",K238,IF(OR(J238="",J238="要調整"),"",J238))))</f>
        <v/>
      </c>
      <c r="M238" s="50">
        <f>IF(P238="","",IF(OR(G238="転出",AND(計算用!$B$1=1,T238="")),"転出",IF(L238&lt;&gt;"","決定",IF(Q238="","未提出","要調整"))))</f>
        <v/>
      </c>
      <c r="N238" s="50">
        <f>IF(OR(M238&lt;&gt;"要調整",H238=""),"",IFERROR((INDEX(設定!$Q$8:$Q$27,MATCH(H238,設定!$P$8:$P$27,0))+N(INDEX(設定!$R$8:$R$27,MATCH(H238,設定!$P$8:$P$27,0))))-INDEX(定員チェック!$I$7:$I$26,MATCH(H238,設定!$P$8:$P$27,0))-COUNTIFS($M$7:$M$456,"要調整",$G$7:$G$456,H238),""))</f>
        <v/>
      </c>
      <c r="O238" s="50">
        <f>IF(OR(M238&lt;&gt;"要調整",I238=""),"",IFERROR((INDEX(設定!$Q$8:$Q$27,MATCH(I238,設定!$P$8:$P$27,0))+N(INDEX(設定!$R$8:$R$27,MATCH(I238,設定!$P$8:$P$27,0))))-INDEX(定員チェック!$I$7:$I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IF(R238="","",IFERROR(MATCH(R238,希望入力!$M$5:$M$554,0),""))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50">
        <f>IF(P239="","",INDEX(前年度名簿!$H$3:$H$452,P239))</f>
        <v/>
      </c>
      <c r="B239" s="50">
        <f>IF(P239="","",IFERROR(INDEX(設定!$G$8:$G$31,INT(INDEX(前年度名簿!$G$3:$G$452,P239)/1000)),INDEX(前年度名簿!$A$3:$A$452,P239)&amp;INDEX(前年度名簿!$B$3:$B$452,P239)))</f>
        <v/>
      </c>
      <c r="C239" s="50">
        <f>IF(P239="","",INDEX(前年度名簿!$C$3:$C$452,P239))</f>
        <v/>
      </c>
      <c r="D239" s="4">
        <f>IF(P239="","",INDEX(前年度名簿!$D$3:$D$452,P239))</f>
        <v/>
      </c>
      <c r="E239" s="50">
        <f>IF(T239="","",INDEX(新年度名簿!$K$3:$K$452,T239))</f>
        <v/>
      </c>
      <c r="F239" s="50">
        <f>IF(T239="","",INDEX(新年度名簿!$C$3:$C$452,T239))</f>
        <v/>
      </c>
      <c r="G239" s="50">
        <f>IF(Q239="","",INDEX(希望入力!$H$5:$H$554,Q239)&amp;"")</f>
        <v/>
      </c>
      <c r="H239" s="50">
        <f>IF(Q239="","",INDEX(希望入力!$I$5:$I$554,Q239)&amp;"")</f>
        <v/>
      </c>
      <c r="I239" s="50">
        <f>IF(Q239="","",INDEX(希望入力!$J$5:$J$554,Q239)&amp;"")</f>
        <v/>
      </c>
      <c r="J239" s="50">
        <f>IF(Q239="","",IF(G239="転出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)</f>
        <v/>
      </c>
      <c r="K239" s="49" t="n"/>
      <c r="L239" s="56">
        <f>IF(P239="","",IF(G239="転出","",IF(K239&lt;&gt;"",K239,IF(OR(J239="",J239="要調整"),"",J239))))</f>
        <v/>
      </c>
      <c r="M239" s="50">
        <f>IF(P239="","",IF(OR(G239="転出",AND(計算用!$B$1=1,T239="")),"転出",IF(L239&lt;&gt;"","決定",IF(Q239="","未提出","要調整"))))</f>
        <v/>
      </c>
      <c r="N239" s="50">
        <f>IF(OR(M239&lt;&gt;"要調整",H239=""),"",IFERROR((INDEX(設定!$Q$8:$Q$27,MATCH(H239,設定!$P$8:$P$27,0))+N(INDEX(設定!$R$8:$R$27,MATCH(H239,設定!$P$8:$P$27,0))))-INDEX(定員チェック!$I$7:$I$26,MATCH(H239,設定!$P$8:$P$27,0))-COUNTIFS($M$7:$M$456,"要調整",$G$7:$G$456,H239),""))</f>
        <v/>
      </c>
      <c r="O239" s="50">
        <f>IF(OR(M239&lt;&gt;"要調整",I239=""),"",IFERROR((INDEX(設定!$Q$8:$Q$27,MATCH(I239,設定!$P$8:$P$27,0))+N(INDEX(設定!$R$8:$R$27,MATCH(I239,設定!$P$8:$P$27,0))))-INDEX(定員チェック!$I$7:$I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IF(R239="","",IFERROR(MATCH(R239,希望入力!$M$5:$M$554,0),""))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50">
        <f>IF(P240="","",INDEX(前年度名簿!$H$3:$H$452,P240))</f>
        <v/>
      </c>
      <c r="B240" s="50">
        <f>IF(P240="","",IFERROR(INDEX(設定!$G$8:$G$31,INT(INDEX(前年度名簿!$G$3:$G$452,P240)/1000)),INDEX(前年度名簿!$A$3:$A$452,P240)&amp;INDEX(前年度名簿!$B$3:$B$452,P240)))</f>
        <v/>
      </c>
      <c r="C240" s="50">
        <f>IF(P240="","",INDEX(前年度名簿!$C$3:$C$452,P240))</f>
        <v/>
      </c>
      <c r="D240" s="4">
        <f>IF(P240="","",INDEX(前年度名簿!$D$3:$D$452,P240))</f>
        <v/>
      </c>
      <c r="E240" s="50">
        <f>IF(T240="","",INDEX(新年度名簿!$K$3:$K$452,T240))</f>
        <v/>
      </c>
      <c r="F240" s="50">
        <f>IF(T240="","",INDEX(新年度名簿!$C$3:$C$452,T240))</f>
        <v/>
      </c>
      <c r="G240" s="50">
        <f>IF(Q240="","",INDEX(希望入力!$H$5:$H$554,Q240)&amp;"")</f>
        <v/>
      </c>
      <c r="H240" s="50">
        <f>IF(Q240="","",INDEX(希望入力!$I$5:$I$554,Q240)&amp;"")</f>
        <v/>
      </c>
      <c r="I240" s="50">
        <f>IF(Q240="","",INDEX(希望入力!$J$5:$J$554,Q240)&amp;"")</f>
        <v/>
      </c>
      <c r="J240" s="50">
        <f>IF(Q240="","",IF(G240="転出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)</f>
        <v/>
      </c>
      <c r="K240" s="49" t="n"/>
      <c r="L240" s="56">
        <f>IF(P240="","",IF(G240="転出","",IF(K240&lt;&gt;"",K240,IF(OR(J240="",J240="要調整"),"",J240))))</f>
        <v/>
      </c>
      <c r="M240" s="50">
        <f>IF(P240="","",IF(OR(G240="転出",AND(計算用!$B$1=1,T240="")),"転出",IF(L240&lt;&gt;"","決定",IF(Q240="","未提出","要調整"))))</f>
        <v/>
      </c>
      <c r="N240" s="50">
        <f>IF(OR(M240&lt;&gt;"要調整",H240=""),"",IFERROR((INDEX(設定!$Q$8:$Q$27,MATCH(H240,設定!$P$8:$P$27,0))+N(INDEX(設定!$R$8:$R$27,MATCH(H240,設定!$P$8:$P$27,0))))-INDEX(定員チェック!$I$7:$I$26,MATCH(H240,設定!$P$8:$P$27,0))-COUNTIFS($M$7:$M$456,"要調整",$G$7:$G$456,H240),""))</f>
        <v/>
      </c>
      <c r="O240" s="50">
        <f>IF(OR(M240&lt;&gt;"要調整",I240=""),"",IFERROR((INDEX(設定!$Q$8:$Q$27,MATCH(I240,設定!$P$8:$P$27,0))+N(INDEX(設定!$R$8:$R$27,MATCH(I240,設定!$P$8:$P$27,0))))-INDEX(定員チェック!$I$7:$I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IF(R240="","",IFERROR(MATCH(R240,希望入力!$M$5:$M$554,0),""))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50">
        <f>IF(P241="","",INDEX(前年度名簿!$H$3:$H$452,P241))</f>
        <v/>
      </c>
      <c r="B241" s="50">
        <f>IF(P241="","",IFERROR(INDEX(設定!$G$8:$G$31,INT(INDEX(前年度名簿!$G$3:$G$452,P241)/1000)),INDEX(前年度名簿!$A$3:$A$452,P241)&amp;INDEX(前年度名簿!$B$3:$B$452,P241)))</f>
        <v/>
      </c>
      <c r="C241" s="50">
        <f>IF(P241="","",INDEX(前年度名簿!$C$3:$C$452,P241))</f>
        <v/>
      </c>
      <c r="D241" s="4">
        <f>IF(P241="","",INDEX(前年度名簿!$D$3:$D$452,P241))</f>
        <v/>
      </c>
      <c r="E241" s="50">
        <f>IF(T241="","",INDEX(新年度名簿!$K$3:$K$452,T241))</f>
        <v/>
      </c>
      <c r="F241" s="50">
        <f>IF(T241="","",INDEX(新年度名簿!$C$3:$C$452,T241))</f>
        <v/>
      </c>
      <c r="G241" s="50">
        <f>IF(Q241="","",INDEX(希望入力!$H$5:$H$554,Q241)&amp;"")</f>
        <v/>
      </c>
      <c r="H241" s="50">
        <f>IF(Q241="","",INDEX(希望入力!$I$5:$I$554,Q241)&amp;"")</f>
        <v/>
      </c>
      <c r="I241" s="50">
        <f>IF(Q241="","",INDEX(希望入力!$J$5:$J$554,Q241)&amp;"")</f>
        <v/>
      </c>
      <c r="J241" s="50">
        <f>IF(Q241="","",IF(G241="転出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)</f>
        <v/>
      </c>
      <c r="K241" s="49" t="n"/>
      <c r="L241" s="56">
        <f>IF(P241="","",IF(G241="転出","",IF(K241&lt;&gt;"",K241,IF(OR(J241="",J241="要調整"),"",J241))))</f>
        <v/>
      </c>
      <c r="M241" s="50">
        <f>IF(P241="","",IF(OR(G241="転出",AND(計算用!$B$1=1,T241="")),"転出",IF(L241&lt;&gt;"","決定",IF(Q241="","未提出","要調整"))))</f>
        <v/>
      </c>
      <c r="N241" s="50">
        <f>IF(OR(M241&lt;&gt;"要調整",H241=""),"",IFERROR((INDEX(設定!$Q$8:$Q$27,MATCH(H241,設定!$P$8:$P$27,0))+N(INDEX(設定!$R$8:$R$27,MATCH(H241,設定!$P$8:$P$27,0))))-INDEX(定員チェック!$I$7:$I$26,MATCH(H241,設定!$P$8:$P$27,0))-COUNTIFS($M$7:$M$456,"要調整",$G$7:$G$456,H241),""))</f>
        <v/>
      </c>
      <c r="O241" s="50">
        <f>IF(OR(M241&lt;&gt;"要調整",I241=""),"",IFERROR((INDEX(設定!$Q$8:$Q$27,MATCH(I241,設定!$P$8:$P$27,0))+N(INDEX(設定!$R$8:$R$27,MATCH(I241,設定!$P$8:$P$27,0))))-INDEX(定員チェック!$I$7:$I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IF(R241="","",IFERROR(MATCH(R241,希望入力!$M$5:$M$554,0),""))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50">
        <f>IF(P242="","",INDEX(前年度名簿!$H$3:$H$452,P242))</f>
        <v/>
      </c>
      <c r="B242" s="50">
        <f>IF(P242="","",IFERROR(INDEX(設定!$G$8:$G$31,INT(INDEX(前年度名簿!$G$3:$G$452,P242)/1000)),INDEX(前年度名簿!$A$3:$A$452,P242)&amp;INDEX(前年度名簿!$B$3:$B$452,P242)))</f>
        <v/>
      </c>
      <c r="C242" s="50">
        <f>IF(P242="","",INDEX(前年度名簿!$C$3:$C$452,P242))</f>
        <v/>
      </c>
      <c r="D242" s="4">
        <f>IF(P242="","",INDEX(前年度名簿!$D$3:$D$452,P242))</f>
        <v/>
      </c>
      <c r="E242" s="50">
        <f>IF(T242="","",INDEX(新年度名簿!$K$3:$K$452,T242))</f>
        <v/>
      </c>
      <c r="F242" s="50">
        <f>IF(T242="","",INDEX(新年度名簿!$C$3:$C$452,T242))</f>
        <v/>
      </c>
      <c r="G242" s="50">
        <f>IF(Q242="","",INDEX(希望入力!$H$5:$H$554,Q242)&amp;"")</f>
        <v/>
      </c>
      <c r="H242" s="50">
        <f>IF(Q242="","",INDEX(希望入力!$I$5:$I$554,Q242)&amp;"")</f>
        <v/>
      </c>
      <c r="I242" s="50">
        <f>IF(Q242="","",INDEX(希望入力!$J$5:$J$554,Q242)&amp;"")</f>
        <v/>
      </c>
      <c r="J242" s="50">
        <f>IF(Q242="","",IF(G242="転出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)</f>
        <v/>
      </c>
      <c r="K242" s="49" t="n"/>
      <c r="L242" s="56">
        <f>IF(P242="","",IF(G242="転出","",IF(K242&lt;&gt;"",K242,IF(OR(J242="",J242="要調整"),"",J242))))</f>
        <v/>
      </c>
      <c r="M242" s="50">
        <f>IF(P242="","",IF(OR(G242="転出",AND(計算用!$B$1=1,T242="")),"転出",IF(L242&lt;&gt;"","決定",IF(Q242="","未提出","要調整"))))</f>
        <v/>
      </c>
      <c r="N242" s="50">
        <f>IF(OR(M242&lt;&gt;"要調整",H242=""),"",IFERROR((INDEX(設定!$Q$8:$Q$27,MATCH(H242,設定!$P$8:$P$27,0))+N(INDEX(設定!$R$8:$R$27,MATCH(H242,設定!$P$8:$P$27,0))))-INDEX(定員チェック!$I$7:$I$26,MATCH(H242,設定!$P$8:$P$27,0))-COUNTIFS($M$7:$M$456,"要調整",$G$7:$G$456,H242),""))</f>
        <v/>
      </c>
      <c r="O242" s="50">
        <f>IF(OR(M242&lt;&gt;"要調整",I242=""),"",IFERROR((INDEX(設定!$Q$8:$Q$27,MATCH(I242,設定!$P$8:$P$27,0))+N(INDEX(設定!$R$8:$R$27,MATCH(I242,設定!$P$8:$P$27,0))))-INDEX(定員チェック!$I$7:$I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IF(R242="","",IFERROR(MATCH(R242,希望入力!$M$5:$M$554,0),""))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50">
        <f>IF(P243="","",INDEX(前年度名簿!$H$3:$H$452,P243))</f>
        <v/>
      </c>
      <c r="B243" s="50">
        <f>IF(P243="","",IFERROR(INDEX(設定!$G$8:$G$31,INT(INDEX(前年度名簿!$G$3:$G$452,P243)/1000)),INDEX(前年度名簿!$A$3:$A$452,P243)&amp;INDEX(前年度名簿!$B$3:$B$452,P243)))</f>
        <v/>
      </c>
      <c r="C243" s="50">
        <f>IF(P243="","",INDEX(前年度名簿!$C$3:$C$452,P243))</f>
        <v/>
      </c>
      <c r="D243" s="4">
        <f>IF(P243="","",INDEX(前年度名簿!$D$3:$D$452,P243))</f>
        <v/>
      </c>
      <c r="E243" s="50">
        <f>IF(T243="","",INDEX(新年度名簿!$K$3:$K$452,T243))</f>
        <v/>
      </c>
      <c r="F243" s="50">
        <f>IF(T243="","",INDEX(新年度名簿!$C$3:$C$452,T243))</f>
        <v/>
      </c>
      <c r="G243" s="50">
        <f>IF(Q243="","",INDEX(希望入力!$H$5:$H$554,Q243)&amp;"")</f>
        <v/>
      </c>
      <c r="H243" s="50">
        <f>IF(Q243="","",INDEX(希望入力!$I$5:$I$554,Q243)&amp;"")</f>
        <v/>
      </c>
      <c r="I243" s="50">
        <f>IF(Q243="","",INDEX(希望入力!$J$5:$J$554,Q243)&amp;"")</f>
        <v/>
      </c>
      <c r="J243" s="50">
        <f>IF(Q243="","",IF(G243="転出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)</f>
        <v/>
      </c>
      <c r="K243" s="49" t="n"/>
      <c r="L243" s="56">
        <f>IF(P243="","",IF(G243="転出","",IF(K243&lt;&gt;"",K243,IF(OR(J243="",J243="要調整"),"",J243))))</f>
        <v/>
      </c>
      <c r="M243" s="50">
        <f>IF(P243="","",IF(OR(G243="転出",AND(計算用!$B$1=1,T243="")),"転出",IF(L243&lt;&gt;"","決定",IF(Q243="","未提出","要調整"))))</f>
        <v/>
      </c>
      <c r="N243" s="50">
        <f>IF(OR(M243&lt;&gt;"要調整",H243=""),"",IFERROR((INDEX(設定!$Q$8:$Q$27,MATCH(H243,設定!$P$8:$P$27,0))+N(INDEX(設定!$R$8:$R$27,MATCH(H243,設定!$P$8:$P$27,0))))-INDEX(定員チェック!$I$7:$I$26,MATCH(H243,設定!$P$8:$P$27,0))-COUNTIFS($M$7:$M$456,"要調整",$G$7:$G$456,H243),""))</f>
        <v/>
      </c>
      <c r="O243" s="50">
        <f>IF(OR(M243&lt;&gt;"要調整",I243=""),"",IFERROR((INDEX(設定!$Q$8:$Q$27,MATCH(I243,設定!$P$8:$P$27,0))+N(INDEX(設定!$R$8:$R$27,MATCH(I243,設定!$P$8:$P$27,0))))-INDEX(定員チェック!$I$7:$I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IF(R243="","",IFERROR(MATCH(R243,希望入力!$M$5:$M$554,0),""))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50">
        <f>IF(P244="","",INDEX(前年度名簿!$H$3:$H$452,P244))</f>
        <v/>
      </c>
      <c r="B244" s="50">
        <f>IF(P244="","",IFERROR(INDEX(設定!$G$8:$G$31,INT(INDEX(前年度名簿!$G$3:$G$452,P244)/1000)),INDEX(前年度名簿!$A$3:$A$452,P244)&amp;INDEX(前年度名簿!$B$3:$B$452,P244)))</f>
        <v/>
      </c>
      <c r="C244" s="50">
        <f>IF(P244="","",INDEX(前年度名簿!$C$3:$C$452,P244))</f>
        <v/>
      </c>
      <c r="D244" s="4">
        <f>IF(P244="","",INDEX(前年度名簿!$D$3:$D$452,P244))</f>
        <v/>
      </c>
      <c r="E244" s="50">
        <f>IF(T244="","",INDEX(新年度名簿!$K$3:$K$452,T244))</f>
        <v/>
      </c>
      <c r="F244" s="50">
        <f>IF(T244="","",INDEX(新年度名簿!$C$3:$C$452,T244))</f>
        <v/>
      </c>
      <c r="G244" s="50">
        <f>IF(Q244="","",INDEX(希望入力!$H$5:$H$554,Q244)&amp;"")</f>
        <v/>
      </c>
      <c r="H244" s="50">
        <f>IF(Q244="","",INDEX(希望入力!$I$5:$I$554,Q244)&amp;"")</f>
        <v/>
      </c>
      <c r="I244" s="50">
        <f>IF(Q244="","",INDEX(希望入力!$J$5:$J$554,Q244)&amp;"")</f>
        <v/>
      </c>
      <c r="J244" s="50">
        <f>IF(Q244="","",IF(G244="転出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)</f>
        <v/>
      </c>
      <c r="K244" s="49" t="n"/>
      <c r="L244" s="56">
        <f>IF(P244="","",IF(G244="転出","",IF(K244&lt;&gt;"",K244,IF(OR(J244="",J244="要調整"),"",J244))))</f>
        <v/>
      </c>
      <c r="M244" s="50">
        <f>IF(P244="","",IF(OR(G244="転出",AND(計算用!$B$1=1,T244="")),"転出",IF(L244&lt;&gt;"","決定",IF(Q244="","未提出","要調整"))))</f>
        <v/>
      </c>
      <c r="N244" s="50">
        <f>IF(OR(M244&lt;&gt;"要調整",H244=""),"",IFERROR((INDEX(設定!$Q$8:$Q$27,MATCH(H244,設定!$P$8:$P$27,0))+N(INDEX(設定!$R$8:$R$27,MATCH(H244,設定!$P$8:$P$27,0))))-INDEX(定員チェック!$I$7:$I$26,MATCH(H244,設定!$P$8:$P$27,0))-COUNTIFS($M$7:$M$456,"要調整",$G$7:$G$456,H244),""))</f>
        <v/>
      </c>
      <c r="O244" s="50">
        <f>IF(OR(M244&lt;&gt;"要調整",I244=""),"",IFERROR((INDEX(設定!$Q$8:$Q$27,MATCH(I244,設定!$P$8:$P$27,0))+N(INDEX(設定!$R$8:$R$27,MATCH(I244,設定!$P$8:$P$27,0))))-INDEX(定員チェック!$I$7:$I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IF(R244="","",IFERROR(MATCH(R244,希望入力!$M$5:$M$554,0),""))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50">
        <f>IF(P245="","",INDEX(前年度名簿!$H$3:$H$452,P245))</f>
        <v/>
      </c>
      <c r="B245" s="50">
        <f>IF(P245="","",IFERROR(INDEX(設定!$G$8:$G$31,INT(INDEX(前年度名簿!$G$3:$G$452,P245)/1000)),INDEX(前年度名簿!$A$3:$A$452,P245)&amp;INDEX(前年度名簿!$B$3:$B$452,P245)))</f>
        <v/>
      </c>
      <c r="C245" s="50">
        <f>IF(P245="","",INDEX(前年度名簿!$C$3:$C$452,P245))</f>
        <v/>
      </c>
      <c r="D245" s="4">
        <f>IF(P245="","",INDEX(前年度名簿!$D$3:$D$452,P245))</f>
        <v/>
      </c>
      <c r="E245" s="50">
        <f>IF(T245="","",INDEX(新年度名簿!$K$3:$K$452,T245))</f>
        <v/>
      </c>
      <c r="F245" s="50">
        <f>IF(T245="","",INDEX(新年度名簿!$C$3:$C$452,T245))</f>
        <v/>
      </c>
      <c r="G245" s="50">
        <f>IF(Q245="","",INDEX(希望入力!$H$5:$H$554,Q245)&amp;"")</f>
        <v/>
      </c>
      <c r="H245" s="50">
        <f>IF(Q245="","",INDEX(希望入力!$I$5:$I$554,Q245)&amp;"")</f>
        <v/>
      </c>
      <c r="I245" s="50">
        <f>IF(Q245="","",INDEX(希望入力!$J$5:$J$554,Q245)&amp;"")</f>
        <v/>
      </c>
      <c r="J245" s="50">
        <f>IF(Q245="","",IF(G245="転出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)</f>
        <v/>
      </c>
      <c r="K245" s="49" t="n"/>
      <c r="L245" s="56">
        <f>IF(P245="","",IF(G245="転出","",IF(K245&lt;&gt;"",K245,IF(OR(J245="",J245="要調整"),"",J245))))</f>
        <v/>
      </c>
      <c r="M245" s="50">
        <f>IF(P245="","",IF(OR(G245="転出",AND(計算用!$B$1=1,T245="")),"転出",IF(L245&lt;&gt;"","決定",IF(Q245="","未提出","要調整"))))</f>
        <v/>
      </c>
      <c r="N245" s="50">
        <f>IF(OR(M245&lt;&gt;"要調整",H245=""),"",IFERROR((INDEX(設定!$Q$8:$Q$27,MATCH(H245,設定!$P$8:$P$27,0))+N(INDEX(設定!$R$8:$R$27,MATCH(H245,設定!$P$8:$P$27,0))))-INDEX(定員チェック!$I$7:$I$26,MATCH(H245,設定!$P$8:$P$27,0))-COUNTIFS($M$7:$M$456,"要調整",$G$7:$G$456,H245),""))</f>
        <v/>
      </c>
      <c r="O245" s="50">
        <f>IF(OR(M245&lt;&gt;"要調整",I245=""),"",IFERROR((INDEX(設定!$Q$8:$Q$27,MATCH(I245,設定!$P$8:$P$27,0))+N(INDEX(設定!$R$8:$R$27,MATCH(I245,設定!$P$8:$P$27,0))))-INDEX(定員チェック!$I$7:$I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IF(R245="","",IFERROR(MATCH(R245,希望入力!$M$5:$M$554,0),""))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50">
        <f>IF(P246="","",INDEX(前年度名簿!$H$3:$H$452,P246))</f>
        <v/>
      </c>
      <c r="B246" s="50">
        <f>IF(P246="","",IFERROR(INDEX(設定!$G$8:$G$31,INT(INDEX(前年度名簿!$G$3:$G$452,P246)/1000)),INDEX(前年度名簿!$A$3:$A$452,P246)&amp;INDEX(前年度名簿!$B$3:$B$452,P246)))</f>
        <v/>
      </c>
      <c r="C246" s="50">
        <f>IF(P246="","",INDEX(前年度名簿!$C$3:$C$452,P246))</f>
        <v/>
      </c>
      <c r="D246" s="4">
        <f>IF(P246="","",INDEX(前年度名簿!$D$3:$D$452,P246))</f>
        <v/>
      </c>
      <c r="E246" s="50">
        <f>IF(T246="","",INDEX(新年度名簿!$K$3:$K$452,T246))</f>
        <v/>
      </c>
      <c r="F246" s="50">
        <f>IF(T246="","",INDEX(新年度名簿!$C$3:$C$452,T246))</f>
        <v/>
      </c>
      <c r="G246" s="50">
        <f>IF(Q246="","",INDEX(希望入力!$H$5:$H$554,Q246)&amp;"")</f>
        <v/>
      </c>
      <c r="H246" s="50">
        <f>IF(Q246="","",INDEX(希望入力!$I$5:$I$554,Q246)&amp;"")</f>
        <v/>
      </c>
      <c r="I246" s="50">
        <f>IF(Q246="","",INDEX(希望入力!$J$5:$J$554,Q246)&amp;"")</f>
        <v/>
      </c>
      <c r="J246" s="50">
        <f>IF(Q246="","",IF(G246="転出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)</f>
        <v/>
      </c>
      <c r="K246" s="49" t="n"/>
      <c r="L246" s="56">
        <f>IF(P246="","",IF(G246="転出","",IF(K246&lt;&gt;"",K246,IF(OR(J246="",J246="要調整"),"",J246))))</f>
        <v/>
      </c>
      <c r="M246" s="50">
        <f>IF(P246="","",IF(OR(G246="転出",AND(計算用!$B$1=1,T246="")),"転出",IF(L246&lt;&gt;"","決定",IF(Q246="","未提出","要調整"))))</f>
        <v/>
      </c>
      <c r="N246" s="50">
        <f>IF(OR(M246&lt;&gt;"要調整",H246=""),"",IFERROR((INDEX(設定!$Q$8:$Q$27,MATCH(H246,設定!$P$8:$P$27,0))+N(INDEX(設定!$R$8:$R$27,MATCH(H246,設定!$P$8:$P$27,0))))-INDEX(定員チェック!$I$7:$I$26,MATCH(H246,設定!$P$8:$P$27,0))-COUNTIFS($M$7:$M$456,"要調整",$G$7:$G$456,H246),""))</f>
        <v/>
      </c>
      <c r="O246" s="50">
        <f>IF(OR(M246&lt;&gt;"要調整",I246=""),"",IFERROR((INDEX(設定!$Q$8:$Q$27,MATCH(I246,設定!$P$8:$P$27,0))+N(INDEX(設定!$R$8:$R$27,MATCH(I246,設定!$P$8:$P$27,0))))-INDEX(定員チェック!$I$7:$I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IF(R246="","",IFERROR(MATCH(R246,希望入力!$M$5:$M$554,0),""))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50">
        <f>IF(P247="","",INDEX(前年度名簿!$H$3:$H$452,P247))</f>
        <v/>
      </c>
      <c r="B247" s="50">
        <f>IF(P247="","",IFERROR(INDEX(設定!$G$8:$G$31,INT(INDEX(前年度名簿!$G$3:$G$452,P247)/1000)),INDEX(前年度名簿!$A$3:$A$452,P247)&amp;INDEX(前年度名簿!$B$3:$B$452,P247)))</f>
        <v/>
      </c>
      <c r="C247" s="50">
        <f>IF(P247="","",INDEX(前年度名簿!$C$3:$C$452,P247))</f>
        <v/>
      </c>
      <c r="D247" s="4">
        <f>IF(P247="","",INDEX(前年度名簿!$D$3:$D$452,P247))</f>
        <v/>
      </c>
      <c r="E247" s="50">
        <f>IF(T247="","",INDEX(新年度名簿!$K$3:$K$452,T247))</f>
        <v/>
      </c>
      <c r="F247" s="50">
        <f>IF(T247="","",INDEX(新年度名簿!$C$3:$C$452,T247))</f>
        <v/>
      </c>
      <c r="G247" s="50">
        <f>IF(Q247="","",INDEX(希望入力!$H$5:$H$554,Q247)&amp;"")</f>
        <v/>
      </c>
      <c r="H247" s="50">
        <f>IF(Q247="","",INDEX(希望入力!$I$5:$I$554,Q247)&amp;"")</f>
        <v/>
      </c>
      <c r="I247" s="50">
        <f>IF(Q247="","",INDEX(希望入力!$J$5:$J$554,Q247)&amp;"")</f>
        <v/>
      </c>
      <c r="J247" s="50">
        <f>IF(Q247="","",IF(G247="転出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)</f>
        <v/>
      </c>
      <c r="K247" s="49" t="n"/>
      <c r="L247" s="56">
        <f>IF(P247="","",IF(G247="転出","",IF(K247&lt;&gt;"",K247,IF(OR(J247="",J247="要調整"),"",J247))))</f>
        <v/>
      </c>
      <c r="M247" s="50">
        <f>IF(P247="","",IF(OR(G247="転出",AND(計算用!$B$1=1,T247="")),"転出",IF(L247&lt;&gt;"","決定",IF(Q247="","未提出","要調整"))))</f>
        <v/>
      </c>
      <c r="N247" s="50">
        <f>IF(OR(M247&lt;&gt;"要調整",H247=""),"",IFERROR((INDEX(設定!$Q$8:$Q$27,MATCH(H247,設定!$P$8:$P$27,0))+N(INDEX(設定!$R$8:$R$27,MATCH(H247,設定!$P$8:$P$27,0))))-INDEX(定員チェック!$I$7:$I$26,MATCH(H247,設定!$P$8:$P$27,0))-COUNTIFS($M$7:$M$456,"要調整",$G$7:$G$456,H247),""))</f>
        <v/>
      </c>
      <c r="O247" s="50">
        <f>IF(OR(M247&lt;&gt;"要調整",I247=""),"",IFERROR((INDEX(設定!$Q$8:$Q$27,MATCH(I247,設定!$P$8:$P$27,0))+N(INDEX(設定!$R$8:$R$27,MATCH(I247,設定!$P$8:$P$27,0))))-INDEX(定員チェック!$I$7:$I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IF(R247="","",IFERROR(MATCH(R247,希望入力!$M$5:$M$554,0),""))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50">
        <f>IF(P248="","",INDEX(前年度名簿!$H$3:$H$452,P248))</f>
        <v/>
      </c>
      <c r="B248" s="50">
        <f>IF(P248="","",IFERROR(INDEX(設定!$G$8:$G$31,INT(INDEX(前年度名簿!$G$3:$G$452,P248)/1000)),INDEX(前年度名簿!$A$3:$A$452,P248)&amp;INDEX(前年度名簿!$B$3:$B$452,P248)))</f>
        <v/>
      </c>
      <c r="C248" s="50">
        <f>IF(P248="","",INDEX(前年度名簿!$C$3:$C$452,P248))</f>
        <v/>
      </c>
      <c r="D248" s="4">
        <f>IF(P248="","",INDEX(前年度名簿!$D$3:$D$452,P248))</f>
        <v/>
      </c>
      <c r="E248" s="50">
        <f>IF(T248="","",INDEX(新年度名簿!$K$3:$K$452,T248))</f>
        <v/>
      </c>
      <c r="F248" s="50">
        <f>IF(T248="","",INDEX(新年度名簿!$C$3:$C$452,T248))</f>
        <v/>
      </c>
      <c r="G248" s="50">
        <f>IF(Q248="","",INDEX(希望入力!$H$5:$H$554,Q248)&amp;"")</f>
        <v/>
      </c>
      <c r="H248" s="50">
        <f>IF(Q248="","",INDEX(希望入力!$I$5:$I$554,Q248)&amp;"")</f>
        <v/>
      </c>
      <c r="I248" s="50">
        <f>IF(Q248="","",INDEX(希望入力!$J$5:$J$554,Q248)&amp;"")</f>
        <v/>
      </c>
      <c r="J248" s="50">
        <f>IF(Q248="","",IF(G248="転出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)</f>
        <v/>
      </c>
      <c r="K248" s="49" t="n"/>
      <c r="L248" s="56">
        <f>IF(P248="","",IF(G248="転出","",IF(K248&lt;&gt;"",K248,IF(OR(J248="",J248="要調整"),"",J248))))</f>
        <v/>
      </c>
      <c r="M248" s="50">
        <f>IF(P248="","",IF(OR(G248="転出",AND(計算用!$B$1=1,T248="")),"転出",IF(L248&lt;&gt;"","決定",IF(Q248="","未提出","要調整"))))</f>
        <v/>
      </c>
      <c r="N248" s="50">
        <f>IF(OR(M248&lt;&gt;"要調整",H248=""),"",IFERROR((INDEX(設定!$Q$8:$Q$27,MATCH(H248,設定!$P$8:$P$27,0))+N(INDEX(設定!$R$8:$R$27,MATCH(H248,設定!$P$8:$P$27,0))))-INDEX(定員チェック!$I$7:$I$26,MATCH(H248,設定!$P$8:$P$27,0))-COUNTIFS($M$7:$M$456,"要調整",$G$7:$G$456,H248),""))</f>
        <v/>
      </c>
      <c r="O248" s="50">
        <f>IF(OR(M248&lt;&gt;"要調整",I248=""),"",IFERROR((INDEX(設定!$Q$8:$Q$27,MATCH(I248,設定!$P$8:$P$27,0))+N(INDEX(設定!$R$8:$R$27,MATCH(I248,設定!$P$8:$P$27,0))))-INDEX(定員チェック!$I$7:$I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IF(R248="","",IFERROR(MATCH(R248,希望入力!$M$5:$M$554,0),""))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50">
        <f>IF(P249="","",INDEX(前年度名簿!$H$3:$H$452,P249))</f>
        <v/>
      </c>
      <c r="B249" s="50">
        <f>IF(P249="","",IFERROR(INDEX(設定!$G$8:$G$31,INT(INDEX(前年度名簿!$G$3:$G$452,P249)/1000)),INDEX(前年度名簿!$A$3:$A$452,P249)&amp;INDEX(前年度名簿!$B$3:$B$452,P249)))</f>
        <v/>
      </c>
      <c r="C249" s="50">
        <f>IF(P249="","",INDEX(前年度名簿!$C$3:$C$452,P249))</f>
        <v/>
      </c>
      <c r="D249" s="4">
        <f>IF(P249="","",INDEX(前年度名簿!$D$3:$D$452,P249))</f>
        <v/>
      </c>
      <c r="E249" s="50">
        <f>IF(T249="","",INDEX(新年度名簿!$K$3:$K$452,T249))</f>
        <v/>
      </c>
      <c r="F249" s="50">
        <f>IF(T249="","",INDEX(新年度名簿!$C$3:$C$452,T249))</f>
        <v/>
      </c>
      <c r="G249" s="50">
        <f>IF(Q249="","",INDEX(希望入力!$H$5:$H$554,Q249)&amp;"")</f>
        <v/>
      </c>
      <c r="H249" s="50">
        <f>IF(Q249="","",INDEX(希望入力!$I$5:$I$554,Q249)&amp;"")</f>
        <v/>
      </c>
      <c r="I249" s="50">
        <f>IF(Q249="","",INDEX(希望入力!$J$5:$J$554,Q249)&amp;"")</f>
        <v/>
      </c>
      <c r="J249" s="50">
        <f>IF(Q249="","",IF(G249="転出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)</f>
        <v/>
      </c>
      <c r="K249" s="49" t="n"/>
      <c r="L249" s="56">
        <f>IF(P249="","",IF(G249="転出","",IF(K249&lt;&gt;"",K249,IF(OR(J249="",J249="要調整"),"",J249))))</f>
        <v/>
      </c>
      <c r="M249" s="50">
        <f>IF(P249="","",IF(OR(G249="転出",AND(計算用!$B$1=1,T249="")),"転出",IF(L249&lt;&gt;"","決定",IF(Q249="","未提出","要調整"))))</f>
        <v/>
      </c>
      <c r="N249" s="50">
        <f>IF(OR(M249&lt;&gt;"要調整",H249=""),"",IFERROR((INDEX(設定!$Q$8:$Q$27,MATCH(H249,設定!$P$8:$P$27,0))+N(INDEX(設定!$R$8:$R$27,MATCH(H249,設定!$P$8:$P$27,0))))-INDEX(定員チェック!$I$7:$I$26,MATCH(H249,設定!$P$8:$P$27,0))-COUNTIFS($M$7:$M$456,"要調整",$G$7:$G$456,H249),""))</f>
        <v/>
      </c>
      <c r="O249" s="50">
        <f>IF(OR(M249&lt;&gt;"要調整",I249=""),"",IFERROR((INDEX(設定!$Q$8:$Q$27,MATCH(I249,設定!$P$8:$P$27,0))+N(INDEX(設定!$R$8:$R$27,MATCH(I249,設定!$P$8:$P$27,0))))-INDEX(定員チェック!$I$7:$I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IF(R249="","",IFERROR(MATCH(R249,希望入力!$M$5:$M$554,0),""))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50">
        <f>IF(P250="","",INDEX(前年度名簿!$H$3:$H$452,P250))</f>
        <v/>
      </c>
      <c r="B250" s="50">
        <f>IF(P250="","",IFERROR(INDEX(設定!$G$8:$G$31,INT(INDEX(前年度名簿!$G$3:$G$452,P250)/1000)),INDEX(前年度名簿!$A$3:$A$452,P250)&amp;INDEX(前年度名簿!$B$3:$B$452,P250)))</f>
        <v/>
      </c>
      <c r="C250" s="50">
        <f>IF(P250="","",INDEX(前年度名簿!$C$3:$C$452,P250))</f>
        <v/>
      </c>
      <c r="D250" s="4">
        <f>IF(P250="","",INDEX(前年度名簿!$D$3:$D$452,P250))</f>
        <v/>
      </c>
      <c r="E250" s="50">
        <f>IF(T250="","",INDEX(新年度名簿!$K$3:$K$452,T250))</f>
        <v/>
      </c>
      <c r="F250" s="50">
        <f>IF(T250="","",INDEX(新年度名簿!$C$3:$C$452,T250))</f>
        <v/>
      </c>
      <c r="G250" s="50">
        <f>IF(Q250="","",INDEX(希望入力!$H$5:$H$554,Q250)&amp;"")</f>
        <v/>
      </c>
      <c r="H250" s="50">
        <f>IF(Q250="","",INDEX(希望入力!$I$5:$I$554,Q250)&amp;"")</f>
        <v/>
      </c>
      <c r="I250" s="50">
        <f>IF(Q250="","",INDEX(希望入力!$J$5:$J$554,Q250)&amp;"")</f>
        <v/>
      </c>
      <c r="J250" s="50">
        <f>IF(Q250="","",IF(G250="転出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)</f>
        <v/>
      </c>
      <c r="K250" s="49" t="n"/>
      <c r="L250" s="56">
        <f>IF(P250="","",IF(G250="転出","",IF(K250&lt;&gt;"",K250,IF(OR(J250="",J250="要調整"),"",J250))))</f>
        <v/>
      </c>
      <c r="M250" s="50">
        <f>IF(P250="","",IF(OR(G250="転出",AND(計算用!$B$1=1,T250="")),"転出",IF(L250&lt;&gt;"","決定",IF(Q250="","未提出","要調整"))))</f>
        <v/>
      </c>
      <c r="N250" s="50">
        <f>IF(OR(M250&lt;&gt;"要調整",H250=""),"",IFERROR((INDEX(設定!$Q$8:$Q$27,MATCH(H250,設定!$P$8:$P$27,0))+N(INDEX(設定!$R$8:$R$27,MATCH(H250,設定!$P$8:$P$27,0))))-INDEX(定員チェック!$I$7:$I$26,MATCH(H250,設定!$P$8:$P$27,0))-COUNTIFS($M$7:$M$456,"要調整",$G$7:$G$456,H250),""))</f>
        <v/>
      </c>
      <c r="O250" s="50">
        <f>IF(OR(M250&lt;&gt;"要調整",I250=""),"",IFERROR((INDEX(設定!$Q$8:$Q$27,MATCH(I250,設定!$P$8:$P$27,0))+N(INDEX(設定!$R$8:$R$27,MATCH(I250,設定!$P$8:$P$27,0))))-INDEX(定員チェック!$I$7:$I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IF(R250="","",IFERROR(MATCH(R250,希望入力!$M$5:$M$554,0),""))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50">
        <f>IF(P251="","",INDEX(前年度名簿!$H$3:$H$452,P251))</f>
        <v/>
      </c>
      <c r="B251" s="50">
        <f>IF(P251="","",IFERROR(INDEX(設定!$G$8:$G$31,INT(INDEX(前年度名簿!$G$3:$G$452,P251)/1000)),INDEX(前年度名簿!$A$3:$A$452,P251)&amp;INDEX(前年度名簿!$B$3:$B$452,P251)))</f>
        <v/>
      </c>
      <c r="C251" s="50">
        <f>IF(P251="","",INDEX(前年度名簿!$C$3:$C$452,P251))</f>
        <v/>
      </c>
      <c r="D251" s="4">
        <f>IF(P251="","",INDEX(前年度名簿!$D$3:$D$452,P251))</f>
        <v/>
      </c>
      <c r="E251" s="50">
        <f>IF(T251="","",INDEX(新年度名簿!$K$3:$K$452,T251))</f>
        <v/>
      </c>
      <c r="F251" s="50">
        <f>IF(T251="","",INDEX(新年度名簿!$C$3:$C$452,T251))</f>
        <v/>
      </c>
      <c r="G251" s="50">
        <f>IF(Q251="","",INDEX(希望入力!$H$5:$H$554,Q251)&amp;"")</f>
        <v/>
      </c>
      <c r="H251" s="50">
        <f>IF(Q251="","",INDEX(希望入力!$I$5:$I$554,Q251)&amp;"")</f>
        <v/>
      </c>
      <c r="I251" s="50">
        <f>IF(Q251="","",INDEX(希望入力!$J$5:$J$554,Q251)&amp;"")</f>
        <v/>
      </c>
      <c r="J251" s="50">
        <f>IF(Q251="","",IF(G251="転出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)</f>
        <v/>
      </c>
      <c r="K251" s="49" t="n"/>
      <c r="L251" s="56">
        <f>IF(P251="","",IF(G251="転出","",IF(K251&lt;&gt;"",K251,IF(OR(J251="",J251="要調整"),"",J251))))</f>
        <v/>
      </c>
      <c r="M251" s="50">
        <f>IF(P251="","",IF(OR(G251="転出",AND(計算用!$B$1=1,T251="")),"転出",IF(L251&lt;&gt;"","決定",IF(Q251="","未提出","要調整"))))</f>
        <v/>
      </c>
      <c r="N251" s="50">
        <f>IF(OR(M251&lt;&gt;"要調整",H251=""),"",IFERROR((INDEX(設定!$Q$8:$Q$27,MATCH(H251,設定!$P$8:$P$27,0))+N(INDEX(設定!$R$8:$R$27,MATCH(H251,設定!$P$8:$P$27,0))))-INDEX(定員チェック!$I$7:$I$26,MATCH(H251,設定!$P$8:$P$27,0))-COUNTIFS($M$7:$M$456,"要調整",$G$7:$G$456,H251),""))</f>
        <v/>
      </c>
      <c r="O251" s="50">
        <f>IF(OR(M251&lt;&gt;"要調整",I251=""),"",IFERROR((INDEX(設定!$Q$8:$Q$27,MATCH(I251,設定!$P$8:$P$27,0))+N(INDEX(設定!$R$8:$R$27,MATCH(I251,設定!$P$8:$P$27,0))))-INDEX(定員チェック!$I$7:$I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IF(R251="","",IFERROR(MATCH(R251,希望入力!$M$5:$M$554,0),""))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50">
        <f>IF(P252="","",INDEX(前年度名簿!$H$3:$H$452,P252))</f>
        <v/>
      </c>
      <c r="B252" s="50">
        <f>IF(P252="","",IFERROR(INDEX(設定!$G$8:$G$31,INT(INDEX(前年度名簿!$G$3:$G$452,P252)/1000)),INDEX(前年度名簿!$A$3:$A$452,P252)&amp;INDEX(前年度名簿!$B$3:$B$452,P252)))</f>
        <v/>
      </c>
      <c r="C252" s="50">
        <f>IF(P252="","",INDEX(前年度名簿!$C$3:$C$452,P252))</f>
        <v/>
      </c>
      <c r="D252" s="4">
        <f>IF(P252="","",INDEX(前年度名簿!$D$3:$D$452,P252))</f>
        <v/>
      </c>
      <c r="E252" s="50">
        <f>IF(T252="","",INDEX(新年度名簿!$K$3:$K$452,T252))</f>
        <v/>
      </c>
      <c r="F252" s="50">
        <f>IF(T252="","",INDEX(新年度名簿!$C$3:$C$452,T252))</f>
        <v/>
      </c>
      <c r="G252" s="50">
        <f>IF(Q252="","",INDEX(希望入力!$H$5:$H$554,Q252)&amp;"")</f>
        <v/>
      </c>
      <c r="H252" s="50">
        <f>IF(Q252="","",INDEX(希望入力!$I$5:$I$554,Q252)&amp;"")</f>
        <v/>
      </c>
      <c r="I252" s="50">
        <f>IF(Q252="","",INDEX(希望入力!$J$5:$J$554,Q252)&amp;"")</f>
        <v/>
      </c>
      <c r="J252" s="50">
        <f>IF(Q252="","",IF(G252="転出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)</f>
        <v/>
      </c>
      <c r="K252" s="49" t="n"/>
      <c r="L252" s="56">
        <f>IF(P252="","",IF(G252="転出","",IF(K252&lt;&gt;"",K252,IF(OR(J252="",J252="要調整"),"",J252))))</f>
        <v/>
      </c>
      <c r="M252" s="50">
        <f>IF(P252="","",IF(OR(G252="転出",AND(計算用!$B$1=1,T252="")),"転出",IF(L252&lt;&gt;"","決定",IF(Q252="","未提出","要調整"))))</f>
        <v/>
      </c>
      <c r="N252" s="50">
        <f>IF(OR(M252&lt;&gt;"要調整",H252=""),"",IFERROR((INDEX(設定!$Q$8:$Q$27,MATCH(H252,設定!$P$8:$P$27,0))+N(INDEX(設定!$R$8:$R$27,MATCH(H252,設定!$P$8:$P$27,0))))-INDEX(定員チェック!$I$7:$I$26,MATCH(H252,設定!$P$8:$P$27,0))-COUNTIFS($M$7:$M$456,"要調整",$G$7:$G$456,H252),""))</f>
        <v/>
      </c>
      <c r="O252" s="50">
        <f>IF(OR(M252&lt;&gt;"要調整",I252=""),"",IFERROR((INDEX(設定!$Q$8:$Q$27,MATCH(I252,設定!$P$8:$P$27,0))+N(INDEX(設定!$R$8:$R$27,MATCH(I252,設定!$P$8:$P$27,0))))-INDEX(定員チェック!$I$7:$I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IF(R252="","",IFERROR(MATCH(R252,希望入力!$M$5:$M$554,0),""))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50">
        <f>IF(P253="","",INDEX(前年度名簿!$H$3:$H$452,P253))</f>
        <v/>
      </c>
      <c r="B253" s="50">
        <f>IF(P253="","",IFERROR(INDEX(設定!$G$8:$G$31,INT(INDEX(前年度名簿!$G$3:$G$452,P253)/1000)),INDEX(前年度名簿!$A$3:$A$452,P253)&amp;INDEX(前年度名簿!$B$3:$B$452,P253)))</f>
        <v/>
      </c>
      <c r="C253" s="50">
        <f>IF(P253="","",INDEX(前年度名簿!$C$3:$C$452,P253))</f>
        <v/>
      </c>
      <c r="D253" s="4">
        <f>IF(P253="","",INDEX(前年度名簿!$D$3:$D$452,P253))</f>
        <v/>
      </c>
      <c r="E253" s="50">
        <f>IF(T253="","",INDEX(新年度名簿!$K$3:$K$452,T253))</f>
        <v/>
      </c>
      <c r="F253" s="50">
        <f>IF(T253="","",INDEX(新年度名簿!$C$3:$C$452,T253))</f>
        <v/>
      </c>
      <c r="G253" s="50">
        <f>IF(Q253="","",INDEX(希望入力!$H$5:$H$554,Q253)&amp;"")</f>
        <v/>
      </c>
      <c r="H253" s="50">
        <f>IF(Q253="","",INDEX(希望入力!$I$5:$I$554,Q253)&amp;"")</f>
        <v/>
      </c>
      <c r="I253" s="50">
        <f>IF(Q253="","",INDEX(希望入力!$J$5:$J$554,Q253)&amp;"")</f>
        <v/>
      </c>
      <c r="J253" s="50">
        <f>IF(Q253="","",IF(G253="転出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)</f>
        <v/>
      </c>
      <c r="K253" s="49" t="n"/>
      <c r="L253" s="56">
        <f>IF(P253="","",IF(G253="転出","",IF(K253&lt;&gt;"",K253,IF(OR(J253="",J253="要調整"),"",J253))))</f>
        <v/>
      </c>
      <c r="M253" s="50">
        <f>IF(P253="","",IF(OR(G253="転出",AND(計算用!$B$1=1,T253="")),"転出",IF(L253&lt;&gt;"","決定",IF(Q253="","未提出","要調整"))))</f>
        <v/>
      </c>
      <c r="N253" s="50">
        <f>IF(OR(M253&lt;&gt;"要調整",H253=""),"",IFERROR((INDEX(設定!$Q$8:$Q$27,MATCH(H253,設定!$P$8:$P$27,0))+N(INDEX(設定!$R$8:$R$27,MATCH(H253,設定!$P$8:$P$27,0))))-INDEX(定員チェック!$I$7:$I$26,MATCH(H253,設定!$P$8:$P$27,0))-COUNTIFS($M$7:$M$456,"要調整",$G$7:$G$456,H253),""))</f>
        <v/>
      </c>
      <c r="O253" s="50">
        <f>IF(OR(M253&lt;&gt;"要調整",I253=""),"",IFERROR((INDEX(設定!$Q$8:$Q$27,MATCH(I253,設定!$P$8:$P$27,0))+N(INDEX(設定!$R$8:$R$27,MATCH(I253,設定!$P$8:$P$27,0))))-INDEX(定員チェック!$I$7:$I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IF(R253="","",IFERROR(MATCH(R253,希望入力!$M$5:$M$554,0),""))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50">
        <f>IF(P254="","",INDEX(前年度名簿!$H$3:$H$452,P254))</f>
        <v/>
      </c>
      <c r="B254" s="50">
        <f>IF(P254="","",IFERROR(INDEX(設定!$G$8:$G$31,INT(INDEX(前年度名簿!$G$3:$G$452,P254)/1000)),INDEX(前年度名簿!$A$3:$A$452,P254)&amp;INDEX(前年度名簿!$B$3:$B$452,P254)))</f>
        <v/>
      </c>
      <c r="C254" s="50">
        <f>IF(P254="","",INDEX(前年度名簿!$C$3:$C$452,P254))</f>
        <v/>
      </c>
      <c r="D254" s="4">
        <f>IF(P254="","",INDEX(前年度名簿!$D$3:$D$452,P254))</f>
        <v/>
      </c>
      <c r="E254" s="50">
        <f>IF(T254="","",INDEX(新年度名簿!$K$3:$K$452,T254))</f>
        <v/>
      </c>
      <c r="F254" s="50">
        <f>IF(T254="","",INDEX(新年度名簿!$C$3:$C$452,T254))</f>
        <v/>
      </c>
      <c r="G254" s="50">
        <f>IF(Q254="","",INDEX(希望入力!$H$5:$H$554,Q254)&amp;"")</f>
        <v/>
      </c>
      <c r="H254" s="50">
        <f>IF(Q254="","",INDEX(希望入力!$I$5:$I$554,Q254)&amp;"")</f>
        <v/>
      </c>
      <c r="I254" s="50">
        <f>IF(Q254="","",INDEX(希望入力!$J$5:$J$554,Q254)&amp;"")</f>
        <v/>
      </c>
      <c r="J254" s="50">
        <f>IF(Q254="","",IF(G254="転出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)</f>
        <v/>
      </c>
      <c r="K254" s="49" t="n"/>
      <c r="L254" s="56">
        <f>IF(P254="","",IF(G254="転出","",IF(K254&lt;&gt;"",K254,IF(OR(J254="",J254="要調整"),"",J254))))</f>
        <v/>
      </c>
      <c r="M254" s="50">
        <f>IF(P254="","",IF(OR(G254="転出",AND(計算用!$B$1=1,T254="")),"転出",IF(L254&lt;&gt;"","決定",IF(Q254="","未提出","要調整"))))</f>
        <v/>
      </c>
      <c r="N254" s="50">
        <f>IF(OR(M254&lt;&gt;"要調整",H254=""),"",IFERROR((INDEX(設定!$Q$8:$Q$27,MATCH(H254,設定!$P$8:$P$27,0))+N(INDEX(設定!$R$8:$R$27,MATCH(H254,設定!$P$8:$P$27,0))))-INDEX(定員チェック!$I$7:$I$26,MATCH(H254,設定!$P$8:$P$27,0))-COUNTIFS($M$7:$M$456,"要調整",$G$7:$G$456,H254),""))</f>
        <v/>
      </c>
      <c r="O254" s="50">
        <f>IF(OR(M254&lt;&gt;"要調整",I254=""),"",IFERROR((INDEX(設定!$Q$8:$Q$27,MATCH(I254,設定!$P$8:$P$27,0))+N(INDEX(設定!$R$8:$R$27,MATCH(I254,設定!$P$8:$P$27,0))))-INDEX(定員チェック!$I$7:$I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IF(R254="","",IFERROR(MATCH(R254,希望入力!$M$5:$M$554,0),""))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50">
        <f>IF(P255="","",INDEX(前年度名簿!$H$3:$H$452,P255))</f>
        <v/>
      </c>
      <c r="B255" s="50">
        <f>IF(P255="","",IFERROR(INDEX(設定!$G$8:$G$31,INT(INDEX(前年度名簿!$G$3:$G$452,P255)/1000)),INDEX(前年度名簿!$A$3:$A$452,P255)&amp;INDEX(前年度名簿!$B$3:$B$452,P255)))</f>
        <v/>
      </c>
      <c r="C255" s="50">
        <f>IF(P255="","",INDEX(前年度名簿!$C$3:$C$452,P255))</f>
        <v/>
      </c>
      <c r="D255" s="4">
        <f>IF(P255="","",INDEX(前年度名簿!$D$3:$D$452,P255))</f>
        <v/>
      </c>
      <c r="E255" s="50">
        <f>IF(T255="","",INDEX(新年度名簿!$K$3:$K$452,T255))</f>
        <v/>
      </c>
      <c r="F255" s="50">
        <f>IF(T255="","",INDEX(新年度名簿!$C$3:$C$452,T255))</f>
        <v/>
      </c>
      <c r="G255" s="50">
        <f>IF(Q255="","",INDEX(希望入力!$H$5:$H$554,Q255)&amp;"")</f>
        <v/>
      </c>
      <c r="H255" s="50">
        <f>IF(Q255="","",INDEX(希望入力!$I$5:$I$554,Q255)&amp;"")</f>
        <v/>
      </c>
      <c r="I255" s="50">
        <f>IF(Q255="","",INDEX(希望入力!$J$5:$J$554,Q255)&amp;"")</f>
        <v/>
      </c>
      <c r="J255" s="50">
        <f>IF(Q255="","",IF(G255="転出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)</f>
        <v/>
      </c>
      <c r="K255" s="49" t="n"/>
      <c r="L255" s="56">
        <f>IF(P255="","",IF(G255="転出","",IF(K255&lt;&gt;"",K255,IF(OR(J255="",J255="要調整"),"",J255))))</f>
        <v/>
      </c>
      <c r="M255" s="50">
        <f>IF(P255="","",IF(OR(G255="転出",AND(計算用!$B$1=1,T255="")),"転出",IF(L255&lt;&gt;"","決定",IF(Q255="","未提出","要調整"))))</f>
        <v/>
      </c>
      <c r="N255" s="50">
        <f>IF(OR(M255&lt;&gt;"要調整",H255=""),"",IFERROR((INDEX(設定!$Q$8:$Q$27,MATCH(H255,設定!$P$8:$P$27,0))+N(INDEX(設定!$R$8:$R$27,MATCH(H255,設定!$P$8:$P$27,0))))-INDEX(定員チェック!$I$7:$I$26,MATCH(H255,設定!$P$8:$P$27,0))-COUNTIFS($M$7:$M$456,"要調整",$G$7:$G$456,H255),""))</f>
        <v/>
      </c>
      <c r="O255" s="50">
        <f>IF(OR(M255&lt;&gt;"要調整",I255=""),"",IFERROR((INDEX(設定!$Q$8:$Q$27,MATCH(I255,設定!$P$8:$P$27,0))+N(INDEX(設定!$R$8:$R$27,MATCH(I255,設定!$P$8:$P$27,0))))-INDEX(定員チェック!$I$7:$I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IF(R255="","",IFERROR(MATCH(R255,希望入力!$M$5:$M$554,0),""))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50">
        <f>IF(P256="","",INDEX(前年度名簿!$H$3:$H$452,P256))</f>
        <v/>
      </c>
      <c r="B256" s="50">
        <f>IF(P256="","",IFERROR(INDEX(設定!$G$8:$G$31,INT(INDEX(前年度名簿!$G$3:$G$452,P256)/1000)),INDEX(前年度名簿!$A$3:$A$452,P256)&amp;INDEX(前年度名簿!$B$3:$B$452,P256)))</f>
        <v/>
      </c>
      <c r="C256" s="50">
        <f>IF(P256="","",INDEX(前年度名簿!$C$3:$C$452,P256))</f>
        <v/>
      </c>
      <c r="D256" s="4">
        <f>IF(P256="","",INDEX(前年度名簿!$D$3:$D$452,P256))</f>
        <v/>
      </c>
      <c r="E256" s="50">
        <f>IF(T256="","",INDEX(新年度名簿!$K$3:$K$452,T256))</f>
        <v/>
      </c>
      <c r="F256" s="50">
        <f>IF(T256="","",INDEX(新年度名簿!$C$3:$C$452,T256))</f>
        <v/>
      </c>
      <c r="G256" s="50">
        <f>IF(Q256="","",INDEX(希望入力!$H$5:$H$554,Q256)&amp;"")</f>
        <v/>
      </c>
      <c r="H256" s="50">
        <f>IF(Q256="","",INDEX(希望入力!$I$5:$I$554,Q256)&amp;"")</f>
        <v/>
      </c>
      <c r="I256" s="50">
        <f>IF(Q256="","",INDEX(希望入力!$J$5:$J$554,Q256)&amp;"")</f>
        <v/>
      </c>
      <c r="J256" s="50">
        <f>IF(Q256="","",IF(G256="転出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)</f>
        <v/>
      </c>
      <c r="K256" s="49" t="n"/>
      <c r="L256" s="56">
        <f>IF(P256="","",IF(G256="転出","",IF(K256&lt;&gt;"",K256,IF(OR(J256="",J256="要調整"),"",J256))))</f>
        <v/>
      </c>
      <c r="M256" s="50">
        <f>IF(P256="","",IF(OR(G256="転出",AND(計算用!$B$1=1,T256="")),"転出",IF(L256&lt;&gt;"","決定",IF(Q256="","未提出","要調整"))))</f>
        <v/>
      </c>
      <c r="N256" s="50">
        <f>IF(OR(M256&lt;&gt;"要調整",H256=""),"",IFERROR((INDEX(設定!$Q$8:$Q$27,MATCH(H256,設定!$P$8:$P$27,0))+N(INDEX(設定!$R$8:$R$27,MATCH(H256,設定!$P$8:$P$27,0))))-INDEX(定員チェック!$I$7:$I$26,MATCH(H256,設定!$P$8:$P$27,0))-COUNTIFS($M$7:$M$456,"要調整",$G$7:$G$456,H256),""))</f>
        <v/>
      </c>
      <c r="O256" s="50">
        <f>IF(OR(M256&lt;&gt;"要調整",I256=""),"",IFERROR((INDEX(設定!$Q$8:$Q$27,MATCH(I256,設定!$P$8:$P$27,0))+N(INDEX(設定!$R$8:$R$27,MATCH(I256,設定!$P$8:$P$27,0))))-INDEX(定員チェック!$I$7:$I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IF(R256="","",IFERROR(MATCH(R256,希望入力!$M$5:$M$554,0),""))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50">
        <f>IF(P257="","",INDEX(前年度名簿!$H$3:$H$452,P257))</f>
        <v/>
      </c>
      <c r="B257" s="50">
        <f>IF(P257="","",IFERROR(INDEX(設定!$G$8:$G$31,INT(INDEX(前年度名簿!$G$3:$G$452,P257)/1000)),INDEX(前年度名簿!$A$3:$A$452,P257)&amp;INDEX(前年度名簿!$B$3:$B$452,P257)))</f>
        <v/>
      </c>
      <c r="C257" s="50">
        <f>IF(P257="","",INDEX(前年度名簿!$C$3:$C$452,P257))</f>
        <v/>
      </c>
      <c r="D257" s="4">
        <f>IF(P257="","",INDEX(前年度名簿!$D$3:$D$452,P257))</f>
        <v/>
      </c>
      <c r="E257" s="50">
        <f>IF(T257="","",INDEX(新年度名簿!$K$3:$K$452,T257))</f>
        <v/>
      </c>
      <c r="F257" s="50">
        <f>IF(T257="","",INDEX(新年度名簿!$C$3:$C$452,T257))</f>
        <v/>
      </c>
      <c r="G257" s="50">
        <f>IF(Q257="","",INDEX(希望入力!$H$5:$H$554,Q257)&amp;"")</f>
        <v/>
      </c>
      <c r="H257" s="50">
        <f>IF(Q257="","",INDEX(希望入力!$I$5:$I$554,Q257)&amp;"")</f>
        <v/>
      </c>
      <c r="I257" s="50">
        <f>IF(Q257="","",INDEX(希望入力!$J$5:$J$554,Q257)&amp;"")</f>
        <v/>
      </c>
      <c r="J257" s="50">
        <f>IF(Q257="","",IF(G257="転出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)</f>
        <v/>
      </c>
      <c r="K257" s="49" t="n"/>
      <c r="L257" s="56">
        <f>IF(P257="","",IF(G257="転出","",IF(K257&lt;&gt;"",K257,IF(OR(J257="",J257="要調整"),"",J257))))</f>
        <v/>
      </c>
      <c r="M257" s="50">
        <f>IF(P257="","",IF(OR(G257="転出",AND(計算用!$B$1=1,T257="")),"転出",IF(L257&lt;&gt;"","決定",IF(Q257="","未提出","要調整"))))</f>
        <v/>
      </c>
      <c r="N257" s="50">
        <f>IF(OR(M257&lt;&gt;"要調整",H257=""),"",IFERROR((INDEX(設定!$Q$8:$Q$27,MATCH(H257,設定!$P$8:$P$27,0))+N(INDEX(設定!$R$8:$R$27,MATCH(H257,設定!$P$8:$P$27,0))))-INDEX(定員チェック!$I$7:$I$26,MATCH(H257,設定!$P$8:$P$27,0))-COUNTIFS($M$7:$M$456,"要調整",$G$7:$G$456,H257),""))</f>
        <v/>
      </c>
      <c r="O257" s="50">
        <f>IF(OR(M257&lt;&gt;"要調整",I257=""),"",IFERROR((INDEX(設定!$Q$8:$Q$27,MATCH(I257,設定!$P$8:$P$27,0))+N(INDEX(設定!$R$8:$R$27,MATCH(I257,設定!$P$8:$P$27,0))))-INDEX(定員チェック!$I$7:$I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IF(R257="","",IFERROR(MATCH(R257,希望入力!$M$5:$M$554,0),""))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50">
        <f>IF(P258="","",INDEX(前年度名簿!$H$3:$H$452,P258))</f>
        <v/>
      </c>
      <c r="B258" s="50">
        <f>IF(P258="","",IFERROR(INDEX(設定!$G$8:$G$31,INT(INDEX(前年度名簿!$G$3:$G$452,P258)/1000)),INDEX(前年度名簿!$A$3:$A$452,P258)&amp;INDEX(前年度名簿!$B$3:$B$452,P258)))</f>
        <v/>
      </c>
      <c r="C258" s="50">
        <f>IF(P258="","",INDEX(前年度名簿!$C$3:$C$452,P258))</f>
        <v/>
      </c>
      <c r="D258" s="4">
        <f>IF(P258="","",INDEX(前年度名簿!$D$3:$D$452,P258))</f>
        <v/>
      </c>
      <c r="E258" s="50">
        <f>IF(T258="","",INDEX(新年度名簿!$K$3:$K$452,T258))</f>
        <v/>
      </c>
      <c r="F258" s="50">
        <f>IF(T258="","",INDEX(新年度名簿!$C$3:$C$452,T258))</f>
        <v/>
      </c>
      <c r="G258" s="50">
        <f>IF(Q258="","",INDEX(希望入力!$H$5:$H$554,Q258)&amp;"")</f>
        <v/>
      </c>
      <c r="H258" s="50">
        <f>IF(Q258="","",INDEX(希望入力!$I$5:$I$554,Q258)&amp;"")</f>
        <v/>
      </c>
      <c r="I258" s="50">
        <f>IF(Q258="","",INDEX(希望入力!$J$5:$J$554,Q258)&amp;"")</f>
        <v/>
      </c>
      <c r="J258" s="50">
        <f>IF(Q258="","",IF(G258="転出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)</f>
        <v/>
      </c>
      <c r="K258" s="49" t="n"/>
      <c r="L258" s="56">
        <f>IF(P258="","",IF(G258="転出","",IF(K258&lt;&gt;"",K258,IF(OR(J258="",J258="要調整"),"",J258))))</f>
        <v/>
      </c>
      <c r="M258" s="50">
        <f>IF(P258="","",IF(OR(G258="転出",AND(計算用!$B$1=1,T258="")),"転出",IF(L258&lt;&gt;"","決定",IF(Q258="","未提出","要調整"))))</f>
        <v/>
      </c>
      <c r="N258" s="50">
        <f>IF(OR(M258&lt;&gt;"要調整",H258=""),"",IFERROR((INDEX(設定!$Q$8:$Q$27,MATCH(H258,設定!$P$8:$P$27,0))+N(INDEX(設定!$R$8:$R$27,MATCH(H258,設定!$P$8:$P$27,0))))-INDEX(定員チェック!$I$7:$I$26,MATCH(H258,設定!$P$8:$P$27,0))-COUNTIFS($M$7:$M$456,"要調整",$G$7:$G$456,H258),""))</f>
        <v/>
      </c>
      <c r="O258" s="50">
        <f>IF(OR(M258&lt;&gt;"要調整",I258=""),"",IFERROR((INDEX(設定!$Q$8:$Q$27,MATCH(I258,設定!$P$8:$P$27,0))+N(INDEX(設定!$R$8:$R$27,MATCH(I258,設定!$P$8:$P$27,0))))-INDEX(定員チェック!$I$7:$I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IF(R258="","",IFERROR(MATCH(R258,希望入力!$M$5:$M$554,0),""))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50">
        <f>IF(P259="","",INDEX(前年度名簿!$H$3:$H$452,P259))</f>
        <v/>
      </c>
      <c r="B259" s="50">
        <f>IF(P259="","",IFERROR(INDEX(設定!$G$8:$G$31,INT(INDEX(前年度名簿!$G$3:$G$452,P259)/1000)),INDEX(前年度名簿!$A$3:$A$452,P259)&amp;INDEX(前年度名簿!$B$3:$B$452,P259)))</f>
        <v/>
      </c>
      <c r="C259" s="50">
        <f>IF(P259="","",INDEX(前年度名簿!$C$3:$C$452,P259))</f>
        <v/>
      </c>
      <c r="D259" s="4">
        <f>IF(P259="","",INDEX(前年度名簿!$D$3:$D$452,P259))</f>
        <v/>
      </c>
      <c r="E259" s="50">
        <f>IF(T259="","",INDEX(新年度名簿!$K$3:$K$452,T259))</f>
        <v/>
      </c>
      <c r="F259" s="50">
        <f>IF(T259="","",INDEX(新年度名簿!$C$3:$C$452,T259))</f>
        <v/>
      </c>
      <c r="G259" s="50">
        <f>IF(Q259="","",INDEX(希望入力!$H$5:$H$554,Q259)&amp;"")</f>
        <v/>
      </c>
      <c r="H259" s="50">
        <f>IF(Q259="","",INDEX(希望入力!$I$5:$I$554,Q259)&amp;"")</f>
        <v/>
      </c>
      <c r="I259" s="50">
        <f>IF(Q259="","",INDEX(希望入力!$J$5:$J$554,Q259)&amp;"")</f>
        <v/>
      </c>
      <c r="J259" s="50">
        <f>IF(Q259="","",IF(G259="転出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)</f>
        <v/>
      </c>
      <c r="K259" s="49" t="n"/>
      <c r="L259" s="56">
        <f>IF(P259="","",IF(G259="転出","",IF(K259&lt;&gt;"",K259,IF(OR(J259="",J259="要調整"),"",J259))))</f>
        <v/>
      </c>
      <c r="M259" s="50">
        <f>IF(P259="","",IF(OR(G259="転出",AND(計算用!$B$1=1,T259="")),"転出",IF(L259&lt;&gt;"","決定",IF(Q259="","未提出","要調整"))))</f>
        <v/>
      </c>
      <c r="N259" s="50">
        <f>IF(OR(M259&lt;&gt;"要調整",H259=""),"",IFERROR((INDEX(設定!$Q$8:$Q$27,MATCH(H259,設定!$P$8:$P$27,0))+N(INDEX(設定!$R$8:$R$27,MATCH(H259,設定!$P$8:$P$27,0))))-INDEX(定員チェック!$I$7:$I$26,MATCH(H259,設定!$P$8:$P$27,0))-COUNTIFS($M$7:$M$456,"要調整",$G$7:$G$456,H259),""))</f>
        <v/>
      </c>
      <c r="O259" s="50">
        <f>IF(OR(M259&lt;&gt;"要調整",I259=""),"",IFERROR((INDEX(設定!$Q$8:$Q$27,MATCH(I259,設定!$P$8:$P$27,0))+N(INDEX(設定!$R$8:$R$27,MATCH(I259,設定!$P$8:$P$27,0))))-INDEX(定員チェック!$I$7:$I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IF(R259="","",IFERROR(MATCH(R259,希望入力!$M$5:$M$554,0),""))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50">
        <f>IF(P260="","",INDEX(前年度名簿!$H$3:$H$452,P260))</f>
        <v/>
      </c>
      <c r="B260" s="50">
        <f>IF(P260="","",IFERROR(INDEX(設定!$G$8:$G$31,INT(INDEX(前年度名簿!$G$3:$G$452,P260)/1000)),INDEX(前年度名簿!$A$3:$A$452,P260)&amp;INDEX(前年度名簿!$B$3:$B$452,P260)))</f>
        <v/>
      </c>
      <c r="C260" s="50">
        <f>IF(P260="","",INDEX(前年度名簿!$C$3:$C$452,P260))</f>
        <v/>
      </c>
      <c r="D260" s="4">
        <f>IF(P260="","",INDEX(前年度名簿!$D$3:$D$452,P260))</f>
        <v/>
      </c>
      <c r="E260" s="50">
        <f>IF(T260="","",INDEX(新年度名簿!$K$3:$K$452,T260))</f>
        <v/>
      </c>
      <c r="F260" s="50">
        <f>IF(T260="","",INDEX(新年度名簿!$C$3:$C$452,T260))</f>
        <v/>
      </c>
      <c r="G260" s="50">
        <f>IF(Q260="","",INDEX(希望入力!$H$5:$H$554,Q260)&amp;"")</f>
        <v/>
      </c>
      <c r="H260" s="50">
        <f>IF(Q260="","",INDEX(希望入力!$I$5:$I$554,Q260)&amp;"")</f>
        <v/>
      </c>
      <c r="I260" s="50">
        <f>IF(Q260="","",INDEX(希望入力!$J$5:$J$554,Q260)&amp;"")</f>
        <v/>
      </c>
      <c r="J260" s="50">
        <f>IF(Q260="","",IF(G260="転出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)</f>
        <v/>
      </c>
      <c r="K260" s="49" t="n"/>
      <c r="L260" s="56">
        <f>IF(P260="","",IF(G260="転出","",IF(K260&lt;&gt;"",K260,IF(OR(J260="",J260="要調整"),"",J260))))</f>
        <v/>
      </c>
      <c r="M260" s="50">
        <f>IF(P260="","",IF(OR(G260="転出",AND(計算用!$B$1=1,T260="")),"転出",IF(L260&lt;&gt;"","決定",IF(Q260="","未提出","要調整"))))</f>
        <v/>
      </c>
      <c r="N260" s="50">
        <f>IF(OR(M260&lt;&gt;"要調整",H260=""),"",IFERROR((INDEX(設定!$Q$8:$Q$27,MATCH(H260,設定!$P$8:$P$27,0))+N(INDEX(設定!$R$8:$R$27,MATCH(H260,設定!$P$8:$P$27,0))))-INDEX(定員チェック!$I$7:$I$26,MATCH(H260,設定!$P$8:$P$27,0))-COUNTIFS($M$7:$M$456,"要調整",$G$7:$G$456,H260),""))</f>
        <v/>
      </c>
      <c r="O260" s="50">
        <f>IF(OR(M260&lt;&gt;"要調整",I260=""),"",IFERROR((INDEX(設定!$Q$8:$Q$27,MATCH(I260,設定!$P$8:$P$27,0))+N(INDEX(設定!$R$8:$R$27,MATCH(I260,設定!$P$8:$P$27,0))))-INDEX(定員チェック!$I$7:$I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IF(R260="","",IFERROR(MATCH(R260,希望入力!$M$5:$M$554,0),""))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50">
        <f>IF(P261="","",INDEX(前年度名簿!$H$3:$H$452,P261))</f>
        <v/>
      </c>
      <c r="B261" s="50">
        <f>IF(P261="","",IFERROR(INDEX(設定!$G$8:$G$31,INT(INDEX(前年度名簿!$G$3:$G$452,P261)/1000)),INDEX(前年度名簿!$A$3:$A$452,P261)&amp;INDEX(前年度名簿!$B$3:$B$452,P261)))</f>
        <v/>
      </c>
      <c r="C261" s="50">
        <f>IF(P261="","",INDEX(前年度名簿!$C$3:$C$452,P261))</f>
        <v/>
      </c>
      <c r="D261" s="4">
        <f>IF(P261="","",INDEX(前年度名簿!$D$3:$D$452,P261))</f>
        <v/>
      </c>
      <c r="E261" s="50">
        <f>IF(T261="","",INDEX(新年度名簿!$K$3:$K$452,T261))</f>
        <v/>
      </c>
      <c r="F261" s="50">
        <f>IF(T261="","",INDEX(新年度名簿!$C$3:$C$452,T261))</f>
        <v/>
      </c>
      <c r="G261" s="50">
        <f>IF(Q261="","",INDEX(希望入力!$H$5:$H$554,Q261)&amp;"")</f>
        <v/>
      </c>
      <c r="H261" s="50">
        <f>IF(Q261="","",INDEX(希望入力!$I$5:$I$554,Q261)&amp;"")</f>
        <v/>
      </c>
      <c r="I261" s="50">
        <f>IF(Q261="","",INDEX(希望入力!$J$5:$J$554,Q261)&amp;"")</f>
        <v/>
      </c>
      <c r="J261" s="50">
        <f>IF(Q261="","",IF(G261="転出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)</f>
        <v/>
      </c>
      <c r="K261" s="49" t="n"/>
      <c r="L261" s="56">
        <f>IF(P261="","",IF(G261="転出","",IF(K261&lt;&gt;"",K261,IF(OR(J261="",J261="要調整"),"",J261))))</f>
        <v/>
      </c>
      <c r="M261" s="50">
        <f>IF(P261="","",IF(OR(G261="転出",AND(計算用!$B$1=1,T261="")),"転出",IF(L261&lt;&gt;"","決定",IF(Q261="","未提出","要調整"))))</f>
        <v/>
      </c>
      <c r="N261" s="50">
        <f>IF(OR(M261&lt;&gt;"要調整",H261=""),"",IFERROR((INDEX(設定!$Q$8:$Q$27,MATCH(H261,設定!$P$8:$P$27,0))+N(INDEX(設定!$R$8:$R$27,MATCH(H261,設定!$P$8:$P$27,0))))-INDEX(定員チェック!$I$7:$I$26,MATCH(H261,設定!$P$8:$P$27,0))-COUNTIFS($M$7:$M$456,"要調整",$G$7:$G$456,H261),""))</f>
        <v/>
      </c>
      <c r="O261" s="50">
        <f>IF(OR(M261&lt;&gt;"要調整",I261=""),"",IFERROR((INDEX(設定!$Q$8:$Q$27,MATCH(I261,設定!$P$8:$P$27,0))+N(INDEX(設定!$R$8:$R$27,MATCH(I261,設定!$P$8:$P$27,0))))-INDEX(定員チェック!$I$7:$I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IF(R261="","",IFERROR(MATCH(R261,希望入力!$M$5:$M$554,0),""))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50">
        <f>IF(P262="","",INDEX(前年度名簿!$H$3:$H$452,P262))</f>
        <v/>
      </c>
      <c r="B262" s="50">
        <f>IF(P262="","",IFERROR(INDEX(設定!$G$8:$G$31,INT(INDEX(前年度名簿!$G$3:$G$452,P262)/1000)),INDEX(前年度名簿!$A$3:$A$452,P262)&amp;INDEX(前年度名簿!$B$3:$B$452,P262)))</f>
        <v/>
      </c>
      <c r="C262" s="50">
        <f>IF(P262="","",INDEX(前年度名簿!$C$3:$C$452,P262))</f>
        <v/>
      </c>
      <c r="D262" s="4">
        <f>IF(P262="","",INDEX(前年度名簿!$D$3:$D$452,P262))</f>
        <v/>
      </c>
      <c r="E262" s="50">
        <f>IF(T262="","",INDEX(新年度名簿!$K$3:$K$452,T262))</f>
        <v/>
      </c>
      <c r="F262" s="50">
        <f>IF(T262="","",INDEX(新年度名簿!$C$3:$C$452,T262))</f>
        <v/>
      </c>
      <c r="G262" s="50">
        <f>IF(Q262="","",INDEX(希望入力!$H$5:$H$554,Q262)&amp;"")</f>
        <v/>
      </c>
      <c r="H262" s="50">
        <f>IF(Q262="","",INDEX(希望入力!$I$5:$I$554,Q262)&amp;"")</f>
        <v/>
      </c>
      <c r="I262" s="50">
        <f>IF(Q262="","",INDEX(希望入力!$J$5:$J$554,Q262)&amp;"")</f>
        <v/>
      </c>
      <c r="J262" s="50">
        <f>IF(Q262="","",IF(G262="転出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)</f>
        <v/>
      </c>
      <c r="K262" s="49" t="n"/>
      <c r="L262" s="56">
        <f>IF(P262="","",IF(G262="転出","",IF(K262&lt;&gt;"",K262,IF(OR(J262="",J262="要調整"),"",J262))))</f>
        <v/>
      </c>
      <c r="M262" s="50">
        <f>IF(P262="","",IF(OR(G262="転出",AND(計算用!$B$1=1,T262="")),"転出",IF(L262&lt;&gt;"","決定",IF(Q262="","未提出","要調整"))))</f>
        <v/>
      </c>
      <c r="N262" s="50">
        <f>IF(OR(M262&lt;&gt;"要調整",H262=""),"",IFERROR((INDEX(設定!$Q$8:$Q$27,MATCH(H262,設定!$P$8:$P$27,0))+N(INDEX(設定!$R$8:$R$27,MATCH(H262,設定!$P$8:$P$27,0))))-INDEX(定員チェック!$I$7:$I$26,MATCH(H262,設定!$P$8:$P$27,0))-COUNTIFS($M$7:$M$456,"要調整",$G$7:$G$456,H262),""))</f>
        <v/>
      </c>
      <c r="O262" s="50">
        <f>IF(OR(M262&lt;&gt;"要調整",I262=""),"",IFERROR((INDEX(設定!$Q$8:$Q$27,MATCH(I262,設定!$P$8:$P$27,0))+N(INDEX(設定!$R$8:$R$27,MATCH(I262,設定!$P$8:$P$27,0))))-INDEX(定員チェック!$I$7:$I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IF(R262="","",IFERROR(MATCH(R262,希望入力!$M$5:$M$554,0),""))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50">
        <f>IF(P263="","",INDEX(前年度名簿!$H$3:$H$452,P263))</f>
        <v/>
      </c>
      <c r="B263" s="50">
        <f>IF(P263="","",IFERROR(INDEX(設定!$G$8:$G$31,INT(INDEX(前年度名簿!$G$3:$G$452,P263)/1000)),INDEX(前年度名簿!$A$3:$A$452,P263)&amp;INDEX(前年度名簿!$B$3:$B$452,P263)))</f>
        <v/>
      </c>
      <c r="C263" s="50">
        <f>IF(P263="","",INDEX(前年度名簿!$C$3:$C$452,P263))</f>
        <v/>
      </c>
      <c r="D263" s="4">
        <f>IF(P263="","",INDEX(前年度名簿!$D$3:$D$452,P263))</f>
        <v/>
      </c>
      <c r="E263" s="50">
        <f>IF(T263="","",INDEX(新年度名簿!$K$3:$K$452,T263))</f>
        <v/>
      </c>
      <c r="F263" s="50">
        <f>IF(T263="","",INDEX(新年度名簿!$C$3:$C$452,T263))</f>
        <v/>
      </c>
      <c r="G263" s="50">
        <f>IF(Q263="","",INDEX(希望入力!$H$5:$H$554,Q263)&amp;"")</f>
        <v/>
      </c>
      <c r="H263" s="50">
        <f>IF(Q263="","",INDEX(希望入力!$I$5:$I$554,Q263)&amp;"")</f>
        <v/>
      </c>
      <c r="I263" s="50">
        <f>IF(Q263="","",INDEX(希望入力!$J$5:$J$554,Q263)&amp;"")</f>
        <v/>
      </c>
      <c r="J263" s="50">
        <f>IF(Q263="","",IF(G263="転出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)</f>
        <v/>
      </c>
      <c r="K263" s="49" t="n"/>
      <c r="L263" s="56">
        <f>IF(P263="","",IF(G263="転出","",IF(K263&lt;&gt;"",K263,IF(OR(J263="",J263="要調整"),"",J263))))</f>
        <v/>
      </c>
      <c r="M263" s="50">
        <f>IF(P263="","",IF(OR(G263="転出",AND(計算用!$B$1=1,T263="")),"転出",IF(L263&lt;&gt;"","決定",IF(Q263="","未提出","要調整"))))</f>
        <v/>
      </c>
      <c r="N263" s="50">
        <f>IF(OR(M263&lt;&gt;"要調整",H263=""),"",IFERROR((INDEX(設定!$Q$8:$Q$27,MATCH(H263,設定!$P$8:$P$27,0))+N(INDEX(設定!$R$8:$R$27,MATCH(H263,設定!$P$8:$P$27,0))))-INDEX(定員チェック!$I$7:$I$26,MATCH(H263,設定!$P$8:$P$27,0))-COUNTIFS($M$7:$M$456,"要調整",$G$7:$G$456,H263),""))</f>
        <v/>
      </c>
      <c r="O263" s="50">
        <f>IF(OR(M263&lt;&gt;"要調整",I263=""),"",IFERROR((INDEX(設定!$Q$8:$Q$27,MATCH(I263,設定!$P$8:$P$27,0))+N(INDEX(設定!$R$8:$R$27,MATCH(I263,設定!$P$8:$P$27,0))))-INDEX(定員チェック!$I$7:$I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IF(R263="","",IFERROR(MATCH(R263,希望入力!$M$5:$M$554,0),""))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50">
        <f>IF(P264="","",INDEX(前年度名簿!$H$3:$H$452,P264))</f>
        <v/>
      </c>
      <c r="B264" s="50">
        <f>IF(P264="","",IFERROR(INDEX(設定!$G$8:$G$31,INT(INDEX(前年度名簿!$G$3:$G$452,P264)/1000)),INDEX(前年度名簿!$A$3:$A$452,P264)&amp;INDEX(前年度名簿!$B$3:$B$452,P264)))</f>
        <v/>
      </c>
      <c r="C264" s="50">
        <f>IF(P264="","",INDEX(前年度名簿!$C$3:$C$452,P264))</f>
        <v/>
      </c>
      <c r="D264" s="4">
        <f>IF(P264="","",INDEX(前年度名簿!$D$3:$D$452,P264))</f>
        <v/>
      </c>
      <c r="E264" s="50">
        <f>IF(T264="","",INDEX(新年度名簿!$K$3:$K$452,T264))</f>
        <v/>
      </c>
      <c r="F264" s="50">
        <f>IF(T264="","",INDEX(新年度名簿!$C$3:$C$452,T264))</f>
        <v/>
      </c>
      <c r="G264" s="50">
        <f>IF(Q264="","",INDEX(希望入力!$H$5:$H$554,Q264)&amp;"")</f>
        <v/>
      </c>
      <c r="H264" s="50">
        <f>IF(Q264="","",INDEX(希望入力!$I$5:$I$554,Q264)&amp;"")</f>
        <v/>
      </c>
      <c r="I264" s="50">
        <f>IF(Q264="","",INDEX(希望入力!$J$5:$J$554,Q264)&amp;"")</f>
        <v/>
      </c>
      <c r="J264" s="50">
        <f>IF(Q264="","",IF(G264="転出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)</f>
        <v/>
      </c>
      <c r="K264" s="49" t="n"/>
      <c r="L264" s="56">
        <f>IF(P264="","",IF(G264="転出","",IF(K264&lt;&gt;"",K264,IF(OR(J264="",J264="要調整"),"",J264))))</f>
        <v/>
      </c>
      <c r="M264" s="50">
        <f>IF(P264="","",IF(OR(G264="転出",AND(計算用!$B$1=1,T264="")),"転出",IF(L264&lt;&gt;"","決定",IF(Q264="","未提出","要調整"))))</f>
        <v/>
      </c>
      <c r="N264" s="50">
        <f>IF(OR(M264&lt;&gt;"要調整",H264=""),"",IFERROR((INDEX(設定!$Q$8:$Q$27,MATCH(H264,設定!$P$8:$P$27,0))+N(INDEX(設定!$R$8:$R$27,MATCH(H264,設定!$P$8:$P$27,0))))-INDEX(定員チェック!$I$7:$I$26,MATCH(H264,設定!$P$8:$P$27,0))-COUNTIFS($M$7:$M$456,"要調整",$G$7:$G$456,H264),""))</f>
        <v/>
      </c>
      <c r="O264" s="50">
        <f>IF(OR(M264&lt;&gt;"要調整",I264=""),"",IFERROR((INDEX(設定!$Q$8:$Q$27,MATCH(I264,設定!$P$8:$P$27,0))+N(INDEX(設定!$R$8:$R$27,MATCH(I264,設定!$P$8:$P$27,0))))-INDEX(定員チェック!$I$7:$I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IF(R264="","",IFERROR(MATCH(R264,希望入力!$M$5:$M$554,0),""))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50">
        <f>IF(P265="","",INDEX(前年度名簿!$H$3:$H$452,P265))</f>
        <v/>
      </c>
      <c r="B265" s="50">
        <f>IF(P265="","",IFERROR(INDEX(設定!$G$8:$G$31,INT(INDEX(前年度名簿!$G$3:$G$452,P265)/1000)),INDEX(前年度名簿!$A$3:$A$452,P265)&amp;INDEX(前年度名簿!$B$3:$B$452,P265)))</f>
        <v/>
      </c>
      <c r="C265" s="50">
        <f>IF(P265="","",INDEX(前年度名簿!$C$3:$C$452,P265))</f>
        <v/>
      </c>
      <c r="D265" s="4">
        <f>IF(P265="","",INDEX(前年度名簿!$D$3:$D$452,P265))</f>
        <v/>
      </c>
      <c r="E265" s="50">
        <f>IF(T265="","",INDEX(新年度名簿!$K$3:$K$452,T265))</f>
        <v/>
      </c>
      <c r="F265" s="50">
        <f>IF(T265="","",INDEX(新年度名簿!$C$3:$C$452,T265))</f>
        <v/>
      </c>
      <c r="G265" s="50">
        <f>IF(Q265="","",INDEX(希望入力!$H$5:$H$554,Q265)&amp;"")</f>
        <v/>
      </c>
      <c r="H265" s="50">
        <f>IF(Q265="","",INDEX(希望入力!$I$5:$I$554,Q265)&amp;"")</f>
        <v/>
      </c>
      <c r="I265" s="50">
        <f>IF(Q265="","",INDEX(希望入力!$J$5:$J$554,Q265)&amp;"")</f>
        <v/>
      </c>
      <c r="J265" s="50">
        <f>IF(Q265="","",IF(G265="転出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)</f>
        <v/>
      </c>
      <c r="K265" s="49" t="n"/>
      <c r="L265" s="56">
        <f>IF(P265="","",IF(G265="転出","",IF(K265&lt;&gt;"",K265,IF(OR(J265="",J265="要調整"),"",J265))))</f>
        <v/>
      </c>
      <c r="M265" s="50">
        <f>IF(P265="","",IF(OR(G265="転出",AND(計算用!$B$1=1,T265="")),"転出",IF(L265&lt;&gt;"","決定",IF(Q265="","未提出","要調整"))))</f>
        <v/>
      </c>
      <c r="N265" s="50">
        <f>IF(OR(M265&lt;&gt;"要調整",H265=""),"",IFERROR((INDEX(設定!$Q$8:$Q$27,MATCH(H265,設定!$P$8:$P$27,0))+N(INDEX(設定!$R$8:$R$27,MATCH(H265,設定!$P$8:$P$27,0))))-INDEX(定員チェック!$I$7:$I$26,MATCH(H265,設定!$P$8:$P$27,0))-COUNTIFS($M$7:$M$456,"要調整",$G$7:$G$456,H265),""))</f>
        <v/>
      </c>
      <c r="O265" s="50">
        <f>IF(OR(M265&lt;&gt;"要調整",I265=""),"",IFERROR((INDEX(設定!$Q$8:$Q$27,MATCH(I265,設定!$P$8:$P$27,0))+N(INDEX(設定!$R$8:$R$27,MATCH(I265,設定!$P$8:$P$27,0))))-INDEX(定員チェック!$I$7:$I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IF(R265="","",IFERROR(MATCH(R265,希望入力!$M$5:$M$554,0),""))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50">
        <f>IF(P266="","",INDEX(前年度名簿!$H$3:$H$452,P266))</f>
        <v/>
      </c>
      <c r="B266" s="50">
        <f>IF(P266="","",IFERROR(INDEX(設定!$G$8:$G$31,INT(INDEX(前年度名簿!$G$3:$G$452,P266)/1000)),INDEX(前年度名簿!$A$3:$A$452,P266)&amp;INDEX(前年度名簿!$B$3:$B$452,P266)))</f>
        <v/>
      </c>
      <c r="C266" s="50">
        <f>IF(P266="","",INDEX(前年度名簿!$C$3:$C$452,P266))</f>
        <v/>
      </c>
      <c r="D266" s="4">
        <f>IF(P266="","",INDEX(前年度名簿!$D$3:$D$452,P266))</f>
        <v/>
      </c>
      <c r="E266" s="50">
        <f>IF(T266="","",INDEX(新年度名簿!$K$3:$K$452,T266))</f>
        <v/>
      </c>
      <c r="F266" s="50">
        <f>IF(T266="","",INDEX(新年度名簿!$C$3:$C$452,T266))</f>
        <v/>
      </c>
      <c r="G266" s="50">
        <f>IF(Q266="","",INDEX(希望入力!$H$5:$H$554,Q266)&amp;"")</f>
        <v/>
      </c>
      <c r="H266" s="50">
        <f>IF(Q266="","",INDEX(希望入力!$I$5:$I$554,Q266)&amp;"")</f>
        <v/>
      </c>
      <c r="I266" s="50">
        <f>IF(Q266="","",INDEX(希望入力!$J$5:$J$554,Q266)&amp;"")</f>
        <v/>
      </c>
      <c r="J266" s="50">
        <f>IF(Q266="","",IF(G266="転出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)</f>
        <v/>
      </c>
      <c r="K266" s="49" t="n"/>
      <c r="L266" s="56">
        <f>IF(P266="","",IF(G266="転出","",IF(K266&lt;&gt;"",K266,IF(OR(J266="",J266="要調整"),"",J266))))</f>
        <v/>
      </c>
      <c r="M266" s="50">
        <f>IF(P266="","",IF(OR(G266="転出",AND(計算用!$B$1=1,T266="")),"転出",IF(L266&lt;&gt;"","決定",IF(Q266="","未提出","要調整"))))</f>
        <v/>
      </c>
      <c r="N266" s="50">
        <f>IF(OR(M266&lt;&gt;"要調整",H266=""),"",IFERROR((INDEX(設定!$Q$8:$Q$27,MATCH(H266,設定!$P$8:$P$27,0))+N(INDEX(設定!$R$8:$R$27,MATCH(H266,設定!$P$8:$P$27,0))))-INDEX(定員チェック!$I$7:$I$26,MATCH(H266,設定!$P$8:$P$27,0))-COUNTIFS($M$7:$M$456,"要調整",$G$7:$G$456,H266),""))</f>
        <v/>
      </c>
      <c r="O266" s="50">
        <f>IF(OR(M266&lt;&gt;"要調整",I266=""),"",IFERROR((INDEX(設定!$Q$8:$Q$27,MATCH(I266,設定!$P$8:$P$27,0))+N(INDEX(設定!$R$8:$R$27,MATCH(I266,設定!$P$8:$P$27,0))))-INDEX(定員チェック!$I$7:$I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IF(R266="","",IFERROR(MATCH(R266,希望入力!$M$5:$M$554,0),""))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50">
        <f>IF(P267="","",INDEX(前年度名簿!$H$3:$H$452,P267))</f>
        <v/>
      </c>
      <c r="B267" s="50">
        <f>IF(P267="","",IFERROR(INDEX(設定!$G$8:$G$31,INT(INDEX(前年度名簿!$G$3:$G$452,P267)/1000)),INDEX(前年度名簿!$A$3:$A$452,P267)&amp;INDEX(前年度名簿!$B$3:$B$452,P267)))</f>
        <v/>
      </c>
      <c r="C267" s="50">
        <f>IF(P267="","",INDEX(前年度名簿!$C$3:$C$452,P267))</f>
        <v/>
      </c>
      <c r="D267" s="4">
        <f>IF(P267="","",INDEX(前年度名簿!$D$3:$D$452,P267))</f>
        <v/>
      </c>
      <c r="E267" s="50">
        <f>IF(T267="","",INDEX(新年度名簿!$K$3:$K$452,T267))</f>
        <v/>
      </c>
      <c r="F267" s="50">
        <f>IF(T267="","",INDEX(新年度名簿!$C$3:$C$452,T267))</f>
        <v/>
      </c>
      <c r="G267" s="50">
        <f>IF(Q267="","",INDEX(希望入力!$H$5:$H$554,Q267)&amp;"")</f>
        <v/>
      </c>
      <c r="H267" s="50">
        <f>IF(Q267="","",INDEX(希望入力!$I$5:$I$554,Q267)&amp;"")</f>
        <v/>
      </c>
      <c r="I267" s="50">
        <f>IF(Q267="","",INDEX(希望入力!$J$5:$J$554,Q267)&amp;"")</f>
        <v/>
      </c>
      <c r="J267" s="50">
        <f>IF(Q267="","",IF(G267="転出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)</f>
        <v/>
      </c>
      <c r="K267" s="49" t="n"/>
      <c r="L267" s="56">
        <f>IF(P267="","",IF(G267="転出","",IF(K267&lt;&gt;"",K267,IF(OR(J267="",J267="要調整"),"",J267))))</f>
        <v/>
      </c>
      <c r="M267" s="50">
        <f>IF(P267="","",IF(OR(G267="転出",AND(計算用!$B$1=1,T267="")),"転出",IF(L267&lt;&gt;"","決定",IF(Q267="","未提出","要調整"))))</f>
        <v/>
      </c>
      <c r="N267" s="50">
        <f>IF(OR(M267&lt;&gt;"要調整",H267=""),"",IFERROR((INDEX(設定!$Q$8:$Q$27,MATCH(H267,設定!$P$8:$P$27,0))+N(INDEX(設定!$R$8:$R$27,MATCH(H267,設定!$P$8:$P$27,0))))-INDEX(定員チェック!$I$7:$I$26,MATCH(H267,設定!$P$8:$P$27,0))-COUNTIFS($M$7:$M$456,"要調整",$G$7:$G$456,H267),""))</f>
        <v/>
      </c>
      <c r="O267" s="50">
        <f>IF(OR(M267&lt;&gt;"要調整",I267=""),"",IFERROR((INDEX(設定!$Q$8:$Q$27,MATCH(I267,設定!$P$8:$P$27,0))+N(INDEX(設定!$R$8:$R$27,MATCH(I267,設定!$P$8:$P$27,0))))-INDEX(定員チェック!$I$7:$I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IF(R267="","",IFERROR(MATCH(R267,希望入力!$M$5:$M$554,0),""))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50">
        <f>IF(P268="","",INDEX(前年度名簿!$H$3:$H$452,P268))</f>
        <v/>
      </c>
      <c r="B268" s="50">
        <f>IF(P268="","",IFERROR(INDEX(設定!$G$8:$G$31,INT(INDEX(前年度名簿!$G$3:$G$452,P268)/1000)),INDEX(前年度名簿!$A$3:$A$452,P268)&amp;INDEX(前年度名簿!$B$3:$B$452,P268)))</f>
        <v/>
      </c>
      <c r="C268" s="50">
        <f>IF(P268="","",INDEX(前年度名簿!$C$3:$C$452,P268))</f>
        <v/>
      </c>
      <c r="D268" s="4">
        <f>IF(P268="","",INDEX(前年度名簿!$D$3:$D$452,P268))</f>
        <v/>
      </c>
      <c r="E268" s="50">
        <f>IF(T268="","",INDEX(新年度名簿!$K$3:$K$452,T268))</f>
        <v/>
      </c>
      <c r="F268" s="50">
        <f>IF(T268="","",INDEX(新年度名簿!$C$3:$C$452,T268))</f>
        <v/>
      </c>
      <c r="G268" s="50">
        <f>IF(Q268="","",INDEX(希望入力!$H$5:$H$554,Q268)&amp;"")</f>
        <v/>
      </c>
      <c r="H268" s="50">
        <f>IF(Q268="","",INDEX(希望入力!$I$5:$I$554,Q268)&amp;"")</f>
        <v/>
      </c>
      <c r="I268" s="50">
        <f>IF(Q268="","",INDEX(希望入力!$J$5:$J$554,Q268)&amp;"")</f>
        <v/>
      </c>
      <c r="J268" s="50">
        <f>IF(Q268="","",IF(G268="転出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)</f>
        <v/>
      </c>
      <c r="K268" s="49" t="n"/>
      <c r="L268" s="56">
        <f>IF(P268="","",IF(G268="転出","",IF(K268&lt;&gt;"",K268,IF(OR(J268="",J268="要調整"),"",J268))))</f>
        <v/>
      </c>
      <c r="M268" s="50">
        <f>IF(P268="","",IF(OR(G268="転出",AND(計算用!$B$1=1,T268="")),"転出",IF(L268&lt;&gt;"","決定",IF(Q268="","未提出","要調整"))))</f>
        <v/>
      </c>
      <c r="N268" s="50">
        <f>IF(OR(M268&lt;&gt;"要調整",H268=""),"",IFERROR((INDEX(設定!$Q$8:$Q$27,MATCH(H268,設定!$P$8:$P$27,0))+N(INDEX(設定!$R$8:$R$27,MATCH(H268,設定!$P$8:$P$27,0))))-INDEX(定員チェック!$I$7:$I$26,MATCH(H268,設定!$P$8:$P$27,0))-COUNTIFS($M$7:$M$456,"要調整",$G$7:$G$456,H268),""))</f>
        <v/>
      </c>
      <c r="O268" s="50">
        <f>IF(OR(M268&lt;&gt;"要調整",I268=""),"",IFERROR((INDEX(設定!$Q$8:$Q$27,MATCH(I268,設定!$P$8:$P$27,0))+N(INDEX(設定!$R$8:$R$27,MATCH(I268,設定!$P$8:$P$27,0))))-INDEX(定員チェック!$I$7:$I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IF(R268="","",IFERROR(MATCH(R268,希望入力!$M$5:$M$554,0),""))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50">
        <f>IF(P269="","",INDEX(前年度名簿!$H$3:$H$452,P269))</f>
        <v/>
      </c>
      <c r="B269" s="50">
        <f>IF(P269="","",IFERROR(INDEX(設定!$G$8:$G$31,INT(INDEX(前年度名簿!$G$3:$G$452,P269)/1000)),INDEX(前年度名簿!$A$3:$A$452,P269)&amp;INDEX(前年度名簿!$B$3:$B$452,P269)))</f>
        <v/>
      </c>
      <c r="C269" s="50">
        <f>IF(P269="","",INDEX(前年度名簿!$C$3:$C$452,P269))</f>
        <v/>
      </c>
      <c r="D269" s="4">
        <f>IF(P269="","",INDEX(前年度名簿!$D$3:$D$452,P269))</f>
        <v/>
      </c>
      <c r="E269" s="50">
        <f>IF(T269="","",INDEX(新年度名簿!$K$3:$K$452,T269))</f>
        <v/>
      </c>
      <c r="F269" s="50">
        <f>IF(T269="","",INDEX(新年度名簿!$C$3:$C$452,T269))</f>
        <v/>
      </c>
      <c r="G269" s="50">
        <f>IF(Q269="","",INDEX(希望入力!$H$5:$H$554,Q269)&amp;"")</f>
        <v/>
      </c>
      <c r="H269" s="50">
        <f>IF(Q269="","",INDEX(希望入力!$I$5:$I$554,Q269)&amp;"")</f>
        <v/>
      </c>
      <c r="I269" s="50">
        <f>IF(Q269="","",INDEX(希望入力!$J$5:$J$554,Q269)&amp;"")</f>
        <v/>
      </c>
      <c r="J269" s="50">
        <f>IF(Q269="","",IF(G269="転出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)</f>
        <v/>
      </c>
      <c r="K269" s="49" t="n"/>
      <c r="L269" s="56">
        <f>IF(P269="","",IF(G269="転出","",IF(K269&lt;&gt;"",K269,IF(OR(J269="",J269="要調整"),"",J269))))</f>
        <v/>
      </c>
      <c r="M269" s="50">
        <f>IF(P269="","",IF(OR(G269="転出",AND(計算用!$B$1=1,T269="")),"転出",IF(L269&lt;&gt;"","決定",IF(Q269="","未提出","要調整"))))</f>
        <v/>
      </c>
      <c r="N269" s="50">
        <f>IF(OR(M269&lt;&gt;"要調整",H269=""),"",IFERROR((INDEX(設定!$Q$8:$Q$27,MATCH(H269,設定!$P$8:$P$27,0))+N(INDEX(設定!$R$8:$R$27,MATCH(H269,設定!$P$8:$P$27,0))))-INDEX(定員チェック!$I$7:$I$26,MATCH(H269,設定!$P$8:$P$27,0))-COUNTIFS($M$7:$M$456,"要調整",$G$7:$G$456,H269),""))</f>
        <v/>
      </c>
      <c r="O269" s="50">
        <f>IF(OR(M269&lt;&gt;"要調整",I269=""),"",IFERROR((INDEX(設定!$Q$8:$Q$27,MATCH(I269,設定!$P$8:$P$27,0))+N(INDEX(設定!$R$8:$R$27,MATCH(I269,設定!$P$8:$P$27,0))))-INDEX(定員チェック!$I$7:$I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IF(R269="","",IFERROR(MATCH(R269,希望入力!$M$5:$M$554,0),""))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50">
        <f>IF(P270="","",INDEX(前年度名簿!$H$3:$H$452,P270))</f>
        <v/>
      </c>
      <c r="B270" s="50">
        <f>IF(P270="","",IFERROR(INDEX(設定!$G$8:$G$31,INT(INDEX(前年度名簿!$G$3:$G$452,P270)/1000)),INDEX(前年度名簿!$A$3:$A$452,P270)&amp;INDEX(前年度名簿!$B$3:$B$452,P270)))</f>
        <v/>
      </c>
      <c r="C270" s="50">
        <f>IF(P270="","",INDEX(前年度名簿!$C$3:$C$452,P270))</f>
        <v/>
      </c>
      <c r="D270" s="4">
        <f>IF(P270="","",INDEX(前年度名簿!$D$3:$D$452,P270))</f>
        <v/>
      </c>
      <c r="E270" s="50">
        <f>IF(T270="","",INDEX(新年度名簿!$K$3:$K$452,T270))</f>
        <v/>
      </c>
      <c r="F270" s="50">
        <f>IF(T270="","",INDEX(新年度名簿!$C$3:$C$452,T270))</f>
        <v/>
      </c>
      <c r="G270" s="50">
        <f>IF(Q270="","",INDEX(希望入力!$H$5:$H$554,Q270)&amp;"")</f>
        <v/>
      </c>
      <c r="H270" s="50">
        <f>IF(Q270="","",INDEX(希望入力!$I$5:$I$554,Q270)&amp;"")</f>
        <v/>
      </c>
      <c r="I270" s="50">
        <f>IF(Q270="","",INDEX(希望入力!$J$5:$J$554,Q270)&amp;"")</f>
        <v/>
      </c>
      <c r="J270" s="50">
        <f>IF(Q270="","",IF(G270="転出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)</f>
        <v/>
      </c>
      <c r="K270" s="49" t="n"/>
      <c r="L270" s="56">
        <f>IF(P270="","",IF(G270="転出","",IF(K270&lt;&gt;"",K270,IF(OR(J270="",J270="要調整"),"",J270))))</f>
        <v/>
      </c>
      <c r="M270" s="50">
        <f>IF(P270="","",IF(OR(G270="転出",AND(計算用!$B$1=1,T270="")),"転出",IF(L270&lt;&gt;"","決定",IF(Q270="","未提出","要調整"))))</f>
        <v/>
      </c>
      <c r="N270" s="50">
        <f>IF(OR(M270&lt;&gt;"要調整",H270=""),"",IFERROR((INDEX(設定!$Q$8:$Q$27,MATCH(H270,設定!$P$8:$P$27,0))+N(INDEX(設定!$R$8:$R$27,MATCH(H270,設定!$P$8:$P$27,0))))-INDEX(定員チェック!$I$7:$I$26,MATCH(H270,設定!$P$8:$P$27,0))-COUNTIFS($M$7:$M$456,"要調整",$G$7:$G$456,H270),""))</f>
        <v/>
      </c>
      <c r="O270" s="50">
        <f>IF(OR(M270&lt;&gt;"要調整",I270=""),"",IFERROR((INDEX(設定!$Q$8:$Q$27,MATCH(I270,設定!$P$8:$P$27,0))+N(INDEX(設定!$R$8:$R$27,MATCH(I270,設定!$P$8:$P$27,0))))-INDEX(定員チェック!$I$7:$I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IF(R270="","",IFERROR(MATCH(R270,希望入力!$M$5:$M$554,0),""))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50">
        <f>IF(P271="","",INDEX(前年度名簿!$H$3:$H$452,P271))</f>
        <v/>
      </c>
      <c r="B271" s="50">
        <f>IF(P271="","",IFERROR(INDEX(設定!$G$8:$G$31,INT(INDEX(前年度名簿!$G$3:$G$452,P271)/1000)),INDEX(前年度名簿!$A$3:$A$452,P271)&amp;INDEX(前年度名簿!$B$3:$B$452,P271)))</f>
        <v/>
      </c>
      <c r="C271" s="50">
        <f>IF(P271="","",INDEX(前年度名簿!$C$3:$C$452,P271))</f>
        <v/>
      </c>
      <c r="D271" s="4">
        <f>IF(P271="","",INDEX(前年度名簿!$D$3:$D$452,P271))</f>
        <v/>
      </c>
      <c r="E271" s="50">
        <f>IF(T271="","",INDEX(新年度名簿!$K$3:$K$452,T271))</f>
        <v/>
      </c>
      <c r="F271" s="50">
        <f>IF(T271="","",INDEX(新年度名簿!$C$3:$C$452,T271))</f>
        <v/>
      </c>
      <c r="G271" s="50">
        <f>IF(Q271="","",INDEX(希望入力!$H$5:$H$554,Q271)&amp;"")</f>
        <v/>
      </c>
      <c r="H271" s="50">
        <f>IF(Q271="","",INDEX(希望入力!$I$5:$I$554,Q271)&amp;"")</f>
        <v/>
      </c>
      <c r="I271" s="50">
        <f>IF(Q271="","",INDEX(希望入力!$J$5:$J$554,Q271)&amp;"")</f>
        <v/>
      </c>
      <c r="J271" s="50">
        <f>IF(Q271="","",IF(G271="転出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)</f>
        <v/>
      </c>
      <c r="K271" s="49" t="n"/>
      <c r="L271" s="56">
        <f>IF(P271="","",IF(G271="転出","",IF(K271&lt;&gt;"",K271,IF(OR(J271="",J271="要調整"),"",J271))))</f>
        <v/>
      </c>
      <c r="M271" s="50">
        <f>IF(P271="","",IF(OR(G271="転出",AND(計算用!$B$1=1,T271="")),"転出",IF(L271&lt;&gt;"","決定",IF(Q271="","未提出","要調整"))))</f>
        <v/>
      </c>
      <c r="N271" s="50">
        <f>IF(OR(M271&lt;&gt;"要調整",H271=""),"",IFERROR((INDEX(設定!$Q$8:$Q$27,MATCH(H271,設定!$P$8:$P$27,0))+N(INDEX(設定!$R$8:$R$27,MATCH(H271,設定!$P$8:$P$27,0))))-INDEX(定員チェック!$I$7:$I$26,MATCH(H271,設定!$P$8:$P$27,0))-COUNTIFS($M$7:$M$456,"要調整",$G$7:$G$456,H271),""))</f>
        <v/>
      </c>
      <c r="O271" s="50">
        <f>IF(OR(M271&lt;&gt;"要調整",I271=""),"",IFERROR((INDEX(設定!$Q$8:$Q$27,MATCH(I271,設定!$P$8:$P$27,0))+N(INDEX(設定!$R$8:$R$27,MATCH(I271,設定!$P$8:$P$27,0))))-INDEX(定員チェック!$I$7:$I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IF(R271="","",IFERROR(MATCH(R271,希望入力!$M$5:$M$554,0),""))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50">
        <f>IF(P272="","",INDEX(前年度名簿!$H$3:$H$452,P272))</f>
        <v/>
      </c>
      <c r="B272" s="50">
        <f>IF(P272="","",IFERROR(INDEX(設定!$G$8:$G$31,INT(INDEX(前年度名簿!$G$3:$G$452,P272)/1000)),INDEX(前年度名簿!$A$3:$A$452,P272)&amp;INDEX(前年度名簿!$B$3:$B$452,P272)))</f>
        <v/>
      </c>
      <c r="C272" s="50">
        <f>IF(P272="","",INDEX(前年度名簿!$C$3:$C$452,P272))</f>
        <v/>
      </c>
      <c r="D272" s="4">
        <f>IF(P272="","",INDEX(前年度名簿!$D$3:$D$452,P272))</f>
        <v/>
      </c>
      <c r="E272" s="50">
        <f>IF(T272="","",INDEX(新年度名簿!$K$3:$K$452,T272))</f>
        <v/>
      </c>
      <c r="F272" s="50">
        <f>IF(T272="","",INDEX(新年度名簿!$C$3:$C$452,T272))</f>
        <v/>
      </c>
      <c r="G272" s="50">
        <f>IF(Q272="","",INDEX(希望入力!$H$5:$H$554,Q272)&amp;"")</f>
        <v/>
      </c>
      <c r="H272" s="50">
        <f>IF(Q272="","",INDEX(希望入力!$I$5:$I$554,Q272)&amp;"")</f>
        <v/>
      </c>
      <c r="I272" s="50">
        <f>IF(Q272="","",INDEX(希望入力!$J$5:$J$554,Q272)&amp;"")</f>
        <v/>
      </c>
      <c r="J272" s="50">
        <f>IF(Q272="","",IF(G272="転出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)</f>
        <v/>
      </c>
      <c r="K272" s="49" t="n"/>
      <c r="L272" s="56">
        <f>IF(P272="","",IF(G272="転出","",IF(K272&lt;&gt;"",K272,IF(OR(J272="",J272="要調整"),"",J272))))</f>
        <v/>
      </c>
      <c r="M272" s="50">
        <f>IF(P272="","",IF(OR(G272="転出",AND(計算用!$B$1=1,T272="")),"転出",IF(L272&lt;&gt;"","決定",IF(Q272="","未提出","要調整"))))</f>
        <v/>
      </c>
      <c r="N272" s="50">
        <f>IF(OR(M272&lt;&gt;"要調整",H272=""),"",IFERROR((INDEX(設定!$Q$8:$Q$27,MATCH(H272,設定!$P$8:$P$27,0))+N(INDEX(設定!$R$8:$R$27,MATCH(H272,設定!$P$8:$P$27,0))))-INDEX(定員チェック!$I$7:$I$26,MATCH(H272,設定!$P$8:$P$27,0))-COUNTIFS($M$7:$M$456,"要調整",$G$7:$G$456,H272),""))</f>
        <v/>
      </c>
      <c r="O272" s="50">
        <f>IF(OR(M272&lt;&gt;"要調整",I272=""),"",IFERROR((INDEX(設定!$Q$8:$Q$27,MATCH(I272,設定!$P$8:$P$27,0))+N(INDEX(設定!$R$8:$R$27,MATCH(I272,設定!$P$8:$P$27,0))))-INDEX(定員チェック!$I$7:$I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IF(R272="","",IFERROR(MATCH(R272,希望入力!$M$5:$M$554,0),""))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50">
        <f>IF(P273="","",INDEX(前年度名簿!$H$3:$H$452,P273))</f>
        <v/>
      </c>
      <c r="B273" s="50">
        <f>IF(P273="","",IFERROR(INDEX(設定!$G$8:$G$31,INT(INDEX(前年度名簿!$G$3:$G$452,P273)/1000)),INDEX(前年度名簿!$A$3:$A$452,P273)&amp;INDEX(前年度名簿!$B$3:$B$452,P273)))</f>
        <v/>
      </c>
      <c r="C273" s="50">
        <f>IF(P273="","",INDEX(前年度名簿!$C$3:$C$452,P273))</f>
        <v/>
      </c>
      <c r="D273" s="4">
        <f>IF(P273="","",INDEX(前年度名簿!$D$3:$D$452,P273))</f>
        <v/>
      </c>
      <c r="E273" s="50">
        <f>IF(T273="","",INDEX(新年度名簿!$K$3:$K$452,T273))</f>
        <v/>
      </c>
      <c r="F273" s="50">
        <f>IF(T273="","",INDEX(新年度名簿!$C$3:$C$452,T273))</f>
        <v/>
      </c>
      <c r="G273" s="50">
        <f>IF(Q273="","",INDEX(希望入力!$H$5:$H$554,Q273)&amp;"")</f>
        <v/>
      </c>
      <c r="H273" s="50">
        <f>IF(Q273="","",INDEX(希望入力!$I$5:$I$554,Q273)&amp;"")</f>
        <v/>
      </c>
      <c r="I273" s="50">
        <f>IF(Q273="","",INDEX(希望入力!$J$5:$J$554,Q273)&amp;"")</f>
        <v/>
      </c>
      <c r="J273" s="50">
        <f>IF(Q273="","",IF(G273="転出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)</f>
        <v/>
      </c>
      <c r="K273" s="49" t="n"/>
      <c r="L273" s="56">
        <f>IF(P273="","",IF(G273="転出","",IF(K273&lt;&gt;"",K273,IF(OR(J273="",J273="要調整"),"",J273))))</f>
        <v/>
      </c>
      <c r="M273" s="50">
        <f>IF(P273="","",IF(OR(G273="転出",AND(計算用!$B$1=1,T273="")),"転出",IF(L273&lt;&gt;"","決定",IF(Q273="","未提出","要調整"))))</f>
        <v/>
      </c>
      <c r="N273" s="50">
        <f>IF(OR(M273&lt;&gt;"要調整",H273=""),"",IFERROR((INDEX(設定!$Q$8:$Q$27,MATCH(H273,設定!$P$8:$P$27,0))+N(INDEX(設定!$R$8:$R$27,MATCH(H273,設定!$P$8:$P$27,0))))-INDEX(定員チェック!$I$7:$I$26,MATCH(H273,設定!$P$8:$P$27,0))-COUNTIFS($M$7:$M$456,"要調整",$G$7:$G$456,H273),""))</f>
        <v/>
      </c>
      <c r="O273" s="50">
        <f>IF(OR(M273&lt;&gt;"要調整",I273=""),"",IFERROR((INDEX(設定!$Q$8:$Q$27,MATCH(I273,設定!$P$8:$P$27,0))+N(INDEX(設定!$R$8:$R$27,MATCH(I273,設定!$P$8:$P$27,0))))-INDEX(定員チェック!$I$7:$I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IF(R273="","",IFERROR(MATCH(R273,希望入力!$M$5:$M$554,0),""))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50">
        <f>IF(P274="","",INDEX(前年度名簿!$H$3:$H$452,P274))</f>
        <v/>
      </c>
      <c r="B274" s="50">
        <f>IF(P274="","",IFERROR(INDEX(設定!$G$8:$G$31,INT(INDEX(前年度名簿!$G$3:$G$452,P274)/1000)),INDEX(前年度名簿!$A$3:$A$452,P274)&amp;INDEX(前年度名簿!$B$3:$B$452,P274)))</f>
        <v/>
      </c>
      <c r="C274" s="50">
        <f>IF(P274="","",INDEX(前年度名簿!$C$3:$C$452,P274))</f>
        <v/>
      </c>
      <c r="D274" s="4">
        <f>IF(P274="","",INDEX(前年度名簿!$D$3:$D$452,P274))</f>
        <v/>
      </c>
      <c r="E274" s="50">
        <f>IF(T274="","",INDEX(新年度名簿!$K$3:$K$452,T274))</f>
        <v/>
      </c>
      <c r="F274" s="50">
        <f>IF(T274="","",INDEX(新年度名簿!$C$3:$C$452,T274))</f>
        <v/>
      </c>
      <c r="G274" s="50">
        <f>IF(Q274="","",INDEX(希望入力!$H$5:$H$554,Q274)&amp;"")</f>
        <v/>
      </c>
      <c r="H274" s="50">
        <f>IF(Q274="","",INDEX(希望入力!$I$5:$I$554,Q274)&amp;"")</f>
        <v/>
      </c>
      <c r="I274" s="50">
        <f>IF(Q274="","",INDEX(希望入力!$J$5:$J$554,Q274)&amp;"")</f>
        <v/>
      </c>
      <c r="J274" s="50">
        <f>IF(Q274="","",IF(G274="転出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)</f>
        <v/>
      </c>
      <c r="K274" s="49" t="n"/>
      <c r="L274" s="56">
        <f>IF(P274="","",IF(G274="転出","",IF(K274&lt;&gt;"",K274,IF(OR(J274="",J274="要調整"),"",J274))))</f>
        <v/>
      </c>
      <c r="M274" s="50">
        <f>IF(P274="","",IF(OR(G274="転出",AND(計算用!$B$1=1,T274="")),"転出",IF(L274&lt;&gt;"","決定",IF(Q274="","未提出","要調整"))))</f>
        <v/>
      </c>
      <c r="N274" s="50">
        <f>IF(OR(M274&lt;&gt;"要調整",H274=""),"",IFERROR((INDEX(設定!$Q$8:$Q$27,MATCH(H274,設定!$P$8:$P$27,0))+N(INDEX(設定!$R$8:$R$27,MATCH(H274,設定!$P$8:$P$27,0))))-INDEX(定員チェック!$I$7:$I$26,MATCH(H274,設定!$P$8:$P$27,0))-COUNTIFS($M$7:$M$456,"要調整",$G$7:$G$456,H274),""))</f>
        <v/>
      </c>
      <c r="O274" s="50">
        <f>IF(OR(M274&lt;&gt;"要調整",I274=""),"",IFERROR((INDEX(設定!$Q$8:$Q$27,MATCH(I274,設定!$P$8:$P$27,0))+N(INDEX(設定!$R$8:$R$27,MATCH(I274,設定!$P$8:$P$27,0))))-INDEX(定員チェック!$I$7:$I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IF(R274="","",IFERROR(MATCH(R274,希望入力!$M$5:$M$554,0),""))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50">
        <f>IF(P275="","",INDEX(前年度名簿!$H$3:$H$452,P275))</f>
        <v/>
      </c>
      <c r="B275" s="50">
        <f>IF(P275="","",IFERROR(INDEX(設定!$G$8:$G$31,INT(INDEX(前年度名簿!$G$3:$G$452,P275)/1000)),INDEX(前年度名簿!$A$3:$A$452,P275)&amp;INDEX(前年度名簿!$B$3:$B$452,P275)))</f>
        <v/>
      </c>
      <c r="C275" s="50">
        <f>IF(P275="","",INDEX(前年度名簿!$C$3:$C$452,P275))</f>
        <v/>
      </c>
      <c r="D275" s="4">
        <f>IF(P275="","",INDEX(前年度名簿!$D$3:$D$452,P275))</f>
        <v/>
      </c>
      <c r="E275" s="50">
        <f>IF(T275="","",INDEX(新年度名簿!$K$3:$K$452,T275))</f>
        <v/>
      </c>
      <c r="F275" s="50">
        <f>IF(T275="","",INDEX(新年度名簿!$C$3:$C$452,T275))</f>
        <v/>
      </c>
      <c r="G275" s="50">
        <f>IF(Q275="","",INDEX(希望入力!$H$5:$H$554,Q275)&amp;"")</f>
        <v/>
      </c>
      <c r="H275" s="50">
        <f>IF(Q275="","",INDEX(希望入力!$I$5:$I$554,Q275)&amp;"")</f>
        <v/>
      </c>
      <c r="I275" s="50">
        <f>IF(Q275="","",INDEX(希望入力!$J$5:$J$554,Q275)&amp;"")</f>
        <v/>
      </c>
      <c r="J275" s="50">
        <f>IF(Q275="","",IF(G275="転出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)</f>
        <v/>
      </c>
      <c r="K275" s="49" t="n"/>
      <c r="L275" s="56">
        <f>IF(P275="","",IF(G275="転出","",IF(K275&lt;&gt;"",K275,IF(OR(J275="",J275="要調整"),"",J275))))</f>
        <v/>
      </c>
      <c r="M275" s="50">
        <f>IF(P275="","",IF(OR(G275="転出",AND(計算用!$B$1=1,T275="")),"転出",IF(L275&lt;&gt;"","決定",IF(Q275="","未提出","要調整"))))</f>
        <v/>
      </c>
      <c r="N275" s="50">
        <f>IF(OR(M275&lt;&gt;"要調整",H275=""),"",IFERROR((INDEX(設定!$Q$8:$Q$27,MATCH(H275,設定!$P$8:$P$27,0))+N(INDEX(設定!$R$8:$R$27,MATCH(H275,設定!$P$8:$P$27,0))))-INDEX(定員チェック!$I$7:$I$26,MATCH(H275,設定!$P$8:$P$27,0))-COUNTIFS($M$7:$M$456,"要調整",$G$7:$G$456,H275),""))</f>
        <v/>
      </c>
      <c r="O275" s="50">
        <f>IF(OR(M275&lt;&gt;"要調整",I275=""),"",IFERROR((INDEX(設定!$Q$8:$Q$27,MATCH(I275,設定!$P$8:$P$27,0))+N(INDEX(設定!$R$8:$R$27,MATCH(I275,設定!$P$8:$P$27,0))))-INDEX(定員チェック!$I$7:$I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IF(R275="","",IFERROR(MATCH(R275,希望入力!$M$5:$M$554,0),""))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50">
        <f>IF(P276="","",INDEX(前年度名簿!$H$3:$H$452,P276))</f>
        <v/>
      </c>
      <c r="B276" s="50">
        <f>IF(P276="","",IFERROR(INDEX(設定!$G$8:$G$31,INT(INDEX(前年度名簿!$G$3:$G$452,P276)/1000)),INDEX(前年度名簿!$A$3:$A$452,P276)&amp;INDEX(前年度名簿!$B$3:$B$452,P276)))</f>
        <v/>
      </c>
      <c r="C276" s="50">
        <f>IF(P276="","",INDEX(前年度名簿!$C$3:$C$452,P276))</f>
        <v/>
      </c>
      <c r="D276" s="4">
        <f>IF(P276="","",INDEX(前年度名簿!$D$3:$D$452,P276))</f>
        <v/>
      </c>
      <c r="E276" s="50">
        <f>IF(T276="","",INDEX(新年度名簿!$K$3:$K$452,T276))</f>
        <v/>
      </c>
      <c r="F276" s="50">
        <f>IF(T276="","",INDEX(新年度名簿!$C$3:$C$452,T276))</f>
        <v/>
      </c>
      <c r="G276" s="50">
        <f>IF(Q276="","",INDEX(希望入力!$H$5:$H$554,Q276)&amp;"")</f>
        <v/>
      </c>
      <c r="H276" s="50">
        <f>IF(Q276="","",INDEX(希望入力!$I$5:$I$554,Q276)&amp;"")</f>
        <v/>
      </c>
      <c r="I276" s="50">
        <f>IF(Q276="","",INDEX(希望入力!$J$5:$J$554,Q276)&amp;"")</f>
        <v/>
      </c>
      <c r="J276" s="50">
        <f>IF(Q276="","",IF(G276="転出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)</f>
        <v/>
      </c>
      <c r="K276" s="49" t="n"/>
      <c r="L276" s="56">
        <f>IF(P276="","",IF(G276="転出","",IF(K276&lt;&gt;"",K276,IF(OR(J276="",J276="要調整"),"",J276))))</f>
        <v/>
      </c>
      <c r="M276" s="50">
        <f>IF(P276="","",IF(OR(G276="転出",AND(計算用!$B$1=1,T276="")),"転出",IF(L276&lt;&gt;"","決定",IF(Q276="","未提出","要調整"))))</f>
        <v/>
      </c>
      <c r="N276" s="50">
        <f>IF(OR(M276&lt;&gt;"要調整",H276=""),"",IFERROR((INDEX(設定!$Q$8:$Q$27,MATCH(H276,設定!$P$8:$P$27,0))+N(INDEX(設定!$R$8:$R$27,MATCH(H276,設定!$P$8:$P$27,0))))-INDEX(定員チェック!$I$7:$I$26,MATCH(H276,設定!$P$8:$P$27,0))-COUNTIFS($M$7:$M$456,"要調整",$G$7:$G$456,H276),""))</f>
        <v/>
      </c>
      <c r="O276" s="50">
        <f>IF(OR(M276&lt;&gt;"要調整",I276=""),"",IFERROR((INDEX(設定!$Q$8:$Q$27,MATCH(I276,設定!$P$8:$P$27,0))+N(INDEX(設定!$R$8:$R$27,MATCH(I276,設定!$P$8:$P$27,0))))-INDEX(定員チェック!$I$7:$I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IF(R276="","",IFERROR(MATCH(R276,希望入力!$M$5:$M$554,0),""))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50">
        <f>IF(P277="","",INDEX(前年度名簿!$H$3:$H$452,P277))</f>
        <v/>
      </c>
      <c r="B277" s="50">
        <f>IF(P277="","",IFERROR(INDEX(設定!$G$8:$G$31,INT(INDEX(前年度名簿!$G$3:$G$452,P277)/1000)),INDEX(前年度名簿!$A$3:$A$452,P277)&amp;INDEX(前年度名簿!$B$3:$B$452,P277)))</f>
        <v/>
      </c>
      <c r="C277" s="50">
        <f>IF(P277="","",INDEX(前年度名簿!$C$3:$C$452,P277))</f>
        <v/>
      </c>
      <c r="D277" s="4">
        <f>IF(P277="","",INDEX(前年度名簿!$D$3:$D$452,P277))</f>
        <v/>
      </c>
      <c r="E277" s="50">
        <f>IF(T277="","",INDEX(新年度名簿!$K$3:$K$452,T277))</f>
        <v/>
      </c>
      <c r="F277" s="50">
        <f>IF(T277="","",INDEX(新年度名簿!$C$3:$C$452,T277))</f>
        <v/>
      </c>
      <c r="G277" s="50">
        <f>IF(Q277="","",INDEX(希望入力!$H$5:$H$554,Q277)&amp;"")</f>
        <v/>
      </c>
      <c r="H277" s="50">
        <f>IF(Q277="","",INDEX(希望入力!$I$5:$I$554,Q277)&amp;"")</f>
        <v/>
      </c>
      <c r="I277" s="50">
        <f>IF(Q277="","",INDEX(希望入力!$J$5:$J$554,Q277)&amp;"")</f>
        <v/>
      </c>
      <c r="J277" s="50">
        <f>IF(Q277="","",IF(G277="転出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)</f>
        <v/>
      </c>
      <c r="K277" s="49" t="n"/>
      <c r="L277" s="56">
        <f>IF(P277="","",IF(G277="転出","",IF(K277&lt;&gt;"",K277,IF(OR(J277="",J277="要調整"),"",J277))))</f>
        <v/>
      </c>
      <c r="M277" s="50">
        <f>IF(P277="","",IF(OR(G277="転出",AND(計算用!$B$1=1,T277="")),"転出",IF(L277&lt;&gt;"","決定",IF(Q277="","未提出","要調整"))))</f>
        <v/>
      </c>
      <c r="N277" s="50">
        <f>IF(OR(M277&lt;&gt;"要調整",H277=""),"",IFERROR((INDEX(設定!$Q$8:$Q$27,MATCH(H277,設定!$P$8:$P$27,0))+N(INDEX(設定!$R$8:$R$27,MATCH(H277,設定!$P$8:$P$27,0))))-INDEX(定員チェック!$I$7:$I$26,MATCH(H277,設定!$P$8:$P$27,0))-COUNTIFS($M$7:$M$456,"要調整",$G$7:$G$456,H277),""))</f>
        <v/>
      </c>
      <c r="O277" s="50">
        <f>IF(OR(M277&lt;&gt;"要調整",I277=""),"",IFERROR((INDEX(設定!$Q$8:$Q$27,MATCH(I277,設定!$P$8:$P$27,0))+N(INDEX(設定!$R$8:$R$27,MATCH(I277,設定!$P$8:$P$27,0))))-INDEX(定員チェック!$I$7:$I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IF(R277="","",IFERROR(MATCH(R277,希望入力!$M$5:$M$554,0),""))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50">
        <f>IF(P278="","",INDEX(前年度名簿!$H$3:$H$452,P278))</f>
        <v/>
      </c>
      <c r="B278" s="50">
        <f>IF(P278="","",IFERROR(INDEX(設定!$G$8:$G$31,INT(INDEX(前年度名簿!$G$3:$G$452,P278)/1000)),INDEX(前年度名簿!$A$3:$A$452,P278)&amp;INDEX(前年度名簿!$B$3:$B$452,P278)))</f>
        <v/>
      </c>
      <c r="C278" s="50">
        <f>IF(P278="","",INDEX(前年度名簿!$C$3:$C$452,P278))</f>
        <v/>
      </c>
      <c r="D278" s="4">
        <f>IF(P278="","",INDEX(前年度名簿!$D$3:$D$452,P278))</f>
        <v/>
      </c>
      <c r="E278" s="50">
        <f>IF(T278="","",INDEX(新年度名簿!$K$3:$K$452,T278))</f>
        <v/>
      </c>
      <c r="F278" s="50">
        <f>IF(T278="","",INDEX(新年度名簿!$C$3:$C$452,T278))</f>
        <v/>
      </c>
      <c r="G278" s="50">
        <f>IF(Q278="","",INDEX(希望入力!$H$5:$H$554,Q278)&amp;"")</f>
        <v/>
      </c>
      <c r="H278" s="50">
        <f>IF(Q278="","",INDEX(希望入力!$I$5:$I$554,Q278)&amp;"")</f>
        <v/>
      </c>
      <c r="I278" s="50">
        <f>IF(Q278="","",INDEX(希望入力!$J$5:$J$554,Q278)&amp;"")</f>
        <v/>
      </c>
      <c r="J278" s="50">
        <f>IF(Q278="","",IF(G278="転出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)</f>
        <v/>
      </c>
      <c r="K278" s="49" t="n"/>
      <c r="L278" s="56">
        <f>IF(P278="","",IF(G278="転出","",IF(K278&lt;&gt;"",K278,IF(OR(J278="",J278="要調整"),"",J278))))</f>
        <v/>
      </c>
      <c r="M278" s="50">
        <f>IF(P278="","",IF(OR(G278="転出",AND(計算用!$B$1=1,T278="")),"転出",IF(L278&lt;&gt;"","決定",IF(Q278="","未提出","要調整"))))</f>
        <v/>
      </c>
      <c r="N278" s="50">
        <f>IF(OR(M278&lt;&gt;"要調整",H278=""),"",IFERROR((INDEX(設定!$Q$8:$Q$27,MATCH(H278,設定!$P$8:$P$27,0))+N(INDEX(設定!$R$8:$R$27,MATCH(H278,設定!$P$8:$P$27,0))))-INDEX(定員チェック!$I$7:$I$26,MATCH(H278,設定!$P$8:$P$27,0))-COUNTIFS($M$7:$M$456,"要調整",$G$7:$G$456,H278),""))</f>
        <v/>
      </c>
      <c r="O278" s="50">
        <f>IF(OR(M278&lt;&gt;"要調整",I278=""),"",IFERROR((INDEX(設定!$Q$8:$Q$27,MATCH(I278,設定!$P$8:$P$27,0))+N(INDEX(設定!$R$8:$R$27,MATCH(I278,設定!$P$8:$P$27,0))))-INDEX(定員チェック!$I$7:$I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IF(R278="","",IFERROR(MATCH(R278,希望入力!$M$5:$M$554,0),""))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50">
        <f>IF(P279="","",INDEX(前年度名簿!$H$3:$H$452,P279))</f>
        <v/>
      </c>
      <c r="B279" s="50">
        <f>IF(P279="","",IFERROR(INDEX(設定!$G$8:$G$31,INT(INDEX(前年度名簿!$G$3:$G$452,P279)/1000)),INDEX(前年度名簿!$A$3:$A$452,P279)&amp;INDEX(前年度名簿!$B$3:$B$452,P279)))</f>
        <v/>
      </c>
      <c r="C279" s="50">
        <f>IF(P279="","",INDEX(前年度名簿!$C$3:$C$452,P279))</f>
        <v/>
      </c>
      <c r="D279" s="4">
        <f>IF(P279="","",INDEX(前年度名簿!$D$3:$D$452,P279))</f>
        <v/>
      </c>
      <c r="E279" s="50">
        <f>IF(T279="","",INDEX(新年度名簿!$K$3:$K$452,T279))</f>
        <v/>
      </c>
      <c r="F279" s="50">
        <f>IF(T279="","",INDEX(新年度名簿!$C$3:$C$452,T279))</f>
        <v/>
      </c>
      <c r="G279" s="50">
        <f>IF(Q279="","",INDEX(希望入力!$H$5:$H$554,Q279)&amp;"")</f>
        <v/>
      </c>
      <c r="H279" s="50">
        <f>IF(Q279="","",INDEX(希望入力!$I$5:$I$554,Q279)&amp;"")</f>
        <v/>
      </c>
      <c r="I279" s="50">
        <f>IF(Q279="","",INDEX(希望入力!$J$5:$J$554,Q279)&amp;"")</f>
        <v/>
      </c>
      <c r="J279" s="50">
        <f>IF(Q279="","",IF(G279="転出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)</f>
        <v/>
      </c>
      <c r="K279" s="49" t="n"/>
      <c r="L279" s="56">
        <f>IF(P279="","",IF(G279="転出","",IF(K279&lt;&gt;"",K279,IF(OR(J279="",J279="要調整"),"",J279))))</f>
        <v/>
      </c>
      <c r="M279" s="50">
        <f>IF(P279="","",IF(OR(G279="転出",AND(計算用!$B$1=1,T279="")),"転出",IF(L279&lt;&gt;"","決定",IF(Q279="","未提出","要調整"))))</f>
        <v/>
      </c>
      <c r="N279" s="50">
        <f>IF(OR(M279&lt;&gt;"要調整",H279=""),"",IFERROR((INDEX(設定!$Q$8:$Q$27,MATCH(H279,設定!$P$8:$P$27,0))+N(INDEX(設定!$R$8:$R$27,MATCH(H279,設定!$P$8:$P$27,0))))-INDEX(定員チェック!$I$7:$I$26,MATCH(H279,設定!$P$8:$P$27,0))-COUNTIFS($M$7:$M$456,"要調整",$G$7:$G$456,H279),""))</f>
        <v/>
      </c>
      <c r="O279" s="50">
        <f>IF(OR(M279&lt;&gt;"要調整",I279=""),"",IFERROR((INDEX(設定!$Q$8:$Q$27,MATCH(I279,設定!$P$8:$P$27,0))+N(INDEX(設定!$R$8:$R$27,MATCH(I279,設定!$P$8:$P$27,0))))-INDEX(定員チェック!$I$7:$I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IF(R279="","",IFERROR(MATCH(R279,希望入力!$M$5:$M$554,0),""))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50">
        <f>IF(P280="","",INDEX(前年度名簿!$H$3:$H$452,P280))</f>
        <v/>
      </c>
      <c r="B280" s="50">
        <f>IF(P280="","",IFERROR(INDEX(設定!$G$8:$G$31,INT(INDEX(前年度名簿!$G$3:$G$452,P280)/1000)),INDEX(前年度名簿!$A$3:$A$452,P280)&amp;INDEX(前年度名簿!$B$3:$B$452,P280)))</f>
        <v/>
      </c>
      <c r="C280" s="50">
        <f>IF(P280="","",INDEX(前年度名簿!$C$3:$C$452,P280))</f>
        <v/>
      </c>
      <c r="D280" s="4">
        <f>IF(P280="","",INDEX(前年度名簿!$D$3:$D$452,P280))</f>
        <v/>
      </c>
      <c r="E280" s="50">
        <f>IF(T280="","",INDEX(新年度名簿!$K$3:$K$452,T280))</f>
        <v/>
      </c>
      <c r="F280" s="50">
        <f>IF(T280="","",INDEX(新年度名簿!$C$3:$C$452,T280))</f>
        <v/>
      </c>
      <c r="G280" s="50">
        <f>IF(Q280="","",INDEX(希望入力!$H$5:$H$554,Q280)&amp;"")</f>
        <v/>
      </c>
      <c r="H280" s="50">
        <f>IF(Q280="","",INDEX(希望入力!$I$5:$I$554,Q280)&amp;"")</f>
        <v/>
      </c>
      <c r="I280" s="50">
        <f>IF(Q280="","",INDEX(希望入力!$J$5:$J$554,Q280)&amp;"")</f>
        <v/>
      </c>
      <c r="J280" s="50">
        <f>IF(Q280="","",IF(G280="転出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)</f>
        <v/>
      </c>
      <c r="K280" s="49" t="n"/>
      <c r="L280" s="56">
        <f>IF(P280="","",IF(G280="転出","",IF(K280&lt;&gt;"",K280,IF(OR(J280="",J280="要調整"),"",J280))))</f>
        <v/>
      </c>
      <c r="M280" s="50">
        <f>IF(P280="","",IF(OR(G280="転出",AND(計算用!$B$1=1,T280="")),"転出",IF(L280&lt;&gt;"","決定",IF(Q280="","未提出","要調整"))))</f>
        <v/>
      </c>
      <c r="N280" s="50">
        <f>IF(OR(M280&lt;&gt;"要調整",H280=""),"",IFERROR((INDEX(設定!$Q$8:$Q$27,MATCH(H280,設定!$P$8:$P$27,0))+N(INDEX(設定!$R$8:$R$27,MATCH(H280,設定!$P$8:$P$27,0))))-INDEX(定員チェック!$I$7:$I$26,MATCH(H280,設定!$P$8:$P$27,0))-COUNTIFS($M$7:$M$456,"要調整",$G$7:$G$456,H280),""))</f>
        <v/>
      </c>
      <c r="O280" s="50">
        <f>IF(OR(M280&lt;&gt;"要調整",I280=""),"",IFERROR((INDEX(設定!$Q$8:$Q$27,MATCH(I280,設定!$P$8:$P$27,0))+N(INDEX(設定!$R$8:$R$27,MATCH(I280,設定!$P$8:$P$27,0))))-INDEX(定員チェック!$I$7:$I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IF(R280="","",IFERROR(MATCH(R280,希望入力!$M$5:$M$554,0),""))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50">
        <f>IF(P281="","",INDEX(前年度名簿!$H$3:$H$452,P281))</f>
        <v/>
      </c>
      <c r="B281" s="50">
        <f>IF(P281="","",IFERROR(INDEX(設定!$G$8:$G$31,INT(INDEX(前年度名簿!$G$3:$G$452,P281)/1000)),INDEX(前年度名簿!$A$3:$A$452,P281)&amp;INDEX(前年度名簿!$B$3:$B$452,P281)))</f>
        <v/>
      </c>
      <c r="C281" s="50">
        <f>IF(P281="","",INDEX(前年度名簿!$C$3:$C$452,P281))</f>
        <v/>
      </c>
      <c r="D281" s="4">
        <f>IF(P281="","",INDEX(前年度名簿!$D$3:$D$452,P281))</f>
        <v/>
      </c>
      <c r="E281" s="50">
        <f>IF(T281="","",INDEX(新年度名簿!$K$3:$K$452,T281))</f>
        <v/>
      </c>
      <c r="F281" s="50">
        <f>IF(T281="","",INDEX(新年度名簿!$C$3:$C$452,T281))</f>
        <v/>
      </c>
      <c r="G281" s="50">
        <f>IF(Q281="","",INDEX(希望入力!$H$5:$H$554,Q281)&amp;"")</f>
        <v/>
      </c>
      <c r="H281" s="50">
        <f>IF(Q281="","",INDEX(希望入力!$I$5:$I$554,Q281)&amp;"")</f>
        <v/>
      </c>
      <c r="I281" s="50">
        <f>IF(Q281="","",INDEX(希望入力!$J$5:$J$554,Q281)&amp;"")</f>
        <v/>
      </c>
      <c r="J281" s="50">
        <f>IF(Q281="","",IF(G281="転出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)</f>
        <v/>
      </c>
      <c r="K281" s="49" t="n"/>
      <c r="L281" s="56">
        <f>IF(P281="","",IF(G281="転出","",IF(K281&lt;&gt;"",K281,IF(OR(J281="",J281="要調整"),"",J281))))</f>
        <v/>
      </c>
      <c r="M281" s="50">
        <f>IF(P281="","",IF(OR(G281="転出",AND(計算用!$B$1=1,T281="")),"転出",IF(L281&lt;&gt;"","決定",IF(Q281="","未提出","要調整"))))</f>
        <v/>
      </c>
      <c r="N281" s="50">
        <f>IF(OR(M281&lt;&gt;"要調整",H281=""),"",IFERROR((INDEX(設定!$Q$8:$Q$27,MATCH(H281,設定!$P$8:$P$27,0))+N(INDEX(設定!$R$8:$R$27,MATCH(H281,設定!$P$8:$P$27,0))))-INDEX(定員チェック!$I$7:$I$26,MATCH(H281,設定!$P$8:$P$27,0))-COUNTIFS($M$7:$M$456,"要調整",$G$7:$G$456,H281),""))</f>
        <v/>
      </c>
      <c r="O281" s="50">
        <f>IF(OR(M281&lt;&gt;"要調整",I281=""),"",IFERROR((INDEX(設定!$Q$8:$Q$27,MATCH(I281,設定!$P$8:$P$27,0))+N(INDEX(設定!$R$8:$R$27,MATCH(I281,設定!$P$8:$P$27,0))))-INDEX(定員チェック!$I$7:$I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IF(R281="","",IFERROR(MATCH(R281,希望入力!$M$5:$M$554,0),""))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50">
        <f>IF(P282="","",INDEX(前年度名簿!$H$3:$H$452,P282))</f>
        <v/>
      </c>
      <c r="B282" s="50">
        <f>IF(P282="","",IFERROR(INDEX(設定!$G$8:$G$31,INT(INDEX(前年度名簿!$G$3:$G$452,P282)/1000)),INDEX(前年度名簿!$A$3:$A$452,P282)&amp;INDEX(前年度名簿!$B$3:$B$452,P282)))</f>
        <v/>
      </c>
      <c r="C282" s="50">
        <f>IF(P282="","",INDEX(前年度名簿!$C$3:$C$452,P282))</f>
        <v/>
      </c>
      <c r="D282" s="4">
        <f>IF(P282="","",INDEX(前年度名簿!$D$3:$D$452,P282))</f>
        <v/>
      </c>
      <c r="E282" s="50">
        <f>IF(T282="","",INDEX(新年度名簿!$K$3:$K$452,T282))</f>
        <v/>
      </c>
      <c r="F282" s="50">
        <f>IF(T282="","",INDEX(新年度名簿!$C$3:$C$452,T282))</f>
        <v/>
      </c>
      <c r="G282" s="50">
        <f>IF(Q282="","",INDEX(希望入力!$H$5:$H$554,Q282)&amp;"")</f>
        <v/>
      </c>
      <c r="H282" s="50">
        <f>IF(Q282="","",INDEX(希望入力!$I$5:$I$554,Q282)&amp;"")</f>
        <v/>
      </c>
      <c r="I282" s="50">
        <f>IF(Q282="","",INDEX(希望入力!$J$5:$J$554,Q282)&amp;"")</f>
        <v/>
      </c>
      <c r="J282" s="50">
        <f>IF(Q282="","",IF(G282="転出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)</f>
        <v/>
      </c>
      <c r="K282" s="49" t="n"/>
      <c r="L282" s="56">
        <f>IF(P282="","",IF(G282="転出","",IF(K282&lt;&gt;"",K282,IF(OR(J282="",J282="要調整"),"",J282))))</f>
        <v/>
      </c>
      <c r="M282" s="50">
        <f>IF(P282="","",IF(OR(G282="転出",AND(計算用!$B$1=1,T282="")),"転出",IF(L282&lt;&gt;"","決定",IF(Q282="","未提出","要調整"))))</f>
        <v/>
      </c>
      <c r="N282" s="50">
        <f>IF(OR(M282&lt;&gt;"要調整",H282=""),"",IFERROR((INDEX(設定!$Q$8:$Q$27,MATCH(H282,設定!$P$8:$P$27,0))+N(INDEX(設定!$R$8:$R$27,MATCH(H282,設定!$P$8:$P$27,0))))-INDEX(定員チェック!$I$7:$I$26,MATCH(H282,設定!$P$8:$P$27,0))-COUNTIFS($M$7:$M$456,"要調整",$G$7:$G$456,H282),""))</f>
        <v/>
      </c>
      <c r="O282" s="50">
        <f>IF(OR(M282&lt;&gt;"要調整",I282=""),"",IFERROR((INDEX(設定!$Q$8:$Q$27,MATCH(I282,設定!$P$8:$P$27,0))+N(INDEX(設定!$R$8:$R$27,MATCH(I282,設定!$P$8:$P$27,0))))-INDEX(定員チェック!$I$7:$I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IF(R282="","",IFERROR(MATCH(R282,希望入力!$M$5:$M$554,0),""))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50">
        <f>IF(P283="","",INDEX(前年度名簿!$H$3:$H$452,P283))</f>
        <v/>
      </c>
      <c r="B283" s="50">
        <f>IF(P283="","",IFERROR(INDEX(設定!$G$8:$G$31,INT(INDEX(前年度名簿!$G$3:$G$452,P283)/1000)),INDEX(前年度名簿!$A$3:$A$452,P283)&amp;INDEX(前年度名簿!$B$3:$B$452,P283)))</f>
        <v/>
      </c>
      <c r="C283" s="50">
        <f>IF(P283="","",INDEX(前年度名簿!$C$3:$C$452,P283))</f>
        <v/>
      </c>
      <c r="D283" s="4">
        <f>IF(P283="","",INDEX(前年度名簿!$D$3:$D$452,P283))</f>
        <v/>
      </c>
      <c r="E283" s="50">
        <f>IF(T283="","",INDEX(新年度名簿!$K$3:$K$452,T283))</f>
        <v/>
      </c>
      <c r="F283" s="50">
        <f>IF(T283="","",INDEX(新年度名簿!$C$3:$C$452,T283))</f>
        <v/>
      </c>
      <c r="G283" s="50">
        <f>IF(Q283="","",INDEX(希望入力!$H$5:$H$554,Q283)&amp;"")</f>
        <v/>
      </c>
      <c r="H283" s="50">
        <f>IF(Q283="","",INDEX(希望入力!$I$5:$I$554,Q283)&amp;"")</f>
        <v/>
      </c>
      <c r="I283" s="50">
        <f>IF(Q283="","",INDEX(希望入力!$J$5:$J$554,Q283)&amp;"")</f>
        <v/>
      </c>
      <c r="J283" s="50">
        <f>IF(Q283="","",IF(G283="転出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)</f>
        <v/>
      </c>
      <c r="K283" s="49" t="n"/>
      <c r="L283" s="56">
        <f>IF(P283="","",IF(G283="転出","",IF(K283&lt;&gt;"",K283,IF(OR(J283="",J283="要調整"),"",J283))))</f>
        <v/>
      </c>
      <c r="M283" s="50">
        <f>IF(P283="","",IF(OR(G283="転出",AND(計算用!$B$1=1,T283="")),"転出",IF(L283&lt;&gt;"","決定",IF(Q283="","未提出","要調整"))))</f>
        <v/>
      </c>
      <c r="N283" s="50">
        <f>IF(OR(M283&lt;&gt;"要調整",H283=""),"",IFERROR((INDEX(設定!$Q$8:$Q$27,MATCH(H283,設定!$P$8:$P$27,0))+N(INDEX(設定!$R$8:$R$27,MATCH(H283,設定!$P$8:$P$27,0))))-INDEX(定員チェック!$I$7:$I$26,MATCH(H283,設定!$P$8:$P$27,0))-COUNTIFS($M$7:$M$456,"要調整",$G$7:$G$456,H283),""))</f>
        <v/>
      </c>
      <c r="O283" s="50">
        <f>IF(OR(M283&lt;&gt;"要調整",I283=""),"",IFERROR((INDEX(設定!$Q$8:$Q$27,MATCH(I283,設定!$P$8:$P$27,0))+N(INDEX(設定!$R$8:$R$27,MATCH(I283,設定!$P$8:$P$27,0))))-INDEX(定員チェック!$I$7:$I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IF(R283="","",IFERROR(MATCH(R283,希望入力!$M$5:$M$554,0),""))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50">
        <f>IF(P284="","",INDEX(前年度名簿!$H$3:$H$452,P284))</f>
        <v/>
      </c>
      <c r="B284" s="50">
        <f>IF(P284="","",IFERROR(INDEX(設定!$G$8:$G$31,INT(INDEX(前年度名簿!$G$3:$G$452,P284)/1000)),INDEX(前年度名簿!$A$3:$A$452,P284)&amp;INDEX(前年度名簿!$B$3:$B$452,P284)))</f>
        <v/>
      </c>
      <c r="C284" s="50">
        <f>IF(P284="","",INDEX(前年度名簿!$C$3:$C$452,P284))</f>
        <v/>
      </c>
      <c r="D284" s="4">
        <f>IF(P284="","",INDEX(前年度名簿!$D$3:$D$452,P284))</f>
        <v/>
      </c>
      <c r="E284" s="50">
        <f>IF(T284="","",INDEX(新年度名簿!$K$3:$K$452,T284))</f>
        <v/>
      </c>
      <c r="F284" s="50">
        <f>IF(T284="","",INDEX(新年度名簿!$C$3:$C$452,T284))</f>
        <v/>
      </c>
      <c r="G284" s="50">
        <f>IF(Q284="","",INDEX(希望入力!$H$5:$H$554,Q284)&amp;"")</f>
        <v/>
      </c>
      <c r="H284" s="50">
        <f>IF(Q284="","",INDEX(希望入力!$I$5:$I$554,Q284)&amp;"")</f>
        <v/>
      </c>
      <c r="I284" s="50">
        <f>IF(Q284="","",INDEX(希望入力!$J$5:$J$554,Q284)&amp;"")</f>
        <v/>
      </c>
      <c r="J284" s="50">
        <f>IF(Q284="","",IF(G284="転出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)</f>
        <v/>
      </c>
      <c r="K284" s="49" t="n"/>
      <c r="L284" s="56">
        <f>IF(P284="","",IF(G284="転出","",IF(K284&lt;&gt;"",K284,IF(OR(J284="",J284="要調整"),"",J284))))</f>
        <v/>
      </c>
      <c r="M284" s="50">
        <f>IF(P284="","",IF(OR(G284="転出",AND(計算用!$B$1=1,T284="")),"転出",IF(L284&lt;&gt;"","決定",IF(Q284="","未提出","要調整"))))</f>
        <v/>
      </c>
      <c r="N284" s="50">
        <f>IF(OR(M284&lt;&gt;"要調整",H284=""),"",IFERROR((INDEX(設定!$Q$8:$Q$27,MATCH(H284,設定!$P$8:$P$27,0))+N(INDEX(設定!$R$8:$R$27,MATCH(H284,設定!$P$8:$P$27,0))))-INDEX(定員チェック!$I$7:$I$26,MATCH(H284,設定!$P$8:$P$27,0))-COUNTIFS($M$7:$M$456,"要調整",$G$7:$G$456,H284),""))</f>
        <v/>
      </c>
      <c r="O284" s="50">
        <f>IF(OR(M284&lt;&gt;"要調整",I284=""),"",IFERROR((INDEX(設定!$Q$8:$Q$27,MATCH(I284,設定!$P$8:$P$27,0))+N(INDEX(設定!$R$8:$R$27,MATCH(I284,設定!$P$8:$P$27,0))))-INDEX(定員チェック!$I$7:$I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IF(R284="","",IFERROR(MATCH(R284,希望入力!$M$5:$M$554,0),""))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50">
        <f>IF(P285="","",INDEX(前年度名簿!$H$3:$H$452,P285))</f>
        <v/>
      </c>
      <c r="B285" s="50">
        <f>IF(P285="","",IFERROR(INDEX(設定!$G$8:$G$31,INT(INDEX(前年度名簿!$G$3:$G$452,P285)/1000)),INDEX(前年度名簿!$A$3:$A$452,P285)&amp;INDEX(前年度名簿!$B$3:$B$452,P285)))</f>
        <v/>
      </c>
      <c r="C285" s="50">
        <f>IF(P285="","",INDEX(前年度名簿!$C$3:$C$452,P285))</f>
        <v/>
      </c>
      <c r="D285" s="4">
        <f>IF(P285="","",INDEX(前年度名簿!$D$3:$D$452,P285))</f>
        <v/>
      </c>
      <c r="E285" s="50">
        <f>IF(T285="","",INDEX(新年度名簿!$K$3:$K$452,T285))</f>
        <v/>
      </c>
      <c r="F285" s="50">
        <f>IF(T285="","",INDEX(新年度名簿!$C$3:$C$452,T285))</f>
        <v/>
      </c>
      <c r="G285" s="50">
        <f>IF(Q285="","",INDEX(希望入力!$H$5:$H$554,Q285)&amp;"")</f>
        <v/>
      </c>
      <c r="H285" s="50">
        <f>IF(Q285="","",INDEX(希望入力!$I$5:$I$554,Q285)&amp;"")</f>
        <v/>
      </c>
      <c r="I285" s="50">
        <f>IF(Q285="","",INDEX(希望入力!$J$5:$J$554,Q285)&amp;"")</f>
        <v/>
      </c>
      <c r="J285" s="50">
        <f>IF(Q285="","",IF(G285="転出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)</f>
        <v/>
      </c>
      <c r="K285" s="49" t="n"/>
      <c r="L285" s="56">
        <f>IF(P285="","",IF(G285="転出","",IF(K285&lt;&gt;"",K285,IF(OR(J285="",J285="要調整"),"",J285))))</f>
        <v/>
      </c>
      <c r="M285" s="50">
        <f>IF(P285="","",IF(OR(G285="転出",AND(計算用!$B$1=1,T285="")),"転出",IF(L285&lt;&gt;"","決定",IF(Q285="","未提出","要調整"))))</f>
        <v/>
      </c>
      <c r="N285" s="50">
        <f>IF(OR(M285&lt;&gt;"要調整",H285=""),"",IFERROR((INDEX(設定!$Q$8:$Q$27,MATCH(H285,設定!$P$8:$P$27,0))+N(INDEX(設定!$R$8:$R$27,MATCH(H285,設定!$P$8:$P$27,0))))-INDEX(定員チェック!$I$7:$I$26,MATCH(H285,設定!$P$8:$P$27,0))-COUNTIFS($M$7:$M$456,"要調整",$G$7:$G$456,H285),""))</f>
        <v/>
      </c>
      <c r="O285" s="50">
        <f>IF(OR(M285&lt;&gt;"要調整",I285=""),"",IFERROR((INDEX(設定!$Q$8:$Q$27,MATCH(I285,設定!$P$8:$P$27,0))+N(INDEX(設定!$R$8:$R$27,MATCH(I285,設定!$P$8:$P$27,0))))-INDEX(定員チェック!$I$7:$I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IF(R285="","",IFERROR(MATCH(R285,希望入力!$M$5:$M$554,0),""))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50">
        <f>IF(P286="","",INDEX(前年度名簿!$H$3:$H$452,P286))</f>
        <v/>
      </c>
      <c r="B286" s="50">
        <f>IF(P286="","",IFERROR(INDEX(設定!$G$8:$G$31,INT(INDEX(前年度名簿!$G$3:$G$452,P286)/1000)),INDEX(前年度名簿!$A$3:$A$452,P286)&amp;INDEX(前年度名簿!$B$3:$B$452,P286)))</f>
        <v/>
      </c>
      <c r="C286" s="50">
        <f>IF(P286="","",INDEX(前年度名簿!$C$3:$C$452,P286))</f>
        <v/>
      </c>
      <c r="D286" s="4">
        <f>IF(P286="","",INDEX(前年度名簿!$D$3:$D$452,P286))</f>
        <v/>
      </c>
      <c r="E286" s="50">
        <f>IF(T286="","",INDEX(新年度名簿!$K$3:$K$452,T286))</f>
        <v/>
      </c>
      <c r="F286" s="50">
        <f>IF(T286="","",INDEX(新年度名簿!$C$3:$C$452,T286))</f>
        <v/>
      </c>
      <c r="G286" s="50">
        <f>IF(Q286="","",INDEX(希望入力!$H$5:$H$554,Q286)&amp;"")</f>
        <v/>
      </c>
      <c r="H286" s="50">
        <f>IF(Q286="","",INDEX(希望入力!$I$5:$I$554,Q286)&amp;"")</f>
        <v/>
      </c>
      <c r="I286" s="50">
        <f>IF(Q286="","",INDEX(希望入力!$J$5:$J$554,Q286)&amp;"")</f>
        <v/>
      </c>
      <c r="J286" s="50">
        <f>IF(Q286="","",IF(G286="転出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)</f>
        <v/>
      </c>
      <c r="K286" s="49" t="n"/>
      <c r="L286" s="56">
        <f>IF(P286="","",IF(G286="転出","",IF(K286&lt;&gt;"",K286,IF(OR(J286="",J286="要調整"),"",J286))))</f>
        <v/>
      </c>
      <c r="M286" s="50">
        <f>IF(P286="","",IF(OR(G286="転出",AND(計算用!$B$1=1,T286="")),"転出",IF(L286&lt;&gt;"","決定",IF(Q286="","未提出","要調整"))))</f>
        <v/>
      </c>
      <c r="N286" s="50">
        <f>IF(OR(M286&lt;&gt;"要調整",H286=""),"",IFERROR((INDEX(設定!$Q$8:$Q$27,MATCH(H286,設定!$P$8:$P$27,0))+N(INDEX(設定!$R$8:$R$27,MATCH(H286,設定!$P$8:$P$27,0))))-INDEX(定員チェック!$I$7:$I$26,MATCH(H286,設定!$P$8:$P$27,0))-COUNTIFS($M$7:$M$456,"要調整",$G$7:$G$456,H286),""))</f>
        <v/>
      </c>
      <c r="O286" s="50">
        <f>IF(OR(M286&lt;&gt;"要調整",I286=""),"",IFERROR((INDEX(設定!$Q$8:$Q$27,MATCH(I286,設定!$P$8:$P$27,0))+N(INDEX(設定!$R$8:$R$27,MATCH(I286,設定!$P$8:$P$27,0))))-INDEX(定員チェック!$I$7:$I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IF(R286="","",IFERROR(MATCH(R286,希望入力!$M$5:$M$554,0),""))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50">
        <f>IF(P287="","",INDEX(前年度名簿!$H$3:$H$452,P287))</f>
        <v/>
      </c>
      <c r="B287" s="50">
        <f>IF(P287="","",IFERROR(INDEX(設定!$G$8:$G$31,INT(INDEX(前年度名簿!$G$3:$G$452,P287)/1000)),INDEX(前年度名簿!$A$3:$A$452,P287)&amp;INDEX(前年度名簿!$B$3:$B$452,P287)))</f>
        <v/>
      </c>
      <c r="C287" s="50">
        <f>IF(P287="","",INDEX(前年度名簿!$C$3:$C$452,P287))</f>
        <v/>
      </c>
      <c r="D287" s="4">
        <f>IF(P287="","",INDEX(前年度名簿!$D$3:$D$452,P287))</f>
        <v/>
      </c>
      <c r="E287" s="50">
        <f>IF(T287="","",INDEX(新年度名簿!$K$3:$K$452,T287))</f>
        <v/>
      </c>
      <c r="F287" s="50">
        <f>IF(T287="","",INDEX(新年度名簿!$C$3:$C$452,T287))</f>
        <v/>
      </c>
      <c r="G287" s="50">
        <f>IF(Q287="","",INDEX(希望入力!$H$5:$H$554,Q287)&amp;"")</f>
        <v/>
      </c>
      <c r="H287" s="50">
        <f>IF(Q287="","",INDEX(希望入力!$I$5:$I$554,Q287)&amp;"")</f>
        <v/>
      </c>
      <c r="I287" s="50">
        <f>IF(Q287="","",INDEX(希望入力!$J$5:$J$554,Q287)&amp;"")</f>
        <v/>
      </c>
      <c r="J287" s="50">
        <f>IF(Q287="","",IF(G287="転出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)</f>
        <v/>
      </c>
      <c r="K287" s="49" t="n"/>
      <c r="L287" s="56">
        <f>IF(P287="","",IF(G287="転出","",IF(K287&lt;&gt;"",K287,IF(OR(J287="",J287="要調整"),"",J287))))</f>
        <v/>
      </c>
      <c r="M287" s="50">
        <f>IF(P287="","",IF(OR(G287="転出",AND(計算用!$B$1=1,T287="")),"転出",IF(L287&lt;&gt;"","決定",IF(Q287="","未提出","要調整"))))</f>
        <v/>
      </c>
      <c r="N287" s="50">
        <f>IF(OR(M287&lt;&gt;"要調整",H287=""),"",IFERROR((INDEX(設定!$Q$8:$Q$27,MATCH(H287,設定!$P$8:$P$27,0))+N(INDEX(設定!$R$8:$R$27,MATCH(H287,設定!$P$8:$P$27,0))))-INDEX(定員チェック!$I$7:$I$26,MATCH(H287,設定!$P$8:$P$27,0))-COUNTIFS($M$7:$M$456,"要調整",$G$7:$G$456,H287),""))</f>
        <v/>
      </c>
      <c r="O287" s="50">
        <f>IF(OR(M287&lt;&gt;"要調整",I287=""),"",IFERROR((INDEX(設定!$Q$8:$Q$27,MATCH(I287,設定!$P$8:$P$27,0))+N(INDEX(設定!$R$8:$R$27,MATCH(I287,設定!$P$8:$P$27,0))))-INDEX(定員チェック!$I$7:$I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IF(R287="","",IFERROR(MATCH(R287,希望入力!$M$5:$M$554,0),""))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50">
        <f>IF(P288="","",INDEX(前年度名簿!$H$3:$H$452,P288))</f>
        <v/>
      </c>
      <c r="B288" s="50">
        <f>IF(P288="","",IFERROR(INDEX(設定!$G$8:$G$31,INT(INDEX(前年度名簿!$G$3:$G$452,P288)/1000)),INDEX(前年度名簿!$A$3:$A$452,P288)&amp;INDEX(前年度名簿!$B$3:$B$452,P288)))</f>
        <v/>
      </c>
      <c r="C288" s="50">
        <f>IF(P288="","",INDEX(前年度名簿!$C$3:$C$452,P288))</f>
        <v/>
      </c>
      <c r="D288" s="4">
        <f>IF(P288="","",INDEX(前年度名簿!$D$3:$D$452,P288))</f>
        <v/>
      </c>
      <c r="E288" s="50">
        <f>IF(T288="","",INDEX(新年度名簿!$K$3:$K$452,T288))</f>
        <v/>
      </c>
      <c r="F288" s="50">
        <f>IF(T288="","",INDEX(新年度名簿!$C$3:$C$452,T288))</f>
        <v/>
      </c>
      <c r="G288" s="50">
        <f>IF(Q288="","",INDEX(希望入力!$H$5:$H$554,Q288)&amp;"")</f>
        <v/>
      </c>
      <c r="H288" s="50">
        <f>IF(Q288="","",INDEX(希望入力!$I$5:$I$554,Q288)&amp;"")</f>
        <v/>
      </c>
      <c r="I288" s="50">
        <f>IF(Q288="","",INDEX(希望入力!$J$5:$J$554,Q288)&amp;"")</f>
        <v/>
      </c>
      <c r="J288" s="50">
        <f>IF(Q288="","",IF(G288="転出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)</f>
        <v/>
      </c>
      <c r="K288" s="49" t="n"/>
      <c r="L288" s="56">
        <f>IF(P288="","",IF(G288="転出","",IF(K288&lt;&gt;"",K288,IF(OR(J288="",J288="要調整"),"",J288))))</f>
        <v/>
      </c>
      <c r="M288" s="50">
        <f>IF(P288="","",IF(OR(G288="転出",AND(計算用!$B$1=1,T288="")),"転出",IF(L288&lt;&gt;"","決定",IF(Q288="","未提出","要調整"))))</f>
        <v/>
      </c>
      <c r="N288" s="50">
        <f>IF(OR(M288&lt;&gt;"要調整",H288=""),"",IFERROR((INDEX(設定!$Q$8:$Q$27,MATCH(H288,設定!$P$8:$P$27,0))+N(INDEX(設定!$R$8:$R$27,MATCH(H288,設定!$P$8:$P$27,0))))-INDEX(定員チェック!$I$7:$I$26,MATCH(H288,設定!$P$8:$P$27,0))-COUNTIFS($M$7:$M$456,"要調整",$G$7:$G$456,H288),""))</f>
        <v/>
      </c>
      <c r="O288" s="50">
        <f>IF(OR(M288&lt;&gt;"要調整",I288=""),"",IFERROR((INDEX(設定!$Q$8:$Q$27,MATCH(I288,設定!$P$8:$P$27,0))+N(INDEX(設定!$R$8:$R$27,MATCH(I288,設定!$P$8:$P$27,0))))-INDEX(定員チェック!$I$7:$I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IF(R288="","",IFERROR(MATCH(R288,希望入力!$M$5:$M$554,0),""))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50">
        <f>IF(P289="","",INDEX(前年度名簿!$H$3:$H$452,P289))</f>
        <v/>
      </c>
      <c r="B289" s="50">
        <f>IF(P289="","",IFERROR(INDEX(設定!$G$8:$G$31,INT(INDEX(前年度名簿!$G$3:$G$452,P289)/1000)),INDEX(前年度名簿!$A$3:$A$452,P289)&amp;INDEX(前年度名簿!$B$3:$B$452,P289)))</f>
        <v/>
      </c>
      <c r="C289" s="50">
        <f>IF(P289="","",INDEX(前年度名簿!$C$3:$C$452,P289))</f>
        <v/>
      </c>
      <c r="D289" s="4">
        <f>IF(P289="","",INDEX(前年度名簿!$D$3:$D$452,P289))</f>
        <v/>
      </c>
      <c r="E289" s="50">
        <f>IF(T289="","",INDEX(新年度名簿!$K$3:$K$452,T289))</f>
        <v/>
      </c>
      <c r="F289" s="50">
        <f>IF(T289="","",INDEX(新年度名簿!$C$3:$C$452,T289))</f>
        <v/>
      </c>
      <c r="G289" s="50">
        <f>IF(Q289="","",INDEX(希望入力!$H$5:$H$554,Q289)&amp;"")</f>
        <v/>
      </c>
      <c r="H289" s="50">
        <f>IF(Q289="","",INDEX(希望入力!$I$5:$I$554,Q289)&amp;"")</f>
        <v/>
      </c>
      <c r="I289" s="50">
        <f>IF(Q289="","",INDEX(希望入力!$J$5:$J$554,Q289)&amp;"")</f>
        <v/>
      </c>
      <c r="J289" s="50">
        <f>IF(Q289="","",IF(G289="転出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)</f>
        <v/>
      </c>
      <c r="K289" s="49" t="n"/>
      <c r="L289" s="56">
        <f>IF(P289="","",IF(G289="転出","",IF(K289&lt;&gt;"",K289,IF(OR(J289="",J289="要調整"),"",J289))))</f>
        <v/>
      </c>
      <c r="M289" s="50">
        <f>IF(P289="","",IF(OR(G289="転出",AND(計算用!$B$1=1,T289="")),"転出",IF(L289&lt;&gt;"","決定",IF(Q289="","未提出","要調整"))))</f>
        <v/>
      </c>
      <c r="N289" s="50">
        <f>IF(OR(M289&lt;&gt;"要調整",H289=""),"",IFERROR((INDEX(設定!$Q$8:$Q$27,MATCH(H289,設定!$P$8:$P$27,0))+N(INDEX(設定!$R$8:$R$27,MATCH(H289,設定!$P$8:$P$27,0))))-INDEX(定員チェック!$I$7:$I$26,MATCH(H289,設定!$P$8:$P$27,0))-COUNTIFS($M$7:$M$456,"要調整",$G$7:$G$456,H289),""))</f>
        <v/>
      </c>
      <c r="O289" s="50">
        <f>IF(OR(M289&lt;&gt;"要調整",I289=""),"",IFERROR((INDEX(設定!$Q$8:$Q$27,MATCH(I289,設定!$P$8:$P$27,0))+N(INDEX(設定!$R$8:$R$27,MATCH(I289,設定!$P$8:$P$27,0))))-INDEX(定員チェック!$I$7:$I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IF(R289="","",IFERROR(MATCH(R289,希望入力!$M$5:$M$554,0),""))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50">
        <f>IF(P290="","",INDEX(前年度名簿!$H$3:$H$452,P290))</f>
        <v/>
      </c>
      <c r="B290" s="50">
        <f>IF(P290="","",IFERROR(INDEX(設定!$G$8:$G$31,INT(INDEX(前年度名簿!$G$3:$G$452,P290)/1000)),INDEX(前年度名簿!$A$3:$A$452,P290)&amp;INDEX(前年度名簿!$B$3:$B$452,P290)))</f>
        <v/>
      </c>
      <c r="C290" s="50">
        <f>IF(P290="","",INDEX(前年度名簿!$C$3:$C$452,P290))</f>
        <v/>
      </c>
      <c r="D290" s="4">
        <f>IF(P290="","",INDEX(前年度名簿!$D$3:$D$452,P290))</f>
        <v/>
      </c>
      <c r="E290" s="50">
        <f>IF(T290="","",INDEX(新年度名簿!$K$3:$K$452,T290))</f>
        <v/>
      </c>
      <c r="F290" s="50">
        <f>IF(T290="","",INDEX(新年度名簿!$C$3:$C$452,T290))</f>
        <v/>
      </c>
      <c r="G290" s="50">
        <f>IF(Q290="","",INDEX(希望入力!$H$5:$H$554,Q290)&amp;"")</f>
        <v/>
      </c>
      <c r="H290" s="50">
        <f>IF(Q290="","",INDEX(希望入力!$I$5:$I$554,Q290)&amp;"")</f>
        <v/>
      </c>
      <c r="I290" s="50">
        <f>IF(Q290="","",INDEX(希望入力!$J$5:$J$554,Q290)&amp;"")</f>
        <v/>
      </c>
      <c r="J290" s="50">
        <f>IF(Q290="","",IF(G290="転出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)</f>
        <v/>
      </c>
      <c r="K290" s="49" t="n"/>
      <c r="L290" s="56">
        <f>IF(P290="","",IF(G290="転出","",IF(K290&lt;&gt;"",K290,IF(OR(J290="",J290="要調整"),"",J290))))</f>
        <v/>
      </c>
      <c r="M290" s="50">
        <f>IF(P290="","",IF(OR(G290="転出",AND(計算用!$B$1=1,T290="")),"転出",IF(L290&lt;&gt;"","決定",IF(Q290="","未提出","要調整"))))</f>
        <v/>
      </c>
      <c r="N290" s="50">
        <f>IF(OR(M290&lt;&gt;"要調整",H290=""),"",IFERROR((INDEX(設定!$Q$8:$Q$27,MATCH(H290,設定!$P$8:$P$27,0))+N(INDEX(設定!$R$8:$R$27,MATCH(H290,設定!$P$8:$P$27,0))))-INDEX(定員チェック!$I$7:$I$26,MATCH(H290,設定!$P$8:$P$27,0))-COUNTIFS($M$7:$M$456,"要調整",$G$7:$G$456,H290),""))</f>
        <v/>
      </c>
      <c r="O290" s="50">
        <f>IF(OR(M290&lt;&gt;"要調整",I290=""),"",IFERROR((INDEX(設定!$Q$8:$Q$27,MATCH(I290,設定!$P$8:$P$27,0))+N(INDEX(設定!$R$8:$R$27,MATCH(I290,設定!$P$8:$P$27,0))))-INDEX(定員チェック!$I$7:$I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IF(R290="","",IFERROR(MATCH(R290,希望入力!$M$5:$M$554,0),""))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50">
        <f>IF(P291="","",INDEX(前年度名簿!$H$3:$H$452,P291))</f>
        <v/>
      </c>
      <c r="B291" s="50">
        <f>IF(P291="","",IFERROR(INDEX(設定!$G$8:$G$31,INT(INDEX(前年度名簿!$G$3:$G$452,P291)/1000)),INDEX(前年度名簿!$A$3:$A$452,P291)&amp;INDEX(前年度名簿!$B$3:$B$452,P291)))</f>
        <v/>
      </c>
      <c r="C291" s="50">
        <f>IF(P291="","",INDEX(前年度名簿!$C$3:$C$452,P291))</f>
        <v/>
      </c>
      <c r="D291" s="4">
        <f>IF(P291="","",INDEX(前年度名簿!$D$3:$D$452,P291))</f>
        <v/>
      </c>
      <c r="E291" s="50">
        <f>IF(T291="","",INDEX(新年度名簿!$K$3:$K$452,T291))</f>
        <v/>
      </c>
      <c r="F291" s="50">
        <f>IF(T291="","",INDEX(新年度名簿!$C$3:$C$452,T291))</f>
        <v/>
      </c>
      <c r="G291" s="50">
        <f>IF(Q291="","",INDEX(希望入力!$H$5:$H$554,Q291)&amp;"")</f>
        <v/>
      </c>
      <c r="H291" s="50">
        <f>IF(Q291="","",INDEX(希望入力!$I$5:$I$554,Q291)&amp;"")</f>
        <v/>
      </c>
      <c r="I291" s="50">
        <f>IF(Q291="","",INDEX(希望入力!$J$5:$J$554,Q291)&amp;"")</f>
        <v/>
      </c>
      <c r="J291" s="50">
        <f>IF(Q291="","",IF(G291="転出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)</f>
        <v/>
      </c>
      <c r="K291" s="49" t="n"/>
      <c r="L291" s="56">
        <f>IF(P291="","",IF(G291="転出","",IF(K291&lt;&gt;"",K291,IF(OR(J291="",J291="要調整"),"",J291))))</f>
        <v/>
      </c>
      <c r="M291" s="50">
        <f>IF(P291="","",IF(OR(G291="転出",AND(計算用!$B$1=1,T291="")),"転出",IF(L291&lt;&gt;"","決定",IF(Q291="","未提出","要調整"))))</f>
        <v/>
      </c>
      <c r="N291" s="50">
        <f>IF(OR(M291&lt;&gt;"要調整",H291=""),"",IFERROR((INDEX(設定!$Q$8:$Q$27,MATCH(H291,設定!$P$8:$P$27,0))+N(INDEX(設定!$R$8:$R$27,MATCH(H291,設定!$P$8:$P$27,0))))-INDEX(定員チェック!$I$7:$I$26,MATCH(H291,設定!$P$8:$P$27,0))-COUNTIFS($M$7:$M$456,"要調整",$G$7:$G$456,H291),""))</f>
        <v/>
      </c>
      <c r="O291" s="50">
        <f>IF(OR(M291&lt;&gt;"要調整",I291=""),"",IFERROR((INDEX(設定!$Q$8:$Q$27,MATCH(I291,設定!$P$8:$P$27,0))+N(INDEX(設定!$R$8:$R$27,MATCH(I291,設定!$P$8:$P$27,0))))-INDEX(定員チェック!$I$7:$I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IF(R291="","",IFERROR(MATCH(R291,希望入力!$M$5:$M$554,0),""))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50">
        <f>IF(P292="","",INDEX(前年度名簿!$H$3:$H$452,P292))</f>
        <v/>
      </c>
      <c r="B292" s="50">
        <f>IF(P292="","",IFERROR(INDEX(設定!$G$8:$G$31,INT(INDEX(前年度名簿!$G$3:$G$452,P292)/1000)),INDEX(前年度名簿!$A$3:$A$452,P292)&amp;INDEX(前年度名簿!$B$3:$B$452,P292)))</f>
        <v/>
      </c>
      <c r="C292" s="50">
        <f>IF(P292="","",INDEX(前年度名簿!$C$3:$C$452,P292))</f>
        <v/>
      </c>
      <c r="D292" s="4">
        <f>IF(P292="","",INDEX(前年度名簿!$D$3:$D$452,P292))</f>
        <v/>
      </c>
      <c r="E292" s="50">
        <f>IF(T292="","",INDEX(新年度名簿!$K$3:$K$452,T292))</f>
        <v/>
      </c>
      <c r="F292" s="50">
        <f>IF(T292="","",INDEX(新年度名簿!$C$3:$C$452,T292))</f>
        <v/>
      </c>
      <c r="G292" s="50">
        <f>IF(Q292="","",INDEX(希望入力!$H$5:$H$554,Q292)&amp;"")</f>
        <v/>
      </c>
      <c r="H292" s="50">
        <f>IF(Q292="","",INDEX(希望入力!$I$5:$I$554,Q292)&amp;"")</f>
        <v/>
      </c>
      <c r="I292" s="50">
        <f>IF(Q292="","",INDEX(希望入力!$J$5:$J$554,Q292)&amp;"")</f>
        <v/>
      </c>
      <c r="J292" s="50">
        <f>IF(Q292="","",IF(G292="転出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)</f>
        <v/>
      </c>
      <c r="K292" s="49" t="n"/>
      <c r="L292" s="56">
        <f>IF(P292="","",IF(G292="転出","",IF(K292&lt;&gt;"",K292,IF(OR(J292="",J292="要調整"),"",J292))))</f>
        <v/>
      </c>
      <c r="M292" s="50">
        <f>IF(P292="","",IF(OR(G292="転出",AND(計算用!$B$1=1,T292="")),"転出",IF(L292&lt;&gt;"","決定",IF(Q292="","未提出","要調整"))))</f>
        <v/>
      </c>
      <c r="N292" s="50">
        <f>IF(OR(M292&lt;&gt;"要調整",H292=""),"",IFERROR((INDEX(設定!$Q$8:$Q$27,MATCH(H292,設定!$P$8:$P$27,0))+N(INDEX(設定!$R$8:$R$27,MATCH(H292,設定!$P$8:$P$27,0))))-INDEX(定員チェック!$I$7:$I$26,MATCH(H292,設定!$P$8:$P$27,0))-COUNTIFS($M$7:$M$456,"要調整",$G$7:$G$456,H292),""))</f>
        <v/>
      </c>
      <c r="O292" s="50">
        <f>IF(OR(M292&lt;&gt;"要調整",I292=""),"",IFERROR((INDEX(設定!$Q$8:$Q$27,MATCH(I292,設定!$P$8:$P$27,0))+N(INDEX(設定!$R$8:$R$27,MATCH(I292,設定!$P$8:$P$27,0))))-INDEX(定員チェック!$I$7:$I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IF(R292="","",IFERROR(MATCH(R292,希望入力!$M$5:$M$554,0),""))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50">
        <f>IF(P293="","",INDEX(前年度名簿!$H$3:$H$452,P293))</f>
        <v/>
      </c>
      <c r="B293" s="50">
        <f>IF(P293="","",IFERROR(INDEX(設定!$G$8:$G$31,INT(INDEX(前年度名簿!$G$3:$G$452,P293)/1000)),INDEX(前年度名簿!$A$3:$A$452,P293)&amp;INDEX(前年度名簿!$B$3:$B$452,P293)))</f>
        <v/>
      </c>
      <c r="C293" s="50">
        <f>IF(P293="","",INDEX(前年度名簿!$C$3:$C$452,P293))</f>
        <v/>
      </c>
      <c r="D293" s="4">
        <f>IF(P293="","",INDEX(前年度名簿!$D$3:$D$452,P293))</f>
        <v/>
      </c>
      <c r="E293" s="50">
        <f>IF(T293="","",INDEX(新年度名簿!$K$3:$K$452,T293))</f>
        <v/>
      </c>
      <c r="F293" s="50">
        <f>IF(T293="","",INDEX(新年度名簿!$C$3:$C$452,T293))</f>
        <v/>
      </c>
      <c r="G293" s="50">
        <f>IF(Q293="","",INDEX(希望入力!$H$5:$H$554,Q293)&amp;"")</f>
        <v/>
      </c>
      <c r="H293" s="50">
        <f>IF(Q293="","",INDEX(希望入力!$I$5:$I$554,Q293)&amp;"")</f>
        <v/>
      </c>
      <c r="I293" s="50">
        <f>IF(Q293="","",INDEX(希望入力!$J$5:$J$554,Q293)&amp;"")</f>
        <v/>
      </c>
      <c r="J293" s="50">
        <f>IF(Q293="","",IF(G293="転出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)</f>
        <v/>
      </c>
      <c r="K293" s="49" t="n"/>
      <c r="L293" s="56">
        <f>IF(P293="","",IF(G293="転出","",IF(K293&lt;&gt;"",K293,IF(OR(J293="",J293="要調整"),"",J293))))</f>
        <v/>
      </c>
      <c r="M293" s="50">
        <f>IF(P293="","",IF(OR(G293="転出",AND(計算用!$B$1=1,T293="")),"転出",IF(L293&lt;&gt;"","決定",IF(Q293="","未提出","要調整"))))</f>
        <v/>
      </c>
      <c r="N293" s="50">
        <f>IF(OR(M293&lt;&gt;"要調整",H293=""),"",IFERROR((INDEX(設定!$Q$8:$Q$27,MATCH(H293,設定!$P$8:$P$27,0))+N(INDEX(設定!$R$8:$R$27,MATCH(H293,設定!$P$8:$P$27,0))))-INDEX(定員チェック!$I$7:$I$26,MATCH(H293,設定!$P$8:$P$27,0))-COUNTIFS($M$7:$M$456,"要調整",$G$7:$G$456,H293),""))</f>
        <v/>
      </c>
      <c r="O293" s="50">
        <f>IF(OR(M293&lt;&gt;"要調整",I293=""),"",IFERROR((INDEX(設定!$Q$8:$Q$27,MATCH(I293,設定!$P$8:$P$27,0))+N(INDEX(設定!$R$8:$R$27,MATCH(I293,設定!$P$8:$P$27,0))))-INDEX(定員チェック!$I$7:$I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IF(R293="","",IFERROR(MATCH(R293,希望入力!$M$5:$M$554,0),""))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50">
        <f>IF(P294="","",INDEX(前年度名簿!$H$3:$H$452,P294))</f>
        <v/>
      </c>
      <c r="B294" s="50">
        <f>IF(P294="","",IFERROR(INDEX(設定!$G$8:$G$31,INT(INDEX(前年度名簿!$G$3:$G$452,P294)/1000)),INDEX(前年度名簿!$A$3:$A$452,P294)&amp;INDEX(前年度名簿!$B$3:$B$452,P294)))</f>
        <v/>
      </c>
      <c r="C294" s="50">
        <f>IF(P294="","",INDEX(前年度名簿!$C$3:$C$452,P294))</f>
        <v/>
      </c>
      <c r="D294" s="4">
        <f>IF(P294="","",INDEX(前年度名簿!$D$3:$D$452,P294))</f>
        <v/>
      </c>
      <c r="E294" s="50">
        <f>IF(T294="","",INDEX(新年度名簿!$K$3:$K$452,T294))</f>
        <v/>
      </c>
      <c r="F294" s="50">
        <f>IF(T294="","",INDEX(新年度名簿!$C$3:$C$452,T294))</f>
        <v/>
      </c>
      <c r="G294" s="50">
        <f>IF(Q294="","",INDEX(希望入力!$H$5:$H$554,Q294)&amp;"")</f>
        <v/>
      </c>
      <c r="H294" s="50">
        <f>IF(Q294="","",INDEX(希望入力!$I$5:$I$554,Q294)&amp;"")</f>
        <v/>
      </c>
      <c r="I294" s="50">
        <f>IF(Q294="","",INDEX(希望入力!$J$5:$J$554,Q294)&amp;"")</f>
        <v/>
      </c>
      <c r="J294" s="50">
        <f>IF(Q294="","",IF(G294="転出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)</f>
        <v/>
      </c>
      <c r="K294" s="49" t="n"/>
      <c r="L294" s="56">
        <f>IF(P294="","",IF(G294="転出","",IF(K294&lt;&gt;"",K294,IF(OR(J294="",J294="要調整"),"",J294))))</f>
        <v/>
      </c>
      <c r="M294" s="50">
        <f>IF(P294="","",IF(OR(G294="転出",AND(計算用!$B$1=1,T294="")),"転出",IF(L294&lt;&gt;"","決定",IF(Q294="","未提出","要調整"))))</f>
        <v/>
      </c>
      <c r="N294" s="50">
        <f>IF(OR(M294&lt;&gt;"要調整",H294=""),"",IFERROR((INDEX(設定!$Q$8:$Q$27,MATCH(H294,設定!$P$8:$P$27,0))+N(INDEX(設定!$R$8:$R$27,MATCH(H294,設定!$P$8:$P$27,0))))-INDEX(定員チェック!$I$7:$I$26,MATCH(H294,設定!$P$8:$P$27,0))-COUNTIFS($M$7:$M$456,"要調整",$G$7:$G$456,H294),""))</f>
        <v/>
      </c>
      <c r="O294" s="50">
        <f>IF(OR(M294&lt;&gt;"要調整",I294=""),"",IFERROR((INDEX(設定!$Q$8:$Q$27,MATCH(I294,設定!$P$8:$P$27,0))+N(INDEX(設定!$R$8:$R$27,MATCH(I294,設定!$P$8:$P$27,0))))-INDEX(定員チェック!$I$7:$I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IF(R294="","",IFERROR(MATCH(R294,希望入力!$M$5:$M$554,0),""))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50">
        <f>IF(P295="","",INDEX(前年度名簿!$H$3:$H$452,P295))</f>
        <v/>
      </c>
      <c r="B295" s="50">
        <f>IF(P295="","",IFERROR(INDEX(設定!$G$8:$G$31,INT(INDEX(前年度名簿!$G$3:$G$452,P295)/1000)),INDEX(前年度名簿!$A$3:$A$452,P295)&amp;INDEX(前年度名簿!$B$3:$B$452,P295)))</f>
        <v/>
      </c>
      <c r="C295" s="50">
        <f>IF(P295="","",INDEX(前年度名簿!$C$3:$C$452,P295))</f>
        <v/>
      </c>
      <c r="D295" s="4">
        <f>IF(P295="","",INDEX(前年度名簿!$D$3:$D$452,P295))</f>
        <v/>
      </c>
      <c r="E295" s="50">
        <f>IF(T295="","",INDEX(新年度名簿!$K$3:$K$452,T295))</f>
        <v/>
      </c>
      <c r="F295" s="50">
        <f>IF(T295="","",INDEX(新年度名簿!$C$3:$C$452,T295))</f>
        <v/>
      </c>
      <c r="G295" s="50">
        <f>IF(Q295="","",INDEX(希望入力!$H$5:$H$554,Q295)&amp;"")</f>
        <v/>
      </c>
      <c r="H295" s="50">
        <f>IF(Q295="","",INDEX(希望入力!$I$5:$I$554,Q295)&amp;"")</f>
        <v/>
      </c>
      <c r="I295" s="50">
        <f>IF(Q295="","",INDEX(希望入力!$J$5:$J$554,Q295)&amp;"")</f>
        <v/>
      </c>
      <c r="J295" s="50">
        <f>IF(Q295="","",IF(G295="転出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)</f>
        <v/>
      </c>
      <c r="K295" s="49" t="n"/>
      <c r="L295" s="56">
        <f>IF(P295="","",IF(G295="転出","",IF(K295&lt;&gt;"",K295,IF(OR(J295="",J295="要調整"),"",J295))))</f>
        <v/>
      </c>
      <c r="M295" s="50">
        <f>IF(P295="","",IF(OR(G295="転出",AND(計算用!$B$1=1,T295="")),"転出",IF(L295&lt;&gt;"","決定",IF(Q295="","未提出","要調整"))))</f>
        <v/>
      </c>
      <c r="N295" s="50">
        <f>IF(OR(M295&lt;&gt;"要調整",H295=""),"",IFERROR((INDEX(設定!$Q$8:$Q$27,MATCH(H295,設定!$P$8:$P$27,0))+N(INDEX(設定!$R$8:$R$27,MATCH(H295,設定!$P$8:$P$27,0))))-INDEX(定員チェック!$I$7:$I$26,MATCH(H295,設定!$P$8:$P$27,0))-COUNTIFS($M$7:$M$456,"要調整",$G$7:$G$456,H295),""))</f>
        <v/>
      </c>
      <c r="O295" s="50">
        <f>IF(OR(M295&lt;&gt;"要調整",I295=""),"",IFERROR((INDEX(設定!$Q$8:$Q$27,MATCH(I295,設定!$P$8:$P$27,0))+N(INDEX(設定!$R$8:$R$27,MATCH(I295,設定!$P$8:$P$27,0))))-INDEX(定員チェック!$I$7:$I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IF(R295="","",IFERROR(MATCH(R295,希望入力!$M$5:$M$554,0),""))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50">
        <f>IF(P296="","",INDEX(前年度名簿!$H$3:$H$452,P296))</f>
        <v/>
      </c>
      <c r="B296" s="50">
        <f>IF(P296="","",IFERROR(INDEX(設定!$G$8:$G$31,INT(INDEX(前年度名簿!$G$3:$G$452,P296)/1000)),INDEX(前年度名簿!$A$3:$A$452,P296)&amp;INDEX(前年度名簿!$B$3:$B$452,P296)))</f>
        <v/>
      </c>
      <c r="C296" s="50">
        <f>IF(P296="","",INDEX(前年度名簿!$C$3:$C$452,P296))</f>
        <v/>
      </c>
      <c r="D296" s="4">
        <f>IF(P296="","",INDEX(前年度名簿!$D$3:$D$452,P296))</f>
        <v/>
      </c>
      <c r="E296" s="50">
        <f>IF(T296="","",INDEX(新年度名簿!$K$3:$K$452,T296))</f>
        <v/>
      </c>
      <c r="F296" s="50">
        <f>IF(T296="","",INDEX(新年度名簿!$C$3:$C$452,T296))</f>
        <v/>
      </c>
      <c r="G296" s="50">
        <f>IF(Q296="","",INDEX(希望入力!$H$5:$H$554,Q296)&amp;"")</f>
        <v/>
      </c>
      <c r="H296" s="50">
        <f>IF(Q296="","",INDEX(希望入力!$I$5:$I$554,Q296)&amp;"")</f>
        <v/>
      </c>
      <c r="I296" s="50">
        <f>IF(Q296="","",INDEX(希望入力!$J$5:$J$554,Q296)&amp;"")</f>
        <v/>
      </c>
      <c r="J296" s="50">
        <f>IF(Q296="","",IF(G296="転出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)</f>
        <v/>
      </c>
      <c r="K296" s="49" t="n"/>
      <c r="L296" s="56">
        <f>IF(P296="","",IF(G296="転出","",IF(K296&lt;&gt;"",K296,IF(OR(J296="",J296="要調整"),"",J296))))</f>
        <v/>
      </c>
      <c r="M296" s="50">
        <f>IF(P296="","",IF(OR(G296="転出",AND(計算用!$B$1=1,T296="")),"転出",IF(L296&lt;&gt;"","決定",IF(Q296="","未提出","要調整"))))</f>
        <v/>
      </c>
      <c r="N296" s="50">
        <f>IF(OR(M296&lt;&gt;"要調整",H296=""),"",IFERROR((INDEX(設定!$Q$8:$Q$27,MATCH(H296,設定!$P$8:$P$27,0))+N(INDEX(設定!$R$8:$R$27,MATCH(H296,設定!$P$8:$P$27,0))))-INDEX(定員チェック!$I$7:$I$26,MATCH(H296,設定!$P$8:$P$27,0))-COUNTIFS($M$7:$M$456,"要調整",$G$7:$G$456,H296),""))</f>
        <v/>
      </c>
      <c r="O296" s="50">
        <f>IF(OR(M296&lt;&gt;"要調整",I296=""),"",IFERROR((INDEX(設定!$Q$8:$Q$27,MATCH(I296,設定!$P$8:$P$27,0))+N(INDEX(設定!$R$8:$R$27,MATCH(I296,設定!$P$8:$P$27,0))))-INDEX(定員チェック!$I$7:$I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IF(R296="","",IFERROR(MATCH(R296,希望入力!$M$5:$M$554,0),""))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50">
        <f>IF(P297="","",INDEX(前年度名簿!$H$3:$H$452,P297))</f>
        <v/>
      </c>
      <c r="B297" s="50">
        <f>IF(P297="","",IFERROR(INDEX(設定!$G$8:$G$31,INT(INDEX(前年度名簿!$G$3:$G$452,P297)/1000)),INDEX(前年度名簿!$A$3:$A$452,P297)&amp;INDEX(前年度名簿!$B$3:$B$452,P297)))</f>
        <v/>
      </c>
      <c r="C297" s="50">
        <f>IF(P297="","",INDEX(前年度名簿!$C$3:$C$452,P297))</f>
        <v/>
      </c>
      <c r="D297" s="4">
        <f>IF(P297="","",INDEX(前年度名簿!$D$3:$D$452,P297))</f>
        <v/>
      </c>
      <c r="E297" s="50">
        <f>IF(T297="","",INDEX(新年度名簿!$K$3:$K$452,T297))</f>
        <v/>
      </c>
      <c r="F297" s="50">
        <f>IF(T297="","",INDEX(新年度名簿!$C$3:$C$452,T297))</f>
        <v/>
      </c>
      <c r="G297" s="50">
        <f>IF(Q297="","",INDEX(希望入力!$H$5:$H$554,Q297)&amp;"")</f>
        <v/>
      </c>
      <c r="H297" s="50">
        <f>IF(Q297="","",INDEX(希望入力!$I$5:$I$554,Q297)&amp;"")</f>
        <v/>
      </c>
      <c r="I297" s="50">
        <f>IF(Q297="","",INDEX(希望入力!$J$5:$J$554,Q297)&amp;"")</f>
        <v/>
      </c>
      <c r="J297" s="50">
        <f>IF(Q297="","",IF(G297="転出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)</f>
        <v/>
      </c>
      <c r="K297" s="49" t="n"/>
      <c r="L297" s="56">
        <f>IF(P297="","",IF(G297="転出","",IF(K297&lt;&gt;"",K297,IF(OR(J297="",J297="要調整"),"",J297))))</f>
        <v/>
      </c>
      <c r="M297" s="50">
        <f>IF(P297="","",IF(OR(G297="転出",AND(計算用!$B$1=1,T297="")),"転出",IF(L297&lt;&gt;"","決定",IF(Q297="","未提出","要調整"))))</f>
        <v/>
      </c>
      <c r="N297" s="50">
        <f>IF(OR(M297&lt;&gt;"要調整",H297=""),"",IFERROR((INDEX(設定!$Q$8:$Q$27,MATCH(H297,設定!$P$8:$P$27,0))+N(INDEX(設定!$R$8:$R$27,MATCH(H297,設定!$P$8:$P$27,0))))-INDEX(定員チェック!$I$7:$I$26,MATCH(H297,設定!$P$8:$P$27,0))-COUNTIFS($M$7:$M$456,"要調整",$G$7:$G$456,H297),""))</f>
        <v/>
      </c>
      <c r="O297" s="50">
        <f>IF(OR(M297&lt;&gt;"要調整",I297=""),"",IFERROR((INDEX(設定!$Q$8:$Q$27,MATCH(I297,設定!$P$8:$P$27,0))+N(INDEX(設定!$R$8:$R$27,MATCH(I297,設定!$P$8:$P$27,0))))-INDEX(定員チェック!$I$7:$I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IF(R297="","",IFERROR(MATCH(R297,希望入力!$M$5:$M$554,0),""))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50">
        <f>IF(P298="","",INDEX(前年度名簿!$H$3:$H$452,P298))</f>
        <v/>
      </c>
      <c r="B298" s="50">
        <f>IF(P298="","",IFERROR(INDEX(設定!$G$8:$G$31,INT(INDEX(前年度名簿!$G$3:$G$452,P298)/1000)),INDEX(前年度名簿!$A$3:$A$452,P298)&amp;INDEX(前年度名簿!$B$3:$B$452,P298)))</f>
        <v/>
      </c>
      <c r="C298" s="50">
        <f>IF(P298="","",INDEX(前年度名簿!$C$3:$C$452,P298))</f>
        <v/>
      </c>
      <c r="D298" s="4">
        <f>IF(P298="","",INDEX(前年度名簿!$D$3:$D$452,P298))</f>
        <v/>
      </c>
      <c r="E298" s="50">
        <f>IF(T298="","",INDEX(新年度名簿!$K$3:$K$452,T298))</f>
        <v/>
      </c>
      <c r="F298" s="50">
        <f>IF(T298="","",INDEX(新年度名簿!$C$3:$C$452,T298))</f>
        <v/>
      </c>
      <c r="G298" s="50">
        <f>IF(Q298="","",INDEX(希望入力!$H$5:$H$554,Q298)&amp;"")</f>
        <v/>
      </c>
      <c r="H298" s="50">
        <f>IF(Q298="","",INDEX(希望入力!$I$5:$I$554,Q298)&amp;"")</f>
        <v/>
      </c>
      <c r="I298" s="50">
        <f>IF(Q298="","",INDEX(希望入力!$J$5:$J$554,Q298)&amp;"")</f>
        <v/>
      </c>
      <c r="J298" s="50">
        <f>IF(Q298="","",IF(G298="転出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)</f>
        <v/>
      </c>
      <c r="K298" s="49" t="n"/>
      <c r="L298" s="56">
        <f>IF(P298="","",IF(G298="転出","",IF(K298&lt;&gt;"",K298,IF(OR(J298="",J298="要調整"),"",J298))))</f>
        <v/>
      </c>
      <c r="M298" s="50">
        <f>IF(P298="","",IF(OR(G298="転出",AND(計算用!$B$1=1,T298="")),"転出",IF(L298&lt;&gt;"","決定",IF(Q298="","未提出","要調整"))))</f>
        <v/>
      </c>
      <c r="N298" s="50">
        <f>IF(OR(M298&lt;&gt;"要調整",H298=""),"",IFERROR((INDEX(設定!$Q$8:$Q$27,MATCH(H298,設定!$P$8:$P$27,0))+N(INDEX(設定!$R$8:$R$27,MATCH(H298,設定!$P$8:$P$27,0))))-INDEX(定員チェック!$I$7:$I$26,MATCH(H298,設定!$P$8:$P$27,0))-COUNTIFS($M$7:$M$456,"要調整",$G$7:$G$456,H298),""))</f>
        <v/>
      </c>
      <c r="O298" s="50">
        <f>IF(OR(M298&lt;&gt;"要調整",I298=""),"",IFERROR((INDEX(設定!$Q$8:$Q$27,MATCH(I298,設定!$P$8:$P$27,0))+N(INDEX(設定!$R$8:$R$27,MATCH(I298,設定!$P$8:$P$27,0))))-INDEX(定員チェック!$I$7:$I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IF(R298="","",IFERROR(MATCH(R298,希望入力!$M$5:$M$554,0),""))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50">
        <f>IF(P299="","",INDEX(前年度名簿!$H$3:$H$452,P299))</f>
        <v/>
      </c>
      <c r="B299" s="50">
        <f>IF(P299="","",IFERROR(INDEX(設定!$G$8:$G$31,INT(INDEX(前年度名簿!$G$3:$G$452,P299)/1000)),INDEX(前年度名簿!$A$3:$A$452,P299)&amp;INDEX(前年度名簿!$B$3:$B$452,P299)))</f>
        <v/>
      </c>
      <c r="C299" s="50">
        <f>IF(P299="","",INDEX(前年度名簿!$C$3:$C$452,P299))</f>
        <v/>
      </c>
      <c r="D299" s="4">
        <f>IF(P299="","",INDEX(前年度名簿!$D$3:$D$452,P299))</f>
        <v/>
      </c>
      <c r="E299" s="50">
        <f>IF(T299="","",INDEX(新年度名簿!$K$3:$K$452,T299))</f>
        <v/>
      </c>
      <c r="F299" s="50">
        <f>IF(T299="","",INDEX(新年度名簿!$C$3:$C$452,T299))</f>
        <v/>
      </c>
      <c r="G299" s="50">
        <f>IF(Q299="","",INDEX(希望入力!$H$5:$H$554,Q299)&amp;"")</f>
        <v/>
      </c>
      <c r="H299" s="50">
        <f>IF(Q299="","",INDEX(希望入力!$I$5:$I$554,Q299)&amp;"")</f>
        <v/>
      </c>
      <c r="I299" s="50">
        <f>IF(Q299="","",INDEX(希望入力!$J$5:$J$554,Q299)&amp;"")</f>
        <v/>
      </c>
      <c r="J299" s="50">
        <f>IF(Q299="","",IF(G299="転出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)</f>
        <v/>
      </c>
      <c r="K299" s="49" t="n"/>
      <c r="L299" s="56">
        <f>IF(P299="","",IF(G299="転出","",IF(K299&lt;&gt;"",K299,IF(OR(J299="",J299="要調整"),"",J299))))</f>
        <v/>
      </c>
      <c r="M299" s="50">
        <f>IF(P299="","",IF(OR(G299="転出",AND(計算用!$B$1=1,T299="")),"転出",IF(L299&lt;&gt;"","決定",IF(Q299="","未提出","要調整"))))</f>
        <v/>
      </c>
      <c r="N299" s="50">
        <f>IF(OR(M299&lt;&gt;"要調整",H299=""),"",IFERROR((INDEX(設定!$Q$8:$Q$27,MATCH(H299,設定!$P$8:$P$27,0))+N(INDEX(設定!$R$8:$R$27,MATCH(H299,設定!$P$8:$P$27,0))))-INDEX(定員チェック!$I$7:$I$26,MATCH(H299,設定!$P$8:$P$27,0))-COUNTIFS($M$7:$M$456,"要調整",$G$7:$G$456,H299),""))</f>
        <v/>
      </c>
      <c r="O299" s="50">
        <f>IF(OR(M299&lt;&gt;"要調整",I299=""),"",IFERROR((INDEX(設定!$Q$8:$Q$27,MATCH(I299,設定!$P$8:$P$27,0))+N(INDEX(設定!$R$8:$R$27,MATCH(I299,設定!$P$8:$P$27,0))))-INDEX(定員チェック!$I$7:$I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IF(R299="","",IFERROR(MATCH(R299,希望入力!$M$5:$M$554,0),""))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50">
        <f>IF(P300="","",INDEX(前年度名簿!$H$3:$H$452,P300))</f>
        <v/>
      </c>
      <c r="B300" s="50">
        <f>IF(P300="","",IFERROR(INDEX(設定!$G$8:$G$31,INT(INDEX(前年度名簿!$G$3:$G$452,P300)/1000)),INDEX(前年度名簿!$A$3:$A$452,P300)&amp;INDEX(前年度名簿!$B$3:$B$452,P300)))</f>
        <v/>
      </c>
      <c r="C300" s="50">
        <f>IF(P300="","",INDEX(前年度名簿!$C$3:$C$452,P300))</f>
        <v/>
      </c>
      <c r="D300" s="4">
        <f>IF(P300="","",INDEX(前年度名簿!$D$3:$D$452,P300))</f>
        <v/>
      </c>
      <c r="E300" s="50">
        <f>IF(T300="","",INDEX(新年度名簿!$K$3:$K$452,T300))</f>
        <v/>
      </c>
      <c r="F300" s="50">
        <f>IF(T300="","",INDEX(新年度名簿!$C$3:$C$452,T300))</f>
        <v/>
      </c>
      <c r="G300" s="50">
        <f>IF(Q300="","",INDEX(希望入力!$H$5:$H$554,Q300)&amp;"")</f>
        <v/>
      </c>
      <c r="H300" s="50">
        <f>IF(Q300="","",INDEX(希望入力!$I$5:$I$554,Q300)&amp;"")</f>
        <v/>
      </c>
      <c r="I300" s="50">
        <f>IF(Q300="","",INDEX(希望入力!$J$5:$J$554,Q300)&amp;"")</f>
        <v/>
      </c>
      <c r="J300" s="50">
        <f>IF(Q300="","",IF(G300="転出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)</f>
        <v/>
      </c>
      <c r="K300" s="49" t="n"/>
      <c r="L300" s="56">
        <f>IF(P300="","",IF(G300="転出","",IF(K300&lt;&gt;"",K300,IF(OR(J300="",J300="要調整"),"",J300))))</f>
        <v/>
      </c>
      <c r="M300" s="50">
        <f>IF(P300="","",IF(OR(G300="転出",AND(計算用!$B$1=1,T300="")),"転出",IF(L300&lt;&gt;"","決定",IF(Q300="","未提出","要調整"))))</f>
        <v/>
      </c>
      <c r="N300" s="50">
        <f>IF(OR(M300&lt;&gt;"要調整",H300=""),"",IFERROR((INDEX(設定!$Q$8:$Q$27,MATCH(H300,設定!$P$8:$P$27,0))+N(INDEX(設定!$R$8:$R$27,MATCH(H300,設定!$P$8:$P$27,0))))-INDEX(定員チェック!$I$7:$I$26,MATCH(H300,設定!$P$8:$P$27,0))-COUNTIFS($M$7:$M$456,"要調整",$G$7:$G$456,H300),""))</f>
        <v/>
      </c>
      <c r="O300" s="50">
        <f>IF(OR(M300&lt;&gt;"要調整",I300=""),"",IFERROR((INDEX(設定!$Q$8:$Q$27,MATCH(I300,設定!$P$8:$P$27,0))+N(INDEX(設定!$R$8:$R$27,MATCH(I300,設定!$P$8:$P$27,0))))-INDEX(定員チェック!$I$7:$I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IF(R300="","",IFERROR(MATCH(R300,希望入力!$M$5:$M$554,0),""))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50">
        <f>IF(P301="","",INDEX(前年度名簿!$H$3:$H$452,P301))</f>
        <v/>
      </c>
      <c r="B301" s="50">
        <f>IF(P301="","",IFERROR(INDEX(設定!$G$8:$G$31,INT(INDEX(前年度名簿!$G$3:$G$452,P301)/1000)),INDEX(前年度名簿!$A$3:$A$452,P301)&amp;INDEX(前年度名簿!$B$3:$B$452,P301)))</f>
        <v/>
      </c>
      <c r="C301" s="50">
        <f>IF(P301="","",INDEX(前年度名簿!$C$3:$C$452,P301))</f>
        <v/>
      </c>
      <c r="D301" s="4">
        <f>IF(P301="","",INDEX(前年度名簿!$D$3:$D$452,P301))</f>
        <v/>
      </c>
      <c r="E301" s="50">
        <f>IF(T301="","",INDEX(新年度名簿!$K$3:$K$452,T301))</f>
        <v/>
      </c>
      <c r="F301" s="50">
        <f>IF(T301="","",INDEX(新年度名簿!$C$3:$C$452,T301))</f>
        <v/>
      </c>
      <c r="G301" s="50">
        <f>IF(Q301="","",INDEX(希望入力!$H$5:$H$554,Q301)&amp;"")</f>
        <v/>
      </c>
      <c r="H301" s="50">
        <f>IF(Q301="","",INDEX(希望入力!$I$5:$I$554,Q301)&amp;"")</f>
        <v/>
      </c>
      <c r="I301" s="50">
        <f>IF(Q301="","",INDEX(希望入力!$J$5:$J$554,Q301)&amp;"")</f>
        <v/>
      </c>
      <c r="J301" s="50">
        <f>IF(Q301="","",IF(G301="転出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)</f>
        <v/>
      </c>
      <c r="K301" s="49" t="n"/>
      <c r="L301" s="56">
        <f>IF(P301="","",IF(G301="転出","",IF(K301&lt;&gt;"",K301,IF(OR(J301="",J301="要調整"),"",J301))))</f>
        <v/>
      </c>
      <c r="M301" s="50">
        <f>IF(P301="","",IF(OR(G301="転出",AND(計算用!$B$1=1,T301="")),"転出",IF(L301&lt;&gt;"","決定",IF(Q301="","未提出","要調整"))))</f>
        <v/>
      </c>
      <c r="N301" s="50">
        <f>IF(OR(M301&lt;&gt;"要調整",H301=""),"",IFERROR((INDEX(設定!$Q$8:$Q$27,MATCH(H301,設定!$P$8:$P$27,0))+N(INDEX(設定!$R$8:$R$27,MATCH(H301,設定!$P$8:$P$27,0))))-INDEX(定員チェック!$I$7:$I$26,MATCH(H301,設定!$P$8:$P$27,0))-COUNTIFS($M$7:$M$456,"要調整",$G$7:$G$456,H301),""))</f>
        <v/>
      </c>
      <c r="O301" s="50">
        <f>IF(OR(M301&lt;&gt;"要調整",I301=""),"",IFERROR((INDEX(設定!$Q$8:$Q$27,MATCH(I301,設定!$P$8:$P$27,0))+N(INDEX(設定!$R$8:$R$27,MATCH(I301,設定!$P$8:$P$27,0))))-INDEX(定員チェック!$I$7:$I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IF(R301="","",IFERROR(MATCH(R301,希望入力!$M$5:$M$554,0),""))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50">
        <f>IF(P302="","",INDEX(前年度名簿!$H$3:$H$452,P302))</f>
        <v/>
      </c>
      <c r="B302" s="50">
        <f>IF(P302="","",IFERROR(INDEX(設定!$G$8:$G$31,INT(INDEX(前年度名簿!$G$3:$G$452,P302)/1000)),INDEX(前年度名簿!$A$3:$A$452,P302)&amp;INDEX(前年度名簿!$B$3:$B$452,P302)))</f>
        <v/>
      </c>
      <c r="C302" s="50">
        <f>IF(P302="","",INDEX(前年度名簿!$C$3:$C$452,P302))</f>
        <v/>
      </c>
      <c r="D302" s="4">
        <f>IF(P302="","",INDEX(前年度名簿!$D$3:$D$452,P302))</f>
        <v/>
      </c>
      <c r="E302" s="50">
        <f>IF(T302="","",INDEX(新年度名簿!$K$3:$K$452,T302))</f>
        <v/>
      </c>
      <c r="F302" s="50">
        <f>IF(T302="","",INDEX(新年度名簿!$C$3:$C$452,T302))</f>
        <v/>
      </c>
      <c r="G302" s="50">
        <f>IF(Q302="","",INDEX(希望入力!$H$5:$H$554,Q302)&amp;"")</f>
        <v/>
      </c>
      <c r="H302" s="50">
        <f>IF(Q302="","",INDEX(希望入力!$I$5:$I$554,Q302)&amp;"")</f>
        <v/>
      </c>
      <c r="I302" s="50">
        <f>IF(Q302="","",INDEX(希望入力!$J$5:$J$554,Q302)&amp;"")</f>
        <v/>
      </c>
      <c r="J302" s="50">
        <f>IF(Q302="","",IF(G302="転出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)</f>
        <v/>
      </c>
      <c r="K302" s="49" t="n"/>
      <c r="L302" s="56">
        <f>IF(P302="","",IF(G302="転出","",IF(K302&lt;&gt;"",K302,IF(OR(J302="",J302="要調整"),"",J302))))</f>
        <v/>
      </c>
      <c r="M302" s="50">
        <f>IF(P302="","",IF(OR(G302="転出",AND(計算用!$B$1=1,T302="")),"転出",IF(L302&lt;&gt;"","決定",IF(Q302="","未提出","要調整"))))</f>
        <v/>
      </c>
      <c r="N302" s="50">
        <f>IF(OR(M302&lt;&gt;"要調整",H302=""),"",IFERROR((INDEX(設定!$Q$8:$Q$27,MATCH(H302,設定!$P$8:$P$27,0))+N(INDEX(設定!$R$8:$R$27,MATCH(H302,設定!$P$8:$P$27,0))))-INDEX(定員チェック!$I$7:$I$26,MATCH(H302,設定!$P$8:$P$27,0))-COUNTIFS($M$7:$M$456,"要調整",$G$7:$G$456,H302),""))</f>
        <v/>
      </c>
      <c r="O302" s="50">
        <f>IF(OR(M302&lt;&gt;"要調整",I302=""),"",IFERROR((INDEX(設定!$Q$8:$Q$27,MATCH(I302,設定!$P$8:$P$27,0))+N(INDEX(設定!$R$8:$R$27,MATCH(I302,設定!$P$8:$P$27,0))))-INDEX(定員チェック!$I$7:$I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IF(R302="","",IFERROR(MATCH(R302,希望入力!$M$5:$M$554,0),""))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50">
        <f>IF(P303="","",INDEX(前年度名簿!$H$3:$H$452,P303))</f>
        <v/>
      </c>
      <c r="B303" s="50">
        <f>IF(P303="","",IFERROR(INDEX(設定!$G$8:$G$31,INT(INDEX(前年度名簿!$G$3:$G$452,P303)/1000)),INDEX(前年度名簿!$A$3:$A$452,P303)&amp;INDEX(前年度名簿!$B$3:$B$452,P303)))</f>
        <v/>
      </c>
      <c r="C303" s="50">
        <f>IF(P303="","",INDEX(前年度名簿!$C$3:$C$452,P303))</f>
        <v/>
      </c>
      <c r="D303" s="4">
        <f>IF(P303="","",INDEX(前年度名簿!$D$3:$D$452,P303))</f>
        <v/>
      </c>
      <c r="E303" s="50">
        <f>IF(T303="","",INDEX(新年度名簿!$K$3:$K$452,T303))</f>
        <v/>
      </c>
      <c r="F303" s="50">
        <f>IF(T303="","",INDEX(新年度名簿!$C$3:$C$452,T303))</f>
        <v/>
      </c>
      <c r="G303" s="50">
        <f>IF(Q303="","",INDEX(希望入力!$H$5:$H$554,Q303)&amp;"")</f>
        <v/>
      </c>
      <c r="H303" s="50">
        <f>IF(Q303="","",INDEX(希望入力!$I$5:$I$554,Q303)&amp;"")</f>
        <v/>
      </c>
      <c r="I303" s="50">
        <f>IF(Q303="","",INDEX(希望入力!$J$5:$J$554,Q303)&amp;"")</f>
        <v/>
      </c>
      <c r="J303" s="50">
        <f>IF(Q303="","",IF(G303="転出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)</f>
        <v/>
      </c>
      <c r="K303" s="49" t="n"/>
      <c r="L303" s="56">
        <f>IF(P303="","",IF(G303="転出","",IF(K303&lt;&gt;"",K303,IF(OR(J303="",J303="要調整"),"",J303))))</f>
        <v/>
      </c>
      <c r="M303" s="50">
        <f>IF(P303="","",IF(OR(G303="転出",AND(計算用!$B$1=1,T303="")),"転出",IF(L303&lt;&gt;"","決定",IF(Q303="","未提出","要調整"))))</f>
        <v/>
      </c>
      <c r="N303" s="50">
        <f>IF(OR(M303&lt;&gt;"要調整",H303=""),"",IFERROR((INDEX(設定!$Q$8:$Q$27,MATCH(H303,設定!$P$8:$P$27,0))+N(INDEX(設定!$R$8:$R$27,MATCH(H303,設定!$P$8:$P$27,0))))-INDEX(定員チェック!$I$7:$I$26,MATCH(H303,設定!$P$8:$P$27,0))-COUNTIFS($M$7:$M$456,"要調整",$G$7:$G$456,H303),""))</f>
        <v/>
      </c>
      <c r="O303" s="50">
        <f>IF(OR(M303&lt;&gt;"要調整",I303=""),"",IFERROR((INDEX(設定!$Q$8:$Q$27,MATCH(I303,設定!$P$8:$P$27,0))+N(INDEX(設定!$R$8:$R$27,MATCH(I303,設定!$P$8:$P$27,0))))-INDEX(定員チェック!$I$7:$I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IF(R303="","",IFERROR(MATCH(R303,希望入力!$M$5:$M$554,0),""))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50">
        <f>IF(P304="","",INDEX(前年度名簿!$H$3:$H$452,P304))</f>
        <v/>
      </c>
      <c r="B304" s="50">
        <f>IF(P304="","",IFERROR(INDEX(設定!$G$8:$G$31,INT(INDEX(前年度名簿!$G$3:$G$452,P304)/1000)),INDEX(前年度名簿!$A$3:$A$452,P304)&amp;INDEX(前年度名簿!$B$3:$B$452,P304)))</f>
        <v/>
      </c>
      <c r="C304" s="50">
        <f>IF(P304="","",INDEX(前年度名簿!$C$3:$C$452,P304))</f>
        <v/>
      </c>
      <c r="D304" s="4">
        <f>IF(P304="","",INDEX(前年度名簿!$D$3:$D$452,P304))</f>
        <v/>
      </c>
      <c r="E304" s="50">
        <f>IF(T304="","",INDEX(新年度名簿!$K$3:$K$452,T304))</f>
        <v/>
      </c>
      <c r="F304" s="50">
        <f>IF(T304="","",INDEX(新年度名簿!$C$3:$C$452,T304))</f>
        <v/>
      </c>
      <c r="G304" s="50">
        <f>IF(Q304="","",INDEX(希望入力!$H$5:$H$554,Q304)&amp;"")</f>
        <v/>
      </c>
      <c r="H304" s="50">
        <f>IF(Q304="","",INDEX(希望入力!$I$5:$I$554,Q304)&amp;"")</f>
        <v/>
      </c>
      <c r="I304" s="50">
        <f>IF(Q304="","",INDEX(希望入力!$J$5:$J$554,Q304)&amp;"")</f>
        <v/>
      </c>
      <c r="J304" s="50">
        <f>IF(Q304="","",IF(G304="転出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)</f>
        <v/>
      </c>
      <c r="K304" s="49" t="n"/>
      <c r="L304" s="56">
        <f>IF(P304="","",IF(G304="転出","",IF(K304&lt;&gt;"",K304,IF(OR(J304="",J304="要調整"),"",J304))))</f>
        <v/>
      </c>
      <c r="M304" s="50">
        <f>IF(P304="","",IF(OR(G304="転出",AND(計算用!$B$1=1,T304="")),"転出",IF(L304&lt;&gt;"","決定",IF(Q304="","未提出","要調整"))))</f>
        <v/>
      </c>
      <c r="N304" s="50">
        <f>IF(OR(M304&lt;&gt;"要調整",H304=""),"",IFERROR((INDEX(設定!$Q$8:$Q$27,MATCH(H304,設定!$P$8:$P$27,0))+N(INDEX(設定!$R$8:$R$27,MATCH(H304,設定!$P$8:$P$27,0))))-INDEX(定員チェック!$I$7:$I$26,MATCH(H304,設定!$P$8:$P$27,0))-COUNTIFS($M$7:$M$456,"要調整",$G$7:$G$456,H304),""))</f>
        <v/>
      </c>
      <c r="O304" s="50">
        <f>IF(OR(M304&lt;&gt;"要調整",I304=""),"",IFERROR((INDEX(設定!$Q$8:$Q$27,MATCH(I304,設定!$P$8:$P$27,0))+N(INDEX(設定!$R$8:$R$27,MATCH(I304,設定!$P$8:$P$27,0))))-INDEX(定員チェック!$I$7:$I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IF(R304="","",IFERROR(MATCH(R304,希望入力!$M$5:$M$554,0),""))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50">
        <f>IF(P305="","",INDEX(前年度名簿!$H$3:$H$452,P305))</f>
        <v/>
      </c>
      <c r="B305" s="50">
        <f>IF(P305="","",IFERROR(INDEX(設定!$G$8:$G$31,INT(INDEX(前年度名簿!$G$3:$G$452,P305)/1000)),INDEX(前年度名簿!$A$3:$A$452,P305)&amp;INDEX(前年度名簿!$B$3:$B$452,P305)))</f>
        <v/>
      </c>
      <c r="C305" s="50">
        <f>IF(P305="","",INDEX(前年度名簿!$C$3:$C$452,P305))</f>
        <v/>
      </c>
      <c r="D305" s="4">
        <f>IF(P305="","",INDEX(前年度名簿!$D$3:$D$452,P305))</f>
        <v/>
      </c>
      <c r="E305" s="50">
        <f>IF(T305="","",INDEX(新年度名簿!$K$3:$K$452,T305))</f>
        <v/>
      </c>
      <c r="F305" s="50">
        <f>IF(T305="","",INDEX(新年度名簿!$C$3:$C$452,T305))</f>
        <v/>
      </c>
      <c r="G305" s="50">
        <f>IF(Q305="","",INDEX(希望入力!$H$5:$H$554,Q305)&amp;"")</f>
        <v/>
      </c>
      <c r="H305" s="50">
        <f>IF(Q305="","",INDEX(希望入力!$I$5:$I$554,Q305)&amp;"")</f>
        <v/>
      </c>
      <c r="I305" s="50">
        <f>IF(Q305="","",INDEX(希望入力!$J$5:$J$554,Q305)&amp;"")</f>
        <v/>
      </c>
      <c r="J305" s="50">
        <f>IF(Q305="","",IF(G305="転出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)</f>
        <v/>
      </c>
      <c r="K305" s="49" t="n"/>
      <c r="L305" s="56">
        <f>IF(P305="","",IF(G305="転出","",IF(K305&lt;&gt;"",K305,IF(OR(J305="",J305="要調整"),"",J305))))</f>
        <v/>
      </c>
      <c r="M305" s="50">
        <f>IF(P305="","",IF(OR(G305="転出",AND(計算用!$B$1=1,T305="")),"転出",IF(L305&lt;&gt;"","決定",IF(Q305="","未提出","要調整"))))</f>
        <v/>
      </c>
      <c r="N305" s="50">
        <f>IF(OR(M305&lt;&gt;"要調整",H305=""),"",IFERROR((INDEX(設定!$Q$8:$Q$27,MATCH(H305,設定!$P$8:$P$27,0))+N(INDEX(設定!$R$8:$R$27,MATCH(H305,設定!$P$8:$P$27,0))))-INDEX(定員チェック!$I$7:$I$26,MATCH(H305,設定!$P$8:$P$27,0))-COUNTIFS($M$7:$M$456,"要調整",$G$7:$G$456,H305),""))</f>
        <v/>
      </c>
      <c r="O305" s="50">
        <f>IF(OR(M305&lt;&gt;"要調整",I305=""),"",IFERROR((INDEX(設定!$Q$8:$Q$27,MATCH(I305,設定!$P$8:$P$27,0))+N(INDEX(設定!$R$8:$R$27,MATCH(I305,設定!$P$8:$P$27,0))))-INDEX(定員チェック!$I$7:$I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IF(R305="","",IFERROR(MATCH(R305,希望入力!$M$5:$M$554,0),""))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50">
        <f>IF(P306="","",INDEX(前年度名簿!$H$3:$H$452,P306))</f>
        <v/>
      </c>
      <c r="B306" s="50">
        <f>IF(P306="","",IFERROR(INDEX(設定!$G$8:$G$31,INT(INDEX(前年度名簿!$G$3:$G$452,P306)/1000)),INDEX(前年度名簿!$A$3:$A$452,P306)&amp;INDEX(前年度名簿!$B$3:$B$452,P306)))</f>
        <v/>
      </c>
      <c r="C306" s="50">
        <f>IF(P306="","",INDEX(前年度名簿!$C$3:$C$452,P306))</f>
        <v/>
      </c>
      <c r="D306" s="4">
        <f>IF(P306="","",INDEX(前年度名簿!$D$3:$D$452,P306))</f>
        <v/>
      </c>
      <c r="E306" s="50">
        <f>IF(T306="","",INDEX(新年度名簿!$K$3:$K$452,T306))</f>
        <v/>
      </c>
      <c r="F306" s="50">
        <f>IF(T306="","",INDEX(新年度名簿!$C$3:$C$452,T306))</f>
        <v/>
      </c>
      <c r="G306" s="50">
        <f>IF(Q306="","",INDEX(希望入力!$H$5:$H$554,Q306)&amp;"")</f>
        <v/>
      </c>
      <c r="H306" s="50">
        <f>IF(Q306="","",INDEX(希望入力!$I$5:$I$554,Q306)&amp;"")</f>
        <v/>
      </c>
      <c r="I306" s="50">
        <f>IF(Q306="","",INDEX(希望入力!$J$5:$J$554,Q306)&amp;"")</f>
        <v/>
      </c>
      <c r="J306" s="50">
        <f>IF(Q306="","",IF(G306="転出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)</f>
        <v/>
      </c>
      <c r="K306" s="49" t="n"/>
      <c r="L306" s="56">
        <f>IF(P306="","",IF(G306="転出","",IF(K306&lt;&gt;"",K306,IF(OR(J306="",J306="要調整"),"",J306))))</f>
        <v/>
      </c>
      <c r="M306" s="50">
        <f>IF(P306="","",IF(OR(G306="転出",AND(計算用!$B$1=1,T306="")),"転出",IF(L306&lt;&gt;"","決定",IF(Q306="","未提出","要調整"))))</f>
        <v/>
      </c>
      <c r="N306" s="50">
        <f>IF(OR(M306&lt;&gt;"要調整",H306=""),"",IFERROR((INDEX(設定!$Q$8:$Q$27,MATCH(H306,設定!$P$8:$P$27,0))+N(INDEX(設定!$R$8:$R$27,MATCH(H306,設定!$P$8:$P$27,0))))-INDEX(定員チェック!$I$7:$I$26,MATCH(H306,設定!$P$8:$P$27,0))-COUNTIFS($M$7:$M$456,"要調整",$G$7:$G$456,H306),""))</f>
        <v/>
      </c>
      <c r="O306" s="50">
        <f>IF(OR(M306&lt;&gt;"要調整",I306=""),"",IFERROR((INDEX(設定!$Q$8:$Q$27,MATCH(I306,設定!$P$8:$P$27,0))+N(INDEX(設定!$R$8:$R$27,MATCH(I306,設定!$P$8:$P$27,0))))-INDEX(定員チェック!$I$7:$I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IF(R306="","",IFERROR(MATCH(R306,希望入力!$M$5:$M$554,0),""))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50">
        <f>IF(P307="","",INDEX(前年度名簿!$H$3:$H$452,P307))</f>
        <v/>
      </c>
      <c r="B307" s="50">
        <f>IF(P307="","",IFERROR(INDEX(設定!$G$8:$G$31,INT(INDEX(前年度名簿!$G$3:$G$452,P307)/1000)),INDEX(前年度名簿!$A$3:$A$452,P307)&amp;INDEX(前年度名簿!$B$3:$B$452,P307)))</f>
        <v/>
      </c>
      <c r="C307" s="50">
        <f>IF(P307="","",INDEX(前年度名簿!$C$3:$C$452,P307))</f>
        <v/>
      </c>
      <c r="D307" s="4">
        <f>IF(P307="","",INDEX(前年度名簿!$D$3:$D$452,P307))</f>
        <v/>
      </c>
      <c r="E307" s="50">
        <f>IF(T307="","",INDEX(新年度名簿!$K$3:$K$452,T307))</f>
        <v/>
      </c>
      <c r="F307" s="50">
        <f>IF(T307="","",INDEX(新年度名簿!$C$3:$C$452,T307))</f>
        <v/>
      </c>
      <c r="G307" s="50">
        <f>IF(Q307="","",INDEX(希望入力!$H$5:$H$554,Q307)&amp;"")</f>
        <v/>
      </c>
      <c r="H307" s="50">
        <f>IF(Q307="","",INDEX(希望入力!$I$5:$I$554,Q307)&amp;"")</f>
        <v/>
      </c>
      <c r="I307" s="50">
        <f>IF(Q307="","",INDEX(希望入力!$J$5:$J$554,Q307)&amp;"")</f>
        <v/>
      </c>
      <c r="J307" s="50">
        <f>IF(Q307="","",IF(G307="転出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)</f>
        <v/>
      </c>
      <c r="K307" s="49" t="n"/>
      <c r="L307" s="56">
        <f>IF(P307="","",IF(G307="転出","",IF(K307&lt;&gt;"",K307,IF(OR(J307="",J307="要調整"),"",J307))))</f>
        <v/>
      </c>
      <c r="M307" s="50">
        <f>IF(P307="","",IF(OR(G307="転出",AND(計算用!$B$1=1,T307="")),"転出",IF(L307&lt;&gt;"","決定",IF(Q307="","未提出","要調整"))))</f>
        <v/>
      </c>
      <c r="N307" s="50">
        <f>IF(OR(M307&lt;&gt;"要調整",H307=""),"",IFERROR((INDEX(設定!$Q$8:$Q$27,MATCH(H307,設定!$P$8:$P$27,0))+N(INDEX(設定!$R$8:$R$27,MATCH(H307,設定!$P$8:$P$27,0))))-INDEX(定員チェック!$I$7:$I$26,MATCH(H307,設定!$P$8:$P$27,0))-COUNTIFS($M$7:$M$456,"要調整",$G$7:$G$456,H307),""))</f>
        <v/>
      </c>
      <c r="O307" s="50">
        <f>IF(OR(M307&lt;&gt;"要調整",I307=""),"",IFERROR((INDEX(設定!$Q$8:$Q$27,MATCH(I307,設定!$P$8:$P$27,0))+N(INDEX(設定!$R$8:$R$27,MATCH(I307,設定!$P$8:$P$27,0))))-INDEX(定員チェック!$I$7:$I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IF(R307="","",IFERROR(MATCH(R307,希望入力!$M$5:$M$554,0),""))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50">
        <f>IF(P308="","",INDEX(前年度名簿!$H$3:$H$452,P308))</f>
        <v/>
      </c>
      <c r="B308" s="50">
        <f>IF(P308="","",IFERROR(INDEX(設定!$G$8:$G$31,INT(INDEX(前年度名簿!$G$3:$G$452,P308)/1000)),INDEX(前年度名簿!$A$3:$A$452,P308)&amp;INDEX(前年度名簿!$B$3:$B$452,P308)))</f>
        <v/>
      </c>
      <c r="C308" s="50">
        <f>IF(P308="","",INDEX(前年度名簿!$C$3:$C$452,P308))</f>
        <v/>
      </c>
      <c r="D308" s="4">
        <f>IF(P308="","",INDEX(前年度名簿!$D$3:$D$452,P308))</f>
        <v/>
      </c>
      <c r="E308" s="50">
        <f>IF(T308="","",INDEX(新年度名簿!$K$3:$K$452,T308))</f>
        <v/>
      </c>
      <c r="F308" s="50">
        <f>IF(T308="","",INDEX(新年度名簿!$C$3:$C$452,T308))</f>
        <v/>
      </c>
      <c r="G308" s="50">
        <f>IF(Q308="","",INDEX(希望入力!$H$5:$H$554,Q308)&amp;"")</f>
        <v/>
      </c>
      <c r="H308" s="50">
        <f>IF(Q308="","",INDEX(希望入力!$I$5:$I$554,Q308)&amp;"")</f>
        <v/>
      </c>
      <c r="I308" s="50">
        <f>IF(Q308="","",INDEX(希望入力!$J$5:$J$554,Q308)&amp;"")</f>
        <v/>
      </c>
      <c r="J308" s="50">
        <f>IF(Q308="","",IF(G308="転出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)</f>
        <v/>
      </c>
      <c r="K308" s="49" t="n"/>
      <c r="L308" s="56">
        <f>IF(P308="","",IF(G308="転出","",IF(K308&lt;&gt;"",K308,IF(OR(J308="",J308="要調整"),"",J308))))</f>
        <v/>
      </c>
      <c r="M308" s="50">
        <f>IF(P308="","",IF(OR(G308="転出",AND(計算用!$B$1=1,T308="")),"転出",IF(L308&lt;&gt;"","決定",IF(Q308="","未提出","要調整"))))</f>
        <v/>
      </c>
      <c r="N308" s="50">
        <f>IF(OR(M308&lt;&gt;"要調整",H308=""),"",IFERROR((INDEX(設定!$Q$8:$Q$27,MATCH(H308,設定!$P$8:$P$27,0))+N(INDEX(設定!$R$8:$R$27,MATCH(H308,設定!$P$8:$P$27,0))))-INDEX(定員チェック!$I$7:$I$26,MATCH(H308,設定!$P$8:$P$27,0))-COUNTIFS($M$7:$M$456,"要調整",$G$7:$G$456,H308),""))</f>
        <v/>
      </c>
      <c r="O308" s="50">
        <f>IF(OR(M308&lt;&gt;"要調整",I308=""),"",IFERROR((INDEX(設定!$Q$8:$Q$27,MATCH(I308,設定!$P$8:$P$27,0))+N(INDEX(設定!$R$8:$R$27,MATCH(I308,設定!$P$8:$P$27,0))))-INDEX(定員チェック!$I$7:$I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IF(R308="","",IFERROR(MATCH(R308,希望入力!$M$5:$M$554,0),""))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50">
        <f>IF(P309="","",INDEX(前年度名簿!$H$3:$H$452,P309))</f>
        <v/>
      </c>
      <c r="B309" s="50">
        <f>IF(P309="","",IFERROR(INDEX(設定!$G$8:$G$31,INT(INDEX(前年度名簿!$G$3:$G$452,P309)/1000)),INDEX(前年度名簿!$A$3:$A$452,P309)&amp;INDEX(前年度名簿!$B$3:$B$452,P309)))</f>
        <v/>
      </c>
      <c r="C309" s="50">
        <f>IF(P309="","",INDEX(前年度名簿!$C$3:$C$452,P309))</f>
        <v/>
      </c>
      <c r="D309" s="4">
        <f>IF(P309="","",INDEX(前年度名簿!$D$3:$D$452,P309))</f>
        <v/>
      </c>
      <c r="E309" s="50">
        <f>IF(T309="","",INDEX(新年度名簿!$K$3:$K$452,T309))</f>
        <v/>
      </c>
      <c r="F309" s="50">
        <f>IF(T309="","",INDEX(新年度名簿!$C$3:$C$452,T309))</f>
        <v/>
      </c>
      <c r="G309" s="50">
        <f>IF(Q309="","",INDEX(希望入力!$H$5:$H$554,Q309)&amp;"")</f>
        <v/>
      </c>
      <c r="H309" s="50">
        <f>IF(Q309="","",INDEX(希望入力!$I$5:$I$554,Q309)&amp;"")</f>
        <v/>
      </c>
      <c r="I309" s="50">
        <f>IF(Q309="","",INDEX(希望入力!$J$5:$J$554,Q309)&amp;"")</f>
        <v/>
      </c>
      <c r="J309" s="50">
        <f>IF(Q309="","",IF(G309="転出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)</f>
        <v/>
      </c>
      <c r="K309" s="49" t="n"/>
      <c r="L309" s="56">
        <f>IF(P309="","",IF(G309="転出","",IF(K309&lt;&gt;"",K309,IF(OR(J309="",J309="要調整"),"",J309))))</f>
        <v/>
      </c>
      <c r="M309" s="50">
        <f>IF(P309="","",IF(OR(G309="転出",AND(計算用!$B$1=1,T309="")),"転出",IF(L309&lt;&gt;"","決定",IF(Q309="","未提出","要調整"))))</f>
        <v/>
      </c>
      <c r="N309" s="50">
        <f>IF(OR(M309&lt;&gt;"要調整",H309=""),"",IFERROR((INDEX(設定!$Q$8:$Q$27,MATCH(H309,設定!$P$8:$P$27,0))+N(INDEX(設定!$R$8:$R$27,MATCH(H309,設定!$P$8:$P$27,0))))-INDEX(定員チェック!$I$7:$I$26,MATCH(H309,設定!$P$8:$P$27,0))-COUNTIFS($M$7:$M$456,"要調整",$G$7:$G$456,H309),""))</f>
        <v/>
      </c>
      <c r="O309" s="50">
        <f>IF(OR(M309&lt;&gt;"要調整",I309=""),"",IFERROR((INDEX(設定!$Q$8:$Q$27,MATCH(I309,設定!$P$8:$P$27,0))+N(INDEX(設定!$R$8:$R$27,MATCH(I309,設定!$P$8:$P$27,0))))-INDEX(定員チェック!$I$7:$I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IF(R309="","",IFERROR(MATCH(R309,希望入力!$M$5:$M$554,0),""))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50">
        <f>IF(P310="","",INDEX(前年度名簿!$H$3:$H$452,P310))</f>
        <v/>
      </c>
      <c r="B310" s="50">
        <f>IF(P310="","",IFERROR(INDEX(設定!$G$8:$G$31,INT(INDEX(前年度名簿!$G$3:$G$452,P310)/1000)),INDEX(前年度名簿!$A$3:$A$452,P310)&amp;INDEX(前年度名簿!$B$3:$B$452,P310)))</f>
        <v/>
      </c>
      <c r="C310" s="50">
        <f>IF(P310="","",INDEX(前年度名簿!$C$3:$C$452,P310))</f>
        <v/>
      </c>
      <c r="D310" s="4">
        <f>IF(P310="","",INDEX(前年度名簿!$D$3:$D$452,P310))</f>
        <v/>
      </c>
      <c r="E310" s="50">
        <f>IF(T310="","",INDEX(新年度名簿!$K$3:$K$452,T310))</f>
        <v/>
      </c>
      <c r="F310" s="50">
        <f>IF(T310="","",INDEX(新年度名簿!$C$3:$C$452,T310))</f>
        <v/>
      </c>
      <c r="G310" s="50">
        <f>IF(Q310="","",INDEX(希望入力!$H$5:$H$554,Q310)&amp;"")</f>
        <v/>
      </c>
      <c r="H310" s="50">
        <f>IF(Q310="","",INDEX(希望入力!$I$5:$I$554,Q310)&amp;"")</f>
        <v/>
      </c>
      <c r="I310" s="50">
        <f>IF(Q310="","",INDEX(希望入力!$J$5:$J$554,Q310)&amp;"")</f>
        <v/>
      </c>
      <c r="J310" s="50">
        <f>IF(Q310="","",IF(G310="転出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)</f>
        <v/>
      </c>
      <c r="K310" s="49" t="n"/>
      <c r="L310" s="56">
        <f>IF(P310="","",IF(G310="転出","",IF(K310&lt;&gt;"",K310,IF(OR(J310="",J310="要調整"),"",J310))))</f>
        <v/>
      </c>
      <c r="M310" s="50">
        <f>IF(P310="","",IF(OR(G310="転出",AND(計算用!$B$1=1,T310="")),"転出",IF(L310&lt;&gt;"","決定",IF(Q310="","未提出","要調整"))))</f>
        <v/>
      </c>
      <c r="N310" s="50">
        <f>IF(OR(M310&lt;&gt;"要調整",H310=""),"",IFERROR((INDEX(設定!$Q$8:$Q$27,MATCH(H310,設定!$P$8:$P$27,0))+N(INDEX(設定!$R$8:$R$27,MATCH(H310,設定!$P$8:$P$27,0))))-INDEX(定員チェック!$I$7:$I$26,MATCH(H310,設定!$P$8:$P$27,0))-COUNTIFS($M$7:$M$456,"要調整",$G$7:$G$456,H310),""))</f>
        <v/>
      </c>
      <c r="O310" s="50">
        <f>IF(OR(M310&lt;&gt;"要調整",I310=""),"",IFERROR((INDEX(設定!$Q$8:$Q$27,MATCH(I310,設定!$P$8:$P$27,0))+N(INDEX(設定!$R$8:$R$27,MATCH(I310,設定!$P$8:$P$27,0))))-INDEX(定員チェック!$I$7:$I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IF(R310="","",IFERROR(MATCH(R310,希望入力!$M$5:$M$554,0),""))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50">
        <f>IF(P311="","",INDEX(前年度名簿!$H$3:$H$452,P311))</f>
        <v/>
      </c>
      <c r="B311" s="50">
        <f>IF(P311="","",IFERROR(INDEX(設定!$G$8:$G$31,INT(INDEX(前年度名簿!$G$3:$G$452,P311)/1000)),INDEX(前年度名簿!$A$3:$A$452,P311)&amp;INDEX(前年度名簿!$B$3:$B$452,P311)))</f>
        <v/>
      </c>
      <c r="C311" s="50">
        <f>IF(P311="","",INDEX(前年度名簿!$C$3:$C$452,P311))</f>
        <v/>
      </c>
      <c r="D311" s="4">
        <f>IF(P311="","",INDEX(前年度名簿!$D$3:$D$452,P311))</f>
        <v/>
      </c>
      <c r="E311" s="50">
        <f>IF(T311="","",INDEX(新年度名簿!$K$3:$K$452,T311))</f>
        <v/>
      </c>
      <c r="F311" s="50">
        <f>IF(T311="","",INDEX(新年度名簿!$C$3:$C$452,T311))</f>
        <v/>
      </c>
      <c r="G311" s="50">
        <f>IF(Q311="","",INDEX(希望入力!$H$5:$H$554,Q311)&amp;"")</f>
        <v/>
      </c>
      <c r="H311" s="50">
        <f>IF(Q311="","",INDEX(希望入力!$I$5:$I$554,Q311)&amp;"")</f>
        <v/>
      </c>
      <c r="I311" s="50">
        <f>IF(Q311="","",INDEX(希望入力!$J$5:$J$554,Q311)&amp;"")</f>
        <v/>
      </c>
      <c r="J311" s="50">
        <f>IF(Q311="","",IF(G311="転出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)</f>
        <v/>
      </c>
      <c r="K311" s="49" t="n"/>
      <c r="L311" s="56">
        <f>IF(P311="","",IF(G311="転出","",IF(K311&lt;&gt;"",K311,IF(OR(J311="",J311="要調整"),"",J311))))</f>
        <v/>
      </c>
      <c r="M311" s="50">
        <f>IF(P311="","",IF(OR(G311="転出",AND(計算用!$B$1=1,T311="")),"転出",IF(L311&lt;&gt;"","決定",IF(Q311="","未提出","要調整"))))</f>
        <v/>
      </c>
      <c r="N311" s="50">
        <f>IF(OR(M311&lt;&gt;"要調整",H311=""),"",IFERROR((INDEX(設定!$Q$8:$Q$27,MATCH(H311,設定!$P$8:$P$27,0))+N(INDEX(設定!$R$8:$R$27,MATCH(H311,設定!$P$8:$P$27,0))))-INDEX(定員チェック!$I$7:$I$26,MATCH(H311,設定!$P$8:$P$27,0))-COUNTIFS($M$7:$M$456,"要調整",$G$7:$G$456,H311),""))</f>
        <v/>
      </c>
      <c r="O311" s="50">
        <f>IF(OR(M311&lt;&gt;"要調整",I311=""),"",IFERROR((INDEX(設定!$Q$8:$Q$27,MATCH(I311,設定!$P$8:$P$27,0))+N(INDEX(設定!$R$8:$R$27,MATCH(I311,設定!$P$8:$P$27,0))))-INDEX(定員チェック!$I$7:$I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IF(R311="","",IFERROR(MATCH(R311,希望入力!$M$5:$M$554,0),""))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50">
        <f>IF(P312="","",INDEX(前年度名簿!$H$3:$H$452,P312))</f>
        <v/>
      </c>
      <c r="B312" s="50">
        <f>IF(P312="","",IFERROR(INDEX(設定!$G$8:$G$31,INT(INDEX(前年度名簿!$G$3:$G$452,P312)/1000)),INDEX(前年度名簿!$A$3:$A$452,P312)&amp;INDEX(前年度名簿!$B$3:$B$452,P312)))</f>
        <v/>
      </c>
      <c r="C312" s="50">
        <f>IF(P312="","",INDEX(前年度名簿!$C$3:$C$452,P312))</f>
        <v/>
      </c>
      <c r="D312" s="4">
        <f>IF(P312="","",INDEX(前年度名簿!$D$3:$D$452,P312))</f>
        <v/>
      </c>
      <c r="E312" s="50">
        <f>IF(T312="","",INDEX(新年度名簿!$K$3:$K$452,T312))</f>
        <v/>
      </c>
      <c r="F312" s="50">
        <f>IF(T312="","",INDEX(新年度名簿!$C$3:$C$452,T312))</f>
        <v/>
      </c>
      <c r="G312" s="50">
        <f>IF(Q312="","",INDEX(希望入力!$H$5:$H$554,Q312)&amp;"")</f>
        <v/>
      </c>
      <c r="H312" s="50">
        <f>IF(Q312="","",INDEX(希望入力!$I$5:$I$554,Q312)&amp;"")</f>
        <v/>
      </c>
      <c r="I312" s="50">
        <f>IF(Q312="","",INDEX(希望入力!$J$5:$J$554,Q312)&amp;"")</f>
        <v/>
      </c>
      <c r="J312" s="50">
        <f>IF(Q312="","",IF(G312="転出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)</f>
        <v/>
      </c>
      <c r="K312" s="49" t="n"/>
      <c r="L312" s="56">
        <f>IF(P312="","",IF(G312="転出","",IF(K312&lt;&gt;"",K312,IF(OR(J312="",J312="要調整"),"",J312))))</f>
        <v/>
      </c>
      <c r="M312" s="50">
        <f>IF(P312="","",IF(OR(G312="転出",AND(計算用!$B$1=1,T312="")),"転出",IF(L312&lt;&gt;"","決定",IF(Q312="","未提出","要調整"))))</f>
        <v/>
      </c>
      <c r="N312" s="50">
        <f>IF(OR(M312&lt;&gt;"要調整",H312=""),"",IFERROR((INDEX(設定!$Q$8:$Q$27,MATCH(H312,設定!$P$8:$P$27,0))+N(INDEX(設定!$R$8:$R$27,MATCH(H312,設定!$P$8:$P$27,0))))-INDEX(定員チェック!$I$7:$I$26,MATCH(H312,設定!$P$8:$P$27,0))-COUNTIFS($M$7:$M$456,"要調整",$G$7:$G$456,H312),""))</f>
        <v/>
      </c>
      <c r="O312" s="50">
        <f>IF(OR(M312&lt;&gt;"要調整",I312=""),"",IFERROR((INDEX(設定!$Q$8:$Q$27,MATCH(I312,設定!$P$8:$P$27,0))+N(INDEX(設定!$R$8:$R$27,MATCH(I312,設定!$P$8:$P$27,0))))-INDEX(定員チェック!$I$7:$I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IF(R312="","",IFERROR(MATCH(R312,希望入力!$M$5:$M$554,0),""))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50">
        <f>IF(P313="","",INDEX(前年度名簿!$H$3:$H$452,P313))</f>
        <v/>
      </c>
      <c r="B313" s="50">
        <f>IF(P313="","",IFERROR(INDEX(設定!$G$8:$G$31,INT(INDEX(前年度名簿!$G$3:$G$452,P313)/1000)),INDEX(前年度名簿!$A$3:$A$452,P313)&amp;INDEX(前年度名簿!$B$3:$B$452,P313)))</f>
        <v/>
      </c>
      <c r="C313" s="50">
        <f>IF(P313="","",INDEX(前年度名簿!$C$3:$C$452,P313))</f>
        <v/>
      </c>
      <c r="D313" s="4">
        <f>IF(P313="","",INDEX(前年度名簿!$D$3:$D$452,P313))</f>
        <v/>
      </c>
      <c r="E313" s="50">
        <f>IF(T313="","",INDEX(新年度名簿!$K$3:$K$452,T313))</f>
        <v/>
      </c>
      <c r="F313" s="50">
        <f>IF(T313="","",INDEX(新年度名簿!$C$3:$C$452,T313))</f>
        <v/>
      </c>
      <c r="G313" s="50">
        <f>IF(Q313="","",INDEX(希望入力!$H$5:$H$554,Q313)&amp;"")</f>
        <v/>
      </c>
      <c r="H313" s="50">
        <f>IF(Q313="","",INDEX(希望入力!$I$5:$I$554,Q313)&amp;"")</f>
        <v/>
      </c>
      <c r="I313" s="50">
        <f>IF(Q313="","",INDEX(希望入力!$J$5:$J$554,Q313)&amp;"")</f>
        <v/>
      </c>
      <c r="J313" s="50">
        <f>IF(Q313="","",IF(G313="転出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)</f>
        <v/>
      </c>
      <c r="K313" s="49" t="n"/>
      <c r="L313" s="56">
        <f>IF(P313="","",IF(G313="転出","",IF(K313&lt;&gt;"",K313,IF(OR(J313="",J313="要調整"),"",J313))))</f>
        <v/>
      </c>
      <c r="M313" s="50">
        <f>IF(P313="","",IF(OR(G313="転出",AND(計算用!$B$1=1,T313="")),"転出",IF(L313&lt;&gt;"","決定",IF(Q313="","未提出","要調整"))))</f>
        <v/>
      </c>
      <c r="N313" s="50">
        <f>IF(OR(M313&lt;&gt;"要調整",H313=""),"",IFERROR((INDEX(設定!$Q$8:$Q$27,MATCH(H313,設定!$P$8:$P$27,0))+N(INDEX(設定!$R$8:$R$27,MATCH(H313,設定!$P$8:$P$27,0))))-INDEX(定員チェック!$I$7:$I$26,MATCH(H313,設定!$P$8:$P$27,0))-COUNTIFS($M$7:$M$456,"要調整",$G$7:$G$456,H313),""))</f>
        <v/>
      </c>
      <c r="O313" s="50">
        <f>IF(OR(M313&lt;&gt;"要調整",I313=""),"",IFERROR((INDEX(設定!$Q$8:$Q$27,MATCH(I313,設定!$P$8:$P$27,0))+N(INDEX(設定!$R$8:$R$27,MATCH(I313,設定!$P$8:$P$27,0))))-INDEX(定員チェック!$I$7:$I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IF(R313="","",IFERROR(MATCH(R313,希望入力!$M$5:$M$554,0),""))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50">
        <f>IF(P314="","",INDEX(前年度名簿!$H$3:$H$452,P314))</f>
        <v/>
      </c>
      <c r="B314" s="50">
        <f>IF(P314="","",IFERROR(INDEX(設定!$G$8:$G$31,INT(INDEX(前年度名簿!$G$3:$G$452,P314)/1000)),INDEX(前年度名簿!$A$3:$A$452,P314)&amp;INDEX(前年度名簿!$B$3:$B$452,P314)))</f>
        <v/>
      </c>
      <c r="C314" s="50">
        <f>IF(P314="","",INDEX(前年度名簿!$C$3:$C$452,P314))</f>
        <v/>
      </c>
      <c r="D314" s="4">
        <f>IF(P314="","",INDEX(前年度名簿!$D$3:$D$452,P314))</f>
        <v/>
      </c>
      <c r="E314" s="50">
        <f>IF(T314="","",INDEX(新年度名簿!$K$3:$K$452,T314))</f>
        <v/>
      </c>
      <c r="F314" s="50">
        <f>IF(T314="","",INDEX(新年度名簿!$C$3:$C$452,T314))</f>
        <v/>
      </c>
      <c r="G314" s="50">
        <f>IF(Q314="","",INDEX(希望入力!$H$5:$H$554,Q314)&amp;"")</f>
        <v/>
      </c>
      <c r="H314" s="50">
        <f>IF(Q314="","",INDEX(希望入力!$I$5:$I$554,Q314)&amp;"")</f>
        <v/>
      </c>
      <c r="I314" s="50">
        <f>IF(Q314="","",INDEX(希望入力!$J$5:$J$554,Q314)&amp;"")</f>
        <v/>
      </c>
      <c r="J314" s="50">
        <f>IF(Q314="","",IF(G314="転出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)</f>
        <v/>
      </c>
      <c r="K314" s="49" t="n"/>
      <c r="L314" s="56">
        <f>IF(P314="","",IF(G314="転出","",IF(K314&lt;&gt;"",K314,IF(OR(J314="",J314="要調整"),"",J314))))</f>
        <v/>
      </c>
      <c r="M314" s="50">
        <f>IF(P314="","",IF(OR(G314="転出",AND(計算用!$B$1=1,T314="")),"転出",IF(L314&lt;&gt;"","決定",IF(Q314="","未提出","要調整"))))</f>
        <v/>
      </c>
      <c r="N314" s="50">
        <f>IF(OR(M314&lt;&gt;"要調整",H314=""),"",IFERROR((INDEX(設定!$Q$8:$Q$27,MATCH(H314,設定!$P$8:$P$27,0))+N(INDEX(設定!$R$8:$R$27,MATCH(H314,設定!$P$8:$P$27,0))))-INDEX(定員チェック!$I$7:$I$26,MATCH(H314,設定!$P$8:$P$27,0))-COUNTIFS($M$7:$M$456,"要調整",$G$7:$G$456,H314),""))</f>
        <v/>
      </c>
      <c r="O314" s="50">
        <f>IF(OR(M314&lt;&gt;"要調整",I314=""),"",IFERROR((INDEX(設定!$Q$8:$Q$27,MATCH(I314,設定!$P$8:$P$27,0))+N(INDEX(設定!$R$8:$R$27,MATCH(I314,設定!$P$8:$P$27,0))))-INDEX(定員チェック!$I$7:$I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IF(R314="","",IFERROR(MATCH(R314,希望入力!$M$5:$M$554,0),""))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50">
        <f>IF(P315="","",INDEX(前年度名簿!$H$3:$H$452,P315))</f>
        <v/>
      </c>
      <c r="B315" s="50">
        <f>IF(P315="","",IFERROR(INDEX(設定!$G$8:$G$31,INT(INDEX(前年度名簿!$G$3:$G$452,P315)/1000)),INDEX(前年度名簿!$A$3:$A$452,P315)&amp;INDEX(前年度名簿!$B$3:$B$452,P315)))</f>
        <v/>
      </c>
      <c r="C315" s="50">
        <f>IF(P315="","",INDEX(前年度名簿!$C$3:$C$452,P315))</f>
        <v/>
      </c>
      <c r="D315" s="4">
        <f>IF(P315="","",INDEX(前年度名簿!$D$3:$D$452,P315))</f>
        <v/>
      </c>
      <c r="E315" s="50">
        <f>IF(T315="","",INDEX(新年度名簿!$K$3:$K$452,T315))</f>
        <v/>
      </c>
      <c r="F315" s="50">
        <f>IF(T315="","",INDEX(新年度名簿!$C$3:$C$452,T315))</f>
        <v/>
      </c>
      <c r="G315" s="50">
        <f>IF(Q315="","",INDEX(希望入力!$H$5:$H$554,Q315)&amp;"")</f>
        <v/>
      </c>
      <c r="H315" s="50">
        <f>IF(Q315="","",INDEX(希望入力!$I$5:$I$554,Q315)&amp;"")</f>
        <v/>
      </c>
      <c r="I315" s="50">
        <f>IF(Q315="","",INDEX(希望入力!$J$5:$J$554,Q315)&amp;"")</f>
        <v/>
      </c>
      <c r="J315" s="50">
        <f>IF(Q315="","",IF(G315="転出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)</f>
        <v/>
      </c>
      <c r="K315" s="49" t="n"/>
      <c r="L315" s="56">
        <f>IF(P315="","",IF(G315="転出","",IF(K315&lt;&gt;"",K315,IF(OR(J315="",J315="要調整"),"",J315))))</f>
        <v/>
      </c>
      <c r="M315" s="50">
        <f>IF(P315="","",IF(OR(G315="転出",AND(計算用!$B$1=1,T315="")),"転出",IF(L315&lt;&gt;"","決定",IF(Q315="","未提出","要調整"))))</f>
        <v/>
      </c>
      <c r="N315" s="50">
        <f>IF(OR(M315&lt;&gt;"要調整",H315=""),"",IFERROR((INDEX(設定!$Q$8:$Q$27,MATCH(H315,設定!$P$8:$P$27,0))+N(INDEX(設定!$R$8:$R$27,MATCH(H315,設定!$P$8:$P$27,0))))-INDEX(定員チェック!$I$7:$I$26,MATCH(H315,設定!$P$8:$P$27,0))-COUNTIFS($M$7:$M$456,"要調整",$G$7:$G$456,H315),""))</f>
        <v/>
      </c>
      <c r="O315" s="50">
        <f>IF(OR(M315&lt;&gt;"要調整",I315=""),"",IFERROR((INDEX(設定!$Q$8:$Q$27,MATCH(I315,設定!$P$8:$P$27,0))+N(INDEX(設定!$R$8:$R$27,MATCH(I315,設定!$P$8:$P$27,0))))-INDEX(定員チェック!$I$7:$I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IF(R315="","",IFERROR(MATCH(R315,希望入力!$M$5:$M$554,0),""))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50">
        <f>IF(P316="","",INDEX(前年度名簿!$H$3:$H$452,P316))</f>
        <v/>
      </c>
      <c r="B316" s="50">
        <f>IF(P316="","",IFERROR(INDEX(設定!$G$8:$G$31,INT(INDEX(前年度名簿!$G$3:$G$452,P316)/1000)),INDEX(前年度名簿!$A$3:$A$452,P316)&amp;INDEX(前年度名簿!$B$3:$B$452,P316)))</f>
        <v/>
      </c>
      <c r="C316" s="50">
        <f>IF(P316="","",INDEX(前年度名簿!$C$3:$C$452,P316))</f>
        <v/>
      </c>
      <c r="D316" s="4">
        <f>IF(P316="","",INDEX(前年度名簿!$D$3:$D$452,P316))</f>
        <v/>
      </c>
      <c r="E316" s="50">
        <f>IF(T316="","",INDEX(新年度名簿!$K$3:$K$452,T316))</f>
        <v/>
      </c>
      <c r="F316" s="50">
        <f>IF(T316="","",INDEX(新年度名簿!$C$3:$C$452,T316))</f>
        <v/>
      </c>
      <c r="G316" s="50">
        <f>IF(Q316="","",INDEX(希望入力!$H$5:$H$554,Q316)&amp;"")</f>
        <v/>
      </c>
      <c r="H316" s="50">
        <f>IF(Q316="","",INDEX(希望入力!$I$5:$I$554,Q316)&amp;"")</f>
        <v/>
      </c>
      <c r="I316" s="50">
        <f>IF(Q316="","",INDEX(希望入力!$J$5:$J$554,Q316)&amp;"")</f>
        <v/>
      </c>
      <c r="J316" s="50">
        <f>IF(Q316="","",IF(G316="転出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)</f>
        <v/>
      </c>
      <c r="K316" s="49" t="n"/>
      <c r="L316" s="56">
        <f>IF(P316="","",IF(G316="転出","",IF(K316&lt;&gt;"",K316,IF(OR(J316="",J316="要調整"),"",J316))))</f>
        <v/>
      </c>
      <c r="M316" s="50">
        <f>IF(P316="","",IF(OR(G316="転出",AND(計算用!$B$1=1,T316="")),"転出",IF(L316&lt;&gt;"","決定",IF(Q316="","未提出","要調整"))))</f>
        <v/>
      </c>
      <c r="N316" s="50">
        <f>IF(OR(M316&lt;&gt;"要調整",H316=""),"",IFERROR((INDEX(設定!$Q$8:$Q$27,MATCH(H316,設定!$P$8:$P$27,0))+N(INDEX(設定!$R$8:$R$27,MATCH(H316,設定!$P$8:$P$27,0))))-INDEX(定員チェック!$I$7:$I$26,MATCH(H316,設定!$P$8:$P$27,0))-COUNTIFS($M$7:$M$456,"要調整",$G$7:$G$456,H316),""))</f>
        <v/>
      </c>
      <c r="O316" s="50">
        <f>IF(OR(M316&lt;&gt;"要調整",I316=""),"",IFERROR((INDEX(設定!$Q$8:$Q$27,MATCH(I316,設定!$P$8:$P$27,0))+N(INDEX(設定!$R$8:$R$27,MATCH(I316,設定!$P$8:$P$27,0))))-INDEX(定員チェック!$I$7:$I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IF(R316="","",IFERROR(MATCH(R316,希望入力!$M$5:$M$554,0),""))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50">
        <f>IF(P317="","",INDEX(前年度名簿!$H$3:$H$452,P317))</f>
        <v/>
      </c>
      <c r="B317" s="50">
        <f>IF(P317="","",IFERROR(INDEX(設定!$G$8:$G$31,INT(INDEX(前年度名簿!$G$3:$G$452,P317)/1000)),INDEX(前年度名簿!$A$3:$A$452,P317)&amp;INDEX(前年度名簿!$B$3:$B$452,P317)))</f>
        <v/>
      </c>
      <c r="C317" s="50">
        <f>IF(P317="","",INDEX(前年度名簿!$C$3:$C$452,P317))</f>
        <v/>
      </c>
      <c r="D317" s="4">
        <f>IF(P317="","",INDEX(前年度名簿!$D$3:$D$452,P317))</f>
        <v/>
      </c>
      <c r="E317" s="50">
        <f>IF(T317="","",INDEX(新年度名簿!$K$3:$K$452,T317))</f>
        <v/>
      </c>
      <c r="F317" s="50">
        <f>IF(T317="","",INDEX(新年度名簿!$C$3:$C$452,T317))</f>
        <v/>
      </c>
      <c r="G317" s="50">
        <f>IF(Q317="","",INDEX(希望入力!$H$5:$H$554,Q317)&amp;"")</f>
        <v/>
      </c>
      <c r="H317" s="50">
        <f>IF(Q317="","",INDEX(希望入力!$I$5:$I$554,Q317)&amp;"")</f>
        <v/>
      </c>
      <c r="I317" s="50">
        <f>IF(Q317="","",INDEX(希望入力!$J$5:$J$554,Q317)&amp;"")</f>
        <v/>
      </c>
      <c r="J317" s="50">
        <f>IF(Q317="","",IF(G317="転出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)</f>
        <v/>
      </c>
      <c r="K317" s="49" t="n"/>
      <c r="L317" s="56">
        <f>IF(P317="","",IF(G317="転出","",IF(K317&lt;&gt;"",K317,IF(OR(J317="",J317="要調整"),"",J317))))</f>
        <v/>
      </c>
      <c r="M317" s="50">
        <f>IF(P317="","",IF(OR(G317="転出",AND(計算用!$B$1=1,T317="")),"転出",IF(L317&lt;&gt;"","決定",IF(Q317="","未提出","要調整"))))</f>
        <v/>
      </c>
      <c r="N317" s="50">
        <f>IF(OR(M317&lt;&gt;"要調整",H317=""),"",IFERROR((INDEX(設定!$Q$8:$Q$27,MATCH(H317,設定!$P$8:$P$27,0))+N(INDEX(設定!$R$8:$R$27,MATCH(H317,設定!$P$8:$P$27,0))))-INDEX(定員チェック!$I$7:$I$26,MATCH(H317,設定!$P$8:$P$27,0))-COUNTIFS($M$7:$M$456,"要調整",$G$7:$G$456,H317),""))</f>
        <v/>
      </c>
      <c r="O317" s="50">
        <f>IF(OR(M317&lt;&gt;"要調整",I317=""),"",IFERROR((INDEX(設定!$Q$8:$Q$27,MATCH(I317,設定!$P$8:$P$27,0))+N(INDEX(設定!$R$8:$R$27,MATCH(I317,設定!$P$8:$P$27,0))))-INDEX(定員チェック!$I$7:$I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IF(R317="","",IFERROR(MATCH(R317,希望入力!$M$5:$M$554,0),""))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50">
        <f>IF(P318="","",INDEX(前年度名簿!$H$3:$H$452,P318))</f>
        <v/>
      </c>
      <c r="B318" s="50">
        <f>IF(P318="","",IFERROR(INDEX(設定!$G$8:$G$31,INT(INDEX(前年度名簿!$G$3:$G$452,P318)/1000)),INDEX(前年度名簿!$A$3:$A$452,P318)&amp;INDEX(前年度名簿!$B$3:$B$452,P318)))</f>
        <v/>
      </c>
      <c r="C318" s="50">
        <f>IF(P318="","",INDEX(前年度名簿!$C$3:$C$452,P318))</f>
        <v/>
      </c>
      <c r="D318" s="4">
        <f>IF(P318="","",INDEX(前年度名簿!$D$3:$D$452,P318))</f>
        <v/>
      </c>
      <c r="E318" s="50">
        <f>IF(T318="","",INDEX(新年度名簿!$K$3:$K$452,T318))</f>
        <v/>
      </c>
      <c r="F318" s="50">
        <f>IF(T318="","",INDEX(新年度名簿!$C$3:$C$452,T318))</f>
        <v/>
      </c>
      <c r="G318" s="50">
        <f>IF(Q318="","",INDEX(希望入力!$H$5:$H$554,Q318)&amp;"")</f>
        <v/>
      </c>
      <c r="H318" s="50">
        <f>IF(Q318="","",INDEX(希望入力!$I$5:$I$554,Q318)&amp;"")</f>
        <v/>
      </c>
      <c r="I318" s="50">
        <f>IF(Q318="","",INDEX(希望入力!$J$5:$J$554,Q318)&amp;"")</f>
        <v/>
      </c>
      <c r="J318" s="50">
        <f>IF(Q318="","",IF(G318="転出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)</f>
        <v/>
      </c>
      <c r="K318" s="49" t="n"/>
      <c r="L318" s="56">
        <f>IF(P318="","",IF(G318="転出","",IF(K318&lt;&gt;"",K318,IF(OR(J318="",J318="要調整"),"",J318))))</f>
        <v/>
      </c>
      <c r="M318" s="50">
        <f>IF(P318="","",IF(OR(G318="転出",AND(計算用!$B$1=1,T318="")),"転出",IF(L318&lt;&gt;"","決定",IF(Q318="","未提出","要調整"))))</f>
        <v/>
      </c>
      <c r="N318" s="50">
        <f>IF(OR(M318&lt;&gt;"要調整",H318=""),"",IFERROR((INDEX(設定!$Q$8:$Q$27,MATCH(H318,設定!$P$8:$P$27,0))+N(INDEX(設定!$R$8:$R$27,MATCH(H318,設定!$P$8:$P$27,0))))-INDEX(定員チェック!$I$7:$I$26,MATCH(H318,設定!$P$8:$P$27,0))-COUNTIFS($M$7:$M$456,"要調整",$G$7:$G$456,H318),""))</f>
        <v/>
      </c>
      <c r="O318" s="50">
        <f>IF(OR(M318&lt;&gt;"要調整",I318=""),"",IFERROR((INDEX(設定!$Q$8:$Q$27,MATCH(I318,設定!$P$8:$P$27,0))+N(INDEX(設定!$R$8:$R$27,MATCH(I318,設定!$P$8:$P$27,0))))-INDEX(定員チェック!$I$7:$I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IF(R318="","",IFERROR(MATCH(R318,希望入力!$M$5:$M$554,0),""))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50">
        <f>IF(P319="","",INDEX(前年度名簿!$H$3:$H$452,P319))</f>
        <v/>
      </c>
      <c r="B319" s="50">
        <f>IF(P319="","",IFERROR(INDEX(設定!$G$8:$G$31,INT(INDEX(前年度名簿!$G$3:$G$452,P319)/1000)),INDEX(前年度名簿!$A$3:$A$452,P319)&amp;INDEX(前年度名簿!$B$3:$B$452,P319)))</f>
        <v/>
      </c>
      <c r="C319" s="50">
        <f>IF(P319="","",INDEX(前年度名簿!$C$3:$C$452,P319))</f>
        <v/>
      </c>
      <c r="D319" s="4">
        <f>IF(P319="","",INDEX(前年度名簿!$D$3:$D$452,P319))</f>
        <v/>
      </c>
      <c r="E319" s="50">
        <f>IF(T319="","",INDEX(新年度名簿!$K$3:$K$452,T319))</f>
        <v/>
      </c>
      <c r="F319" s="50">
        <f>IF(T319="","",INDEX(新年度名簿!$C$3:$C$452,T319))</f>
        <v/>
      </c>
      <c r="G319" s="50">
        <f>IF(Q319="","",INDEX(希望入力!$H$5:$H$554,Q319)&amp;"")</f>
        <v/>
      </c>
      <c r="H319" s="50">
        <f>IF(Q319="","",INDEX(希望入力!$I$5:$I$554,Q319)&amp;"")</f>
        <v/>
      </c>
      <c r="I319" s="50">
        <f>IF(Q319="","",INDEX(希望入力!$J$5:$J$554,Q319)&amp;"")</f>
        <v/>
      </c>
      <c r="J319" s="50">
        <f>IF(Q319="","",IF(G319="転出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)</f>
        <v/>
      </c>
      <c r="K319" s="49" t="n"/>
      <c r="L319" s="56">
        <f>IF(P319="","",IF(G319="転出","",IF(K319&lt;&gt;"",K319,IF(OR(J319="",J319="要調整"),"",J319))))</f>
        <v/>
      </c>
      <c r="M319" s="50">
        <f>IF(P319="","",IF(OR(G319="転出",AND(計算用!$B$1=1,T319="")),"転出",IF(L319&lt;&gt;"","決定",IF(Q319="","未提出","要調整"))))</f>
        <v/>
      </c>
      <c r="N319" s="50">
        <f>IF(OR(M319&lt;&gt;"要調整",H319=""),"",IFERROR((INDEX(設定!$Q$8:$Q$27,MATCH(H319,設定!$P$8:$P$27,0))+N(INDEX(設定!$R$8:$R$27,MATCH(H319,設定!$P$8:$P$27,0))))-INDEX(定員チェック!$I$7:$I$26,MATCH(H319,設定!$P$8:$P$27,0))-COUNTIFS($M$7:$M$456,"要調整",$G$7:$G$456,H319),""))</f>
        <v/>
      </c>
      <c r="O319" s="50">
        <f>IF(OR(M319&lt;&gt;"要調整",I319=""),"",IFERROR((INDEX(設定!$Q$8:$Q$27,MATCH(I319,設定!$P$8:$P$27,0))+N(INDEX(設定!$R$8:$R$27,MATCH(I319,設定!$P$8:$P$27,0))))-INDEX(定員チェック!$I$7:$I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IF(R319="","",IFERROR(MATCH(R319,希望入力!$M$5:$M$554,0),""))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50">
        <f>IF(P320="","",INDEX(前年度名簿!$H$3:$H$452,P320))</f>
        <v/>
      </c>
      <c r="B320" s="50">
        <f>IF(P320="","",IFERROR(INDEX(設定!$G$8:$G$31,INT(INDEX(前年度名簿!$G$3:$G$452,P320)/1000)),INDEX(前年度名簿!$A$3:$A$452,P320)&amp;INDEX(前年度名簿!$B$3:$B$452,P320)))</f>
        <v/>
      </c>
      <c r="C320" s="50">
        <f>IF(P320="","",INDEX(前年度名簿!$C$3:$C$452,P320))</f>
        <v/>
      </c>
      <c r="D320" s="4">
        <f>IF(P320="","",INDEX(前年度名簿!$D$3:$D$452,P320))</f>
        <v/>
      </c>
      <c r="E320" s="50">
        <f>IF(T320="","",INDEX(新年度名簿!$K$3:$K$452,T320))</f>
        <v/>
      </c>
      <c r="F320" s="50">
        <f>IF(T320="","",INDEX(新年度名簿!$C$3:$C$452,T320))</f>
        <v/>
      </c>
      <c r="G320" s="50">
        <f>IF(Q320="","",INDEX(希望入力!$H$5:$H$554,Q320)&amp;"")</f>
        <v/>
      </c>
      <c r="H320" s="50">
        <f>IF(Q320="","",INDEX(希望入力!$I$5:$I$554,Q320)&amp;"")</f>
        <v/>
      </c>
      <c r="I320" s="50">
        <f>IF(Q320="","",INDEX(希望入力!$J$5:$J$554,Q320)&amp;"")</f>
        <v/>
      </c>
      <c r="J320" s="50">
        <f>IF(Q320="","",IF(G320="転出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)</f>
        <v/>
      </c>
      <c r="K320" s="49" t="n"/>
      <c r="L320" s="56">
        <f>IF(P320="","",IF(G320="転出","",IF(K320&lt;&gt;"",K320,IF(OR(J320="",J320="要調整"),"",J320))))</f>
        <v/>
      </c>
      <c r="M320" s="50">
        <f>IF(P320="","",IF(OR(G320="転出",AND(計算用!$B$1=1,T320="")),"転出",IF(L320&lt;&gt;"","決定",IF(Q320="","未提出","要調整"))))</f>
        <v/>
      </c>
      <c r="N320" s="50">
        <f>IF(OR(M320&lt;&gt;"要調整",H320=""),"",IFERROR((INDEX(設定!$Q$8:$Q$27,MATCH(H320,設定!$P$8:$P$27,0))+N(INDEX(設定!$R$8:$R$27,MATCH(H320,設定!$P$8:$P$27,0))))-INDEX(定員チェック!$I$7:$I$26,MATCH(H320,設定!$P$8:$P$27,0))-COUNTIFS($M$7:$M$456,"要調整",$G$7:$G$456,H320),""))</f>
        <v/>
      </c>
      <c r="O320" s="50">
        <f>IF(OR(M320&lt;&gt;"要調整",I320=""),"",IFERROR((INDEX(設定!$Q$8:$Q$27,MATCH(I320,設定!$P$8:$P$27,0))+N(INDEX(設定!$R$8:$R$27,MATCH(I320,設定!$P$8:$P$27,0))))-INDEX(定員チェック!$I$7:$I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IF(R320="","",IFERROR(MATCH(R320,希望入力!$M$5:$M$554,0),""))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50">
        <f>IF(P321="","",INDEX(前年度名簿!$H$3:$H$452,P321))</f>
        <v/>
      </c>
      <c r="B321" s="50">
        <f>IF(P321="","",IFERROR(INDEX(設定!$G$8:$G$31,INT(INDEX(前年度名簿!$G$3:$G$452,P321)/1000)),INDEX(前年度名簿!$A$3:$A$452,P321)&amp;INDEX(前年度名簿!$B$3:$B$452,P321)))</f>
        <v/>
      </c>
      <c r="C321" s="50">
        <f>IF(P321="","",INDEX(前年度名簿!$C$3:$C$452,P321))</f>
        <v/>
      </c>
      <c r="D321" s="4">
        <f>IF(P321="","",INDEX(前年度名簿!$D$3:$D$452,P321))</f>
        <v/>
      </c>
      <c r="E321" s="50">
        <f>IF(T321="","",INDEX(新年度名簿!$K$3:$K$452,T321))</f>
        <v/>
      </c>
      <c r="F321" s="50">
        <f>IF(T321="","",INDEX(新年度名簿!$C$3:$C$452,T321))</f>
        <v/>
      </c>
      <c r="G321" s="50">
        <f>IF(Q321="","",INDEX(希望入力!$H$5:$H$554,Q321)&amp;"")</f>
        <v/>
      </c>
      <c r="H321" s="50">
        <f>IF(Q321="","",INDEX(希望入力!$I$5:$I$554,Q321)&amp;"")</f>
        <v/>
      </c>
      <c r="I321" s="50">
        <f>IF(Q321="","",INDEX(希望入力!$J$5:$J$554,Q321)&amp;"")</f>
        <v/>
      </c>
      <c r="J321" s="50">
        <f>IF(Q321="","",IF(G321="転出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)</f>
        <v/>
      </c>
      <c r="K321" s="49" t="n"/>
      <c r="L321" s="56">
        <f>IF(P321="","",IF(G321="転出","",IF(K321&lt;&gt;"",K321,IF(OR(J321="",J321="要調整"),"",J321))))</f>
        <v/>
      </c>
      <c r="M321" s="50">
        <f>IF(P321="","",IF(OR(G321="転出",AND(計算用!$B$1=1,T321="")),"転出",IF(L321&lt;&gt;"","決定",IF(Q321="","未提出","要調整"))))</f>
        <v/>
      </c>
      <c r="N321" s="50">
        <f>IF(OR(M321&lt;&gt;"要調整",H321=""),"",IFERROR((INDEX(設定!$Q$8:$Q$27,MATCH(H321,設定!$P$8:$P$27,0))+N(INDEX(設定!$R$8:$R$27,MATCH(H321,設定!$P$8:$P$27,0))))-INDEX(定員チェック!$I$7:$I$26,MATCH(H321,設定!$P$8:$P$27,0))-COUNTIFS($M$7:$M$456,"要調整",$G$7:$G$456,H321),""))</f>
        <v/>
      </c>
      <c r="O321" s="50">
        <f>IF(OR(M321&lt;&gt;"要調整",I321=""),"",IFERROR((INDEX(設定!$Q$8:$Q$27,MATCH(I321,設定!$P$8:$P$27,0))+N(INDEX(設定!$R$8:$R$27,MATCH(I321,設定!$P$8:$P$27,0))))-INDEX(定員チェック!$I$7:$I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IF(R321="","",IFERROR(MATCH(R321,希望入力!$M$5:$M$554,0),""))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50">
        <f>IF(P322="","",INDEX(前年度名簿!$H$3:$H$452,P322))</f>
        <v/>
      </c>
      <c r="B322" s="50">
        <f>IF(P322="","",IFERROR(INDEX(設定!$G$8:$G$31,INT(INDEX(前年度名簿!$G$3:$G$452,P322)/1000)),INDEX(前年度名簿!$A$3:$A$452,P322)&amp;INDEX(前年度名簿!$B$3:$B$452,P322)))</f>
        <v/>
      </c>
      <c r="C322" s="50">
        <f>IF(P322="","",INDEX(前年度名簿!$C$3:$C$452,P322))</f>
        <v/>
      </c>
      <c r="D322" s="4">
        <f>IF(P322="","",INDEX(前年度名簿!$D$3:$D$452,P322))</f>
        <v/>
      </c>
      <c r="E322" s="50">
        <f>IF(T322="","",INDEX(新年度名簿!$K$3:$K$452,T322))</f>
        <v/>
      </c>
      <c r="F322" s="50">
        <f>IF(T322="","",INDEX(新年度名簿!$C$3:$C$452,T322))</f>
        <v/>
      </c>
      <c r="G322" s="50">
        <f>IF(Q322="","",INDEX(希望入力!$H$5:$H$554,Q322)&amp;"")</f>
        <v/>
      </c>
      <c r="H322" s="50">
        <f>IF(Q322="","",INDEX(希望入力!$I$5:$I$554,Q322)&amp;"")</f>
        <v/>
      </c>
      <c r="I322" s="50">
        <f>IF(Q322="","",INDEX(希望入力!$J$5:$J$554,Q322)&amp;"")</f>
        <v/>
      </c>
      <c r="J322" s="50">
        <f>IF(Q322="","",IF(G322="転出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)</f>
        <v/>
      </c>
      <c r="K322" s="49" t="n"/>
      <c r="L322" s="56">
        <f>IF(P322="","",IF(G322="転出","",IF(K322&lt;&gt;"",K322,IF(OR(J322="",J322="要調整"),"",J322))))</f>
        <v/>
      </c>
      <c r="M322" s="50">
        <f>IF(P322="","",IF(OR(G322="転出",AND(計算用!$B$1=1,T322="")),"転出",IF(L322&lt;&gt;"","決定",IF(Q322="","未提出","要調整"))))</f>
        <v/>
      </c>
      <c r="N322" s="50">
        <f>IF(OR(M322&lt;&gt;"要調整",H322=""),"",IFERROR((INDEX(設定!$Q$8:$Q$27,MATCH(H322,設定!$P$8:$P$27,0))+N(INDEX(設定!$R$8:$R$27,MATCH(H322,設定!$P$8:$P$27,0))))-INDEX(定員チェック!$I$7:$I$26,MATCH(H322,設定!$P$8:$P$27,0))-COUNTIFS($M$7:$M$456,"要調整",$G$7:$G$456,H322),""))</f>
        <v/>
      </c>
      <c r="O322" s="50">
        <f>IF(OR(M322&lt;&gt;"要調整",I322=""),"",IFERROR((INDEX(設定!$Q$8:$Q$27,MATCH(I322,設定!$P$8:$P$27,0))+N(INDEX(設定!$R$8:$R$27,MATCH(I322,設定!$P$8:$P$27,0))))-INDEX(定員チェック!$I$7:$I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IF(R322="","",IFERROR(MATCH(R322,希望入力!$M$5:$M$554,0),""))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50">
        <f>IF(P323="","",INDEX(前年度名簿!$H$3:$H$452,P323))</f>
        <v/>
      </c>
      <c r="B323" s="50">
        <f>IF(P323="","",IFERROR(INDEX(設定!$G$8:$G$31,INT(INDEX(前年度名簿!$G$3:$G$452,P323)/1000)),INDEX(前年度名簿!$A$3:$A$452,P323)&amp;INDEX(前年度名簿!$B$3:$B$452,P323)))</f>
        <v/>
      </c>
      <c r="C323" s="50">
        <f>IF(P323="","",INDEX(前年度名簿!$C$3:$C$452,P323))</f>
        <v/>
      </c>
      <c r="D323" s="4">
        <f>IF(P323="","",INDEX(前年度名簿!$D$3:$D$452,P323))</f>
        <v/>
      </c>
      <c r="E323" s="50">
        <f>IF(T323="","",INDEX(新年度名簿!$K$3:$K$452,T323))</f>
        <v/>
      </c>
      <c r="F323" s="50">
        <f>IF(T323="","",INDEX(新年度名簿!$C$3:$C$452,T323))</f>
        <v/>
      </c>
      <c r="G323" s="50">
        <f>IF(Q323="","",INDEX(希望入力!$H$5:$H$554,Q323)&amp;"")</f>
        <v/>
      </c>
      <c r="H323" s="50">
        <f>IF(Q323="","",INDEX(希望入力!$I$5:$I$554,Q323)&amp;"")</f>
        <v/>
      </c>
      <c r="I323" s="50">
        <f>IF(Q323="","",INDEX(希望入力!$J$5:$J$554,Q323)&amp;"")</f>
        <v/>
      </c>
      <c r="J323" s="50">
        <f>IF(Q323="","",IF(G323="転出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)</f>
        <v/>
      </c>
      <c r="K323" s="49" t="n"/>
      <c r="L323" s="56">
        <f>IF(P323="","",IF(G323="転出","",IF(K323&lt;&gt;"",K323,IF(OR(J323="",J323="要調整"),"",J323))))</f>
        <v/>
      </c>
      <c r="M323" s="50">
        <f>IF(P323="","",IF(OR(G323="転出",AND(計算用!$B$1=1,T323="")),"転出",IF(L323&lt;&gt;"","決定",IF(Q323="","未提出","要調整"))))</f>
        <v/>
      </c>
      <c r="N323" s="50">
        <f>IF(OR(M323&lt;&gt;"要調整",H323=""),"",IFERROR((INDEX(設定!$Q$8:$Q$27,MATCH(H323,設定!$P$8:$P$27,0))+N(INDEX(設定!$R$8:$R$27,MATCH(H323,設定!$P$8:$P$27,0))))-INDEX(定員チェック!$I$7:$I$26,MATCH(H323,設定!$P$8:$P$27,0))-COUNTIFS($M$7:$M$456,"要調整",$G$7:$G$456,H323),""))</f>
        <v/>
      </c>
      <c r="O323" s="50">
        <f>IF(OR(M323&lt;&gt;"要調整",I323=""),"",IFERROR((INDEX(設定!$Q$8:$Q$27,MATCH(I323,設定!$P$8:$P$27,0))+N(INDEX(設定!$R$8:$R$27,MATCH(I323,設定!$P$8:$P$27,0))))-INDEX(定員チェック!$I$7:$I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IF(R323="","",IFERROR(MATCH(R323,希望入力!$M$5:$M$554,0),""))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50">
        <f>IF(P324="","",INDEX(前年度名簿!$H$3:$H$452,P324))</f>
        <v/>
      </c>
      <c r="B324" s="50">
        <f>IF(P324="","",IFERROR(INDEX(設定!$G$8:$G$31,INT(INDEX(前年度名簿!$G$3:$G$452,P324)/1000)),INDEX(前年度名簿!$A$3:$A$452,P324)&amp;INDEX(前年度名簿!$B$3:$B$452,P324)))</f>
        <v/>
      </c>
      <c r="C324" s="50">
        <f>IF(P324="","",INDEX(前年度名簿!$C$3:$C$452,P324))</f>
        <v/>
      </c>
      <c r="D324" s="4">
        <f>IF(P324="","",INDEX(前年度名簿!$D$3:$D$452,P324))</f>
        <v/>
      </c>
      <c r="E324" s="50">
        <f>IF(T324="","",INDEX(新年度名簿!$K$3:$K$452,T324))</f>
        <v/>
      </c>
      <c r="F324" s="50">
        <f>IF(T324="","",INDEX(新年度名簿!$C$3:$C$452,T324))</f>
        <v/>
      </c>
      <c r="G324" s="50">
        <f>IF(Q324="","",INDEX(希望入力!$H$5:$H$554,Q324)&amp;"")</f>
        <v/>
      </c>
      <c r="H324" s="50">
        <f>IF(Q324="","",INDEX(希望入力!$I$5:$I$554,Q324)&amp;"")</f>
        <v/>
      </c>
      <c r="I324" s="50">
        <f>IF(Q324="","",INDEX(希望入力!$J$5:$J$554,Q324)&amp;"")</f>
        <v/>
      </c>
      <c r="J324" s="50">
        <f>IF(Q324="","",IF(G324="転出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)</f>
        <v/>
      </c>
      <c r="K324" s="49" t="n"/>
      <c r="L324" s="56">
        <f>IF(P324="","",IF(G324="転出","",IF(K324&lt;&gt;"",K324,IF(OR(J324="",J324="要調整"),"",J324))))</f>
        <v/>
      </c>
      <c r="M324" s="50">
        <f>IF(P324="","",IF(OR(G324="転出",AND(計算用!$B$1=1,T324="")),"転出",IF(L324&lt;&gt;"","決定",IF(Q324="","未提出","要調整"))))</f>
        <v/>
      </c>
      <c r="N324" s="50">
        <f>IF(OR(M324&lt;&gt;"要調整",H324=""),"",IFERROR((INDEX(設定!$Q$8:$Q$27,MATCH(H324,設定!$P$8:$P$27,0))+N(INDEX(設定!$R$8:$R$27,MATCH(H324,設定!$P$8:$P$27,0))))-INDEX(定員チェック!$I$7:$I$26,MATCH(H324,設定!$P$8:$P$27,0))-COUNTIFS($M$7:$M$456,"要調整",$G$7:$G$456,H324),""))</f>
        <v/>
      </c>
      <c r="O324" s="50">
        <f>IF(OR(M324&lt;&gt;"要調整",I324=""),"",IFERROR((INDEX(設定!$Q$8:$Q$27,MATCH(I324,設定!$P$8:$P$27,0))+N(INDEX(設定!$R$8:$R$27,MATCH(I324,設定!$P$8:$P$27,0))))-INDEX(定員チェック!$I$7:$I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IF(R324="","",IFERROR(MATCH(R324,希望入力!$M$5:$M$554,0),""))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50">
        <f>IF(P325="","",INDEX(前年度名簿!$H$3:$H$452,P325))</f>
        <v/>
      </c>
      <c r="B325" s="50">
        <f>IF(P325="","",IFERROR(INDEX(設定!$G$8:$G$31,INT(INDEX(前年度名簿!$G$3:$G$452,P325)/1000)),INDEX(前年度名簿!$A$3:$A$452,P325)&amp;INDEX(前年度名簿!$B$3:$B$452,P325)))</f>
        <v/>
      </c>
      <c r="C325" s="50">
        <f>IF(P325="","",INDEX(前年度名簿!$C$3:$C$452,P325))</f>
        <v/>
      </c>
      <c r="D325" s="4">
        <f>IF(P325="","",INDEX(前年度名簿!$D$3:$D$452,P325))</f>
        <v/>
      </c>
      <c r="E325" s="50">
        <f>IF(T325="","",INDEX(新年度名簿!$K$3:$K$452,T325))</f>
        <v/>
      </c>
      <c r="F325" s="50">
        <f>IF(T325="","",INDEX(新年度名簿!$C$3:$C$452,T325))</f>
        <v/>
      </c>
      <c r="G325" s="50">
        <f>IF(Q325="","",INDEX(希望入力!$H$5:$H$554,Q325)&amp;"")</f>
        <v/>
      </c>
      <c r="H325" s="50">
        <f>IF(Q325="","",INDEX(希望入力!$I$5:$I$554,Q325)&amp;"")</f>
        <v/>
      </c>
      <c r="I325" s="50">
        <f>IF(Q325="","",INDEX(希望入力!$J$5:$J$554,Q325)&amp;"")</f>
        <v/>
      </c>
      <c r="J325" s="50">
        <f>IF(Q325="","",IF(G325="転出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)</f>
        <v/>
      </c>
      <c r="K325" s="49" t="n"/>
      <c r="L325" s="56">
        <f>IF(P325="","",IF(G325="転出","",IF(K325&lt;&gt;"",K325,IF(OR(J325="",J325="要調整"),"",J325))))</f>
        <v/>
      </c>
      <c r="M325" s="50">
        <f>IF(P325="","",IF(OR(G325="転出",AND(計算用!$B$1=1,T325="")),"転出",IF(L325&lt;&gt;"","決定",IF(Q325="","未提出","要調整"))))</f>
        <v/>
      </c>
      <c r="N325" s="50">
        <f>IF(OR(M325&lt;&gt;"要調整",H325=""),"",IFERROR((INDEX(設定!$Q$8:$Q$27,MATCH(H325,設定!$P$8:$P$27,0))+N(INDEX(設定!$R$8:$R$27,MATCH(H325,設定!$P$8:$P$27,0))))-INDEX(定員チェック!$I$7:$I$26,MATCH(H325,設定!$P$8:$P$27,0))-COUNTIFS($M$7:$M$456,"要調整",$G$7:$G$456,H325),""))</f>
        <v/>
      </c>
      <c r="O325" s="50">
        <f>IF(OR(M325&lt;&gt;"要調整",I325=""),"",IFERROR((INDEX(設定!$Q$8:$Q$27,MATCH(I325,設定!$P$8:$P$27,0))+N(INDEX(設定!$R$8:$R$27,MATCH(I325,設定!$P$8:$P$27,0))))-INDEX(定員チェック!$I$7:$I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IF(R325="","",IFERROR(MATCH(R325,希望入力!$M$5:$M$554,0),""))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50">
        <f>IF(P326="","",INDEX(前年度名簿!$H$3:$H$452,P326))</f>
        <v/>
      </c>
      <c r="B326" s="50">
        <f>IF(P326="","",IFERROR(INDEX(設定!$G$8:$G$31,INT(INDEX(前年度名簿!$G$3:$G$452,P326)/1000)),INDEX(前年度名簿!$A$3:$A$452,P326)&amp;INDEX(前年度名簿!$B$3:$B$452,P326)))</f>
        <v/>
      </c>
      <c r="C326" s="50">
        <f>IF(P326="","",INDEX(前年度名簿!$C$3:$C$452,P326))</f>
        <v/>
      </c>
      <c r="D326" s="4">
        <f>IF(P326="","",INDEX(前年度名簿!$D$3:$D$452,P326))</f>
        <v/>
      </c>
      <c r="E326" s="50">
        <f>IF(T326="","",INDEX(新年度名簿!$K$3:$K$452,T326))</f>
        <v/>
      </c>
      <c r="F326" s="50">
        <f>IF(T326="","",INDEX(新年度名簿!$C$3:$C$452,T326))</f>
        <v/>
      </c>
      <c r="G326" s="50">
        <f>IF(Q326="","",INDEX(希望入力!$H$5:$H$554,Q326)&amp;"")</f>
        <v/>
      </c>
      <c r="H326" s="50">
        <f>IF(Q326="","",INDEX(希望入力!$I$5:$I$554,Q326)&amp;"")</f>
        <v/>
      </c>
      <c r="I326" s="50">
        <f>IF(Q326="","",INDEX(希望入力!$J$5:$J$554,Q326)&amp;"")</f>
        <v/>
      </c>
      <c r="J326" s="50">
        <f>IF(Q326="","",IF(G326="転出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)</f>
        <v/>
      </c>
      <c r="K326" s="49" t="n"/>
      <c r="L326" s="56">
        <f>IF(P326="","",IF(G326="転出","",IF(K326&lt;&gt;"",K326,IF(OR(J326="",J326="要調整"),"",J326))))</f>
        <v/>
      </c>
      <c r="M326" s="50">
        <f>IF(P326="","",IF(OR(G326="転出",AND(計算用!$B$1=1,T326="")),"転出",IF(L326&lt;&gt;"","決定",IF(Q326="","未提出","要調整"))))</f>
        <v/>
      </c>
      <c r="N326" s="50">
        <f>IF(OR(M326&lt;&gt;"要調整",H326=""),"",IFERROR((INDEX(設定!$Q$8:$Q$27,MATCH(H326,設定!$P$8:$P$27,0))+N(INDEX(設定!$R$8:$R$27,MATCH(H326,設定!$P$8:$P$27,0))))-INDEX(定員チェック!$I$7:$I$26,MATCH(H326,設定!$P$8:$P$27,0))-COUNTIFS($M$7:$M$456,"要調整",$G$7:$G$456,H326),""))</f>
        <v/>
      </c>
      <c r="O326" s="50">
        <f>IF(OR(M326&lt;&gt;"要調整",I326=""),"",IFERROR((INDEX(設定!$Q$8:$Q$27,MATCH(I326,設定!$P$8:$P$27,0))+N(INDEX(設定!$R$8:$R$27,MATCH(I326,設定!$P$8:$P$27,0))))-INDEX(定員チェック!$I$7:$I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IF(R326="","",IFERROR(MATCH(R326,希望入力!$M$5:$M$554,0),""))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50">
        <f>IF(P327="","",INDEX(前年度名簿!$H$3:$H$452,P327))</f>
        <v/>
      </c>
      <c r="B327" s="50">
        <f>IF(P327="","",IFERROR(INDEX(設定!$G$8:$G$31,INT(INDEX(前年度名簿!$G$3:$G$452,P327)/1000)),INDEX(前年度名簿!$A$3:$A$452,P327)&amp;INDEX(前年度名簿!$B$3:$B$452,P327)))</f>
        <v/>
      </c>
      <c r="C327" s="50">
        <f>IF(P327="","",INDEX(前年度名簿!$C$3:$C$452,P327))</f>
        <v/>
      </c>
      <c r="D327" s="4">
        <f>IF(P327="","",INDEX(前年度名簿!$D$3:$D$452,P327))</f>
        <v/>
      </c>
      <c r="E327" s="50">
        <f>IF(T327="","",INDEX(新年度名簿!$K$3:$K$452,T327))</f>
        <v/>
      </c>
      <c r="F327" s="50">
        <f>IF(T327="","",INDEX(新年度名簿!$C$3:$C$452,T327))</f>
        <v/>
      </c>
      <c r="G327" s="50">
        <f>IF(Q327="","",INDEX(希望入力!$H$5:$H$554,Q327)&amp;"")</f>
        <v/>
      </c>
      <c r="H327" s="50">
        <f>IF(Q327="","",INDEX(希望入力!$I$5:$I$554,Q327)&amp;"")</f>
        <v/>
      </c>
      <c r="I327" s="50">
        <f>IF(Q327="","",INDEX(希望入力!$J$5:$J$554,Q327)&amp;"")</f>
        <v/>
      </c>
      <c r="J327" s="50">
        <f>IF(Q327="","",IF(G327="転出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)</f>
        <v/>
      </c>
      <c r="K327" s="49" t="n"/>
      <c r="L327" s="56">
        <f>IF(P327="","",IF(G327="転出","",IF(K327&lt;&gt;"",K327,IF(OR(J327="",J327="要調整"),"",J327))))</f>
        <v/>
      </c>
      <c r="M327" s="50">
        <f>IF(P327="","",IF(OR(G327="転出",AND(計算用!$B$1=1,T327="")),"転出",IF(L327&lt;&gt;"","決定",IF(Q327="","未提出","要調整"))))</f>
        <v/>
      </c>
      <c r="N327" s="50">
        <f>IF(OR(M327&lt;&gt;"要調整",H327=""),"",IFERROR((INDEX(設定!$Q$8:$Q$27,MATCH(H327,設定!$P$8:$P$27,0))+N(INDEX(設定!$R$8:$R$27,MATCH(H327,設定!$P$8:$P$27,0))))-INDEX(定員チェック!$I$7:$I$26,MATCH(H327,設定!$P$8:$P$27,0))-COUNTIFS($M$7:$M$456,"要調整",$G$7:$G$456,H327),""))</f>
        <v/>
      </c>
      <c r="O327" s="50">
        <f>IF(OR(M327&lt;&gt;"要調整",I327=""),"",IFERROR((INDEX(設定!$Q$8:$Q$27,MATCH(I327,設定!$P$8:$P$27,0))+N(INDEX(設定!$R$8:$R$27,MATCH(I327,設定!$P$8:$P$27,0))))-INDEX(定員チェック!$I$7:$I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IF(R327="","",IFERROR(MATCH(R327,希望入力!$M$5:$M$554,0),""))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50">
        <f>IF(P328="","",INDEX(前年度名簿!$H$3:$H$452,P328))</f>
        <v/>
      </c>
      <c r="B328" s="50">
        <f>IF(P328="","",IFERROR(INDEX(設定!$G$8:$G$31,INT(INDEX(前年度名簿!$G$3:$G$452,P328)/1000)),INDEX(前年度名簿!$A$3:$A$452,P328)&amp;INDEX(前年度名簿!$B$3:$B$452,P328)))</f>
        <v/>
      </c>
      <c r="C328" s="50">
        <f>IF(P328="","",INDEX(前年度名簿!$C$3:$C$452,P328))</f>
        <v/>
      </c>
      <c r="D328" s="4">
        <f>IF(P328="","",INDEX(前年度名簿!$D$3:$D$452,P328))</f>
        <v/>
      </c>
      <c r="E328" s="50">
        <f>IF(T328="","",INDEX(新年度名簿!$K$3:$K$452,T328))</f>
        <v/>
      </c>
      <c r="F328" s="50">
        <f>IF(T328="","",INDEX(新年度名簿!$C$3:$C$452,T328))</f>
        <v/>
      </c>
      <c r="G328" s="50">
        <f>IF(Q328="","",INDEX(希望入力!$H$5:$H$554,Q328)&amp;"")</f>
        <v/>
      </c>
      <c r="H328" s="50">
        <f>IF(Q328="","",INDEX(希望入力!$I$5:$I$554,Q328)&amp;"")</f>
        <v/>
      </c>
      <c r="I328" s="50">
        <f>IF(Q328="","",INDEX(希望入力!$J$5:$J$554,Q328)&amp;"")</f>
        <v/>
      </c>
      <c r="J328" s="50">
        <f>IF(Q328="","",IF(G328="転出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)</f>
        <v/>
      </c>
      <c r="K328" s="49" t="n"/>
      <c r="L328" s="56">
        <f>IF(P328="","",IF(G328="転出","",IF(K328&lt;&gt;"",K328,IF(OR(J328="",J328="要調整"),"",J328))))</f>
        <v/>
      </c>
      <c r="M328" s="50">
        <f>IF(P328="","",IF(OR(G328="転出",AND(計算用!$B$1=1,T328="")),"転出",IF(L328&lt;&gt;"","決定",IF(Q328="","未提出","要調整"))))</f>
        <v/>
      </c>
      <c r="N328" s="50">
        <f>IF(OR(M328&lt;&gt;"要調整",H328=""),"",IFERROR((INDEX(設定!$Q$8:$Q$27,MATCH(H328,設定!$P$8:$P$27,0))+N(INDEX(設定!$R$8:$R$27,MATCH(H328,設定!$P$8:$P$27,0))))-INDEX(定員チェック!$I$7:$I$26,MATCH(H328,設定!$P$8:$P$27,0))-COUNTIFS($M$7:$M$456,"要調整",$G$7:$G$456,H328),""))</f>
        <v/>
      </c>
      <c r="O328" s="50">
        <f>IF(OR(M328&lt;&gt;"要調整",I328=""),"",IFERROR((INDEX(設定!$Q$8:$Q$27,MATCH(I328,設定!$P$8:$P$27,0))+N(INDEX(設定!$R$8:$R$27,MATCH(I328,設定!$P$8:$P$27,0))))-INDEX(定員チェック!$I$7:$I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IF(R328="","",IFERROR(MATCH(R328,希望入力!$M$5:$M$554,0),""))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50">
        <f>IF(P329="","",INDEX(前年度名簿!$H$3:$H$452,P329))</f>
        <v/>
      </c>
      <c r="B329" s="50">
        <f>IF(P329="","",IFERROR(INDEX(設定!$G$8:$G$31,INT(INDEX(前年度名簿!$G$3:$G$452,P329)/1000)),INDEX(前年度名簿!$A$3:$A$452,P329)&amp;INDEX(前年度名簿!$B$3:$B$452,P329)))</f>
        <v/>
      </c>
      <c r="C329" s="50">
        <f>IF(P329="","",INDEX(前年度名簿!$C$3:$C$452,P329))</f>
        <v/>
      </c>
      <c r="D329" s="4">
        <f>IF(P329="","",INDEX(前年度名簿!$D$3:$D$452,P329))</f>
        <v/>
      </c>
      <c r="E329" s="50">
        <f>IF(T329="","",INDEX(新年度名簿!$K$3:$K$452,T329))</f>
        <v/>
      </c>
      <c r="F329" s="50">
        <f>IF(T329="","",INDEX(新年度名簿!$C$3:$C$452,T329))</f>
        <v/>
      </c>
      <c r="G329" s="50">
        <f>IF(Q329="","",INDEX(希望入力!$H$5:$H$554,Q329)&amp;"")</f>
        <v/>
      </c>
      <c r="H329" s="50">
        <f>IF(Q329="","",INDEX(希望入力!$I$5:$I$554,Q329)&amp;"")</f>
        <v/>
      </c>
      <c r="I329" s="50">
        <f>IF(Q329="","",INDEX(希望入力!$J$5:$J$554,Q329)&amp;"")</f>
        <v/>
      </c>
      <c r="J329" s="50">
        <f>IF(Q329="","",IF(G329="転出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)</f>
        <v/>
      </c>
      <c r="K329" s="49" t="n"/>
      <c r="L329" s="56">
        <f>IF(P329="","",IF(G329="転出","",IF(K329&lt;&gt;"",K329,IF(OR(J329="",J329="要調整"),"",J329))))</f>
        <v/>
      </c>
      <c r="M329" s="50">
        <f>IF(P329="","",IF(OR(G329="転出",AND(計算用!$B$1=1,T329="")),"転出",IF(L329&lt;&gt;"","決定",IF(Q329="","未提出","要調整"))))</f>
        <v/>
      </c>
      <c r="N329" s="50">
        <f>IF(OR(M329&lt;&gt;"要調整",H329=""),"",IFERROR((INDEX(設定!$Q$8:$Q$27,MATCH(H329,設定!$P$8:$P$27,0))+N(INDEX(設定!$R$8:$R$27,MATCH(H329,設定!$P$8:$P$27,0))))-INDEX(定員チェック!$I$7:$I$26,MATCH(H329,設定!$P$8:$P$27,0))-COUNTIFS($M$7:$M$456,"要調整",$G$7:$G$456,H329),""))</f>
        <v/>
      </c>
      <c r="O329" s="50">
        <f>IF(OR(M329&lt;&gt;"要調整",I329=""),"",IFERROR((INDEX(設定!$Q$8:$Q$27,MATCH(I329,設定!$P$8:$P$27,0))+N(INDEX(設定!$R$8:$R$27,MATCH(I329,設定!$P$8:$P$27,0))))-INDEX(定員チェック!$I$7:$I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IF(R329="","",IFERROR(MATCH(R329,希望入力!$M$5:$M$554,0),""))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50">
        <f>IF(P330="","",INDEX(前年度名簿!$H$3:$H$452,P330))</f>
        <v/>
      </c>
      <c r="B330" s="50">
        <f>IF(P330="","",IFERROR(INDEX(設定!$G$8:$G$31,INT(INDEX(前年度名簿!$G$3:$G$452,P330)/1000)),INDEX(前年度名簿!$A$3:$A$452,P330)&amp;INDEX(前年度名簿!$B$3:$B$452,P330)))</f>
        <v/>
      </c>
      <c r="C330" s="50">
        <f>IF(P330="","",INDEX(前年度名簿!$C$3:$C$452,P330))</f>
        <v/>
      </c>
      <c r="D330" s="4">
        <f>IF(P330="","",INDEX(前年度名簿!$D$3:$D$452,P330))</f>
        <v/>
      </c>
      <c r="E330" s="50">
        <f>IF(T330="","",INDEX(新年度名簿!$K$3:$K$452,T330))</f>
        <v/>
      </c>
      <c r="F330" s="50">
        <f>IF(T330="","",INDEX(新年度名簿!$C$3:$C$452,T330))</f>
        <v/>
      </c>
      <c r="G330" s="50">
        <f>IF(Q330="","",INDEX(希望入力!$H$5:$H$554,Q330)&amp;"")</f>
        <v/>
      </c>
      <c r="H330" s="50">
        <f>IF(Q330="","",INDEX(希望入力!$I$5:$I$554,Q330)&amp;"")</f>
        <v/>
      </c>
      <c r="I330" s="50">
        <f>IF(Q330="","",INDEX(希望入力!$J$5:$J$554,Q330)&amp;"")</f>
        <v/>
      </c>
      <c r="J330" s="50">
        <f>IF(Q330="","",IF(G330="転出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)</f>
        <v/>
      </c>
      <c r="K330" s="49" t="n"/>
      <c r="L330" s="56">
        <f>IF(P330="","",IF(G330="転出","",IF(K330&lt;&gt;"",K330,IF(OR(J330="",J330="要調整"),"",J330))))</f>
        <v/>
      </c>
      <c r="M330" s="50">
        <f>IF(P330="","",IF(OR(G330="転出",AND(計算用!$B$1=1,T330="")),"転出",IF(L330&lt;&gt;"","決定",IF(Q330="","未提出","要調整"))))</f>
        <v/>
      </c>
      <c r="N330" s="50">
        <f>IF(OR(M330&lt;&gt;"要調整",H330=""),"",IFERROR((INDEX(設定!$Q$8:$Q$27,MATCH(H330,設定!$P$8:$P$27,0))+N(INDEX(設定!$R$8:$R$27,MATCH(H330,設定!$P$8:$P$27,0))))-INDEX(定員チェック!$I$7:$I$26,MATCH(H330,設定!$P$8:$P$27,0))-COUNTIFS($M$7:$M$456,"要調整",$G$7:$G$456,H330),""))</f>
        <v/>
      </c>
      <c r="O330" s="50">
        <f>IF(OR(M330&lt;&gt;"要調整",I330=""),"",IFERROR((INDEX(設定!$Q$8:$Q$27,MATCH(I330,設定!$P$8:$P$27,0))+N(INDEX(設定!$R$8:$R$27,MATCH(I330,設定!$P$8:$P$27,0))))-INDEX(定員チェック!$I$7:$I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IF(R330="","",IFERROR(MATCH(R330,希望入力!$M$5:$M$554,0),""))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50">
        <f>IF(P331="","",INDEX(前年度名簿!$H$3:$H$452,P331))</f>
        <v/>
      </c>
      <c r="B331" s="50">
        <f>IF(P331="","",IFERROR(INDEX(設定!$G$8:$G$31,INT(INDEX(前年度名簿!$G$3:$G$452,P331)/1000)),INDEX(前年度名簿!$A$3:$A$452,P331)&amp;INDEX(前年度名簿!$B$3:$B$452,P331)))</f>
        <v/>
      </c>
      <c r="C331" s="50">
        <f>IF(P331="","",INDEX(前年度名簿!$C$3:$C$452,P331))</f>
        <v/>
      </c>
      <c r="D331" s="4">
        <f>IF(P331="","",INDEX(前年度名簿!$D$3:$D$452,P331))</f>
        <v/>
      </c>
      <c r="E331" s="50">
        <f>IF(T331="","",INDEX(新年度名簿!$K$3:$K$452,T331))</f>
        <v/>
      </c>
      <c r="F331" s="50">
        <f>IF(T331="","",INDEX(新年度名簿!$C$3:$C$452,T331))</f>
        <v/>
      </c>
      <c r="G331" s="50">
        <f>IF(Q331="","",INDEX(希望入力!$H$5:$H$554,Q331)&amp;"")</f>
        <v/>
      </c>
      <c r="H331" s="50">
        <f>IF(Q331="","",INDEX(希望入力!$I$5:$I$554,Q331)&amp;"")</f>
        <v/>
      </c>
      <c r="I331" s="50">
        <f>IF(Q331="","",INDEX(希望入力!$J$5:$J$554,Q331)&amp;"")</f>
        <v/>
      </c>
      <c r="J331" s="50">
        <f>IF(Q331="","",IF(G331="転出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)</f>
        <v/>
      </c>
      <c r="K331" s="49" t="n"/>
      <c r="L331" s="56">
        <f>IF(P331="","",IF(G331="転出","",IF(K331&lt;&gt;"",K331,IF(OR(J331="",J331="要調整"),"",J331))))</f>
        <v/>
      </c>
      <c r="M331" s="50">
        <f>IF(P331="","",IF(OR(G331="転出",AND(計算用!$B$1=1,T331="")),"転出",IF(L331&lt;&gt;"","決定",IF(Q331="","未提出","要調整"))))</f>
        <v/>
      </c>
      <c r="N331" s="50">
        <f>IF(OR(M331&lt;&gt;"要調整",H331=""),"",IFERROR((INDEX(設定!$Q$8:$Q$27,MATCH(H331,設定!$P$8:$P$27,0))+N(INDEX(設定!$R$8:$R$27,MATCH(H331,設定!$P$8:$P$27,0))))-INDEX(定員チェック!$I$7:$I$26,MATCH(H331,設定!$P$8:$P$27,0))-COUNTIFS($M$7:$M$456,"要調整",$G$7:$G$456,H331),""))</f>
        <v/>
      </c>
      <c r="O331" s="50">
        <f>IF(OR(M331&lt;&gt;"要調整",I331=""),"",IFERROR((INDEX(設定!$Q$8:$Q$27,MATCH(I331,設定!$P$8:$P$27,0))+N(INDEX(設定!$R$8:$R$27,MATCH(I331,設定!$P$8:$P$27,0))))-INDEX(定員チェック!$I$7:$I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IF(R331="","",IFERROR(MATCH(R331,希望入力!$M$5:$M$554,0),""))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50">
        <f>IF(P332="","",INDEX(前年度名簿!$H$3:$H$452,P332))</f>
        <v/>
      </c>
      <c r="B332" s="50">
        <f>IF(P332="","",IFERROR(INDEX(設定!$G$8:$G$31,INT(INDEX(前年度名簿!$G$3:$G$452,P332)/1000)),INDEX(前年度名簿!$A$3:$A$452,P332)&amp;INDEX(前年度名簿!$B$3:$B$452,P332)))</f>
        <v/>
      </c>
      <c r="C332" s="50">
        <f>IF(P332="","",INDEX(前年度名簿!$C$3:$C$452,P332))</f>
        <v/>
      </c>
      <c r="D332" s="4">
        <f>IF(P332="","",INDEX(前年度名簿!$D$3:$D$452,P332))</f>
        <v/>
      </c>
      <c r="E332" s="50">
        <f>IF(T332="","",INDEX(新年度名簿!$K$3:$K$452,T332))</f>
        <v/>
      </c>
      <c r="F332" s="50">
        <f>IF(T332="","",INDEX(新年度名簿!$C$3:$C$452,T332))</f>
        <v/>
      </c>
      <c r="G332" s="50">
        <f>IF(Q332="","",INDEX(希望入力!$H$5:$H$554,Q332)&amp;"")</f>
        <v/>
      </c>
      <c r="H332" s="50">
        <f>IF(Q332="","",INDEX(希望入力!$I$5:$I$554,Q332)&amp;"")</f>
        <v/>
      </c>
      <c r="I332" s="50">
        <f>IF(Q332="","",INDEX(希望入力!$J$5:$J$554,Q332)&amp;"")</f>
        <v/>
      </c>
      <c r="J332" s="50">
        <f>IF(Q332="","",IF(G332="転出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)</f>
        <v/>
      </c>
      <c r="K332" s="49" t="n"/>
      <c r="L332" s="56">
        <f>IF(P332="","",IF(G332="転出","",IF(K332&lt;&gt;"",K332,IF(OR(J332="",J332="要調整"),"",J332))))</f>
        <v/>
      </c>
      <c r="M332" s="50">
        <f>IF(P332="","",IF(OR(G332="転出",AND(計算用!$B$1=1,T332="")),"転出",IF(L332&lt;&gt;"","決定",IF(Q332="","未提出","要調整"))))</f>
        <v/>
      </c>
      <c r="N332" s="50">
        <f>IF(OR(M332&lt;&gt;"要調整",H332=""),"",IFERROR((INDEX(設定!$Q$8:$Q$27,MATCH(H332,設定!$P$8:$P$27,0))+N(INDEX(設定!$R$8:$R$27,MATCH(H332,設定!$P$8:$P$27,0))))-INDEX(定員チェック!$I$7:$I$26,MATCH(H332,設定!$P$8:$P$27,0))-COUNTIFS($M$7:$M$456,"要調整",$G$7:$G$456,H332),""))</f>
        <v/>
      </c>
      <c r="O332" s="50">
        <f>IF(OR(M332&lt;&gt;"要調整",I332=""),"",IFERROR((INDEX(設定!$Q$8:$Q$27,MATCH(I332,設定!$P$8:$P$27,0))+N(INDEX(設定!$R$8:$R$27,MATCH(I332,設定!$P$8:$P$27,0))))-INDEX(定員チェック!$I$7:$I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IF(R332="","",IFERROR(MATCH(R332,希望入力!$M$5:$M$554,0),""))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50">
        <f>IF(P333="","",INDEX(前年度名簿!$H$3:$H$452,P333))</f>
        <v/>
      </c>
      <c r="B333" s="50">
        <f>IF(P333="","",IFERROR(INDEX(設定!$G$8:$G$31,INT(INDEX(前年度名簿!$G$3:$G$452,P333)/1000)),INDEX(前年度名簿!$A$3:$A$452,P333)&amp;INDEX(前年度名簿!$B$3:$B$452,P333)))</f>
        <v/>
      </c>
      <c r="C333" s="50">
        <f>IF(P333="","",INDEX(前年度名簿!$C$3:$C$452,P333))</f>
        <v/>
      </c>
      <c r="D333" s="4">
        <f>IF(P333="","",INDEX(前年度名簿!$D$3:$D$452,P333))</f>
        <v/>
      </c>
      <c r="E333" s="50">
        <f>IF(T333="","",INDEX(新年度名簿!$K$3:$K$452,T333))</f>
        <v/>
      </c>
      <c r="F333" s="50">
        <f>IF(T333="","",INDEX(新年度名簿!$C$3:$C$452,T333))</f>
        <v/>
      </c>
      <c r="G333" s="50">
        <f>IF(Q333="","",INDEX(希望入力!$H$5:$H$554,Q333)&amp;"")</f>
        <v/>
      </c>
      <c r="H333" s="50">
        <f>IF(Q333="","",INDEX(希望入力!$I$5:$I$554,Q333)&amp;"")</f>
        <v/>
      </c>
      <c r="I333" s="50">
        <f>IF(Q333="","",INDEX(希望入力!$J$5:$J$554,Q333)&amp;"")</f>
        <v/>
      </c>
      <c r="J333" s="50">
        <f>IF(Q333="","",IF(G333="転出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)</f>
        <v/>
      </c>
      <c r="K333" s="49" t="n"/>
      <c r="L333" s="56">
        <f>IF(P333="","",IF(G333="転出","",IF(K333&lt;&gt;"",K333,IF(OR(J333="",J333="要調整"),"",J333))))</f>
        <v/>
      </c>
      <c r="M333" s="50">
        <f>IF(P333="","",IF(OR(G333="転出",AND(計算用!$B$1=1,T333="")),"転出",IF(L333&lt;&gt;"","決定",IF(Q333="","未提出","要調整"))))</f>
        <v/>
      </c>
      <c r="N333" s="50">
        <f>IF(OR(M333&lt;&gt;"要調整",H333=""),"",IFERROR((INDEX(設定!$Q$8:$Q$27,MATCH(H333,設定!$P$8:$P$27,0))+N(INDEX(設定!$R$8:$R$27,MATCH(H333,設定!$P$8:$P$27,0))))-INDEX(定員チェック!$I$7:$I$26,MATCH(H333,設定!$P$8:$P$27,0))-COUNTIFS($M$7:$M$456,"要調整",$G$7:$G$456,H333),""))</f>
        <v/>
      </c>
      <c r="O333" s="50">
        <f>IF(OR(M333&lt;&gt;"要調整",I333=""),"",IFERROR((INDEX(設定!$Q$8:$Q$27,MATCH(I333,設定!$P$8:$P$27,0))+N(INDEX(設定!$R$8:$R$27,MATCH(I333,設定!$P$8:$P$27,0))))-INDEX(定員チェック!$I$7:$I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IF(R333="","",IFERROR(MATCH(R333,希望入力!$M$5:$M$554,0),""))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50">
        <f>IF(P334="","",INDEX(前年度名簿!$H$3:$H$452,P334))</f>
        <v/>
      </c>
      <c r="B334" s="50">
        <f>IF(P334="","",IFERROR(INDEX(設定!$G$8:$G$31,INT(INDEX(前年度名簿!$G$3:$G$452,P334)/1000)),INDEX(前年度名簿!$A$3:$A$452,P334)&amp;INDEX(前年度名簿!$B$3:$B$452,P334)))</f>
        <v/>
      </c>
      <c r="C334" s="50">
        <f>IF(P334="","",INDEX(前年度名簿!$C$3:$C$452,P334))</f>
        <v/>
      </c>
      <c r="D334" s="4">
        <f>IF(P334="","",INDEX(前年度名簿!$D$3:$D$452,P334))</f>
        <v/>
      </c>
      <c r="E334" s="50">
        <f>IF(T334="","",INDEX(新年度名簿!$K$3:$K$452,T334))</f>
        <v/>
      </c>
      <c r="F334" s="50">
        <f>IF(T334="","",INDEX(新年度名簿!$C$3:$C$452,T334))</f>
        <v/>
      </c>
      <c r="G334" s="50">
        <f>IF(Q334="","",INDEX(希望入力!$H$5:$H$554,Q334)&amp;"")</f>
        <v/>
      </c>
      <c r="H334" s="50">
        <f>IF(Q334="","",INDEX(希望入力!$I$5:$I$554,Q334)&amp;"")</f>
        <v/>
      </c>
      <c r="I334" s="50">
        <f>IF(Q334="","",INDEX(希望入力!$J$5:$J$554,Q334)&amp;"")</f>
        <v/>
      </c>
      <c r="J334" s="50">
        <f>IF(Q334="","",IF(G334="転出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)</f>
        <v/>
      </c>
      <c r="K334" s="49" t="n"/>
      <c r="L334" s="56">
        <f>IF(P334="","",IF(G334="転出","",IF(K334&lt;&gt;"",K334,IF(OR(J334="",J334="要調整"),"",J334))))</f>
        <v/>
      </c>
      <c r="M334" s="50">
        <f>IF(P334="","",IF(OR(G334="転出",AND(計算用!$B$1=1,T334="")),"転出",IF(L334&lt;&gt;"","決定",IF(Q334="","未提出","要調整"))))</f>
        <v/>
      </c>
      <c r="N334" s="50">
        <f>IF(OR(M334&lt;&gt;"要調整",H334=""),"",IFERROR((INDEX(設定!$Q$8:$Q$27,MATCH(H334,設定!$P$8:$P$27,0))+N(INDEX(設定!$R$8:$R$27,MATCH(H334,設定!$P$8:$P$27,0))))-INDEX(定員チェック!$I$7:$I$26,MATCH(H334,設定!$P$8:$P$27,0))-COUNTIFS($M$7:$M$456,"要調整",$G$7:$G$456,H334),""))</f>
        <v/>
      </c>
      <c r="O334" s="50">
        <f>IF(OR(M334&lt;&gt;"要調整",I334=""),"",IFERROR((INDEX(設定!$Q$8:$Q$27,MATCH(I334,設定!$P$8:$P$27,0))+N(INDEX(設定!$R$8:$R$27,MATCH(I334,設定!$P$8:$P$27,0))))-INDEX(定員チェック!$I$7:$I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IF(R334="","",IFERROR(MATCH(R334,希望入力!$M$5:$M$554,0),""))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50">
        <f>IF(P335="","",INDEX(前年度名簿!$H$3:$H$452,P335))</f>
        <v/>
      </c>
      <c r="B335" s="50">
        <f>IF(P335="","",IFERROR(INDEX(設定!$G$8:$G$31,INT(INDEX(前年度名簿!$G$3:$G$452,P335)/1000)),INDEX(前年度名簿!$A$3:$A$452,P335)&amp;INDEX(前年度名簿!$B$3:$B$452,P335)))</f>
        <v/>
      </c>
      <c r="C335" s="50">
        <f>IF(P335="","",INDEX(前年度名簿!$C$3:$C$452,P335))</f>
        <v/>
      </c>
      <c r="D335" s="4">
        <f>IF(P335="","",INDEX(前年度名簿!$D$3:$D$452,P335))</f>
        <v/>
      </c>
      <c r="E335" s="50">
        <f>IF(T335="","",INDEX(新年度名簿!$K$3:$K$452,T335))</f>
        <v/>
      </c>
      <c r="F335" s="50">
        <f>IF(T335="","",INDEX(新年度名簿!$C$3:$C$452,T335))</f>
        <v/>
      </c>
      <c r="G335" s="50">
        <f>IF(Q335="","",INDEX(希望入力!$H$5:$H$554,Q335)&amp;"")</f>
        <v/>
      </c>
      <c r="H335" s="50">
        <f>IF(Q335="","",INDEX(希望入力!$I$5:$I$554,Q335)&amp;"")</f>
        <v/>
      </c>
      <c r="I335" s="50">
        <f>IF(Q335="","",INDEX(希望入力!$J$5:$J$554,Q335)&amp;"")</f>
        <v/>
      </c>
      <c r="J335" s="50">
        <f>IF(Q335="","",IF(G335="転出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)</f>
        <v/>
      </c>
      <c r="K335" s="49" t="n"/>
      <c r="L335" s="56">
        <f>IF(P335="","",IF(G335="転出","",IF(K335&lt;&gt;"",K335,IF(OR(J335="",J335="要調整"),"",J335))))</f>
        <v/>
      </c>
      <c r="M335" s="50">
        <f>IF(P335="","",IF(OR(G335="転出",AND(計算用!$B$1=1,T335="")),"転出",IF(L335&lt;&gt;"","決定",IF(Q335="","未提出","要調整"))))</f>
        <v/>
      </c>
      <c r="N335" s="50">
        <f>IF(OR(M335&lt;&gt;"要調整",H335=""),"",IFERROR((INDEX(設定!$Q$8:$Q$27,MATCH(H335,設定!$P$8:$P$27,0))+N(INDEX(設定!$R$8:$R$27,MATCH(H335,設定!$P$8:$P$27,0))))-INDEX(定員チェック!$I$7:$I$26,MATCH(H335,設定!$P$8:$P$27,0))-COUNTIFS($M$7:$M$456,"要調整",$G$7:$G$456,H335),""))</f>
        <v/>
      </c>
      <c r="O335" s="50">
        <f>IF(OR(M335&lt;&gt;"要調整",I335=""),"",IFERROR((INDEX(設定!$Q$8:$Q$27,MATCH(I335,設定!$P$8:$P$27,0))+N(INDEX(設定!$R$8:$R$27,MATCH(I335,設定!$P$8:$P$27,0))))-INDEX(定員チェック!$I$7:$I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IF(R335="","",IFERROR(MATCH(R335,希望入力!$M$5:$M$554,0),""))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50">
        <f>IF(P336="","",INDEX(前年度名簿!$H$3:$H$452,P336))</f>
        <v/>
      </c>
      <c r="B336" s="50">
        <f>IF(P336="","",IFERROR(INDEX(設定!$G$8:$G$31,INT(INDEX(前年度名簿!$G$3:$G$452,P336)/1000)),INDEX(前年度名簿!$A$3:$A$452,P336)&amp;INDEX(前年度名簿!$B$3:$B$452,P336)))</f>
        <v/>
      </c>
      <c r="C336" s="50">
        <f>IF(P336="","",INDEX(前年度名簿!$C$3:$C$452,P336))</f>
        <v/>
      </c>
      <c r="D336" s="4">
        <f>IF(P336="","",INDEX(前年度名簿!$D$3:$D$452,P336))</f>
        <v/>
      </c>
      <c r="E336" s="50">
        <f>IF(T336="","",INDEX(新年度名簿!$K$3:$K$452,T336))</f>
        <v/>
      </c>
      <c r="F336" s="50">
        <f>IF(T336="","",INDEX(新年度名簿!$C$3:$C$452,T336))</f>
        <v/>
      </c>
      <c r="G336" s="50">
        <f>IF(Q336="","",INDEX(希望入力!$H$5:$H$554,Q336)&amp;"")</f>
        <v/>
      </c>
      <c r="H336" s="50">
        <f>IF(Q336="","",INDEX(希望入力!$I$5:$I$554,Q336)&amp;"")</f>
        <v/>
      </c>
      <c r="I336" s="50">
        <f>IF(Q336="","",INDEX(希望入力!$J$5:$J$554,Q336)&amp;"")</f>
        <v/>
      </c>
      <c r="J336" s="50">
        <f>IF(Q336="","",IF(G336="転出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)</f>
        <v/>
      </c>
      <c r="K336" s="49" t="n"/>
      <c r="L336" s="56">
        <f>IF(P336="","",IF(G336="転出","",IF(K336&lt;&gt;"",K336,IF(OR(J336="",J336="要調整"),"",J336))))</f>
        <v/>
      </c>
      <c r="M336" s="50">
        <f>IF(P336="","",IF(OR(G336="転出",AND(計算用!$B$1=1,T336="")),"転出",IF(L336&lt;&gt;"","決定",IF(Q336="","未提出","要調整"))))</f>
        <v/>
      </c>
      <c r="N336" s="50">
        <f>IF(OR(M336&lt;&gt;"要調整",H336=""),"",IFERROR((INDEX(設定!$Q$8:$Q$27,MATCH(H336,設定!$P$8:$P$27,0))+N(INDEX(設定!$R$8:$R$27,MATCH(H336,設定!$P$8:$P$27,0))))-INDEX(定員チェック!$I$7:$I$26,MATCH(H336,設定!$P$8:$P$27,0))-COUNTIFS($M$7:$M$456,"要調整",$G$7:$G$456,H336),""))</f>
        <v/>
      </c>
      <c r="O336" s="50">
        <f>IF(OR(M336&lt;&gt;"要調整",I336=""),"",IFERROR((INDEX(設定!$Q$8:$Q$27,MATCH(I336,設定!$P$8:$P$27,0))+N(INDEX(設定!$R$8:$R$27,MATCH(I336,設定!$P$8:$P$27,0))))-INDEX(定員チェック!$I$7:$I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IF(R336="","",IFERROR(MATCH(R336,希望入力!$M$5:$M$554,0),""))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50">
        <f>IF(P337="","",INDEX(前年度名簿!$H$3:$H$452,P337))</f>
        <v/>
      </c>
      <c r="B337" s="50">
        <f>IF(P337="","",IFERROR(INDEX(設定!$G$8:$G$31,INT(INDEX(前年度名簿!$G$3:$G$452,P337)/1000)),INDEX(前年度名簿!$A$3:$A$452,P337)&amp;INDEX(前年度名簿!$B$3:$B$452,P337)))</f>
        <v/>
      </c>
      <c r="C337" s="50">
        <f>IF(P337="","",INDEX(前年度名簿!$C$3:$C$452,P337))</f>
        <v/>
      </c>
      <c r="D337" s="4">
        <f>IF(P337="","",INDEX(前年度名簿!$D$3:$D$452,P337))</f>
        <v/>
      </c>
      <c r="E337" s="50">
        <f>IF(T337="","",INDEX(新年度名簿!$K$3:$K$452,T337))</f>
        <v/>
      </c>
      <c r="F337" s="50">
        <f>IF(T337="","",INDEX(新年度名簿!$C$3:$C$452,T337))</f>
        <v/>
      </c>
      <c r="G337" s="50">
        <f>IF(Q337="","",INDEX(希望入力!$H$5:$H$554,Q337)&amp;"")</f>
        <v/>
      </c>
      <c r="H337" s="50">
        <f>IF(Q337="","",INDEX(希望入力!$I$5:$I$554,Q337)&amp;"")</f>
        <v/>
      </c>
      <c r="I337" s="50">
        <f>IF(Q337="","",INDEX(希望入力!$J$5:$J$554,Q337)&amp;"")</f>
        <v/>
      </c>
      <c r="J337" s="50">
        <f>IF(Q337="","",IF(G337="転出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)</f>
        <v/>
      </c>
      <c r="K337" s="49" t="n"/>
      <c r="L337" s="56">
        <f>IF(P337="","",IF(G337="転出","",IF(K337&lt;&gt;"",K337,IF(OR(J337="",J337="要調整"),"",J337))))</f>
        <v/>
      </c>
      <c r="M337" s="50">
        <f>IF(P337="","",IF(OR(G337="転出",AND(計算用!$B$1=1,T337="")),"転出",IF(L337&lt;&gt;"","決定",IF(Q337="","未提出","要調整"))))</f>
        <v/>
      </c>
      <c r="N337" s="50">
        <f>IF(OR(M337&lt;&gt;"要調整",H337=""),"",IFERROR((INDEX(設定!$Q$8:$Q$27,MATCH(H337,設定!$P$8:$P$27,0))+N(INDEX(設定!$R$8:$R$27,MATCH(H337,設定!$P$8:$P$27,0))))-INDEX(定員チェック!$I$7:$I$26,MATCH(H337,設定!$P$8:$P$27,0))-COUNTIFS($M$7:$M$456,"要調整",$G$7:$G$456,H337),""))</f>
        <v/>
      </c>
      <c r="O337" s="50">
        <f>IF(OR(M337&lt;&gt;"要調整",I337=""),"",IFERROR((INDEX(設定!$Q$8:$Q$27,MATCH(I337,設定!$P$8:$P$27,0))+N(INDEX(設定!$R$8:$R$27,MATCH(I337,設定!$P$8:$P$27,0))))-INDEX(定員チェック!$I$7:$I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IF(R337="","",IFERROR(MATCH(R337,希望入力!$M$5:$M$554,0),""))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50">
        <f>IF(P338="","",INDEX(前年度名簿!$H$3:$H$452,P338))</f>
        <v/>
      </c>
      <c r="B338" s="50">
        <f>IF(P338="","",IFERROR(INDEX(設定!$G$8:$G$31,INT(INDEX(前年度名簿!$G$3:$G$452,P338)/1000)),INDEX(前年度名簿!$A$3:$A$452,P338)&amp;INDEX(前年度名簿!$B$3:$B$452,P338)))</f>
        <v/>
      </c>
      <c r="C338" s="50">
        <f>IF(P338="","",INDEX(前年度名簿!$C$3:$C$452,P338))</f>
        <v/>
      </c>
      <c r="D338" s="4">
        <f>IF(P338="","",INDEX(前年度名簿!$D$3:$D$452,P338))</f>
        <v/>
      </c>
      <c r="E338" s="50">
        <f>IF(T338="","",INDEX(新年度名簿!$K$3:$K$452,T338))</f>
        <v/>
      </c>
      <c r="F338" s="50">
        <f>IF(T338="","",INDEX(新年度名簿!$C$3:$C$452,T338))</f>
        <v/>
      </c>
      <c r="G338" s="50">
        <f>IF(Q338="","",INDEX(希望入力!$H$5:$H$554,Q338)&amp;"")</f>
        <v/>
      </c>
      <c r="H338" s="50">
        <f>IF(Q338="","",INDEX(希望入力!$I$5:$I$554,Q338)&amp;"")</f>
        <v/>
      </c>
      <c r="I338" s="50">
        <f>IF(Q338="","",INDEX(希望入力!$J$5:$J$554,Q338)&amp;"")</f>
        <v/>
      </c>
      <c r="J338" s="50">
        <f>IF(Q338="","",IF(G338="転出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)</f>
        <v/>
      </c>
      <c r="K338" s="49" t="n"/>
      <c r="L338" s="56">
        <f>IF(P338="","",IF(G338="転出","",IF(K338&lt;&gt;"",K338,IF(OR(J338="",J338="要調整"),"",J338))))</f>
        <v/>
      </c>
      <c r="M338" s="50">
        <f>IF(P338="","",IF(OR(G338="転出",AND(計算用!$B$1=1,T338="")),"転出",IF(L338&lt;&gt;"","決定",IF(Q338="","未提出","要調整"))))</f>
        <v/>
      </c>
      <c r="N338" s="50">
        <f>IF(OR(M338&lt;&gt;"要調整",H338=""),"",IFERROR((INDEX(設定!$Q$8:$Q$27,MATCH(H338,設定!$P$8:$P$27,0))+N(INDEX(設定!$R$8:$R$27,MATCH(H338,設定!$P$8:$P$27,0))))-INDEX(定員チェック!$I$7:$I$26,MATCH(H338,設定!$P$8:$P$27,0))-COUNTIFS($M$7:$M$456,"要調整",$G$7:$G$456,H338),""))</f>
        <v/>
      </c>
      <c r="O338" s="50">
        <f>IF(OR(M338&lt;&gt;"要調整",I338=""),"",IFERROR((INDEX(設定!$Q$8:$Q$27,MATCH(I338,設定!$P$8:$P$27,0))+N(INDEX(設定!$R$8:$R$27,MATCH(I338,設定!$P$8:$P$27,0))))-INDEX(定員チェック!$I$7:$I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IF(R338="","",IFERROR(MATCH(R338,希望入力!$M$5:$M$554,0),""))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50">
        <f>IF(P339="","",INDEX(前年度名簿!$H$3:$H$452,P339))</f>
        <v/>
      </c>
      <c r="B339" s="50">
        <f>IF(P339="","",IFERROR(INDEX(設定!$G$8:$G$31,INT(INDEX(前年度名簿!$G$3:$G$452,P339)/1000)),INDEX(前年度名簿!$A$3:$A$452,P339)&amp;INDEX(前年度名簿!$B$3:$B$452,P339)))</f>
        <v/>
      </c>
      <c r="C339" s="50">
        <f>IF(P339="","",INDEX(前年度名簿!$C$3:$C$452,P339))</f>
        <v/>
      </c>
      <c r="D339" s="4">
        <f>IF(P339="","",INDEX(前年度名簿!$D$3:$D$452,P339))</f>
        <v/>
      </c>
      <c r="E339" s="50">
        <f>IF(T339="","",INDEX(新年度名簿!$K$3:$K$452,T339))</f>
        <v/>
      </c>
      <c r="F339" s="50">
        <f>IF(T339="","",INDEX(新年度名簿!$C$3:$C$452,T339))</f>
        <v/>
      </c>
      <c r="G339" s="50">
        <f>IF(Q339="","",INDEX(希望入力!$H$5:$H$554,Q339)&amp;"")</f>
        <v/>
      </c>
      <c r="H339" s="50">
        <f>IF(Q339="","",INDEX(希望入力!$I$5:$I$554,Q339)&amp;"")</f>
        <v/>
      </c>
      <c r="I339" s="50">
        <f>IF(Q339="","",INDEX(希望入力!$J$5:$J$554,Q339)&amp;"")</f>
        <v/>
      </c>
      <c r="J339" s="50">
        <f>IF(Q339="","",IF(G339="転出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)</f>
        <v/>
      </c>
      <c r="K339" s="49" t="n"/>
      <c r="L339" s="56">
        <f>IF(P339="","",IF(G339="転出","",IF(K339&lt;&gt;"",K339,IF(OR(J339="",J339="要調整"),"",J339))))</f>
        <v/>
      </c>
      <c r="M339" s="50">
        <f>IF(P339="","",IF(OR(G339="転出",AND(計算用!$B$1=1,T339="")),"転出",IF(L339&lt;&gt;"","決定",IF(Q339="","未提出","要調整"))))</f>
        <v/>
      </c>
      <c r="N339" s="50">
        <f>IF(OR(M339&lt;&gt;"要調整",H339=""),"",IFERROR((INDEX(設定!$Q$8:$Q$27,MATCH(H339,設定!$P$8:$P$27,0))+N(INDEX(設定!$R$8:$R$27,MATCH(H339,設定!$P$8:$P$27,0))))-INDEX(定員チェック!$I$7:$I$26,MATCH(H339,設定!$P$8:$P$27,0))-COUNTIFS($M$7:$M$456,"要調整",$G$7:$G$456,H339),""))</f>
        <v/>
      </c>
      <c r="O339" s="50">
        <f>IF(OR(M339&lt;&gt;"要調整",I339=""),"",IFERROR((INDEX(設定!$Q$8:$Q$27,MATCH(I339,設定!$P$8:$P$27,0))+N(INDEX(設定!$R$8:$R$27,MATCH(I339,設定!$P$8:$P$27,0))))-INDEX(定員チェック!$I$7:$I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IF(R339="","",IFERROR(MATCH(R339,希望入力!$M$5:$M$554,0),""))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50">
        <f>IF(P340="","",INDEX(前年度名簿!$H$3:$H$452,P340))</f>
        <v/>
      </c>
      <c r="B340" s="50">
        <f>IF(P340="","",IFERROR(INDEX(設定!$G$8:$G$31,INT(INDEX(前年度名簿!$G$3:$G$452,P340)/1000)),INDEX(前年度名簿!$A$3:$A$452,P340)&amp;INDEX(前年度名簿!$B$3:$B$452,P340)))</f>
        <v/>
      </c>
      <c r="C340" s="50">
        <f>IF(P340="","",INDEX(前年度名簿!$C$3:$C$452,P340))</f>
        <v/>
      </c>
      <c r="D340" s="4">
        <f>IF(P340="","",INDEX(前年度名簿!$D$3:$D$452,P340))</f>
        <v/>
      </c>
      <c r="E340" s="50">
        <f>IF(T340="","",INDEX(新年度名簿!$K$3:$K$452,T340))</f>
        <v/>
      </c>
      <c r="F340" s="50">
        <f>IF(T340="","",INDEX(新年度名簿!$C$3:$C$452,T340))</f>
        <v/>
      </c>
      <c r="G340" s="50">
        <f>IF(Q340="","",INDEX(希望入力!$H$5:$H$554,Q340)&amp;"")</f>
        <v/>
      </c>
      <c r="H340" s="50">
        <f>IF(Q340="","",INDEX(希望入力!$I$5:$I$554,Q340)&amp;"")</f>
        <v/>
      </c>
      <c r="I340" s="50">
        <f>IF(Q340="","",INDEX(希望入力!$J$5:$J$554,Q340)&amp;"")</f>
        <v/>
      </c>
      <c r="J340" s="50">
        <f>IF(Q340="","",IF(G340="転出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)</f>
        <v/>
      </c>
      <c r="K340" s="49" t="n"/>
      <c r="L340" s="56">
        <f>IF(P340="","",IF(G340="転出","",IF(K340&lt;&gt;"",K340,IF(OR(J340="",J340="要調整"),"",J340))))</f>
        <v/>
      </c>
      <c r="M340" s="50">
        <f>IF(P340="","",IF(OR(G340="転出",AND(計算用!$B$1=1,T340="")),"転出",IF(L340&lt;&gt;"","決定",IF(Q340="","未提出","要調整"))))</f>
        <v/>
      </c>
      <c r="N340" s="50">
        <f>IF(OR(M340&lt;&gt;"要調整",H340=""),"",IFERROR((INDEX(設定!$Q$8:$Q$27,MATCH(H340,設定!$P$8:$P$27,0))+N(INDEX(設定!$R$8:$R$27,MATCH(H340,設定!$P$8:$P$27,0))))-INDEX(定員チェック!$I$7:$I$26,MATCH(H340,設定!$P$8:$P$27,0))-COUNTIFS($M$7:$M$456,"要調整",$G$7:$G$456,H340),""))</f>
        <v/>
      </c>
      <c r="O340" s="50">
        <f>IF(OR(M340&lt;&gt;"要調整",I340=""),"",IFERROR((INDEX(設定!$Q$8:$Q$27,MATCH(I340,設定!$P$8:$P$27,0))+N(INDEX(設定!$R$8:$R$27,MATCH(I340,設定!$P$8:$P$27,0))))-INDEX(定員チェック!$I$7:$I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IF(R340="","",IFERROR(MATCH(R340,希望入力!$M$5:$M$554,0),""))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50">
        <f>IF(P341="","",INDEX(前年度名簿!$H$3:$H$452,P341))</f>
        <v/>
      </c>
      <c r="B341" s="50">
        <f>IF(P341="","",IFERROR(INDEX(設定!$G$8:$G$31,INT(INDEX(前年度名簿!$G$3:$G$452,P341)/1000)),INDEX(前年度名簿!$A$3:$A$452,P341)&amp;INDEX(前年度名簿!$B$3:$B$452,P341)))</f>
        <v/>
      </c>
      <c r="C341" s="50">
        <f>IF(P341="","",INDEX(前年度名簿!$C$3:$C$452,P341))</f>
        <v/>
      </c>
      <c r="D341" s="4">
        <f>IF(P341="","",INDEX(前年度名簿!$D$3:$D$452,P341))</f>
        <v/>
      </c>
      <c r="E341" s="50">
        <f>IF(T341="","",INDEX(新年度名簿!$K$3:$K$452,T341))</f>
        <v/>
      </c>
      <c r="F341" s="50">
        <f>IF(T341="","",INDEX(新年度名簿!$C$3:$C$452,T341))</f>
        <v/>
      </c>
      <c r="G341" s="50">
        <f>IF(Q341="","",INDEX(希望入力!$H$5:$H$554,Q341)&amp;"")</f>
        <v/>
      </c>
      <c r="H341" s="50">
        <f>IF(Q341="","",INDEX(希望入力!$I$5:$I$554,Q341)&amp;"")</f>
        <v/>
      </c>
      <c r="I341" s="50">
        <f>IF(Q341="","",INDEX(希望入力!$J$5:$J$554,Q341)&amp;"")</f>
        <v/>
      </c>
      <c r="J341" s="50">
        <f>IF(Q341="","",IF(G341="転出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)</f>
        <v/>
      </c>
      <c r="K341" s="49" t="n"/>
      <c r="L341" s="56">
        <f>IF(P341="","",IF(G341="転出","",IF(K341&lt;&gt;"",K341,IF(OR(J341="",J341="要調整"),"",J341))))</f>
        <v/>
      </c>
      <c r="M341" s="50">
        <f>IF(P341="","",IF(OR(G341="転出",AND(計算用!$B$1=1,T341="")),"転出",IF(L341&lt;&gt;"","決定",IF(Q341="","未提出","要調整"))))</f>
        <v/>
      </c>
      <c r="N341" s="50">
        <f>IF(OR(M341&lt;&gt;"要調整",H341=""),"",IFERROR((INDEX(設定!$Q$8:$Q$27,MATCH(H341,設定!$P$8:$P$27,0))+N(INDEX(設定!$R$8:$R$27,MATCH(H341,設定!$P$8:$P$27,0))))-INDEX(定員チェック!$I$7:$I$26,MATCH(H341,設定!$P$8:$P$27,0))-COUNTIFS($M$7:$M$456,"要調整",$G$7:$G$456,H341),""))</f>
        <v/>
      </c>
      <c r="O341" s="50">
        <f>IF(OR(M341&lt;&gt;"要調整",I341=""),"",IFERROR((INDEX(設定!$Q$8:$Q$27,MATCH(I341,設定!$P$8:$P$27,0))+N(INDEX(設定!$R$8:$R$27,MATCH(I341,設定!$P$8:$P$27,0))))-INDEX(定員チェック!$I$7:$I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IF(R341="","",IFERROR(MATCH(R341,希望入力!$M$5:$M$554,0),""))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50">
        <f>IF(P342="","",INDEX(前年度名簿!$H$3:$H$452,P342))</f>
        <v/>
      </c>
      <c r="B342" s="50">
        <f>IF(P342="","",IFERROR(INDEX(設定!$G$8:$G$31,INT(INDEX(前年度名簿!$G$3:$G$452,P342)/1000)),INDEX(前年度名簿!$A$3:$A$452,P342)&amp;INDEX(前年度名簿!$B$3:$B$452,P342)))</f>
        <v/>
      </c>
      <c r="C342" s="50">
        <f>IF(P342="","",INDEX(前年度名簿!$C$3:$C$452,P342))</f>
        <v/>
      </c>
      <c r="D342" s="4">
        <f>IF(P342="","",INDEX(前年度名簿!$D$3:$D$452,P342))</f>
        <v/>
      </c>
      <c r="E342" s="50">
        <f>IF(T342="","",INDEX(新年度名簿!$K$3:$K$452,T342))</f>
        <v/>
      </c>
      <c r="F342" s="50">
        <f>IF(T342="","",INDEX(新年度名簿!$C$3:$C$452,T342))</f>
        <v/>
      </c>
      <c r="G342" s="50">
        <f>IF(Q342="","",INDEX(希望入力!$H$5:$H$554,Q342)&amp;"")</f>
        <v/>
      </c>
      <c r="H342" s="50">
        <f>IF(Q342="","",INDEX(希望入力!$I$5:$I$554,Q342)&amp;"")</f>
        <v/>
      </c>
      <c r="I342" s="50">
        <f>IF(Q342="","",INDEX(希望入力!$J$5:$J$554,Q342)&amp;"")</f>
        <v/>
      </c>
      <c r="J342" s="50">
        <f>IF(Q342="","",IF(G342="転出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)</f>
        <v/>
      </c>
      <c r="K342" s="49" t="n"/>
      <c r="L342" s="56">
        <f>IF(P342="","",IF(G342="転出","",IF(K342&lt;&gt;"",K342,IF(OR(J342="",J342="要調整"),"",J342))))</f>
        <v/>
      </c>
      <c r="M342" s="50">
        <f>IF(P342="","",IF(OR(G342="転出",AND(計算用!$B$1=1,T342="")),"転出",IF(L342&lt;&gt;"","決定",IF(Q342="","未提出","要調整"))))</f>
        <v/>
      </c>
      <c r="N342" s="50">
        <f>IF(OR(M342&lt;&gt;"要調整",H342=""),"",IFERROR((INDEX(設定!$Q$8:$Q$27,MATCH(H342,設定!$P$8:$P$27,0))+N(INDEX(設定!$R$8:$R$27,MATCH(H342,設定!$P$8:$P$27,0))))-INDEX(定員チェック!$I$7:$I$26,MATCH(H342,設定!$P$8:$P$27,0))-COUNTIFS($M$7:$M$456,"要調整",$G$7:$G$456,H342),""))</f>
        <v/>
      </c>
      <c r="O342" s="50">
        <f>IF(OR(M342&lt;&gt;"要調整",I342=""),"",IFERROR((INDEX(設定!$Q$8:$Q$27,MATCH(I342,設定!$P$8:$P$27,0))+N(INDEX(設定!$R$8:$R$27,MATCH(I342,設定!$P$8:$P$27,0))))-INDEX(定員チェック!$I$7:$I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IF(R342="","",IFERROR(MATCH(R342,希望入力!$M$5:$M$554,0),""))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50">
        <f>IF(P343="","",INDEX(前年度名簿!$H$3:$H$452,P343))</f>
        <v/>
      </c>
      <c r="B343" s="50">
        <f>IF(P343="","",IFERROR(INDEX(設定!$G$8:$G$31,INT(INDEX(前年度名簿!$G$3:$G$452,P343)/1000)),INDEX(前年度名簿!$A$3:$A$452,P343)&amp;INDEX(前年度名簿!$B$3:$B$452,P343)))</f>
        <v/>
      </c>
      <c r="C343" s="50">
        <f>IF(P343="","",INDEX(前年度名簿!$C$3:$C$452,P343))</f>
        <v/>
      </c>
      <c r="D343" s="4">
        <f>IF(P343="","",INDEX(前年度名簿!$D$3:$D$452,P343))</f>
        <v/>
      </c>
      <c r="E343" s="50">
        <f>IF(T343="","",INDEX(新年度名簿!$K$3:$K$452,T343))</f>
        <v/>
      </c>
      <c r="F343" s="50">
        <f>IF(T343="","",INDEX(新年度名簿!$C$3:$C$452,T343))</f>
        <v/>
      </c>
      <c r="G343" s="50">
        <f>IF(Q343="","",INDEX(希望入力!$H$5:$H$554,Q343)&amp;"")</f>
        <v/>
      </c>
      <c r="H343" s="50">
        <f>IF(Q343="","",INDEX(希望入力!$I$5:$I$554,Q343)&amp;"")</f>
        <v/>
      </c>
      <c r="I343" s="50">
        <f>IF(Q343="","",INDEX(希望入力!$J$5:$J$554,Q343)&amp;"")</f>
        <v/>
      </c>
      <c r="J343" s="50">
        <f>IF(Q343="","",IF(G343="転出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)</f>
        <v/>
      </c>
      <c r="K343" s="49" t="n"/>
      <c r="L343" s="56">
        <f>IF(P343="","",IF(G343="転出","",IF(K343&lt;&gt;"",K343,IF(OR(J343="",J343="要調整"),"",J343))))</f>
        <v/>
      </c>
      <c r="M343" s="50">
        <f>IF(P343="","",IF(OR(G343="転出",AND(計算用!$B$1=1,T343="")),"転出",IF(L343&lt;&gt;"","決定",IF(Q343="","未提出","要調整"))))</f>
        <v/>
      </c>
      <c r="N343" s="50">
        <f>IF(OR(M343&lt;&gt;"要調整",H343=""),"",IFERROR((INDEX(設定!$Q$8:$Q$27,MATCH(H343,設定!$P$8:$P$27,0))+N(INDEX(設定!$R$8:$R$27,MATCH(H343,設定!$P$8:$P$27,0))))-INDEX(定員チェック!$I$7:$I$26,MATCH(H343,設定!$P$8:$P$27,0))-COUNTIFS($M$7:$M$456,"要調整",$G$7:$G$456,H343),""))</f>
        <v/>
      </c>
      <c r="O343" s="50">
        <f>IF(OR(M343&lt;&gt;"要調整",I343=""),"",IFERROR((INDEX(設定!$Q$8:$Q$27,MATCH(I343,設定!$P$8:$P$27,0))+N(INDEX(設定!$R$8:$R$27,MATCH(I343,設定!$P$8:$P$27,0))))-INDEX(定員チェック!$I$7:$I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IF(R343="","",IFERROR(MATCH(R343,希望入力!$M$5:$M$554,0),""))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50">
        <f>IF(P344="","",INDEX(前年度名簿!$H$3:$H$452,P344))</f>
        <v/>
      </c>
      <c r="B344" s="50">
        <f>IF(P344="","",IFERROR(INDEX(設定!$G$8:$G$31,INT(INDEX(前年度名簿!$G$3:$G$452,P344)/1000)),INDEX(前年度名簿!$A$3:$A$452,P344)&amp;INDEX(前年度名簿!$B$3:$B$452,P344)))</f>
        <v/>
      </c>
      <c r="C344" s="50">
        <f>IF(P344="","",INDEX(前年度名簿!$C$3:$C$452,P344))</f>
        <v/>
      </c>
      <c r="D344" s="4">
        <f>IF(P344="","",INDEX(前年度名簿!$D$3:$D$452,P344))</f>
        <v/>
      </c>
      <c r="E344" s="50">
        <f>IF(T344="","",INDEX(新年度名簿!$K$3:$K$452,T344))</f>
        <v/>
      </c>
      <c r="F344" s="50">
        <f>IF(T344="","",INDEX(新年度名簿!$C$3:$C$452,T344))</f>
        <v/>
      </c>
      <c r="G344" s="50">
        <f>IF(Q344="","",INDEX(希望入力!$H$5:$H$554,Q344)&amp;"")</f>
        <v/>
      </c>
      <c r="H344" s="50">
        <f>IF(Q344="","",INDEX(希望入力!$I$5:$I$554,Q344)&amp;"")</f>
        <v/>
      </c>
      <c r="I344" s="50">
        <f>IF(Q344="","",INDEX(希望入力!$J$5:$J$554,Q344)&amp;"")</f>
        <v/>
      </c>
      <c r="J344" s="50">
        <f>IF(Q344="","",IF(G344="転出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)</f>
        <v/>
      </c>
      <c r="K344" s="49" t="n"/>
      <c r="L344" s="56">
        <f>IF(P344="","",IF(G344="転出","",IF(K344&lt;&gt;"",K344,IF(OR(J344="",J344="要調整"),"",J344))))</f>
        <v/>
      </c>
      <c r="M344" s="50">
        <f>IF(P344="","",IF(OR(G344="転出",AND(計算用!$B$1=1,T344="")),"転出",IF(L344&lt;&gt;"","決定",IF(Q344="","未提出","要調整"))))</f>
        <v/>
      </c>
      <c r="N344" s="50">
        <f>IF(OR(M344&lt;&gt;"要調整",H344=""),"",IFERROR((INDEX(設定!$Q$8:$Q$27,MATCH(H344,設定!$P$8:$P$27,0))+N(INDEX(設定!$R$8:$R$27,MATCH(H344,設定!$P$8:$P$27,0))))-INDEX(定員チェック!$I$7:$I$26,MATCH(H344,設定!$P$8:$P$27,0))-COUNTIFS($M$7:$M$456,"要調整",$G$7:$G$456,H344),""))</f>
        <v/>
      </c>
      <c r="O344" s="50">
        <f>IF(OR(M344&lt;&gt;"要調整",I344=""),"",IFERROR((INDEX(設定!$Q$8:$Q$27,MATCH(I344,設定!$P$8:$P$27,0))+N(INDEX(設定!$R$8:$R$27,MATCH(I344,設定!$P$8:$P$27,0))))-INDEX(定員チェック!$I$7:$I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IF(R344="","",IFERROR(MATCH(R344,希望入力!$M$5:$M$554,0),""))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50">
        <f>IF(P345="","",INDEX(前年度名簿!$H$3:$H$452,P345))</f>
        <v/>
      </c>
      <c r="B345" s="50">
        <f>IF(P345="","",IFERROR(INDEX(設定!$G$8:$G$31,INT(INDEX(前年度名簿!$G$3:$G$452,P345)/1000)),INDEX(前年度名簿!$A$3:$A$452,P345)&amp;INDEX(前年度名簿!$B$3:$B$452,P345)))</f>
        <v/>
      </c>
      <c r="C345" s="50">
        <f>IF(P345="","",INDEX(前年度名簿!$C$3:$C$452,P345))</f>
        <v/>
      </c>
      <c r="D345" s="4">
        <f>IF(P345="","",INDEX(前年度名簿!$D$3:$D$452,P345))</f>
        <v/>
      </c>
      <c r="E345" s="50">
        <f>IF(T345="","",INDEX(新年度名簿!$K$3:$K$452,T345))</f>
        <v/>
      </c>
      <c r="F345" s="50">
        <f>IF(T345="","",INDEX(新年度名簿!$C$3:$C$452,T345))</f>
        <v/>
      </c>
      <c r="G345" s="50">
        <f>IF(Q345="","",INDEX(希望入力!$H$5:$H$554,Q345)&amp;"")</f>
        <v/>
      </c>
      <c r="H345" s="50">
        <f>IF(Q345="","",INDEX(希望入力!$I$5:$I$554,Q345)&amp;"")</f>
        <v/>
      </c>
      <c r="I345" s="50">
        <f>IF(Q345="","",INDEX(希望入力!$J$5:$J$554,Q345)&amp;"")</f>
        <v/>
      </c>
      <c r="J345" s="50">
        <f>IF(Q345="","",IF(G345="転出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)</f>
        <v/>
      </c>
      <c r="K345" s="49" t="n"/>
      <c r="L345" s="56">
        <f>IF(P345="","",IF(G345="転出","",IF(K345&lt;&gt;"",K345,IF(OR(J345="",J345="要調整"),"",J345))))</f>
        <v/>
      </c>
      <c r="M345" s="50">
        <f>IF(P345="","",IF(OR(G345="転出",AND(計算用!$B$1=1,T345="")),"転出",IF(L345&lt;&gt;"","決定",IF(Q345="","未提出","要調整"))))</f>
        <v/>
      </c>
      <c r="N345" s="50">
        <f>IF(OR(M345&lt;&gt;"要調整",H345=""),"",IFERROR((INDEX(設定!$Q$8:$Q$27,MATCH(H345,設定!$P$8:$P$27,0))+N(INDEX(設定!$R$8:$R$27,MATCH(H345,設定!$P$8:$P$27,0))))-INDEX(定員チェック!$I$7:$I$26,MATCH(H345,設定!$P$8:$P$27,0))-COUNTIFS($M$7:$M$456,"要調整",$G$7:$G$456,H345),""))</f>
        <v/>
      </c>
      <c r="O345" s="50">
        <f>IF(OR(M345&lt;&gt;"要調整",I345=""),"",IFERROR((INDEX(設定!$Q$8:$Q$27,MATCH(I345,設定!$P$8:$P$27,0))+N(INDEX(設定!$R$8:$R$27,MATCH(I345,設定!$P$8:$P$27,0))))-INDEX(定員チェック!$I$7:$I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IF(R345="","",IFERROR(MATCH(R345,希望入力!$M$5:$M$554,0),""))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50">
        <f>IF(P346="","",INDEX(前年度名簿!$H$3:$H$452,P346))</f>
        <v/>
      </c>
      <c r="B346" s="50">
        <f>IF(P346="","",IFERROR(INDEX(設定!$G$8:$G$31,INT(INDEX(前年度名簿!$G$3:$G$452,P346)/1000)),INDEX(前年度名簿!$A$3:$A$452,P346)&amp;INDEX(前年度名簿!$B$3:$B$452,P346)))</f>
        <v/>
      </c>
      <c r="C346" s="50">
        <f>IF(P346="","",INDEX(前年度名簿!$C$3:$C$452,P346))</f>
        <v/>
      </c>
      <c r="D346" s="4">
        <f>IF(P346="","",INDEX(前年度名簿!$D$3:$D$452,P346))</f>
        <v/>
      </c>
      <c r="E346" s="50">
        <f>IF(T346="","",INDEX(新年度名簿!$K$3:$K$452,T346))</f>
        <v/>
      </c>
      <c r="F346" s="50">
        <f>IF(T346="","",INDEX(新年度名簿!$C$3:$C$452,T346))</f>
        <v/>
      </c>
      <c r="G346" s="50">
        <f>IF(Q346="","",INDEX(希望入力!$H$5:$H$554,Q346)&amp;"")</f>
        <v/>
      </c>
      <c r="H346" s="50">
        <f>IF(Q346="","",INDEX(希望入力!$I$5:$I$554,Q346)&amp;"")</f>
        <v/>
      </c>
      <c r="I346" s="50">
        <f>IF(Q346="","",INDEX(希望入力!$J$5:$J$554,Q346)&amp;"")</f>
        <v/>
      </c>
      <c r="J346" s="50">
        <f>IF(Q346="","",IF(G346="転出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)</f>
        <v/>
      </c>
      <c r="K346" s="49" t="n"/>
      <c r="L346" s="56">
        <f>IF(P346="","",IF(G346="転出","",IF(K346&lt;&gt;"",K346,IF(OR(J346="",J346="要調整"),"",J346))))</f>
        <v/>
      </c>
      <c r="M346" s="50">
        <f>IF(P346="","",IF(OR(G346="転出",AND(計算用!$B$1=1,T346="")),"転出",IF(L346&lt;&gt;"","決定",IF(Q346="","未提出","要調整"))))</f>
        <v/>
      </c>
      <c r="N346" s="50">
        <f>IF(OR(M346&lt;&gt;"要調整",H346=""),"",IFERROR((INDEX(設定!$Q$8:$Q$27,MATCH(H346,設定!$P$8:$P$27,0))+N(INDEX(設定!$R$8:$R$27,MATCH(H346,設定!$P$8:$P$27,0))))-INDEX(定員チェック!$I$7:$I$26,MATCH(H346,設定!$P$8:$P$27,0))-COUNTIFS($M$7:$M$456,"要調整",$G$7:$G$456,H346),""))</f>
        <v/>
      </c>
      <c r="O346" s="50">
        <f>IF(OR(M346&lt;&gt;"要調整",I346=""),"",IFERROR((INDEX(設定!$Q$8:$Q$27,MATCH(I346,設定!$P$8:$P$27,0))+N(INDEX(設定!$R$8:$R$27,MATCH(I346,設定!$P$8:$P$27,0))))-INDEX(定員チェック!$I$7:$I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IF(R346="","",IFERROR(MATCH(R346,希望入力!$M$5:$M$554,0),""))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50">
        <f>IF(P347="","",INDEX(前年度名簿!$H$3:$H$452,P347))</f>
        <v/>
      </c>
      <c r="B347" s="50">
        <f>IF(P347="","",IFERROR(INDEX(設定!$G$8:$G$31,INT(INDEX(前年度名簿!$G$3:$G$452,P347)/1000)),INDEX(前年度名簿!$A$3:$A$452,P347)&amp;INDEX(前年度名簿!$B$3:$B$452,P347)))</f>
        <v/>
      </c>
      <c r="C347" s="50">
        <f>IF(P347="","",INDEX(前年度名簿!$C$3:$C$452,P347))</f>
        <v/>
      </c>
      <c r="D347" s="4">
        <f>IF(P347="","",INDEX(前年度名簿!$D$3:$D$452,P347))</f>
        <v/>
      </c>
      <c r="E347" s="50">
        <f>IF(T347="","",INDEX(新年度名簿!$K$3:$K$452,T347))</f>
        <v/>
      </c>
      <c r="F347" s="50">
        <f>IF(T347="","",INDEX(新年度名簿!$C$3:$C$452,T347))</f>
        <v/>
      </c>
      <c r="G347" s="50">
        <f>IF(Q347="","",INDEX(希望入力!$H$5:$H$554,Q347)&amp;"")</f>
        <v/>
      </c>
      <c r="H347" s="50">
        <f>IF(Q347="","",INDEX(希望入力!$I$5:$I$554,Q347)&amp;"")</f>
        <v/>
      </c>
      <c r="I347" s="50">
        <f>IF(Q347="","",INDEX(希望入力!$J$5:$J$554,Q347)&amp;"")</f>
        <v/>
      </c>
      <c r="J347" s="50">
        <f>IF(Q347="","",IF(G347="転出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)</f>
        <v/>
      </c>
      <c r="K347" s="49" t="n"/>
      <c r="L347" s="56">
        <f>IF(P347="","",IF(G347="転出","",IF(K347&lt;&gt;"",K347,IF(OR(J347="",J347="要調整"),"",J347))))</f>
        <v/>
      </c>
      <c r="M347" s="50">
        <f>IF(P347="","",IF(OR(G347="転出",AND(計算用!$B$1=1,T347="")),"転出",IF(L347&lt;&gt;"","決定",IF(Q347="","未提出","要調整"))))</f>
        <v/>
      </c>
      <c r="N347" s="50">
        <f>IF(OR(M347&lt;&gt;"要調整",H347=""),"",IFERROR((INDEX(設定!$Q$8:$Q$27,MATCH(H347,設定!$P$8:$P$27,0))+N(INDEX(設定!$R$8:$R$27,MATCH(H347,設定!$P$8:$P$27,0))))-INDEX(定員チェック!$I$7:$I$26,MATCH(H347,設定!$P$8:$P$27,0))-COUNTIFS($M$7:$M$456,"要調整",$G$7:$G$456,H347),""))</f>
        <v/>
      </c>
      <c r="O347" s="50">
        <f>IF(OR(M347&lt;&gt;"要調整",I347=""),"",IFERROR((INDEX(設定!$Q$8:$Q$27,MATCH(I347,設定!$P$8:$P$27,0))+N(INDEX(設定!$R$8:$R$27,MATCH(I347,設定!$P$8:$P$27,0))))-INDEX(定員チェック!$I$7:$I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IF(R347="","",IFERROR(MATCH(R347,希望入力!$M$5:$M$554,0),""))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50">
        <f>IF(P348="","",INDEX(前年度名簿!$H$3:$H$452,P348))</f>
        <v/>
      </c>
      <c r="B348" s="50">
        <f>IF(P348="","",IFERROR(INDEX(設定!$G$8:$G$31,INT(INDEX(前年度名簿!$G$3:$G$452,P348)/1000)),INDEX(前年度名簿!$A$3:$A$452,P348)&amp;INDEX(前年度名簿!$B$3:$B$452,P348)))</f>
        <v/>
      </c>
      <c r="C348" s="50">
        <f>IF(P348="","",INDEX(前年度名簿!$C$3:$C$452,P348))</f>
        <v/>
      </c>
      <c r="D348" s="4">
        <f>IF(P348="","",INDEX(前年度名簿!$D$3:$D$452,P348))</f>
        <v/>
      </c>
      <c r="E348" s="50">
        <f>IF(T348="","",INDEX(新年度名簿!$K$3:$K$452,T348))</f>
        <v/>
      </c>
      <c r="F348" s="50">
        <f>IF(T348="","",INDEX(新年度名簿!$C$3:$C$452,T348))</f>
        <v/>
      </c>
      <c r="G348" s="50">
        <f>IF(Q348="","",INDEX(希望入力!$H$5:$H$554,Q348)&amp;"")</f>
        <v/>
      </c>
      <c r="H348" s="50">
        <f>IF(Q348="","",INDEX(希望入力!$I$5:$I$554,Q348)&amp;"")</f>
        <v/>
      </c>
      <c r="I348" s="50">
        <f>IF(Q348="","",INDEX(希望入力!$J$5:$J$554,Q348)&amp;"")</f>
        <v/>
      </c>
      <c r="J348" s="50">
        <f>IF(Q348="","",IF(G348="転出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)</f>
        <v/>
      </c>
      <c r="K348" s="49" t="n"/>
      <c r="L348" s="56">
        <f>IF(P348="","",IF(G348="転出","",IF(K348&lt;&gt;"",K348,IF(OR(J348="",J348="要調整"),"",J348))))</f>
        <v/>
      </c>
      <c r="M348" s="50">
        <f>IF(P348="","",IF(OR(G348="転出",AND(計算用!$B$1=1,T348="")),"転出",IF(L348&lt;&gt;"","決定",IF(Q348="","未提出","要調整"))))</f>
        <v/>
      </c>
      <c r="N348" s="50">
        <f>IF(OR(M348&lt;&gt;"要調整",H348=""),"",IFERROR((INDEX(設定!$Q$8:$Q$27,MATCH(H348,設定!$P$8:$P$27,0))+N(INDEX(設定!$R$8:$R$27,MATCH(H348,設定!$P$8:$P$27,0))))-INDEX(定員チェック!$I$7:$I$26,MATCH(H348,設定!$P$8:$P$27,0))-COUNTIFS($M$7:$M$456,"要調整",$G$7:$G$456,H348),""))</f>
        <v/>
      </c>
      <c r="O348" s="50">
        <f>IF(OR(M348&lt;&gt;"要調整",I348=""),"",IFERROR((INDEX(設定!$Q$8:$Q$27,MATCH(I348,設定!$P$8:$P$27,0))+N(INDEX(設定!$R$8:$R$27,MATCH(I348,設定!$P$8:$P$27,0))))-INDEX(定員チェック!$I$7:$I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IF(R348="","",IFERROR(MATCH(R348,希望入力!$M$5:$M$554,0),""))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50">
        <f>IF(P349="","",INDEX(前年度名簿!$H$3:$H$452,P349))</f>
        <v/>
      </c>
      <c r="B349" s="50">
        <f>IF(P349="","",IFERROR(INDEX(設定!$G$8:$G$31,INT(INDEX(前年度名簿!$G$3:$G$452,P349)/1000)),INDEX(前年度名簿!$A$3:$A$452,P349)&amp;INDEX(前年度名簿!$B$3:$B$452,P349)))</f>
        <v/>
      </c>
      <c r="C349" s="50">
        <f>IF(P349="","",INDEX(前年度名簿!$C$3:$C$452,P349))</f>
        <v/>
      </c>
      <c r="D349" s="4">
        <f>IF(P349="","",INDEX(前年度名簿!$D$3:$D$452,P349))</f>
        <v/>
      </c>
      <c r="E349" s="50">
        <f>IF(T349="","",INDEX(新年度名簿!$K$3:$K$452,T349))</f>
        <v/>
      </c>
      <c r="F349" s="50">
        <f>IF(T349="","",INDEX(新年度名簿!$C$3:$C$452,T349))</f>
        <v/>
      </c>
      <c r="G349" s="50">
        <f>IF(Q349="","",INDEX(希望入力!$H$5:$H$554,Q349)&amp;"")</f>
        <v/>
      </c>
      <c r="H349" s="50">
        <f>IF(Q349="","",INDEX(希望入力!$I$5:$I$554,Q349)&amp;"")</f>
        <v/>
      </c>
      <c r="I349" s="50">
        <f>IF(Q349="","",INDEX(希望入力!$J$5:$J$554,Q349)&amp;"")</f>
        <v/>
      </c>
      <c r="J349" s="50">
        <f>IF(Q349="","",IF(G349="転出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)</f>
        <v/>
      </c>
      <c r="K349" s="49" t="n"/>
      <c r="L349" s="56">
        <f>IF(P349="","",IF(G349="転出","",IF(K349&lt;&gt;"",K349,IF(OR(J349="",J349="要調整"),"",J349))))</f>
        <v/>
      </c>
      <c r="M349" s="50">
        <f>IF(P349="","",IF(OR(G349="転出",AND(計算用!$B$1=1,T349="")),"転出",IF(L349&lt;&gt;"","決定",IF(Q349="","未提出","要調整"))))</f>
        <v/>
      </c>
      <c r="N349" s="50">
        <f>IF(OR(M349&lt;&gt;"要調整",H349=""),"",IFERROR((INDEX(設定!$Q$8:$Q$27,MATCH(H349,設定!$P$8:$P$27,0))+N(INDEX(設定!$R$8:$R$27,MATCH(H349,設定!$P$8:$P$27,0))))-INDEX(定員チェック!$I$7:$I$26,MATCH(H349,設定!$P$8:$P$27,0))-COUNTIFS($M$7:$M$456,"要調整",$G$7:$G$456,H349),""))</f>
        <v/>
      </c>
      <c r="O349" s="50">
        <f>IF(OR(M349&lt;&gt;"要調整",I349=""),"",IFERROR((INDEX(設定!$Q$8:$Q$27,MATCH(I349,設定!$P$8:$P$27,0))+N(INDEX(設定!$R$8:$R$27,MATCH(I349,設定!$P$8:$P$27,0))))-INDEX(定員チェック!$I$7:$I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IF(R349="","",IFERROR(MATCH(R349,希望入力!$M$5:$M$554,0),""))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50">
        <f>IF(P350="","",INDEX(前年度名簿!$H$3:$H$452,P350))</f>
        <v/>
      </c>
      <c r="B350" s="50">
        <f>IF(P350="","",IFERROR(INDEX(設定!$G$8:$G$31,INT(INDEX(前年度名簿!$G$3:$G$452,P350)/1000)),INDEX(前年度名簿!$A$3:$A$452,P350)&amp;INDEX(前年度名簿!$B$3:$B$452,P350)))</f>
        <v/>
      </c>
      <c r="C350" s="50">
        <f>IF(P350="","",INDEX(前年度名簿!$C$3:$C$452,P350))</f>
        <v/>
      </c>
      <c r="D350" s="4">
        <f>IF(P350="","",INDEX(前年度名簿!$D$3:$D$452,P350))</f>
        <v/>
      </c>
      <c r="E350" s="50">
        <f>IF(T350="","",INDEX(新年度名簿!$K$3:$K$452,T350))</f>
        <v/>
      </c>
      <c r="F350" s="50">
        <f>IF(T350="","",INDEX(新年度名簿!$C$3:$C$452,T350))</f>
        <v/>
      </c>
      <c r="G350" s="50">
        <f>IF(Q350="","",INDEX(希望入力!$H$5:$H$554,Q350)&amp;"")</f>
        <v/>
      </c>
      <c r="H350" s="50">
        <f>IF(Q350="","",INDEX(希望入力!$I$5:$I$554,Q350)&amp;"")</f>
        <v/>
      </c>
      <c r="I350" s="50">
        <f>IF(Q350="","",INDEX(希望入力!$J$5:$J$554,Q350)&amp;"")</f>
        <v/>
      </c>
      <c r="J350" s="50">
        <f>IF(Q350="","",IF(G350="転出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)</f>
        <v/>
      </c>
      <c r="K350" s="49" t="n"/>
      <c r="L350" s="56">
        <f>IF(P350="","",IF(G350="転出","",IF(K350&lt;&gt;"",K350,IF(OR(J350="",J350="要調整"),"",J350))))</f>
        <v/>
      </c>
      <c r="M350" s="50">
        <f>IF(P350="","",IF(OR(G350="転出",AND(計算用!$B$1=1,T350="")),"転出",IF(L350&lt;&gt;"","決定",IF(Q350="","未提出","要調整"))))</f>
        <v/>
      </c>
      <c r="N350" s="50">
        <f>IF(OR(M350&lt;&gt;"要調整",H350=""),"",IFERROR((INDEX(設定!$Q$8:$Q$27,MATCH(H350,設定!$P$8:$P$27,0))+N(INDEX(設定!$R$8:$R$27,MATCH(H350,設定!$P$8:$P$27,0))))-INDEX(定員チェック!$I$7:$I$26,MATCH(H350,設定!$P$8:$P$27,0))-COUNTIFS($M$7:$M$456,"要調整",$G$7:$G$456,H350),""))</f>
        <v/>
      </c>
      <c r="O350" s="50">
        <f>IF(OR(M350&lt;&gt;"要調整",I350=""),"",IFERROR((INDEX(設定!$Q$8:$Q$27,MATCH(I350,設定!$P$8:$P$27,0))+N(INDEX(設定!$R$8:$R$27,MATCH(I350,設定!$P$8:$P$27,0))))-INDEX(定員チェック!$I$7:$I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IF(R350="","",IFERROR(MATCH(R350,希望入力!$M$5:$M$554,0),""))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50">
        <f>IF(P351="","",INDEX(前年度名簿!$H$3:$H$452,P351))</f>
        <v/>
      </c>
      <c r="B351" s="50">
        <f>IF(P351="","",IFERROR(INDEX(設定!$G$8:$G$31,INT(INDEX(前年度名簿!$G$3:$G$452,P351)/1000)),INDEX(前年度名簿!$A$3:$A$452,P351)&amp;INDEX(前年度名簿!$B$3:$B$452,P351)))</f>
        <v/>
      </c>
      <c r="C351" s="50">
        <f>IF(P351="","",INDEX(前年度名簿!$C$3:$C$452,P351))</f>
        <v/>
      </c>
      <c r="D351" s="4">
        <f>IF(P351="","",INDEX(前年度名簿!$D$3:$D$452,P351))</f>
        <v/>
      </c>
      <c r="E351" s="50">
        <f>IF(T351="","",INDEX(新年度名簿!$K$3:$K$452,T351))</f>
        <v/>
      </c>
      <c r="F351" s="50">
        <f>IF(T351="","",INDEX(新年度名簿!$C$3:$C$452,T351))</f>
        <v/>
      </c>
      <c r="G351" s="50">
        <f>IF(Q351="","",INDEX(希望入力!$H$5:$H$554,Q351)&amp;"")</f>
        <v/>
      </c>
      <c r="H351" s="50">
        <f>IF(Q351="","",INDEX(希望入力!$I$5:$I$554,Q351)&amp;"")</f>
        <v/>
      </c>
      <c r="I351" s="50">
        <f>IF(Q351="","",INDEX(希望入力!$J$5:$J$554,Q351)&amp;"")</f>
        <v/>
      </c>
      <c r="J351" s="50">
        <f>IF(Q351="","",IF(G351="転出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)</f>
        <v/>
      </c>
      <c r="K351" s="49" t="n"/>
      <c r="L351" s="56">
        <f>IF(P351="","",IF(G351="転出","",IF(K351&lt;&gt;"",K351,IF(OR(J351="",J351="要調整"),"",J351))))</f>
        <v/>
      </c>
      <c r="M351" s="50">
        <f>IF(P351="","",IF(OR(G351="転出",AND(計算用!$B$1=1,T351="")),"転出",IF(L351&lt;&gt;"","決定",IF(Q351="","未提出","要調整"))))</f>
        <v/>
      </c>
      <c r="N351" s="50">
        <f>IF(OR(M351&lt;&gt;"要調整",H351=""),"",IFERROR((INDEX(設定!$Q$8:$Q$27,MATCH(H351,設定!$P$8:$P$27,0))+N(INDEX(設定!$R$8:$R$27,MATCH(H351,設定!$P$8:$P$27,0))))-INDEX(定員チェック!$I$7:$I$26,MATCH(H351,設定!$P$8:$P$27,0))-COUNTIFS($M$7:$M$456,"要調整",$G$7:$G$456,H351),""))</f>
        <v/>
      </c>
      <c r="O351" s="50">
        <f>IF(OR(M351&lt;&gt;"要調整",I351=""),"",IFERROR((INDEX(設定!$Q$8:$Q$27,MATCH(I351,設定!$P$8:$P$27,0))+N(INDEX(設定!$R$8:$R$27,MATCH(I351,設定!$P$8:$P$27,0))))-INDEX(定員チェック!$I$7:$I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IF(R351="","",IFERROR(MATCH(R351,希望入力!$M$5:$M$554,0),""))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50">
        <f>IF(P352="","",INDEX(前年度名簿!$H$3:$H$452,P352))</f>
        <v/>
      </c>
      <c r="B352" s="50">
        <f>IF(P352="","",IFERROR(INDEX(設定!$G$8:$G$31,INT(INDEX(前年度名簿!$G$3:$G$452,P352)/1000)),INDEX(前年度名簿!$A$3:$A$452,P352)&amp;INDEX(前年度名簿!$B$3:$B$452,P352)))</f>
        <v/>
      </c>
      <c r="C352" s="50">
        <f>IF(P352="","",INDEX(前年度名簿!$C$3:$C$452,P352))</f>
        <v/>
      </c>
      <c r="D352" s="4">
        <f>IF(P352="","",INDEX(前年度名簿!$D$3:$D$452,P352))</f>
        <v/>
      </c>
      <c r="E352" s="50">
        <f>IF(T352="","",INDEX(新年度名簿!$K$3:$K$452,T352))</f>
        <v/>
      </c>
      <c r="F352" s="50">
        <f>IF(T352="","",INDEX(新年度名簿!$C$3:$C$452,T352))</f>
        <v/>
      </c>
      <c r="G352" s="50">
        <f>IF(Q352="","",INDEX(希望入力!$H$5:$H$554,Q352)&amp;"")</f>
        <v/>
      </c>
      <c r="H352" s="50">
        <f>IF(Q352="","",INDEX(希望入力!$I$5:$I$554,Q352)&amp;"")</f>
        <v/>
      </c>
      <c r="I352" s="50">
        <f>IF(Q352="","",INDEX(希望入力!$J$5:$J$554,Q352)&amp;"")</f>
        <v/>
      </c>
      <c r="J352" s="50">
        <f>IF(Q352="","",IF(G352="転出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)</f>
        <v/>
      </c>
      <c r="K352" s="49" t="n"/>
      <c r="L352" s="56">
        <f>IF(P352="","",IF(G352="転出","",IF(K352&lt;&gt;"",K352,IF(OR(J352="",J352="要調整"),"",J352))))</f>
        <v/>
      </c>
      <c r="M352" s="50">
        <f>IF(P352="","",IF(OR(G352="転出",AND(計算用!$B$1=1,T352="")),"転出",IF(L352&lt;&gt;"","決定",IF(Q352="","未提出","要調整"))))</f>
        <v/>
      </c>
      <c r="N352" s="50">
        <f>IF(OR(M352&lt;&gt;"要調整",H352=""),"",IFERROR((INDEX(設定!$Q$8:$Q$27,MATCH(H352,設定!$P$8:$P$27,0))+N(INDEX(設定!$R$8:$R$27,MATCH(H352,設定!$P$8:$P$27,0))))-INDEX(定員チェック!$I$7:$I$26,MATCH(H352,設定!$P$8:$P$27,0))-COUNTIFS($M$7:$M$456,"要調整",$G$7:$G$456,H352),""))</f>
        <v/>
      </c>
      <c r="O352" s="50">
        <f>IF(OR(M352&lt;&gt;"要調整",I352=""),"",IFERROR((INDEX(設定!$Q$8:$Q$27,MATCH(I352,設定!$P$8:$P$27,0))+N(INDEX(設定!$R$8:$R$27,MATCH(I352,設定!$P$8:$P$27,0))))-INDEX(定員チェック!$I$7:$I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IF(R352="","",IFERROR(MATCH(R352,希望入力!$M$5:$M$554,0),""))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50">
        <f>IF(P353="","",INDEX(前年度名簿!$H$3:$H$452,P353))</f>
        <v/>
      </c>
      <c r="B353" s="50">
        <f>IF(P353="","",IFERROR(INDEX(設定!$G$8:$G$31,INT(INDEX(前年度名簿!$G$3:$G$452,P353)/1000)),INDEX(前年度名簿!$A$3:$A$452,P353)&amp;INDEX(前年度名簿!$B$3:$B$452,P353)))</f>
        <v/>
      </c>
      <c r="C353" s="50">
        <f>IF(P353="","",INDEX(前年度名簿!$C$3:$C$452,P353))</f>
        <v/>
      </c>
      <c r="D353" s="4">
        <f>IF(P353="","",INDEX(前年度名簿!$D$3:$D$452,P353))</f>
        <v/>
      </c>
      <c r="E353" s="50">
        <f>IF(T353="","",INDEX(新年度名簿!$K$3:$K$452,T353))</f>
        <v/>
      </c>
      <c r="F353" s="50">
        <f>IF(T353="","",INDEX(新年度名簿!$C$3:$C$452,T353))</f>
        <v/>
      </c>
      <c r="G353" s="50">
        <f>IF(Q353="","",INDEX(希望入力!$H$5:$H$554,Q353)&amp;"")</f>
        <v/>
      </c>
      <c r="H353" s="50">
        <f>IF(Q353="","",INDEX(希望入力!$I$5:$I$554,Q353)&amp;"")</f>
        <v/>
      </c>
      <c r="I353" s="50">
        <f>IF(Q353="","",INDEX(希望入力!$J$5:$J$554,Q353)&amp;"")</f>
        <v/>
      </c>
      <c r="J353" s="50">
        <f>IF(Q353="","",IF(G353="転出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)</f>
        <v/>
      </c>
      <c r="K353" s="49" t="n"/>
      <c r="L353" s="56">
        <f>IF(P353="","",IF(G353="転出","",IF(K353&lt;&gt;"",K353,IF(OR(J353="",J353="要調整"),"",J353))))</f>
        <v/>
      </c>
      <c r="M353" s="50">
        <f>IF(P353="","",IF(OR(G353="転出",AND(計算用!$B$1=1,T353="")),"転出",IF(L353&lt;&gt;"","決定",IF(Q353="","未提出","要調整"))))</f>
        <v/>
      </c>
      <c r="N353" s="50">
        <f>IF(OR(M353&lt;&gt;"要調整",H353=""),"",IFERROR((INDEX(設定!$Q$8:$Q$27,MATCH(H353,設定!$P$8:$P$27,0))+N(INDEX(設定!$R$8:$R$27,MATCH(H353,設定!$P$8:$P$27,0))))-INDEX(定員チェック!$I$7:$I$26,MATCH(H353,設定!$P$8:$P$27,0))-COUNTIFS($M$7:$M$456,"要調整",$G$7:$G$456,H353),""))</f>
        <v/>
      </c>
      <c r="O353" s="50">
        <f>IF(OR(M353&lt;&gt;"要調整",I353=""),"",IFERROR((INDEX(設定!$Q$8:$Q$27,MATCH(I353,設定!$P$8:$P$27,0))+N(INDEX(設定!$R$8:$R$27,MATCH(I353,設定!$P$8:$P$27,0))))-INDEX(定員チェック!$I$7:$I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IF(R353="","",IFERROR(MATCH(R353,希望入力!$M$5:$M$554,0),""))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50">
        <f>IF(P354="","",INDEX(前年度名簿!$H$3:$H$452,P354))</f>
        <v/>
      </c>
      <c r="B354" s="50">
        <f>IF(P354="","",IFERROR(INDEX(設定!$G$8:$G$31,INT(INDEX(前年度名簿!$G$3:$G$452,P354)/1000)),INDEX(前年度名簿!$A$3:$A$452,P354)&amp;INDEX(前年度名簿!$B$3:$B$452,P354)))</f>
        <v/>
      </c>
      <c r="C354" s="50">
        <f>IF(P354="","",INDEX(前年度名簿!$C$3:$C$452,P354))</f>
        <v/>
      </c>
      <c r="D354" s="4">
        <f>IF(P354="","",INDEX(前年度名簿!$D$3:$D$452,P354))</f>
        <v/>
      </c>
      <c r="E354" s="50">
        <f>IF(T354="","",INDEX(新年度名簿!$K$3:$K$452,T354))</f>
        <v/>
      </c>
      <c r="F354" s="50">
        <f>IF(T354="","",INDEX(新年度名簿!$C$3:$C$452,T354))</f>
        <v/>
      </c>
      <c r="G354" s="50">
        <f>IF(Q354="","",INDEX(希望入力!$H$5:$H$554,Q354)&amp;"")</f>
        <v/>
      </c>
      <c r="H354" s="50">
        <f>IF(Q354="","",INDEX(希望入力!$I$5:$I$554,Q354)&amp;"")</f>
        <v/>
      </c>
      <c r="I354" s="50">
        <f>IF(Q354="","",INDEX(希望入力!$J$5:$J$554,Q354)&amp;"")</f>
        <v/>
      </c>
      <c r="J354" s="50">
        <f>IF(Q354="","",IF(G354="転出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)</f>
        <v/>
      </c>
      <c r="K354" s="49" t="n"/>
      <c r="L354" s="56">
        <f>IF(P354="","",IF(G354="転出","",IF(K354&lt;&gt;"",K354,IF(OR(J354="",J354="要調整"),"",J354))))</f>
        <v/>
      </c>
      <c r="M354" s="50">
        <f>IF(P354="","",IF(OR(G354="転出",AND(計算用!$B$1=1,T354="")),"転出",IF(L354&lt;&gt;"","決定",IF(Q354="","未提出","要調整"))))</f>
        <v/>
      </c>
      <c r="N354" s="50">
        <f>IF(OR(M354&lt;&gt;"要調整",H354=""),"",IFERROR((INDEX(設定!$Q$8:$Q$27,MATCH(H354,設定!$P$8:$P$27,0))+N(INDEX(設定!$R$8:$R$27,MATCH(H354,設定!$P$8:$P$27,0))))-INDEX(定員チェック!$I$7:$I$26,MATCH(H354,設定!$P$8:$P$27,0))-COUNTIFS($M$7:$M$456,"要調整",$G$7:$G$456,H354),""))</f>
        <v/>
      </c>
      <c r="O354" s="50">
        <f>IF(OR(M354&lt;&gt;"要調整",I354=""),"",IFERROR((INDEX(設定!$Q$8:$Q$27,MATCH(I354,設定!$P$8:$P$27,0))+N(INDEX(設定!$R$8:$R$27,MATCH(I354,設定!$P$8:$P$27,0))))-INDEX(定員チェック!$I$7:$I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IF(R354="","",IFERROR(MATCH(R354,希望入力!$M$5:$M$554,0),""))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50">
        <f>IF(P355="","",INDEX(前年度名簿!$H$3:$H$452,P355))</f>
        <v/>
      </c>
      <c r="B355" s="50">
        <f>IF(P355="","",IFERROR(INDEX(設定!$G$8:$G$31,INT(INDEX(前年度名簿!$G$3:$G$452,P355)/1000)),INDEX(前年度名簿!$A$3:$A$452,P355)&amp;INDEX(前年度名簿!$B$3:$B$452,P355)))</f>
        <v/>
      </c>
      <c r="C355" s="50">
        <f>IF(P355="","",INDEX(前年度名簿!$C$3:$C$452,P355))</f>
        <v/>
      </c>
      <c r="D355" s="4">
        <f>IF(P355="","",INDEX(前年度名簿!$D$3:$D$452,P355))</f>
        <v/>
      </c>
      <c r="E355" s="50">
        <f>IF(T355="","",INDEX(新年度名簿!$K$3:$K$452,T355))</f>
        <v/>
      </c>
      <c r="F355" s="50">
        <f>IF(T355="","",INDEX(新年度名簿!$C$3:$C$452,T355))</f>
        <v/>
      </c>
      <c r="G355" s="50">
        <f>IF(Q355="","",INDEX(希望入力!$H$5:$H$554,Q355)&amp;"")</f>
        <v/>
      </c>
      <c r="H355" s="50">
        <f>IF(Q355="","",INDEX(希望入力!$I$5:$I$554,Q355)&amp;"")</f>
        <v/>
      </c>
      <c r="I355" s="50">
        <f>IF(Q355="","",INDEX(希望入力!$J$5:$J$554,Q355)&amp;"")</f>
        <v/>
      </c>
      <c r="J355" s="50">
        <f>IF(Q355="","",IF(G355="転出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)</f>
        <v/>
      </c>
      <c r="K355" s="49" t="n"/>
      <c r="L355" s="56">
        <f>IF(P355="","",IF(G355="転出","",IF(K355&lt;&gt;"",K355,IF(OR(J355="",J355="要調整"),"",J355))))</f>
        <v/>
      </c>
      <c r="M355" s="50">
        <f>IF(P355="","",IF(OR(G355="転出",AND(計算用!$B$1=1,T355="")),"転出",IF(L355&lt;&gt;"","決定",IF(Q355="","未提出","要調整"))))</f>
        <v/>
      </c>
      <c r="N355" s="50">
        <f>IF(OR(M355&lt;&gt;"要調整",H355=""),"",IFERROR((INDEX(設定!$Q$8:$Q$27,MATCH(H355,設定!$P$8:$P$27,0))+N(INDEX(設定!$R$8:$R$27,MATCH(H355,設定!$P$8:$P$27,0))))-INDEX(定員チェック!$I$7:$I$26,MATCH(H355,設定!$P$8:$P$27,0))-COUNTIFS($M$7:$M$456,"要調整",$G$7:$G$456,H355),""))</f>
        <v/>
      </c>
      <c r="O355" s="50">
        <f>IF(OR(M355&lt;&gt;"要調整",I355=""),"",IFERROR((INDEX(設定!$Q$8:$Q$27,MATCH(I355,設定!$P$8:$P$27,0))+N(INDEX(設定!$R$8:$R$27,MATCH(I355,設定!$P$8:$P$27,0))))-INDEX(定員チェック!$I$7:$I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IF(R355="","",IFERROR(MATCH(R355,希望入力!$M$5:$M$554,0),""))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50">
        <f>IF(P356="","",INDEX(前年度名簿!$H$3:$H$452,P356))</f>
        <v/>
      </c>
      <c r="B356" s="50">
        <f>IF(P356="","",IFERROR(INDEX(設定!$G$8:$G$31,INT(INDEX(前年度名簿!$G$3:$G$452,P356)/1000)),INDEX(前年度名簿!$A$3:$A$452,P356)&amp;INDEX(前年度名簿!$B$3:$B$452,P356)))</f>
        <v/>
      </c>
      <c r="C356" s="50">
        <f>IF(P356="","",INDEX(前年度名簿!$C$3:$C$452,P356))</f>
        <v/>
      </c>
      <c r="D356" s="4">
        <f>IF(P356="","",INDEX(前年度名簿!$D$3:$D$452,P356))</f>
        <v/>
      </c>
      <c r="E356" s="50">
        <f>IF(T356="","",INDEX(新年度名簿!$K$3:$K$452,T356))</f>
        <v/>
      </c>
      <c r="F356" s="50">
        <f>IF(T356="","",INDEX(新年度名簿!$C$3:$C$452,T356))</f>
        <v/>
      </c>
      <c r="G356" s="50">
        <f>IF(Q356="","",INDEX(希望入力!$H$5:$H$554,Q356)&amp;"")</f>
        <v/>
      </c>
      <c r="H356" s="50">
        <f>IF(Q356="","",INDEX(希望入力!$I$5:$I$554,Q356)&amp;"")</f>
        <v/>
      </c>
      <c r="I356" s="50">
        <f>IF(Q356="","",INDEX(希望入力!$J$5:$J$554,Q356)&amp;"")</f>
        <v/>
      </c>
      <c r="J356" s="50">
        <f>IF(Q356="","",IF(G356="転出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)</f>
        <v/>
      </c>
      <c r="K356" s="49" t="n"/>
      <c r="L356" s="56">
        <f>IF(P356="","",IF(G356="転出","",IF(K356&lt;&gt;"",K356,IF(OR(J356="",J356="要調整"),"",J356))))</f>
        <v/>
      </c>
      <c r="M356" s="50">
        <f>IF(P356="","",IF(OR(G356="転出",AND(計算用!$B$1=1,T356="")),"転出",IF(L356&lt;&gt;"","決定",IF(Q356="","未提出","要調整"))))</f>
        <v/>
      </c>
      <c r="N356" s="50">
        <f>IF(OR(M356&lt;&gt;"要調整",H356=""),"",IFERROR((INDEX(設定!$Q$8:$Q$27,MATCH(H356,設定!$P$8:$P$27,0))+N(INDEX(設定!$R$8:$R$27,MATCH(H356,設定!$P$8:$P$27,0))))-INDEX(定員チェック!$I$7:$I$26,MATCH(H356,設定!$P$8:$P$27,0))-COUNTIFS($M$7:$M$456,"要調整",$G$7:$G$456,H356),""))</f>
        <v/>
      </c>
      <c r="O356" s="50">
        <f>IF(OR(M356&lt;&gt;"要調整",I356=""),"",IFERROR((INDEX(設定!$Q$8:$Q$27,MATCH(I356,設定!$P$8:$P$27,0))+N(INDEX(設定!$R$8:$R$27,MATCH(I356,設定!$P$8:$P$27,0))))-INDEX(定員チェック!$I$7:$I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IF(R356="","",IFERROR(MATCH(R356,希望入力!$M$5:$M$554,0),""))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50">
        <f>IF(P357="","",INDEX(前年度名簿!$H$3:$H$452,P357))</f>
        <v/>
      </c>
      <c r="B357" s="50">
        <f>IF(P357="","",IFERROR(INDEX(設定!$G$8:$G$31,INT(INDEX(前年度名簿!$G$3:$G$452,P357)/1000)),INDEX(前年度名簿!$A$3:$A$452,P357)&amp;INDEX(前年度名簿!$B$3:$B$452,P357)))</f>
        <v/>
      </c>
      <c r="C357" s="50">
        <f>IF(P357="","",INDEX(前年度名簿!$C$3:$C$452,P357))</f>
        <v/>
      </c>
      <c r="D357" s="4">
        <f>IF(P357="","",INDEX(前年度名簿!$D$3:$D$452,P357))</f>
        <v/>
      </c>
      <c r="E357" s="50">
        <f>IF(T357="","",INDEX(新年度名簿!$K$3:$K$452,T357))</f>
        <v/>
      </c>
      <c r="F357" s="50">
        <f>IF(T357="","",INDEX(新年度名簿!$C$3:$C$452,T357))</f>
        <v/>
      </c>
      <c r="G357" s="50">
        <f>IF(Q357="","",INDEX(希望入力!$H$5:$H$554,Q357)&amp;"")</f>
        <v/>
      </c>
      <c r="H357" s="50">
        <f>IF(Q357="","",INDEX(希望入力!$I$5:$I$554,Q357)&amp;"")</f>
        <v/>
      </c>
      <c r="I357" s="50">
        <f>IF(Q357="","",INDEX(希望入力!$J$5:$J$554,Q357)&amp;"")</f>
        <v/>
      </c>
      <c r="J357" s="50">
        <f>IF(Q357="","",IF(G357="転出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)</f>
        <v/>
      </c>
      <c r="K357" s="49" t="n"/>
      <c r="L357" s="56">
        <f>IF(P357="","",IF(G357="転出","",IF(K357&lt;&gt;"",K357,IF(OR(J357="",J357="要調整"),"",J357))))</f>
        <v/>
      </c>
      <c r="M357" s="50">
        <f>IF(P357="","",IF(OR(G357="転出",AND(計算用!$B$1=1,T357="")),"転出",IF(L357&lt;&gt;"","決定",IF(Q357="","未提出","要調整"))))</f>
        <v/>
      </c>
      <c r="N357" s="50">
        <f>IF(OR(M357&lt;&gt;"要調整",H357=""),"",IFERROR((INDEX(設定!$Q$8:$Q$27,MATCH(H357,設定!$P$8:$P$27,0))+N(INDEX(設定!$R$8:$R$27,MATCH(H357,設定!$P$8:$P$27,0))))-INDEX(定員チェック!$I$7:$I$26,MATCH(H357,設定!$P$8:$P$27,0))-COUNTIFS($M$7:$M$456,"要調整",$G$7:$G$456,H357),""))</f>
        <v/>
      </c>
      <c r="O357" s="50">
        <f>IF(OR(M357&lt;&gt;"要調整",I357=""),"",IFERROR((INDEX(設定!$Q$8:$Q$27,MATCH(I357,設定!$P$8:$P$27,0))+N(INDEX(設定!$R$8:$R$27,MATCH(I357,設定!$P$8:$P$27,0))))-INDEX(定員チェック!$I$7:$I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IF(R357="","",IFERROR(MATCH(R357,希望入力!$M$5:$M$554,0),""))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50">
        <f>IF(P358="","",INDEX(前年度名簿!$H$3:$H$452,P358))</f>
        <v/>
      </c>
      <c r="B358" s="50">
        <f>IF(P358="","",IFERROR(INDEX(設定!$G$8:$G$31,INT(INDEX(前年度名簿!$G$3:$G$452,P358)/1000)),INDEX(前年度名簿!$A$3:$A$452,P358)&amp;INDEX(前年度名簿!$B$3:$B$452,P358)))</f>
        <v/>
      </c>
      <c r="C358" s="50">
        <f>IF(P358="","",INDEX(前年度名簿!$C$3:$C$452,P358))</f>
        <v/>
      </c>
      <c r="D358" s="4">
        <f>IF(P358="","",INDEX(前年度名簿!$D$3:$D$452,P358))</f>
        <v/>
      </c>
      <c r="E358" s="50">
        <f>IF(T358="","",INDEX(新年度名簿!$K$3:$K$452,T358))</f>
        <v/>
      </c>
      <c r="F358" s="50">
        <f>IF(T358="","",INDEX(新年度名簿!$C$3:$C$452,T358))</f>
        <v/>
      </c>
      <c r="G358" s="50">
        <f>IF(Q358="","",INDEX(希望入力!$H$5:$H$554,Q358)&amp;"")</f>
        <v/>
      </c>
      <c r="H358" s="50">
        <f>IF(Q358="","",INDEX(希望入力!$I$5:$I$554,Q358)&amp;"")</f>
        <v/>
      </c>
      <c r="I358" s="50">
        <f>IF(Q358="","",INDEX(希望入力!$J$5:$J$554,Q358)&amp;"")</f>
        <v/>
      </c>
      <c r="J358" s="50">
        <f>IF(Q358="","",IF(G358="転出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)</f>
        <v/>
      </c>
      <c r="K358" s="49" t="n"/>
      <c r="L358" s="56">
        <f>IF(P358="","",IF(G358="転出","",IF(K358&lt;&gt;"",K358,IF(OR(J358="",J358="要調整"),"",J358))))</f>
        <v/>
      </c>
      <c r="M358" s="50">
        <f>IF(P358="","",IF(OR(G358="転出",AND(計算用!$B$1=1,T358="")),"転出",IF(L358&lt;&gt;"","決定",IF(Q358="","未提出","要調整"))))</f>
        <v/>
      </c>
      <c r="N358" s="50">
        <f>IF(OR(M358&lt;&gt;"要調整",H358=""),"",IFERROR((INDEX(設定!$Q$8:$Q$27,MATCH(H358,設定!$P$8:$P$27,0))+N(INDEX(設定!$R$8:$R$27,MATCH(H358,設定!$P$8:$P$27,0))))-INDEX(定員チェック!$I$7:$I$26,MATCH(H358,設定!$P$8:$P$27,0))-COUNTIFS($M$7:$M$456,"要調整",$G$7:$G$456,H358),""))</f>
        <v/>
      </c>
      <c r="O358" s="50">
        <f>IF(OR(M358&lt;&gt;"要調整",I358=""),"",IFERROR((INDEX(設定!$Q$8:$Q$27,MATCH(I358,設定!$P$8:$P$27,0))+N(INDEX(設定!$R$8:$R$27,MATCH(I358,設定!$P$8:$P$27,0))))-INDEX(定員チェック!$I$7:$I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IF(R358="","",IFERROR(MATCH(R358,希望入力!$M$5:$M$554,0),""))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50">
        <f>IF(P359="","",INDEX(前年度名簿!$H$3:$H$452,P359))</f>
        <v/>
      </c>
      <c r="B359" s="50">
        <f>IF(P359="","",IFERROR(INDEX(設定!$G$8:$G$31,INT(INDEX(前年度名簿!$G$3:$G$452,P359)/1000)),INDEX(前年度名簿!$A$3:$A$452,P359)&amp;INDEX(前年度名簿!$B$3:$B$452,P359)))</f>
        <v/>
      </c>
      <c r="C359" s="50">
        <f>IF(P359="","",INDEX(前年度名簿!$C$3:$C$452,P359))</f>
        <v/>
      </c>
      <c r="D359" s="4">
        <f>IF(P359="","",INDEX(前年度名簿!$D$3:$D$452,P359))</f>
        <v/>
      </c>
      <c r="E359" s="50">
        <f>IF(T359="","",INDEX(新年度名簿!$K$3:$K$452,T359))</f>
        <v/>
      </c>
      <c r="F359" s="50">
        <f>IF(T359="","",INDEX(新年度名簿!$C$3:$C$452,T359))</f>
        <v/>
      </c>
      <c r="G359" s="50">
        <f>IF(Q359="","",INDEX(希望入力!$H$5:$H$554,Q359)&amp;"")</f>
        <v/>
      </c>
      <c r="H359" s="50">
        <f>IF(Q359="","",INDEX(希望入力!$I$5:$I$554,Q359)&amp;"")</f>
        <v/>
      </c>
      <c r="I359" s="50">
        <f>IF(Q359="","",INDEX(希望入力!$J$5:$J$554,Q359)&amp;"")</f>
        <v/>
      </c>
      <c r="J359" s="50">
        <f>IF(Q359="","",IF(G359="転出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)</f>
        <v/>
      </c>
      <c r="K359" s="49" t="n"/>
      <c r="L359" s="56">
        <f>IF(P359="","",IF(G359="転出","",IF(K359&lt;&gt;"",K359,IF(OR(J359="",J359="要調整"),"",J359))))</f>
        <v/>
      </c>
      <c r="M359" s="50">
        <f>IF(P359="","",IF(OR(G359="転出",AND(計算用!$B$1=1,T359="")),"転出",IF(L359&lt;&gt;"","決定",IF(Q359="","未提出","要調整"))))</f>
        <v/>
      </c>
      <c r="N359" s="50">
        <f>IF(OR(M359&lt;&gt;"要調整",H359=""),"",IFERROR((INDEX(設定!$Q$8:$Q$27,MATCH(H359,設定!$P$8:$P$27,0))+N(INDEX(設定!$R$8:$R$27,MATCH(H359,設定!$P$8:$P$27,0))))-INDEX(定員チェック!$I$7:$I$26,MATCH(H359,設定!$P$8:$P$27,0))-COUNTIFS($M$7:$M$456,"要調整",$G$7:$G$456,H359),""))</f>
        <v/>
      </c>
      <c r="O359" s="50">
        <f>IF(OR(M359&lt;&gt;"要調整",I359=""),"",IFERROR((INDEX(設定!$Q$8:$Q$27,MATCH(I359,設定!$P$8:$P$27,0))+N(INDEX(設定!$R$8:$R$27,MATCH(I359,設定!$P$8:$P$27,0))))-INDEX(定員チェック!$I$7:$I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IF(R359="","",IFERROR(MATCH(R359,希望入力!$M$5:$M$554,0),""))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50">
        <f>IF(P360="","",INDEX(前年度名簿!$H$3:$H$452,P360))</f>
        <v/>
      </c>
      <c r="B360" s="50">
        <f>IF(P360="","",IFERROR(INDEX(設定!$G$8:$G$31,INT(INDEX(前年度名簿!$G$3:$G$452,P360)/1000)),INDEX(前年度名簿!$A$3:$A$452,P360)&amp;INDEX(前年度名簿!$B$3:$B$452,P360)))</f>
        <v/>
      </c>
      <c r="C360" s="50">
        <f>IF(P360="","",INDEX(前年度名簿!$C$3:$C$452,P360))</f>
        <v/>
      </c>
      <c r="D360" s="4">
        <f>IF(P360="","",INDEX(前年度名簿!$D$3:$D$452,P360))</f>
        <v/>
      </c>
      <c r="E360" s="50">
        <f>IF(T360="","",INDEX(新年度名簿!$K$3:$K$452,T360))</f>
        <v/>
      </c>
      <c r="F360" s="50">
        <f>IF(T360="","",INDEX(新年度名簿!$C$3:$C$452,T360))</f>
        <v/>
      </c>
      <c r="G360" s="50">
        <f>IF(Q360="","",INDEX(希望入力!$H$5:$H$554,Q360)&amp;"")</f>
        <v/>
      </c>
      <c r="H360" s="50">
        <f>IF(Q360="","",INDEX(希望入力!$I$5:$I$554,Q360)&amp;"")</f>
        <v/>
      </c>
      <c r="I360" s="50">
        <f>IF(Q360="","",INDEX(希望入力!$J$5:$J$554,Q360)&amp;"")</f>
        <v/>
      </c>
      <c r="J360" s="50">
        <f>IF(Q360="","",IF(G360="転出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)</f>
        <v/>
      </c>
      <c r="K360" s="49" t="n"/>
      <c r="L360" s="56">
        <f>IF(P360="","",IF(G360="転出","",IF(K360&lt;&gt;"",K360,IF(OR(J360="",J360="要調整"),"",J360))))</f>
        <v/>
      </c>
      <c r="M360" s="50">
        <f>IF(P360="","",IF(OR(G360="転出",AND(計算用!$B$1=1,T360="")),"転出",IF(L360&lt;&gt;"","決定",IF(Q360="","未提出","要調整"))))</f>
        <v/>
      </c>
      <c r="N360" s="50">
        <f>IF(OR(M360&lt;&gt;"要調整",H360=""),"",IFERROR((INDEX(設定!$Q$8:$Q$27,MATCH(H360,設定!$P$8:$P$27,0))+N(INDEX(設定!$R$8:$R$27,MATCH(H360,設定!$P$8:$P$27,0))))-INDEX(定員チェック!$I$7:$I$26,MATCH(H360,設定!$P$8:$P$27,0))-COUNTIFS($M$7:$M$456,"要調整",$G$7:$G$456,H360),""))</f>
        <v/>
      </c>
      <c r="O360" s="50">
        <f>IF(OR(M360&lt;&gt;"要調整",I360=""),"",IFERROR((INDEX(設定!$Q$8:$Q$27,MATCH(I360,設定!$P$8:$P$27,0))+N(INDEX(設定!$R$8:$R$27,MATCH(I360,設定!$P$8:$P$27,0))))-INDEX(定員チェック!$I$7:$I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IF(R360="","",IFERROR(MATCH(R360,希望入力!$M$5:$M$554,0),""))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50">
        <f>IF(P361="","",INDEX(前年度名簿!$H$3:$H$452,P361))</f>
        <v/>
      </c>
      <c r="B361" s="50">
        <f>IF(P361="","",IFERROR(INDEX(設定!$G$8:$G$31,INT(INDEX(前年度名簿!$G$3:$G$452,P361)/1000)),INDEX(前年度名簿!$A$3:$A$452,P361)&amp;INDEX(前年度名簿!$B$3:$B$452,P361)))</f>
        <v/>
      </c>
      <c r="C361" s="50">
        <f>IF(P361="","",INDEX(前年度名簿!$C$3:$C$452,P361))</f>
        <v/>
      </c>
      <c r="D361" s="4">
        <f>IF(P361="","",INDEX(前年度名簿!$D$3:$D$452,P361))</f>
        <v/>
      </c>
      <c r="E361" s="50">
        <f>IF(T361="","",INDEX(新年度名簿!$K$3:$K$452,T361))</f>
        <v/>
      </c>
      <c r="F361" s="50">
        <f>IF(T361="","",INDEX(新年度名簿!$C$3:$C$452,T361))</f>
        <v/>
      </c>
      <c r="G361" s="50">
        <f>IF(Q361="","",INDEX(希望入力!$H$5:$H$554,Q361)&amp;"")</f>
        <v/>
      </c>
      <c r="H361" s="50">
        <f>IF(Q361="","",INDEX(希望入力!$I$5:$I$554,Q361)&amp;"")</f>
        <v/>
      </c>
      <c r="I361" s="50">
        <f>IF(Q361="","",INDEX(希望入力!$J$5:$J$554,Q361)&amp;"")</f>
        <v/>
      </c>
      <c r="J361" s="50">
        <f>IF(Q361="","",IF(G361="転出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)</f>
        <v/>
      </c>
      <c r="K361" s="49" t="n"/>
      <c r="L361" s="56">
        <f>IF(P361="","",IF(G361="転出","",IF(K361&lt;&gt;"",K361,IF(OR(J361="",J361="要調整"),"",J361))))</f>
        <v/>
      </c>
      <c r="M361" s="50">
        <f>IF(P361="","",IF(OR(G361="転出",AND(計算用!$B$1=1,T361="")),"転出",IF(L361&lt;&gt;"","決定",IF(Q361="","未提出","要調整"))))</f>
        <v/>
      </c>
      <c r="N361" s="50">
        <f>IF(OR(M361&lt;&gt;"要調整",H361=""),"",IFERROR((INDEX(設定!$Q$8:$Q$27,MATCH(H361,設定!$P$8:$P$27,0))+N(INDEX(設定!$R$8:$R$27,MATCH(H361,設定!$P$8:$P$27,0))))-INDEX(定員チェック!$I$7:$I$26,MATCH(H361,設定!$P$8:$P$27,0))-COUNTIFS($M$7:$M$456,"要調整",$G$7:$G$456,H361),""))</f>
        <v/>
      </c>
      <c r="O361" s="50">
        <f>IF(OR(M361&lt;&gt;"要調整",I361=""),"",IFERROR((INDEX(設定!$Q$8:$Q$27,MATCH(I361,設定!$P$8:$P$27,0))+N(INDEX(設定!$R$8:$R$27,MATCH(I361,設定!$P$8:$P$27,0))))-INDEX(定員チェック!$I$7:$I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IF(R361="","",IFERROR(MATCH(R361,希望入力!$M$5:$M$554,0),""))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50">
        <f>IF(P362="","",INDEX(前年度名簿!$H$3:$H$452,P362))</f>
        <v/>
      </c>
      <c r="B362" s="50">
        <f>IF(P362="","",IFERROR(INDEX(設定!$G$8:$G$31,INT(INDEX(前年度名簿!$G$3:$G$452,P362)/1000)),INDEX(前年度名簿!$A$3:$A$452,P362)&amp;INDEX(前年度名簿!$B$3:$B$452,P362)))</f>
        <v/>
      </c>
      <c r="C362" s="50">
        <f>IF(P362="","",INDEX(前年度名簿!$C$3:$C$452,P362))</f>
        <v/>
      </c>
      <c r="D362" s="4">
        <f>IF(P362="","",INDEX(前年度名簿!$D$3:$D$452,P362))</f>
        <v/>
      </c>
      <c r="E362" s="50">
        <f>IF(T362="","",INDEX(新年度名簿!$K$3:$K$452,T362))</f>
        <v/>
      </c>
      <c r="F362" s="50">
        <f>IF(T362="","",INDEX(新年度名簿!$C$3:$C$452,T362))</f>
        <v/>
      </c>
      <c r="G362" s="50">
        <f>IF(Q362="","",INDEX(希望入力!$H$5:$H$554,Q362)&amp;"")</f>
        <v/>
      </c>
      <c r="H362" s="50">
        <f>IF(Q362="","",INDEX(希望入力!$I$5:$I$554,Q362)&amp;"")</f>
        <v/>
      </c>
      <c r="I362" s="50">
        <f>IF(Q362="","",INDEX(希望入力!$J$5:$J$554,Q362)&amp;"")</f>
        <v/>
      </c>
      <c r="J362" s="50">
        <f>IF(Q362="","",IF(G362="転出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)</f>
        <v/>
      </c>
      <c r="K362" s="49" t="n"/>
      <c r="L362" s="56">
        <f>IF(P362="","",IF(G362="転出","",IF(K362&lt;&gt;"",K362,IF(OR(J362="",J362="要調整"),"",J362))))</f>
        <v/>
      </c>
      <c r="M362" s="50">
        <f>IF(P362="","",IF(OR(G362="転出",AND(計算用!$B$1=1,T362="")),"転出",IF(L362&lt;&gt;"","決定",IF(Q362="","未提出","要調整"))))</f>
        <v/>
      </c>
      <c r="N362" s="50">
        <f>IF(OR(M362&lt;&gt;"要調整",H362=""),"",IFERROR((INDEX(設定!$Q$8:$Q$27,MATCH(H362,設定!$P$8:$P$27,0))+N(INDEX(設定!$R$8:$R$27,MATCH(H362,設定!$P$8:$P$27,0))))-INDEX(定員チェック!$I$7:$I$26,MATCH(H362,設定!$P$8:$P$27,0))-COUNTIFS($M$7:$M$456,"要調整",$G$7:$G$456,H362),""))</f>
        <v/>
      </c>
      <c r="O362" s="50">
        <f>IF(OR(M362&lt;&gt;"要調整",I362=""),"",IFERROR((INDEX(設定!$Q$8:$Q$27,MATCH(I362,設定!$P$8:$P$27,0))+N(INDEX(設定!$R$8:$R$27,MATCH(I362,設定!$P$8:$P$27,0))))-INDEX(定員チェック!$I$7:$I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IF(R362="","",IFERROR(MATCH(R362,希望入力!$M$5:$M$554,0),""))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50">
        <f>IF(P363="","",INDEX(前年度名簿!$H$3:$H$452,P363))</f>
        <v/>
      </c>
      <c r="B363" s="50">
        <f>IF(P363="","",IFERROR(INDEX(設定!$G$8:$G$31,INT(INDEX(前年度名簿!$G$3:$G$452,P363)/1000)),INDEX(前年度名簿!$A$3:$A$452,P363)&amp;INDEX(前年度名簿!$B$3:$B$452,P363)))</f>
        <v/>
      </c>
      <c r="C363" s="50">
        <f>IF(P363="","",INDEX(前年度名簿!$C$3:$C$452,P363))</f>
        <v/>
      </c>
      <c r="D363" s="4">
        <f>IF(P363="","",INDEX(前年度名簿!$D$3:$D$452,P363))</f>
        <v/>
      </c>
      <c r="E363" s="50">
        <f>IF(T363="","",INDEX(新年度名簿!$K$3:$K$452,T363))</f>
        <v/>
      </c>
      <c r="F363" s="50">
        <f>IF(T363="","",INDEX(新年度名簿!$C$3:$C$452,T363))</f>
        <v/>
      </c>
      <c r="G363" s="50">
        <f>IF(Q363="","",INDEX(希望入力!$H$5:$H$554,Q363)&amp;"")</f>
        <v/>
      </c>
      <c r="H363" s="50">
        <f>IF(Q363="","",INDEX(希望入力!$I$5:$I$554,Q363)&amp;"")</f>
        <v/>
      </c>
      <c r="I363" s="50">
        <f>IF(Q363="","",INDEX(希望入力!$J$5:$J$554,Q363)&amp;"")</f>
        <v/>
      </c>
      <c r="J363" s="50">
        <f>IF(Q363="","",IF(G363="転出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)</f>
        <v/>
      </c>
      <c r="K363" s="49" t="n"/>
      <c r="L363" s="56">
        <f>IF(P363="","",IF(G363="転出","",IF(K363&lt;&gt;"",K363,IF(OR(J363="",J363="要調整"),"",J363))))</f>
        <v/>
      </c>
      <c r="M363" s="50">
        <f>IF(P363="","",IF(OR(G363="転出",AND(計算用!$B$1=1,T363="")),"転出",IF(L363&lt;&gt;"","決定",IF(Q363="","未提出","要調整"))))</f>
        <v/>
      </c>
      <c r="N363" s="50">
        <f>IF(OR(M363&lt;&gt;"要調整",H363=""),"",IFERROR((INDEX(設定!$Q$8:$Q$27,MATCH(H363,設定!$P$8:$P$27,0))+N(INDEX(設定!$R$8:$R$27,MATCH(H363,設定!$P$8:$P$27,0))))-INDEX(定員チェック!$I$7:$I$26,MATCH(H363,設定!$P$8:$P$27,0))-COUNTIFS($M$7:$M$456,"要調整",$G$7:$G$456,H363),""))</f>
        <v/>
      </c>
      <c r="O363" s="50">
        <f>IF(OR(M363&lt;&gt;"要調整",I363=""),"",IFERROR((INDEX(設定!$Q$8:$Q$27,MATCH(I363,設定!$P$8:$P$27,0))+N(INDEX(設定!$R$8:$R$27,MATCH(I363,設定!$P$8:$P$27,0))))-INDEX(定員チェック!$I$7:$I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IF(R363="","",IFERROR(MATCH(R363,希望入力!$M$5:$M$554,0),""))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50">
        <f>IF(P364="","",INDEX(前年度名簿!$H$3:$H$452,P364))</f>
        <v/>
      </c>
      <c r="B364" s="50">
        <f>IF(P364="","",IFERROR(INDEX(設定!$G$8:$G$31,INT(INDEX(前年度名簿!$G$3:$G$452,P364)/1000)),INDEX(前年度名簿!$A$3:$A$452,P364)&amp;INDEX(前年度名簿!$B$3:$B$452,P364)))</f>
        <v/>
      </c>
      <c r="C364" s="50">
        <f>IF(P364="","",INDEX(前年度名簿!$C$3:$C$452,P364))</f>
        <v/>
      </c>
      <c r="D364" s="4">
        <f>IF(P364="","",INDEX(前年度名簿!$D$3:$D$452,P364))</f>
        <v/>
      </c>
      <c r="E364" s="50">
        <f>IF(T364="","",INDEX(新年度名簿!$K$3:$K$452,T364))</f>
        <v/>
      </c>
      <c r="F364" s="50">
        <f>IF(T364="","",INDEX(新年度名簿!$C$3:$C$452,T364))</f>
        <v/>
      </c>
      <c r="G364" s="50">
        <f>IF(Q364="","",INDEX(希望入力!$H$5:$H$554,Q364)&amp;"")</f>
        <v/>
      </c>
      <c r="H364" s="50">
        <f>IF(Q364="","",INDEX(希望入力!$I$5:$I$554,Q364)&amp;"")</f>
        <v/>
      </c>
      <c r="I364" s="50">
        <f>IF(Q364="","",INDEX(希望入力!$J$5:$J$554,Q364)&amp;"")</f>
        <v/>
      </c>
      <c r="J364" s="50">
        <f>IF(Q364="","",IF(G364="転出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)</f>
        <v/>
      </c>
      <c r="K364" s="49" t="n"/>
      <c r="L364" s="56">
        <f>IF(P364="","",IF(G364="転出","",IF(K364&lt;&gt;"",K364,IF(OR(J364="",J364="要調整"),"",J364))))</f>
        <v/>
      </c>
      <c r="M364" s="50">
        <f>IF(P364="","",IF(OR(G364="転出",AND(計算用!$B$1=1,T364="")),"転出",IF(L364&lt;&gt;"","決定",IF(Q364="","未提出","要調整"))))</f>
        <v/>
      </c>
      <c r="N364" s="50">
        <f>IF(OR(M364&lt;&gt;"要調整",H364=""),"",IFERROR((INDEX(設定!$Q$8:$Q$27,MATCH(H364,設定!$P$8:$P$27,0))+N(INDEX(設定!$R$8:$R$27,MATCH(H364,設定!$P$8:$P$27,0))))-INDEX(定員チェック!$I$7:$I$26,MATCH(H364,設定!$P$8:$P$27,0))-COUNTIFS($M$7:$M$456,"要調整",$G$7:$G$456,H364),""))</f>
        <v/>
      </c>
      <c r="O364" s="50">
        <f>IF(OR(M364&lt;&gt;"要調整",I364=""),"",IFERROR((INDEX(設定!$Q$8:$Q$27,MATCH(I364,設定!$P$8:$P$27,0))+N(INDEX(設定!$R$8:$R$27,MATCH(I364,設定!$P$8:$P$27,0))))-INDEX(定員チェック!$I$7:$I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IF(R364="","",IFERROR(MATCH(R364,希望入力!$M$5:$M$554,0),""))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50">
        <f>IF(P365="","",INDEX(前年度名簿!$H$3:$H$452,P365))</f>
        <v/>
      </c>
      <c r="B365" s="50">
        <f>IF(P365="","",IFERROR(INDEX(設定!$G$8:$G$31,INT(INDEX(前年度名簿!$G$3:$G$452,P365)/1000)),INDEX(前年度名簿!$A$3:$A$452,P365)&amp;INDEX(前年度名簿!$B$3:$B$452,P365)))</f>
        <v/>
      </c>
      <c r="C365" s="50">
        <f>IF(P365="","",INDEX(前年度名簿!$C$3:$C$452,P365))</f>
        <v/>
      </c>
      <c r="D365" s="4">
        <f>IF(P365="","",INDEX(前年度名簿!$D$3:$D$452,P365))</f>
        <v/>
      </c>
      <c r="E365" s="50">
        <f>IF(T365="","",INDEX(新年度名簿!$K$3:$K$452,T365))</f>
        <v/>
      </c>
      <c r="F365" s="50">
        <f>IF(T365="","",INDEX(新年度名簿!$C$3:$C$452,T365))</f>
        <v/>
      </c>
      <c r="G365" s="50">
        <f>IF(Q365="","",INDEX(希望入力!$H$5:$H$554,Q365)&amp;"")</f>
        <v/>
      </c>
      <c r="H365" s="50">
        <f>IF(Q365="","",INDEX(希望入力!$I$5:$I$554,Q365)&amp;"")</f>
        <v/>
      </c>
      <c r="I365" s="50">
        <f>IF(Q365="","",INDEX(希望入力!$J$5:$J$554,Q365)&amp;"")</f>
        <v/>
      </c>
      <c r="J365" s="50">
        <f>IF(Q365="","",IF(G365="転出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)</f>
        <v/>
      </c>
      <c r="K365" s="49" t="n"/>
      <c r="L365" s="56">
        <f>IF(P365="","",IF(G365="転出","",IF(K365&lt;&gt;"",K365,IF(OR(J365="",J365="要調整"),"",J365))))</f>
        <v/>
      </c>
      <c r="M365" s="50">
        <f>IF(P365="","",IF(OR(G365="転出",AND(計算用!$B$1=1,T365="")),"転出",IF(L365&lt;&gt;"","決定",IF(Q365="","未提出","要調整"))))</f>
        <v/>
      </c>
      <c r="N365" s="50">
        <f>IF(OR(M365&lt;&gt;"要調整",H365=""),"",IFERROR((INDEX(設定!$Q$8:$Q$27,MATCH(H365,設定!$P$8:$P$27,0))+N(INDEX(設定!$R$8:$R$27,MATCH(H365,設定!$P$8:$P$27,0))))-INDEX(定員チェック!$I$7:$I$26,MATCH(H365,設定!$P$8:$P$27,0))-COUNTIFS($M$7:$M$456,"要調整",$G$7:$G$456,H365),""))</f>
        <v/>
      </c>
      <c r="O365" s="50">
        <f>IF(OR(M365&lt;&gt;"要調整",I365=""),"",IFERROR((INDEX(設定!$Q$8:$Q$27,MATCH(I365,設定!$P$8:$P$27,0))+N(INDEX(設定!$R$8:$R$27,MATCH(I365,設定!$P$8:$P$27,0))))-INDEX(定員チェック!$I$7:$I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IF(R365="","",IFERROR(MATCH(R365,希望入力!$M$5:$M$554,0),""))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50">
        <f>IF(P366="","",INDEX(前年度名簿!$H$3:$H$452,P366))</f>
        <v/>
      </c>
      <c r="B366" s="50">
        <f>IF(P366="","",IFERROR(INDEX(設定!$G$8:$G$31,INT(INDEX(前年度名簿!$G$3:$G$452,P366)/1000)),INDEX(前年度名簿!$A$3:$A$452,P366)&amp;INDEX(前年度名簿!$B$3:$B$452,P366)))</f>
        <v/>
      </c>
      <c r="C366" s="50">
        <f>IF(P366="","",INDEX(前年度名簿!$C$3:$C$452,P366))</f>
        <v/>
      </c>
      <c r="D366" s="4">
        <f>IF(P366="","",INDEX(前年度名簿!$D$3:$D$452,P366))</f>
        <v/>
      </c>
      <c r="E366" s="50">
        <f>IF(T366="","",INDEX(新年度名簿!$K$3:$K$452,T366))</f>
        <v/>
      </c>
      <c r="F366" s="50">
        <f>IF(T366="","",INDEX(新年度名簿!$C$3:$C$452,T366))</f>
        <v/>
      </c>
      <c r="G366" s="50">
        <f>IF(Q366="","",INDEX(希望入力!$H$5:$H$554,Q366)&amp;"")</f>
        <v/>
      </c>
      <c r="H366" s="50">
        <f>IF(Q366="","",INDEX(希望入力!$I$5:$I$554,Q366)&amp;"")</f>
        <v/>
      </c>
      <c r="I366" s="50">
        <f>IF(Q366="","",INDEX(希望入力!$J$5:$J$554,Q366)&amp;"")</f>
        <v/>
      </c>
      <c r="J366" s="50">
        <f>IF(Q366="","",IF(G366="転出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)</f>
        <v/>
      </c>
      <c r="K366" s="49" t="n"/>
      <c r="L366" s="56">
        <f>IF(P366="","",IF(G366="転出","",IF(K366&lt;&gt;"",K366,IF(OR(J366="",J366="要調整"),"",J366))))</f>
        <v/>
      </c>
      <c r="M366" s="50">
        <f>IF(P366="","",IF(OR(G366="転出",AND(計算用!$B$1=1,T366="")),"転出",IF(L366&lt;&gt;"","決定",IF(Q366="","未提出","要調整"))))</f>
        <v/>
      </c>
      <c r="N366" s="50">
        <f>IF(OR(M366&lt;&gt;"要調整",H366=""),"",IFERROR((INDEX(設定!$Q$8:$Q$27,MATCH(H366,設定!$P$8:$P$27,0))+N(INDEX(設定!$R$8:$R$27,MATCH(H366,設定!$P$8:$P$27,0))))-INDEX(定員チェック!$I$7:$I$26,MATCH(H366,設定!$P$8:$P$27,0))-COUNTIFS($M$7:$M$456,"要調整",$G$7:$G$456,H366),""))</f>
        <v/>
      </c>
      <c r="O366" s="50">
        <f>IF(OR(M366&lt;&gt;"要調整",I366=""),"",IFERROR((INDEX(設定!$Q$8:$Q$27,MATCH(I366,設定!$P$8:$P$27,0))+N(INDEX(設定!$R$8:$R$27,MATCH(I366,設定!$P$8:$P$27,0))))-INDEX(定員チェック!$I$7:$I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IF(R366="","",IFERROR(MATCH(R366,希望入力!$M$5:$M$554,0),""))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50">
        <f>IF(P367="","",INDEX(前年度名簿!$H$3:$H$452,P367))</f>
        <v/>
      </c>
      <c r="B367" s="50">
        <f>IF(P367="","",IFERROR(INDEX(設定!$G$8:$G$31,INT(INDEX(前年度名簿!$G$3:$G$452,P367)/1000)),INDEX(前年度名簿!$A$3:$A$452,P367)&amp;INDEX(前年度名簿!$B$3:$B$452,P367)))</f>
        <v/>
      </c>
      <c r="C367" s="50">
        <f>IF(P367="","",INDEX(前年度名簿!$C$3:$C$452,P367))</f>
        <v/>
      </c>
      <c r="D367" s="4">
        <f>IF(P367="","",INDEX(前年度名簿!$D$3:$D$452,P367))</f>
        <v/>
      </c>
      <c r="E367" s="50">
        <f>IF(T367="","",INDEX(新年度名簿!$K$3:$K$452,T367))</f>
        <v/>
      </c>
      <c r="F367" s="50">
        <f>IF(T367="","",INDEX(新年度名簿!$C$3:$C$452,T367))</f>
        <v/>
      </c>
      <c r="G367" s="50">
        <f>IF(Q367="","",INDEX(希望入力!$H$5:$H$554,Q367)&amp;"")</f>
        <v/>
      </c>
      <c r="H367" s="50">
        <f>IF(Q367="","",INDEX(希望入力!$I$5:$I$554,Q367)&amp;"")</f>
        <v/>
      </c>
      <c r="I367" s="50">
        <f>IF(Q367="","",INDEX(希望入力!$J$5:$J$554,Q367)&amp;"")</f>
        <v/>
      </c>
      <c r="J367" s="50">
        <f>IF(Q367="","",IF(G367="転出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)</f>
        <v/>
      </c>
      <c r="K367" s="49" t="n"/>
      <c r="L367" s="56">
        <f>IF(P367="","",IF(G367="転出","",IF(K367&lt;&gt;"",K367,IF(OR(J367="",J367="要調整"),"",J367))))</f>
        <v/>
      </c>
      <c r="M367" s="50">
        <f>IF(P367="","",IF(OR(G367="転出",AND(計算用!$B$1=1,T367="")),"転出",IF(L367&lt;&gt;"","決定",IF(Q367="","未提出","要調整"))))</f>
        <v/>
      </c>
      <c r="N367" s="50">
        <f>IF(OR(M367&lt;&gt;"要調整",H367=""),"",IFERROR((INDEX(設定!$Q$8:$Q$27,MATCH(H367,設定!$P$8:$P$27,0))+N(INDEX(設定!$R$8:$R$27,MATCH(H367,設定!$P$8:$P$27,0))))-INDEX(定員チェック!$I$7:$I$26,MATCH(H367,設定!$P$8:$P$27,0))-COUNTIFS($M$7:$M$456,"要調整",$G$7:$G$456,H367),""))</f>
        <v/>
      </c>
      <c r="O367" s="50">
        <f>IF(OR(M367&lt;&gt;"要調整",I367=""),"",IFERROR((INDEX(設定!$Q$8:$Q$27,MATCH(I367,設定!$P$8:$P$27,0))+N(INDEX(設定!$R$8:$R$27,MATCH(I367,設定!$P$8:$P$27,0))))-INDEX(定員チェック!$I$7:$I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IF(R367="","",IFERROR(MATCH(R367,希望入力!$M$5:$M$554,0),""))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50">
        <f>IF(P368="","",INDEX(前年度名簿!$H$3:$H$452,P368))</f>
        <v/>
      </c>
      <c r="B368" s="50">
        <f>IF(P368="","",IFERROR(INDEX(設定!$G$8:$G$31,INT(INDEX(前年度名簿!$G$3:$G$452,P368)/1000)),INDEX(前年度名簿!$A$3:$A$452,P368)&amp;INDEX(前年度名簿!$B$3:$B$452,P368)))</f>
        <v/>
      </c>
      <c r="C368" s="50">
        <f>IF(P368="","",INDEX(前年度名簿!$C$3:$C$452,P368))</f>
        <v/>
      </c>
      <c r="D368" s="4">
        <f>IF(P368="","",INDEX(前年度名簿!$D$3:$D$452,P368))</f>
        <v/>
      </c>
      <c r="E368" s="50">
        <f>IF(T368="","",INDEX(新年度名簿!$K$3:$K$452,T368))</f>
        <v/>
      </c>
      <c r="F368" s="50">
        <f>IF(T368="","",INDEX(新年度名簿!$C$3:$C$452,T368))</f>
        <v/>
      </c>
      <c r="G368" s="50">
        <f>IF(Q368="","",INDEX(希望入力!$H$5:$H$554,Q368)&amp;"")</f>
        <v/>
      </c>
      <c r="H368" s="50">
        <f>IF(Q368="","",INDEX(希望入力!$I$5:$I$554,Q368)&amp;"")</f>
        <v/>
      </c>
      <c r="I368" s="50">
        <f>IF(Q368="","",INDEX(希望入力!$J$5:$J$554,Q368)&amp;"")</f>
        <v/>
      </c>
      <c r="J368" s="50">
        <f>IF(Q368="","",IF(G368="転出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)</f>
        <v/>
      </c>
      <c r="K368" s="49" t="n"/>
      <c r="L368" s="56">
        <f>IF(P368="","",IF(G368="転出","",IF(K368&lt;&gt;"",K368,IF(OR(J368="",J368="要調整"),"",J368))))</f>
        <v/>
      </c>
      <c r="M368" s="50">
        <f>IF(P368="","",IF(OR(G368="転出",AND(計算用!$B$1=1,T368="")),"転出",IF(L368&lt;&gt;"","決定",IF(Q368="","未提出","要調整"))))</f>
        <v/>
      </c>
      <c r="N368" s="50">
        <f>IF(OR(M368&lt;&gt;"要調整",H368=""),"",IFERROR((INDEX(設定!$Q$8:$Q$27,MATCH(H368,設定!$P$8:$P$27,0))+N(INDEX(設定!$R$8:$R$27,MATCH(H368,設定!$P$8:$P$27,0))))-INDEX(定員チェック!$I$7:$I$26,MATCH(H368,設定!$P$8:$P$27,0))-COUNTIFS($M$7:$M$456,"要調整",$G$7:$G$456,H368),""))</f>
        <v/>
      </c>
      <c r="O368" s="50">
        <f>IF(OR(M368&lt;&gt;"要調整",I368=""),"",IFERROR((INDEX(設定!$Q$8:$Q$27,MATCH(I368,設定!$P$8:$P$27,0))+N(INDEX(設定!$R$8:$R$27,MATCH(I368,設定!$P$8:$P$27,0))))-INDEX(定員チェック!$I$7:$I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IF(R368="","",IFERROR(MATCH(R368,希望入力!$M$5:$M$554,0),""))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50">
        <f>IF(P369="","",INDEX(前年度名簿!$H$3:$H$452,P369))</f>
        <v/>
      </c>
      <c r="B369" s="50">
        <f>IF(P369="","",IFERROR(INDEX(設定!$G$8:$G$31,INT(INDEX(前年度名簿!$G$3:$G$452,P369)/1000)),INDEX(前年度名簿!$A$3:$A$452,P369)&amp;INDEX(前年度名簿!$B$3:$B$452,P369)))</f>
        <v/>
      </c>
      <c r="C369" s="50">
        <f>IF(P369="","",INDEX(前年度名簿!$C$3:$C$452,P369))</f>
        <v/>
      </c>
      <c r="D369" s="4">
        <f>IF(P369="","",INDEX(前年度名簿!$D$3:$D$452,P369))</f>
        <v/>
      </c>
      <c r="E369" s="50">
        <f>IF(T369="","",INDEX(新年度名簿!$K$3:$K$452,T369))</f>
        <v/>
      </c>
      <c r="F369" s="50">
        <f>IF(T369="","",INDEX(新年度名簿!$C$3:$C$452,T369))</f>
        <v/>
      </c>
      <c r="G369" s="50">
        <f>IF(Q369="","",INDEX(希望入力!$H$5:$H$554,Q369)&amp;"")</f>
        <v/>
      </c>
      <c r="H369" s="50">
        <f>IF(Q369="","",INDEX(希望入力!$I$5:$I$554,Q369)&amp;"")</f>
        <v/>
      </c>
      <c r="I369" s="50">
        <f>IF(Q369="","",INDEX(希望入力!$J$5:$J$554,Q369)&amp;"")</f>
        <v/>
      </c>
      <c r="J369" s="50">
        <f>IF(Q369="","",IF(G369="転出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)</f>
        <v/>
      </c>
      <c r="K369" s="49" t="n"/>
      <c r="L369" s="56">
        <f>IF(P369="","",IF(G369="転出","",IF(K369&lt;&gt;"",K369,IF(OR(J369="",J369="要調整"),"",J369))))</f>
        <v/>
      </c>
      <c r="M369" s="50">
        <f>IF(P369="","",IF(OR(G369="転出",AND(計算用!$B$1=1,T369="")),"転出",IF(L369&lt;&gt;"","決定",IF(Q369="","未提出","要調整"))))</f>
        <v/>
      </c>
      <c r="N369" s="50">
        <f>IF(OR(M369&lt;&gt;"要調整",H369=""),"",IFERROR((INDEX(設定!$Q$8:$Q$27,MATCH(H369,設定!$P$8:$P$27,0))+N(INDEX(設定!$R$8:$R$27,MATCH(H369,設定!$P$8:$P$27,0))))-INDEX(定員チェック!$I$7:$I$26,MATCH(H369,設定!$P$8:$P$27,0))-COUNTIFS($M$7:$M$456,"要調整",$G$7:$G$456,H369),""))</f>
        <v/>
      </c>
      <c r="O369" s="50">
        <f>IF(OR(M369&lt;&gt;"要調整",I369=""),"",IFERROR((INDEX(設定!$Q$8:$Q$27,MATCH(I369,設定!$P$8:$P$27,0))+N(INDEX(設定!$R$8:$R$27,MATCH(I369,設定!$P$8:$P$27,0))))-INDEX(定員チェック!$I$7:$I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IF(R369="","",IFERROR(MATCH(R369,希望入力!$M$5:$M$554,0),""))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50">
        <f>IF(P370="","",INDEX(前年度名簿!$H$3:$H$452,P370))</f>
        <v/>
      </c>
      <c r="B370" s="50">
        <f>IF(P370="","",IFERROR(INDEX(設定!$G$8:$G$31,INT(INDEX(前年度名簿!$G$3:$G$452,P370)/1000)),INDEX(前年度名簿!$A$3:$A$452,P370)&amp;INDEX(前年度名簿!$B$3:$B$452,P370)))</f>
        <v/>
      </c>
      <c r="C370" s="50">
        <f>IF(P370="","",INDEX(前年度名簿!$C$3:$C$452,P370))</f>
        <v/>
      </c>
      <c r="D370" s="4">
        <f>IF(P370="","",INDEX(前年度名簿!$D$3:$D$452,P370))</f>
        <v/>
      </c>
      <c r="E370" s="50">
        <f>IF(T370="","",INDEX(新年度名簿!$K$3:$K$452,T370))</f>
        <v/>
      </c>
      <c r="F370" s="50">
        <f>IF(T370="","",INDEX(新年度名簿!$C$3:$C$452,T370))</f>
        <v/>
      </c>
      <c r="G370" s="50">
        <f>IF(Q370="","",INDEX(希望入力!$H$5:$H$554,Q370)&amp;"")</f>
        <v/>
      </c>
      <c r="H370" s="50">
        <f>IF(Q370="","",INDEX(希望入力!$I$5:$I$554,Q370)&amp;"")</f>
        <v/>
      </c>
      <c r="I370" s="50">
        <f>IF(Q370="","",INDEX(希望入力!$J$5:$J$554,Q370)&amp;"")</f>
        <v/>
      </c>
      <c r="J370" s="50">
        <f>IF(Q370="","",IF(G370="転出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)</f>
        <v/>
      </c>
      <c r="K370" s="49" t="n"/>
      <c r="L370" s="56">
        <f>IF(P370="","",IF(G370="転出","",IF(K370&lt;&gt;"",K370,IF(OR(J370="",J370="要調整"),"",J370))))</f>
        <v/>
      </c>
      <c r="M370" s="50">
        <f>IF(P370="","",IF(OR(G370="転出",AND(計算用!$B$1=1,T370="")),"転出",IF(L370&lt;&gt;"","決定",IF(Q370="","未提出","要調整"))))</f>
        <v/>
      </c>
      <c r="N370" s="50">
        <f>IF(OR(M370&lt;&gt;"要調整",H370=""),"",IFERROR((INDEX(設定!$Q$8:$Q$27,MATCH(H370,設定!$P$8:$P$27,0))+N(INDEX(設定!$R$8:$R$27,MATCH(H370,設定!$P$8:$P$27,0))))-INDEX(定員チェック!$I$7:$I$26,MATCH(H370,設定!$P$8:$P$27,0))-COUNTIFS($M$7:$M$456,"要調整",$G$7:$G$456,H370),""))</f>
        <v/>
      </c>
      <c r="O370" s="50">
        <f>IF(OR(M370&lt;&gt;"要調整",I370=""),"",IFERROR((INDEX(設定!$Q$8:$Q$27,MATCH(I370,設定!$P$8:$P$27,0))+N(INDEX(設定!$R$8:$R$27,MATCH(I370,設定!$P$8:$P$27,0))))-INDEX(定員チェック!$I$7:$I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IF(R370="","",IFERROR(MATCH(R370,希望入力!$M$5:$M$554,0),""))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50">
        <f>IF(P371="","",INDEX(前年度名簿!$H$3:$H$452,P371))</f>
        <v/>
      </c>
      <c r="B371" s="50">
        <f>IF(P371="","",IFERROR(INDEX(設定!$G$8:$G$31,INT(INDEX(前年度名簿!$G$3:$G$452,P371)/1000)),INDEX(前年度名簿!$A$3:$A$452,P371)&amp;INDEX(前年度名簿!$B$3:$B$452,P371)))</f>
        <v/>
      </c>
      <c r="C371" s="50">
        <f>IF(P371="","",INDEX(前年度名簿!$C$3:$C$452,P371))</f>
        <v/>
      </c>
      <c r="D371" s="4">
        <f>IF(P371="","",INDEX(前年度名簿!$D$3:$D$452,P371))</f>
        <v/>
      </c>
      <c r="E371" s="50">
        <f>IF(T371="","",INDEX(新年度名簿!$K$3:$K$452,T371))</f>
        <v/>
      </c>
      <c r="F371" s="50">
        <f>IF(T371="","",INDEX(新年度名簿!$C$3:$C$452,T371))</f>
        <v/>
      </c>
      <c r="G371" s="50">
        <f>IF(Q371="","",INDEX(希望入力!$H$5:$H$554,Q371)&amp;"")</f>
        <v/>
      </c>
      <c r="H371" s="50">
        <f>IF(Q371="","",INDEX(希望入力!$I$5:$I$554,Q371)&amp;"")</f>
        <v/>
      </c>
      <c r="I371" s="50">
        <f>IF(Q371="","",INDEX(希望入力!$J$5:$J$554,Q371)&amp;"")</f>
        <v/>
      </c>
      <c r="J371" s="50">
        <f>IF(Q371="","",IF(G371="転出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)</f>
        <v/>
      </c>
      <c r="K371" s="49" t="n"/>
      <c r="L371" s="56">
        <f>IF(P371="","",IF(G371="転出","",IF(K371&lt;&gt;"",K371,IF(OR(J371="",J371="要調整"),"",J371))))</f>
        <v/>
      </c>
      <c r="M371" s="50">
        <f>IF(P371="","",IF(OR(G371="転出",AND(計算用!$B$1=1,T371="")),"転出",IF(L371&lt;&gt;"","決定",IF(Q371="","未提出","要調整"))))</f>
        <v/>
      </c>
      <c r="N371" s="50">
        <f>IF(OR(M371&lt;&gt;"要調整",H371=""),"",IFERROR((INDEX(設定!$Q$8:$Q$27,MATCH(H371,設定!$P$8:$P$27,0))+N(INDEX(設定!$R$8:$R$27,MATCH(H371,設定!$P$8:$P$27,0))))-INDEX(定員チェック!$I$7:$I$26,MATCH(H371,設定!$P$8:$P$27,0))-COUNTIFS($M$7:$M$456,"要調整",$G$7:$G$456,H371),""))</f>
        <v/>
      </c>
      <c r="O371" s="50">
        <f>IF(OR(M371&lt;&gt;"要調整",I371=""),"",IFERROR((INDEX(設定!$Q$8:$Q$27,MATCH(I371,設定!$P$8:$P$27,0))+N(INDEX(設定!$R$8:$R$27,MATCH(I371,設定!$P$8:$P$27,0))))-INDEX(定員チェック!$I$7:$I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IF(R371="","",IFERROR(MATCH(R371,希望入力!$M$5:$M$554,0),""))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50">
        <f>IF(P372="","",INDEX(前年度名簿!$H$3:$H$452,P372))</f>
        <v/>
      </c>
      <c r="B372" s="50">
        <f>IF(P372="","",IFERROR(INDEX(設定!$G$8:$G$31,INT(INDEX(前年度名簿!$G$3:$G$452,P372)/1000)),INDEX(前年度名簿!$A$3:$A$452,P372)&amp;INDEX(前年度名簿!$B$3:$B$452,P372)))</f>
        <v/>
      </c>
      <c r="C372" s="50">
        <f>IF(P372="","",INDEX(前年度名簿!$C$3:$C$452,P372))</f>
        <v/>
      </c>
      <c r="D372" s="4">
        <f>IF(P372="","",INDEX(前年度名簿!$D$3:$D$452,P372))</f>
        <v/>
      </c>
      <c r="E372" s="50">
        <f>IF(T372="","",INDEX(新年度名簿!$K$3:$K$452,T372))</f>
        <v/>
      </c>
      <c r="F372" s="50">
        <f>IF(T372="","",INDEX(新年度名簿!$C$3:$C$452,T372))</f>
        <v/>
      </c>
      <c r="G372" s="50">
        <f>IF(Q372="","",INDEX(希望入力!$H$5:$H$554,Q372)&amp;"")</f>
        <v/>
      </c>
      <c r="H372" s="50">
        <f>IF(Q372="","",INDEX(希望入力!$I$5:$I$554,Q372)&amp;"")</f>
        <v/>
      </c>
      <c r="I372" s="50">
        <f>IF(Q372="","",INDEX(希望入力!$J$5:$J$554,Q372)&amp;"")</f>
        <v/>
      </c>
      <c r="J372" s="50">
        <f>IF(Q372="","",IF(G372="転出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)</f>
        <v/>
      </c>
      <c r="K372" s="49" t="n"/>
      <c r="L372" s="56">
        <f>IF(P372="","",IF(G372="転出","",IF(K372&lt;&gt;"",K372,IF(OR(J372="",J372="要調整"),"",J372))))</f>
        <v/>
      </c>
      <c r="M372" s="50">
        <f>IF(P372="","",IF(OR(G372="転出",AND(計算用!$B$1=1,T372="")),"転出",IF(L372&lt;&gt;"","決定",IF(Q372="","未提出","要調整"))))</f>
        <v/>
      </c>
      <c r="N372" s="50">
        <f>IF(OR(M372&lt;&gt;"要調整",H372=""),"",IFERROR((INDEX(設定!$Q$8:$Q$27,MATCH(H372,設定!$P$8:$P$27,0))+N(INDEX(設定!$R$8:$R$27,MATCH(H372,設定!$P$8:$P$27,0))))-INDEX(定員チェック!$I$7:$I$26,MATCH(H372,設定!$P$8:$P$27,0))-COUNTIFS($M$7:$M$456,"要調整",$G$7:$G$456,H372),""))</f>
        <v/>
      </c>
      <c r="O372" s="50">
        <f>IF(OR(M372&lt;&gt;"要調整",I372=""),"",IFERROR((INDEX(設定!$Q$8:$Q$27,MATCH(I372,設定!$P$8:$P$27,0))+N(INDEX(設定!$R$8:$R$27,MATCH(I372,設定!$P$8:$P$27,0))))-INDEX(定員チェック!$I$7:$I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IF(R372="","",IFERROR(MATCH(R372,希望入力!$M$5:$M$554,0),""))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50">
        <f>IF(P373="","",INDEX(前年度名簿!$H$3:$H$452,P373))</f>
        <v/>
      </c>
      <c r="B373" s="50">
        <f>IF(P373="","",IFERROR(INDEX(設定!$G$8:$G$31,INT(INDEX(前年度名簿!$G$3:$G$452,P373)/1000)),INDEX(前年度名簿!$A$3:$A$452,P373)&amp;INDEX(前年度名簿!$B$3:$B$452,P373)))</f>
        <v/>
      </c>
      <c r="C373" s="50">
        <f>IF(P373="","",INDEX(前年度名簿!$C$3:$C$452,P373))</f>
        <v/>
      </c>
      <c r="D373" s="4">
        <f>IF(P373="","",INDEX(前年度名簿!$D$3:$D$452,P373))</f>
        <v/>
      </c>
      <c r="E373" s="50">
        <f>IF(T373="","",INDEX(新年度名簿!$K$3:$K$452,T373))</f>
        <v/>
      </c>
      <c r="F373" s="50">
        <f>IF(T373="","",INDEX(新年度名簿!$C$3:$C$452,T373))</f>
        <v/>
      </c>
      <c r="G373" s="50">
        <f>IF(Q373="","",INDEX(希望入力!$H$5:$H$554,Q373)&amp;"")</f>
        <v/>
      </c>
      <c r="H373" s="50">
        <f>IF(Q373="","",INDEX(希望入力!$I$5:$I$554,Q373)&amp;"")</f>
        <v/>
      </c>
      <c r="I373" s="50">
        <f>IF(Q373="","",INDEX(希望入力!$J$5:$J$554,Q373)&amp;"")</f>
        <v/>
      </c>
      <c r="J373" s="50">
        <f>IF(Q373="","",IF(G373="転出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)</f>
        <v/>
      </c>
      <c r="K373" s="49" t="n"/>
      <c r="L373" s="56">
        <f>IF(P373="","",IF(G373="転出","",IF(K373&lt;&gt;"",K373,IF(OR(J373="",J373="要調整"),"",J373))))</f>
        <v/>
      </c>
      <c r="M373" s="50">
        <f>IF(P373="","",IF(OR(G373="転出",AND(計算用!$B$1=1,T373="")),"転出",IF(L373&lt;&gt;"","決定",IF(Q373="","未提出","要調整"))))</f>
        <v/>
      </c>
      <c r="N373" s="50">
        <f>IF(OR(M373&lt;&gt;"要調整",H373=""),"",IFERROR((INDEX(設定!$Q$8:$Q$27,MATCH(H373,設定!$P$8:$P$27,0))+N(INDEX(設定!$R$8:$R$27,MATCH(H373,設定!$P$8:$P$27,0))))-INDEX(定員チェック!$I$7:$I$26,MATCH(H373,設定!$P$8:$P$27,0))-COUNTIFS($M$7:$M$456,"要調整",$G$7:$G$456,H373),""))</f>
        <v/>
      </c>
      <c r="O373" s="50">
        <f>IF(OR(M373&lt;&gt;"要調整",I373=""),"",IFERROR((INDEX(設定!$Q$8:$Q$27,MATCH(I373,設定!$P$8:$P$27,0))+N(INDEX(設定!$R$8:$R$27,MATCH(I373,設定!$P$8:$P$27,0))))-INDEX(定員チェック!$I$7:$I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IF(R373="","",IFERROR(MATCH(R373,希望入力!$M$5:$M$554,0),""))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50">
        <f>IF(P374="","",INDEX(前年度名簿!$H$3:$H$452,P374))</f>
        <v/>
      </c>
      <c r="B374" s="50">
        <f>IF(P374="","",IFERROR(INDEX(設定!$G$8:$G$31,INT(INDEX(前年度名簿!$G$3:$G$452,P374)/1000)),INDEX(前年度名簿!$A$3:$A$452,P374)&amp;INDEX(前年度名簿!$B$3:$B$452,P374)))</f>
        <v/>
      </c>
      <c r="C374" s="50">
        <f>IF(P374="","",INDEX(前年度名簿!$C$3:$C$452,P374))</f>
        <v/>
      </c>
      <c r="D374" s="4">
        <f>IF(P374="","",INDEX(前年度名簿!$D$3:$D$452,P374))</f>
        <v/>
      </c>
      <c r="E374" s="50">
        <f>IF(T374="","",INDEX(新年度名簿!$K$3:$K$452,T374))</f>
        <v/>
      </c>
      <c r="F374" s="50">
        <f>IF(T374="","",INDEX(新年度名簿!$C$3:$C$452,T374))</f>
        <v/>
      </c>
      <c r="G374" s="50">
        <f>IF(Q374="","",INDEX(希望入力!$H$5:$H$554,Q374)&amp;"")</f>
        <v/>
      </c>
      <c r="H374" s="50">
        <f>IF(Q374="","",INDEX(希望入力!$I$5:$I$554,Q374)&amp;"")</f>
        <v/>
      </c>
      <c r="I374" s="50">
        <f>IF(Q374="","",INDEX(希望入力!$J$5:$J$554,Q374)&amp;"")</f>
        <v/>
      </c>
      <c r="J374" s="50">
        <f>IF(Q374="","",IF(G374="転出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)</f>
        <v/>
      </c>
      <c r="K374" s="49" t="n"/>
      <c r="L374" s="56">
        <f>IF(P374="","",IF(G374="転出","",IF(K374&lt;&gt;"",K374,IF(OR(J374="",J374="要調整"),"",J374))))</f>
        <v/>
      </c>
      <c r="M374" s="50">
        <f>IF(P374="","",IF(OR(G374="転出",AND(計算用!$B$1=1,T374="")),"転出",IF(L374&lt;&gt;"","決定",IF(Q374="","未提出","要調整"))))</f>
        <v/>
      </c>
      <c r="N374" s="50">
        <f>IF(OR(M374&lt;&gt;"要調整",H374=""),"",IFERROR((INDEX(設定!$Q$8:$Q$27,MATCH(H374,設定!$P$8:$P$27,0))+N(INDEX(設定!$R$8:$R$27,MATCH(H374,設定!$P$8:$P$27,0))))-INDEX(定員チェック!$I$7:$I$26,MATCH(H374,設定!$P$8:$P$27,0))-COUNTIFS($M$7:$M$456,"要調整",$G$7:$G$456,H374),""))</f>
        <v/>
      </c>
      <c r="O374" s="50">
        <f>IF(OR(M374&lt;&gt;"要調整",I374=""),"",IFERROR((INDEX(設定!$Q$8:$Q$27,MATCH(I374,設定!$P$8:$P$27,0))+N(INDEX(設定!$R$8:$R$27,MATCH(I374,設定!$P$8:$P$27,0))))-INDEX(定員チェック!$I$7:$I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IF(R374="","",IFERROR(MATCH(R374,希望入力!$M$5:$M$554,0),""))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50">
        <f>IF(P375="","",INDEX(前年度名簿!$H$3:$H$452,P375))</f>
        <v/>
      </c>
      <c r="B375" s="50">
        <f>IF(P375="","",IFERROR(INDEX(設定!$G$8:$G$31,INT(INDEX(前年度名簿!$G$3:$G$452,P375)/1000)),INDEX(前年度名簿!$A$3:$A$452,P375)&amp;INDEX(前年度名簿!$B$3:$B$452,P375)))</f>
        <v/>
      </c>
      <c r="C375" s="50">
        <f>IF(P375="","",INDEX(前年度名簿!$C$3:$C$452,P375))</f>
        <v/>
      </c>
      <c r="D375" s="4">
        <f>IF(P375="","",INDEX(前年度名簿!$D$3:$D$452,P375))</f>
        <v/>
      </c>
      <c r="E375" s="50">
        <f>IF(T375="","",INDEX(新年度名簿!$K$3:$K$452,T375))</f>
        <v/>
      </c>
      <c r="F375" s="50">
        <f>IF(T375="","",INDEX(新年度名簿!$C$3:$C$452,T375))</f>
        <v/>
      </c>
      <c r="G375" s="50">
        <f>IF(Q375="","",INDEX(希望入力!$H$5:$H$554,Q375)&amp;"")</f>
        <v/>
      </c>
      <c r="H375" s="50">
        <f>IF(Q375="","",INDEX(希望入力!$I$5:$I$554,Q375)&amp;"")</f>
        <v/>
      </c>
      <c r="I375" s="50">
        <f>IF(Q375="","",INDEX(希望入力!$J$5:$J$554,Q375)&amp;"")</f>
        <v/>
      </c>
      <c r="J375" s="50">
        <f>IF(Q375="","",IF(G375="転出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)</f>
        <v/>
      </c>
      <c r="K375" s="49" t="n"/>
      <c r="L375" s="56">
        <f>IF(P375="","",IF(G375="転出","",IF(K375&lt;&gt;"",K375,IF(OR(J375="",J375="要調整"),"",J375))))</f>
        <v/>
      </c>
      <c r="M375" s="50">
        <f>IF(P375="","",IF(OR(G375="転出",AND(計算用!$B$1=1,T375="")),"転出",IF(L375&lt;&gt;"","決定",IF(Q375="","未提出","要調整"))))</f>
        <v/>
      </c>
      <c r="N375" s="50">
        <f>IF(OR(M375&lt;&gt;"要調整",H375=""),"",IFERROR((INDEX(設定!$Q$8:$Q$27,MATCH(H375,設定!$P$8:$P$27,0))+N(INDEX(設定!$R$8:$R$27,MATCH(H375,設定!$P$8:$P$27,0))))-INDEX(定員チェック!$I$7:$I$26,MATCH(H375,設定!$P$8:$P$27,0))-COUNTIFS($M$7:$M$456,"要調整",$G$7:$G$456,H375),""))</f>
        <v/>
      </c>
      <c r="O375" s="50">
        <f>IF(OR(M375&lt;&gt;"要調整",I375=""),"",IFERROR((INDEX(設定!$Q$8:$Q$27,MATCH(I375,設定!$P$8:$P$27,0))+N(INDEX(設定!$R$8:$R$27,MATCH(I375,設定!$P$8:$P$27,0))))-INDEX(定員チェック!$I$7:$I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IF(R375="","",IFERROR(MATCH(R375,希望入力!$M$5:$M$554,0),""))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50">
        <f>IF(P376="","",INDEX(前年度名簿!$H$3:$H$452,P376))</f>
        <v/>
      </c>
      <c r="B376" s="50">
        <f>IF(P376="","",IFERROR(INDEX(設定!$G$8:$G$31,INT(INDEX(前年度名簿!$G$3:$G$452,P376)/1000)),INDEX(前年度名簿!$A$3:$A$452,P376)&amp;INDEX(前年度名簿!$B$3:$B$452,P376)))</f>
        <v/>
      </c>
      <c r="C376" s="50">
        <f>IF(P376="","",INDEX(前年度名簿!$C$3:$C$452,P376))</f>
        <v/>
      </c>
      <c r="D376" s="4">
        <f>IF(P376="","",INDEX(前年度名簿!$D$3:$D$452,P376))</f>
        <v/>
      </c>
      <c r="E376" s="50">
        <f>IF(T376="","",INDEX(新年度名簿!$K$3:$K$452,T376))</f>
        <v/>
      </c>
      <c r="F376" s="50">
        <f>IF(T376="","",INDEX(新年度名簿!$C$3:$C$452,T376))</f>
        <v/>
      </c>
      <c r="G376" s="50">
        <f>IF(Q376="","",INDEX(希望入力!$H$5:$H$554,Q376)&amp;"")</f>
        <v/>
      </c>
      <c r="H376" s="50">
        <f>IF(Q376="","",INDEX(希望入力!$I$5:$I$554,Q376)&amp;"")</f>
        <v/>
      </c>
      <c r="I376" s="50">
        <f>IF(Q376="","",INDEX(希望入力!$J$5:$J$554,Q376)&amp;"")</f>
        <v/>
      </c>
      <c r="J376" s="50">
        <f>IF(Q376="","",IF(G376="転出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)</f>
        <v/>
      </c>
      <c r="K376" s="49" t="n"/>
      <c r="L376" s="56">
        <f>IF(P376="","",IF(G376="転出","",IF(K376&lt;&gt;"",K376,IF(OR(J376="",J376="要調整"),"",J376))))</f>
        <v/>
      </c>
      <c r="M376" s="50">
        <f>IF(P376="","",IF(OR(G376="転出",AND(計算用!$B$1=1,T376="")),"転出",IF(L376&lt;&gt;"","決定",IF(Q376="","未提出","要調整"))))</f>
        <v/>
      </c>
      <c r="N376" s="50">
        <f>IF(OR(M376&lt;&gt;"要調整",H376=""),"",IFERROR((INDEX(設定!$Q$8:$Q$27,MATCH(H376,設定!$P$8:$P$27,0))+N(INDEX(設定!$R$8:$R$27,MATCH(H376,設定!$P$8:$P$27,0))))-INDEX(定員チェック!$I$7:$I$26,MATCH(H376,設定!$P$8:$P$27,0))-COUNTIFS($M$7:$M$456,"要調整",$G$7:$G$456,H376),""))</f>
        <v/>
      </c>
      <c r="O376" s="50">
        <f>IF(OR(M376&lt;&gt;"要調整",I376=""),"",IFERROR((INDEX(設定!$Q$8:$Q$27,MATCH(I376,設定!$P$8:$P$27,0))+N(INDEX(設定!$R$8:$R$27,MATCH(I376,設定!$P$8:$P$27,0))))-INDEX(定員チェック!$I$7:$I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IF(R376="","",IFERROR(MATCH(R376,希望入力!$M$5:$M$554,0),""))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50">
        <f>IF(P377="","",INDEX(前年度名簿!$H$3:$H$452,P377))</f>
        <v/>
      </c>
      <c r="B377" s="50">
        <f>IF(P377="","",IFERROR(INDEX(設定!$G$8:$G$31,INT(INDEX(前年度名簿!$G$3:$G$452,P377)/1000)),INDEX(前年度名簿!$A$3:$A$452,P377)&amp;INDEX(前年度名簿!$B$3:$B$452,P377)))</f>
        <v/>
      </c>
      <c r="C377" s="50">
        <f>IF(P377="","",INDEX(前年度名簿!$C$3:$C$452,P377))</f>
        <v/>
      </c>
      <c r="D377" s="4">
        <f>IF(P377="","",INDEX(前年度名簿!$D$3:$D$452,P377))</f>
        <v/>
      </c>
      <c r="E377" s="50">
        <f>IF(T377="","",INDEX(新年度名簿!$K$3:$K$452,T377))</f>
        <v/>
      </c>
      <c r="F377" s="50">
        <f>IF(T377="","",INDEX(新年度名簿!$C$3:$C$452,T377))</f>
        <v/>
      </c>
      <c r="G377" s="50">
        <f>IF(Q377="","",INDEX(希望入力!$H$5:$H$554,Q377)&amp;"")</f>
        <v/>
      </c>
      <c r="H377" s="50">
        <f>IF(Q377="","",INDEX(希望入力!$I$5:$I$554,Q377)&amp;"")</f>
        <v/>
      </c>
      <c r="I377" s="50">
        <f>IF(Q377="","",INDEX(希望入力!$J$5:$J$554,Q377)&amp;"")</f>
        <v/>
      </c>
      <c r="J377" s="50">
        <f>IF(Q377="","",IF(G377="転出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)</f>
        <v/>
      </c>
      <c r="K377" s="49" t="n"/>
      <c r="L377" s="56">
        <f>IF(P377="","",IF(G377="転出","",IF(K377&lt;&gt;"",K377,IF(OR(J377="",J377="要調整"),"",J377))))</f>
        <v/>
      </c>
      <c r="M377" s="50">
        <f>IF(P377="","",IF(OR(G377="転出",AND(計算用!$B$1=1,T377="")),"転出",IF(L377&lt;&gt;"","決定",IF(Q377="","未提出","要調整"))))</f>
        <v/>
      </c>
      <c r="N377" s="50">
        <f>IF(OR(M377&lt;&gt;"要調整",H377=""),"",IFERROR((INDEX(設定!$Q$8:$Q$27,MATCH(H377,設定!$P$8:$P$27,0))+N(INDEX(設定!$R$8:$R$27,MATCH(H377,設定!$P$8:$P$27,0))))-INDEX(定員チェック!$I$7:$I$26,MATCH(H377,設定!$P$8:$P$27,0))-COUNTIFS($M$7:$M$456,"要調整",$G$7:$G$456,H377),""))</f>
        <v/>
      </c>
      <c r="O377" s="50">
        <f>IF(OR(M377&lt;&gt;"要調整",I377=""),"",IFERROR((INDEX(設定!$Q$8:$Q$27,MATCH(I377,設定!$P$8:$P$27,0))+N(INDEX(設定!$R$8:$R$27,MATCH(I377,設定!$P$8:$P$27,0))))-INDEX(定員チェック!$I$7:$I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IF(R377="","",IFERROR(MATCH(R377,希望入力!$M$5:$M$554,0),""))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50">
        <f>IF(P378="","",INDEX(前年度名簿!$H$3:$H$452,P378))</f>
        <v/>
      </c>
      <c r="B378" s="50">
        <f>IF(P378="","",IFERROR(INDEX(設定!$G$8:$G$31,INT(INDEX(前年度名簿!$G$3:$G$452,P378)/1000)),INDEX(前年度名簿!$A$3:$A$452,P378)&amp;INDEX(前年度名簿!$B$3:$B$452,P378)))</f>
        <v/>
      </c>
      <c r="C378" s="50">
        <f>IF(P378="","",INDEX(前年度名簿!$C$3:$C$452,P378))</f>
        <v/>
      </c>
      <c r="D378" s="4">
        <f>IF(P378="","",INDEX(前年度名簿!$D$3:$D$452,P378))</f>
        <v/>
      </c>
      <c r="E378" s="50">
        <f>IF(T378="","",INDEX(新年度名簿!$K$3:$K$452,T378))</f>
        <v/>
      </c>
      <c r="F378" s="50">
        <f>IF(T378="","",INDEX(新年度名簿!$C$3:$C$452,T378))</f>
        <v/>
      </c>
      <c r="G378" s="50">
        <f>IF(Q378="","",INDEX(希望入力!$H$5:$H$554,Q378)&amp;"")</f>
        <v/>
      </c>
      <c r="H378" s="50">
        <f>IF(Q378="","",INDEX(希望入力!$I$5:$I$554,Q378)&amp;"")</f>
        <v/>
      </c>
      <c r="I378" s="50">
        <f>IF(Q378="","",INDEX(希望入力!$J$5:$J$554,Q378)&amp;"")</f>
        <v/>
      </c>
      <c r="J378" s="50">
        <f>IF(Q378="","",IF(G378="転出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)</f>
        <v/>
      </c>
      <c r="K378" s="49" t="n"/>
      <c r="L378" s="56">
        <f>IF(P378="","",IF(G378="転出","",IF(K378&lt;&gt;"",K378,IF(OR(J378="",J378="要調整"),"",J378))))</f>
        <v/>
      </c>
      <c r="M378" s="50">
        <f>IF(P378="","",IF(OR(G378="転出",AND(計算用!$B$1=1,T378="")),"転出",IF(L378&lt;&gt;"","決定",IF(Q378="","未提出","要調整"))))</f>
        <v/>
      </c>
      <c r="N378" s="50">
        <f>IF(OR(M378&lt;&gt;"要調整",H378=""),"",IFERROR((INDEX(設定!$Q$8:$Q$27,MATCH(H378,設定!$P$8:$P$27,0))+N(INDEX(設定!$R$8:$R$27,MATCH(H378,設定!$P$8:$P$27,0))))-INDEX(定員チェック!$I$7:$I$26,MATCH(H378,設定!$P$8:$P$27,0))-COUNTIFS($M$7:$M$456,"要調整",$G$7:$G$456,H378),""))</f>
        <v/>
      </c>
      <c r="O378" s="50">
        <f>IF(OR(M378&lt;&gt;"要調整",I378=""),"",IFERROR((INDEX(設定!$Q$8:$Q$27,MATCH(I378,設定!$P$8:$P$27,0))+N(INDEX(設定!$R$8:$R$27,MATCH(I378,設定!$P$8:$P$27,0))))-INDEX(定員チェック!$I$7:$I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IF(R378="","",IFERROR(MATCH(R378,希望入力!$M$5:$M$554,0),""))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50">
        <f>IF(P379="","",INDEX(前年度名簿!$H$3:$H$452,P379))</f>
        <v/>
      </c>
      <c r="B379" s="50">
        <f>IF(P379="","",IFERROR(INDEX(設定!$G$8:$G$31,INT(INDEX(前年度名簿!$G$3:$G$452,P379)/1000)),INDEX(前年度名簿!$A$3:$A$452,P379)&amp;INDEX(前年度名簿!$B$3:$B$452,P379)))</f>
        <v/>
      </c>
      <c r="C379" s="50">
        <f>IF(P379="","",INDEX(前年度名簿!$C$3:$C$452,P379))</f>
        <v/>
      </c>
      <c r="D379" s="4">
        <f>IF(P379="","",INDEX(前年度名簿!$D$3:$D$452,P379))</f>
        <v/>
      </c>
      <c r="E379" s="50">
        <f>IF(T379="","",INDEX(新年度名簿!$K$3:$K$452,T379))</f>
        <v/>
      </c>
      <c r="F379" s="50">
        <f>IF(T379="","",INDEX(新年度名簿!$C$3:$C$452,T379))</f>
        <v/>
      </c>
      <c r="G379" s="50">
        <f>IF(Q379="","",INDEX(希望入力!$H$5:$H$554,Q379)&amp;"")</f>
        <v/>
      </c>
      <c r="H379" s="50">
        <f>IF(Q379="","",INDEX(希望入力!$I$5:$I$554,Q379)&amp;"")</f>
        <v/>
      </c>
      <c r="I379" s="50">
        <f>IF(Q379="","",INDEX(希望入力!$J$5:$J$554,Q379)&amp;"")</f>
        <v/>
      </c>
      <c r="J379" s="50">
        <f>IF(Q379="","",IF(G379="転出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)</f>
        <v/>
      </c>
      <c r="K379" s="49" t="n"/>
      <c r="L379" s="56">
        <f>IF(P379="","",IF(G379="転出","",IF(K379&lt;&gt;"",K379,IF(OR(J379="",J379="要調整"),"",J379))))</f>
        <v/>
      </c>
      <c r="M379" s="50">
        <f>IF(P379="","",IF(OR(G379="転出",AND(計算用!$B$1=1,T379="")),"転出",IF(L379&lt;&gt;"","決定",IF(Q379="","未提出","要調整"))))</f>
        <v/>
      </c>
      <c r="N379" s="50">
        <f>IF(OR(M379&lt;&gt;"要調整",H379=""),"",IFERROR((INDEX(設定!$Q$8:$Q$27,MATCH(H379,設定!$P$8:$P$27,0))+N(INDEX(設定!$R$8:$R$27,MATCH(H379,設定!$P$8:$P$27,0))))-INDEX(定員チェック!$I$7:$I$26,MATCH(H379,設定!$P$8:$P$27,0))-COUNTIFS($M$7:$M$456,"要調整",$G$7:$G$456,H379),""))</f>
        <v/>
      </c>
      <c r="O379" s="50">
        <f>IF(OR(M379&lt;&gt;"要調整",I379=""),"",IFERROR((INDEX(設定!$Q$8:$Q$27,MATCH(I379,設定!$P$8:$P$27,0))+N(INDEX(設定!$R$8:$R$27,MATCH(I379,設定!$P$8:$P$27,0))))-INDEX(定員チェック!$I$7:$I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IF(R379="","",IFERROR(MATCH(R379,希望入力!$M$5:$M$554,0),""))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50">
        <f>IF(P380="","",INDEX(前年度名簿!$H$3:$H$452,P380))</f>
        <v/>
      </c>
      <c r="B380" s="50">
        <f>IF(P380="","",IFERROR(INDEX(設定!$G$8:$G$31,INT(INDEX(前年度名簿!$G$3:$G$452,P380)/1000)),INDEX(前年度名簿!$A$3:$A$452,P380)&amp;INDEX(前年度名簿!$B$3:$B$452,P380)))</f>
        <v/>
      </c>
      <c r="C380" s="50">
        <f>IF(P380="","",INDEX(前年度名簿!$C$3:$C$452,P380))</f>
        <v/>
      </c>
      <c r="D380" s="4">
        <f>IF(P380="","",INDEX(前年度名簿!$D$3:$D$452,P380))</f>
        <v/>
      </c>
      <c r="E380" s="50">
        <f>IF(T380="","",INDEX(新年度名簿!$K$3:$K$452,T380))</f>
        <v/>
      </c>
      <c r="F380" s="50">
        <f>IF(T380="","",INDEX(新年度名簿!$C$3:$C$452,T380))</f>
        <v/>
      </c>
      <c r="G380" s="50">
        <f>IF(Q380="","",INDEX(希望入力!$H$5:$H$554,Q380)&amp;"")</f>
        <v/>
      </c>
      <c r="H380" s="50">
        <f>IF(Q380="","",INDEX(希望入力!$I$5:$I$554,Q380)&amp;"")</f>
        <v/>
      </c>
      <c r="I380" s="50">
        <f>IF(Q380="","",INDEX(希望入力!$J$5:$J$554,Q380)&amp;"")</f>
        <v/>
      </c>
      <c r="J380" s="50">
        <f>IF(Q380="","",IF(G380="転出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)</f>
        <v/>
      </c>
      <c r="K380" s="49" t="n"/>
      <c r="L380" s="56">
        <f>IF(P380="","",IF(G380="転出","",IF(K380&lt;&gt;"",K380,IF(OR(J380="",J380="要調整"),"",J380))))</f>
        <v/>
      </c>
      <c r="M380" s="50">
        <f>IF(P380="","",IF(OR(G380="転出",AND(計算用!$B$1=1,T380="")),"転出",IF(L380&lt;&gt;"","決定",IF(Q380="","未提出","要調整"))))</f>
        <v/>
      </c>
      <c r="N380" s="50">
        <f>IF(OR(M380&lt;&gt;"要調整",H380=""),"",IFERROR((INDEX(設定!$Q$8:$Q$27,MATCH(H380,設定!$P$8:$P$27,0))+N(INDEX(設定!$R$8:$R$27,MATCH(H380,設定!$P$8:$P$27,0))))-INDEX(定員チェック!$I$7:$I$26,MATCH(H380,設定!$P$8:$P$27,0))-COUNTIFS($M$7:$M$456,"要調整",$G$7:$G$456,H380),""))</f>
        <v/>
      </c>
      <c r="O380" s="50">
        <f>IF(OR(M380&lt;&gt;"要調整",I380=""),"",IFERROR((INDEX(設定!$Q$8:$Q$27,MATCH(I380,設定!$P$8:$P$27,0))+N(INDEX(設定!$R$8:$R$27,MATCH(I380,設定!$P$8:$P$27,0))))-INDEX(定員チェック!$I$7:$I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IF(R380="","",IFERROR(MATCH(R380,希望入力!$M$5:$M$554,0),""))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50">
        <f>IF(P381="","",INDEX(前年度名簿!$H$3:$H$452,P381))</f>
        <v/>
      </c>
      <c r="B381" s="50">
        <f>IF(P381="","",IFERROR(INDEX(設定!$G$8:$G$31,INT(INDEX(前年度名簿!$G$3:$G$452,P381)/1000)),INDEX(前年度名簿!$A$3:$A$452,P381)&amp;INDEX(前年度名簿!$B$3:$B$452,P381)))</f>
        <v/>
      </c>
      <c r="C381" s="50">
        <f>IF(P381="","",INDEX(前年度名簿!$C$3:$C$452,P381))</f>
        <v/>
      </c>
      <c r="D381" s="4">
        <f>IF(P381="","",INDEX(前年度名簿!$D$3:$D$452,P381))</f>
        <v/>
      </c>
      <c r="E381" s="50">
        <f>IF(T381="","",INDEX(新年度名簿!$K$3:$K$452,T381))</f>
        <v/>
      </c>
      <c r="F381" s="50">
        <f>IF(T381="","",INDEX(新年度名簿!$C$3:$C$452,T381))</f>
        <v/>
      </c>
      <c r="G381" s="50">
        <f>IF(Q381="","",INDEX(希望入力!$H$5:$H$554,Q381)&amp;"")</f>
        <v/>
      </c>
      <c r="H381" s="50">
        <f>IF(Q381="","",INDEX(希望入力!$I$5:$I$554,Q381)&amp;"")</f>
        <v/>
      </c>
      <c r="I381" s="50">
        <f>IF(Q381="","",INDEX(希望入力!$J$5:$J$554,Q381)&amp;"")</f>
        <v/>
      </c>
      <c r="J381" s="50">
        <f>IF(Q381="","",IF(G381="転出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)</f>
        <v/>
      </c>
      <c r="K381" s="49" t="n"/>
      <c r="L381" s="56">
        <f>IF(P381="","",IF(G381="転出","",IF(K381&lt;&gt;"",K381,IF(OR(J381="",J381="要調整"),"",J381))))</f>
        <v/>
      </c>
      <c r="M381" s="50">
        <f>IF(P381="","",IF(OR(G381="転出",AND(計算用!$B$1=1,T381="")),"転出",IF(L381&lt;&gt;"","決定",IF(Q381="","未提出","要調整"))))</f>
        <v/>
      </c>
      <c r="N381" s="50">
        <f>IF(OR(M381&lt;&gt;"要調整",H381=""),"",IFERROR((INDEX(設定!$Q$8:$Q$27,MATCH(H381,設定!$P$8:$P$27,0))+N(INDEX(設定!$R$8:$R$27,MATCH(H381,設定!$P$8:$P$27,0))))-INDEX(定員チェック!$I$7:$I$26,MATCH(H381,設定!$P$8:$P$27,0))-COUNTIFS($M$7:$M$456,"要調整",$G$7:$G$456,H381),""))</f>
        <v/>
      </c>
      <c r="O381" s="50">
        <f>IF(OR(M381&lt;&gt;"要調整",I381=""),"",IFERROR((INDEX(設定!$Q$8:$Q$27,MATCH(I381,設定!$P$8:$P$27,0))+N(INDEX(設定!$R$8:$R$27,MATCH(I381,設定!$P$8:$P$27,0))))-INDEX(定員チェック!$I$7:$I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IF(R381="","",IFERROR(MATCH(R381,希望入力!$M$5:$M$554,0),""))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50">
        <f>IF(P382="","",INDEX(前年度名簿!$H$3:$H$452,P382))</f>
        <v/>
      </c>
      <c r="B382" s="50">
        <f>IF(P382="","",IFERROR(INDEX(設定!$G$8:$G$31,INT(INDEX(前年度名簿!$G$3:$G$452,P382)/1000)),INDEX(前年度名簿!$A$3:$A$452,P382)&amp;INDEX(前年度名簿!$B$3:$B$452,P382)))</f>
        <v/>
      </c>
      <c r="C382" s="50">
        <f>IF(P382="","",INDEX(前年度名簿!$C$3:$C$452,P382))</f>
        <v/>
      </c>
      <c r="D382" s="4">
        <f>IF(P382="","",INDEX(前年度名簿!$D$3:$D$452,P382))</f>
        <v/>
      </c>
      <c r="E382" s="50">
        <f>IF(T382="","",INDEX(新年度名簿!$K$3:$K$452,T382))</f>
        <v/>
      </c>
      <c r="F382" s="50">
        <f>IF(T382="","",INDEX(新年度名簿!$C$3:$C$452,T382))</f>
        <v/>
      </c>
      <c r="G382" s="50">
        <f>IF(Q382="","",INDEX(希望入力!$H$5:$H$554,Q382)&amp;"")</f>
        <v/>
      </c>
      <c r="H382" s="50">
        <f>IF(Q382="","",INDEX(希望入力!$I$5:$I$554,Q382)&amp;"")</f>
        <v/>
      </c>
      <c r="I382" s="50">
        <f>IF(Q382="","",INDEX(希望入力!$J$5:$J$554,Q382)&amp;"")</f>
        <v/>
      </c>
      <c r="J382" s="50">
        <f>IF(Q382="","",IF(G382="転出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)</f>
        <v/>
      </c>
      <c r="K382" s="49" t="n"/>
      <c r="L382" s="56">
        <f>IF(P382="","",IF(G382="転出","",IF(K382&lt;&gt;"",K382,IF(OR(J382="",J382="要調整"),"",J382))))</f>
        <v/>
      </c>
      <c r="M382" s="50">
        <f>IF(P382="","",IF(OR(G382="転出",AND(計算用!$B$1=1,T382="")),"転出",IF(L382&lt;&gt;"","決定",IF(Q382="","未提出","要調整"))))</f>
        <v/>
      </c>
      <c r="N382" s="50">
        <f>IF(OR(M382&lt;&gt;"要調整",H382=""),"",IFERROR((INDEX(設定!$Q$8:$Q$27,MATCH(H382,設定!$P$8:$P$27,0))+N(INDEX(設定!$R$8:$R$27,MATCH(H382,設定!$P$8:$P$27,0))))-INDEX(定員チェック!$I$7:$I$26,MATCH(H382,設定!$P$8:$P$27,0))-COUNTIFS($M$7:$M$456,"要調整",$G$7:$G$456,H382),""))</f>
        <v/>
      </c>
      <c r="O382" s="50">
        <f>IF(OR(M382&lt;&gt;"要調整",I382=""),"",IFERROR((INDEX(設定!$Q$8:$Q$27,MATCH(I382,設定!$P$8:$P$27,0))+N(INDEX(設定!$R$8:$R$27,MATCH(I382,設定!$P$8:$P$27,0))))-INDEX(定員チェック!$I$7:$I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IF(R382="","",IFERROR(MATCH(R382,希望入力!$M$5:$M$554,0),""))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50">
        <f>IF(P383="","",INDEX(前年度名簿!$H$3:$H$452,P383))</f>
        <v/>
      </c>
      <c r="B383" s="50">
        <f>IF(P383="","",IFERROR(INDEX(設定!$G$8:$G$31,INT(INDEX(前年度名簿!$G$3:$G$452,P383)/1000)),INDEX(前年度名簿!$A$3:$A$452,P383)&amp;INDEX(前年度名簿!$B$3:$B$452,P383)))</f>
        <v/>
      </c>
      <c r="C383" s="50">
        <f>IF(P383="","",INDEX(前年度名簿!$C$3:$C$452,P383))</f>
        <v/>
      </c>
      <c r="D383" s="4">
        <f>IF(P383="","",INDEX(前年度名簿!$D$3:$D$452,P383))</f>
        <v/>
      </c>
      <c r="E383" s="50">
        <f>IF(T383="","",INDEX(新年度名簿!$K$3:$K$452,T383))</f>
        <v/>
      </c>
      <c r="F383" s="50">
        <f>IF(T383="","",INDEX(新年度名簿!$C$3:$C$452,T383))</f>
        <v/>
      </c>
      <c r="G383" s="50">
        <f>IF(Q383="","",INDEX(希望入力!$H$5:$H$554,Q383)&amp;"")</f>
        <v/>
      </c>
      <c r="H383" s="50">
        <f>IF(Q383="","",INDEX(希望入力!$I$5:$I$554,Q383)&amp;"")</f>
        <v/>
      </c>
      <c r="I383" s="50">
        <f>IF(Q383="","",INDEX(希望入力!$J$5:$J$554,Q383)&amp;"")</f>
        <v/>
      </c>
      <c r="J383" s="50">
        <f>IF(Q383="","",IF(G383="転出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)</f>
        <v/>
      </c>
      <c r="K383" s="49" t="n"/>
      <c r="L383" s="56">
        <f>IF(P383="","",IF(G383="転出","",IF(K383&lt;&gt;"",K383,IF(OR(J383="",J383="要調整"),"",J383))))</f>
        <v/>
      </c>
      <c r="M383" s="50">
        <f>IF(P383="","",IF(OR(G383="転出",AND(計算用!$B$1=1,T383="")),"転出",IF(L383&lt;&gt;"","決定",IF(Q383="","未提出","要調整"))))</f>
        <v/>
      </c>
      <c r="N383" s="50">
        <f>IF(OR(M383&lt;&gt;"要調整",H383=""),"",IFERROR((INDEX(設定!$Q$8:$Q$27,MATCH(H383,設定!$P$8:$P$27,0))+N(INDEX(設定!$R$8:$R$27,MATCH(H383,設定!$P$8:$P$27,0))))-INDEX(定員チェック!$I$7:$I$26,MATCH(H383,設定!$P$8:$P$27,0))-COUNTIFS($M$7:$M$456,"要調整",$G$7:$G$456,H383),""))</f>
        <v/>
      </c>
      <c r="O383" s="50">
        <f>IF(OR(M383&lt;&gt;"要調整",I383=""),"",IFERROR((INDEX(設定!$Q$8:$Q$27,MATCH(I383,設定!$P$8:$P$27,0))+N(INDEX(設定!$R$8:$R$27,MATCH(I383,設定!$P$8:$P$27,0))))-INDEX(定員チェック!$I$7:$I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IF(R383="","",IFERROR(MATCH(R383,希望入力!$M$5:$M$554,0),""))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50">
        <f>IF(P384="","",INDEX(前年度名簿!$H$3:$H$452,P384))</f>
        <v/>
      </c>
      <c r="B384" s="50">
        <f>IF(P384="","",IFERROR(INDEX(設定!$G$8:$G$31,INT(INDEX(前年度名簿!$G$3:$G$452,P384)/1000)),INDEX(前年度名簿!$A$3:$A$452,P384)&amp;INDEX(前年度名簿!$B$3:$B$452,P384)))</f>
        <v/>
      </c>
      <c r="C384" s="50">
        <f>IF(P384="","",INDEX(前年度名簿!$C$3:$C$452,P384))</f>
        <v/>
      </c>
      <c r="D384" s="4">
        <f>IF(P384="","",INDEX(前年度名簿!$D$3:$D$452,P384))</f>
        <v/>
      </c>
      <c r="E384" s="50">
        <f>IF(T384="","",INDEX(新年度名簿!$K$3:$K$452,T384))</f>
        <v/>
      </c>
      <c r="F384" s="50">
        <f>IF(T384="","",INDEX(新年度名簿!$C$3:$C$452,T384))</f>
        <v/>
      </c>
      <c r="G384" s="50">
        <f>IF(Q384="","",INDEX(希望入力!$H$5:$H$554,Q384)&amp;"")</f>
        <v/>
      </c>
      <c r="H384" s="50">
        <f>IF(Q384="","",INDEX(希望入力!$I$5:$I$554,Q384)&amp;"")</f>
        <v/>
      </c>
      <c r="I384" s="50">
        <f>IF(Q384="","",INDEX(希望入力!$J$5:$J$554,Q384)&amp;"")</f>
        <v/>
      </c>
      <c r="J384" s="50">
        <f>IF(Q384="","",IF(G384="転出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)</f>
        <v/>
      </c>
      <c r="K384" s="49" t="n"/>
      <c r="L384" s="56">
        <f>IF(P384="","",IF(G384="転出","",IF(K384&lt;&gt;"",K384,IF(OR(J384="",J384="要調整"),"",J384))))</f>
        <v/>
      </c>
      <c r="M384" s="50">
        <f>IF(P384="","",IF(OR(G384="転出",AND(計算用!$B$1=1,T384="")),"転出",IF(L384&lt;&gt;"","決定",IF(Q384="","未提出","要調整"))))</f>
        <v/>
      </c>
      <c r="N384" s="50">
        <f>IF(OR(M384&lt;&gt;"要調整",H384=""),"",IFERROR((INDEX(設定!$Q$8:$Q$27,MATCH(H384,設定!$P$8:$P$27,0))+N(INDEX(設定!$R$8:$R$27,MATCH(H384,設定!$P$8:$P$27,0))))-INDEX(定員チェック!$I$7:$I$26,MATCH(H384,設定!$P$8:$P$27,0))-COUNTIFS($M$7:$M$456,"要調整",$G$7:$G$456,H384),""))</f>
        <v/>
      </c>
      <c r="O384" s="50">
        <f>IF(OR(M384&lt;&gt;"要調整",I384=""),"",IFERROR((INDEX(設定!$Q$8:$Q$27,MATCH(I384,設定!$P$8:$P$27,0))+N(INDEX(設定!$R$8:$R$27,MATCH(I384,設定!$P$8:$P$27,0))))-INDEX(定員チェック!$I$7:$I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IF(R384="","",IFERROR(MATCH(R384,希望入力!$M$5:$M$554,0),""))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50">
        <f>IF(P385="","",INDEX(前年度名簿!$H$3:$H$452,P385))</f>
        <v/>
      </c>
      <c r="B385" s="50">
        <f>IF(P385="","",IFERROR(INDEX(設定!$G$8:$G$31,INT(INDEX(前年度名簿!$G$3:$G$452,P385)/1000)),INDEX(前年度名簿!$A$3:$A$452,P385)&amp;INDEX(前年度名簿!$B$3:$B$452,P385)))</f>
        <v/>
      </c>
      <c r="C385" s="50">
        <f>IF(P385="","",INDEX(前年度名簿!$C$3:$C$452,P385))</f>
        <v/>
      </c>
      <c r="D385" s="4">
        <f>IF(P385="","",INDEX(前年度名簿!$D$3:$D$452,P385))</f>
        <v/>
      </c>
      <c r="E385" s="50">
        <f>IF(T385="","",INDEX(新年度名簿!$K$3:$K$452,T385))</f>
        <v/>
      </c>
      <c r="F385" s="50">
        <f>IF(T385="","",INDEX(新年度名簿!$C$3:$C$452,T385))</f>
        <v/>
      </c>
      <c r="G385" s="50">
        <f>IF(Q385="","",INDEX(希望入力!$H$5:$H$554,Q385)&amp;"")</f>
        <v/>
      </c>
      <c r="H385" s="50">
        <f>IF(Q385="","",INDEX(希望入力!$I$5:$I$554,Q385)&amp;"")</f>
        <v/>
      </c>
      <c r="I385" s="50">
        <f>IF(Q385="","",INDEX(希望入力!$J$5:$J$554,Q385)&amp;"")</f>
        <v/>
      </c>
      <c r="J385" s="50">
        <f>IF(Q385="","",IF(G385="転出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)</f>
        <v/>
      </c>
      <c r="K385" s="49" t="n"/>
      <c r="L385" s="56">
        <f>IF(P385="","",IF(G385="転出","",IF(K385&lt;&gt;"",K385,IF(OR(J385="",J385="要調整"),"",J385))))</f>
        <v/>
      </c>
      <c r="M385" s="50">
        <f>IF(P385="","",IF(OR(G385="転出",AND(計算用!$B$1=1,T385="")),"転出",IF(L385&lt;&gt;"","決定",IF(Q385="","未提出","要調整"))))</f>
        <v/>
      </c>
      <c r="N385" s="50">
        <f>IF(OR(M385&lt;&gt;"要調整",H385=""),"",IFERROR((INDEX(設定!$Q$8:$Q$27,MATCH(H385,設定!$P$8:$P$27,0))+N(INDEX(設定!$R$8:$R$27,MATCH(H385,設定!$P$8:$P$27,0))))-INDEX(定員チェック!$I$7:$I$26,MATCH(H385,設定!$P$8:$P$27,0))-COUNTIFS($M$7:$M$456,"要調整",$G$7:$G$456,H385),""))</f>
        <v/>
      </c>
      <c r="O385" s="50">
        <f>IF(OR(M385&lt;&gt;"要調整",I385=""),"",IFERROR((INDEX(設定!$Q$8:$Q$27,MATCH(I385,設定!$P$8:$P$27,0))+N(INDEX(設定!$R$8:$R$27,MATCH(I385,設定!$P$8:$P$27,0))))-INDEX(定員チェック!$I$7:$I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IF(R385="","",IFERROR(MATCH(R385,希望入力!$M$5:$M$554,0),""))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50">
        <f>IF(P386="","",INDEX(前年度名簿!$H$3:$H$452,P386))</f>
        <v/>
      </c>
      <c r="B386" s="50">
        <f>IF(P386="","",IFERROR(INDEX(設定!$G$8:$G$31,INT(INDEX(前年度名簿!$G$3:$G$452,P386)/1000)),INDEX(前年度名簿!$A$3:$A$452,P386)&amp;INDEX(前年度名簿!$B$3:$B$452,P386)))</f>
        <v/>
      </c>
      <c r="C386" s="50">
        <f>IF(P386="","",INDEX(前年度名簿!$C$3:$C$452,P386))</f>
        <v/>
      </c>
      <c r="D386" s="4">
        <f>IF(P386="","",INDEX(前年度名簿!$D$3:$D$452,P386))</f>
        <v/>
      </c>
      <c r="E386" s="50">
        <f>IF(T386="","",INDEX(新年度名簿!$K$3:$K$452,T386))</f>
        <v/>
      </c>
      <c r="F386" s="50">
        <f>IF(T386="","",INDEX(新年度名簿!$C$3:$C$452,T386))</f>
        <v/>
      </c>
      <c r="G386" s="50">
        <f>IF(Q386="","",INDEX(希望入力!$H$5:$H$554,Q386)&amp;"")</f>
        <v/>
      </c>
      <c r="H386" s="50">
        <f>IF(Q386="","",INDEX(希望入力!$I$5:$I$554,Q386)&amp;"")</f>
        <v/>
      </c>
      <c r="I386" s="50">
        <f>IF(Q386="","",INDEX(希望入力!$J$5:$J$554,Q386)&amp;"")</f>
        <v/>
      </c>
      <c r="J386" s="50">
        <f>IF(Q386="","",IF(G386="転出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)</f>
        <v/>
      </c>
      <c r="K386" s="49" t="n"/>
      <c r="L386" s="56">
        <f>IF(P386="","",IF(G386="転出","",IF(K386&lt;&gt;"",K386,IF(OR(J386="",J386="要調整"),"",J386))))</f>
        <v/>
      </c>
      <c r="M386" s="50">
        <f>IF(P386="","",IF(OR(G386="転出",AND(計算用!$B$1=1,T386="")),"転出",IF(L386&lt;&gt;"","決定",IF(Q386="","未提出","要調整"))))</f>
        <v/>
      </c>
      <c r="N386" s="50">
        <f>IF(OR(M386&lt;&gt;"要調整",H386=""),"",IFERROR((INDEX(設定!$Q$8:$Q$27,MATCH(H386,設定!$P$8:$P$27,0))+N(INDEX(設定!$R$8:$R$27,MATCH(H386,設定!$P$8:$P$27,0))))-INDEX(定員チェック!$I$7:$I$26,MATCH(H386,設定!$P$8:$P$27,0))-COUNTIFS($M$7:$M$456,"要調整",$G$7:$G$456,H386),""))</f>
        <v/>
      </c>
      <c r="O386" s="50">
        <f>IF(OR(M386&lt;&gt;"要調整",I386=""),"",IFERROR((INDEX(設定!$Q$8:$Q$27,MATCH(I386,設定!$P$8:$P$27,0))+N(INDEX(設定!$R$8:$R$27,MATCH(I386,設定!$P$8:$P$27,0))))-INDEX(定員チェック!$I$7:$I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IF(R386="","",IFERROR(MATCH(R386,希望入力!$M$5:$M$554,0),""))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50">
        <f>IF(P387="","",INDEX(前年度名簿!$H$3:$H$452,P387))</f>
        <v/>
      </c>
      <c r="B387" s="50">
        <f>IF(P387="","",IFERROR(INDEX(設定!$G$8:$G$31,INT(INDEX(前年度名簿!$G$3:$G$452,P387)/1000)),INDEX(前年度名簿!$A$3:$A$452,P387)&amp;INDEX(前年度名簿!$B$3:$B$452,P387)))</f>
        <v/>
      </c>
      <c r="C387" s="50">
        <f>IF(P387="","",INDEX(前年度名簿!$C$3:$C$452,P387))</f>
        <v/>
      </c>
      <c r="D387" s="4">
        <f>IF(P387="","",INDEX(前年度名簿!$D$3:$D$452,P387))</f>
        <v/>
      </c>
      <c r="E387" s="50">
        <f>IF(T387="","",INDEX(新年度名簿!$K$3:$K$452,T387))</f>
        <v/>
      </c>
      <c r="F387" s="50">
        <f>IF(T387="","",INDEX(新年度名簿!$C$3:$C$452,T387))</f>
        <v/>
      </c>
      <c r="G387" s="50">
        <f>IF(Q387="","",INDEX(希望入力!$H$5:$H$554,Q387)&amp;"")</f>
        <v/>
      </c>
      <c r="H387" s="50">
        <f>IF(Q387="","",INDEX(希望入力!$I$5:$I$554,Q387)&amp;"")</f>
        <v/>
      </c>
      <c r="I387" s="50">
        <f>IF(Q387="","",INDEX(希望入力!$J$5:$J$554,Q387)&amp;"")</f>
        <v/>
      </c>
      <c r="J387" s="50">
        <f>IF(Q387="","",IF(G387="転出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)</f>
        <v/>
      </c>
      <c r="K387" s="49" t="n"/>
      <c r="L387" s="56">
        <f>IF(P387="","",IF(G387="転出","",IF(K387&lt;&gt;"",K387,IF(OR(J387="",J387="要調整"),"",J387))))</f>
        <v/>
      </c>
      <c r="M387" s="50">
        <f>IF(P387="","",IF(OR(G387="転出",AND(計算用!$B$1=1,T387="")),"転出",IF(L387&lt;&gt;"","決定",IF(Q387="","未提出","要調整"))))</f>
        <v/>
      </c>
      <c r="N387" s="50">
        <f>IF(OR(M387&lt;&gt;"要調整",H387=""),"",IFERROR((INDEX(設定!$Q$8:$Q$27,MATCH(H387,設定!$P$8:$P$27,0))+N(INDEX(設定!$R$8:$R$27,MATCH(H387,設定!$P$8:$P$27,0))))-INDEX(定員チェック!$I$7:$I$26,MATCH(H387,設定!$P$8:$P$27,0))-COUNTIFS($M$7:$M$456,"要調整",$G$7:$G$456,H387),""))</f>
        <v/>
      </c>
      <c r="O387" s="50">
        <f>IF(OR(M387&lt;&gt;"要調整",I387=""),"",IFERROR((INDEX(設定!$Q$8:$Q$27,MATCH(I387,設定!$P$8:$P$27,0))+N(INDEX(設定!$R$8:$R$27,MATCH(I387,設定!$P$8:$P$27,0))))-INDEX(定員チェック!$I$7:$I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IF(R387="","",IFERROR(MATCH(R387,希望入力!$M$5:$M$554,0),""))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50">
        <f>IF(P388="","",INDEX(前年度名簿!$H$3:$H$452,P388))</f>
        <v/>
      </c>
      <c r="B388" s="50">
        <f>IF(P388="","",IFERROR(INDEX(設定!$G$8:$G$31,INT(INDEX(前年度名簿!$G$3:$G$452,P388)/1000)),INDEX(前年度名簿!$A$3:$A$452,P388)&amp;INDEX(前年度名簿!$B$3:$B$452,P388)))</f>
        <v/>
      </c>
      <c r="C388" s="50">
        <f>IF(P388="","",INDEX(前年度名簿!$C$3:$C$452,P388))</f>
        <v/>
      </c>
      <c r="D388" s="4">
        <f>IF(P388="","",INDEX(前年度名簿!$D$3:$D$452,P388))</f>
        <v/>
      </c>
      <c r="E388" s="50">
        <f>IF(T388="","",INDEX(新年度名簿!$K$3:$K$452,T388))</f>
        <v/>
      </c>
      <c r="F388" s="50">
        <f>IF(T388="","",INDEX(新年度名簿!$C$3:$C$452,T388))</f>
        <v/>
      </c>
      <c r="G388" s="50">
        <f>IF(Q388="","",INDEX(希望入力!$H$5:$H$554,Q388)&amp;"")</f>
        <v/>
      </c>
      <c r="H388" s="50">
        <f>IF(Q388="","",INDEX(希望入力!$I$5:$I$554,Q388)&amp;"")</f>
        <v/>
      </c>
      <c r="I388" s="50">
        <f>IF(Q388="","",INDEX(希望入力!$J$5:$J$554,Q388)&amp;"")</f>
        <v/>
      </c>
      <c r="J388" s="50">
        <f>IF(Q388="","",IF(G388="転出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)</f>
        <v/>
      </c>
      <c r="K388" s="49" t="n"/>
      <c r="L388" s="56">
        <f>IF(P388="","",IF(G388="転出","",IF(K388&lt;&gt;"",K388,IF(OR(J388="",J388="要調整"),"",J388))))</f>
        <v/>
      </c>
      <c r="M388" s="50">
        <f>IF(P388="","",IF(OR(G388="転出",AND(計算用!$B$1=1,T388="")),"転出",IF(L388&lt;&gt;"","決定",IF(Q388="","未提出","要調整"))))</f>
        <v/>
      </c>
      <c r="N388" s="50">
        <f>IF(OR(M388&lt;&gt;"要調整",H388=""),"",IFERROR((INDEX(設定!$Q$8:$Q$27,MATCH(H388,設定!$P$8:$P$27,0))+N(INDEX(設定!$R$8:$R$27,MATCH(H388,設定!$P$8:$P$27,0))))-INDEX(定員チェック!$I$7:$I$26,MATCH(H388,設定!$P$8:$P$27,0))-COUNTIFS($M$7:$M$456,"要調整",$G$7:$G$456,H388),""))</f>
        <v/>
      </c>
      <c r="O388" s="50">
        <f>IF(OR(M388&lt;&gt;"要調整",I388=""),"",IFERROR((INDEX(設定!$Q$8:$Q$27,MATCH(I388,設定!$P$8:$P$27,0))+N(INDEX(設定!$R$8:$R$27,MATCH(I388,設定!$P$8:$P$27,0))))-INDEX(定員チェック!$I$7:$I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IF(R388="","",IFERROR(MATCH(R388,希望入力!$M$5:$M$554,0),""))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50">
        <f>IF(P389="","",INDEX(前年度名簿!$H$3:$H$452,P389))</f>
        <v/>
      </c>
      <c r="B389" s="50">
        <f>IF(P389="","",IFERROR(INDEX(設定!$G$8:$G$31,INT(INDEX(前年度名簿!$G$3:$G$452,P389)/1000)),INDEX(前年度名簿!$A$3:$A$452,P389)&amp;INDEX(前年度名簿!$B$3:$B$452,P389)))</f>
        <v/>
      </c>
      <c r="C389" s="50">
        <f>IF(P389="","",INDEX(前年度名簿!$C$3:$C$452,P389))</f>
        <v/>
      </c>
      <c r="D389" s="4">
        <f>IF(P389="","",INDEX(前年度名簿!$D$3:$D$452,P389))</f>
        <v/>
      </c>
      <c r="E389" s="50">
        <f>IF(T389="","",INDEX(新年度名簿!$K$3:$K$452,T389))</f>
        <v/>
      </c>
      <c r="F389" s="50">
        <f>IF(T389="","",INDEX(新年度名簿!$C$3:$C$452,T389))</f>
        <v/>
      </c>
      <c r="G389" s="50">
        <f>IF(Q389="","",INDEX(希望入力!$H$5:$H$554,Q389)&amp;"")</f>
        <v/>
      </c>
      <c r="H389" s="50">
        <f>IF(Q389="","",INDEX(希望入力!$I$5:$I$554,Q389)&amp;"")</f>
        <v/>
      </c>
      <c r="I389" s="50">
        <f>IF(Q389="","",INDEX(希望入力!$J$5:$J$554,Q389)&amp;"")</f>
        <v/>
      </c>
      <c r="J389" s="50">
        <f>IF(Q389="","",IF(G389="転出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)</f>
        <v/>
      </c>
      <c r="K389" s="49" t="n"/>
      <c r="L389" s="56">
        <f>IF(P389="","",IF(G389="転出","",IF(K389&lt;&gt;"",K389,IF(OR(J389="",J389="要調整"),"",J389))))</f>
        <v/>
      </c>
      <c r="M389" s="50">
        <f>IF(P389="","",IF(OR(G389="転出",AND(計算用!$B$1=1,T389="")),"転出",IF(L389&lt;&gt;"","決定",IF(Q389="","未提出","要調整"))))</f>
        <v/>
      </c>
      <c r="N389" s="50">
        <f>IF(OR(M389&lt;&gt;"要調整",H389=""),"",IFERROR((INDEX(設定!$Q$8:$Q$27,MATCH(H389,設定!$P$8:$P$27,0))+N(INDEX(設定!$R$8:$R$27,MATCH(H389,設定!$P$8:$P$27,0))))-INDEX(定員チェック!$I$7:$I$26,MATCH(H389,設定!$P$8:$P$27,0))-COUNTIFS($M$7:$M$456,"要調整",$G$7:$G$456,H389),""))</f>
        <v/>
      </c>
      <c r="O389" s="50">
        <f>IF(OR(M389&lt;&gt;"要調整",I389=""),"",IFERROR((INDEX(設定!$Q$8:$Q$27,MATCH(I389,設定!$P$8:$P$27,0))+N(INDEX(設定!$R$8:$R$27,MATCH(I389,設定!$P$8:$P$27,0))))-INDEX(定員チェック!$I$7:$I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IF(R389="","",IFERROR(MATCH(R389,希望入力!$M$5:$M$554,0),""))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50">
        <f>IF(P390="","",INDEX(前年度名簿!$H$3:$H$452,P390))</f>
        <v/>
      </c>
      <c r="B390" s="50">
        <f>IF(P390="","",IFERROR(INDEX(設定!$G$8:$G$31,INT(INDEX(前年度名簿!$G$3:$G$452,P390)/1000)),INDEX(前年度名簿!$A$3:$A$452,P390)&amp;INDEX(前年度名簿!$B$3:$B$452,P390)))</f>
        <v/>
      </c>
      <c r="C390" s="50">
        <f>IF(P390="","",INDEX(前年度名簿!$C$3:$C$452,P390))</f>
        <v/>
      </c>
      <c r="D390" s="4">
        <f>IF(P390="","",INDEX(前年度名簿!$D$3:$D$452,P390))</f>
        <v/>
      </c>
      <c r="E390" s="50">
        <f>IF(T390="","",INDEX(新年度名簿!$K$3:$K$452,T390))</f>
        <v/>
      </c>
      <c r="F390" s="50">
        <f>IF(T390="","",INDEX(新年度名簿!$C$3:$C$452,T390))</f>
        <v/>
      </c>
      <c r="G390" s="50">
        <f>IF(Q390="","",INDEX(希望入力!$H$5:$H$554,Q390)&amp;"")</f>
        <v/>
      </c>
      <c r="H390" s="50">
        <f>IF(Q390="","",INDEX(希望入力!$I$5:$I$554,Q390)&amp;"")</f>
        <v/>
      </c>
      <c r="I390" s="50">
        <f>IF(Q390="","",INDEX(希望入力!$J$5:$J$554,Q390)&amp;"")</f>
        <v/>
      </c>
      <c r="J390" s="50">
        <f>IF(Q390="","",IF(G390="転出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)</f>
        <v/>
      </c>
      <c r="K390" s="49" t="n"/>
      <c r="L390" s="56">
        <f>IF(P390="","",IF(G390="転出","",IF(K390&lt;&gt;"",K390,IF(OR(J390="",J390="要調整"),"",J390))))</f>
        <v/>
      </c>
      <c r="M390" s="50">
        <f>IF(P390="","",IF(OR(G390="転出",AND(計算用!$B$1=1,T390="")),"転出",IF(L390&lt;&gt;"","決定",IF(Q390="","未提出","要調整"))))</f>
        <v/>
      </c>
      <c r="N390" s="50">
        <f>IF(OR(M390&lt;&gt;"要調整",H390=""),"",IFERROR((INDEX(設定!$Q$8:$Q$27,MATCH(H390,設定!$P$8:$P$27,0))+N(INDEX(設定!$R$8:$R$27,MATCH(H390,設定!$P$8:$P$27,0))))-INDEX(定員チェック!$I$7:$I$26,MATCH(H390,設定!$P$8:$P$27,0))-COUNTIFS($M$7:$M$456,"要調整",$G$7:$G$456,H390),""))</f>
        <v/>
      </c>
      <c r="O390" s="50">
        <f>IF(OR(M390&lt;&gt;"要調整",I390=""),"",IFERROR((INDEX(設定!$Q$8:$Q$27,MATCH(I390,設定!$P$8:$P$27,0))+N(INDEX(設定!$R$8:$R$27,MATCH(I390,設定!$P$8:$P$27,0))))-INDEX(定員チェック!$I$7:$I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IF(R390="","",IFERROR(MATCH(R390,希望入力!$M$5:$M$554,0),""))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50">
        <f>IF(P391="","",INDEX(前年度名簿!$H$3:$H$452,P391))</f>
        <v/>
      </c>
      <c r="B391" s="50">
        <f>IF(P391="","",IFERROR(INDEX(設定!$G$8:$G$31,INT(INDEX(前年度名簿!$G$3:$G$452,P391)/1000)),INDEX(前年度名簿!$A$3:$A$452,P391)&amp;INDEX(前年度名簿!$B$3:$B$452,P391)))</f>
        <v/>
      </c>
      <c r="C391" s="50">
        <f>IF(P391="","",INDEX(前年度名簿!$C$3:$C$452,P391))</f>
        <v/>
      </c>
      <c r="D391" s="4">
        <f>IF(P391="","",INDEX(前年度名簿!$D$3:$D$452,P391))</f>
        <v/>
      </c>
      <c r="E391" s="50">
        <f>IF(T391="","",INDEX(新年度名簿!$K$3:$K$452,T391))</f>
        <v/>
      </c>
      <c r="F391" s="50">
        <f>IF(T391="","",INDEX(新年度名簿!$C$3:$C$452,T391))</f>
        <v/>
      </c>
      <c r="G391" s="50">
        <f>IF(Q391="","",INDEX(希望入力!$H$5:$H$554,Q391)&amp;"")</f>
        <v/>
      </c>
      <c r="H391" s="50">
        <f>IF(Q391="","",INDEX(希望入力!$I$5:$I$554,Q391)&amp;"")</f>
        <v/>
      </c>
      <c r="I391" s="50">
        <f>IF(Q391="","",INDEX(希望入力!$J$5:$J$554,Q391)&amp;"")</f>
        <v/>
      </c>
      <c r="J391" s="50">
        <f>IF(Q391="","",IF(G391="転出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)</f>
        <v/>
      </c>
      <c r="K391" s="49" t="n"/>
      <c r="L391" s="56">
        <f>IF(P391="","",IF(G391="転出","",IF(K391&lt;&gt;"",K391,IF(OR(J391="",J391="要調整"),"",J391))))</f>
        <v/>
      </c>
      <c r="M391" s="50">
        <f>IF(P391="","",IF(OR(G391="転出",AND(計算用!$B$1=1,T391="")),"転出",IF(L391&lt;&gt;"","決定",IF(Q391="","未提出","要調整"))))</f>
        <v/>
      </c>
      <c r="N391" s="50">
        <f>IF(OR(M391&lt;&gt;"要調整",H391=""),"",IFERROR((INDEX(設定!$Q$8:$Q$27,MATCH(H391,設定!$P$8:$P$27,0))+N(INDEX(設定!$R$8:$R$27,MATCH(H391,設定!$P$8:$P$27,0))))-INDEX(定員チェック!$I$7:$I$26,MATCH(H391,設定!$P$8:$P$27,0))-COUNTIFS($M$7:$M$456,"要調整",$G$7:$G$456,H391),""))</f>
        <v/>
      </c>
      <c r="O391" s="50">
        <f>IF(OR(M391&lt;&gt;"要調整",I391=""),"",IFERROR((INDEX(設定!$Q$8:$Q$27,MATCH(I391,設定!$P$8:$P$27,0))+N(INDEX(設定!$R$8:$R$27,MATCH(I391,設定!$P$8:$P$27,0))))-INDEX(定員チェック!$I$7:$I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IF(R391="","",IFERROR(MATCH(R391,希望入力!$M$5:$M$554,0),""))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50">
        <f>IF(P392="","",INDEX(前年度名簿!$H$3:$H$452,P392))</f>
        <v/>
      </c>
      <c r="B392" s="50">
        <f>IF(P392="","",IFERROR(INDEX(設定!$G$8:$G$31,INT(INDEX(前年度名簿!$G$3:$G$452,P392)/1000)),INDEX(前年度名簿!$A$3:$A$452,P392)&amp;INDEX(前年度名簿!$B$3:$B$452,P392)))</f>
        <v/>
      </c>
      <c r="C392" s="50">
        <f>IF(P392="","",INDEX(前年度名簿!$C$3:$C$452,P392))</f>
        <v/>
      </c>
      <c r="D392" s="4">
        <f>IF(P392="","",INDEX(前年度名簿!$D$3:$D$452,P392))</f>
        <v/>
      </c>
      <c r="E392" s="50">
        <f>IF(T392="","",INDEX(新年度名簿!$K$3:$K$452,T392))</f>
        <v/>
      </c>
      <c r="F392" s="50">
        <f>IF(T392="","",INDEX(新年度名簿!$C$3:$C$452,T392))</f>
        <v/>
      </c>
      <c r="G392" s="50">
        <f>IF(Q392="","",INDEX(希望入力!$H$5:$H$554,Q392)&amp;"")</f>
        <v/>
      </c>
      <c r="H392" s="50">
        <f>IF(Q392="","",INDEX(希望入力!$I$5:$I$554,Q392)&amp;"")</f>
        <v/>
      </c>
      <c r="I392" s="50">
        <f>IF(Q392="","",INDEX(希望入力!$J$5:$J$554,Q392)&amp;"")</f>
        <v/>
      </c>
      <c r="J392" s="50">
        <f>IF(Q392="","",IF(G392="転出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)</f>
        <v/>
      </c>
      <c r="K392" s="49" t="n"/>
      <c r="L392" s="56">
        <f>IF(P392="","",IF(G392="転出","",IF(K392&lt;&gt;"",K392,IF(OR(J392="",J392="要調整"),"",J392))))</f>
        <v/>
      </c>
      <c r="M392" s="50">
        <f>IF(P392="","",IF(OR(G392="転出",AND(計算用!$B$1=1,T392="")),"転出",IF(L392&lt;&gt;"","決定",IF(Q392="","未提出","要調整"))))</f>
        <v/>
      </c>
      <c r="N392" s="50">
        <f>IF(OR(M392&lt;&gt;"要調整",H392=""),"",IFERROR((INDEX(設定!$Q$8:$Q$27,MATCH(H392,設定!$P$8:$P$27,0))+N(INDEX(設定!$R$8:$R$27,MATCH(H392,設定!$P$8:$P$27,0))))-INDEX(定員チェック!$I$7:$I$26,MATCH(H392,設定!$P$8:$P$27,0))-COUNTIFS($M$7:$M$456,"要調整",$G$7:$G$456,H392),""))</f>
        <v/>
      </c>
      <c r="O392" s="50">
        <f>IF(OR(M392&lt;&gt;"要調整",I392=""),"",IFERROR((INDEX(設定!$Q$8:$Q$27,MATCH(I392,設定!$P$8:$P$27,0))+N(INDEX(設定!$R$8:$R$27,MATCH(I392,設定!$P$8:$P$27,0))))-INDEX(定員チェック!$I$7:$I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IF(R392="","",IFERROR(MATCH(R392,希望入力!$M$5:$M$554,0),""))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50">
        <f>IF(P393="","",INDEX(前年度名簿!$H$3:$H$452,P393))</f>
        <v/>
      </c>
      <c r="B393" s="50">
        <f>IF(P393="","",IFERROR(INDEX(設定!$G$8:$G$31,INT(INDEX(前年度名簿!$G$3:$G$452,P393)/1000)),INDEX(前年度名簿!$A$3:$A$452,P393)&amp;INDEX(前年度名簿!$B$3:$B$452,P393)))</f>
        <v/>
      </c>
      <c r="C393" s="50">
        <f>IF(P393="","",INDEX(前年度名簿!$C$3:$C$452,P393))</f>
        <v/>
      </c>
      <c r="D393" s="4">
        <f>IF(P393="","",INDEX(前年度名簿!$D$3:$D$452,P393))</f>
        <v/>
      </c>
      <c r="E393" s="50">
        <f>IF(T393="","",INDEX(新年度名簿!$K$3:$K$452,T393))</f>
        <v/>
      </c>
      <c r="F393" s="50">
        <f>IF(T393="","",INDEX(新年度名簿!$C$3:$C$452,T393))</f>
        <v/>
      </c>
      <c r="G393" s="50">
        <f>IF(Q393="","",INDEX(希望入力!$H$5:$H$554,Q393)&amp;"")</f>
        <v/>
      </c>
      <c r="H393" s="50">
        <f>IF(Q393="","",INDEX(希望入力!$I$5:$I$554,Q393)&amp;"")</f>
        <v/>
      </c>
      <c r="I393" s="50">
        <f>IF(Q393="","",INDEX(希望入力!$J$5:$J$554,Q393)&amp;"")</f>
        <v/>
      </c>
      <c r="J393" s="50">
        <f>IF(Q393="","",IF(G393="転出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)</f>
        <v/>
      </c>
      <c r="K393" s="49" t="n"/>
      <c r="L393" s="56">
        <f>IF(P393="","",IF(G393="転出","",IF(K393&lt;&gt;"",K393,IF(OR(J393="",J393="要調整"),"",J393))))</f>
        <v/>
      </c>
      <c r="M393" s="50">
        <f>IF(P393="","",IF(OR(G393="転出",AND(計算用!$B$1=1,T393="")),"転出",IF(L393&lt;&gt;"","決定",IF(Q393="","未提出","要調整"))))</f>
        <v/>
      </c>
      <c r="N393" s="50">
        <f>IF(OR(M393&lt;&gt;"要調整",H393=""),"",IFERROR((INDEX(設定!$Q$8:$Q$27,MATCH(H393,設定!$P$8:$P$27,0))+N(INDEX(設定!$R$8:$R$27,MATCH(H393,設定!$P$8:$P$27,0))))-INDEX(定員チェック!$I$7:$I$26,MATCH(H393,設定!$P$8:$P$27,0))-COUNTIFS($M$7:$M$456,"要調整",$G$7:$G$456,H393),""))</f>
        <v/>
      </c>
      <c r="O393" s="50">
        <f>IF(OR(M393&lt;&gt;"要調整",I393=""),"",IFERROR((INDEX(設定!$Q$8:$Q$27,MATCH(I393,設定!$P$8:$P$27,0))+N(INDEX(設定!$R$8:$R$27,MATCH(I393,設定!$P$8:$P$27,0))))-INDEX(定員チェック!$I$7:$I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IF(R393="","",IFERROR(MATCH(R393,希望入力!$M$5:$M$554,0),""))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50">
        <f>IF(P394="","",INDEX(前年度名簿!$H$3:$H$452,P394))</f>
        <v/>
      </c>
      <c r="B394" s="50">
        <f>IF(P394="","",IFERROR(INDEX(設定!$G$8:$G$31,INT(INDEX(前年度名簿!$G$3:$G$452,P394)/1000)),INDEX(前年度名簿!$A$3:$A$452,P394)&amp;INDEX(前年度名簿!$B$3:$B$452,P394)))</f>
        <v/>
      </c>
      <c r="C394" s="50">
        <f>IF(P394="","",INDEX(前年度名簿!$C$3:$C$452,P394))</f>
        <v/>
      </c>
      <c r="D394" s="4">
        <f>IF(P394="","",INDEX(前年度名簿!$D$3:$D$452,P394))</f>
        <v/>
      </c>
      <c r="E394" s="50">
        <f>IF(T394="","",INDEX(新年度名簿!$K$3:$K$452,T394))</f>
        <v/>
      </c>
      <c r="F394" s="50">
        <f>IF(T394="","",INDEX(新年度名簿!$C$3:$C$452,T394))</f>
        <v/>
      </c>
      <c r="G394" s="50">
        <f>IF(Q394="","",INDEX(希望入力!$H$5:$H$554,Q394)&amp;"")</f>
        <v/>
      </c>
      <c r="H394" s="50">
        <f>IF(Q394="","",INDEX(希望入力!$I$5:$I$554,Q394)&amp;"")</f>
        <v/>
      </c>
      <c r="I394" s="50">
        <f>IF(Q394="","",INDEX(希望入力!$J$5:$J$554,Q394)&amp;"")</f>
        <v/>
      </c>
      <c r="J394" s="50">
        <f>IF(Q394="","",IF(G394="転出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)</f>
        <v/>
      </c>
      <c r="K394" s="49" t="n"/>
      <c r="L394" s="56">
        <f>IF(P394="","",IF(G394="転出","",IF(K394&lt;&gt;"",K394,IF(OR(J394="",J394="要調整"),"",J394))))</f>
        <v/>
      </c>
      <c r="M394" s="50">
        <f>IF(P394="","",IF(OR(G394="転出",AND(計算用!$B$1=1,T394="")),"転出",IF(L394&lt;&gt;"","決定",IF(Q394="","未提出","要調整"))))</f>
        <v/>
      </c>
      <c r="N394" s="50">
        <f>IF(OR(M394&lt;&gt;"要調整",H394=""),"",IFERROR((INDEX(設定!$Q$8:$Q$27,MATCH(H394,設定!$P$8:$P$27,0))+N(INDEX(設定!$R$8:$R$27,MATCH(H394,設定!$P$8:$P$27,0))))-INDEX(定員チェック!$I$7:$I$26,MATCH(H394,設定!$P$8:$P$27,0))-COUNTIFS($M$7:$M$456,"要調整",$G$7:$G$456,H394),""))</f>
        <v/>
      </c>
      <c r="O394" s="50">
        <f>IF(OR(M394&lt;&gt;"要調整",I394=""),"",IFERROR((INDEX(設定!$Q$8:$Q$27,MATCH(I394,設定!$P$8:$P$27,0))+N(INDEX(設定!$R$8:$R$27,MATCH(I394,設定!$P$8:$P$27,0))))-INDEX(定員チェック!$I$7:$I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IF(R394="","",IFERROR(MATCH(R394,希望入力!$M$5:$M$554,0),""))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50">
        <f>IF(P395="","",INDEX(前年度名簿!$H$3:$H$452,P395))</f>
        <v/>
      </c>
      <c r="B395" s="50">
        <f>IF(P395="","",IFERROR(INDEX(設定!$G$8:$G$31,INT(INDEX(前年度名簿!$G$3:$G$452,P395)/1000)),INDEX(前年度名簿!$A$3:$A$452,P395)&amp;INDEX(前年度名簿!$B$3:$B$452,P395)))</f>
        <v/>
      </c>
      <c r="C395" s="50">
        <f>IF(P395="","",INDEX(前年度名簿!$C$3:$C$452,P395))</f>
        <v/>
      </c>
      <c r="D395" s="4">
        <f>IF(P395="","",INDEX(前年度名簿!$D$3:$D$452,P395))</f>
        <v/>
      </c>
      <c r="E395" s="50">
        <f>IF(T395="","",INDEX(新年度名簿!$K$3:$K$452,T395))</f>
        <v/>
      </c>
      <c r="F395" s="50">
        <f>IF(T395="","",INDEX(新年度名簿!$C$3:$C$452,T395))</f>
        <v/>
      </c>
      <c r="G395" s="50">
        <f>IF(Q395="","",INDEX(希望入力!$H$5:$H$554,Q395)&amp;"")</f>
        <v/>
      </c>
      <c r="H395" s="50">
        <f>IF(Q395="","",INDEX(希望入力!$I$5:$I$554,Q395)&amp;"")</f>
        <v/>
      </c>
      <c r="I395" s="50">
        <f>IF(Q395="","",INDEX(希望入力!$J$5:$J$554,Q395)&amp;"")</f>
        <v/>
      </c>
      <c r="J395" s="50">
        <f>IF(Q395="","",IF(G395="転出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)</f>
        <v/>
      </c>
      <c r="K395" s="49" t="n"/>
      <c r="L395" s="56">
        <f>IF(P395="","",IF(G395="転出","",IF(K395&lt;&gt;"",K395,IF(OR(J395="",J395="要調整"),"",J395))))</f>
        <v/>
      </c>
      <c r="M395" s="50">
        <f>IF(P395="","",IF(OR(G395="転出",AND(計算用!$B$1=1,T395="")),"転出",IF(L395&lt;&gt;"","決定",IF(Q395="","未提出","要調整"))))</f>
        <v/>
      </c>
      <c r="N395" s="50">
        <f>IF(OR(M395&lt;&gt;"要調整",H395=""),"",IFERROR((INDEX(設定!$Q$8:$Q$27,MATCH(H395,設定!$P$8:$P$27,0))+N(INDEX(設定!$R$8:$R$27,MATCH(H395,設定!$P$8:$P$27,0))))-INDEX(定員チェック!$I$7:$I$26,MATCH(H395,設定!$P$8:$P$27,0))-COUNTIFS($M$7:$M$456,"要調整",$G$7:$G$456,H395),""))</f>
        <v/>
      </c>
      <c r="O395" s="50">
        <f>IF(OR(M395&lt;&gt;"要調整",I395=""),"",IFERROR((INDEX(設定!$Q$8:$Q$27,MATCH(I395,設定!$P$8:$P$27,0))+N(INDEX(設定!$R$8:$R$27,MATCH(I395,設定!$P$8:$P$27,0))))-INDEX(定員チェック!$I$7:$I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IF(R395="","",IFERROR(MATCH(R395,希望入力!$M$5:$M$554,0),""))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50">
        <f>IF(P396="","",INDEX(前年度名簿!$H$3:$H$452,P396))</f>
        <v/>
      </c>
      <c r="B396" s="50">
        <f>IF(P396="","",IFERROR(INDEX(設定!$G$8:$G$31,INT(INDEX(前年度名簿!$G$3:$G$452,P396)/1000)),INDEX(前年度名簿!$A$3:$A$452,P396)&amp;INDEX(前年度名簿!$B$3:$B$452,P396)))</f>
        <v/>
      </c>
      <c r="C396" s="50">
        <f>IF(P396="","",INDEX(前年度名簿!$C$3:$C$452,P396))</f>
        <v/>
      </c>
      <c r="D396" s="4">
        <f>IF(P396="","",INDEX(前年度名簿!$D$3:$D$452,P396))</f>
        <v/>
      </c>
      <c r="E396" s="50">
        <f>IF(T396="","",INDEX(新年度名簿!$K$3:$K$452,T396))</f>
        <v/>
      </c>
      <c r="F396" s="50">
        <f>IF(T396="","",INDEX(新年度名簿!$C$3:$C$452,T396))</f>
        <v/>
      </c>
      <c r="G396" s="50">
        <f>IF(Q396="","",INDEX(希望入力!$H$5:$H$554,Q396)&amp;"")</f>
        <v/>
      </c>
      <c r="H396" s="50">
        <f>IF(Q396="","",INDEX(希望入力!$I$5:$I$554,Q396)&amp;"")</f>
        <v/>
      </c>
      <c r="I396" s="50">
        <f>IF(Q396="","",INDEX(希望入力!$J$5:$J$554,Q396)&amp;"")</f>
        <v/>
      </c>
      <c r="J396" s="50">
        <f>IF(Q396="","",IF(G396="転出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)</f>
        <v/>
      </c>
      <c r="K396" s="49" t="n"/>
      <c r="L396" s="56">
        <f>IF(P396="","",IF(G396="転出","",IF(K396&lt;&gt;"",K396,IF(OR(J396="",J396="要調整"),"",J396))))</f>
        <v/>
      </c>
      <c r="M396" s="50">
        <f>IF(P396="","",IF(OR(G396="転出",AND(計算用!$B$1=1,T396="")),"転出",IF(L396&lt;&gt;"","決定",IF(Q396="","未提出","要調整"))))</f>
        <v/>
      </c>
      <c r="N396" s="50">
        <f>IF(OR(M396&lt;&gt;"要調整",H396=""),"",IFERROR((INDEX(設定!$Q$8:$Q$27,MATCH(H396,設定!$P$8:$P$27,0))+N(INDEX(設定!$R$8:$R$27,MATCH(H396,設定!$P$8:$P$27,0))))-INDEX(定員チェック!$I$7:$I$26,MATCH(H396,設定!$P$8:$P$27,0))-COUNTIFS($M$7:$M$456,"要調整",$G$7:$G$456,H396),""))</f>
        <v/>
      </c>
      <c r="O396" s="50">
        <f>IF(OR(M396&lt;&gt;"要調整",I396=""),"",IFERROR((INDEX(設定!$Q$8:$Q$27,MATCH(I396,設定!$P$8:$P$27,0))+N(INDEX(設定!$R$8:$R$27,MATCH(I396,設定!$P$8:$P$27,0))))-INDEX(定員チェック!$I$7:$I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IF(R396="","",IFERROR(MATCH(R396,希望入力!$M$5:$M$554,0),""))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50">
        <f>IF(P397="","",INDEX(前年度名簿!$H$3:$H$452,P397))</f>
        <v/>
      </c>
      <c r="B397" s="50">
        <f>IF(P397="","",IFERROR(INDEX(設定!$G$8:$G$31,INT(INDEX(前年度名簿!$G$3:$G$452,P397)/1000)),INDEX(前年度名簿!$A$3:$A$452,P397)&amp;INDEX(前年度名簿!$B$3:$B$452,P397)))</f>
        <v/>
      </c>
      <c r="C397" s="50">
        <f>IF(P397="","",INDEX(前年度名簿!$C$3:$C$452,P397))</f>
        <v/>
      </c>
      <c r="D397" s="4">
        <f>IF(P397="","",INDEX(前年度名簿!$D$3:$D$452,P397))</f>
        <v/>
      </c>
      <c r="E397" s="50">
        <f>IF(T397="","",INDEX(新年度名簿!$K$3:$K$452,T397))</f>
        <v/>
      </c>
      <c r="F397" s="50">
        <f>IF(T397="","",INDEX(新年度名簿!$C$3:$C$452,T397))</f>
        <v/>
      </c>
      <c r="G397" s="50">
        <f>IF(Q397="","",INDEX(希望入力!$H$5:$H$554,Q397)&amp;"")</f>
        <v/>
      </c>
      <c r="H397" s="50">
        <f>IF(Q397="","",INDEX(希望入力!$I$5:$I$554,Q397)&amp;"")</f>
        <v/>
      </c>
      <c r="I397" s="50">
        <f>IF(Q397="","",INDEX(希望入力!$J$5:$J$554,Q397)&amp;"")</f>
        <v/>
      </c>
      <c r="J397" s="50">
        <f>IF(Q397="","",IF(G397="転出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)</f>
        <v/>
      </c>
      <c r="K397" s="49" t="n"/>
      <c r="L397" s="56">
        <f>IF(P397="","",IF(G397="転出","",IF(K397&lt;&gt;"",K397,IF(OR(J397="",J397="要調整"),"",J397))))</f>
        <v/>
      </c>
      <c r="M397" s="50">
        <f>IF(P397="","",IF(OR(G397="転出",AND(計算用!$B$1=1,T397="")),"転出",IF(L397&lt;&gt;"","決定",IF(Q397="","未提出","要調整"))))</f>
        <v/>
      </c>
      <c r="N397" s="50">
        <f>IF(OR(M397&lt;&gt;"要調整",H397=""),"",IFERROR((INDEX(設定!$Q$8:$Q$27,MATCH(H397,設定!$P$8:$P$27,0))+N(INDEX(設定!$R$8:$R$27,MATCH(H397,設定!$P$8:$P$27,0))))-INDEX(定員チェック!$I$7:$I$26,MATCH(H397,設定!$P$8:$P$27,0))-COUNTIFS($M$7:$M$456,"要調整",$G$7:$G$456,H397),""))</f>
        <v/>
      </c>
      <c r="O397" s="50">
        <f>IF(OR(M397&lt;&gt;"要調整",I397=""),"",IFERROR((INDEX(設定!$Q$8:$Q$27,MATCH(I397,設定!$P$8:$P$27,0))+N(INDEX(設定!$R$8:$R$27,MATCH(I397,設定!$P$8:$P$27,0))))-INDEX(定員チェック!$I$7:$I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IF(R397="","",IFERROR(MATCH(R397,希望入力!$M$5:$M$554,0),""))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50">
        <f>IF(P398="","",INDEX(前年度名簿!$H$3:$H$452,P398))</f>
        <v/>
      </c>
      <c r="B398" s="50">
        <f>IF(P398="","",IFERROR(INDEX(設定!$G$8:$G$31,INT(INDEX(前年度名簿!$G$3:$G$452,P398)/1000)),INDEX(前年度名簿!$A$3:$A$452,P398)&amp;INDEX(前年度名簿!$B$3:$B$452,P398)))</f>
        <v/>
      </c>
      <c r="C398" s="50">
        <f>IF(P398="","",INDEX(前年度名簿!$C$3:$C$452,P398))</f>
        <v/>
      </c>
      <c r="D398" s="4">
        <f>IF(P398="","",INDEX(前年度名簿!$D$3:$D$452,P398))</f>
        <v/>
      </c>
      <c r="E398" s="50">
        <f>IF(T398="","",INDEX(新年度名簿!$K$3:$K$452,T398))</f>
        <v/>
      </c>
      <c r="F398" s="50">
        <f>IF(T398="","",INDEX(新年度名簿!$C$3:$C$452,T398))</f>
        <v/>
      </c>
      <c r="G398" s="50">
        <f>IF(Q398="","",INDEX(希望入力!$H$5:$H$554,Q398)&amp;"")</f>
        <v/>
      </c>
      <c r="H398" s="50">
        <f>IF(Q398="","",INDEX(希望入力!$I$5:$I$554,Q398)&amp;"")</f>
        <v/>
      </c>
      <c r="I398" s="50">
        <f>IF(Q398="","",INDEX(希望入力!$J$5:$J$554,Q398)&amp;"")</f>
        <v/>
      </c>
      <c r="J398" s="50">
        <f>IF(Q398="","",IF(G398="転出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)</f>
        <v/>
      </c>
      <c r="K398" s="49" t="n"/>
      <c r="L398" s="56">
        <f>IF(P398="","",IF(G398="転出","",IF(K398&lt;&gt;"",K398,IF(OR(J398="",J398="要調整"),"",J398))))</f>
        <v/>
      </c>
      <c r="M398" s="50">
        <f>IF(P398="","",IF(OR(G398="転出",AND(計算用!$B$1=1,T398="")),"転出",IF(L398&lt;&gt;"","決定",IF(Q398="","未提出","要調整"))))</f>
        <v/>
      </c>
      <c r="N398" s="50">
        <f>IF(OR(M398&lt;&gt;"要調整",H398=""),"",IFERROR((INDEX(設定!$Q$8:$Q$27,MATCH(H398,設定!$P$8:$P$27,0))+N(INDEX(設定!$R$8:$R$27,MATCH(H398,設定!$P$8:$P$27,0))))-INDEX(定員チェック!$I$7:$I$26,MATCH(H398,設定!$P$8:$P$27,0))-COUNTIFS($M$7:$M$456,"要調整",$G$7:$G$456,H398),""))</f>
        <v/>
      </c>
      <c r="O398" s="50">
        <f>IF(OR(M398&lt;&gt;"要調整",I398=""),"",IFERROR((INDEX(設定!$Q$8:$Q$27,MATCH(I398,設定!$P$8:$P$27,0))+N(INDEX(設定!$R$8:$R$27,MATCH(I398,設定!$P$8:$P$27,0))))-INDEX(定員チェック!$I$7:$I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IF(R398="","",IFERROR(MATCH(R398,希望入力!$M$5:$M$554,0),""))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50">
        <f>IF(P399="","",INDEX(前年度名簿!$H$3:$H$452,P399))</f>
        <v/>
      </c>
      <c r="B399" s="50">
        <f>IF(P399="","",IFERROR(INDEX(設定!$G$8:$G$31,INT(INDEX(前年度名簿!$G$3:$G$452,P399)/1000)),INDEX(前年度名簿!$A$3:$A$452,P399)&amp;INDEX(前年度名簿!$B$3:$B$452,P399)))</f>
        <v/>
      </c>
      <c r="C399" s="50">
        <f>IF(P399="","",INDEX(前年度名簿!$C$3:$C$452,P399))</f>
        <v/>
      </c>
      <c r="D399" s="4">
        <f>IF(P399="","",INDEX(前年度名簿!$D$3:$D$452,P399))</f>
        <v/>
      </c>
      <c r="E399" s="50">
        <f>IF(T399="","",INDEX(新年度名簿!$K$3:$K$452,T399))</f>
        <v/>
      </c>
      <c r="F399" s="50">
        <f>IF(T399="","",INDEX(新年度名簿!$C$3:$C$452,T399))</f>
        <v/>
      </c>
      <c r="G399" s="50">
        <f>IF(Q399="","",INDEX(希望入力!$H$5:$H$554,Q399)&amp;"")</f>
        <v/>
      </c>
      <c r="H399" s="50">
        <f>IF(Q399="","",INDEX(希望入力!$I$5:$I$554,Q399)&amp;"")</f>
        <v/>
      </c>
      <c r="I399" s="50">
        <f>IF(Q399="","",INDEX(希望入力!$J$5:$J$554,Q399)&amp;"")</f>
        <v/>
      </c>
      <c r="J399" s="50">
        <f>IF(Q399="","",IF(G399="転出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)</f>
        <v/>
      </c>
      <c r="K399" s="49" t="n"/>
      <c r="L399" s="56">
        <f>IF(P399="","",IF(G399="転出","",IF(K399&lt;&gt;"",K399,IF(OR(J399="",J399="要調整"),"",J399))))</f>
        <v/>
      </c>
      <c r="M399" s="50">
        <f>IF(P399="","",IF(OR(G399="転出",AND(計算用!$B$1=1,T399="")),"転出",IF(L399&lt;&gt;"","決定",IF(Q399="","未提出","要調整"))))</f>
        <v/>
      </c>
      <c r="N399" s="50">
        <f>IF(OR(M399&lt;&gt;"要調整",H399=""),"",IFERROR((INDEX(設定!$Q$8:$Q$27,MATCH(H399,設定!$P$8:$P$27,0))+N(INDEX(設定!$R$8:$R$27,MATCH(H399,設定!$P$8:$P$27,0))))-INDEX(定員チェック!$I$7:$I$26,MATCH(H399,設定!$P$8:$P$27,0))-COUNTIFS($M$7:$M$456,"要調整",$G$7:$G$456,H399),""))</f>
        <v/>
      </c>
      <c r="O399" s="50">
        <f>IF(OR(M399&lt;&gt;"要調整",I399=""),"",IFERROR((INDEX(設定!$Q$8:$Q$27,MATCH(I399,設定!$P$8:$P$27,0))+N(INDEX(設定!$R$8:$R$27,MATCH(I399,設定!$P$8:$P$27,0))))-INDEX(定員チェック!$I$7:$I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IF(R399="","",IFERROR(MATCH(R399,希望入力!$M$5:$M$554,0),""))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50">
        <f>IF(P400="","",INDEX(前年度名簿!$H$3:$H$452,P400))</f>
        <v/>
      </c>
      <c r="B400" s="50">
        <f>IF(P400="","",IFERROR(INDEX(設定!$G$8:$G$31,INT(INDEX(前年度名簿!$G$3:$G$452,P400)/1000)),INDEX(前年度名簿!$A$3:$A$452,P400)&amp;INDEX(前年度名簿!$B$3:$B$452,P400)))</f>
        <v/>
      </c>
      <c r="C400" s="50">
        <f>IF(P400="","",INDEX(前年度名簿!$C$3:$C$452,P400))</f>
        <v/>
      </c>
      <c r="D400" s="4">
        <f>IF(P400="","",INDEX(前年度名簿!$D$3:$D$452,P400))</f>
        <v/>
      </c>
      <c r="E400" s="50">
        <f>IF(T400="","",INDEX(新年度名簿!$K$3:$K$452,T400))</f>
        <v/>
      </c>
      <c r="F400" s="50">
        <f>IF(T400="","",INDEX(新年度名簿!$C$3:$C$452,T400))</f>
        <v/>
      </c>
      <c r="G400" s="50">
        <f>IF(Q400="","",INDEX(希望入力!$H$5:$H$554,Q400)&amp;"")</f>
        <v/>
      </c>
      <c r="H400" s="50">
        <f>IF(Q400="","",INDEX(希望入力!$I$5:$I$554,Q400)&amp;"")</f>
        <v/>
      </c>
      <c r="I400" s="50">
        <f>IF(Q400="","",INDEX(希望入力!$J$5:$J$554,Q400)&amp;"")</f>
        <v/>
      </c>
      <c r="J400" s="50">
        <f>IF(Q400="","",IF(G400="転出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)</f>
        <v/>
      </c>
      <c r="K400" s="49" t="n"/>
      <c r="L400" s="56">
        <f>IF(P400="","",IF(G400="転出","",IF(K400&lt;&gt;"",K400,IF(OR(J400="",J400="要調整"),"",J400))))</f>
        <v/>
      </c>
      <c r="M400" s="50">
        <f>IF(P400="","",IF(OR(G400="転出",AND(計算用!$B$1=1,T400="")),"転出",IF(L400&lt;&gt;"","決定",IF(Q400="","未提出","要調整"))))</f>
        <v/>
      </c>
      <c r="N400" s="50">
        <f>IF(OR(M400&lt;&gt;"要調整",H400=""),"",IFERROR((INDEX(設定!$Q$8:$Q$27,MATCH(H400,設定!$P$8:$P$27,0))+N(INDEX(設定!$R$8:$R$27,MATCH(H400,設定!$P$8:$P$27,0))))-INDEX(定員チェック!$I$7:$I$26,MATCH(H400,設定!$P$8:$P$27,0))-COUNTIFS($M$7:$M$456,"要調整",$G$7:$G$456,H400),""))</f>
        <v/>
      </c>
      <c r="O400" s="50">
        <f>IF(OR(M400&lt;&gt;"要調整",I400=""),"",IFERROR((INDEX(設定!$Q$8:$Q$27,MATCH(I400,設定!$P$8:$P$27,0))+N(INDEX(設定!$R$8:$R$27,MATCH(I400,設定!$P$8:$P$27,0))))-INDEX(定員チェック!$I$7:$I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IF(R400="","",IFERROR(MATCH(R400,希望入力!$M$5:$M$554,0),""))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50">
        <f>IF(P401="","",INDEX(前年度名簿!$H$3:$H$452,P401))</f>
        <v/>
      </c>
      <c r="B401" s="50">
        <f>IF(P401="","",IFERROR(INDEX(設定!$G$8:$G$31,INT(INDEX(前年度名簿!$G$3:$G$452,P401)/1000)),INDEX(前年度名簿!$A$3:$A$452,P401)&amp;INDEX(前年度名簿!$B$3:$B$452,P401)))</f>
        <v/>
      </c>
      <c r="C401" s="50">
        <f>IF(P401="","",INDEX(前年度名簿!$C$3:$C$452,P401))</f>
        <v/>
      </c>
      <c r="D401" s="4">
        <f>IF(P401="","",INDEX(前年度名簿!$D$3:$D$452,P401))</f>
        <v/>
      </c>
      <c r="E401" s="50">
        <f>IF(T401="","",INDEX(新年度名簿!$K$3:$K$452,T401))</f>
        <v/>
      </c>
      <c r="F401" s="50">
        <f>IF(T401="","",INDEX(新年度名簿!$C$3:$C$452,T401))</f>
        <v/>
      </c>
      <c r="G401" s="50">
        <f>IF(Q401="","",INDEX(希望入力!$H$5:$H$554,Q401)&amp;"")</f>
        <v/>
      </c>
      <c r="H401" s="50">
        <f>IF(Q401="","",INDEX(希望入力!$I$5:$I$554,Q401)&amp;"")</f>
        <v/>
      </c>
      <c r="I401" s="50">
        <f>IF(Q401="","",INDEX(希望入力!$J$5:$J$554,Q401)&amp;"")</f>
        <v/>
      </c>
      <c r="J401" s="50">
        <f>IF(Q401="","",IF(G401="転出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)</f>
        <v/>
      </c>
      <c r="K401" s="49" t="n"/>
      <c r="L401" s="56">
        <f>IF(P401="","",IF(G401="転出","",IF(K401&lt;&gt;"",K401,IF(OR(J401="",J401="要調整"),"",J401))))</f>
        <v/>
      </c>
      <c r="M401" s="50">
        <f>IF(P401="","",IF(OR(G401="転出",AND(計算用!$B$1=1,T401="")),"転出",IF(L401&lt;&gt;"","決定",IF(Q401="","未提出","要調整"))))</f>
        <v/>
      </c>
      <c r="N401" s="50">
        <f>IF(OR(M401&lt;&gt;"要調整",H401=""),"",IFERROR((INDEX(設定!$Q$8:$Q$27,MATCH(H401,設定!$P$8:$P$27,0))+N(INDEX(設定!$R$8:$R$27,MATCH(H401,設定!$P$8:$P$27,0))))-INDEX(定員チェック!$I$7:$I$26,MATCH(H401,設定!$P$8:$P$27,0))-COUNTIFS($M$7:$M$456,"要調整",$G$7:$G$456,H401),""))</f>
        <v/>
      </c>
      <c r="O401" s="50">
        <f>IF(OR(M401&lt;&gt;"要調整",I401=""),"",IFERROR((INDEX(設定!$Q$8:$Q$27,MATCH(I401,設定!$P$8:$P$27,0))+N(INDEX(設定!$R$8:$R$27,MATCH(I401,設定!$P$8:$P$27,0))))-INDEX(定員チェック!$I$7:$I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IF(R401="","",IFERROR(MATCH(R401,希望入力!$M$5:$M$554,0),""))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50">
        <f>IF(P402="","",INDEX(前年度名簿!$H$3:$H$452,P402))</f>
        <v/>
      </c>
      <c r="B402" s="50">
        <f>IF(P402="","",IFERROR(INDEX(設定!$G$8:$G$31,INT(INDEX(前年度名簿!$G$3:$G$452,P402)/1000)),INDEX(前年度名簿!$A$3:$A$452,P402)&amp;INDEX(前年度名簿!$B$3:$B$452,P402)))</f>
        <v/>
      </c>
      <c r="C402" s="50">
        <f>IF(P402="","",INDEX(前年度名簿!$C$3:$C$452,P402))</f>
        <v/>
      </c>
      <c r="D402" s="4">
        <f>IF(P402="","",INDEX(前年度名簿!$D$3:$D$452,P402))</f>
        <v/>
      </c>
      <c r="E402" s="50">
        <f>IF(T402="","",INDEX(新年度名簿!$K$3:$K$452,T402))</f>
        <v/>
      </c>
      <c r="F402" s="50">
        <f>IF(T402="","",INDEX(新年度名簿!$C$3:$C$452,T402))</f>
        <v/>
      </c>
      <c r="G402" s="50">
        <f>IF(Q402="","",INDEX(希望入力!$H$5:$H$554,Q402)&amp;"")</f>
        <v/>
      </c>
      <c r="H402" s="50">
        <f>IF(Q402="","",INDEX(希望入力!$I$5:$I$554,Q402)&amp;"")</f>
        <v/>
      </c>
      <c r="I402" s="50">
        <f>IF(Q402="","",INDEX(希望入力!$J$5:$J$554,Q402)&amp;"")</f>
        <v/>
      </c>
      <c r="J402" s="50">
        <f>IF(Q402="","",IF(G402="転出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)</f>
        <v/>
      </c>
      <c r="K402" s="49" t="n"/>
      <c r="L402" s="56">
        <f>IF(P402="","",IF(G402="転出","",IF(K402&lt;&gt;"",K402,IF(OR(J402="",J402="要調整"),"",J402))))</f>
        <v/>
      </c>
      <c r="M402" s="50">
        <f>IF(P402="","",IF(OR(G402="転出",AND(計算用!$B$1=1,T402="")),"転出",IF(L402&lt;&gt;"","決定",IF(Q402="","未提出","要調整"))))</f>
        <v/>
      </c>
      <c r="N402" s="50">
        <f>IF(OR(M402&lt;&gt;"要調整",H402=""),"",IFERROR((INDEX(設定!$Q$8:$Q$27,MATCH(H402,設定!$P$8:$P$27,0))+N(INDEX(設定!$R$8:$R$27,MATCH(H402,設定!$P$8:$P$27,0))))-INDEX(定員チェック!$I$7:$I$26,MATCH(H402,設定!$P$8:$P$27,0))-COUNTIFS($M$7:$M$456,"要調整",$G$7:$G$456,H402),""))</f>
        <v/>
      </c>
      <c r="O402" s="50">
        <f>IF(OR(M402&lt;&gt;"要調整",I402=""),"",IFERROR((INDEX(設定!$Q$8:$Q$27,MATCH(I402,設定!$P$8:$P$27,0))+N(INDEX(設定!$R$8:$R$27,MATCH(I402,設定!$P$8:$P$27,0))))-INDEX(定員チェック!$I$7:$I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IF(R402="","",IFERROR(MATCH(R402,希望入力!$M$5:$M$554,0),""))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50">
        <f>IF(P403="","",INDEX(前年度名簿!$H$3:$H$452,P403))</f>
        <v/>
      </c>
      <c r="B403" s="50">
        <f>IF(P403="","",IFERROR(INDEX(設定!$G$8:$G$31,INT(INDEX(前年度名簿!$G$3:$G$452,P403)/1000)),INDEX(前年度名簿!$A$3:$A$452,P403)&amp;INDEX(前年度名簿!$B$3:$B$452,P403)))</f>
        <v/>
      </c>
      <c r="C403" s="50">
        <f>IF(P403="","",INDEX(前年度名簿!$C$3:$C$452,P403))</f>
        <v/>
      </c>
      <c r="D403" s="4">
        <f>IF(P403="","",INDEX(前年度名簿!$D$3:$D$452,P403))</f>
        <v/>
      </c>
      <c r="E403" s="50">
        <f>IF(T403="","",INDEX(新年度名簿!$K$3:$K$452,T403))</f>
        <v/>
      </c>
      <c r="F403" s="50">
        <f>IF(T403="","",INDEX(新年度名簿!$C$3:$C$452,T403))</f>
        <v/>
      </c>
      <c r="G403" s="50">
        <f>IF(Q403="","",INDEX(希望入力!$H$5:$H$554,Q403)&amp;"")</f>
        <v/>
      </c>
      <c r="H403" s="50">
        <f>IF(Q403="","",INDEX(希望入力!$I$5:$I$554,Q403)&amp;"")</f>
        <v/>
      </c>
      <c r="I403" s="50">
        <f>IF(Q403="","",INDEX(希望入力!$J$5:$J$554,Q403)&amp;"")</f>
        <v/>
      </c>
      <c r="J403" s="50">
        <f>IF(Q403="","",IF(G403="転出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)</f>
        <v/>
      </c>
      <c r="K403" s="49" t="n"/>
      <c r="L403" s="56">
        <f>IF(P403="","",IF(G403="転出","",IF(K403&lt;&gt;"",K403,IF(OR(J403="",J403="要調整"),"",J403))))</f>
        <v/>
      </c>
      <c r="M403" s="50">
        <f>IF(P403="","",IF(OR(G403="転出",AND(計算用!$B$1=1,T403="")),"転出",IF(L403&lt;&gt;"","決定",IF(Q403="","未提出","要調整"))))</f>
        <v/>
      </c>
      <c r="N403" s="50">
        <f>IF(OR(M403&lt;&gt;"要調整",H403=""),"",IFERROR((INDEX(設定!$Q$8:$Q$27,MATCH(H403,設定!$P$8:$P$27,0))+N(INDEX(設定!$R$8:$R$27,MATCH(H403,設定!$P$8:$P$27,0))))-INDEX(定員チェック!$I$7:$I$26,MATCH(H403,設定!$P$8:$P$27,0))-COUNTIFS($M$7:$M$456,"要調整",$G$7:$G$456,H403),""))</f>
        <v/>
      </c>
      <c r="O403" s="50">
        <f>IF(OR(M403&lt;&gt;"要調整",I403=""),"",IFERROR((INDEX(設定!$Q$8:$Q$27,MATCH(I403,設定!$P$8:$P$27,0))+N(INDEX(設定!$R$8:$R$27,MATCH(I403,設定!$P$8:$P$27,0))))-INDEX(定員チェック!$I$7:$I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IF(R403="","",IFERROR(MATCH(R403,希望入力!$M$5:$M$554,0),""))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50">
        <f>IF(P404="","",INDEX(前年度名簿!$H$3:$H$452,P404))</f>
        <v/>
      </c>
      <c r="B404" s="50">
        <f>IF(P404="","",IFERROR(INDEX(設定!$G$8:$G$31,INT(INDEX(前年度名簿!$G$3:$G$452,P404)/1000)),INDEX(前年度名簿!$A$3:$A$452,P404)&amp;INDEX(前年度名簿!$B$3:$B$452,P404)))</f>
        <v/>
      </c>
      <c r="C404" s="50">
        <f>IF(P404="","",INDEX(前年度名簿!$C$3:$C$452,P404))</f>
        <v/>
      </c>
      <c r="D404" s="4">
        <f>IF(P404="","",INDEX(前年度名簿!$D$3:$D$452,P404))</f>
        <v/>
      </c>
      <c r="E404" s="50">
        <f>IF(T404="","",INDEX(新年度名簿!$K$3:$K$452,T404))</f>
        <v/>
      </c>
      <c r="F404" s="50">
        <f>IF(T404="","",INDEX(新年度名簿!$C$3:$C$452,T404))</f>
        <v/>
      </c>
      <c r="G404" s="50">
        <f>IF(Q404="","",INDEX(希望入力!$H$5:$H$554,Q404)&amp;"")</f>
        <v/>
      </c>
      <c r="H404" s="50">
        <f>IF(Q404="","",INDEX(希望入力!$I$5:$I$554,Q404)&amp;"")</f>
        <v/>
      </c>
      <c r="I404" s="50">
        <f>IF(Q404="","",INDEX(希望入力!$J$5:$J$554,Q404)&amp;"")</f>
        <v/>
      </c>
      <c r="J404" s="50">
        <f>IF(Q404="","",IF(G404="転出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)</f>
        <v/>
      </c>
      <c r="K404" s="49" t="n"/>
      <c r="L404" s="56">
        <f>IF(P404="","",IF(G404="転出","",IF(K404&lt;&gt;"",K404,IF(OR(J404="",J404="要調整"),"",J404))))</f>
        <v/>
      </c>
      <c r="M404" s="50">
        <f>IF(P404="","",IF(OR(G404="転出",AND(計算用!$B$1=1,T404="")),"転出",IF(L404&lt;&gt;"","決定",IF(Q404="","未提出","要調整"))))</f>
        <v/>
      </c>
      <c r="N404" s="50">
        <f>IF(OR(M404&lt;&gt;"要調整",H404=""),"",IFERROR((INDEX(設定!$Q$8:$Q$27,MATCH(H404,設定!$P$8:$P$27,0))+N(INDEX(設定!$R$8:$R$27,MATCH(H404,設定!$P$8:$P$27,0))))-INDEX(定員チェック!$I$7:$I$26,MATCH(H404,設定!$P$8:$P$27,0))-COUNTIFS($M$7:$M$456,"要調整",$G$7:$G$456,H404),""))</f>
        <v/>
      </c>
      <c r="O404" s="50">
        <f>IF(OR(M404&lt;&gt;"要調整",I404=""),"",IFERROR((INDEX(設定!$Q$8:$Q$27,MATCH(I404,設定!$P$8:$P$27,0))+N(INDEX(設定!$R$8:$R$27,MATCH(I404,設定!$P$8:$P$27,0))))-INDEX(定員チェック!$I$7:$I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IF(R404="","",IFERROR(MATCH(R404,希望入力!$M$5:$M$554,0),""))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50">
        <f>IF(P405="","",INDEX(前年度名簿!$H$3:$H$452,P405))</f>
        <v/>
      </c>
      <c r="B405" s="50">
        <f>IF(P405="","",IFERROR(INDEX(設定!$G$8:$G$31,INT(INDEX(前年度名簿!$G$3:$G$452,P405)/1000)),INDEX(前年度名簿!$A$3:$A$452,P405)&amp;INDEX(前年度名簿!$B$3:$B$452,P405)))</f>
        <v/>
      </c>
      <c r="C405" s="50">
        <f>IF(P405="","",INDEX(前年度名簿!$C$3:$C$452,P405))</f>
        <v/>
      </c>
      <c r="D405" s="4">
        <f>IF(P405="","",INDEX(前年度名簿!$D$3:$D$452,P405))</f>
        <v/>
      </c>
      <c r="E405" s="50">
        <f>IF(T405="","",INDEX(新年度名簿!$K$3:$K$452,T405))</f>
        <v/>
      </c>
      <c r="F405" s="50">
        <f>IF(T405="","",INDEX(新年度名簿!$C$3:$C$452,T405))</f>
        <v/>
      </c>
      <c r="G405" s="50">
        <f>IF(Q405="","",INDEX(希望入力!$H$5:$H$554,Q405)&amp;"")</f>
        <v/>
      </c>
      <c r="H405" s="50">
        <f>IF(Q405="","",INDEX(希望入力!$I$5:$I$554,Q405)&amp;"")</f>
        <v/>
      </c>
      <c r="I405" s="50">
        <f>IF(Q405="","",INDEX(希望入力!$J$5:$J$554,Q405)&amp;"")</f>
        <v/>
      </c>
      <c r="J405" s="50">
        <f>IF(Q405="","",IF(G405="転出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)</f>
        <v/>
      </c>
      <c r="K405" s="49" t="n"/>
      <c r="L405" s="56">
        <f>IF(P405="","",IF(G405="転出","",IF(K405&lt;&gt;"",K405,IF(OR(J405="",J405="要調整"),"",J405))))</f>
        <v/>
      </c>
      <c r="M405" s="50">
        <f>IF(P405="","",IF(OR(G405="転出",AND(計算用!$B$1=1,T405="")),"転出",IF(L405&lt;&gt;"","決定",IF(Q405="","未提出","要調整"))))</f>
        <v/>
      </c>
      <c r="N405" s="50">
        <f>IF(OR(M405&lt;&gt;"要調整",H405=""),"",IFERROR((INDEX(設定!$Q$8:$Q$27,MATCH(H405,設定!$P$8:$P$27,0))+N(INDEX(設定!$R$8:$R$27,MATCH(H405,設定!$P$8:$P$27,0))))-INDEX(定員チェック!$I$7:$I$26,MATCH(H405,設定!$P$8:$P$27,0))-COUNTIFS($M$7:$M$456,"要調整",$G$7:$G$456,H405),""))</f>
        <v/>
      </c>
      <c r="O405" s="50">
        <f>IF(OR(M405&lt;&gt;"要調整",I405=""),"",IFERROR((INDEX(設定!$Q$8:$Q$27,MATCH(I405,設定!$P$8:$P$27,0))+N(INDEX(設定!$R$8:$R$27,MATCH(I405,設定!$P$8:$P$27,0))))-INDEX(定員チェック!$I$7:$I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IF(R405="","",IFERROR(MATCH(R405,希望入力!$M$5:$M$554,0),""))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50">
        <f>IF(P406="","",INDEX(前年度名簿!$H$3:$H$452,P406))</f>
        <v/>
      </c>
      <c r="B406" s="50">
        <f>IF(P406="","",IFERROR(INDEX(設定!$G$8:$G$31,INT(INDEX(前年度名簿!$G$3:$G$452,P406)/1000)),INDEX(前年度名簿!$A$3:$A$452,P406)&amp;INDEX(前年度名簿!$B$3:$B$452,P406)))</f>
        <v/>
      </c>
      <c r="C406" s="50">
        <f>IF(P406="","",INDEX(前年度名簿!$C$3:$C$452,P406))</f>
        <v/>
      </c>
      <c r="D406" s="4">
        <f>IF(P406="","",INDEX(前年度名簿!$D$3:$D$452,P406))</f>
        <v/>
      </c>
      <c r="E406" s="50">
        <f>IF(T406="","",INDEX(新年度名簿!$K$3:$K$452,T406))</f>
        <v/>
      </c>
      <c r="F406" s="50">
        <f>IF(T406="","",INDEX(新年度名簿!$C$3:$C$452,T406))</f>
        <v/>
      </c>
      <c r="G406" s="50">
        <f>IF(Q406="","",INDEX(希望入力!$H$5:$H$554,Q406)&amp;"")</f>
        <v/>
      </c>
      <c r="H406" s="50">
        <f>IF(Q406="","",INDEX(希望入力!$I$5:$I$554,Q406)&amp;"")</f>
        <v/>
      </c>
      <c r="I406" s="50">
        <f>IF(Q406="","",INDEX(希望入力!$J$5:$J$554,Q406)&amp;"")</f>
        <v/>
      </c>
      <c r="J406" s="50">
        <f>IF(Q406="","",IF(G406="転出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)</f>
        <v/>
      </c>
      <c r="K406" s="49" t="n"/>
      <c r="L406" s="56">
        <f>IF(P406="","",IF(G406="転出","",IF(K406&lt;&gt;"",K406,IF(OR(J406="",J406="要調整"),"",J406))))</f>
        <v/>
      </c>
      <c r="M406" s="50">
        <f>IF(P406="","",IF(OR(G406="転出",AND(計算用!$B$1=1,T406="")),"転出",IF(L406&lt;&gt;"","決定",IF(Q406="","未提出","要調整"))))</f>
        <v/>
      </c>
      <c r="N406" s="50">
        <f>IF(OR(M406&lt;&gt;"要調整",H406=""),"",IFERROR((INDEX(設定!$Q$8:$Q$27,MATCH(H406,設定!$P$8:$P$27,0))+N(INDEX(設定!$R$8:$R$27,MATCH(H406,設定!$P$8:$P$27,0))))-INDEX(定員チェック!$I$7:$I$26,MATCH(H406,設定!$P$8:$P$27,0))-COUNTIFS($M$7:$M$456,"要調整",$G$7:$G$456,H406),""))</f>
        <v/>
      </c>
      <c r="O406" s="50">
        <f>IF(OR(M406&lt;&gt;"要調整",I406=""),"",IFERROR((INDEX(設定!$Q$8:$Q$27,MATCH(I406,設定!$P$8:$P$27,0))+N(INDEX(設定!$R$8:$R$27,MATCH(I406,設定!$P$8:$P$27,0))))-INDEX(定員チェック!$I$7:$I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IF(R406="","",IFERROR(MATCH(R406,希望入力!$M$5:$M$554,0),""))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50">
        <f>IF(P407="","",INDEX(前年度名簿!$H$3:$H$452,P407))</f>
        <v/>
      </c>
      <c r="B407" s="50">
        <f>IF(P407="","",IFERROR(INDEX(設定!$G$8:$G$31,INT(INDEX(前年度名簿!$G$3:$G$452,P407)/1000)),INDEX(前年度名簿!$A$3:$A$452,P407)&amp;INDEX(前年度名簿!$B$3:$B$452,P407)))</f>
        <v/>
      </c>
      <c r="C407" s="50">
        <f>IF(P407="","",INDEX(前年度名簿!$C$3:$C$452,P407))</f>
        <v/>
      </c>
      <c r="D407" s="4">
        <f>IF(P407="","",INDEX(前年度名簿!$D$3:$D$452,P407))</f>
        <v/>
      </c>
      <c r="E407" s="50">
        <f>IF(T407="","",INDEX(新年度名簿!$K$3:$K$452,T407))</f>
        <v/>
      </c>
      <c r="F407" s="50">
        <f>IF(T407="","",INDEX(新年度名簿!$C$3:$C$452,T407))</f>
        <v/>
      </c>
      <c r="G407" s="50">
        <f>IF(Q407="","",INDEX(希望入力!$H$5:$H$554,Q407)&amp;"")</f>
        <v/>
      </c>
      <c r="H407" s="50">
        <f>IF(Q407="","",INDEX(希望入力!$I$5:$I$554,Q407)&amp;"")</f>
        <v/>
      </c>
      <c r="I407" s="50">
        <f>IF(Q407="","",INDEX(希望入力!$J$5:$J$554,Q407)&amp;"")</f>
        <v/>
      </c>
      <c r="J407" s="50">
        <f>IF(Q407="","",IF(G407="転出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)</f>
        <v/>
      </c>
      <c r="K407" s="49" t="n"/>
      <c r="L407" s="56">
        <f>IF(P407="","",IF(G407="転出","",IF(K407&lt;&gt;"",K407,IF(OR(J407="",J407="要調整"),"",J407))))</f>
        <v/>
      </c>
      <c r="M407" s="50">
        <f>IF(P407="","",IF(OR(G407="転出",AND(計算用!$B$1=1,T407="")),"転出",IF(L407&lt;&gt;"","決定",IF(Q407="","未提出","要調整"))))</f>
        <v/>
      </c>
      <c r="N407" s="50">
        <f>IF(OR(M407&lt;&gt;"要調整",H407=""),"",IFERROR((INDEX(設定!$Q$8:$Q$27,MATCH(H407,設定!$P$8:$P$27,0))+N(INDEX(設定!$R$8:$R$27,MATCH(H407,設定!$P$8:$P$27,0))))-INDEX(定員チェック!$I$7:$I$26,MATCH(H407,設定!$P$8:$P$27,0))-COUNTIFS($M$7:$M$456,"要調整",$G$7:$G$456,H407),""))</f>
        <v/>
      </c>
      <c r="O407" s="50">
        <f>IF(OR(M407&lt;&gt;"要調整",I407=""),"",IFERROR((INDEX(設定!$Q$8:$Q$27,MATCH(I407,設定!$P$8:$P$27,0))+N(INDEX(設定!$R$8:$R$27,MATCH(I407,設定!$P$8:$P$27,0))))-INDEX(定員チェック!$I$7:$I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IF(R407="","",IFERROR(MATCH(R407,希望入力!$M$5:$M$554,0),""))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50">
        <f>IF(P408="","",INDEX(前年度名簿!$H$3:$H$452,P408))</f>
        <v/>
      </c>
      <c r="B408" s="50">
        <f>IF(P408="","",IFERROR(INDEX(設定!$G$8:$G$31,INT(INDEX(前年度名簿!$G$3:$G$452,P408)/1000)),INDEX(前年度名簿!$A$3:$A$452,P408)&amp;INDEX(前年度名簿!$B$3:$B$452,P408)))</f>
        <v/>
      </c>
      <c r="C408" s="50">
        <f>IF(P408="","",INDEX(前年度名簿!$C$3:$C$452,P408))</f>
        <v/>
      </c>
      <c r="D408" s="4">
        <f>IF(P408="","",INDEX(前年度名簿!$D$3:$D$452,P408))</f>
        <v/>
      </c>
      <c r="E408" s="50">
        <f>IF(T408="","",INDEX(新年度名簿!$K$3:$K$452,T408))</f>
        <v/>
      </c>
      <c r="F408" s="50">
        <f>IF(T408="","",INDEX(新年度名簿!$C$3:$C$452,T408))</f>
        <v/>
      </c>
      <c r="G408" s="50">
        <f>IF(Q408="","",INDEX(希望入力!$H$5:$H$554,Q408)&amp;"")</f>
        <v/>
      </c>
      <c r="H408" s="50">
        <f>IF(Q408="","",INDEX(希望入力!$I$5:$I$554,Q408)&amp;"")</f>
        <v/>
      </c>
      <c r="I408" s="50">
        <f>IF(Q408="","",INDEX(希望入力!$J$5:$J$554,Q408)&amp;"")</f>
        <v/>
      </c>
      <c r="J408" s="50">
        <f>IF(Q408="","",IF(G408="転出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)</f>
        <v/>
      </c>
      <c r="K408" s="49" t="n"/>
      <c r="L408" s="56">
        <f>IF(P408="","",IF(G408="転出","",IF(K408&lt;&gt;"",K408,IF(OR(J408="",J408="要調整"),"",J408))))</f>
        <v/>
      </c>
      <c r="M408" s="50">
        <f>IF(P408="","",IF(OR(G408="転出",AND(計算用!$B$1=1,T408="")),"転出",IF(L408&lt;&gt;"","決定",IF(Q408="","未提出","要調整"))))</f>
        <v/>
      </c>
      <c r="N408" s="50">
        <f>IF(OR(M408&lt;&gt;"要調整",H408=""),"",IFERROR((INDEX(設定!$Q$8:$Q$27,MATCH(H408,設定!$P$8:$P$27,0))+N(INDEX(設定!$R$8:$R$27,MATCH(H408,設定!$P$8:$P$27,0))))-INDEX(定員チェック!$I$7:$I$26,MATCH(H408,設定!$P$8:$P$27,0))-COUNTIFS($M$7:$M$456,"要調整",$G$7:$G$456,H408),""))</f>
        <v/>
      </c>
      <c r="O408" s="50">
        <f>IF(OR(M408&lt;&gt;"要調整",I408=""),"",IFERROR((INDEX(設定!$Q$8:$Q$27,MATCH(I408,設定!$P$8:$P$27,0))+N(INDEX(設定!$R$8:$R$27,MATCH(I408,設定!$P$8:$P$27,0))))-INDEX(定員チェック!$I$7:$I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IF(R408="","",IFERROR(MATCH(R408,希望入力!$M$5:$M$554,0),""))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50">
        <f>IF(P409="","",INDEX(前年度名簿!$H$3:$H$452,P409))</f>
        <v/>
      </c>
      <c r="B409" s="50">
        <f>IF(P409="","",IFERROR(INDEX(設定!$G$8:$G$31,INT(INDEX(前年度名簿!$G$3:$G$452,P409)/1000)),INDEX(前年度名簿!$A$3:$A$452,P409)&amp;INDEX(前年度名簿!$B$3:$B$452,P409)))</f>
        <v/>
      </c>
      <c r="C409" s="50">
        <f>IF(P409="","",INDEX(前年度名簿!$C$3:$C$452,P409))</f>
        <v/>
      </c>
      <c r="D409" s="4">
        <f>IF(P409="","",INDEX(前年度名簿!$D$3:$D$452,P409))</f>
        <v/>
      </c>
      <c r="E409" s="50">
        <f>IF(T409="","",INDEX(新年度名簿!$K$3:$K$452,T409))</f>
        <v/>
      </c>
      <c r="F409" s="50">
        <f>IF(T409="","",INDEX(新年度名簿!$C$3:$C$452,T409))</f>
        <v/>
      </c>
      <c r="G409" s="50">
        <f>IF(Q409="","",INDEX(希望入力!$H$5:$H$554,Q409)&amp;"")</f>
        <v/>
      </c>
      <c r="H409" s="50">
        <f>IF(Q409="","",INDEX(希望入力!$I$5:$I$554,Q409)&amp;"")</f>
        <v/>
      </c>
      <c r="I409" s="50">
        <f>IF(Q409="","",INDEX(希望入力!$J$5:$J$554,Q409)&amp;"")</f>
        <v/>
      </c>
      <c r="J409" s="50">
        <f>IF(Q409="","",IF(G409="転出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)</f>
        <v/>
      </c>
      <c r="K409" s="49" t="n"/>
      <c r="L409" s="56">
        <f>IF(P409="","",IF(G409="転出","",IF(K409&lt;&gt;"",K409,IF(OR(J409="",J409="要調整"),"",J409))))</f>
        <v/>
      </c>
      <c r="M409" s="50">
        <f>IF(P409="","",IF(OR(G409="転出",AND(計算用!$B$1=1,T409="")),"転出",IF(L409&lt;&gt;"","決定",IF(Q409="","未提出","要調整"))))</f>
        <v/>
      </c>
      <c r="N409" s="50">
        <f>IF(OR(M409&lt;&gt;"要調整",H409=""),"",IFERROR((INDEX(設定!$Q$8:$Q$27,MATCH(H409,設定!$P$8:$P$27,0))+N(INDEX(設定!$R$8:$R$27,MATCH(H409,設定!$P$8:$P$27,0))))-INDEX(定員チェック!$I$7:$I$26,MATCH(H409,設定!$P$8:$P$27,0))-COUNTIFS($M$7:$M$456,"要調整",$G$7:$G$456,H409),""))</f>
        <v/>
      </c>
      <c r="O409" s="50">
        <f>IF(OR(M409&lt;&gt;"要調整",I409=""),"",IFERROR((INDEX(設定!$Q$8:$Q$27,MATCH(I409,設定!$P$8:$P$27,0))+N(INDEX(設定!$R$8:$R$27,MATCH(I409,設定!$P$8:$P$27,0))))-INDEX(定員チェック!$I$7:$I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IF(R409="","",IFERROR(MATCH(R409,希望入力!$M$5:$M$554,0),""))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50">
        <f>IF(P410="","",INDEX(前年度名簿!$H$3:$H$452,P410))</f>
        <v/>
      </c>
      <c r="B410" s="50">
        <f>IF(P410="","",IFERROR(INDEX(設定!$G$8:$G$31,INT(INDEX(前年度名簿!$G$3:$G$452,P410)/1000)),INDEX(前年度名簿!$A$3:$A$452,P410)&amp;INDEX(前年度名簿!$B$3:$B$452,P410)))</f>
        <v/>
      </c>
      <c r="C410" s="50">
        <f>IF(P410="","",INDEX(前年度名簿!$C$3:$C$452,P410))</f>
        <v/>
      </c>
      <c r="D410" s="4">
        <f>IF(P410="","",INDEX(前年度名簿!$D$3:$D$452,P410))</f>
        <v/>
      </c>
      <c r="E410" s="50">
        <f>IF(T410="","",INDEX(新年度名簿!$K$3:$K$452,T410))</f>
        <v/>
      </c>
      <c r="F410" s="50">
        <f>IF(T410="","",INDEX(新年度名簿!$C$3:$C$452,T410))</f>
        <v/>
      </c>
      <c r="G410" s="50">
        <f>IF(Q410="","",INDEX(希望入力!$H$5:$H$554,Q410)&amp;"")</f>
        <v/>
      </c>
      <c r="H410" s="50">
        <f>IF(Q410="","",INDEX(希望入力!$I$5:$I$554,Q410)&amp;"")</f>
        <v/>
      </c>
      <c r="I410" s="50">
        <f>IF(Q410="","",INDEX(希望入力!$J$5:$J$554,Q410)&amp;"")</f>
        <v/>
      </c>
      <c r="J410" s="50">
        <f>IF(Q410="","",IF(G410="転出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)</f>
        <v/>
      </c>
      <c r="K410" s="49" t="n"/>
      <c r="L410" s="56">
        <f>IF(P410="","",IF(G410="転出","",IF(K410&lt;&gt;"",K410,IF(OR(J410="",J410="要調整"),"",J410))))</f>
        <v/>
      </c>
      <c r="M410" s="50">
        <f>IF(P410="","",IF(OR(G410="転出",AND(計算用!$B$1=1,T410="")),"転出",IF(L410&lt;&gt;"","決定",IF(Q410="","未提出","要調整"))))</f>
        <v/>
      </c>
      <c r="N410" s="50">
        <f>IF(OR(M410&lt;&gt;"要調整",H410=""),"",IFERROR((INDEX(設定!$Q$8:$Q$27,MATCH(H410,設定!$P$8:$P$27,0))+N(INDEX(設定!$R$8:$R$27,MATCH(H410,設定!$P$8:$P$27,0))))-INDEX(定員チェック!$I$7:$I$26,MATCH(H410,設定!$P$8:$P$27,0))-COUNTIFS($M$7:$M$456,"要調整",$G$7:$G$456,H410),""))</f>
        <v/>
      </c>
      <c r="O410" s="50">
        <f>IF(OR(M410&lt;&gt;"要調整",I410=""),"",IFERROR((INDEX(設定!$Q$8:$Q$27,MATCH(I410,設定!$P$8:$P$27,0))+N(INDEX(設定!$R$8:$R$27,MATCH(I410,設定!$P$8:$P$27,0))))-INDEX(定員チェック!$I$7:$I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IF(R410="","",IFERROR(MATCH(R410,希望入力!$M$5:$M$554,0),""))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50">
        <f>IF(P411="","",INDEX(前年度名簿!$H$3:$H$452,P411))</f>
        <v/>
      </c>
      <c r="B411" s="50">
        <f>IF(P411="","",IFERROR(INDEX(設定!$G$8:$G$31,INT(INDEX(前年度名簿!$G$3:$G$452,P411)/1000)),INDEX(前年度名簿!$A$3:$A$452,P411)&amp;INDEX(前年度名簿!$B$3:$B$452,P411)))</f>
        <v/>
      </c>
      <c r="C411" s="50">
        <f>IF(P411="","",INDEX(前年度名簿!$C$3:$C$452,P411))</f>
        <v/>
      </c>
      <c r="D411" s="4">
        <f>IF(P411="","",INDEX(前年度名簿!$D$3:$D$452,P411))</f>
        <v/>
      </c>
      <c r="E411" s="50">
        <f>IF(T411="","",INDEX(新年度名簿!$K$3:$K$452,T411))</f>
        <v/>
      </c>
      <c r="F411" s="50">
        <f>IF(T411="","",INDEX(新年度名簿!$C$3:$C$452,T411))</f>
        <v/>
      </c>
      <c r="G411" s="50">
        <f>IF(Q411="","",INDEX(希望入力!$H$5:$H$554,Q411)&amp;"")</f>
        <v/>
      </c>
      <c r="H411" s="50">
        <f>IF(Q411="","",INDEX(希望入力!$I$5:$I$554,Q411)&amp;"")</f>
        <v/>
      </c>
      <c r="I411" s="50">
        <f>IF(Q411="","",INDEX(希望入力!$J$5:$J$554,Q411)&amp;"")</f>
        <v/>
      </c>
      <c r="J411" s="50">
        <f>IF(Q411="","",IF(G411="転出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)</f>
        <v/>
      </c>
      <c r="K411" s="49" t="n"/>
      <c r="L411" s="56">
        <f>IF(P411="","",IF(G411="転出","",IF(K411&lt;&gt;"",K411,IF(OR(J411="",J411="要調整"),"",J411))))</f>
        <v/>
      </c>
      <c r="M411" s="50">
        <f>IF(P411="","",IF(OR(G411="転出",AND(計算用!$B$1=1,T411="")),"転出",IF(L411&lt;&gt;"","決定",IF(Q411="","未提出","要調整"))))</f>
        <v/>
      </c>
      <c r="N411" s="50">
        <f>IF(OR(M411&lt;&gt;"要調整",H411=""),"",IFERROR((INDEX(設定!$Q$8:$Q$27,MATCH(H411,設定!$P$8:$P$27,0))+N(INDEX(設定!$R$8:$R$27,MATCH(H411,設定!$P$8:$P$27,0))))-INDEX(定員チェック!$I$7:$I$26,MATCH(H411,設定!$P$8:$P$27,0))-COUNTIFS($M$7:$M$456,"要調整",$G$7:$G$456,H411),""))</f>
        <v/>
      </c>
      <c r="O411" s="50">
        <f>IF(OR(M411&lt;&gt;"要調整",I411=""),"",IFERROR((INDEX(設定!$Q$8:$Q$27,MATCH(I411,設定!$P$8:$P$27,0))+N(INDEX(設定!$R$8:$R$27,MATCH(I411,設定!$P$8:$P$27,0))))-INDEX(定員チェック!$I$7:$I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IF(R411="","",IFERROR(MATCH(R411,希望入力!$M$5:$M$554,0),""))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50">
        <f>IF(P412="","",INDEX(前年度名簿!$H$3:$H$452,P412))</f>
        <v/>
      </c>
      <c r="B412" s="50">
        <f>IF(P412="","",IFERROR(INDEX(設定!$G$8:$G$31,INT(INDEX(前年度名簿!$G$3:$G$452,P412)/1000)),INDEX(前年度名簿!$A$3:$A$452,P412)&amp;INDEX(前年度名簿!$B$3:$B$452,P412)))</f>
        <v/>
      </c>
      <c r="C412" s="50">
        <f>IF(P412="","",INDEX(前年度名簿!$C$3:$C$452,P412))</f>
        <v/>
      </c>
      <c r="D412" s="4">
        <f>IF(P412="","",INDEX(前年度名簿!$D$3:$D$452,P412))</f>
        <v/>
      </c>
      <c r="E412" s="50">
        <f>IF(T412="","",INDEX(新年度名簿!$K$3:$K$452,T412))</f>
        <v/>
      </c>
      <c r="F412" s="50">
        <f>IF(T412="","",INDEX(新年度名簿!$C$3:$C$452,T412))</f>
        <v/>
      </c>
      <c r="G412" s="50">
        <f>IF(Q412="","",INDEX(希望入力!$H$5:$H$554,Q412)&amp;"")</f>
        <v/>
      </c>
      <c r="H412" s="50">
        <f>IF(Q412="","",INDEX(希望入力!$I$5:$I$554,Q412)&amp;"")</f>
        <v/>
      </c>
      <c r="I412" s="50">
        <f>IF(Q412="","",INDEX(希望入力!$J$5:$J$554,Q412)&amp;"")</f>
        <v/>
      </c>
      <c r="J412" s="50">
        <f>IF(Q412="","",IF(G412="転出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)</f>
        <v/>
      </c>
      <c r="K412" s="49" t="n"/>
      <c r="L412" s="56">
        <f>IF(P412="","",IF(G412="転出","",IF(K412&lt;&gt;"",K412,IF(OR(J412="",J412="要調整"),"",J412))))</f>
        <v/>
      </c>
      <c r="M412" s="50">
        <f>IF(P412="","",IF(OR(G412="転出",AND(計算用!$B$1=1,T412="")),"転出",IF(L412&lt;&gt;"","決定",IF(Q412="","未提出","要調整"))))</f>
        <v/>
      </c>
      <c r="N412" s="50">
        <f>IF(OR(M412&lt;&gt;"要調整",H412=""),"",IFERROR((INDEX(設定!$Q$8:$Q$27,MATCH(H412,設定!$P$8:$P$27,0))+N(INDEX(設定!$R$8:$R$27,MATCH(H412,設定!$P$8:$P$27,0))))-INDEX(定員チェック!$I$7:$I$26,MATCH(H412,設定!$P$8:$P$27,0))-COUNTIFS($M$7:$M$456,"要調整",$G$7:$G$456,H412),""))</f>
        <v/>
      </c>
      <c r="O412" s="50">
        <f>IF(OR(M412&lt;&gt;"要調整",I412=""),"",IFERROR((INDEX(設定!$Q$8:$Q$27,MATCH(I412,設定!$P$8:$P$27,0))+N(INDEX(設定!$R$8:$R$27,MATCH(I412,設定!$P$8:$P$27,0))))-INDEX(定員チェック!$I$7:$I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IF(R412="","",IFERROR(MATCH(R412,希望入力!$M$5:$M$554,0),""))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50">
        <f>IF(P413="","",INDEX(前年度名簿!$H$3:$H$452,P413))</f>
        <v/>
      </c>
      <c r="B413" s="50">
        <f>IF(P413="","",IFERROR(INDEX(設定!$G$8:$G$31,INT(INDEX(前年度名簿!$G$3:$G$452,P413)/1000)),INDEX(前年度名簿!$A$3:$A$452,P413)&amp;INDEX(前年度名簿!$B$3:$B$452,P413)))</f>
        <v/>
      </c>
      <c r="C413" s="50">
        <f>IF(P413="","",INDEX(前年度名簿!$C$3:$C$452,P413))</f>
        <v/>
      </c>
      <c r="D413" s="4">
        <f>IF(P413="","",INDEX(前年度名簿!$D$3:$D$452,P413))</f>
        <v/>
      </c>
      <c r="E413" s="50">
        <f>IF(T413="","",INDEX(新年度名簿!$K$3:$K$452,T413))</f>
        <v/>
      </c>
      <c r="F413" s="50">
        <f>IF(T413="","",INDEX(新年度名簿!$C$3:$C$452,T413))</f>
        <v/>
      </c>
      <c r="G413" s="50">
        <f>IF(Q413="","",INDEX(希望入力!$H$5:$H$554,Q413)&amp;"")</f>
        <v/>
      </c>
      <c r="H413" s="50">
        <f>IF(Q413="","",INDEX(希望入力!$I$5:$I$554,Q413)&amp;"")</f>
        <v/>
      </c>
      <c r="I413" s="50">
        <f>IF(Q413="","",INDEX(希望入力!$J$5:$J$554,Q413)&amp;"")</f>
        <v/>
      </c>
      <c r="J413" s="50">
        <f>IF(Q413="","",IF(G413="転出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)</f>
        <v/>
      </c>
      <c r="K413" s="49" t="n"/>
      <c r="L413" s="56">
        <f>IF(P413="","",IF(G413="転出","",IF(K413&lt;&gt;"",K413,IF(OR(J413="",J413="要調整"),"",J413))))</f>
        <v/>
      </c>
      <c r="M413" s="50">
        <f>IF(P413="","",IF(OR(G413="転出",AND(計算用!$B$1=1,T413="")),"転出",IF(L413&lt;&gt;"","決定",IF(Q413="","未提出","要調整"))))</f>
        <v/>
      </c>
      <c r="N413" s="50">
        <f>IF(OR(M413&lt;&gt;"要調整",H413=""),"",IFERROR((INDEX(設定!$Q$8:$Q$27,MATCH(H413,設定!$P$8:$P$27,0))+N(INDEX(設定!$R$8:$R$27,MATCH(H413,設定!$P$8:$P$27,0))))-INDEX(定員チェック!$I$7:$I$26,MATCH(H413,設定!$P$8:$P$27,0))-COUNTIFS($M$7:$M$456,"要調整",$G$7:$G$456,H413),""))</f>
        <v/>
      </c>
      <c r="O413" s="50">
        <f>IF(OR(M413&lt;&gt;"要調整",I413=""),"",IFERROR((INDEX(設定!$Q$8:$Q$27,MATCH(I413,設定!$P$8:$P$27,0))+N(INDEX(設定!$R$8:$R$27,MATCH(I413,設定!$P$8:$P$27,0))))-INDEX(定員チェック!$I$7:$I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IF(R413="","",IFERROR(MATCH(R413,希望入力!$M$5:$M$554,0),""))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50">
        <f>IF(P414="","",INDEX(前年度名簿!$H$3:$H$452,P414))</f>
        <v/>
      </c>
      <c r="B414" s="50">
        <f>IF(P414="","",IFERROR(INDEX(設定!$G$8:$G$31,INT(INDEX(前年度名簿!$G$3:$G$452,P414)/1000)),INDEX(前年度名簿!$A$3:$A$452,P414)&amp;INDEX(前年度名簿!$B$3:$B$452,P414)))</f>
        <v/>
      </c>
      <c r="C414" s="50">
        <f>IF(P414="","",INDEX(前年度名簿!$C$3:$C$452,P414))</f>
        <v/>
      </c>
      <c r="D414" s="4">
        <f>IF(P414="","",INDEX(前年度名簿!$D$3:$D$452,P414))</f>
        <v/>
      </c>
      <c r="E414" s="50">
        <f>IF(T414="","",INDEX(新年度名簿!$K$3:$K$452,T414))</f>
        <v/>
      </c>
      <c r="F414" s="50">
        <f>IF(T414="","",INDEX(新年度名簿!$C$3:$C$452,T414))</f>
        <v/>
      </c>
      <c r="G414" s="50">
        <f>IF(Q414="","",INDEX(希望入力!$H$5:$H$554,Q414)&amp;"")</f>
        <v/>
      </c>
      <c r="H414" s="50">
        <f>IF(Q414="","",INDEX(希望入力!$I$5:$I$554,Q414)&amp;"")</f>
        <v/>
      </c>
      <c r="I414" s="50">
        <f>IF(Q414="","",INDEX(希望入力!$J$5:$J$554,Q414)&amp;"")</f>
        <v/>
      </c>
      <c r="J414" s="50">
        <f>IF(Q414="","",IF(G414="転出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)</f>
        <v/>
      </c>
      <c r="K414" s="49" t="n"/>
      <c r="L414" s="56">
        <f>IF(P414="","",IF(G414="転出","",IF(K414&lt;&gt;"",K414,IF(OR(J414="",J414="要調整"),"",J414))))</f>
        <v/>
      </c>
      <c r="M414" s="50">
        <f>IF(P414="","",IF(OR(G414="転出",AND(計算用!$B$1=1,T414="")),"転出",IF(L414&lt;&gt;"","決定",IF(Q414="","未提出","要調整"))))</f>
        <v/>
      </c>
      <c r="N414" s="50">
        <f>IF(OR(M414&lt;&gt;"要調整",H414=""),"",IFERROR((INDEX(設定!$Q$8:$Q$27,MATCH(H414,設定!$P$8:$P$27,0))+N(INDEX(設定!$R$8:$R$27,MATCH(H414,設定!$P$8:$P$27,0))))-INDEX(定員チェック!$I$7:$I$26,MATCH(H414,設定!$P$8:$P$27,0))-COUNTIFS($M$7:$M$456,"要調整",$G$7:$G$456,H414),""))</f>
        <v/>
      </c>
      <c r="O414" s="50">
        <f>IF(OR(M414&lt;&gt;"要調整",I414=""),"",IFERROR((INDEX(設定!$Q$8:$Q$27,MATCH(I414,設定!$P$8:$P$27,0))+N(INDEX(設定!$R$8:$R$27,MATCH(I414,設定!$P$8:$P$27,0))))-INDEX(定員チェック!$I$7:$I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IF(R414="","",IFERROR(MATCH(R414,希望入力!$M$5:$M$554,0),""))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50">
        <f>IF(P415="","",INDEX(前年度名簿!$H$3:$H$452,P415))</f>
        <v/>
      </c>
      <c r="B415" s="50">
        <f>IF(P415="","",IFERROR(INDEX(設定!$G$8:$G$31,INT(INDEX(前年度名簿!$G$3:$G$452,P415)/1000)),INDEX(前年度名簿!$A$3:$A$452,P415)&amp;INDEX(前年度名簿!$B$3:$B$452,P415)))</f>
        <v/>
      </c>
      <c r="C415" s="50">
        <f>IF(P415="","",INDEX(前年度名簿!$C$3:$C$452,P415))</f>
        <v/>
      </c>
      <c r="D415" s="4">
        <f>IF(P415="","",INDEX(前年度名簿!$D$3:$D$452,P415))</f>
        <v/>
      </c>
      <c r="E415" s="50">
        <f>IF(T415="","",INDEX(新年度名簿!$K$3:$K$452,T415))</f>
        <v/>
      </c>
      <c r="F415" s="50">
        <f>IF(T415="","",INDEX(新年度名簿!$C$3:$C$452,T415))</f>
        <v/>
      </c>
      <c r="G415" s="50">
        <f>IF(Q415="","",INDEX(希望入力!$H$5:$H$554,Q415)&amp;"")</f>
        <v/>
      </c>
      <c r="H415" s="50">
        <f>IF(Q415="","",INDEX(希望入力!$I$5:$I$554,Q415)&amp;"")</f>
        <v/>
      </c>
      <c r="I415" s="50">
        <f>IF(Q415="","",INDEX(希望入力!$J$5:$J$554,Q415)&amp;"")</f>
        <v/>
      </c>
      <c r="J415" s="50">
        <f>IF(Q415="","",IF(G415="転出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)</f>
        <v/>
      </c>
      <c r="K415" s="49" t="n"/>
      <c r="L415" s="56">
        <f>IF(P415="","",IF(G415="転出","",IF(K415&lt;&gt;"",K415,IF(OR(J415="",J415="要調整"),"",J415))))</f>
        <v/>
      </c>
      <c r="M415" s="50">
        <f>IF(P415="","",IF(OR(G415="転出",AND(計算用!$B$1=1,T415="")),"転出",IF(L415&lt;&gt;"","決定",IF(Q415="","未提出","要調整"))))</f>
        <v/>
      </c>
      <c r="N415" s="50">
        <f>IF(OR(M415&lt;&gt;"要調整",H415=""),"",IFERROR((INDEX(設定!$Q$8:$Q$27,MATCH(H415,設定!$P$8:$P$27,0))+N(INDEX(設定!$R$8:$R$27,MATCH(H415,設定!$P$8:$P$27,0))))-INDEX(定員チェック!$I$7:$I$26,MATCH(H415,設定!$P$8:$P$27,0))-COUNTIFS($M$7:$M$456,"要調整",$G$7:$G$456,H415),""))</f>
        <v/>
      </c>
      <c r="O415" s="50">
        <f>IF(OR(M415&lt;&gt;"要調整",I415=""),"",IFERROR((INDEX(設定!$Q$8:$Q$27,MATCH(I415,設定!$P$8:$P$27,0))+N(INDEX(設定!$R$8:$R$27,MATCH(I415,設定!$P$8:$P$27,0))))-INDEX(定員チェック!$I$7:$I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IF(R415="","",IFERROR(MATCH(R415,希望入力!$M$5:$M$554,0),""))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50">
        <f>IF(P416="","",INDEX(前年度名簿!$H$3:$H$452,P416))</f>
        <v/>
      </c>
      <c r="B416" s="50">
        <f>IF(P416="","",IFERROR(INDEX(設定!$G$8:$G$31,INT(INDEX(前年度名簿!$G$3:$G$452,P416)/1000)),INDEX(前年度名簿!$A$3:$A$452,P416)&amp;INDEX(前年度名簿!$B$3:$B$452,P416)))</f>
        <v/>
      </c>
      <c r="C416" s="50">
        <f>IF(P416="","",INDEX(前年度名簿!$C$3:$C$452,P416))</f>
        <v/>
      </c>
      <c r="D416" s="4">
        <f>IF(P416="","",INDEX(前年度名簿!$D$3:$D$452,P416))</f>
        <v/>
      </c>
      <c r="E416" s="50">
        <f>IF(T416="","",INDEX(新年度名簿!$K$3:$K$452,T416))</f>
        <v/>
      </c>
      <c r="F416" s="50">
        <f>IF(T416="","",INDEX(新年度名簿!$C$3:$C$452,T416))</f>
        <v/>
      </c>
      <c r="G416" s="50">
        <f>IF(Q416="","",INDEX(希望入力!$H$5:$H$554,Q416)&amp;"")</f>
        <v/>
      </c>
      <c r="H416" s="50">
        <f>IF(Q416="","",INDEX(希望入力!$I$5:$I$554,Q416)&amp;"")</f>
        <v/>
      </c>
      <c r="I416" s="50">
        <f>IF(Q416="","",INDEX(希望入力!$J$5:$J$554,Q416)&amp;"")</f>
        <v/>
      </c>
      <c r="J416" s="50">
        <f>IF(Q416="","",IF(G416="転出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)</f>
        <v/>
      </c>
      <c r="K416" s="49" t="n"/>
      <c r="L416" s="56">
        <f>IF(P416="","",IF(G416="転出","",IF(K416&lt;&gt;"",K416,IF(OR(J416="",J416="要調整"),"",J416))))</f>
        <v/>
      </c>
      <c r="M416" s="50">
        <f>IF(P416="","",IF(OR(G416="転出",AND(計算用!$B$1=1,T416="")),"転出",IF(L416&lt;&gt;"","決定",IF(Q416="","未提出","要調整"))))</f>
        <v/>
      </c>
      <c r="N416" s="50">
        <f>IF(OR(M416&lt;&gt;"要調整",H416=""),"",IFERROR((INDEX(設定!$Q$8:$Q$27,MATCH(H416,設定!$P$8:$P$27,0))+N(INDEX(設定!$R$8:$R$27,MATCH(H416,設定!$P$8:$P$27,0))))-INDEX(定員チェック!$I$7:$I$26,MATCH(H416,設定!$P$8:$P$27,0))-COUNTIFS($M$7:$M$456,"要調整",$G$7:$G$456,H416),""))</f>
        <v/>
      </c>
      <c r="O416" s="50">
        <f>IF(OR(M416&lt;&gt;"要調整",I416=""),"",IFERROR((INDEX(設定!$Q$8:$Q$27,MATCH(I416,設定!$P$8:$P$27,0))+N(INDEX(設定!$R$8:$R$27,MATCH(I416,設定!$P$8:$P$27,0))))-INDEX(定員チェック!$I$7:$I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IF(R416="","",IFERROR(MATCH(R416,希望入力!$M$5:$M$554,0),""))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50">
        <f>IF(P417="","",INDEX(前年度名簿!$H$3:$H$452,P417))</f>
        <v/>
      </c>
      <c r="B417" s="50">
        <f>IF(P417="","",IFERROR(INDEX(設定!$G$8:$G$31,INT(INDEX(前年度名簿!$G$3:$G$452,P417)/1000)),INDEX(前年度名簿!$A$3:$A$452,P417)&amp;INDEX(前年度名簿!$B$3:$B$452,P417)))</f>
        <v/>
      </c>
      <c r="C417" s="50">
        <f>IF(P417="","",INDEX(前年度名簿!$C$3:$C$452,P417))</f>
        <v/>
      </c>
      <c r="D417" s="4">
        <f>IF(P417="","",INDEX(前年度名簿!$D$3:$D$452,P417))</f>
        <v/>
      </c>
      <c r="E417" s="50">
        <f>IF(T417="","",INDEX(新年度名簿!$K$3:$K$452,T417))</f>
        <v/>
      </c>
      <c r="F417" s="50">
        <f>IF(T417="","",INDEX(新年度名簿!$C$3:$C$452,T417))</f>
        <v/>
      </c>
      <c r="G417" s="50">
        <f>IF(Q417="","",INDEX(希望入力!$H$5:$H$554,Q417)&amp;"")</f>
        <v/>
      </c>
      <c r="H417" s="50">
        <f>IF(Q417="","",INDEX(希望入力!$I$5:$I$554,Q417)&amp;"")</f>
        <v/>
      </c>
      <c r="I417" s="50">
        <f>IF(Q417="","",INDEX(希望入力!$J$5:$J$554,Q417)&amp;"")</f>
        <v/>
      </c>
      <c r="J417" s="50">
        <f>IF(Q417="","",IF(G417="転出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)</f>
        <v/>
      </c>
      <c r="K417" s="49" t="n"/>
      <c r="L417" s="56">
        <f>IF(P417="","",IF(G417="転出","",IF(K417&lt;&gt;"",K417,IF(OR(J417="",J417="要調整"),"",J417))))</f>
        <v/>
      </c>
      <c r="M417" s="50">
        <f>IF(P417="","",IF(OR(G417="転出",AND(計算用!$B$1=1,T417="")),"転出",IF(L417&lt;&gt;"","決定",IF(Q417="","未提出","要調整"))))</f>
        <v/>
      </c>
      <c r="N417" s="50">
        <f>IF(OR(M417&lt;&gt;"要調整",H417=""),"",IFERROR((INDEX(設定!$Q$8:$Q$27,MATCH(H417,設定!$P$8:$P$27,0))+N(INDEX(設定!$R$8:$R$27,MATCH(H417,設定!$P$8:$P$27,0))))-INDEX(定員チェック!$I$7:$I$26,MATCH(H417,設定!$P$8:$P$27,0))-COUNTIFS($M$7:$M$456,"要調整",$G$7:$G$456,H417),""))</f>
        <v/>
      </c>
      <c r="O417" s="50">
        <f>IF(OR(M417&lt;&gt;"要調整",I417=""),"",IFERROR((INDEX(設定!$Q$8:$Q$27,MATCH(I417,設定!$P$8:$P$27,0))+N(INDEX(設定!$R$8:$R$27,MATCH(I417,設定!$P$8:$P$27,0))))-INDEX(定員チェック!$I$7:$I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IF(R417="","",IFERROR(MATCH(R417,希望入力!$M$5:$M$554,0),""))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50">
        <f>IF(P418="","",INDEX(前年度名簿!$H$3:$H$452,P418))</f>
        <v/>
      </c>
      <c r="B418" s="50">
        <f>IF(P418="","",IFERROR(INDEX(設定!$G$8:$G$31,INT(INDEX(前年度名簿!$G$3:$G$452,P418)/1000)),INDEX(前年度名簿!$A$3:$A$452,P418)&amp;INDEX(前年度名簿!$B$3:$B$452,P418)))</f>
        <v/>
      </c>
      <c r="C418" s="50">
        <f>IF(P418="","",INDEX(前年度名簿!$C$3:$C$452,P418))</f>
        <v/>
      </c>
      <c r="D418" s="4">
        <f>IF(P418="","",INDEX(前年度名簿!$D$3:$D$452,P418))</f>
        <v/>
      </c>
      <c r="E418" s="50">
        <f>IF(T418="","",INDEX(新年度名簿!$K$3:$K$452,T418))</f>
        <v/>
      </c>
      <c r="F418" s="50">
        <f>IF(T418="","",INDEX(新年度名簿!$C$3:$C$452,T418))</f>
        <v/>
      </c>
      <c r="G418" s="50">
        <f>IF(Q418="","",INDEX(希望入力!$H$5:$H$554,Q418)&amp;"")</f>
        <v/>
      </c>
      <c r="H418" s="50">
        <f>IF(Q418="","",INDEX(希望入力!$I$5:$I$554,Q418)&amp;"")</f>
        <v/>
      </c>
      <c r="I418" s="50">
        <f>IF(Q418="","",INDEX(希望入力!$J$5:$J$554,Q418)&amp;"")</f>
        <v/>
      </c>
      <c r="J418" s="50">
        <f>IF(Q418="","",IF(G418="転出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)</f>
        <v/>
      </c>
      <c r="K418" s="49" t="n"/>
      <c r="L418" s="56">
        <f>IF(P418="","",IF(G418="転出","",IF(K418&lt;&gt;"",K418,IF(OR(J418="",J418="要調整"),"",J418))))</f>
        <v/>
      </c>
      <c r="M418" s="50">
        <f>IF(P418="","",IF(OR(G418="転出",AND(計算用!$B$1=1,T418="")),"転出",IF(L418&lt;&gt;"","決定",IF(Q418="","未提出","要調整"))))</f>
        <v/>
      </c>
      <c r="N418" s="50">
        <f>IF(OR(M418&lt;&gt;"要調整",H418=""),"",IFERROR((INDEX(設定!$Q$8:$Q$27,MATCH(H418,設定!$P$8:$P$27,0))+N(INDEX(設定!$R$8:$R$27,MATCH(H418,設定!$P$8:$P$27,0))))-INDEX(定員チェック!$I$7:$I$26,MATCH(H418,設定!$P$8:$P$27,0))-COUNTIFS($M$7:$M$456,"要調整",$G$7:$G$456,H418),""))</f>
        <v/>
      </c>
      <c r="O418" s="50">
        <f>IF(OR(M418&lt;&gt;"要調整",I418=""),"",IFERROR((INDEX(設定!$Q$8:$Q$27,MATCH(I418,設定!$P$8:$P$27,0))+N(INDEX(設定!$R$8:$R$27,MATCH(I418,設定!$P$8:$P$27,0))))-INDEX(定員チェック!$I$7:$I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IF(R418="","",IFERROR(MATCH(R418,希望入力!$M$5:$M$554,0),""))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50">
        <f>IF(P419="","",INDEX(前年度名簿!$H$3:$H$452,P419))</f>
        <v/>
      </c>
      <c r="B419" s="50">
        <f>IF(P419="","",IFERROR(INDEX(設定!$G$8:$G$31,INT(INDEX(前年度名簿!$G$3:$G$452,P419)/1000)),INDEX(前年度名簿!$A$3:$A$452,P419)&amp;INDEX(前年度名簿!$B$3:$B$452,P419)))</f>
        <v/>
      </c>
      <c r="C419" s="50">
        <f>IF(P419="","",INDEX(前年度名簿!$C$3:$C$452,P419))</f>
        <v/>
      </c>
      <c r="D419" s="4">
        <f>IF(P419="","",INDEX(前年度名簿!$D$3:$D$452,P419))</f>
        <v/>
      </c>
      <c r="E419" s="50">
        <f>IF(T419="","",INDEX(新年度名簿!$K$3:$K$452,T419))</f>
        <v/>
      </c>
      <c r="F419" s="50">
        <f>IF(T419="","",INDEX(新年度名簿!$C$3:$C$452,T419))</f>
        <v/>
      </c>
      <c r="G419" s="50">
        <f>IF(Q419="","",INDEX(希望入力!$H$5:$H$554,Q419)&amp;"")</f>
        <v/>
      </c>
      <c r="H419" s="50">
        <f>IF(Q419="","",INDEX(希望入力!$I$5:$I$554,Q419)&amp;"")</f>
        <v/>
      </c>
      <c r="I419" s="50">
        <f>IF(Q419="","",INDEX(希望入力!$J$5:$J$554,Q419)&amp;"")</f>
        <v/>
      </c>
      <c r="J419" s="50">
        <f>IF(Q419="","",IF(G419="転出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)</f>
        <v/>
      </c>
      <c r="K419" s="49" t="n"/>
      <c r="L419" s="56">
        <f>IF(P419="","",IF(G419="転出","",IF(K419&lt;&gt;"",K419,IF(OR(J419="",J419="要調整"),"",J419))))</f>
        <v/>
      </c>
      <c r="M419" s="50">
        <f>IF(P419="","",IF(OR(G419="転出",AND(計算用!$B$1=1,T419="")),"転出",IF(L419&lt;&gt;"","決定",IF(Q419="","未提出","要調整"))))</f>
        <v/>
      </c>
      <c r="N419" s="50">
        <f>IF(OR(M419&lt;&gt;"要調整",H419=""),"",IFERROR((INDEX(設定!$Q$8:$Q$27,MATCH(H419,設定!$P$8:$P$27,0))+N(INDEX(設定!$R$8:$R$27,MATCH(H419,設定!$P$8:$P$27,0))))-INDEX(定員チェック!$I$7:$I$26,MATCH(H419,設定!$P$8:$P$27,0))-COUNTIFS($M$7:$M$456,"要調整",$G$7:$G$456,H419),""))</f>
        <v/>
      </c>
      <c r="O419" s="50">
        <f>IF(OR(M419&lt;&gt;"要調整",I419=""),"",IFERROR((INDEX(設定!$Q$8:$Q$27,MATCH(I419,設定!$P$8:$P$27,0))+N(INDEX(設定!$R$8:$R$27,MATCH(I419,設定!$P$8:$P$27,0))))-INDEX(定員チェック!$I$7:$I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IF(R419="","",IFERROR(MATCH(R419,希望入力!$M$5:$M$554,0),""))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50">
        <f>IF(P420="","",INDEX(前年度名簿!$H$3:$H$452,P420))</f>
        <v/>
      </c>
      <c r="B420" s="50">
        <f>IF(P420="","",IFERROR(INDEX(設定!$G$8:$G$31,INT(INDEX(前年度名簿!$G$3:$G$452,P420)/1000)),INDEX(前年度名簿!$A$3:$A$452,P420)&amp;INDEX(前年度名簿!$B$3:$B$452,P420)))</f>
        <v/>
      </c>
      <c r="C420" s="50">
        <f>IF(P420="","",INDEX(前年度名簿!$C$3:$C$452,P420))</f>
        <v/>
      </c>
      <c r="D420" s="4">
        <f>IF(P420="","",INDEX(前年度名簿!$D$3:$D$452,P420))</f>
        <v/>
      </c>
      <c r="E420" s="50">
        <f>IF(T420="","",INDEX(新年度名簿!$K$3:$K$452,T420))</f>
        <v/>
      </c>
      <c r="F420" s="50">
        <f>IF(T420="","",INDEX(新年度名簿!$C$3:$C$452,T420))</f>
        <v/>
      </c>
      <c r="G420" s="50">
        <f>IF(Q420="","",INDEX(希望入力!$H$5:$H$554,Q420)&amp;"")</f>
        <v/>
      </c>
      <c r="H420" s="50">
        <f>IF(Q420="","",INDEX(希望入力!$I$5:$I$554,Q420)&amp;"")</f>
        <v/>
      </c>
      <c r="I420" s="50">
        <f>IF(Q420="","",INDEX(希望入力!$J$5:$J$554,Q420)&amp;"")</f>
        <v/>
      </c>
      <c r="J420" s="50">
        <f>IF(Q420="","",IF(G420="転出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)</f>
        <v/>
      </c>
      <c r="K420" s="49" t="n"/>
      <c r="L420" s="56">
        <f>IF(P420="","",IF(G420="転出","",IF(K420&lt;&gt;"",K420,IF(OR(J420="",J420="要調整"),"",J420))))</f>
        <v/>
      </c>
      <c r="M420" s="50">
        <f>IF(P420="","",IF(OR(G420="転出",AND(計算用!$B$1=1,T420="")),"転出",IF(L420&lt;&gt;"","決定",IF(Q420="","未提出","要調整"))))</f>
        <v/>
      </c>
      <c r="N420" s="50">
        <f>IF(OR(M420&lt;&gt;"要調整",H420=""),"",IFERROR((INDEX(設定!$Q$8:$Q$27,MATCH(H420,設定!$P$8:$P$27,0))+N(INDEX(設定!$R$8:$R$27,MATCH(H420,設定!$P$8:$P$27,0))))-INDEX(定員チェック!$I$7:$I$26,MATCH(H420,設定!$P$8:$P$27,0))-COUNTIFS($M$7:$M$456,"要調整",$G$7:$G$456,H420),""))</f>
        <v/>
      </c>
      <c r="O420" s="50">
        <f>IF(OR(M420&lt;&gt;"要調整",I420=""),"",IFERROR((INDEX(設定!$Q$8:$Q$27,MATCH(I420,設定!$P$8:$P$27,0))+N(INDEX(設定!$R$8:$R$27,MATCH(I420,設定!$P$8:$P$27,0))))-INDEX(定員チェック!$I$7:$I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IF(R420="","",IFERROR(MATCH(R420,希望入力!$M$5:$M$554,0),""))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50">
        <f>IF(P421="","",INDEX(前年度名簿!$H$3:$H$452,P421))</f>
        <v/>
      </c>
      <c r="B421" s="50">
        <f>IF(P421="","",IFERROR(INDEX(設定!$G$8:$G$31,INT(INDEX(前年度名簿!$G$3:$G$452,P421)/1000)),INDEX(前年度名簿!$A$3:$A$452,P421)&amp;INDEX(前年度名簿!$B$3:$B$452,P421)))</f>
        <v/>
      </c>
      <c r="C421" s="50">
        <f>IF(P421="","",INDEX(前年度名簿!$C$3:$C$452,P421))</f>
        <v/>
      </c>
      <c r="D421" s="4">
        <f>IF(P421="","",INDEX(前年度名簿!$D$3:$D$452,P421))</f>
        <v/>
      </c>
      <c r="E421" s="50">
        <f>IF(T421="","",INDEX(新年度名簿!$K$3:$K$452,T421))</f>
        <v/>
      </c>
      <c r="F421" s="50">
        <f>IF(T421="","",INDEX(新年度名簿!$C$3:$C$452,T421))</f>
        <v/>
      </c>
      <c r="G421" s="50">
        <f>IF(Q421="","",INDEX(希望入力!$H$5:$H$554,Q421)&amp;"")</f>
        <v/>
      </c>
      <c r="H421" s="50">
        <f>IF(Q421="","",INDEX(希望入力!$I$5:$I$554,Q421)&amp;"")</f>
        <v/>
      </c>
      <c r="I421" s="50">
        <f>IF(Q421="","",INDEX(希望入力!$J$5:$J$554,Q421)&amp;"")</f>
        <v/>
      </c>
      <c r="J421" s="50">
        <f>IF(Q421="","",IF(G421="転出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)</f>
        <v/>
      </c>
      <c r="K421" s="49" t="n"/>
      <c r="L421" s="56">
        <f>IF(P421="","",IF(G421="転出","",IF(K421&lt;&gt;"",K421,IF(OR(J421="",J421="要調整"),"",J421))))</f>
        <v/>
      </c>
      <c r="M421" s="50">
        <f>IF(P421="","",IF(OR(G421="転出",AND(計算用!$B$1=1,T421="")),"転出",IF(L421&lt;&gt;"","決定",IF(Q421="","未提出","要調整"))))</f>
        <v/>
      </c>
      <c r="N421" s="50">
        <f>IF(OR(M421&lt;&gt;"要調整",H421=""),"",IFERROR((INDEX(設定!$Q$8:$Q$27,MATCH(H421,設定!$P$8:$P$27,0))+N(INDEX(設定!$R$8:$R$27,MATCH(H421,設定!$P$8:$P$27,0))))-INDEX(定員チェック!$I$7:$I$26,MATCH(H421,設定!$P$8:$P$27,0))-COUNTIFS($M$7:$M$456,"要調整",$G$7:$G$456,H421),""))</f>
        <v/>
      </c>
      <c r="O421" s="50">
        <f>IF(OR(M421&lt;&gt;"要調整",I421=""),"",IFERROR((INDEX(設定!$Q$8:$Q$27,MATCH(I421,設定!$P$8:$P$27,0))+N(INDEX(設定!$R$8:$R$27,MATCH(I421,設定!$P$8:$P$27,0))))-INDEX(定員チェック!$I$7:$I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IF(R421="","",IFERROR(MATCH(R421,希望入力!$M$5:$M$554,0),""))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50">
        <f>IF(P422="","",INDEX(前年度名簿!$H$3:$H$452,P422))</f>
        <v/>
      </c>
      <c r="B422" s="50">
        <f>IF(P422="","",IFERROR(INDEX(設定!$G$8:$G$31,INT(INDEX(前年度名簿!$G$3:$G$452,P422)/1000)),INDEX(前年度名簿!$A$3:$A$452,P422)&amp;INDEX(前年度名簿!$B$3:$B$452,P422)))</f>
        <v/>
      </c>
      <c r="C422" s="50">
        <f>IF(P422="","",INDEX(前年度名簿!$C$3:$C$452,P422))</f>
        <v/>
      </c>
      <c r="D422" s="4">
        <f>IF(P422="","",INDEX(前年度名簿!$D$3:$D$452,P422))</f>
        <v/>
      </c>
      <c r="E422" s="50">
        <f>IF(T422="","",INDEX(新年度名簿!$K$3:$K$452,T422))</f>
        <v/>
      </c>
      <c r="F422" s="50">
        <f>IF(T422="","",INDEX(新年度名簿!$C$3:$C$452,T422))</f>
        <v/>
      </c>
      <c r="G422" s="50">
        <f>IF(Q422="","",INDEX(希望入力!$H$5:$H$554,Q422)&amp;"")</f>
        <v/>
      </c>
      <c r="H422" s="50">
        <f>IF(Q422="","",INDEX(希望入力!$I$5:$I$554,Q422)&amp;"")</f>
        <v/>
      </c>
      <c r="I422" s="50">
        <f>IF(Q422="","",INDEX(希望入力!$J$5:$J$554,Q422)&amp;"")</f>
        <v/>
      </c>
      <c r="J422" s="50">
        <f>IF(Q422="","",IF(G422="転出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)</f>
        <v/>
      </c>
      <c r="K422" s="49" t="n"/>
      <c r="L422" s="56">
        <f>IF(P422="","",IF(G422="転出","",IF(K422&lt;&gt;"",K422,IF(OR(J422="",J422="要調整"),"",J422))))</f>
        <v/>
      </c>
      <c r="M422" s="50">
        <f>IF(P422="","",IF(OR(G422="転出",AND(計算用!$B$1=1,T422="")),"転出",IF(L422&lt;&gt;"","決定",IF(Q422="","未提出","要調整"))))</f>
        <v/>
      </c>
      <c r="N422" s="50">
        <f>IF(OR(M422&lt;&gt;"要調整",H422=""),"",IFERROR((INDEX(設定!$Q$8:$Q$27,MATCH(H422,設定!$P$8:$P$27,0))+N(INDEX(設定!$R$8:$R$27,MATCH(H422,設定!$P$8:$P$27,0))))-INDEX(定員チェック!$I$7:$I$26,MATCH(H422,設定!$P$8:$P$27,0))-COUNTIFS($M$7:$M$456,"要調整",$G$7:$G$456,H422),""))</f>
        <v/>
      </c>
      <c r="O422" s="50">
        <f>IF(OR(M422&lt;&gt;"要調整",I422=""),"",IFERROR((INDEX(設定!$Q$8:$Q$27,MATCH(I422,設定!$P$8:$P$27,0))+N(INDEX(設定!$R$8:$R$27,MATCH(I422,設定!$P$8:$P$27,0))))-INDEX(定員チェック!$I$7:$I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IF(R422="","",IFERROR(MATCH(R422,希望入力!$M$5:$M$554,0),""))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50">
        <f>IF(P423="","",INDEX(前年度名簿!$H$3:$H$452,P423))</f>
        <v/>
      </c>
      <c r="B423" s="50">
        <f>IF(P423="","",IFERROR(INDEX(設定!$G$8:$G$31,INT(INDEX(前年度名簿!$G$3:$G$452,P423)/1000)),INDEX(前年度名簿!$A$3:$A$452,P423)&amp;INDEX(前年度名簿!$B$3:$B$452,P423)))</f>
        <v/>
      </c>
      <c r="C423" s="50">
        <f>IF(P423="","",INDEX(前年度名簿!$C$3:$C$452,P423))</f>
        <v/>
      </c>
      <c r="D423" s="4">
        <f>IF(P423="","",INDEX(前年度名簿!$D$3:$D$452,P423))</f>
        <v/>
      </c>
      <c r="E423" s="50">
        <f>IF(T423="","",INDEX(新年度名簿!$K$3:$K$452,T423))</f>
        <v/>
      </c>
      <c r="F423" s="50">
        <f>IF(T423="","",INDEX(新年度名簿!$C$3:$C$452,T423))</f>
        <v/>
      </c>
      <c r="G423" s="50">
        <f>IF(Q423="","",INDEX(希望入力!$H$5:$H$554,Q423)&amp;"")</f>
        <v/>
      </c>
      <c r="H423" s="50">
        <f>IF(Q423="","",INDEX(希望入力!$I$5:$I$554,Q423)&amp;"")</f>
        <v/>
      </c>
      <c r="I423" s="50">
        <f>IF(Q423="","",INDEX(希望入力!$J$5:$J$554,Q423)&amp;"")</f>
        <v/>
      </c>
      <c r="J423" s="50">
        <f>IF(Q423="","",IF(G423="転出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)</f>
        <v/>
      </c>
      <c r="K423" s="49" t="n"/>
      <c r="L423" s="56">
        <f>IF(P423="","",IF(G423="転出","",IF(K423&lt;&gt;"",K423,IF(OR(J423="",J423="要調整"),"",J423))))</f>
        <v/>
      </c>
      <c r="M423" s="50">
        <f>IF(P423="","",IF(OR(G423="転出",AND(計算用!$B$1=1,T423="")),"転出",IF(L423&lt;&gt;"","決定",IF(Q423="","未提出","要調整"))))</f>
        <v/>
      </c>
      <c r="N423" s="50">
        <f>IF(OR(M423&lt;&gt;"要調整",H423=""),"",IFERROR((INDEX(設定!$Q$8:$Q$27,MATCH(H423,設定!$P$8:$P$27,0))+N(INDEX(設定!$R$8:$R$27,MATCH(H423,設定!$P$8:$P$27,0))))-INDEX(定員チェック!$I$7:$I$26,MATCH(H423,設定!$P$8:$P$27,0))-COUNTIFS($M$7:$M$456,"要調整",$G$7:$G$456,H423),""))</f>
        <v/>
      </c>
      <c r="O423" s="50">
        <f>IF(OR(M423&lt;&gt;"要調整",I423=""),"",IFERROR((INDEX(設定!$Q$8:$Q$27,MATCH(I423,設定!$P$8:$P$27,0))+N(INDEX(設定!$R$8:$R$27,MATCH(I423,設定!$P$8:$P$27,0))))-INDEX(定員チェック!$I$7:$I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IF(R423="","",IFERROR(MATCH(R423,希望入力!$M$5:$M$554,0),""))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50">
        <f>IF(P424="","",INDEX(前年度名簿!$H$3:$H$452,P424))</f>
        <v/>
      </c>
      <c r="B424" s="50">
        <f>IF(P424="","",IFERROR(INDEX(設定!$G$8:$G$31,INT(INDEX(前年度名簿!$G$3:$G$452,P424)/1000)),INDEX(前年度名簿!$A$3:$A$452,P424)&amp;INDEX(前年度名簿!$B$3:$B$452,P424)))</f>
        <v/>
      </c>
      <c r="C424" s="50">
        <f>IF(P424="","",INDEX(前年度名簿!$C$3:$C$452,P424))</f>
        <v/>
      </c>
      <c r="D424" s="4">
        <f>IF(P424="","",INDEX(前年度名簿!$D$3:$D$452,P424))</f>
        <v/>
      </c>
      <c r="E424" s="50">
        <f>IF(T424="","",INDEX(新年度名簿!$K$3:$K$452,T424))</f>
        <v/>
      </c>
      <c r="F424" s="50">
        <f>IF(T424="","",INDEX(新年度名簿!$C$3:$C$452,T424))</f>
        <v/>
      </c>
      <c r="G424" s="50">
        <f>IF(Q424="","",INDEX(希望入力!$H$5:$H$554,Q424)&amp;"")</f>
        <v/>
      </c>
      <c r="H424" s="50">
        <f>IF(Q424="","",INDEX(希望入力!$I$5:$I$554,Q424)&amp;"")</f>
        <v/>
      </c>
      <c r="I424" s="50">
        <f>IF(Q424="","",INDEX(希望入力!$J$5:$J$554,Q424)&amp;"")</f>
        <v/>
      </c>
      <c r="J424" s="50">
        <f>IF(Q424="","",IF(G424="転出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)</f>
        <v/>
      </c>
      <c r="K424" s="49" t="n"/>
      <c r="L424" s="56">
        <f>IF(P424="","",IF(G424="転出","",IF(K424&lt;&gt;"",K424,IF(OR(J424="",J424="要調整"),"",J424))))</f>
        <v/>
      </c>
      <c r="M424" s="50">
        <f>IF(P424="","",IF(OR(G424="転出",AND(計算用!$B$1=1,T424="")),"転出",IF(L424&lt;&gt;"","決定",IF(Q424="","未提出","要調整"))))</f>
        <v/>
      </c>
      <c r="N424" s="50">
        <f>IF(OR(M424&lt;&gt;"要調整",H424=""),"",IFERROR((INDEX(設定!$Q$8:$Q$27,MATCH(H424,設定!$P$8:$P$27,0))+N(INDEX(設定!$R$8:$R$27,MATCH(H424,設定!$P$8:$P$27,0))))-INDEX(定員チェック!$I$7:$I$26,MATCH(H424,設定!$P$8:$P$27,0))-COUNTIFS($M$7:$M$456,"要調整",$G$7:$G$456,H424),""))</f>
        <v/>
      </c>
      <c r="O424" s="50">
        <f>IF(OR(M424&lt;&gt;"要調整",I424=""),"",IFERROR((INDEX(設定!$Q$8:$Q$27,MATCH(I424,設定!$P$8:$P$27,0))+N(INDEX(設定!$R$8:$R$27,MATCH(I424,設定!$P$8:$P$27,0))))-INDEX(定員チェック!$I$7:$I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IF(R424="","",IFERROR(MATCH(R424,希望入力!$M$5:$M$554,0),""))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50">
        <f>IF(P425="","",INDEX(前年度名簿!$H$3:$H$452,P425))</f>
        <v/>
      </c>
      <c r="B425" s="50">
        <f>IF(P425="","",IFERROR(INDEX(設定!$G$8:$G$31,INT(INDEX(前年度名簿!$G$3:$G$452,P425)/1000)),INDEX(前年度名簿!$A$3:$A$452,P425)&amp;INDEX(前年度名簿!$B$3:$B$452,P425)))</f>
        <v/>
      </c>
      <c r="C425" s="50">
        <f>IF(P425="","",INDEX(前年度名簿!$C$3:$C$452,P425))</f>
        <v/>
      </c>
      <c r="D425" s="4">
        <f>IF(P425="","",INDEX(前年度名簿!$D$3:$D$452,P425))</f>
        <v/>
      </c>
      <c r="E425" s="50">
        <f>IF(T425="","",INDEX(新年度名簿!$K$3:$K$452,T425))</f>
        <v/>
      </c>
      <c r="F425" s="50">
        <f>IF(T425="","",INDEX(新年度名簿!$C$3:$C$452,T425))</f>
        <v/>
      </c>
      <c r="G425" s="50">
        <f>IF(Q425="","",INDEX(希望入力!$H$5:$H$554,Q425)&amp;"")</f>
        <v/>
      </c>
      <c r="H425" s="50">
        <f>IF(Q425="","",INDEX(希望入力!$I$5:$I$554,Q425)&amp;"")</f>
        <v/>
      </c>
      <c r="I425" s="50">
        <f>IF(Q425="","",INDEX(希望入力!$J$5:$J$554,Q425)&amp;"")</f>
        <v/>
      </c>
      <c r="J425" s="50">
        <f>IF(Q425="","",IF(G425="転出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)</f>
        <v/>
      </c>
      <c r="K425" s="49" t="n"/>
      <c r="L425" s="56">
        <f>IF(P425="","",IF(G425="転出","",IF(K425&lt;&gt;"",K425,IF(OR(J425="",J425="要調整"),"",J425))))</f>
        <v/>
      </c>
      <c r="M425" s="50">
        <f>IF(P425="","",IF(OR(G425="転出",AND(計算用!$B$1=1,T425="")),"転出",IF(L425&lt;&gt;"","決定",IF(Q425="","未提出","要調整"))))</f>
        <v/>
      </c>
      <c r="N425" s="50">
        <f>IF(OR(M425&lt;&gt;"要調整",H425=""),"",IFERROR((INDEX(設定!$Q$8:$Q$27,MATCH(H425,設定!$P$8:$P$27,0))+N(INDEX(設定!$R$8:$R$27,MATCH(H425,設定!$P$8:$P$27,0))))-INDEX(定員チェック!$I$7:$I$26,MATCH(H425,設定!$P$8:$P$27,0))-COUNTIFS($M$7:$M$456,"要調整",$G$7:$G$456,H425),""))</f>
        <v/>
      </c>
      <c r="O425" s="50">
        <f>IF(OR(M425&lt;&gt;"要調整",I425=""),"",IFERROR((INDEX(設定!$Q$8:$Q$27,MATCH(I425,設定!$P$8:$P$27,0))+N(INDEX(設定!$R$8:$R$27,MATCH(I425,設定!$P$8:$P$27,0))))-INDEX(定員チェック!$I$7:$I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IF(R425="","",IFERROR(MATCH(R425,希望入力!$M$5:$M$554,0),""))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50">
        <f>IF(P426="","",INDEX(前年度名簿!$H$3:$H$452,P426))</f>
        <v/>
      </c>
      <c r="B426" s="50">
        <f>IF(P426="","",IFERROR(INDEX(設定!$G$8:$G$31,INT(INDEX(前年度名簿!$G$3:$G$452,P426)/1000)),INDEX(前年度名簿!$A$3:$A$452,P426)&amp;INDEX(前年度名簿!$B$3:$B$452,P426)))</f>
        <v/>
      </c>
      <c r="C426" s="50">
        <f>IF(P426="","",INDEX(前年度名簿!$C$3:$C$452,P426))</f>
        <v/>
      </c>
      <c r="D426" s="4">
        <f>IF(P426="","",INDEX(前年度名簿!$D$3:$D$452,P426))</f>
        <v/>
      </c>
      <c r="E426" s="50">
        <f>IF(T426="","",INDEX(新年度名簿!$K$3:$K$452,T426))</f>
        <v/>
      </c>
      <c r="F426" s="50">
        <f>IF(T426="","",INDEX(新年度名簿!$C$3:$C$452,T426))</f>
        <v/>
      </c>
      <c r="G426" s="50">
        <f>IF(Q426="","",INDEX(希望入力!$H$5:$H$554,Q426)&amp;"")</f>
        <v/>
      </c>
      <c r="H426" s="50">
        <f>IF(Q426="","",INDEX(希望入力!$I$5:$I$554,Q426)&amp;"")</f>
        <v/>
      </c>
      <c r="I426" s="50">
        <f>IF(Q426="","",INDEX(希望入力!$J$5:$J$554,Q426)&amp;"")</f>
        <v/>
      </c>
      <c r="J426" s="50">
        <f>IF(Q426="","",IF(G426="転出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)</f>
        <v/>
      </c>
      <c r="K426" s="49" t="n"/>
      <c r="L426" s="56">
        <f>IF(P426="","",IF(G426="転出","",IF(K426&lt;&gt;"",K426,IF(OR(J426="",J426="要調整"),"",J426))))</f>
        <v/>
      </c>
      <c r="M426" s="50">
        <f>IF(P426="","",IF(OR(G426="転出",AND(計算用!$B$1=1,T426="")),"転出",IF(L426&lt;&gt;"","決定",IF(Q426="","未提出","要調整"))))</f>
        <v/>
      </c>
      <c r="N426" s="50">
        <f>IF(OR(M426&lt;&gt;"要調整",H426=""),"",IFERROR((INDEX(設定!$Q$8:$Q$27,MATCH(H426,設定!$P$8:$P$27,0))+N(INDEX(設定!$R$8:$R$27,MATCH(H426,設定!$P$8:$P$27,0))))-INDEX(定員チェック!$I$7:$I$26,MATCH(H426,設定!$P$8:$P$27,0))-COUNTIFS($M$7:$M$456,"要調整",$G$7:$G$456,H426),""))</f>
        <v/>
      </c>
      <c r="O426" s="50">
        <f>IF(OR(M426&lt;&gt;"要調整",I426=""),"",IFERROR((INDEX(設定!$Q$8:$Q$27,MATCH(I426,設定!$P$8:$P$27,0))+N(INDEX(設定!$R$8:$R$27,MATCH(I426,設定!$P$8:$P$27,0))))-INDEX(定員チェック!$I$7:$I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IF(R426="","",IFERROR(MATCH(R426,希望入力!$M$5:$M$554,0),""))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50">
        <f>IF(P427="","",INDEX(前年度名簿!$H$3:$H$452,P427))</f>
        <v/>
      </c>
      <c r="B427" s="50">
        <f>IF(P427="","",IFERROR(INDEX(設定!$G$8:$G$31,INT(INDEX(前年度名簿!$G$3:$G$452,P427)/1000)),INDEX(前年度名簿!$A$3:$A$452,P427)&amp;INDEX(前年度名簿!$B$3:$B$452,P427)))</f>
        <v/>
      </c>
      <c r="C427" s="50">
        <f>IF(P427="","",INDEX(前年度名簿!$C$3:$C$452,P427))</f>
        <v/>
      </c>
      <c r="D427" s="4">
        <f>IF(P427="","",INDEX(前年度名簿!$D$3:$D$452,P427))</f>
        <v/>
      </c>
      <c r="E427" s="50">
        <f>IF(T427="","",INDEX(新年度名簿!$K$3:$K$452,T427))</f>
        <v/>
      </c>
      <c r="F427" s="50">
        <f>IF(T427="","",INDEX(新年度名簿!$C$3:$C$452,T427))</f>
        <v/>
      </c>
      <c r="G427" s="50">
        <f>IF(Q427="","",INDEX(希望入力!$H$5:$H$554,Q427)&amp;"")</f>
        <v/>
      </c>
      <c r="H427" s="50">
        <f>IF(Q427="","",INDEX(希望入力!$I$5:$I$554,Q427)&amp;"")</f>
        <v/>
      </c>
      <c r="I427" s="50">
        <f>IF(Q427="","",INDEX(希望入力!$J$5:$J$554,Q427)&amp;"")</f>
        <v/>
      </c>
      <c r="J427" s="50">
        <f>IF(Q427="","",IF(G427="転出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)</f>
        <v/>
      </c>
      <c r="K427" s="49" t="n"/>
      <c r="L427" s="56">
        <f>IF(P427="","",IF(G427="転出","",IF(K427&lt;&gt;"",K427,IF(OR(J427="",J427="要調整"),"",J427))))</f>
        <v/>
      </c>
      <c r="M427" s="50">
        <f>IF(P427="","",IF(OR(G427="転出",AND(計算用!$B$1=1,T427="")),"転出",IF(L427&lt;&gt;"","決定",IF(Q427="","未提出","要調整"))))</f>
        <v/>
      </c>
      <c r="N427" s="50">
        <f>IF(OR(M427&lt;&gt;"要調整",H427=""),"",IFERROR((INDEX(設定!$Q$8:$Q$27,MATCH(H427,設定!$P$8:$P$27,0))+N(INDEX(設定!$R$8:$R$27,MATCH(H427,設定!$P$8:$P$27,0))))-INDEX(定員チェック!$I$7:$I$26,MATCH(H427,設定!$P$8:$P$27,0))-COUNTIFS($M$7:$M$456,"要調整",$G$7:$G$456,H427),""))</f>
        <v/>
      </c>
      <c r="O427" s="50">
        <f>IF(OR(M427&lt;&gt;"要調整",I427=""),"",IFERROR((INDEX(設定!$Q$8:$Q$27,MATCH(I427,設定!$P$8:$P$27,0))+N(INDEX(設定!$R$8:$R$27,MATCH(I427,設定!$P$8:$P$27,0))))-INDEX(定員チェック!$I$7:$I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IF(R427="","",IFERROR(MATCH(R427,希望入力!$M$5:$M$554,0),""))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50">
        <f>IF(P428="","",INDEX(前年度名簿!$H$3:$H$452,P428))</f>
        <v/>
      </c>
      <c r="B428" s="50">
        <f>IF(P428="","",IFERROR(INDEX(設定!$G$8:$G$31,INT(INDEX(前年度名簿!$G$3:$G$452,P428)/1000)),INDEX(前年度名簿!$A$3:$A$452,P428)&amp;INDEX(前年度名簿!$B$3:$B$452,P428)))</f>
        <v/>
      </c>
      <c r="C428" s="50">
        <f>IF(P428="","",INDEX(前年度名簿!$C$3:$C$452,P428))</f>
        <v/>
      </c>
      <c r="D428" s="4">
        <f>IF(P428="","",INDEX(前年度名簿!$D$3:$D$452,P428))</f>
        <v/>
      </c>
      <c r="E428" s="50">
        <f>IF(T428="","",INDEX(新年度名簿!$K$3:$K$452,T428))</f>
        <v/>
      </c>
      <c r="F428" s="50">
        <f>IF(T428="","",INDEX(新年度名簿!$C$3:$C$452,T428))</f>
        <v/>
      </c>
      <c r="G428" s="50">
        <f>IF(Q428="","",INDEX(希望入力!$H$5:$H$554,Q428)&amp;"")</f>
        <v/>
      </c>
      <c r="H428" s="50">
        <f>IF(Q428="","",INDEX(希望入力!$I$5:$I$554,Q428)&amp;"")</f>
        <v/>
      </c>
      <c r="I428" s="50">
        <f>IF(Q428="","",INDEX(希望入力!$J$5:$J$554,Q428)&amp;"")</f>
        <v/>
      </c>
      <c r="J428" s="50">
        <f>IF(Q428="","",IF(G428="転出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)</f>
        <v/>
      </c>
      <c r="K428" s="49" t="n"/>
      <c r="L428" s="56">
        <f>IF(P428="","",IF(G428="転出","",IF(K428&lt;&gt;"",K428,IF(OR(J428="",J428="要調整"),"",J428))))</f>
        <v/>
      </c>
      <c r="M428" s="50">
        <f>IF(P428="","",IF(OR(G428="転出",AND(計算用!$B$1=1,T428="")),"転出",IF(L428&lt;&gt;"","決定",IF(Q428="","未提出","要調整"))))</f>
        <v/>
      </c>
      <c r="N428" s="50">
        <f>IF(OR(M428&lt;&gt;"要調整",H428=""),"",IFERROR((INDEX(設定!$Q$8:$Q$27,MATCH(H428,設定!$P$8:$P$27,0))+N(INDEX(設定!$R$8:$R$27,MATCH(H428,設定!$P$8:$P$27,0))))-INDEX(定員チェック!$I$7:$I$26,MATCH(H428,設定!$P$8:$P$27,0))-COUNTIFS($M$7:$M$456,"要調整",$G$7:$G$456,H428),""))</f>
        <v/>
      </c>
      <c r="O428" s="50">
        <f>IF(OR(M428&lt;&gt;"要調整",I428=""),"",IFERROR((INDEX(設定!$Q$8:$Q$27,MATCH(I428,設定!$P$8:$P$27,0))+N(INDEX(設定!$R$8:$R$27,MATCH(I428,設定!$P$8:$P$27,0))))-INDEX(定員チェック!$I$7:$I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IF(R428="","",IFERROR(MATCH(R428,希望入力!$M$5:$M$554,0),""))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50">
        <f>IF(P429="","",INDEX(前年度名簿!$H$3:$H$452,P429))</f>
        <v/>
      </c>
      <c r="B429" s="50">
        <f>IF(P429="","",IFERROR(INDEX(設定!$G$8:$G$31,INT(INDEX(前年度名簿!$G$3:$G$452,P429)/1000)),INDEX(前年度名簿!$A$3:$A$452,P429)&amp;INDEX(前年度名簿!$B$3:$B$452,P429)))</f>
        <v/>
      </c>
      <c r="C429" s="50">
        <f>IF(P429="","",INDEX(前年度名簿!$C$3:$C$452,P429))</f>
        <v/>
      </c>
      <c r="D429" s="4">
        <f>IF(P429="","",INDEX(前年度名簿!$D$3:$D$452,P429))</f>
        <v/>
      </c>
      <c r="E429" s="50">
        <f>IF(T429="","",INDEX(新年度名簿!$K$3:$K$452,T429))</f>
        <v/>
      </c>
      <c r="F429" s="50">
        <f>IF(T429="","",INDEX(新年度名簿!$C$3:$C$452,T429))</f>
        <v/>
      </c>
      <c r="G429" s="50">
        <f>IF(Q429="","",INDEX(希望入力!$H$5:$H$554,Q429)&amp;"")</f>
        <v/>
      </c>
      <c r="H429" s="50">
        <f>IF(Q429="","",INDEX(希望入力!$I$5:$I$554,Q429)&amp;"")</f>
        <v/>
      </c>
      <c r="I429" s="50">
        <f>IF(Q429="","",INDEX(希望入力!$J$5:$J$554,Q429)&amp;"")</f>
        <v/>
      </c>
      <c r="J429" s="50">
        <f>IF(Q429="","",IF(G429="転出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)</f>
        <v/>
      </c>
      <c r="K429" s="49" t="n"/>
      <c r="L429" s="56">
        <f>IF(P429="","",IF(G429="転出","",IF(K429&lt;&gt;"",K429,IF(OR(J429="",J429="要調整"),"",J429))))</f>
        <v/>
      </c>
      <c r="M429" s="50">
        <f>IF(P429="","",IF(OR(G429="転出",AND(計算用!$B$1=1,T429="")),"転出",IF(L429&lt;&gt;"","決定",IF(Q429="","未提出","要調整"))))</f>
        <v/>
      </c>
      <c r="N429" s="50">
        <f>IF(OR(M429&lt;&gt;"要調整",H429=""),"",IFERROR((INDEX(設定!$Q$8:$Q$27,MATCH(H429,設定!$P$8:$P$27,0))+N(INDEX(設定!$R$8:$R$27,MATCH(H429,設定!$P$8:$P$27,0))))-INDEX(定員チェック!$I$7:$I$26,MATCH(H429,設定!$P$8:$P$27,0))-COUNTIFS($M$7:$M$456,"要調整",$G$7:$G$456,H429),""))</f>
        <v/>
      </c>
      <c r="O429" s="50">
        <f>IF(OR(M429&lt;&gt;"要調整",I429=""),"",IFERROR((INDEX(設定!$Q$8:$Q$27,MATCH(I429,設定!$P$8:$P$27,0))+N(INDEX(設定!$R$8:$R$27,MATCH(I429,設定!$P$8:$P$27,0))))-INDEX(定員チェック!$I$7:$I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IF(R429="","",IFERROR(MATCH(R429,希望入力!$M$5:$M$554,0),""))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50">
        <f>IF(P430="","",INDEX(前年度名簿!$H$3:$H$452,P430))</f>
        <v/>
      </c>
      <c r="B430" s="50">
        <f>IF(P430="","",IFERROR(INDEX(設定!$G$8:$G$31,INT(INDEX(前年度名簿!$G$3:$G$452,P430)/1000)),INDEX(前年度名簿!$A$3:$A$452,P430)&amp;INDEX(前年度名簿!$B$3:$B$452,P430)))</f>
        <v/>
      </c>
      <c r="C430" s="50">
        <f>IF(P430="","",INDEX(前年度名簿!$C$3:$C$452,P430))</f>
        <v/>
      </c>
      <c r="D430" s="4">
        <f>IF(P430="","",INDEX(前年度名簿!$D$3:$D$452,P430))</f>
        <v/>
      </c>
      <c r="E430" s="50">
        <f>IF(T430="","",INDEX(新年度名簿!$K$3:$K$452,T430))</f>
        <v/>
      </c>
      <c r="F430" s="50">
        <f>IF(T430="","",INDEX(新年度名簿!$C$3:$C$452,T430))</f>
        <v/>
      </c>
      <c r="G430" s="50">
        <f>IF(Q430="","",INDEX(希望入力!$H$5:$H$554,Q430)&amp;"")</f>
        <v/>
      </c>
      <c r="H430" s="50">
        <f>IF(Q430="","",INDEX(希望入力!$I$5:$I$554,Q430)&amp;"")</f>
        <v/>
      </c>
      <c r="I430" s="50">
        <f>IF(Q430="","",INDEX(希望入力!$J$5:$J$554,Q430)&amp;"")</f>
        <v/>
      </c>
      <c r="J430" s="50">
        <f>IF(Q430="","",IF(G430="転出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)</f>
        <v/>
      </c>
      <c r="K430" s="49" t="n"/>
      <c r="L430" s="56">
        <f>IF(P430="","",IF(G430="転出","",IF(K430&lt;&gt;"",K430,IF(OR(J430="",J430="要調整"),"",J430))))</f>
        <v/>
      </c>
      <c r="M430" s="50">
        <f>IF(P430="","",IF(OR(G430="転出",AND(計算用!$B$1=1,T430="")),"転出",IF(L430&lt;&gt;"","決定",IF(Q430="","未提出","要調整"))))</f>
        <v/>
      </c>
      <c r="N430" s="50">
        <f>IF(OR(M430&lt;&gt;"要調整",H430=""),"",IFERROR((INDEX(設定!$Q$8:$Q$27,MATCH(H430,設定!$P$8:$P$27,0))+N(INDEX(設定!$R$8:$R$27,MATCH(H430,設定!$P$8:$P$27,0))))-INDEX(定員チェック!$I$7:$I$26,MATCH(H430,設定!$P$8:$P$27,0))-COUNTIFS($M$7:$M$456,"要調整",$G$7:$G$456,H430),""))</f>
        <v/>
      </c>
      <c r="O430" s="50">
        <f>IF(OR(M430&lt;&gt;"要調整",I430=""),"",IFERROR((INDEX(設定!$Q$8:$Q$27,MATCH(I430,設定!$P$8:$P$27,0))+N(INDEX(設定!$R$8:$R$27,MATCH(I430,設定!$P$8:$P$27,0))))-INDEX(定員チェック!$I$7:$I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IF(R430="","",IFERROR(MATCH(R430,希望入力!$M$5:$M$554,0),""))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50">
        <f>IF(P431="","",INDEX(前年度名簿!$H$3:$H$452,P431))</f>
        <v/>
      </c>
      <c r="B431" s="50">
        <f>IF(P431="","",IFERROR(INDEX(設定!$G$8:$G$31,INT(INDEX(前年度名簿!$G$3:$G$452,P431)/1000)),INDEX(前年度名簿!$A$3:$A$452,P431)&amp;INDEX(前年度名簿!$B$3:$B$452,P431)))</f>
        <v/>
      </c>
      <c r="C431" s="50">
        <f>IF(P431="","",INDEX(前年度名簿!$C$3:$C$452,P431))</f>
        <v/>
      </c>
      <c r="D431" s="4">
        <f>IF(P431="","",INDEX(前年度名簿!$D$3:$D$452,P431))</f>
        <v/>
      </c>
      <c r="E431" s="50">
        <f>IF(T431="","",INDEX(新年度名簿!$K$3:$K$452,T431))</f>
        <v/>
      </c>
      <c r="F431" s="50">
        <f>IF(T431="","",INDEX(新年度名簿!$C$3:$C$452,T431))</f>
        <v/>
      </c>
      <c r="G431" s="50">
        <f>IF(Q431="","",INDEX(希望入力!$H$5:$H$554,Q431)&amp;"")</f>
        <v/>
      </c>
      <c r="H431" s="50">
        <f>IF(Q431="","",INDEX(希望入力!$I$5:$I$554,Q431)&amp;"")</f>
        <v/>
      </c>
      <c r="I431" s="50">
        <f>IF(Q431="","",INDEX(希望入力!$J$5:$J$554,Q431)&amp;"")</f>
        <v/>
      </c>
      <c r="J431" s="50">
        <f>IF(Q431="","",IF(G431="転出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)</f>
        <v/>
      </c>
      <c r="K431" s="49" t="n"/>
      <c r="L431" s="56">
        <f>IF(P431="","",IF(G431="転出","",IF(K431&lt;&gt;"",K431,IF(OR(J431="",J431="要調整"),"",J431))))</f>
        <v/>
      </c>
      <c r="M431" s="50">
        <f>IF(P431="","",IF(OR(G431="転出",AND(計算用!$B$1=1,T431="")),"転出",IF(L431&lt;&gt;"","決定",IF(Q431="","未提出","要調整"))))</f>
        <v/>
      </c>
      <c r="N431" s="50">
        <f>IF(OR(M431&lt;&gt;"要調整",H431=""),"",IFERROR((INDEX(設定!$Q$8:$Q$27,MATCH(H431,設定!$P$8:$P$27,0))+N(INDEX(設定!$R$8:$R$27,MATCH(H431,設定!$P$8:$P$27,0))))-INDEX(定員チェック!$I$7:$I$26,MATCH(H431,設定!$P$8:$P$27,0))-COUNTIFS($M$7:$M$456,"要調整",$G$7:$G$456,H431),""))</f>
        <v/>
      </c>
      <c r="O431" s="50">
        <f>IF(OR(M431&lt;&gt;"要調整",I431=""),"",IFERROR((INDEX(設定!$Q$8:$Q$27,MATCH(I431,設定!$P$8:$P$27,0))+N(INDEX(設定!$R$8:$R$27,MATCH(I431,設定!$P$8:$P$27,0))))-INDEX(定員チェック!$I$7:$I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IF(R431="","",IFERROR(MATCH(R431,希望入力!$M$5:$M$554,0),""))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50">
        <f>IF(P432="","",INDEX(前年度名簿!$H$3:$H$452,P432))</f>
        <v/>
      </c>
      <c r="B432" s="50">
        <f>IF(P432="","",IFERROR(INDEX(設定!$G$8:$G$31,INT(INDEX(前年度名簿!$G$3:$G$452,P432)/1000)),INDEX(前年度名簿!$A$3:$A$452,P432)&amp;INDEX(前年度名簿!$B$3:$B$452,P432)))</f>
        <v/>
      </c>
      <c r="C432" s="50">
        <f>IF(P432="","",INDEX(前年度名簿!$C$3:$C$452,P432))</f>
        <v/>
      </c>
      <c r="D432" s="4">
        <f>IF(P432="","",INDEX(前年度名簿!$D$3:$D$452,P432))</f>
        <v/>
      </c>
      <c r="E432" s="50">
        <f>IF(T432="","",INDEX(新年度名簿!$K$3:$K$452,T432))</f>
        <v/>
      </c>
      <c r="F432" s="50">
        <f>IF(T432="","",INDEX(新年度名簿!$C$3:$C$452,T432))</f>
        <v/>
      </c>
      <c r="G432" s="50">
        <f>IF(Q432="","",INDEX(希望入力!$H$5:$H$554,Q432)&amp;"")</f>
        <v/>
      </c>
      <c r="H432" s="50">
        <f>IF(Q432="","",INDEX(希望入力!$I$5:$I$554,Q432)&amp;"")</f>
        <v/>
      </c>
      <c r="I432" s="50">
        <f>IF(Q432="","",INDEX(希望入力!$J$5:$J$554,Q432)&amp;"")</f>
        <v/>
      </c>
      <c r="J432" s="50">
        <f>IF(Q432="","",IF(G432="転出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)</f>
        <v/>
      </c>
      <c r="K432" s="49" t="n"/>
      <c r="L432" s="56">
        <f>IF(P432="","",IF(G432="転出","",IF(K432&lt;&gt;"",K432,IF(OR(J432="",J432="要調整"),"",J432))))</f>
        <v/>
      </c>
      <c r="M432" s="50">
        <f>IF(P432="","",IF(OR(G432="転出",AND(計算用!$B$1=1,T432="")),"転出",IF(L432&lt;&gt;"","決定",IF(Q432="","未提出","要調整"))))</f>
        <v/>
      </c>
      <c r="N432" s="50">
        <f>IF(OR(M432&lt;&gt;"要調整",H432=""),"",IFERROR((INDEX(設定!$Q$8:$Q$27,MATCH(H432,設定!$P$8:$P$27,0))+N(INDEX(設定!$R$8:$R$27,MATCH(H432,設定!$P$8:$P$27,0))))-INDEX(定員チェック!$I$7:$I$26,MATCH(H432,設定!$P$8:$P$27,0))-COUNTIFS($M$7:$M$456,"要調整",$G$7:$G$456,H432),""))</f>
        <v/>
      </c>
      <c r="O432" s="50">
        <f>IF(OR(M432&lt;&gt;"要調整",I432=""),"",IFERROR((INDEX(設定!$Q$8:$Q$27,MATCH(I432,設定!$P$8:$P$27,0))+N(INDEX(設定!$R$8:$R$27,MATCH(I432,設定!$P$8:$P$27,0))))-INDEX(定員チェック!$I$7:$I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IF(R432="","",IFERROR(MATCH(R432,希望入力!$M$5:$M$554,0),""))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50">
        <f>IF(P433="","",INDEX(前年度名簿!$H$3:$H$452,P433))</f>
        <v/>
      </c>
      <c r="B433" s="50">
        <f>IF(P433="","",IFERROR(INDEX(設定!$G$8:$G$31,INT(INDEX(前年度名簿!$G$3:$G$452,P433)/1000)),INDEX(前年度名簿!$A$3:$A$452,P433)&amp;INDEX(前年度名簿!$B$3:$B$452,P433)))</f>
        <v/>
      </c>
      <c r="C433" s="50">
        <f>IF(P433="","",INDEX(前年度名簿!$C$3:$C$452,P433))</f>
        <v/>
      </c>
      <c r="D433" s="4">
        <f>IF(P433="","",INDEX(前年度名簿!$D$3:$D$452,P433))</f>
        <v/>
      </c>
      <c r="E433" s="50">
        <f>IF(T433="","",INDEX(新年度名簿!$K$3:$K$452,T433))</f>
        <v/>
      </c>
      <c r="F433" s="50">
        <f>IF(T433="","",INDEX(新年度名簿!$C$3:$C$452,T433))</f>
        <v/>
      </c>
      <c r="G433" s="50">
        <f>IF(Q433="","",INDEX(希望入力!$H$5:$H$554,Q433)&amp;"")</f>
        <v/>
      </c>
      <c r="H433" s="50">
        <f>IF(Q433="","",INDEX(希望入力!$I$5:$I$554,Q433)&amp;"")</f>
        <v/>
      </c>
      <c r="I433" s="50">
        <f>IF(Q433="","",INDEX(希望入力!$J$5:$J$554,Q433)&amp;"")</f>
        <v/>
      </c>
      <c r="J433" s="50">
        <f>IF(Q433="","",IF(G433="転出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)</f>
        <v/>
      </c>
      <c r="K433" s="49" t="n"/>
      <c r="L433" s="56">
        <f>IF(P433="","",IF(G433="転出","",IF(K433&lt;&gt;"",K433,IF(OR(J433="",J433="要調整"),"",J433))))</f>
        <v/>
      </c>
      <c r="M433" s="50">
        <f>IF(P433="","",IF(OR(G433="転出",AND(計算用!$B$1=1,T433="")),"転出",IF(L433&lt;&gt;"","決定",IF(Q433="","未提出","要調整"))))</f>
        <v/>
      </c>
      <c r="N433" s="50">
        <f>IF(OR(M433&lt;&gt;"要調整",H433=""),"",IFERROR((INDEX(設定!$Q$8:$Q$27,MATCH(H433,設定!$P$8:$P$27,0))+N(INDEX(設定!$R$8:$R$27,MATCH(H433,設定!$P$8:$P$27,0))))-INDEX(定員チェック!$I$7:$I$26,MATCH(H433,設定!$P$8:$P$27,0))-COUNTIFS($M$7:$M$456,"要調整",$G$7:$G$456,H433),""))</f>
        <v/>
      </c>
      <c r="O433" s="50">
        <f>IF(OR(M433&lt;&gt;"要調整",I433=""),"",IFERROR((INDEX(設定!$Q$8:$Q$27,MATCH(I433,設定!$P$8:$P$27,0))+N(INDEX(設定!$R$8:$R$27,MATCH(I433,設定!$P$8:$P$27,0))))-INDEX(定員チェック!$I$7:$I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IF(R433="","",IFERROR(MATCH(R433,希望入力!$M$5:$M$554,0),""))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50">
        <f>IF(P434="","",INDEX(前年度名簿!$H$3:$H$452,P434))</f>
        <v/>
      </c>
      <c r="B434" s="50">
        <f>IF(P434="","",IFERROR(INDEX(設定!$G$8:$G$31,INT(INDEX(前年度名簿!$G$3:$G$452,P434)/1000)),INDEX(前年度名簿!$A$3:$A$452,P434)&amp;INDEX(前年度名簿!$B$3:$B$452,P434)))</f>
        <v/>
      </c>
      <c r="C434" s="50">
        <f>IF(P434="","",INDEX(前年度名簿!$C$3:$C$452,P434))</f>
        <v/>
      </c>
      <c r="D434" s="4">
        <f>IF(P434="","",INDEX(前年度名簿!$D$3:$D$452,P434))</f>
        <v/>
      </c>
      <c r="E434" s="50">
        <f>IF(T434="","",INDEX(新年度名簿!$K$3:$K$452,T434))</f>
        <v/>
      </c>
      <c r="F434" s="50">
        <f>IF(T434="","",INDEX(新年度名簿!$C$3:$C$452,T434))</f>
        <v/>
      </c>
      <c r="G434" s="50">
        <f>IF(Q434="","",INDEX(希望入力!$H$5:$H$554,Q434)&amp;"")</f>
        <v/>
      </c>
      <c r="H434" s="50">
        <f>IF(Q434="","",INDEX(希望入力!$I$5:$I$554,Q434)&amp;"")</f>
        <v/>
      </c>
      <c r="I434" s="50">
        <f>IF(Q434="","",INDEX(希望入力!$J$5:$J$554,Q434)&amp;"")</f>
        <v/>
      </c>
      <c r="J434" s="50">
        <f>IF(Q434="","",IF(G434="転出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)</f>
        <v/>
      </c>
      <c r="K434" s="49" t="n"/>
      <c r="L434" s="56">
        <f>IF(P434="","",IF(G434="転出","",IF(K434&lt;&gt;"",K434,IF(OR(J434="",J434="要調整"),"",J434))))</f>
        <v/>
      </c>
      <c r="M434" s="50">
        <f>IF(P434="","",IF(OR(G434="転出",AND(計算用!$B$1=1,T434="")),"転出",IF(L434&lt;&gt;"","決定",IF(Q434="","未提出","要調整"))))</f>
        <v/>
      </c>
      <c r="N434" s="50">
        <f>IF(OR(M434&lt;&gt;"要調整",H434=""),"",IFERROR((INDEX(設定!$Q$8:$Q$27,MATCH(H434,設定!$P$8:$P$27,0))+N(INDEX(設定!$R$8:$R$27,MATCH(H434,設定!$P$8:$P$27,0))))-INDEX(定員チェック!$I$7:$I$26,MATCH(H434,設定!$P$8:$P$27,0))-COUNTIFS($M$7:$M$456,"要調整",$G$7:$G$456,H434),""))</f>
        <v/>
      </c>
      <c r="O434" s="50">
        <f>IF(OR(M434&lt;&gt;"要調整",I434=""),"",IFERROR((INDEX(設定!$Q$8:$Q$27,MATCH(I434,設定!$P$8:$P$27,0))+N(INDEX(設定!$R$8:$R$27,MATCH(I434,設定!$P$8:$P$27,0))))-INDEX(定員チェック!$I$7:$I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IF(R434="","",IFERROR(MATCH(R434,希望入力!$M$5:$M$554,0),""))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50">
        <f>IF(P435="","",INDEX(前年度名簿!$H$3:$H$452,P435))</f>
        <v/>
      </c>
      <c r="B435" s="50">
        <f>IF(P435="","",IFERROR(INDEX(設定!$G$8:$G$31,INT(INDEX(前年度名簿!$G$3:$G$452,P435)/1000)),INDEX(前年度名簿!$A$3:$A$452,P435)&amp;INDEX(前年度名簿!$B$3:$B$452,P435)))</f>
        <v/>
      </c>
      <c r="C435" s="50">
        <f>IF(P435="","",INDEX(前年度名簿!$C$3:$C$452,P435))</f>
        <v/>
      </c>
      <c r="D435" s="4">
        <f>IF(P435="","",INDEX(前年度名簿!$D$3:$D$452,P435))</f>
        <v/>
      </c>
      <c r="E435" s="50">
        <f>IF(T435="","",INDEX(新年度名簿!$K$3:$K$452,T435))</f>
        <v/>
      </c>
      <c r="F435" s="50">
        <f>IF(T435="","",INDEX(新年度名簿!$C$3:$C$452,T435))</f>
        <v/>
      </c>
      <c r="G435" s="50">
        <f>IF(Q435="","",INDEX(希望入力!$H$5:$H$554,Q435)&amp;"")</f>
        <v/>
      </c>
      <c r="H435" s="50">
        <f>IF(Q435="","",INDEX(希望入力!$I$5:$I$554,Q435)&amp;"")</f>
        <v/>
      </c>
      <c r="I435" s="50">
        <f>IF(Q435="","",INDEX(希望入力!$J$5:$J$554,Q435)&amp;"")</f>
        <v/>
      </c>
      <c r="J435" s="50">
        <f>IF(Q435="","",IF(G435="転出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)</f>
        <v/>
      </c>
      <c r="K435" s="49" t="n"/>
      <c r="L435" s="56">
        <f>IF(P435="","",IF(G435="転出","",IF(K435&lt;&gt;"",K435,IF(OR(J435="",J435="要調整"),"",J435))))</f>
        <v/>
      </c>
      <c r="M435" s="50">
        <f>IF(P435="","",IF(OR(G435="転出",AND(計算用!$B$1=1,T435="")),"転出",IF(L435&lt;&gt;"","決定",IF(Q435="","未提出","要調整"))))</f>
        <v/>
      </c>
      <c r="N435" s="50">
        <f>IF(OR(M435&lt;&gt;"要調整",H435=""),"",IFERROR((INDEX(設定!$Q$8:$Q$27,MATCH(H435,設定!$P$8:$P$27,0))+N(INDEX(設定!$R$8:$R$27,MATCH(H435,設定!$P$8:$P$27,0))))-INDEX(定員チェック!$I$7:$I$26,MATCH(H435,設定!$P$8:$P$27,0))-COUNTIFS($M$7:$M$456,"要調整",$G$7:$G$456,H435),""))</f>
        <v/>
      </c>
      <c r="O435" s="50">
        <f>IF(OR(M435&lt;&gt;"要調整",I435=""),"",IFERROR((INDEX(設定!$Q$8:$Q$27,MATCH(I435,設定!$P$8:$P$27,0))+N(INDEX(設定!$R$8:$R$27,MATCH(I435,設定!$P$8:$P$27,0))))-INDEX(定員チェック!$I$7:$I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IF(R435="","",IFERROR(MATCH(R435,希望入力!$M$5:$M$554,0),""))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50">
        <f>IF(P436="","",INDEX(前年度名簿!$H$3:$H$452,P436))</f>
        <v/>
      </c>
      <c r="B436" s="50">
        <f>IF(P436="","",IFERROR(INDEX(設定!$G$8:$G$31,INT(INDEX(前年度名簿!$G$3:$G$452,P436)/1000)),INDEX(前年度名簿!$A$3:$A$452,P436)&amp;INDEX(前年度名簿!$B$3:$B$452,P436)))</f>
        <v/>
      </c>
      <c r="C436" s="50">
        <f>IF(P436="","",INDEX(前年度名簿!$C$3:$C$452,P436))</f>
        <v/>
      </c>
      <c r="D436" s="4">
        <f>IF(P436="","",INDEX(前年度名簿!$D$3:$D$452,P436))</f>
        <v/>
      </c>
      <c r="E436" s="50">
        <f>IF(T436="","",INDEX(新年度名簿!$K$3:$K$452,T436))</f>
        <v/>
      </c>
      <c r="F436" s="50">
        <f>IF(T436="","",INDEX(新年度名簿!$C$3:$C$452,T436))</f>
        <v/>
      </c>
      <c r="G436" s="50">
        <f>IF(Q436="","",INDEX(希望入力!$H$5:$H$554,Q436)&amp;"")</f>
        <v/>
      </c>
      <c r="H436" s="50">
        <f>IF(Q436="","",INDEX(希望入力!$I$5:$I$554,Q436)&amp;"")</f>
        <v/>
      </c>
      <c r="I436" s="50">
        <f>IF(Q436="","",INDEX(希望入力!$J$5:$J$554,Q436)&amp;"")</f>
        <v/>
      </c>
      <c r="J436" s="50">
        <f>IF(Q436="","",IF(G436="転出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)</f>
        <v/>
      </c>
      <c r="K436" s="49" t="n"/>
      <c r="L436" s="56">
        <f>IF(P436="","",IF(G436="転出","",IF(K436&lt;&gt;"",K436,IF(OR(J436="",J436="要調整"),"",J436))))</f>
        <v/>
      </c>
      <c r="M436" s="50">
        <f>IF(P436="","",IF(OR(G436="転出",AND(計算用!$B$1=1,T436="")),"転出",IF(L436&lt;&gt;"","決定",IF(Q436="","未提出","要調整"))))</f>
        <v/>
      </c>
      <c r="N436" s="50">
        <f>IF(OR(M436&lt;&gt;"要調整",H436=""),"",IFERROR((INDEX(設定!$Q$8:$Q$27,MATCH(H436,設定!$P$8:$P$27,0))+N(INDEX(設定!$R$8:$R$27,MATCH(H436,設定!$P$8:$P$27,0))))-INDEX(定員チェック!$I$7:$I$26,MATCH(H436,設定!$P$8:$P$27,0))-COUNTIFS($M$7:$M$456,"要調整",$G$7:$G$456,H436),""))</f>
        <v/>
      </c>
      <c r="O436" s="50">
        <f>IF(OR(M436&lt;&gt;"要調整",I436=""),"",IFERROR((INDEX(設定!$Q$8:$Q$27,MATCH(I436,設定!$P$8:$P$27,0))+N(INDEX(設定!$R$8:$R$27,MATCH(I436,設定!$P$8:$P$27,0))))-INDEX(定員チェック!$I$7:$I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IF(R436="","",IFERROR(MATCH(R436,希望入力!$M$5:$M$554,0),""))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50">
        <f>IF(P437="","",INDEX(前年度名簿!$H$3:$H$452,P437))</f>
        <v/>
      </c>
      <c r="B437" s="50">
        <f>IF(P437="","",IFERROR(INDEX(設定!$G$8:$G$31,INT(INDEX(前年度名簿!$G$3:$G$452,P437)/1000)),INDEX(前年度名簿!$A$3:$A$452,P437)&amp;INDEX(前年度名簿!$B$3:$B$452,P437)))</f>
        <v/>
      </c>
      <c r="C437" s="50">
        <f>IF(P437="","",INDEX(前年度名簿!$C$3:$C$452,P437))</f>
        <v/>
      </c>
      <c r="D437" s="4">
        <f>IF(P437="","",INDEX(前年度名簿!$D$3:$D$452,P437))</f>
        <v/>
      </c>
      <c r="E437" s="50">
        <f>IF(T437="","",INDEX(新年度名簿!$K$3:$K$452,T437))</f>
        <v/>
      </c>
      <c r="F437" s="50">
        <f>IF(T437="","",INDEX(新年度名簿!$C$3:$C$452,T437))</f>
        <v/>
      </c>
      <c r="G437" s="50">
        <f>IF(Q437="","",INDEX(希望入力!$H$5:$H$554,Q437)&amp;"")</f>
        <v/>
      </c>
      <c r="H437" s="50">
        <f>IF(Q437="","",INDEX(希望入力!$I$5:$I$554,Q437)&amp;"")</f>
        <v/>
      </c>
      <c r="I437" s="50">
        <f>IF(Q437="","",INDEX(希望入力!$J$5:$J$554,Q437)&amp;"")</f>
        <v/>
      </c>
      <c r="J437" s="50">
        <f>IF(Q437="","",IF(G437="転出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)</f>
        <v/>
      </c>
      <c r="K437" s="49" t="n"/>
      <c r="L437" s="56">
        <f>IF(P437="","",IF(G437="転出","",IF(K437&lt;&gt;"",K437,IF(OR(J437="",J437="要調整"),"",J437))))</f>
        <v/>
      </c>
      <c r="M437" s="50">
        <f>IF(P437="","",IF(OR(G437="転出",AND(計算用!$B$1=1,T437="")),"転出",IF(L437&lt;&gt;"","決定",IF(Q437="","未提出","要調整"))))</f>
        <v/>
      </c>
      <c r="N437" s="50">
        <f>IF(OR(M437&lt;&gt;"要調整",H437=""),"",IFERROR((INDEX(設定!$Q$8:$Q$27,MATCH(H437,設定!$P$8:$P$27,0))+N(INDEX(設定!$R$8:$R$27,MATCH(H437,設定!$P$8:$P$27,0))))-INDEX(定員チェック!$I$7:$I$26,MATCH(H437,設定!$P$8:$P$27,0))-COUNTIFS($M$7:$M$456,"要調整",$G$7:$G$456,H437),""))</f>
        <v/>
      </c>
      <c r="O437" s="50">
        <f>IF(OR(M437&lt;&gt;"要調整",I437=""),"",IFERROR((INDEX(設定!$Q$8:$Q$27,MATCH(I437,設定!$P$8:$P$27,0))+N(INDEX(設定!$R$8:$R$27,MATCH(I437,設定!$P$8:$P$27,0))))-INDEX(定員チェック!$I$7:$I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IF(R437="","",IFERROR(MATCH(R437,希望入力!$M$5:$M$554,0),""))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50">
        <f>IF(P438="","",INDEX(前年度名簿!$H$3:$H$452,P438))</f>
        <v/>
      </c>
      <c r="B438" s="50">
        <f>IF(P438="","",IFERROR(INDEX(設定!$G$8:$G$31,INT(INDEX(前年度名簿!$G$3:$G$452,P438)/1000)),INDEX(前年度名簿!$A$3:$A$452,P438)&amp;INDEX(前年度名簿!$B$3:$B$452,P438)))</f>
        <v/>
      </c>
      <c r="C438" s="50">
        <f>IF(P438="","",INDEX(前年度名簿!$C$3:$C$452,P438))</f>
        <v/>
      </c>
      <c r="D438" s="4">
        <f>IF(P438="","",INDEX(前年度名簿!$D$3:$D$452,P438))</f>
        <v/>
      </c>
      <c r="E438" s="50">
        <f>IF(T438="","",INDEX(新年度名簿!$K$3:$K$452,T438))</f>
        <v/>
      </c>
      <c r="F438" s="50">
        <f>IF(T438="","",INDEX(新年度名簿!$C$3:$C$452,T438))</f>
        <v/>
      </c>
      <c r="G438" s="50">
        <f>IF(Q438="","",INDEX(希望入力!$H$5:$H$554,Q438)&amp;"")</f>
        <v/>
      </c>
      <c r="H438" s="50">
        <f>IF(Q438="","",INDEX(希望入力!$I$5:$I$554,Q438)&amp;"")</f>
        <v/>
      </c>
      <c r="I438" s="50">
        <f>IF(Q438="","",INDEX(希望入力!$J$5:$J$554,Q438)&amp;"")</f>
        <v/>
      </c>
      <c r="J438" s="50">
        <f>IF(Q438="","",IF(G438="転出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)</f>
        <v/>
      </c>
      <c r="K438" s="49" t="n"/>
      <c r="L438" s="56">
        <f>IF(P438="","",IF(G438="転出","",IF(K438&lt;&gt;"",K438,IF(OR(J438="",J438="要調整"),"",J438))))</f>
        <v/>
      </c>
      <c r="M438" s="50">
        <f>IF(P438="","",IF(OR(G438="転出",AND(計算用!$B$1=1,T438="")),"転出",IF(L438&lt;&gt;"","決定",IF(Q438="","未提出","要調整"))))</f>
        <v/>
      </c>
      <c r="N438" s="50">
        <f>IF(OR(M438&lt;&gt;"要調整",H438=""),"",IFERROR((INDEX(設定!$Q$8:$Q$27,MATCH(H438,設定!$P$8:$P$27,0))+N(INDEX(設定!$R$8:$R$27,MATCH(H438,設定!$P$8:$P$27,0))))-INDEX(定員チェック!$I$7:$I$26,MATCH(H438,設定!$P$8:$P$27,0))-COUNTIFS($M$7:$M$456,"要調整",$G$7:$G$456,H438),""))</f>
        <v/>
      </c>
      <c r="O438" s="50">
        <f>IF(OR(M438&lt;&gt;"要調整",I438=""),"",IFERROR((INDEX(設定!$Q$8:$Q$27,MATCH(I438,設定!$P$8:$P$27,0))+N(INDEX(設定!$R$8:$R$27,MATCH(I438,設定!$P$8:$P$27,0))))-INDEX(定員チェック!$I$7:$I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IF(R438="","",IFERROR(MATCH(R438,希望入力!$M$5:$M$554,0),""))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50">
        <f>IF(P439="","",INDEX(前年度名簿!$H$3:$H$452,P439))</f>
        <v/>
      </c>
      <c r="B439" s="50">
        <f>IF(P439="","",IFERROR(INDEX(設定!$G$8:$G$31,INT(INDEX(前年度名簿!$G$3:$G$452,P439)/1000)),INDEX(前年度名簿!$A$3:$A$452,P439)&amp;INDEX(前年度名簿!$B$3:$B$452,P439)))</f>
        <v/>
      </c>
      <c r="C439" s="50">
        <f>IF(P439="","",INDEX(前年度名簿!$C$3:$C$452,P439))</f>
        <v/>
      </c>
      <c r="D439" s="4">
        <f>IF(P439="","",INDEX(前年度名簿!$D$3:$D$452,P439))</f>
        <v/>
      </c>
      <c r="E439" s="50">
        <f>IF(T439="","",INDEX(新年度名簿!$K$3:$K$452,T439))</f>
        <v/>
      </c>
      <c r="F439" s="50">
        <f>IF(T439="","",INDEX(新年度名簿!$C$3:$C$452,T439))</f>
        <v/>
      </c>
      <c r="G439" s="50">
        <f>IF(Q439="","",INDEX(希望入力!$H$5:$H$554,Q439)&amp;"")</f>
        <v/>
      </c>
      <c r="H439" s="50">
        <f>IF(Q439="","",INDEX(希望入力!$I$5:$I$554,Q439)&amp;"")</f>
        <v/>
      </c>
      <c r="I439" s="50">
        <f>IF(Q439="","",INDEX(希望入力!$J$5:$J$554,Q439)&amp;"")</f>
        <v/>
      </c>
      <c r="J439" s="50">
        <f>IF(Q439="","",IF(G439="転出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)</f>
        <v/>
      </c>
      <c r="K439" s="49" t="n"/>
      <c r="L439" s="56">
        <f>IF(P439="","",IF(G439="転出","",IF(K439&lt;&gt;"",K439,IF(OR(J439="",J439="要調整"),"",J439))))</f>
        <v/>
      </c>
      <c r="M439" s="50">
        <f>IF(P439="","",IF(OR(G439="転出",AND(計算用!$B$1=1,T439="")),"転出",IF(L439&lt;&gt;"","決定",IF(Q439="","未提出","要調整"))))</f>
        <v/>
      </c>
      <c r="N439" s="50">
        <f>IF(OR(M439&lt;&gt;"要調整",H439=""),"",IFERROR((INDEX(設定!$Q$8:$Q$27,MATCH(H439,設定!$P$8:$P$27,0))+N(INDEX(設定!$R$8:$R$27,MATCH(H439,設定!$P$8:$P$27,0))))-INDEX(定員チェック!$I$7:$I$26,MATCH(H439,設定!$P$8:$P$27,0))-COUNTIFS($M$7:$M$456,"要調整",$G$7:$G$456,H439),""))</f>
        <v/>
      </c>
      <c r="O439" s="50">
        <f>IF(OR(M439&lt;&gt;"要調整",I439=""),"",IFERROR((INDEX(設定!$Q$8:$Q$27,MATCH(I439,設定!$P$8:$P$27,0))+N(INDEX(設定!$R$8:$R$27,MATCH(I439,設定!$P$8:$P$27,0))))-INDEX(定員チェック!$I$7:$I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IF(R439="","",IFERROR(MATCH(R439,希望入力!$M$5:$M$554,0),""))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50">
        <f>IF(P440="","",INDEX(前年度名簿!$H$3:$H$452,P440))</f>
        <v/>
      </c>
      <c r="B440" s="50">
        <f>IF(P440="","",IFERROR(INDEX(設定!$G$8:$G$31,INT(INDEX(前年度名簿!$G$3:$G$452,P440)/1000)),INDEX(前年度名簿!$A$3:$A$452,P440)&amp;INDEX(前年度名簿!$B$3:$B$452,P440)))</f>
        <v/>
      </c>
      <c r="C440" s="50">
        <f>IF(P440="","",INDEX(前年度名簿!$C$3:$C$452,P440))</f>
        <v/>
      </c>
      <c r="D440" s="4">
        <f>IF(P440="","",INDEX(前年度名簿!$D$3:$D$452,P440))</f>
        <v/>
      </c>
      <c r="E440" s="50">
        <f>IF(T440="","",INDEX(新年度名簿!$K$3:$K$452,T440))</f>
        <v/>
      </c>
      <c r="F440" s="50">
        <f>IF(T440="","",INDEX(新年度名簿!$C$3:$C$452,T440))</f>
        <v/>
      </c>
      <c r="G440" s="50">
        <f>IF(Q440="","",INDEX(希望入力!$H$5:$H$554,Q440)&amp;"")</f>
        <v/>
      </c>
      <c r="H440" s="50">
        <f>IF(Q440="","",INDEX(希望入力!$I$5:$I$554,Q440)&amp;"")</f>
        <v/>
      </c>
      <c r="I440" s="50">
        <f>IF(Q440="","",INDEX(希望入力!$J$5:$J$554,Q440)&amp;"")</f>
        <v/>
      </c>
      <c r="J440" s="50">
        <f>IF(Q440="","",IF(G440="転出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)</f>
        <v/>
      </c>
      <c r="K440" s="49" t="n"/>
      <c r="L440" s="56">
        <f>IF(P440="","",IF(G440="転出","",IF(K440&lt;&gt;"",K440,IF(OR(J440="",J440="要調整"),"",J440))))</f>
        <v/>
      </c>
      <c r="M440" s="50">
        <f>IF(P440="","",IF(OR(G440="転出",AND(計算用!$B$1=1,T440="")),"転出",IF(L440&lt;&gt;"","決定",IF(Q440="","未提出","要調整"))))</f>
        <v/>
      </c>
      <c r="N440" s="50">
        <f>IF(OR(M440&lt;&gt;"要調整",H440=""),"",IFERROR((INDEX(設定!$Q$8:$Q$27,MATCH(H440,設定!$P$8:$P$27,0))+N(INDEX(設定!$R$8:$R$27,MATCH(H440,設定!$P$8:$P$27,0))))-INDEX(定員チェック!$I$7:$I$26,MATCH(H440,設定!$P$8:$P$27,0))-COUNTIFS($M$7:$M$456,"要調整",$G$7:$G$456,H440),""))</f>
        <v/>
      </c>
      <c r="O440" s="50">
        <f>IF(OR(M440&lt;&gt;"要調整",I440=""),"",IFERROR((INDEX(設定!$Q$8:$Q$27,MATCH(I440,設定!$P$8:$P$27,0))+N(INDEX(設定!$R$8:$R$27,MATCH(I440,設定!$P$8:$P$27,0))))-INDEX(定員チェック!$I$7:$I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IF(R440="","",IFERROR(MATCH(R440,希望入力!$M$5:$M$554,0),""))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50">
        <f>IF(P441="","",INDEX(前年度名簿!$H$3:$H$452,P441))</f>
        <v/>
      </c>
      <c r="B441" s="50">
        <f>IF(P441="","",IFERROR(INDEX(設定!$G$8:$G$31,INT(INDEX(前年度名簿!$G$3:$G$452,P441)/1000)),INDEX(前年度名簿!$A$3:$A$452,P441)&amp;INDEX(前年度名簿!$B$3:$B$452,P441)))</f>
        <v/>
      </c>
      <c r="C441" s="50">
        <f>IF(P441="","",INDEX(前年度名簿!$C$3:$C$452,P441))</f>
        <v/>
      </c>
      <c r="D441" s="4">
        <f>IF(P441="","",INDEX(前年度名簿!$D$3:$D$452,P441))</f>
        <v/>
      </c>
      <c r="E441" s="50">
        <f>IF(T441="","",INDEX(新年度名簿!$K$3:$K$452,T441))</f>
        <v/>
      </c>
      <c r="F441" s="50">
        <f>IF(T441="","",INDEX(新年度名簿!$C$3:$C$452,T441))</f>
        <v/>
      </c>
      <c r="G441" s="50">
        <f>IF(Q441="","",INDEX(希望入力!$H$5:$H$554,Q441)&amp;"")</f>
        <v/>
      </c>
      <c r="H441" s="50">
        <f>IF(Q441="","",INDEX(希望入力!$I$5:$I$554,Q441)&amp;"")</f>
        <v/>
      </c>
      <c r="I441" s="50">
        <f>IF(Q441="","",INDEX(希望入力!$J$5:$J$554,Q441)&amp;"")</f>
        <v/>
      </c>
      <c r="J441" s="50">
        <f>IF(Q441="","",IF(G441="転出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)</f>
        <v/>
      </c>
      <c r="K441" s="49" t="n"/>
      <c r="L441" s="56">
        <f>IF(P441="","",IF(G441="転出","",IF(K441&lt;&gt;"",K441,IF(OR(J441="",J441="要調整"),"",J441))))</f>
        <v/>
      </c>
      <c r="M441" s="50">
        <f>IF(P441="","",IF(OR(G441="転出",AND(計算用!$B$1=1,T441="")),"転出",IF(L441&lt;&gt;"","決定",IF(Q441="","未提出","要調整"))))</f>
        <v/>
      </c>
      <c r="N441" s="50">
        <f>IF(OR(M441&lt;&gt;"要調整",H441=""),"",IFERROR((INDEX(設定!$Q$8:$Q$27,MATCH(H441,設定!$P$8:$P$27,0))+N(INDEX(設定!$R$8:$R$27,MATCH(H441,設定!$P$8:$P$27,0))))-INDEX(定員チェック!$I$7:$I$26,MATCH(H441,設定!$P$8:$P$27,0))-COUNTIFS($M$7:$M$456,"要調整",$G$7:$G$456,H441),""))</f>
        <v/>
      </c>
      <c r="O441" s="50">
        <f>IF(OR(M441&lt;&gt;"要調整",I441=""),"",IFERROR((INDEX(設定!$Q$8:$Q$27,MATCH(I441,設定!$P$8:$P$27,0))+N(INDEX(設定!$R$8:$R$27,MATCH(I441,設定!$P$8:$P$27,0))))-INDEX(定員チェック!$I$7:$I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IF(R441="","",IFERROR(MATCH(R441,希望入力!$M$5:$M$554,0),""))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50">
        <f>IF(P442="","",INDEX(前年度名簿!$H$3:$H$452,P442))</f>
        <v/>
      </c>
      <c r="B442" s="50">
        <f>IF(P442="","",IFERROR(INDEX(設定!$G$8:$G$31,INT(INDEX(前年度名簿!$G$3:$G$452,P442)/1000)),INDEX(前年度名簿!$A$3:$A$452,P442)&amp;INDEX(前年度名簿!$B$3:$B$452,P442)))</f>
        <v/>
      </c>
      <c r="C442" s="50">
        <f>IF(P442="","",INDEX(前年度名簿!$C$3:$C$452,P442))</f>
        <v/>
      </c>
      <c r="D442" s="4">
        <f>IF(P442="","",INDEX(前年度名簿!$D$3:$D$452,P442))</f>
        <v/>
      </c>
      <c r="E442" s="50">
        <f>IF(T442="","",INDEX(新年度名簿!$K$3:$K$452,T442))</f>
        <v/>
      </c>
      <c r="F442" s="50">
        <f>IF(T442="","",INDEX(新年度名簿!$C$3:$C$452,T442))</f>
        <v/>
      </c>
      <c r="G442" s="50">
        <f>IF(Q442="","",INDEX(希望入力!$H$5:$H$554,Q442)&amp;"")</f>
        <v/>
      </c>
      <c r="H442" s="50">
        <f>IF(Q442="","",INDEX(希望入力!$I$5:$I$554,Q442)&amp;"")</f>
        <v/>
      </c>
      <c r="I442" s="50">
        <f>IF(Q442="","",INDEX(希望入力!$J$5:$J$554,Q442)&amp;"")</f>
        <v/>
      </c>
      <c r="J442" s="50">
        <f>IF(Q442="","",IF(G442="転出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)</f>
        <v/>
      </c>
      <c r="K442" s="49" t="n"/>
      <c r="L442" s="56">
        <f>IF(P442="","",IF(G442="転出","",IF(K442&lt;&gt;"",K442,IF(OR(J442="",J442="要調整"),"",J442))))</f>
        <v/>
      </c>
      <c r="M442" s="50">
        <f>IF(P442="","",IF(OR(G442="転出",AND(計算用!$B$1=1,T442="")),"転出",IF(L442&lt;&gt;"","決定",IF(Q442="","未提出","要調整"))))</f>
        <v/>
      </c>
      <c r="N442" s="50">
        <f>IF(OR(M442&lt;&gt;"要調整",H442=""),"",IFERROR((INDEX(設定!$Q$8:$Q$27,MATCH(H442,設定!$P$8:$P$27,0))+N(INDEX(設定!$R$8:$R$27,MATCH(H442,設定!$P$8:$P$27,0))))-INDEX(定員チェック!$I$7:$I$26,MATCH(H442,設定!$P$8:$P$27,0))-COUNTIFS($M$7:$M$456,"要調整",$G$7:$G$456,H442),""))</f>
        <v/>
      </c>
      <c r="O442" s="50">
        <f>IF(OR(M442&lt;&gt;"要調整",I442=""),"",IFERROR((INDEX(設定!$Q$8:$Q$27,MATCH(I442,設定!$P$8:$P$27,0))+N(INDEX(設定!$R$8:$R$27,MATCH(I442,設定!$P$8:$P$27,0))))-INDEX(定員チェック!$I$7:$I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IF(R442="","",IFERROR(MATCH(R442,希望入力!$M$5:$M$554,0),""))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50">
        <f>IF(P443="","",INDEX(前年度名簿!$H$3:$H$452,P443))</f>
        <v/>
      </c>
      <c r="B443" s="50">
        <f>IF(P443="","",IFERROR(INDEX(設定!$G$8:$G$31,INT(INDEX(前年度名簿!$G$3:$G$452,P443)/1000)),INDEX(前年度名簿!$A$3:$A$452,P443)&amp;INDEX(前年度名簿!$B$3:$B$452,P443)))</f>
        <v/>
      </c>
      <c r="C443" s="50">
        <f>IF(P443="","",INDEX(前年度名簿!$C$3:$C$452,P443))</f>
        <v/>
      </c>
      <c r="D443" s="4">
        <f>IF(P443="","",INDEX(前年度名簿!$D$3:$D$452,P443))</f>
        <v/>
      </c>
      <c r="E443" s="50">
        <f>IF(T443="","",INDEX(新年度名簿!$K$3:$K$452,T443))</f>
        <v/>
      </c>
      <c r="F443" s="50">
        <f>IF(T443="","",INDEX(新年度名簿!$C$3:$C$452,T443))</f>
        <v/>
      </c>
      <c r="G443" s="50">
        <f>IF(Q443="","",INDEX(希望入力!$H$5:$H$554,Q443)&amp;"")</f>
        <v/>
      </c>
      <c r="H443" s="50">
        <f>IF(Q443="","",INDEX(希望入力!$I$5:$I$554,Q443)&amp;"")</f>
        <v/>
      </c>
      <c r="I443" s="50">
        <f>IF(Q443="","",INDEX(希望入力!$J$5:$J$554,Q443)&amp;"")</f>
        <v/>
      </c>
      <c r="J443" s="50">
        <f>IF(Q443="","",IF(G443="転出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)</f>
        <v/>
      </c>
      <c r="K443" s="49" t="n"/>
      <c r="L443" s="56">
        <f>IF(P443="","",IF(G443="転出","",IF(K443&lt;&gt;"",K443,IF(OR(J443="",J443="要調整"),"",J443))))</f>
        <v/>
      </c>
      <c r="M443" s="50">
        <f>IF(P443="","",IF(OR(G443="転出",AND(計算用!$B$1=1,T443="")),"転出",IF(L443&lt;&gt;"","決定",IF(Q443="","未提出","要調整"))))</f>
        <v/>
      </c>
      <c r="N443" s="50">
        <f>IF(OR(M443&lt;&gt;"要調整",H443=""),"",IFERROR((INDEX(設定!$Q$8:$Q$27,MATCH(H443,設定!$P$8:$P$27,0))+N(INDEX(設定!$R$8:$R$27,MATCH(H443,設定!$P$8:$P$27,0))))-INDEX(定員チェック!$I$7:$I$26,MATCH(H443,設定!$P$8:$P$27,0))-COUNTIFS($M$7:$M$456,"要調整",$G$7:$G$456,H443),""))</f>
        <v/>
      </c>
      <c r="O443" s="50">
        <f>IF(OR(M443&lt;&gt;"要調整",I443=""),"",IFERROR((INDEX(設定!$Q$8:$Q$27,MATCH(I443,設定!$P$8:$P$27,0))+N(INDEX(設定!$R$8:$R$27,MATCH(I443,設定!$P$8:$P$27,0))))-INDEX(定員チェック!$I$7:$I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IF(R443="","",IFERROR(MATCH(R443,希望入力!$M$5:$M$554,0),""))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50">
        <f>IF(P444="","",INDEX(前年度名簿!$H$3:$H$452,P444))</f>
        <v/>
      </c>
      <c r="B444" s="50">
        <f>IF(P444="","",IFERROR(INDEX(設定!$G$8:$G$31,INT(INDEX(前年度名簿!$G$3:$G$452,P444)/1000)),INDEX(前年度名簿!$A$3:$A$452,P444)&amp;INDEX(前年度名簿!$B$3:$B$452,P444)))</f>
        <v/>
      </c>
      <c r="C444" s="50">
        <f>IF(P444="","",INDEX(前年度名簿!$C$3:$C$452,P444))</f>
        <v/>
      </c>
      <c r="D444" s="4">
        <f>IF(P444="","",INDEX(前年度名簿!$D$3:$D$452,P444))</f>
        <v/>
      </c>
      <c r="E444" s="50">
        <f>IF(T444="","",INDEX(新年度名簿!$K$3:$K$452,T444))</f>
        <v/>
      </c>
      <c r="F444" s="50">
        <f>IF(T444="","",INDEX(新年度名簿!$C$3:$C$452,T444))</f>
        <v/>
      </c>
      <c r="G444" s="50">
        <f>IF(Q444="","",INDEX(希望入力!$H$5:$H$554,Q444)&amp;"")</f>
        <v/>
      </c>
      <c r="H444" s="50">
        <f>IF(Q444="","",INDEX(希望入力!$I$5:$I$554,Q444)&amp;"")</f>
        <v/>
      </c>
      <c r="I444" s="50">
        <f>IF(Q444="","",INDEX(希望入力!$J$5:$J$554,Q444)&amp;"")</f>
        <v/>
      </c>
      <c r="J444" s="50">
        <f>IF(Q444="","",IF(G444="転出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)</f>
        <v/>
      </c>
      <c r="K444" s="49" t="n"/>
      <c r="L444" s="56">
        <f>IF(P444="","",IF(G444="転出","",IF(K444&lt;&gt;"",K444,IF(OR(J444="",J444="要調整"),"",J444))))</f>
        <v/>
      </c>
      <c r="M444" s="50">
        <f>IF(P444="","",IF(OR(G444="転出",AND(計算用!$B$1=1,T444="")),"転出",IF(L444&lt;&gt;"","決定",IF(Q444="","未提出","要調整"))))</f>
        <v/>
      </c>
      <c r="N444" s="50">
        <f>IF(OR(M444&lt;&gt;"要調整",H444=""),"",IFERROR((INDEX(設定!$Q$8:$Q$27,MATCH(H444,設定!$P$8:$P$27,0))+N(INDEX(設定!$R$8:$R$27,MATCH(H444,設定!$P$8:$P$27,0))))-INDEX(定員チェック!$I$7:$I$26,MATCH(H444,設定!$P$8:$P$27,0))-COUNTIFS($M$7:$M$456,"要調整",$G$7:$G$456,H444),""))</f>
        <v/>
      </c>
      <c r="O444" s="50">
        <f>IF(OR(M444&lt;&gt;"要調整",I444=""),"",IFERROR((INDEX(設定!$Q$8:$Q$27,MATCH(I444,設定!$P$8:$P$27,0))+N(INDEX(設定!$R$8:$R$27,MATCH(I444,設定!$P$8:$P$27,0))))-INDEX(定員チェック!$I$7:$I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IF(R444="","",IFERROR(MATCH(R444,希望入力!$M$5:$M$554,0),""))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50">
        <f>IF(P445="","",INDEX(前年度名簿!$H$3:$H$452,P445))</f>
        <v/>
      </c>
      <c r="B445" s="50">
        <f>IF(P445="","",IFERROR(INDEX(設定!$G$8:$G$31,INT(INDEX(前年度名簿!$G$3:$G$452,P445)/1000)),INDEX(前年度名簿!$A$3:$A$452,P445)&amp;INDEX(前年度名簿!$B$3:$B$452,P445)))</f>
        <v/>
      </c>
      <c r="C445" s="50">
        <f>IF(P445="","",INDEX(前年度名簿!$C$3:$C$452,P445))</f>
        <v/>
      </c>
      <c r="D445" s="4">
        <f>IF(P445="","",INDEX(前年度名簿!$D$3:$D$452,P445))</f>
        <v/>
      </c>
      <c r="E445" s="50">
        <f>IF(T445="","",INDEX(新年度名簿!$K$3:$K$452,T445))</f>
        <v/>
      </c>
      <c r="F445" s="50">
        <f>IF(T445="","",INDEX(新年度名簿!$C$3:$C$452,T445))</f>
        <v/>
      </c>
      <c r="G445" s="50">
        <f>IF(Q445="","",INDEX(希望入力!$H$5:$H$554,Q445)&amp;"")</f>
        <v/>
      </c>
      <c r="H445" s="50">
        <f>IF(Q445="","",INDEX(希望入力!$I$5:$I$554,Q445)&amp;"")</f>
        <v/>
      </c>
      <c r="I445" s="50">
        <f>IF(Q445="","",INDEX(希望入力!$J$5:$J$554,Q445)&amp;"")</f>
        <v/>
      </c>
      <c r="J445" s="50">
        <f>IF(Q445="","",IF(G445="転出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)</f>
        <v/>
      </c>
      <c r="K445" s="49" t="n"/>
      <c r="L445" s="56">
        <f>IF(P445="","",IF(G445="転出","",IF(K445&lt;&gt;"",K445,IF(OR(J445="",J445="要調整"),"",J445))))</f>
        <v/>
      </c>
      <c r="M445" s="50">
        <f>IF(P445="","",IF(OR(G445="転出",AND(計算用!$B$1=1,T445="")),"転出",IF(L445&lt;&gt;"","決定",IF(Q445="","未提出","要調整"))))</f>
        <v/>
      </c>
      <c r="N445" s="50">
        <f>IF(OR(M445&lt;&gt;"要調整",H445=""),"",IFERROR((INDEX(設定!$Q$8:$Q$27,MATCH(H445,設定!$P$8:$P$27,0))+N(INDEX(設定!$R$8:$R$27,MATCH(H445,設定!$P$8:$P$27,0))))-INDEX(定員チェック!$I$7:$I$26,MATCH(H445,設定!$P$8:$P$27,0))-COUNTIFS($M$7:$M$456,"要調整",$G$7:$G$456,H445),""))</f>
        <v/>
      </c>
      <c r="O445" s="50">
        <f>IF(OR(M445&lt;&gt;"要調整",I445=""),"",IFERROR((INDEX(設定!$Q$8:$Q$27,MATCH(I445,設定!$P$8:$P$27,0))+N(INDEX(設定!$R$8:$R$27,MATCH(I445,設定!$P$8:$P$27,0))))-INDEX(定員チェック!$I$7:$I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IF(R445="","",IFERROR(MATCH(R445,希望入力!$M$5:$M$554,0),""))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50">
        <f>IF(P446="","",INDEX(前年度名簿!$H$3:$H$452,P446))</f>
        <v/>
      </c>
      <c r="B446" s="50">
        <f>IF(P446="","",IFERROR(INDEX(設定!$G$8:$G$31,INT(INDEX(前年度名簿!$G$3:$G$452,P446)/1000)),INDEX(前年度名簿!$A$3:$A$452,P446)&amp;INDEX(前年度名簿!$B$3:$B$452,P446)))</f>
        <v/>
      </c>
      <c r="C446" s="50">
        <f>IF(P446="","",INDEX(前年度名簿!$C$3:$C$452,P446))</f>
        <v/>
      </c>
      <c r="D446" s="4">
        <f>IF(P446="","",INDEX(前年度名簿!$D$3:$D$452,P446))</f>
        <v/>
      </c>
      <c r="E446" s="50">
        <f>IF(T446="","",INDEX(新年度名簿!$K$3:$K$452,T446))</f>
        <v/>
      </c>
      <c r="F446" s="50">
        <f>IF(T446="","",INDEX(新年度名簿!$C$3:$C$452,T446))</f>
        <v/>
      </c>
      <c r="G446" s="50">
        <f>IF(Q446="","",INDEX(希望入力!$H$5:$H$554,Q446)&amp;"")</f>
        <v/>
      </c>
      <c r="H446" s="50">
        <f>IF(Q446="","",INDEX(希望入力!$I$5:$I$554,Q446)&amp;"")</f>
        <v/>
      </c>
      <c r="I446" s="50">
        <f>IF(Q446="","",INDEX(希望入力!$J$5:$J$554,Q446)&amp;"")</f>
        <v/>
      </c>
      <c r="J446" s="50">
        <f>IF(Q446="","",IF(G446="転出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)</f>
        <v/>
      </c>
      <c r="K446" s="49" t="n"/>
      <c r="L446" s="56">
        <f>IF(P446="","",IF(G446="転出","",IF(K446&lt;&gt;"",K446,IF(OR(J446="",J446="要調整"),"",J446))))</f>
        <v/>
      </c>
      <c r="M446" s="50">
        <f>IF(P446="","",IF(OR(G446="転出",AND(計算用!$B$1=1,T446="")),"転出",IF(L446&lt;&gt;"","決定",IF(Q446="","未提出","要調整"))))</f>
        <v/>
      </c>
      <c r="N446" s="50">
        <f>IF(OR(M446&lt;&gt;"要調整",H446=""),"",IFERROR((INDEX(設定!$Q$8:$Q$27,MATCH(H446,設定!$P$8:$P$27,0))+N(INDEX(設定!$R$8:$R$27,MATCH(H446,設定!$P$8:$P$27,0))))-INDEX(定員チェック!$I$7:$I$26,MATCH(H446,設定!$P$8:$P$27,0))-COUNTIFS($M$7:$M$456,"要調整",$G$7:$G$456,H446),""))</f>
        <v/>
      </c>
      <c r="O446" s="50">
        <f>IF(OR(M446&lt;&gt;"要調整",I446=""),"",IFERROR((INDEX(設定!$Q$8:$Q$27,MATCH(I446,設定!$P$8:$P$27,0))+N(INDEX(設定!$R$8:$R$27,MATCH(I446,設定!$P$8:$P$27,0))))-INDEX(定員チェック!$I$7:$I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IF(R446="","",IFERROR(MATCH(R446,希望入力!$M$5:$M$554,0),""))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50">
        <f>IF(P447="","",INDEX(前年度名簿!$H$3:$H$452,P447))</f>
        <v/>
      </c>
      <c r="B447" s="50">
        <f>IF(P447="","",IFERROR(INDEX(設定!$G$8:$G$31,INT(INDEX(前年度名簿!$G$3:$G$452,P447)/1000)),INDEX(前年度名簿!$A$3:$A$452,P447)&amp;INDEX(前年度名簿!$B$3:$B$452,P447)))</f>
        <v/>
      </c>
      <c r="C447" s="50">
        <f>IF(P447="","",INDEX(前年度名簿!$C$3:$C$452,P447))</f>
        <v/>
      </c>
      <c r="D447" s="4">
        <f>IF(P447="","",INDEX(前年度名簿!$D$3:$D$452,P447))</f>
        <v/>
      </c>
      <c r="E447" s="50">
        <f>IF(T447="","",INDEX(新年度名簿!$K$3:$K$452,T447))</f>
        <v/>
      </c>
      <c r="F447" s="50">
        <f>IF(T447="","",INDEX(新年度名簿!$C$3:$C$452,T447))</f>
        <v/>
      </c>
      <c r="G447" s="50">
        <f>IF(Q447="","",INDEX(希望入力!$H$5:$H$554,Q447)&amp;"")</f>
        <v/>
      </c>
      <c r="H447" s="50">
        <f>IF(Q447="","",INDEX(希望入力!$I$5:$I$554,Q447)&amp;"")</f>
        <v/>
      </c>
      <c r="I447" s="50">
        <f>IF(Q447="","",INDEX(希望入力!$J$5:$J$554,Q447)&amp;"")</f>
        <v/>
      </c>
      <c r="J447" s="50">
        <f>IF(Q447="","",IF(G447="転出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)</f>
        <v/>
      </c>
      <c r="K447" s="49" t="n"/>
      <c r="L447" s="56">
        <f>IF(P447="","",IF(G447="転出","",IF(K447&lt;&gt;"",K447,IF(OR(J447="",J447="要調整"),"",J447))))</f>
        <v/>
      </c>
      <c r="M447" s="50">
        <f>IF(P447="","",IF(OR(G447="転出",AND(計算用!$B$1=1,T447="")),"転出",IF(L447&lt;&gt;"","決定",IF(Q447="","未提出","要調整"))))</f>
        <v/>
      </c>
      <c r="N447" s="50">
        <f>IF(OR(M447&lt;&gt;"要調整",H447=""),"",IFERROR((INDEX(設定!$Q$8:$Q$27,MATCH(H447,設定!$P$8:$P$27,0))+N(INDEX(設定!$R$8:$R$27,MATCH(H447,設定!$P$8:$P$27,0))))-INDEX(定員チェック!$I$7:$I$26,MATCH(H447,設定!$P$8:$P$27,0))-COUNTIFS($M$7:$M$456,"要調整",$G$7:$G$456,H447),""))</f>
        <v/>
      </c>
      <c r="O447" s="50">
        <f>IF(OR(M447&lt;&gt;"要調整",I447=""),"",IFERROR((INDEX(設定!$Q$8:$Q$27,MATCH(I447,設定!$P$8:$P$27,0))+N(INDEX(設定!$R$8:$R$27,MATCH(I447,設定!$P$8:$P$27,0))))-INDEX(定員チェック!$I$7:$I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IF(R447="","",IFERROR(MATCH(R447,希望入力!$M$5:$M$554,0),""))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50">
        <f>IF(P448="","",INDEX(前年度名簿!$H$3:$H$452,P448))</f>
        <v/>
      </c>
      <c r="B448" s="50">
        <f>IF(P448="","",IFERROR(INDEX(設定!$G$8:$G$31,INT(INDEX(前年度名簿!$G$3:$G$452,P448)/1000)),INDEX(前年度名簿!$A$3:$A$452,P448)&amp;INDEX(前年度名簿!$B$3:$B$452,P448)))</f>
        <v/>
      </c>
      <c r="C448" s="50">
        <f>IF(P448="","",INDEX(前年度名簿!$C$3:$C$452,P448))</f>
        <v/>
      </c>
      <c r="D448" s="4">
        <f>IF(P448="","",INDEX(前年度名簿!$D$3:$D$452,P448))</f>
        <v/>
      </c>
      <c r="E448" s="50">
        <f>IF(T448="","",INDEX(新年度名簿!$K$3:$K$452,T448))</f>
        <v/>
      </c>
      <c r="F448" s="50">
        <f>IF(T448="","",INDEX(新年度名簿!$C$3:$C$452,T448))</f>
        <v/>
      </c>
      <c r="G448" s="50">
        <f>IF(Q448="","",INDEX(希望入力!$H$5:$H$554,Q448)&amp;"")</f>
        <v/>
      </c>
      <c r="H448" s="50">
        <f>IF(Q448="","",INDEX(希望入力!$I$5:$I$554,Q448)&amp;"")</f>
        <v/>
      </c>
      <c r="I448" s="50">
        <f>IF(Q448="","",INDEX(希望入力!$J$5:$J$554,Q448)&amp;"")</f>
        <v/>
      </c>
      <c r="J448" s="50">
        <f>IF(Q448="","",IF(G448="転出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)</f>
        <v/>
      </c>
      <c r="K448" s="49" t="n"/>
      <c r="L448" s="56">
        <f>IF(P448="","",IF(G448="転出","",IF(K448&lt;&gt;"",K448,IF(OR(J448="",J448="要調整"),"",J448))))</f>
        <v/>
      </c>
      <c r="M448" s="50">
        <f>IF(P448="","",IF(OR(G448="転出",AND(計算用!$B$1=1,T448="")),"転出",IF(L448&lt;&gt;"","決定",IF(Q448="","未提出","要調整"))))</f>
        <v/>
      </c>
      <c r="N448" s="50">
        <f>IF(OR(M448&lt;&gt;"要調整",H448=""),"",IFERROR((INDEX(設定!$Q$8:$Q$27,MATCH(H448,設定!$P$8:$P$27,0))+N(INDEX(設定!$R$8:$R$27,MATCH(H448,設定!$P$8:$P$27,0))))-INDEX(定員チェック!$I$7:$I$26,MATCH(H448,設定!$P$8:$P$27,0))-COUNTIFS($M$7:$M$456,"要調整",$G$7:$G$456,H448),""))</f>
        <v/>
      </c>
      <c r="O448" s="50">
        <f>IF(OR(M448&lt;&gt;"要調整",I448=""),"",IFERROR((INDEX(設定!$Q$8:$Q$27,MATCH(I448,設定!$P$8:$P$27,0))+N(INDEX(設定!$R$8:$R$27,MATCH(I448,設定!$P$8:$P$27,0))))-INDEX(定員チェック!$I$7:$I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IF(R448="","",IFERROR(MATCH(R448,希望入力!$M$5:$M$554,0),""))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50">
        <f>IF(P449="","",INDEX(前年度名簿!$H$3:$H$452,P449))</f>
        <v/>
      </c>
      <c r="B449" s="50">
        <f>IF(P449="","",IFERROR(INDEX(設定!$G$8:$G$31,INT(INDEX(前年度名簿!$G$3:$G$452,P449)/1000)),INDEX(前年度名簿!$A$3:$A$452,P449)&amp;INDEX(前年度名簿!$B$3:$B$452,P449)))</f>
        <v/>
      </c>
      <c r="C449" s="50">
        <f>IF(P449="","",INDEX(前年度名簿!$C$3:$C$452,P449))</f>
        <v/>
      </c>
      <c r="D449" s="4">
        <f>IF(P449="","",INDEX(前年度名簿!$D$3:$D$452,P449))</f>
        <v/>
      </c>
      <c r="E449" s="50">
        <f>IF(T449="","",INDEX(新年度名簿!$K$3:$K$452,T449))</f>
        <v/>
      </c>
      <c r="F449" s="50">
        <f>IF(T449="","",INDEX(新年度名簿!$C$3:$C$452,T449))</f>
        <v/>
      </c>
      <c r="G449" s="50">
        <f>IF(Q449="","",INDEX(希望入力!$H$5:$H$554,Q449)&amp;"")</f>
        <v/>
      </c>
      <c r="H449" s="50">
        <f>IF(Q449="","",INDEX(希望入力!$I$5:$I$554,Q449)&amp;"")</f>
        <v/>
      </c>
      <c r="I449" s="50">
        <f>IF(Q449="","",INDEX(希望入力!$J$5:$J$554,Q449)&amp;"")</f>
        <v/>
      </c>
      <c r="J449" s="50">
        <f>IF(Q449="","",IF(G449="転出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)</f>
        <v/>
      </c>
      <c r="K449" s="49" t="n"/>
      <c r="L449" s="56">
        <f>IF(P449="","",IF(G449="転出","",IF(K449&lt;&gt;"",K449,IF(OR(J449="",J449="要調整"),"",J449))))</f>
        <v/>
      </c>
      <c r="M449" s="50">
        <f>IF(P449="","",IF(OR(G449="転出",AND(計算用!$B$1=1,T449="")),"転出",IF(L449&lt;&gt;"","決定",IF(Q449="","未提出","要調整"))))</f>
        <v/>
      </c>
      <c r="N449" s="50">
        <f>IF(OR(M449&lt;&gt;"要調整",H449=""),"",IFERROR((INDEX(設定!$Q$8:$Q$27,MATCH(H449,設定!$P$8:$P$27,0))+N(INDEX(設定!$R$8:$R$27,MATCH(H449,設定!$P$8:$P$27,0))))-INDEX(定員チェック!$I$7:$I$26,MATCH(H449,設定!$P$8:$P$27,0))-COUNTIFS($M$7:$M$456,"要調整",$G$7:$G$456,H449),""))</f>
        <v/>
      </c>
      <c r="O449" s="50">
        <f>IF(OR(M449&lt;&gt;"要調整",I449=""),"",IFERROR((INDEX(設定!$Q$8:$Q$27,MATCH(I449,設定!$P$8:$P$27,0))+N(INDEX(設定!$R$8:$R$27,MATCH(I449,設定!$P$8:$P$27,0))))-INDEX(定員チェック!$I$7:$I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IF(R449="","",IFERROR(MATCH(R449,希望入力!$M$5:$M$554,0),""))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50">
        <f>IF(P450="","",INDEX(前年度名簿!$H$3:$H$452,P450))</f>
        <v/>
      </c>
      <c r="B450" s="50">
        <f>IF(P450="","",IFERROR(INDEX(設定!$G$8:$G$31,INT(INDEX(前年度名簿!$G$3:$G$452,P450)/1000)),INDEX(前年度名簿!$A$3:$A$452,P450)&amp;INDEX(前年度名簿!$B$3:$B$452,P450)))</f>
        <v/>
      </c>
      <c r="C450" s="50">
        <f>IF(P450="","",INDEX(前年度名簿!$C$3:$C$452,P450))</f>
        <v/>
      </c>
      <c r="D450" s="4">
        <f>IF(P450="","",INDEX(前年度名簿!$D$3:$D$452,P450))</f>
        <v/>
      </c>
      <c r="E450" s="50">
        <f>IF(T450="","",INDEX(新年度名簿!$K$3:$K$452,T450))</f>
        <v/>
      </c>
      <c r="F450" s="50">
        <f>IF(T450="","",INDEX(新年度名簿!$C$3:$C$452,T450))</f>
        <v/>
      </c>
      <c r="G450" s="50">
        <f>IF(Q450="","",INDEX(希望入力!$H$5:$H$554,Q450)&amp;"")</f>
        <v/>
      </c>
      <c r="H450" s="50">
        <f>IF(Q450="","",INDEX(希望入力!$I$5:$I$554,Q450)&amp;"")</f>
        <v/>
      </c>
      <c r="I450" s="50">
        <f>IF(Q450="","",INDEX(希望入力!$J$5:$J$554,Q450)&amp;"")</f>
        <v/>
      </c>
      <c r="J450" s="50">
        <f>IF(Q450="","",IF(G450="転出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)</f>
        <v/>
      </c>
      <c r="K450" s="49" t="n"/>
      <c r="L450" s="56">
        <f>IF(P450="","",IF(G450="転出","",IF(K450&lt;&gt;"",K450,IF(OR(J450="",J450="要調整"),"",J450))))</f>
        <v/>
      </c>
      <c r="M450" s="50">
        <f>IF(P450="","",IF(OR(G450="転出",AND(計算用!$B$1=1,T450="")),"転出",IF(L450&lt;&gt;"","決定",IF(Q450="","未提出","要調整"))))</f>
        <v/>
      </c>
      <c r="N450" s="50">
        <f>IF(OR(M450&lt;&gt;"要調整",H450=""),"",IFERROR((INDEX(設定!$Q$8:$Q$27,MATCH(H450,設定!$P$8:$P$27,0))+N(INDEX(設定!$R$8:$R$27,MATCH(H450,設定!$P$8:$P$27,0))))-INDEX(定員チェック!$I$7:$I$26,MATCH(H450,設定!$P$8:$P$27,0))-COUNTIFS($M$7:$M$456,"要調整",$G$7:$G$456,H450),""))</f>
        <v/>
      </c>
      <c r="O450" s="50">
        <f>IF(OR(M450&lt;&gt;"要調整",I450=""),"",IFERROR((INDEX(設定!$Q$8:$Q$27,MATCH(I450,設定!$P$8:$P$27,0))+N(INDEX(設定!$R$8:$R$27,MATCH(I450,設定!$P$8:$P$27,0))))-INDEX(定員チェック!$I$7:$I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IF(R450="","",IFERROR(MATCH(R450,希望入力!$M$5:$M$554,0),""))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50">
        <f>IF(P451="","",INDEX(前年度名簿!$H$3:$H$452,P451))</f>
        <v/>
      </c>
      <c r="B451" s="50">
        <f>IF(P451="","",IFERROR(INDEX(設定!$G$8:$G$31,INT(INDEX(前年度名簿!$G$3:$G$452,P451)/1000)),INDEX(前年度名簿!$A$3:$A$452,P451)&amp;INDEX(前年度名簿!$B$3:$B$452,P451)))</f>
        <v/>
      </c>
      <c r="C451" s="50">
        <f>IF(P451="","",INDEX(前年度名簿!$C$3:$C$452,P451))</f>
        <v/>
      </c>
      <c r="D451" s="4">
        <f>IF(P451="","",INDEX(前年度名簿!$D$3:$D$452,P451))</f>
        <v/>
      </c>
      <c r="E451" s="50">
        <f>IF(T451="","",INDEX(新年度名簿!$K$3:$K$452,T451))</f>
        <v/>
      </c>
      <c r="F451" s="50">
        <f>IF(T451="","",INDEX(新年度名簿!$C$3:$C$452,T451))</f>
        <v/>
      </c>
      <c r="G451" s="50">
        <f>IF(Q451="","",INDEX(希望入力!$H$5:$H$554,Q451)&amp;"")</f>
        <v/>
      </c>
      <c r="H451" s="50">
        <f>IF(Q451="","",INDEX(希望入力!$I$5:$I$554,Q451)&amp;"")</f>
        <v/>
      </c>
      <c r="I451" s="50">
        <f>IF(Q451="","",INDEX(希望入力!$J$5:$J$554,Q451)&amp;"")</f>
        <v/>
      </c>
      <c r="J451" s="50">
        <f>IF(Q451="","",IF(G451="転出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)</f>
        <v/>
      </c>
      <c r="K451" s="49" t="n"/>
      <c r="L451" s="56">
        <f>IF(P451="","",IF(G451="転出","",IF(K451&lt;&gt;"",K451,IF(OR(J451="",J451="要調整"),"",J451))))</f>
        <v/>
      </c>
      <c r="M451" s="50">
        <f>IF(P451="","",IF(OR(G451="転出",AND(計算用!$B$1=1,T451="")),"転出",IF(L451&lt;&gt;"","決定",IF(Q451="","未提出","要調整"))))</f>
        <v/>
      </c>
      <c r="N451" s="50">
        <f>IF(OR(M451&lt;&gt;"要調整",H451=""),"",IFERROR((INDEX(設定!$Q$8:$Q$27,MATCH(H451,設定!$P$8:$P$27,0))+N(INDEX(設定!$R$8:$R$27,MATCH(H451,設定!$P$8:$P$27,0))))-INDEX(定員チェック!$I$7:$I$26,MATCH(H451,設定!$P$8:$P$27,0))-COUNTIFS($M$7:$M$456,"要調整",$G$7:$G$456,H451),""))</f>
        <v/>
      </c>
      <c r="O451" s="50">
        <f>IF(OR(M451&lt;&gt;"要調整",I451=""),"",IFERROR((INDEX(設定!$Q$8:$Q$27,MATCH(I451,設定!$P$8:$P$27,0))+N(INDEX(設定!$R$8:$R$27,MATCH(I451,設定!$P$8:$P$27,0))))-INDEX(定員チェック!$I$7:$I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IF(R451="","",IFERROR(MATCH(R451,希望入力!$M$5:$M$554,0),""))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50">
        <f>IF(P452="","",INDEX(前年度名簿!$H$3:$H$452,P452))</f>
        <v/>
      </c>
      <c r="B452" s="50">
        <f>IF(P452="","",IFERROR(INDEX(設定!$G$8:$G$31,INT(INDEX(前年度名簿!$G$3:$G$452,P452)/1000)),INDEX(前年度名簿!$A$3:$A$452,P452)&amp;INDEX(前年度名簿!$B$3:$B$452,P452)))</f>
        <v/>
      </c>
      <c r="C452" s="50">
        <f>IF(P452="","",INDEX(前年度名簿!$C$3:$C$452,P452))</f>
        <v/>
      </c>
      <c r="D452" s="4">
        <f>IF(P452="","",INDEX(前年度名簿!$D$3:$D$452,P452))</f>
        <v/>
      </c>
      <c r="E452" s="50">
        <f>IF(T452="","",INDEX(新年度名簿!$K$3:$K$452,T452))</f>
        <v/>
      </c>
      <c r="F452" s="50">
        <f>IF(T452="","",INDEX(新年度名簿!$C$3:$C$452,T452))</f>
        <v/>
      </c>
      <c r="G452" s="50">
        <f>IF(Q452="","",INDEX(希望入力!$H$5:$H$554,Q452)&amp;"")</f>
        <v/>
      </c>
      <c r="H452" s="50">
        <f>IF(Q452="","",INDEX(希望入力!$I$5:$I$554,Q452)&amp;"")</f>
        <v/>
      </c>
      <c r="I452" s="50">
        <f>IF(Q452="","",INDEX(希望入力!$J$5:$J$554,Q452)&amp;"")</f>
        <v/>
      </c>
      <c r="J452" s="50">
        <f>IF(Q452="","",IF(G452="転出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)</f>
        <v/>
      </c>
      <c r="K452" s="49" t="n"/>
      <c r="L452" s="56">
        <f>IF(P452="","",IF(G452="転出","",IF(K452&lt;&gt;"",K452,IF(OR(J452="",J452="要調整"),"",J452))))</f>
        <v/>
      </c>
      <c r="M452" s="50">
        <f>IF(P452="","",IF(OR(G452="転出",AND(計算用!$B$1=1,T452="")),"転出",IF(L452&lt;&gt;"","決定",IF(Q452="","未提出","要調整"))))</f>
        <v/>
      </c>
      <c r="N452" s="50">
        <f>IF(OR(M452&lt;&gt;"要調整",H452=""),"",IFERROR((INDEX(設定!$Q$8:$Q$27,MATCH(H452,設定!$P$8:$P$27,0))+N(INDEX(設定!$R$8:$R$27,MATCH(H452,設定!$P$8:$P$27,0))))-INDEX(定員チェック!$I$7:$I$26,MATCH(H452,設定!$P$8:$P$27,0))-COUNTIFS($M$7:$M$456,"要調整",$G$7:$G$456,H452),""))</f>
        <v/>
      </c>
      <c r="O452" s="50">
        <f>IF(OR(M452&lt;&gt;"要調整",I452=""),"",IFERROR((INDEX(設定!$Q$8:$Q$27,MATCH(I452,設定!$P$8:$P$27,0))+N(INDEX(設定!$R$8:$R$27,MATCH(I452,設定!$P$8:$P$27,0))))-INDEX(定員チェック!$I$7:$I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IF(R452="","",IFERROR(MATCH(R452,希望入力!$M$5:$M$554,0),""))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50">
        <f>IF(P453="","",INDEX(前年度名簿!$H$3:$H$452,P453))</f>
        <v/>
      </c>
      <c r="B453" s="50">
        <f>IF(P453="","",IFERROR(INDEX(設定!$G$8:$G$31,INT(INDEX(前年度名簿!$G$3:$G$452,P453)/1000)),INDEX(前年度名簿!$A$3:$A$452,P453)&amp;INDEX(前年度名簿!$B$3:$B$452,P453)))</f>
        <v/>
      </c>
      <c r="C453" s="50">
        <f>IF(P453="","",INDEX(前年度名簿!$C$3:$C$452,P453))</f>
        <v/>
      </c>
      <c r="D453" s="4">
        <f>IF(P453="","",INDEX(前年度名簿!$D$3:$D$452,P453))</f>
        <v/>
      </c>
      <c r="E453" s="50">
        <f>IF(T453="","",INDEX(新年度名簿!$K$3:$K$452,T453))</f>
        <v/>
      </c>
      <c r="F453" s="50">
        <f>IF(T453="","",INDEX(新年度名簿!$C$3:$C$452,T453))</f>
        <v/>
      </c>
      <c r="G453" s="50">
        <f>IF(Q453="","",INDEX(希望入力!$H$5:$H$554,Q453)&amp;"")</f>
        <v/>
      </c>
      <c r="H453" s="50">
        <f>IF(Q453="","",INDEX(希望入力!$I$5:$I$554,Q453)&amp;"")</f>
        <v/>
      </c>
      <c r="I453" s="50">
        <f>IF(Q453="","",INDEX(希望入力!$J$5:$J$554,Q453)&amp;"")</f>
        <v/>
      </c>
      <c r="J453" s="50">
        <f>IF(Q453="","",IF(G453="転出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)</f>
        <v/>
      </c>
      <c r="K453" s="49" t="n"/>
      <c r="L453" s="56">
        <f>IF(P453="","",IF(G453="転出","",IF(K453&lt;&gt;"",K453,IF(OR(J453="",J453="要調整"),"",J453))))</f>
        <v/>
      </c>
      <c r="M453" s="50">
        <f>IF(P453="","",IF(OR(G453="転出",AND(計算用!$B$1=1,T453="")),"転出",IF(L453&lt;&gt;"","決定",IF(Q453="","未提出","要調整"))))</f>
        <v/>
      </c>
      <c r="N453" s="50">
        <f>IF(OR(M453&lt;&gt;"要調整",H453=""),"",IFERROR((INDEX(設定!$Q$8:$Q$27,MATCH(H453,設定!$P$8:$P$27,0))+N(INDEX(設定!$R$8:$R$27,MATCH(H453,設定!$P$8:$P$27,0))))-INDEX(定員チェック!$I$7:$I$26,MATCH(H453,設定!$P$8:$P$27,0))-COUNTIFS($M$7:$M$456,"要調整",$G$7:$G$456,H453),""))</f>
        <v/>
      </c>
      <c r="O453" s="50">
        <f>IF(OR(M453&lt;&gt;"要調整",I453=""),"",IFERROR((INDEX(設定!$Q$8:$Q$27,MATCH(I453,設定!$P$8:$P$27,0))+N(INDEX(設定!$R$8:$R$27,MATCH(I453,設定!$P$8:$P$27,0))))-INDEX(定員チェック!$I$7:$I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IF(R453="","",IFERROR(MATCH(R453,希望入力!$M$5:$M$554,0),""))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50">
        <f>IF(P454="","",INDEX(前年度名簿!$H$3:$H$452,P454))</f>
        <v/>
      </c>
      <c r="B454" s="50">
        <f>IF(P454="","",IFERROR(INDEX(設定!$G$8:$G$31,INT(INDEX(前年度名簿!$G$3:$G$452,P454)/1000)),INDEX(前年度名簿!$A$3:$A$452,P454)&amp;INDEX(前年度名簿!$B$3:$B$452,P454)))</f>
        <v/>
      </c>
      <c r="C454" s="50">
        <f>IF(P454="","",INDEX(前年度名簿!$C$3:$C$452,P454))</f>
        <v/>
      </c>
      <c r="D454" s="4">
        <f>IF(P454="","",INDEX(前年度名簿!$D$3:$D$452,P454))</f>
        <v/>
      </c>
      <c r="E454" s="50">
        <f>IF(T454="","",INDEX(新年度名簿!$K$3:$K$452,T454))</f>
        <v/>
      </c>
      <c r="F454" s="50">
        <f>IF(T454="","",INDEX(新年度名簿!$C$3:$C$452,T454))</f>
        <v/>
      </c>
      <c r="G454" s="50">
        <f>IF(Q454="","",INDEX(希望入力!$H$5:$H$554,Q454)&amp;"")</f>
        <v/>
      </c>
      <c r="H454" s="50">
        <f>IF(Q454="","",INDEX(希望入力!$I$5:$I$554,Q454)&amp;"")</f>
        <v/>
      </c>
      <c r="I454" s="50">
        <f>IF(Q454="","",INDEX(希望入力!$J$5:$J$554,Q454)&amp;"")</f>
        <v/>
      </c>
      <c r="J454" s="50">
        <f>IF(Q454="","",IF(G454="転出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)</f>
        <v/>
      </c>
      <c r="K454" s="49" t="n"/>
      <c r="L454" s="56">
        <f>IF(P454="","",IF(G454="転出","",IF(K454&lt;&gt;"",K454,IF(OR(J454="",J454="要調整"),"",J454))))</f>
        <v/>
      </c>
      <c r="M454" s="50">
        <f>IF(P454="","",IF(OR(G454="転出",AND(計算用!$B$1=1,T454="")),"転出",IF(L454&lt;&gt;"","決定",IF(Q454="","未提出","要調整"))))</f>
        <v/>
      </c>
      <c r="N454" s="50">
        <f>IF(OR(M454&lt;&gt;"要調整",H454=""),"",IFERROR((INDEX(設定!$Q$8:$Q$27,MATCH(H454,設定!$P$8:$P$27,0))+N(INDEX(設定!$R$8:$R$27,MATCH(H454,設定!$P$8:$P$27,0))))-INDEX(定員チェック!$I$7:$I$26,MATCH(H454,設定!$P$8:$P$27,0))-COUNTIFS($M$7:$M$456,"要調整",$G$7:$G$456,H454),""))</f>
        <v/>
      </c>
      <c r="O454" s="50">
        <f>IF(OR(M454&lt;&gt;"要調整",I454=""),"",IFERROR((INDEX(設定!$Q$8:$Q$27,MATCH(I454,設定!$P$8:$P$27,0))+N(INDEX(設定!$R$8:$R$27,MATCH(I454,設定!$P$8:$P$27,0))))-INDEX(定員チェック!$I$7:$I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IF(R454="","",IFERROR(MATCH(R454,希望入力!$M$5:$M$554,0),""))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50">
        <f>IF(P455="","",INDEX(前年度名簿!$H$3:$H$452,P455))</f>
        <v/>
      </c>
      <c r="B455" s="50">
        <f>IF(P455="","",IFERROR(INDEX(設定!$G$8:$G$31,INT(INDEX(前年度名簿!$G$3:$G$452,P455)/1000)),INDEX(前年度名簿!$A$3:$A$452,P455)&amp;INDEX(前年度名簿!$B$3:$B$452,P455)))</f>
        <v/>
      </c>
      <c r="C455" s="50">
        <f>IF(P455="","",INDEX(前年度名簿!$C$3:$C$452,P455))</f>
        <v/>
      </c>
      <c r="D455" s="4">
        <f>IF(P455="","",INDEX(前年度名簿!$D$3:$D$452,P455))</f>
        <v/>
      </c>
      <c r="E455" s="50">
        <f>IF(T455="","",INDEX(新年度名簿!$K$3:$K$452,T455))</f>
        <v/>
      </c>
      <c r="F455" s="50">
        <f>IF(T455="","",INDEX(新年度名簿!$C$3:$C$452,T455))</f>
        <v/>
      </c>
      <c r="G455" s="50">
        <f>IF(Q455="","",INDEX(希望入力!$H$5:$H$554,Q455)&amp;"")</f>
        <v/>
      </c>
      <c r="H455" s="50">
        <f>IF(Q455="","",INDEX(希望入力!$I$5:$I$554,Q455)&amp;"")</f>
        <v/>
      </c>
      <c r="I455" s="50">
        <f>IF(Q455="","",INDEX(希望入力!$J$5:$J$554,Q455)&amp;"")</f>
        <v/>
      </c>
      <c r="J455" s="50">
        <f>IF(Q455="","",IF(G455="転出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)</f>
        <v/>
      </c>
      <c r="K455" s="49" t="n"/>
      <c r="L455" s="56">
        <f>IF(P455="","",IF(G455="転出","",IF(K455&lt;&gt;"",K455,IF(OR(J455="",J455="要調整"),"",J455))))</f>
        <v/>
      </c>
      <c r="M455" s="50">
        <f>IF(P455="","",IF(OR(G455="転出",AND(計算用!$B$1=1,T455="")),"転出",IF(L455&lt;&gt;"","決定",IF(Q455="","未提出","要調整"))))</f>
        <v/>
      </c>
      <c r="N455" s="50">
        <f>IF(OR(M455&lt;&gt;"要調整",H455=""),"",IFERROR((INDEX(設定!$Q$8:$Q$27,MATCH(H455,設定!$P$8:$P$27,0))+N(INDEX(設定!$R$8:$R$27,MATCH(H455,設定!$P$8:$P$27,0))))-INDEX(定員チェック!$I$7:$I$26,MATCH(H455,設定!$P$8:$P$27,0))-COUNTIFS($M$7:$M$456,"要調整",$G$7:$G$456,H455),""))</f>
        <v/>
      </c>
      <c r="O455" s="50">
        <f>IF(OR(M455&lt;&gt;"要調整",I455=""),"",IFERROR((INDEX(設定!$Q$8:$Q$27,MATCH(I455,設定!$P$8:$P$27,0))+N(INDEX(設定!$R$8:$R$27,MATCH(I455,設定!$P$8:$P$27,0))))-INDEX(定員チェック!$I$7:$I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IF(R455="","",IFERROR(MATCH(R455,希望入力!$M$5:$M$554,0),""))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50">
        <f>IF(P456="","",INDEX(前年度名簿!$H$3:$H$452,P456))</f>
        <v/>
      </c>
      <c r="B456" s="50">
        <f>IF(P456="","",IFERROR(INDEX(設定!$G$8:$G$31,INT(INDEX(前年度名簿!$G$3:$G$452,P456)/1000)),INDEX(前年度名簿!$A$3:$A$452,P456)&amp;INDEX(前年度名簿!$B$3:$B$452,P456)))</f>
        <v/>
      </c>
      <c r="C456" s="50">
        <f>IF(P456="","",INDEX(前年度名簿!$C$3:$C$452,P456))</f>
        <v/>
      </c>
      <c r="D456" s="4">
        <f>IF(P456="","",INDEX(前年度名簿!$D$3:$D$452,P456))</f>
        <v/>
      </c>
      <c r="E456" s="50">
        <f>IF(T456="","",INDEX(新年度名簿!$K$3:$K$452,T456))</f>
        <v/>
      </c>
      <c r="F456" s="50">
        <f>IF(T456="","",INDEX(新年度名簿!$C$3:$C$452,T456))</f>
        <v/>
      </c>
      <c r="G456" s="50">
        <f>IF(Q456="","",INDEX(希望入力!$H$5:$H$554,Q456)&amp;"")</f>
        <v/>
      </c>
      <c r="H456" s="50">
        <f>IF(Q456="","",INDEX(希望入力!$I$5:$I$554,Q456)&amp;"")</f>
        <v/>
      </c>
      <c r="I456" s="50">
        <f>IF(Q456="","",INDEX(希望入力!$J$5:$J$554,Q456)&amp;"")</f>
        <v/>
      </c>
      <c r="J456" s="50">
        <f>IF(Q456="","",IF(G456="転出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)</f>
        <v/>
      </c>
      <c r="K456" s="49" t="n"/>
      <c r="L456" s="56">
        <f>IF(P456="","",IF(G456="転出","",IF(K456&lt;&gt;"",K456,IF(OR(J456="",J456="要調整"),"",J456))))</f>
        <v/>
      </c>
      <c r="M456" s="50">
        <f>IF(P456="","",IF(OR(G456="転出",AND(計算用!$B$1=1,T456="")),"転出",IF(L456&lt;&gt;"","決定",IF(Q456="","未提出","要調整"))))</f>
        <v/>
      </c>
      <c r="N456" s="50">
        <f>IF(OR(M456&lt;&gt;"要調整",H456=""),"",IFERROR((INDEX(設定!$Q$8:$Q$27,MATCH(H456,設定!$P$8:$P$27,0))+N(INDEX(設定!$R$8:$R$27,MATCH(H456,設定!$P$8:$P$27,0))))-INDEX(定員チェック!$I$7:$I$26,MATCH(H456,設定!$P$8:$P$27,0))-COUNTIFS($M$7:$M$456,"要調整",$G$7:$G$456,H456),""))</f>
        <v/>
      </c>
      <c r="O456" s="50">
        <f>IF(OR(M456&lt;&gt;"要調整",I456=""),"",IFERROR((INDEX(設定!$Q$8:$Q$27,MATCH(I456,設定!$P$8:$P$27,0))+N(INDEX(設定!$R$8:$R$27,MATCH(I456,設定!$P$8:$P$27,0))))-INDEX(定員チェック!$I$7:$I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IF(R456="","",IFERROR(MATCH(R456,希望入力!$M$5:$M$554,0),""))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12">
      <formula>J7="要調整"</formula>
    </cfRule>
  </conditionalFormatting>
  <conditionalFormatting sqref="H7:H456">
    <cfRule type="expression" priority="2" dxfId="13">
      <formula>AND($M7="要調整",N(N7)&gt;0)</formula>
    </cfRule>
  </conditionalFormatting>
  <conditionalFormatting sqref="I7:I456">
    <cfRule type="expression" priority="3" dxfId="13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1">
      <formula>OR($M7="未提出",$M7="転出")</formula>
    </cfRule>
  </conditionalFormatting>
  <conditionalFormatting sqref="K7:K456">
    <cfRule type="expression" priority="6" dxfId="14">
      <formula>K7&lt;&gt;""</formula>
    </cfRule>
  </conditionalFormatting>
  <conditionalFormatting sqref="H6:H456">
    <cfRule type="expression" priority="7" dxfId="11">
      <formula>設定!$Q$33&lt;2</formula>
    </cfRule>
  </conditionalFormatting>
  <conditionalFormatting sqref="N6:N456">
    <cfRule type="expression" priority="8" dxfId="11">
      <formula>設定!$Q$33&lt;2</formula>
    </cfRule>
  </conditionalFormatting>
  <conditionalFormatting sqref="I6:I456">
    <cfRule type="expression" priority="9" dxfId="11">
      <formula>設定!$Q$33&lt;3</formula>
    </cfRule>
  </conditionalFormatting>
  <conditionalFormatting sqref="O6:O456">
    <cfRule type="expression" priority="10" dxfId="11">
      <formula>設定!$Q$33&lt;3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  <c r="B1" s="72" t="n"/>
      <c r="C1" s="72" t="n"/>
      <c r="D1" s="72" t="n"/>
      <c r="E1" s="72" t="n"/>
      <c r="F1" s="73" t="n"/>
    </row>
    <row r="2" ht="30" customHeight="1">
      <c r="A2" s="46" t="inlineStr">
        <is>
          <t>学年</t>
        </is>
      </c>
      <c r="B2" s="46" t="inlineStr">
        <is>
          <t>組</t>
        </is>
      </c>
      <c r="C2" s="46" t="inlineStr">
        <is>
          <t>番号</t>
        </is>
      </c>
      <c r="D2" s="46" t="inlineStr">
        <is>
          <t>名前</t>
        </is>
      </c>
      <c r="E2" s="46" t="inlineStr">
        <is>
          <t>クラブ（転入生などの手入力）</t>
        </is>
      </c>
      <c r="F2" s="57" t="inlineStr">
        <is>
          <t>つながり（自動）</t>
        </is>
      </c>
      <c r="G2" s="57" t="inlineStr">
        <is>
          <t>決まったクラブ（自動）</t>
        </is>
      </c>
      <c r="H2" s="40" t="inlineStr">
        <is>
          <t>名前キー</t>
        </is>
      </c>
      <c r="I2" s="40" t="inlineStr">
        <is>
          <t>振り分け行</t>
        </is>
      </c>
      <c r="J2" s="40" t="inlineStr">
        <is>
          <t>並び順</t>
        </is>
      </c>
      <c r="K2" s="40" t="inlineStr">
        <is>
          <t>組表示</t>
        </is>
      </c>
    </row>
    <row r="3">
      <c r="A3" s="41" t="n"/>
      <c r="B3" s="41" t="n"/>
      <c r="C3" s="41" t="n"/>
      <c r="D3" s="42" t="n"/>
      <c r="E3" s="41" t="n"/>
      <c r="F3" s="51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50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41" t="n"/>
      <c r="B4" s="41" t="n"/>
      <c r="C4" s="41" t="n"/>
      <c r="D4" s="42" t="n"/>
      <c r="E4" s="41" t="n"/>
      <c r="F4" s="51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50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41" t="n"/>
      <c r="B5" s="41" t="n"/>
      <c r="C5" s="41" t="n"/>
      <c r="D5" s="42" t="n"/>
      <c r="E5" s="41" t="n"/>
      <c r="F5" s="51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50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41" t="n"/>
      <c r="B6" s="41" t="n"/>
      <c r="C6" s="41" t="n"/>
      <c r="D6" s="42" t="n"/>
      <c r="E6" s="41" t="n"/>
      <c r="F6" s="51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50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41" t="n"/>
      <c r="B7" s="41" t="n"/>
      <c r="C7" s="41" t="n"/>
      <c r="D7" s="42" t="n"/>
      <c r="E7" s="41" t="n"/>
      <c r="F7" s="51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50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41" t="n"/>
      <c r="B8" s="41" t="n"/>
      <c r="C8" s="41" t="n"/>
      <c r="D8" s="42" t="n"/>
      <c r="E8" s="41" t="n"/>
      <c r="F8" s="51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50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41" t="n"/>
      <c r="B9" s="41" t="n"/>
      <c r="C9" s="41" t="n"/>
      <c r="D9" s="42" t="n"/>
      <c r="E9" s="41" t="n"/>
      <c r="F9" s="51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50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41" t="n"/>
      <c r="B10" s="41" t="n"/>
      <c r="C10" s="41" t="n"/>
      <c r="D10" s="42" t="n"/>
      <c r="E10" s="41" t="n"/>
      <c r="F10" s="51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50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41" t="n"/>
      <c r="B11" s="41" t="n"/>
      <c r="C11" s="41" t="n"/>
      <c r="D11" s="42" t="n"/>
      <c r="E11" s="41" t="n"/>
      <c r="F11" s="51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50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41" t="n"/>
      <c r="B12" s="41" t="n"/>
      <c r="C12" s="41" t="n"/>
      <c r="D12" s="42" t="n"/>
      <c r="E12" s="41" t="n"/>
      <c r="F12" s="51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50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41" t="n"/>
      <c r="B13" s="41" t="n"/>
      <c r="C13" s="41" t="n"/>
      <c r="D13" s="42" t="n"/>
      <c r="E13" s="41" t="n"/>
      <c r="F13" s="51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50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41" t="n"/>
      <c r="B14" s="41" t="n"/>
      <c r="C14" s="41" t="n"/>
      <c r="D14" s="42" t="n"/>
      <c r="E14" s="41" t="n"/>
      <c r="F14" s="51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50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41" t="n"/>
      <c r="B15" s="41" t="n"/>
      <c r="C15" s="41" t="n"/>
      <c r="D15" s="42" t="n"/>
      <c r="E15" s="41" t="n"/>
      <c r="F15" s="51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50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41" t="n"/>
      <c r="B16" s="41" t="n"/>
      <c r="C16" s="41" t="n"/>
      <c r="D16" s="42" t="n"/>
      <c r="E16" s="41" t="n"/>
      <c r="F16" s="51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50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41" t="n"/>
      <c r="B17" s="41" t="n"/>
      <c r="C17" s="41" t="n"/>
      <c r="D17" s="42" t="n"/>
      <c r="E17" s="41" t="n"/>
      <c r="F17" s="51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50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41" t="n"/>
      <c r="B18" s="41" t="n"/>
      <c r="C18" s="41" t="n"/>
      <c r="D18" s="42" t="n"/>
      <c r="E18" s="41" t="n"/>
      <c r="F18" s="51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50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41" t="n"/>
      <c r="B19" s="41" t="n"/>
      <c r="C19" s="41" t="n"/>
      <c r="D19" s="42" t="n"/>
      <c r="E19" s="41" t="n"/>
      <c r="F19" s="51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50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41" t="n"/>
      <c r="B20" s="41" t="n"/>
      <c r="C20" s="41" t="n"/>
      <c r="D20" s="42" t="n"/>
      <c r="E20" s="41" t="n"/>
      <c r="F20" s="51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50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41" t="n"/>
      <c r="B21" s="41" t="n"/>
      <c r="C21" s="41" t="n"/>
      <c r="D21" s="42" t="n"/>
      <c r="E21" s="41" t="n"/>
      <c r="F21" s="51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50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41" t="n"/>
      <c r="B22" s="41" t="n"/>
      <c r="C22" s="41" t="n"/>
      <c r="D22" s="42" t="n"/>
      <c r="E22" s="41" t="n"/>
      <c r="F22" s="51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50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41" t="n"/>
      <c r="B23" s="41" t="n"/>
      <c r="C23" s="41" t="n"/>
      <c r="D23" s="42" t="n"/>
      <c r="E23" s="41" t="n"/>
      <c r="F23" s="51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50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41" t="n"/>
      <c r="B24" s="41" t="n"/>
      <c r="C24" s="41" t="n"/>
      <c r="D24" s="42" t="n"/>
      <c r="E24" s="41" t="n"/>
      <c r="F24" s="51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50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41" t="n"/>
      <c r="B25" s="41" t="n"/>
      <c r="C25" s="41" t="n"/>
      <c r="D25" s="42" t="n"/>
      <c r="E25" s="41" t="n"/>
      <c r="F25" s="51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50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41" t="n"/>
      <c r="B26" s="41" t="n"/>
      <c r="C26" s="41" t="n"/>
      <c r="D26" s="42" t="n"/>
      <c r="E26" s="41" t="n"/>
      <c r="F26" s="51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50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41" t="n"/>
      <c r="B27" s="41" t="n"/>
      <c r="C27" s="41" t="n"/>
      <c r="D27" s="42" t="n"/>
      <c r="E27" s="41" t="n"/>
      <c r="F27" s="51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50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41" t="n"/>
      <c r="B28" s="41" t="n"/>
      <c r="C28" s="41" t="n"/>
      <c r="D28" s="42" t="n"/>
      <c r="E28" s="41" t="n"/>
      <c r="F28" s="51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50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41" t="n"/>
      <c r="B29" s="41" t="n"/>
      <c r="C29" s="41" t="n"/>
      <c r="D29" s="42" t="n"/>
      <c r="E29" s="41" t="n"/>
      <c r="F29" s="51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50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41" t="n"/>
      <c r="B30" s="41" t="n"/>
      <c r="C30" s="41" t="n"/>
      <c r="D30" s="42" t="n"/>
      <c r="E30" s="41" t="n"/>
      <c r="F30" s="51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50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41" t="n"/>
      <c r="B31" s="41" t="n"/>
      <c r="C31" s="41" t="n"/>
      <c r="D31" s="42" t="n"/>
      <c r="E31" s="41" t="n"/>
      <c r="F31" s="51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50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41" t="n"/>
      <c r="B32" s="41" t="n"/>
      <c r="C32" s="41" t="n"/>
      <c r="D32" s="42" t="n"/>
      <c r="E32" s="41" t="n"/>
      <c r="F32" s="51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50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41" t="n"/>
      <c r="B33" s="41" t="n"/>
      <c r="C33" s="41" t="n"/>
      <c r="D33" s="42" t="n"/>
      <c r="E33" s="41" t="n"/>
      <c r="F33" s="51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50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41" t="n"/>
      <c r="B34" s="41" t="n"/>
      <c r="C34" s="41" t="n"/>
      <c r="D34" s="42" t="n"/>
      <c r="E34" s="41" t="n"/>
      <c r="F34" s="51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50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41" t="n"/>
      <c r="B35" s="41" t="n"/>
      <c r="C35" s="41" t="n"/>
      <c r="D35" s="42" t="n"/>
      <c r="E35" s="41" t="n"/>
      <c r="F35" s="51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50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41" t="n"/>
      <c r="B36" s="41" t="n"/>
      <c r="C36" s="41" t="n"/>
      <c r="D36" s="42" t="n"/>
      <c r="E36" s="41" t="n"/>
      <c r="F36" s="51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50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41" t="n"/>
      <c r="B37" s="41" t="n"/>
      <c r="C37" s="41" t="n"/>
      <c r="D37" s="42" t="n"/>
      <c r="E37" s="41" t="n"/>
      <c r="F37" s="51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50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41" t="n"/>
      <c r="B38" s="41" t="n"/>
      <c r="C38" s="41" t="n"/>
      <c r="D38" s="42" t="n"/>
      <c r="E38" s="41" t="n"/>
      <c r="F38" s="51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50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41" t="n"/>
      <c r="B39" s="41" t="n"/>
      <c r="C39" s="41" t="n"/>
      <c r="D39" s="42" t="n"/>
      <c r="E39" s="41" t="n"/>
      <c r="F39" s="51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50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41" t="n"/>
      <c r="B40" s="41" t="n"/>
      <c r="C40" s="41" t="n"/>
      <c r="D40" s="42" t="n"/>
      <c r="E40" s="41" t="n"/>
      <c r="F40" s="51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50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41" t="n"/>
      <c r="B41" s="41" t="n"/>
      <c r="C41" s="41" t="n"/>
      <c r="D41" s="42" t="n"/>
      <c r="E41" s="41" t="n"/>
      <c r="F41" s="51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50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41" t="n"/>
      <c r="B42" s="41" t="n"/>
      <c r="C42" s="41" t="n"/>
      <c r="D42" s="42" t="n"/>
      <c r="E42" s="41" t="n"/>
      <c r="F42" s="51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50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41" t="n"/>
      <c r="B43" s="41" t="n"/>
      <c r="C43" s="41" t="n"/>
      <c r="D43" s="42" t="n"/>
      <c r="E43" s="41" t="n"/>
      <c r="F43" s="51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50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41" t="n"/>
      <c r="B44" s="41" t="n"/>
      <c r="C44" s="41" t="n"/>
      <c r="D44" s="42" t="n"/>
      <c r="E44" s="41" t="n"/>
      <c r="F44" s="51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50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41" t="n"/>
      <c r="B45" s="41" t="n"/>
      <c r="C45" s="41" t="n"/>
      <c r="D45" s="42" t="n"/>
      <c r="E45" s="41" t="n"/>
      <c r="F45" s="51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50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41" t="n"/>
      <c r="B46" s="41" t="n"/>
      <c r="C46" s="41" t="n"/>
      <c r="D46" s="42" t="n"/>
      <c r="E46" s="41" t="n"/>
      <c r="F46" s="51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50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41" t="n"/>
      <c r="B47" s="41" t="n"/>
      <c r="C47" s="41" t="n"/>
      <c r="D47" s="42" t="n"/>
      <c r="E47" s="41" t="n"/>
      <c r="F47" s="51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50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41" t="n"/>
      <c r="B48" s="41" t="n"/>
      <c r="C48" s="41" t="n"/>
      <c r="D48" s="42" t="n"/>
      <c r="E48" s="41" t="n"/>
      <c r="F48" s="51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50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41" t="n"/>
      <c r="B49" s="41" t="n"/>
      <c r="C49" s="41" t="n"/>
      <c r="D49" s="42" t="n"/>
      <c r="E49" s="41" t="n"/>
      <c r="F49" s="51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50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41" t="n"/>
      <c r="B50" s="41" t="n"/>
      <c r="C50" s="41" t="n"/>
      <c r="D50" s="42" t="n"/>
      <c r="E50" s="41" t="n"/>
      <c r="F50" s="51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50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41" t="n"/>
      <c r="B51" s="41" t="n"/>
      <c r="C51" s="41" t="n"/>
      <c r="D51" s="42" t="n"/>
      <c r="E51" s="41" t="n"/>
      <c r="F51" s="51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50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41" t="n"/>
      <c r="B52" s="41" t="n"/>
      <c r="C52" s="41" t="n"/>
      <c r="D52" s="42" t="n"/>
      <c r="E52" s="41" t="n"/>
      <c r="F52" s="51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50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41" t="n"/>
      <c r="B53" s="41" t="n"/>
      <c r="C53" s="41" t="n"/>
      <c r="D53" s="42" t="n"/>
      <c r="E53" s="41" t="n"/>
      <c r="F53" s="51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50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41" t="n"/>
      <c r="B54" s="41" t="n"/>
      <c r="C54" s="41" t="n"/>
      <c r="D54" s="42" t="n"/>
      <c r="E54" s="41" t="n"/>
      <c r="F54" s="51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50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41" t="n"/>
      <c r="B55" s="41" t="n"/>
      <c r="C55" s="41" t="n"/>
      <c r="D55" s="42" t="n"/>
      <c r="E55" s="41" t="n"/>
      <c r="F55" s="51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50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41" t="n"/>
      <c r="B56" s="41" t="n"/>
      <c r="C56" s="41" t="n"/>
      <c r="D56" s="42" t="n"/>
      <c r="E56" s="41" t="n"/>
      <c r="F56" s="51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50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41" t="n"/>
      <c r="B57" s="41" t="n"/>
      <c r="C57" s="41" t="n"/>
      <c r="D57" s="42" t="n"/>
      <c r="E57" s="41" t="n"/>
      <c r="F57" s="51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50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41" t="n"/>
      <c r="B58" s="41" t="n"/>
      <c r="C58" s="41" t="n"/>
      <c r="D58" s="42" t="n"/>
      <c r="E58" s="41" t="n"/>
      <c r="F58" s="51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50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41" t="n"/>
      <c r="B59" s="41" t="n"/>
      <c r="C59" s="41" t="n"/>
      <c r="D59" s="42" t="n"/>
      <c r="E59" s="41" t="n"/>
      <c r="F59" s="51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50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41" t="n"/>
      <c r="B60" s="41" t="n"/>
      <c r="C60" s="41" t="n"/>
      <c r="D60" s="42" t="n"/>
      <c r="E60" s="41" t="n"/>
      <c r="F60" s="51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50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41" t="n"/>
      <c r="B61" s="41" t="n"/>
      <c r="C61" s="41" t="n"/>
      <c r="D61" s="42" t="n"/>
      <c r="E61" s="41" t="n"/>
      <c r="F61" s="51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50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41" t="n"/>
      <c r="B62" s="41" t="n"/>
      <c r="C62" s="41" t="n"/>
      <c r="D62" s="42" t="n"/>
      <c r="E62" s="41" t="n"/>
      <c r="F62" s="51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50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41" t="n"/>
      <c r="B63" s="41" t="n"/>
      <c r="C63" s="41" t="n"/>
      <c r="D63" s="42" t="n"/>
      <c r="E63" s="41" t="n"/>
      <c r="F63" s="51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50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41" t="n"/>
      <c r="B64" s="41" t="n"/>
      <c r="C64" s="41" t="n"/>
      <c r="D64" s="42" t="n"/>
      <c r="E64" s="41" t="n"/>
      <c r="F64" s="51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50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41" t="n"/>
      <c r="B65" s="41" t="n"/>
      <c r="C65" s="41" t="n"/>
      <c r="D65" s="42" t="n"/>
      <c r="E65" s="41" t="n"/>
      <c r="F65" s="51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50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41" t="n"/>
      <c r="B66" s="41" t="n"/>
      <c r="C66" s="41" t="n"/>
      <c r="D66" s="42" t="n"/>
      <c r="E66" s="41" t="n"/>
      <c r="F66" s="51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50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41" t="n"/>
      <c r="B67" s="41" t="n"/>
      <c r="C67" s="41" t="n"/>
      <c r="D67" s="42" t="n"/>
      <c r="E67" s="41" t="n"/>
      <c r="F67" s="51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50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41" t="n"/>
      <c r="B68" s="41" t="n"/>
      <c r="C68" s="41" t="n"/>
      <c r="D68" s="42" t="n"/>
      <c r="E68" s="41" t="n"/>
      <c r="F68" s="51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50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41" t="n"/>
      <c r="B69" s="41" t="n"/>
      <c r="C69" s="41" t="n"/>
      <c r="D69" s="42" t="n"/>
      <c r="E69" s="41" t="n"/>
      <c r="F69" s="51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50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41" t="n"/>
      <c r="B70" s="41" t="n"/>
      <c r="C70" s="41" t="n"/>
      <c r="D70" s="42" t="n"/>
      <c r="E70" s="41" t="n"/>
      <c r="F70" s="51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50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41" t="n"/>
      <c r="B71" s="41" t="n"/>
      <c r="C71" s="41" t="n"/>
      <c r="D71" s="42" t="n"/>
      <c r="E71" s="41" t="n"/>
      <c r="F71" s="51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50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41" t="n"/>
      <c r="B72" s="41" t="n"/>
      <c r="C72" s="41" t="n"/>
      <c r="D72" s="42" t="n"/>
      <c r="E72" s="41" t="n"/>
      <c r="F72" s="51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50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41" t="n"/>
      <c r="B73" s="41" t="n"/>
      <c r="C73" s="41" t="n"/>
      <c r="D73" s="42" t="n"/>
      <c r="E73" s="41" t="n"/>
      <c r="F73" s="51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50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41" t="n"/>
      <c r="B74" s="41" t="n"/>
      <c r="C74" s="41" t="n"/>
      <c r="D74" s="42" t="n"/>
      <c r="E74" s="41" t="n"/>
      <c r="F74" s="51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50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41" t="n"/>
      <c r="B75" s="41" t="n"/>
      <c r="C75" s="41" t="n"/>
      <c r="D75" s="42" t="n"/>
      <c r="E75" s="41" t="n"/>
      <c r="F75" s="51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50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41" t="n"/>
      <c r="B76" s="41" t="n"/>
      <c r="C76" s="41" t="n"/>
      <c r="D76" s="42" t="n"/>
      <c r="E76" s="41" t="n"/>
      <c r="F76" s="51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50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41" t="n"/>
      <c r="B77" s="41" t="n"/>
      <c r="C77" s="41" t="n"/>
      <c r="D77" s="42" t="n"/>
      <c r="E77" s="41" t="n"/>
      <c r="F77" s="51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50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41" t="n"/>
      <c r="B78" s="41" t="n"/>
      <c r="C78" s="41" t="n"/>
      <c r="D78" s="42" t="n"/>
      <c r="E78" s="41" t="n"/>
      <c r="F78" s="51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50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41" t="n"/>
      <c r="B79" s="41" t="n"/>
      <c r="C79" s="41" t="n"/>
      <c r="D79" s="42" t="n"/>
      <c r="E79" s="41" t="n"/>
      <c r="F79" s="51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50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41" t="n"/>
      <c r="B80" s="41" t="n"/>
      <c r="C80" s="41" t="n"/>
      <c r="D80" s="42" t="n"/>
      <c r="E80" s="41" t="n"/>
      <c r="F80" s="51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50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41" t="n"/>
      <c r="B81" s="41" t="n"/>
      <c r="C81" s="41" t="n"/>
      <c r="D81" s="42" t="n"/>
      <c r="E81" s="41" t="n"/>
      <c r="F81" s="51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50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41" t="n"/>
      <c r="B82" s="41" t="n"/>
      <c r="C82" s="41" t="n"/>
      <c r="D82" s="42" t="n"/>
      <c r="E82" s="41" t="n"/>
      <c r="F82" s="51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50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41" t="n"/>
      <c r="B83" s="41" t="n"/>
      <c r="C83" s="41" t="n"/>
      <c r="D83" s="42" t="n"/>
      <c r="E83" s="41" t="n"/>
      <c r="F83" s="51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50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41" t="n"/>
      <c r="B84" s="41" t="n"/>
      <c r="C84" s="41" t="n"/>
      <c r="D84" s="42" t="n"/>
      <c r="E84" s="41" t="n"/>
      <c r="F84" s="51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50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41" t="n"/>
      <c r="B85" s="41" t="n"/>
      <c r="C85" s="41" t="n"/>
      <c r="D85" s="42" t="n"/>
      <c r="E85" s="41" t="n"/>
      <c r="F85" s="51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50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41" t="n"/>
      <c r="B86" s="41" t="n"/>
      <c r="C86" s="41" t="n"/>
      <c r="D86" s="42" t="n"/>
      <c r="E86" s="41" t="n"/>
      <c r="F86" s="51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50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41" t="n"/>
      <c r="B87" s="41" t="n"/>
      <c r="C87" s="41" t="n"/>
      <c r="D87" s="42" t="n"/>
      <c r="E87" s="41" t="n"/>
      <c r="F87" s="51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50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41" t="n"/>
      <c r="B88" s="41" t="n"/>
      <c r="C88" s="41" t="n"/>
      <c r="D88" s="42" t="n"/>
      <c r="E88" s="41" t="n"/>
      <c r="F88" s="51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50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41" t="n"/>
      <c r="B89" s="41" t="n"/>
      <c r="C89" s="41" t="n"/>
      <c r="D89" s="42" t="n"/>
      <c r="E89" s="41" t="n"/>
      <c r="F89" s="51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50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41" t="n"/>
      <c r="B90" s="41" t="n"/>
      <c r="C90" s="41" t="n"/>
      <c r="D90" s="42" t="n"/>
      <c r="E90" s="41" t="n"/>
      <c r="F90" s="51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50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41" t="n"/>
      <c r="B91" s="41" t="n"/>
      <c r="C91" s="41" t="n"/>
      <c r="D91" s="42" t="n"/>
      <c r="E91" s="41" t="n"/>
      <c r="F91" s="51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50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41" t="n"/>
      <c r="B92" s="41" t="n"/>
      <c r="C92" s="41" t="n"/>
      <c r="D92" s="42" t="n"/>
      <c r="E92" s="41" t="n"/>
      <c r="F92" s="51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50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41" t="n"/>
      <c r="B93" s="41" t="n"/>
      <c r="C93" s="41" t="n"/>
      <c r="D93" s="42" t="n"/>
      <c r="E93" s="41" t="n"/>
      <c r="F93" s="51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50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41" t="n"/>
      <c r="B94" s="41" t="n"/>
      <c r="C94" s="41" t="n"/>
      <c r="D94" s="42" t="n"/>
      <c r="E94" s="41" t="n"/>
      <c r="F94" s="51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50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41" t="n"/>
      <c r="B95" s="41" t="n"/>
      <c r="C95" s="41" t="n"/>
      <c r="D95" s="42" t="n"/>
      <c r="E95" s="41" t="n"/>
      <c r="F95" s="51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50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41" t="n"/>
      <c r="B96" s="41" t="n"/>
      <c r="C96" s="41" t="n"/>
      <c r="D96" s="42" t="n"/>
      <c r="E96" s="41" t="n"/>
      <c r="F96" s="51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50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41" t="n"/>
      <c r="B97" s="41" t="n"/>
      <c r="C97" s="41" t="n"/>
      <c r="D97" s="42" t="n"/>
      <c r="E97" s="41" t="n"/>
      <c r="F97" s="51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50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41" t="n"/>
      <c r="B98" s="41" t="n"/>
      <c r="C98" s="41" t="n"/>
      <c r="D98" s="42" t="n"/>
      <c r="E98" s="41" t="n"/>
      <c r="F98" s="51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50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41" t="n"/>
      <c r="B99" s="41" t="n"/>
      <c r="C99" s="41" t="n"/>
      <c r="D99" s="42" t="n"/>
      <c r="E99" s="41" t="n"/>
      <c r="F99" s="51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50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41" t="n"/>
      <c r="B100" s="41" t="n"/>
      <c r="C100" s="41" t="n"/>
      <c r="D100" s="42" t="n"/>
      <c r="E100" s="41" t="n"/>
      <c r="F100" s="51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50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41" t="n"/>
      <c r="B101" s="41" t="n"/>
      <c r="C101" s="41" t="n"/>
      <c r="D101" s="42" t="n"/>
      <c r="E101" s="41" t="n"/>
      <c r="F101" s="51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50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41" t="n"/>
      <c r="B102" s="41" t="n"/>
      <c r="C102" s="41" t="n"/>
      <c r="D102" s="42" t="n"/>
      <c r="E102" s="41" t="n"/>
      <c r="F102" s="51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50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41" t="n"/>
      <c r="B103" s="41" t="n"/>
      <c r="C103" s="41" t="n"/>
      <c r="D103" s="42" t="n"/>
      <c r="E103" s="41" t="n"/>
      <c r="F103" s="51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50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41" t="n"/>
      <c r="B104" s="41" t="n"/>
      <c r="C104" s="41" t="n"/>
      <c r="D104" s="42" t="n"/>
      <c r="E104" s="41" t="n"/>
      <c r="F104" s="51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50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41" t="n"/>
      <c r="B105" s="41" t="n"/>
      <c r="C105" s="41" t="n"/>
      <c r="D105" s="42" t="n"/>
      <c r="E105" s="41" t="n"/>
      <c r="F105" s="51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50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41" t="n"/>
      <c r="B106" s="41" t="n"/>
      <c r="C106" s="41" t="n"/>
      <c r="D106" s="42" t="n"/>
      <c r="E106" s="41" t="n"/>
      <c r="F106" s="51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50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41" t="n"/>
      <c r="B107" s="41" t="n"/>
      <c r="C107" s="41" t="n"/>
      <c r="D107" s="42" t="n"/>
      <c r="E107" s="41" t="n"/>
      <c r="F107" s="51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50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41" t="n"/>
      <c r="B108" s="41" t="n"/>
      <c r="C108" s="41" t="n"/>
      <c r="D108" s="42" t="n"/>
      <c r="E108" s="41" t="n"/>
      <c r="F108" s="51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50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41" t="n"/>
      <c r="B109" s="41" t="n"/>
      <c r="C109" s="41" t="n"/>
      <c r="D109" s="42" t="n"/>
      <c r="E109" s="41" t="n"/>
      <c r="F109" s="51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50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41" t="n"/>
      <c r="B110" s="41" t="n"/>
      <c r="C110" s="41" t="n"/>
      <c r="D110" s="42" t="n"/>
      <c r="E110" s="41" t="n"/>
      <c r="F110" s="51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50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41" t="n"/>
      <c r="B111" s="41" t="n"/>
      <c r="C111" s="41" t="n"/>
      <c r="D111" s="42" t="n"/>
      <c r="E111" s="41" t="n"/>
      <c r="F111" s="51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50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41" t="n"/>
      <c r="B112" s="41" t="n"/>
      <c r="C112" s="41" t="n"/>
      <c r="D112" s="42" t="n"/>
      <c r="E112" s="41" t="n"/>
      <c r="F112" s="51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50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41" t="n"/>
      <c r="B113" s="41" t="n"/>
      <c r="C113" s="41" t="n"/>
      <c r="D113" s="42" t="n"/>
      <c r="E113" s="41" t="n"/>
      <c r="F113" s="51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50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41" t="n"/>
      <c r="B114" s="41" t="n"/>
      <c r="C114" s="41" t="n"/>
      <c r="D114" s="42" t="n"/>
      <c r="E114" s="41" t="n"/>
      <c r="F114" s="51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50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41" t="n"/>
      <c r="B115" s="41" t="n"/>
      <c r="C115" s="41" t="n"/>
      <c r="D115" s="42" t="n"/>
      <c r="E115" s="41" t="n"/>
      <c r="F115" s="51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50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41" t="n"/>
      <c r="B116" s="41" t="n"/>
      <c r="C116" s="41" t="n"/>
      <c r="D116" s="42" t="n"/>
      <c r="E116" s="41" t="n"/>
      <c r="F116" s="51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50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41" t="n"/>
      <c r="B117" s="41" t="n"/>
      <c r="C117" s="41" t="n"/>
      <c r="D117" s="42" t="n"/>
      <c r="E117" s="41" t="n"/>
      <c r="F117" s="51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50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41" t="n"/>
      <c r="B118" s="41" t="n"/>
      <c r="C118" s="41" t="n"/>
      <c r="D118" s="42" t="n"/>
      <c r="E118" s="41" t="n"/>
      <c r="F118" s="51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50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41" t="n"/>
      <c r="B119" s="41" t="n"/>
      <c r="C119" s="41" t="n"/>
      <c r="D119" s="42" t="n"/>
      <c r="E119" s="41" t="n"/>
      <c r="F119" s="51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50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41" t="n"/>
      <c r="B120" s="41" t="n"/>
      <c r="C120" s="41" t="n"/>
      <c r="D120" s="42" t="n"/>
      <c r="E120" s="41" t="n"/>
      <c r="F120" s="51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50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41" t="n"/>
      <c r="B121" s="41" t="n"/>
      <c r="C121" s="41" t="n"/>
      <c r="D121" s="42" t="n"/>
      <c r="E121" s="41" t="n"/>
      <c r="F121" s="51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50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41" t="n"/>
      <c r="B122" s="41" t="n"/>
      <c r="C122" s="41" t="n"/>
      <c r="D122" s="42" t="n"/>
      <c r="E122" s="41" t="n"/>
      <c r="F122" s="51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50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41" t="n"/>
      <c r="B123" s="41" t="n"/>
      <c r="C123" s="41" t="n"/>
      <c r="D123" s="42" t="n"/>
      <c r="E123" s="41" t="n"/>
      <c r="F123" s="51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50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41" t="n"/>
      <c r="B124" s="41" t="n"/>
      <c r="C124" s="41" t="n"/>
      <c r="D124" s="42" t="n"/>
      <c r="E124" s="41" t="n"/>
      <c r="F124" s="51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50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41" t="n"/>
      <c r="B125" s="41" t="n"/>
      <c r="C125" s="41" t="n"/>
      <c r="D125" s="42" t="n"/>
      <c r="E125" s="41" t="n"/>
      <c r="F125" s="51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50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41" t="n"/>
      <c r="B126" s="41" t="n"/>
      <c r="C126" s="41" t="n"/>
      <c r="D126" s="42" t="n"/>
      <c r="E126" s="41" t="n"/>
      <c r="F126" s="51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50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41" t="n"/>
      <c r="B127" s="41" t="n"/>
      <c r="C127" s="41" t="n"/>
      <c r="D127" s="42" t="n"/>
      <c r="E127" s="41" t="n"/>
      <c r="F127" s="51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50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41" t="n"/>
      <c r="B128" s="41" t="n"/>
      <c r="C128" s="41" t="n"/>
      <c r="D128" s="42" t="n"/>
      <c r="E128" s="41" t="n"/>
      <c r="F128" s="51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50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41" t="n"/>
      <c r="B129" s="41" t="n"/>
      <c r="C129" s="41" t="n"/>
      <c r="D129" s="42" t="n"/>
      <c r="E129" s="41" t="n"/>
      <c r="F129" s="51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50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41" t="n"/>
      <c r="B130" s="41" t="n"/>
      <c r="C130" s="41" t="n"/>
      <c r="D130" s="42" t="n"/>
      <c r="E130" s="41" t="n"/>
      <c r="F130" s="51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50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41" t="n"/>
      <c r="B131" s="41" t="n"/>
      <c r="C131" s="41" t="n"/>
      <c r="D131" s="42" t="n"/>
      <c r="E131" s="41" t="n"/>
      <c r="F131" s="51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50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41" t="n"/>
      <c r="B132" s="41" t="n"/>
      <c r="C132" s="41" t="n"/>
      <c r="D132" s="42" t="n"/>
      <c r="E132" s="41" t="n"/>
      <c r="F132" s="51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50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41" t="n"/>
      <c r="B133" s="41" t="n"/>
      <c r="C133" s="41" t="n"/>
      <c r="D133" s="42" t="n"/>
      <c r="E133" s="41" t="n"/>
      <c r="F133" s="51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50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41" t="n"/>
      <c r="B134" s="41" t="n"/>
      <c r="C134" s="41" t="n"/>
      <c r="D134" s="42" t="n"/>
      <c r="E134" s="41" t="n"/>
      <c r="F134" s="51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50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41" t="n"/>
      <c r="B135" s="41" t="n"/>
      <c r="C135" s="41" t="n"/>
      <c r="D135" s="42" t="n"/>
      <c r="E135" s="41" t="n"/>
      <c r="F135" s="51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50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41" t="n"/>
      <c r="B136" s="41" t="n"/>
      <c r="C136" s="41" t="n"/>
      <c r="D136" s="42" t="n"/>
      <c r="E136" s="41" t="n"/>
      <c r="F136" s="51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50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41" t="n"/>
      <c r="B137" s="41" t="n"/>
      <c r="C137" s="41" t="n"/>
      <c r="D137" s="42" t="n"/>
      <c r="E137" s="41" t="n"/>
      <c r="F137" s="51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50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41" t="n"/>
      <c r="B138" s="41" t="n"/>
      <c r="C138" s="41" t="n"/>
      <c r="D138" s="42" t="n"/>
      <c r="E138" s="41" t="n"/>
      <c r="F138" s="51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50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41" t="n"/>
      <c r="B139" s="41" t="n"/>
      <c r="C139" s="41" t="n"/>
      <c r="D139" s="42" t="n"/>
      <c r="E139" s="41" t="n"/>
      <c r="F139" s="51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50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41" t="n"/>
      <c r="B140" s="41" t="n"/>
      <c r="C140" s="41" t="n"/>
      <c r="D140" s="42" t="n"/>
      <c r="E140" s="41" t="n"/>
      <c r="F140" s="51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50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41" t="n"/>
      <c r="B141" s="41" t="n"/>
      <c r="C141" s="41" t="n"/>
      <c r="D141" s="42" t="n"/>
      <c r="E141" s="41" t="n"/>
      <c r="F141" s="51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50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41" t="n"/>
      <c r="B142" s="41" t="n"/>
      <c r="C142" s="41" t="n"/>
      <c r="D142" s="42" t="n"/>
      <c r="E142" s="41" t="n"/>
      <c r="F142" s="51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50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41" t="n"/>
      <c r="B143" s="41" t="n"/>
      <c r="C143" s="41" t="n"/>
      <c r="D143" s="42" t="n"/>
      <c r="E143" s="41" t="n"/>
      <c r="F143" s="51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50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41" t="n"/>
      <c r="B144" s="41" t="n"/>
      <c r="C144" s="41" t="n"/>
      <c r="D144" s="42" t="n"/>
      <c r="E144" s="41" t="n"/>
      <c r="F144" s="51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50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41" t="n"/>
      <c r="B145" s="41" t="n"/>
      <c r="C145" s="41" t="n"/>
      <c r="D145" s="42" t="n"/>
      <c r="E145" s="41" t="n"/>
      <c r="F145" s="51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50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41" t="n"/>
      <c r="B146" s="41" t="n"/>
      <c r="C146" s="41" t="n"/>
      <c r="D146" s="42" t="n"/>
      <c r="E146" s="41" t="n"/>
      <c r="F146" s="51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50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41" t="n"/>
      <c r="B147" s="41" t="n"/>
      <c r="C147" s="41" t="n"/>
      <c r="D147" s="42" t="n"/>
      <c r="E147" s="41" t="n"/>
      <c r="F147" s="51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50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41" t="n"/>
      <c r="B148" s="41" t="n"/>
      <c r="C148" s="41" t="n"/>
      <c r="D148" s="42" t="n"/>
      <c r="E148" s="41" t="n"/>
      <c r="F148" s="51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50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41" t="n"/>
      <c r="B149" s="41" t="n"/>
      <c r="C149" s="41" t="n"/>
      <c r="D149" s="42" t="n"/>
      <c r="E149" s="41" t="n"/>
      <c r="F149" s="51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50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41" t="n"/>
      <c r="B150" s="41" t="n"/>
      <c r="C150" s="41" t="n"/>
      <c r="D150" s="42" t="n"/>
      <c r="E150" s="41" t="n"/>
      <c r="F150" s="51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50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41" t="n"/>
      <c r="B151" s="41" t="n"/>
      <c r="C151" s="41" t="n"/>
      <c r="D151" s="42" t="n"/>
      <c r="E151" s="41" t="n"/>
      <c r="F151" s="51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50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41" t="n"/>
      <c r="B152" s="41" t="n"/>
      <c r="C152" s="41" t="n"/>
      <c r="D152" s="42" t="n"/>
      <c r="E152" s="41" t="n"/>
      <c r="F152" s="51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50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41" t="n"/>
      <c r="B153" s="41" t="n"/>
      <c r="C153" s="41" t="n"/>
      <c r="D153" s="42" t="n"/>
      <c r="E153" s="41" t="n"/>
      <c r="F153" s="51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50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41" t="n"/>
      <c r="B154" s="41" t="n"/>
      <c r="C154" s="41" t="n"/>
      <c r="D154" s="42" t="n"/>
      <c r="E154" s="41" t="n"/>
      <c r="F154" s="51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50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41" t="n"/>
      <c r="B155" s="41" t="n"/>
      <c r="C155" s="41" t="n"/>
      <c r="D155" s="42" t="n"/>
      <c r="E155" s="41" t="n"/>
      <c r="F155" s="51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50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41" t="n"/>
      <c r="B156" s="41" t="n"/>
      <c r="C156" s="41" t="n"/>
      <c r="D156" s="42" t="n"/>
      <c r="E156" s="41" t="n"/>
      <c r="F156" s="51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50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41" t="n"/>
      <c r="B157" s="41" t="n"/>
      <c r="C157" s="41" t="n"/>
      <c r="D157" s="42" t="n"/>
      <c r="E157" s="41" t="n"/>
      <c r="F157" s="51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50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41" t="n"/>
      <c r="B158" s="41" t="n"/>
      <c r="C158" s="41" t="n"/>
      <c r="D158" s="42" t="n"/>
      <c r="E158" s="41" t="n"/>
      <c r="F158" s="51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50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41" t="n"/>
      <c r="B159" s="41" t="n"/>
      <c r="C159" s="41" t="n"/>
      <c r="D159" s="42" t="n"/>
      <c r="E159" s="41" t="n"/>
      <c r="F159" s="51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50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41" t="n"/>
      <c r="B160" s="41" t="n"/>
      <c r="C160" s="41" t="n"/>
      <c r="D160" s="42" t="n"/>
      <c r="E160" s="41" t="n"/>
      <c r="F160" s="51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50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41" t="n"/>
      <c r="B161" s="41" t="n"/>
      <c r="C161" s="41" t="n"/>
      <c r="D161" s="42" t="n"/>
      <c r="E161" s="41" t="n"/>
      <c r="F161" s="51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50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41" t="n"/>
      <c r="B162" s="41" t="n"/>
      <c r="C162" s="41" t="n"/>
      <c r="D162" s="42" t="n"/>
      <c r="E162" s="41" t="n"/>
      <c r="F162" s="51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50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41" t="n"/>
      <c r="B163" s="41" t="n"/>
      <c r="C163" s="41" t="n"/>
      <c r="D163" s="42" t="n"/>
      <c r="E163" s="41" t="n"/>
      <c r="F163" s="51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50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41" t="n"/>
      <c r="B164" s="41" t="n"/>
      <c r="C164" s="41" t="n"/>
      <c r="D164" s="42" t="n"/>
      <c r="E164" s="41" t="n"/>
      <c r="F164" s="51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50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41" t="n"/>
      <c r="B165" s="41" t="n"/>
      <c r="C165" s="41" t="n"/>
      <c r="D165" s="42" t="n"/>
      <c r="E165" s="41" t="n"/>
      <c r="F165" s="51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50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41" t="n"/>
      <c r="B166" s="41" t="n"/>
      <c r="C166" s="41" t="n"/>
      <c r="D166" s="42" t="n"/>
      <c r="E166" s="41" t="n"/>
      <c r="F166" s="51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50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41" t="n"/>
      <c r="B167" s="41" t="n"/>
      <c r="C167" s="41" t="n"/>
      <c r="D167" s="42" t="n"/>
      <c r="E167" s="41" t="n"/>
      <c r="F167" s="51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50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41" t="n"/>
      <c r="B168" s="41" t="n"/>
      <c r="C168" s="41" t="n"/>
      <c r="D168" s="42" t="n"/>
      <c r="E168" s="41" t="n"/>
      <c r="F168" s="51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50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41" t="n"/>
      <c r="B169" s="41" t="n"/>
      <c r="C169" s="41" t="n"/>
      <c r="D169" s="42" t="n"/>
      <c r="E169" s="41" t="n"/>
      <c r="F169" s="51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50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41" t="n"/>
      <c r="B170" s="41" t="n"/>
      <c r="C170" s="41" t="n"/>
      <c r="D170" s="42" t="n"/>
      <c r="E170" s="41" t="n"/>
      <c r="F170" s="51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50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41" t="n"/>
      <c r="B171" s="41" t="n"/>
      <c r="C171" s="41" t="n"/>
      <c r="D171" s="42" t="n"/>
      <c r="E171" s="41" t="n"/>
      <c r="F171" s="51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50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41" t="n"/>
      <c r="B172" s="41" t="n"/>
      <c r="C172" s="41" t="n"/>
      <c r="D172" s="42" t="n"/>
      <c r="E172" s="41" t="n"/>
      <c r="F172" s="51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50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41" t="n"/>
      <c r="B173" s="41" t="n"/>
      <c r="C173" s="41" t="n"/>
      <c r="D173" s="42" t="n"/>
      <c r="E173" s="41" t="n"/>
      <c r="F173" s="51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50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41" t="n"/>
      <c r="B174" s="41" t="n"/>
      <c r="C174" s="41" t="n"/>
      <c r="D174" s="42" t="n"/>
      <c r="E174" s="41" t="n"/>
      <c r="F174" s="51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50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41" t="n"/>
      <c r="B175" s="41" t="n"/>
      <c r="C175" s="41" t="n"/>
      <c r="D175" s="42" t="n"/>
      <c r="E175" s="41" t="n"/>
      <c r="F175" s="51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50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41" t="n"/>
      <c r="B176" s="41" t="n"/>
      <c r="C176" s="41" t="n"/>
      <c r="D176" s="42" t="n"/>
      <c r="E176" s="41" t="n"/>
      <c r="F176" s="51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50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41" t="n"/>
      <c r="B177" s="41" t="n"/>
      <c r="C177" s="41" t="n"/>
      <c r="D177" s="42" t="n"/>
      <c r="E177" s="41" t="n"/>
      <c r="F177" s="51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50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41" t="n"/>
      <c r="B178" s="41" t="n"/>
      <c r="C178" s="41" t="n"/>
      <c r="D178" s="42" t="n"/>
      <c r="E178" s="41" t="n"/>
      <c r="F178" s="51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50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41" t="n"/>
      <c r="B179" s="41" t="n"/>
      <c r="C179" s="41" t="n"/>
      <c r="D179" s="42" t="n"/>
      <c r="E179" s="41" t="n"/>
      <c r="F179" s="51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50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41" t="n"/>
      <c r="B180" s="41" t="n"/>
      <c r="C180" s="41" t="n"/>
      <c r="D180" s="42" t="n"/>
      <c r="E180" s="41" t="n"/>
      <c r="F180" s="51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50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41" t="n"/>
      <c r="B181" s="41" t="n"/>
      <c r="C181" s="41" t="n"/>
      <c r="D181" s="42" t="n"/>
      <c r="E181" s="41" t="n"/>
      <c r="F181" s="51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50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41" t="n"/>
      <c r="B182" s="41" t="n"/>
      <c r="C182" s="41" t="n"/>
      <c r="D182" s="42" t="n"/>
      <c r="E182" s="41" t="n"/>
      <c r="F182" s="51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50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41" t="n"/>
      <c r="B183" s="41" t="n"/>
      <c r="C183" s="41" t="n"/>
      <c r="D183" s="42" t="n"/>
      <c r="E183" s="41" t="n"/>
      <c r="F183" s="51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50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41" t="n"/>
      <c r="B184" s="41" t="n"/>
      <c r="C184" s="41" t="n"/>
      <c r="D184" s="42" t="n"/>
      <c r="E184" s="41" t="n"/>
      <c r="F184" s="51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50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41" t="n"/>
      <c r="B185" s="41" t="n"/>
      <c r="C185" s="41" t="n"/>
      <c r="D185" s="42" t="n"/>
      <c r="E185" s="41" t="n"/>
      <c r="F185" s="51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50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41" t="n"/>
      <c r="B186" s="41" t="n"/>
      <c r="C186" s="41" t="n"/>
      <c r="D186" s="42" t="n"/>
      <c r="E186" s="41" t="n"/>
      <c r="F186" s="51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50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41" t="n"/>
      <c r="B187" s="41" t="n"/>
      <c r="C187" s="41" t="n"/>
      <c r="D187" s="42" t="n"/>
      <c r="E187" s="41" t="n"/>
      <c r="F187" s="51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50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41" t="n"/>
      <c r="B188" s="41" t="n"/>
      <c r="C188" s="41" t="n"/>
      <c r="D188" s="42" t="n"/>
      <c r="E188" s="41" t="n"/>
      <c r="F188" s="51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50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41" t="n"/>
      <c r="B189" s="41" t="n"/>
      <c r="C189" s="41" t="n"/>
      <c r="D189" s="42" t="n"/>
      <c r="E189" s="41" t="n"/>
      <c r="F189" s="51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50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41" t="n"/>
      <c r="B190" s="41" t="n"/>
      <c r="C190" s="41" t="n"/>
      <c r="D190" s="42" t="n"/>
      <c r="E190" s="41" t="n"/>
      <c r="F190" s="51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50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41" t="n"/>
      <c r="B191" s="41" t="n"/>
      <c r="C191" s="41" t="n"/>
      <c r="D191" s="42" t="n"/>
      <c r="E191" s="41" t="n"/>
      <c r="F191" s="51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50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41" t="n"/>
      <c r="B192" s="41" t="n"/>
      <c r="C192" s="41" t="n"/>
      <c r="D192" s="42" t="n"/>
      <c r="E192" s="41" t="n"/>
      <c r="F192" s="51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50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41" t="n"/>
      <c r="B193" s="41" t="n"/>
      <c r="C193" s="41" t="n"/>
      <c r="D193" s="42" t="n"/>
      <c r="E193" s="41" t="n"/>
      <c r="F193" s="51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50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41" t="n"/>
      <c r="B194" s="41" t="n"/>
      <c r="C194" s="41" t="n"/>
      <c r="D194" s="42" t="n"/>
      <c r="E194" s="41" t="n"/>
      <c r="F194" s="51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50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41" t="n"/>
      <c r="B195" s="41" t="n"/>
      <c r="C195" s="41" t="n"/>
      <c r="D195" s="42" t="n"/>
      <c r="E195" s="41" t="n"/>
      <c r="F195" s="51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50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41" t="n"/>
      <c r="B196" s="41" t="n"/>
      <c r="C196" s="41" t="n"/>
      <c r="D196" s="42" t="n"/>
      <c r="E196" s="41" t="n"/>
      <c r="F196" s="51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50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41" t="n"/>
      <c r="B197" s="41" t="n"/>
      <c r="C197" s="41" t="n"/>
      <c r="D197" s="42" t="n"/>
      <c r="E197" s="41" t="n"/>
      <c r="F197" s="51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50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41" t="n"/>
      <c r="B198" s="41" t="n"/>
      <c r="C198" s="41" t="n"/>
      <c r="D198" s="42" t="n"/>
      <c r="E198" s="41" t="n"/>
      <c r="F198" s="51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50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41" t="n"/>
      <c r="B199" s="41" t="n"/>
      <c r="C199" s="41" t="n"/>
      <c r="D199" s="42" t="n"/>
      <c r="E199" s="41" t="n"/>
      <c r="F199" s="51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50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41" t="n"/>
      <c r="B200" s="41" t="n"/>
      <c r="C200" s="41" t="n"/>
      <c r="D200" s="42" t="n"/>
      <c r="E200" s="41" t="n"/>
      <c r="F200" s="51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50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41" t="n"/>
      <c r="B201" s="41" t="n"/>
      <c r="C201" s="41" t="n"/>
      <c r="D201" s="42" t="n"/>
      <c r="E201" s="41" t="n"/>
      <c r="F201" s="51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50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41" t="n"/>
      <c r="B202" s="41" t="n"/>
      <c r="C202" s="41" t="n"/>
      <c r="D202" s="42" t="n"/>
      <c r="E202" s="41" t="n"/>
      <c r="F202" s="51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50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41" t="n"/>
      <c r="B203" s="41" t="n"/>
      <c r="C203" s="41" t="n"/>
      <c r="D203" s="42" t="n"/>
      <c r="E203" s="41" t="n"/>
      <c r="F203" s="51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50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41" t="n"/>
      <c r="B204" s="41" t="n"/>
      <c r="C204" s="41" t="n"/>
      <c r="D204" s="42" t="n"/>
      <c r="E204" s="41" t="n"/>
      <c r="F204" s="51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50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41" t="n"/>
      <c r="B205" s="41" t="n"/>
      <c r="C205" s="41" t="n"/>
      <c r="D205" s="42" t="n"/>
      <c r="E205" s="41" t="n"/>
      <c r="F205" s="51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50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41" t="n"/>
      <c r="B206" s="41" t="n"/>
      <c r="C206" s="41" t="n"/>
      <c r="D206" s="42" t="n"/>
      <c r="E206" s="41" t="n"/>
      <c r="F206" s="51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50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41" t="n"/>
      <c r="B207" s="41" t="n"/>
      <c r="C207" s="41" t="n"/>
      <c r="D207" s="42" t="n"/>
      <c r="E207" s="41" t="n"/>
      <c r="F207" s="51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50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41" t="n"/>
      <c r="B208" s="41" t="n"/>
      <c r="C208" s="41" t="n"/>
      <c r="D208" s="42" t="n"/>
      <c r="E208" s="41" t="n"/>
      <c r="F208" s="51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50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41" t="n"/>
      <c r="B209" s="41" t="n"/>
      <c r="C209" s="41" t="n"/>
      <c r="D209" s="42" t="n"/>
      <c r="E209" s="41" t="n"/>
      <c r="F209" s="51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50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41" t="n"/>
      <c r="B210" s="41" t="n"/>
      <c r="C210" s="41" t="n"/>
      <c r="D210" s="42" t="n"/>
      <c r="E210" s="41" t="n"/>
      <c r="F210" s="51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50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41" t="n"/>
      <c r="B211" s="41" t="n"/>
      <c r="C211" s="41" t="n"/>
      <c r="D211" s="42" t="n"/>
      <c r="E211" s="41" t="n"/>
      <c r="F211" s="51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50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41" t="n"/>
      <c r="B212" s="41" t="n"/>
      <c r="C212" s="41" t="n"/>
      <c r="D212" s="42" t="n"/>
      <c r="E212" s="41" t="n"/>
      <c r="F212" s="51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50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41" t="n"/>
      <c r="B213" s="41" t="n"/>
      <c r="C213" s="41" t="n"/>
      <c r="D213" s="42" t="n"/>
      <c r="E213" s="41" t="n"/>
      <c r="F213" s="51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50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41" t="n"/>
      <c r="B214" s="41" t="n"/>
      <c r="C214" s="41" t="n"/>
      <c r="D214" s="42" t="n"/>
      <c r="E214" s="41" t="n"/>
      <c r="F214" s="51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50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41" t="n"/>
      <c r="B215" s="41" t="n"/>
      <c r="C215" s="41" t="n"/>
      <c r="D215" s="42" t="n"/>
      <c r="E215" s="41" t="n"/>
      <c r="F215" s="51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50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41" t="n"/>
      <c r="B216" s="41" t="n"/>
      <c r="C216" s="41" t="n"/>
      <c r="D216" s="42" t="n"/>
      <c r="E216" s="41" t="n"/>
      <c r="F216" s="51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50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41" t="n"/>
      <c r="B217" s="41" t="n"/>
      <c r="C217" s="41" t="n"/>
      <c r="D217" s="42" t="n"/>
      <c r="E217" s="41" t="n"/>
      <c r="F217" s="51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50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41" t="n"/>
      <c r="B218" s="41" t="n"/>
      <c r="C218" s="41" t="n"/>
      <c r="D218" s="42" t="n"/>
      <c r="E218" s="41" t="n"/>
      <c r="F218" s="51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50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41" t="n"/>
      <c r="B219" s="41" t="n"/>
      <c r="C219" s="41" t="n"/>
      <c r="D219" s="42" t="n"/>
      <c r="E219" s="41" t="n"/>
      <c r="F219" s="51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50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41" t="n"/>
      <c r="B220" s="41" t="n"/>
      <c r="C220" s="41" t="n"/>
      <c r="D220" s="42" t="n"/>
      <c r="E220" s="41" t="n"/>
      <c r="F220" s="51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50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41" t="n"/>
      <c r="B221" s="41" t="n"/>
      <c r="C221" s="41" t="n"/>
      <c r="D221" s="42" t="n"/>
      <c r="E221" s="41" t="n"/>
      <c r="F221" s="51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50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41" t="n"/>
      <c r="B222" s="41" t="n"/>
      <c r="C222" s="41" t="n"/>
      <c r="D222" s="42" t="n"/>
      <c r="E222" s="41" t="n"/>
      <c r="F222" s="51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50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41" t="n"/>
      <c r="B223" s="41" t="n"/>
      <c r="C223" s="41" t="n"/>
      <c r="D223" s="42" t="n"/>
      <c r="E223" s="41" t="n"/>
      <c r="F223" s="51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50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41" t="n"/>
      <c r="B224" s="41" t="n"/>
      <c r="C224" s="41" t="n"/>
      <c r="D224" s="42" t="n"/>
      <c r="E224" s="41" t="n"/>
      <c r="F224" s="51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50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41" t="n"/>
      <c r="B225" s="41" t="n"/>
      <c r="C225" s="41" t="n"/>
      <c r="D225" s="42" t="n"/>
      <c r="E225" s="41" t="n"/>
      <c r="F225" s="51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50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41" t="n"/>
      <c r="B226" s="41" t="n"/>
      <c r="C226" s="41" t="n"/>
      <c r="D226" s="42" t="n"/>
      <c r="E226" s="41" t="n"/>
      <c r="F226" s="51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50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41" t="n"/>
      <c r="B227" s="41" t="n"/>
      <c r="C227" s="41" t="n"/>
      <c r="D227" s="42" t="n"/>
      <c r="E227" s="41" t="n"/>
      <c r="F227" s="51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50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41" t="n"/>
      <c r="B228" s="41" t="n"/>
      <c r="C228" s="41" t="n"/>
      <c r="D228" s="42" t="n"/>
      <c r="E228" s="41" t="n"/>
      <c r="F228" s="51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50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41" t="n"/>
      <c r="B229" s="41" t="n"/>
      <c r="C229" s="41" t="n"/>
      <c r="D229" s="42" t="n"/>
      <c r="E229" s="41" t="n"/>
      <c r="F229" s="51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50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41" t="n"/>
      <c r="B230" s="41" t="n"/>
      <c r="C230" s="41" t="n"/>
      <c r="D230" s="42" t="n"/>
      <c r="E230" s="41" t="n"/>
      <c r="F230" s="51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50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41" t="n"/>
      <c r="B231" s="41" t="n"/>
      <c r="C231" s="41" t="n"/>
      <c r="D231" s="42" t="n"/>
      <c r="E231" s="41" t="n"/>
      <c r="F231" s="51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50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41" t="n"/>
      <c r="B232" s="41" t="n"/>
      <c r="C232" s="41" t="n"/>
      <c r="D232" s="42" t="n"/>
      <c r="E232" s="41" t="n"/>
      <c r="F232" s="51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50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41" t="n"/>
      <c r="B233" s="41" t="n"/>
      <c r="C233" s="41" t="n"/>
      <c r="D233" s="42" t="n"/>
      <c r="E233" s="41" t="n"/>
      <c r="F233" s="51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50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41" t="n"/>
      <c r="B234" s="41" t="n"/>
      <c r="C234" s="41" t="n"/>
      <c r="D234" s="42" t="n"/>
      <c r="E234" s="41" t="n"/>
      <c r="F234" s="51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50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41" t="n"/>
      <c r="B235" s="41" t="n"/>
      <c r="C235" s="41" t="n"/>
      <c r="D235" s="42" t="n"/>
      <c r="E235" s="41" t="n"/>
      <c r="F235" s="51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50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41" t="n"/>
      <c r="B236" s="41" t="n"/>
      <c r="C236" s="41" t="n"/>
      <c r="D236" s="42" t="n"/>
      <c r="E236" s="41" t="n"/>
      <c r="F236" s="51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50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41" t="n"/>
      <c r="B237" s="41" t="n"/>
      <c r="C237" s="41" t="n"/>
      <c r="D237" s="42" t="n"/>
      <c r="E237" s="41" t="n"/>
      <c r="F237" s="51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50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41" t="n"/>
      <c r="B238" s="41" t="n"/>
      <c r="C238" s="41" t="n"/>
      <c r="D238" s="42" t="n"/>
      <c r="E238" s="41" t="n"/>
      <c r="F238" s="51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50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41" t="n"/>
      <c r="B239" s="41" t="n"/>
      <c r="C239" s="41" t="n"/>
      <c r="D239" s="42" t="n"/>
      <c r="E239" s="41" t="n"/>
      <c r="F239" s="51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50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41" t="n"/>
      <c r="B240" s="41" t="n"/>
      <c r="C240" s="41" t="n"/>
      <c r="D240" s="42" t="n"/>
      <c r="E240" s="41" t="n"/>
      <c r="F240" s="51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50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41" t="n"/>
      <c r="B241" s="41" t="n"/>
      <c r="C241" s="41" t="n"/>
      <c r="D241" s="42" t="n"/>
      <c r="E241" s="41" t="n"/>
      <c r="F241" s="51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50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41" t="n"/>
      <c r="B242" s="41" t="n"/>
      <c r="C242" s="41" t="n"/>
      <c r="D242" s="42" t="n"/>
      <c r="E242" s="41" t="n"/>
      <c r="F242" s="51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50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41" t="n"/>
      <c r="B243" s="41" t="n"/>
      <c r="C243" s="41" t="n"/>
      <c r="D243" s="42" t="n"/>
      <c r="E243" s="41" t="n"/>
      <c r="F243" s="51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50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41" t="n"/>
      <c r="B244" s="41" t="n"/>
      <c r="C244" s="41" t="n"/>
      <c r="D244" s="42" t="n"/>
      <c r="E244" s="41" t="n"/>
      <c r="F244" s="51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50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41" t="n"/>
      <c r="B245" s="41" t="n"/>
      <c r="C245" s="41" t="n"/>
      <c r="D245" s="42" t="n"/>
      <c r="E245" s="41" t="n"/>
      <c r="F245" s="51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50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41" t="n"/>
      <c r="B246" s="41" t="n"/>
      <c r="C246" s="41" t="n"/>
      <c r="D246" s="42" t="n"/>
      <c r="E246" s="41" t="n"/>
      <c r="F246" s="51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50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41" t="n"/>
      <c r="B247" s="41" t="n"/>
      <c r="C247" s="41" t="n"/>
      <c r="D247" s="42" t="n"/>
      <c r="E247" s="41" t="n"/>
      <c r="F247" s="51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50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41" t="n"/>
      <c r="B248" s="41" t="n"/>
      <c r="C248" s="41" t="n"/>
      <c r="D248" s="42" t="n"/>
      <c r="E248" s="41" t="n"/>
      <c r="F248" s="51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50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41" t="n"/>
      <c r="B249" s="41" t="n"/>
      <c r="C249" s="41" t="n"/>
      <c r="D249" s="42" t="n"/>
      <c r="E249" s="41" t="n"/>
      <c r="F249" s="51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50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41" t="n"/>
      <c r="B250" s="41" t="n"/>
      <c r="C250" s="41" t="n"/>
      <c r="D250" s="42" t="n"/>
      <c r="E250" s="41" t="n"/>
      <c r="F250" s="51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50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41" t="n"/>
      <c r="B251" s="41" t="n"/>
      <c r="C251" s="41" t="n"/>
      <c r="D251" s="42" t="n"/>
      <c r="E251" s="41" t="n"/>
      <c r="F251" s="51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50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41" t="n"/>
      <c r="B252" s="41" t="n"/>
      <c r="C252" s="41" t="n"/>
      <c r="D252" s="42" t="n"/>
      <c r="E252" s="41" t="n"/>
      <c r="F252" s="51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50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41" t="n"/>
      <c r="B253" s="41" t="n"/>
      <c r="C253" s="41" t="n"/>
      <c r="D253" s="42" t="n"/>
      <c r="E253" s="41" t="n"/>
      <c r="F253" s="51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50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41" t="n"/>
      <c r="B254" s="41" t="n"/>
      <c r="C254" s="41" t="n"/>
      <c r="D254" s="42" t="n"/>
      <c r="E254" s="41" t="n"/>
      <c r="F254" s="51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50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41" t="n"/>
      <c r="B255" s="41" t="n"/>
      <c r="C255" s="41" t="n"/>
      <c r="D255" s="42" t="n"/>
      <c r="E255" s="41" t="n"/>
      <c r="F255" s="51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50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41" t="n"/>
      <c r="B256" s="41" t="n"/>
      <c r="C256" s="41" t="n"/>
      <c r="D256" s="42" t="n"/>
      <c r="E256" s="41" t="n"/>
      <c r="F256" s="51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50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41" t="n"/>
      <c r="B257" s="41" t="n"/>
      <c r="C257" s="41" t="n"/>
      <c r="D257" s="42" t="n"/>
      <c r="E257" s="41" t="n"/>
      <c r="F257" s="51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50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41" t="n"/>
      <c r="B258" s="41" t="n"/>
      <c r="C258" s="41" t="n"/>
      <c r="D258" s="42" t="n"/>
      <c r="E258" s="41" t="n"/>
      <c r="F258" s="51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50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41" t="n"/>
      <c r="B259" s="41" t="n"/>
      <c r="C259" s="41" t="n"/>
      <c r="D259" s="42" t="n"/>
      <c r="E259" s="41" t="n"/>
      <c r="F259" s="51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50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41" t="n"/>
      <c r="B260" s="41" t="n"/>
      <c r="C260" s="41" t="n"/>
      <c r="D260" s="42" t="n"/>
      <c r="E260" s="41" t="n"/>
      <c r="F260" s="51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50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41" t="n"/>
      <c r="B261" s="41" t="n"/>
      <c r="C261" s="41" t="n"/>
      <c r="D261" s="42" t="n"/>
      <c r="E261" s="41" t="n"/>
      <c r="F261" s="51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50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41" t="n"/>
      <c r="B262" s="41" t="n"/>
      <c r="C262" s="41" t="n"/>
      <c r="D262" s="42" t="n"/>
      <c r="E262" s="41" t="n"/>
      <c r="F262" s="51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50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41" t="n"/>
      <c r="B263" s="41" t="n"/>
      <c r="C263" s="41" t="n"/>
      <c r="D263" s="42" t="n"/>
      <c r="E263" s="41" t="n"/>
      <c r="F263" s="51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50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41" t="n"/>
      <c r="B264" s="41" t="n"/>
      <c r="C264" s="41" t="n"/>
      <c r="D264" s="42" t="n"/>
      <c r="E264" s="41" t="n"/>
      <c r="F264" s="51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50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41" t="n"/>
      <c r="B265" s="41" t="n"/>
      <c r="C265" s="41" t="n"/>
      <c r="D265" s="42" t="n"/>
      <c r="E265" s="41" t="n"/>
      <c r="F265" s="51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50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41" t="n"/>
      <c r="B266" s="41" t="n"/>
      <c r="C266" s="41" t="n"/>
      <c r="D266" s="42" t="n"/>
      <c r="E266" s="41" t="n"/>
      <c r="F266" s="51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50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41" t="n"/>
      <c r="B267" s="41" t="n"/>
      <c r="C267" s="41" t="n"/>
      <c r="D267" s="42" t="n"/>
      <c r="E267" s="41" t="n"/>
      <c r="F267" s="51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50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41" t="n"/>
      <c r="B268" s="41" t="n"/>
      <c r="C268" s="41" t="n"/>
      <c r="D268" s="42" t="n"/>
      <c r="E268" s="41" t="n"/>
      <c r="F268" s="51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50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41" t="n"/>
      <c r="B269" s="41" t="n"/>
      <c r="C269" s="41" t="n"/>
      <c r="D269" s="42" t="n"/>
      <c r="E269" s="41" t="n"/>
      <c r="F269" s="51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50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41" t="n"/>
      <c r="B270" s="41" t="n"/>
      <c r="C270" s="41" t="n"/>
      <c r="D270" s="42" t="n"/>
      <c r="E270" s="41" t="n"/>
      <c r="F270" s="51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50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41" t="n"/>
      <c r="B271" s="41" t="n"/>
      <c r="C271" s="41" t="n"/>
      <c r="D271" s="42" t="n"/>
      <c r="E271" s="41" t="n"/>
      <c r="F271" s="51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50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41" t="n"/>
      <c r="B272" s="41" t="n"/>
      <c r="C272" s="41" t="n"/>
      <c r="D272" s="42" t="n"/>
      <c r="E272" s="41" t="n"/>
      <c r="F272" s="51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50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41" t="n"/>
      <c r="B273" s="41" t="n"/>
      <c r="C273" s="41" t="n"/>
      <c r="D273" s="42" t="n"/>
      <c r="E273" s="41" t="n"/>
      <c r="F273" s="51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50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41" t="n"/>
      <c r="B274" s="41" t="n"/>
      <c r="C274" s="41" t="n"/>
      <c r="D274" s="42" t="n"/>
      <c r="E274" s="41" t="n"/>
      <c r="F274" s="51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50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41" t="n"/>
      <c r="B275" s="41" t="n"/>
      <c r="C275" s="41" t="n"/>
      <c r="D275" s="42" t="n"/>
      <c r="E275" s="41" t="n"/>
      <c r="F275" s="51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50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41" t="n"/>
      <c r="B276" s="41" t="n"/>
      <c r="C276" s="41" t="n"/>
      <c r="D276" s="42" t="n"/>
      <c r="E276" s="41" t="n"/>
      <c r="F276" s="51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50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41" t="n"/>
      <c r="B277" s="41" t="n"/>
      <c r="C277" s="41" t="n"/>
      <c r="D277" s="42" t="n"/>
      <c r="E277" s="41" t="n"/>
      <c r="F277" s="51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50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41" t="n"/>
      <c r="B278" s="41" t="n"/>
      <c r="C278" s="41" t="n"/>
      <c r="D278" s="42" t="n"/>
      <c r="E278" s="41" t="n"/>
      <c r="F278" s="51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50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41" t="n"/>
      <c r="B279" s="41" t="n"/>
      <c r="C279" s="41" t="n"/>
      <c r="D279" s="42" t="n"/>
      <c r="E279" s="41" t="n"/>
      <c r="F279" s="51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50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41" t="n"/>
      <c r="B280" s="41" t="n"/>
      <c r="C280" s="41" t="n"/>
      <c r="D280" s="42" t="n"/>
      <c r="E280" s="41" t="n"/>
      <c r="F280" s="51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50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41" t="n"/>
      <c r="B281" s="41" t="n"/>
      <c r="C281" s="41" t="n"/>
      <c r="D281" s="42" t="n"/>
      <c r="E281" s="41" t="n"/>
      <c r="F281" s="51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50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41" t="n"/>
      <c r="B282" s="41" t="n"/>
      <c r="C282" s="41" t="n"/>
      <c r="D282" s="42" t="n"/>
      <c r="E282" s="41" t="n"/>
      <c r="F282" s="51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50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41" t="n"/>
      <c r="B283" s="41" t="n"/>
      <c r="C283" s="41" t="n"/>
      <c r="D283" s="42" t="n"/>
      <c r="E283" s="41" t="n"/>
      <c r="F283" s="51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50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41" t="n"/>
      <c r="B284" s="41" t="n"/>
      <c r="C284" s="41" t="n"/>
      <c r="D284" s="42" t="n"/>
      <c r="E284" s="41" t="n"/>
      <c r="F284" s="51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50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41" t="n"/>
      <c r="B285" s="41" t="n"/>
      <c r="C285" s="41" t="n"/>
      <c r="D285" s="42" t="n"/>
      <c r="E285" s="41" t="n"/>
      <c r="F285" s="51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50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41" t="n"/>
      <c r="B286" s="41" t="n"/>
      <c r="C286" s="41" t="n"/>
      <c r="D286" s="42" t="n"/>
      <c r="E286" s="41" t="n"/>
      <c r="F286" s="51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50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41" t="n"/>
      <c r="B287" s="41" t="n"/>
      <c r="C287" s="41" t="n"/>
      <c r="D287" s="42" t="n"/>
      <c r="E287" s="41" t="n"/>
      <c r="F287" s="51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50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41" t="n"/>
      <c r="B288" s="41" t="n"/>
      <c r="C288" s="41" t="n"/>
      <c r="D288" s="42" t="n"/>
      <c r="E288" s="41" t="n"/>
      <c r="F288" s="51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50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41" t="n"/>
      <c r="B289" s="41" t="n"/>
      <c r="C289" s="41" t="n"/>
      <c r="D289" s="42" t="n"/>
      <c r="E289" s="41" t="n"/>
      <c r="F289" s="51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50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41" t="n"/>
      <c r="B290" s="41" t="n"/>
      <c r="C290" s="41" t="n"/>
      <c r="D290" s="42" t="n"/>
      <c r="E290" s="41" t="n"/>
      <c r="F290" s="51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50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41" t="n"/>
      <c r="B291" s="41" t="n"/>
      <c r="C291" s="41" t="n"/>
      <c r="D291" s="42" t="n"/>
      <c r="E291" s="41" t="n"/>
      <c r="F291" s="51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50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41" t="n"/>
      <c r="B292" s="41" t="n"/>
      <c r="C292" s="41" t="n"/>
      <c r="D292" s="42" t="n"/>
      <c r="E292" s="41" t="n"/>
      <c r="F292" s="51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50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41" t="n"/>
      <c r="B293" s="41" t="n"/>
      <c r="C293" s="41" t="n"/>
      <c r="D293" s="42" t="n"/>
      <c r="E293" s="41" t="n"/>
      <c r="F293" s="51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50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41" t="n"/>
      <c r="B294" s="41" t="n"/>
      <c r="C294" s="41" t="n"/>
      <c r="D294" s="42" t="n"/>
      <c r="E294" s="41" t="n"/>
      <c r="F294" s="51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50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41" t="n"/>
      <c r="B295" s="41" t="n"/>
      <c r="C295" s="41" t="n"/>
      <c r="D295" s="42" t="n"/>
      <c r="E295" s="41" t="n"/>
      <c r="F295" s="51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50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41" t="n"/>
      <c r="B296" s="41" t="n"/>
      <c r="C296" s="41" t="n"/>
      <c r="D296" s="42" t="n"/>
      <c r="E296" s="41" t="n"/>
      <c r="F296" s="51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50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41" t="n"/>
      <c r="B297" s="41" t="n"/>
      <c r="C297" s="41" t="n"/>
      <c r="D297" s="42" t="n"/>
      <c r="E297" s="41" t="n"/>
      <c r="F297" s="51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50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41" t="n"/>
      <c r="B298" s="41" t="n"/>
      <c r="C298" s="41" t="n"/>
      <c r="D298" s="42" t="n"/>
      <c r="E298" s="41" t="n"/>
      <c r="F298" s="51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50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41" t="n"/>
      <c r="B299" s="41" t="n"/>
      <c r="C299" s="41" t="n"/>
      <c r="D299" s="42" t="n"/>
      <c r="E299" s="41" t="n"/>
      <c r="F299" s="51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50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41" t="n"/>
      <c r="B300" s="41" t="n"/>
      <c r="C300" s="41" t="n"/>
      <c r="D300" s="42" t="n"/>
      <c r="E300" s="41" t="n"/>
      <c r="F300" s="51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50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41" t="n"/>
      <c r="B301" s="41" t="n"/>
      <c r="C301" s="41" t="n"/>
      <c r="D301" s="42" t="n"/>
      <c r="E301" s="41" t="n"/>
      <c r="F301" s="51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50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41" t="n"/>
      <c r="B302" s="41" t="n"/>
      <c r="C302" s="41" t="n"/>
      <c r="D302" s="42" t="n"/>
      <c r="E302" s="41" t="n"/>
      <c r="F302" s="51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50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41" t="n"/>
      <c r="B303" s="41" t="n"/>
      <c r="C303" s="41" t="n"/>
      <c r="D303" s="42" t="n"/>
      <c r="E303" s="41" t="n"/>
      <c r="F303" s="51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50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41" t="n"/>
      <c r="B304" s="41" t="n"/>
      <c r="C304" s="41" t="n"/>
      <c r="D304" s="42" t="n"/>
      <c r="E304" s="41" t="n"/>
      <c r="F304" s="51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50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41" t="n"/>
      <c r="B305" s="41" t="n"/>
      <c r="C305" s="41" t="n"/>
      <c r="D305" s="42" t="n"/>
      <c r="E305" s="41" t="n"/>
      <c r="F305" s="51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50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41" t="n"/>
      <c r="B306" s="41" t="n"/>
      <c r="C306" s="41" t="n"/>
      <c r="D306" s="42" t="n"/>
      <c r="E306" s="41" t="n"/>
      <c r="F306" s="51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50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41" t="n"/>
      <c r="B307" s="41" t="n"/>
      <c r="C307" s="41" t="n"/>
      <c r="D307" s="42" t="n"/>
      <c r="E307" s="41" t="n"/>
      <c r="F307" s="51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50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41" t="n"/>
      <c r="B308" s="41" t="n"/>
      <c r="C308" s="41" t="n"/>
      <c r="D308" s="42" t="n"/>
      <c r="E308" s="41" t="n"/>
      <c r="F308" s="51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50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41" t="n"/>
      <c r="B309" s="41" t="n"/>
      <c r="C309" s="41" t="n"/>
      <c r="D309" s="42" t="n"/>
      <c r="E309" s="41" t="n"/>
      <c r="F309" s="51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50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41" t="n"/>
      <c r="B310" s="41" t="n"/>
      <c r="C310" s="41" t="n"/>
      <c r="D310" s="42" t="n"/>
      <c r="E310" s="41" t="n"/>
      <c r="F310" s="51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50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41" t="n"/>
      <c r="B311" s="41" t="n"/>
      <c r="C311" s="41" t="n"/>
      <c r="D311" s="42" t="n"/>
      <c r="E311" s="41" t="n"/>
      <c r="F311" s="51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50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41" t="n"/>
      <c r="B312" s="41" t="n"/>
      <c r="C312" s="41" t="n"/>
      <c r="D312" s="42" t="n"/>
      <c r="E312" s="41" t="n"/>
      <c r="F312" s="51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50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41" t="n"/>
      <c r="B313" s="41" t="n"/>
      <c r="C313" s="41" t="n"/>
      <c r="D313" s="42" t="n"/>
      <c r="E313" s="41" t="n"/>
      <c r="F313" s="51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50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41" t="n"/>
      <c r="B314" s="41" t="n"/>
      <c r="C314" s="41" t="n"/>
      <c r="D314" s="42" t="n"/>
      <c r="E314" s="41" t="n"/>
      <c r="F314" s="51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50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41" t="n"/>
      <c r="B315" s="41" t="n"/>
      <c r="C315" s="41" t="n"/>
      <c r="D315" s="42" t="n"/>
      <c r="E315" s="41" t="n"/>
      <c r="F315" s="51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50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41" t="n"/>
      <c r="B316" s="41" t="n"/>
      <c r="C316" s="41" t="n"/>
      <c r="D316" s="42" t="n"/>
      <c r="E316" s="41" t="n"/>
      <c r="F316" s="51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50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41" t="n"/>
      <c r="B317" s="41" t="n"/>
      <c r="C317" s="41" t="n"/>
      <c r="D317" s="42" t="n"/>
      <c r="E317" s="41" t="n"/>
      <c r="F317" s="51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50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41" t="n"/>
      <c r="B318" s="41" t="n"/>
      <c r="C318" s="41" t="n"/>
      <c r="D318" s="42" t="n"/>
      <c r="E318" s="41" t="n"/>
      <c r="F318" s="51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50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41" t="n"/>
      <c r="B319" s="41" t="n"/>
      <c r="C319" s="41" t="n"/>
      <c r="D319" s="42" t="n"/>
      <c r="E319" s="41" t="n"/>
      <c r="F319" s="51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50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41" t="n"/>
      <c r="B320" s="41" t="n"/>
      <c r="C320" s="41" t="n"/>
      <c r="D320" s="42" t="n"/>
      <c r="E320" s="41" t="n"/>
      <c r="F320" s="51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50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41" t="n"/>
      <c r="B321" s="41" t="n"/>
      <c r="C321" s="41" t="n"/>
      <c r="D321" s="42" t="n"/>
      <c r="E321" s="41" t="n"/>
      <c r="F321" s="51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50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41" t="n"/>
      <c r="B322" s="41" t="n"/>
      <c r="C322" s="41" t="n"/>
      <c r="D322" s="42" t="n"/>
      <c r="E322" s="41" t="n"/>
      <c r="F322" s="51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50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41" t="n"/>
      <c r="B323" s="41" t="n"/>
      <c r="C323" s="41" t="n"/>
      <c r="D323" s="42" t="n"/>
      <c r="E323" s="41" t="n"/>
      <c r="F323" s="51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50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41" t="n"/>
      <c r="B324" s="41" t="n"/>
      <c r="C324" s="41" t="n"/>
      <c r="D324" s="42" t="n"/>
      <c r="E324" s="41" t="n"/>
      <c r="F324" s="51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50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41" t="n"/>
      <c r="B325" s="41" t="n"/>
      <c r="C325" s="41" t="n"/>
      <c r="D325" s="42" t="n"/>
      <c r="E325" s="41" t="n"/>
      <c r="F325" s="51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50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41" t="n"/>
      <c r="B326" s="41" t="n"/>
      <c r="C326" s="41" t="n"/>
      <c r="D326" s="42" t="n"/>
      <c r="E326" s="41" t="n"/>
      <c r="F326" s="51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50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41" t="n"/>
      <c r="B327" s="41" t="n"/>
      <c r="C327" s="41" t="n"/>
      <c r="D327" s="42" t="n"/>
      <c r="E327" s="41" t="n"/>
      <c r="F327" s="51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50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41" t="n"/>
      <c r="B328" s="41" t="n"/>
      <c r="C328" s="41" t="n"/>
      <c r="D328" s="42" t="n"/>
      <c r="E328" s="41" t="n"/>
      <c r="F328" s="51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50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41" t="n"/>
      <c r="B329" s="41" t="n"/>
      <c r="C329" s="41" t="n"/>
      <c r="D329" s="42" t="n"/>
      <c r="E329" s="41" t="n"/>
      <c r="F329" s="51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50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41" t="n"/>
      <c r="B330" s="41" t="n"/>
      <c r="C330" s="41" t="n"/>
      <c r="D330" s="42" t="n"/>
      <c r="E330" s="41" t="n"/>
      <c r="F330" s="51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50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41" t="n"/>
      <c r="B331" s="41" t="n"/>
      <c r="C331" s="41" t="n"/>
      <c r="D331" s="42" t="n"/>
      <c r="E331" s="41" t="n"/>
      <c r="F331" s="51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50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41" t="n"/>
      <c r="B332" s="41" t="n"/>
      <c r="C332" s="41" t="n"/>
      <c r="D332" s="42" t="n"/>
      <c r="E332" s="41" t="n"/>
      <c r="F332" s="51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50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41" t="n"/>
      <c r="B333" s="41" t="n"/>
      <c r="C333" s="41" t="n"/>
      <c r="D333" s="42" t="n"/>
      <c r="E333" s="41" t="n"/>
      <c r="F333" s="51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50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41" t="n"/>
      <c r="B334" s="41" t="n"/>
      <c r="C334" s="41" t="n"/>
      <c r="D334" s="42" t="n"/>
      <c r="E334" s="41" t="n"/>
      <c r="F334" s="51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50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41" t="n"/>
      <c r="B335" s="41" t="n"/>
      <c r="C335" s="41" t="n"/>
      <c r="D335" s="42" t="n"/>
      <c r="E335" s="41" t="n"/>
      <c r="F335" s="51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50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41" t="n"/>
      <c r="B336" s="41" t="n"/>
      <c r="C336" s="41" t="n"/>
      <c r="D336" s="42" t="n"/>
      <c r="E336" s="41" t="n"/>
      <c r="F336" s="51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50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41" t="n"/>
      <c r="B337" s="41" t="n"/>
      <c r="C337" s="41" t="n"/>
      <c r="D337" s="42" t="n"/>
      <c r="E337" s="41" t="n"/>
      <c r="F337" s="51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50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41" t="n"/>
      <c r="B338" s="41" t="n"/>
      <c r="C338" s="41" t="n"/>
      <c r="D338" s="42" t="n"/>
      <c r="E338" s="41" t="n"/>
      <c r="F338" s="51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50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41" t="n"/>
      <c r="B339" s="41" t="n"/>
      <c r="C339" s="41" t="n"/>
      <c r="D339" s="42" t="n"/>
      <c r="E339" s="41" t="n"/>
      <c r="F339" s="51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50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41" t="n"/>
      <c r="B340" s="41" t="n"/>
      <c r="C340" s="41" t="n"/>
      <c r="D340" s="42" t="n"/>
      <c r="E340" s="41" t="n"/>
      <c r="F340" s="51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50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41" t="n"/>
      <c r="B341" s="41" t="n"/>
      <c r="C341" s="41" t="n"/>
      <c r="D341" s="42" t="n"/>
      <c r="E341" s="41" t="n"/>
      <c r="F341" s="51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50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41" t="n"/>
      <c r="B342" s="41" t="n"/>
      <c r="C342" s="41" t="n"/>
      <c r="D342" s="42" t="n"/>
      <c r="E342" s="41" t="n"/>
      <c r="F342" s="51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50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41" t="n"/>
      <c r="B343" s="41" t="n"/>
      <c r="C343" s="41" t="n"/>
      <c r="D343" s="42" t="n"/>
      <c r="E343" s="41" t="n"/>
      <c r="F343" s="51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50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41" t="n"/>
      <c r="B344" s="41" t="n"/>
      <c r="C344" s="41" t="n"/>
      <c r="D344" s="42" t="n"/>
      <c r="E344" s="41" t="n"/>
      <c r="F344" s="51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50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41" t="n"/>
      <c r="B345" s="41" t="n"/>
      <c r="C345" s="41" t="n"/>
      <c r="D345" s="42" t="n"/>
      <c r="E345" s="41" t="n"/>
      <c r="F345" s="51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50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41" t="n"/>
      <c r="B346" s="41" t="n"/>
      <c r="C346" s="41" t="n"/>
      <c r="D346" s="42" t="n"/>
      <c r="E346" s="41" t="n"/>
      <c r="F346" s="51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50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41" t="n"/>
      <c r="B347" s="41" t="n"/>
      <c r="C347" s="41" t="n"/>
      <c r="D347" s="42" t="n"/>
      <c r="E347" s="41" t="n"/>
      <c r="F347" s="51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50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41" t="n"/>
      <c r="B348" s="41" t="n"/>
      <c r="C348" s="41" t="n"/>
      <c r="D348" s="42" t="n"/>
      <c r="E348" s="41" t="n"/>
      <c r="F348" s="51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50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41" t="n"/>
      <c r="B349" s="41" t="n"/>
      <c r="C349" s="41" t="n"/>
      <c r="D349" s="42" t="n"/>
      <c r="E349" s="41" t="n"/>
      <c r="F349" s="51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50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41" t="n"/>
      <c r="B350" s="41" t="n"/>
      <c r="C350" s="41" t="n"/>
      <c r="D350" s="42" t="n"/>
      <c r="E350" s="41" t="n"/>
      <c r="F350" s="51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50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41" t="n"/>
      <c r="B351" s="41" t="n"/>
      <c r="C351" s="41" t="n"/>
      <c r="D351" s="42" t="n"/>
      <c r="E351" s="41" t="n"/>
      <c r="F351" s="51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50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41" t="n"/>
      <c r="B352" s="41" t="n"/>
      <c r="C352" s="41" t="n"/>
      <c r="D352" s="42" t="n"/>
      <c r="E352" s="41" t="n"/>
      <c r="F352" s="51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50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41" t="n"/>
      <c r="B353" s="41" t="n"/>
      <c r="C353" s="41" t="n"/>
      <c r="D353" s="42" t="n"/>
      <c r="E353" s="41" t="n"/>
      <c r="F353" s="51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50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41" t="n"/>
      <c r="B354" s="41" t="n"/>
      <c r="C354" s="41" t="n"/>
      <c r="D354" s="42" t="n"/>
      <c r="E354" s="41" t="n"/>
      <c r="F354" s="51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50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41" t="n"/>
      <c r="B355" s="41" t="n"/>
      <c r="C355" s="41" t="n"/>
      <c r="D355" s="42" t="n"/>
      <c r="E355" s="41" t="n"/>
      <c r="F355" s="51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50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41" t="n"/>
      <c r="B356" s="41" t="n"/>
      <c r="C356" s="41" t="n"/>
      <c r="D356" s="42" t="n"/>
      <c r="E356" s="41" t="n"/>
      <c r="F356" s="51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50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41" t="n"/>
      <c r="B357" s="41" t="n"/>
      <c r="C357" s="41" t="n"/>
      <c r="D357" s="42" t="n"/>
      <c r="E357" s="41" t="n"/>
      <c r="F357" s="51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50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41" t="n"/>
      <c r="B358" s="41" t="n"/>
      <c r="C358" s="41" t="n"/>
      <c r="D358" s="42" t="n"/>
      <c r="E358" s="41" t="n"/>
      <c r="F358" s="51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50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41" t="n"/>
      <c r="B359" s="41" t="n"/>
      <c r="C359" s="41" t="n"/>
      <c r="D359" s="42" t="n"/>
      <c r="E359" s="41" t="n"/>
      <c r="F359" s="51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50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41" t="n"/>
      <c r="B360" s="41" t="n"/>
      <c r="C360" s="41" t="n"/>
      <c r="D360" s="42" t="n"/>
      <c r="E360" s="41" t="n"/>
      <c r="F360" s="51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50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41" t="n"/>
      <c r="B361" s="41" t="n"/>
      <c r="C361" s="41" t="n"/>
      <c r="D361" s="42" t="n"/>
      <c r="E361" s="41" t="n"/>
      <c r="F361" s="51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50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41" t="n"/>
      <c r="B362" s="41" t="n"/>
      <c r="C362" s="41" t="n"/>
      <c r="D362" s="42" t="n"/>
      <c r="E362" s="41" t="n"/>
      <c r="F362" s="51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50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41" t="n"/>
      <c r="B363" s="41" t="n"/>
      <c r="C363" s="41" t="n"/>
      <c r="D363" s="42" t="n"/>
      <c r="E363" s="41" t="n"/>
      <c r="F363" s="51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50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41" t="n"/>
      <c r="B364" s="41" t="n"/>
      <c r="C364" s="41" t="n"/>
      <c r="D364" s="42" t="n"/>
      <c r="E364" s="41" t="n"/>
      <c r="F364" s="51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50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41" t="n"/>
      <c r="B365" s="41" t="n"/>
      <c r="C365" s="41" t="n"/>
      <c r="D365" s="42" t="n"/>
      <c r="E365" s="41" t="n"/>
      <c r="F365" s="51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50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41" t="n"/>
      <c r="B366" s="41" t="n"/>
      <c r="C366" s="41" t="n"/>
      <c r="D366" s="42" t="n"/>
      <c r="E366" s="41" t="n"/>
      <c r="F366" s="51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50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41" t="n"/>
      <c r="B367" s="41" t="n"/>
      <c r="C367" s="41" t="n"/>
      <c r="D367" s="42" t="n"/>
      <c r="E367" s="41" t="n"/>
      <c r="F367" s="51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50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41" t="n"/>
      <c r="B368" s="41" t="n"/>
      <c r="C368" s="41" t="n"/>
      <c r="D368" s="42" t="n"/>
      <c r="E368" s="41" t="n"/>
      <c r="F368" s="51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50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41" t="n"/>
      <c r="B369" s="41" t="n"/>
      <c r="C369" s="41" t="n"/>
      <c r="D369" s="42" t="n"/>
      <c r="E369" s="41" t="n"/>
      <c r="F369" s="51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50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41" t="n"/>
      <c r="B370" s="41" t="n"/>
      <c r="C370" s="41" t="n"/>
      <c r="D370" s="42" t="n"/>
      <c r="E370" s="41" t="n"/>
      <c r="F370" s="51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50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41" t="n"/>
      <c r="B371" s="41" t="n"/>
      <c r="C371" s="41" t="n"/>
      <c r="D371" s="42" t="n"/>
      <c r="E371" s="41" t="n"/>
      <c r="F371" s="51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50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41" t="n"/>
      <c r="B372" s="41" t="n"/>
      <c r="C372" s="41" t="n"/>
      <c r="D372" s="42" t="n"/>
      <c r="E372" s="41" t="n"/>
      <c r="F372" s="51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50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41" t="n"/>
      <c r="B373" s="41" t="n"/>
      <c r="C373" s="41" t="n"/>
      <c r="D373" s="42" t="n"/>
      <c r="E373" s="41" t="n"/>
      <c r="F373" s="51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50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41" t="n"/>
      <c r="B374" s="41" t="n"/>
      <c r="C374" s="41" t="n"/>
      <c r="D374" s="42" t="n"/>
      <c r="E374" s="41" t="n"/>
      <c r="F374" s="51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50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41" t="n"/>
      <c r="B375" s="41" t="n"/>
      <c r="C375" s="41" t="n"/>
      <c r="D375" s="42" t="n"/>
      <c r="E375" s="41" t="n"/>
      <c r="F375" s="51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50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41" t="n"/>
      <c r="B376" s="41" t="n"/>
      <c r="C376" s="41" t="n"/>
      <c r="D376" s="42" t="n"/>
      <c r="E376" s="41" t="n"/>
      <c r="F376" s="51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50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41" t="n"/>
      <c r="B377" s="41" t="n"/>
      <c r="C377" s="41" t="n"/>
      <c r="D377" s="42" t="n"/>
      <c r="E377" s="41" t="n"/>
      <c r="F377" s="51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50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41" t="n"/>
      <c r="B378" s="41" t="n"/>
      <c r="C378" s="41" t="n"/>
      <c r="D378" s="42" t="n"/>
      <c r="E378" s="41" t="n"/>
      <c r="F378" s="51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50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41" t="n"/>
      <c r="B379" s="41" t="n"/>
      <c r="C379" s="41" t="n"/>
      <c r="D379" s="42" t="n"/>
      <c r="E379" s="41" t="n"/>
      <c r="F379" s="51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50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41" t="n"/>
      <c r="B380" s="41" t="n"/>
      <c r="C380" s="41" t="n"/>
      <c r="D380" s="42" t="n"/>
      <c r="E380" s="41" t="n"/>
      <c r="F380" s="51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50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41" t="n"/>
      <c r="B381" s="41" t="n"/>
      <c r="C381" s="41" t="n"/>
      <c r="D381" s="42" t="n"/>
      <c r="E381" s="41" t="n"/>
      <c r="F381" s="51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50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41" t="n"/>
      <c r="B382" s="41" t="n"/>
      <c r="C382" s="41" t="n"/>
      <c r="D382" s="42" t="n"/>
      <c r="E382" s="41" t="n"/>
      <c r="F382" s="51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50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41" t="n"/>
      <c r="B383" s="41" t="n"/>
      <c r="C383" s="41" t="n"/>
      <c r="D383" s="42" t="n"/>
      <c r="E383" s="41" t="n"/>
      <c r="F383" s="51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50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41" t="n"/>
      <c r="B384" s="41" t="n"/>
      <c r="C384" s="41" t="n"/>
      <c r="D384" s="42" t="n"/>
      <c r="E384" s="41" t="n"/>
      <c r="F384" s="51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50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41" t="n"/>
      <c r="B385" s="41" t="n"/>
      <c r="C385" s="41" t="n"/>
      <c r="D385" s="42" t="n"/>
      <c r="E385" s="41" t="n"/>
      <c r="F385" s="51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50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41" t="n"/>
      <c r="B386" s="41" t="n"/>
      <c r="C386" s="41" t="n"/>
      <c r="D386" s="42" t="n"/>
      <c r="E386" s="41" t="n"/>
      <c r="F386" s="51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50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41" t="n"/>
      <c r="B387" s="41" t="n"/>
      <c r="C387" s="41" t="n"/>
      <c r="D387" s="42" t="n"/>
      <c r="E387" s="41" t="n"/>
      <c r="F387" s="51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50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41" t="n"/>
      <c r="B388" s="41" t="n"/>
      <c r="C388" s="41" t="n"/>
      <c r="D388" s="42" t="n"/>
      <c r="E388" s="41" t="n"/>
      <c r="F388" s="51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50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41" t="n"/>
      <c r="B389" s="41" t="n"/>
      <c r="C389" s="41" t="n"/>
      <c r="D389" s="42" t="n"/>
      <c r="E389" s="41" t="n"/>
      <c r="F389" s="51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50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41" t="n"/>
      <c r="B390" s="41" t="n"/>
      <c r="C390" s="41" t="n"/>
      <c r="D390" s="42" t="n"/>
      <c r="E390" s="41" t="n"/>
      <c r="F390" s="51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50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41" t="n"/>
      <c r="B391" s="41" t="n"/>
      <c r="C391" s="41" t="n"/>
      <c r="D391" s="42" t="n"/>
      <c r="E391" s="41" t="n"/>
      <c r="F391" s="51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50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41" t="n"/>
      <c r="B392" s="41" t="n"/>
      <c r="C392" s="41" t="n"/>
      <c r="D392" s="42" t="n"/>
      <c r="E392" s="41" t="n"/>
      <c r="F392" s="51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50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41" t="n"/>
      <c r="B393" s="41" t="n"/>
      <c r="C393" s="41" t="n"/>
      <c r="D393" s="42" t="n"/>
      <c r="E393" s="41" t="n"/>
      <c r="F393" s="51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50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41" t="n"/>
      <c r="B394" s="41" t="n"/>
      <c r="C394" s="41" t="n"/>
      <c r="D394" s="42" t="n"/>
      <c r="E394" s="41" t="n"/>
      <c r="F394" s="51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50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41" t="n"/>
      <c r="B395" s="41" t="n"/>
      <c r="C395" s="41" t="n"/>
      <c r="D395" s="42" t="n"/>
      <c r="E395" s="41" t="n"/>
      <c r="F395" s="51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50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41" t="n"/>
      <c r="B396" s="41" t="n"/>
      <c r="C396" s="41" t="n"/>
      <c r="D396" s="42" t="n"/>
      <c r="E396" s="41" t="n"/>
      <c r="F396" s="51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50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41" t="n"/>
      <c r="B397" s="41" t="n"/>
      <c r="C397" s="41" t="n"/>
      <c r="D397" s="42" t="n"/>
      <c r="E397" s="41" t="n"/>
      <c r="F397" s="51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50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41" t="n"/>
      <c r="B398" s="41" t="n"/>
      <c r="C398" s="41" t="n"/>
      <c r="D398" s="42" t="n"/>
      <c r="E398" s="41" t="n"/>
      <c r="F398" s="51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50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41" t="n"/>
      <c r="B399" s="41" t="n"/>
      <c r="C399" s="41" t="n"/>
      <c r="D399" s="42" t="n"/>
      <c r="E399" s="41" t="n"/>
      <c r="F399" s="51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50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41" t="n"/>
      <c r="B400" s="41" t="n"/>
      <c r="C400" s="41" t="n"/>
      <c r="D400" s="42" t="n"/>
      <c r="E400" s="41" t="n"/>
      <c r="F400" s="51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50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41" t="n"/>
      <c r="B401" s="41" t="n"/>
      <c r="C401" s="41" t="n"/>
      <c r="D401" s="42" t="n"/>
      <c r="E401" s="41" t="n"/>
      <c r="F401" s="51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50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41" t="n"/>
      <c r="B402" s="41" t="n"/>
      <c r="C402" s="41" t="n"/>
      <c r="D402" s="42" t="n"/>
      <c r="E402" s="41" t="n"/>
      <c r="F402" s="51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50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41" t="n"/>
      <c r="B403" s="41" t="n"/>
      <c r="C403" s="41" t="n"/>
      <c r="D403" s="42" t="n"/>
      <c r="E403" s="41" t="n"/>
      <c r="F403" s="51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50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41" t="n"/>
      <c r="B404" s="41" t="n"/>
      <c r="C404" s="41" t="n"/>
      <c r="D404" s="42" t="n"/>
      <c r="E404" s="41" t="n"/>
      <c r="F404" s="51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50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41" t="n"/>
      <c r="B405" s="41" t="n"/>
      <c r="C405" s="41" t="n"/>
      <c r="D405" s="42" t="n"/>
      <c r="E405" s="41" t="n"/>
      <c r="F405" s="51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50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41" t="n"/>
      <c r="B406" s="41" t="n"/>
      <c r="C406" s="41" t="n"/>
      <c r="D406" s="42" t="n"/>
      <c r="E406" s="41" t="n"/>
      <c r="F406" s="51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50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41" t="n"/>
      <c r="B407" s="41" t="n"/>
      <c r="C407" s="41" t="n"/>
      <c r="D407" s="42" t="n"/>
      <c r="E407" s="41" t="n"/>
      <c r="F407" s="51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50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41" t="n"/>
      <c r="B408" s="41" t="n"/>
      <c r="C408" s="41" t="n"/>
      <c r="D408" s="42" t="n"/>
      <c r="E408" s="41" t="n"/>
      <c r="F408" s="51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50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41" t="n"/>
      <c r="B409" s="41" t="n"/>
      <c r="C409" s="41" t="n"/>
      <c r="D409" s="42" t="n"/>
      <c r="E409" s="41" t="n"/>
      <c r="F409" s="51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50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41" t="n"/>
      <c r="B410" s="41" t="n"/>
      <c r="C410" s="41" t="n"/>
      <c r="D410" s="42" t="n"/>
      <c r="E410" s="41" t="n"/>
      <c r="F410" s="51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50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41" t="n"/>
      <c r="B411" s="41" t="n"/>
      <c r="C411" s="41" t="n"/>
      <c r="D411" s="42" t="n"/>
      <c r="E411" s="41" t="n"/>
      <c r="F411" s="51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50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41" t="n"/>
      <c r="B412" s="41" t="n"/>
      <c r="C412" s="41" t="n"/>
      <c r="D412" s="42" t="n"/>
      <c r="E412" s="41" t="n"/>
      <c r="F412" s="51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50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41" t="n"/>
      <c r="B413" s="41" t="n"/>
      <c r="C413" s="41" t="n"/>
      <c r="D413" s="42" t="n"/>
      <c r="E413" s="41" t="n"/>
      <c r="F413" s="51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50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41" t="n"/>
      <c r="B414" s="41" t="n"/>
      <c r="C414" s="41" t="n"/>
      <c r="D414" s="42" t="n"/>
      <c r="E414" s="41" t="n"/>
      <c r="F414" s="51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50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41" t="n"/>
      <c r="B415" s="41" t="n"/>
      <c r="C415" s="41" t="n"/>
      <c r="D415" s="42" t="n"/>
      <c r="E415" s="41" t="n"/>
      <c r="F415" s="51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50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41" t="n"/>
      <c r="B416" s="41" t="n"/>
      <c r="C416" s="41" t="n"/>
      <c r="D416" s="42" t="n"/>
      <c r="E416" s="41" t="n"/>
      <c r="F416" s="51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50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41" t="n"/>
      <c r="B417" s="41" t="n"/>
      <c r="C417" s="41" t="n"/>
      <c r="D417" s="42" t="n"/>
      <c r="E417" s="41" t="n"/>
      <c r="F417" s="51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50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41" t="n"/>
      <c r="B418" s="41" t="n"/>
      <c r="C418" s="41" t="n"/>
      <c r="D418" s="42" t="n"/>
      <c r="E418" s="41" t="n"/>
      <c r="F418" s="51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50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41" t="n"/>
      <c r="B419" s="41" t="n"/>
      <c r="C419" s="41" t="n"/>
      <c r="D419" s="42" t="n"/>
      <c r="E419" s="41" t="n"/>
      <c r="F419" s="51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50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41" t="n"/>
      <c r="B420" s="41" t="n"/>
      <c r="C420" s="41" t="n"/>
      <c r="D420" s="42" t="n"/>
      <c r="E420" s="41" t="n"/>
      <c r="F420" s="51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50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41" t="n"/>
      <c r="B421" s="41" t="n"/>
      <c r="C421" s="41" t="n"/>
      <c r="D421" s="42" t="n"/>
      <c r="E421" s="41" t="n"/>
      <c r="F421" s="51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50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41" t="n"/>
      <c r="B422" s="41" t="n"/>
      <c r="C422" s="41" t="n"/>
      <c r="D422" s="42" t="n"/>
      <c r="E422" s="41" t="n"/>
      <c r="F422" s="51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50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41" t="n"/>
      <c r="B423" s="41" t="n"/>
      <c r="C423" s="41" t="n"/>
      <c r="D423" s="42" t="n"/>
      <c r="E423" s="41" t="n"/>
      <c r="F423" s="51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50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41" t="n"/>
      <c r="B424" s="41" t="n"/>
      <c r="C424" s="41" t="n"/>
      <c r="D424" s="42" t="n"/>
      <c r="E424" s="41" t="n"/>
      <c r="F424" s="51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50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41" t="n"/>
      <c r="B425" s="41" t="n"/>
      <c r="C425" s="41" t="n"/>
      <c r="D425" s="42" t="n"/>
      <c r="E425" s="41" t="n"/>
      <c r="F425" s="51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50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41" t="n"/>
      <c r="B426" s="41" t="n"/>
      <c r="C426" s="41" t="n"/>
      <c r="D426" s="42" t="n"/>
      <c r="E426" s="41" t="n"/>
      <c r="F426" s="51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50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41" t="n"/>
      <c r="B427" s="41" t="n"/>
      <c r="C427" s="41" t="n"/>
      <c r="D427" s="42" t="n"/>
      <c r="E427" s="41" t="n"/>
      <c r="F427" s="51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50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41" t="n"/>
      <c r="B428" s="41" t="n"/>
      <c r="C428" s="41" t="n"/>
      <c r="D428" s="42" t="n"/>
      <c r="E428" s="41" t="n"/>
      <c r="F428" s="51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50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41" t="n"/>
      <c r="B429" s="41" t="n"/>
      <c r="C429" s="41" t="n"/>
      <c r="D429" s="42" t="n"/>
      <c r="E429" s="41" t="n"/>
      <c r="F429" s="51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50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41" t="n"/>
      <c r="B430" s="41" t="n"/>
      <c r="C430" s="41" t="n"/>
      <c r="D430" s="42" t="n"/>
      <c r="E430" s="41" t="n"/>
      <c r="F430" s="51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50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41" t="n"/>
      <c r="B431" s="41" t="n"/>
      <c r="C431" s="41" t="n"/>
      <c r="D431" s="42" t="n"/>
      <c r="E431" s="41" t="n"/>
      <c r="F431" s="51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50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41" t="n"/>
      <c r="B432" s="41" t="n"/>
      <c r="C432" s="41" t="n"/>
      <c r="D432" s="42" t="n"/>
      <c r="E432" s="41" t="n"/>
      <c r="F432" s="51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50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41" t="n"/>
      <c r="B433" s="41" t="n"/>
      <c r="C433" s="41" t="n"/>
      <c r="D433" s="42" t="n"/>
      <c r="E433" s="41" t="n"/>
      <c r="F433" s="51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50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41" t="n"/>
      <c r="B434" s="41" t="n"/>
      <c r="C434" s="41" t="n"/>
      <c r="D434" s="42" t="n"/>
      <c r="E434" s="41" t="n"/>
      <c r="F434" s="51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50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41" t="n"/>
      <c r="B435" s="41" t="n"/>
      <c r="C435" s="41" t="n"/>
      <c r="D435" s="42" t="n"/>
      <c r="E435" s="41" t="n"/>
      <c r="F435" s="51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50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41" t="n"/>
      <c r="B436" s="41" t="n"/>
      <c r="C436" s="41" t="n"/>
      <c r="D436" s="42" t="n"/>
      <c r="E436" s="41" t="n"/>
      <c r="F436" s="51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50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41" t="n"/>
      <c r="B437" s="41" t="n"/>
      <c r="C437" s="41" t="n"/>
      <c r="D437" s="42" t="n"/>
      <c r="E437" s="41" t="n"/>
      <c r="F437" s="51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50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41" t="n"/>
      <c r="B438" s="41" t="n"/>
      <c r="C438" s="41" t="n"/>
      <c r="D438" s="42" t="n"/>
      <c r="E438" s="41" t="n"/>
      <c r="F438" s="51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50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41" t="n"/>
      <c r="B439" s="41" t="n"/>
      <c r="C439" s="41" t="n"/>
      <c r="D439" s="42" t="n"/>
      <c r="E439" s="41" t="n"/>
      <c r="F439" s="51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50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41" t="n"/>
      <c r="B440" s="41" t="n"/>
      <c r="C440" s="41" t="n"/>
      <c r="D440" s="42" t="n"/>
      <c r="E440" s="41" t="n"/>
      <c r="F440" s="51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50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41" t="n"/>
      <c r="B441" s="41" t="n"/>
      <c r="C441" s="41" t="n"/>
      <c r="D441" s="42" t="n"/>
      <c r="E441" s="41" t="n"/>
      <c r="F441" s="51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50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41" t="n"/>
      <c r="B442" s="41" t="n"/>
      <c r="C442" s="41" t="n"/>
      <c r="D442" s="42" t="n"/>
      <c r="E442" s="41" t="n"/>
      <c r="F442" s="51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50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41" t="n"/>
      <c r="B443" s="41" t="n"/>
      <c r="C443" s="41" t="n"/>
      <c r="D443" s="42" t="n"/>
      <c r="E443" s="41" t="n"/>
      <c r="F443" s="51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50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41" t="n"/>
      <c r="B444" s="41" t="n"/>
      <c r="C444" s="41" t="n"/>
      <c r="D444" s="42" t="n"/>
      <c r="E444" s="41" t="n"/>
      <c r="F444" s="51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50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41" t="n"/>
      <c r="B445" s="41" t="n"/>
      <c r="C445" s="41" t="n"/>
      <c r="D445" s="42" t="n"/>
      <c r="E445" s="41" t="n"/>
      <c r="F445" s="51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50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41" t="n"/>
      <c r="B446" s="41" t="n"/>
      <c r="C446" s="41" t="n"/>
      <c r="D446" s="42" t="n"/>
      <c r="E446" s="41" t="n"/>
      <c r="F446" s="51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50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41" t="n"/>
      <c r="B447" s="41" t="n"/>
      <c r="C447" s="41" t="n"/>
      <c r="D447" s="42" t="n"/>
      <c r="E447" s="41" t="n"/>
      <c r="F447" s="51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50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41" t="n"/>
      <c r="B448" s="41" t="n"/>
      <c r="C448" s="41" t="n"/>
      <c r="D448" s="42" t="n"/>
      <c r="E448" s="41" t="n"/>
      <c r="F448" s="51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50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41" t="n"/>
      <c r="B449" s="41" t="n"/>
      <c r="C449" s="41" t="n"/>
      <c r="D449" s="42" t="n"/>
      <c r="E449" s="41" t="n"/>
      <c r="F449" s="51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50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41" t="n"/>
      <c r="B450" s="41" t="n"/>
      <c r="C450" s="41" t="n"/>
      <c r="D450" s="42" t="n"/>
      <c r="E450" s="41" t="n"/>
      <c r="F450" s="51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50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41" t="n"/>
      <c r="B451" s="41" t="n"/>
      <c r="C451" s="41" t="n"/>
      <c r="D451" s="42" t="n"/>
      <c r="E451" s="41" t="n"/>
      <c r="F451" s="51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50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41" t="n"/>
      <c r="B452" s="41" t="n"/>
      <c r="C452" s="41" t="n"/>
      <c r="D452" s="42" t="n"/>
      <c r="E452" s="41" t="n"/>
      <c r="F452" s="51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50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5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P3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6" customWidth="1" min="3" max="3"/>
    <col width="6" customWidth="1" min="4" max="4"/>
    <col width="8" customWidth="1" min="5" max="5"/>
    <col width="8" customWidth="1" min="6" max="6"/>
    <col width="8" customWidth="1" min="7" max="7"/>
    <col width="8" customWidth="1" min="8" max="8"/>
    <col width="7" customWidth="1" min="9" max="9"/>
    <col width="6" customWidth="1" min="10" max="10"/>
    <col width="6" customWidth="1" min="11" max="11"/>
    <col width="6" customWidth="1" min="12" max="12"/>
    <col width="6" customWidth="1" min="13" max="13"/>
    <col width="30" customWidth="1" min="14" max="14"/>
    <col width="36" customWidth="1" min="15" max="15"/>
    <col hidden="1" width="13" customWidth="1" min="16" max="16"/>
  </cols>
  <sheetData>
    <row r="1">
      <c r="A1" s="6" t="inlineStr">
        <is>
          <t>定員チェック</t>
        </is>
      </c>
      <c r="E1" s="23" t="inlineStr">
        <is>
          <t>【入力なし】見る・印刷するだけ</t>
        </is>
      </c>
      <c r="F1" s="72" t="n"/>
      <c r="G1" s="72" t="n"/>
      <c r="H1" s="72" t="n"/>
      <c r="I1" s="73" t="n"/>
    </row>
    <row r="2">
      <c r="B2" s="8" t="inlineStr">
        <is>
          <t>未提出</t>
        </is>
      </c>
      <c r="D2" s="58">
        <f>COUNTIF(振り分け!$M$7:$M$456,"未提出")</f>
        <v/>
      </c>
      <c r="H2" s="8" t="inlineStr">
        <is>
          <t>定員オーバーのクラブ</t>
        </is>
      </c>
      <c r="M2" s="58">
        <f>COUNTIF($N$7:$N$26,"*オーバー*")</f>
        <v/>
      </c>
    </row>
    <row r="3">
      <c r="B3" s="8" t="inlineStr">
        <is>
          <t>要調整</t>
        </is>
      </c>
      <c r="D3" s="58">
        <f>COUNTIF(振り分け!$M$7:$M$456,"要調整")</f>
        <v/>
      </c>
      <c r="H3" s="8" t="inlineStr">
        <is>
          <t>新年度名簿の要確認</t>
        </is>
      </c>
      <c r="M3" s="58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D4" s="58">
        <f>COUNTIF(振り分け!$M$7:$M$456,"転出")</f>
        <v/>
      </c>
      <c r="H4" s="8" t="inlineStr">
        <is>
          <t>希望入力の要確認</t>
        </is>
      </c>
      <c r="M4" s="58">
        <f>SUMPRODUCT((希望入力!$K$5:$K$554&lt;&gt;"")*(希望入力!$K$5:$K$554&lt;&gt;"OK")*(希望入力!$K$5:$K$554&lt;&gt;"転出"))</f>
        <v/>
      </c>
    </row>
    <row r="5">
      <c r="B5" s="8" t="inlineStr">
        <is>
          <t>学年がそろっていないクラブ</t>
        </is>
      </c>
      <c r="D5" s="58">
        <f>SUMPRODUCT(($O$7:$O$26&lt;&gt;"OK")*($O$7:$O$26&lt;&gt;""))</f>
        <v/>
      </c>
    </row>
    <row r="6" ht="30" customHeight="1">
      <c r="A6" s="46" t="inlineStr">
        <is>
          <t>No.</t>
        </is>
      </c>
      <c r="B6" s="46" t="inlineStr">
        <is>
          <t>クラブ</t>
        </is>
      </c>
      <c r="C6" s="46" t="inlineStr">
        <is>
          <t>定員</t>
        </is>
      </c>
      <c r="D6" s="46" t="inlineStr">
        <is>
          <t>融通</t>
        </is>
      </c>
      <c r="E6" s="46" t="inlineStr">
        <is>
          <t>第1希望</t>
        </is>
      </c>
      <c r="F6" s="46">
        <f>設定!$B$8&amp;"年"&amp;CHAR(10)&amp;"第1希望"</f>
        <v/>
      </c>
      <c r="G6" s="46">
        <f>設定!$B$9&amp;"年"&amp;CHAR(10)&amp;"第1希望"</f>
        <v/>
      </c>
      <c r="H6" s="46">
        <f>設定!$B$10&amp;"年"&amp;CHAR(10)&amp;"第1希望"</f>
        <v/>
      </c>
      <c r="I6" s="46" t="inlineStr">
        <is>
          <t>決定</t>
        </is>
      </c>
      <c r="J6" s="46">
        <f>設定!$B$8&amp;"年"</f>
        <v/>
      </c>
      <c r="K6" s="46">
        <f>設定!$B$9&amp;"年"</f>
        <v/>
      </c>
      <c r="L6" s="46">
        <f>設定!$B$10&amp;"年"</f>
        <v/>
      </c>
      <c r="M6" s="46" t="inlineStr">
        <is>
          <t>残り</t>
        </is>
      </c>
      <c r="N6" s="46" t="inlineStr">
        <is>
          <t>状態</t>
        </is>
      </c>
      <c r="O6" s="46" t="inlineStr">
        <is>
          <t>学年のそろい</t>
        </is>
      </c>
    </row>
    <row r="7">
      <c r="A7" s="59" t="n">
        <v>1</v>
      </c>
      <c r="B7" s="59">
        <f>IF(設定!P8="","",設定!P8)</f>
        <v/>
      </c>
      <c r="C7" s="59">
        <f>IF(B7="","",N(設定!Q8))</f>
        <v/>
      </c>
      <c r="D7" s="59">
        <f>IF(B7="","",N(設定!R8))</f>
        <v/>
      </c>
      <c r="E7" s="59">
        <f>IF(B7="","",COUNTIF(振り分け!$G$7:$G$456,B7))</f>
        <v/>
      </c>
      <c r="F7" s="59">
        <f>IF(B7="","",COUNTIFS(振り分け!$A$7:$A$456,設定!$B$8,振り分け!$G$7:$G$456,B7))</f>
        <v/>
      </c>
      <c r="G7" s="59">
        <f>IF(B7="","",COUNTIFS(振り分け!$A$7:$A$456,設定!$B$9,振り分け!$G$7:$G$456,B7))</f>
        <v/>
      </c>
      <c r="H7" s="59">
        <f>IF(B7="","",COUNTIFS(振り分け!$A$7:$A$456,設定!$B$10,振り分け!$G$7:$G$456,B7))</f>
        <v/>
      </c>
      <c r="I7" s="60">
        <f>IF(B7="","",IF(計算用!$B$1=1,COUNTIF(新年度名簿!$G$3:$G$452,B7),COUNTIFS(振り分け!$L$7:$L$456,B7,振り分け!$M$7:$M$456,"&lt;&gt;転出")))</f>
        <v/>
      </c>
      <c r="J7" s="59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K7" s="59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L7" s="59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M7" s="59">
        <f>IF(B7="","",C7-I7)</f>
        <v/>
      </c>
      <c r="N7" s="61">
        <f>IF(B7="","",IF(I7&gt;C7+D7,(I7-C7-D7)&amp;"人オーバー",IF(COUNTIFS(振り分け!$M$7:$M$456,"要調整",振り分け!$G$7:$G$456,B7)&gt;0,"調整中（第1希望の要調整 "&amp;COUNTIFS(振り分け!$M$7:$M$456,"要調整",振り分け!$G$7:$G$456,B7)&amp;"人）",IF(I7&gt;C7,"定員＋"&amp;(I7-C7)&amp;"人（融通内）",IF(M7&gt;0,"空きあり "&amp;M7&amp;"人","OK")))))</f>
        <v/>
      </c>
      <c r="O7" s="62">
        <f>IF(B7="","",IF(P7="","OK",LEFT(P7,LEN(P7)-1)))</f>
        <v/>
      </c>
      <c r="P7" s="63">
        <f>IF(B7="","",IF(F7=0,"第1希望に"&amp;設定!$B$8&amp;"年がいない／","")&amp;IF(G7=0,"第1希望に"&amp;設定!$B$9&amp;"年がいない／","")&amp;IF(H7=0,"第1希望に"&amp;設定!$B$10&amp;"年がいない／","")&amp;IF(F7&gt;=C7+D7,設定!$B$8&amp;"年だけで定員に届く／","")&amp;IF(I7&gt;0,IF(J7=0,"決定に"&amp;設定!$B$8&amp;"年がいない／","")&amp;IF(K7=0,"決定に"&amp;設定!$B$9&amp;"年がいない／","")&amp;IF(L7=0,"決定に"&amp;設定!$B$10&amp;"年がいない／",""),""))</f>
        <v/>
      </c>
    </row>
    <row r="8">
      <c r="A8" s="59" t="n">
        <v>2</v>
      </c>
      <c r="B8" s="59">
        <f>IF(設定!P9="","",設定!P9)</f>
        <v/>
      </c>
      <c r="C8" s="59">
        <f>IF(B8="","",N(設定!Q9))</f>
        <v/>
      </c>
      <c r="D8" s="59">
        <f>IF(B8="","",N(設定!R9))</f>
        <v/>
      </c>
      <c r="E8" s="59">
        <f>IF(B8="","",COUNTIF(振り分け!$G$7:$G$456,B8))</f>
        <v/>
      </c>
      <c r="F8" s="59">
        <f>IF(B8="","",COUNTIFS(振り分け!$A$7:$A$456,設定!$B$8,振り分け!$G$7:$G$456,B8))</f>
        <v/>
      </c>
      <c r="G8" s="59">
        <f>IF(B8="","",COUNTIFS(振り分け!$A$7:$A$456,設定!$B$9,振り分け!$G$7:$G$456,B8))</f>
        <v/>
      </c>
      <c r="H8" s="59">
        <f>IF(B8="","",COUNTIFS(振り分け!$A$7:$A$456,設定!$B$10,振り分け!$G$7:$G$456,B8))</f>
        <v/>
      </c>
      <c r="I8" s="60">
        <f>IF(B8="","",IF(計算用!$B$1=1,COUNTIF(新年度名簿!$G$3:$G$452,B8),COUNTIFS(振り分け!$L$7:$L$456,B8,振り分け!$M$7:$M$456,"&lt;&gt;転出")))</f>
        <v/>
      </c>
      <c r="J8" s="59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K8" s="59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L8" s="59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M8" s="59">
        <f>IF(B8="","",C8-I8)</f>
        <v/>
      </c>
      <c r="N8" s="61">
        <f>IF(B8="","",IF(I8&gt;C8+D8,(I8-C8-D8)&amp;"人オーバー",IF(COUNTIFS(振り分け!$M$7:$M$456,"要調整",振り分け!$G$7:$G$456,B8)&gt;0,"調整中（第1希望の要調整 "&amp;COUNTIFS(振り分け!$M$7:$M$456,"要調整",振り分け!$G$7:$G$456,B8)&amp;"人）",IF(I8&gt;C8,"定員＋"&amp;(I8-C8)&amp;"人（融通内）",IF(M8&gt;0,"空きあり "&amp;M8&amp;"人","OK")))))</f>
        <v/>
      </c>
      <c r="O8" s="62">
        <f>IF(B8="","",IF(P8="","OK",LEFT(P8,LEN(P8)-1)))</f>
        <v/>
      </c>
      <c r="P8" s="63">
        <f>IF(B8="","",IF(F8=0,"第1希望に"&amp;設定!$B$8&amp;"年がいない／","")&amp;IF(G8=0,"第1希望に"&amp;設定!$B$9&amp;"年がいない／","")&amp;IF(H8=0,"第1希望に"&amp;設定!$B$10&amp;"年がいない／","")&amp;IF(F8&gt;=C8+D8,設定!$B$8&amp;"年だけで定員に届く／","")&amp;IF(I8&gt;0,IF(J8=0,"決定に"&amp;設定!$B$8&amp;"年がいない／","")&amp;IF(K8=0,"決定に"&amp;設定!$B$9&amp;"年がいない／","")&amp;IF(L8=0,"決定に"&amp;設定!$B$10&amp;"年がいない／",""),""))</f>
        <v/>
      </c>
    </row>
    <row r="9">
      <c r="A9" s="59" t="n">
        <v>3</v>
      </c>
      <c r="B9" s="59">
        <f>IF(設定!P10="","",設定!P10)</f>
        <v/>
      </c>
      <c r="C9" s="59">
        <f>IF(B9="","",N(設定!Q10))</f>
        <v/>
      </c>
      <c r="D9" s="59">
        <f>IF(B9="","",N(設定!R10))</f>
        <v/>
      </c>
      <c r="E9" s="59">
        <f>IF(B9="","",COUNTIF(振り分け!$G$7:$G$456,B9))</f>
        <v/>
      </c>
      <c r="F9" s="59">
        <f>IF(B9="","",COUNTIFS(振り分け!$A$7:$A$456,設定!$B$8,振り分け!$G$7:$G$456,B9))</f>
        <v/>
      </c>
      <c r="G9" s="59">
        <f>IF(B9="","",COUNTIFS(振り分け!$A$7:$A$456,設定!$B$9,振り分け!$G$7:$G$456,B9))</f>
        <v/>
      </c>
      <c r="H9" s="59">
        <f>IF(B9="","",COUNTIFS(振り分け!$A$7:$A$456,設定!$B$10,振り分け!$G$7:$G$456,B9))</f>
        <v/>
      </c>
      <c r="I9" s="60">
        <f>IF(B9="","",IF(計算用!$B$1=1,COUNTIF(新年度名簿!$G$3:$G$452,B9),COUNTIFS(振り分け!$L$7:$L$456,B9,振り分け!$M$7:$M$456,"&lt;&gt;転出")))</f>
        <v/>
      </c>
      <c r="J9" s="59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K9" s="59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L9" s="59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M9" s="59">
        <f>IF(B9="","",C9-I9)</f>
        <v/>
      </c>
      <c r="N9" s="61">
        <f>IF(B9="","",IF(I9&gt;C9+D9,(I9-C9-D9)&amp;"人オーバー",IF(COUNTIFS(振り分け!$M$7:$M$456,"要調整",振り分け!$G$7:$G$456,B9)&gt;0,"調整中（第1希望の要調整 "&amp;COUNTIFS(振り分け!$M$7:$M$456,"要調整",振り分け!$G$7:$G$456,B9)&amp;"人）",IF(I9&gt;C9,"定員＋"&amp;(I9-C9)&amp;"人（融通内）",IF(M9&gt;0,"空きあり "&amp;M9&amp;"人","OK")))))</f>
        <v/>
      </c>
      <c r="O9" s="62">
        <f>IF(B9="","",IF(P9="","OK",LEFT(P9,LEN(P9)-1)))</f>
        <v/>
      </c>
      <c r="P9" s="63">
        <f>IF(B9="","",IF(F9=0,"第1希望に"&amp;設定!$B$8&amp;"年がいない／","")&amp;IF(G9=0,"第1希望に"&amp;設定!$B$9&amp;"年がいない／","")&amp;IF(H9=0,"第1希望に"&amp;設定!$B$10&amp;"年がいない／","")&amp;IF(F9&gt;=C9+D9,設定!$B$8&amp;"年だけで定員に届く／","")&amp;IF(I9&gt;0,IF(J9=0,"決定に"&amp;設定!$B$8&amp;"年がいない／","")&amp;IF(K9=0,"決定に"&amp;設定!$B$9&amp;"年がいない／","")&amp;IF(L9=0,"決定に"&amp;設定!$B$10&amp;"年がいない／",""),""))</f>
        <v/>
      </c>
    </row>
    <row r="10">
      <c r="A10" s="59" t="n">
        <v>4</v>
      </c>
      <c r="B10" s="59">
        <f>IF(設定!P11="","",設定!P11)</f>
        <v/>
      </c>
      <c r="C10" s="59">
        <f>IF(B10="","",N(設定!Q11))</f>
        <v/>
      </c>
      <c r="D10" s="59">
        <f>IF(B10="","",N(設定!R11))</f>
        <v/>
      </c>
      <c r="E10" s="59">
        <f>IF(B10="","",COUNTIF(振り分け!$G$7:$G$456,B10))</f>
        <v/>
      </c>
      <c r="F10" s="59">
        <f>IF(B10="","",COUNTIFS(振り分け!$A$7:$A$456,設定!$B$8,振り分け!$G$7:$G$456,B10))</f>
        <v/>
      </c>
      <c r="G10" s="59">
        <f>IF(B10="","",COUNTIFS(振り分け!$A$7:$A$456,設定!$B$9,振り分け!$G$7:$G$456,B10))</f>
        <v/>
      </c>
      <c r="H10" s="59">
        <f>IF(B10="","",COUNTIFS(振り分け!$A$7:$A$456,設定!$B$10,振り分け!$G$7:$G$456,B10))</f>
        <v/>
      </c>
      <c r="I10" s="60">
        <f>IF(B10="","",IF(計算用!$B$1=1,COUNTIF(新年度名簿!$G$3:$G$452,B10),COUNTIFS(振り分け!$L$7:$L$456,B10,振り分け!$M$7:$M$456,"&lt;&gt;転出")))</f>
        <v/>
      </c>
      <c r="J10" s="59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K10" s="59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L10" s="59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M10" s="59">
        <f>IF(B10="","",C10-I10)</f>
        <v/>
      </c>
      <c r="N10" s="61">
        <f>IF(B10="","",IF(I10&gt;C10+D10,(I10-C10-D10)&amp;"人オーバー",IF(COUNTIFS(振り分け!$M$7:$M$456,"要調整",振り分け!$G$7:$G$456,B10)&gt;0,"調整中（第1希望の要調整 "&amp;COUNTIFS(振り分け!$M$7:$M$456,"要調整",振り分け!$G$7:$G$456,B10)&amp;"人）",IF(I10&gt;C10,"定員＋"&amp;(I10-C10)&amp;"人（融通内）",IF(M10&gt;0,"空きあり "&amp;M10&amp;"人","OK")))))</f>
        <v/>
      </c>
      <c r="O10" s="62">
        <f>IF(B10="","",IF(P10="","OK",LEFT(P10,LEN(P10)-1)))</f>
        <v/>
      </c>
      <c r="P10" s="63">
        <f>IF(B10="","",IF(F10=0,"第1希望に"&amp;設定!$B$8&amp;"年がいない／","")&amp;IF(G10=0,"第1希望に"&amp;設定!$B$9&amp;"年がいない／","")&amp;IF(H10=0,"第1希望に"&amp;設定!$B$10&amp;"年がいない／","")&amp;IF(F10&gt;=C10+D10,設定!$B$8&amp;"年だけで定員に届く／","")&amp;IF(I10&gt;0,IF(J10=0,"決定に"&amp;設定!$B$8&amp;"年がいない／","")&amp;IF(K10=0,"決定に"&amp;設定!$B$9&amp;"年がいない／","")&amp;IF(L10=0,"決定に"&amp;設定!$B$10&amp;"年がいない／",""),""))</f>
        <v/>
      </c>
    </row>
    <row r="11">
      <c r="A11" s="59" t="n">
        <v>5</v>
      </c>
      <c r="B11" s="59">
        <f>IF(設定!P12="","",設定!P12)</f>
        <v/>
      </c>
      <c r="C11" s="59">
        <f>IF(B11="","",N(設定!Q12))</f>
        <v/>
      </c>
      <c r="D11" s="59">
        <f>IF(B11="","",N(設定!R12))</f>
        <v/>
      </c>
      <c r="E11" s="59">
        <f>IF(B11="","",COUNTIF(振り分け!$G$7:$G$456,B11))</f>
        <v/>
      </c>
      <c r="F11" s="59">
        <f>IF(B11="","",COUNTIFS(振り分け!$A$7:$A$456,設定!$B$8,振り分け!$G$7:$G$456,B11))</f>
        <v/>
      </c>
      <c r="G11" s="59">
        <f>IF(B11="","",COUNTIFS(振り分け!$A$7:$A$456,設定!$B$9,振り分け!$G$7:$G$456,B11))</f>
        <v/>
      </c>
      <c r="H11" s="59">
        <f>IF(B11="","",COUNTIFS(振り分け!$A$7:$A$456,設定!$B$10,振り分け!$G$7:$G$456,B11))</f>
        <v/>
      </c>
      <c r="I11" s="60">
        <f>IF(B11="","",IF(計算用!$B$1=1,COUNTIF(新年度名簿!$G$3:$G$452,B11),COUNTIFS(振り分け!$L$7:$L$456,B11,振り分け!$M$7:$M$456,"&lt;&gt;転出")))</f>
        <v/>
      </c>
      <c r="J11" s="59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K11" s="59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L11" s="59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M11" s="59">
        <f>IF(B11="","",C11-I11)</f>
        <v/>
      </c>
      <c r="N11" s="61">
        <f>IF(B11="","",IF(I11&gt;C11+D11,(I11-C11-D11)&amp;"人オーバー",IF(COUNTIFS(振り分け!$M$7:$M$456,"要調整",振り分け!$G$7:$G$456,B11)&gt;0,"調整中（第1希望の要調整 "&amp;COUNTIFS(振り分け!$M$7:$M$456,"要調整",振り分け!$G$7:$G$456,B11)&amp;"人）",IF(I11&gt;C11,"定員＋"&amp;(I11-C11)&amp;"人（融通内）",IF(M11&gt;0,"空きあり "&amp;M11&amp;"人","OK")))))</f>
        <v/>
      </c>
      <c r="O11" s="62">
        <f>IF(B11="","",IF(P11="","OK",LEFT(P11,LEN(P11)-1)))</f>
        <v/>
      </c>
      <c r="P11" s="63">
        <f>IF(B11="","",IF(F11=0,"第1希望に"&amp;設定!$B$8&amp;"年がいない／","")&amp;IF(G11=0,"第1希望に"&amp;設定!$B$9&amp;"年がいない／","")&amp;IF(H11=0,"第1希望に"&amp;設定!$B$10&amp;"年がいない／","")&amp;IF(F11&gt;=C11+D11,設定!$B$8&amp;"年だけで定員に届く／","")&amp;IF(I11&gt;0,IF(J11=0,"決定に"&amp;設定!$B$8&amp;"年がいない／","")&amp;IF(K11=0,"決定に"&amp;設定!$B$9&amp;"年がいない／","")&amp;IF(L11=0,"決定に"&amp;設定!$B$10&amp;"年がいない／",""),""))</f>
        <v/>
      </c>
    </row>
    <row r="12">
      <c r="A12" s="59" t="n">
        <v>6</v>
      </c>
      <c r="B12" s="59">
        <f>IF(設定!P13="","",設定!P13)</f>
        <v/>
      </c>
      <c r="C12" s="59">
        <f>IF(B12="","",N(設定!Q13))</f>
        <v/>
      </c>
      <c r="D12" s="59">
        <f>IF(B12="","",N(設定!R13))</f>
        <v/>
      </c>
      <c r="E12" s="59">
        <f>IF(B12="","",COUNTIF(振り分け!$G$7:$G$456,B12))</f>
        <v/>
      </c>
      <c r="F12" s="59">
        <f>IF(B12="","",COUNTIFS(振り分け!$A$7:$A$456,設定!$B$8,振り分け!$G$7:$G$456,B12))</f>
        <v/>
      </c>
      <c r="G12" s="59">
        <f>IF(B12="","",COUNTIFS(振り分け!$A$7:$A$456,設定!$B$9,振り分け!$G$7:$G$456,B12))</f>
        <v/>
      </c>
      <c r="H12" s="59">
        <f>IF(B12="","",COUNTIFS(振り分け!$A$7:$A$456,設定!$B$10,振り分け!$G$7:$G$456,B12))</f>
        <v/>
      </c>
      <c r="I12" s="60">
        <f>IF(B12="","",IF(計算用!$B$1=1,COUNTIF(新年度名簿!$G$3:$G$452,B12),COUNTIFS(振り分け!$L$7:$L$456,B12,振り分け!$M$7:$M$456,"&lt;&gt;転出")))</f>
        <v/>
      </c>
      <c r="J12" s="59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K12" s="59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L12" s="59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M12" s="59">
        <f>IF(B12="","",C12-I12)</f>
        <v/>
      </c>
      <c r="N12" s="61">
        <f>IF(B12="","",IF(I12&gt;C12+D12,(I12-C12-D12)&amp;"人オーバー",IF(COUNTIFS(振り分け!$M$7:$M$456,"要調整",振り分け!$G$7:$G$456,B12)&gt;0,"調整中（第1希望の要調整 "&amp;COUNTIFS(振り分け!$M$7:$M$456,"要調整",振り分け!$G$7:$G$456,B12)&amp;"人）",IF(I12&gt;C12,"定員＋"&amp;(I12-C12)&amp;"人（融通内）",IF(M12&gt;0,"空きあり "&amp;M12&amp;"人","OK")))))</f>
        <v/>
      </c>
      <c r="O12" s="62">
        <f>IF(B12="","",IF(P12="","OK",LEFT(P12,LEN(P12)-1)))</f>
        <v/>
      </c>
      <c r="P12" s="63">
        <f>IF(B12="","",IF(F12=0,"第1希望に"&amp;設定!$B$8&amp;"年がいない／","")&amp;IF(G12=0,"第1希望に"&amp;設定!$B$9&amp;"年がいない／","")&amp;IF(H12=0,"第1希望に"&amp;設定!$B$10&amp;"年がいない／","")&amp;IF(F12&gt;=C12+D12,設定!$B$8&amp;"年だけで定員に届く／","")&amp;IF(I12&gt;0,IF(J12=0,"決定に"&amp;設定!$B$8&amp;"年がいない／","")&amp;IF(K12=0,"決定に"&amp;設定!$B$9&amp;"年がいない／","")&amp;IF(L12=0,"決定に"&amp;設定!$B$10&amp;"年がいない／",""),""))</f>
        <v/>
      </c>
    </row>
    <row r="13">
      <c r="A13" s="59" t="n">
        <v>7</v>
      </c>
      <c r="B13" s="59">
        <f>IF(設定!P14="","",設定!P14)</f>
        <v/>
      </c>
      <c r="C13" s="59">
        <f>IF(B13="","",N(設定!Q14))</f>
        <v/>
      </c>
      <c r="D13" s="59">
        <f>IF(B13="","",N(設定!R14))</f>
        <v/>
      </c>
      <c r="E13" s="59">
        <f>IF(B13="","",COUNTIF(振り分け!$G$7:$G$456,B13))</f>
        <v/>
      </c>
      <c r="F13" s="59">
        <f>IF(B13="","",COUNTIFS(振り分け!$A$7:$A$456,設定!$B$8,振り分け!$G$7:$G$456,B13))</f>
        <v/>
      </c>
      <c r="G13" s="59">
        <f>IF(B13="","",COUNTIFS(振り分け!$A$7:$A$456,設定!$B$9,振り分け!$G$7:$G$456,B13))</f>
        <v/>
      </c>
      <c r="H13" s="59">
        <f>IF(B13="","",COUNTIFS(振り分け!$A$7:$A$456,設定!$B$10,振り分け!$G$7:$G$456,B13))</f>
        <v/>
      </c>
      <c r="I13" s="60">
        <f>IF(B13="","",IF(計算用!$B$1=1,COUNTIF(新年度名簿!$G$3:$G$452,B13),COUNTIFS(振り分け!$L$7:$L$456,B13,振り分け!$M$7:$M$456,"&lt;&gt;転出")))</f>
        <v/>
      </c>
      <c r="J13" s="59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K13" s="59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L13" s="59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M13" s="59">
        <f>IF(B13="","",C13-I13)</f>
        <v/>
      </c>
      <c r="N13" s="61">
        <f>IF(B13="","",IF(I13&gt;C13+D13,(I13-C13-D13)&amp;"人オーバー",IF(COUNTIFS(振り分け!$M$7:$M$456,"要調整",振り分け!$G$7:$G$456,B13)&gt;0,"調整中（第1希望の要調整 "&amp;COUNTIFS(振り分け!$M$7:$M$456,"要調整",振り分け!$G$7:$G$456,B13)&amp;"人）",IF(I13&gt;C13,"定員＋"&amp;(I13-C13)&amp;"人（融通内）",IF(M13&gt;0,"空きあり "&amp;M13&amp;"人","OK")))))</f>
        <v/>
      </c>
      <c r="O13" s="62">
        <f>IF(B13="","",IF(P13="","OK",LEFT(P13,LEN(P13)-1)))</f>
        <v/>
      </c>
      <c r="P13" s="63">
        <f>IF(B13="","",IF(F13=0,"第1希望に"&amp;設定!$B$8&amp;"年がいない／","")&amp;IF(G13=0,"第1希望に"&amp;設定!$B$9&amp;"年がいない／","")&amp;IF(H13=0,"第1希望に"&amp;設定!$B$10&amp;"年がいない／","")&amp;IF(F13&gt;=C13+D13,設定!$B$8&amp;"年だけで定員に届く／","")&amp;IF(I13&gt;0,IF(J13=0,"決定に"&amp;設定!$B$8&amp;"年がいない／","")&amp;IF(K13=0,"決定に"&amp;設定!$B$9&amp;"年がいない／","")&amp;IF(L13=0,"決定に"&amp;設定!$B$10&amp;"年がいない／",""),""))</f>
        <v/>
      </c>
    </row>
    <row r="14">
      <c r="A14" s="59" t="n">
        <v>8</v>
      </c>
      <c r="B14" s="59">
        <f>IF(設定!P15="","",設定!P15)</f>
        <v/>
      </c>
      <c r="C14" s="59">
        <f>IF(B14="","",N(設定!Q15))</f>
        <v/>
      </c>
      <c r="D14" s="59">
        <f>IF(B14="","",N(設定!R15))</f>
        <v/>
      </c>
      <c r="E14" s="59">
        <f>IF(B14="","",COUNTIF(振り分け!$G$7:$G$456,B14))</f>
        <v/>
      </c>
      <c r="F14" s="59">
        <f>IF(B14="","",COUNTIFS(振り分け!$A$7:$A$456,設定!$B$8,振り分け!$G$7:$G$456,B14))</f>
        <v/>
      </c>
      <c r="G14" s="59">
        <f>IF(B14="","",COUNTIFS(振り分け!$A$7:$A$456,設定!$B$9,振り分け!$G$7:$G$456,B14))</f>
        <v/>
      </c>
      <c r="H14" s="59">
        <f>IF(B14="","",COUNTIFS(振り分け!$A$7:$A$456,設定!$B$10,振り分け!$G$7:$G$456,B14))</f>
        <v/>
      </c>
      <c r="I14" s="60">
        <f>IF(B14="","",IF(計算用!$B$1=1,COUNTIF(新年度名簿!$G$3:$G$452,B14),COUNTIFS(振り分け!$L$7:$L$456,B14,振り分け!$M$7:$M$456,"&lt;&gt;転出")))</f>
        <v/>
      </c>
      <c r="J14" s="59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K14" s="59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L14" s="59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M14" s="59">
        <f>IF(B14="","",C14-I14)</f>
        <v/>
      </c>
      <c r="N14" s="61">
        <f>IF(B14="","",IF(I14&gt;C14+D14,(I14-C14-D14)&amp;"人オーバー",IF(COUNTIFS(振り分け!$M$7:$M$456,"要調整",振り分け!$G$7:$G$456,B14)&gt;0,"調整中（第1希望の要調整 "&amp;COUNTIFS(振り分け!$M$7:$M$456,"要調整",振り分け!$G$7:$G$456,B14)&amp;"人）",IF(I14&gt;C14,"定員＋"&amp;(I14-C14)&amp;"人（融通内）",IF(M14&gt;0,"空きあり "&amp;M14&amp;"人","OK")))))</f>
        <v/>
      </c>
      <c r="O14" s="62">
        <f>IF(B14="","",IF(P14="","OK",LEFT(P14,LEN(P14)-1)))</f>
        <v/>
      </c>
      <c r="P14" s="63">
        <f>IF(B14="","",IF(F14=0,"第1希望に"&amp;設定!$B$8&amp;"年がいない／","")&amp;IF(G14=0,"第1希望に"&amp;設定!$B$9&amp;"年がいない／","")&amp;IF(H14=0,"第1希望に"&amp;設定!$B$10&amp;"年がいない／","")&amp;IF(F14&gt;=C14+D14,設定!$B$8&amp;"年だけで定員に届く／","")&amp;IF(I14&gt;0,IF(J14=0,"決定に"&amp;設定!$B$8&amp;"年がいない／","")&amp;IF(K14=0,"決定に"&amp;設定!$B$9&amp;"年がいない／","")&amp;IF(L14=0,"決定に"&amp;設定!$B$10&amp;"年がいない／",""),""))</f>
        <v/>
      </c>
    </row>
    <row r="15">
      <c r="A15" s="59" t="n">
        <v>9</v>
      </c>
      <c r="B15" s="59">
        <f>IF(設定!P16="","",設定!P16)</f>
        <v/>
      </c>
      <c r="C15" s="59">
        <f>IF(B15="","",N(設定!Q16))</f>
        <v/>
      </c>
      <c r="D15" s="59">
        <f>IF(B15="","",N(設定!R16))</f>
        <v/>
      </c>
      <c r="E15" s="59">
        <f>IF(B15="","",COUNTIF(振り分け!$G$7:$G$456,B15))</f>
        <v/>
      </c>
      <c r="F15" s="59">
        <f>IF(B15="","",COUNTIFS(振り分け!$A$7:$A$456,設定!$B$8,振り分け!$G$7:$G$456,B15))</f>
        <v/>
      </c>
      <c r="G15" s="59">
        <f>IF(B15="","",COUNTIFS(振り分け!$A$7:$A$456,設定!$B$9,振り分け!$G$7:$G$456,B15))</f>
        <v/>
      </c>
      <c r="H15" s="59">
        <f>IF(B15="","",COUNTIFS(振り分け!$A$7:$A$456,設定!$B$10,振り分け!$G$7:$G$456,B15))</f>
        <v/>
      </c>
      <c r="I15" s="60">
        <f>IF(B15="","",IF(計算用!$B$1=1,COUNTIF(新年度名簿!$G$3:$G$452,B15),COUNTIFS(振り分け!$L$7:$L$456,B15,振り分け!$M$7:$M$456,"&lt;&gt;転出")))</f>
        <v/>
      </c>
      <c r="J15" s="59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K15" s="59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L15" s="59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M15" s="59">
        <f>IF(B15="","",C15-I15)</f>
        <v/>
      </c>
      <c r="N15" s="61">
        <f>IF(B15="","",IF(I15&gt;C15+D15,(I15-C15-D15)&amp;"人オーバー",IF(COUNTIFS(振り分け!$M$7:$M$456,"要調整",振り分け!$G$7:$G$456,B15)&gt;0,"調整中（第1希望の要調整 "&amp;COUNTIFS(振り分け!$M$7:$M$456,"要調整",振り分け!$G$7:$G$456,B15)&amp;"人）",IF(I15&gt;C15,"定員＋"&amp;(I15-C15)&amp;"人（融通内）",IF(M15&gt;0,"空きあり "&amp;M15&amp;"人","OK")))))</f>
        <v/>
      </c>
      <c r="O15" s="62">
        <f>IF(B15="","",IF(P15="","OK",LEFT(P15,LEN(P15)-1)))</f>
        <v/>
      </c>
      <c r="P15" s="63">
        <f>IF(B15="","",IF(F15=0,"第1希望に"&amp;設定!$B$8&amp;"年がいない／","")&amp;IF(G15=0,"第1希望に"&amp;設定!$B$9&amp;"年がいない／","")&amp;IF(H15=0,"第1希望に"&amp;設定!$B$10&amp;"年がいない／","")&amp;IF(F15&gt;=C15+D15,設定!$B$8&amp;"年だけで定員に届く／","")&amp;IF(I15&gt;0,IF(J15=0,"決定に"&amp;設定!$B$8&amp;"年がいない／","")&amp;IF(K15=0,"決定に"&amp;設定!$B$9&amp;"年がいない／","")&amp;IF(L15=0,"決定に"&amp;設定!$B$10&amp;"年がいない／",""),""))</f>
        <v/>
      </c>
    </row>
    <row r="16">
      <c r="A16" s="59" t="n">
        <v>10</v>
      </c>
      <c r="B16" s="59">
        <f>IF(設定!P17="","",設定!P17)</f>
        <v/>
      </c>
      <c r="C16" s="59">
        <f>IF(B16="","",N(設定!Q17))</f>
        <v/>
      </c>
      <c r="D16" s="59">
        <f>IF(B16="","",N(設定!R17))</f>
        <v/>
      </c>
      <c r="E16" s="59">
        <f>IF(B16="","",COUNTIF(振り分け!$G$7:$G$456,B16))</f>
        <v/>
      </c>
      <c r="F16" s="59">
        <f>IF(B16="","",COUNTIFS(振り分け!$A$7:$A$456,設定!$B$8,振り分け!$G$7:$G$456,B16))</f>
        <v/>
      </c>
      <c r="G16" s="59">
        <f>IF(B16="","",COUNTIFS(振り分け!$A$7:$A$456,設定!$B$9,振り分け!$G$7:$G$456,B16))</f>
        <v/>
      </c>
      <c r="H16" s="59">
        <f>IF(B16="","",COUNTIFS(振り分け!$A$7:$A$456,設定!$B$10,振り分け!$G$7:$G$456,B16))</f>
        <v/>
      </c>
      <c r="I16" s="60">
        <f>IF(B16="","",IF(計算用!$B$1=1,COUNTIF(新年度名簿!$G$3:$G$452,B16),COUNTIFS(振り分け!$L$7:$L$456,B16,振り分け!$M$7:$M$456,"&lt;&gt;転出")))</f>
        <v/>
      </c>
      <c r="J16" s="59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K16" s="59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L16" s="59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M16" s="59">
        <f>IF(B16="","",C16-I16)</f>
        <v/>
      </c>
      <c r="N16" s="61">
        <f>IF(B16="","",IF(I16&gt;C16+D16,(I16-C16-D16)&amp;"人オーバー",IF(COUNTIFS(振り分け!$M$7:$M$456,"要調整",振り分け!$G$7:$G$456,B16)&gt;0,"調整中（第1希望の要調整 "&amp;COUNTIFS(振り分け!$M$7:$M$456,"要調整",振り分け!$G$7:$G$456,B16)&amp;"人）",IF(I16&gt;C16,"定員＋"&amp;(I16-C16)&amp;"人（融通内）",IF(M16&gt;0,"空きあり "&amp;M16&amp;"人","OK")))))</f>
        <v/>
      </c>
      <c r="O16" s="62">
        <f>IF(B16="","",IF(P16="","OK",LEFT(P16,LEN(P16)-1)))</f>
        <v/>
      </c>
      <c r="P16" s="63">
        <f>IF(B16="","",IF(F16=0,"第1希望に"&amp;設定!$B$8&amp;"年がいない／","")&amp;IF(G16=0,"第1希望に"&amp;設定!$B$9&amp;"年がいない／","")&amp;IF(H16=0,"第1希望に"&amp;設定!$B$10&amp;"年がいない／","")&amp;IF(F16&gt;=C16+D16,設定!$B$8&amp;"年だけで定員に届く／","")&amp;IF(I16&gt;0,IF(J16=0,"決定に"&amp;設定!$B$8&amp;"年がいない／","")&amp;IF(K16=0,"決定に"&amp;設定!$B$9&amp;"年がいない／","")&amp;IF(L16=0,"決定に"&amp;設定!$B$10&amp;"年がいない／",""),""))</f>
        <v/>
      </c>
    </row>
    <row r="17">
      <c r="A17" s="59" t="n">
        <v>11</v>
      </c>
      <c r="B17" s="59">
        <f>IF(設定!P18="","",設定!P18)</f>
        <v/>
      </c>
      <c r="C17" s="59">
        <f>IF(B17="","",N(設定!Q18))</f>
        <v/>
      </c>
      <c r="D17" s="59">
        <f>IF(B17="","",N(設定!R18))</f>
        <v/>
      </c>
      <c r="E17" s="59">
        <f>IF(B17="","",COUNTIF(振り分け!$G$7:$G$456,B17))</f>
        <v/>
      </c>
      <c r="F17" s="59">
        <f>IF(B17="","",COUNTIFS(振り分け!$A$7:$A$456,設定!$B$8,振り分け!$G$7:$G$456,B17))</f>
        <v/>
      </c>
      <c r="G17" s="59">
        <f>IF(B17="","",COUNTIFS(振り分け!$A$7:$A$456,設定!$B$9,振り分け!$G$7:$G$456,B17))</f>
        <v/>
      </c>
      <c r="H17" s="59">
        <f>IF(B17="","",COUNTIFS(振り分け!$A$7:$A$456,設定!$B$10,振り分け!$G$7:$G$456,B17))</f>
        <v/>
      </c>
      <c r="I17" s="60">
        <f>IF(B17="","",IF(計算用!$B$1=1,COUNTIF(新年度名簿!$G$3:$G$452,B17),COUNTIFS(振り分け!$L$7:$L$456,B17,振り分け!$M$7:$M$456,"&lt;&gt;転出")))</f>
        <v/>
      </c>
      <c r="J17" s="59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K17" s="59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L17" s="59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M17" s="59">
        <f>IF(B17="","",C17-I17)</f>
        <v/>
      </c>
      <c r="N17" s="61">
        <f>IF(B17="","",IF(I17&gt;C17+D17,(I17-C17-D17)&amp;"人オーバー",IF(COUNTIFS(振り分け!$M$7:$M$456,"要調整",振り分け!$G$7:$G$456,B17)&gt;0,"調整中（第1希望の要調整 "&amp;COUNTIFS(振り分け!$M$7:$M$456,"要調整",振り分け!$G$7:$G$456,B17)&amp;"人）",IF(I17&gt;C17,"定員＋"&amp;(I17-C17)&amp;"人（融通内）",IF(M17&gt;0,"空きあり "&amp;M17&amp;"人","OK")))))</f>
        <v/>
      </c>
      <c r="O17" s="62">
        <f>IF(B17="","",IF(P17="","OK",LEFT(P17,LEN(P17)-1)))</f>
        <v/>
      </c>
      <c r="P17" s="63">
        <f>IF(B17="","",IF(F17=0,"第1希望に"&amp;設定!$B$8&amp;"年がいない／","")&amp;IF(G17=0,"第1希望に"&amp;設定!$B$9&amp;"年がいない／","")&amp;IF(H17=0,"第1希望に"&amp;設定!$B$10&amp;"年がいない／","")&amp;IF(F17&gt;=C17+D17,設定!$B$8&amp;"年だけで定員に届く／","")&amp;IF(I17&gt;0,IF(J17=0,"決定に"&amp;設定!$B$8&amp;"年がいない／","")&amp;IF(K17=0,"決定に"&amp;設定!$B$9&amp;"年がいない／","")&amp;IF(L17=0,"決定に"&amp;設定!$B$10&amp;"年がいない／",""),""))</f>
        <v/>
      </c>
    </row>
    <row r="18">
      <c r="A18" s="59" t="n">
        <v>12</v>
      </c>
      <c r="B18" s="59">
        <f>IF(設定!P19="","",設定!P19)</f>
        <v/>
      </c>
      <c r="C18" s="59">
        <f>IF(B18="","",N(設定!Q19))</f>
        <v/>
      </c>
      <c r="D18" s="59">
        <f>IF(B18="","",N(設定!R19))</f>
        <v/>
      </c>
      <c r="E18" s="59">
        <f>IF(B18="","",COUNTIF(振り分け!$G$7:$G$456,B18))</f>
        <v/>
      </c>
      <c r="F18" s="59">
        <f>IF(B18="","",COUNTIFS(振り分け!$A$7:$A$456,設定!$B$8,振り分け!$G$7:$G$456,B18))</f>
        <v/>
      </c>
      <c r="G18" s="59">
        <f>IF(B18="","",COUNTIFS(振り分け!$A$7:$A$456,設定!$B$9,振り分け!$G$7:$G$456,B18))</f>
        <v/>
      </c>
      <c r="H18" s="59">
        <f>IF(B18="","",COUNTIFS(振り分け!$A$7:$A$456,設定!$B$10,振り分け!$G$7:$G$456,B18))</f>
        <v/>
      </c>
      <c r="I18" s="60">
        <f>IF(B18="","",IF(計算用!$B$1=1,COUNTIF(新年度名簿!$G$3:$G$452,B18),COUNTIFS(振り分け!$L$7:$L$456,B18,振り分け!$M$7:$M$456,"&lt;&gt;転出")))</f>
        <v/>
      </c>
      <c r="J18" s="59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K18" s="59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L18" s="59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M18" s="59">
        <f>IF(B18="","",C18-I18)</f>
        <v/>
      </c>
      <c r="N18" s="61">
        <f>IF(B18="","",IF(I18&gt;C18+D18,(I18-C18-D18)&amp;"人オーバー",IF(COUNTIFS(振り分け!$M$7:$M$456,"要調整",振り分け!$G$7:$G$456,B18)&gt;0,"調整中（第1希望の要調整 "&amp;COUNTIFS(振り分け!$M$7:$M$456,"要調整",振り分け!$G$7:$G$456,B18)&amp;"人）",IF(I18&gt;C18,"定員＋"&amp;(I18-C18)&amp;"人（融通内）",IF(M18&gt;0,"空きあり "&amp;M18&amp;"人","OK")))))</f>
        <v/>
      </c>
      <c r="O18" s="62">
        <f>IF(B18="","",IF(P18="","OK",LEFT(P18,LEN(P18)-1)))</f>
        <v/>
      </c>
      <c r="P18" s="63">
        <f>IF(B18="","",IF(F18=0,"第1希望に"&amp;設定!$B$8&amp;"年がいない／","")&amp;IF(G18=0,"第1希望に"&amp;設定!$B$9&amp;"年がいない／","")&amp;IF(H18=0,"第1希望に"&amp;設定!$B$10&amp;"年がいない／","")&amp;IF(F18&gt;=C18+D18,設定!$B$8&amp;"年だけで定員に届く／","")&amp;IF(I18&gt;0,IF(J18=0,"決定に"&amp;設定!$B$8&amp;"年がいない／","")&amp;IF(K18=0,"決定に"&amp;設定!$B$9&amp;"年がいない／","")&amp;IF(L18=0,"決定に"&amp;設定!$B$10&amp;"年がいない／",""),""))</f>
        <v/>
      </c>
    </row>
    <row r="19">
      <c r="A19" s="59" t="n">
        <v>13</v>
      </c>
      <c r="B19" s="59">
        <f>IF(設定!P20="","",設定!P20)</f>
        <v/>
      </c>
      <c r="C19" s="59">
        <f>IF(B19="","",N(設定!Q20))</f>
        <v/>
      </c>
      <c r="D19" s="59">
        <f>IF(B19="","",N(設定!R20))</f>
        <v/>
      </c>
      <c r="E19" s="59">
        <f>IF(B19="","",COUNTIF(振り分け!$G$7:$G$456,B19))</f>
        <v/>
      </c>
      <c r="F19" s="59">
        <f>IF(B19="","",COUNTIFS(振り分け!$A$7:$A$456,設定!$B$8,振り分け!$G$7:$G$456,B19))</f>
        <v/>
      </c>
      <c r="G19" s="59">
        <f>IF(B19="","",COUNTIFS(振り分け!$A$7:$A$456,設定!$B$9,振り分け!$G$7:$G$456,B19))</f>
        <v/>
      </c>
      <c r="H19" s="59">
        <f>IF(B19="","",COUNTIFS(振り分け!$A$7:$A$456,設定!$B$10,振り分け!$G$7:$G$456,B19))</f>
        <v/>
      </c>
      <c r="I19" s="60">
        <f>IF(B19="","",IF(計算用!$B$1=1,COUNTIF(新年度名簿!$G$3:$G$452,B19),COUNTIFS(振り分け!$L$7:$L$456,B19,振り分け!$M$7:$M$456,"&lt;&gt;転出")))</f>
        <v/>
      </c>
      <c r="J19" s="59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K19" s="59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L19" s="59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M19" s="59">
        <f>IF(B19="","",C19-I19)</f>
        <v/>
      </c>
      <c r="N19" s="61">
        <f>IF(B19="","",IF(I19&gt;C19+D19,(I19-C19-D19)&amp;"人オーバー",IF(COUNTIFS(振り分け!$M$7:$M$456,"要調整",振り分け!$G$7:$G$456,B19)&gt;0,"調整中（第1希望の要調整 "&amp;COUNTIFS(振り分け!$M$7:$M$456,"要調整",振り分け!$G$7:$G$456,B19)&amp;"人）",IF(I19&gt;C19,"定員＋"&amp;(I19-C19)&amp;"人（融通内）",IF(M19&gt;0,"空きあり "&amp;M19&amp;"人","OK")))))</f>
        <v/>
      </c>
      <c r="O19" s="62">
        <f>IF(B19="","",IF(P19="","OK",LEFT(P19,LEN(P19)-1)))</f>
        <v/>
      </c>
      <c r="P19" s="63">
        <f>IF(B19="","",IF(F19=0,"第1希望に"&amp;設定!$B$8&amp;"年がいない／","")&amp;IF(G19=0,"第1希望に"&amp;設定!$B$9&amp;"年がいない／","")&amp;IF(H19=0,"第1希望に"&amp;設定!$B$10&amp;"年がいない／","")&amp;IF(F19&gt;=C19+D19,設定!$B$8&amp;"年だけで定員に届く／","")&amp;IF(I19&gt;0,IF(J19=0,"決定に"&amp;設定!$B$8&amp;"年がいない／","")&amp;IF(K19=0,"決定に"&amp;設定!$B$9&amp;"年がいない／","")&amp;IF(L19=0,"決定に"&amp;設定!$B$10&amp;"年がいない／",""),""))</f>
        <v/>
      </c>
    </row>
    <row r="20">
      <c r="A20" s="59" t="n">
        <v>14</v>
      </c>
      <c r="B20" s="59">
        <f>IF(設定!P21="","",設定!P21)</f>
        <v/>
      </c>
      <c r="C20" s="59">
        <f>IF(B20="","",N(設定!Q21))</f>
        <v/>
      </c>
      <c r="D20" s="59">
        <f>IF(B20="","",N(設定!R21))</f>
        <v/>
      </c>
      <c r="E20" s="59">
        <f>IF(B20="","",COUNTIF(振り分け!$G$7:$G$456,B20))</f>
        <v/>
      </c>
      <c r="F20" s="59">
        <f>IF(B20="","",COUNTIFS(振り分け!$A$7:$A$456,設定!$B$8,振り分け!$G$7:$G$456,B20))</f>
        <v/>
      </c>
      <c r="G20" s="59">
        <f>IF(B20="","",COUNTIFS(振り分け!$A$7:$A$456,設定!$B$9,振り分け!$G$7:$G$456,B20))</f>
        <v/>
      </c>
      <c r="H20" s="59">
        <f>IF(B20="","",COUNTIFS(振り分け!$A$7:$A$456,設定!$B$10,振り分け!$G$7:$G$456,B20))</f>
        <v/>
      </c>
      <c r="I20" s="60">
        <f>IF(B20="","",IF(計算用!$B$1=1,COUNTIF(新年度名簿!$G$3:$G$452,B20),COUNTIFS(振り分け!$L$7:$L$456,B20,振り分け!$M$7:$M$456,"&lt;&gt;転出")))</f>
        <v/>
      </c>
      <c r="J20" s="59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K20" s="59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L20" s="59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M20" s="59">
        <f>IF(B20="","",C20-I20)</f>
        <v/>
      </c>
      <c r="N20" s="61">
        <f>IF(B20="","",IF(I20&gt;C20+D20,(I20-C20-D20)&amp;"人オーバー",IF(COUNTIFS(振り分け!$M$7:$M$456,"要調整",振り分け!$G$7:$G$456,B20)&gt;0,"調整中（第1希望の要調整 "&amp;COUNTIFS(振り分け!$M$7:$M$456,"要調整",振り分け!$G$7:$G$456,B20)&amp;"人）",IF(I20&gt;C20,"定員＋"&amp;(I20-C20)&amp;"人（融通内）",IF(M20&gt;0,"空きあり "&amp;M20&amp;"人","OK")))))</f>
        <v/>
      </c>
      <c r="O20" s="62">
        <f>IF(B20="","",IF(P20="","OK",LEFT(P20,LEN(P20)-1)))</f>
        <v/>
      </c>
      <c r="P20" s="63">
        <f>IF(B20="","",IF(F20=0,"第1希望に"&amp;設定!$B$8&amp;"年がいない／","")&amp;IF(G20=0,"第1希望に"&amp;設定!$B$9&amp;"年がいない／","")&amp;IF(H20=0,"第1希望に"&amp;設定!$B$10&amp;"年がいない／","")&amp;IF(F20&gt;=C20+D20,設定!$B$8&amp;"年だけで定員に届く／","")&amp;IF(I20&gt;0,IF(J20=0,"決定に"&amp;設定!$B$8&amp;"年がいない／","")&amp;IF(K20=0,"決定に"&amp;設定!$B$9&amp;"年がいない／","")&amp;IF(L20=0,"決定に"&amp;設定!$B$10&amp;"年がいない／",""),""))</f>
        <v/>
      </c>
    </row>
    <row r="21">
      <c r="A21" s="59" t="n">
        <v>15</v>
      </c>
      <c r="B21" s="59">
        <f>IF(設定!P22="","",設定!P22)</f>
        <v/>
      </c>
      <c r="C21" s="59">
        <f>IF(B21="","",N(設定!Q22))</f>
        <v/>
      </c>
      <c r="D21" s="59">
        <f>IF(B21="","",N(設定!R22))</f>
        <v/>
      </c>
      <c r="E21" s="59">
        <f>IF(B21="","",COUNTIF(振り分け!$G$7:$G$456,B21))</f>
        <v/>
      </c>
      <c r="F21" s="59">
        <f>IF(B21="","",COUNTIFS(振り分け!$A$7:$A$456,設定!$B$8,振り分け!$G$7:$G$456,B21))</f>
        <v/>
      </c>
      <c r="G21" s="59">
        <f>IF(B21="","",COUNTIFS(振り分け!$A$7:$A$456,設定!$B$9,振り分け!$G$7:$G$456,B21))</f>
        <v/>
      </c>
      <c r="H21" s="59">
        <f>IF(B21="","",COUNTIFS(振り分け!$A$7:$A$456,設定!$B$10,振り分け!$G$7:$G$456,B21))</f>
        <v/>
      </c>
      <c r="I21" s="60">
        <f>IF(B21="","",IF(計算用!$B$1=1,COUNTIF(新年度名簿!$G$3:$G$452,B21),COUNTIFS(振り分け!$L$7:$L$456,B21,振り分け!$M$7:$M$456,"&lt;&gt;転出")))</f>
        <v/>
      </c>
      <c r="J21" s="59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K21" s="59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L21" s="59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M21" s="59">
        <f>IF(B21="","",C21-I21)</f>
        <v/>
      </c>
      <c r="N21" s="61">
        <f>IF(B21="","",IF(I21&gt;C21+D21,(I21-C21-D21)&amp;"人オーバー",IF(COUNTIFS(振り分け!$M$7:$M$456,"要調整",振り分け!$G$7:$G$456,B21)&gt;0,"調整中（第1希望の要調整 "&amp;COUNTIFS(振り分け!$M$7:$M$456,"要調整",振り分け!$G$7:$G$456,B21)&amp;"人）",IF(I21&gt;C21,"定員＋"&amp;(I21-C21)&amp;"人（融通内）",IF(M21&gt;0,"空きあり "&amp;M21&amp;"人","OK")))))</f>
        <v/>
      </c>
      <c r="O21" s="62">
        <f>IF(B21="","",IF(P21="","OK",LEFT(P21,LEN(P21)-1)))</f>
        <v/>
      </c>
      <c r="P21" s="63">
        <f>IF(B21="","",IF(F21=0,"第1希望に"&amp;設定!$B$8&amp;"年がいない／","")&amp;IF(G21=0,"第1希望に"&amp;設定!$B$9&amp;"年がいない／","")&amp;IF(H21=0,"第1希望に"&amp;設定!$B$10&amp;"年がいない／","")&amp;IF(F21&gt;=C21+D21,設定!$B$8&amp;"年だけで定員に届く／","")&amp;IF(I21&gt;0,IF(J21=0,"決定に"&amp;設定!$B$8&amp;"年がいない／","")&amp;IF(K21=0,"決定に"&amp;設定!$B$9&amp;"年がいない／","")&amp;IF(L21=0,"決定に"&amp;設定!$B$10&amp;"年がいない／",""),""))</f>
        <v/>
      </c>
    </row>
    <row r="22">
      <c r="A22" s="59" t="n">
        <v>16</v>
      </c>
      <c r="B22" s="59">
        <f>IF(設定!P23="","",設定!P23)</f>
        <v/>
      </c>
      <c r="C22" s="59">
        <f>IF(B22="","",N(設定!Q23))</f>
        <v/>
      </c>
      <c r="D22" s="59">
        <f>IF(B22="","",N(設定!R23))</f>
        <v/>
      </c>
      <c r="E22" s="59">
        <f>IF(B22="","",COUNTIF(振り分け!$G$7:$G$456,B22))</f>
        <v/>
      </c>
      <c r="F22" s="59">
        <f>IF(B22="","",COUNTIFS(振り分け!$A$7:$A$456,設定!$B$8,振り分け!$G$7:$G$456,B22))</f>
        <v/>
      </c>
      <c r="G22" s="59">
        <f>IF(B22="","",COUNTIFS(振り分け!$A$7:$A$456,設定!$B$9,振り分け!$G$7:$G$456,B22))</f>
        <v/>
      </c>
      <c r="H22" s="59">
        <f>IF(B22="","",COUNTIFS(振り分け!$A$7:$A$456,設定!$B$10,振り分け!$G$7:$G$456,B22))</f>
        <v/>
      </c>
      <c r="I22" s="60">
        <f>IF(B22="","",IF(計算用!$B$1=1,COUNTIF(新年度名簿!$G$3:$G$452,B22),COUNTIFS(振り分け!$L$7:$L$456,B22,振り分け!$M$7:$M$456,"&lt;&gt;転出")))</f>
        <v/>
      </c>
      <c r="J22" s="59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K22" s="59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L22" s="59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M22" s="59">
        <f>IF(B22="","",C22-I22)</f>
        <v/>
      </c>
      <c r="N22" s="61">
        <f>IF(B22="","",IF(I22&gt;C22+D22,(I22-C22-D22)&amp;"人オーバー",IF(COUNTIFS(振り分け!$M$7:$M$456,"要調整",振り分け!$G$7:$G$456,B22)&gt;0,"調整中（第1希望の要調整 "&amp;COUNTIFS(振り分け!$M$7:$M$456,"要調整",振り分け!$G$7:$G$456,B22)&amp;"人）",IF(I22&gt;C22,"定員＋"&amp;(I22-C22)&amp;"人（融通内）",IF(M22&gt;0,"空きあり "&amp;M22&amp;"人","OK")))))</f>
        <v/>
      </c>
      <c r="O22" s="62">
        <f>IF(B22="","",IF(P22="","OK",LEFT(P22,LEN(P22)-1)))</f>
        <v/>
      </c>
      <c r="P22" s="63">
        <f>IF(B22="","",IF(F22=0,"第1希望に"&amp;設定!$B$8&amp;"年がいない／","")&amp;IF(G22=0,"第1希望に"&amp;設定!$B$9&amp;"年がいない／","")&amp;IF(H22=0,"第1希望に"&amp;設定!$B$10&amp;"年がいない／","")&amp;IF(F22&gt;=C22+D22,設定!$B$8&amp;"年だけで定員に届く／","")&amp;IF(I22&gt;0,IF(J22=0,"決定に"&amp;設定!$B$8&amp;"年がいない／","")&amp;IF(K22=0,"決定に"&amp;設定!$B$9&amp;"年がいない／","")&amp;IF(L22=0,"決定に"&amp;設定!$B$10&amp;"年がいない／",""),""))</f>
        <v/>
      </c>
    </row>
    <row r="23">
      <c r="A23" s="59" t="n">
        <v>17</v>
      </c>
      <c r="B23" s="59">
        <f>IF(設定!P24="","",設定!P24)</f>
        <v/>
      </c>
      <c r="C23" s="59">
        <f>IF(B23="","",N(設定!Q24))</f>
        <v/>
      </c>
      <c r="D23" s="59">
        <f>IF(B23="","",N(設定!R24))</f>
        <v/>
      </c>
      <c r="E23" s="59">
        <f>IF(B23="","",COUNTIF(振り分け!$G$7:$G$456,B23))</f>
        <v/>
      </c>
      <c r="F23" s="59">
        <f>IF(B23="","",COUNTIFS(振り分け!$A$7:$A$456,設定!$B$8,振り分け!$G$7:$G$456,B23))</f>
        <v/>
      </c>
      <c r="G23" s="59">
        <f>IF(B23="","",COUNTIFS(振り分け!$A$7:$A$456,設定!$B$9,振り分け!$G$7:$G$456,B23))</f>
        <v/>
      </c>
      <c r="H23" s="59">
        <f>IF(B23="","",COUNTIFS(振り分け!$A$7:$A$456,設定!$B$10,振り分け!$G$7:$G$456,B23))</f>
        <v/>
      </c>
      <c r="I23" s="60">
        <f>IF(B23="","",IF(計算用!$B$1=1,COUNTIF(新年度名簿!$G$3:$G$452,B23),COUNTIFS(振り分け!$L$7:$L$456,B23,振り分け!$M$7:$M$456,"&lt;&gt;転出")))</f>
        <v/>
      </c>
      <c r="J23" s="59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K23" s="59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L23" s="59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M23" s="59">
        <f>IF(B23="","",C23-I23)</f>
        <v/>
      </c>
      <c r="N23" s="61">
        <f>IF(B23="","",IF(I23&gt;C23+D23,(I23-C23-D23)&amp;"人オーバー",IF(COUNTIFS(振り分け!$M$7:$M$456,"要調整",振り分け!$G$7:$G$456,B23)&gt;0,"調整中（第1希望の要調整 "&amp;COUNTIFS(振り分け!$M$7:$M$456,"要調整",振り分け!$G$7:$G$456,B23)&amp;"人）",IF(I23&gt;C23,"定員＋"&amp;(I23-C23)&amp;"人（融通内）",IF(M23&gt;0,"空きあり "&amp;M23&amp;"人","OK")))))</f>
        <v/>
      </c>
      <c r="O23" s="62">
        <f>IF(B23="","",IF(P23="","OK",LEFT(P23,LEN(P23)-1)))</f>
        <v/>
      </c>
      <c r="P23" s="63">
        <f>IF(B23="","",IF(F23=0,"第1希望に"&amp;設定!$B$8&amp;"年がいない／","")&amp;IF(G23=0,"第1希望に"&amp;設定!$B$9&amp;"年がいない／","")&amp;IF(H23=0,"第1希望に"&amp;設定!$B$10&amp;"年がいない／","")&amp;IF(F23&gt;=C23+D23,設定!$B$8&amp;"年だけで定員に届く／","")&amp;IF(I23&gt;0,IF(J23=0,"決定に"&amp;設定!$B$8&amp;"年がいない／","")&amp;IF(K23=0,"決定に"&amp;設定!$B$9&amp;"年がいない／","")&amp;IF(L23=0,"決定に"&amp;設定!$B$10&amp;"年がいない／",""),""))</f>
        <v/>
      </c>
    </row>
    <row r="24">
      <c r="A24" s="59" t="n">
        <v>18</v>
      </c>
      <c r="B24" s="59">
        <f>IF(設定!P25="","",設定!P25)</f>
        <v/>
      </c>
      <c r="C24" s="59">
        <f>IF(B24="","",N(設定!Q25))</f>
        <v/>
      </c>
      <c r="D24" s="59">
        <f>IF(B24="","",N(設定!R25))</f>
        <v/>
      </c>
      <c r="E24" s="59">
        <f>IF(B24="","",COUNTIF(振り分け!$G$7:$G$456,B24))</f>
        <v/>
      </c>
      <c r="F24" s="59">
        <f>IF(B24="","",COUNTIFS(振り分け!$A$7:$A$456,設定!$B$8,振り分け!$G$7:$G$456,B24))</f>
        <v/>
      </c>
      <c r="G24" s="59">
        <f>IF(B24="","",COUNTIFS(振り分け!$A$7:$A$456,設定!$B$9,振り分け!$G$7:$G$456,B24))</f>
        <v/>
      </c>
      <c r="H24" s="59">
        <f>IF(B24="","",COUNTIFS(振り分け!$A$7:$A$456,設定!$B$10,振り分け!$G$7:$G$456,B24))</f>
        <v/>
      </c>
      <c r="I24" s="60">
        <f>IF(B24="","",IF(計算用!$B$1=1,COUNTIF(新年度名簿!$G$3:$G$452,B24),COUNTIFS(振り分け!$L$7:$L$456,B24,振り分け!$M$7:$M$456,"&lt;&gt;転出")))</f>
        <v/>
      </c>
      <c r="J24" s="59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K24" s="59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L24" s="59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M24" s="59">
        <f>IF(B24="","",C24-I24)</f>
        <v/>
      </c>
      <c r="N24" s="61">
        <f>IF(B24="","",IF(I24&gt;C24+D24,(I24-C24-D24)&amp;"人オーバー",IF(COUNTIFS(振り分け!$M$7:$M$456,"要調整",振り分け!$G$7:$G$456,B24)&gt;0,"調整中（第1希望の要調整 "&amp;COUNTIFS(振り分け!$M$7:$M$456,"要調整",振り分け!$G$7:$G$456,B24)&amp;"人）",IF(I24&gt;C24,"定員＋"&amp;(I24-C24)&amp;"人（融通内）",IF(M24&gt;0,"空きあり "&amp;M24&amp;"人","OK")))))</f>
        <v/>
      </c>
      <c r="O24" s="62">
        <f>IF(B24="","",IF(P24="","OK",LEFT(P24,LEN(P24)-1)))</f>
        <v/>
      </c>
      <c r="P24" s="63">
        <f>IF(B24="","",IF(F24=0,"第1希望に"&amp;設定!$B$8&amp;"年がいない／","")&amp;IF(G24=0,"第1希望に"&amp;設定!$B$9&amp;"年がいない／","")&amp;IF(H24=0,"第1希望に"&amp;設定!$B$10&amp;"年がいない／","")&amp;IF(F24&gt;=C24+D24,設定!$B$8&amp;"年だけで定員に届く／","")&amp;IF(I24&gt;0,IF(J24=0,"決定に"&amp;設定!$B$8&amp;"年がいない／","")&amp;IF(K24=0,"決定に"&amp;設定!$B$9&amp;"年がいない／","")&amp;IF(L24=0,"決定に"&amp;設定!$B$10&amp;"年がいない／",""),""))</f>
        <v/>
      </c>
    </row>
    <row r="25">
      <c r="A25" s="59" t="n">
        <v>19</v>
      </c>
      <c r="B25" s="59">
        <f>IF(設定!P26="","",設定!P26)</f>
        <v/>
      </c>
      <c r="C25" s="59">
        <f>IF(B25="","",N(設定!Q26))</f>
        <v/>
      </c>
      <c r="D25" s="59">
        <f>IF(B25="","",N(設定!R26))</f>
        <v/>
      </c>
      <c r="E25" s="59">
        <f>IF(B25="","",COUNTIF(振り分け!$G$7:$G$456,B25))</f>
        <v/>
      </c>
      <c r="F25" s="59">
        <f>IF(B25="","",COUNTIFS(振り分け!$A$7:$A$456,設定!$B$8,振り分け!$G$7:$G$456,B25))</f>
        <v/>
      </c>
      <c r="G25" s="59">
        <f>IF(B25="","",COUNTIFS(振り分け!$A$7:$A$456,設定!$B$9,振り分け!$G$7:$G$456,B25))</f>
        <v/>
      </c>
      <c r="H25" s="59">
        <f>IF(B25="","",COUNTIFS(振り分け!$A$7:$A$456,設定!$B$10,振り分け!$G$7:$G$456,B25))</f>
        <v/>
      </c>
      <c r="I25" s="60">
        <f>IF(B25="","",IF(計算用!$B$1=1,COUNTIF(新年度名簿!$G$3:$G$452,B25),COUNTIFS(振り分け!$L$7:$L$456,B25,振り分け!$M$7:$M$456,"&lt;&gt;転出")))</f>
        <v/>
      </c>
      <c r="J25" s="59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K25" s="59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L25" s="59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M25" s="59">
        <f>IF(B25="","",C25-I25)</f>
        <v/>
      </c>
      <c r="N25" s="61">
        <f>IF(B25="","",IF(I25&gt;C25+D25,(I25-C25-D25)&amp;"人オーバー",IF(COUNTIFS(振り分け!$M$7:$M$456,"要調整",振り分け!$G$7:$G$456,B25)&gt;0,"調整中（第1希望の要調整 "&amp;COUNTIFS(振り分け!$M$7:$M$456,"要調整",振り分け!$G$7:$G$456,B25)&amp;"人）",IF(I25&gt;C25,"定員＋"&amp;(I25-C25)&amp;"人（融通内）",IF(M25&gt;0,"空きあり "&amp;M25&amp;"人","OK")))))</f>
        <v/>
      </c>
      <c r="O25" s="62">
        <f>IF(B25="","",IF(P25="","OK",LEFT(P25,LEN(P25)-1)))</f>
        <v/>
      </c>
      <c r="P25" s="63">
        <f>IF(B25="","",IF(F25=0,"第1希望に"&amp;設定!$B$8&amp;"年がいない／","")&amp;IF(G25=0,"第1希望に"&amp;設定!$B$9&amp;"年がいない／","")&amp;IF(H25=0,"第1希望に"&amp;設定!$B$10&amp;"年がいない／","")&amp;IF(F25&gt;=C25+D25,設定!$B$8&amp;"年だけで定員に届く／","")&amp;IF(I25&gt;0,IF(J25=0,"決定に"&amp;設定!$B$8&amp;"年がいない／","")&amp;IF(K25=0,"決定に"&amp;設定!$B$9&amp;"年がいない／","")&amp;IF(L25=0,"決定に"&amp;設定!$B$10&amp;"年がいない／",""),""))</f>
        <v/>
      </c>
    </row>
    <row r="26">
      <c r="A26" s="59" t="n">
        <v>20</v>
      </c>
      <c r="B26" s="59">
        <f>IF(設定!P27="","",設定!P27)</f>
        <v/>
      </c>
      <c r="C26" s="59">
        <f>IF(B26="","",N(設定!Q27))</f>
        <v/>
      </c>
      <c r="D26" s="59">
        <f>IF(B26="","",N(設定!R27))</f>
        <v/>
      </c>
      <c r="E26" s="59">
        <f>IF(B26="","",COUNTIF(振り分け!$G$7:$G$456,B26))</f>
        <v/>
      </c>
      <c r="F26" s="59">
        <f>IF(B26="","",COUNTIFS(振り分け!$A$7:$A$456,設定!$B$8,振り分け!$G$7:$G$456,B26))</f>
        <v/>
      </c>
      <c r="G26" s="59">
        <f>IF(B26="","",COUNTIFS(振り分け!$A$7:$A$456,設定!$B$9,振り分け!$G$7:$G$456,B26))</f>
        <v/>
      </c>
      <c r="H26" s="59">
        <f>IF(B26="","",COUNTIFS(振り分け!$A$7:$A$456,設定!$B$10,振り分け!$G$7:$G$456,B26))</f>
        <v/>
      </c>
      <c r="I26" s="60">
        <f>IF(B26="","",IF(計算用!$B$1=1,COUNTIF(新年度名簿!$G$3:$G$452,B26),COUNTIFS(振り分け!$L$7:$L$456,B26,振り分け!$M$7:$M$456,"&lt;&gt;転出")))</f>
        <v/>
      </c>
      <c r="J26" s="59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K26" s="59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L26" s="59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M26" s="59">
        <f>IF(B26="","",C26-I26)</f>
        <v/>
      </c>
      <c r="N26" s="61">
        <f>IF(B26="","",IF(I26&gt;C26+D26,(I26-C26-D26)&amp;"人オーバー",IF(COUNTIFS(振り分け!$M$7:$M$456,"要調整",振り分け!$G$7:$G$456,B26)&gt;0,"調整中（第1希望の要調整 "&amp;COUNTIFS(振り分け!$M$7:$M$456,"要調整",振り分け!$G$7:$G$456,B26)&amp;"人）",IF(I26&gt;C26,"定員＋"&amp;(I26-C26)&amp;"人（融通内）",IF(M26&gt;0,"空きあり "&amp;M26&amp;"人","OK")))))</f>
        <v/>
      </c>
      <c r="O26" s="62">
        <f>IF(B26="","",IF(P26="","OK",LEFT(P26,LEN(P26)-1)))</f>
        <v/>
      </c>
      <c r="P26" s="63">
        <f>IF(B26="","",IF(F26=0,"第1希望に"&amp;設定!$B$8&amp;"年がいない／","")&amp;IF(G26=0,"第1希望に"&amp;設定!$B$9&amp;"年がいない／","")&amp;IF(H26=0,"第1希望に"&amp;設定!$B$10&amp;"年がいない／","")&amp;IF(F26&gt;=C26+D26,設定!$B$8&amp;"年だけで定員に届く／","")&amp;IF(I26&gt;0,IF(J26=0,"決定に"&amp;設定!$B$8&amp;"年がいない／","")&amp;IF(K26=0,"決定に"&amp;設定!$B$9&amp;"年がいない／","")&amp;IF(L26=0,"決定に"&amp;設定!$B$10&amp;"年がいない／",""),""))</f>
        <v/>
      </c>
    </row>
    <row r="27"/>
    <row r="28">
      <c r="A28" s="11" t="inlineStr">
        <is>
          <t>※ 学年ごとの第1希望が0人のマスと、6年の第1希望だけで「定員＋融通」に届くマスは赤です（調整の前に確かめてください）。</t>
        </is>
      </c>
    </row>
    <row r="29">
      <c r="A29" s="11" t="inlineStr">
        <is>
          <t>※ 決定の学年ごとの人数が0人のマスも赤です（決定が1人もいないクラブは除く）。「学年のそろい」に内容が文字で出ます。</t>
        </is>
      </c>
    </row>
    <row r="30">
      <c r="A30" s="11" t="inlineStr">
        <is>
          <t>※「残り」は定員からの残りです（マイナスは定員を超えた人数）。融通の範囲内なら状態は黄色、超えると赤です。</t>
        </is>
      </c>
    </row>
    <row r="31">
      <c r="A31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D2:D3">
    <cfRule type="expression" priority="1" dxfId="8">
      <formula>D2&gt;0</formula>
    </cfRule>
  </conditionalFormatting>
  <conditionalFormatting sqref="D5">
    <cfRule type="expression" priority="2" dxfId="8">
      <formula>D5&gt;0</formula>
    </cfRule>
  </conditionalFormatting>
  <conditionalFormatting sqref="M2:M4">
    <cfRule type="expression" priority="3" dxfId="8">
      <formula>M2&gt;0</formula>
    </cfRule>
  </conditionalFormatting>
  <conditionalFormatting sqref="E7">
    <cfRule type="expression" priority="4" dxfId="8">
      <formula>AND($B7&lt;&gt;"",E7&gt;C7+D7)</formula>
    </cfRule>
  </conditionalFormatting>
  <conditionalFormatting sqref="F7">
    <cfRule type="expression" priority="5" dxfId="8">
      <formula>AND($B7&lt;&gt;"",OR(F7=0,F7&gt;=$C7+$D7))</formula>
    </cfRule>
  </conditionalFormatting>
  <conditionalFormatting sqref="G7:H7">
    <cfRule type="expression" priority="6" dxfId="8">
      <formula>AND($B7&lt;&gt;"",G7=0)</formula>
    </cfRule>
  </conditionalFormatting>
  <conditionalFormatting sqref="J7:L7">
    <cfRule type="expression" priority="7" dxfId="8">
      <formula>AND($B7&lt;&gt;"",$I7&gt;0,J7=0)</formula>
    </cfRule>
  </conditionalFormatting>
  <conditionalFormatting sqref="M7">
    <cfRule type="expression" priority="8" dxfId="16">
      <formula>AND($B7&lt;&gt;"",M7&lt;0)</formula>
    </cfRule>
    <cfRule type="expression" priority="9" dxfId="17">
      <formula>AND($B7&lt;&gt;"",M7&gt;0)</formula>
    </cfRule>
  </conditionalFormatting>
  <conditionalFormatting sqref="E8">
    <cfRule type="expression" priority="10" dxfId="8">
      <formula>AND($B8&lt;&gt;"",E8&gt;C8+D8)</formula>
    </cfRule>
  </conditionalFormatting>
  <conditionalFormatting sqref="F8">
    <cfRule type="expression" priority="11" dxfId="8">
      <formula>AND($B8&lt;&gt;"",OR(F8=0,F8&gt;=$C8+$D8))</formula>
    </cfRule>
  </conditionalFormatting>
  <conditionalFormatting sqref="G8:H8">
    <cfRule type="expression" priority="12" dxfId="8">
      <formula>AND($B8&lt;&gt;"",G8=0)</formula>
    </cfRule>
  </conditionalFormatting>
  <conditionalFormatting sqref="J8:L8">
    <cfRule type="expression" priority="13" dxfId="8">
      <formula>AND($B8&lt;&gt;"",$I8&gt;0,J8=0)</formula>
    </cfRule>
  </conditionalFormatting>
  <conditionalFormatting sqref="M8">
    <cfRule type="expression" priority="14" dxfId="16">
      <formula>AND($B8&lt;&gt;"",M8&lt;0)</formula>
    </cfRule>
    <cfRule type="expression" priority="15" dxfId="17">
      <formula>AND($B8&lt;&gt;"",M8&gt;0)</formula>
    </cfRule>
  </conditionalFormatting>
  <conditionalFormatting sqref="E9">
    <cfRule type="expression" priority="16" dxfId="8">
      <formula>AND($B9&lt;&gt;"",E9&gt;C9+D9)</formula>
    </cfRule>
  </conditionalFormatting>
  <conditionalFormatting sqref="F9">
    <cfRule type="expression" priority="17" dxfId="8">
      <formula>AND($B9&lt;&gt;"",OR(F9=0,F9&gt;=$C9+$D9))</formula>
    </cfRule>
  </conditionalFormatting>
  <conditionalFormatting sqref="G9:H9">
    <cfRule type="expression" priority="18" dxfId="8">
      <formula>AND($B9&lt;&gt;"",G9=0)</formula>
    </cfRule>
  </conditionalFormatting>
  <conditionalFormatting sqref="J9:L9">
    <cfRule type="expression" priority="19" dxfId="8">
      <formula>AND($B9&lt;&gt;"",$I9&gt;0,J9=0)</formula>
    </cfRule>
  </conditionalFormatting>
  <conditionalFormatting sqref="M9">
    <cfRule type="expression" priority="20" dxfId="16">
      <formula>AND($B9&lt;&gt;"",M9&lt;0)</formula>
    </cfRule>
    <cfRule type="expression" priority="21" dxfId="17">
      <formula>AND($B9&lt;&gt;"",M9&gt;0)</formula>
    </cfRule>
  </conditionalFormatting>
  <conditionalFormatting sqref="E10">
    <cfRule type="expression" priority="22" dxfId="8">
      <formula>AND($B10&lt;&gt;"",E10&gt;C10+D10)</formula>
    </cfRule>
  </conditionalFormatting>
  <conditionalFormatting sqref="F10">
    <cfRule type="expression" priority="23" dxfId="8">
      <formula>AND($B10&lt;&gt;"",OR(F10=0,F10&gt;=$C10+$D10))</formula>
    </cfRule>
  </conditionalFormatting>
  <conditionalFormatting sqref="G10:H10">
    <cfRule type="expression" priority="24" dxfId="8">
      <formula>AND($B10&lt;&gt;"",G10=0)</formula>
    </cfRule>
  </conditionalFormatting>
  <conditionalFormatting sqref="J10:L10">
    <cfRule type="expression" priority="25" dxfId="8">
      <formula>AND($B10&lt;&gt;"",$I10&gt;0,J10=0)</formula>
    </cfRule>
  </conditionalFormatting>
  <conditionalFormatting sqref="M10">
    <cfRule type="expression" priority="26" dxfId="16">
      <formula>AND($B10&lt;&gt;"",M10&lt;0)</formula>
    </cfRule>
    <cfRule type="expression" priority="27" dxfId="17">
      <formula>AND($B10&lt;&gt;"",M10&gt;0)</formula>
    </cfRule>
  </conditionalFormatting>
  <conditionalFormatting sqref="E11">
    <cfRule type="expression" priority="28" dxfId="8">
      <formula>AND($B11&lt;&gt;"",E11&gt;C11+D11)</formula>
    </cfRule>
  </conditionalFormatting>
  <conditionalFormatting sqref="F11">
    <cfRule type="expression" priority="29" dxfId="8">
      <formula>AND($B11&lt;&gt;"",OR(F11=0,F11&gt;=$C11+$D11))</formula>
    </cfRule>
  </conditionalFormatting>
  <conditionalFormatting sqref="G11:H11">
    <cfRule type="expression" priority="30" dxfId="8">
      <formula>AND($B11&lt;&gt;"",G11=0)</formula>
    </cfRule>
  </conditionalFormatting>
  <conditionalFormatting sqref="J11:L11">
    <cfRule type="expression" priority="31" dxfId="8">
      <formula>AND($B11&lt;&gt;"",$I11&gt;0,J11=0)</formula>
    </cfRule>
  </conditionalFormatting>
  <conditionalFormatting sqref="M11">
    <cfRule type="expression" priority="32" dxfId="16">
      <formula>AND($B11&lt;&gt;"",M11&lt;0)</formula>
    </cfRule>
    <cfRule type="expression" priority="33" dxfId="17">
      <formula>AND($B11&lt;&gt;"",M11&gt;0)</formula>
    </cfRule>
  </conditionalFormatting>
  <conditionalFormatting sqref="E12">
    <cfRule type="expression" priority="34" dxfId="8">
      <formula>AND($B12&lt;&gt;"",E12&gt;C12+D12)</formula>
    </cfRule>
  </conditionalFormatting>
  <conditionalFormatting sqref="F12">
    <cfRule type="expression" priority="35" dxfId="8">
      <formula>AND($B12&lt;&gt;"",OR(F12=0,F12&gt;=$C12+$D12))</formula>
    </cfRule>
  </conditionalFormatting>
  <conditionalFormatting sqref="G12:H12">
    <cfRule type="expression" priority="36" dxfId="8">
      <formula>AND($B12&lt;&gt;"",G12=0)</formula>
    </cfRule>
  </conditionalFormatting>
  <conditionalFormatting sqref="J12:L12">
    <cfRule type="expression" priority="37" dxfId="8">
      <formula>AND($B12&lt;&gt;"",$I12&gt;0,J12=0)</formula>
    </cfRule>
  </conditionalFormatting>
  <conditionalFormatting sqref="M12">
    <cfRule type="expression" priority="38" dxfId="16">
      <formula>AND($B12&lt;&gt;"",M12&lt;0)</formula>
    </cfRule>
    <cfRule type="expression" priority="39" dxfId="17">
      <formula>AND($B12&lt;&gt;"",M12&gt;0)</formula>
    </cfRule>
  </conditionalFormatting>
  <conditionalFormatting sqref="E13">
    <cfRule type="expression" priority="40" dxfId="8">
      <formula>AND($B13&lt;&gt;"",E13&gt;C13+D13)</formula>
    </cfRule>
  </conditionalFormatting>
  <conditionalFormatting sqref="F13">
    <cfRule type="expression" priority="41" dxfId="8">
      <formula>AND($B13&lt;&gt;"",OR(F13=0,F13&gt;=$C13+$D13))</formula>
    </cfRule>
  </conditionalFormatting>
  <conditionalFormatting sqref="G13:H13">
    <cfRule type="expression" priority="42" dxfId="8">
      <formula>AND($B13&lt;&gt;"",G13=0)</formula>
    </cfRule>
  </conditionalFormatting>
  <conditionalFormatting sqref="J13:L13">
    <cfRule type="expression" priority="43" dxfId="8">
      <formula>AND($B13&lt;&gt;"",$I13&gt;0,J13=0)</formula>
    </cfRule>
  </conditionalFormatting>
  <conditionalFormatting sqref="M13">
    <cfRule type="expression" priority="44" dxfId="16">
      <formula>AND($B13&lt;&gt;"",M13&lt;0)</formula>
    </cfRule>
    <cfRule type="expression" priority="45" dxfId="17">
      <formula>AND($B13&lt;&gt;"",M13&gt;0)</formula>
    </cfRule>
  </conditionalFormatting>
  <conditionalFormatting sqref="E14">
    <cfRule type="expression" priority="46" dxfId="8">
      <formula>AND($B14&lt;&gt;"",E14&gt;C14+D14)</formula>
    </cfRule>
  </conditionalFormatting>
  <conditionalFormatting sqref="F14">
    <cfRule type="expression" priority="47" dxfId="8">
      <formula>AND($B14&lt;&gt;"",OR(F14=0,F14&gt;=$C14+$D14))</formula>
    </cfRule>
  </conditionalFormatting>
  <conditionalFormatting sqref="G14:H14">
    <cfRule type="expression" priority="48" dxfId="8">
      <formula>AND($B14&lt;&gt;"",G14=0)</formula>
    </cfRule>
  </conditionalFormatting>
  <conditionalFormatting sqref="J14:L14">
    <cfRule type="expression" priority="49" dxfId="8">
      <formula>AND($B14&lt;&gt;"",$I14&gt;0,J14=0)</formula>
    </cfRule>
  </conditionalFormatting>
  <conditionalFormatting sqref="M14">
    <cfRule type="expression" priority="50" dxfId="16">
      <formula>AND($B14&lt;&gt;"",M14&lt;0)</formula>
    </cfRule>
    <cfRule type="expression" priority="51" dxfId="17">
      <formula>AND($B14&lt;&gt;"",M14&gt;0)</formula>
    </cfRule>
  </conditionalFormatting>
  <conditionalFormatting sqref="E15">
    <cfRule type="expression" priority="52" dxfId="8">
      <formula>AND($B15&lt;&gt;"",E15&gt;C15+D15)</formula>
    </cfRule>
  </conditionalFormatting>
  <conditionalFormatting sqref="F15">
    <cfRule type="expression" priority="53" dxfId="8">
      <formula>AND($B15&lt;&gt;"",OR(F15=0,F15&gt;=$C15+$D15))</formula>
    </cfRule>
  </conditionalFormatting>
  <conditionalFormatting sqref="G15:H15">
    <cfRule type="expression" priority="54" dxfId="8">
      <formula>AND($B15&lt;&gt;"",G15=0)</formula>
    </cfRule>
  </conditionalFormatting>
  <conditionalFormatting sqref="J15:L15">
    <cfRule type="expression" priority="55" dxfId="8">
      <formula>AND($B15&lt;&gt;"",$I15&gt;0,J15=0)</formula>
    </cfRule>
  </conditionalFormatting>
  <conditionalFormatting sqref="M15">
    <cfRule type="expression" priority="56" dxfId="16">
      <formula>AND($B15&lt;&gt;"",M15&lt;0)</formula>
    </cfRule>
    <cfRule type="expression" priority="57" dxfId="17">
      <formula>AND($B15&lt;&gt;"",M15&gt;0)</formula>
    </cfRule>
  </conditionalFormatting>
  <conditionalFormatting sqref="E16">
    <cfRule type="expression" priority="58" dxfId="8">
      <formula>AND($B16&lt;&gt;"",E16&gt;C16+D16)</formula>
    </cfRule>
  </conditionalFormatting>
  <conditionalFormatting sqref="F16">
    <cfRule type="expression" priority="59" dxfId="8">
      <formula>AND($B16&lt;&gt;"",OR(F16=0,F16&gt;=$C16+$D16))</formula>
    </cfRule>
  </conditionalFormatting>
  <conditionalFormatting sqref="G16:H16">
    <cfRule type="expression" priority="60" dxfId="8">
      <formula>AND($B16&lt;&gt;"",G16=0)</formula>
    </cfRule>
  </conditionalFormatting>
  <conditionalFormatting sqref="J16:L16">
    <cfRule type="expression" priority="61" dxfId="8">
      <formula>AND($B16&lt;&gt;"",$I16&gt;0,J16=0)</formula>
    </cfRule>
  </conditionalFormatting>
  <conditionalFormatting sqref="M16">
    <cfRule type="expression" priority="62" dxfId="16">
      <formula>AND($B16&lt;&gt;"",M16&lt;0)</formula>
    </cfRule>
    <cfRule type="expression" priority="63" dxfId="17">
      <formula>AND($B16&lt;&gt;"",M16&gt;0)</formula>
    </cfRule>
  </conditionalFormatting>
  <conditionalFormatting sqref="E17">
    <cfRule type="expression" priority="64" dxfId="8">
      <formula>AND($B17&lt;&gt;"",E17&gt;C17+D17)</formula>
    </cfRule>
  </conditionalFormatting>
  <conditionalFormatting sqref="F17">
    <cfRule type="expression" priority="65" dxfId="8">
      <formula>AND($B17&lt;&gt;"",OR(F17=0,F17&gt;=$C17+$D17))</formula>
    </cfRule>
  </conditionalFormatting>
  <conditionalFormatting sqref="G17:H17">
    <cfRule type="expression" priority="66" dxfId="8">
      <formula>AND($B17&lt;&gt;"",G17=0)</formula>
    </cfRule>
  </conditionalFormatting>
  <conditionalFormatting sqref="J17:L17">
    <cfRule type="expression" priority="67" dxfId="8">
      <formula>AND($B17&lt;&gt;"",$I17&gt;0,J17=0)</formula>
    </cfRule>
  </conditionalFormatting>
  <conditionalFormatting sqref="M17">
    <cfRule type="expression" priority="68" dxfId="16">
      <formula>AND($B17&lt;&gt;"",M17&lt;0)</formula>
    </cfRule>
    <cfRule type="expression" priority="69" dxfId="17">
      <formula>AND($B17&lt;&gt;"",M17&gt;0)</formula>
    </cfRule>
  </conditionalFormatting>
  <conditionalFormatting sqref="E18">
    <cfRule type="expression" priority="70" dxfId="8">
      <formula>AND($B18&lt;&gt;"",E18&gt;C18+D18)</formula>
    </cfRule>
  </conditionalFormatting>
  <conditionalFormatting sqref="F18">
    <cfRule type="expression" priority="71" dxfId="8">
      <formula>AND($B18&lt;&gt;"",OR(F18=0,F18&gt;=$C18+$D18))</formula>
    </cfRule>
  </conditionalFormatting>
  <conditionalFormatting sqref="G18:H18">
    <cfRule type="expression" priority="72" dxfId="8">
      <formula>AND($B18&lt;&gt;"",G18=0)</formula>
    </cfRule>
  </conditionalFormatting>
  <conditionalFormatting sqref="J18:L18">
    <cfRule type="expression" priority="73" dxfId="8">
      <formula>AND($B18&lt;&gt;"",$I18&gt;0,J18=0)</formula>
    </cfRule>
  </conditionalFormatting>
  <conditionalFormatting sqref="M18">
    <cfRule type="expression" priority="74" dxfId="16">
      <formula>AND($B18&lt;&gt;"",M18&lt;0)</formula>
    </cfRule>
    <cfRule type="expression" priority="75" dxfId="17">
      <formula>AND($B18&lt;&gt;"",M18&gt;0)</formula>
    </cfRule>
  </conditionalFormatting>
  <conditionalFormatting sqref="E19">
    <cfRule type="expression" priority="76" dxfId="8">
      <formula>AND($B19&lt;&gt;"",E19&gt;C19+D19)</formula>
    </cfRule>
  </conditionalFormatting>
  <conditionalFormatting sqref="F19">
    <cfRule type="expression" priority="77" dxfId="8">
      <formula>AND($B19&lt;&gt;"",OR(F19=0,F19&gt;=$C19+$D19))</formula>
    </cfRule>
  </conditionalFormatting>
  <conditionalFormatting sqref="G19:H19">
    <cfRule type="expression" priority="78" dxfId="8">
      <formula>AND($B19&lt;&gt;"",G19=0)</formula>
    </cfRule>
  </conditionalFormatting>
  <conditionalFormatting sqref="J19:L19">
    <cfRule type="expression" priority="79" dxfId="8">
      <formula>AND($B19&lt;&gt;"",$I19&gt;0,J19=0)</formula>
    </cfRule>
  </conditionalFormatting>
  <conditionalFormatting sqref="M19">
    <cfRule type="expression" priority="80" dxfId="16">
      <formula>AND($B19&lt;&gt;"",M19&lt;0)</formula>
    </cfRule>
    <cfRule type="expression" priority="81" dxfId="17">
      <formula>AND($B19&lt;&gt;"",M19&gt;0)</formula>
    </cfRule>
  </conditionalFormatting>
  <conditionalFormatting sqref="E20">
    <cfRule type="expression" priority="82" dxfId="8">
      <formula>AND($B20&lt;&gt;"",E20&gt;C20+D20)</formula>
    </cfRule>
  </conditionalFormatting>
  <conditionalFormatting sqref="F20">
    <cfRule type="expression" priority="83" dxfId="8">
      <formula>AND($B20&lt;&gt;"",OR(F20=0,F20&gt;=$C20+$D20))</formula>
    </cfRule>
  </conditionalFormatting>
  <conditionalFormatting sqref="G20:H20">
    <cfRule type="expression" priority="84" dxfId="8">
      <formula>AND($B20&lt;&gt;"",G20=0)</formula>
    </cfRule>
  </conditionalFormatting>
  <conditionalFormatting sqref="J20:L20">
    <cfRule type="expression" priority="85" dxfId="8">
      <formula>AND($B20&lt;&gt;"",$I20&gt;0,J20=0)</formula>
    </cfRule>
  </conditionalFormatting>
  <conditionalFormatting sqref="M20">
    <cfRule type="expression" priority="86" dxfId="16">
      <formula>AND($B20&lt;&gt;"",M20&lt;0)</formula>
    </cfRule>
    <cfRule type="expression" priority="87" dxfId="17">
      <formula>AND($B20&lt;&gt;"",M20&gt;0)</formula>
    </cfRule>
  </conditionalFormatting>
  <conditionalFormatting sqref="E21">
    <cfRule type="expression" priority="88" dxfId="8">
      <formula>AND($B21&lt;&gt;"",E21&gt;C21+D21)</formula>
    </cfRule>
  </conditionalFormatting>
  <conditionalFormatting sqref="F21">
    <cfRule type="expression" priority="89" dxfId="8">
      <formula>AND($B21&lt;&gt;"",OR(F21=0,F21&gt;=$C21+$D21))</formula>
    </cfRule>
  </conditionalFormatting>
  <conditionalFormatting sqref="G21:H21">
    <cfRule type="expression" priority="90" dxfId="8">
      <formula>AND($B21&lt;&gt;"",G21=0)</formula>
    </cfRule>
  </conditionalFormatting>
  <conditionalFormatting sqref="J21:L21">
    <cfRule type="expression" priority="91" dxfId="8">
      <formula>AND($B21&lt;&gt;"",$I21&gt;0,J21=0)</formula>
    </cfRule>
  </conditionalFormatting>
  <conditionalFormatting sqref="M21">
    <cfRule type="expression" priority="92" dxfId="16">
      <formula>AND($B21&lt;&gt;"",M21&lt;0)</formula>
    </cfRule>
    <cfRule type="expression" priority="93" dxfId="17">
      <formula>AND($B21&lt;&gt;"",M21&gt;0)</formula>
    </cfRule>
  </conditionalFormatting>
  <conditionalFormatting sqref="E22">
    <cfRule type="expression" priority="94" dxfId="8">
      <formula>AND($B22&lt;&gt;"",E22&gt;C22+D22)</formula>
    </cfRule>
  </conditionalFormatting>
  <conditionalFormatting sqref="F22">
    <cfRule type="expression" priority="95" dxfId="8">
      <formula>AND($B22&lt;&gt;"",OR(F22=0,F22&gt;=$C22+$D22))</formula>
    </cfRule>
  </conditionalFormatting>
  <conditionalFormatting sqref="G22:H22">
    <cfRule type="expression" priority="96" dxfId="8">
      <formula>AND($B22&lt;&gt;"",G22=0)</formula>
    </cfRule>
  </conditionalFormatting>
  <conditionalFormatting sqref="J22:L22">
    <cfRule type="expression" priority="97" dxfId="8">
      <formula>AND($B22&lt;&gt;"",$I22&gt;0,J22=0)</formula>
    </cfRule>
  </conditionalFormatting>
  <conditionalFormatting sqref="M22">
    <cfRule type="expression" priority="98" dxfId="16">
      <formula>AND($B22&lt;&gt;"",M22&lt;0)</formula>
    </cfRule>
    <cfRule type="expression" priority="99" dxfId="17">
      <formula>AND($B22&lt;&gt;"",M22&gt;0)</formula>
    </cfRule>
  </conditionalFormatting>
  <conditionalFormatting sqref="E23">
    <cfRule type="expression" priority="100" dxfId="8">
      <formula>AND($B23&lt;&gt;"",E23&gt;C23+D23)</formula>
    </cfRule>
  </conditionalFormatting>
  <conditionalFormatting sqref="F23">
    <cfRule type="expression" priority="101" dxfId="8">
      <formula>AND($B23&lt;&gt;"",OR(F23=0,F23&gt;=$C23+$D23))</formula>
    </cfRule>
  </conditionalFormatting>
  <conditionalFormatting sqref="G23:H23">
    <cfRule type="expression" priority="102" dxfId="8">
      <formula>AND($B23&lt;&gt;"",G23=0)</formula>
    </cfRule>
  </conditionalFormatting>
  <conditionalFormatting sqref="J23:L23">
    <cfRule type="expression" priority="103" dxfId="8">
      <formula>AND($B23&lt;&gt;"",$I23&gt;0,J23=0)</formula>
    </cfRule>
  </conditionalFormatting>
  <conditionalFormatting sqref="M23">
    <cfRule type="expression" priority="104" dxfId="16">
      <formula>AND($B23&lt;&gt;"",M23&lt;0)</formula>
    </cfRule>
    <cfRule type="expression" priority="105" dxfId="17">
      <formula>AND($B23&lt;&gt;"",M23&gt;0)</formula>
    </cfRule>
  </conditionalFormatting>
  <conditionalFormatting sqref="E24">
    <cfRule type="expression" priority="106" dxfId="8">
      <formula>AND($B24&lt;&gt;"",E24&gt;C24+D24)</formula>
    </cfRule>
  </conditionalFormatting>
  <conditionalFormatting sqref="F24">
    <cfRule type="expression" priority="107" dxfId="8">
      <formula>AND($B24&lt;&gt;"",OR(F24=0,F24&gt;=$C24+$D24))</formula>
    </cfRule>
  </conditionalFormatting>
  <conditionalFormatting sqref="G24:H24">
    <cfRule type="expression" priority="108" dxfId="8">
      <formula>AND($B24&lt;&gt;"",G24=0)</formula>
    </cfRule>
  </conditionalFormatting>
  <conditionalFormatting sqref="J24:L24">
    <cfRule type="expression" priority="109" dxfId="8">
      <formula>AND($B24&lt;&gt;"",$I24&gt;0,J24=0)</formula>
    </cfRule>
  </conditionalFormatting>
  <conditionalFormatting sqref="M24">
    <cfRule type="expression" priority="110" dxfId="16">
      <formula>AND($B24&lt;&gt;"",M24&lt;0)</formula>
    </cfRule>
    <cfRule type="expression" priority="111" dxfId="17">
      <formula>AND($B24&lt;&gt;"",M24&gt;0)</formula>
    </cfRule>
  </conditionalFormatting>
  <conditionalFormatting sqref="E25">
    <cfRule type="expression" priority="112" dxfId="8">
      <formula>AND($B25&lt;&gt;"",E25&gt;C25+D25)</formula>
    </cfRule>
  </conditionalFormatting>
  <conditionalFormatting sqref="F25">
    <cfRule type="expression" priority="113" dxfId="8">
      <formula>AND($B25&lt;&gt;"",OR(F25=0,F25&gt;=$C25+$D25))</formula>
    </cfRule>
  </conditionalFormatting>
  <conditionalFormatting sqref="G25:H25">
    <cfRule type="expression" priority="114" dxfId="8">
      <formula>AND($B25&lt;&gt;"",G25=0)</formula>
    </cfRule>
  </conditionalFormatting>
  <conditionalFormatting sqref="J25:L25">
    <cfRule type="expression" priority="115" dxfId="8">
      <formula>AND($B25&lt;&gt;"",$I25&gt;0,J25=0)</formula>
    </cfRule>
  </conditionalFormatting>
  <conditionalFormatting sqref="M25">
    <cfRule type="expression" priority="116" dxfId="16">
      <formula>AND($B25&lt;&gt;"",M25&lt;0)</formula>
    </cfRule>
    <cfRule type="expression" priority="117" dxfId="17">
      <formula>AND($B25&lt;&gt;"",M25&gt;0)</formula>
    </cfRule>
  </conditionalFormatting>
  <conditionalFormatting sqref="E26">
    <cfRule type="expression" priority="118" dxfId="8">
      <formula>AND($B26&lt;&gt;"",E26&gt;C26+D26)</formula>
    </cfRule>
  </conditionalFormatting>
  <conditionalFormatting sqref="F26">
    <cfRule type="expression" priority="119" dxfId="8">
      <formula>AND($B26&lt;&gt;"",OR(F26=0,F26&gt;=$C26+$D26))</formula>
    </cfRule>
  </conditionalFormatting>
  <conditionalFormatting sqref="G26:H26">
    <cfRule type="expression" priority="120" dxfId="8">
      <formula>AND($B26&lt;&gt;"",G26=0)</formula>
    </cfRule>
  </conditionalFormatting>
  <conditionalFormatting sqref="J26:L26">
    <cfRule type="expression" priority="121" dxfId="8">
      <formula>AND($B26&lt;&gt;"",$I26&gt;0,J26=0)</formula>
    </cfRule>
  </conditionalFormatting>
  <conditionalFormatting sqref="M26">
    <cfRule type="expression" priority="122" dxfId="16">
      <formula>AND($B26&lt;&gt;"",M26&lt;0)</formula>
    </cfRule>
    <cfRule type="expression" priority="123" dxfId="17">
      <formula>AND($B26&lt;&gt;"",M26&gt;0)</formula>
    </cfRule>
  </conditionalFormatting>
  <conditionalFormatting sqref="N7:N26">
    <cfRule type="expression" priority="124" dxfId="8">
      <formula>ISNUMBER(SEARCH("オーバー",N7))</formula>
    </cfRule>
    <cfRule type="expression" priority="125" dxfId="15">
      <formula>ISNUMBER(SEARCH("調整中",N7))</formula>
    </cfRule>
    <cfRule type="expression" priority="126" dxfId="18">
      <formula>ISNUMBER(SEARCH("融通内",N7))</formula>
    </cfRule>
  </conditionalFormatting>
  <conditionalFormatting sqref="O7:O26">
    <cfRule type="expression" priority="127" dxfId="19">
      <formula>AND(O7&lt;&gt;"",O7&lt;&gt;"OK")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"&amp;設定!$B$8&amp;"年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64">
        <f>IF(計算用!$B$1=1,IF(設定!$K$8="","",設定!$L$8),IF(設定!$F$8="","",設定!$G$8))</f>
        <v/>
      </c>
      <c r="B3" s="72" t="n"/>
      <c r="C3" s="73" t="n"/>
      <c r="D3" s="64">
        <f>IF(計算用!$B$1=1,IF(設定!$K$9="","",設定!$L$9),IF(設定!$F$9="","",設定!$G$9))</f>
        <v/>
      </c>
      <c r="E3" s="72" t="n"/>
      <c r="F3" s="73" t="n"/>
      <c r="G3" s="64">
        <f>IF(計算用!$B$1=1,IF(設定!$K$10="","",設定!$L$10),IF(設定!$F$10="","",設定!$G$10))</f>
        <v/>
      </c>
      <c r="H3" s="72" t="n"/>
      <c r="I3" s="73" t="n"/>
      <c r="J3" s="64">
        <f>IF(計算用!$B$1=1,IF(設定!$K$11="","",設定!$L$11),IF(設定!$F$11="","",設定!$G$11))</f>
        <v/>
      </c>
      <c r="K3" s="72" t="n"/>
      <c r="L3" s="73" t="n"/>
      <c r="M3" s="64">
        <f>IF(計算用!$B$1=1,IF(設定!$K$12="","",設定!$L$12),IF(設定!$F$12="","",設定!$G$12))</f>
        <v/>
      </c>
      <c r="N3" s="72" t="n"/>
      <c r="O3" s="73" t="n"/>
      <c r="P3" s="64">
        <f>IF(計算用!$B$1=1,IF(設定!$K$13="","",設定!$L$13),IF(設定!$F$13="","",設定!$G$13))</f>
        <v/>
      </c>
      <c r="Q3" s="72" t="n"/>
      <c r="R3" s="73" t="n"/>
      <c r="S3" s="64">
        <f>IF(計算用!$B$1=1,IF(設定!$K$14="","",設定!$L$14),IF(設定!$F$14="","",設定!$G$14))</f>
        <v/>
      </c>
      <c r="T3" s="72" t="n"/>
      <c r="U3" s="73" t="n"/>
      <c r="V3" s="64">
        <f>IF(計算用!$B$1=1,IF(設定!$K$15="","",設定!$L$15),IF(設定!$F$15="","",設定!$G$15))</f>
        <v/>
      </c>
      <c r="W3" s="72" t="n"/>
      <c r="X3" s="73" t="n"/>
      <c r="AD3" s="63">
        <f>IF(計算用!$B$1=1,COUNTIF(新年度名簿!$J$3:$J$452,"&lt;"&amp;1000),COUNTIF(前年度名簿!$G$3:$G$452,"&lt;"&amp;1000))</f>
        <v/>
      </c>
      <c r="AE3" s="63">
        <f>IF(計算用!$B$1=1,COUNTIF(新年度名簿!$J$3:$J$452,"&lt;"&amp;2000),COUNTIF(前年度名簿!$G$3:$G$452,"&lt;"&amp;2000))</f>
        <v/>
      </c>
      <c r="AF3" s="63">
        <f>IF(計算用!$B$1=1,COUNTIF(新年度名簿!$J$3:$J$452,"&lt;"&amp;3000),COUNTIF(前年度名簿!$G$3:$G$452,"&lt;"&amp;3000))</f>
        <v/>
      </c>
      <c r="AG3" s="63">
        <f>IF(計算用!$B$1=1,COUNTIF(新年度名簿!$J$3:$J$452,"&lt;"&amp;4000),COUNTIF(前年度名簿!$G$3:$G$452,"&lt;"&amp;4000))</f>
        <v/>
      </c>
      <c r="AH3" s="63">
        <f>IF(計算用!$B$1=1,COUNTIF(新年度名簿!$J$3:$J$452,"&lt;"&amp;5000),COUNTIF(前年度名簿!$G$3:$G$452,"&lt;"&amp;5000))</f>
        <v/>
      </c>
      <c r="AI3" s="63">
        <f>IF(計算用!$B$1=1,COUNTIF(新年度名簿!$J$3:$J$452,"&lt;"&amp;6000),COUNTIF(前年度名簿!$G$3:$G$452,"&lt;"&amp;6000))</f>
        <v/>
      </c>
      <c r="AJ3" s="63">
        <f>IF(計算用!$B$1=1,COUNTIF(新年度名簿!$J$3:$J$452,"&lt;"&amp;7000),COUNTIF(前年度名簿!$G$3:$G$452,"&lt;"&amp;7000))</f>
        <v/>
      </c>
      <c r="AK3" s="63">
        <f>IF(計算用!$B$1=1,COUNTIF(新年度名簿!$J$3:$J$452,"&lt;"&amp;8000),COUNTIF(前年度名簿!$G$3:$G$452,"&lt;"&amp;8000))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5">
        <f>IF($AD5="","",IF(計算用!$B$1=1,INDEX(新年度名簿!$C$3:$C$452,$AD5),INDEX(前年度名簿!$C$3:$C$452,$AD5)))</f>
        <v/>
      </c>
      <c r="B5" s="66">
        <f>IF($AD5="","",IF(計算用!$B$1=1,INDEX(新年度名簿!$D$3:$D$452,$AD5),INDEX(前年度名簿!$D$3:$D$452,$AD5)))</f>
        <v/>
      </c>
      <c r="C5" s="65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M$7:$M$456,MATCH($AD5,振り分け!$P$7:$P$456,0))="転出","転出",IF(INDEX(振り分け!$L$7:$L$456,MATCH($AD5,振り分け!$P$7:$P$456,0))="","未決定",INDEX(振り分け!$L$7:$L$456,MATCH($AD5,振り分け!$P$7:$P$456,0)))),"未決定")))</f>
        <v/>
      </c>
      <c r="D5" s="65">
        <f>IF($AE5="","",IF(計算用!$B$1=1,INDEX(新年度名簿!$C$3:$C$452,$AE5),INDEX(前年度名簿!$C$3:$C$452,$AE5)))</f>
        <v/>
      </c>
      <c r="E5" s="66">
        <f>IF($AE5="","",IF(計算用!$B$1=1,INDEX(新年度名簿!$D$3:$D$452,$AE5),INDEX(前年度名簿!$D$3:$D$452,$AE5)))</f>
        <v/>
      </c>
      <c r="F5" s="65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M$7:$M$456,MATCH($AE5,振り分け!$P$7:$P$456,0))="転出","転出",IF(INDEX(振り分け!$L$7:$L$456,MATCH($AE5,振り分け!$P$7:$P$456,0))="","未決定",INDEX(振り分け!$L$7:$L$456,MATCH($AE5,振り分け!$P$7:$P$456,0)))),"未決定")))</f>
        <v/>
      </c>
      <c r="G5" s="65">
        <f>IF($AF5="","",IF(計算用!$B$1=1,INDEX(新年度名簿!$C$3:$C$452,$AF5),INDEX(前年度名簿!$C$3:$C$452,$AF5)))</f>
        <v/>
      </c>
      <c r="H5" s="66">
        <f>IF($AF5="","",IF(計算用!$B$1=1,INDEX(新年度名簿!$D$3:$D$452,$AF5),INDEX(前年度名簿!$D$3:$D$452,$AF5)))</f>
        <v/>
      </c>
      <c r="I5" s="65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M$7:$M$456,MATCH($AF5,振り分け!$P$7:$P$456,0))="転出","転出",IF(INDEX(振り分け!$L$7:$L$456,MATCH($AF5,振り分け!$P$7:$P$456,0))="","未決定",INDEX(振り分け!$L$7:$L$456,MATCH($AF5,振り分け!$P$7:$P$456,0)))),"未決定")))</f>
        <v/>
      </c>
      <c r="J5" s="65">
        <f>IF($AG5="","",IF(計算用!$B$1=1,INDEX(新年度名簿!$C$3:$C$452,$AG5),INDEX(前年度名簿!$C$3:$C$452,$AG5)))</f>
        <v/>
      </c>
      <c r="K5" s="66">
        <f>IF($AG5="","",IF(計算用!$B$1=1,INDEX(新年度名簿!$D$3:$D$452,$AG5),INDEX(前年度名簿!$D$3:$D$452,$AG5)))</f>
        <v/>
      </c>
      <c r="L5" s="65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M$7:$M$456,MATCH($AG5,振り分け!$P$7:$P$456,0))="転出","転出",IF(INDEX(振り分け!$L$7:$L$456,MATCH($AG5,振り分け!$P$7:$P$456,0))="","未決定",INDEX(振り分け!$L$7:$L$456,MATCH($AG5,振り分け!$P$7:$P$456,0)))),"未決定")))</f>
        <v/>
      </c>
      <c r="M5" s="65">
        <f>IF($AH5="","",IF(計算用!$B$1=1,INDEX(新年度名簿!$C$3:$C$452,$AH5),INDEX(前年度名簿!$C$3:$C$452,$AH5)))</f>
        <v/>
      </c>
      <c r="N5" s="66">
        <f>IF($AH5="","",IF(計算用!$B$1=1,INDEX(新年度名簿!$D$3:$D$452,$AH5),INDEX(前年度名簿!$D$3:$D$452,$AH5)))</f>
        <v/>
      </c>
      <c r="O5" s="65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M$7:$M$456,MATCH($AH5,振り分け!$P$7:$P$456,0))="転出","転出",IF(INDEX(振り分け!$L$7:$L$456,MATCH($AH5,振り分け!$P$7:$P$456,0))="","未決定",INDEX(振り分け!$L$7:$L$456,MATCH($AH5,振り分け!$P$7:$P$456,0)))),"未決定")))</f>
        <v/>
      </c>
      <c r="P5" s="65">
        <f>IF($AI5="","",IF(計算用!$B$1=1,INDEX(新年度名簿!$C$3:$C$452,$AI5),INDEX(前年度名簿!$C$3:$C$452,$AI5)))</f>
        <v/>
      </c>
      <c r="Q5" s="66">
        <f>IF($AI5="","",IF(計算用!$B$1=1,INDEX(新年度名簿!$D$3:$D$452,$AI5),INDEX(前年度名簿!$D$3:$D$452,$AI5)))</f>
        <v/>
      </c>
      <c r="R5" s="65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M$7:$M$456,MATCH($AI5,振り分け!$P$7:$P$456,0))="転出","転出",IF(INDEX(振り分け!$L$7:$L$456,MATCH($AI5,振り分け!$P$7:$P$456,0))="","未決定",INDEX(振り分け!$L$7:$L$456,MATCH($AI5,振り分け!$P$7:$P$456,0)))),"未決定")))</f>
        <v/>
      </c>
      <c r="S5" s="65">
        <f>IF($AJ5="","",IF(計算用!$B$1=1,INDEX(新年度名簿!$C$3:$C$452,$AJ5),INDEX(前年度名簿!$C$3:$C$452,$AJ5)))</f>
        <v/>
      </c>
      <c r="T5" s="66">
        <f>IF($AJ5="","",IF(計算用!$B$1=1,INDEX(新年度名簿!$D$3:$D$452,$AJ5),INDEX(前年度名簿!$D$3:$D$452,$AJ5)))</f>
        <v/>
      </c>
      <c r="U5" s="65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M$7:$M$456,MATCH($AJ5,振り分け!$P$7:$P$456,0))="転出","転出",IF(INDEX(振り分け!$L$7:$L$456,MATCH($AJ5,振り分け!$P$7:$P$456,0))="","未決定",INDEX(振り分け!$L$7:$L$456,MATCH($AJ5,振り分け!$P$7:$P$456,0)))),"未決定")))</f>
        <v/>
      </c>
      <c r="V5" s="65">
        <f>IF($AK5="","",IF(計算用!$B$1=1,INDEX(新年度名簿!$C$3:$C$452,$AK5),INDEX(前年度名簿!$C$3:$C$452,$AK5)))</f>
        <v/>
      </c>
      <c r="W5" s="66">
        <f>IF($AK5="","",IF(計算用!$B$1=1,INDEX(新年度名簿!$D$3:$D$452,$AK5),INDEX(前年度名簿!$D$3:$D$452,$AK5)))</f>
        <v/>
      </c>
      <c r="X5" s="65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M$7:$M$456,MATCH($AK5,振り分け!$P$7:$P$456,0))="転出","転出",IF(INDEX(振り分け!$L$7:$L$456,MATCH($AK5,振り分け!$P$7:$P$456,0))="","未決定",INDEX(振り分け!$L$7:$L$456,MATCH($AK5,振り分け!$P$7:$P$456,0)))),"未決定")))</f>
        <v/>
      </c>
      <c r="AD5" s="63">
        <f>IF(計算用!$B$1=1,IFERROR(IF(SMALL(新年度名簿!$J$3:$J$452,$AD$3+1)&lt;2000,MATCH(SMALL(新年度名簿!$J$3:$J$452,$AD$3+1),新年度名簿!$J$3:$J$452,0),""),""),IFERROR(IF(SMALL(前年度名簿!$G$3:$G$452,$AD$3+1)&lt;2000,MATCH(SMALL(前年度名簿!$G$3:$G$452,$AD$3+1),前年度名簿!$G$3:$G$452,0),""),""))</f>
        <v/>
      </c>
      <c r="AE5" s="63">
        <f>IF(計算用!$B$1=1,IFERROR(IF(SMALL(新年度名簿!$J$3:$J$452,$AE$3+1)&lt;3000,MATCH(SMALL(新年度名簿!$J$3:$J$452,$AE$3+1),新年度名簿!$J$3:$J$452,0),""),""),IFERROR(IF(SMALL(前年度名簿!$G$3:$G$452,$AE$3+1)&lt;3000,MATCH(SMALL(前年度名簿!$G$3:$G$452,$AE$3+1),前年度名簿!$G$3:$G$452,0),""),""))</f>
        <v/>
      </c>
      <c r="AF5" s="63">
        <f>IF(計算用!$B$1=1,IFERROR(IF(SMALL(新年度名簿!$J$3:$J$452,$AF$3+1)&lt;4000,MATCH(SMALL(新年度名簿!$J$3:$J$452,$AF$3+1),新年度名簿!$J$3:$J$452,0),""),""),IFERROR(IF(SMALL(前年度名簿!$G$3:$G$452,$AF$3+1)&lt;4000,MATCH(SMALL(前年度名簿!$G$3:$G$452,$AF$3+1),前年度名簿!$G$3:$G$452,0),""),""))</f>
        <v/>
      </c>
      <c r="AG5" s="63">
        <f>IF(計算用!$B$1=1,IFERROR(IF(SMALL(新年度名簿!$J$3:$J$452,$AG$3+1)&lt;5000,MATCH(SMALL(新年度名簿!$J$3:$J$452,$AG$3+1),新年度名簿!$J$3:$J$452,0),""),""),IFERROR(IF(SMALL(前年度名簿!$G$3:$G$452,$AG$3+1)&lt;5000,MATCH(SMALL(前年度名簿!$G$3:$G$452,$AG$3+1),前年度名簿!$G$3:$G$452,0),""),""))</f>
        <v/>
      </c>
      <c r="AH5" s="63">
        <f>IF(計算用!$B$1=1,IFERROR(IF(SMALL(新年度名簿!$J$3:$J$452,$AH$3+1)&lt;6000,MATCH(SMALL(新年度名簿!$J$3:$J$452,$AH$3+1),新年度名簿!$J$3:$J$452,0),""),""),IFERROR(IF(SMALL(前年度名簿!$G$3:$G$452,$AH$3+1)&lt;6000,MATCH(SMALL(前年度名簿!$G$3:$G$452,$AH$3+1),前年度名簿!$G$3:$G$452,0),""),""))</f>
        <v/>
      </c>
      <c r="AI5" s="63">
        <f>IF(計算用!$B$1=1,IFERROR(IF(SMALL(新年度名簿!$J$3:$J$452,$AI$3+1)&lt;7000,MATCH(SMALL(新年度名簿!$J$3:$J$452,$AI$3+1),新年度名簿!$J$3:$J$452,0),""),""),IFERROR(IF(SMALL(前年度名簿!$G$3:$G$452,$AI$3+1)&lt;7000,MATCH(SMALL(前年度名簿!$G$3:$G$452,$AI$3+1),前年度名簿!$G$3:$G$452,0),""),""))</f>
        <v/>
      </c>
      <c r="AJ5" s="63">
        <f>IF(計算用!$B$1=1,IFERROR(IF(SMALL(新年度名簿!$J$3:$J$452,$AJ$3+1)&lt;8000,MATCH(SMALL(新年度名簿!$J$3:$J$452,$AJ$3+1),新年度名簿!$J$3:$J$452,0),""),""),IFERROR(IF(SMALL(前年度名簿!$G$3:$G$452,$AJ$3+1)&lt;8000,MATCH(SMALL(前年度名簿!$G$3:$G$452,$AJ$3+1),前年度名簿!$G$3:$G$452,0),""),""))</f>
        <v/>
      </c>
      <c r="AK5" s="63">
        <f>IF(計算用!$B$1=1,IFERROR(IF(SMALL(新年度名簿!$J$3:$J$452,$AK$3+1)&lt;9000,MATCH(SMALL(新年度名簿!$J$3:$J$452,$AK$3+1),新年度名簿!$J$3:$J$452,0),""),""),IFERROR(IF(SMALL(前年度名簿!$G$3:$G$452,$AK$3+1)&lt;9000,MATCH(SMALL(前年度名簿!$G$3:$G$452,$AK$3+1),前年度名簿!$G$3:$G$452,0),""),""))</f>
        <v/>
      </c>
    </row>
    <row r="6">
      <c r="A6" s="65">
        <f>IF($AD6="","",IF(計算用!$B$1=1,INDEX(新年度名簿!$C$3:$C$452,$AD6),INDEX(前年度名簿!$C$3:$C$452,$AD6)))</f>
        <v/>
      </c>
      <c r="B6" s="66">
        <f>IF($AD6="","",IF(計算用!$B$1=1,INDEX(新年度名簿!$D$3:$D$452,$AD6),INDEX(前年度名簿!$D$3:$D$452,$AD6)))</f>
        <v/>
      </c>
      <c r="C6" s="65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M$7:$M$456,MATCH($AD6,振り分け!$P$7:$P$456,0))="転出","転出",IF(INDEX(振り分け!$L$7:$L$456,MATCH($AD6,振り分け!$P$7:$P$456,0))="","未決定",INDEX(振り分け!$L$7:$L$456,MATCH($AD6,振り分け!$P$7:$P$456,0)))),"未決定")))</f>
        <v/>
      </c>
      <c r="D6" s="65">
        <f>IF($AE6="","",IF(計算用!$B$1=1,INDEX(新年度名簿!$C$3:$C$452,$AE6),INDEX(前年度名簿!$C$3:$C$452,$AE6)))</f>
        <v/>
      </c>
      <c r="E6" s="66">
        <f>IF($AE6="","",IF(計算用!$B$1=1,INDEX(新年度名簿!$D$3:$D$452,$AE6),INDEX(前年度名簿!$D$3:$D$452,$AE6)))</f>
        <v/>
      </c>
      <c r="F6" s="65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M$7:$M$456,MATCH($AE6,振り分け!$P$7:$P$456,0))="転出","転出",IF(INDEX(振り分け!$L$7:$L$456,MATCH($AE6,振り分け!$P$7:$P$456,0))="","未決定",INDEX(振り分け!$L$7:$L$456,MATCH($AE6,振り分け!$P$7:$P$456,0)))),"未決定")))</f>
        <v/>
      </c>
      <c r="G6" s="65">
        <f>IF($AF6="","",IF(計算用!$B$1=1,INDEX(新年度名簿!$C$3:$C$452,$AF6),INDEX(前年度名簿!$C$3:$C$452,$AF6)))</f>
        <v/>
      </c>
      <c r="H6" s="66">
        <f>IF($AF6="","",IF(計算用!$B$1=1,INDEX(新年度名簿!$D$3:$D$452,$AF6),INDEX(前年度名簿!$D$3:$D$452,$AF6)))</f>
        <v/>
      </c>
      <c r="I6" s="65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M$7:$M$456,MATCH($AF6,振り分け!$P$7:$P$456,0))="転出","転出",IF(INDEX(振り分け!$L$7:$L$456,MATCH($AF6,振り分け!$P$7:$P$456,0))="","未決定",INDEX(振り分け!$L$7:$L$456,MATCH($AF6,振り分け!$P$7:$P$456,0)))),"未決定")))</f>
        <v/>
      </c>
      <c r="J6" s="65">
        <f>IF($AG6="","",IF(計算用!$B$1=1,INDEX(新年度名簿!$C$3:$C$452,$AG6),INDEX(前年度名簿!$C$3:$C$452,$AG6)))</f>
        <v/>
      </c>
      <c r="K6" s="66">
        <f>IF($AG6="","",IF(計算用!$B$1=1,INDEX(新年度名簿!$D$3:$D$452,$AG6),INDEX(前年度名簿!$D$3:$D$452,$AG6)))</f>
        <v/>
      </c>
      <c r="L6" s="65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M$7:$M$456,MATCH($AG6,振り分け!$P$7:$P$456,0))="転出","転出",IF(INDEX(振り分け!$L$7:$L$456,MATCH($AG6,振り分け!$P$7:$P$456,0))="","未決定",INDEX(振り分け!$L$7:$L$456,MATCH($AG6,振り分け!$P$7:$P$456,0)))),"未決定")))</f>
        <v/>
      </c>
      <c r="M6" s="65">
        <f>IF($AH6="","",IF(計算用!$B$1=1,INDEX(新年度名簿!$C$3:$C$452,$AH6),INDEX(前年度名簿!$C$3:$C$452,$AH6)))</f>
        <v/>
      </c>
      <c r="N6" s="66">
        <f>IF($AH6="","",IF(計算用!$B$1=1,INDEX(新年度名簿!$D$3:$D$452,$AH6),INDEX(前年度名簿!$D$3:$D$452,$AH6)))</f>
        <v/>
      </c>
      <c r="O6" s="65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M$7:$M$456,MATCH($AH6,振り分け!$P$7:$P$456,0))="転出","転出",IF(INDEX(振り分け!$L$7:$L$456,MATCH($AH6,振り分け!$P$7:$P$456,0))="","未決定",INDEX(振り分け!$L$7:$L$456,MATCH($AH6,振り分け!$P$7:$P$456,0)))),"未決定")))</f>
        <v/>
      </c>
      <c r="P6" s="65">
        <f>IF($AI6="","",IF(計算用!$B$1=1,INDEX(新年度名簿!$C$3:$C$452,$AI6),INDEX(前年度名簿!$C$3:$C$452,$AI6)))</f>
        <v/>
      </c>
      <c r="Q6" s="66">
        <f>IF($AI6="","",IF(計算用!$B$1=1,INDEX(新年度名簿!$D$3:$D$452,$AI6),INDEX(前年度名簿!$D$3:$D$452,$AI6)))</f>
        <v/>
      </c>
      <c r="R6" s="65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M$7:$M$456,MATCH($AI6,振り分け!$P$7:$P$456,0))="転出","転出",IF(INDEX(振り分け!$L$7:$L$456,MATCH($AI6,振り分け!$P$7:$P$456,0))="","未決定",INDEX(振り分け!$L$7:$L$456,MATCH($AI6,振り分け!$P$7:$P$456,0)))),"未決定")))</f>
        <v/>
      </c>
      <c r="S6" s="65">
        <f>IF($AJ6="","",IF(計算用!$B$1=1,INDEX(新年度名簿!$C$3:$C$452,$AJ6),INDEX(前年度名簿!$C$3:$C$452,$AJ6)))</f>
        <v/>
      </c>
      <c r="T6" s="66">
        <f>IF($AJ6="","",IF(計算用!$B$1=1,INDEX(新年度名簿!$D$3:$D$452,$AJ6),INDEX(前年度名簿!$D$3:$D$452,$AJ6)))</f>
        <v/>
      </c>
      <c r="U6" s="65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M$7:$M$456,MATCH($AJ6,振り分け!$P$7:$P$456,0))="転出","転出",IF(INDEX(振り分け!$L$7:$L$456,MATCH($AJ6,振り分け!$P$7:$P$456,0))="","未決定",INDEX(振り分け!$L$7:$L$456,MATCH($AJ6,振り分け!$P$7:$P$456,0)))),"未決定")))</f>
        <v/>
      </c>
      <c r="V6" s="65">
        <f>IF($AK6="","",IF(計算用!$B$1=1,INDEX(新年度名簿!$C$3:$C$452,$AK6),INDEX(前年度名簿!$C$3:$C$452,$AK6)))</f>
        <v/>
      </c>
      <c r="W6" s="66">
        <f>IF($AK6="","",IF(計算用!$B$1=1,INDEX(新年度名簿!$D$3:$D$452,$AK6),INDEX(前年度名簿!$D$3:$D$452,$AK6)))</f>
        <v/>
      </c>
      <c r="X6" s="65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M$7:$M$456,MATCH($AK6,振り分け!$P$7:$P$456,0))="転出","転出",IF(INDEX(振り分け!$L$7:$L$456,MATCH($AK6,振り分け!$P$7:$P$456,0))="","未決定",INDEX(振り分け!$L$7:$L$456,MATCH($AK6,振り分け!$P$7:$P$456,0)))),"未決定")))</f>
        <v/>
      </c>
      <c r="AD6" s="63">
        <f>IF(計算用!$B$1=1,IFERROR(IF(SMALL(新年度名簿!$J$3:$J$452,$AD$3+2)&lt;2000,MATCH(SMALL(新年度名簿!$J$3:$J$452,$AD$3+2),新年度名簿!$J$3:$J$452,0),""),""),IFERROR(IF(SMALL(前年度名簿!$G$3:$G$452,$AD$3+2)&lt;2000,MATCH(SMALL(前年度名簿!$G$3:$G$452,$AD$3+2),前年度名簿!$G$3:$G$452,0),""),""))</f>
        <v/>
      </c>
      <c r="AE6" s="63">
        <f>IF(計算用!$B$1=1,IFERROR(IF(SMALL(新年度名簿!$J$3:$J$452,$AE$3+2)&lt;3000,MATCH(SMALL(新年度名簿!$J$3:$J$452,$AE$3+2),新年度名簿!$J$3:$J$452,0),""),""),IFERROR(IF(SMALL(前年度名簿!$G$3:$G$452,$AE$3+2)&lt;3000,MATCH(SMALL(前年度名簿!$G$3:$G$452,$AE$3+2),前年度名簿!$G$3:$G$452,0),""),""))</f>
        <v/>
      </c>
      <c r="AF6" s="63">
        <f>IF(計算用!$B$1=1,IFERROR(IF(SMALL(新年度名簿!$J$3:$J$452,$AF$3+2)&lt;4000,MATCH(SMALL(新年度名簿!$J$3:$J$452,$AF$3+2),新年度名簿!$J$3:$J$452,0),""),""),IFERROR(IF(SMALL(前年度名簿!$G$3:$G$452,$AF$3+2)&lt;4000,MATCH(SMALL(前年度名簿!$G$3:$G$452,$AF$3+2),前年度名簿!$G$3:$G$452,0),""),""))</f>
        <v/>
      </c>
      <c r="AG6" s="63">
        <f>IF(計算用!$B$1=1,IFERROR(IF(SMALL(新年度名簿!$J$3:$J$452,$AG$3+2)&lt;5000,MATCH(SMALL(新年度名簿!$J$3:$J$452,$AG$3+2),新年度名簿!$J$3:$J$452,0),""),""),IFERROR(IF(SMALL(前年度名簿!$G$3:$G$452,$AG$3+2)&lt;5000,MATCH(SMALL(前年度名簿!$G$3:$G$452,$AG$3+2),前年度名簿!$G$3:$G$452,0),""),""))</f>
        <v/>
      </c>
      <c r="AH6" s="63">
        <f>IF(計算用!$B$1=1,IFERROR(IF(SMALL(新年度名簿!$J$3:$J$452,$AH$3+2)&lt;6000,MATCH(SMALL(新年度名簿!$J$3:$J$452,$AH$3+2),新年度名簿!$J$3:$J$452,0),""),""),IFERROR(IF(SMALL(前年度名簿!$G$3:$G$452,$AH$3+2)&lt;6000,MATCH(SMALL(前年度名簿!$G$3:$G$452,$AH$3+2),前年度名簿!$G$3:$G$452,0),""),""))</f>
        <v/>
      </c>
      <c r="AI6" s="63">
        <f>IF(計算用!$B$1=1,IFERROR(IF(SMALL(新年度名簿!$J$3:$J$452,$AI$3+2)&lt;7000,MATCH(SMALL(新年度名簿!$J$3:$J$452,$AI$3+2),新年度名簿!$J$3:$J$452,0),""),""),IFERROR(IF(SMALL(前年度名簿!$G$3:$G$452,$AI$3+2)&lt;7000,MATCH(SMALL(前年度名簿!$G$3:$G$452,$AI$3+2),前年度名簿!$G$3:$G$452,0),""),""))</f>
        <v/>
      </c>
      <c r="AJ6" s="63">
        <f>IF(計算用!$B$1=1,IFERROR(IF(SMALL(新年度名簿!$J$3:$J$452,$AJ$3+2)&lt;8000,MATCH(SMALL(新年度名簿!$J$3:$J$452,$AJ$3+2),新年度名簿!$J$3:$J$452,0),""),""),IFERROR(IF(SMALL(前年度名簿!$G$3:$G$452,$AJ$3+2)&lt;8000,MATCH(SMALL(前年度名簿!$G$3:$G$452,$AJ$3+2),前年度名簿!$G$3:$G$452,0),""),""))</f>
        <v/>
      </c>
      <c r="AK6" s="63">
        <f>IF(計算用!$B$1=1,IFERROR(IF(SMALL(新年度名簿!$J$3:$J$452,$AK$3+2)&lt;9000,MATCH(SMALL(新年度名簿!$J$3:$J$452,$AK$3+2),新年度名簿!$J$3:$J$452,0),""),""),IFERROR(IF(SMALL(前年度名簿!$G$3:$G$452,$AK$3+2)&lt;9000,MATCH(SMALL(前年度名簿!$G$3:$G$452,$AK$3+2),前年度名簿!$G$3:$G$452,0),""),""))</f>
        <v/>
      </c>
    </row>
    <row r="7">
      <c r="A7" s="65">
        <f>IF($AD7="","",IF(計算用!$B$1=1,INDEX(新年度名簿!$C$3:$C$452,$AD7),INDEX(前年度名簿!$C$3:$C$452,$AD7)))</f>
        <v/>
      </c>
      <c r="B7" s="66">
        <f>IF($AD7="","",IF(計算用!$B$1=1,INDEX(新年度名簿!$D$3:$D$452,$AD7),INDEX(前年度名簿!$D$3:$D$452,$AD7)))</f>
        <v/>
      </c>
      <c r="C7" s="65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M$7:$M$456,MATCH($AD7,振り分け!$P$7:$P$456,0))="転出","転出",IF(INDEX(振り分け!$L$7:$L$456,MATCH($AD7,振り分け!$P$7:$P$456,0))="","未決定",INDEX(振り分け!$L$7:$L$456,MATCH($AD7,振り分け!$P$7:$P$456,0)))),"未決定")))</f>
        <v/>
      </c>
      <c r="D7" s="65">
        <f>IF($AE7="","",IF(計算用!$B$1=1,INDEX(新年度名簿!$C$3:$C$452,$AE7),INDEX(前年度名簿!$C$3:$C$452,$AE7)))</f>
        <v/>
      </c>
      <c r="E7" s="66">
        <f>IF($AE7="","",IF(計算用!$B$1=1,INDEX(新年度名簿!$D$3:$D$452,$AE7),INDEX(前年度名簿!$D$3:$D$452,$AE7)))</f>
        <v/>
      </c>
      <c r="F7" s="65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M$7:$M$456,MATCH($AE7,振り分け!$P$7:$P$456,0))="転出","転出",IF(INDEX(振り分け!$L$7:$L$456,MATCH($AE7,振り分け!$P$7:$P$456,0))="","未決定",INDEX(振り分け!$L$7:$L$456,MATCH($AE7,振り分け!$P$7:$P$456,0)))),"未決定")))</f>
        <v/>
      </c>
      <c r="G7" s="65">
        <f>IF($AF7="","",IF(計算用!$B$1=1,INDEX(新年度名簿!$C$3:$C$452,$AF7),INDEX(前年度名簿!$C$3:$C$452,$AF7)))</f>
        <v/>
      </c>
      <c r="H7" s="66">
        <f>IF($AF7="","",IF(計算用!$B$1=1,INDEX(新年度名簿!$D$3:$D$452,$AF7),INDEX(前年度名簿!$D$3:$D$452,$AF7)))</f>
        <v/>
      </c>
      <c r="I7" s="65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M$7:$M$456,MATCH($AF7,振り分け!$P$7:$P$456,0))="転出","転出",IF(INDEX(振り分け!$L$7:$L$456,MATCH($AF7,振り分け!$P$7:$P$456,0))="","未決定",INDEX(振り分け!$L$7:$L$456,MATCH($AF7,振り分け!$P$7:$P$456,0)))),"未決定")))</f>
        <v/>
      </c>
      <c r="J7" s="65">
        <f>IF($AG7="","",IF(計算用!$B$1=1,INDEX(新年度名簿!$C$3:$C$452,$AG7),INDEX(前年度名簿!$C$3:$C$452,$AG7)))</f>
        <v/>
      </c>
      <c r="K7" s="66">
        <f>IF($AG7="","",IF(計算用!$B$1=1,INDEX(新年度名簿!$D$3:$D$452,$AG7),INDEX(前年度名簿!$D$3:$D$452,$AG7)))</f>
        <v/>
      </c>
      <c r="L7" s="65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M$7:$M$456,MATCH($AG7,振り分け!$P$7:$P$456,0))="転出","転出",IF(INDEX(振り分け!$L$7:$L$456,MATCH($AG7,振り分け!$P$7:$P$456,0))="","未決定",INDEX(振り分け!$L$7:$L$456,MATCH($AG7,振り分け!$P$7:$P$456,0)))),"未決定")))</f>
        <v/>
      </c>
      <c r="M7" s="65">
        <f>IF($AH7="","",IF(計算用!$B$1=1,INDEX(新年度名簿!$C$3:$C$452,$AH7),INDEX(前年度名簿!$C$3:$C$452,$AH7)))</f>
        <v/>
      </c>
      <c r="N7" s="66">
        <f>IF($AH7="","",IF(計算用!$B$1=1,INDEX(新年度名簿!$D$3:$D$452,$AH7),INDEX(前年度名簿!$D$3:$D$452,$AH7)))</f>
        <v/>
      </c>
      <c r="O7" s="65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M$7:$M$456,MATCH($AH7,振り分け!$P$7:$P$456,0))="転出","転出",IF(INDEX(振り分け!$L$7:$L$456,MATCH($AH7,振り分け!$P$7:$P$456,0))="","未決定",INDEX(振り分け!$L$7:$L$456,MATCH($AH7,振り分け!$P$7:$P$456,0)))),"未決定")))</f>
        <v/>
      </c>
      <c r="P7" s="65">
        <f>IF($AI7="","",IF(計算用!$B$1=1,INDEX(新年度名簿!$C$3:$C$452,$AI7),INDEX(前年度名簿!$C$3:$C$452,$AI7)))</f>
        <v/>
      </c>
      <c r="Q7" s="66">
        <f>IF($AI7="","",IF(計算用!$B$1=1,INDEX(新年度名簿!$D$3:$D$452,$AI7),INDEX(前年度名簿!$D$3:$D$452,$AI7)))</f>
        <v/>
      </c>
      <c r="R7" s="65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M$7:$M$456,MATCH($AI7,振り分け!$P$7:$P$456,0))="転出","転出",IF(INDEX(振り分け!$L$7:$L$456,MATCH($AI7,振り分け!$P$7:$P$456,0))="","未決定",INDEX(振り分け!$L$7:$L$456,MATCH($AI7,振り分け!$P$7:$P$456,0)))),"未決定")))</f>
        <v/>
      </c>
      <c r="S7" s="65">
        <f>IF($AJ7="","",IF(計算用!$B$1=1,INDEX(新年度名簿!$C$3:$C$452,$AJ7),INDEX(前年度名簿!$C$3:$C$452,$AJ7)))</f>
        <v/>
      </c>
      <c r="T7" s="66">
        <f>IF($AJ7="","",IF(計算用!$B$1=1,INDEX(新年度名簿!$D$3:$D$452,$AJ7),INDEX(前年度名簿!$D$3:$D$452,$AJ7)))</f>
        <v/>
      </c>
      <c r="U7" s="65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M$7:$M$456,MATCH($AJ7,振り分け!$P$7:$P$456,0))="転出","転出",IF(INDEX(振り分け!$L$7:$L$456,MATCH($AJ7,振り分け!$P$7:$P$456,0))="","未決定",INDEX(振り分け!$L$7:$L$456,MATCH($AJ7,振り分け!$P$7:$P$456,0)))),"未決定")))</f>
        <v/>
      </c>
      <c r="V7" s="65">
        <f>IF($AK7="","",IF(計算用!$B$1=1,INDEX(新年度名簿!$C$3:$C$452,$AK7),INDEX(前年度名簿!$C$3:$C$452,$AK7)))</f>
        <v/>
      </c>
      <c r="W7" s="66">
        <f>IF($AK7="","",IF(計算用!$B$1=1,INDEX(新年度名簿!$D$3:$D$452,$AK7),INDEX(前年度名簿!$D$3:$D$452,$AK7)))</f>
        <v/>
      </c>
      <c r="X7" s="65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M$7:$M$456,MATCH($AK7,振り分け!$P$7:$P$456,0))="転出","転出",IF(INDEX(振り分け!$L$7:$L$456,MATCH($AK7,振り分け!$P$7:$P$456,0))="","未決定",INDEX(振り分け!$L$7:$L$456,MATCH($AK7,振り分け!$P$7:$P$456,0)))),"未決定")))</f>
        <v/>
      </c>
      <c r="AD7" s="63">
        <f>IF(計算用!$B$1=1,IFERROR(IF(SMALL(新年度名簿!$J$3:$J$452,$AD$3+3)&lt;2000,MATCH(SMALL(新年度名簿!$J$3:$J$452,$AD$3+3),新年度名簿!$J$3:$J$452,0),""),""),IFERROR(IF(SMALL(前年度名簿!$G$3:$G$452,$AD$3+3)&lt;2000,MATCH(SMALL(前年度名簿!$G$3:$G$452,$AD$3+3),前年度名簿!$G$3:$G$452,0),""),""))</f>
        <v/>
      </c>
      <c r="AE7" s="63">
        <f>IF(計算用!$B$1=1,IFERROR(IF(SMALL(新年度名簿!$J$3:$J$452,$AE$3+3)&lt;3000,MATCH(SMALL(新年度名簿!$J$3:$J$452,$AE$3+3),新年度名簿!$J$3:$J$452,0),""),""),IFERROR(IF(SMALL(前年度名簿!$G$3:$G$452,$AE$3+3)&lt;3000,MATCH(SMALL(前年度名簿!$G$3:$G$452,$AE$3+3),前年度名簿!$G$3:$G$452,0),""),""))</f>
        <v/>
      </c>
      <c r="AF7" s="63">
        <f>IF(計算用!$B$1=1,IFERROR(IF(SMALL(新年度名簿!$J$3:$J$452,$AF$3+3)&lt;4000,MATCH(SMALL(新年度名簿!$J$3:$J$452,$AF$3+3),新年度名簿!$J$3:$J$452,0),""),""),IFERROR(IF(SMALL(前年度名簿!$G$3:$G$452,$AF$3+3)&lt;4000,MATCH(SMALL(前年度名簿!$G$3:$G$452,$AF$3+3),前年度名簿!$G$3:$G$452,0),""),""))</f>
        <v/>
      </c>
      <c r="AG7" s="63">
        <f>IF(計算用!$B$1=1,IFERROR(IF(SMALL(新年度名簿!$J$3:$J$452,$AG$3+3)&lt;5000,MATCH(SMALL(新年度名簿!$J$3:$J$452,$AG$3+3),新年度名簿!$J$3:$J$452,0),""),""),IFERROR(IF(SMALL(前年度名簿!$G$3:$G$452,$AG$3+3)&lt;5000,MATCH(SMALL(前年度名簿!$G$3:$G$452,$AG$3+3),前年度名簿!$G$3:$G$452,0),""),""))</f>
        <v/>
      </c>
      <c r="AH7" s="63">
        <f>IF(計算用!$B$1=1,IFERROR(IF(SMALL(新年度名簿!$J$3:$J$452,$AH$3+3)&lt;6000,MATCH(SMALL(新年度名簿!$J$3:$J$452,$AH$3+3),新年度名簿!$J$3:$J$452,0),""),""),IFERROR(IF(SMALL(前年度名簿!$G$3:$G$452,$AH$3+3)&lt;6000,MATCH(SMALL(前年度名簿!$G$3:$G$452,$AH$3+3),前年度名簿!$G$3:$G$452,0),""),""))</f>
        <v/>
      </c>
      <c r="AI7" s="63">
        <f>IF(計算用!$B$1=1,IFERROR(IF(SMALL(新年度名簿!$J$3:$J$452,$AI$3+3)&lt;7000,MATCH(SMALL(新年度名簿!$J$3:$J$452,$AI$3+3),新年度名簿!$J$3:$J$452,0),""),""),IFERROR(IF(SMALL(前年度名簿!$G$3:$G$452,$AI$3+3)&lt;7000,MATCH(SMALL(前年度名簿!$G$3:$G$452,$AI$3+3),前年度名簿!$G$3:$G$452,0),""),""))</f>
        <v/>
      </c>
      <c r="AJ7" s="63">
        <f>IF(計算用!$B$1=1,IFERROR(IF(SMALL(新年度名簿!$J$3:$J$452,$AJ$3+3)&lt;8000,MATCH(SMALL(新年度名簿!$J$3:$J$452,$AJ$3+3),新年度名簿!$J$3:$J$452,0),""),""),IFERROR(IF(SMALL(前年度名簿!$G$3:$G$452,$AJ$3+3)&lt;8000,MATCH(SMALL(前年度名簿!$G$3:$G$452,$AJ$3+3),前年度名簿!$G$3:$G$452,0),""),""))</f>
        <v/>
      </c>
      <c r="AK7" s="63">
        <f>IF(計算用!$B$1=1,IFERROR(IF(SMALL(新年度名簿!$J$3:$J$452,$AK$3+3)&lt;9000,MATCH(SMALL(新年度名簿!$J$3:$J$452,$AK$3+3),新年度名簿!$J$3:$J$452,0),""),""),IFERROR(IF(SMALL(前年度名簿!$G$3:$G$452,$AK$3+3)&lt;9000,MATCH(SMALL(前年度名簿!$G$3:$G$452,$AK$3+3),前年度名簿!$G$3:$G$452,0),""),""))</f>
        <v/>
      </c>
    </row>
    <row r="8">
      <c r="A8" s="65">
        <f>IF($AD8="","",IF(計算用!$B$1=1,INDEX(新年度名簿!$C$3:$C$452,$AD8),INDEX(前年度名簿!$C$3:$C$452,$AD8)))</f>
        <v/>
      </c>
      <c r="B8" s="66">
        <f>IF($AD8="","",IF(計算用!$B$1=1,INDEX(新年度名簿!$D$3:$D$452,$AD8),INDEX(前年度名簿!$D$3:$D$452,$AD8)))</f>
        <v/>
      </c>
      <c r="C8" s="65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M$7:$M$456,MATCH($AD8,振り分け!$P$7:$P$456,0))="転出","転出",IF(INDEX(振り分け!$L$7:$L$456,MATCH($AD8,振り分け!$P$7:$P$456,0))="","未決定",INDEX(振り分け!$L$7:$L$456,MATCH($AD8,振り分け!$P$7:$P$456,0)))),"未決定")))</f>
        <v/>
      </c>
      <c r="D8" s="65">
        <f>IF($AE8="","",IF(計算用!$B$1=1,INDEX(新年度名簿!$C$3:$C$452,$AE8),INDEX(前年度名簿!$C$3:$C$452,$AE8)))</f>
        <v/>
      </c>
      <c r="E8" s="66">
        <f>IF($AE8="","",IF(計算用!$B$1=1,INDEX(新年度名簿!$D$3:$D$452,$AE8),INDEX(前年度名簿!$D$3:$D$452,$AE8)))</f>
        <v/>
      </c>
      <c r="F8" s="65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M$7:$M$456,MATCH($AE8,振り分け!$P$7:$P$456,0))="転出","転出",IF(INDEX(振り分け!$L$7:$L$456,MATCH($AE8,振り分け!$P$7:$P$456,0))="","未決定",INDEX(振り分け!$L$7:$L$456,MATCH($AE8,振り分け!$P$7:$P$456,0)))),"未決定")))</f>
        <v/>
      </c>
      <c r="G8" s="65">
        <f>IF($AF8="","",IF(計算用!$B$1=1,INDEX(新年度名簿!$C$3:$C$452,$AF8),INDEX(前年度名簿!$C$3:$C$452,$AF8)))</f>
        <v/>
      </c>
      <c r="H8" s="66">
        <f>IF($AF8="","",IF(計算用!$B$1=1,INDEX(新年度名簿!$D$3:$D$452,$AF8),INDEX(前年度名簿!$D$3:$D$452,$AF8)))</f>
        <v/>
      </c>
      <c r="I8" s="65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M$7:$M$456,MATCH($AF8,振り分け!$P$7:$P$456,0))="転出","転出",IF(INDEX(振り分け!$L$7:$L$456,MATCH($AF8,振り分け!$P$7:$P$456,0))="","未決定",INDEX(振り分け!$L$7:$L$456,MATCH($AF8,振り分け!$P$7:$P$456,0)))),"未決定")))</f>
        <v/>
      </c>
      <c r="J8" s="65">
        <f>IF($AG8="","",IF(計算用!$B$1=1,INDEX(新年度名簿!$C$3:$C$452,$AG8),INDEX(前年度名簿!$C$3:$C$452,$AG8)))</f>
        <v/>
      </c>
      <c r="K8" s="66">
        <f>IF($AG8="","",IF(計算用!$B$1=1,INDEX(新年度名簿!$D$3:$D$452,$AG8),INDEX(前年度名簿!$D$3:$D$452,$AG8)))</f>
        <v/>
      </c>
      <c r="L8" s="65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M$7:$M$456,MATCH($AG8,振り分け!$P$7:$P$456,0))="転出","転出",IF(INDEX(振り分け!$L$7:$L$456,MATCH($AG8,振り分け!$P$7:$P$456,0))="","未決定",INDEX(振り分け!$L$7:$L$456,MATCH($AG8,振り分け!$P$7:$P$456,0)))),"未決定")))</f>
        <v/>
      </c>
      <c r="M8" s="65">
        <f>IF($AH8="","",IF(計算用!$B$1=1,INDEX(新年度名簿!$C$3:$C$452,$AH8),INDEX(前年度名簿!$C$3:$C$452,$AH8)))</f>
        <v/>
      </c>
      <c r="N8" s="66">
        <f>IF($AH8="","",IF(計算用!$B$1=1,INDEX(新年度名簿!$D$3:$D$452,$AH8),INDEX(前年度名簿!$D$3:$D$452,$AH8)))</f>
        <v/>
      </c>
      <c r="O8" s="65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M$7:$M$456,MATCH($AH8,振り分け!$P$7:$P$456,0))="転出","転出",IF(INDEX(振り分け!$L$7:$L$456,MATCH($AH8,振り分け!$P$7:$P$456,0))="","未決定",INDEX(振り分け!$L$7:$L$456,MATCH($AH8,振り分け!$P$7:$P$456,0)))),"未決定")))</f>
        <v/>
      </c>
      <c r="P8" s="65">
        <f>IF($AI8="","",IF(計算用!$B$1=1,INDEX(新年度名簿!$C$3:$C$452,$AI8),INDEX(前年度名簿!$C$3:$C$452,$AI8)))</f>
        <v/>
      </c>
      <c r="Q8" s="66">
        <f>IF($AI8="","",IF(計算用!$B$1=1,INDEX(新年度名簿!$D$3:$D$452,$AI8),INDEX(前年度名簿!$D$3:$D$452,$AI8)))</f>
        <v/>
      </c>
      <c r="R8" s="65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M$7:$M$456,MATCH($AI8,振り分け!$P$7:$P$456,0))="転出","転出",IF(INDEX(振り分け!$L$7:$L$456,MATCH($AI8,振り分け!$P$7:$P$456,0))="","未決定",INDEX(振り分け!$L$7:$L$456,MATCH($AI8,振り分け!$P$7:$P$456,0)))),"未決定")))</f>
        <v/>
      </c>
      <c r="S8" s="65">
        <f>IF($AJ8="","",IF(計算用!$B$1=1,INDEX(新年度名簿!$C$3:$C$452,$AJ8),INDEX(前年度名簿!$C$3:$C$452,$AJ8)))</f>
        <v/>
      </c>
      <c r="T8" s="66">
        <f>IF($AJ8="","",IF(計算用!$B$1=1,INDEX(新年度名簿!$D$3:$D$452,$AJ8),INDEX(前年度名簿!$D$3:$D$452,$AJ8)))</f>
        <v/>
      </c>
      <c r="U8" s="65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M$7:$M$456,MATCH($AJ8,振り分け!$P$7:$P$456,0))="転出","転出",IF(INDEX(振り分け!$L$7:$L$456,MATCH($AJ8,振り分け!$P$7:$P$456,0))="","未決定",INDEX(振り分け!$L$7:$L$456,MATCH($AJ8,振り分け!$P$7:$P$456,0)))),"未決定")))</f>
        <v/>
      </c>
      <c r="V8" s="65">
        <f>IF($AK8="","",IF(計算用!$B$1=1,INDEX(新年度名簿!$C$3:$C$452,$AK8),INDEX(前年度名簿!$C$3:$C$452,$AK8)))</f>
        <v/>
      </c>
      <c r="W8" s="66">
        <f>IF($AK8="","",IF(計算用!$B$1=1,INDEX(新年度名簿!$D$3:$D$452,$AK8),INDEX(前年度名簿!$D$3:$D$452,$AK8)))</f>
        <v/>
      </c>
      <c r="X8" s="65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M$7:$M$456,MATCH($AK8,振り分け!$P$7:$P$456,0))="転出","転出",IF(INDEX(振り分け!$L$7:$L$456,MATCH($AK8,振り分け!$P$7:$P$456,0))="","未決定",INDEX(振り分け!$L$7:$L$456,MATCH($AK8,振り分け!$P$7:$P$456,0)))),"未決定")))</f>
        <v/>
      </c>
      <c r="AD8" s="63">
        <f>IF(計算用!$B$1=1,IFERROR(IF(SMALL(新年度名簿!$J$3:$J$452,$AD$3+4)&lt;2000,MATCH(SMALL(新年度名簿!$J$3:$J$452,$AD$3+4),新年度名簿!$J$3:$J$452,0),""),""),IFERROR(IF(SMALL(前年度名簿!$G$3:$G$452,$AD$3+4)&lt;2000,MATCH(SMALL(前年度名簿!$G$3:$G$452,$AD$3+4),前年度名簿!$G$3:$G$452,0),""),""))</f>
        <v/>
      </c>
      <c r="AE8" s="63">
        <f>IF(計算用!$B$1=1,IFERROR(IF(SMALL(新年度名簿!$J$3:$J$452,$AE$3+4)&lt;3000,MATCH(SMALL(新年度名簿!$J$3:$J$452,$AE$3+4),新年度名簿!$J$3:$J$452,0),""),""),IFERROR(IF(SMALL(前年度名簿!$G$3:$G$452,$AE$3+4)&lt;3000,MATCH(SMALL(前年度名簿!$G$3:$G$452,$AE$3+4),前年度名簿!$G$3:$G$452,0),""),""))</f>
        <v/>
      </c>
      <c r="AF8" s="63">
        <f>IF(計算用!$B$1=1,IFERROR(IF(SMALL(新年度名簿!$J$3:$J$452,$AF$3+4)&lt;4000,MATCH(SMALL(新年度名簿!$J$3:$J$452,$AF$3+4),新年度名簿!$J$3:$J$452,0),""),""),IFERROR(IF(SMALL(前年度名簿!$G$3:$G$452,$AF$3+4)&lt;4000,MATCH(SMALL(前年度名簿!$G$3:$G$452,$AF$3+4),前年度名簿!$G$3:$G$452,0),""),""))</f>
        <v/>
      </c>
      <c r="AG8" s="63">
        <f>IF(計算用!$B$1=1,IFERROR(IF(SMALL(新年度名簿!$J$3:$J$452,$AG$3+4)&lt;5000,MATCH(SMALL(新年度名簿!$J$3:$J$452,$AG$3+4),新年度名簿!$J$3:$J$452,0),""),""),IFERROR(IF(SMALL(前年度名簿!$G$3:$G$452,$AG$3+4)&lt;5000,MATCH(SMALL(前年度名簿!$G$3:$G$452,$AG$3+4),前年度名簿!$G$3:$G$452,0),""),""))</f>
        <v/>
      </c>
      <c r="AH8" s="63">
        <f>IF(計算用!$B$1=1,IFERROR(IF(SMALL(新年度名簿!$J$3:$J$452,$AH$3+4)&lt;6000,MATCH(SMALL(新年度名簿!$J$3:$J$452,$AH$3+4),新年度名簿!$J$3:$J$452,0),""),""),IFERROR(IF(SMALL(前年度名簿!$G$3:$G$452,$AH$3+4)&lt;6000,MATCH(SMALL(前年度名簿!$G$3:$G$452,$AH$3+4),前年度名簿!$G$3:$G$452,0),""),""))</f>
        <v/>
      </c>
      <c r="AI8" s="63">
        <f>IF(計算用!$B$1=1,IFERROR(IF(SMALL(新年度名簿!$J$3:$J$452,$AI$3+4)&lt;7000,MATCH(SMALL(新年度名簿!$J$3:$J$452,$AI$3+4),新年度名簿!$J$3:$J$452,0),""),""),IFERROR(IF(SMALL(前年度名簿!$G$3:$G$452,$AI$3+4)&lt;7000,MATCH(SMALL(前年度名簿!$G$3:$G$452,$AI$3+4),前年度名簿!$G$3:$G$452,0),""),""))</f>
        <v/>
      </c>
      <c r="AJ8" s="63">
        <f>IF(計算用!$B$1=1,IFERROR(IF(SMALL(新年度名簿!$J$3:$J$452,$AJ$3+4)&lt;8000,MATCH(SMALL(新年度名簿!$J$3:$J$452,$AJ$3+4),新年度名簿!$J$3:$J$452,0),""),""),IFERROR(IF(SMALL(前年度名簿!$G$3:$G$452,$AJ$3+4)&lt;8000,MATCH(SMALL(前年度名簿!$G$3:$G$452,$AJ$3+4),前年度名簿!$G$3:$G$452,0),""),""))</f>
        <v/>
      </c>
      <c r="AK8" s="63">
        <f>IF(計算用!$B$1=1,IFERROR(IF(SMALL(新年度名簿!$J$3:$J$452,$AK$3+4)&lt;9000,MATCH(SMALL(新年度名簿!$J$3:$J$452,$AK$3+4),新年度名簿!$J$3:$J$452,0),""),""),IFERROR(IF(SMALL(前年度名簿!$G$3:$G$452,$AK$3+4)&lt;9000,MATCH(SMALL(前年度名簿!$G$3:$G$452,$AK$3+4),前年度名簿!$G$3:$G$452,0),""),""))</f>
        <v/>
      </c>
    </row>
    <row r="9">
      <c r="A9" s="65">
        <f>IF($AD9="","",IF(計算用!$B$1=1,INDEX(新年度名簿!$C$3:$C$452,$AD9),INDEX(前年度名簿!$C$3:$C$452,$AD9)))</f>
        <v/>
      </c>
      <c r="B9" s="66">
        <f>IF($AD9="","",IF(計算用!$B$1=1,INDEX(新年度名簿!$D$3:$D$452,$AD9),INDEX(前年度名簿!$D$3:$D$452,$AD9)))</f>
        <v/>
      </c>
      <c r="C9" s="65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M$7:$M$456,MATCH($AD9,振り分け!$P$7:$P$456,0))="転出","転出",IF(INDEX(振り分け!$L$7:$L$456,MATCH($AD9,振り分け!$P$7:$P$456,0))="","未決定",INDEX(振り分け!$L$7:$L$456,MATCH($AD9,振り分け!$P$7:$P$456,0)))),"未決定")))</f>
        <v/>
      </c>
      <c r="D9" s="65">
        <f>IF($AE9="","",IF(計算用!$B$1=1,INDEX(新年度名簿!$C$3:$C$452,$AE9),INDEX(前年度名簿!$C$3:$C$452,$AE9)))</f>
        <v/>
      </c>
      <c r="E9" s="66">
        <f>IF($AE9="","",IF(計算用!$B$1=1,INDEX(新年度名簿!$D$3:$D$452,$AE9),INDEX(前年度名簿!$D$3:$D$452,$AE9)))</f>
        <v/>
      </c>
      <c r="F9" s="65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M$7:$M$456,MATCH($AE9,振り分け!$P$7:$P$456,0))="転出","転出",IF(INDEX(振り分け!$L$7:$L$456,MATCH($AE9,振り分け!$P$7:$P$456,0))="","未決定",INDEX(振り分け!$L$7:$L$456,MATCH($AE9,振り分け!$P$7:$P$456,0)))),"未決定")))</f>
        <v/>
      </c>
      <c r="G9" s="65">
        <f>IF($AF9="","",IF(計算用!$B$1=1,INDEX(新年度名簿!$C$3:$C$452,$AF9),INDEX(前年度名簿!$C$3:$C$452,$AF9)))</f>
        <v/>
      </c>
      <c r="H9" s="66">
        <f>IF($AF9="","",IF(計算用!$B$1=1,INDEX(新年度名簿!$D$3:$D$452,$AF9),INDEX(前年度名簿!$D$3:$D$452,$AF9)))</f>
        <v/>
      </c>
      <c r="I9" s="65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M$7:$M$456,MATCH($AF9,振り分け!$P$7:$P$456,0))="転出","転出",IF(INDEX(振り分け!$L$7:$L$456,MATCH($AF9,振り分け!$P$7:$P$456,0))="","未決定",INDEX(振り分け!$L$7:$L$456,MATCH($AF9,振り分け!$P$7:$P$456,0)))),"未決定")))</f>
        <v/>
      </c>
      <c r="J9" s="65">
        <f>IF($AG9="","",IF(計算用!$B$1=1,INDEX(新年度名簿!$C$3:$C$452,$AG9),INDEX(前年度名簿!$C$3:$C$452,$AG9)))</f>
        <v/>
      </c>
      <c r="K9" s="66">
        <f>IF($AG9="","",IF(計算用!$B$1=1,INDEX(新年度名簿!$D$3:$D$452,$AG9),INDEX(前年度名簿!$D$3:$D$452,$AG9)))</f>
        <v/>
      </c>
      <c r="L9" s="65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M$7:$M$456,MATCH($AG9,振り分け!$P$7:$P$456,0))="転出","転出",IF(INDEX(振り分け!$L$7:$L$456,MATCH($AG9,振り分け!$P$7:$P$456,0))="","未決定",INDEX(振り分け!$L$7:$L$456,MATCH($AG9,振り分け!$P$7:$P$456,0)))),"未決定")))</f>
        <v/>
      </c>
      <c r="M9" s="65">
        <f>IF($AH9="","",IF(計算用!$B$1=1,INDEX(新年度名簿!$C$3:$C$452,$AH9),INDEX(前年度名簿!$C$3:$C$452,$AH9)))</f>
        <v/>
      </c>
      <c r="N9" s="66">
        <f>IF($AH9="","",IF(計算用!$B$1=1,INDEX(新年度名簿!$D$3:$D$452,$AH9),INDEX(前年度名簿!$D$3:$D$452,$AH9)))</f>
        <v/>
      </c>
      <c r="O9" s="65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M$7:$M$456,MATCH($AH9,振り分け!$P$7:$P$456,0))="転出","転出",IF(INDEX(振り分け!$L$7:$L$456,MATCH($AH9,振り分け!$P$7:$P$456,0))="","未決定",INDEX(振り分け!$L$7:$L$456,MATCH($AH9,振り分け!$P$7:$P$456,0)))),"未決定")))</f>
        <v/>
      </c>
      <c r="P9" s="65">
        <f>IF($AI9="","",IF(計算用!$B$1=1,INDEX(新年度名簿!$C$3:$C$452,$AI9),INDEX(前年度名簿!$C$3:$C$452,$AI9)))</f>
        <v/>
      </c>
      <c r="Q9" s="66">
        <f>IF($AI9="","",IF(計算用!$B$1=1,INDEX(新年度名簿!$D$3:$D$452,$AI9),INDEX(前年度名簿!$D$3:$D$452,$AI9)))</f>
        <v/>
      </c>
      <c r="R9" s="65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M$7:$M$456,MATCH($AI9,振り分け!$P$7:$P$456,0))="転出","転出",IF(INDEX(振り分け!$L$7:$L$456,MATCH($AI9,振り分け!$P$7:$P$456,0))="","未決定",INDEX(振り分け!$L$7:$L$456,MATCH($AI9,振り分け!$P$7:$P$456,0)))),"未決定")))</f>
        <v/>
      </c>
      <c r="S9" s="65">
        <f>IF($AJ9="","",IF(計算用!$B$1=1,INDEX(新年度名簿!$C$3:$C$452,$AJ9),INDEX(前年度名簿!$C$3:$C$452,$AJ9)))</f>
        <v/>
      </c>
      <c r="T9" s="66">
        <f>IF($AJ9="","",IF(計算用!$B$1=1,INDEX(新年度名簿!$D$3:$D$452,$AJ9),INDEX(前年度名簿!$D$3:$D$452,$AJ9)))</f>
        <v/>
      </c>
      <c r="U9" s="65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M$7:$M$456,MATCH($AJ9,振り分け!$P$7:$P$456,0))="転出","転出",IF(INDEX(振り分け!$L$7:$L$456,MATCH($AJ9,振り分け!$P$7:$P$456,0))="","未決定",INDEX(振り分け!$L$7:$L$456,MATCH($AJ9,振り分け!$P$7:$P$456,0)))),"未決定")))</f>
        <v/>
      </c>
      <c r="V9" s="65">
        <f>IF($AK9="","",IF(計算用!$B$1=1,INDEX(新年度名簿!$C$3:$C$452,$AK9),INDEX(前年度名簿!$C$3:$C$452,$AK9)))</f>
        <v/>
      </c>
      <c r="W9" s="66">
        <f>IF($AK9="","",IF(計算用!$B$1=1,INDEX(新年度名簿!$D$3:$D$452,$AK9),INDEX(前年度名簿!$D$3:$D$452,$AK9)))</f>
        <v/>
      </c>
      <c r="X9" s="65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M$7:$M$456,MATCH($AK9,振り分け!$P$7:$P$456,0))="転出","転出",IF(INDEX(振り分け!$L$7:$L$456,MATCH($AK9,振り分け!$P$7:$P$456,0))="","未決定",INDEX(振り分け!$L$7:$L$456,MATCH($AK9,振り分け!$P$7:$P$456,0)))),"未決定")))</f>
        <v/>
      </c>
      <c r="AD9" s="63">
        <f>IF(計算用!$B$1=1,IFERROR(IF(SMALL(新年度名簿!$J$3:$J$452,$AD$3+5)&lt;2000,MATCH(SMALL(新年度名簿!$J$3:$J$452,$AD$3+5),新年度名簿!$J$3:$J$452,0),""),""),IFERROR(IF(SMALL(前年度名簿!$G$3:$G$452,$AD$3+5)&lt;2000,MATCH(SMALL(前年度名簿!$G$3:$G$452,$AD$3+5),前年度名簿!$G$3:$G$452,0),""),""))</f>
        <v/>
      </c>
      <c r="AE9" s="63">
        <f>IF(計算用!$B$1=1,IFERROR(IF(SMALL(新年度名簿!$J$3:$J$452,$AE$3+5)&lt;3000,MATCH(SMALL(新年度名簿!$J$3:$J$452,$AE$3+5),新年度名簿!$J$3:$J$452,0),""),""),IFERROR(IF(SMALL(前年度名簿!$G$3:$G$452,$AE$3+5)&lt;3000,MATCH(SMALL(前年度名簿!$G$3:$G$452,$AE$3+5),前年度名簿!$G$3:$G$452,0),""),""))</f>
        <v/>
      </c>
      <c r="AF9" s="63">
        <f>IF(計算用!$B$1=1,IFERROR(IF(SMALL(新年度名簿!$J$3:$J$452,$AF$3+5)&lt;4000,MATCH(SMALL(新年度名簿!$J$3:$J$452,$AF$3+5),新年度名簿!$J$3:$J$452,0),""),""),IFERROR(IF(SMALL(前年度名簿!$G$3:$G$452,$AF$3+5)&lt;4000,MATCH(SMALL(前年度名簿!$G$3:$G$452,$AF$3+5),前年度名簿!$G$3:$G$452,0),""),""))</f>
        <v/>
      </c>
      <c r="AG9" s="63">
        <f>IF(計算用!$B$1=1,IFERROR(IF(SMALL(新年度名簿!$J$3:$J$452,$AG$3+5)&lt;5000,MATCH(SMALL(新年度名簿!$J$3:$J$452,$AG$3+5),新年度名簿!$J$3:$J$452,0),""),""),IFERROR(IF(SMALL(前年度名簿!$G$3:$G$452,$AG$3+5)&lt;5000,MATCH(SMALL(前年度名簿!$G$3:$G$452,$AG$3+5),前年度名簿!$G$3:$G$452,0),""),""))</f>
        <v/>
      </c>
      <c r="AH9" s="63">
        <f>IF(計算用!$B$1=1,IFERROR(IF(SMALL(新年度名簿!$J$3:$J$452,$AH$3+5)&lt;6000,MATCH(SMALL(新年度名簿!$J$3:$J$452,$AH$3+5),新年度名簿!$J$3:$J$452,0),""),""),IFERROR(IF(SMALL(前年度名簿!$G$3:$G$452,$AH$3+5)&lt;6000,MATCH(SMALL(前年度名簿!$G$3:$G$452,$AH$3+5),前年度名簿!$G$3:$G$452,0),""),""))</f>
        <v/>
      </c>
      <c r="AI9" s="63">
        <f>IF(計算用!$B$1=1,IFERROR(IF(SMALL(新年度名簿!$J$3:$J$452,$AI$3+5)&lt;7000,MATCH(SMALL(新年度名簿!$J$3:$J$452,$AI$3+5),新年度名簿!$J$3:$J$452,0),""),""),IFERROR(IF(SMALL(前年度名簿!$G$3:$G$452,$AI$3+5)&lt;7000,MATCH(SMALL(前年度名簿!$G$3:$G$452,$AI$3+5),前年度名簿!$G$3:$G$452,0),""),""))</f>
        <v/>
      </c>
      <c r="AJ9" s="63">
        <f>IF(計算用!$B$1=1,IFERROR(IF(SMALL(新年度名簿!$J$3:$J$452,$AJ$3+5)&lt;8000,MATCH(SMALL(新年度名簿!$J$3:$J$452,$AJ$3+5),新年度名簿!$J$3:$J$452,0),""),""),IFERROR(IF(SMALL(前年度名簿!$G$3:$G$452,$AJ$3+5)&lt;8000,MATCH(SMALL(前年度名簿!$G$3:$G$452,$AJ$3+5),前年度名簿!$G$3:$G$452,0),""),""))</f>
        <v/>
      </c>
      <c r="AK9" s="63">
        <f>IF(計算用!$B$1=1,IFERROR(IF(SMALL(新年度名簿!$J$3:$J$452,$AK$3+5)&lt;9000,MATCH(SMALL(新年度名簿!$J$3:$J$452,$AK$3+5),新年度名簿!$J$3:$J$452,0),""),""),IFERROR(IF(SMALL(前年度名簿!$G$3:$G$452,$AK$3+5)&lt;9000,MATCH(SMALL(前年度名簿!$G$3:$G$452,$AK$3+5),前年度名簿!$G$3:$G$452,0),""),""))</f>
        <v/>
      </c>
    </row>
    <row r="10">
      <c r="A10" s="65">
        <f>IF($AD10="","",IF(計算用!$B$1=1,INDEX(新年度名簿!$C$3:$C$452,$AD10),INDEX(前年度名簿!$C$3:$C$452,$AD10)))</f>
        <v/>
      </c>
      <c r="B10" s="66">
        <f>IF($AD10="","",IF(計算用!$B$1=1,INDEX(新年度名簿!$D$3:$D$452,$AD10),INDEX(前年度名簿!$D$3:$D$452,$AD10)))</f>
        <v/>
      </c>
      <c r="C10" s="65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M$7:$M$456,MATCH($AD10,振り分け!$P$7:$P$456,0))="転出","転出",IF(INDEX(振り分け!$L$7:$L$456,MATCH($AD10,振り分け!$P$7:$P$456,0))="","未決定",INDEX(振り分け!$L$7:$L$456,MATCH($AD10,振り分け!$P$7:$P$456,0)))),"未決定")))</f>
        <v/>
      </c>
      <c r="D10" s="65">
        <f>IF($AE10="","",IF(計算用!$B$1=1,INDEX(新年度名簿!$C$3:$C$452,$AE10),INDEX(前年度名簿!$C$3:$C$452,$AE10)))</f>
        <v/>
      </c>
      <c r="E10" s="66">
        <f>IF($AE10="","",IF(計算用!$B$1=1,INDEX(新年度名簿!$D$3:$D$452,$AE10),INDEX(前年度名簿!$D$3:$D$452,$AE10)))</f>
        <v/>
      </c>
      <c r="F10" s="65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M$7:$M$456,MATCH($AE10,振り分け!$P$7:$P$456,0))="転出","転出",IF(INDEX(振り分け!$L$7:$L$456,MATCH($AE10,振り分け!$P$7:$P$456,0))="","未決定",INDEX(振り分け!$L$7:$L$456,MATCH($AE10,振り分け!$P$7:$P$456,0)))),"未決定")))</f>
        <v/>
      </c>
      <c r="G10" s="65">
        <f>IF($AF10="","",IF(計算用!$B$1=1,INDEX(新年度名簿!$C$3:$C$452,$AF10),INDEX(前年度名簿!$C$3:$C$452,$AF10)))</f>
        <v/>
      </c>
      <c r="H10" s="66">
        <f>IF($AF10="","",IF(計算用!$B$1=1,INDEX(新年度名簿!$D$3:$D$452,$AF10),INDEX(前年度名簿!$D$3:$D$452,$AF10)))</f>
        <v/>
      </c>
      <c r="I10" s="65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M$7:$M$456,MATCH($AF10,振り分け!$P$7:$P$456,0))="転出","転出",IF(INDEX(振り分け!$L$7:$L$456,MATCH($AF10,振り分け!$P$7:$P$456,0))="","未決定",INDEX(振り分け!$L$7:$L$456,MATCH($AF10,振り分け!$P$7:$P$456,0)))),"未決定")))</f>
        <v/>
      </c>
      <c r="J10" s="65">
        <f>IF($AG10="","",IF(計算用!$B$1=1,INDEX(新年度名簿!$C$3:$C$452,$AG10),INDEX(前年度名簿!$C$3:$C$452,$AG10)))</f>
        <v/>
      </c>
      <c r="K10" s="66">
        <f>IF($AG10="","",IF(計算用!$B$1=1,INDEX(新年度名簿!$D$3:$D$452,$AG10),INDEX(前年度名簿!$D$3:$D$452,$AG10)))</f>
        <v/>
      </c>
      <c r="L10" s="65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M$7:$M$456,MATCH($AG10,振り分け!$P$7:$P$456,0))="転出","転出",IF(INDEX(振り分け!$L$7:$L$456,MATCH($AG10,振り分け!$P$7:$P$456,0))="","未決定",INDEX(振り分け!$L$7:$L$456,MATCH($AG10,振り分け!$P$7:$P$456,0)))),"未決定")))</f>
        <v/>
      </c>
      <c r="M10" s="65">
        <f>IF($AH10="","",IF(計算用!$B$1=1,INDEX(新年度名簿!$C$3:$C$452,$AH10),INDEX(前年度名簿!$C$3:$C$452,$AH10)))</f>
        <v/>
      </c>
      <c r="N10" s="66">
        <f>IF($AH10="","",IF(計算用!$B$1=1,INDEX(新年度名簿!$D$3:$D$452,$AH10),INDEX(前年度名簿!$D$3:$D$452,$AH10)))</f>
        <v/>
      </c>
      <c r="O10" s="65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M$7:$M$456,MATCH($AH10,振り分け!$P$7:$P$456,0))="転出","転出",IF(INDEX(振り分け!$L$7:$L$456,MATCH($AH10,振り分け!$P$7:$P$456,0))="","未決定",INDEX(振り分け!$L$7:$L$456,MATCH($AH10,振り分け!$P$7:$P$456,0)))),"未決定")))</f>
        <v/>
      </c>
      <c r="P10" s="65">
        <f>IF($AI10="","",IF(計算用!$B$1=1,INDEX(新年度名簿!$C$3:$C$452,$AI10),INDEX(前年度名簿!$C$3:$C$452,$AI10)))</f>
        <v/>
      </c>
      <c r="Q10" s="66">
        <f>IF($AI10="","",IF(計算用!$B$1=1,INDEX(新年度名簿!$D$3:$D$452,$AI10),INDEX(前年度名簿!$D$3:$D$452,$AI10)))</f>
        <v/>
      </c>
      <c r="R10" s="65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M$7:$M$456,MATCH($AI10,振り分け!$P$7:$P$456,0))="転出","転出",IF(INDEX(振り分け!$L$7:$L$456,MATCH($AI10,振り分け!$P$7:$P$456,0))="","未決定",INDEX(振り分け!$L$7:$L$456,MATCH($AI10,振り分け!$P$7:$P$456,0)))),"未決定")))</f>
        <v/>
      </c>
      <c r="S10" s="65">
        <f>IF($AJ10="","",IF(計算用!$B$1=1,INDEX(新年度名簿!$C$3:$C$452,$AJ10),INDEX(前年度名簿!$C$3:$C$452,$AJ10)))</f>
        <v/>
      </c>
      <c r="T10" s="66">
        <f>IF($AJ10="","",IF(計算用!$B$1=1,INDEX(新年度名簿!$D$3:$D$452,$AJ10),INDEX(前年度名簿!$D$3:$D$452,$AJ10)))</f>
        <v/>
      </c>
      <c r="U10" s="65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M$7:$M$456,MATCH($AJ10,振り分け!$P$7:$P$456,0))="転出","転出",IF(INDEX(振り分け!$L$7:$L$456,MATCH($AJ10,振り分け!$P$7:$P$456,0))="","未決定",INDEX(振り分け!$L$7:$L$456,MATCH($AJ10,振り分け!$P$7:$P$456,0)))),"未決定")))</f>
        <v/>
      </c>
      <c r="V10" s="65">
        <f>IF($AK10="","",IF(計算用!$B$1=1,INDEX(新年度名簿!$C$3:$C$452,$AK10),INDEX(前年度名簿!$C$3:$C$452,$AK10)))</f>
        <v/>
      </c>
      <c r="W10" s="66">
        <f>IF($AK10="","",IF(計算用!$B$1=1,INDEX(新年度名簿!$D$3:$D$452,$AK10),INDEX(前年度名簿!$D$3:$D$452,$AK10)))</f>
        <v/>
      </c>
      <c r="X10" s="65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M$7:$M$456,MATCH($AK10,振り分け!$P$7:$P$456,0))="転出","転出",IF(INDEX(振り分け!$L$7:$L$456,MATCH($AK10,振り分け!$P$7:$P$456,0))="","未決定",INDEX(振り分け!$L$7:$L$456,MATCH($AK10,振り分け!$P$7:$P$456,0)))),"未決定")))</f>
        <v/>
      </c>
      <c r="AD10" s="63">
        <f>IF(計算用!$B$1=1,IFERROR(IF(SMALL(新年度名簿!$J$3:$J$452,$AD$3+6)&lt;2000,MATCH(SMALL(新年度名簿!$J$3:$J$452,$AD$3+6),新年度名簿!$J$3:$J$452,0),""),""),IFERROR(IF(SMALL(前年度名簿!$G$3:$G$452,$AD$3+6)&lt;2000,MATCH(SMALL(前年度名簿!$G$3:$G$452,$AD$3+6),前年度名簿!$G$3:$G$452,0),""),""))</f>
        <v/>
      </c>
      <c r="AE10" s="63">
        <f>IF(計算用!$B$1=1,IFERROR(IF(SMALL(新年度名簿!$J$3:$J$452,$AE$3+6)&lt;3000,MATCH(SMALL(新年度名簿!$J$3:$J$452,$AE$3+6),新年度名簿!$J$3:$J$452,0),""),""),IFERROR(IF(SMALL(前年度名簿!$G$3:$G$452,$AE$3+6)&lt;3000,MATCH(SMALL(前年度名簿!$G$3:$G$452,$AE$3+6),前年度名簿!$G$3:$G$452,0),""),""))</f>
        <v/>
      </c>
      <c r="AF10" s="63">
        <f>IF(計算用!$B$1=1,IFERROR(IF(SMALL(新年度名簿!$J$3:$J$452,$AF$3+6)&lt;4000,MATCH(SMALL(新年度名簿!$J$3:$J$452,$AF$3+6),新年度名簿!$J$3:$J$452,0),""),""),IFERROR(IF(SMALL(前年度名簿!$G$3:$G$452,$AF$3+6)&lt;4000,MATCH(SMALL(前年度名簿!$G$3:$G$452,$AF$3+6),前年度名簿!$G$3:$G$452,0),""),""))</f>
        <v/>
      </c>
      <c r="AG10" s="63">
        <f>IF(計算用!$B$1=1,IFERROR(IF(SMALL(新年度名簿!$J$3:$J$452,$AG$3+6)&lt;5000,MATCH(SMALL(新年度名簿!$J$3:$J$452,$AG$3+6),新年度名簿!$J$3:$J$452,0),""),""),IFERROR(IF(SMALL(前年度名簿!$G$3:$G$452,$AG$3+6)&lt;5000,MATCH(SMALL(前年度名簿!$G$3:$G$452,$AG$3+6),前年度名簿!$G$3:$G$452,0),""),""))</f>
        <v/>
      </c>
      <c r="AH10" s="63">
        <f>IF(計算用!$B$1=1,IFERROR(IF(SMALL(新年度名簿!$J$3:$J$452,$AH$3+6)&lt;6000,MATCH(SMALL(新年度名簿!$J$3:$J$452,$AH$3+6),新年度名簿!$J$3:$J$452,0),""),""),IFERROR(IF(SMALL(前年度名簿!$G$3:$G$452,$AH$3+6)&lt;6000,MATCH(SMALL(前年度名簿!$G$3:$G$452,$AH$3+6),前年度名簿!$G$3:$G$452,0),""),""))</f>
        <v/>
      </c>
      <c r="AI10" s="63">
        <f>IF(計算用!$B$1=1,IFERROR(IF(SMALL(新年度名簿!$J$3:$J$452,$AI$3+6)&lt;7000,MATCH(SMALL(新年度名簿!$J$3:$J$452,$AI$3+6),新年度名簿!$J$3:$J$452,0),""),""),IFERROR(IF(SMALL(前年度名簿!$G$3:$G$452,$AI$3+6)&lt;7000,MATCH(SMALL(前年度名簿!$G$3:$G$452,$AI$3+6),前年度名簿!$G$3:$G$452,0),""),""))</f>
        <v/>
      </c>
      <c r="AJ10" s="63">
        <f>IF(計算用!$B$1=1,IFERROR(IF(SMALL(新年度名簿!$J$3:$J$452,$AJ$3+6)&lt;8000,MATCH(SMALL(新年度名簿!$J$3:$J$452,$AJ$3+6),新年度名簿!$J$3:$J$452,0),""),""),IFERROR(IF(SMALL(前年度名簿!$G$3:$G$452,$AJ$3+6)&lt;8000,MATCH(SMALL(前年度名簿!$G$3:$G$452,$AJ$3+6),前年度名簿!$G$3:$G$452,0),""),""))</f>
        <v/>
      </c>
      <c r="AK10" s="63">
        <f>IF(計算用!$B$1=1,IFERROR(IF(SMALL(新年度名簿!$J$3:$J$452,$AK$3+6)&lt;9000,MATCH(SMALL(新年度名簿!$J$3:$J$452,$AK$3+6),新年度名簿!$J$3:$J$452,0),""),""),IFERROR(IF(SMALL(前年度名簿!$G$3:$G$452,$AK$3+6)&lt;9000,MATCH(SMALL(前年度名簿!$G$3:$G$452,$AK$3+6),前年度名簿!$G$3:$G$452,0),""),""))</f>
        <v/>
      </c>
    </row>
    <row r="11">
      <c r="A11" s="65">
        <f>IF($AD11="","",IF(計算用!$B$1=1,INDEX(新年度名簿!$C$3:$C$452,$AD11),INDEX(前年度名簿!$C$3:$C$452,$AD11)))</f>
        <v/>
      </c>
      <c r="B11" s="66">
        <f>IF($AD11="","",IF(計算用!$B$1=1,INDEX(新年度名簿!$D$3:$D$452,$AD11),INDEX(前年度名簿!$D$3:$D$452,$AD11)))</f>
        <v/>
      </c>
      <c r="C11" s="65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M$7:$M$456,MATCH($AD11,振り分け!$P$7:$P$456,0))="転出","転出",IF(INDEX(振り分け!$L$7:$L$456,MATCH($AD11,振り分け!$P$7:$P$456,0))="","未決定",INDEX(振り分け!$L$7:$L$456,MATCH($AD11,振り分け!$P$7:$P$456,0)))),"未決定")))</f>
        <v/>
      </c>
      <c r="D11" s="65">
        <f>IF($AE11="","",IF(計算用!$B$1=1,INDEX(新年度名簿!$C$3:$C$452,$AE11),INDEX(前年度名簿!$C$3:$C$452,$AE11)))</f>
        <v/>
      </c>
      <c r="E11" s="66">
        <f>IF($AE11="","",IF(計算用!$B$1=1,INDEX(新年度名簿!$D$3:$D$452,$AE11),INDEX(前年度名簿!$D$3:$D$452,$AE11)))</f>
        <v/>
      </c>
      <c r="F11" s="65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M$7:$M$456,MATCH($AE11,振り分け!$P$7:$P$456,0))="転出","転出",IF(INDEX(振り分け!$L$7:$L$456,MATCH($AE11,振り分け!$P$7:$P$456,0))="","未決定",INDEX(振り分け!$L$7:$L$456,MATCH($AE11,振り分け!$P$7:$P$456,0)))),"未決定")))</f>
        <v/>
      </c>
      <c r="G11" s="65">
        <f>IF($AF11="","",IF(計算用!$B$1=1,INDEX(新年度名簿!$C$3:$C$452,$AF11),INDEX(前年度名簿!$C$3:$C$452,$AF11)))</f>
        <v/>
      </c>
      <c r="H11" s="66">
        <f>IF($AF11="","",IF(計算用!$B$1=1,INDEX(新年度名簿!$D$3:$D$452,$AF11),INDEX(前年度名簿!$D$3:$D$452,$AF11)))</f>
        <v/>
      </c>
      <c r="I11" s="65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M$7:$M$456,MATCH($AF11,振り分け!$P$7:$P$456,0))="転出","転出",IF(INDEX(振り分け!$L$7:$L$456,MATCH($AF11,振り分け!$P$7:$P$456,0))="","未決定",INDEX(振り分け!$L$7:$L$456,MATCH($AF11,振り分け!$P$7:$P$456,0)))),"未決定")))</f>
        <v/>
      </c>
      <c r="J11" s="65">
        <f>IF($AG11="","",IF(計算用!$B$1=1,INDEX(新年度名簿!$C$3:$C$452,$AG11),INDEX(前年度名簿!$C$3:$C$452,$AG11)))</f>
        <v/>
      </c>
      <c r="K11" s="66">
        <f>IF($AG11="","",IF(計算用!$B$1=1,INDEX(新年度名簿!$D$3:$D$452,$AG11),INDEX(前年度名簿!$D$3:$D$452,$AG11)))</f>
        <v/>
      </c>
      <c r="L11" s="65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M$7:$M$456,MATCH($AG11,振り分け!$P$7:$P$456,0))="転出","転出",IF(INDEX(振り分け!$L$7:$L$456,MATCH($AG11,振り分け!$P$7:$P$456,0))="","未決定",INDEX(振り分け!$L$7:$L$456,MATCH($AG11,振り分け!$P$7:$P$456,0)))),"未決定")))</f>
        <v/>
      </c>
      <c r="M11" s="65">
        <f>IF($AH11="","",IF(計算用!$B$1=1,INDEX(新年度名簿!$C$3:$C$452,$AH11),INDEX(前年度名簿!$C$3:$C$452,$AH11)))</f>
        <v/>
      </c>
      <c r="N11" s="66">
        <f>IF($AH11="","",IF(計算用!$B$1=1,INDEX(新年度名簿!$D$3:$D$452,$AH11),INDEX(前年度名簿!$D$3:$D$452,$AH11)))</f>
        <v/>
      </c>
      <c r="O11" s="65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M$7:$M$456,MATCH($AH11,振り分け!$P$7:$P$456,0))="転出","転出",IF(INDEX(振り分け!$L$7:$L$456,MATCH($AH11,振り分け!$P$7:$P$456,0))="","未決定",INDEX(振り分け!$L$7:$L$456,MATCH($AH11,振り分け!$P$7:$P$456,0)))),"未決定")))</f>
        <v/>
      </c>
      <c r="P11" s="65">
        <f>IF($AI11="","",IF(計算用!$B$1=1,INDEX(新年度名簿!$C$3:$C$452,$AI11),INDEX(前年度名簿!$C$3:$C$452,$AI11)))</f>
        <v/>
      </c>
      <c r="Q11" s="66">
        <f>IF($AI11="","",IF(計算用!$B$1=1,INDEX(新年度名簿!$D$3:$D$452,$AI11),INDEX(前年度名簿!$D$3:$D$452,$AI11)))</f>
        <v/>
      </c>
      <c r="R11" s="65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M$7:$M$456,MATCH($AI11,振り分け!$P$7:$P$456,0))="転出","転出",IF(INDEX(振り分け!$L$7:$L$456,MATCH($AI11,振り分け!$P$7:$P$456,0))="","未決定",INDEX(振り分け!$L$7:$L$456,MATCH($AI11,振り分け!$P$7:$P$456,0)))),"未決定")))</f>
        <v/>
      </c>
      <c r="S11" s="65">
        <f>IF($AJ11="","",IF(計算用!$B$1=1,INDEX(新年度名簿!$C$3:$C$452,$AJ11),INDEX(前年度名簿!$C$3:$C$452,$AJ11)))</f>
        <v/>
      </c>
      <c r="T11" s="66">
        <f>IF($AJ11="","",IF(計算用!$B$1=1,INDEX(新年度名簿!$D$3:$D$452,$AJ11),INDEX(前年度名簿!$D$3:$D$452,$AJ11)))</f>
        <v/>
      </c>
      <c r="U11" s="65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M$7:$M$456,MATCH($AJ11,振り分け!$P$7:$P$456,0))="転出","転出",IF(INDEX(振り分け!$L$7:$L$456,MATCH($AJ11,振り分け!$P$7:$P$456,0))="","未決定",INDEX(振り分け!$L$7:$L$456,MATCH($AJ11,振り分け!$P$7:$P$456,0)))),"未決定")))</f>
        <v/>
      </c>
      <c r="V11" s="65">
        <f>IF($AK11="","",IF(計算用!$B$1=1,INDEX(新年度名簿!$C$3:$C$452,$AK11),INDEX(前年度名簿!$C$3:$C$452,$AK11)))</f>
        <v/>
      </c>
      <c r="W11" s="66">
        <f>IF($AK11="","",IF(計算用!$B$1=1,INDEX(新年度名簿!$D$3:$D$452,$AK11),INDEX(前年度名簿!$D$3:$D$452,$AK11)))</f>
        <v/>
      </c>
      <c r="X11" s="65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M$7:$M$456,MATCH($AK11,振り分け!$P$7:$P$456,0))="転出","転出",IF(INDEX(振り分け!$L$7:$L$456,MATCH($AK11,振り分け!$P$7:$P$456,0))="","未決定",INDEX(振り分け!$L$7:$L$456,MATCH($AK11,振り分け!$P$7:$P$456,0)))),"未決定")))</f>
        <v/>
      </c>
      <c r="AD11" s="63">
        <f>IF(計算用!$B$1=1,IFERROR(IF(SMALL(新年度名簿!$J$3:$J$452,$AD$3+7)&lt;2000,MATCH(SMALL(新年度名簿!$J$3:$J$452,$AD$3+7),新年度名簿!$J$3:$J$452,0),""),""),IFERROR(IF(SMALL(前年度名簿!$G$3:$G$452,$AD$3+7)&lt;2000,MATCH(SMALL(前年度名簿!$G$3:$G$452,$AD$3+7),前年度名簿!$G$3:$G$452,0),""),""))</f>
        <v/>
      </c>
      <c r="AE11" s="63">
        <f>IF(計算用!$B$1=1,IFERROR(IF(SMALL(新年度名簿!$J$3:$J$452,$AE$3+7)&lt;3000,MATCH(SMALL(新年度名簿!$J$3:$J$452,$AE$3+7),新年度名簿!$J$3:$J$452,0),""),""),IFERROR(IF(SMALL(前年度名簿!$G$3:$G$452,$AE$3+7)&lt;3000,MATCH(SMALL(前年度名簿!$G$3:$G$452,$AE$3+7),前年度名簿!$G$3:$G$452,0),""),""))</f>
        <v/>
      </c>
      <c r="AF11" s="63">
        <f>IF(計算用!$B$1=1,IFERROR(IF(SMALL(新年度名簿!$J$3:$J$452,$AF$3+7)&lt;4000,MATCH(SMALL(新年度名簿!$J$3:$J$452,$AF$3+7),新年度名簿!$J$3:$J$452,0),""),""),IFERROR(IF(SMALL(前年度名簿!$G$3:$G$452,$AF$3+7)&lt;4000,MATCH(SMALL(前年度名簿!$G$3:$G$452,$AF$3+7),前年度名簿!$G$3:$G$452,0),""),""))</f>
        <v/>
      </c>
      <c r="AG11" s="63">
        <f>IF(計算用!$B$1=1,IFERROR(IF(SMALL(新年度名簿!$J$3:$J$452,$AG$3+7)&lt;5000,MATCH(SMALL(新年度名簿!$J$3:$J$452,$AG$3+7),新年度名簿!$J$3:$J$452,0),""),""),IFERROR(IF(SMALL(前年度名簿!$G$3:$G$452,$AG$3+7)&lt;5000,MATCH(SMALL(前年度名簿!$G$3:$G$452,$AG$3+7),前年度名簿!$G$3:$G$452,0),""),""))</f>
        <v/>
      </c>
      <c r="AH11" s="63">
        <f>IF(計算用!$B$1=1,IFERROR(IF(SMALL(新年度名簿!$J$3:$J$452,$AH$3+7)&lt;6000,MATCH(SMALL(新年度名簿!$J$3:$J$452,$AH$3+7),新年度名簿!$J$3:$J$452,0),""),""),IFERROR(IF(SMALL(前年度名簿!$G$3:$G$452,$AH$3+7)&lt;6000,MATCH(SMALL(前年度名簿!$G$3:$G$452,$AH$3+7),前年度名簿!$G$3:$G$452,0),""),""))</f>
        <v/>
      </c>
      <c r="AI11" s="63">
        <f>IF(計算用!$B$1=1,IFERROR(IF(SMALL(新年度名簿!$J$3:$J$452,$AI$3+7)&lt;7000,MATCH(SMALL(新年度名簿!$J$3:$J$452,$AI$3+7),新年度名簿!$J$3:$J$452,0),""),""),IFERROR(IF(SMALL(前年度名簿!$G$3:$G$452,$AI$3+7)&lt;7000,MATCH(SMALL(前年度名簿!$G$3:$G$452,$AI$3+7),前年度名簿!$G$3:$G$452,0),""),""))</f>
        <v/>
      </c>
      <c r="AJ11" s="63">
        <f>IF(計算用!$B$1=1,IFERROR(IF(SMALL(新年度名簿!$J$3:$J$452,$AJ$3+7)&lt;8000,MATCH(SMALL(新年度名簿!$J$3:$J$452,$AJ$3+7),新年度名簿!$J$3:$J$452,0),""),""),IFERROR(IF(SMALL(前年度名簿!$G$3:$G$452,$AJ$3+7)&lt;8000,MATCH(SMALL(前年度名簿!$G$3:$G$452,$AJ$3+7),前年度名簿!$G$3:$G$452,0),""),""))</f>
        <v/>
      </c>
      <c r="AK11" s="63">
        <f>IF(計算用!$B$1=1,IFERROR(IF(SMALL(新年度名簿!$J$3:$J$452,$AK$3+7)&lt;9000,MATCH(SMALL(新年度名簿!$J$3:$J$452,$AK$3+7),新年度名簿!$J$3:$J$452,0),""),""),IFERROR(IF(SMALL(前年度名簿!$G$3:$G$452,$AK$3+7)&lt;9000,MATCH(SMALL(前年度名簿!$G$3:$G$452,$AK$3+7),前年度名簿!$G$3:$G$452,0),""),""))</f>
        <v/>
      </c>
    </row>
    <row r="12">
      <c r="A12" s="65">
        <f>IF($AD12="","",IF(計算用!$B$1=1,INDEX(新年度名簿!$C$3:$C$452,$AD12),INDEX(前年度名簿!$C$3:$C$452,$AD12)))</f>
        <v/>
      </c>
      <c r="B12" s="66">
        <f>IF($AD12="","",IF(計算用!$B$1=1,INDEX(新年度名簿!$D$3:$D$452,$AD12),INDEX(前年度名簿!$D$3:$D$452,$AD12)))</f>
        <v/>
      </c>
      <c r="C12" s="65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M$7:$M$456,MATCH($AD12,振り分け!$P$7:$P$456,0))="転出","転出",IF(INDEX(振り分け!$L$7:$L$456,MATCH($AD12,振り分け!$P$7:$P$456,0))="","未決定",INDEX(振り分け!$L$7:$L$456,MATCH($AD12,振り分け!$P$7:$P$456,0)))),"未決定")))</f>
        <v/>
      </c>
      <c r="D12" s="65">
        <f>IF($AE12="","",IF(計算用!$B$1=1,INDEX(新年度名簿!$C$3:$C$452,$AE12),INDEX(前年度名簿!$C$3:$C$452,$AE12)))</f>
        <v/>
      </c>
      <c r="E12" s="66">
        <f>IF($AE12="","",IF(計算用!$B$1=1,INDEX(新年度名簿!$D$3:$D$452,$AE12),INDEX(前年度名簿!$D$3:$D$452,$AE12)))</f>
        <v/>
      </c>
      <c r="F12" s="65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M$7:$M$456,MATCH($AE12,振り分け!$P$7:$P$456,0))="転出","転出",IF(INDEX(振り分け!$L$7:$L$456,MATCH($AE12,振り分け!$P$7:$P$456,0))="","未決定",INDEX(振り分け!$L$7:$L$456,MATCH($AE12,振り分け!$P$7:$P$456,0)))),"未決定")))</f>
        <v/>
      </c>
      <c r="G12" s="65">
        <f>IF($AF12="","",IF(計算用!$B$1=1,INDEX(新年度名簿!$C$3:$C$452,$AF12),INDEX(前年度名簿!$C$3:$C$452,$AF12)))</f>
        <v/>
      </c>
      <c r="H12" s="66">
        <f>IF($AF12="","",IF(計算用!$B$1=1,INDEX(新年度名簿!$D$3:$D$452,$AF12),INDEX(前年度名簿!$D$3:$D$452,$AF12)))</f>
        <v/>
      </c>
      <c r="I12" s="65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M$7:$M$456,MATCH($AF12,振り分け!$P$7:$P$456,0))="転出","転出",IF(INDEX(振り分け!$L$7:$L$456,MATCH($AF12,振り分け!$P$7:$P$456,0))="","未決定",INDEX(振り分け!$L$7:$L$456,MATCH($AF12,振り分け!$P$7:$P$456,0)))),"未決定")))</f>
        <v/>
      </c>
      <c r="J12" s="65">
        <f>IF($AG12="","",IF(計算用!$B$1=1,INDEX(新年度名簿!$C$3:$C$452,$AG12),INDEX(前年度名簿!$C$3:$C$452,$AG12)))</f>
        <v/>
      </c>
      <c r="K12" s="66">
        <f>IF($AG12="","",IF(計算用!$B$1=1,INDEX(新年度名簿!$D$3:$D$452,$AG12),INDEX(前年度名簿!$D$3:$D$452,$AG12)))</f>
        <v/>
      </c>
      <c r="L12" s="65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M$7:$M$456,MATCH($AG12,振り分け!$P$7:$P$456,0))="転出","転出",IF(INDEX(振り分け!$L$7:$L$456,MATCH($AG12,振り分け!$P$7:$P$456,0))="","未決定",INDEX(振り分け!$L$7:$L$456,MATCH($AG12,振り分け!$P$7:$P$456,0)))),"未決定")))</f>
        <v/>
      </c>
      <c r="M12" s="65">
        <f>IF($AH12="","",IF(計算用!$B$1=1,INDEX(新年度名簿!$C$3:$C$452,$AH12),INDEX(前年度名簿!$C$3:$C$452,$AH12)))</f>
        <v/>
      </c>
      <c r="N12" s="66">
        <f>IF($AH12="","",IF(計算用!$B$1=1,INDEX(新年度名簿!$D$3:$D$452,$AH12),INDEX(前年度名簿!$D$3:$D$452,$AH12)))</f>
        <v/>
      </c>
      <c r="O12" s="65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M$7:$M$456,MATCH($AH12,振り分け!$P$7:$P$456,0))="転出","転出",IF(INDEX(振り分け!$L$7:$L$456,MATCH($AH12,振り分け!$P$7:$P$456,0))="","未決定",INDEX(振り分け!$L$7:$L$456,MATCH($AH12,振り分け!$P$7:$P$456,0)))),"未決定")))</f>
        <v/>
      </c>
      <c r="P12" s="65">
        <f>IF($AI12="","",IF(計算用!$B$1=1,INDEX(新年度名簿!$C$3:$C$452,$AI12),INDEX(前年度名簿!$C$3:$C$452,$AI12)))</f>
        <v/>
      </c>
      <c r="Q12" s="66">
        <f>IF($AI12="","",IF(計算用!$B$1=1,INDEX(新年度名簿!$D$3:$D$452,$AI12),INDEX(前年度名簿!$D$3:$D$452,$AI12)))</f>
        <v/>
      </c>
      <c r="R12" s="65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M$7:$M$456,MATCH($AI12,振り分け!$P$7:$P$456,0))="転出","転出",IF(INDEX(振り分け!$L$7:$L$456,MATCH($AI12,振り分け!$P$7:$P$456,0))="","未決定",INDEX(振り分け!$L$7:$L$456,MATCH($AI12,振り分け!$P$7:$P$456,0)))),"未決定")))</f>
        <v/>
      </c>
      <c r="S12" s="65">
        <f>IF($AJ12="","",IF(計算用!$B$1=1,INDEX(新年度名簿!$C$3:$C$452,$AJ12),INDEX(前年度名簿!$C$3:$C$452,$AJ12)))</f>
        <v/>
      </c>
      <c r="T12" s="66">
        <f>IF($AJ12="","",IF(計算用!$B$1=1,INDEX(新年度名簿!$D$3:$D$452,$AJ12),INDEX(前年度名簿!$D$3:$D$452,$AJ12)))</f>
        <v/>
      </c>
      <c r="U12" s="65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M$7:$M$456,MATCH($AJ12,振り分け!$P$7:$P$456,0))="転出","転出",IF(INDEX(振り分け!$L$7:$L$456,MATCH($AJ12,振り分け!$P$7:$P$456,0))="","未決定",INDEX(振り分け!$L$7:$L$456,MATCH($AJ12,振り分け!$P$7:$P$456,0)))),"未決定")))</f>
        <v/>
      </c>
      <c r="V12" s="65">
        <f>IF($AK12="","",IF(計算用!$B$1=1,INDEX(新年度名簿!$C$3:$C$452,$AK12),INDEX(前年度名簿!$C$3:$C$452,$AK12)))</f>
        <v/>
      </c>
      <c r="W12" s="66">
        <f>IF($AK12="","",IF(計算用!$B$1=1,INDEX(新年度名簿!$D$3:$D$452,$AK12),INDEX(前年度名簿!$D$3:$D$452,$AK12)))</f>
        <v/>
      </c>
      <c r="X12" s="65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M$7:$M$456,MATCH($AK12,振り分け!$P$7:$P$456,0))="転出","転出",IF(INDEX(振り分け!$L$7:$L$456,MATCH($AK12,振り分け!$P$7:$P$456,0))="","未決定",INDEX(振り分け!$L$7:$L$456,MATCH($AK12,振り分け!$P$7:$P$456,0)))),"未決定")))</f>
        <v/>
      </c>
      <c r="AD12" s="63">
        <f>IF(計算用!$B$1=1,IFERROR(IF(SMALL(新年度名簿!$J$3:$J$452,$AD$3+8)&lt;2000,MATCH(SMALL(新年度名簿!$J$3:$J$452,$AD$3+8),新年度名簿!$J$3:$J$452,0),""),""),IFERROR(IF(SMALL(前年度名簿!$G$3:$G$452,$AD$3+8)&lt;2000,MATCH(SMALL(前年度名簿!$G$3:$G$452,$AD$3+8),前年度名簿!$G$3:$G$452,0),""),""))</f>
        <v/>
      </c>
      <c r="AE12" s="63">
        <f>IF(計算用!$B$1=1,IFERROR(IF(SMALL(新年度名簿!$J$3:$J$452,$AE$3+8)&lt;3000,MATCH(SMALL(新年度名簿!$J$3:$J$452,$AE$3+8),新年度名簿!$J$3:$J$452,0),""),""),IFERROR(IF(SMALL(前年度名簿!$G$3:$G$452,$AE$3+8)&lt;3000,MATCH(SMALL(前年度名簿!$G$3:$G$452,$AE$3+8),前年度名簿!$G$3:$G$452,0),""),""))</f>
        <v/>
      </c>
      <c r="AF12" s="63">
        <f>IF(計算用!$B$1=1,IFERROR(IF(SMALL(新年度名簿!$J$3:$J$452,$AF$3+8)&lt;4000,MATCH(SMALL(新年度名簿!$J$3:$J$452,$AF$3+8),新年度名簿!$J$3:$J$452,0),""),""),IFERROR(IF(SMALL(前年度名簿!$G$3:$G$452,$AF$3+8)&lt;4000,MATCH(SMALL(前年度名簿!$G$3:$G$452,$AF$3+8),前年度名簿!$G$3:$G$452,0),""),""))</f>
        <v/>
      </c>
      <c r="AG12" s="63">
        <f>IF(計算用!$B$1=1,IFERROR(IF(SMALL(新年度名簿!$J$3:$J$452,$AG$3+8)&lt;5000,MATCH(SMALL(新年度名簿!$J$3:$J$452,$AG$3+8),新年度名簿!$J$3:$J$452,0),""),""),IFERROR(IF(SMALL(前年度名簿!$G$3:$G$452,$AG$3+8)&lt;5000,MATCH(SMALL(前年度名簿!$G$3:$G$452,$AG$3+8),前年度名簿!$G$3:$G$452,0),""),""))</f>
        <v/>
      </c>
      <c r="AH12" s="63">
        <f>IF(計算用!$B$1=1,IFERROR(IF(SMALL(新年度名簿!$J$3:$J$452,$AH$3+8)&lt;6000,MATCH(SMALL(新年度名簿!$J$3:$J$452,$AH$3+8),新年度名簿!$J$3:$J$452,0),""),""),IFERROR(IF(SMALL(前年度名簿!$G$3:$G$452,$AH$3+8)&lt;6000,MATCH(SMALL(前年度名簿!$G$3:$G$452,$AH$3+8),前年度名簿!$G$3:$G$452,0),""),""))</f>
        <v/>
      </c>
      <c r="AI12" s="63">
        <f>IF(計算用!$B$1=1,IFERROR(IF(SMALL(新年度名簿!$J$3:$J$452,$AI$3+8)&lt;7000,MATCH(SMALL(新年度名簿!$J$3:$J$452,$AI$3+8),新年度名簿!$J$3:$J$452,0),""),""),IFERROR(IF(SMALL(前年度名簿!$G$3:$G$452,$AI$3+8)&lt;7000,MATCH(SMALL(前年度名簿!$G$3:$G$452,$AI$3+8),前年度名簿!$G$3:$G$452,0),""),""))</f>
        <v/>
      </c>
      <c r="AJ12" s="63">
        <f>IF(計算用!$B$1=1,IFERROR(IF(SMALL(新年度名簿!$J$3:$J$452,$AJ$3+8)&lt;8000,MATCH(SMALL(新年度名簿!$J$3:$J$452,$AJ$3+8),新年度名簿!$J$3:$J$452,0),""),""),IFERROR(IF(SMALL(前年度名簿!$G$3:$G$452,$AJ$3+8)&lt;8000,MATCH(SMALL(前年度名簿!$G$3:$G$452,$AJ$3+8),前年度名簿!$G$3:$G$452,0),""),""))</f>
        <v/>
      </c>
      <c r="AK12" s="63">
        <f>IF(計算用!$B$1=1,IFERROR(IF(SMALL(新年度名簿!$J$3:$J$452,$AK$3+8)&lt;9000,MATCH(SMALL(新年度名簿!$J$3:$J$452,$AK$3+8),新年度名簿!$J$3:$J$452,0),""),""),IFERROR(IF(SMALL(前年度名簿!$G$3:$G$452,$AK$3+8)&lt;9000,MATCH(SMALL(前年度名簿!$G$3:$G$452,$AK$3+8),前年度名簿!$G$3:$G$452,0),""),""))</f>
        <v/>
      </c>
    </row>
    <row r="13">
      <c r="A13" s="65">
        <f>IF($AD13="","",IF(計算用!$B$1=1,INDEX(新年度名簿!$C$3:$C$452,$AD13),INDEX(前年度名簿!$C$3:$C$452,$AD13)))</f>
        <v/>
      </c>
      <c r="B13" s="66">
        <f>IF($AD13="","",IF(計算用!$B$1=1,INDEX(新年度名簿!$D$3:$D$452,$AD13),INDEX(前年度名簿!$D$3:$D$452,$AD13)))</f>
        <v/>
      </c>
      <c r="C13" s="65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M$7:$M$456,MATCH($AD13,振り分け!$P$7:$P$456,0))="転出","転出",IF(INDEX(振り分け!$L$7:$L$456,MATCH($AD13,振り分け!$P$7:$P$456,0))="","未決定",INDEX(振り分け!$L$7:$L$456,MATCH($AD13,振り分け!$P$7:$P$456,0)))),"未決定")))</f>
        <v/>
      </c>
      <c r="D13" s="65">
        <f>IF($AE13="","",IF(計算用!$B$1=1,INDEX(新年度名簿!$C$3:$C$452,$AE13),INDEX(前年度名簿!$C$3:$C$452,$AE13)))</f>
        <v/>
      </c>
      <c r="E13" s="66">
        <f>IF($AE13="","",IF(計算用!$B$1=1,INDEX(新年度名簿!$D$3:$D$452,$AE13),INDEX(前年度名簿!$D$3:$D$452,$AE13)))</f>
        <v/>
      </c>
      <c r="F13" s="65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M$7:$M$456,MATCH($AE13,振り分け!$P$7:$P$456,0))="転出","転出",IF(INDEX(振り分け!$L$7:$L$456,MATCH($AE13,振り分け!$P$7:$P$456,0))="","未決定",INDEX(振り分け!$L$7:$L$456,MATCH($AE13,振り分け!$P$7:$P$456,0)))),"未決定")))</f>
        <v/>
      </c>
      <c r="G13" s="65">
        <f>IF($AF13="","",IF(計算用!$B$1=1,INDEX(新年度名簿!$C$3:$C$452,$AF13),INDEX(前年度名簿!$C$3:$C$452,$AF13)))</f>
        <v/>
      </c>
      <c r="H13" s="66">
        <f>IF($AF13="","",IF(計算用!$B$1=1,INDEX(新年度名簿!$D$3:$D$452,$AF13),INDEX(前年度名簿!$D$3:$D$452,$AF13)))</f>
        <v/>
      </c>
      <c r="I13" s="65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M$7:$M$456,MATCH($AF13,振り分け!$P$7:$P$456,0))="転出","転出",IF(INDEX(振り分け!$L$7:$L$456,MATCH($AF13,振り分け!$P$7:$P$456,0))="","未決定",INDEX(振り分け!$L$7:$L$456,MATCH($AF13,振り分け!$P$7:$P$456,0)))),"未決定")))</f>
        <v/>
      </c>
      <c r="J13" s="65">
        <f>IF($AG13="","",IF(計算用!$B$1=1,INDEX(新年度名簿!$C$3:$C$452,$AG13),INDEX(前年度名簿!$C$3:$C$452,$AG13)))</f>
        <v/>
      </c>
      <c r="K13" s="66">
        <f>IF($AG13="","",IF(計算用!$B$1=1,INDEX(新年度名簿!$D$3:$D$452,$AG13),INDEX(前年度名簿!$D$3:$D$452,$AG13)))</f>
        <v/>
      </c>
      <c r="L13" s="65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M$7:$M$456,MATCH($AG13,振り分け!$P$7:$P$456,0))="転出","転出",IF(INDEX(振り分け!$L$7:$L$456,MATCH($AG13,振り分け!$P$7:$P$456,0))="","未決定",INDEX(振り分け!$L$7:$L$456,MATCH($AG13,振り分け!$P$7:$P$456,0)))),"未決定")))</f>
        <v/>
      </c>
      <c r="M13" s="65">
        <f>IF($AH13="","",IF(計算用!$B$1=1,INDEX(新年度名簿!$C$3:$C$452,$AH13),INDEX(前年度名簿!$C$3:$C$452,$AH13)))</f>
        <v/>
      </c>
      <c r="N13" s="66">
        <f>IF($AH13="","",IF(計算用!$B$1=1,INDEX(新年度名簿!$D$3:$D$452,$AH13),INDEX(前年度名簿!$D$3:$D$452,$AH13)))</f>
        <v/>
      </c>
      <c r="O13" s="65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M$7:$M$456,MATCH($AH13,振り分け!$P$7:$P$456,0))="転出","転出",IF(INDEX(振り分け!$L$7:$L$456,MATCH($AH13,振り分け!$P$7:$P$456,0))="","未決定",INDEX(振り分け!$L$7:$L$456,MATCH($AH13,振り分け!$P$7:$P$456,0)))),"未決定")))</f>
        <v/>
      </c>
      <c r="P13" s="65">
        <f>IF($AI13="","",IF(計算用!$B$1=1,INDEX(新年度名簿!$C$3:$C$452,$AI13),INDEX(前年度名簿!$C$3:$C$452,$AI13)))</f>
        <v/>
      </c>
      <c r="Q13" s="66">
        <f>IF($AI13="","",IF(計算用!$B$1=1,INDEX(新年度名簿!$D$3:$D$452,$AI13),INDEX(前年度名簿!$D$3:$D$452,$AI13)))</f>
        <v/>
      </c>
      <c r="R13" s="65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M$7:$M$456,MATCH($AI13,振り分け!$P$7:$P$456,0))="転出","転出",IF(INDEX(振り分け!$L$7:$L$456,MATCH($AI13,振り分け!$P$7:$P$456,0))="","未決定",INDEX(振り分け!$L$7:$L$456,MATCH($AI13,振り分け!$P$7:$P$456,0)))),"未決定")))</f>
        <v/>
      </c>
      <c r="S13" s="65">
        <f>IF($AJ13="","",IF(計算用!$B$1=1,INDEX(新年度名簿!$C$3:$C$452,$AJ13),INDEX(前年度名簿!$C$3:$C$452,$AJ13)))</f>
        <v/>
      </c>
      <c r="T13" s="66">
        <f>IF($AJ13="","",IF(計算用!$B$1=1,INDEX(新年度名簿!$D$3:$D$452,$AJ13),INDEX(前年度名簿!$D$3:$D$452,$AJ13)))</f>
        <v/>
      </c>
      <c r="U13" s="65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M$7:$M$456,MATCH($AJ13,振り分け!$P$7:$P$456,0))="転出","転出",IF(INDEX(振り分け!$L$7:$L$456,MATCH($AJ13,振り分け!$P$7:$P$456,0))="","未決定",INDEX(振り分け!$L$7:$L$456,MATCH($AJ13,振り分け!$P$7:$P$456,0)))),"未決定")))</f>
        <v/>
      </c>
      <c r="V13" s="65">
        <f>IF($AK13="","",IF(計算用!$B$1=1,INDEX(新年度名簿!$C$3:$C$452,$AK13),INDEX(前年度名簿!$C$3:$C$452,$AK13)))</f>
        <v/>
      </c>
      <c r="W13" s="66">
        <f>IF($AK13="","",IF(計算用!$B$1=1,INDEX(新年度名簿!$D$3:$D$452,$AK13),INDEX(前年度名簿!$D$3:$D$452,$AK13)))</f>
        <v/>
      </c>
      <c r="X13" s="65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M$7:$M$456,MATCH($AK13,振り分け!$P$7:$P$456,0))="転出","転出",IF(INDEX(振り分け!$L$7:$L$456,MATCH($AK13,振り分け!$P$7:$P$456,0))="","未決定",INDEX(振り分け!$L$7:$L$456,MATCH($AK13,振り分け!$P$7:$P$456,0)))),"未決定")))</f>
        <v/>
      </c>
      <c r="AD13" s="63">
        <f>IF(計算用!$B$1=1,IFERROR(IF(SMALL(新年度名簿!$J$3:$J$452,$AD$3+9)&lt;2000,MATCH(SMALL(新年度名簿!$J$3:$J$452,$AD$3+9),新年度名簿!$J$3:$J$452,0),""),""),IFERROR(IF(SMALL(前年度名簿!$G$3:$G$452,$AD$3+9)&lt;2000,MATCH(SMALL(前年度名簿!$G$3:$G$452,$AD$3+9),前年度名簿!$G$3:$G$452,0),""),""))</f>
        <v/>
      </c>
      <c r="AE13" s="63">
        <f>IF(計算用!$B$1=1,IFERROR(IF(SMALL(新年度名簿!$J$3:$J$452,$AE$3+9)&lt;3000,MATCH(SMALL(新年度名簿!$J$3:$J$452,$AE$3+9),新年度名簿!$J$3:$J$452,0),""),""),IFERROR(IF(SMALL(前年度名簿!$G$3:$G$452,$AE$3+9)&lt;3000,MATCH(SMALL(前年度名簿!$G$3:$G$452,$AE$3+9),前年度名簿!$G$3:$G$452,0),""),""))</f>
        <v/>
      </c>
      <c r="AF13" s="63">
        <f>IF(計算用!$B$1=1,IFERROR(IF(SMALL(新年度名簿!$J$3:$J$452,$AF$3+9)&lt;4000,MATCH(SMALL(新年度名簿!$J$3:$J$452,$AF$3+9),新年度名簿!$J$3:$J$452,0),""),""),IFERROR(IF(SMALL(前年度名簿!$G$3:$G$452,$AF$3+9)&lt;4000,MATCH(SMALL(前年度名簿!$G$3:$G$452,$AF$3+9),前年度名簿!$G$3:$G$452,0),""),""))</f>
        <v/>
      </c>
      <c r="AG13" s="63">
        <f>IF(計算用!$B$1=1,IFERROR(IF(SMALL(新年度名簿!$J$3:$J$452,$AG$3+9)&lt;5000,MATCH(SMALL(新年度名簿!$J$3:$J$452,$AG$3+9),新年度名簿!$J$3:$J$452,0),""),""),IFERROR(IF(SMALL(前年度名簿!$G$3:$G$452,$AG$3+9)&lt;5000,MATCH(SMALL(前年度名簿!$G$3:$G$452,$AG$3+9),前年度名簿!$G$3:$G$452,0),""),""))</f>
        <v/>
      </c>
      <c r="AH13" s="63">
        <f>IF(計算用!$B$1=1,IFERROR(IF(SMALL(新年度名簿!$J$3:$J$452,$AH$3+9)&lt;6000,MATCH(SMALL(新年度名簿!$J$3:$J$452,$AH$3+9),新年度名簿!$J$3:$J$452,0),""),""),IFERROR(IF(SMALL(前年度名簿!$G$3:$G$452,$AH$3+9)&lt;6000,MATCH(SMALL(前年度名簿!$G$3:$G$452,$AH$3+9),前年度名簿!$G$3:$G$452,0),""),""))</f>
        <v/>
      </c>
      <c r="AI13" s="63">
        <f>IF(計算用!$B$1=1,IFERROR(IF(SMALL(新年度名簿!$J$3:$J$452,$AI$3+9)&lt;7000,MATCH(SMALL(新年度名簿!$J$3:$J$452,$AI$3+9),新年度名簿!$J$3:$J$452,0),""),""),IFERROR(IF(SMALL(前年度名簿!$G$3:$G$452,$AI$3+9)&lt;7000,MATCH(SMALL(前年度名簿!$G$3:$G$452,$AI$3+9),前年度名簿!$G$3:$G$452,0),""),""))</f>
        <v/>
      </c>
      <c r="AJ13" s="63">
        <f>IF(計算用!$B$1=1,IFERROR(IF(SMALL(新年度名簿!$J$3:$J$452,$AJ$3+9)&lt;8000,MATCH(SMALL(新年度名簿!$J$3:$J$452,$AJ$3+9),新年度名簿!$J$3:$J$452,0),""),""),IFERROR(IF(SMALL(前年度名簿!$G$3:$G$452,$AJ$3+9)&lt;8000,MATCH(SMALL(前年度名簿!$G$3:$G$452,$AJ$3+9),前年度名簿!$G$3:$G$452,0),""),""))</f>
        <v/>
      </c>
      <c r="AK13" s="63">
        <f>IF(計算用!$B$1=1,IFERROR(IF(SMALL(新年度名簿!$J$3:$J$452,$AK$3+9)&lt;9000,MATCH(SMALL(新年度名簿!$J$3:$J$452,$AK$3+9),新年度名簿!$J$3:$J$452,0),""),""),IFERROR(IF(SMALL(前年度名簿!$G$3:$G$452,$AK$3+9)&lt;9000,MATCH(SMALL(前年度名簿!$G$3:$G$452,$AK$3+9),前年度名簿!$G$3:$G$452,0),""),""))</f>
        <v/>
      </c>
    </row>
    <row r="14">
      <c r="A14" s="65">
        <f>IF($AD14="","",IF(計算用!$B$1=1,INDEX(新年度名簿!$C$3:$C$452,$AD14),INDEX(前年度名簿!$C$3:$C$452,$AD14)))</f>
        <v/>
      </c>
      <c r="B14" s="66">
        <f>IF($AD14="","",IF(計算用!$B$1=1,INDEX(新年度名簿!$D$3:$D$452,$AD14),INDEX(前年度名簿!$D$3:$D$452,$AD14)))</f>
        <v/>
      </c>
      <c r="C14" s="65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M$7:$M$456,MATCH($AD14,振り分け!$P$7:$P$456,0))="転出","転出",IF(INDEX(振り分け!$L$7:$L$456,MATCH($AD14,振り分け!$P$7:$P$456,0))="","未決定",INDEX(振り分け!$L$7:$L$456,MATCH($AD14,振り分け!$P$7:$P$456,0)))),"未決定")))</f>
        <v/>
      </c>
      <c r="D14" s="65">
        <f>IF($AE14="","",IF(計算用!$B$1=1,INDEX(新年度名簿!$C$3:$C$452,$AE14),INDEX(前年度名簿!$C$3:$C$452,$AE14)))</f>
        <v/>
      </c>
      <c r="E14" s="66">
        <f>IF($AE14="","",IF(計算用!$B$1=1,INDEX(新年度名簿!$D$3:$D$452,$AE14),INDEX(前年度名簿!$D$3:$D$452,$AE14)))</f>
        <v/>
      </c>
      <c r="F14" s="65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M$7:$M$456,MATCH($AE14,振り分け!$P$7:$P$456,0))="転出","転出",IF(INDEX(振り分け!$L$7:$L$456,MATCH($AE14,振り分け!$P$7:$P$456,0))="","未決定",INDEX(振り分け!$L$7:$L$456,MATCH($AE14,振り分け!$P$7:$P$456,0)))),"未決定")))</f>
        <v/>
      </c>
      <c r="G14" s="65">
        <f>IF($AF14="","",IF(計算用!$B$1=1,INDEX(新年度名簿!$C$3:$C$452,$AF14),INDEX(前年度名簿!$C$3:$C$452,$AF14)))</f>
        <v/>
      </c>
      <c r="H14" s="66">
        <f>IF($AF14="","",IF(計算用!$B$1=1,INDEX(新年度名簿!$D$3:$D$452,$AF14),INDEX(前年度名簿!$D$3:$D$452,$AF14)))</f>
        <v/>
      </c>
      <c r="I14" s="65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M$7:$M$456,MATCH($AF14,振り分け!$P$7:$P$456,0))="転出","転出",IF(INDEX(振り分け!$L$7:$L$456,MATCH($AF14,振り分け!$P$7:$P$456,0))="","未決定",INDEX(振り分け!$L$7:$L$456,MATCH($AF14,振り分け!$P$7:$P$456,0)))),"未決定")))</f>
        <v/>
      </c>
      <c r="J14" s="65">
        <f>IF($AG14="","",IF(計算用!$B$1=1,INDEX(新年度名簿!$C$3:$C$452,$AG14),INDEX(前年度名簿!$C$3:$C$452,$AG14)))</f>
        <v/>
      </c>
      <c r="K14" s="66">
        <f>IF($AG14="","",IF(計算用!$B$1=1,INDEX(新年度名簿!$D$3:$D$452,$AG14),INDEX(前年度名簿!$D$3:$D$452,$AG14)))</f>
        <v/>
      </c>
      <c r="L14" s="65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M$7:$M$456,MATCH($AG14,振り分け!$P$7:$P$456,0))="転出","転出",IF(INDEX(振り分け!$L$7:$L$456,MATCH($AG14,振り分け!$P$7:$P$456,0))="","未決定",INDEX(振り分け!$L$7:$L$456,MATCH($AG14,振り分け!$P$7:$P$456,0)))),"未決定")))</f>
        <v/>
      </c>
      <c r="M14" s="65">
        <f>IF($AH14="","",IF(計算用!$B$1=1,INDEX(新年度名簿!$C$3:$C$452,$AH14),INDEX(前年度名簿!$C$3:$C$452,$AH14)))</f>
        <v/>
      </c>
      <c r="N14" s="66">
        <f>IF($AH14="","",IF(計算用!$B$1=1,INDEX(新年度名簿!$D$3:$D$452,$AH14),INDEX(前年度名簿!$D$3:$D$452,$AH14)))</f>
        <v/>
      </c>
      <c r="O14" s="65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M$7:$M$456,MATCH($AH14,振り分け!$P$7:$P$456,0))="転出","転出",IF(INDEX(振り分け!$L$7:$L$456,MATCH($AH14,振り分け!$P$7:$P$456,0))="","未決定",INDEX(振り分け!$L$7:$L$456,MATCH($AH14,振り分け!$P$7:$P$456,0)))),"未決定")))</f>
        <v/>
      </c>
      <c r="P14" s="65">
        <f>IF($AI14="","",IF(計算用!$B$1=1,INDEX(新年度名簿!$C$3:$C$452,$AI14),INDEX(前年度名簿!$C$3:$C$452,$AI14)))</f>
        <v/>
      </c>
      <c r="Q14" s="66">
        <f>IF($AI14="","",IF(計算用!$B$1=1,INDEX(新年度名簿!$D$3:$D$452,$AI14),INDEX(前年度名簿!$D$3:$D$452,$AI14)))</f>
        <v/>
      </c>
      <c r="R14" s="65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M$7:$M$456,MATCH($AI14,振り分け!$P$7:$P$456,0))="転出","転出",IF(INDEX(振り分け!$L$7:$L$456,MATCH($AI14,振り分け!$P$7:$P$456,0))="","未決定",INDEX(振り分け!$L$7:$L$456,MATCH($AI14,振り分け!$P$7:$P$456,0)))),"未決定")))</f>
        <v/>
      </c>
      <c r="S14" s="65">
        <f>IF($AJ14="","",IF(計算用!$B$1=1,INDEX(新年度名簿!$C$3:$C$452,$AJ14),INDEX(前年度名簿!$C$3:$C$452,$AJ14)))</f>
        <v/>
      </c>
      <c r="T14" s="66">
        <f>IF($AJ14="","",IF(計算用!$B$1=1,INDEX(新年度名簿!$D$3:$D$452,$AJ14),INDEX(前年度名簿!$D$3:$D$452,$AJ14)))</f>
        <v/>
      </c>
      <c r="U14" s="65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M$7:$M$456,MATCH($AJ14,振り分け!$P$7:$P$456,0))="転出","転出",IF(INDEX(振り分け!$L$7:$L$456,MATCH($AJ14,振り分け!$P$7:$P$456,0))="","未決定",INDEX(振り分け!$L$7:$L$456,MATCH($AJ14,振り分け!$P$7:$P$456,0)))),"未決定")))</f>
        <v/>
      </c>
      <c r="V14" s="65">
        <f>IF($AK14="","",IF(計算用!$B$1=1,INDEX(新年度名簿!$C$3:$C$452,$AK14),INDEX(前年度名簿!$C$3:$C$452,$AK14)))</f>
        <v/>
      </c>
      <c r="W14" s="66">
        <f>IF($AK14="","",IF(計算用!$B$1=1,INDEX(新年度名簿!$D$3:$D$452,$AK14),INDEX(前年度名簿!$D$3:$D$452,$AK14)))</f>
        <v/>
      </c>
      <c r="X14" s="65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M$7:$M$456,MATCH($AK14,振り分け!$P$7:$P$456,0))="転出","転出",IF(INDEX(振り分け!$L$7:$L$456,MATCH($AK14,振り分け!$P$7:$P$456,0))="","未決定",INDEX(振り分け!$L$7:$L$456,MATCH($AK14,振り分け!$P$7:$P$456,0)))),"未決定")))</f>
        <v/>
      </c>
      <c r="AD14" s="63">
        <f>IF(計算用!$B$1=1,IFERROR(IF(SMALL(新年度名簿!$J$3:$J$452,$AD$3+10)&lt;2000,MATCH(SMALL(新年度名簿!$J$3:$J$452,$AD$3+10),新年度名簿!$J$3:$J$452,0),""),""),IFERROR(IF(SMALL(前年度名簿!$G$3:$G$452,$AD$3+10)&lt;2000,MATCH(SMALL(前年度名簿!$G$3:$G$452,$AD$3+10),前年度名簿!$G$3:$G$452,0),""),""))</f>
        <v/>
      </c>
      <c r="AE14" s="63">
        <f>IF(計算用!$B$1=1,IFERROR(IF(SMALL(新年度名簿!$J$3:$J$452,$AE$3+10)&lt;3000,MATCH(SMALL(新年度名簿!$J$3:$J$452,$AE$3+10),新年度名簿!$J$3:$J$452,0),""),""),IFERROR(IF(SMALL(前年度名簿!$G$3:$G$452,$AE$3+10)&lt;3000,MATCH(SMALL(前年度名簿!$G$3:$G$452,$AE$3+10),前年度名簿!$G$3:$G$452,0),""),""))</f>
        <v/>
      </c>
      <c r="AF14" s="63">
        <f>IF(計算用!$B$1=1,IFERROR(IF(SMALL(新年度名簿!$J$3:$J$452,$AF$3+10)&lt;4000,MATCH(SMALL(新年度名簿!$J$3:$J$452,$AF$3+10),新年度名簿!$J$3:$J$452,0),""),""),IFERROR(IF(SMALL(前年度名簿!$G$3:$G$452,$AF$3+10)&lt;4000,MATCH(SMALL(前年度名簿!$G$3:$G$452,$AF$3+10),前年度名簿!$G$3:$G$452,0),""),""))</f>
        <v/>
      </c>
      <c r="AG14" s="63">
        <f>IF(計算用!$B$1=1,IFERROR(IF(SMALL(新年度名簿!$J$3:$J$452,$AG$3+10)&lt;5000,MATCH(SMALL(新年度名簿!$J$3:$J$452,$AG$3+10),新年度名簿!$J$3:$J$452,0),""),""),IFERROR(IF(SMALL(前年度名簿!$G$3:$G$452,$AG$3+10)&lt;5000,MATCH(SMALL(前年度名簿!$G$3:$G$452,$AG$3+10),前年度名簿!$G$3:$G$452,0),""),""))</f>
        <v/>
      </c>
      <c r="AH14" s="63">
        <f>IF(計算用!$B$1=1,IFERROR(IF(SMALL(新年度名簿!$J$3:$J$452,$AH$3+10)&lt;6000,MATCH(SMALL(新年度名簿!$J$3:$J$452,$AH$3+10),新年度名簿!$J$3:$J$452,0),""),""),IFERROR(IF(SMALL(前年度名簿!$G$3:$G$452,$AH$3+10)&lt;6000,MATCH(SMALL(前年度名簿!$G$3:$G$452,$AH$3+10),前年度名簿!$G$3:$G$452,0),""),""))</f>
        <v/>
      </c>
      <c r="AI14" s="63">
        <f>IF(計算用!$B$1=1,IFERROR(IF(SMALL(新年度名簿!$J$3:$J$452,$AI$3+10)&lt;7000,MATCH(SMALL(新年度名簿!$J$3:$J$452,$AI$3+10),新年度名簿!$J$3:$J$452,0),""),""),IFERROR(IF(SMALL(前年度名簿!$G$3:$G$452,$AI$3+10)&lt;7000,MATCH(SMALL(前年度名簿!$G$3:$G$452,$AI$3+10),前年度名簿!$G$3:$G$452,0),""),""))</f>
        <v/>
      </c>
      <c r="AJ14" s="63">
        <f>IF(計算用!$B$1=1,IFERROR(IF(SMALL(新年度名簿!$J$3:$J$452,$AJ$3+10)&lt;8000,MATCH(SMALL(新年度名簿!$J$3:$J$452,$AJ$3+10),新年度名簿!$J$3:$J$452,0),""),""),IFERROR(IF(SMALL(前年度名簿!$G$3:$G$452,$AJ$3+10)&lt;8000,MATCH(SMALL(前年度名簿!$G$3:$G$452,$AJ$3+10),前年度名簿!$G$3:$G$452,0),""),""))</f>
        <v/>
      </c>
      <c r="AK14" s="63">
        <f>IF(計算用!$B$1=1,IFERROR(IF(SMALL(新年度名簿!$J$3:$J$452,$AK$3+10)&lt;9000,MATCH(SMALL(新年度名簿!$J$3:$J$452,$AK$3+10),新年度名簿!$J$3:$J$452,0),""),""),IFERROR(IF(SMALL(前年度名簿!$G$3:$G$452,$AK$3+10)&lt;9000,MATCH(SMALL(前年度名簿!$G$3:$G$452,$AK$3+10),前年度名簿!$G$3:$G$452,0),""),""))</f>
        <v/>
      </c>
    </row>
    <row r="15">
      <c r="A15" s="65">
        <f>IF($AD15="","",IF(計算用!$B$1=1,INDEX(新年度名簿!$C$3:$C$452,$AD15),INDEX(前年度名簿!$C$3:$C$452,$AD15)))</f>
        <v/>
      </c>
      <c r="B15" s="66">
        <f>IF($AD15="","",IF(計算用!$B$1=1,INDEX(新年度名簿!$D$3:$D$452,$AD15),INDEX(前年度名簿!$D$3:$D$452,$AD15)))</f>
        <v/>
      </c>
      <c r="C15" s="65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M$7:$M$456,MATCH($AD15,振り分け!$P$7:$P$456,0))="転出","転出",IF(INDEX(振り分け!$L$7:$L$456,MATCH($AD15,振り分け!$P$7:$P$456,0))="","未決定",INDEX(振り分け!$L$7:$L$456,MATCH($AD15,振り分け!$P$7:$P$456,0)))),"未決定")))</f>
        <v/>
      </c>
      <c r="D15" s="65">
        <f>IF($AE15="","",IF(計算用!$B$1=1,INDEX(新年度名簿!$C$3:$C$452,$AE15),INDEX(前年度名簿!$C$3:$C$452,$AE15)))</f>
        <v/>
      </c>
      <c r="E15" s="66">
        <f>IF($AE15="","",IF(計算用!$B$1=1,INDEX(新年度名簿!$D$3:$D$452,$AE15),INDEX(前年度名簿!$D$3:$D$452,$AE15)))</f>
        <v/>
      </c>
      <c r="F15" s="65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M$7:$M$456,MATCH($AE15,振り分け!$P$7:$P$456,0))="転出","転出",IF(INDEX(振り分け!$L$7:$L$456,MATCH($AE15,振り分け!$P$7:$P$456,0))="","未決定",INDEX(振り分け!$L$7:$L$456,MATCH($AE15,振り分け!$P$7:$P$456,0)))),"未決定")))</f>
        <v/>
      </c>
      <c r="G15" s="65">
        <f>IF($AF15="","",IF(計算用!$B$1=1,INDEX(新年度名簿!$C$3:$C$452,$AF15),INDEX(前年度名簿!$C$3:$C$452,$AF15)))</f>
        <v/>
      </c>
      <c r="H15" s="66">
        <f>IF($AF15="","",IF(計算用!$B$1=1,INDEX(新年度名簿!$D$3:$D$452,$AF15),INDEX(前年度名簿!$D$3:$D$452,$AF15)))</f>
        <v/>
      </c>
      <c r="I15" s="65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M$7:$M$456,MATCH($AF15,振り分け!$P$7:$P$456,0))="転出","転出",IF(INDEX(振り分け!$L$7:$L$456,MATCH($AF15,振り分け!$P$7:$P$456,0))="","未決定",INDEX(振り分け!$L$7:$L$456,MATCH($AF15,振り分け!$P$7:$P$456,0)))),"未決定")))</f>
        <v/>
      </c>
      <c r="J15" s="65">
        <f>IF($AG15="","",IF(計算用!$B$1=1,INDEX(新年度名簿!$C$3:$C$452,$AG15),INDEX(前年度名簿!$C$3:$C$452,$AG15)))</f>
        <v/>
      </c>
      <c r="K15" s="66">
        <f>IF($AG15="","",IF(計算用!$B$1=1,INDEX(新年度名簿!$D$3:$D$452,$AG15),INDEX(前年度名簿!$D$3:$D$452,$AG15)))</f>
        <v/>
      </c>
      <c r="L15" s="65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M$7:$M$456,MATCH($AG15,振り分け!$P$7:$P$456,0))="転出","転出",IF(INDEX(振り分け!$L$7:$L$456,MATCH($AG15,振り分け!$P$7:$P$456,0))="","未決定",INDEX(振り分け!$L$7:$L$456,MATCH($AG15,振り分け!$P$7:$P$456,0)))),"未決定")))</f>
        <v/>
      </c>
      <c r="M15" s="65">
        <f>IF($AH15="","",IF(計算用!$B$1=1,INDEX(新年度名簿!$C$3:$C$452,$AH15),INDEX(前年度名簿!$C$3:$C$452,$AH15)))</f>
        <v/>
      </c>
      <c r="N15" s="66">
        <f>IF($AH15="","",IF(計算用!$B$1=1,INDEX(新年度名簿!$D$3:$D$452,$AH15),INDEX(前年度名簿!$D$3:$D$452,$AH15)))</f>
        <v/>
      </c>
      <c r="O15" s="65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M$7:$M$456,MATCH($AH15,振り分け!$P$7:$P$456,0))="転出","転出",IF(INDEX(振り分け!$L$7:$L$456,MATCH($AH15,振り分け!$P$7:$P$456,0))="","未決定",INDEX(振り分け!$L$7:$L$456,MATCH($AH15,振り分け!$P$7:$P$456,0)))),"未決定")))</f>
        <v/>
      </c>
      <c r="P15" s="65">
        <f>IF($AI15="","",IF(計算用!$B$1=1,INDEX(新年度名簿!$C$3:$C$452,$AI15),INDEX(前年度名簿!$C$3:$C$452,$AI15)))</f>
        <v/>
      </c>
      <c r="Q15" s="66">
        <f>IF($AI15="","",IF(計算用!$B$1=1,INDEX(新年度名簿!$D$3:$D$452,$AI15),INDEX(前年度名簿!$D$3:$D$452,$AI15)))</f>
        <v/>
      </c>
      <c r="R15" s="65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M$7:$M$456,MATCH($AI15,振り分け!$P$7:$P$456,0))="転出","転出",IF(INDEX(振り分け!$L$7:$L$456,MATCH($AI15,振り分け!$P$7:$P$456,0))="","未決定",INDEX(振り分け!$L$7:$L$456,MATCH($AI15,振り分け!$P$7:$P$456,0)))),"未決定")))</f>
        <v/>
      </c>
      <c r="S15" s="65">
        <f>IF($AJ15="","",IF(計算用!$B$1=1,INDEX(新年度名簿!$C$3:$C$452,$AJ15),INDEX(前年度名簿!$C$3:$C$452,$AJ15)))</f>
        <v/>
      </c>
      <c r="T15" s="66">
        <f>IF($AJ15="","",IF(計算用!$B$1=1,INDEX(新年度名簿!$D$3:$D$452,$AJ15),INDEX(前年度名簿!$D$3:$D$452,$AJ15)))</f>
        <v/>
      </c>
      <c r="U15" s="65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M$7:$M$456,MATCH($AJ15,振り分け!$P$7:$P$456,0))="転出","転出",IF(INDEX(振り分け!$L$7:$L$456,MATCH($AJ15,振り分け!$P$7:$P$456,0))="","未決定",INDEX(振り分け!$L$7:$L$456,MATCH($AJ15,振り分け!$P$7:$P$456,0)))),"未決定")))</f>
        <v/>
      </c>
      <c r="V15" s="65">
        <f>IF($AK15="","",IF(計算用!$B$1=1,INDEX(新年度名簿!$C$3:$C$452,$AK15),INDEX(前年度名簿!$C$3:$C$452,$AK15)))</f>
        <v/>
      </c>
      <c r="W15" s="66">
        <f>IF($AK15="","",IF(計算用!$B$1=1,INDEX(新年度名簿!$D$3:$D$452,$AK15),INDEX(前年度名簿!$D$3:$D$452,$AK15)))</f>
        <v/>
      </c>
      <c r="X15" s="65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M$7:$M$456,MATCH($AK15,振り分け!$P$7:$P$456,0))="転出","転出",IF(INDEX(振り分け!$L$7:$L$456,MATCH($AK15,振り分け!$P$7:$P$456,0))="","未決定",INDEX(振り分け!$L$7:$L$456,MATCH($AK15,振り分け!$P$7:$P$456,0)))),"未決定")))</f>
        <v/>
      </c>
      <c r="AD15" s="63">
        <f>IF(計算用!$B$1=1,IFERROR(IF(SMALL(新年度名簿!$J$3:$J$452,$AD$3+11)&lt;2000,MATCH(SMALL(新年度名簿!$J$3:$J$452,$AD$3+11),新年度名簿!$J$3:$J$452,0),""),""),IFERROR(IF(SMALL(前年度名簿!$G$3:$G$452,$AD$3+11)&lt;2000,MATCH(SMALL(前年度名簿!$G$3:$G$452,$AD$3+11),前年度名簿!$G$3:$G$452,0),""),""))</f>
        <v/>
      </c>
      <c r="AE15" s="63">
        <f>IF(計算用!$B$1=1,IFERROR(IF(SMALL(新年度名簿!$J$3:$J$452,$AE$3+11)&lt;3000,MATCH(SMALL(新年度名簿!$J$3:$J$452,$AE$3+11),新年度名簿!$J$3:$J$452,0),""),""),IFERROR(IF(SMALL(前年度名簿!$G$3:$G$452,$AE$3+11)&lt;3000,MATCH(SMALL(前年度名簿!$G$3:$G$452,$AE$3+11),前年度名簿!$G$3:$G$452,0),""),""))</f>
        <v/>
      </c>
      <c r="AF15" s="63">
        <f>IF(計算用!$B$1=1,IFERROR(IF(SMALL(新年度名簿!$J$3:$J$452,$AF$3+11)&lt;4000,MATCH(SMALL(新年度名簿!$J$3:$J$452,$AF$3+11),新年度名簿!$J$3:$J$452,0),""),""),IFERROR(IF(SMALL(前年度名簿!$G$3:$G$452,$AF$3+11)&lt;4000,MATCH(SMALL(前年度名簿!$G$3:$G$452,$AF$3+11),前年度名簿!$G$3:$G$452,0),""),""))</f>
        <v/>
      </c>
      <c r="AG15" s="63">
        <f>IF(計算用!$B$1=1,IFERROR(IF(SMALL(新年度名簿!$J$3:$J$452,$AG$3+11)&lt;5000,MATCH(SMALL(新年度名簿!$J$3:$J$452,$AG$3+11),新年度名簿!$J$3:$J$452,0),""),""),IFERROR(IF(SMALL(前年度名簿!$G$3:$G$452,$AG$3+11)&lt;5000,MATCH(SMALL(前年度名簿!$G$3:$G$452,$AG$3+11),前年度名簿!$G$3:$G$452,0),""),""))</f>
        <v/>
      </c>
      <c r="AH15" s="63">
        <f>IF(計算用!$B$1=1,IFERROR(IF(SMALL(新年度名簿!$J$3:$J$452,$AH$3+11)&lt;6000,MATCH(SMALL(新年度名簿!$J$3:$J$452,$AH$3+11),新年度名簿!$J$3:$J$452,0),""),""),IFERROR(IF(SMALL(前年度名簿!$G$3:$G$452,$AH$3+11)&lt;6000,MATCH(SMALL(前年度名簿!$G$3:$G$452,$AH$3+11),前年度名簿!$G$3:$G$452,0),""),""))</f>
        <v/>
      </c>
      <c r="AI15" s="63">
        <f>IF(計算用!$B$1=1,IFERROR(IF(SMALL(新年度名簿!$J$3:$J$452,$AI$3+11)&lt;7000,MATCH(SMALL(新年度名簿!$J$3:$J$452,$AI$3+11),新年度名簿!$J$3:$J$452,0),""),""),IFERROR(IF(SMALL(前年度名簿!$G$3:$G$452,$AI$3+11)&lt;7000,MATCH(SMALL(前年度名簿!$G$3:$G$452,$AI$3+11),前年度名簿!$G$3:$G$452,0),""),""))</f>
        <v/>
      </c>
      <c r="AJ15" s="63">
        <f>IF(計算用!$B$1=1,IFERROR(IF(SMALL(新年度名簿!$J$3:$J$452,$AJ$3+11)&lt;8000,MATCH(SMALL(新年度名簿!$J$3:$J$452,$AJ$3+11),新年度名簿!$J$3:$J$452,0),""),""),IFERROR(IF(SMALL(前年度名簿!$G$3:$G$452,$AJ$3+11)&lt;8000,MATCH(SMALL(前年度名簿!$G$3:$G$452,$AJ$3+11),前年度名簿!$G$3:$G$452,0),""),""))</f>
        <v/>
      </c>
      <c r="AK15" s="63">
        <f>IF(計算用!$B$1=1,IFERROR(IF(SMALL(新年度名簿!$J$3:$J$452,$AK$3+11)&lt;9000,MATCH(SMALL(新年度名簿!$J$3:$J$452,$AK$3+11),新年度名簿!$J$3:$J$452,0),""),""),IFERROR(IF(SMALL(前年度名簿!$G$3:$G$452,$AK$3+11)&lt;9000,MATCH(SMALL(前年度名簿!$G$3:$G$452,$AK$3+11),前年度名簿!$G$3:$G$452,0),""),""))</f>
        <v/>
      </c>
    </row>
    <row r="16">
      <c r="A16" s="65">
        <f>IF($AD16="","",IF(計算用!$B$1=1,INDEX(新年度名簿!$C$3:$C$452,$AD16),INDEX(前年度名簿!$C$3:$C$452,$AD16)))</f>
        <v/>
      </c>
      <c r="B16" s="66">
        <f>IF($AD16="","",IF(計算用!$B$1=1,INDEX(新年度名簿!$D$3:$D$452,$AD16),INDEX(前年度名簿!$D$3:$D$452,$AD16)))</f>
        <v/>
      </c>
      <c r="C16" s="65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M$7:$M$456,MATCH($AD16,振り分け!$P$7:$P$456,0))="転出","転出",IF(INDEX(振り分け!$L$7:$L$456,MATCH($AD16,振り分け!$P$7:$P$456,0))="","未決定",INDEX(振り分け!$L$7:$L$456,MATCH($AD16,振り分け!$P$7:$P$456,0)))),"未決定")))</f>
        <v/>
      </c>
      <c r="D16" s="65">
        <f>IF($AE16="","",IF(計算用!$B$1=1,INDEX(新年度名簿!$C$3:$C$452,$AE16),INDEX(前年度名簿!$C$3:$C$452,$AE16)))</f>
        <v/>
      </c>
      <c r="E16" s="66">
        <f>IF($AE16="","",IF(計算用!$B$1=1,INDEX(新年度名簿!$D$3:$D$452,$AE16),INDEX(前年度名簿!$D$3:$D$452,$AE16)))</f>
        <v/>
      </c>
      <c r="F16" s="65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M$7:$M$456,MATCH($AE16,振り分け!$P$7:$P$456,0))="転出","転出",IF(INDEX(振り分け!$L$7:$L$456,MATCH($AE16,振り分け!$P$7:$P$456,0))="","未決定",INDEX(振り分け!$L$7:$L$456,MATCH($AE16,振り分け!$P$7:$P$456,0)))),"未決定")))</f>
        <v/>
      </c>
      <c r="G16" s="65">
        <f>IF($AF16="","",IF(計算用!$B$1=1,INDEX(新年度名簿!$C$3:$C$452,$AF16),INDEX(前年度名簿!$C$3:$C$452,$AF16)))</f>
        <v/>
      </c>
      <c r="H16" s="66">
        <f>IF($AF16="","",IF(計算用!$B$1=1,INDEX(新年度名簿!$D$3:$D$452,$AF16),INDEX(前年度名簿!$D$3:$D$452,$AF16)))</f>
        <v/>
      </c>
      <c r="I16" s="65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M$7:$M$456,MATCH($AF16,振り分け!$P$7:$P$456,0))="転出","転出",IF(INDEX(振り分け!$L$7:$L$456,MATCH($AF16,振り分け!$P$7:$P$456,0))="","未決定",INDEX(振り分け!$L$7:$L$456,MATCH($AF16,振り分け!$P$7:$P$456,0)))),"未決定")))</f>
        <v/>
      </c>
      <c r="J16" s="65">
        <f>IF($AG16="","",IF(計算用!$B$1=1,INDEX(新年度名簿!$C$3:$C$452,$AG16),INDEX(前年度名簿!$C$3:$C$452,$AG16)))</f>
        <v/>
      </c>
      <c r="K16" s="66">
        <f>IF($AG16="","",IF(計算用!$B$1=1,INDEX(新年度名簿!$D$3:$D$452,$AG16),INDEX(前年度名簿!$D$3:$D$452,$AG16)))</f>
        <v/>
      </c>
      <c r="L16" s="65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M$7:$M$456,MATCH($AG16,振り分け!$P$7:$P$456,0))="転出","転出",IF(INDEX(振り分け!$L$7:$L$456,MATCH($AG16,振り分け!$P$7:$P$456,0))="","未決定",INDEX(振り分け!$L$7:$L$456,MATCH($AG16,振り分け!$P$7:$P$456,0)))),"未決定")))</f>
        <v/>
      </c>
      <c r="M16" s="65">
        <f>IF($AH16="","",IF(計算用!$B$1=1,INDEX(新年度名簿!$C$3:$C$452,$AH16),INDEX(前年度名簿!$C$3:$C$452,$AH16)))</f>
        <v/>
      </c>
      <c r="N16" s="66">
        <f>IF($AH16="","",IF(計算用!$B$1=1,INDEX(新年度名簿!$D$3:$D$452,$AH16),INDEX(前年度名簿!$D$3:$D$452,$AH16)))</f>
        <v/>
      </c>
      <c r="O16" s="65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M$7:$M$456,MATCH($AH16,振り分け!$P$7:$P$456,0))="転出","転出",IF(INDEX(振り分け!$L$7:$L$456,MATCH($AH16,振り分け!$P$7:$P$456,0))="","未決定",INDEX(振り分け!$L$7:$L$456,MATCH($AH16,振り分け!$P$7:$P$456,0)))),"未決定")))</f>
        <v/>
      </c>
      <c r="P16" s="65">
        <f>IF($AI16="","",IF(計算用!$B$1=1,INDEX(新年度名簿!$C$3:$C$452,$AI16),INDEX(前年度名簿!$C$3:$C$452,$AI16)))</f>
        <v/>
      </c>
      <c r="Q16" s="66">
        <f>IF($AI16="","",IF(計算用!$B$1=1,INDEX(新年度名簿!$D$3:$D$452,$AI16),INDEX(前年度名簿!$D$3:$D$452,$AI16)))</f>
        <v/>
      </c>
      <c r="R16" s="65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M$7:$M$456,MATCH($AI16,振り分け!$P$7:$P$456,0))="転出","転出",IF(INDEX(振り分け!$L$7:$L$456,MATCH($AI16,振り分け!$P$7:$P$456,0))="","未決定",INDEX(振り分け!$L$7:$L$456,MATCH($AI16,振り分け!$P$7:$P$456,0)))),"未決定")))</f>
        <v/>
      </c>
      <c r="S16" s="65">
        <f>IF($AJ16="","",IF(計算用!$B$1=1,INDEX(新年度名簿!$C$3:$C$452,$AJ16),INDEX(前年度名簿!$C$3:$C$452,$AJ16)))</f>
        <v/>
      </c>
      <c r="T16" s="66">
        <f>IF($AJ16="","",IF(計算用!$B$1=1,INDEX(新年度名簿!$D$3:$D$452,$AJ16),INDEX(前年度名簿!$D$3:$D$452,$AJ16)))</f>
        <v/>
      </c>
      <c r="U16" s="65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M$7:$M$456,MATCH($AJ16,振り分け!$P$7:$P$456,0))="転出","転出",IF(INDEX(振り分け!$L$7:$L$456,MATCH($AJ16,振り分け!$P$7:$P$456,0))="","未決定",INDEX(振り分け!$L$7:$L$456,MATCH($AJ16,振り分け!$P$7:$P$456,0)))),"未決定")))</f>
        <v/>
      </c>
      <c r="V16" s="65">
        <f>IF($AK16="","",IF(計算用!$B$1=1,INDEX(新年度名簿!$C$3:$C$452,$AK16),INDEX(前年度名簿!$C$3:$C$452,$AK16)))</f>
        <v/>
      </c>
      <c r="W16" s="66">
        <f>IF($AK16="","",IF(計算用!$B$1=1,INDEX(新年度名簿!$D$3:$D$452,$AK16),INDEX(前年度名簿!$D$3:$D$452,$AK16)))</f>
        <v/>
      </c>
      <c r="X16" s="65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M$7:$M$456,MATCH($AK16,振り分け!$P$7:$P$456,0))="転出","転出",IF(INDEX(振り分け!$L$7:$L$456,MATCH($AK16,振り分け!$P$7:$P$456,0))="","未決定",INDEX(振り分け!$L$7:$L$456,MATCH($AK16,振り分け!$P$7:$P$456,0)))),"未決定")))</f>
        <v/>
      </c>
      <c r="AD16" s="63">
        <f>IF(計算用!$B$1=1,IFERROR(IF(SMALL(新年度名簿!$J$3:$J$452,$AD$3+12)&lt;2000,MATCH(SMALL(新年度名簿!$J$3:$J$452,$AD$3+12),新年度名簿!$J$3:$J$452,0),""),""),IFERROR(IF(SMALL(前年度名簿!$G$3:$G$452,$AD$3+12)&lt;2000,MATCH(SMALL(前年度名簿!$G$3:$G$452,$AD$3+12),前年度名簿!$G$3:$G$452,0),""),""))</f>
        <v/>
      </c>
      <c r="AE16" s="63">
        <f>IF(計算用!$B$1=1,IFERROR(IF(SMALL(新年度名簿!$J$3:$J$452,$AE$3+12)&lt;3000,MATCH(SMALL(新年度名簿!$J$3:$J$452,$AE$3+12),新年度名簿!$J$3:$J$452,0),""),""),IFERROR(IF(SMALL(前年度名簿!$G$3:$G$452,$AE$3+12)&lt;3000,MATCH(SMALL(前年度名簿!$G$3:$G$452,$AE$3+12),前年度名簿!$G$3:$G$452,0),""),""))</f>
        <v/>
      </c>
      <c r="AF16" s="63">
        <f>IF(計算用!$B$1=1,IFERROR(IF(SMALL(新年度名簿!$J$3:$J$452,$AF$3+12)&lt;4000,MATCH(SMALL(新年度名簿!$J$3:$J$452,$AF$3+12),新年度名簿!$J$3:$J$452,0),""),""),IFERROR(IF(SMALL(前年度名簿!$G$3:$G$452,$AF$3+12)&lt;4000,MATCH(SMALL(前年度名簿!$G$3:$G$452,$AF$3+12),前年度名簿!$G$3:$G$452,0),""),""))</f>
        <v/>
      </c>
      <c r="AG16" s="63">
        <f>IF(計算用!$B$1=1,IFERROR(IF(SMALL(新年度名簿!$J$3:$J$452,$AG$3+12)&lt;5000,MATCH(SMALL(新年度名簿!$J$3:$J$452,$AG$3+12),新年度名簿!$J$3:$J$452,0),""),""),IFERROR(IF(SMALL(前年度名簿!$G$3:$G$452,$AG$3+12)&lt;5000,MATCH(SMALL(前年度名簿!$G$3:$G$452,$AG$3+12),前年度名簿!$G$3:$G$452,0),""),""))</f>
        <v/>
      </c>
      <c r="AH16" s="63">
        <f>IF(計算用!$B$1=1,IFERROR(IF(SMALL(新年度名簿!$J$3:$J$452,$AH$3+12)&lt;6000,MATCH(SMALL(新年度名簿!$J$3:$J$452,$AH$3+12),新年度名簿!$J$3:$J$452,0),""),""),IFERROR(IF(SMALL(前年度名簿!$G$3:$G$452,$AH$3+12)&lt;6000,MATCH(SMALL(前年度名簿!$G$3:$G$452,$AH$3+12),前年度名簿!$G$3:$G$452,0),""),""))</f>
        <v/>
      </c>
      <c r="AI16" s="63">
        <f>IF(計算用!$B$1=1,IFERROR(IF(SMALL(新年度名簿!$J$3:$J$452,$AI$3+12)&lt;7000,MATCH(SMALL(新年度名簿!$J$3:$J$452,$AI$3+12),新年度名簿!$J$3:$J$452,0),""),""),IFERROR(IF(SMALL(前年度名簿!$G$3:$G$452,$AI$3+12)&lt;7000,MATCH(SMALL(前年度名簿!$G$3:$G$452,$AI$3+12),前年度名簿!$G$3:$G$452,0),""),""))</f>
        <v/>
      </c>
      <c r="AJ16" s="63">
        <f>IF(計算用!$B$1=1,IFERROR(IF(SMALL(新年度名簿!$J$3:$J$452,$AJ$3+12)&lt;8000,MATCH(SMALL(新年度名簿!$J$3:$J$452,$AJ$3+12),新年度名簿!$J$3:$J$452,0),""),""),IFERROR(IF(SMALL(前年度名簿!$G$3:$G$452,$AJ$3+12)&lt;8000,MATCH(SMALL(前年度名簿!$G$3:$G$452,$AJ$3+12),前年度名簿!$G$3:$G$452,0),""),""))</f>
        <v/>
      </c>
      <c r="AK16" s="63">
        <f>IF(計算用!$B$1=1,IFERROR(IF(SMALL(新年度名簿!$J$3:$J$452,$AK$3+12)&lt;9000,MATCH(SMALL(新年度名簿!$J$3:$J$452,$AK$3+12),新年度名簿!$J$3:$J$452,0),""),""),IFERROR(IF(SMALL(前年度名簿!$G$3:$G$452,$AK$3+12)&lt;9000,MATCH(SMALL(前年度名簿!$G$3:$G$452,$AK$3+12),前年度名簿!$G$3:$G$452,0),""),""))</f>
        <v/>
      </c>
    </row>
    <row r="17">
      <c r="A17" s="65">
        <f>IF($AD17="","",IF(計算用!$B$1=1,INDEX(新年度名簿!$C$3:$C$452,$AD17),INDEX(前年度名簿!$C$3:$C$452,$AD17)))</f>
        <v/>
      </c>
      <c r="B17" s="66">
        <f>IF($AD17="","",IF(計算用!$B$1=1,INDEX(新年度名簿!$D$3:$D$452,$AD17),INDEX(前年度名簿!$D$3:$D$452,$AD17)))</f>
        <v/>
      </c>
      <c r="C17" s="65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M$7:$M$456,MATCH($AD17,振り分け!$P$7:$P$456,0))="転出","転出",IF(INDEX(振り分け!$L$7:$L$456,MATCH($AD17,振り分け!$P$7:$P$456,0))="","未決定",INDEX(振り分け!$L$7:$L$456,MATCH($AD17,振り分け!$P$7:$P$456,0)))),"未決定")))</f>
        <v/>
      </c>
      <c r="D17" s="65">
        <f>IF($AE17="","",IF(計算用!$B$1=1,INDEX(新年度名簿!$C$3:$C$452,$AE17),INDEX(前年度名簿!$C$3:$C$452,$AE17)))</f>
        <v/>
      </c>
      <c r="E17" s="66">
        <f>IF($AE17="","",IF(計算用!$B$1=1,INDEX(新年度名簿!$D$3:$D$452,$AE17),INDEX(前年度名簿!$D$3:$D$452,$AE17)))</f>
        <v/>
      </c>
      <c r="F17" s="65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M$7:$M$456,MATCH($AE17,振り分け!$P$7:$P$456,0))="転出","転出",IF(INDEX(振り分け!$L$7:$L$456,MATCH($AE17,振り分け!$P$7:$P$456,0))="","未決定",INDEX(振り分け!$L$7:$L$456,MATCH($AE17,振り分け!$P$7:$P$456,0)))),"未決定")))</f>
        <v/>
      </c>
      <c r="G17" s="65">
        <f>IF($AF17="","",IF(計算用!$B$1=1,INDEX(新年度名簿!$C$3:$C$452,$AF17),INDEX(前年度名簿!$C$3:$C$452,$AF17)))</f>
        <v/>
      </c>
      <c r="H17" s="66">
        <f>IF($AF17="","",IF(計算用!$B$1=1,INDEX(新年度名簿!$D$3:$D$452,$AF17),INDEX(前年度名簿!$D$3:$D$452,$AF17)))</f>
        <v/>
      </c>
      <c r="I17" s="65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M$7:$M$456,MATCH($AF17,振り分け!$P$7:$P$456,0))="転出","転出",IF(INDEX(振り分け!$L$7:$L$456,MATCH($AF17,振り分け!$P$7:$P$456,0))="","未決定",INDEX(振り分け!$L$7:$L$456,MATCH($AF17,振り分け!$P$7:$P$456,0)))),"未決定")))</f>
        <v/>
      </c>
      <c r="J17" s="65">
        <f>IF($AG17="","",IF(計算用!$B$1=1,INDEX(新年度名簿!$C$3:$C$452,$AG17),INDEX(前年度名簿!$C$3:$C$452,$AG17)))</f>
        <v/>
      </c>
      <c r="K17" s="66">
        <f>IF($AG17="","",IF(計算用!$B$1=1,INDEX(新年度名簿!$D$3:$D$452,$AG17),INDEX(前年度名簿!$D$3:$D$452,$AG17)))</f>
        <v/>
      </c>
      <c r="L17" s="65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M$7:$M$456,MATCH($AG17,振り分け!$P$7:$P$456,0))="転出","転出",IF(INDEX(振り分け!$L$7:$L$456,MATCH($AG17,振り分け!$P$7:$P$456,0))="","未決定",INDEX(振り分け!$L$7:$L$456,MATCH($AG17,振り分け!$P$7:$P$456,0)))),"未決定")))</f>
        <v/>
      </c>
      <c r="M17" s="65">
        <f>IF($AH17="","",IF(計算用!$B$1=1,INDEX(新年度名簿!$C$3:$C$452,$AH17),INDEX(前年度名簿!$C$3:$C$452,$AH17)))</f>
        <v/>
      </c>
      <c r="N17" s="66">
        <f>IF($AH17="","",IF(計算用!$B$1=1,INDEX(新年度名簿!$D$3:$D$452,$AH17),INDEX(前年度名簿!$D$3:$D$452,$AH17)))</f>
        <v/>
      </c>
      <c r="O17" s="65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M$7:$M$456,MATCH($AH17,振り分け!$P$7:$P$456,0))="転出","転出",IF(INDEX(振り分け!$L$7:$L$456,MATCH($AH17,振り分け!$P$7:$P$456,0))="","未決定",INDEX(振り分け!$L$7:$L$456,MATCH($AH17,振り分け!$P$7:$P$456,0)))),"未決定")))</f>
        <v/>
      </c>
      <c r="P17" s="65">
        <f>IF($AI17="","",IF(計算用!$B$1=1,INDEX(新年度名簿!$C$3:$C$452,$AI17),INDEX(前年度名簿!$C$3:$C$452,$AI17)))</f>
        <v/>
      </c>
      <c r="Q17" s="66">
        <f>IF($AI17="","",IF(計算用!$B$1=1,INDEX(新年度名簿!$D$3:$D$452,$AI17),INDEX(前年度名簿!$D$3:$D$452,$AI17)))</f>
        <v/>
      </c>
      <c r="R17" s="65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M$7:$M$456,MATCH($AI17,振り分け!$P$7:$P$456,0))="転出","転出",IF(INDEX(振り分け!$L$7:$L$456,MATCH($AI17,振り分け!$P$7:$P$456,0))="","未決定",INDEX(振り分け!$L$7:$L$456,MATCH($AI17,振り分け!$P$7:$P$456,0)))),"未決定")))</f>
        <v/>
      </c>
      <c r="S17" s="65">
        <f>IF($AJ17="","",IF(計算用!$B$1=1,INDEX(新年度名簿!$C$3:$C$452,$AJ17),INDEX(前年度名簿!$C$3:$C$452,$AJ17)))</f>
        <v/>
      </c>
      <c r="T17" s="66">
        <f>IF($AJ17="","",IF(計算用!$B$1=1,INDEX(新年度名簿!$D$3:$D$452,$AJ17),INDEX(前年度名簿!$D$3:$D$452,$AJ17)))</f>
        <v/>
      </c>
      <c r="U17" s="65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M$7:$M$456,MATCH($AJ17,振り分け!$P$7:$P$456,0))="転出","転出",IF(INDEX(振り分け!$L$7:$L$456,MATCH($AJ17,振り分け!$P$7:$P$456,0))="","未決定",INDEX(振り分け!$L$7:$L$456,MATCH($AJ17,振り分け!$P$7:$P$456,0)))),"未決定")))</f>
        <v/>
      </c>
      <c r="V17" s="65">
        <f>IF($AK17="","",IF(計算用!$B$1=1,INDEX(新年度名簿!$C$3:$C$452,$AK17),INDEX(前年度名簿!$C$3:$C$452,$AK17)))</f>
        <v/>
      </c>
      <c r="W17" s="66">
        <f>IF($AK17="","",IF(計算用!$B$1=1,INDEX(新年度名簿!$D$3:$D$452,$AK17),INDEX(前年度名簿!$D$3:$D$452,$AK17)))</f>
        <v/>
      </c>
      <c r="X17" s="65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M$7:$M$456,MATCH($AK17,振り分け!$P$7:$P$456,0))="転出","転出",IF(INDEX(振り分け!$L$7:$L$456,MATCH($AK17,振り分け!$P$7:$P$456,0))="","未決定",INDEX(振り分け!$L$7:$L$456,MATCH($AK17,振り分け!$P$7:$P$456,0)))),"未決定")))</f>
        <v/>
      </c>
      <c r="AD17" s="63">
        <f>IF(計算用!$B$1=1,IFERROR(IF(SMALL(新年度名簿!$J$3:$J$452,$AD$3+13)&lt;2000,MATCH(SMALL(新年度名簿!$J$3:$J$452,$AD$3+13),新年度名簿!$J$3:$J$452,0),""),""),IFERROR(IF(SMALL(前年度名簿!$G$3:$G$452,$AD$3+13)&lt;2000,MATCH(SMALL(前年度名簿!$G$3:$G$452,$AD$3+13),前年度名簿!$G$3:$G$452,0),""),""))</f>
        <v/>
      </c>
      <c r="AE17" s="63">
        <f>IF(計算用!$B$1=1,IFERROR(IF(SMALL(新年度名簿!$J$3:$J$452,$AE$3+13)&lt;3000,MATCH(SMALL(新年度名簿!$J$3:$J$452,$AE$3+13),新年度名簿!$J$3:$J$452,0),""),""),IFERROR(IF(SMALL(前年度名簿!$G$3:$G$452,$AE$3+13)&lt;3000,MATCH(SMALL(前年度名簿!$G$3:$G$452,$AE$3+13),前年度名簿!$G$3:$G$452,0),""),""))</f>
        <v/>
      </c>
      <c r="AF17" s="63">
        <f>IF(計算用!$B$1=1,IFERROR(IF(SMALL(新年度名簿!$J$3:$J$452,$AF$3+13)&lt;4000,MATCH(SMALL(新年度名簿!$J$3:$J$452,$AF$3+13),新年度名簿!$J$3:$J$452,0),""),""),IFERROR(IF(SMALL(前年度名簿!$G$3:$G$452,$AF$3+13)&lt;4000,MATCH(SMALL(前年度名簿!$G$3:$G$452,$AF$3+13),前年度名簿!$G$3:$G$452,0),""),""))</f>
        <v/>
      </c>
      <c r="AG17" s="63">
        <f>IF(計算用!$B$1=1,IFERROR(IF(SMALL(新年度名簿!$J$3:$J$452,$AG$3+13)&lt;5000,MATCH(SMALL(新年度名簿!$J$3:$J$452,$AG$3+13),新年度名簿!$J$3:$J$452,0),""),""),IFERROR(IF(SMALL(前年度名簿!$G$3:$G$452,$AG$3+13)&lt;5000,MATCH(SMALL(前年度名簿!$G$3:$G$452,$AG$3+13),前年度名簿!$G$3:$G$452,0),""),""))</f>
        <v/>
      </c>
      <c r="AH17" s="63">
        <f>IF(計算用!$B$1=1,IFERROR(IF(SMALL(新年度名簿!$J$3:$J$452,$AH$3+13)&lt;6000,MATCH(SMALL(新年度名簿!$J$3:$J$452,$AH$3+13),新年度名簿!$J$3:$J$452,0),""),""),IFERROR(IF(SMALL(前年度名簿!$G$3:$G$452,$AH$3+13)&lt;6000,MATCH(SMALL(前年度名簿!$G$3:$G$452,$AH$3+13),前年度名簿!$G$3:$G$452,0),""),""))</f>
        <v/>
      </c>
      <c r="AI17" s="63">
        <f>IF(計算用!$B$1=1,IFERROR(IF(SMALL(新年度名簿!$J$3:$J$452,$AI$3+13)&lt;7000,MATCH(SMALL(新年度名簿!$J$3:$J$452,$AI$3+13),新年度名簿!$J$3:$J$452,0),""),""),IFERROR(IF(SMALL(前年度名簿!$G$3:$G$452,$AI$3+13)&lt;7000,MATCH(SMALL(前年度名簿!$G$3:$G$452,$AI$3+13),前年度名簿!$G$3:$G$452,0),""),""))</f>
        <v/>
      </c>
      <c r="AJ17" s="63">
        <f>IF(計算用!$B$1=1,IFERROR(IF(SMALL(新年度名簿!$J$3:$J$452,$AJ$3+13)&lt;8000,MATCH(SMALL(新年度名簿!$J$3:$J$452,$AJ$3+13),新年度名簿!$J$3:$J$452,0),""),""),IFERROR(IF(SMALL(前年度名簿!$G$3:$G$452,$AJ$3+13)&lt;8000,MATCH(SMALL(前年度名簿!$G$3:$G$452,$AJ$3+13),前年度名簿!$G$3:$G$452,0),""),""))</f>
        <v/>
      </c>
      <c r="AK17" s="63">
        <f>IF(計算用!$B$1=1,IFERROR(IF(SMALL(新年度名簿!$J$3:$J$452,$AK$3+13)&lt;9000,MATCH(SMALL(新年度名簿!$J$3:$J$452,$AK$3+13),新年度名簿!$J$3:$J$452,0),""),""),IFERROR(IF(SMALL(前年度名簿!$G$3:$G$452,$AK$3+13)&lt;9000,MATCH(SMALL(前年度名簿!$G$3:$G$452,$AK$3+13),前年度名簿!$G$3:$G$452,0),""),""))</f>
        <v/>
      </c>
    </row>
    <row r="18">
      <c r="A18" s="65">
        <f>IF($AD18="","",IF(計算用!$B$1=1,INDEX(新年度名簿!$C$3:$C$452,$AD18),INDEX(前年度名簿!$C$3:$C$452,$AD18)))</f>
        <v/>
      </c>
      <c r="B18" s="66">
        <f>IF($AD18="","",IF(計算用!$B$1=1,INDEX(新年度名簿!$D$3:$D$452,$AD18),INDEX(前年度名簿!$D$3:$D$452,$AD18)))</f>
        <v/>
      </c>
      <c r="C18" s="65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M$7:$M$456,MATCH($AD18,振り分け!$P$7:$P$456,0))="転出","転出",IF(INDEX(振り分け!$L$7:$L$456,MATCH($AD18,振り分け!$P$7:$P$456,0))="","未決定",INDEX(振り分け!$L$7:$L$456,MATCH($AD18,振り分け!$P$7:$P$456,0)))),"未決定")))</f>
        <v/>
      </c>
      <c r="D18" s="65">
        <f>IF($AE18="","",IF(計算用!$B$1=1,INDEX(新年度名簿!$C$3:$C$452,$AE18),INDEX(前年度名簿!$C$3:$C$452,$AE18)))</f>
        <v/>
      </c>
      <c r="E18" s="66">
        <f>IF($AE18="","",IF(計算用!$B$1=1,INDEX(新年度名簿!$D$3:$D$452,$AE18),INDEX(前年度名簿!$D$3:$D$452,$AE18)))</f>
        <v/>
      </c>
      <c r="F18" s="65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M$7:$M$456,MATCH($AE18,振り分け!$P$7:$P$456,0))="転出","転出",IF(INDEX(振り分け!$L$7:$L$456,MATCH($AE18,振り分け!$P$7:$P$456,0))="","未決定",INDEX(振り分け!$L$7:$L$456,MATCH($AE18,振り分け!$P$7:$P$456,0)))),"未決定")))</f>
        <v/>
      </c>
      <c r="G18" s="65">
        <f>IF($AF18="","",IF(計算用!$B$1=1,INDEX(新年度名簿!$C$3:$C$452,$AF18),INDEX(前年度名簿!$C$3:$C$452,$AF18)))</f>
        <v/>
      </c>
      <c r="H18" s="66">
        <f>IF($AF18="","",IF(計算用!$B$1=1,INDEX(新年度名簿!$D$3:$D$452,$AF18),INDEX(前年度名簿!$D$3:$D$452,$AF18)))</f>
        <v/>
      </c>
      <c r="I18" s="65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M$7:$M$456,MATCH($AF18,振り分け!$P$7:$P$456,0))="転出","転出",IF(INDEX(振り分け!$L$7:$L$456,MATCH($AF18,振り分け!$P$7:$P$456,0))="","未決定",INDEX(振り分け!$L$7:$L$456,MATCH($AF18,振り分け!$P$7:$P$456,0)))),"未決定")))</f>
        <v/>
      </c>
      <c r="J18" s="65">
        <f>IF($AG18="","",IF(計算用!$B$1=1,INDEX(新年度名簿!$C$3:$C$452,$AG18),INDEX(前年度名簿!$C$3:$C$452,$AG18)))</f>
        <v/>
      </c>
      <c r="K18" s="66">
        <f>IF($AG18="","",IF(計算用!$B$1=1,INDEX(新年度名簿!$D$3:$D$452,$AG18),INDEX(前年度名簿!$D$3:$D$452,$AG18)))</f>
        <v/>
      </c>
      <c r="L18" s="65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M$7:$M$456,MATCH($AG18,振り分け!$P$7:$P$456,0))="転出","転出",IF(INDEX(振り分け!$L$7:$L$456,MATCH($AG18,振り分け!$P$7:$P$456,0))="","未決定",INDEX(振り分け!$L$7:$L$456,MATCH($AG18,振り分け!$P$7:$P$456,0)))),"未決定")))</f>
        <v/>
      </c>
      <c r="M18" s="65">
        <f>IF($AH18="","",IF(計算用!$B$1=1,INDEX(新年度名簿!$C$3:$C$452,$AH18),INDEX(前年度名簿!$C$3:$C$452,$AH18)))</f>
        <v/>
      </c>
      <c r="N18" s="66">
        <f>IF($AH18="","",IF(計算用!$B$1=1,INDEX(新年度名簿!$D$3:$D$452,$AH18),INDEX(前年度名簿!$D$3:$D$452,$AH18)))</f>
        <v/>
      </c>
      <c r="O18" s="65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M$7:$M$456,MATCH($AH18,振り分け!$P$7:$P$456,0))="転出","転出",IF(INDEX(振り分け!$L$7:$L$456,MATCH($AH18,振り分け!$P$7:$P$456,0))="","未決定",INDEX(振り分け!$L$7:$L$456,MATCH($AH18,振り分け!$P$7:$P$456,0)))),"未決定")))</f>
        <v/>
      </c>
      <c r="P18" s="65">
        <f>IF($AI18="","",IF(計算用!$B$1=1,INDEX(新年度名簿!$C$3:$C$452,$AI18),INDEX(前年度名簿!$C$3:$C$452,$AI18)))</f>
        <v/>
      </c>
      <c r="Q18" s="66">
        <f>IF($AI18="","",IF(計算用!$B$1=1,INDEX(新年度名簿!$D$3:$D$452,$AI18),INDEX(前年度名簿!$D$3:$D$452,$AI18)))</f>
        <v/>
      </c>
      <c r="R18" s="65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M$7:$M$456,MATCH($AI18,振り分け!$P$7:$P$456,0))="転出","転出",IF(INDEX(振り分け!$L$7:$L$456,MATCH($AI18,振り分け!$P$7:$P$456,0))="","未決定",INDEX(振り分け!$L$7:$L$456,MATCH($AI18,振り分け!$P$7:$P$456,0)))),"未決定")))</f>
        <v/>
      </c>
      <c r="S18" s="65">
        <f>IF($AJ18="","",IF(計算用!$B$1=1,INDEX(新年度名簿!$C$3:$C$452,$AJ18),INDEX(前年度名簿!$C$3:$C$452,$AJ18)))</f>
        <v/>
      </c>
      <c r="T18" s="66">
        <f>IF($AJ18="","",IF(計算用!$B$1=1,INDEX(新年度名簿!$D$3:$D$452,$AJ18),INDEX(前年度名簿!$D$3:$D$452,$AJ18)))</f>
        <v/>
      </c>
      <c r="U18" s="65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M$7:$M$456,MATCH($AJ18,振り分け!$P$7:$P$456,0))="転出","転出",IF(INDEX(振り分け!$L$7:$L$456,MATCH($AJ18,振り分け!$P$7:$P$456,0))="","未決定",INDEX(振り分け!$L$7:$L$456,MATCH($AJ18,振り分け!$P$7:$P$456,0)))),"未決定")))</f>
        <v/>
      </c>
      <c r="V18" s="65">
        <f>IF($AK18="","",IF(計算用!$B$1=1,INDEX(新年度名簿!$C$3:$C$452,$AK18),INDEX(前年度名簿!$C$3:$C$452,$AK18)))</f>
        <v/>
      </c>
      <c r="W18" s="66">
        <f>IF($AK18="","",IF(計算用!$B$1=1,INDEX(新年度名簿!$D$3:$D$452,$AK18),INDEX(前年度名簿!$D$3:$D$452,$AK18)))</f>
        <v/>
      </c>
      <c r="X18" s="65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M$7:$M$456,MATCH($AK18,振り分け!$P$7:$P$456,0))="転出","転出",IF(INDEX(振り分け!$L$7:$L$456,MATCH($AK18,振り分け!$P$7:$P$456,0))="","未決定",INDEX(振り分け!$L$7:$L$456,MATCH($AK18,振り分け!$P$7:$P$456,0)))),"未決定")))</f>
        <v/>
      </c>
      <c r="AD18" s="63">
        <f>IF(計算用!$B$1=1,IFERROR(IF(SMALL(新年度名簿!$J$3:$J$452,$AD$3+14)&lt;2000,MATCH(SMALL(新年度名簿!$J$3:$J$452,$AD$3+14),新年度名簿!$J$3:$J$452,0),""),""),IFERROR(IF(SMALL(前年度名簿!$G$3:$G$452,$AD$3+14)&lt;2000,MATCH(SMALL(前年度名簿!$G$3:$G$452,$AD$3+14),前年度名簿!$G$3:$G$452,0),""),""))</f>
        <v/>
      </c>
      <c r="AE18" s="63">
        <f>IF(計算用!$B$1=1,IFERROR(IF(SMALL(新年度名簿!$J$3:$J$452,$AE$3+14)&lt;3000,MATCH(SMALL(新年度名簿!$J$3:$J$452,$AE$3+14),新年度名簿!$J$3:$J$452,0),""),""),IFERROR(IF(SMALL(前年度名簿!$G$3:$G$452,$AE$3+14)&lt;3000,MATCH(SMALL(前年度名簿!$G$3:$G$452,$AE$3+14),前年度名簿!$G$3:$G$452,0),""),""))</f>
        <v/>
      </c>
      <c r="AF18" s="63">
        <f>IF(計算用!$B$1=1,IFERROR(IF(SMALL(新年度名簿!$J$3:$J$452,$AF$3+14)&lt;4000,MATCH(SMALL(新年度名簿!$J$3:$J$452,$AF$3+14),新年度名簿!$J$3:$J$452,0),""),""),IFERROR(IF(SMALL(前年度名簿!$G$3:$G$452,$AF$3+14)&lt;4000,MATCH(SMALL(前年度名簿!$G$3:$G$452,$AF$3+14),前年度名簿!$G$3:$G$452,0),""),""))</f>
        <v/>
      </c>
      <c r="AG18" s="63">
        <f>IF(計算用!$B$1=1,IFERROR(IF(SMALL(新年度名簿!$J$3:$J$452,$AG$3+14)&lt;5000,MATCH(SMALL(新年度名簿!$J$3:$J$452,$AG$3+14),新年度名簿!$J$3:$J$452,0),""),""),IFERROR(IF(SMALL(前年度名簿!$G$3:$G$452,$AG$3+14)&lt;5000,MATCH(SMALL(前年度名簿!$G$3:$G$452,$AG$3+14),前年度名簿!$G$3:$G$452,0),""),""))</f>
        <v/>
      </c>
      <c r="AH18" s="63">
        <f>IF(計算用!$B$1=1,IFERROR(IF(SMALL(新年度名簿!$J$3:$J$452,$AH$3+14)&lt;6000,MATCH(SMALL(新年度名簿!$J$3:$J$452,$AH$3+14),新年度名簿!$J$3:$J$452,0),""),""),IFERROR(IF(SMALL(前年度名簿!$G$3:$G$452,$AH$3+14)&lt;6000,MATCH(SMALL(前年度名簿!$G$3:$G$452,$AH$3+14),前年度名簿!$G$3:$G$452,0),""),""))</f>
        <v/>
      </c>
      <c r="AI18" s="63">
        <f>IF(計算用!$B$1=1,IFERROR(IF(SMALL(新年度名簿!$J$3:$J$452,$AI$3+14)&lt;7000,MATCH(SMALL(新年度名簿!$J$3:$J$452,$AI$3+14),新年度名簿!$J$3:$J$452,0),""),""),IFERROR(IF(SMALL(前年度名簿!$G$3:$G$452,$AI$3+14)&lt;7000,MATCH(SMALL(前年度名簿!$G$3:$G$452,$AI$3+14),前年度名簿!$G$3:$G$452,0),""),""))</f>
        <v/>
      </c>
      <c r="AJ18" s="63">
        <f>IF(計算用!$B$1=1,IFERROR(IF(SMALL(新年度名簿!$J$3:$J$452,$AJ$3+14)&lt;8000,MATCH(SMALL(新年度名簿!$J$3:$J$452,$AJ$3+14),新年度名簿!$J$3:$J$452,0),""),""),IFERROR(IF(SMALL(前年度名簿!$G$3:$G$452,$AJ$3+14)&lt;8000,MATCH(SMALL(前年度名簿!$G$3:$G$452,$AJ$3+14),前年度名簿!$G$3:$G$452,0),""),""))</f>
        <v/>
      </c>
      <c r="AK18" s="63">
        <f>IF(計算用!$B$1=1,IFERROR(IF(SMALL(新年度名簿!$J$3:$J$452,$AK$3+14)&lt;9000,MATCH(SMALL(新年度名簿!$J$3:$J$452,$AK$3+14),新年度名簿!$J$3:$J$452,0),""),""),IFERROR(IF(SMALL(前年度名簿!$G$3:$G$452,$AK$3+14)&lt;9000,MATCH(SMALL(前年度名簿!$G$3:$G$452,$AK$3+14),前年度名簿!$G$3:$G$452,0),""),""))</f>
        <v/>
      </c>
    </row>
    <row r="19">
      <c r="A19" s="65">
        <f>IF($AD19="","",IF(計算用!$B$1=1,INDEX(新年度名簿!$C$3:$C$452,$AD19),INDEX(前年度名簿!$C$3:$C$452,$AD19)))</f>
        <v/>
      </c>
      <c r="B19" s="66">
        <f>IF($AD19="","",IF(計算用!$B$1=1,INDEX(新年度名簿!$D$3:$D$452,$AD19),INDEX(前年度名簿!$D$3:$D$452,$AD19)))</f>
        <v/>
      </c>
      <c r="C19" s="65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M$7:$M$456,MATCH($AD19,振り分け!$P$7:$P$456,0))="転出","転出",IF(INDEX(振り分け!$L$7:$L$456,MATCH($AD19,振り分け!$P$7:$P$456,0))="","未決定",INDEX(振り分け!$L$7:$L$456,MATCH($AD19,振り分け!$P$7:$P$456,0)))),"未決定")))</f>
        <v/>
      </c>
      <c r="D19" s="65">
        <f>IF($AE19="","",IF(計算用!$B$1=1,INDEX(新年度名簿!$C$3:$C$452,$AE19),INDEX(前年度名簿!$C$3:$C$452,$AE19)))</f>
        <v/>
      </c>
      <c r="E19" s="66">
        <f>IF($AE19="","",IF(計算用!$B$1=1,INDEX(新年度名簿!$D$3:$D$452,$AE19),INDEX(前年度名簿!$D$3:$D$452,$AE19)))</f>
        <v/>
      </c>
      <c r="F19" s="65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M$7:$M$456,MATCH($AE19,振り分け!$P$7:$P$456,0))="転出","転出",IF(INDEX(振り分け!$L$7:$L$456,MATCH($AE19,振り分け!$P$7:$P$456,0))="","未決定",INDEX(振り分け!$L$7:$L$456,MATCH($AE19,振り分け!$P$7:$P$456,0)))),"未決定")))</f>
        <v/>
      </c>
      <c r="G19" s="65">
        <f>IF($AF19="","",IF(計算用!$B$1=1,INDEX(新年度名簿!$C$3:$C$452,$AF19),INDEX(前年度名簿!$C$3:$C$452,$AF19)))</f>
        <v/>
      </c>
      <c r="H19" s="66">
        <f>IF($AF19="","",IF(計算用!$B$1=1,INDEX(新年度名簿!$D$3:$D$452,$AF19),INDEX(前年度名簿!$D$3:$D$452,$AF19)))</f>
        <v/>
      </c>
      <c r="I19" s="65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M$7:$M$456,MATCH($AF19,振り分け!$P$7:$P$456,0))="転出","転出",IF(INDEX(振り分け!$L$7:$L$456,MATCH($AF19,振り分け!$P$7:$P$456,0))="","未決定",INDEX(振り分け!$L$7:$L$456,MATCH($AF19,振り分け!$P$7:$P$456,0)))),"未決定")))</f>
        <v/>
      </c>
      <c r="J19" s="65">
        <f>IF($AG19="","",IF(計算用!$B$1=1,INDEX(新年度名簿!$C$3:$C$452,$AG19),INDEX(前年度名簿!$C$3:$C$452,$AG19)))</f>
        <v/>
      </c>
      <c r="K19" s="66">
        <f>IF($AG19="","",IF(計算用!$B$1=1,INDEX(新年度名簿!$D$3:$D$452,$AG19),INDEX(前年度名簿!$D$3:$D$452,$AG19)))</f>
        <v/>
      </c>
      <c r="L19" s="65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M$7:$M$456,MATCH($AG19,振り分け!$P$7:$P$456,0))="転出","転出",IF(INDEX(振り分け!$L$7:$L$456,MATCH($AG19,振り分け!$P$7:$P$456,0))="","未決定",INDEX(振り分け!$L$7:$L$456,MATCH($AG19,振り分け!$P$7:$P$456,0)))),"未決定")))</f>
        <v/>
      </c>
      <c r="M19" s="65">
        <f>IF($AH19="","",IF(計算用!$B$1=1,INDEX(新年度名簿!$C$3:$C$452,$AH19),INDEX(前年度名簿!$C$3:$C$452,$AH19)))</f>
        <v/>
      </c>
      <c r="N19" s="66">
        <f>IF($AH19="","",IF(計算用!$B$1=1,INDEX(新年度名簿!$D$3:$D$452,$AH19),INDEX(前年度名簿!$D$3:$D$452,$AH19)))</f>
        <v/>
      </c>
      <c r="O19" s="65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M$7:$M$456,MATCH($AH19,振り分け!$P$7:$P$456,0))="転出","転出",IF(INDEX(振り分け!$L$7:$L$456,MATCH($AH19,振り分け!$P$7:$P$456,0))="","未決定",INDEX(振り分け!$L$7:$L$456,MATCH($AH19,振り分け!$P$7:$P$456,0)))),"未決定")))</f>
        <v/>
      </c>
      <c r="P19" s="65">
        <f>IF($AI19="","",IF(計算用!$B$1=1,INDEX(新年度名簿!$C$3:$C$452,$AI19),INDEX(前年度名簿!$C$3:$C$452,$AI19)))</f>
        <v/>
      </c>
      <c r="Q19" s="66">
        <f>IF($AI19="","",IF(計算用!$B$1=1,INDEX(新年度名簿!$D$3:$D$452,$AI19),INDEX(前年度名簿!$D$3:$D$452,$AI19)))</f>
        <v/>
      </c>
      <c r="R19" s="65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M$7:$M$456,MATCH($AI19,振り分け!$P$7:$P$456,0))="転出","転出",IF(INDEX(振り分け!$L$7:$L$456,MATCH($AI19,振り分け!$P$7:$P$456,0))="","未決定",INDEX(振り分け!$L$7:$L$456,MATCH($AI19,振り分け!$P$7:$P$456,0)))),"未決定")))</f>
        <v/>
      </c>
      <c r="S19" s="65">
        <f>IF($AJ19="","",IF(計算用!$B$1=1,INDEX(新年度名簿!$C$3:$C$452,$AJ19),INDEX(前年度名簿!$C$3:$C$452,$AJ19)))</f>
        <v/>
      </c>
      <c r="T19" s="66">
        <f>IF($AJ19="","",IF(計算用!$B$1=1,INDEX(新年度名簿!$D$3:$D$452,$AJ19),INDEX(前年度名簿!$D$3:$D$452,$AJ19)))</f>
        <v/>
      </c>
      <c r="U19" s="65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M$7:$M$456,MATCH($AJ19,振り分け!$P$7:$P$456,0))="転出","転出",IF(INDEX(振り分け!$L$7:$L$456,MATCH($AJ19,振り分け!$P$7:$P$456,0))="","未決定",INDEX(振り分け!$L$7:$L$456,MATCH($AJ19,振り分け!$P$7:$P$456,0)))),"未決定")))</f>
        <v/>
      </c>
      <c r="V19" s="65">
        <f>IF($AK19="","",IF(計算用!$B$1=1,INDEX(新年度名簿!$C$3:$C$452,$AK19),INDEX(前年度名簿!$C$3:$C$452,$AK19)))</f>
        <v/>
      </c>
      <c r="W19" s="66">
        <f>IF($AK19="","",IF(計算用!$B$1=1,INDEX(新年度名簿!$D$3:$D$452,$AK19),INDEX(前年度名簿!$D$3:$D$452,$AK19)))</f>
        <v/>
      </c>
      <c r="X19" s="65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M$7:$M$456,MATCH($AK19,振り分け!$P$7:$P$456,0))="転出","転出",IF(INDEX(振り分け!$L$7:$L$456,MATCH($AK19,振り分け!$P$7:$P$456,0))="","未決定",INDEX(振り分け!$L$7:$L$456,MATCH($AK19,振り分け!$P$7:$P$456,0)))),"未決定")))</f>
        <v/>
      </c>
      <c r="AD19" s="63">
        <f>IF(計算用!$B$1=1,IFERROR(IF(SMALL(新年度名簿!$J$3:$J$452,$AD$3+15)&lt;2000,MATCH(SMALL(新年度名簿!$J$3:$J$452,$AD$3+15),新年度名簿!$J$3:$J$452,0),""),""),IFERROR(IF(SMALL(前年度名簿!$G$3:$G$452,$AD$3+15)&lt;2000,MATCH(SMALL(前年度名簿!$G$3:$G$452,$AD$3+15),前年度名簿!$G$3:$G$452,0),""),""))</f>
        <v/>
      </c>
      <c r="AE19" s="63">
        <f>IF(計算用!$B$1=1,IFERROR(IF(SMALL(新年度名簿!$J$3:$J$452,$AE$3+15)&lt;3000,MATCH(SMALL(新年度名簿!$J$3:$J$452,$AE$3+15),新年度名簿!$J$3:$J$452,0),""),""),IFERROR(IF(SMALL(前年度名簿!$G$3:$G$452,$AE$3+15)&lt;3000,MATCH(SMALL(前年度名簿!$G$3:$G$452,$AE$3+15),前年度名簿!$G$3:$G$452,0),""),""))</f>
        <v/>
      </c>
      <c r="AF19" s="63">
        <f>IF(計算用!$B$1=1,IFERROR(IF(SMALL(新年度名簿!$J$3:$J$452,$AF$3+15)&lt;4000,MATCH(SMALL(新年度名簿!$J$3:$J$452,$AF$3+15),新年度名簿!$J$3:$J$452,0),""),""),IFERROR(IF(SMALL(前年度名簿!$G$3:$G$452,$AF$3+15)&lt;4000,MATCH(SMALL(前年度名簿!$G$3:$G$452,$AF$3+15),前年度名簿!$G$3:$G$452,0),""),""))</f>
        <v/>
      </c>
      <c r="AG19" s="63">
        <f>IF(計算用!$B$1=1,IFERROR(IF(SMALL(新年度名簿!$J$3:$J$452,$AG$3+15)&lt;5000,MATCH(SMALL(新年度名簿!$J$3:$J$452,$AG$3+15),新年度名簿!$J$3:$J$452,0),""),""),IFERROR(IF(SMALL(前年度名簿!$G$3:$G$452,$AG$3+15)&lt;5000,MATCH(SMALL(前年度名簿!$G$3:$G$452,$AG$3+15),前年度名簿!$G$3:$G$452,0),""),""))</f>
        <v/>
      </c>
      <c r="AH19" s="63">
        <f>IF(計算用!$B$1=1,IFERROR(IF(SMALL(新年度名簿!$J$3:$J$452,$AH$3+15)&lt;6000,MATCH(SMALL(新年度名簿!$J$3:$J$452,$AH$3+15),新年度名簿!$J$3:$J$452,0),""),""),IFERROR(IF(SMALL(前年度名簿!$G$3:$G$452,$AH$3+15)&lt;6000,MATCH(SMALL(前年度名簿!$G$3:$G$452,$AH$3+15),前年度名簿!$G$3:$G$452,0),""),""))</f>
        <v/>
      </c>
      <c r="AI19" s="63">
        <f>IF(計算用!$B$1=1,IFERROR(IF(SMALL(新年度名簿!$J$3:$J$452,$AI$3+15)&lt;7000,MATCH(SMALL(新年度名簿!$J$3:$J$452,$AI$3+15),新年度名簿!$J$3:$J$452,0),""),""),IFERROR(IF(SMALL(前年度名簿!$G$3:$G$452,$AI$3+15)&lt;7000,MATCH(SMALL(前年度名簿!$G$3:$G$452,$AI$3+15),前年度名簿!$G$3:$G$452,0),""),""))</f>
        <v/>
      </c>
      <c r="AJ19" s="63">
        <f>IF(計算用!$B$1=1,IFERROR(IF(SMALL(新年度名簿!$J$3:$J$452,$AJ$3+15)&lt;8000,MATCH(SMALL(新年度名簿!$J$3:$J$452,$AJ$3+15),新年度名簿!$J$3:$J$452,0),""),""),IFERROR(IF(SMALL(前年度名簿!$G$3:$G$452,$AJ$3+15)&lt;8000,MATCH(SMALL(前年度名簿!$G$3:$G$452,$AJ$3+15),前年度名簿!$G$3:$G$452,0),""),""))</f>
        <v/>
      </c>
      <c r="AK19" s="63">
        <f>IF(計算用!$B$1=1,IFERROR(IF(SMALL(新年度名簿!$J$3:$J$452,$AK$3+15)&lt;9000,MATCH(SMALL(新年度名簿!$J$3:$J$452,$AK$3+15),新年度名簿!$J$3:$J$452,0),""),""),IFERROR(IF(SMALL(前年度名簿!$G$3:$G$452,$AK$3+15)&lt;9000,MATCH(SMALL(前年度名簿!$G$3:$G$452,$AK$3+15),前年度名簿!$G$3:$G$452,0),""),""))</f>
        <v/>
      </c>
    </row>
    <row r="20">
      <c r="A20" s="65">
        <f>IF($AD20="","",IF(計算用!$B$1=1,INDEX(新年度名簿!$C$3:$C$452,$AD20),INDEX(前年度名簿!$C$3:$C$452,$AD20)))</f>
        <v/>
      </c>
      <c r="B20" s="66">
        <f>IF($AD20="","",IF(計算用!$B$1=1,INDEX(新年度名簿!$D$3:$D$452,$AD20),INDEX(前年度名簿!$D$3:$D$452,$AD20)))</f>
        <v/>
      </c>
      <c r="C20" s="65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M$7:$M$456,MATCH($AD20,振り分け!$P$7:$P$456,0))="転出","転出",IF(INDEX(振り分け!$L$7:$L$456,MATCH($AD20,振り分け!$P$7:$P$456,0))="","未決定",INDEX(振り分け!$L$7:$L$456,MATCH($AD20,振り分け!$P$7:$P$456,0)))),"未決定")))</f>
        <v/>
      </c>
      <c r="D20" s="65">
        <f>IF($AE20="","",IF(計算用!$B$1=1,INDEX(新年度名簿!$C$3:$C$452,$AE20),INDEX(前年度名簿!$C$3:$C$452,$AE20)))</f>
        <v/>
      </c>
      <c r="E20" s="66">
        <f>IF($AE20="","",IF(計算用!$B$1=1,INDEX(新年度名簿!$D$3:$D$452,$AE20),INDEX(前年度名簿!$D$3:$D$452,$AE20)))</f>
        <v/>
      </c>
      <c r="F20" s="65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M$7:$M$456,MATCH($AE20,振り分け!$P$7:$P$456,0))="転出","転出",IF(INDEX(振り分け!$L$7:$L$456,MATCH($AE20,振り分け!$P$7:$P$456,0))="","未決定",INDEX(振り分け!$L$7:$L$456,MATCH($AE20,振り分け!$P$7:$P$456,0)))),"未決定")))</f>
        <v/>
      </c>
      <c r="G20" s="65">
        <f>IF($AF20="","",IF(計算用!$B$1=1,INDEX(新年度名簿!$C$3:$C$452,$AF20),INDEX(前年度名簿!$C$3:$C$452,$AF20)))</f>
        <v/>
      </c>
      <c r="H20" s="66">
        <f>IF($AF20="","",IF(計算用!$B$1=1,INDEX(新年度名簿!$D$3:$D$452,$AF20),INDEX(前年度名簿!$D$3:$D$452,$AF20)))</f>
        <v/>
      </c>
      <c r="I20" s="65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M$7:$M$456,MATCH($AF20,振り分け!$P$7:$P$456,0))="転出","転出",IF(INDEX(振り分け!$L$7:$L$456,MATCH($AF20,振り分け!$P$7:$P$456,0))="","未決定",INDEX(振り分け!$L$7:$L$456,MATCH($AF20,振り分け!$P$7:$P$456,0)))),"未決定")))</f>
        <v/>
      </c>
      <c r="J20" s="65">
        <f>IF($AG20="","",IF(計算用!$B$1=1,INDEX(新年度名簿!$C$3:$C$452,$AG20),INDEX(前年度名簿!$C$3:$C$452,$AG20)))</f>
        <v/>
      </c>
      <c r="K20" s="66">
        <f>IF($AG20="","",IF(計算用!$B$1=1,INDEX(新年度名簿!$D$3:$D$452,$AG20),INDEX(前年度名簿!$D$3:$D$452,$AG20)))</f>
        <v/>
      </c>
      <c r="L20" s="65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M$7:$M$456,MATCH($AG20,振り分け!$P$7:$P$456,0))="転出","転出",IF(INDEX(振り分け!$L$7:$L$456,MATCH($AG20,振り分け!$P$7:$P$456,0))="","未決定",INDEX(振り分け!$L$7:$L$456,MATCH($AG20,振り分け!$P$7:$P$456,0)))),"未決定")))</f>
        <v/>
      </c>
      <c r="M20" s="65">
        <f>IF($AH20="","",IF(計算用!$B$1=1,INDEX(新年度名簿!$C$3:$C$452,$AH20),INDEX(前年度名簿!$C$3:$C$452,$AH20)))</f>
        <v/>
      </c>
      <c r="N20" s="66">
        <f>IF($AH20="","",IF(計算用!$B$1=1,INDEX(新年度名簿!$D$3:$D$452,$AH20),INDEX(前年度名簿!$D$3:$D$452,$AH20)))</f>
        <v/>
      </c>
      <c r="O20" s="65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M$7:$M$456,MATCH($AH20,振り分け!$P$7:$P$456,0))="転出","転出",IF(INDEX(振り分け!$L$7:$L$456,MATCH($AH20,振り分け!$P$7:$P$456,0))="","未決定",INDEX(振り分け!$L$7:$L$456,MATCH($AH20,振り分け!$P$7:$P$456,0)))),"未決定")))</f>
        <v/>
      </c>
      <c r="P20" s="65">
        <f>IF($AI20="","",IF(計算用!$B$1=1,INDEX(新年度名簿!$C$3:$C$452,$AI20),INDEX(前年度名簿!$C$3:$C$452,$AI20)))</f>
        <v/>
      </c>
      <c r="Q20" s="66">
        <f>IF($AI20="","",IF(計算用!$B$1=1,INDEX(新年度名簿!$D$3:$D$452,$AI20),INDEX(前年度名簿!$D$3:$D$452,$AI20)))</f>
        <v/>
      </c>
      <c r="R20" s="65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M$7:$M$456,MATCH($AI20,振り分け!$P$7:$P$456,0))="転出","転出",IF(INDEX(振り分け!$L$7:$L$456,MATCH($AI20,振り分け!$P$7:$P$456,0))="","未決定",INDEX(振り分け!$L$7:$L$456,MATCH($AI20,振り分け!$P$7:$P$456,0)))),"未決定")))</f>
        <v/>
      </c>
      <c r="S20" s="65">
        <f>IF($AJ20="","",IF(計算用!$B$1=1,INDEX(新年度名簿!$C$3:$C$452,$AJ20),INDEX(前年度名簿!$C$3:$C$452,$AJ20)))</f>
        <v/>
      </c>
      <c r="T20" s="66">
        <f>IF($AJ20="","",IF(計算用!$B$1=1,INDEX(新年度名簿!$D$3:$D$452,$AJ20),INDEX(前年度名簿!$D$3:$D$452,$AJ20)))</f>
        <v/>
      </c>
      <c r="U20" s="65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M$7:$M$456,MATCH($AJ20,振り分け!$P$7:$P$456,0))="転出","転出",IF(INDEX(振り分け!$L$7:$L$456,MATCH($AJ20,振り分け!$P$7:$P$456,0))="","未決定",INDEX(振り分け!$L$7:$L$456,MATCH($AJ20,振り分け!$P$7:$P$456,0)))),"未決定")))</f>
        <v/>
      </c>
      <c r="V20" s="65">
        <f>IF($AK20="","",IF(計算用!$B$1=1,INDEX(新年度名簿!$C$3:$C$452,$AK20),INDEX(前年度名簿!$C$3:$C$452,$AK20)))</f>
        <v/>
      </c>
      <c r="W20" s="66">
        <f>IF($AK20="","",IF(計算用!$B$1=1,INDEX(新年度名簿!$D$3:$D$452,$AK20),INDEX(前年度名簿!$D$3:$D$452,$AK20)))</f>
        <v/>
      </c>
      <c r="X20" s="65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M$7:$M$456,MATCH($AK20,振り分け!$P$7:$P$456,0))="転出","転出",IF(INDEX(振り分け!$L$7:$L$456,MATCH($AK20,振り分け!$P$7:$P$456,0))="","未決定",INDEX(振り分け!$L$7:$L$456,MATCH($AK20,振り分け!$P$7:$P$456,0)))),"未決定")))</f>
        <v/>
      </c>
      <c r="AD20" s="63">
        <f>IF(計算用!$B$1=1,IFERROR(IF(SMALL(新年度名簿!$J$3:$J$452,$AD$3+16)&lt;2000,MATCH(SMALL(新年度名簿!$J$3:$J$452,$AD$3+16),新年度名簿!$J$3:$J$452,0),""),""),IFERROR(IF(SMALL(前年度名簿!$G$3:$G$452,$AD$3+16)&lt;2000,MATCH(SMALL(前年度名簿!$G$3:$G$452,$AD$3+16),前年度名簿!$G$3:$G$452,0),""),""))</f>
        <v/>
      </c>
      <c r="AE20" s="63">
        <f>IF(計算用!$B$1=1,IFERROR(IF(SMALL(新年度名簿!$J$3:$J$452,$AE$3+16)&lt;3000,MATCH(SMALL(新年度名簿!$J$3:$J$452,$AE$3+16),新年度名簿!$J$3:$J$452,0),""),""),IFERROR(IF(SMALL(前年度名簿!$G$3:$G$452,$AE$3+16)&lt;3000,MATCH(SMALL(前年度名簿!$G$3:$G$452,$AE$3+16),前年度名簿!$G$3:$G$452,0),""),""))</f>
        <v/>
      </c>
      <c r="AF20" s="63">
        <f>IF(計算用!$B$1=1,IFERROR(IF(SMALL(新年度名簿!$J$3:$J$452,$AF$3+16)&lt;4000,MATCH(SMALL(新年度名簿!$J$3:$J$452,$AF$3+16),新年度名簿!$J$3:$J$452,0),""),""),IFERROR(IF(SMALL(前年度名簿!$G$3:$G$452,$AF$3+16)&lt;4000,MATCH(SMALL(前年度名簿!$G$3:$G$452,$AF$3+16),前年度名簿!$G$3:$G$452,0),""),""))</f>
        <v/>
      </c>
      <c r="AG20" s="63">
        <f>IF(計算用!$B$1=1,IFERROR(IF(SMALL(新年度名簿!$J$3:$J$452,$AG$3+16)&lt;5000,MATCH(SMALL(新年度名簿!$J$3:$J$452,$AG$3+16),新年度名簿!$J$3:$J$452,0),""),""),IFERROR(IF(SMALL(前年度名簿!$G$3:$G$452,$AG$3+16)&lt;5000,MATCH(SMALL(前年度名簿!$G$3:$G$452,$AG$3+16),前年度名簿!$G$3:$G$452,0),""),""))</f>
        <v/>
      </c>
      <c r="AH20" s="63">
        <f>IF(計算用!$B$1=1,IFERROR(IF(SMALL(新年度名簿!$J$3:$J$452,$AH$3+16)&lt;6000,MATCH(SMALL(新年度名簿!$J$3:$J$452,$AH$3+16),新年度名簿!$J$3:$J$452,0),""),""),IFERROR(IF(SMALL(前年度名簿!$G$3:$G$452,$AH$3+16)&lt;6000,MATCH(SMALL(前年度名簿!$G$3:$G$452,$AH$3+16),前年度名簿!$G$3:$G$452,0),""),""))</f>
        <v/>
      </c>
      <c r="AI20" s="63">
        <f>IF(計算用!$B$1=1,IFERROR(IF(SMALL(新年度名簿!$J$3:$J$452,$AI$3+16)&lt;7000,MATCH(SMALL(新年度名簿!$J$3:$J$452,$AI$3+16),新年度名簿!$J$3:$J$452,0),""),""),IFERROR(IF(SMALL(前年度名簿!$G$3:$G$452,$AI$3+16)&lt;7000,MATCH(SMALL(前年度名簿!$G$3:$G$452,$AI$3+16),前年度名簿!$G$3:$G$452,0),""),""))</f>
        <v/>
      </c>
      <c r="AJ20" s="63">
        <f>IF(計算用!$B$1=1,IFERROR(IF(SMALL(新年度名簿!$J$3:$J$452,$AJ$3+16)&lt;8000,MATCH(SMALL(新年度名簿!$J$3:$J$452,$AJ$3+16),新年度名簿!$J$3:$J$452,0),""),""),IFERROR(IF(SMALL(前年度名簿!$G$3:$G$452,$AJ$3+16)&lt;8000,MATCH(SMALL(前年度名簿!$G$3:$G$452,$AJ$3+16),前年度名簿!$G$3:$G$452,0),""),""))</f>
        <v/>
      </c>
      <c r="AK20" s="63">
        <f>IF(計算用!$B$1=1,IFERROR(IF(SMALL(新年度名簿!$J$3:$J$452,$AK$3+16)&lt;9000,MATCH(SMALL(新年度名簿!$J$3:$J$452,$AK$3+16),新年度名簿!$J$3:$J$452,0),""),""),IFERROR(IF(SMALL(前年度名簿!$G$3:$G$452,$AK$3+16)&lt;9000,MATCH(SMALL(前年度名簿!$G$3:$G$452,$AK$3+16),前年度名簿!$G$3:$G$452,0),""),""))</f>
        <v/>
      </c>
    </row>
    <row r="21">
      <c r="A21" s="65">
        <f>IF($AD21="","",IF(計算用!$B$1=1,INDEX(新年度名簿!$C$3:$C$452,$AD21),INDEX(前年度名簿!$C$3:$C$452,$AD21)))</f>
        <v/>
      </c>
      <c r="B21" s="66">
        <f>IF($AD21="","",IF(計算用!$B$1=1,INDEX(新年度名簿!$D$3:$D$452,$AD21),INDEX(前年度名簿!$D$3:$D$452,$AD21)))</f>
        <v/>
      </c>
      <c r="C21" s="65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M$7:$M$456,MATCH($AD21,振り分け!$P$7:$P$456,0))="転出","転出",IF(INDEX(振り分け!$L$7:$L$456,MATCH($AD21,振り分け!$P$7:$P$456,0))="","未決定",INDEX(振り分け!$L$7:$L$456,MATCH($AD21,振り分け!$P$7:$P$456,0)))),"未決定")))</f>
        <v/>
      </c>
      <c r="D21" s="65">
        <f>IF($AE21="","",IF(計算用!$B$1=1,INDEX(新年度名簿!$C$3:$C$452,$AE21),INDEX(前年度名簿!$C$3:$C$452,$AE21)))</f>
        <v/>
      </c>
      <c r="E21" s="66">
        <f>IF($AE21="","",IF(計算用!$B$1=1,INDEX(新年度名簿!$D$3:$D$452,$AE21),INDEX(前年度名簿!$D$3:$D$452,$AE21)))</f>
        <v/>
      </c>
      <c r="F21" s="65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M$7:$M$456,MATCH($AE21,振り分け!$P$7:$P$456,0))="転出","転出",IF(INDEX(振り分け!$L$7:$L$456,MATCH($AE21,振り分け!$P$7:$P$456,0))="","未決定",INDEX(振り分け!$L$7:$L$456,MATCH($AE21,振り分け!$P$7:$P$456,0)))),"未決定")))</f>
        <v/>
      </c>
      <c r="G21" s="65">
        <f>IF($AF21="","",IF(計算用!$B$1=1,INDEX(新年度名簿!$C$3:$C$452,$AF21),INDEX(前年度名簿!$C$3:$C$452,$AF21)))</f>
        <v/>
      </c>
      <c r="H21" s="66">
        <f>IF($AF21="","",IF(計算用!$B$1=1,INDEX(新年度名簿!$D$3:$D$452,$AF21),INDEX(前年度名簿!$D$3:$D$452,$AF21)))</f>
        <v/>
      </c>
      <c r="I21" s="65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M$7:$M$456,MATCH($AF21,振り分け!$P$7:$P$456,0))="転出","転出",IF(INDEX(振り分け!$L$7:$L$456,MATCH($AF21,振り分け!$P$7:$P$456,0))="","未決定",INDEX(振り分け!$L$7:$L$456,MATCH($AF21,振り分け!$P$7:$P$456,0)))),"未決定")))</f>
        <v/>
      </c>
      <c r="J21" s="65">
        <f>IF($AG21="","",IF(計算用!$B$1=1,INDEX(新年度名簿!$C$3:$C$452,$AG21),INDEX(前年度名簿!$C$3:$C$452,$AG21)))</f>
        <v/>
      </c>
      <c r="K21" s="66">
        <f>IF($AG21="","",IF(計算用!$B$1=1,INDEX(新年度名簿!$D$3:$D$452,$AG21),INDEX(前年度名簿!$D$3:$D$452,$AG21)))</f>
        <v/>
      </c>
      <c r="L21" s="65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M$7:$M$456,MATCH($AG21,振り分け!$P$7:$P$456,0))="転出","転出",IF(INDEX(振り分け!$L$7:$L$456,MATCH($AG21,振り分け!$P$7:$P$456,0))="","未決定",INDEX(振り分け!$L$7:$L$456,MATCH($AG21,振り分け!$P$7:$P$456,0)))),"未決定")))</f>
        <v/>
      </c>
      <c r="M21" s="65">
        <f>IF($AH21="","",IF(計算用!$B$1=1,INDEX(新年度名簿!$C$3:$C$452,$AH21),INDEX(前年度名簿!$C$3:$C$452,$AH21)))</f>
        <v/>
      </c>
      <c r="N21" s="66">
        <f>IF($AH21="","",IF(計算用!$B$1=1,INDEX(新年度名簿!$D$3:$D$452,$AH21),INDEX(前年度名簿!$D$3:$D$452,$AH21)))</f>
        <v/>
      </c>
      <c r="O21" s="65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M$7:$M$456,MATCH($AH21,振り分け!$P$7:$P$456,0))="転出","転出",IF(INDEX(振り分け!$L$7:$L$456,MATCH($AH21,振り分け!$P$7:$P$456,0))="","未決定",INDEX(振り分け!$L$7:$L$456,MATCH($AH21,振り分け!$P$7:$P$456,0)))),"未決定")))</f>
        <v/>
      </c>
      <c r="P21" s="65">
        <f>IF($AI21="","",IF(計算用!$B$1=1,INDEX(新年度名簿!$C$3:$C$452,$AI21),INDEX(前年度名簿!$C$3:$C$452,$AI21)))</f>
        <v/>
      </c>
      <c r="Q21" s="66">
        <f>IF($AI21="","",IF(計算用!$B$1=1,INDEX(新年度名簿!$D$3:$D$452,$AI21),INDEX(前年度名簿!$D$3:$D$452,$AI21)))</f>
        <v/>
      </c>
      <c r="R21" s="65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M$7:$M$456,MATCH($AI21,振り分け!$P$7:$P$456,0))="転出","転出",IF(INDEX(振り分け!$L$7:$L$456,MATCH($AI21,振り分け!$P$7:$P$456,0))="","未決定",INDEX(振り分け!$L$7:$L$456,MATCH($AI21,振り分け!$P$7:$P$456,0)))),"未決定")))</f>
        <v/>
      </c>
      <c r="S21" s="65">
        <f>IF($AJ21="","",IF(計算用!$B$1=1,INDEX(新年度名簿!$C$3:$C$452,$AJ21),INDEX(前年度名簿!$C$3:$C$452,$AJ21)))</f>
        <v/>
      </c>
      <c r="T21" s="66">
        <f>IF($AJ21="","",IF(計算用!$B$1=1,INDEX(新年度名簿!$D$3:$D$452,$AJ21),INDEX(前年度名簿!$D$3:$D$452,$AJ21)))</f>
        <v/>
      </c>
      <c r="U21" s="65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M$7:$M$456,MATCH($AJ21,振り分け!$P$7:$P$456,0))="転出","転出",IF(INDEX(振り分け!$L$7:$L$456,MATCH($AJ21,振り分け!$P$7:$P$456,0))="","未決定",INDEX(振り分け!$L$7:$L$456,MATCH($AJ21,振り分け!$P$7:$P$456,0)))),"未決定")))</f>
        <v/>
      </c>
      <c r="V21" s="65">
        <f>IF($AK21="","",IF(計算用!$B$1=1,INDEX(新年度名簿!$C$3:$C$452,$AK21),INDEX(前年度名簿!$C$3:$C$452,$AK21)))</f>
        <v/>
      </c>
      <c r="W21" s="66">
        <f>IF($AK21="","",IF(計算用!$B$1=1,INDEX(新年度名簿!$D$3:$D$452,$AK21),INDEX(前年度名簿!$D$3:$D$452,$AK21)))</f>
        <v/>
      </c>
      <c r="X21" s="65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M$7:$M$456,MATCH($AK21,振り分け!$P$7:$P$456,0))="転出","転出",IF(INDEX(振り分け!$L$7:$L$456,MATCH($AK21,振り分け!$P$7:$P$456,0))="","未決定",INDEX(振り分け!$L$7:$L$456,MATCH($AK21,振り分け!$P$7:$P$456,0)))),"未決定")))</f>
        <v/>
      </c>
      <c r="AD21" s="63">
        <f>IF(計算用!$B$1=1,IFERROR(IF(SMALL(新年度名簿!$J$3:$J$452,$AD$3+17)&lt;2000,MATCH(SMALL(新年度名簿!$J$3:$J$452,$AD$3+17),新年度名簿!$J$3:$J$452,0),""),""),IFERROR(IF(SMALL(前年度名簿!$G$3:$G$452,$AD$3+17)&lt;2000,MATCH(SMALL(前年度名簿!$G$3:$G$452,$AD$3+17),前年度名簿!$G$3:$G$452,0),""),""))</f>
        <v/>
      </c>
      <c r="AE21" s="63">
        <f>IF(計算用!$B$1=1,IFERROR(IF(SMALL(新年度名簿!$J$3:$J$452,$AE$3+17)&lt;3000,MATCH(SMALL(新年度名簿!$J$3:$J$452,$AE$3+17),新年度名簿!$J$3:$J$452,0),""),""),IFERROR(IF(SMALL(前年度名簿!$G$3:$G$452,$AE$3+17)&lt;3000,MATCH(SMALL(前年度名簿!$G$3:$G$452,$AE$3+17),前年度名簿!$G$3:$G$452,0),""),""))</f>
        <v/>
      </c>
      <c r="AF21" s="63">
        <f>IF(計算用!$B$1=1,IFERROR(IF(SMALL(新年度名簿!$J$3:$J$452,$AF$3+17)&lt;4000,MATCH(SMALL(新年度名簿!$J$3:$J$452,$AF$3+17),新年度名簿!$J$3:$J$452,0),""),""),IFERROR(IF(SMALL(前年度名簿!$G$3:$G$452,$AF$3+17)&lt;4000,MATCH(SMALL(前年度名簿!$G$3:$G$452,$AF$3+17),前年度名簿!$G$3:$G$452,0),""),""))</f>
        <v/>
      </c>
      <c r="AG21" s="63">
        <f>IF(計算用!$B$1=1,IFERROR(IF(SMALL(新年度名簿!$J$3:$J$452,$AG$3+17)&lt;5000,MATCH(SMALL(新年度名簿!$J$3:$J$452,$AG$3+17),新年度名簿!$J$3:$J$452,0),""),""),IFERROR(IF(SMALL(前年度名簿!$G$3:$G$452,$AG$3+17)&lt;5000,MATCH(SMALL(前年度名簿!$G$3:$G$452,$AG$3+17),前年度名簿!$G$3:$G$452,0),""),""))</f>
        <v/>
      </c>
      <c r="AH21" s="63">
        <f>IF(計算用!$B$1=1,IFERROR(IF(SMALL(新年度名簿!$J$3:$J$452,$AH$3+17)&lt;6000,MATCH(SMALL(新年度名簿!$J$3:$J$452,$AH$3+17),新年度名簿!$J$3:$J$452,0),""),""),IFERROR(IF(SMALL(前年度名簿!$G$3:$G$452,$AH$3+17)&lt;6000,MATCH(SMALL(前年度名簿!$G$3:$G$452,$AH$3+17),前年度名簿!$G$3:$G$452,0),""),""))</f>
        <v/>
      </c>
      <c r="AI21" s="63">
        <f>IF(計算用!$B$1=1,IFERROR(IF(SMALL(新年度名簿!$J$3:$J$452,$AI$3+17)&lt;7000,MATCH(SMALL(新年度名簿!$J$3:$J$452,$AI$3+17),新年度名簿!$J$3:$J$452,0),""),""),IFERROR(IF(SMALL(前年度名簿!$G$3:$G$452,$AI$3+17)&lt;7000,MATCH(SMALL(前年度名簿!$G$3:$G$452,$AI$3+17),前年度名簿!$G$3:$G$452,0),""),""))</f>
        <v/>
      </c>
      <c r="AJ21" s="63">
        <f>IF(計算用!$B$1=1,IFERROR(IF(SMALL(新年度名簿!$J$3:$J$452,$AJ$3+17)&lt;8000,MATCH(SMALL(新年度名簿!$J$3:$J$452,$AJ$3+17),新年度名簿!$J$3:$J$452,0),""),""),IFERROR(IF(SMALL(前年度名簿!$G$3:$G$452,$AJ$3+17)&lt;8000,MATCH(SMALL(前年度名簿!$G$3:$G$452,$AJ$3+17),前年度名簿!$G$3:$G$452,0),""),""))</f>
        <v/>
      </c>
      <c r="AK21" s="63">
        <f>IF(計算用!$B$1=1,IFERROR(IF(SMALL(新年度名簿!$J$3:$J$452,$AK$3+17)&lt;9000,MATCH(SMALL(新年度名簿!$J$3:$J$452,$AK$3+17),新年度名簿!$J$3:$J$452,0),""),""),IFERROR(IF(SMALL(前年度名簿!$G$3:$G$452,$AK$3+17)&lt;9000,MATCH(SMALL(前年度名簿!$G$3:$G$452,$AK$3+17),前年度名簿!$G$3:$G$452,0),""),""))</f>
        <v/>
      </c>
    </row>
    <row r="22">
      <c r="A22" s="65">
        <f>IF($AD22="","",IF(計算用!$B$1=1,INDEX(新年度名簿!$C$3:$C$452,$AD22),INDEX(前年度名簿!$C$3:$C$452,$AD22)))</f>
        <v/>
      </c>
      <c r="B22" s="66">
        <f>IF($AD22="","",IF(計算用!$B$1=1,INDEX(新年度名簿!$D$3:$D$452,$AD22),INDEX(前年度名簿!$D$3:$D$452,$AD22)))</f>
        <v/>
      </c>
      <c r="C22" s="65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M$7:$M$456,MATCH($AD22,振り分け!$P$7:$P$456,0))="転出","転出",IF(INDEX(振り分け!$L$7:$L$456,MATCH($AD22,振り分け!$P$7:$P$456,0))="","未決定",INDEX(振り分け!$L$7:$L$456,MATCH($AD22,振り分け!$P$7:$P$456,0)))),"未決定")))</f>
        <v/>
      </c>
      <c r="D22" s="65">
        <f>IF($AE22="","",IF(計算用!$B$1=1,INDEX(新年度名簿!$C$3:$C$452,$AE22),INDEX(前年度名簿!$C$3:$C$452,$AE22)))</f>
        <v/>
      </c>
      <c r="E22" s="66">
        <f>IF($AE22="","",IF(計算用!$B$1=1,INDEX(新年度名簿!$D$3:$D$452,$AE22),INDEX(前年度名簿!$D$3:$D$452,$AE22)))</f>
        <v/>
      </c>
      <c r="F22" s="65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M$7:$M$456,MATCH($AE22,振り分け!$P$7:$P$456,0))="転出","転出",IF(INDEX(振り分け!$L$7:$L$456,MATCH($AE22,振り分け!$P$7:$P$456,0))="","未決定",INDEX(振り分け!$L$7:$L$456,MATCH($AE22,振り分け!$P$7:$P$456,0)))),"未決定")))</f>
        <v/>
      </c>
      <c r="G22" s="65">
        <f>IF($AF22="","",IF(計算用!$B$1=1,INDEX(新年度名簿!$C$3:$C$452,$AF22),INDEX(前年度名簿!$C$3:$C$452,$AF22)))</f>
        <v/>
      </c>
      <c r="H22" s="66">
        <f>IF($AF22="","",IF(計算用!$B$1=1,INDEX(新年度名簿!$D$3:$D$452,$AF22),INDEX(前年度名簿!$D$3:$D$452,$AF22)))</f>
        <v/>
      </c>
      <c r="I22" s="65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M$7:$M$456,MATCH($AF22,振り分け!$P$7:$P$456,0))="転出","転出",IF(INDEX(振り分け!$L$7:$L$456,MATCH($AF22,振り分け!$P$7:$P$456,0))="","未決定",INDEX(振り分け!$L$7:$L$456,MATCH($AF22,振り分け!$P$7:$P$456,0)))),"未決定")))</f>
        <v/>
      </c>
      <c r="J22" s="65">
        <f>IF($AG22="","",IF(計算用!$B$1=1,INDEX(新年度名簿!$C$3:$C$452,$AG22),INDEX(前年度名簿!$C$3:$C$452,$AG22)))</f>
        <v/>
      </c>
      <c r="K22" s="66">
        <f>IF($AG22="","",IF(計算用!$B$1=1,INDEX(新年度名簿!$D$3:$D$452,$AG22),INDEX(前年度名簿!$D$3:$D$452,$AG22)))</f>
        <v/>
      </c>
      <c r="L22" s="65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M$7:$M$456,MATCH($AG22,振り分け!$P$7:$P$456,0))="転出","転出",IF(INDEX(振り分け!$L$7:$L$456,MATCH($AG22,振り分け!$P$7:$P$456,0))="","未決定",INDEX(振り分け!$L$7:$L$456,MATCH($AG22,振り分け!$P$7:$P$456,0)))),"未決定")))</f>
        <v/>
      </c>
      <c r="M22" s="65">
        <f>IF($AH22="","",IF(計算用!$B$1=1,INDEX(新年度名簿!$C$3:$C$452,$AH22),INDEX(前年度名簿!$C$3:$C$452,$AH22)))</f>
        <v/>
      </c>
      <c r="N22" s="66">
        <f>IF($AH22="","",IF(計算用!$B$1=1,INDEX(新年度名簿!$D$3:$D$452,$AH22),INDEX(前年度名簿!$D$3:$D$452,$AH22)))</f>
        <v/>
      </c>
      <c r="O22" s="65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M$7:$M$456,MATCH($AH22,振り分け!$P$7:$P$456,0))="転出","転出",IF(INDEX(振り分け!$L$7:$L$456,MATCH($AH22,振り分け!$P$7:$P$456,0))="","未決定",INDEX(振り分け!$L$7:$L$456,MATCH($AH22,振り分け!$P$7:$P$456,0)))),"未決定")))</f>
        <v/>
      </c>
      <c r="P22" s="65">
        <f>IF($AI22="","",IF(計算用!$B$1=1,INDEX(新年度名簿!$C$3:$C$452,$AI22),INDEX(前年度名簿!$C$3:$C$452,$AI22)))</f>
        <v/>
      </c>
      <c r="Q22" s="66">
        <f>IF($AI22="","",IF(計算用!$B$1=1,INDEX(新年度名簿!$D$3:$D$452,$AI22),INDEX(前年度名簿!$D$3:$D$452,$AI22)))</f>
        <v/>
      </c>
      <c r="R22" s="65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M$7:$M$456,MATCH($AI22,振り分け!$P$7:$P$456,0))="転出","転出",IF(INDEX(振り分け!$L$7:$L$456,MATCH($AI22,振り分け!$P$7:$P$456,0))="","未決定",INDEX(振り分け!$L$7:$L$456,MATCH($AI22,振り分け!$P$7:$P$456,0)))),"未決定")))</f>
        <v/>
      </c>
      <c r="S22" s="65">
        <f>IF($AJ22="","",IF(計算用!$B$1=1,INDEX(新年度名簿!$C$3:$C$452,$AJ22),INDEX(前年度名簿!$C$3:$C$452,$AJ22)))</f>
        <v/>
      </c>
      <c r="T22" s="66">
        <f>IF($AJ22="","",IF(計算用!$B$1=1,INDEX(新年度名簿!$D$3:$D$452,$AJ22),INDEX(前年度名簿!$D$3:$D$452,$AJ22)))</f>
        <v/>
      </c>
      <c r="U22" s="65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M$7:$M$456,MATCH($AJ22,振り分け!$P$7:$P$456,0))="転出","転出",IF(INDEX(振り分け!$L$7:$L$456,MATCH($AJ22,振り分け!$P$7:$P$456,0))="","未決定",INDEX(振り分け!$L$7:$L$456,MATCH($AJ22,振り分け!$P$7:$P$456,0)))),"未決定")))</f>
        <v/>
      </c>
      <c r="V22" s="65">
        <f>IF($AK22="","",IF(計算用!$B$1=1,INDEX(新年度名簿!$C$3:$C$452,$AK22),INDEX(前年度名簿!$C$3:$C$452,$AK22)))</f>
        <v/>
      </c>
      <c r="W22" s="66">
        <f>IF($AK22="","",IF(計算用!$B$1=1,INDEX(新年度名簿!$D$3:$D$452,$AK22),INDEX(前年度名簿!$D$3:$D$452,$AK22)))</f>
        <v/>
      </c>
      <c r="X22" s="65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M$7:$M$456,MATCH($AK22,振り分け!$P$7:$P$456,0))="転出","転出",IF(INDEX(振り分け!$L$7:$L$456,MATCH($AK22,振り分け!$P$7:$P$456,0))="","未決定",INDEX(振り分け!$L$7:$L$456,MATCH($AK22,振り分け!$P$7:$P$456,0)))),"未決定")))</f>
        <v/>
      </c>
      <c r="AD22" s="63">
        <f>IF(計算用!$B$1=1,IFERROR(IF(SMALL(新年度名簿!$J$3:$J$452,$AD$3+18)&lt;2000,MATCH(SMALL(新年度名簿!$J$3:$J$452,$AD$3+18),新年度名簿!$J$3:$J$452,0),""),""),IFERROR(IF(SMALL(前年度名簿!$G$3:$G$452,$AD$3+18)&lt;2000,MATCH(SMALL(前年度名簿!$G$3:$G$452,$AD$3+18),前年度名簿!$G$3:$G$452,0),""),""))</f>
        <v/>
      </c>
      <c r="AE22" s="63">
        <f>IF(計算用!$B$1=1,IFERROR(IF(SMALL(新年度名簿!$J$3:$J$452,$AE$3+18)&lt;3000,MATCH(SMALL(新年度名簿!$J$3:$J$452,$AE$3+18),新年度名簿!$J$3:$J$452,0),""),""),IFERROR(IF(SMALL(前年度名簿!$G$3:$G$452,$AE$3+18)&lt;3000,MATCH(SMALL(前年度名簿!$G$3:$G$452,$AE$3+18),前年度名簿!$G$3:$G$452,0),""),""))</f>
        <v/>
      </c>
      <c r="AF22" s="63">
        <f>IF(計算用!$B$1=1,IFERROR(IF(SMALL(新年度名簿!$J$3:$J$452,$AF$3+18)&lt;4000,MATCH(SMALL(新年度名簿!$J$3:$J$452,$AF$3+18),新年度名簿!$J$3:$J$452,0),""),""),IFERROR(IF(SMALL(前年度名簿!$G$3:$G$452,$AF$3+18)&lt;4000,MATCH(SMALL(前年度名簿!$G$3:$G$452,$AF$3+18),前年度名簿!$G$3:$G$452,0),""),""))</f>
        <v/>
      </c>
      <c r="AG22" s="63">
        <f>IF(計算用!$B$1=1,IFERROR(IF(SMALL(新年度名簿!$J$3:$J$452,$AG$3+18)&lt;5000,MATCH(SMALL(新年度名簿!$J$3:$J$452,$AG$3+18),新年度名簿!$J$3:$J$452,0),""),""),IFERROR(IF(SMALL(前年度名簿!$G$3:$G$452,$AG$3+18)&lt;5000,MATCH(SMALL(前年度名簿!$G$3:$G$452,$AG$3+18),前年度名簿!$G$3:$G$452,0),""),""))</f>
        <v/>
      </c>
      <c r="AH22" s="63">
        <f>IF(計算用!$B$1=1,IFERROR(IF(SMALL(新年度名簿!$J$3:$J$452,$AH$3+18)&lt;6000,MATCH(SMALL(新年度名簿!$J$3:$J$452,$AH$3+18),新年度名簿!$J$3:$J$452,0),""),""),IFERROR(IF(SMALL(前年度名簿!$G$3:$G$452,$AH$3+18)&lt;6000,MATCH(SMALL(前年度名簿!$G$3:$G$452,$AH$3+18),前年度名簿!$G$3:$G$452,0),""),""))</f>
        <v/>
      </c>
      <c r="AI22" s="63">
        <f>IF(計算用!$B$1=1,IFERROR(IF(SMALL(新年度名簿!$J$3:$J$452,$AI$3+18)&lt;7000,MATCH(SMALL(新年度名簿!$J$3:$J$452,$AI$3+18),新年度名簿!$J$3:$J$452,0),""),""),IFERROR(IF(SMALL(前年度名簿!$G$3:$G$452,$AI$3+18)&lt;7000,MATCH(SMALL(前年度名簿!$G$3:$G$452,$AI$3+18),前年度名簿!$G$3:$G$452,0),""),""))</f>
        <v/>
      </c>
      <c r="AJ22" s="63">
        <f>IF(計算用!$B$1=1,IFERROR(IF(SMALL(新年度名簿!$J$3:$J$452,$AJ$3+18)&lt;8000,MATCH(SMALL(新年度名簿!$J$3:$J$452,$AJ$3+18),新年度名簿!$J$3:$J$452,0),""),""),IFERROR(IF(SMALL(前年度名簿!$G$3:$G$452,$AJ$3+18)&lt;8000,MATCH(SMALL(前年度名簿!$G$3:$G$452,$AJ$3+18),前年度名簿!$G$3:$G$452,0),""),""))</f>
        <v/>
      </c>
      <c r="AK22" s="63">
        <f>IF(計算用!$B$1=1,IFERROR(IF(SMALL(新年度名簿!$J$3:$J$452,$AK$3+18)&lt;9000,MATCH(SMALL(新年度名簿!$J$3:$J$452,$AK$3+18),新年度名簿!$J$3:$J$452,0),""),""),IFERROR(IF(SMALL(前年度名簿!$G$3:$G$452,$AK$3+18)&lt;9000,MATCH(SMALL(前年度名簿!$G$3:$G$452,$AK$3+18),前年度名簿!$G$3:$G$452,0),""),""))</f>
        <v/>
      </c>
    </row>
    <row r="23">
      <c r="A23" s="65">
        <f>IF($AD23="","",IF(計算用!$B$1=1,INDEX(新年度名簿!$C$3:$C$452,$AD23),INDEX(前年度名簿!$C$3:$C$452,$AD23)))</f>
        <v/>
      </c>
      <c r="B23" s="66">
        <f>IF($AD23="","",IF(計算用!$B$1=1,INDEX(新年度名簿!$D$3:$D$452,$AD23),INDEX(前年度名簿!$D$3:$D$452,$AD23)))</f>
        <v/>
      </c>
      <c r="C23" s="65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M$7:$M$456,MATCH($AD23,振り分け!$P$7:$P$456,0))="転出","転出",IF(INDEX(振り分け!$L$7:$L$456,MATCH($AD23,振り分け!$P$7:$P$456,0))="","未決定",INDEX(振り分け!$L$7:$L$456,MATCH($AD23,振り分け!$P$7:$P$456,0)))),"未決定")))</f>
        <v/>
      </c>
      <c r="D23" s="65">
        <f>IF($AE23="","",IF(計算用!$B$1=1,INDEX(新年度名簿!$C$3:$C$452,$AE23),INDEX(前年度名簿!$C$3:$C$452,$AE23)))</f>
        <v/>
      </c>
      <c r="E23" s="66">
        <f>IF($AE23="","",IF(計算用!$B$1=1,INDEX(新年度名簿!$D$3:$D$452,$AE23),INDEX(前年度名簿!$D$3:$D$452,$AE23)))</f>
        <v/>
      </c>
      <c r="F23" s="65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M$7:$M$456,MATCH($AE23,振り分け!$P$7:$P$456,0))="転出","転出",IF(INDEX(振り分け!$L$7:$L$456,MATCH($AE23,振り分け!$P$7:$P$456,0))="","未決定",INDEX(振り分け!$L$7:$L$456,MATCH($AE23,振り分け!$P$7:$P$456,0)))),"未決定")))</f>
        <v/>
      </c>
      <c r="G23" s="65">
        <f>IF($AF23="","",IF(計算用!$B$1=1,INDEX(新年度名簿!$C$3:$C$452,$AF23),INDEX(前年度名簿!$C$3:$C$452,$AF23)))</f>
        <v/>
      </c>
      <c r="H23" s="66">
        <f>IF($AF23="","",IF(計算用!$B$1=1,INDEX(新年度名簿!$D$3:$D$452,$AF23),INDEX(前年度名簿!$D$3:$D$452,$AF23)))</f>
        <v/>
      </c>
      <c r="I23" s="65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M$7:$M$456,MATCH($AF23,振り分け!$P$7:$P$456,0))="転出","転出",IF(INDEX(振り分け!$L$7:$L$456,MATCH($AF23,振り分け!$P$7:$P$456,0))="","未決定",INDEX(振り分け!$L$7:$L$456,MATCH($AF23,振り分け!$P$7:$P$456,0)))),"未決定")))</f>
        <v/>
      </c>
      <c r="J23" s="65">
        <f>IF($AG23="","",IF(計算用!$B$1=1,INDEX(新年度名簿!$C$3:$C$452,$AG23),INDEX(前年度名簿!$C$3:$C$452,$AG23)))</f>
        <v/>
      </c>
      <c r="K23" s="66">
        <f>IF($AG23="","",IF(計算用!$B$1=1,INDEX(新年度名簿!$D$3:$D$452,$AG23),INDEX(前年度名簿!$D$3:$D$452,$AG23)))</f>
        <v/>
      </c>
      <c r="L23" s="65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M$7:$M$456,MATCH($AG23,振り分け!$P$7:$P$456,0))="転出","転出",IF(INDEX(振り分け!$L$7:$L$456,MATCH($AG23,振り分け!$P$7:$P$456,0))="","未決定",INDEX(振り分け!$L$7:$L$456,MATCH($AG23,振り分け!$P$7:$P$456,0)))),"未決定")))</f>
        <v/>
      </c>
      <c r="M23" s="65">
        <f>IF($AH23="","",IF(計算用!$B$1=1,INDEX(新年度名簿!$C$3:$C$452,$AH23),INDEX(前年度名簿!$C$3:$C$452,$AH23)))</f>
        <v/>
      </c>
      <c r="N23" s="66">
        <f>IF($AH23="","",IF(計算用!$B$1=1,INDEX(新年度名簿!$D$3:$D$452,$AH23),INDEX(前年度名簿!$D$3:$D$452,$AH23)))</f>
        <v/>
      </c>
      <c r="O23" s="65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M$7:$M$456,MATCH($AH23,振り分け!$P$7:$P$456,0))="転出","転出",IF(INDEX(振り分け!$L$7:$L$456,MATCH($AH23,振り分け!$P$7:$P$456,0))="","未決定",INDEX(振り分け!$L$7:$L$456,MATCH($AH23,振り分け!$P$7:$P$456,0)))),"未決定")))</f>
        <v/>
      </c>
      <c r="P23" s="65">
        <f>IF($AI23="","",IF(計算用!$B$1=1,INDEX(新年度名簿!$C$3:$C$452,$AI23),INDEX(前年度名簿!$C$3:$C$452,$AI23)))</f>
        <v/>
      </c>
      <c r="Q23" s="66">
        <f>IF($AI23="","",IF(計算用!$B$1=1,INDEX(新年度名簿!$D$3:$D$452,$AI23),INDEX(前年度名簿!$D$3:$D$452,$AI23)))</f>
        <v/>
      </c>
      <c r="R23" s="65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M$7:$M$456,MATCH($AI23,振り分け!$P$7:$P$456,0))="転出","転出",IF(INDEX(振り分け!$L$7:$L$456,MATCH($AI23,振り分け!$P$7:$P$456,0))="","未決定",INDEX(振り分け!$L$7:$L$456,MATCH($AI23,振り分け!$P$7:$P$456,0)))),"未決定")))</f>
        <v/>
      </c>
      <c r="S23" s="65">
        <f>IF($AJ23="","",IF(計算用!$B$1=1,INDEX(新年度名簿!$C$3:$C$452,$AJ23),INDEX(前年度名簿!$C$3:$C$452,$AJ23)))</f>
        <v/>
      </c>
      <c r="T23" s="66">
        <f>IF($AJ23="","",IF(計算用!$B$1=1,INDEX(新年度名簿!$D$3:$D$452,$AJ23),INDEX(前年度名簿!$D$3:$D$452,$AJ23)))</f>
        <v/>
      </c>
      <c r="U23" s="65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M$7:$M$456,MATCH($AJ23,振り分け!$P$7:$P$456,0))="転出","転出",IF(INDEX(振り分け!$L$7:$L$456,MATCH($AJ23,振り分け!$P$7:$P$456,0))="","未決定",INDEX(振り分け!$L$7:$L$456,MATCH($AJ23,振り分け!$P$7:$P$456,0)))),"未決定")))</f>
        <v/>
      </c>
      <c r="V23" s="65">
        <f>IF($AK23="","",IF(計算用!$B$1=1,INDEX(新年度名簿!$C$3:$C$452,$AK23),INDEX(前年度名簿!$C$3:$C$452,$AK23)))</f>
        <v/>
      </c>
      <c r="W23" s="66">
        <f>IF($AK23="","",IF(計算用!$B$1=1,INDEX(新年度名簿!$D$3:$D$452,$AK23),INDEX(前年度名簿!$D$3:$D$452,$AK23)))</f>
        <v/>
      </c>
      <c r="X23" s="65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M$7:$M$456,MATCH($AK23,振り分け!$P$7:$P$456,0))="転出","転出",IF(INDEX(振り分け!$L$7:$L$456,MATCH($AK23,振り分け!$P$7:$P$456,0))="","未決定",INDEX(振り分け!$L$7:$L$456,MATCH($AK23,振り分け!$P$7:$P$456,0)))),"未決定")))</f>
        <v/>
      </c>
      <c r="AD23" s="63">
        <f>IF(計算用!$B$1=1,IFERROR(IF(SMALL(新年度名簿!$J$3:$J$452,$AD$3+19)&lt;2000,MATCH(SMALL(新年度名簿!$J$3:$J$452,$AD$3+19),新年度名簿!$J$3:$J$452,0),""),""),IFERROR(IF(SMALL(前年度名簿!$G$3:$G$452,$AD$3+19)&lt;2000,MATCH(SMALL(前年度名簿!$G$3:$G$452,$AD$3+19),前年度名簿!$G$3:$G$452,0),""),""))</f>
        <v/>
      </c>
      <c r="AE23" s="63">
        <f>IF(計算用!$B$1=1,IFERROR(IF(SMALL(新年度名簿!$J$3:$J$452,$AE$3+19)&lt;3000,MATCH(SMALL(新年度名簿!$J$3:$J$452,$AE$3+19),新年度名簿!$J$3:$J$452,0),""),""),IFERROR(IF(SMALL(前年度名簿!$G$3:$G$452,$AE$3+19)&lt;3000,MATCH(SMALL(前年度名簿!$G$3:$G$452,$AE$3+19),前年度名簿!$G$3:$G$452,0),""),""))</f>
        <v/>
      </c>
      <c r="AF23" s="63">
        <f>IF(計算用!$B$1=1,IFERROR(IF(SMALL(新年度名簿!$J$3:$J$452,$AF$3+19)&lt;4000,MATCH(SMALL(新年度名簿!$J$3:$J$452,$AF$3+19),新年度名簿!$J$3:$J$452,0),""),""),IFERROR(IF(SMALL(前年度名簿!$G$3:$G$452,$AF$3+19)&lt;4000,MATCH(SMALL(前年度名簿!$G$3:$G$452,$AF$3+19),前年度名簿!$G$3:$G$452,0),""),""))</f>
        <v/>
      </c>
      <c r="AG23" s="63">
        <f>IF(計算用!$B$1=1,IFERROR(IF(SMALL(新年度名簿!$J$3:$J$452,$AG$3+19)&lt;5000,MATCH(SMALL(新年度名簿!$J$3:$J$452,$AG$3+19),新年度名簿!$J$3:$J$452,0),""),""),IFERROR(IF(SMALL(前年度名簿!$G$3:$G$452,$AG$3+19)&lt;5000,MATCH(SMALL(前年度名簿!$G$3:$G$452,$AG$3+19),前年度名簿!$G$3:$G$452,0),""),""))</f>
        <v/>
      </c>
      <c r="AH23" s="63">
        <f>IF(計算用!$B$1=1,IFERROR(IF(SMALL(新年度名簿!$J$3:$J$452,$AH$3+19)&lt;6000,MATCH(SMALL(新年度名簿!$J$3:$J$452,$AH$3+19),新年度名簿!$J$3:$J$452,0),""),""),IFERROR(IF(SMALL(前年度名簿!$G$3:$G$452,$AH$3+19)&lt;6000,MATCH(SMALL(前年度名簿!$G$3:$G$452,$AH$3+19),前年度名簿!$G$3:$G$452,0),""),""))</f>
        <v/>
      </c>
      <c r="AI23" s="63">
        <f>IF(計算用!$B$1=1,IFERROR(IF(SMALL(新年度名簿!$J$3:$J$452,$AI$3+19)&lt;7000,MATCH(SMALL(新年度名簿!$J$3:$J$452,$AI$3+19),新年度名簿!$J$3:$J$452,0),""),""),IFERROR(IF(SMALL(前年度名簿!$G$3:$G$452,$AI$3+19)&lt;7000,MATCH(SMALL(前年度名簿!$G$3:$G$452,$AI$3+19),前年度名簿!$G$3:$G$452,0),""),""))</f>
        <v/>
      </c>
      <c r="AJ23" s="63">
        <f>IF(計算用!$B$1=1,IFERROR(IF(SMALL(新年度名簿!$J$3:$J$452,$AJ$3+19)&lt;8000,MATCH(SMALL(新年度名簿!$J$3:$J$452,$AJ$3+19),新年度名簿!$J$3:$J$452,0),""),""),IFERROR(IF(SMALL(前年度名簿!$G$3:$G$452,$AJ$3+19)&lt;8000,MATCH(SMALL(前年度名簿!$G$3:$G$452,$AJ$3+19),前年度名簿!$G$3:$G$452,0),""),""))</f>
        <v/>
      </c>
      <c r="AK23" s="63">
        <f>IF(計算用!$B$1=1,IFERROR(IF(SMALL(新年度名簿!$J$3:$J$452,$AK$3+19)&lt;9000,MATCH(SMALL(新年度名簿!$J$3:$J$452,$AK$3+19),新年度名簿!$J$3:$J$452,0),""),""),IFERROR(IF(SMALL(前年度名簿!$G$3:$G$452,$AK$3+19)&lt;9000,MATCH(SMALL(前年度名簿!$G$3:$G$452,$AK$3+19),前年度名簿!$G$3:$G$452,0),""),""))</f>
        <v/>
      </c>
    </row>
    <row r="24">
      <c r="A24" s="65">
        <f>IF($AD24="","",IF(計算用!$B$1=1,INDEX(新年度名簿!$C$3:$C$452,$AD24),INDEX(前年度名簿!$C$3:$C$452,$AD24)))</f>
        <v/>
      </c>
      <c r="B24" s="66">
        <f>IF($AD24="","",IF(計算用!$B$1=1,INDEX(新年度名簿!$D$3:$D$452,$AD24),INDEX(前年度名簿!$D$3:$D$452,$AD24)))</f>
        <v/>
      </c>
      <c r="C24" s="65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M$7:$M$456,MATCH($AD24,振り分け!$P$7:$P$456,0))="転出","転出",IF(INDEX(振り分け!$L$7:$L$456,MATCH($AD24,振り分け!$P$7:$P$456,0))="","未決定",INDEX(振り分け!$L$7:$L$456,MATCH($AD24,振り分け!$P$7:$P$456,0)))),"未決定")))</f>
        <v/>
      </c>
      <c r="D24" s="65">
        <f>IF($AE24="","",IF(計算用!$B$1=1,INDEX(新年度名簿!$C$3:$C$452,$AE24),INDEX(前年度名簿!$C$3:$C$452,$AE24)))</f>
        <v/>
      </c>
      <c r="E24" s="66">
        <f>IF($AE24="","",IF(計算用!$B$1=1,INDEX(新年度名簿!$D$3:$D$452,$AE24),INDEX(前年度名簿!$D$3:$D$452,$AE24)))</f>
        <v/>
      </c>
      <c r="F24" s="65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M$7:$M$456,MATCH($AE24,振り分け!$P$7:$P$456,0))="転出","転出",IF(INDEX(振り分け!$L$7:$L$456,MATCH($AE24,振り分け!$P$7:$P$456,0))="","未決定",INDEX(振り分け!$L$7:$L$456,MATCH($AE24,振り分け!$P$7:$P$456,0)))),"未決定")))</f>
        <v/>
      </c>
      <c r="G24" s="65">
        <f>IF($AF24="","",IF(計算用!$B$1=1,INDEX(新年度名簿!$C$3:$C$452,$AF24),INDEX(前年度名簿!$C$3:$C$452,$AF24)))</f>
        <v/>
      </c>
      <c r="H24" s="66">
        <f>IF($AF24="","",IF(計算用!$B$1=1,INDEX(新年度名簿!$D$3:$D$452,$AF24),INDEX(前年度名簿!$D$3:$D$452,$AF24)))</f>
        <v/>
      </c>
      <c r="I24" s="65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M$7:$M$456,MATCH($AF24,振り分け!$P$7:$P$456,0))="転出","転出",IF(INDEX(振り分け!$L$7:$L$456,MATCH($AF24,振り分け!$P$7:$P$456,0))="","未決定",INDEX(振り分け!$L$7:$L$456,MATCH($AF24,振り分け!$P$7:$P$456,0)))),"未決定")))</f>
        <v/>
      </c>
      <c r="J24" s="65">
        <f>IF($AG24="","",IF(計算用!$B$1=1,INDEX(新年度名簿!$C$3:$C$452,$AG24),INDEX(前年度名簿!$C$3:$C$452,$AG24)))</f>
        <v/>
      </c>
      <c r="K24" s="66">
        <f>IF($AG24="","",IF(計算用!$B$1=1,INDEX(新年度名簿!$D$3:$D$452,$AG24),INDEX(前年度名簿!$D$3:$D$452,$AG24)))</f>
        <v/>
      </c>
      <c r="L24" s="65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M$7:$M$456,MATCH($AG24,振り分け!$P$7:$P$456,0))="転出","転出",IF(INDEX(振り分け!$L$7:$L$456,MATCH($AG24,振り分け!$P$7:$P$456,0))="","未決定",INDEX(振り分け!$L$7:$L$456,MATCH($AG24,振り分け!$P$7:$P$456,0)))),"未決定")))</f>
        <v/>
      </c>
      <c r="M24" s="65">
        <f>IF($AH24="","",IF(計算用!$B$1=1,INDEX(新年度名簿!$C$3:$C$452,$AH24),INDEX(前年度名簿!$C$3:$C$452,$AH24)))</f>
        <v/>
      </c>
      <c r="N24" s="66">
        <f>IF($AH24="","",IF(計算用!$B$1=1,INDEX(新年度名簿!$D$3:$D$452,$AH24),INDEX(前年度名簿!$D$3:$D$452,$AH24)))</f>
        <v/>
      </c>
      <c r="O24" s="65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M$7:$M$456,MATCH($AH24,振り分け!$P$7:$P$456,0))="転出","転出",IF(INDEX(振り分け!$L$7:$L$456,MATCH($AH24,振り分け!$P$7:$P$456,0))="","未決定",INDEX(振り分け!$L$7:$L$456,MATCH($AH24,振り分け!$P$7:$P$456,0)))),"未決定")))</f>
        <v/>
      </c>
      <c r="P24" s="65">
        <f>IF($AI24="","",IF(計算用!$B$1=1,INDEX(新年度名簿!$C$3:$C$452,$AI24),INDEX(前年度名簿!$C$3:$C$452,$AI24)))</f>
        <v/>
      </c>
      <c r="Q24" s="66">
        <f>IF($AI24="","",IF(計算用!$B$1=1,INDEX(新年度名簿!$D$3:$D$452,$AI24),INDEX(前年度名簿!$D$3:$D$452,$AI24)))</f>
        <v/>
      </c>
      <c r="R24" s="65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M$7:$M$456,MATCH($AI24,振り分け!$P$7:$P$456,0))="転出","転出",IF(INDEX(振り分け!$L$7:$L$456,MATCH($AI24,振り分け!$P$7:$P$456,0))="","未決定",INDEX(振り分け!$L$7:$L$456,MATCH($AI24,振り分け!$P$7:$P$456,0)))),"未決定")))</f>
        <v/>
      </c>
      <c r="S24" s="65">
        <f>IF($AJ24="","",IF(計算用!$B$1=1,INDEX(新年度名簿!$C$3:$C$452,$AJ24),INDEX(前年度名簿!$C$3:$C$452,$AJ24)))</f>
        <v/>
      </c>
      <c r="T24" s="66">
        <f>IF($AJ24="","",IF(計算用!$B$1=1,INDEX(新年度名簿!$D$3:$D$452,$AJ24),INDEX(前年度名簿!$D$3:$D$452,$AJ24)))</f>
        <v/>
      </c>
      <c r="U24" s="65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M$7:$M$456,MATCH($AJ24,振り分け!$P$7:$P$456,0))="転出","転出",IF(INDEX(振り分け!$L$7:$L$456,MATCH($AJ24,振り分け!$P$7:$P$456,0))="","未決定",INDEX(振り分け!$L$7:$L$456,MATCH($AJ24,振り分け!$P$7:$P$456,0)))),"未決定")))</f>
        <v/>
      </c>
      <c r="V24" s="65">
        <f>IF($AK24="","",IF(計算用!$B$1=1,INDEX(新年度名簿!$C$3:$C$452,$AK24),INDEX(前年度名簿!$C$3:$C$452,$AK24)))</f>
        <v/>
      </c>
      <c r="W24" s="66">
        <f>IF($AK24="","",IF(計算用!$B$1=1,INDEX(新年度名簿!$D$3:$D$452,$AK24),INDEX(前年度名簿!$D$3:$D$452,$AK24)))</f>
        <v/>
      </c>
      <c r="X24" s="65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M$7:$M$456,MATCH($AK24,振り分け!$P$7:$P$456,0))="転出","転出",IF(INDEX(振り分け!$L$7:$L$456,MATCH($AK24,振り分け!$P$7:$P$456,0))="","未決定",INDEX(振り分け!$L$7:$L$456,MATCH($AK24,振り分け!$P$7:$P$456,0)))),"未決定")))</f>
        <v/>
      </c>
      <c r="AD24" s="63">
        <f>IF(計算用!$B$1=1,IFERROR(IF(SMALL(新年度名簿!$J$3:$J$452,$AD$3+20)&lt;2000,MATCH(SMALL(新年度名簿!$J$3:$J$452,$AD$3+20),新年度名簿!$J$3:$J$452,0),""),""),IFERROR(IF(SMALL(前年度名簿!$G$3:$G$452,$AD$3+20)&lt;2000,MATCH(SMALL(前年度名簿!$G$3:$G$452,$AD$3+20),前年度名簿!$G$3:$G$452,0),""),""))</f>
        <v/>
      </c>
      <c r="AE24" s="63">
        <f>IF(計算用!$B$1=1,IFERROR(IF(SMALL(新年度名簿!$J$3:$J$452,$AE$3+20)&lt;3000,MATCH(SMALL(新年度名簿!$J$3:$J$452,$AE$3+20),新年度名簿!$J$3:$J$452,0),""),""),IFERROR(IF(SMALL(前年度名簿!$G$3:$G$452,$AE$3+20)&lt;3000,MATCH(SMALL(前年度名簿!$G$3:$G$452,$AE$3+20),前年度名簿!$G$3:$G$452,0),""),""))</f>
        <v/>
      </c>
      <c r="AF24" s="63">
        <f>IF(計算用!$B$1=1,IFERROR(IF(SMALL(新年度名簿!$J$3:$J$452,$AF$3+20)&lt;4000,MATCH(SMALL(新年度名簿!$J$3:$J$452,$AF$3+20),新年度名簿!$J$3:$J$452,0),""),""),IFERROR(IF(SMALL(前年度名簿!$G$3:$G$452,$AF$3+20)&lt;4000,MATCH(SMALL(前年度名簿!$G$3:$G$452,$AF$3+20),前年度名簿!$G$3:$G$452,0),""),""))</f>
        <v/>
      </c>
      <c r="AG24" s="63">
        <f>IF(計算用!$B$1=1,IFERROR(IF(SMALL(新年度名簿!$J$3:$J$452,$AG$3+20)&lt;5000,MATCH(SMALL(新年度名簿!$J$3:$J$452,$AG$3+20),新年度名簿!$J$3:$J$452,0),""),""),IFERROR(IF(SMALL(前年度名簿!$G$3:$G$452,$AG$3+20)&lt;5000,MATCH(SMALL(前年度名簿!$G$3:$G$452,$AG$3+20),前年度名簿!$G$3:$G$452,0),""),""))</f>
        <v/>
      </c>
      <c r="AH24" s="63">
        <f>IF(計算用!$B$1=1,IFERROR(IF(SMALL(新年度名簿!$J$3:$J$452,$AH$3+20)&lt;6000,MATCH(SMALL(新年度名簿!$J$3:$J$452,$AH$3+20),新年度名簿!$J$3:$J$452,0),""),""),IFERROR(IF(SMALL(前年度名簿!$G$3:$G$452,$AH$3+20)&lt;6000,MATCH(SMALL(前年度名簿!$G$3:$G$452,$AH$3+20),前年度名簿!$G$3:$G$452,0),""),""))</f>
        <v/>
      </c>
      <c r="AI24" s="63">
        <f>IF(計算用!$B$1=1,IFERROR(IF(SMALL(新年度名簿!$J$3:$J$452,$AI$3+20)&lt;7000,MATCH(SMALL(新年度名簿!$J$3:$J$452,$AI$3+20),新年度名簿!$J$3:$J$452,0),""),""),IFERROR(IF(SMALL(前年度名簿!$G$3:$G$452,$AI$3+20)&lt;7000,MATCH(SMALL(前年度名簿!$G$3:$G$452,$AI$3+20),前年度名簿!$G$3:$G$452,0),""),""))</f>
        <v/>
      </c>
      <c r="AJ24" s="63">
        <f>IF(計算用!$B$1=1,IFERROR(IF(SMALL(新年度名簿!$J$3:$J$452,$AJ$3+20)&lt;8000,MATCH(SMALL(新年度名簿!$J$3:$J$452,$AJ$3+20),新年度名簿!$J$3:$J$452,0),""),""),IFERROR(IF(SMALL(前年度名簿!$G$3:$G$452,$AJ$3+20)&lt;8000,MATCH(SMALL(前年度名簿!$G$3:$G$452,$AJ$3+20),前年度名簿!$G$3:$G$452,0),""),""))</f>
        <v/>
      </c>
      <c r="AK24" s="63">
        <f>IF(計算用!$B$1=1,IFERROR(IF(SMALL(新年度名簿!$J$3:$J$452,$AK$3+20)&lt;9000,MATCH(SMALL(新年度名簿!$J$3:$J$452,$AK$3+20),新年度名簿!$J$3:$J$452,0),""),""),IFERROR(IF(SMALL(前年度名簿!$G$3:$G$452,$AK$3+20)&lt;9000,MATCH(SMALL(前年度名簿!$G$3:$G$452,$AK$3+20),前年度名簿!$G$3:$G$452,0),""),""))</f>
        <v/>
      </c>
    </row>
    <row r="25">
      <c r="A25" s="65">
        <f>IF($AD25="","",IF(計算用!$B$1=1,INDEX(新年度名簿!$C$3:$C$452,$AD25),INDEX(前年度名簿!$C$3:$C$452,$AD25)))</f>
        <v/>
      </c>
      <c r="B25" s="66">
        <f>IF($AD25="","",IF(計算用!$B$1=1,INDEX(新年度名簿!$D$3:$D$452,$AD25),INDEX(前年度名簿!$D$3:$D$452,$AD25)))</f>
        <v/>
      </c>
      <c r="C25" s="65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M$7:$M$456,MATCH($AD25,振り分け!$P$7:$P$456,0))="転出","転出",IF(INDEX(振り分け!$L$7:$L$456,MATCH($AD25,振り分け!$P$7:$P$456,0))="","未決定",INDEX(振り分け!$L$7:$L$456,MATCH($AD25,振り分け!$P$7:$P$456,0)))),"未決定")))</f>
        <v/>
      </c>
      <c r="D25" s="65">
        <f>IF($AE25="","",IF(計算用!$B$1=1,INDEX(新年度名簿!$C$3:$C$452,$AE25),INDEX(前年度名簿!$C$3:$C$452,$AE25)))</f>
        <v/>
      </c>
      <c r="E25" s="66">
        <f>IF($AE25="","",IF(計算用!$B$1=1,INDEX(新年度名簿!$D$3:$D$452,$AE25),INDEX(前年度名簿!$D$3:$D$452,$AE25)))</f>
        <v/>
      </c>
      <c r="F25" s="65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M$7:$M$456,MATCH($AE25,振り分け!$P$7:$P$456,0))="転出","転出",IF(INDEX(振り分け!$L$7:$L$456,MATCH($AE25,振り分け!$P$7:$P$456,0))="","未決定",INDEX(振り分け!$L$7:$L$456,MATCH($AE25,振り分け!$P$7:$P$456,0)))),"未決定")))</f>
        <v/>
      </c>
      <c r="G25" s="65">
        <f>IF($AF25="","",IF(計算用!$B$1=1,INDEX(新年度名簿!$C$3:$C$452,$AF25),INDEX(前年度名簿!$C$3:$C$452,$AF25)))</f>
        <v/>
      </c>
      <c r="H25" s="66">
        <f>IF($AF25="","",IF(計算用!$B$1=1,INDEX(新年度名簿!$D$3:$D$452,$AF25),INDEX(前年度名簿!$D$3:$D$452,$AF25)))</f>
        <v/>
      </c>
      <c r="I25" s="65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M$7:$M$456,MATCH($AF25,振り分け!$P$7:$P$456,0))="転出","転出",IF(INDEX(振り分け!$L$7:$L$456,MATCH($AF25,振り分け!$P$7:$P$456,0))="","未決定",INDEX(振り分け!$L$7:$L$456,MATCH($AF25,振り分け!$P$7:$P$456,0)))),"未決定")))</f>
        <v/>
      </c>
      <c r="J25" s="65">
        <f>IF($AG25="","",IF(計算用!$B$1=1,INDEX(新年度名簿!$C$3:$C$452,$AG25),INDEX(前年度名簿!$C$3:$C$452,$AG25)))</f>
        <v/>
      </c>
      <c r="K25" s="66">
        <f>IF($AG25="","",IF(計算用!$B$1=1,INDEX(新年度名簿!$D$3:$D$452,$AG25),INDEX(前年度名簿!$D$3:$D$452,$AG25)))</f>
        <v/>
      </c>
      <c r="L25" s="65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M$7:$M$456,MATCH($AG25,振り分け!$P$7:$P$456,0))="転出","転出",IF(INDEX(振り分け!$L$7:$L$456,MATCH($AG25,振り分け!$P$7:$P$456,0))="","未決定",INDEX(振り分け!$L$7:$L$456,MATCH($AG25,振り分け!$P$7:$P$456,0)))),"未決定")))</f>
        <v/>
      </c>
      <c r="M25" s="65">
        <f>IF($AH25="","",IF(計算用!$B$1=1,INDEX(新年度名簿!$C$3:$C$452,$AH25),INDEX(前年度名簿!$C$3:$C$452,$AH25)))</f>
        <v/>
      </c>
      <c r="N25" s="66">
        <f>IF($AH25="","",IF(計算用!$B$1=1,INDEX(新年度名簿!$D$3:$D$452,$AH25),INDEX(前年度名簿!$D$3:$D$452,$AH25)))</f>
        <v/>
      </c>
      <c r="O25" s="65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M$7:$M$456,MATCH($AH25,振り分け!$P$7:$P$456,0))="転出","転出",IF(INDEX(振り分け!$L$7:$L$456,MATCH($AH25,振り分け!$P$7:$P$456,0))="","未決定",INDEX(振り分け!$L$7:$L$456,MATCH($AH25,振り分け!$P$7:$P$456,0)))),"未決定")))</f>
        <v/>
      </c>
      <c r="P25" s="65">
        <f>IF($AI25="","",IF(計算用!$B$1=1,INDEX(新年度名簿!$C$3:$C$452,$AI25),INDEX(前年度名簿!$C$3:$C$452,$AI25)))</f>
        <v/>
      </c>
      <c r="Q25" s="66">
        <f>IF($AI25="","",IF(計算用!$B$1=1,INDEX(新年度名簿!$D$3:$D$452,$AI25),INDEX(前年度名簿!$D$3:$D$452,$AI25)))</f>
        <v/>
      </c>
      <c r="R25" s="65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M$7:$M$456,MATCH($AI25,振り分け!$P$7:$P$456,0))="転出","転出",IF(INDEX(振り分け!$L$7:$L$456,MATCH($AI25,振り分け!$P$7:$P$456,0))="","未決定",INDEX(振り分け!$L$7:$L$456,MATCH($AI25,振り分け!$P$7:$P$456,0)))),"未決定")))</f>
        <v/>
      </c>
      <c r="S25" s="65">
        <f>IF($AJ25="","",IF(計算用!$B$1=1,INDEX(新年度名簿!$C$3:$C$452,$AJ25),INDEX(前年度名簿!$C$3:$C$452,$AJ25)))</f>
        <v/>
      </c>
      <c r="T25" s="66">
        <f>IF($AJ25="","",IF(計算用!$B$1=1,INDEX(新年度名簿!$D$3:$D$452,$AJ25),INDEX(前年度名簿!$D$3:$D$452,$AJ25)))</f>
        <v/>
      </c>
      <c r="U25" s="65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M$7:$M$456,MATCH($AJ25,振り分け!$P$7:$P$456,0))="転出","転出",IF(INDEX(振り分け!$L$7:$L$456,MATCH($AJ25,振り分け!$P$7:$P$456,0))="","未決定",INDEX(振り分け!$L$7:$L$456,MATCH($AJ25,振り分け!$P$7:$P$456,0)))),"未決定")))</f>
        <v/>
      </c>
      <c r="V25" s="65">
        <f>IF($AK25="","",IF(計算用!$B$1=1,INDEX(新年度名簿!$C$3:$C$452,$AK25),INDEX(前年度名簿!$C$3:$C$452,$AK25)))</f>
        <v/>
      </c>
      <c r="W25" s="66">
        <f>IF($AK25="","",IF(計算用!$B$1=1,INDEX(新年度名簿!$D$3:$D$452,$AK25),INDEX(前年度名簿!$D$3:$D$452,$AK25)))</f>
        <v/>
      </c>
      <c r="X25" s="65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M$7:$M$456,MATCH($AK25,振り分け!$P$7:$P$456,0))="転出","転出",IF(INDEX(振り分け!$L$7:$L$456,MATCH($AK25,振り分け!$P$7:$P$456,0))="","未決定",INDEX(振り分け!$L$7:$L$456,MATCH($AK25,振り分け!$P$7:$P$456,0)))),"未決定")))</f>
        <v/>
      </c>
      <c r="AD25" s="63">
        <f>IF(計算用!$B$1=1,IFERROR(IF(SMALL(新年度名簿!$J$3:$J$452,$AD$3+21)&lt;2000,MATCH(SMALL(新年度名簿!$J$3:$J$452,$AD$3+21),新年度名簿!$J$3:$J$452,0),""),""),IFERROR(IF(SMALL(前年度名簿!$G$3:$G$452,$AD$3+21)&lt;2000,MATCH(SMALL(前年度名簿!$G$3:$G$452,$AD$3+21),前年度名簿!$G$3:$G$452,0),""),""))</f>
        <v/>
      </c>
      <c r="AE25" s="63">
        <f>IF(計算用!$B$1=1,IFERROR(IF(SMALL(新年度名簿!$J$3:$J$452,$AE$3+21)&lt;3000,MATCH(SMALL(新年度名簿!$J$3:$J$452,$AE$3+21),新年度名簿!$J$3:$J$452,0),""),""),IFERROR(IF(SMALL(前年度名簿!$G$3:$G$452,$AE$3+21)&lt;3000,MATCH(SMALL(前年度名簿!$G$3:$G$452,$AE$3+21),前年度名簿!$G$3:$G$452,0),""),""))</f>
        <v/>
      </c>
      <c r="AF25" s="63">
        <f>IF(計算用!$B$1=1,IFERROR(IF(SMALL(新年度名簿!$J$3:$J$452,$AF$3+21)&lt;4000,MATCH(SMALL(新年度名簿!$J$3:$J$452,$AF$3+21),新年度名簿!$J$3:$J$452,0),""),""),IFERROR(IF(SMALL(前年度名簿!$G$3:$G$452,$AF$3+21)&lt;4000,MATCH(SMALL(前年度名簿!$G$3:$G$452,$AF$3+21),前年度名簿!$G$3:$G$452,0),""),""))</f>
        <v/>
      </c>
      <c r="AG25" s="63">
        <f>IF(計算用!$B$1=1,IFERROR(IF(SMALL(新年度名簿!$J$3:$J$452,$AG$3+21)&lt;5000,MATCH(SMALL(新年度名簿!$J$3:$J$452,$AG$3+21),新年度名簿!$J$3:$J$452,0),""),""),IFERROR(IF(SMALL(前年度名簿!$G$3:$G$452,$AG$3+21)&lt;5000,MATCH(SMALL(前年度名簿!$G$3:$G$452,$AG$3+21),前年度名簿!$G$3:$G$452,0),""),""))</f>
        <v/>
      </c>
      <c r="AH25" s="63">
        <f>IF(計算用!$B$1=1,IFERROR(IF(SMALL(新年度名簿!$J$3:$J$452,$AH$3+21)&lt;6000,MATCH(SMALL(新年度名簿!$J$3:$J$452,$AH$3+21),新年度名簿!$J$3:$J$452,0),""),""),IFERROR(IF(SMALL(前年度名簿!$G$3:$G$452,$AH$3+21)&lt;6000,MATCH(SMALL(前年度名簿!$G$3:$G$452,$AH$3+21),前年度名簿!$G$3:$G$452,0),""),""))</f>
        <v/>
      </c>
      <c r="AI25" s="63">
        <f>IF(計算用!$B$1=1,IFERROR(IF(SMALL(新年度名簿!$J$3:$J$452,$AI$3+21)&lt;7000,MATCH(SMALL(新年度名簿!$J$3:$J$452,$AI$3+21),新年度名簿!$J$3:$J$452,0),""),""),IFERROR(IF(SMALL(前年度名簿!$G$3:$G$452,$AI$3+21)&lt;7000,MATCH(SMALL(前年度名簿!$G$3:$G$452,$AI$3+21),前年度名簿!$G$3:$G$452,0),""),""))</f>
        <v/>
      </c>
      <c r="AJ25" s="63">
        <f>IF(計算用!$B$1=1,IFERROR(IF(SMALL(新年度名簿!$J$3:$J$452,$AJ$3+21)&lt;8000,MATCH(SMALL(新年度名簿!$J$3:$J$452,$AJ$3+21),新年度名簿!$J$3:$J$452,0),""),""),IFERROR(IF(SMALL(前年度名簿!$G$3:$G$452,$AJ$3+21)&lt;8000,MATCH(SMALL(前年度名簿!$G$3:$G$452,$AJ$3+21),前年度名簿!$G$3:$G$452,0),""),""))</f>
        <v/>
      </c>
      <c r="AK25" s="63">
        <f>IF(計算用!$B$1=1,IFERROR(IF(SMALL(新年度名簿!$J$3:$J$452,$AK$3+21)&lt;9000,MATCH(SMALL(新年度名簿!$J$3:$J$452,$AK$3+21),新年度名簿!$J$3:$J$452,0),""),""),IFERROR(IF(SMALL(前年度名簿!$G$3:$G$452,$AK$3+21)&lt;9000,MATCH(SMALL(前年度名簿!$G$3:$G$452,$AK$3+21),前年度名簿!$G$3:$G$452,0),""),""))</f>
        <v/>
      </c>
    </row>
    <row r="26">
      <c r="A26" s="65">
        <f>IF($AD26="","",IF(計算用!$B$1=1,INDEX(新年度名簿!$C$3:$C$452,$AD26),INDEX(前年度名簿!$C$3:$C$452,$AD26)))</f>
        <v/>
      </c>
      <c r="B26" s="66">
        <f>IF($AD26="","",IF(計算用!$B$1=1,INDEX(新年度名簿!$D$3:$D$452,$AD26),INDEX(前年度名簿!$D$3:$D$452,$AD26)))</f>
        <v/>
      </c>
      <c r="C26" s="65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M$7:$M$456,MATCH($AD26,振り分け!$P$7:$P$456,0))="転出","転出",IF(INDEX(振り分け!$L$7:$L$456,MATCH($AD26,振り分け!$P$7:$P$456,0))="","未決定",INDEX(振り分け!$L$7:$L$456,MATCH($AD26,振り分け!$P$7:$P$456,0)))),"未決定")))</f>
        <v/>
      </c>
      <c r="D26" s="65">
        <f>IF($AE26="","",IF(計算用!$B$1=1,INDEX(新年度名簿!$C$3:$C$452,$AE26),INDEX(前年度名簿!$C$3:$C$452,$AE26)))</f>
        <v/>
      </c>
      <c r="E26" s="66">
        <f>IF($AE26="","",IF(計算用!$B$1=1,INDEX(新年度名簿!$D$3:$D$452,$AE26),INDEX(前年度名簿!$D$3:$D$452,$AE26)))</f>
        <v/>
      </c>
      <c r="F26" s="65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M$7:$M$456,MATCH($AE26,振り分け!$P$7:$P$456,0))="転出","転出",IF(INDEX(振り分け!$L$7:$L$456,MATCH($AE26,振り分け!$P$7:$P$456,0))="","未決定",INDEX(振り分け!$L$7:$L$456,MATCH($AE26,振り分け!$P$7:$P$456,0)))),"未決定")))</f>
        <v/>
      </c>
      <c r="G26" s="65">
        <f>IF($AF26="","",IF(計算用!$B$1=1,INDEX(新年度名簿!$C$3:$C$452,$AF26),INDEX(前年度名簿!$C$3:$C$452,$AF26)))</f>
        <v/>
      </c>
      <c r="H26" s="66">
        <f>IF($AF26="","",IF(計算用!$B$1=1,INDEX(新年度名簿!$D$3:$D$452,$AF26),INDEX(前年度名簿!$D$3:$D$452,$AF26)))</f>
        <v/>
      </c>
      <c r="I26" s="65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M$7:$M$456,MATCH($AF26,振り分け!$P$7:$P$456,0))="転出","転出",IF(INDEX(振り分け!$L$7:$L$456,MATCH($AF26,振り分け!$P$7:$P$456,0))="","未決定",INDEX(振り分け!$L$7:$L$456,MATCH($AF26,振り分け!$P$7:$P$456,0)))),"未決定")))</f>
        <v/>
      </c>
      <c r="J26" s="65">
        <f>IF($AG26="","",IF(計算用!$B$1=1,INDEX(新年度名簿!$C$3:$C$452,$AG26),INDEX(前年度名簿!$C$3:$C$452,$AG26)))</f>
        <v/>
      </c>
      <c r="K26" s="66">
        <f>IF($AG26="","",IF(計算用!$B$1=1,INDEX(新年度名簿!$D$3:$D$452,$AG26),INDEX(前年度名簿!$D$3:$D$452,$AG26)))</f>
        <v/>
      </c>
      <c r="L26" s="65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M$7:$M$456,MATCH($AG26,振り分け!$P$7:$P$456,0))="転出","転出",IF(INDEX(振り分け!$L$7:$L$456,MATCH($AG26,振り分け!$P$7:$P$456,0))="","未決定",INDEX(振り分け!$L$7:$L$456,MATCH($AG26,振り分け!$P$7:$P$456,0)))),"未決定")))</f>
        <v/>
      </c>
      <c r="M26" s="65">
        <f>IF($AH26="","",IF(計算用!$B$1=1,INDEX(新年度名簿!$C$3:$C$452,$AH26),INDEX(前年度名簿!$C$3:$C$452,$AH26)))</f>
        <v/>
      </c>
      <c r="N26" s="66">
        <f>IF($AH26="","",IF(計算用!$B$1=1,INDEX(新年度名簿!$D$3:$D$452,$AH26),INDEX(前年度名簿!$D$3:$D$452,$AH26)))</f>
        <v/>
      </c>
      <c r="O26" s="65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M$7:$M$456,MATCH($AH26,振り分け!$P$7:$P$456,0))="転出","転出",IF(INDEX(振り分け!$L$7:$L$456,MATCH($AH26,振り分け!$P$7:$P$456,0))="","未決定",INDEX(振り分け!$L$7:$L$456,MATCH($AH26,振り分け!$P$7:$P$456,0)))),"未決定")))</f>
        <v/>
      </c>
      <c r="P26" s="65">
        <f>IF($AI26="","",IF(計算用!$B$1=1,INDEX(新年度名簿!$C$3:$C$452,$AI26),INDEX(前年度名簿!$C$3:$C$452,$AI26)))</f>
        <v/>
      </c>
      <c r="Q26" s="66">
        <f>IF($AI26="","",IF(計算用!$B$1=1,INDEX(新年度名簿!$D$3:$D$452,$AI26),INDEX(前年度名簿!$D$3:$D$452,$AI26)))</f>
        <v/>
      </c>
      <c r="R26" s="65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M$7:$M$456,MATCH($AI26,振り分け!$P$7:$P$456,0))="転出","転出",IF(INDEX(振り分け!$L$7:$L$456,MATCH($AI26,振り分け!$P$7:$P$456,0))="","未決定",INDEX(振り分け!$L$7:$L$456,MATCH($AI26,振り分け!$P$7:$P$456,0)))),"未決定")))</f>
        <v/>
      </c>
      <c r="S26" s="65">
        <f>IF($AJ26="","",IF(計算用!$B$1=1,INDEX(新年度名簿!$C$3:$C$452,$AJ26),INDEX(前年度名簿!$C$3:$C$452,$AJ26)))</f>
        <v/>
      </c>
      <c r="T26" s="66">
        <f>IF($AJ26="","",IF(計算用!$B$1=1,INDEX(新年度名簿!$D$3:$D$452,$AJ26),INDEX(前年度名簿!$D$3:$D$452,$AJ26)))</f>
        <v/>
      </c>
      <c r="U26" s="65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M$7:$M$456,MATCH($AJ26,振り分け!$P$7:$P$456,0))="転出","転出",IF(INDEX(振り分け!$L$7:$L$456,MATCH($AJ26,振り分け!$P$7:$P$456,0))="","未決定",INDEX(振り分け!$L$7:$L$456,MATCH($AJ26,振り分け!$P$7:$P$456,0)))),"未決定")))</f>
        <v/>
      </c>
      <c r="V26" s="65">
        <f>IF($AK26="","",IF(計算用!$B$1=1,INDEX(新年度名簿!$C$3:$C$452,$AK26),INDEX(前年度名簿!$C$3:$C$452,$AK26)))</f>
        <v/>
      </c>
      <c r="W26" s="66">
        <f>IF($AK26="","",IF(計算用!$B$1=1,INDEX(新年度名簿!$D$3:$D$452,$AK26),INDEX(前年度名簿!$D$3:$D$452,$AK26)))</f>
        <v/>
      </c>
      <c r="X26" s="65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M$7:$M$456,MATCH($AK26,振り分け!$P$7:$P$456,0))="転出","転出",IF(INDEX(振り分け!$L$7:$L$456,MATCH($AK26,振り分け!$P$7:$P$456,0))="","未決定",INDEX(振り分け!$L$7:$L$456,MATCH($AK26,振り分け!$P$7:$P$456,0)))),"未決定")))</f>
        <v/>
      </c>
      <c r="AD26" s="63">
        <f>IF(計算用!$B$1=1,IFERROR(IF(SMALL(新年度名簿!$J$3:$J$452,$AD$3+22)&lt;2000,MATCH(SMALL(新年度名簿!$J$3:$J$452,$AD$3+22),新年度名簿!$J$3:$J$452,0),""),""),IFERROR(IF(SMALL(前年度名簿!$G$3:$G$452,$AD$3+22)&lt;2000,MATCH(SMALL(前年度名簿!$G$3:$G$452,$AD$3+22),前年度名簿!$G$3:$G$452,0),""),""))</f>
        <v/>
      </c>
      <c r="AE26" s="63">
        <f>IF(計算用!$B$1=1,IFERROR(IF(SMALL(新年度名簿!$J$3:$J$452,$AE$3+22)&lt;3000,MATCH(SMALL(新年度名簿!$J$3:$J$452,$AE$3+22),新年度名簿!$J$3:$J$452,0),""),""),IFERROR(IF(SMALL(前年度名簿!$G$3:$G$452,$AE$3+22)&lt;3000,MATCH(SMALL(前年度名簿!$G$3:$G$452,$AE$3+22),前年度名簿!$G$3:$G$452,0),""),""))</f>
        <v/>
      </c>
      <c r="AF26" s="63">
        <f>IF(計算用!$B$1=1,IFERROR(IF(SMALL(新年度名簿!$J$3:$J$452,$AF$3+22)&lt;4000,MATCH(SMALL(新年度名簿!$J$3:$J$452,$AF$3+22),新年度名簿!$J$3:$J$452,0),""),""),IFERROR(IF(SMALL(前年度名簿!$G$3:$G$452,$AF$3+22)&lt;4000,MATCH(SMALL(前年度名簿!$G$3:$G$452,$AF$3+22),前年度名簿!$G$3:$G$452,0),""),""))</f>
        <v/>
      </c>
      <c r="AG26" s="63">
        <f>IF(計算用!$B$1=1,IFERROR(IF(SMALL(新年度名簿!$J$3:$J$452,$AG$3+22)&lt;5000,MATCH(SMALL(新年度名簿!$J$3:$J$452,$AG$3+22),新年度名簿!$J$3:$J$452,0),""),""),IFERROR(IF(SMALL(前年度名簿!$G$3:$G$452,$AG$3+22)&lt;5000,MATCH(SMALL(前年度名簿!$G$3:$G$452,$AG$3+22),前年度名簿!$G$3:$G$452,0),""),""))</f>
        <v/>
      </c>
      <c r="AH26" s="63">
        <f>IF(計算用!$B$1=1,IFERROR(IF(SMALL(新年度名簿!$J$3:$J$452,$AH$3+22)&lt;6000,MATCH(SMALL(新年度名簿!$J$3:$J$452,$AH$3+22),新年度名簿!$J$3:$J$452,0),""),""),IFERROR(IF(SMALL(前年度名簿!$G$3:$G$452,$AH$3+22)&lt;6000,MATCH(SMALL(前年度名簿!$G$3:$G$452,$AH$3+22),前年度名簿!$G$3:$G$452,0),""),""))</f>
        <v/>
      </c>
      <c r="AI26" s="63">
        <f>IF(計算用!$B$1=1,IFERROR(IF(SMALL(新年度名簿!$J$3:$J$452,$AI$3+22)&lt;7000,MATCH(SMALL(新年度名簿!$J$3:$J$452,$AI$3+22),新年度名簿!$J$3:$J$452,0),""),""),IFERROR(IF(SMALL(前年度名簿!$G$3:$G$452,$AI$3+22)&lt;7000,MATCH(SMALL(前年度名簿!$G$3:$G$452,$AI$3+22),前年度名簿!$G$3:$G$452,0),""),""))</f>
        <v/>
      </c>
      <c r="AJ26" s="63">
        <f>IF(計算用!$B$1=1,IFERROR(IF(SMALL(新年度名簿!$J$3:$J$452,$AJ$3+22)&lt;8000,MATCH(SMALL(新年度名簿!$J$3:$J$452,$AJ$3+22),新年度名簿!$J$3:$J$452,0),""),""),IFERROR(IF(SMALL(前年度名簿!$G$3:$G$452,$AJ$3+22)&lt;8000,MATCH(SMALL(前年度名簿!$G$3:$G$452,$AJ$3+22),前年度名簿!$G$3:$G$452,0),""),""))</f>
        <v/>
      </c>
      <c r="AK26" s="63">
        <f>IF(計算用!$B$1=1,IFERROR(IF(SMALL(新年度名簿!$J$3:$J$452,$AK$3+22)&lt;9000,MATCH(SMALL(新年度名簿!$J$3:$J$452,$AK$3+22),新年度名簿!$J$3:$J$452,0),""),""),IFERROR(IF(SMALL(前年度名簿!$G$3:$G$452,$AK$3+22)&lt;9000,MATCH(SMALL(前年度名簿!$G$3:$G$452,$AK$3+22),前年度名簿!$G$3:$G$452,0),""),""))</f>
        <v/>
      </c>
    </row>
    <row r="27">
      <c r="A27" s="65">
        <f>IF($AD27="","",IF(計算用!$B$1=1,INDEX(新年度名簿!$C$3:$C$452,$AD27),INDEX(前年度名簿!$C$3:$C$452,$AD27)))</f>
        <v/>
      </c>
      <c r="B27" s="66">
        <f>IF($AD27="","",IF(計算用!$B$1=1,INDEX(新年度名簿!$D$3:$D$452,$AD27),INDEX(前年度名簿!$D$3:$D$452,$AD27)))</f>
        <v/>
      </c>
      <c r="C27" s="65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M$7:$M$456,MATCH($AD27,振り分け!$P$7:$P$456,0))="転出","転出",IF(INDEX(振り分け!$L$7:$L$456,MATCH($AD27,振り分け!$P$7:$P$456,0))="","未決定",INDEX(振り分け!$L$7:$L$456,MATCH($AD27,振り分け!$P$7:$P$456,0)))),"未決定")))</f>
        <v/>
      </c>
      <c r="D27" s="65">
        <f>IF($AE27="","",IF(計算用!$B$1=1,INDEX(新年度名簿!$C$3:$C$452,$AE27),INDEX(前年度名簿!$C$3:$C$452,$AE27)))</f>
        <v/>
      </c>
      <c r="E27" s="66">
        <f>IF($AE27="","",IF(計算用!$B$1=1,INDEX(新年度名簿!$D$3:$D$452,$AE27),INDEX(前年度名簿!$D$3:$D$452,$AE27)))</f>
        <v/>
      </c>
      <c r="F27" s="65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M$7:$M$456,MATCH($AE27,振り分け!$P$7:$P$456,0))="転出","転出",IF(INDEX(振り分け!$L$7:$L$456,MATCH($AE27,振り分け!$P$7:$P$456,0))="","未決定",INDEX(振り分け!$L$7:$L$456,MATCH($AE27,振り分け!$P$7:$P$456,0)))),"未決定")))</f>
        <v/>
      </c>
      <c r="G27" s="65">
        <f>IF($AF27="","",IF(計算用!$B$1=1,INDEX(新年度名簿!$C$3:$C$452,$AF27),INDEX(前年度名簿!$C$3:$C$452,$AF27)))</f>
        <v/>
      </c>
      <c r="H27" s="66">
        <f>IF($AF27="","",IF(計算用!$B$1=1,INDEX(新年度名簿!$D$3:$D$452,$AF27),INDEX(前年度名簿!$D$3:$D$452,$AF27)))</f>
        <v/>
      </c>
      <c r="I27" s="65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M$7:$M$456,MATCH($AF27,振り分け!$P$7:$P$456,0))="転出","転出",IF(INDEX(振り分け!$L$7:$L$456,MATCH($AF27,振り分け!$P$7:$P$456,0))="","未決定",INDEX(振り分け!$L$7:$L$456,MATCH($AF27,振り分け!$P$7:$P$456,0)))),"未決定")))</f>
        <v/>
      </c>
      <c r="J27" s="65">
        <f>IF($AG27="","",IF(計算用!$B$1=1,INDEX(新年度名簿!$C$3:$C$452,$AG27),INDEX(前年度名簿!$C$3:$C$452,$AG27)))</f>
        <v/>
      </c>
      <c r="K27" s="66">
        <f>IF($AG27="","",IF(計算用!$B$1=1,INDEX(新年度名簿!$D$3:$D$452,$AG27),INDEX(前年度名簿!$D$3:$D$452,$AG27)))</f>
        <v/>
      </c>
      <c r="L27" s="65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M$7:$M$456,MATCH($AG27,振り分け!$P$7:$P$456,0))="転出","転出",IF(INDEX(振り分け!$L$7:$L$456,MATCH($AG27,振り分け!$P$7:$P$456,0))="","未決定",INDEX(振り分け!$L$7:$L$456,MATCH($AG27,振り分け!$P$7:$P$456,0)))),"未決定")))</f>
        <v/>
      </c>
      <c r="M27" s="65">
        <f>IF($AH27="","",IF(計算用!$B$1=1,INDEX(新年度名簿!$C$3:$C$452,$AH27),INDEX(前年度名簿!$C$3:$C$452,$AH27)))</f>
        <v/>
      </c>
      <c r="N27" s="66">
        <f>IF($AH27="","",IF(計算用!$B$1=1,INDEX(新年度名簿!$D$3:$D$452,$AH27),INDEX(前年度名簿!$D$3:$D$452,$AH27)))</f>
        <v/>
      </c>
      <c r="O27" s="65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M$7:$M$456,MATCH($AH27,振り分け!$P$7:$P$456,0))="転出","転出",IF(INDEX(振り分け!$L$7:$L$456,MATCH($AH27,振り分け!$P$7:$P$456,0))="","未決定",INDEX(振り分け!$L$7:$L$456,MATCH($AH27,振り分け!$P$7:$P$456,0)))),"未決定")))</f>
        <v/>
      </c>
      <c r="P27" s="65">
        <f>IF($AI27="","",IF(計算用!$B$1=1,INDEX(新年度名簿!$C$3:$C$452,$AI27),INDEX(前年度名簿!$C$3:$C$452,$AI27)))</f>
        <v/>
      </c>
      <c r="Q27" s="66">
        <f>IF($AI27="","",IF(計算用!$B$1=1,INDEX(新年度名簿!$D$3:$D$452,$AI27),INDEX(前年度名簿!$D$3:$D$452,$AI27)))</f>
        <v/>
      </c>
      <c r="R27" s="65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M$7:$M$456,MATCH($AI27,振り分け!$P$7:$P$456,0))="転出","転出",IF(INDEX(振り分け!$L$7:$L$456,MATCH($AI27,振り分け!$P$7:$P$456,0))="","未決定",INDEX(振り分け!$L$7:$L$456,MATCH($AI27,振り分け!$P$7:$P$456,0)))),"未決定")))</f>
        <v/>
      </c>
      <c r="S27" s="65">
        <f>IF($AJ27="","",IF(計算用!$B$1=1,INDEX(新年度名簿!$C$3:$C$452,$AJ27),INDEX(前年度名簿!$C$3:$C$452,$AJ27)))</f>
        <v/>
      </c>
      <c r="T27" s="66">
        <f>IF($AJ27="","",IF(計算用!$B$1=1,INDEX(新年度名簿!$D$3:$D$452,$AJ27),INDEX(前年度名簿!$D$3:$D$452,$AJ27)))</f>
        <v/>
      </c>
      <c r="U27" s="65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M$7:$M$456,MATCH($AJ27,振り分け!$P$7:$P$456,0))="転出","転出",IF(INDEX(振り分け!$L$7:$L$456,MATCH($AJ27,振り分け!$P$7:$P$456,0))="","未決定",INDEX(振り分け!$L$7:$L$456,MATCH($AJ27,振り分け!$P$7:$P$456,0)))),"未決定")))</f>
        <v/>
      </c>
      <c r="V27" s="65">
        <f>IF($AK27="","",IF(計算用!$B$1=1,INDEX(新年度名簿!$C$3:$C$452,$AK27),INDEX(前年度名簿!$C$3:$C$452,$AK27)))</f>
        <v/>
      </c>
      <c r="W27" s="66">
        <f>IF($AK27="","",IF(計算用!$B$1=1,INDEX(新年度名簿!$D$3:$D$452,$AK27),INDEX(前年度名簿!$D$3:$D$452,$AK27)))</f>
        <v/>
      </c>
      <c r="X27" s="65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M$7:$M$456,MATCH($AK27,振り分け!$P$7:$P$456,0))="転出","転出",IF(INDEX(振り分け!$L$7:$L$456,MATCH($AK27,振り分け!$P$7:$P$456,0))="","未決定",INDEX(振り分け!$L$7:$L$456,MATCH($AK27,振り分け!$P$7:$P$456,0)))),"未決定")))</f>
        <v/>
      </c>
      <c r="AD27" s="63">
        <f>IF(計算用!$B$1=1,IFERROR(IF(SMALL(新年度名簿!$J$3:$J$452,$AD$3+23)&lt;2000,MATCH(SMALL(新年度名簿!$J$3:$J$452,$AD$3+23),新年度名簿!$J$3:$J$452,0),""),""),IFERROR(IF(SMALL(前年度名簿!$G$3:$G$452,$AD$3+23)&lt;2000,MATCH(SMALL(前年度名簿!$G$3:$G$452,$AD$3+23),前年度名簿!$G$3:$G$452,0),""),""))</f>
        <v/>
      </c>
      <c r="AE27" s="63">
        <f>IF(計算用!$B$1=1,IFERROR(IF(SMALL(新年度名簿!$J$3:$J$452,$AE$3+23)&lt;3000,MATCH(SMALL(新年度名簿!$J$3:$J$452,$AE$3+23),新年度名簿!$J$3:$J$452,0),""),""),IFERROR(IF(SMALL(前年度名簿!$G$3:$G$452,$AE$3+23)&lt;3000,MATCH(SMALL(前年度名簿!$G$3:$G$452,$AE$3+23),前年度名簿!$G$3:$G$452,0),""),""))</f>
        <v/>
      </c>
      <c r="AF27" s="63">
        <f>IF(計算用!$B$1=1,IFERROR(IF(SMALL(新年度名簿!$J$3:$J$452,$AF$3+23)&lt;4000,MATCH(SMALL(新年度名簿!$J$3:$J$452,$AF$3+23),新年度名簿!$J$3:$J$452,0),""),""),IFERROR(IF(SMALL(前年度名簿!$G$3:$G$452,$AF$3+23)&lt;4000,MATCH(SMALL(前年度名簿!$G$3:$G$452,$AF$3+23),前年度名簿!$G$3:$G$452,0),""),""))</f>
        <v/>
      </c>
      <c r="AG27" s="63">
        <f>IF(計算用!$B$1=1,IFERROR(IF(SMALL(新年度名簿!$J$3:$J$452,$AG$3+23)&lt;5000,MATCH(SMALL(新年度名簿!$J$3:$J$452,$AG$3+23),新年度名簿!$J$3:$J$452,0),""),""),IFERROR(IF(SMALL(前年度名簿!$G$3:$G$452,$AG$3+23)&lt;5000,MATCH(SMALL(前年度名簿!$G$3:$G$452,$AG$3+23),前年度名簿!$G$3:$G$452,0),""),""))</f>
        <v/>
      </c>
      <c r="AH27" s="63">
        <f>IF(計算用!$B$1=1,IFERROR(IF(SMALL(新年度名簿!$J$3:$J$452,$AH$3+23)&lt;6000,MATCH(SMALL(新年度名簿!$J$3:$J$452,$AH$3+23),新年度名簿!$J$3:$J$452,0),""),""),IFERROR(IF(SMALL(前年度名簿!$G$3:$G$452,$AH$3+23)&lt;6000,MATCH(SMALL(前年度名簿!$G$3:$G$452,$AH$3+23),前年度名簿!$G$3:$G$452,0),""),""))</f>
        <v/>
      </c>
      <c r="AI27" s="63">
        <f>IF(計算用!$B$1=1,IFERROR(IF(SMALL(新年度名簿!$J$3:$J$452,$AI$3+23)&lt;7000,MATCH(SMALL(新年度名簿!$J$3:$J$452,$AI$3+23),新年度名簿!$J$3:$J$452,0),""),""),IFERROR(IF(SMALL(前年度名簿!$G$3:$G$452,$AI$3+23)&lt;7000,MATCH(SMALL(前年度名簿!$G$3:$G$452,$AI$3+23),前年度名簿!$G$3:$G$452,0),""),""))</f>
        <v/>
      </c>
      <c r="AJ27" s="63">
        <f>IF(計算用!$B$1=1,IFERROR(IF(SMALL(新年度名簿!$J$3:$J$452,$AJ$3+23)&lt;8000,MATCH(SMALL(新年度名簿!$J$3:$J$452,$AJ$3+23),新年度名簿!$J$3:$J$452,0),""),""),IFERROR(IF(SMALL(前年度名簿!$G$3:$G$452,$AJ$3+23)&lt;8000,MATCH(SMALL(前年度名簿!$G$3:$G$452,$AJ$3+23),前年度名簿!$G$3:$G$452,0),""),""))</f>
        <v/>
      </c>
      <c r="AK27" s="63">
        <f>IF(計算用!$B$1=1,IFERROR(IF(SMALL(新年度名簿!$J$3:$J$452,$AK$3+23)&lt;9000,MATCH(SMALL(新年度名簿!$J$3:$J$452,$AK$3+23),新年度名簿!$J$3:$J$452,0),""),""),IFERROR(IF(SMALL(前年度名簿!$G$3:$G$452,$AK$3+23)&lt;9000,MATCH(SMALL(前年度名簿!$G$3:$G$452,$AK$3+23),前年度名簿!$G$3:$G$452,0),""),""))</f>
        <v/>
      </c>
    </row>
    <row r="28">
      <c r="A28" s="65">
        <f>IF($AD28="","",IF(計算用!$B$1=1,INDEX(新年度名簿!$C$3:$C$452,$AD28),INDEX(前年度名簿!$C$3:$C$452,$AD28)))</f>
        <v/>
      </c>
      <c r="B28" s="66">
        <f>IF($AD28="","",IF(計算用!$B$1=1,INDEX(新年度名簿!$D$3:$D$452,$AD28),INDEX(前年度名簿!$D$3:$D$452,$AD28)))</f>
        <v/>
      </c>
      <c r="C28" s="65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M$7:$M$456,MATCH($AD28,振り分け!$P$7:$P$456,0))="転出","転出",IF(INDEX(振り分け!$L$7:$L$456,MATCH($AD28,振り分け!$P$7:$P$456,0))="","未決定",INDEX(振り分け!$L$7:$L$456,MATCH($AD28,振り分け!$P$7:$P$456,0)))),"未決定")))</f>
        <v/>
      </c>
      <c r="D28" s="65">
        <f>IF($AE28="","",IF(計算用!$B$1=1,INDEX(新年度名簿!$C$3:$C$452,$AE28),INDEX(前年度名簿!$C$3:$C$452,$AE28)))</f>
        <v/>
      </c>
      <c r="E28" s="66">
        <f>IF($AE28="","",IF(計算用!$B$1=1,INDEX(新年度名簿!$D$3:$D$452,$AE28),INDEX(前年度名簿!$D$3:$D$452,$AE28)))</f>
        <v/>
      </c>
      <c r="F28" s="65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M$7:$M$456,MATCH($AE28,振り分け!$P$7:$P$456,0))="転出","転出",IF(INDEX(振り分け!$L$7:$L$456,MATCH($AE28,振り分け!$P$7:$P$456,0))="","未決定",INDEX(振り分け!$L$7:$L$456,MATCH($AE28,振り分け!$P$7:$P$456,0)))),"未決定")))</f>
        <v/>
      </c>
      <c r="G28" s="65">
        <f>IF($AF28="","",IF(計算用!$B$1=1,INDEX(新年度名簿!$C$3:$C$452,$AF28),INDEX(前年度名簿!$C$3:$C$452,$AF28)))</f>
        <v/>
      </c>
      <c r="H28" s="66">
        <f>IF($AF28="","",IF(計算用!$B$1=1,INDEX(新年度名簿!$D$3:$D$452,$AF28),INDEX(前年度名簿!$D$3:$D$452,$AF28)))</f>
        <v/>
      </c>
      <c r="I28" s="65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M$7:$M$456,MATCH($AF28,振り分け!$P$7:$P$456,0))="転出","転出",IF(INDEX(振り分け!$L$7:$L$456,MATCH($AF28,振り分け!$P$7:$P$456,0))="","未決定",INDEX(振り分け!$L$7:$L$456,MATCH($AF28,振り分け!$P$7:$P$456,0)))),"未決定")))</f>
        <v/>
      </c>
      <c r="J28" s="65">
        <f>IF($AG28="","",IF(計算用!$B$1=1,INDEX(新年度名簿!$C$3:$C$452,$AG28),INDEX(前年度名簿!$C$3:$C$452,$AG28)))</f>
        <v/>
      </c>
      <c r="K28" s="66">
        <f>IF($AG28="","",IF(計算用!$B$1=1,INDEX(新年度名簿!$D$3:$D$452,$AG28),INDEX(前年度名簿!$D$3:$D$452,$AG28)))</f>
        <v/>
      </c>
      <c r="L28" s="65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M$7:$M$456,MATCH($AG28,振り分け!$P$7:$P$456,0))="転出","転出",IF(INDEX(振り分け!$L$7:$L$456,MATCH($AG28,振り分け!$P$7:$P$456,0))="","未決定",INDEX(振り分け!$L$7:$L$456,MATCH($AG28,振り分け!$P$7:$P$456,0)))),"未決定")))</f>
        <v/>
      </c>
      <c r="M28" s="65">
        <f>IF($AH28="","",IF(計算用!$B$1=1,INDEX(新年度名簿!$C$3:$C$452,$AH28),INDEX(前年度名簿!$C$3:$C$452,$AH28)))</f>
        <v/>
      </c>
      <c r="N28" s="66">
        <f>IF($AH28="","",IF(計算用!$B$1=1,INDEX(新年度名簿!$D$3:$D$452,$AH28),INDEX(前年度名簿!$D$3:$D$452,$AH28)))</f>
        <v/>
      </c>
      <c r="O28" s="65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M$7:$M$456,MATCH($AH28,振り分け!$P$7:$P$456,0))="転出","転出",IF(INDEX(振り分け!$L$7:$L$456,MATCH($AH28,振り分け!$P$7:$P$456,0))="","未決定",INDEX(振り分け!$L$7:$L$456,MATCH($AH28,振り分け!$P$7:$P$456,0)))),"未決定")))</f>
        <v/>
      </c>
      <c r="P28" s="65">
        <f>IF($AI28="","",IF(計算用!$B$1=1,INDEX(新年度名簿!$C$3:$C$452,$AI28),INDEX(前年度名簿!$C$3:$C$452,$AI28)))</f>
        <v/>
      </c>
      <c r="Q28" s="66">
        <f>IF($AI28="","",IF(計算用!$B$1=1,INDEX(新年度名簿!$D$3:$D$452,$AI28),INDEX(前年度名簿!$D$3:$D$452,$AI28)))</f>
        <v/>
      </c>
      <c r="R28" s="65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M$7:$M$456,MATCH($AI28,振り分け!$P$7:$P$456,0))="転出","転出",IF(INDEX(振り分け!$L$7:$L$456,MATCH($AI28,振り分け!$P$7:$P$456,0))="","未決定",INDEX(振り分け!$L$7:$L$456,MATCH($AI28,振り分け!$P$7:$P$456,0)))),"未決定")))</f>
        <v/>
      </c>
      <c r="S28" s="65">
        <f>IF($AJ28="","",IF(計算用!$B$1=1,INDEX(新年度名簿!$C$3:$C$452,$AJ28),INDEX(前年度名簿!$C$3:$C$452,$AJ28)))</f>
        <v/>
      </c>
      <c r="T28" s="66">
        <f>IF($AJ28="","",IF(計算用!$B$1=1,INDEX(新年度名簿!$D$3:$D$452,$AJ28),INDEX(前年度名簿!$D$3:$D$452,$AJ28)))</f>
        <v/>
      </c>
      <c r="U28" s="65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M$7:$M$456,MATCH($AJ28,振り分け!$P$7:$P$456,0))="転出","転出",IF(INDEX(振り分け!$L$7:$L$456,MATCH($AJ28,振り分け!$P$7:$P$456,0))="","未決定",INDEX(振り分け!$L$7:$L$456,MATCH($AJ28,振り分け!$P$7:$P$456,0)))),"未決定")))</f>
        <v/>
      </c>
      <c r="V28" s="65">
        <f>IF($AK28="","",IF(計算用!$B$1=1,INDEX(新年度名簿!$C$3:$C$452,$AK28),INDEX(前年度名簿!$C$3:$C$452,$AK28)))</f>
        <v/>
      </c>
      <c r="W28" s="66">
        <f>IF($AK28="","",IF(計算用!$B$1=1,INDEX(新年度名簿!$D$3:$D$452,$AK28),INDEX(前年度名簿!$D$3:$D$452,$AK28)))</f>
        <v/>
      </c>
      <c r="X28" s="65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M$7:$M$456,MATCH($AK28,振り分け!$P$7:$P$456,0))="転出","転出",IF(INDEX(振り分け!$L$7:$L$456,MATCH($AK28,振り分け!$P$7:$P$456,0))="","未決定",INDEX(振り分け!$L$7:$L$456,MATCH($AK28,振り分け!$P$7:$P$456,0)))),"未決定")))</f>
        <v/>
      </c>
      <c r="AD28" s="63">
        <f>IF(計算用!$B$1=1,IFERROR(IF(SMALL(新年度名簿!$J$3:$J$452,$AD$3+24)&lt;2000,MATCH(SMALL(新年度名簿!$J$3:$J$452,$AD$3+24),新年度名簿!$J$3:$J$452,0),""),""),IFERROR(IF(SMALL(前年度名簿!$G$3:$G$452,$AD$3+24)&lt;2000,MATCH(SMALL(前年度名簿!$G$3:$G$452,$AD$3+24),前年度名簿!$G$3:$G$452,0),""),""))</f>
        <v/>
      </c>
      <c r="AE28" s="63">
        <f>IF(計算用!$B$1=1,IFERROR(IF(SMALL(新年度名簿!$J$3:$J$452,$AE$3+24)&lt;3000,MATCH(SMALL(新年度名簿!$J$3:$J$452,$AE$3+24),新年度名簿!$J$3:$J$452,0),""),""),IFERROR(IF(SMALL(前年度名簿!$G$3:$G$452,$AE$3+24)&lt;3000,MATCH(SMALL(前年度名簿!$G$3:$G$452,$AE$3+24),前年度名簿!$G$3:$G$452,0),""),""))</f>
        <v/>
      </c>
      <c r="AF28" s="63">
        <f>IF(計算用!$B$1=1,IFERROR(IF(SMALL(新年度名簿!$J$3:$J$452,$AF$3+24)&lt;4000,MATCH(SMALL(新年度名簿!$J$3:$J$452,$AF$3+24),新年度名簿!$J$3:$J$452,0),""),""),IFERROR(IF(SMALL(前年度名簿!$G$3:$G$452,$AF$3+24)&lt;4000,MATCH(SMALL(前年度名簿!$G$3:$G$452,$AF$3+24),前年度名簿!$G$3:$G$452,0),""),""))</f>
        <v/>
      </c>
      <c r="AG28" s="63">
        <f>IF(計算用!$B$1=1,IFERROR(IF(SMALL(新年度名簿!$J$3:$J$452,$AG$3+24)&lt;5000,MATCH(SMALL(新年度名簿!$J$3:$J$452,$AG$3+24),新年度名簿!$J$3:$J$452,0),""),""),IFERROR(IF(SMALL(前年度名簿!$G$3:$G$452,$AG$3+24)&lt;5000,MATCH(SMALL(前年度名簿!$G$3:$G$452,$AG$3+24),前年度名簿!$G$3:$G$452,0),""),""))</f>
        <v/>
      </c>
      <c r="AH28" s="63">
        <f>IF(計算用!$B$1=1,IFERROR(IF(SMALL(新年度名簿!$J$3:$J$452,$AH$3+24)&lt;6000,MATCH(SMALL(新年度名簿!$J$3:$J$452,$AH$3+24),新年度名簿!$J$3:$J$452,0),""),""),IFERROR(IF(SMALL(前年度名簿!$G$3:$G$452,$AH$3+24)&lt;6000,MATCH(SMALL(前年度名簿!$G$3:$G$452,$AH$3+24),前年度名簿!$G$3:$G$452,0),""),""))</f>
        <v/>
      </c>
      <c r="AI28" s="63">
        <f>IF(計算用!$B$1=1,IFERROR(IF(SMALL(新年度名簿!$J$3:$J$452,$AI$3+24)&lt;7000,MATCH(SMALL(新年度名簿!$J$3:$J$452,$AI$3+24),新年度名簿!$J$3:$J$452,0),""),""),IFERROR(IF(SMALL(前年度名簿!$G$3:$G$452,$AI$3+24)&lt;7000,MATCH(SMALL(前年度名簿!$G$3:$G$452,$AI$3+24),前年度名簿!$G$3:$G$452,0),""),""))</f>
        <v/>
      </c>
      <c r="AJ28" s="63">
        <f>IF(計算用!$B$1=1,IFERROR(IF(SMALL(新年度名簿!$J$3:$J$452,$AJ$3+24)&lt;8000,MATCH(SMALL(新年度名簿!$J$3:$J$452,$AJ$3+24),新年度名簿!$J$3:$J$452,0),""),""),IFERROR(IF(SMALL(前年度名簿!$G$3:$G$452,$AJ$3+24)&lt;8000,MATCH(SMALL(前年度名簿!$G$3:$G$452,$AJ$3+24),前年度名簿!$G$3:$G$452,0),""),""))</f>
        <v/>
      </c>
      <c r="AK28" s="63">
        <f>IF(計算用!$B$1=1,IFERROR(IF(SMALL(新年度名簿!$J$3:$J$452,$AK$3+24)&lt;9000,MATCH(SMALL(新年度名簿!$J$3:$J$452,$AK$3+24),新年度名簿!$J$3:$J$452,0),""),""),IFERROR(IF(SMALL(前年度名簿!$G$3:$G$452,$AK$3+24)&lt;9000,MATCH(SMALL(前年度名簿!$G$3:$G$452,$AK$3+24),前年度名簿!$G$3:$G$452,0),""),""))</f>
        <v/>
      </c>
    </row>
    <row r="29">
      <c r="A29" s="65">
        <f>IF($AD29="","",IF(計算用!$B$1=1,INDEX(新年度名簿!$C$3:$C$452,$AD29),INDEX(前年度名簿!$C$3:$C$452,$AD29)))</f>
        <v/>
      </c>
      <c r="B29" s="66">
        <f>IF($AD29="","",IF(計算用!$B$1=1,INDEX(新年度名簿!$D$3:$D$452,$AD29),INDEX(前年度名簿!$D$3:$D$452,$AD29)))</f>
        <v/>
      </c>
      <c r="C29" s="65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M$7:$M$456,MATCH($AD29,振り分け!$P$7:$P$456,0))="転出","転出",IF(INDEX(振り分け!$L$7:$L$456,MATCH($AD29,振り分け!$P$7:$P$456,0))="","未決定",INDEX(振り分け!$L$7:$L$456,MATCH($AD29,振り分け!$P$7:$P$456,0)))),"未決定")))</f>
        <v/>
      </c>
      <c r="D29" s="65">
        <f>IF($AE29="","",IF(計算用!$B$1=1,INDEX(新年度名簿!$C$3:$C$452,$AE29),INDEX(前年度名簿!$C$3:$C$452,$AE29)))</f>
        <v/>
      </c>
      <c r="E29" s="66">
        <f>IF($AE29="","",IF(計算用!$B$1=1,INDEX(新年度名簿!$D$3:$D$452,$AE29),INDEX(前年度名簿!$D$3:$D$452,$AE29)))</f>
        <v/>
      </c>
      <c r="F29" s="65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M$7:$M$456,MATCH($AE29,振り分け!$P$7:$P$456,0))="転出","転出",IF(INDEX(振り分け!$L$7:$L$456,MATCH($AE29,振り分け!$P$7:$P$456,0))="","未決定",INDEX(振り分け!$L$7:$L$456,MATCH($AE29,振り分け!$P$7:$P$456,0)))),"未決定")))</f>
        <v/>
      </c>
      <c r="G29" s="65">
        <f>IF($AF29="","",IF(計算用!$B$1=1,INDEX(新年度名簿!$C$3:$C$452,$AF29),INDEX(前年度名簿!$C$3:$C$452,$AF29)))</f>
        <v/>
      </c>
      <c r="H29" s="66">
        <f>IF($AF29="","",IF(計算用!$B$1=1,INDEX(新年度名簿!$D$3:$D$452,$AF29),INDEX(前年度名簿!$D$3:$D$452,$AF29)))</f>
        <v/>
      </c>
      <c r="I29" s="65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M$7:$M$456,MATCH($AF29,振り分け!$P$7:$P$456,0))="転出","転出",IF(INDEX(振り分け!$L$7:$L$456,MATCH($AF29,振り分け!$P$7:$P$456,0))="","未決定",INDEX(振り分け!$L$7:$L$456,MATCH($AF29,振り分け!$P$7:$P$456,0)))),"未決定")))</f>
        <v/>
      </c>
      <c r="J29" s="65">
        <f>IF($AG29="","",IF(計算用!$B$1=1,INDEX(新年度名簿!$C$3:$C$452,$AG29),INDEX(前年度名簿!$C$3:$C$452,$AG29)))</f>
        <v/>
      </c>
      <c r="K29" s="66">
        <f>IF($AG29="","",IF(計算用!$B$1=1,INDEX(新年度名簿!$D$3:$D$452,$AG29),INDEX(前年度名簿!$D$3:$D$452,$AG29)))</f>
        <v/>
      </c>
      <c r="L29" s="65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M$7:$M$456,MATCH($AG29,振り分け!$P$7:$P$456,0))="転出","転出",IF(INDEX(振り分け!$L$7:$L$456,MATCH($AG29,振り分け!$P$7:$P$456,0))="","未決定",INDEX(振り分け!$L$7:$L$456,MATCH($AG29,振り分け!$P$7:$P$456,0)))),"未決定")))</f>
        <v/>
      </c>
      <c r="M29" s="65">
        <f>IF($AH29="","",IF(計算用!$B$1=1,INDEX(新年度名簿!$C$3:$C$452,$AH29),INDEX(前年度名簿!$C$3:$C$452,$AH29)))</f>
        <v/>
      </c>
      <c r="N29" s="66">
        <f>IF($AH29="","",IF(計算用!$B$1=1,INDEX(新年度名簿!$D$3:$D$452,$AH29),INDEX(前年度名簿!$D$3:$D$452,$AH29)))</f>
        <v/>
      </c>
      <c r="O29" s="65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M$7:$M$456,MATCH($AH29,振り分け!$P$7:$P$456,0))="転出","転出",IF(INDEX(振り分け!$L$7:$L$456,MATCH($AH29,振り分け!$P$7:$P$456,0))="","未決定",INDEX(振り分け!$L$7:$L$456,MATCH($AH29,振り分け!$P$7:$P$456,0)))),"未決定")))</f>
        <v/>
      </c>
      <c r="P29" s="65">
        <f>IF($AI29="","",IF(計算用!$B$1=1,INDEX(新年度名簿!$C$3:$C$452,$AI29),INDEX(前年度名簿!$C$3:$C$452,$AI29)))</f>
        <v/>
      </c>
      <c r="Q29" s="66">
        <f>IF($AI29="","",IF(計算用!$B$1=1,INDEX(新年度名簿!$D$3:$D$452,$AI29),INDEX(前年度名簿!$D$3:$D$452,$AI29)))</f>
        <v/>
      </c>
      <c r="R29" s="65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M$7:$M$456,MATCH($AI29,振り分け!$P$7:$P$456,0))="転出","転出",IF(INDEX(振り分け!$L$7:$L$456,MATCH($AI29,振り分け!$P$7:$P$456,0))="","未決定",INDEX(振り分け!$L$7:$L$456,MATCH($AI29,振り分け!$P$7:$P$456,0)))),"未決定")))</f>
        <v/>
      </c>
      <c r="S29" s="65">
        <f>IF($AJ29="","",IF(計算用!$B$1=1,INDEX(新年度名簿!$C$3:$C$452,$AJ29),INDEX(前年度名簿!$C$3:$C$452,$AJ29)))</f>
        <v/>
      </c>
      <c r="T29" s="66">
        <f>IF($AJ29="","",IF(計算用!$B$1=1,INDEX(新年度名簿!$D$3:$D$452,$AJ29),INDEX(前年度名簿!$D$3:$D$452,$AJ29)))</f>
        <v/>
      </c>
      <c r="U29" s="65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M$7:$M$456,MATCH($AJ29,振り分け!$P$7:$P$456,0))="転出","転出",IF(INDEX(振り分け!$L$7:$L$456,MATCH($AJ29,振り分け!$P$7:$P$456,0))="","未決定",INDEX(振り分け!$L$7:$L$456,MATCH($AJ29,振り分け!$P$7:$P$456,0)))),"未決定")))</f>
        <v/>
      </c>
      <c r="V29" s="65">
        <f>IF($AK29="","",IF(計算用!$B$1=1,INDEX(新年度名簿!$C$3:$C$452,$AK29),INDEX(前年度名簿!$C$3:$C$452,$AK29)))</f>
        <v/>
      </c>
      <c r="W29" s="66">
        <f>IF($AK29="","",IF(計算用!$B$1=1,INDEX(新年度名簿!$D$3:$D$452,$AK29),INDEX(前年度名簿!$D$3:$D$452,$AK29)))</f>
        <v/>
      </c>
      <c r="X29" s="65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M$7:$M$456,MATCH($AK29,振り分け!$P$7:$P$456,0))="転出","転出",IF(INDEX(振り分け!$L$7:$L$456,MATCH($AK29,振り分け!$P$7:$P$456,0))="","未決定",INDEX(振り分け!$L$7:$L$456,MATCH($AK29,振り分け!$P$7:$P$456,0)))),"未決定")))</f>
        <v/>
      </c>
      <c r="AD29" s="63">
        <f>IF(計算用!$B$1=1,IFERROR(IF(SMALL(新年度名簿!$J$3:$J$452,$AD$3+25)&lt;2000,MATCH(SMALL(新年度名簿!$J$3:$J$452,$AD$3+25),新年度名簿!$J$3:$J$452,0),""),""),IFERROR(IF(SMALL(前年度名簿!$G$3:$G$452,$AD$3+25)&lt;2000,MATCH(SMALL(前年度名簿!$G$3:$G$452,$AD$3+25),前年度名簿!$G$3:$G$452,0),""),""))</f>
        <v/>
      </c>
      <c r="AE29" s="63">
        <f>IF(計算用!$B$1=1,IFERROR(IF(SMALL(新年度名簿!$J$3:$J$452,$AE$3+25)&lt;3000,MATCH(SMALL(新年度名簿!$J$3:$J$452,$AE$3+25),新年度名簿!$J$3:$J$452,0),""),""),IFERROR(IF(SMALL(前年度名簿!$G$3:$G$452,$AE$3+25)&lt;3000,MATCH(SMALL(前年度名簿!$G$3:$G$452,$AE$3+25),前年度名簿!$G$3:$G$452,0),""),""))</f>
        <v/>
      </c>
      <c r="AF29" s="63">
        <f>IF(計算用!$B$1=1,IFERROR(IF(SMALL(新年度名簿!$J$3:$J$452,$AF$3+25)&lt;4000,MATCH(SMALL(新年度名簿!$J$3:$J$452,$AF$3+25),新年度名簿!$J$3:$J$452,0),""),""),IFERROR(IF(SMALL(前年度名簿!$G$3:$G$452,$AF$3+25)&lt;4000,MATCH(SMALL(前年度名簿!$G$3:$G$452,$AF$3+25),前年度名簿!$G$3:$G$452,0),""),""))</f>
        <v/>
      </c>
      <c r="AG29" s="63">
        <f>IF(計算用!$B$1=1,IFERROR(IF(SMALL(新年度名簿!$J$3:$J$452,$AG$3+25)&lt;5000,MATCH(SMALL(新年度名簿!$J$3:$J$452,$AG$3+25),新年度名簿!$J$3:$J$452,0),""),""),IFERROR(IF(SMALL(前年度名簿!$G$3:$G$452,$AG$3+25)&lt;5000,MATCH(SMALL(前年度名簿!$G$3:$G$452,$AG$3+25),前年度名簿!$G$3:$G$452,0),""),""))</f>
        <v/>
      </c>
      <c r="AH29" s="63">
        <f>IF(計算用!$B$1=1,IFERROR(IF(SMALL(新年度名簿!$J$3:$J$452,$AH$3+25)&lt;6000,MATCH(SMALL(新年度名簿!$J$3:$J$452,$AH$3+25),新年度名簿!$J$3:$J$452,0),""),""),IFERROR(IF(SMALL(前年度名簿!$G$3:$G$452,$AH$3+25)&lt;6000,MATCH(SMALL(前年度名簿!$G$3:$G$452,$AH$3+25),前年度名簿!$G$3:$G$452,0),""),""))</f>
        <v/>
      </c>
      <c r="AI29" s="63">
        <f>IF(計算用!$B$1=1,IFERROR(IF(SMALL(新年度名簿!$J$3:$J$452,$AI$3+25)&lt;7000,MATCH(SMALL(新年度名簿!$J$3:$J$452,$AI$3+25),新年度名簿!$J$3:$J$452,0),""),""),IFERROR(IF(SMALL(前年度名簿!$G$3:$G$452,$AI$3+25)&lt;7000,MATCH(SMALL(前年度名簿!$G$3:$G$452,$AI$3+25),前年度名簿!$G$3:$G$452,0),""),""))</f>
        <v/>
      </c>
      <c r="AJ29" s="63">
        <f>IF(計算用!$B$1=1,IFERROR(IF(SMALL(新年度名簿!$J$3:$J$452,$AJ$3+25)&lt;8000,MATCH(SMALL(新年度名簿!$J$3:$J$452,$AJ$3+25),新年度名簿!$J$3:$J$452,0),""),""),IFERROR(IF(SMALL(前年度名簿!$G$3:$G$452,$AJ$3+25)&lt;8000,MATCH(SMALL(前年度名簿!$G$3:$G$452,$AJ$3+25),前年度名簿!$G$3:$G$452,0),""),""))</f>
        <v/>
      </c>
      <c r="AK29" s="63">
        <f>IF(計算用!$B$1=1,IFERROR(IF(SMALL(新年度名簿!$J$3:$J$452,$AK$3+25)&lt;9000,MATCH(SMALL(新年度名簿!$J$3:$J$452,$AK$3+25),新年度名簿!$J$3:$J$452,0),""),""),IFERROR(IF(SMALL(前年度名簿!$G$3:$G$452,$AK$3+25)&lt;9000,MATCH(SMALL(前年度名簿!$G$3:$G$452,$AK$3+25),前年度名簿!$G$3:$G$452,0),""),""))</f>
        <v/>
      </c>
    </row>
    <row r="30">
      <c r="A30" s="65">
        <f>IF($AD30="","",IF(計算用!$B$1=1,INDEX(新年度名簿!$C$3:$C$452,$AD30),INDEX(前年度名簿!$C$3:$C$452,$AD30)))</f>
        <v/>
      </c>
      <c r="B30" s="66">
        <f>IF($AD30="","",IF(計算用!$B$1=1,INDEX(新年度名簿!$D$3:$D$452,$AD30),INDEX(前年度名簿!$D$3:$D$452,$AD30)))</f>
        <v/>
      </c>
      <c r="C30" s="65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M$7:$M$456,MATCH($AD30,振り分け!$P$7:$P$456,0))="転出","転出",IF(INDEX(振り分け!$L$7:$L$456,MATCH($AD30,振り分け!$P$7:$P$456,0))="","未決定",INDEX(振り分け!$L$7:$L$456,MATCH($AD30,振り分け!$P$7:$P$456,0)))),"未決定")))</f>
        <v/>
      </c>
      <c r="D30" s="65">
        <f>IF($AE30="","",IF(計算用!$B$1=1,INDEX(新年度名簿!$C$3:$C$452,$AE30),INDEX(前年度名簿!$C$3:$C$452,$AE30)))</f>
        <v/>
      </c>
      <c r="E30" s="66">
        <f>IF($AE30="","",IF(計算用!$B$1=1,INDEX(新年度名簿!$D$3:$D$452,$AE30),INDEX(前年度名簿!$D$3:$D$452,$AE30)))</f>
        <v/>
      </c>
      <c r="F30" s="65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M$7:$M$456,MATCH($AE30,振り分け!$P$7:$P$456,0))="転出","転出",IF(INDEX(振り分け!$L$7:$L$456,MATCH($AE30,振り分け!$P$7:$P$456,0))="","未決定",INDEX(振り分け!$L$7:$L$456,MATCH($AE30,振り分け!$P$7:$P$456,0)))),"未決定")))</f>
        <v/>
      </c>
      <c r="G30" s="65">
        <f>IF($AF30="","",IF(計算用!$B$1=1,INDEX(新年度名簿!$C$3:$C$452,$AF30),INDEX(前年度名簿!$C$3:$C$452,$AF30)))</f>
        <v/>
      </c>
      <c r="H30" s="66">
        <f>IF($AF30="","",IF(計算用!$B$1=1,INDEX(新年度名簿!$D$3:$D$452,$AF30),INDEX(前年度名簿!$D$3:$D$452,$AF30)))</f>
        <v/>
      </c>
      <c r="I30" s="65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M$7:$M$456,MATCH($AF30,振り分け!$P$7:$P$456,0))="転出","転出",IF(INDEX(振り分け!$L$7:$L$456,MATCH($AF30,振り分け!$P$7:$P$456,0))="","未決定",INDEX(振り分け!$L$7:$L$456,MATCH($AF30,振り分け!$P$7:$P$456,0)))),"未決定")))</f>
        <v/>
      </c>
      <c r="J30" s="65">
        <f>IF($AG30="","",IF(計算用!$B$1=1,INDEX(新年度名簿!$C$3:$C$452,$AG30),INDEX(前年度名簿!$C$3:$C$452,$AG30)))</f>
        <v/>
      </c>
      <c r="K30" s="66">
        <f>IF($AG30="","",IF(計算用!$B$1=1,INDEX(新年度名簿!$D$3:$D$452,$AG30),INDEX(前年度名簿!$D$3:$D$452,$AG30)))</f>
        <v/>
      </c>
      <c r="L30" s="65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M$7:$M$456,MATCH($AG30,振り分け!$P$7:$P$456,0))="転出","転出",IF(INDEX(振り分け!$L$7:$L$456,MATCH($AG30,振り分け!$P$7:$P$456,0))="","未決定",INDEX(振り分け!$L$7:$L$456,MATCH($AG30,振り分け!$P$7:$P$456,0)))),"未決定")))</f>
        <v/>
      </c>
      <c r="M30" s="65">
        <f>IF($AH30="","",IF(計算用!$B$1=1,INDEX(新年度名簿!$C$3:$C$452,$AH30),INDEX(前年度名簿!$C$3:$C$452,$AH30)))</f>
        <v/>
      </c>
      <c r="N30" s="66">
        <f>IF($AH30="","",IF(計算用!$B$1=1,INDEX(新年度名簿!$D$3:$D$452,$AH30),INDEX(前年度名簿!$D$3:$D$452,$AH30)))</f>
        <v/>
      </c>
      <c r="O30" s="65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M$7:$M$456,MATCH($AH30,振り分け!$P$7:$P$456,0))="転出","転出",IF(INDEX(振り分け!$L$7:$L$456,MATCH($AH30,振り分け!$P$7:$P$456,0))="","未決定",INDEX(振り分け!$L$7:$L$456,MATCH($AH30,振り分け!$P$7:$P$456,0)))),"未決定")))</f>
        <v/>
      </c>
      <c r="P30" s="65">
        <f>IF($AI30="","",IF(計算用!$B$1=1,INDEX(新年度名簿!$C$3:$C$452,$AI30),INDEX(前年度名簿!$C$3:$C$452,$AI30)))</f>
        <v/>
      </c>
      <c r="Q30" s="66">
        <f>IF($AI30="","",IF(計算用!$B$1=1,INDEX(新年度名簿!$D$3:$D$452,$AI30),INDEX(前年度名簿!$D$3:$D$452,$AI30)))</f>
        <v/>
      </c>
      <c r="R30" s="65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M$7:$M$456,MATCH($AI30,振り分け!$P$7:$P$456,0))="転出","転出",IF(INDEX(振り分け!$L$7:$L$456,MATCH($AI30,振り分け!$P$7:$P$456,0))="","未決定",INDEX(振り分け!$L$7:$L$456,MATCH($AI30,振り分け!$P$7:$P$456,0)))),"未決定")))</f>
        <v/>
      </c>
      <c r="S30" s="65">
        <f>IF($AJ30="","",IF(計算用!$B$1=1,INDEX(新年度名簿!$C$3:$C$452,$AJ30),INDEX(前年度名簿!$C$3:$C$452,$AJ30)))</f>
        <v/>
      </c>
      <c r="T30" s="66">
        <f>IF($AJ30="","",IF(計算用!$B$1=1,INDEX(新年度名簿!$D$3:$D$452,$AJ30),INDEX(前年度名簿!$D$3:$D$452,$AJ30)))</f>
        <v/>
      </c>
      <c r="U30" s="65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M$7:$M$456,MATCH($AJ30,振り分け!$P$7:$P$456,0))="転出","転出",IF(INDEX(振り分け!$L$7:$L$456,MATCH($AJ30,振り分け!$P$7:$P$456,0))="","未決定",INDEX(振り分け!$L$7:$L$456,MATCH($AJ30,振り分け!$P$7:$P$456,0)))),"未決定")))</f>
        <v/>
      </c>
      <c r="V30" s="65">
        <f>IF($AK30="","",IF(計算用!$B$1=1,INDEX(新年度名簿!$C$3:$C$452,$AK30),INDEX(前年度名簿!$C$3:$C$452,$AK30)))</f>
        <v/>
      </c>
      <c r="W30" s="66">
        <f>IF($AK30="","",IF(計算用!$B$1=1,INDEX(新年度名簿!$D$3:$D$452,$AK30),INDEX(前年度名簿!$D$3:$D$452,$AK30)))</f>
        <v/>
      </c>
      <c r="X30" s="65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M$7:$M$456,MATCH($AK30,振り分け!$P$7:$P$456,0))="転出","転出",IF(INDEX(振り分け!$L$7:$L$456,MATCH($AK30,振り分け!$P$7:$P$456,0))="","未決定",INDEX(振り分け!$L$7:$L$456,MATCH($AK30,振り分け!$P$7:$P$456,0)))),"未決定")))</f>
        <v/>
      </c>
      <c r="AD30" s="63">
        <f>IF(計算用!$B$1=1,IFERROR(IF(SMALL(新年度名簿!$J$3:$J$452,$AD$3+26)&lt;2000,MATCH(SMALL(新年度名簿!$J$3:$J$452,$AD$3+26),新年度名簿!$J$3:$J$452,0),""),""),IFERROR(IF(SMALL(前年度名簿!$G$3:$G$452,$AD$3+26)&lt;2000,MATCH(SMALL(前年度名簿!$G$3:$G$452,$AD$3+26),前年度名簿!$G$3:$G$452,0),""),""))</f>
        <v/>
      </c>
      <c r="AE30" s="63">
        <f>IF(計算用!$B$1=1,IFERROR(IF(SMALL(新年度名簿!$J$3:$J$452,$AE$3+26)&lt;3000,MATCH(SMALL(新年度名簿!$J$3:$J$452,$AE$3+26),新年度名簿!$J$3:$J$452,0),""),""),IFERROR(IF(SMALL(前年度名簿!$G$3:$G$452,$AE$3+26)&lt;3000,MATCH(SMALL(前年度名簿!$G$3:$G$452,$AE$3+26),前年度名簿!$G$3:$G$452,0),""),""))</f>
        <v/>
      </c>
      <c r="AF30" s="63">
        <f>IF(計算用!$B$1=1,IFERROR(IF(SMALL(新年度名簿!$J$3:$J$452,$AF$3+26)&lt;4000,MATCH(SMALL(新年度名簿!$J$3:$J$452,$AF$3+26),新年度名簿!$J$3:$J$452,0),""),""),IFERROR(IF(SMALL(前年度名簿!$G$3:$G$452,$AF$3+26)&lt;4000,MATCH(SMALL(前年度名簿!$G$3:$G$452,$AF$3+26),前年度名簿!$G$3:$G$452,0),""),""))</f>
        <v/>
      </c>
      <c r="AG30" s="63">
        <f>IF(計算用!$B$1=1,IFERROR(IF(SMALL(新年度名簿!$J$3:$J$452,$AG$3+26)&lt;5000,MATCH(SMALL(新年度名簿!$J$3:$J$452,$AG$3+26),新年度名簿!$J$3:$J$452,0),""),""),IFERROR(IF(SMALL(前年度名簿!$G$3:$G$452,$AG$3+26)&lt;5000,MATCH(SMALL(前年度名簿!$G$3:$G$452,$AG$3+26),前年度名簿!$G$3:$G$452,0),""),""))</f>
        <v/>
      </c>
      <c r="AH30" s="63">
        <f>IF(計算用!$B$1=1,IFERROR(IF(SMALL(新年度名簿!$J$3:$J$452,$AH$3+26)&lt;6000,MATCH(SMALL(新年度名簿!$J$3:$J$452,$AH$3+26),新年度名簿!$J$3:$J$452,0),""),""),IFERROR(IF(SMALL(前年度名簿!$G$3:$G$452,$AH$3+26)&lt;6000,MATCH(SMALL(前年度名簿!$G$3:$G$452,$AH$3+26),前年度名簿!$G$3:$G$452,0),""),""))</f>
        <v/>
      </c>
      <c r="AI30" s="63">
        <f>IF(計算用!$B$1=1,IFERROR(IF(SMALL(新年度名簿!$J$3:$J$452,$AI$3+26)&lt;7000,MATCH(SMALL(新年度名簿!$J$3:$J$452,$AI$3+26),新年度名簿!$J$3:$J$452,0),""),""),IFERROR(IF(SMALL(前年度名簿!$G$3:$G$452,$AI$3+26)&lt;7000,MATCH(SMALL(前年度名簿!$G$3:$G$452,$AI$3+26),前年度名簿!$G$3:$G$452,0),""),""))</f>
        <v/>
      </c>
      <c r="AJ30" s="63">
        <f>IF(計算用!$B$1=1,IFERROR(IF(SMALL(新年度名簿!$J$3:$J$452,$AJ$3+26)&lt;8000,MATCH(SMALL(新年度名簿!$J$3:$J$452,$AJ$3+26),新年度名簿!$J$3:$J$452,0),""),""),IFERROR(IF(SMALL(前年度名簿!$G$3:$G$452,$AJ$3+26)&lt;8000,MATCH(SMALL(前年度名簿!$G$3:$G$452,$AJ$3+26),前年度名簿!$G$3:$G$452,0),""),""))</f>
        <v/>
      </c>
      <c r="AK30" s="63">
        <f>IF(計算用!$B$1=1,IFERROR(IF(SMALL(新年度名簿!$J$3:$J$452,$AK$3+26)&lt;9000,MATCH(SMALL(新年度名簿!$J$3:$J$452,$AK$3+26),新年度名簿!$J$3:$J$452,0),""),""),IFERROR(IF(SMALL(前年度名簿!$G$3:$G$452,$AK$3+26)&lt;9000,MATCH(SMALL(前年度名簿!$G$3:$G$452,$AK$3+26),前年度名簿!$G$3:$G$452,0),""),""))</f>
        <v/>
      </c>
    </row>
    <row r="31">
      <c r="A31" s="65">
        <f>IF($AD31="","",IF(計算用!$B$1=1,INDEX(新年度名簿!$C$3:$C$452,$AD31),INDEX(前年度名簿!$C$3:$C$452,$AD31)))</f>
        <v/>
      </c>
      <c r="B31" s="66">
        <f>IF($AD31="","",IF(計算用!$B$1=1,INDEX(新年度名簿!$D$3:$D$452,$AD31),INDEX(前年度名簿!$D$3:$D$452,$AD31)))</f>
        <v/>
      </c>
      <c r="C31" s="65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M$7:$M$456,MATCH($AD31,振り分け!$P$7:$P$456,0))="転出","転出",IF(INDEX(振り分け!$L$7:$L$456,MATCH($AD31,振り分け!$P$7:$P$456,0))="","未決定",INDEX(振り分け!$L$7:$L$456,MATCH($AD31,振り分け!$P$7:$P$456,0)))),"未決定")))</f>
        <v/>
      </c>
      <c r="D31" s="65">
        <f>IF($AE31="","",IF(計算用!$B$1=1,INDEX(新年度名簿!$C$3:$C$452,$AE31),INDEX(前年度名簿!$C$3:$C$452,$AE31)))</f>
        <v/>
      </c>
      <c r="E31" s="66">
        <f>IF($AE31="","",IF(計算用!$B$1=1,INDEX(新年度名簿!$D$3:$D$452,$AE31),INDEX(前年度名簿!$D$3:$D$452,$AE31)))</f>
        <v/>
      </c>
      <c r="F31" s="65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M$7:$M$456,MATCH($AE31,振り分け!$P$7:$P$456,0))="転出","転出",IF(INDEX(振り分け!$L$7:$L$456,MATCH($AE31,振り分け!$P$7:$P$456,0))="","未決定",INDEX(振り分け!$L$7:$L$456,MATCH($AE31,振り分け!$P$7:$P$456,0)))),"未決定")))</f>
        <v/>
      </c>
      <c r="G31" s="65">
        <f>IF($AF31="","",IF(計算用!$B$1=1,INDEX(新年度名簿!$C$3:$C$452,$AF31),INDEX(前年度名簿!$C$3:$C$452,$AF31)))</f>
        <v/>
      </c>
      <c r="H31" s="66">
        <f>IF($AF31="","",IF(計算用!$B$1=1,INDEX(新年度名簿!$D$3:$D$452,$AF31),INDEX(前年度名簿!$D$3:$D$452,$AF31)))</f>
        <v/>
      </c>
      <c r="I31" s="65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M$7:$M$456,MATCH($AF31,振り分け!$P$7:$P$456,0))="転出","転出",IF(INDEX(振り分け!$L$7:$L$456,MATCH($AF31,振り分け!$P$7:$P$456,0))="","未決定",INDEX(振り分け!$L$7:$L$456,MATCH($AF31,振り分け!$P$7:$P$456,0)))),"未決定")))</f>
        <v/>
      </c>
      <c r="J31" s="65">
        <f>IF($AG31="","",IF(計算用!$B$1=1,INDEX(新年度名簿!$C$3:$C$452,$AG31),INDEX(前年度名簿!$C$3:$C$452,$AG31)))</f>
        <v/>
      </c>
      <c r="K31" s="66">
        <f>IF($AG31="","",IF(計算用!$B$1=1,INDEX(新年度名簿!$D$3:$D$452,$AG31),INDEX(前年度名簿!$D$3:$D$452,$AG31)))</f>
        <v/>
      </c>
      <c r="L31" s="65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M$7:$M$456,MATCH($AG31,振り分け!$P$7:$P$456,0))="転出","転出",IF(INDEX(振り分け!$L$7:$L$456,MATCH($AG31,振り分け!$P$7:$P$456,0))="","未決定",INDEX(振り分け!$L$7:$L$456,MATCH($AG31,振り分け!$P$7:$P$456,0)))),"未決定")))</f>
        <v/>
      </c>
      <c r="M31" s="65">
        <f>IF($AH31="","",IF(計算用!$B$1=1,INDEX(新年度名簿!$C$3:$C$452,$AH31),INDEX(前年度名簿!$C$3:$C$452,$AH31)))</f>
        <v/>
      </c>
      <c r="N31" s="66">
        <f>IF($AH31="","",IF(計算用!$B$1=1,INDEX(新年度名簿!$D$3:$D$452,$AH31),INDEX(前年度名簿!$D$3:$D$452,$AH31)))</f>
        <v/>
      </c>
      <c r="O31" s="65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M$7:$M$456,MATCH($AH31,振り分け!$P$7:$P$456,0))="転出","転出",IF(INDEX(振り分け!$L$7:$L$456,MATCH($AH31,振り分け!$P$7:$P$456,0))="","未決定",INDEX(振り分け!$L$7:$L$456,MATCH($AH31,振り分け!$P$7:$P$456,0)))),"未決定")))</f>
        <v/>
      </c>
      <c r="P31" s="65">
        <f>IF($AI31="","",IF(計算用!$B$1=1,INDEX(新年度名簿!$C$3:$C$452,$AI31),INDEX(前年度名簿!$C$3:$C$452,$AI31)))</f>
        <v/>
      </c>
      <c r="Q31" s="66">
        <f>IF($AI31="","",IF(計算用!$B$1=1,INDEX(新年度名簿!$D$3:$D$452,$AI31),INDEX(前年度名簿!$D$3:$D$452,$AI31)))</f>
        <v/>
      </c>
      <c r="R31" s="65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M$7:$M$456,MATCH($AI31,振り分け!$P$7:$P$456,0))="転出","転出",IF(INDEX(振り分け!$L$7:$L$456,MATCH($AI31,振り分け!$P$7:$P$456,0))="","未決定",INDEX(振り分け!$L$7:$L$456,MATCH($AI31,振り分け!$P$7:$P$456,0)))),"未決定")))</f>
        <v/>
      </c>
      <c r="S31" s="65">
        <f>IF($AJ31="","",IF(計算用!$B$1=1,INDEX(新年度名簿!$C$3:$C$452,$AJ31),INDEX(前年度名簿!$C$3:$C$452,$AJ31)))</f>
        <v/>
      </c>
      <c r="T31" s="66">
        <f>IF($AJ31="","",IF(計算用!$B$1=1,INDEX(新年度名簿!$D$3:$D$452,$AJ31),INDEX(前年度名簿!$D$3:$D$452,$AJ31)))</f>
        <v/>
      </c>
      <c r="U31" s="65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M$7:$M$456,MATCH($AJ31,振り分け!$P$7:$P$456,0))="転出","転出",IF(INDEX(振り分け!$L$7:$L$456,MATCH($AJ31,振り分け!$P$7:$P$456,0))="","未決定",INDEX(振り分け!$L$7:$L$456,MATCH($AJ31,振り分け!$P$7:$P$456,0)))),"未決定")))</f>
        <v/>
      </c>
      <c r="V31" s="65">
        <f>IF($AK31="","",IF(計算用!$B$1=1,INDEX(新年度名簿!$C$3:$C$452,$AK31),INDEX(前年度名簿!$C$3:$C$452,$AK31)))</f>
        <v/>
      </c>
      <c r="W31" s="66">
        <f>IF($AK31="","",IF(計算用!$B$1=1,INDEX(新年度名簿!$D$3:$D$452,$AK31),INDEX(前年度名簿!$D$3:$D$452,$AK31)))</f>
        <v/>
      </c>
      <c r="X31" s="65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M$7:$M$456,MATCH($AK31,振り分け!$P$7:$P$456,0))="転出","転出",IF(INDEX(振り分け!$L$7:$L$456,MATCH($AK31,振り分け!$P$7:$P$456,0))="","未決定",INDEX(振り分け!$L$7:$L$456,MATCH($AK31,振り分け!$P$7:$P$456,0)))),"未決定")))</f>
        <v/>
      </c>
      <c r="AD31" s="63">
        <f>IF(計算用!$B$1=1,IFERROR(IF(SMALL(新年度名簿!$J$3:$J$452,$AD$3+27)&lt;2000,MATCH(SMALL(新年度名簿!$J$3:$J$452,$AD$3+27),新年度名簿!$J$3:$J$452,0),""),""),IFERROR(IF(SMALL(前年度名簿!$G$3:$G$452,$AD$3+27)&lt;2000,MATCH(SMALL(前年度名簿!$G$3:$G$452,$AD$3+27),前年度名簿!$G$3:$G$452,0),""),""))</f>
        <v/>
      </c>
      <c r="AE31" s="63">
        <f>IF(計算用!$B$1=1,IFERROR(IF(SMALL(新年度名簿!$J$3:$J$452,$AE$3+27)&lt;3000,MATCH(SMALL(新年度名簿!$J$3:$J$452,$AE$3+27),新年度名簿!$J$3:$J$452,0),""),""),IFERROR(IF(SMALL(前年度名簿!$G$3:$G$452,$AE$3+27)&lt;3000,MATCH(SMALL(前年度名簿!$G$3:$G$452,$AE$3+27),前年度名簿!$G$3:$G$452,0),""),""))</f>
        <v/>
      </c>
      <c r="AF31" s="63">
        <f>IF(計算用!$B$1=1,IFERROR(IF(SMALL(新年度名簿!$J$3:$J$452,$AF$3+27)&lt;4000,MATCH(SMALL(新年度名簿!$J$3:$J$452,$AF$3+27),新年度名簿!$J$3:$J$452,0),""),""),IFERROR(IF(SMALL(前年度名簿!$G$3:$G$452,$AF$3+27)&lt;4000,MATCH(SMALL(前年度名簿!$G$3:$G$452,$AF$3+27),前年度名簿!$G$3:$G$452,0),""),""))</f>
        <v/>
      </c>
      <c r="AG31" s="63">
        <f>IF(計算用!$B$1=1,IFERROR(IF(SMALL(新年度名簿!$J$3:$J$452,$AG$3+27)&lt;5000,MATCH(SMALL(新年度名簿!$J$3:$J$452,$AG$3+27),新年度名簿!$J$3:$J$452,0),""),""),IFERROR(IF(SMALL(前年度名簿!$G$3:$G$452,$AG$3+27)&lt;5000,MATCH(SMALL(前年度名簿!$G$3:$G$452,$AG$3+27),前年度名簿!$G$3:$G$452,0),""),""))</f>
        <v/>
      </c>
      <c r="AH31" s="63">
        <f>IF(計算用!$B$1=1,IFERROR(IF(SMALL(新年度名簿!$J$3:$J$452,$AH$3+27)&lt;6000,MATCH(SMALL(新年度名簿!$J$3:$J$452,$AH$3+27),新年度名簿!$J$3:$J$452,0),""),""),IFERROR(IF(SMALL(前年度名簿!$G$3:$G$452,$AH$3+27)&lt;6000,MATCH(SMALL(前年度名簿!$G$3:$G$452,$AH$3+27),前年度名簿!$G$3:$G$452,0),""),""))</f>
        <v/>
      </c>
      <c r="AI31" s="63">
        <f>IF(計算用!$B$1=1,IFERROR(IF(SMALL(新年度名簿!$J$3:$J$452,$AI$3+27)&lt;7000,MATCH(SMALL(新年度名簿!$J$3:$J$452,$AI$3+27),新年度名簿!$J$3:$J$452,0),""),""),IFERROR(IF(SMALL(前年度名簿!$G$3:$G$452,$AI$3+27)&lt;7000,MATCH(SMALL(前年度名簿!$G$3:$G$452,$AI$3+27),前年度名簿!$G$3:$G$452,0),""),""))</f>
        <v/>
      </c>
      <c r="AJ31" s="63">
        <f>IF(計算用!$B$1=1,IFERROR(IF(SMALL(新年度名簿!$J$3:$J$452,$AJ$3+27)&lt;8000,MATCH(SMALL(新年度名簿!$J$3:$J$452,$AJ$3+27),新年度名簿!$J$3:$J$452,0),""),""),IFERROR(IF(SMALL(前年度名簿!$G$3:$G$452,$AJ$3+27)&lt;8000,MATCH(SMALL(前年度名簿!$G$3:$G$452,$AJ$3+27),前年度名簿!$G$3:$G$452,0),""),""))</f>
        <v/>
      </c>
      <c r="AK31" s="63">
        <f>IF(計算用!$B$1=1,IFERROR(IF(SMALL(新年度名簿!$J$3:$J$452,$AK$3+27)&lt;9000,MATCH(SMALL(新年度名簿!$J$3:$J$452,$AK$3+27),新年度名簿!$J$3:$J$452,0),""),""),IFERROR(IF(SMALL(前年度名簿!$G$3:$G$452,$AK$3+27)&lt;9000,MATCH(SMALL(前年度名簿!$G$3:$G$452,$AK$3+27),前年度名簿!$G$3:$G$452,0),""),""))</f>
        <v/>
      </c>
    </row>
    <row r="32">
      <c r="A32" s="65">
        <f>IF($AD32="","",IF(計算用!$B$1=1,INDEX(新年度名簿!$C$3:$C$452,$AD32),INDEX(前年度名簿!$C$3:$C$452,$AD32)))</f>
        <v/>
      </c>
      <c r="B32" s="66">
        <f>IF($AD32="","",IF(計算用!$B$1=1,INDEX(新年度名簿!$D$3:$D$452,$AD32),INDEX(前年度名簿!$D$3:$D$452,$AD32)))</f>
        <v/>
      </c>
      <c r="C32" s="65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M$7:$M$456,MATCH($AD32,振り分け!$P$7:$P$456,0))="転出","転出",IF(INDEX(振り分け!$L$7:$L$456,MATCH($AD32,振り分け!$P$7:$P$456,0))="","未決定",INDEX(振り分け!$L$7:$L$456,MATCH($AD32,振り分け!$P$7:$P$456,0)))),"未決定")))</f>
        <v/>
      </c>
      <c r="D32" s="65">
        <f>IF($AE32="","",IF(計算用!$B$1=1,INDEX(新年度名簿!$C$3:$C$452,$AE32),INDEX(前年度名簿!$C$3:$C$452,$AE32)))</f>
        <v/>
      </c>
      <c r="E32" s="66">
        <f>IF($AE32="","",IF(計算用!$B$1=1,INDEX(新年度名簿!$D$3:$D$452,$AE32),INDEX(前年度名簿!$D$3:$D$452,$AE32)))</f>
        <v/>
      </c>
      <c r="F32" s="65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M$7:$M$456,MATCH($AE32,振り分け!$P$7:$P$456,0))="転出","転出",IF(INDEX(振り分け!$L$7:$L$456,MATCH($AE32,振り分け!$P$7:$P$456,0))="","未決定",INDEX(振り分け!$L$7:$L$456,MATCH($AE32,振り分け!$P$7:$P$456,0)))),"未決定")))</f>
        <v/>
      </c>
      <c r="G32" s="65">
        <f>IF($AF32="","",IF(計算用!$B$1=1,INDEX(新年度名簿!$C$3:$C$452,$AF32),INDEX(前年度名簿!$C$3:$C$452,$AF32)))</f>
        <v/>
      </c>
      <c r="H32" s="66">
        <f>IF($AF32="","",IF(計算用!$B$1=1,INDEX(新年度名簿!$D$3:$D$452,$AF32),INDEX(前年度名簿!$D$3:$D$452,$AF32)))</f>
        <v/>
      </c>
      <c r="I32" s="65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M$7:$M$456,MATCH($AF32,振り分け!$P$7:$P$456,0))="転出","転出",IF(INDEX(振り分け!$L$7:$L$456,MATCH($AF32,振り分け!$P$7:$P$456,0))="","未決定",INDEX(振り分け!$L$7:$L$456,MATCH($AF32,振り分け!$P$7:$P$456,0)))),"未決定")))</f>
        <v/>
      </c>
      <c r="J32" s="65">
        <f>IF($AG32="","",IF(計算用!$B$1=1,INDEX(新年度名簿!$C$3:$C$452,$AG32),INDEX(前年度名簿!$C$3:$C$452,$AG32)))</f>
        <v/>
      </c>
      <c r="K32" s="66">
        <f>IF($AG32="","",IF(計算用!$B$1=1,INDEX(新年度名簿!$D$3:$D$452,$AG32),INDEX(前年度名簿!$D$3:$D$452,$AG32)))</f>
        <v/>
      </c>
      <c r="L32" s="65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M$7:$M$456,MATCH($AG32,振り分け!$P$7:$P$456,0))="転出","転出",IF(INDEX(振り分け!$L$7:$L$456,MATCH($AG32,振り分け!$P$7:$P$456,0))="","未決定",INDEX(振り分け!$L$7:$L$456,MATCH($AG32,振り分け!$P$7:$P$456,0)))),"未決定")))</f>
        <v/>
      </c>
      <c r="M32" s="65">
        <f>IF($AH32="","",IF(計算用!$B$1=1,INDEX(新年度名簿!$C$3:$C$452,$AH32),INDEX(前年度名簿!$C$3:$C$452,$AH32)))</f>
        <v/>
      </c>
      <c r="N32" s="66">
        <f>IF($AH32="","",IF(計算用!$B$1=1,INDEX(新年度名簿!$D$3:$D$452,$AH32),INDEX(前年度名簿!$D$3:$D$452,$AH32)))</f>
        <v/>
      </c>
      <c r="O32" s="65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M$7:$M$456,MATCH($AH32,振り分け!$P$7:$P$456,0))="転出","転出",IF(INDEX(振り分け!$L$7:$L$456,MATCH($AH32,振り分け!$P$7:$P$456,0))="","未決定",INDEX(振り分け!$L$7:$L$456,MATCH($AH32,振り分け!$P$7:$P$456,0)))),"未決定")))</f>
        <v/>
      </c>
      <c r="P32" s="65">
        <f>IF($AI32="","",IF(計算用!$B$1=1,INDEX(新年度名簿!$C$3:$C$452,$AI32),INDEX(前年度名簿!$C$3:$C$452,$AI32)))</f>
        <v/>
      </c>
      <c r="Q32" s="66">
        <f>IF($AI32="","",IF(計算用!$B$1=1,INDEX(新年度名簿!$D$3:$D$452,$AI32),INDEX(前年度名簿!$D$3:$D$452,$AI32)))</f>
        <v/>
      </c>
      <c r="R32" s="65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M$7:$M$456,MATCH($AI32,振り分け!$P$7:$P$456,0))="転出","転出",IF(INDEX(振り分け!$L$7:$L$456,MATCH($AI32,振り分け!$P$7:$P$456,0))="","未決定",INDEX(振り分け!$L$7:$L$456,MATCH($AI32,振り分け!$P$7:$P$456,0)))),"未決定")))</f>
        <v/>
      </c>
      <c r="S32" s="65">
        <f>IF($AJ32="","",IF(計算用!$B$1=1,INDEX(新年度名簿!$C$3:$C$452,$AJ32),INDEX(前年度名簿!$C$3:$C$452,$AJ32)))</f>
        <v/>
      </c>
      <c r="T32" s="66">
        <f>IF($AJ32="","",IF(計算用!$B$1=1,INDEX(新年度名簿!$D$3:$D$452,$AJ32),INDEX(前年度名簿!$D$3:$D$452,$AJ32)))</f>
        <v/>
      </c>
      <c r="U32" s="65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M$7:$M$456,MATCH($AJ32,振り分け!$P$7:$P$456,0))="転出","転出",IF(INDEX(振り分け!$L$7:$L$456,MATCH($AJ32,振り分け!$P$7:$P$456,0))="","未決定",INDEX(振り分け!$L$7:$L$456,MATCH($AJ32,振り分け!$P$7:$P$456,0)))),"未決定")))</f>
        <v/>
      </c>
      <c r="V32" s="65">
        <f>IF($AK32="","",IF(計算用!$B$1=1,INDEX(新年度名簿!$C$3:$C$452,$AK32),INDEX(前年度名簿!$C$3:$C$452,$AK32)))</f>
        <v/>
      </c>
      <c r="W32" s="66">
        <f>IF($AK32="","",IF(計算用!$B$1=1,INDEX(新年度名簿!$D$3:$D$452,$AK32),INDEX(前年度名簿!$D$3:$D$452,$AK32)))</f>
        <v/>
      </c>
      <c r="X32" s="65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M$7:$M$456,MATCH($AK32,振り分け!$P$7:$P$456,0))="転出","転出",IF(INDEX(振り分け!$L$7:$L$456,MATCH($AK32,振り分け!$P$7:$P$456,0))="","未決定",INDEX(振り分け!$L$7:$L$456,MATCH($AK32,振り分け!$P$7:$P$456,0)))),"未決定")))</f>
        <v/>
      </c>
      <c r="AD32" s="63">
        <f>IF(計算用!$B$1=1,IFERROR(IF(SMALL(新年度名簿!$J$3:$J$452,$AD$3+28)&lt;2000,MATCH(SMALL(新年度名簿!$J$3:$J$452,$AD$3+28),新年度名簿!$J$3:$J$452,0),""),""),IFERROR(IF(SMALL(前年度名簿!$G$3:$G$452,$AD$3+28)&lt;2000,MATCH(SMALL(前年度名簿!$G$3:$G$452,$AD$3+28),前年度名簿!$G$3:$G$452,0),""),""))</f>
        <v/>
      </c>
      <c r="AE32" s="63">
        <f>IF(計算用!$B$1=1,IFERROR(IF(SMALL(新年度名簿!$J$3:$J$452,$AE$3+28)&lt;3000,MATCH(SMALL(新年度名簿!$J$3:$J$452,$AE$3+28),新年度名簿!$J$3:$J$452,0),""),""),IFERROR(IF(SMALL(前年度名簿!$G$3:$G$452,$AE$3+28)&lt;3000,MATCH(SMALL(前年度名簿!$G$3:$G$452,$AE$3+28),前年度名簿!$G$3:$G$452,0),""),""))</f>
        <v/>
      </c>
      <c r="AF32" s="63">
        <f>IF(計算用!$B$1=1,IFERROR(IF(SMALL(新年度名簿!$J$3:$J$452,$AF$3+28)&lt;4000,MATCH(SMALL(新年度名簿!$J$3:$J$452,$AF$3+28),新年度名簿!$J$3:$J$452,0),""),""),IFERROR(IF(SMALL(前年度名簿!$G$3:$G$452,$AF$3+28)&lt;4000,MATCH(SMALL(前年度名簿!$G$3:$G$452,$AF$3+28),前年度名簿!$G$3:$G$452,0),""),""))</f>
        <v/>
      </c>
      <c r="AG32" s="63">
        <f>IF(計算用!$B$1=1,IFERROR(IF(SMALL(新年度名簿!$J$3:$J$452,$AG$3+28)&lt;5000,MATCH(SMALL(新年度名簿!$J$3:$J$452,$AG$3+28),新年度名簿!$J$3:$J$452,0),""),""),IFERROR(IF(SMALL(前年度名簿!$G$3:$G$452,$AG$3+28)&lt;5000,MATCH(SMALL(前年度名簿!$G$3:$G$452,$AG$3+28),前年度名簿!$G$3:$G$452,0),""),""))</f>
        <v/>
      </c>
      <c r="AH32" s="63">
        <f>IF(計算用!$B$1=1,IFERROR(IF(SMALL(新年度名簿!$J$3:$J$452,$AH$3+28)&lt;6000,MATCH(SMALL(新年度名簿!$J$3:$J$452,$AH$3+28),新年度名簿!$J$3:$J$452,0),""),""),IFERROR(IF(SMALL(前年度名簿!$G$3:$G$452,$AH$3+28)&lt;6000,MATCH(SMALL(前年度名簿!$G$3:$G$452,$AH$3+28),前年度名簿!$G$3:$G$452,0),""),""))</f>
        <v/>
      </c>
      <c r="AI32" s="63">
        <f>IF(計算用!$B$1=1,IFERROR(IF(SMALL(新年度名簿!$J$3:$J$452,$AI$3+28)&lt;7000,MATCH(SMALL(新年度名簿!$J$3:$J$452,$AI$3+28),新年度名簿!$J$3:$J$452,0),""),""),IFERROR(IF(SMALL(前年度名簿!$G$3:$G$452,$AI$3+28)&lt;7000,MATCH(SMALL(前年度名簿!$G$3:$G$452,$AI$3+28),前年度名簿!$G$3:$G$452,0),""),""))</f>
        <v/>
      </c>
      <c r="AJ32" s="63">
        <f>IF(計算用!$B$1=1,IFERROR(IF(SMALL(新年度名簿!$J$3:$J$452,$AJ$3+28)&lt;8000,MATCH(SMALL(新年度名簿!$J$3:$J$452,$AJ$3+28),新年度名簿!$J$3:$J$452,0),""),""),IFERROR(IF(SMALL(前年度名簿!$G$3:$G$452,$AJ$3+28)&lt;8000,MATCH(SMALL(前年度名簿!$G$3:$G$452,$AJ$3+28),前年度名簿!$G$3:$G$452,0),""),""))</f>
        <v/>
      </c>
      <c r="AK32" s="63">
        <f>IF(計算用!$B$1=1,IFERROR(IF(SMALL(新年度名簿!$J$3:$J$452,$AK$3+28)&lt;9000,MATCH(SMALL(新年度名簿!$J$3:$J$452,$AK$3+28),新年度名簿!$J$3:$J$452,0),""),""),IFERROR(IF(SMALL(前年度名簿!$G$3:$G$452,$AK$3+28)&lt;9000,MATCH(SMALL(前年度名簿!$G$3:$G$452,$AK$3+28),前年度名簿!$G$3:$G$452,0),""),""))</f>
        <v/>
      </c>
    </row>
    <row r="33">
      <c r="A33" s="65">
        <f>IF($AD33="","",IF(計算用!$B$1=1,INDEX(新年度名簿!$C$3:$C$452,$AD33),INDEX(前年度名簿!$C$3:$C$452,$AD33)))</f>
        <v/>
      </c>
      <c r="B33" s="66">
        <f>IF($AD33="","",IF(計算用!$B$1=1,INDEX(新年度名簿!$D$3:$D$452,$AD33),INDEX(前年度名簿!$D$3:$D$452,$AD33)))</f>
        <v/>
      </c>
      <c r="C33" s="65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M$7:$M$456,MATCH($AD33,振り分け!$P$7:$P$456,0))="転出","転出",IF(INDEX(振り分け!$L$7:$L$456,MATCH($AD33,振り分け!$P$7:$P$456,0))="","未決定",INDEX(振り分け!$L$7:$L$456,MATCH($AD33,振り分け!$P$7:$P$456,0)))),"未決定")))</f>
        <v/>
      </c>
      <c r="D33" s="65">
        <f>IF($AE33="","",IF(計算用!$B$1=1,INDEX(新年度名簿!$C$3:$C$452,$AE33),INDEX(前年度名簿!$C$3:$C$452,$AE33)))</f>
        <v/>
      </c>
      <c r="E33" s="66">
        <f>IF($AE33="","",IF(計算用!$B$1=1,INDEX(新年度名簿!$D$3:$D$452,$AE33),INDEX(前年度名簿!$D$3:$D$452,$AE33)))</f>
        <v/>
      </c>
      <c r="F33" s="65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M$7:$M$456,MATCH($AE33,振り分け!$P$7:$P$456,0))="転出","転出",IF(INDEX(振り分け!$L$7:$L$456,MATCH($AE33,振り分け!$P$7:$P$456,0))="","未決定",INDEX(振り分け!$L$7:$L$456,MATCH($AE33,振り分け!$P$7:$P$456,0)))),"未決定")))</f>
        <v/>
      </c>
      <c r="G33" s="65">
        <f>IF($AF33="","",IF(計算用!$B$1=1,INDEX(新年度名簿!$C$3:$C$452,$AF33),INDEX(前年度名簿!$C$3:$C$452,$AF33)))</f>
        <v/>
      </c>
      <c r="H33" s="66">
        <f>IF($AF33="","",IF(計算用!$B$1=1,INDEX(新年度名簿!$D$3:$D$452,$AF33),INDEX(前年度名簿!$D$3:$D$452,$AF33)))</f>
        <v/>
      </c>
      <c r="I33" s="65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M$7:$M$456,MATCH($AF33,振り分け!$P$7:$P$456,0))="転出","転出",IF(INDEX(振り分け!$L$7:$L$456,MATCH($AF33,振り分け!$P$7:$P$456,0))="","未決定",INDEX(振り分け!$L$7:$L$456,MATCH($AF33,振り分け!$P$7:$P$456,0)))),"未決定")))</f>
        <v/>
      </c>
      <c r="J33" s="65">
        <f>IF($AG33="","",IF(計算用!$B$1=1,INDEX(新年度名簿!$C$3:$C$452,$AG33),INDEX(前年度名簿!$C$3:$C$452,$AG33)))</f>
        <v/>
      </c>
      <c r="K33" s="66">
        <f>IF($AG33="","",IF(計算用!$B$1=1,INDEX(新年度名簿!$D$3:$D$452,$AG33),INDEX(前年度名簿!$D$3:$D$452,$AG33)))</f>
        <v/>
      </c>
      <c r="L33" s="65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M$7:$M$456,MATCH($AG33,振り分け!$P$7:$P$456,0))="転出","転出",IF(INDEX(振り分け!$L$7:$L$456,MATCH($AG33,振り分け!$P$7:$P$456,0))="","未決定",INDEX(振り分け!$L$7:$L$456,MATCH($AG33,振り分け!$P$7:$P$456,0)))),"未決定")))</f>
        <v/>
      </c>
      <c r="M33" s="65">
        <f>IF($AH33="","",IF(計算用!$B$1=1,INDEX(新年度名簿!$C$3:$C$452,$AH33),INDEX(前年度名簿!$C$3:$C$452,$AH33)))</f>
        <v/>
      </c>
      <c r="N33" s="66">
        <f>IF($AH33="","",IF(計算用!$B$1=1,INDEX(新年度名簿!$D$3:$D$452,$AH33),INDEX(前年度名簿!$D$3:$D$452,$AH33)))</f>
        <v/>
      </c>
      <c r="O33" s="65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M$7:$M$456,MATCH($AH33,振り分け!$P$7:$P$456,0))="転出","転出",IF(INDEX(振り分け!$L$7:$L$456,MATCH($AH33,振り分け!$P$7:$P$456,0))="","未決定",INDEX(振り分け!$L$7:$L$456,MATCH($AH33,振り分け!$P$7:$P$456,0)))),"未決定")))</f>
        <v/>
      </c>
      <c r="P33" s="65">
        <f>IF($AI33="","",IF(計算用!$B$1=1,INDEX(新年度名簿!$C$3:$C$452,$AI33),INDEX(前年度名簿!$C$3:$C$452,$AI33)))</f>
        <v/>
      </c>
      <c r="Q33" s="66">
        <f>IF($AI33="","",IF(計算用!$B$1=1,INDEX(新年度名簿!$D$3:$D$452,$AI33),INDEX(前年度名簿!$D$3:$D$452,$AI33)))</f>
        <v/>
      </c>
      <c r="R33" s="65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M$7:$M$456,MATCH($AI33,振り分け!$P$7:$P$456,0))="転出","転出",IF(INDEX(振り分け!$L$7:$L$456,MATCH($AI33,振り分け!$P$7:$P$456,0))="","未決定",INDEX(振り分け!$L$7:$L$456,MATCH($AI33,振り分け!$P$7:$P$456,0)))),"未決定")))</f>
        <v/>
      </c>
      <c r="S33" s="65">
        <f>IF($AJ33="","",IF(計算用!$B$1=1,INDEX(新年度名簿!$C$3:$C$452,$AJ33),INDEX(前年度名簿!$C$3:$C$452,$AJ33)))</f>
        <v/>
      </c>
      <c r="T33" s="66">
        <f>IF($AJ33="","",IF(計算用!$B$1=1,INDEX(新年度名簿!$D$3:$D$452,$AJ33),INDEX(前年度名簿!$D$3:$D$452,$AJ33)))</f>
        <v/>
      </c>
      <c r="U33" s="65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M$7:$M$456,MATCH($AJ33,振り分け!$P$7:$P$456,0))="転出","転出",IF(INDEX(振り分け!$L$7:$L$456,MATCH($AJ33,振り分け!$P$7:$P$456,0))="","未決定",INDEX(振り分け!$L$7:$L$456,MATCH($AJ33,振り分け!$P$7:$P$456,0)))),"未決定")))</f>
        <v/>
      </c>
      <c r="V33" s="65">
        <f>IF($AK33="","",IF(計算用!$B$1=1,INDEX(新年度名簿!$C$3:$C$452,$AK33),INDEX(前年度名簿!$C$3:$C$452,$AK33)))</f>
        <v/>
      </c>
      <c r="W33" s="66">
        <f>IF($AK33="","",IF(計算用!$B$1=1,INDEX(新年度名簿!$D$3:$D$452,$AK33),INDEX(前年度名簿!$D$3:$D$452,$AK33)))</f>
        <v/>
      </c>
      <c r="X33" s="65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M$7:$M$456,MATCH($AK33,振り分け!$P$7:$P$456,0))="転出","転出",IF(INDEX(振り分け!$L$7:$L$456,MATCH($AK33,振り分け!$P$7:$P$456,0))="","未決定",INDEX(振り分け!$L$7:$L$456,MATCH($AK33,振り分け!$P$7:$P$456,0)))),"未決定")))</f>
        <v/>
      </c>
      <c r="AD33" s="63">
        <f>IF(計算用!$B$1=1,IFERROR(IF(SMALL(新年度名簿!$J$3:$J$452,$AD$3+29)&lt;2000,MATCH(SMALL(新年度名簿!$J$3:$J$452,$AD$3+29),新年度名簿!$J$3:$J$452,0),""),""),IFERROR(IF(SMALL(前年度名簿!$G$3:$G$452,$AD$3+29)&lt;2000,MATCH(SMALL(前年度名簿!$G$3:$G$452,$AD$3+29),前年度名簿!$G$3:$G$452,0),""),""))</f>
        <v/>
      </c>
      <c r="AE33" s="63">
        <f>IF(計算用!$B$1=1,IFERROR(IF(SMALL(新年度名簿!$J$3:$J$452,$AE$3+29)&lt;3000,MATCH(SMALL(新年度名簿!$J$3:$J$452,$AE$3+29),新年度名簿!$J$3:$J$452,0),""),""),IFERROR(IF(SMALL(前年度名簿!$G$3:$G$452,$AE$3+29)&lt;3000,MATCH(SMALL(前年度名簿!$G$3:$G$452,$AE$3+29),前年度名簿!$G$3:$G$452,0),""),""))</f>
        <v/>
      </c>
      <c r="AF33" s="63">
        <f>IF(計算用!$B$1=1,IFERROR(IF(SMALL(新年度名簿!$J$3:$J$452,$AF$3+29)&lt;4000,MATCH(SMALL(新年度名簿!$J$3:$J$452,$AF$3+29),新年度名簿!$J$3:$J$452,0),""),""),IFERROR(IF(SMALL(前年度名簿!$G$3:$G$452,$AF$3+29)&lt;4000,MATCH(SMALL(前年度名簿!$G$3:$G$452,$AF$3+29),前年度名簿!$G$3:$G$452,0),""),""))</f>
        <v/>
      </c>
      <c r="AG33" s="63">
        <f>IF(計算用!$B$1=1,IFERROR(IF(SMALL(新年度名簿!$J$3:$J$452,$AG$3+29)&lt;5000,MATCH(SMALL(新年度名簿!$J$3:$J$452,$AG$3+29),新年度名簿!$J$3:$J$452,0),""),""),IFERROR(IF(SMALL(前年度名簿!$G$3:$G$452,$AG$3+29)&lt;5000,MATCH(SMALL(前年度名簿!$G$3:$G$452,$AG$3+29),前年度名簿!$G$3:$G$452,0),""),""))</f>
        <v/>
      </c>
      <c r="AH33" s="63">
        <f>IF(計算用!$B$1=1,IFERROR(IF(SMALL(新年度名簿!$J$3:$J$452,$AH$3+29)&lt;6000,MATCH(SMALL(新年度名簿!$J$3:$J$452,$AH$3+29),新年度名簿!$J$3:$J$452,0),""),""),IFERROR(IF(SMALL(前年度名簿!$G$3:$G$452,$AH$3+29)&lt;6000,MATCH(SMALL(前年度名簿!$G$3:$G$452,$AH$3+29),前年度名簿!$G$3:$G$452,0),""),""))</f>
        <v/>
      </c>
      <c r="AI33" s="63">
        <f>IF(計算用!$B$1=1,IFERROR(IF(SMALL(新年度名簿!$J$3:$J$452,$AI$3+29)&lt;7000,MATCH(SMALL(新年度名簿!$J$3:$J$452,$AI$3+29),新年度名簿!$J$3:$J$452,0),""),""),IFERROR(IF(SMALL(前年度名簿!$G$3:$G$452,$AI$3+29)&lt;7000,MATCH(SMALL(前年度名簿!$G$3:$G$452,$AI$3+29),前年度名簿!$G$3:$G$452,0),""),""))</f>
        <v/>
      </c>
      <c r="AJ33" s="63">
        <f>IF(計算用!$B$1=1,IFERROR(IF(SMALL(新年度名簿!$J$3:$J$452,$AJ$3+29)&lt;8000,MATCH(SMALL(新年度名簿!$J$3:$J$452,$AJ$3+29),新年度名簿!$J$3:$J$452,0),""),""),IFERROR(IF(SMALL(前年度名簿!$G$3:$G$452,$AJ$3+29)&lt;8000,MATCH(SMALL(前年度名簿!$G$3:$G$452,$AJ$3+29),前年度名簿!$G$3:$G$452,0),""),""))</f>
        <v/>
      </c>
      <c r="AK33" s="63">
        <f>IF(計算用!$B$1=1,IFERROR(IF(SMALL(新年度名簿!$J$3:$J$452,$AK$3+29)&lt;9000,MATCH(SMALL(新年度名簿!$J$3:$J$452,$AK$3+29),新年度名簿!$J$3:$J$452,0),""),""),IFERROR(IF(SMALL(前年度名簿!$G$3:$G$452,$AK$3+29)&lt;9000,MATCH(SMALL(前年度名簿!$G$3:$G$452,$AK$3+29),前年度名簿!$G$3:$G$452,0),""),""))</f>
        <v/>
      </c>
    </row>
    <row r="34">
      <c r="A34" s="65">
        <f>IF($AD34="","",IF(計算用!$B$1=1,INDEX(新年度名簿!$C$3:$C$452,$AD34),INDEX(前年度名簿!$C$3:$C$452,$AD34)))</f>
        <v/>
      </c>
      <c r="B34" s="66">
        <f>IF($AD34="","",IF(計算用!$B$1=1,INDEX(新年度名簿!$D$3:$D$452,$AD34),INDEX(前年度名簿!$D$3:$D$452,$AD34)))</f>
        <v/>
      </c>
      <c r="C34" s="65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M$7:$M$456,MATCH($AD34,振り分け!$P$7:$P$456,0))="転出","転出",IF(INDEX(振り分け!$L$7:$L$456,MATCH($AD34,振り分け!$P$7:$P$456,0))="","未決定",INDEX(振り分け!$L$7:$L$456,MATCH($AD34,振り分け!$P$7:$P$456,0)))),"未決定")))</f>
        <v/>
      </c>
      <c r="D34" s="65">
        <f>IF($AE34="","",IF(計算用!$B$1=1,INDEX(新年度名簿!$C$3:$C$452,$AE34),INDEX(前年度名簿!$C$3:$C$452,$AE34)))</f>
        <v/>
      </c>
      <c r="E34" s="66">
        <f>IF($AE34="","",IF(計算用!$B$1=1,INDEX(新年度名簿!$D$3:$D$452,$AE34),INDEX(前年度名簿!$D$3:$D$452,$AE34)))</f>
        <v/>
      </c>
      <c r="F34" s="65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M$7:$M$456,MATCH($AE34,振り分け!$P$7:$P$456,0))="転出","転出",IF(INDEX(振り分け!$L$7:$L$456,MATCH($AE34,振り分け!$P$7:$P$456,0))="","未決定",INDEX(振り分け!$L$7:$L$456,MATCH($AE34,振り分け!$P$7:$P$456,0)))),"未決定")))</f>
        <v/>
      </c>
      <c r="G34" s="65">
        <f>IF($AF34="","",IF(計算用!$B$1=1,INDEX(新年度名簿!$C$3:$C$452,$AF34),INDEX(前年度名簿!$C$3:$C$452,$AF34)))</f>
        <v/>
      </c>
      <c r="H34" s="66">
        <f>IF($AF34="","",IF(計算用!$B$1=1,INDEX(新年度名簿!$D$3:$D$452,$AF34),INDEX(前年度名簿!$D$3:$D$452,$AF34)))</f>
        <v/>
      </c>
      <c r="I34" s="65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M$7:$M$456,MATCH($AF34,振り分け!$P$7:$P$456,0))="転出","転出",IF(INDEX(振り分け!$L$7:$L$456,MATCH($AF34,振り分け!$P$7:$P$456,0))="","未決定",INDEX(振り分け!$L$7:$L$456,MATCH($AF34,振り分け!$P$7:$P$456,0)))),"未決定")))</f>
        <v/>
      </c>
      <c r="J34" s="65">
        <f>IF($AG34="","",IF(計算用!$B$1=1,INDEX(新年度名簿!$C$3:$C$452,$AG34),INDEX(前年度名簿!$C$3:$C$452,$AG34)))</f>
        <v/>
      </c>
      <c r="K34" s="66">
        <f>IF($AG34="","",IF(計算用!$B$1=1,INDEX(新年度名簿!$D$3:$D$452,$AG34),INDEX(前年度名簿!$D$3:$D$452,$AG34)))</f>
        <v/>
      </c>
      <c r="L34" s="65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M$7:$M$456,MATCH($AG34,振り分け!$P$7:$P$456,0))="転出","転出",IF(INDEX(振り分け!$L$7:$L$456,MATCH($AG34,振り分け!$P$7:$P$456,0))="","未決定",INDEX(振り分け!$L$7:$L$456,MATCH($AG34,振り分け!$P$7:$P$456,0)))),"未決定")))</f>
        <v/>
      </c>
      <c r="M34" s="65">
        <f>IF($AH34="","",IF(計算用!$B$1=1,INDEX(新年度名簿!$C$3:$C$452,$AH34),INDEX(前年度名簿!$C$3:$C$452,$AH34)))</f>
        <v/>
      </c>
      <c r="N34" s="66">
        <f>IF($AH34="","",IF(計算用!$B$1=1,INDEX(新年度名簿!$D$3:$D$452,$AH34),INDEX(前年度名簿!$D$3:$D$452,$AH34)))</f>
        <v/>
      </c>
      <c r="O34" s="65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M$7:$M$456,MATCH($AH34,振り分け!$P$7:$P$456,0))="転出","転出",IF(INDEX(振り分け!$L$7:$L$456,MATCH($AH34,振り分け!$P$7:$P$456,0))="","未決定",INDEX(振り分け!$L$7:$L$456,MATCH($AH34,振り分け!$P$7:$P$456,0)))),"未決定")))</f>
        <v/>
      </c>
      <c r="P34" s="65">
        <f>IF($AI34="","",IF(計算用!$B$1=1,INDEX(新年度名簿!$C$3:$C$452,$AI34),INDEX(前年度名簿!$C$3:$C$452,$AI34)))</f>
        <v/>
      </c>
      <c r="Q34" s="66">
        <f>IF($AI34="","",IF(計算用!$B$1=1,INDEX(新年度名簿!$D$3:$D$452,$AI34),INDEX(前年度名簿!$D$3:$D$452,$AI34)))</f>
        <v/>
      </c>
      <c r="R34" s="65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M$7:$M$456,MATCH($AI34,振り分け!$P$7:$P$456,0))="転出","転出",IF(INDEX(振り分け!$L$7:$L$456,MATCH($AI34,振り分け!$P$7:$P$456,0))="","未決定",INDEX(振り分け!$L$7:$L$456,MATCH($AI34,振り分け!$P$7:$P$456,0)))),"未決定")))</f>
        <v/>
      </c>
      <c r="S34" s="65">
        <f>IF($AJ34="","",IF(計算用!$B$1=1,INDEX(新年度名簿!$C$3:$C$452,$AJ34),INDEX(前年度名簿!$C$3:$C$452,$AJ34)))</f>
        <v/>
      </c>
      <c r="T34" s="66">
        <f>IF($AJ34="","",IF(計算用!$B$1=1,INDEX(新年度名簿!$D$3:$D$452,$AJ34),INDEX(前年度名簿!$D$3:$D$452,$AJ34)))</f>
        <v/>
      </c>
      <c r="U34" s="65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M$7:$M$456,MATCH($AJ34,振り分け!$P$7:$P$456,0))="転出","転出",IF(INDEX(振り分け!$L$7:$L$456,MATCH($AJ34,振り分け!$P$7:$P$456,0))="","未決定",INDEX(振り分け!$L$7:$L$456,MATCH($AJ34,振り分け!$P$7:$P$456,0)))),"未決定")))</f>
        <v/>
      </c>
      <c r="V34" s="65">
        <f>IF($AK34="","",IF(計算用!$B$1=1,INDEX(新年度名簿!$C$3:$C$452,$AK34),INDEX(前年度名簿!$C$3:$C$452,$AK34)))</f>
        <v/>
      </c>
      <c r="W34" s="66">
        <f>IF($AK34="","",IF(計算用!$B$1=1,INDEX(新年度名簿!$D$3:$D$452,$AK34),INDEX(前年度名簿!$D$3:$D$452,$AK34)))</f>
        <v/>
      </c>
      <c r="X34" s="65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M$7:$M$456,MATCH($AK34,振り分け!$P$7:$P$456,0))="転出","転出",IF(INDEX(振り分け!$L$7:$L$456,MATCH($AK34,振り分け!$P$7:$P$456,0))="","未決定",INDEX(振り分け!$L$7:$L$456,MATCH($AK34,振り分け!$P$7:$P$456,0)))),"未決定")))</f>
        <v/>
      </c>
      <c r="AD34" s="63">
        <f>IF(計算用!$B$1=1,IFERROR(IF(SMALL(新年度名簿!$J$3:$J$452,$AD$3+30)&lt;2000,MATCH(SMALL(新年度名簿!$J$3:$J$452,$AD$3+30),新年度名簿!$J$3:$J$452,0),""),""),IFERROR(IF(SMALL(前年度名簿!$G$3:$G$452,$AD$3+30)&lt;2000,MATCH(SMALL(前年度名簿!$G$3:$G$452,$AD$3+30),前年度名簿!$G$3:$G$452,0),""),""))</f>
        <v/>
      </c>
      <c r="AE34" s="63">
        <f>IF(計算用!$B$1=1,IFERROR(IF(SMALL(新年度名簿!$J$3:$J$452,$AE$3+30)&lt;3000,MATCH(SMALL(新年度名簿!$J$3:$J$452,$AE$3+30),新年度名簿!$J$3:$J$452,0),""),""),IFERROR(IF(SMALL(前年度名簿!$G$3:$G$452,$AE$3+30)&lt;3000,MATCH(SMALL(前年度名簿!$G$3:$G$452,$AE$3+30),前年度名簿!$G$3:$G$452,0),""),""))</f>
        <v/>
      </c>
      <c r="AF34" s="63">
        <f>IF(計算用!$B$1=1,IFERROR(IF(SMALL(新年度名簿!$J$3:$J$452,$AF$3+30)&lt;4000,MATCH(SMALL(新年度名簿!$J$3:$J$452,$AF$3+30),新年度名簿!$J$3:$J$452,0),""),""),IFERROR(IF(SMALL(前年度名簿!$G$3:$G$452,$AF$3+30)&lt;4000,MATCH(SMALL(前年度名簿!$G$3:$G$452,$AF$3+30),前年度名簿!$G$3:$G$452,0),""),""))</f>
        <v/>
      </c>
      <c r="AG34" s="63">
        <f>IF(計算用!$B$1=1,IFERROR(IF(SMALL(新年度名簿!$J$3:$J$452,$AG$3+30)&lt;5000,MATCH(SMALL(新年度名簿!$J$3:$J$452,$AG$3+30),新年度名簿!$J$3:$J$452,0),""),""),IFERROR(IF(SMALL(前年度名簿!$G$3:$G$452,$AG$3+30)&lt;5000,MATCH(SMALL(前年度名簿!$G$3:$G$452,$AG$3+30),前年度名簿!$G$3:$G$452,0),""),""))</f>
        <v/>
      </c>
      <c r="AH34" s="63">
        <f>IF(計算用!$B$1=1,IFERROR(IF(SMALL(新年度名簿!$J$3:$J$452,$AH$3+30)&lt;6000,MATCH(SMALL(新年度名簿!$J$3:$J$452,$AH$3+30),新年度名簿!$J$3:$J$452,0),""),""),IFERROR(IF(SMALL(前年度名簿!$G$3:$G$452,$AH$3+30)&lt;6000,MATCH(SMALL(前年度名簿!$G$3:$G$452,$AH$3+30),前年度名簿!$G$3:$G$452,0),""),""))</f>
        <v/>
      </c>
      <c r="AI34" s="63">
        <f>IF(計算用!$B$1=1,IFERROR(IF(SMALL(新年度名簿!$J$3:$J$452,$AI$3+30)&lt;7000,MATCH(SMALL(新年度名簿!$J$3:$J$452,$AI$3+30),新年度名簿!$J$3:$J$452,0),""),""),IFERROR(IF(SMALL(前年度名簿!$G$3:$G$452,$AI$3+30)&lt;7000,MATCH(SMALL(前年度名簿!$G$3:$G$452,$AI$3+30),前年度名簿!$G$3:$G$452,0),""),""))</f>
        <v/>
      </c>
      <c r="AJ34" s="63">
        <f>IF(計算用!$B$1=1,IFERROR(IF(SMALL(新年度名簿!$J$3:$J$452,$AJ$3+30)&lt;8000,MATCH(SMALL(新年度名簿!$J$3:$J$452,$AJ$3+30),新年度名簿!$J$3:$J$452,0),""),""),IFERROR(IF(SMALL(前年度名簿!$G$3:$G$452,$AJ$3+30)&lt;8000,MATCH(SMALL(前年度名簿!$G$3:$G$452,$AJ$3+30),前年度名簿!$G$3:$G$452,0),""),""))</f>
        <v/>
      </c>
      <c r="AK34" s="63">
        <f>IF(計算用!$B$1=1,IFERROR(IF(SMALL(新年度名簿!$J$3:$J$452,$AK$3+30)&lt;9000,MATCH(SMALL(新年度名簿!$J$3:$J$452,$AK$3+30),新年度名簿!$J$3:$J$452,0),""),""),IFERROR(IF(SMALL(前年度名簿!$G$3:$G$452,$AK$3+30)&lt;9000,MATCH(SMALL(前年度名簿!$G$3:$G$452,$AK$3+30),前年度名簿!$G$3:$G$452,0),""),""))</f>
        <v/>
      </c>
    </row>
    <row r="35">
      <c r="A35" s="65">
        <f>IF($AD35="","",IF(計算用!$B$1=1,INDEX(新年度名簿!$C$3:$C$452,$AD35),INDEX(前年度名簿!$C$3:$C$452,$AD35)))</f>
        <v/>
      </c>
      <c r="B35" s="66">
        <f>IF($AD35="","",IF(計算用!$B$1=1,INDEX(新年度名簿!$D$3:$D$452,$AD35),INDEX(前年度名簿!$D$3:$D$452,$AD35)))</f>
        <v/>
      </c>
      <c r="C35" s="65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M$7:$M$456,MATCH($AD35,振り分け!$P$7:$P$456,0))="転出","転出",IF(INDEX(振り分け!$L$7:$L$456,MATCH($AD35,振り分け!$P$7:$P$456,0))="","未決定",INDEX(振り分け!$L$7:$L$456,MATCH($AD35,振り分け!$P$7:$P$456,0)))),"未決定")))</f>
        <v/>
      </c>
      <c r="D35" s="65">
        <f>IF($AE35="","",IF(計算用!$B$1=1,INDEX(新年度名簿!$C$3:$C$452,$AE35),INDEX(前年度名簿!$C$3:$C$452,$AE35)))</f>
        <v/>
      </c>
      <c r="E35" s="66">
        <f>IF($AE35="","",IF(計算用!$B$1=1,INDEX(新年度名簿!$D$3:$D$452,$AE35),INDEX(前年度名簿!$D$3:$D$452,$AE35)))</f>
        <v/>
      </c>
      <c r="F35" s="65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M$7:$M$456,MATCH($AE35,振り分け!$P$7:$P$456,0))="転出","転出",IF(INDEX(振り分け!$L$7:$L$456,MATCH($AE35,振り分け!$P$7:$P$456,0))="","未決定",INDEX(振り分け!$L$7:$L$456,MATCH($AE35,振り分け!$P$7:$P$456,0)))),"未決定")))</f>
        <v/>
      </c>
      <c r="G35" s="65">
        <f>IF($AF35="","",IF(計算用!$B$1=1,INDEX(新年度名簿!$C$3:$C$452,$AF35),INDEX(前年度名簿!$C$3:$C$452,$AF35)))</f>
        <v/>
      </c>
      <c r="H35" s="66">
        <f>IF($AF35="","",IF(計算用!$B$1=1,INDEX(新年度名簿!$D$3:$D$452,$AF35),INDEX(前年度名簿!$D$3:$D$452,$AF35)))</f>
        <v/>
      </c>
      <c r="I35" s="65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M$7:$M$456,MATCH($AF35,振り分け!$P$7:$P$456,0))="転出","転出",IF(INDEX(振り分け!$L$7:$L$456,MATCH($AF35,振り分け!$P$7:$P$456,0))="","未決定",INDEX(振り分け!$L$7:$L$456,MATCH($AF35,振り分け!$P$7:$P$456,0)))),"未決定")))</f>
        <v/>
      </c>
      <c r="J35" s="65">
        <f>IF($AG35="","",IF(計算用!$B$1=1,INDEX(新年度名簿!$C$3:$C$452,$AG35),INDEX(前年度名簿!$C$3:$C$452,$AG35)))</f>
        <v/>
      </c>
      <c r="K35" s="66">
        <f>IF($AG35="","",IF(計算用!$B$1=1,INDEX(新年度名簿!$D$3:$D$452,$AG35),INDEX(前年度名簿!$D$3:$D$452,$AG35)))</f>
        <v/>
      </c>
      <c r="L35" s="65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M$7:$M$456,MATCH($AG35,振り分け!$P$7:$P$456,0))="転出","転出",IF(INDEX(振り分け!$L$7:$L$456,MATCH($AG35,振り分け!$P$7:$P$456,0))="","未決定",INDEX(振り分け!$L$7:$L$456,MATCH($AG35,振り分け!$P$7:$P$456,0)))),"未決定")))</f>
        <v/>
      </c>
      <c r="M35" s="65">
        <f>IF($AH35="","",IF(計算用!$B$1=1,INDEX(新年度名簿!$C$3:$C$452,$AH35),INDEX(前年度名簿!$C$3:$C$452,$AH35)))</f>
        <v/>
      </c>
      <c r="N35" s="66">
        <f>IF($AH35="","",IF(計算用!$B$1=1,INDEX(新年度名簿!$D$3:$D$452,$AH35),INDEX(前年度名簿!$D$3:$D$452,$AH35)))</f>
        <v/>
      </c>
      <c r="O35" s="65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M$7:$M$456,MATCH($AH35,振り分け!$P$7:$P$456,0))="転出","転出",IF(INDEX(振り分け!$L$7:$L$456,MATCH($AH35,振り分け!$P$7:$P$456,0))="","未決定",INDEX(振り分け!$L$7:$L$456,MATCH($AH35,振り分け!$P$7:$P$456,0)))),"未決定")))</f>
        <v/>
      </c>
      <c r="P35" s="65">
        <f>IF($AI35="","",IF(計算用!$B$1=1,INDEX(新年度名簿!$C$3:$C$452,$AI35),INDEX(前年度名簿!$C$3:$C$452,$AI35)))</f>
        <v/>
      </c>
      <c r="Q35" s="66">
        <f>IF($AI35="","",IF(計算用!$B$1=1,INDEX(新年度名簿!$D$3:$D$452,$AI35),INDEX(前年度名簿!$D$3:$D$452,$AI35)))</f>
        <v/>
      </c>
      <c r="R35" s="65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M$7:$M$456,MATCH($AI35,振り分け!$P$7:$P$456,0))="転出","転出",IF(INDEX(振り分け!$L$7:$L$456,MATCH($AI35,振り分け!$P$7:$P$456,0))="","未決定",INDEX(振り分け!$L$7:$L$456,MATCH($AI35,振り分け!$P$7:$P$456,0)))),"未決定")))</f>
        <v/>
      </c>
      <c r="S35" s="65">
        <f>IF($AJ35="","",IF(計算用!$B$1=1,INDEX(新年度名簿!$C$3:$C$452,$AJ35),INDEX(前年度名簿!$C$3:$C$452,$AJ35)))</f>
        <v/>
      </c>
      <c r="T35" s="66">
        <f>IF($AJ35="","",IF(計算用!$B$1=1,INDEX(新年度名簿!$D$3:$D$452,$AJ35),INDEX(前年度名簿!$D$3:$D$452,$AJ35)))</f>
        <v/>
      </c>
      <c r="U35" s="65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M$7:$M$456,MATCH($AJ35,振り分け!$P$7:$P$456,0))="転出","転出",IF(INDEX(振り分け!$L$7:$L$456,MATCH($AJ35,振り分け!$P$7:$P$456,0))="","未決定",INDEX(振り分け!$L$7:$L$456,MATCH($AJ35,振り分け!$P$7:$P$456,0)))),"未決定")))</f>
        <v/>
      </c>
      <c r="V35" s="65">
        <f>IF($AK35="","",IF(計算用!$B$1=1,INDEX(新年度名簿!$C$3:$C$452,$AK35),INDEX(前年度名簿!$C$3:$C$452,$AK35)))</f>
        <v/>
      </c>
      <c r="W35" s="66">
        <f>IF($AK35="","",IF(計算用!$B$1=1,INDEX(新年度名簿!$D$3:$D$452,$AK35),INDEX(前年度名簿!$D$3:$D$452,$AK35)))</f>
        <v/>
      </c>
      <c r="X35" s="65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M$7:$M$456,MATCH($AK35,振り分け!$P$7:$P$456,0))="転出","転出",IF(INDEX(振り分け!$L$7:$L$456,MATCH($AK35,振り分け!$P$7:$P$456,0))="","未決定",INDEX(振り分け!$L$7:$L$456,MATCH($AK35,振り分け!$P$7:$P$456,0)))),"未決定")))</f>
        <v/>
      </c>
      <c r="AD35" s="63">
        <f>IF(計算用!$B$1=1,IFERROR(IF(SMALL(新年度名簿!$J$3:$J$452,$AD$3+31)&lt;2000,MATCH(SMALL(新年度名簿!$J$3:$J$452,$AD$3+31),新年度名簿!$J$3:$J$452,0),""),""),IFERROR(IF(SMALL(前年度名簿!$G$3:$G$452,$AD$3+31)&lt;2000,MATCH(SMALL(前年度名簿!$G$3:$G$452,$AD$3+31),前年度名簿!$G$3:$G$452,0),""),""))</f>
        <v/>
      </c>
      <c r="AE35" s="63">
        <f>IF(計算用!$B$1=1,IFERROR(IF(SMALL(新年度名簿!$J$3:$J$452,$AE$3+31)&lt;3000,MATCH(SMALL(新年度名簿!$J$3:$J$452,$AE$3+31),新年度名簿!$J$3:$J$452,0),""),""),IFERROR(IF(SMALL(前年度名簿!$G$3:$G$452,$AE$3+31)&lt;3000,MATCH(SMALL(前年度名簿!$G$3:$G$452,$AE$3+31),前年度名簿!$G$3:$G$452,0),""),""))</f>
        <v/>
      </c>
      <c r="AF35" s="63">
        <f>IF(計算用!$B$1=1,IFERROR(IF(SMALL(新年度名簿!$J$3:$J$452,$AF$3+31)&lt;4000,MATCH(SMALL(新年度名簿!$J$3:$J$452,$AF$3+31),新年度名簿!$J$3:$J$452,0),""),""),IFERROR(IF(SMALL(前年度名簿!$G$3:$G$452,$AF$3+31)&lt;4000,MATCH(SMALL(前年度名簿!$G$3:$G$452,$AF$3+31),前年度名簿!$G$3:$G$452,0),""),""))</f>
        <v/>
      </c>
      <c r="AG35" s="63">
        <f>IF(計算用!$B$1=1,IFERROR(IF(SMALL(新年度名簿!$J$3:$J$452,$AG$3+31)&lt;5000,MATCH(SMALL(新年度名簿!$J$3:$J$452,$AG$3+31),新年度名簿!$J$3:$J$452,0),""),""),IFERROR(IF(SMALL(前年度名簿!$G$3:$G$452,$AG$3+31)&lt;5000,MATCH(SMALL(前年度名簿!$G$3:$G$452,$AG$3+31),前年度名簿!$G$3:$G$452,0),""),""))</f>
        <v/>
      </c>
      <c r="AH35" s="63">
        <f>IF(計算用!$B$1=1,IFERROR(IF(SMALL(新年度名簿!$J$3:$J$452,$AH$3+31)&lt;6000,MATCH(SMALL(新年度名簿!$J$3:$J$452,$AH$3+31),新年度名簿!$J$3:$J$452,0),""),""),IFERROR(IF(SMALL(前年度名簿!$G$3:$G$452,$AH$3+31)&lt;6000,MATCH(SMALL(前年度名簿!$G$3:$G$452,$AH$3+31),前年度名簿!$G$3:$G$452,0),""),""))</f>
        <v/>
      </c>
      <c r="AI35" s="63">
        <f>IF(計算用!$B$1=1,IFERROR(IF(SMALL(新年度名簿!$J$3:$J$452,$AI$3+31)&lt;7000,MATCH(SMALL(新年度名簿!$J$3:$J$452,$AI$3+31),新年度名簿!$J$3:$J$452,0),""),""),IFERROR(IF(SMALL(前年度名簿!$G$3:$G$452,$AI$3+31)&lt;7000,MATCH(SMALL(前年度名簿!$G$3:$G$452,$AI$3+31),前年度名簿!$G$3:$G$452,0),""),""))</f>
        <v/>
      </c>
      <c r="AJ35" s="63">
        <f>IF(計算用!$B$1=1,IFERROR(IF(SMALL(新年度名簿!$J$3:$J$452,$AJ$3+31)&lt;8000,MATCH(SMALL(新年度名簿!$J$3:$J$452,$AJ$3+31),新年度名簿!$J$3:$J$452,0),""),""),IFERROR(IF(SMALL(前年度名簿!$G$3:$G$452,$AJ$3+31)&lt;8000,MATCH(SMALL(前年度名簿!$G$3:$G$452,$AJ$3+31),前年度名簿!$G$3:$G$452,0),""),""))</f>
        <v/>
      </c>
      <c r="AK35" s="63">
        <f>IF(計算用!$B$1=1,IFERROR(IF(SMALL(新年度名簿!$J$3:$J$452,$AK$3+31)&lt;9000,MATCH(SMALL(新年度名簿!$J$3:$J$452,$AK$3+31),新年度名簿!$J$3:$J$452,0),""),""),IFERROR(IF(SMALL(前年度名簿!$G$3:$G$452,$AK$3+31)&lt;9000,MATCH(SMALL(前年度名簿!$G$3:$G$452,$AK$3+31),前年度名簿!$G$3:$G$452,0),""),""))</f>
        <v/>
      </c>
    </row>
    <row r="36">
      <c r="A36" s="65">
        <f>IF($AD36="","",IF(計算用!$B$1=1,INDEX(新年度名簿!$C$3:$C$452,$AD36),INDEX(前年度名簿!$C$3:$C$452,$AD36)))</f>
        <v/>
      </c>
      <c r="B36" s="66">
        <f>IF($AD36="","",IF(計算用!$B$1=1,INDEX(新年度名簿!$D$3:$D$452,$AD36),INDEX(前年度名簿!$D$3:$D$452,$AD36)))</f>
        <v/>
      </c>
      <c r="C36" s="65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M$7:$M$456,MATCH($AD36,振り分け!$P$7:$P$456,0))="転出","転出",IF(INDEX(振り分け!$L$7:$L$456,MATCH($AD36,振り分け!$P$7:$P$456,0))="","未決定",INDEX(振り分け!$L$7:$L$456,MATCH($AD36,振り分け!$P$7:$P$456,0)))),"未決定")))</f>
        <v/>
      </c>
      <c r="D36" s="65">
        <f>IF($AE36="","",IF(計算用!$B$1=1,INDEX(新年度名簿!$C$3:$C$452,$AE36),INDEX(前年度名簿!$C$3:$C$452,$AE36)))</f>
        <v/>
      </c>
      <c r="E36" s="66">
        <f>IF($AE36="","",IF(計算用!$B$1=1,INDEX(新年度名簿!$D$3:$D$452,$AE36),INDEX(前年度名簿!$D$3:$D$452,$AE36)))</f>
        <v/>
      </c>
      <c r="F36" s="65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M$7:$M$456,MATCH($AE36,振り分け!$P$7:$P$456,0))="転出","転出",IF(INDEX(振り分け!$L$7:$L$456,MATCH($AE36,振り分け!$P$7:$P$456,0))="","未決定",INDEX(振り分け!$L$7:$L$456,MATCH($AE36,振り分け!$P$7:$P$456,0)))),"未決定")))</f>
        <v/>
      </c>
      <c r="G36" s="65">
        <f>IF($AF36="","",IF(計算用!$B$1=1,INDEX(新年度名簿!$C$3:$C$452,$AF36),INDEX(前年度名簿!$C$3:$C$452,$AF36)))</f>
        <v/>
      </c>
      <c r="H36" s="66">
        <f>IF($AF36="","",IF(計算用!$B$1=1,INDEX(新年度名簿!$D$3:$D$452,$AF36),INDEX(前年度名簿!$D$3:$D$452,$AF36)))</f>
        <v/>
      </c>
      <c r="I36" s="65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M$7:$M$456,MATCH($AF36,振り分け!$P$7:$P$456,0))="転出","転出",IF(INDEX(振り分け!$L$7:$L$456,MATCH($AF36,振り分け!$P$7:$P$456,0))="","未決定",INDEX(振り分け!$L$7:$L$456,MATCH($AF36,振り分け!$P$7:$P$456,0)))),"未決定")))</f>
        <v/>
      </c>
      <c r="J36" s="65">
        <f>IF($AG36="","",IF(計算用!$B$1=1,INDEX(新年度名簿!$C$3:$C$452,$AG36),INDEX(前年度名簿!$C$3:$C$452,$AG36)))</f>
        <v/>
      </c>
      <c r="K36" s="66">
        <f>IF($AG36="","",IF(計算用!$B$1=1,INDEX(新年度名簿!$D$3:$D$452,$AG36),INDEX(前年度名簿!$D$3:$D$452,$AG36)))</f>
        <v/>
      </c>
      <c r="L36" s="65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M$7:$M$456,MATCH($AG36,振り分け!$P$7:$P$456,0))="転出","転出",IF(INDEX(振り分け!$L$7:$L$456,MATCH($AG36,振り分け!$P$7:$P$456,0))="","未決定",INDEX(振り分け!$L$7:$L$456,MATCH($AG36,振り分け!$P$7:$P$456,0)))),"未決定")))</f>
        <v/>
      </c>
      <c r="M36" s="65">
        <f>IF($AH36="","",IF(計算用!$B$1=1,INDEX(新年度名簿!$C$3:$C$452,$AH36),INDEX(前年度名簿!$C$3:$C$452,$AH36)))</f>
        <v/>
      </c>
      <c r="N36" s="66">
        <f>IF($AH36="","",IF(計算用!$B$1=1,INDEX(新年度名簿!$D$3:$D$452,$AH36),INDEX(前年度名簿!$D$3:$D$452,$AH36)))</f>
        <v/>
      </c>
      <c r="O36" s="65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M$7:$M$456,MATCH($AH36,振り分け!$P$7:$P$456,0))="転出","転出",IF(INDEX(振り分け!$L$7:$L$456,MATCH($AH36,振り分け!$P$7:$P$456,0))="","未決定",INDEX(振り分け!$L$7:$L$456,MATCH($AH36,振り分け!$P$7:$P$456,0)))),"未決定")))</f>
        <v/>
      </c>
      <c r="P36" s="65">
        <f>IF($AI36="","",IF(計算用!$B$1=1,INDEX(新年度名簿!$C$3:$C$452,$AI36),INDEX(前年度名簿!$C$3:$C$452,$AI36)))</f>
        <v/>
      </c>
      <c r="Q36" s="66">
        <f>IF($AI36="","",IF(計算用!$B$1=1,INDEX(新年度名簿!$D$3:$D$452,$AI36),INDEX(前年度名簿!$D$3:$D$452,$AI36)))</f>
        <v/>
      </c>
      <c r="R36" s="65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M$7:$M$456,MATCH($AI36,振り分け!$P$7:$P$456,0))="転出","転出",IF(INDEX(振り分け!$L$7:$L$456,MATCH($AI36,振り分け!$P$7:$P$456,0))="","未決定",INDEX(振り分け!$L$7:$L$456,MATCH($AI36,振り分け!$P$7:$P$456,0)))),"未決定")))</f>
        <v/>
      </c>
      <c r="S36" s="65">
        <f>IF($AJ36="","",IF(計算用!$B$1=1,INDEX(新年度名簿!$C$3:$C$452,$AJ36),INDEX(前年度名簿!$C$3:$C$452,$AJ36)))</f>
        <v/>
      </c>
      <c r="T36" s="66">
        <f>IF($AJ36="","",IF(計算用!$B$1=1,INDEX(新年度名簿!$D$3:$D$452,$AJ36),INDEX(前年度名簿!$D$3:$D$452,$AJ36)))</f>
        <v/>
      </c>
      <c r="U36" s="65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M$7:$M$456,MATCH($AJ36,振り分け!$P$7:$P$456,0))="転出","転出",IF(INDEX(振り分け!$L$7:$L$456,MATCH($AJ36,振り分け!$P$7:$P$456,0))="","未決定",INDEX(振り分け!$L$7:$L$456,MATCH($AJ36,振り分け!$P$7:$P$456,0)))),"未決定")))</f>
        <v/>
      </c>
      <c r="V36" s="65">
        <f>IF($AK36="","",IF(計算用!$B$1=1,INDEX(新年度名簿!$C$3:$C$452,$AK36),INDEX(前年度名簿!$C$3:$C$452,$AK36)))</f>
        <v/>
      </c>
      <c r="W36" s="66">
        <f>IF($AK36="","",IF(計算用!$B$1=1,INDEX(新年度名簿!$D$3:$D$452,$AK36),INDEX(前年度名簿!$D$3:$D$452,$AK36)))</f>
        <v/>
      </c>
      <c r="X36" s="65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M$7:$M$456,MATCH($AK36,振り分け!$P$7:$P$456,0))="転出","転出",IF(INDEX(振り分け!$L$7:$L$456,MATCH($AK36,振り分け!$P$7:$P$456,0))="","未決定",INDEX(振り分け!$L$7:$L$456,MATCH($AK36,振り分け!$P$7:$P$456,0)))),"未決定")))</f>
        <v/>
      </c>
      <c r="AD36" s="63">
        <f>IF(計算用!$B$1=1,IFERROR(IF(SMALL(新年度名簿!$J$3:$J$452,$AD$3+32)&lt;2000,MATCH(SMALL(新年度名簿!$J$3:$J$452,$AD$3+32),新年度名簿!$J$3:$J$452,0),""),""),IFERROR(IF(SMALL(前年度名簿!$G$3:$G$452,$AD$3+32)&lt;2000,MATCH(SMALL(前年度名簿!$G$3:$G$452,$AD$3+32),前年度名簿!$G$3:$G$452,0),""),""))</f>
        <v/>
      </c>
      <c r="AE36" s="63">
        <f>IF(計算用!$B$1=1,IFERROR(IF(SMALL(新年度名簿!$J$3:$J$452,$AE$3+32)&lt;3000,MATCH(SMALL(新年度名簿!$J$3:$J$452,$AE$3+32),新年度名簿!$J$3:$J$452,0),""),""),IFERROR(IF(SMALL(前年度名簿!$G$3:$G$452,$AE$3+32)&lt;3000,MATCH(SMALL(前年度名簿!$G$3:$G$452,$AE$3+32),前年度名簿!$G$3:$G$452,0),""),""))</f>
        <v/>
      </c>
      <c r="AF36" s="63">
        <f>IF(計算用!$B$1=1,IFERROR(IF(SMALL(新年度名簿!$J$3:$J$452,$AF$3+32)&lt;4000,MATCH(SMALL(新年度名簿!$J$3:$J$452,$AF$3+32),新年度名簿!$J$3:$J$452,0),""),""),IFERROR(IF(SMALL(前年度名簿!$G$3:$G$452,$AF$3+32)&lt;4000,MATCH(SMALL(前年度名簿!$G$3:$G$452,$AF$3+32),前年度名簿!$G$3:$G$452,0),""),""))</f>
        <v/>
      </c>
      <c r="AG36" s="63">
        <f>IF(計算用!$B$1=1,IFERROR(IF(SMALL(新年度名簿!$J$3:$J$452,$AG$3+32)&lt;5000,MATCH(SMALL(新年度名簿!$J$3:$J$452,$AG$3+32),新年度名簿!$J$3:$J$452,0),""),""),IFERROR(IF(SMALL(前年度名簿!$G$3:$G$452,$AG$3+32)&lt;5000,MATCH(SMALL(前年度名簿!$G$3:$G$452,$AG$3+32),前年度名簿!$G$3:$G$452,0),""),""))</f>
        <v/>
      </c>
      <c r="AH36" s="63">
        <f>IF(計算用!$B$1=1,IFERROR(IF(SMALL(新年度名簿!$J$3:$J$452,$AH$3+32)&lt;6000,MATCH(SMALL(新年度名簿!$J$3:$J$452,$AH$3+32),新年度名簿!$J$3:$J$452,0),""),""),IFERROR(IF(SMALL(前年度名簿!$G$3:$G$452,$AH$3+32)&lt;6000,MATCH(SMALL(前年度名簿!$G$3:$G$452,$AH$3+32),前年度名簿!$G$3:$G$452,0),""),""))</f>
        <v/>
      </c>
      <c r="AI36" s="63">
        <f>IF(計算用!$B$1=1,IFERROR(IF(SMALL(新年度名簿!$J$3:$J$452,$AI$3+32)&lt;7000,MATCH(SMALL(新年度名簿!$J$3:$J$452,$AI$3+32),新年度名簿!$J$3:$J$452,0),""),""),IFERROR(IF(SMALL(前年度名簿!$G$3:$G$452,$AI$3+32)&lt;7000,MATCH(SMALL(前年度名簿!$G$3:$G$452,$AI$3+32),前年度名簿!$G$3:$G$452,0),""),""))</f>
        <v/>
      </c>
      <c r="AJ36" s="63">
        <f>IF(計算用!$B$1=1,IFERROR(IF(SMALL(新年度名簿!$J$3:$J$452,$AJ$3+32)&lt;8000,MATCH(SMALL(新年度名簿!$J$3:$J$452,$AJ$3+32),新年度名簿!$J$3:$J$452,0),""),""),IFERROR(IF(SMALL(前年度名簿!$G$3:$G$452,$AJ$3+32)&lt;8000,MATCH(SMALL(前年度名簿!$G$3:$G$452,$AJ$3+32),前年度名簿!$G$3:$G$452,0),""),""))</f>
        <v/>
      </c>
      <c r="AK36" s="63">
        <f>IF(計算用!$B$1=1,IFERROR(IF(SMALL(新年度名簿!$J$3:$J$452,$AK$3+32)&lt;9000,MATCH(SMALL(新年度名簿!$J$3:$J$452,$AK$3+32),新年度名簿!$J$3:$J$452,0),""),""),IFERROR(IF(SMALL(前年度名簿!$G$3:$G$452,$AK$3+32)&lt;9000,MATCH(SMALL(前年度名簿!$G$3:$G$452,$AK$3+32),前年度名簿!$G$3:$G$452,0),""),""))</f>
        <v/>
      </c>
    </row>
    <row r="37">
      <c r="A37" s="65">
        <f>IF($AD37="","",IF(計算用!$B$1=1,INDEX(新年度名簿!$C$3:$C$452,$AD37),INDEX(前年度名簿!$C$3:$C$452,$AD37)))</f>
        <v/>
      </c>
      <c r="B37" s="66">
        <f>IF($AD37="","",IF(計算用!$B$1=1,INDEX(新年度名簿!$D$3:$D$452,$AD37),INDEX(前年度名簿!$D$3:$D$452,$AD37)))</f>
        <v/>
      </c>
      <c r="C37" s="65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M$7:$M$456,MATCH($AD37,振り分け!$P$7:$P$456,0))="転出","転出",IF(INDEX(振り分け!$L$7:$L$456,MATCH($AD37,振り分け!$P$7:$P$456,0))="","未決定",INDEX(振り分け!$L$7:$L$456,MATCH($AD37,振り分け!$P$7:$P$456,0)))),"未決定")))</f>
        <v/>
      </c>
      <c r="D37" s="65">
        <f>IF($AE37="","",IF(計算用!$B$1=1,INDEX(新年度名簿!$C$3:$C$452,$AE37),INDEX(前年度名簿!$C$3:$C$452,$AE37)))</f>
        <v/>
      </c>
      <c r="E37" s="66">
        <f>IF($AE37="","",IF(計算用!$B$1=1,INDEX(新年度名簿!$D$3:$D$452,$AE37),INDEX(前年度名簿!$D$3:$D$452,$AE37)))</f>
        <v/>
      </c>
      <c r="F37" s="65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M$7:$M$456,MATCH($AE37,振り分け!$P$7:$P$456,0))="転出","転出",IF(INDEX(振り分け!$L$7:$L$456,MATCH($AE37,振り分け!$P$7:$P$456,0))="","未決定",INDEX(振り分け!$L$7:$L$456,MATCH($AE37,振り分け!$P$7:$P$456,0)))),"未決定")))</f>
        <v/>
      </c>
      <c r="G37" s="65">
        <f>IF($AF37="","",IF(計算用!$B$1=1,INDEX(新年度名簿!$C$3:$C$452,$AF37),INDEX(前年度名簿!$C$3:$C$452,$AF37)))</f>
        <v/>
      </c>
      <c r="H37" s="66">
        <f>IF($AF37="","",IF(計算用!$B$1=1,INDEX(新年度名簿!$D$3:$D$452,$AF37),INDEX(前年度名簿!$D$3:$D$452,$AF37)))</f>
        <v/>
      </c>
      <c r="I37" s="65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M$7:$M$456,MATCH($AF37,振り分け!$P$7:$P$456,0))="転出","転出",IF(INDEX(振り分け!$L$7:$L$456,MATCH($AF37,振り分け!$P$7:$P$456,0))="","未決定",INDEX(振り分け!$L$7:$L$456,MATCH($AF37,振り分け!$P$7:$P$456,0)))),"未決定")))</f>
        <v/>
      </c>
      <c r="J37" s="65">
        <f>IF($AG37="","",IF(計算用!$B$1=1,INDEX(新年度名簿!$C$3:$C$452,$AG37),INDEX(前年度名簿!$C$3:$C$452,$AG37)))</f>
        <v/>
      </c>
      <c r="K37" s="66">
        <f>IF($AG37="","",IF(計算用!$B$1=1,INDEX(新年度名簿!$D$3:$D$452,$AG37),INDEX(前年度名簿!$D$3:$D$452,$AG37)))</f>
        <v/>
      </c>
      <c r="L37" s="65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M$7:$M$456,MATCH($AG37,振り分け!$P$7:$P$456,0))="転出","転出",IF(INDEX(振り分け!$L$7:$L$456,MATCH($AG37,振り分け!$P$7:$P$456,0))="","未決定",INDEX(振り分け!$L$7:$L$456,MATCH($AG37,振り分け!$P$7:$P$456,0)))),"未決定")))</f>
        <v/>
      </c>
      <c r="M37" s="65">
        <f>IF($AH37="","",IF(計算用!$B$1=1,INDEX(新年度名簿!$C$3:$C$452,$AH37),INDEX(前年度名簿!$C$3:$C$452,$AH37)))</f>
        <v/>
      </c>
      <c r="N37" s="66">
        <f>IF($AH37="","",IF(計算用!$B$1=1,INDEX(新年度名簿!$D$3:$D$452,$AH37),INDEX(前年度名簿!$D$3:$D$452,$AH37)))</f>
        <v/>
      </c>
      <c r="O37" s="65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M$7:$M$456,MATCH($AH37,振り分け!$P$7:$P$456,0))="転出","転出",IF(INDEX(振り分け!$L$7:$L$456,MATCH($AH37,振り分け!$P$7:$P$456,0))="","未決定",INDEX(振り分け!$L$7:$L$456,MATCH($AH37,振り分け!$P$7:$P$456,0)))),"未決定")))</f>
        <v/>
      </c>
      <c r="P37" s="65">
        <f>IF($AI37="","",IF(計算用!$B$1=1,INDEX(新年度名簿!$C$3:$C$452,$AI37),INDEX(前年度名簿!$C$3:$C$452,$AI37)))</f>
        <v/>
      </c>
      <c r="Q37" s="66">
        <f>IF($AI37="","",IF(計算用!$B$1=1,INDEX(新年度名簿!$D$3:$D$452,$AI37),INDEX(前年度名簿!$D$3:$D$452,$AI37)))</f>
        <v/>
      </c>
      <c r="R37" s="65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M$7:$M$456,MATCH($AI37,振り分け!$P$7:$P$456,0))="転出","転出",IF(INDEX(振り分け!$L$7:$L$456,MATCH($AI37,振り分け!$P$7:$P$456,0))="","未決定",INDEX(振り分け!$L$7:$L$456,MATCH($AI37,振り分け!$P$7:$P$456,0)))),"未決定")))</f>
        <v/>
      </c>
      <c r="S37" s="65">
        <f>IF($AJ37="","",IF(計算用!$B$1=1,INDEX(新年度名簿!$C$3:$C$452,$AJ37),INDEX(前年度名簿!$C$3:$C$452,$AJ37)))</f>
        <v/>
      </c>
      <c r="T37" s="66">
        <f>IF($AJ37="","",IF(計算用!$B$1=1,INDEX(新年度名簿!$D$3:$D$452,$AJ37),INDEX(前年度名簿!$D$3:$D$452,$AJ37)))</f>
        <v/>
      </c>
      <c r="U37" s="65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M$7:$M$456,MATCH($AJ37,振り分け!$P$7:$P$456,0))="転出","転出",IF(INDEX(振り分け!$L$7:$L$456,MATCH($AJ37,振り分け!$P$7:$P$456,0))="","未決定",INDEX(振り分け!$L$7:$L$456,MATCH($AJ37,振り分け!$P$7:$P$456,0)))),"未決定")))</f>
        <v/>
      </c>
      <c r="V37" s="65">
        <f>IF($AK37="","",IF(計算用!$B$1=1,INDEX(新年度名簿!$C$3:$C$452,$AK37),INDEX(前年度名簿!$C$3:$C$452,$AK37)))</f>
        <v/>
      </c>
      <c r="W37" s="66">
        <f>IF($AK37="","",IF(計算用!$B$1=1,INDEX(新年度名簿!$D$3:$D$452,$AK37),INDEX(前年度名簿!$D$3:$D$452,$AK37)))</f>
        <v/>
      </c>
      <c r="X37" s="65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M$7:$M$456,MATCH($AK37,振り分け!$P$7:$P$456,0))="転出","転出",IF(INDEX(振り分け!$L$7:$L$456,MATCH($AK37,振り分け!$P$7:$P$456,0))="","未決定",INDEX(振り分け!$L$7:$L$456,MATCH($AK37,振り分け!$P$7:$P$456,0)))),"未決定")))</f>
        <v/>
      </c>
      <c r="AD37" s="63">
        <f>IF(計算用!$B$1=1,IFERROR(IF(SMALL(新年度名簿!$J$3:$J$452,$AD$3+33)&lt;2000,MATCH(SMALL(新年度名簿!$J$3:$J$452,$AD$3+33),新年度名簿!$J$3:$J$452,0),""),""),IFERROR(IF(SMALL(前年度名簿!$G$3:$G$452,$AD$3+33)&lt;2000,MATCH(SMALL(前年度名簿!$G$3:$G$452,$AD$3+33),前年度名簿!$G$3:$G$452,0),""),""))</f>
        <v/>
      </c>
      <c r="AE37" s="63">
        <f>IF(計算用!$B$1=1,IFERROR(IF(SMALL(新年度名簿!$J$3:$J$452,$AE$3+33)&lt;3000,MATCH(SMALL(新年度名簿!$J$3:$J$452,$AE$3+33),新年度名簿!$J$3:$J$452,0),""),""),IFERROR(IF(SMALL(前年度名簿!$G$3:$G$452,$AE$3+33)&lt;3000,MATCH(SMALL(前年度名簿!$G$3:$G$452,$AE$3+33),前年度名簿!$G$3:$G$452,0),""),""))</f>
        <v/>
      </c>
      <c r="AF37" s="63">
        <f>IF(計算用!$B$1=1,IFERROR(IF(SMALL(新年度名簿!$J$3:$J$452,$AF$3+33)&lt;4000,MATCH(SMALL(新年度名簿!$J$3:$J$452,$AF$3+33),新年度名簿!$J$3:$J$452,0),""),""),IFERROR(IF(SMALL(前年度名簿!$G$3:$G$452,$AF$3+33)&lt;4000,MATCH(SMALL(前年度名簿!$G$3:$G$452,$AF$3+33),前年度名簿!$G$3:$G$452,0),""),""))</f>
        <v/>
      </c>
      <c r="AG37" s="63">
        <f>IF(計算用!$B$1=1,IFERROR(IF(SMALL(新年度名簿!$J$3:$J$452,$AG$3+33)&lt;5000,MATCH(SMALL(新年度名簿!$J$3:$J$452,$AG$3+33),新年度名簿!$J$3:$J$452,0),""),""),IFERROR(IF(SMALL(前年度名簿!$G$3:$G$452,$AG$3+33)&lt;5000,MATCH(SMALL(前年度名簿!$G$3:$G$452,$AG$3+33),前年度名簿!$G$3:$G$452,0),""),""))</f>
        <v/>
      </c>
      <c r="AH37" s="63">
        <f>IF(計算用!$B$1=1,IFERROR(IF(SMALL(新年度名簿!$J$3:$J$452,$AH$3+33)&lt;6000,MATCH(SMALL(新年度名簿!$J$3:$J$452,$AH$3+33),新年度名簿!$J$3:$J$452,0),""),""),IFERROR(IF(SMALL(前年度名簿!$G$3:$G$452,$AH$3+33)&lt;6000,MATCH(SMALL(前年度名簿!$G$3:$G$452,$AH$3+33),前年度名簿!$G$3:$G$452,0),""),""))</f>
        <v/>
      </c>
      <c r="AI37" s="63">
        <f>IF(計算用!$B$1=1,IFERROR(IF(SMALL(新年度名簿!$J$3:$J$452,$AI$3+33)&lt;7000,MATCH(SMALL(新年度名簿!$J$3:$J$452,$AI$3+33),新年度名簿!$J$3:$J$452,0),""),""),IFERROR(IF(SMALL(前年度名簿!$G$3:$G$452,$AI$3+33)&lt;7000,MATCH(SMALL(前年度名簿!$G$3:$G$452,$AI$3+33),前年度名簿!$G$3:$G$452,0),""),""))</f>
        <v/>
      </c>
      <c r="AJ37" s="63">
        <f>IF(計算用!$B$1=1,IFERROR(IF(SMALL(新年度名簿!$J$3:$J$452,$AJ$3+33)&lt;8000,MATCH(SMALL(新年度名簿!$J$3:$J$452,$AJ$3+33),新年度名簿!$J$3:$J$452,0),""),""),IFERROR(IF(SMALL(前年度名簿!$G$3:$G$452,$AJ$3+33)&lt;8000,MATCH(SMALL(前年度名簿!$G$3:$G$452,$AJ$3+33),前年度名簿!$G$3:$G$452,0),""),""))</f>
        <v/>
      </c>
      <c r="AK37" s="63">
        <f>IF(計算用!$B$1=1,IFERROR(IF(SMALL(新年度名簿!$J$3:$J$452,$AK$3+33)&lt;9000,MATCH(SMALL(新年度名簿!$J$3:$J$452,$AK$3+33),新年度名簿!$J$3:$J$452,0),""),""),IFERROR(IF(SMALL(前年度名簿!$G$3:$G$452,$AK$3+33)&lt;9000,MATCH(SMALL(前年度名簿!$G$3:$G$452,$AK$3+33),前年度名簿!$G$3:$G$452,0),""),""))</f>
        <v/>
      </c>
    </row>
    <row r="38">
      <c r="A38" s="65">
        <f>IF($AD38="","",IF(計算用!$B$1=1,INDEX(新年度名簿!$C$3:$C$452,$AD38),INDEX(前年度名簿!$C$3:$C$452,$AD38)))</f>
        <v/>
      </c>
      <c r="B38" s="66">
        <f>IF($AD38="","",IF(計算用!$B$1=1,INDEX(新年度名簿!$D$3:$D$452,$AD38),INDEX(前年度名簿!$D$3:$D$452,$AD38)))</f>
        <v/>
      </c>
      <c r="C38" s="65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M$7:$M$456,MATCH($AD38,振り分け!$P$7:$P$456,0))="転出","転出",IF(INDEX(振り分け!$L$7:$L$456,MATCH($AD38,振り分け!$P$7:$P$456,0))="","未決定",INDEX(振り分け!$L$7:$L$456,MATCH($AD38,振り分け!$P$7:$P$456,0)))),"未決定")))</f>
        <v/>
      </c>
      <c r="D38" s="65">
        <f>IF($AE38="","",IF(計算用!$B$1=1,INDEX(新年度名簿!$C$3:$C$452,$AE38),INDEX(前年度名簿!$C$3:$C$452,$AE38)))</f>
        <v/>
      </c>
      <c r="E38" s="66">
        <f>IF($AE38="","",IF(計算用!$B$1=1,INDEX(新年度名簿!$D$3:$D$452,$AE38),INDEX(前年度名簿!$D$3:$D$452,$AE38)))</f>
        <v/>
      </c>
      <c r="F38" s="65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M$7:$M$456,MATCH($AE38,振り分け!$P$7:$P$456,0))="転出","転出",IF(INDEX(振り分け!$L$7:$L$456,MATCH($AE38,振り分け!$P$7:$P$456,0))="","未決定",INDEX(振り分け!$L$7:$L$456,MATCH($AE38,振り分け!$P$7:$P$456,0)))),"未決定")))</f>
        <v/>
      </c>
      <c r="G38" s="65">
        <f>IF($AF38="","",IF(計算用!$B$1=1,INDEX(新年度名簿!$C$3:$C$452,$AF38),INDEX(前年度名簿!$C$3:$C$452,$AF38)))</f>
        <v/>
      </c>
      <c r="H38" s="66">
        <f>IF($AF38="","",IF(計算用!$B$1=1,INDEX(新年度名簿!$D$3:$D$452,$AF38),INDEX(前年度名簿!$D$3:$D$452,$AF38)))</f>
        <v/>
      </c>
      <c r="I38" s="65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M$7:$M$456,MATCH($AF38,振り分け!$P$7:$P$456,0))="転出","転出",IF(INDEX(振り分け!$L$7:$L$456,MATCH($AF38,振り分け!$P$7:$P$456,0))="","未決定",INDEX(振り分け!$L$7:$L$456,MATCH($AF38,振り分け!$P$7:$P$456,0)))),"未決定")))</f>
        <v/>
      </c>
      <c r="J38" s="65">
        <f>IF($AG38="","",IF(計算用!$B$1=1,INDEX(新年度名簿!$C$3:$C$452,$AG38),INDEX(前年度名簿!$C$3:$C$452,$AG38)))</f>
        <v/>
      </c>
      <c r="K38" s="66">
        <f>IF($AG38="","",IF(計算用!$B$1=1,INDEX(新年度名簿!$D$3:$D$452,$AG38),INDEX(前年度名簿!$D$3:$D$452,$AG38)))</f>
        <v/>
      </c>
      <c r="L38" s="65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M$7:$M$456,MATCH($AG38,振り分け!$P$7:$P$456,0))="転出","転出",IF(INDEX(振り分け!$L$7:$L$456,MATCH($AG38,振り分け!$P$7:$P$456,0))="","未決定",INDEX(振り分け!$L$7:$L$456,MATCH($AG38,振り分け!$P$7:$P$456,0)))),"未決定")))</f>
        <v/>
      </c>
      <c r="M38" s="65">
        <f>IF($AH38="","",IF(計算用!$B$1=1,INDEX(新年度名簿!$C$3:$C$452,$AH38),INDEX(前年度名簿!$C$3:$C$452,$AH38)))</f>
        <v/>
      </c>
      <c r="N38" s="66">
        <f>IF($AH38="","",IF(計算用!$B$1=1,INDEX(新年度名簿!$D$3:$D$452,$AH38),INDEX(前年度名簿!$D$3:$D$452,$AH38)))</f>
        <v/>
      </c>
      <c r="O38" s="65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M$7:$M$456,MATCH($AH38,振り分け!$P$7:$P$456,0))="転出","転出",IF(INDEX(振り分け!$L$7:$L$456,MATCH($AH38,振り分け!$P$7:$P$456,0))="","未決定",INDEX(振り分け!$L$7:$L$456,MATCH($AH38,振り分け!$P$7:$P$456,0)))),"未決定")))</f>
        <v/>
      </c>
      <c r="P38" s="65">
        <f>IF($AI38="","",IF(計算用!$B$1=1,INDEX(新年度名簿!$C$3:$C$452,$AI38),INDEX(前年度名簿!$C$3:$C$452,$AI38)))</f>
        <v/>
      </c>
      <c r="Q38" s="66">
        <f>IF($AI38="","",IF(計算用!$B$1=1,INDEX(新年度名簿!$D$3:$D$452,$AI38),INDEX(前年度名簿!$D$3:$D$452,$AI38)))</f>
        <v/>
      </c>
      <c r="R38" s="65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M$7:$M$456,MATCH($AI38,振り分け!$P$7:$P$456,0))="転出","転出",IF(INDEX(振り分け!$L$7:$L$456,MATCH($AI38,振り分け!$P$7:$P$456,0))="","未決定",INDEX(振り分け!$L$7:$L$456,MATCH($AI38,振り分け!$P$7:$P$456,0)))),"未決定")))</f>
        <v/>
      </c>
      <c r="S38" s="65">
        <f>IF($AJ38="","",IF(計算用!$B$1=1,INDEX(新年度名簿!$C$3:$C$452,$AJ38),INDEX(前年度名簿!$C$3:$C$452,$AJ38)))</f>
        <v/>
      </c>
      <c r="T38" s="66">
        <f>IF($AJ38="","",IF(計算用!$B$1=1,INDEX(新年度名簿!$D$3:$D$452,$AJ38),INDEX(前年度名簿!$D$3:$D$452,$AJ38)))</f>
        <v/>
      </c>
      <c r="U38" s="65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M$7:$M$456,MATCH($AJ38,振り分け!$P$7:$P$456,0))="転出","転出",IF(INDEX(振り分け!$L$7:$L$456,MATCH($AJ38,振り分け!$P$7:$P$456,0))="","未決定",INDEX(振り分け!$L$7:$L$456,MATCH($AJ38,振り分け!$P$7:$P$456,0)))),"未決定")))</f>
        <v/>
      </c>
      <c r="V38" s="65">
        <f>IF($AK38="","",IF(計算用!$B$1=1,INDEX(新年度名簿!$C$3:$C$452,$AK38),INDEX(前年度名簿!$C$3:$C$452,$AK38)))</f>
        <v/>
      </c>
      <c r="W38" s="66">
        <f>IF($AK38="","",IF(計算用!$B$1=1,INDEX(新年度名簿!$D$3:$D$452,$AK38),INDEX(前年度名簿!$D$3:$D$452,$AK38)))</f>
        <v/>
      </c>
      <c r="X38" s="65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M$7:$M$456,MATCH($AK38,振り分け!$P$7:$P$456,0))="転出","転出",IF(INDEX(振り分け!$L$7:$L$456,MATCH($AK38,振り分け!$P$7:$P$456,0))="","未決定",INDEX(振り分け!$L$7:$L$456,MATCH($AK38,振り分け!$P$7:$P$456,0)))),"未決定")))</f>
        <v/>
      </c>
      <c r="AD38" s="63">
        <f>IF(計算用!$B$1=1,IFERROR(IF(SMALL(新年度名簿!$J$3:$J$452,$AD$3+34)&lt;2000,MATCH(SMALL(新年度名簿!$J$3:$J$452,$AD$3+34),新年度名簿!$J$3:$J$452,0),""),""),IFERROR(IF(SMALL(前年度名簿!$G$3:$G$452,$AD$3+34)&lt;2000,MATCH(SMALL(前年度名簿!$G$3:$G$452,$AD$3+34),前年度名簿!$G$3:$G$452,0),""),""))</f>
        <v/>
      </c>
      <c r="AE38" s="63">
        <f>IF(計算用!$B$1=1,IFERROR(IF(SMALL(新年度名簿!$J$3:$J$452,$AE$3+34)&lt;3000,MATCH(SMALL(新年度名簿!$J$3:$J$452,$AE$3+34),新年度名簿!$J$3:$J$452,0),""),""),IFERROR(IF(SMALL(前年度名簿!$G$3:$G$452,$AE$3+34)&lt;3000,MATCH(SMALL(前年度名簿!$G$3:$G$452,$AE$3+34),前年度名簿!$G$3:$G$452,0),""),""))</f>
        <v/>
      </c>
      <c r="AF38" s="63">
        <f>IF(計算用!$B$1=1,IFERROR(IF(SMALL(新年度名簿!$J$3:$J$452,$AF$3+34)&lt;4000,MATCH(SMALL(新年度名簿!$J$3:$J$452,$AF$3+34),新年度名簿!$J$3:$J$452,0),""),""),IFERROR(IF(SMALL(前年度名簿!$G$3:$G$452,$AF$3+34)&lt;4000,MATCH(SMALL(前年度名簿!$G$3:$G$452,$AF$3+34),前年度名簿!$G$3:$G$452,0),""),""))</f>
        <v/>
      </c>
      <c r="AG38" s="63">
        <f>IF(計算用!$B$1=1,IFERROR(IF(SMALL(新年度名簿!$J$3:$J$452,$AG$3+34)&lt;5000,MATCH(SMALL(新年度名簿!$J$3:$J$452,$AG$3+34),新年度名簿!$J$3:$J$452,0),""),""),IFERROR(IF(SMALL(前年度名簿!$G$3:$G$452,$AG$3+34)&lt;5000,MATCH(SMALL(前年度名簿!$G$3:$G$452,$AG$3+34),前年度名簿!$G$3:$G$452,0),""),""))</f>
        <v/>
      </c>
      <c r="AH38" s="63">
        <f>IF(計算用!$B$1=1,IFERROR(IF(SMALL(新年度名簿!$J$3:$J$452,$AH$3+34)&lt;6000,MATCH(SMALL(新年度名簿!$J$3:$J$452,$AH$3+34),新年度名簿!$J$3:$J$452,0),""),""),IFERROR(IF(SMALL(前年度名簿!$G$3:$G$452,$AH$3+34)&lt;6000,MATCH(SMALL(前年度名簿!$G$3:$G$452,$AH$3+34),前年度名簿!$G$3:$G$452,0),""),""))</f>
        <v/>
      </c>
      <c r="AI38" s="63">
        <f>IF(計算用!$B$1=1,IFERROR(IF(SMALL(新年度名簿!$J$3:$J$452,$AI$3+34)&lt;7000,MATCH(SMALL(新年度名簿!$J$3:$J$452,$AI$3+34),新年度名簿!$J$3:$J$452,0),""),""),IFERROR(IF(SMALL(前年度名簿!$G$3:$G$452,$AI$3+34)&lt;7000,MATCH(SMALL(前年度名簿!$G$3:$G$452,$AI$3+34),前年度名簿!$G$3:$G$452,0),""),""))</f>
        <v/>
      </c>
      <c r="AJ38" s="63">
        <f>IF(計算用!$B$1=1,IFERROR(IF(SMALL(新年度名簿!$J$3:$J$452,$AJ$3+34)&lt;8000,MATCH(SMALL(新年度名簿!$J$3:$J$452,$AJ$3+34),新年度名簿!$J$3:$J$452,0),""),""),IFERROR(IF(SMALL(前年度名簿!$G$3:$G$452,$AJ$3+34)&lt;8000,MATCH(SMALL(前年度名簿!$G$3:$G$452,$AJ$3+34),前年度名簿!$G$3:$G$452,0),""),""))</f>
        <v/>
      </c>
      <c r="AK38" s="63">
        <f>IF(計算用!$B$1=1,IFERROR(IF(SMALL(新年度名簿!$J$3:$J$452,$AK$3+34)&lt;9000,MATCH(SMALL(新年度名簿!$J$3:$J$452,$AK$3+34),新年度名簿!$J$3:$J$452,0),""),""),IFERROR(IF(SMALL(前年度名簿!$G$3:$G$452,$AK$3+34)&lt;9000,MATCH(SMALL(前年度名簿!$G$3:$G$452,$AK$3+34),前年度名簿!$G$3:$G$452,0),""),""))</f>
        <v/>
      </c>
    </row>
    <row r="39">
      <c r="A39" s="65">
        <f>IF($AD39="","",IF(計算用!$B$1=1,INDEX(新年度名簿!$C$3:$C$452,$AD39),INDEX(前年度名簿!$C$3:$C$452,$AD39)))</f>
        <v/>
      </c>
      <c r="B39" s="66">
        <f>IF($AD39="","",IF(計算用!$B$1=1,INDEX(新年度名簿!$D$3:$D$452,$AD39),INDEX(前年度名簿!$D$3:$D$452,$AD39)))</f>
        <v/>
      </c>
      <c r="C39" s="65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M$7:$M$456,MATCH($AD39,振り分け!$P$7:$P$456,0))="転出","転出",IF(INDEX(振り分け!$L$7:$L$456,MATCH($AD39,振り分け!$P$7:$P$456,0))="","未決定",INDEX(振り分け!$L$7:$L$456,MATCH($AD39,振り分け!$P$7:$P$456,0)))),"未決定")))</f>
        <v/>
      </c>
      <c r="D39" s="65">
        <f>IF($AE39="","",IF(計算用!$B$1=1,INDEX(新年度名簿!$C$3:$C$452,$AE39),INDEX(前年度名簿!$C$3:$C$452,$AE39)))</f>
        <v/>
      </c>
      <c r="E39" s="66">
        <f>IF($AE39="","",IF(計算用!$B$1=1,INDEX(新年度名簿!$D$3:$D$452,$AE39),INDEX(前年度名簿!$D$3:$D$452,$AE39)))</f>
        <v/>
      </c>
      <c r="F39" s="65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M$7:$M$456,MATCH($AE39,振り分け!$P$7:$P$456,0))="転出","転出",IF(INDEX(振り分け!$L$7:$L$456,MATCH($AE39,振り分け!$P$7:$P$456,0))="","未決定",INDEX(振り分け!$L$7:$L$456,MATCH($AE39,振り分け!$P$7:$P$456,0)))),"未決定")))</f>
        <v/>
      </c>
      <c r="G39" s="65">
        <f>IF($AF39="","",IF(計算用!$B$1=1,INDEX(新年度名簿!$C$3:$C$452,$AF39),INDEX(前年度名簿!$C$3:$C$452,$AF39)))</f>
        <v/>
      </c>
      <c r="H39" s="66">
        <f>IF($AF39="","",IF(計算用!$B$1=1,INDEX(新年度名簿!$D$3:$D$452,$AF39),INDEX(前年度名簿!$D$3:$D$452,$AF39)))</f>
        <v/>
      </c>
      <c r="I39" s="65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M$7:$M$456,MATCH($AF39,振り分け!$P$7:$P$456,0))="転出","転出",IF(INDEX(振り分け!$L$7:$L$456,MATCH($AF39,振り分け!$P$7:$P$456,0))="","未決定",INDEX(振り分け!$L$7:$L$456,MATCH($AF39,振り分け!$P$7:$P$456,0)))),"未決定")))</f>
        <v/>
      </c>
      <c r="J39" s="65">
        <f>IF($AG39="","",IF(計算用!$B$1=1,INDEX(新年度名簿!$C$3:$C$452,$AG39),INDEX(前年度名簿!$C$3:$C$452,$AG39)))</f>
        <v/>
      </c>
      <c r="K39" s="66">
        <f>IF($AG39="","",IF(計算用!$B$1=1,INDEX(新年度名簿!$D$3:$D$452,$AG39),INDEX(前年度名簿!$D$3:$D$452,$AG39)))</f>
        <v/>
      </c>
      <c r="L39" s="65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M$7:$M$456,MATCH($AG39,振り分け!$P$7:$P$456,0))="転出","転出",IF(INDEX(振り分け!$L$7:$L$456,MATCH($AG39,振り分け!$P$7:$P$456,0))="","未決定",INDEX(振り分け!$L$7:$L$456,MATCH($AG39,振り分け!$P$7:$P$456,0)))),"未決定")))</f>
        <v/>
      </c>
      <c r="M39" s="65">
        <f>IF($AH39="","",IF(計算用!$B$1=1,INDEX(新年度名簿!$C$3:$C$452,$AH39),INDEX(前年度名簿!$C$3:$C$452,$AH39)))</f>
        <v/>
      </c>
      <c r="N39" s="66">
        <f>IF($AH39="","",IF(計算用!$B$1=1,INDEX(新年度名簿!$D$3:$D$452,$AH39),INDEX(前年度名簿!$D$3:$D$452,$AH39)))</f>
        <v/>
      </c>
      <c r="O39" s="65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M$7:$M$456,MATCH($AH39,振り分け!$P$7:$P$456,0))="転出","転出",IF(INDEX(振り分け!$L$7:$L$456,MATCH($AH39,振り分け!$P$7:$P$456,0))="","未決定",INDEX(振り分け!$L$7:$L$456,MATCH($AH39,振り分け!$P$7:$P$456,0)))),"未決定")))</f>
        <v/>
      </c>
      <c r="P39" s="65">
        <f>IF($AI39="","",IF(計算用!$B$1=1,INDEX(新年度名簿!$C$3:$C$452,$AI39),INDEX(前年度名簿!$C$3:$C$452,$AI39)))</f>
        <v/>
      </c>
      <c r="Q39" s="66">
        <f>IF($AI39="","",IF(計算用!$B$1=1,INDEX(新年度名簿!$D$3:$D$452,$AI39),INDEX(前年度名簿!$D$3:$D$452,$AI39)))</f>
        <v/>
      </c>
      <c r="R39" s="65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M$7:$M$456,MATCH($AI39,振り分け!$P$7:$P$456,0))="転出","転出",IF(INDEX(振り分け!$L$7:$L$456,MATCH($AI39,振り分け!$P$7:$P$456,0))="","未決定",INDEX(振り分け!$L$7:$L$456,MATCH($AI39,振り分け!$P$7:$P$456,0)))),"未決定")))</f>
        <v/>
      </c>
      <c r="S39" s="65">
        <f>IF($AJ39="","",IF(計算用!$B$1=1,INDEX(新年度名簿!$C$3:$C$452,$AJ39),INDEX(前年度名簿!$C$3:$C$452,$AJ39)))</f>
        <v/>
      </c>
      <c r="T39" s="66">
        <f>IF($AJ39="","",IF(計算用!$B$1=1,INDEX(新年度名簿!$D$3:$D$452,$AJ39),INDEX(前年度名簿!$D$3:$D$452,$AJ39)))</f>
        <v/>
      </c>
      <c r="U39" s="65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M$7:$M$456,MATCH($AJ39,振り分け!$P$7:$P$456,0))="転出","転出",IF(INDEX(振り分け!$L$7:$L$456,MATCH($AJ39,振り分け!$P$7:$P$456,0))="","未決定",INDEX(振り分け!$L$7:$L$456,MATCH($AJ39,振り分け!$P$7:$P$456,0)))),"未決定")))</f>
        <v/>
      </c>
      <c r="V39" s="65">
        <f>IF($AK39="","",IF(計算用!$B$1=1,INDEX(新年度名簿!$C$3:$C$452,$AK39),INDEX(前年度名簿!$C$3:$C$452,$AK39)))</f>
        <v/>
      </c>
      <c r="W39" s="66">
        <f>IF($AK39="","",IF(計算用!$B$1=1,INDEX(新年度名簿!$D$3:$D$452,$AK39),INDEX(前年度名簿!$D$3:$D$452,$AK39)))</f>
        <v/>
      </c>
      <c r="X39" s="65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M$7:$M$456,MATCH($AK39,振り分け!$P$7:$P$456,0))="転出","転出",IF(INDEX(振り分け!$L$7:$L$456,MATCH($AK39,振り分け!$P$7:$P$456,0))="","未決定",INDEX(振り分け!$L$7:$L$456,MATCH($AK39,振り分け!$P$7:$P$456,0)))),"未決定")))</f>
        <v/>
      </c>
      <c r="AD39" s="63">
        <f>IF(計算用!$B$1=1,IFERROR(IF(SMALL(新年度名簿!$J$3:$J$452,$AD$3+35)&lt;2000,MATCH(SMALL(新年度名簿!$J$3:$J$452,$AD$3+35),新年度名簿!$J$3:$J$452,0),""),""),IFERROR(IF(SMALL(前年度名簿!$G$3:$G$452,$AD$3+35)&lt;2000,MATCH(SMALL(前年度名簿!$G$3:$G$452,$AD$3+35),前年度名簿!$G$3:$G$452,0),""),""))</f>
        <v/>
      </c>
      <c r="AE39" s="63">
        <f>IF(計算用!$B$1=1,IFERROR(IF(SMALL(新年度名簿!$J$3:$J$452,$AE$3+35)&lt;3000,MATCH(SMALL(新年度名簿!$J$3:$J$452,$AE$3+35),新年度名簿!$J$3:$J$452,0),""),""),IFERROR(IF(SMALL(前年度名簿!$G$3:$G$452,$AE$3+35)&lt;3000,MATCH(SMALL(前年度名簿!$G$3:$G$452,$AE$3+35),前年度名簿!$G$3:$G$452,0),""),""))</f>
        <v/>
      </c>
      <c r="AF39" s="63">
        <f>IF(計算用!$B$1=1,IFERROR(IF(SMALL(新年度名簿!$J$3:$J$452,$AF$3+35)&lt;4000,MATCH(SMALL(新年度名簿!$J$3:$J$452,$AF$3+35),新年度名簿!$J$3:$J$452,0),""),""),IFERROR(IF(SMALL(前年度名簿!$G$3:$G$452,$AF$3+35)&lt;4000,MATCH(SMALL(前年度名簿!$G$3:$G$452,$AF$3+35),前年度名簿!$G$3:$G$452,0),""),""))</f>
        <v/>
      </c>
      <c r="AG39" s="63">
        <f>IF(計算用!$B$1=1,IFERROR(IF(SMALL(新年度名簿!$J$3:$J$452,$AG$3+35)&lt;5000,MATCH(SMALL(新年度名簿!$J$3:$J$452,$AG$3+35),新年度名簿!$J$3:$J$452,0),""),""),IFERROR(IF(SMALL(前年度名簿!$G$3:$G$452,$AG$3+35)&lt;5000,MATCH(SMALL(前年度名簿!$G$3:$G$452,$AG$3+35),前年度名簿!$G$3:$G$452,0),""),""))</f>
        <v/>
      </c>
      <c r="AH39" s="63">
        <f>IF(計算用!$B$1=1,IFERROR(IF(SMALL(新年度名簿!$J$3:$J$452,$AH$3+35)&lt;6000,MATCH(SMALL(新年度名簿!$J$3:$J$452,$AH$3+35),新年度名簿!$J$3:$J$452,0),""),""),IFERROR(IF(SMALL(前年度名簿!$G$3:$G$452,$AH$3+35)&lt;6000,MATCH(SMALL(前年度名簿!$G$3:$G$452,$AH$3+35),前年度名簿!$G$3:$G$452,0),""),""))</f>
        <v/>
      </c>
      <c r="AI39" s="63">
        <f>IF(計算用!$B$1=1,IFERROR(IF(SMALL(新年度名簿!$J$3:$J$452,$AI$3+35)&lt;7000,MATCH(SMALL(新年度名簿!$J$3:$J$452,$AI$3+35),新年度名簿!$J$3:$J$452,0),""),""),IFERROR(IF(SMALL(前年度名簿!$G$3:$G$452,$AI$3+35)&lt;7000,MATCH(SMALL(前年度名簿!$G$3:$G$452,$AI$3+35),前年度名簿!$G$3:$G$452,0),""),""))</f>
        <v/>
      </c>
      <c r="AJ39" s="63">
        <f>IF(計算用!$B$1=1,IFERROR(IF(SMALL(新年度名簿!$J$3:$J$452,$AJ$3+35)&lt;8000,MATCH(SMALL(新年度名簿!$J$3:$J$452,$AJ$3+35),新年度名簿!$J$3:$J$452,0),""),""),IFERROR(IF(SMALL(前年度名簿!$G$3:$G$452,$AJ$3+35)&lt;8000,MATCH(SMALL(前年度名簿!$G$3:$G$452,$AJ$3+35),前年度名簿!$G$3:$G$452,0),""),""))</f>
        <v/>
      </c>
      <c r="AK39" s="63">
        <f>IF(計算用!$B$1=1,IFERROR(IF(SMALL(新年度名簿!$J$3:$J$452,$AK$3+35)&lt;9000,MATCH(SMALL(新年度名簿!$J$3:$J$452,$AK$3+35),新年度名簿!$J$3:$J$452,0),""),""),IFERROR(IF(SMALL(前年度名簿!$G$3:$G$452,$AK$3+35)&lt;9000,MATCH(SMALL(前年度名簿!$G$3:$G$452,$AK$3+35),前年度名簿!$G$3:$G$452,0),""),""))</f>
        <v/>
      </c>
    </row>
    <row r="40">
      <c r="A40" s="65">
        <f>IF($AD40="","",IF(計算用!$B$1=1,INDEX(新年度名簿!$C$3:$C$452,$AD40),INDEX(前年度名簿!$C$3:$C$452,$AD40)))</f>
        <v/>
      </c>
      <c r="B40" s="66">
        <f>IF($AD40="","",IF(計算用!$B$1=1,INDEX(新年度名簿!$D$3:$D$452,$AD40),INDEX(前年度名簿!$D$3:$D$452,$AD40)))</f>
        <v/>
      </c>
      <c r="C40" s="65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M$7:$M$456,MATCH($AD40,振り分け!$P$7:$P$456,0))="転出","転出",IF(INDEX(振り分け!$L$7:$L$456,MATCH($AD40,振り分け!$P$7:$P$456,0))="","未決定",INDEX(振り分け!$L$7:$L$456,MATCH($AD40,振り分け!$P$7:$P$456,0)))),"未決定")))</f>
        <v/>
      </c>
      <c r="D40" s="65">
        <f>IF($AE40="","",IF(計算用!$B$1=1,INDEX(新年度名簿!$C$3:$C$452,$AE40),INDEX(前年度名簿!$C$3:$C$452,$AE40)))</f>
        <v/>
      </c>
      <c r="E40" s="66">
        <f>IF($AE40="","",IF(計算用!$B$1=1,INDEX(新年度名簿!$D$3:$D$452,$AE40),INDEX(前年度名簿!$D$3:$D$452,$AE40)))</f>
        <v/>
      </c>
      <c r="F40" s="65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M$7:$M$456,MATCH($AE40,振り分け!$P$7:$P$456,0))="転出","転出",IF(INDEX(振り分け!$L$7:$L$456,MATCH($AE40,振り分け!$P$7:$P$456,0))="","未決定",INDEX(振り分け!$L$7:$L$456,MATCH($AE40,振り分け!$P$7:$P$456,0)))),"未決定")))</f>
        <v/>
      </c>
      <c r="G40" s="65">
        <f>IF($AF40="","",IF(計算用!$B$1=1,INDEX(新年度名簿!$C$3:$C$452,$AF40),INDEX(前年度名簿!$C$3:$C$452,$AF40)))</f>
        <v/>
      </c>
      <c r="H40" s="66">
        <f>IF($AF40="","",IF(計算用!$B$1=1,INDEX(新年度名簿!$D$3:$D$452,$AF40),INDEX(前年度名簿!$D$3:$D$452,$AF40)))</f>
        <v/>
      </c>
      <c r="I40" s="65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M$7:$M$456,MATCH($AF40,振り分け!$P$7:$P$456,0))="転出","転出",IF(INDEX(振り分け!$L$7:$L$456,MATCH($AF40,振り分け!$P$7:$P$456,0))="","未決定",INDEX(振り分け!$L$7:$L$456,MATCH($AF40,振り分け!$P$7:$P$456,0)))),"未決定")))</f>
        <v/>
      </c>
      <c r="J40" s="65">
        <f>IF($AG40="","",IF(計算用!$B$1=1,INDEX(新年度名簿!$C$3:$C$452,$AG40),INDEX(前年度名簿!$C$3:$C$452,$AG40)))</f>
        <v/>
      </c>
      <c r="K40" s="66">
        <f>IF($AG40="","",IF(計算用!$B$1=1,INDEX(新年度名簿!$D$3:$D$452,$AG40),INDEX(前年度名簿!$D$3:$D$452,$AG40)))</f>
        <v/>
      </c>
      <c r="L40" s="65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M$7:$M$456,MATCH($AG40,振り分け!$P$7:$P$456,0))="転出","転出",IF(INDEX(振り分け!$L$7:$L$456,MATCH($AG40,振り分け!$P$7:$P$456,0))="","未決定",INDEX(振り分け!$L$7:$L$456,MATCH($AG40,振り分け!$P$7:$P$456,0)))),"未決定")))</f>
        <v/>
      </c>
      <c r="M40" s="65">
        <f>IF($AH40="","",IF(計算用!$B$1=1,INDEX(新年度名簿!$C$3:$C$452,$AH40),INDEX(前年度名簿!$C$3:$C$452,$AH40)))</f>
        <v/>
      </c>
      <c r="N40" s="66">
        <f>IF($AH40="","",IF(計算用!$B$1=1,INDEX(新年度名簿!$D$3:$D$452,$AH40),INDEX(前年度名簿!$D$3:$D$452,$AH40)))</f>
        <v/>
      </c>
      <c r="O40" s="65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M$7:$M$456,MATCH($AH40,振り分け!$P$7:$P$456,0))="転出","転出",IF(INDEX(振り分け!$L$7:$L$456,MATCH($AH40,振り分け!$P$7:$P$456,0))="","未決定",INDEX(振り分け!$L$7:$L$456,MATCH($AH40,振り分け!$P$7:$P$456,0)))),"未決定")))</f>
        <v/>
      </c>
      <c r="P40" s="65">
        <f>IF($AI40="","",IF(計算用!$B$1=1,INDEX(新年度名簿!$C$3:$C$452,$AI40),INDEX(前年度名簿!$C$3:$C$452,$AI40)))</f>
        <v/>
      </c>
      <c r="Q40" s="66">
        <f>IF($AI40="","",IF(計算用!$B$1=1,INDEX(新年度名簿!$D$3:$D$452,$AI40),INDEX(前年度名簿!$D$3:$D$452,$AI40)))</f>
        <v/>
      </c>
      <c r="R40" s="65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M$7:$M$456,MATCH($AI40,振り分け!$P$7:$P$456,0))="転出","転出",IF(INDEX(振り分け!$L$7:$L$456,MATCH($AI40,振り分け!$P$7:$P$456,0))="","未決定",INDEX(振り分け!$L$7:$L$456,MATCH($AI40,振り分け!$P$7:$P$456,0)))),"未決定")))</f>
        <v/>
      </c>
      <c r="S40" s="65">
        <f>IF($AJ40="","",IF(計算用!$B$1=1,INDEX(新年度名簿!$C$3:$C$452,$AJ40),INDEX(前年度名簿!$C$3:$C$452,$AJ40)))</f>
        <v/>
      </c>
      <c r="T40" s="66">
        <f>IF($AJ40="","",IF(計算用!$B$1=1,INDEX(新年度名簿!$D$3:$D$452,$AJ40),INDEX(前年度名簿!$D$3:$D$452,$AJ40)))</f>
        <v/>
      </c>
      <c r="U40" s="65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M$7:$M$456,MATCH($AJ40,振り分け!$P$7:$P$456,0))="転出","転出",IF(INDEX(振り分け!$L$7:$L$456,MATCH($AJ40,振り分け!$P$7:$P$456,0))="","未決定",INDEX(振り分け!$L$7:$L$456,MATCH($AJ40,振り分け!$P$7:$P$456,0)))),"未決定")))</f>
        <v/>
      </c>
      <c r="V40" s="65">
        <f>IF($AK40="","",IF(計算用!$B$1=1,INDEX(新年度名簿!$C$3:$C$452,$AK40),INDEX(前年度名簿!$C$3:$C$452,$AK40)))</f>
        <v/>
      </c>
      <c r="W40" s="66">
        <f>IF($AK40="","",IF(計算用!$B$1=1,INDEX(新年度名簿!$D$3:$D$452,$AK40),INDEX(前年度名簿!$D$3:$D$452,$AK40)))</f>
        <v/>
      </c>
      <c r="X40" s="65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M$7:$M$456,MATCH($AK40,振り分け!$P$7:$P$456,0))="転出","転出",IF(INDEX(振り分け!$L$7:$L$456,MATCH($AK40,振り分け!$P$7:$P$456,0))="","未決定",INDEX(振り分け!$L$7:$L$456,MATCH($AK40,振り分け!$P$7:$P$456,0)))),"未決定")))</f>
        <v/>
      </c>
      <c r="AD40" s="63">
        <f>IF(計算用!$B$1=1,IFERROR(IF(SMALL(新年度名簿!$J$3:$J$452,$AD$3+36)&lt;2000,MATCH(SMALL(新年度名簿!$J$3:$J$452,$AD$3+36),新年度名簿!$J$3:$J$452,0),""),""),IFERROR(IF(SMALL(前年度名簿!$G$3:$G$452,$AD$3+36)&lt;2000,MATCH(SMALL(前年度名簿!$G$3:$G$452,$AD$3+36),前年度名簿!$G$3:$G$452,0),""),""))</f>
        <v/>
      </c>
      <c r="AE40" s="63">
        <f>IF(計算用!$B$1=1,IFERROR(IF(SMALL(新年度名簿!$J$3:$J$452,$AE$3+36)&lt;3000,MATCH(SMALL(新年度名簿!$J$3:$J$452,$AE$3+36),新年度名簿!$J$3:$J$452,0),""),""),IFERROR(IF(SMALL(前年度名簿!$G$3:$G$452,$AE$3+36)&lt;3000,MATCH(SMALL(前年度名簿!$G$3:$G$452,$AE$3+36),前年度名簿!$G$3:$G$452,0),""),""))</f>
        <v/>
      </c>
      <c r="AF40" s="63">
        <f>IF(計算用!$B$1=1,IFERROR(IF(SMALL(新年度名簿!$J$3:$J$452,$AF$3+36)&lt;4000,MATCH(SMALL(新年度名簿!$J$3:$J$452,$AF$3+36),新年度名簿!$J$3:$J$452,0),""),""),IFERROR(IF(SMALL(前年度名簿!$G$3:$G$452,$AF$3+36)&lt;4000,MATCH(SMALL(前年度名簿!$G$3:$G$452,$AF$3+36),前年度名簿!$G$3:$G$452,0),""),""))</f>
        <v/>
      </c>
      <c r="AG40" s="63">
        <f>IF(計算用!$B$1=1,IFERROR(IF(SMALL(新年度名簿!$J$3:$J$452,$AG$3+36)&lt;5000,MATCH(SMALL(新年度名簿!$J$3:$J$452,$AG$3+36),新年度名簿!$J$3:$J$452,0),""),""),IFERROR(IF(SMALL(前年度名簿!$G$3:$G$452,$AG$3+36)&lt;5000,MATCH(SMALL(前年度名簿!$G$3:$G$452,$AG$3+36),前年度名簿!$G$3:$G$452,0),""),""))</f>
        <v/>
      </c>
      <c r="AH40" s="63">
        <f>IF(計算用!$B$1=1,IFERROR(IF(SMALL(新年度名簿!$J$3:$J$452,$AH$3+36)&lt;6000,MATCH(SMALL(新年度名簿!$J$3:$J$452,$AH$3+36),新年度名簿!$J$3:$J$452,0),""),""),IFERROR(IF(SMALL(前年度名簿!$G$3:$G$452,$AH$3+36)&lt;6000,MATCH(SMALL(前年度名簿!$G$3:$G$452,$AH$3+36),前年度名簿!$G$3:$G$452,0),""),""))</f>
        <v/>
      </c>
      <c r="AI40" s="63">
        <f>IF(計算用!$B$1=1,IFERROR(IF(SMALL(新年度名簿!$J$3:$J$452,$AI$3+36)&lt;7000,MATCH(SMALL(新年度名簿!$J$3:$J$452,$AI$3+36),新年度名簿!$J$3:$J$452,0),""),""),IFERROR(IF(SMALL(前年度名簿!$G$3:$G$452,$AI$3+36)&lt;7000,MATCH(SMALL(前年度名簿!$G$3:$G$452,$AI$3+36),前年度名簿!$G$3:$G$452,0),""),""))</f>
        <v/>
      </c>
      <c r="AJ40" s="63">
        <f>IF(計算用!$B$1=1,IFERROR(IF(SMALL(新年度名簿!$J$3:$J$452,$AJ$3+36)&lt;8000,MATCH(SMALL(新年度名簿!$J$3:$J$452,$AJ$3+36),新年度名簿!$J$3:$J$452,0),""),""),IFERROR(IF(SMALL(前年度名簿!$G$3:$G$452,$AJ$3+36)&lt;8000,MATCH(SMALL(前年度名簿!$G$3:$G$452,$AJ$3+36),前年度名簿!$G$3:$G$452,0),""),""))</f>
        <v/>
      </c>
      <c r="AK40" s="63">
        <f>IF(計算用!$B$1=1,IFERROR(IF(SMALL(新年度名簿!$J$3:$J$452,$AK$3+36)&lt;9000,MATCH(SMALL(新年度名簿!$J$3:$J$452,$AK$3+36),新年度名簿!$J$3:$J$452,0),""),""),IFERROR(IF(SMALL(前年度名簿!$G$3:$G$452,$AK$3+36)&lt;9000,MATCH(SMALL(前年度名簿!$G$3:$G$452,$AK$3+36),前年度名簿!$G$3:$G$452,0),""),""))</f>
        <v/>
      </c>
    </row>
    <row r="41">
      <c r="A41" s="65">
        <f>IF($AD41="","",IF(計算用!$B$1=1,INDEX(新年度名簿!$C$3:$C$452,$AD41),INDEX(前年度名簿!$C$3:$C$452,$AD41)))</f>
        <v/>
      </c>
      <c r="B41" s="66">
        <f>IF($AD41="","",IF(計算用!$B$1=1,INDEX(新年度名簿!$D$3:$D$452,$AD41),INDEX(前年度名簿!$D$3:$D$452,$AD41)))</f>
        <v/>
      </c>
      <c r="C41" s="65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M$7:$M$456,MATCH($AD41,振り分け!$P$7:$P$456,0))="転出","転出",IF(INDEX(振り分け!$L$7:$L$456,MATCH($AD41,振り分け!$P$7:$P$456,0))="","未決定",INDEX(振り分け!$L$7:$L$456,MATCH($AD41,振り分け!$P$7:$P$456,0)))),"未決定")))</f>
        <v/>
      </c>
      <c r="D41" s="65">
        <f>IF($AE41="","",IF(計算用!$B$1=1,INDEX(新年度名簿!$C$3:$C$452,$AE41),INDEX(前年度名簿!$C$3:$C$452,$AE41)))</f>
        <v/>
      </c>
      <c r="E41" s="66">
        <f>IF($AE41="","",IF(計算用!$B$1=1,INDEX(新年度名簿!$D$3:$D$452,$AE41),INDEX(前年度名簿!$D$3:$D$452,$AE41)))</f>
        <v/>
      </c>
      <c r="F41" s="65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M$7:$M$456,MATCH($AE41,振り分け!$P$7:$P$456,0))="転出","転出",IF(INDEX(振り分け!$L$7:$L$456,MATCH($AE41,振り分け!$P$7:$P$456,0))="","未決定",INDEX(振り分け!$L$7:$L$456,MATCH($AE41,振り分け!$P$7:$P$456,0)))),"未決定")))</f>
        <v/>
      </c>
      <c r="G41" s="65">
        <f>IF($AF41="","",IF(計算用!$B$1=1,INDEX(新年度名簿!$C$3:$C$452,$AF41),INDEX(前年度名簿!$C$3:$C$452,$AF41)))</f>
        <v/>
      </c>
      <c r="H41" s="66">
        <f>IF($AF41="","",IF(計算用!$B$1=1,INDEX(新年度名簿!$D$3:$D$452,$AF41),INDEX(前年度名簿!$D$3:$D$452,$AF41)))</f>
        <v/>
      </c>
      <c r="I41" s="65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M$7:$M$456,MATCH($AF41,振り分け!$P$7:$P$456,0))="転出","転出",IF(INDEX(振り分け!$L$7:$L$456,MATCH($AF41,振り分け!$P$7:$P$456,0))="","未決定",INDEX(振り分け!$L$7:$L$456,MATCH($AF41,振り分け!$P$7:$P$456,0)))),"未決定")))</f>
        <v/>
      </c>
      <c r="J41" s="65">
        <f>IF($AG41="","",IF(計算用!$B$1=1,INDEX(新年度名簿!$C$3:$C$452,$AG41),INDEX(前年度名簿!$C$3:$C$452,$AG41)))</f>
        <v/>
      </c>
      <c r="K41" s="66">
        <f>IF($AG41="","",IF(計算用!$B$1=1,INDEX(新年度名簿!$D$3:$D$452,$AG41),INDEX(前年度名簿!$D$3:$D$452,$AG41)))</f>
        <v/>
      </c>
      <c r="L41" s="65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M$7:$M$456,MATCH($AG41,振り分け!$P$7:$P$456,0))="転出","転出",IF(INDEX(振り分け!$L$7:$L$456,MATCH($AG41,振り分け!$P$7:$P$456,0))="","未決定",INDEX(振り分け!$L$7:$L$456,MATCH($AG41,振り分け!$P$7:$P$456,0)))),"未決定")))</f>
        <v/>
      </c>
      <c r="M41" s="65">
        <f>IF($AH41="","",IF(計算用!$B$1=1,INDEX(新年度名簿!$C$3:$C$452,$AH41),INDEX(前年度名簿!$C$3:$C$452,$AH41)))</f>
        <v/>
      </c>
      <c r="N41" s="66">
        <f>IF($AH41="","",IF(計算用!$B$1=1,INDEX(新年度名簿!$D$3:$D$452,$AH41),INDEX(前年度名簿!$D$3:$D$452,$AH41)))</f>
        <v/>
      </c>
      <c r="O41" s="65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M$7:$M$456,MATCH($AH41,振り分け!$P$7:$P$456,0))="転出","転出",IF(INDEX(振り分け!$L$7:$L$456,MATCH($AH41,振り分け!$P$7:$P$456,0))="","未決定",INDEX(振り分け!$L$7:$L$456,MATCH($AH41,振り分け!$P$7:$P$456,0)))),"未決定")))</f>
        <v/>
      </c>
      <c r="P41" s="65">
        <f>IF($AI41="","",IF(計算用!$B$1=1,INDEX(新年度名簿!$C$3:$C$452,$AI41),INDEX(前年度名簿!$C$3:$C$452,$AI41)))</f>
        <v/>
      </c>
      <c r="Q41" s="66">
        <f>IF($AI41="","",IF(計算用!$B$1=1,INDEX(新年度名簿!$D$3:$D$452,$AI41),INDEX(前年度名簿!$D$3:$D$452,$AI41)))</f>
        <v/>
      </c>
      <c r="R41" s="65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M$7:$M$456,MATCH($AI41,振り分け!$P$7:$P$456,0))="転出","転出",IF(INDEX(振り分け!$L$7:$L$456,MATCH($AI41,振り分け!$P$7:$P$456,0))="","未決定",INDEX(振り分け!$L$7:$L$456,MATCH($AI41,振り分け!$P$7:$P$456,0)))),"未決定")))</f>
        <v/>
      </c>
      <c r="S41" s="65">
        <f>IF($AJ41="","",IF(計算用!$B$1=1,INDEX(新年度名簿!$C$3:$C$452,$AJ41),INDEX(前年度名簿!$C$3:$C$452,$AJ41)))</f>
        <v/>
      </c>
      <c r="T41" s="66">
        <f>IF($AJ41="","",IF(計算用!$B$1=1,INDEX(新年度名簿!$D$3:$D$452,$AJ41),INDEX(前年度名簿!$D$3:$D$452,$AJ41)))</f>
        <v/>
      </c>
      <c r="U41" s="65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M$7:$M$456,MATCH($AJ41,振り分け!$P$7:$P$456,0))="転出","転出",IF(INDEX(振り分け!$L$7:$L$456,MATCH($AJ41,振り分け!$P$7:$P$456,0))="","未決定",INDEX(振り分け!$L$7:$L$456,MATCH($AJ41,振り分け!$P$7:$P$456,0)))),"未決定")))</f>
        <v/>
      </c>
      <c r="V41" s="65">
        <f>IF($AK41="","",IF(計算用!$B$1=1,INDEX(新年度名簿!$C$3:$C$452,$AK41),INDEX(前年度名簿!$C$3:$C$452,$AK41)))</f>
        <v/>
      </c>
      <c r="W41" s="66">
        <f>IF($AK41="","",IF(計算用!$B$1=1,INDEX(新年度名簿!$D$3:$D$452,$AK41),INDEX(前年度名簿!$D$3:$D$452,$AK41)))</f>
        <v/>
      </c>
      <c r="X41" s="65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M$7:$M$456,MATCH($AK41,振り分け!$P$7:$P$456,0))="転出","転出",IF(INDEX(振り分け!$L$7:$L$456,MATCH($AK41,振り分け!$P$7:$P$456,0))="","未決定",INDEX(振り分け!$L$7:$L$456,MATCH($AK41,振り分け!$P$7:$P$456,0)))),"未決定")))</f>
        <v/>
      </c>
      <c r="AD41" s="63">
        <f>IF(計算用!$B$1=1,IFERROR(IF(SMALL(新年度名簿!$J$3:$J$452,$AD$3+37)&lt;2000,MATCH(SMALL(新年度名簿!$J$3:$J$452,$AD$3+37),新年度名簿!$J$3:$J$452,0),""),""),IFERROR(IF(SMALL(前年度名簿!$G$3:$G$452,$AD$3+37)&lt;2000,MATCH(SMALL(前年度名簿!$G$3:$G$452,$AD$3+37),前年度名簿!$G$3:$G$452,0),""),""))</f>
        <v/>
      </c>
      <c r="AE41" s="63">
        <f>IF(計算用!$B$1=1,IFERROR(IF(SMALL(新年度名簿!$J$3:$J$452,$AE$3+37)&lt;3000,MATCH(SMALL(新年度名簿!$J$3:$J$452,$AE$3+37),新年度名簿!$J$3:$J$452,0),""),""),IFERROR(IF(SMALL(前年度名簿!$G$3:$G$452,$AE$3+37)&lt;3000,MATCH(SMALL(前年度名簿!$G$3:$G$452,$AE$3+37),前年度名簿!$G$3:$G$452,0),""),""))</f>
        <v/>
      </c>
      <c r="AF41" s="63">
        <f>IF(計算用!$B$1=1,IFERROR(IF(SMALL(新年度名簿!$J$3:$J$452,$AF$3+37)&lt;4000,MATCH(SMALL(新年度名簿!$J$3:$J$452,$AF$3+37),新年度名簿!$J$3:$J$452,0),""),""),IFERROR(IF(SMALL(前年度名簿!$G$3:$G$452,$AF$3+37)&lt;4000,MATCH(SMALL(前年度名簿!$G$3:$G$452,$AF$3+37),前年度名簿!$G$3:$G$452,0),""),""))</f>
        <v/>
      </c>
      <c r="AG41" s="63">
        <f>IF(計算用!$B$1=1,IFERROR(IF(SMALL(新年度名簿!$J$3:$J$452,$AG$3+37)&lt;5000,MATCH(SMALL(新年度名簿!$J$3:$J$452,$AG$3+37),新年度名簿!$J$3:$J$452,0),""),""),IFERROR(IF(SMALL(前年度名簿!$G$3:$G$452,$AG$3+37)&lt;5000,MATCH(SMALL(前年度名簿!$G$3:$G$452,$AG$3+37),前年度名簿!$G$3:$G$452,0),""),""))</f>
        <v/>
      </c>
      <c r="AH41" s="63">
        <f>IF(計算用!$B$1=1,IFERROR(IF(SMALL(新年度名簿!$J$3:$J$452,$AH$3+37)&lt;6000,MATCH(SMALL(新年度名簿!$J$3:$J$452,$AH$3+37),新年度名簿!$J$3:$J$452,0),""),""),IFERROR(IF(SMALL(前年度名簿!$G$3:$G$452,$AH$3+37)&lt;6000,MATCH(SMALL(前年度名簿!$G$3:$G$452,$AH$3+37),前年度名簿!$G$3:$G$452,0),""),""))</f>
        <v/>
      </c>
      <c r="AI41" s="63">
        <f>IF(計算用!$B$1=1,IFERROR(IF(SMALL(新年度名簿!$J$3:$J$452,$AI$3+37)&lt;7000,MATCH(SMALL(新年度名簿!$J$3:$J$452,$AI$3+37),新年度名簿!$J$3:$J$452,0),""),""),IFERROR(IF(SMALL(前年度名簿!$G$3:$G$452,$AI$3+37)&lt;7000,MATCH(SMALL(前年度名簿!$G$3:$G$452,$AI$3+37),前年度名簿!$G$3:$G$452,0),""),""))</f>
        <v/>
      </c>
      <c r="AJ41" s="63">
        <f>IF(計算用!$B$1=1,IFERROR(IF(SMALL(新年度名簿!$J$3:$J$452,$AJ$3+37)&lt;8000,MATCH(SMALL(新年度名簿!$J$3:$J$452,$AJ$3+37),新年度名簿!$J$3:$J$452,0),""),""),IFERROR(IF(SMALL(前年度名簿!$G$3:$G$452,$AJ$3+37)&lt;8000,MATCH(SMALL(前年度名簿!$G$3:$G$452,$AJ$3+37),前年度名簿!$G$3:$G$452,0),""),""))</f>
        <v/>
      </c>
      <c r="AK41" s="63">
        <f>IF(計算用!$B$1=1,IFERROR(IF(SMALL(新年度名簿!$J$3:$J$452,$AK$3+37)&lt;9000,MATCH(SMALL(新年度名簿!$J$3:$J$452,$AK$3+37),新年度名簿!$J$3:$J$452,0),""),""),IFERROR(IF(SMALL(前年度名簿!$G$3:$G$452,$AK$3+37)&lt;9000,MATCH(SMALL(前年度名簿!$G$3:$G$452,$AK$3+37),前年度名簿!$G$3:$G$452,0),""),""))</f>
        <v/>
      </c>
    </row>
    <row r="42">
      <c r="A42" s="65">
        <f>IF($AD42="","",IF(計算用!$B$1=1,INDEX(新年度名簿!$C$3:$C$452,$AD42),INDEX(前年度名簿!$C$3:$C$452,$AD42)))</f>
        <v/>
      </c>
      <c r="B42" s="66">
        <f>IF($AD42="","",IF(計算用!$B$1=1,INDEX(新年度名簿!$D$3:$D$452,$AD42),INDEX(前年度名簿!$D$3:$D$452,$AD42)))</f>
        <v/>
      </c>
      <c r="C42" s="65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M$7:$M$456,MATCH($AD42,振り分け!$P$7:$P$456,0))="転出","転出",IF(INDEX(振り分け!$L$7:$L$456,MATCH($AD42,振り分け!$P$7:$P$456,0))="","未決定",INDEX(振り分け!$L$7:$L$456,MATCH($AD42,振り分け!$P$7:$P$456,0)))),"未決定")))</f>
        <v/>
      </c>
      <c r="D42" s="65">
        <f>IF($AE42="","",IF(計算用!$B$1=1,INDEX(新年度名簿!$C$3:$C$452,$AE42),INDEX(前年度名簿!$C$3:$C$452,$AE42)))</f>
        <v/>
      </c>
      <c r="E42" s="66">
        <f>IF($AE42="","",IF(計算用!$B$1=1,INDEX(新年度名簿!$D$3:$D$452,$AE42),INDEX(前年度名簿!$D$3:$D$452,$AE42)))</f>
        <v/>
      </c>
      <c r="F42" s="65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M$7:$M$456,MATCH($AE42,振り分け!$P$7:$P$456,0))="転出","転出",IF(INDEX(振り分け!$L$7:$L$456,MATCH($AE42,振り分け!$P$7:$P$456,0))="","未決定",INDEX(振り分け!$L$7:$L$456,MATCH($AE42,振り分け!$P$7:$P$456,0)))),"未決定")))</f>
        <v/>
      </c>
      <c r="G42" s="65">
        <f>IF($AF42="","",IF(計算用!$B$1=1,INDEX(新年度名簿!$C$3:$C$452,$AF42),INDEX(前年度名簿!$C$3:$C$452,$AF42)))</f>
        <v/>
      </c>
      <c r="H42" s="66">
        <f>IF($AF42="","",IF(計算用!$B$1=1,INDEX(新年度名簿!$D$3:$D$452,$AF42),INDEX(前年度名簿!$D$3:$D$452,$AF42)))</f>
        <v/>
      </c>
      <c r="I42" s="65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M$7:$M$456,MATCH($AF42,振り分け!$P$7:$P$456,0))="転出","転出",IF(INDEX(振り分け!$L$7:$L$456,MATCH($AF42,振り分け!$P$7:$P$456,0))="","未決定",INDEX(振り分け!$L$7:$L$456,MATCH($AF42,振り分け!$P$7:$P$456,0)))),"未決定")))</f>
        <v/>
      </c>
      <c r="J42" s="65">
        <f>IF($AG42="","",IF(計算用!$B$1=1,INDEX(新年度名簿!$C$3:$C$452,$AG42),INDEX(前年度名簿!$C$3:$C$452,$AG42)))</f>
        <v/>
      </c>
      <c r="K42" s="66">
        <f>IF($AG42="","",IF(計算用!$B$1=1,INDEX(新年度名簿!$D$3:$D$452,$AG42),INDEX(前年度名簿!$D$3:$D$452,$AG42)))</f>
        <v/>
      </c>
      <c r="L42" s="65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M$7:$M$456,MATCH($AG42,振り分け!$P$7:$P$456,0))="転出","転出",IF(INDEX(振り分け!$L$7:$L$456,MATCH($AG42,振り分け!$P$7:$P$456,0))="","未決定",INDEX(振り分け!$L$7:$L$456,MATCH($AG42,振り分け!$P$7:$P$456,0)))),"未決定")))</f>
        <v/>
      </c>
      <c r="M42" s="65">
        <f>IF($AH42="","",IF(計算用!$B$1=1,INDEX(新年度名簿!$C$3:$C$452,$AH42),INDEX(前年度名簿!$C$3:$C$452,$AH42)))</f>
        <v/>
      </c>
      <c r="N42" s="66">
        <f>IF($AH42="","",IF(計算用!$B$1=1,INDEX(新年度名簿!$D$3:$D$452,$AH42),INDEX(前年度名簿!$D$3:$D$452,$AH42)))</f>
        <v/>
      </c>
      <c r="O42" s="65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M$7:$M$456,MATCH($AH42,振り分け!$P$7:$P$456,0))="転出","転出",IF(INDEX(振り分け!$L$7:$L$456,MATCH($AH42,振り分け!$P$7:$P$456,0))="","未決定",INDEX(振り分け!$L$7:$L$456,MATCH($AH42,振り分け!$P$7:$P$456,0)))),"未決定")))</f>
        <v/>
      </c>
      <c r="P42" s="65">
        <f>IF($AI42="","",IF(計算用!$B$1=1,INDEX(新年度名簿!$C$3:$C$452,$AI42),INDEX(前年度名簿!$C$3:$C$452,$AI42)))</f>
        <v/>
      </c>
      <c r="Q42" s="66">
        <f>IF($AI42="","",IF(計算用!$B$1=1,INDEX(新年度名簿!$D$3:$D$452,$AI42),INDEX(前年度名簿!$D$3:$D$452,$AI42)))</f>
        <v/>
      </c>
      <c r="R42" s="65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M$7:$M$456,MATCH($AI42,振り分け!$P$7:$P$456,0))="転出","転出",IF(INDEX(振り分け!$L$7:$L$456,MATCH($AI42,振り分け!$P$7:$P$456,0))="","未決定",INDEX(振り分け!$L$7:$L$456,MATCH($AI42,振り分け!$P$7:$P$456,0)))),"未決定")))</f>
        <v/>
      </c>
      <c r="S42" s="65">
        <f>IF($AJ42="","",IF(計算用!$B$1=1,INDEX(新年度名簿!$C$3:$C$452,$AJ42),INDEX(前年度名簿!$C$3:$C$452,$AJ42)))</f>
        <v/>
      </c>
      <c r="T42" s="66">
        <f>IF($AJ42="","",IF(計算用!$B$1=1,INDEX(新年度名簿!$D$3:$D$452,$AJ42),INDEX(前年度名簿!$D$3:$D$452,$AJ42)))</f>
        <v/>
      </c>
      <c r="U42" s="65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M$7:$M$456,MATCH($AJ42,振り分け!$P$7:$P$456,0))="転出","転出",IF(INDEX(振り分け!$L$7:$L$456,MATCH($AJ42,振り分け!$P$7:$P$456,0))="","未決定",INDEX(振り分け!$L$7:$L$456,MATCH($AJ42,振り分け!$P$7:$P$456,0)))),"未決定")))</f>
        <v/>
      </c>
      <c r="V42" s="65">
        <f>IF($AK42="","",IF(計算用!$B$1=1,INDEX(新年度名簿!$C$3:$C$452,$AK42),INDEX(前年度名簿!$C$3:$C$452,$AK42)))</f>
        <v/>
      </c>
      <c r="W42" s="66">
        <f>IF($AK42="","",IF(計算用!$B$1=1,INDEX(新年度名簿!$D$3:$D$452,$AK42),INDEX(前年度名簿!$D$3:$D$452,$AK42)))</f>
        <v/>
      </c>
      <c r="X42" s="65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M$7:$M$456,MATCH($AK42,振り分け!$P$7:$P$456,0))="転出","転出",IF(INDEX(振り分け!$L$7:$L$456,MATCH($AK42,振り分け!$P$7:$P$456,0))="","未決定",INDEX(振り分け!$L$7:$L$456,MATCH($AK42,振り分け!$P$7:$P$456,0)))),"未決定")))</f>
        <v/>
      </c>
      <c r="AD42" s="63">
        <f>IF(計算用!$B$1=1,IFERROR(IF(SMALL(新年度名簿!$J$3:$J$452,$AD$3+38)&lt;2000,MATCH(SMALL(新年度名簿!$J$3:$J$452,$AD$3+38),新年度名簿!$J$3:$J$452,0),""),""),IFERROR(IF(SMALL(前年度名簿!$G$3:$G$452,$AD$3+38)&lt;2000,MATCH(SMALL(前年度名簿!$G$3:$G$452,$AD$3+38),前年度名簿!$G$3:$G$452,0),""),""))</f>
        <v/>
      </c>
      <c r="AE42" s="63">
        <f>IF(計算用!$B$1=1,IFERROR(IF(SMALL(新年度名簿!$J$3:$J$452,$AE$3+38)&lt;3000,MATCH(SMALL(新年度名簿!$J$3:$J$452,$AE$3+38),新年度名簿!$J$3:$J$452,0),""),""),IFERROR(IF(SMALL(前年度名簿!$G$3:$G$452,$AE$3+38)&lt;3000,MATCH(SMALL(前年度名簿!$G$3:$G$452,$AE$3+38),前年度名簿!$G$3:$G$452,0),""),""))</f>
        <v/>
      </c>
      <c r="AF42" s="63">
        <f>IF(計算用!$B$1=1,IFERROR(IF(SMALL(新年度名簿!$J$3:$J$452,$AF$3+38)&lt;4000,MATCH(SMALL(新年度名簿!$J$3:$J$452,$AF$3+38),新年度名簿!$J$3:$J$452,0),""),""),IFERROR(IF(SMALL(前年度名簿!$G$3:$G$452,$AF$3+38)&lt;4000,MATCH(SMALL(前年度名簿!$G$3:$G$452,$AF$3+38),前年度名簿!$G$3:$G$452,0),""),""))</f>
        <v/>
      </c>
      <c r="AG42" s="63">
        <f>IF(計算用!$B$1=1,IFERROR(IF(SMALL(新年度名簿!$J$3:$J$452,$AG$3+38)&lt;5000,MATCH(SMALL(新年度名簿!$J$3:$J$452,$AG$3+38),新年度名簿!$J$3:$J$452,0),""),""),IFERROR(IF(SMALL(前年度名簿!$G$3:$G$452,$AG$3+38)&lt;5000,MATCH(SMALL(前年度名簿!$G$3:$G$452,$AG$3+38),前年度名簿!$G$3:$G$452,0),""),""))</f>
        <v/>
      </c>
      <c r="AH42" s="63">
        <f>IF(計算用!$B$1=1,IFERROR(IF(SMALL(新年度名簿!$J$3:$J$452,$AH$3+38)&lt;6000,MATCH(SMALL(新年度名簿!$J$3:$J$452,$AH$3+38),新年度名簿!$J$3:$J$452,0),""),""),IFERROR(IF(SMALL(前年度名簿!$G$3:$G$452,$AH$3+38)&lt;6000,MATCH(SMALL(前年度名簿!$G$3:$G$452,$AH$3+38),前年度名簿!$G$3:$G$452,0),""),""))</f>
        <v/>
      </c>
      <c r="AI42" s="63">
        <f>IF(計算用!$B$1=1,IFERROR(IF(SMALL(新年度名簿!$J$3:$J$452,$AI$3+38)&lt;7000,MATCH(SMALL(新年度名簿!$J$3:$J$452,$AI$3+38),新年度名簿!$J$3:$J$452,0),""),""),IFERROR(IF(SMALL(前年度名簿!$G$3:$G$452,$AI$3+38)&lt;7000,MATCH(SMALL(前年度名簿!$G$3:$G$452,$AI$3+38),前年度名簿!$G$3:$G$452,0),""),""))</f>
        <v/>
      </c>
      <c r="AJ42" s="63">
        <f>IF(計算用!$B$1=1,IFERROR(IF(SMALL(新年度名簿!$J$3:$J$452,$AJ$3+38)&lt;8000,MATCH(SMALL(新年度名簿!$J$3:$J$452,$AJ$3+38),新年度名簿!$J$3:$J$452,0),""),""),IFERROR(IF(SMALL(前年度名簿!$G$3:$G$452,$AJ$3+38)&lt;8000,MATCH(SMALL(前年度名簿!$G$3:$G$452,$AJ$3+38),前年度名簿!$G$3:$G$452,0),""),""))</f>
        <v/>
      </c>
      <c r="AK42" s="63">
        <f>IF(計算用!$B$1=1,IFERROR(IF(SMALL(新年度名簿!$J$3:$J$452,$AK$3+38)&lt;9000,MATCH(SMALL(新年度名簿!$J$3:$J$452,$AK$3+38),新年度名簿!$J$3:$J$452,0),""),""),IFERROR(IF(SMALL(前年度名簿!$G$3:$G$452,$AK$3+38)&lt;9000,MATCH(SMALL(前年度名簿!$G$3:$G$452,$AK$3+38),前年度名簿!$G$3:$G$452,0),""),""))</f>
        <v/>
      </c>
    </row>
    <row r="43">
      <c r="A43" s="65">
        <f>IF($AD43="","",IF(計算用!$B$1=1,INDEX(新年度名簿!$C$3:$C$452,$AD43),INDEX(前年度名簿!$C$3:$C$452,$AD43)))</f>
        <v/>
      </c>
      <c r="B43" s="66">
        <f>IF($AD43="","",IF(計算用!$B$1=1,INDEX(新年度名簿!$D$3:$D$452,$AD43),INDEX(前年度名簿!$D$3:$D$452,$AD43)))</f>
        <v/>
      </c>
      <c r="C43" s="65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M$7:$M$456,MATCH($AD43,振り分け!$P$7:$P$456,0))="転出","転出",IF(INDEX(振り分け!$L$7:$L$456,MATCH($AD43,振り分け!$P$7:$P$456,0))="","未決定",INDEX(振り分け!$L$7:$L$456,MATCH($AD43,振り分け!$P$7:$P$456,0)))),"未決定")))</f>
        <v/>
      </c>
      <c r="D43" s="65">
        <f>IF($AE43="","",IF(計算用!$B$1=1,INDEX(新年度名簿!$C$3:$C$452,$AE43),INDEX(前年度名簿!$C$3:$C$452,$AE43)))</f>
        <v/>
      </c>
      <c r="E43" s="66">
        <f>IF($AE43="","",IF(計算用!$B$1=1,INDEX(新年度名簿!$D$3:$D$452,$AE43),INDEX(前年度名簿!$D$3:$D$452,$AE43)))</f>
        <v/>
      </c>
      <c r="F43" s="65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M$7:$M$456,MATCH($AE43,振り分け!$P$7:$P$456,0))="転出","転出",IF(INDEX(振り分け!$L$7:$L$456,MATCH($AE43,振り分け!$P$7:$P$456,0))="","未決定",INDEX(振り分け!$L$7:$L$456,MATCH($AE43,振り分け!$P$7:$P$456,0)))),"未決定")))</f>
        <v/>
      </c>
      <c r="G43" s="65">
        <f>IF($AF43="","",IF(計算用!$B$1=1,INDEX(新年度名簿!$C$3:$C$452,$AF43),INDEX(前年度名簿!$C$3:$C$452,$AF43)))</f>
        <v/>
      </c>
      <c r="H43" s="66">
        <f>IF($AF43="","",IF(計算用!$B$1=1,INDEX(新年度名簿!$D$3:$D$452,$AF43),INDEX(前年度名簿!$D$3:$D$452,$AF43)))</f>
        <v/>
      </c>
      <c r="I43" s="65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M$7:$M$456,MATCH($AF43,振り分け!$P$7:$P$456,0))="転出","転出",IF(INDEX(振り分け!$L$7:$L$456,MATCH($AF43,振り分け!$P$7:$P$456,0))="","未決定",INDEX(振り分け!$L$7:$L$456,MATCH($AF43,振り分け!$P$7:$P$456,0)))),"未決定")))</f>
        <v/>
      </c>
      <c r="J43" s="65">
        <f>IF($AG43="","",IF(計算用!$B$1=1,INDEX(新年度名簿!$C$3:$C$452,$AG43),INDEX(前年度名簿!$C$3:$C$452,$AG43)))</f>
        <v/>
      </c>
      <c r="K43" s="66">
        <f>IF($AG43="","",IF(計算用!$B$1=1,INDEX(新年度名簿!$D$3:$D$452,$AG43),INDEX(前年度名簿!$D$3:$D$452,$AG43)))</f>
        <v/>
      </c>
      <c r="L43" s="65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M$7:$M$456,MATCH($AG43,振り分け!$P$7:$P$456,0))="転出","転出",IF(INDEX(振り分け!$L$7:$L$456,MATCH($AG43,振り分け!$P$7:$P$456,0))="","未決定",INDEX(振り分け!$L$7:$L$456,MATCH($AG43,振り分け!$P$7:$P$456,0)))),"未決定")))</f>
        <v/>
      </c>
      <c r="M43" s="65">
        <f>IF($AH43="","",IF(計算用!$B$1=1,INDEX(新年度名簿!$C$3:$C$452,$AH43),INDEX(前年度名簿!$C$3:$C$452,$AH43)))</f>
        <v/>
      </c>
      <c r="N43" s="66">
        <f>IF($AH43="","",IF(計算用!$B$1=1,INDEX(新年度名簿!$D$3:$D$452,$AH43),INDEX(前年度名簿!$D$3:$D$452,$AH43)))</f>
        <v/>
      </c>
      <c r="O43" s="65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M$7:$M$456,MATCH($AH43,振り分け!$P$7:$P$456,0))="転出","転出",IF(INDEX(振り分け!$L$7:$L$456,MATCH($AH43,振り分け!$P$7:$P$456,0))="","未決定",INDEX(振り分け!$L$7:$L$456,MATCH($AH43,振り分け!$P$7:$P$456,0)))),"未決定")))</f>
        <v/>
      </c>
      <c r="P43" s="65">
        <f>IF($AI43="","",IF(計算用!$B$1=1,INDEX(新年度名簿!$C$3:$C$452,$AI43),INDEX(前年度名簿!$C$3:$C$452,$AI43)))</f>
        <v/>
      </c>
      <c r="Q43" s="66">
        <f>IF($AI43="","",IF(計算用!$B$1=1,INDEX(新年度名簿!$D$3:$D$452,$AI43),INDEX(前年度名簿!$D$3:$D$452,$AI43)))</f>
        <v/>
      </c>
      <c r="R43" s="65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M$7:$M$456,MATCH($AI43,振り分け!$P$7:$P$456,0))="転出","転出",IF(INDEX(振り分け!$L$7:$L$456,MATCH($AI43,振り分け!$P$7:$P$456,0))="","未決定",INDEX(振り分け!$L$7:$L$456,MATCH($AI43,振り分け!$P$7:$P$456,0)))),"未決定")))</f>
        <v/>
      </c>
      <c r="S43" s="65">
        <f>IF($AJ43="","",IF(計算用!$B$1=1,INDEX(新年度名簿!$C$3:$C$452,$AJ43),INDEX(前年度名簿!$C$3:$C$452,$AJ43)))</f>
        <v/>
      </c>
      <c r="T43" s="66">
        <f>IF($AJ43="","",IF(計算用!$B$1=1,INDEX(新年度名簿!$D$3:$D$452,$AJ43),INDEX(前年度名簿!$D$3:$D$452,$AJ43)))</f>
        <v/>
      </c>
      <c r="U43" s="65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M$7:$M$456,MATCH($AJ43,振り分け!$P$7:$P$456,0))="転出","転出",IF(INDEX(振り分け!$L$7:$L$456,MATCH($AJ43,振り分け!$P$7:$P$456,0))="","未決定",INDEX(振り分け!$L$7:$L$456,MATCH($AJ43,振り分け!$P$7:$P$456,0)))),"未決定")))</f>
        <v/>
      </c>
      <c r="V43" s="65">
        <f>IF($AK43="","",IF(計算用!$B$1=1,INDEX(新年度名簿!$C$3:$C$452,$AK43),INDEX(前年度名簿!$C$3:$C$452,$AK43)))</f>
        <v/>
      </c>
      <c r="W43" s="66">
        <f>IF($AK43="","",IF(計算用!$B$1=1,INDEX(新年度名簿!$D$3:$D$452,$AK43),INDEX(前年度名簿!$D$3:$D$452,$AK43)))</f>
        <v/>
      </c>
      <c r="X43" s="65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M$7:$M$456,MATCH($AK43,振り分け!$P$7:$P$456,0))="転出","転出",IF(INDEX(振り分け!$L$7:$L$456,MATCH($AK43,振り分け!$P$7:$P$456,0))="","未決定",INDEX(振り分け!$L$7:$L$456,MATCH($AK43,振り分け!$P$7:$P$456,0)))),"未決定")))</f>
        <v/>
      </c>
      <c r="AD43" s="63">
        <f>IF(計算用!$B$1=1,IFERROR(IF(SMALL(新年度名簿!$J$3:$J$452,$AD$3+39)&lt;2000,MATCH(SMALL(新年度名簿!$J$3:$J$452,$AD$3+39),新年度名簿!$J$3:$J$452,0),""),""),IFERROR(IF(SMALL(前年度名簿!$G$3:$G$452,$AD$3+39)&lt;2000,MATCH(SMALL(前年度名簿!$G$3:$G$452,$AD$3+39),前年度名簿!$G$3:$G$452,0),""),""))</f>
        <v/>
      </c>
      <c r="AE43" s="63">
        <f>IF(計算用!$B$1=1,IFERROR(IF(SMALL(新年度名簿!$J$3:$J$452,$AE$3+39)&lt;3000,MATCH(SMALL(新年度名簿!$J$3:$J$452,$AE$3+39),新年度名簿!$J$3:$J$452,0),""),""),IFERROR(IF(SMALL(前年度名簿!$G$3:$G$452,$AE$3+39)&lt;3000,MATCH(SMALL(前年度名簿!$G$3:$G$452,$AE$3+39),前年度名簿!$G$3:$G$452,0),""),""))</f>
        <v/>
      </c>
      <c r="AF43" s="63">
        <f>IF(計算用!$B$1=1,IFERROR(IF(SMALL(新年度名簿!$J$3:$J$452,$AF$3+39)&lt;4000,MATCH(SMALL(新年度名簿!$J$3:$J$452,$AF$3+39),新年度名簿!$J$3:$J$452,0),""),""),IFERROR(IF(SMALL(前年度名簿!$G$3:$G$452,$AF$3+39)&lt;4000,MATCH(SMALL(前年度名簿!$G$3:$G$452,$AF$3+39),前年度名簿!$G$3:$G$452,0),""),""))</f>
        <v/>
      </c>
      <c r="AG43" s="63">
        <f>IF(計算用!$B$1=1,IFERROR(IF(SMALL(新年度名簿!$J$3:$J$452,$AG$3+39)&lt;5000,MATCH(SMALL(新年度名簿!$J$3:$J$452,$AG$3+39),新年度名簿!$J$3:$J$452,0),""),""),IFERROR(IF(SMALL(前年度名簿!$G$3:$G$452,$AG$3+39)&lt;5000,MATCH(SMALL(前年度名簿!$G$3:$G$452,$AG$3+39),前年度名簿!$G$3:$G$452,0),""),""))</f>
        <v/>
      </c>
      <c r="AH43" s="63">
        <f>IF(計算用!$B$1=1,IFERROR(IF(SMALL(新年度名簿!$J$3:$J$452,$AH$3+39)&lt;6000,MATCH(SMALL(新年度名簿!$J$3:$J$452,$AH$3+39),新年度名簿!$J$3:$J$452,0),""),""),IFERROR(IF(SMALL(前年度名簿!$G$3:$G$452,$AH$3+39)&lt;6000,MATCH(SMALL(前年度名簿!$G$3:$G$452,$AH$3+39),前年度名簿!$G$3:$G$452,0),""),""))</f>
        <v/>
      </c>
      <c r="AI43" s="63">
        <f>IF(計算用!$B$1=1,IFERROR(IF(SMALL(新年度名簿!$J$3:$J$452,$AI$3+39)&lt;7000,MATCH(SMALL(新年度名簿!$J$3:$J$452,$AI$3+39),新年度名簿!$J$3:$J$452,0),""),""),IFERROR(IF(SMALL(前年度名簿!$G$3:$G$452,$AI$3+39)&lt;7000,MATCH(SMALL(前年度名簿!$G$3:$G$452,$AI$3+39),前年度名簿!$G$3:$G$452,0),""),""))</f>
        <v/>
      </c>
      <c r="AJ43" s="63">
        <f>IF(計算用!$B$1=1,IFERROR(IF(SMALL(新年度名簿!$J$3:$J$452,$AJ$3+39)&lt;8000,MATCH(SMALL(新年度名簿!$J$3:$J$452,$AJ$3+39),新年度名簿!$J$3:$J$452,0),""),""),IFERROR(IF(SMALL(前年度名簿!$G$3:$G$452,$AJ$3+39)&lt;8000,MATCH(SMALL(前年度名簿!$G$3:$G$452,$AJ$3+39),前年度名簿!$G$3:$G$452,0),""),""))</f>
        <v/>
      </c>
      <c r="AK43" s="63">
        <f>IF(計算用!$B$1=1,IFERROR(IF(SMALL(新年度名簿!$J$3:$J$452,$AK$3+39)&lt;9000,MATCH(SMALL(新年度名簿!$J$3:$J$452,$AK$3+39),新年度名簿!$J$3:$J$452,0),""),""),IFERROR(IF(SMALL(前年度名簿!$G$3:$G$452,$AK$3+39)&lt;9000,MATCH(SMALL(前年度名簿!$G$3:$G$452,$AK$3+39),前年度名簿!$G$3:$G$452,0),""),""))</f>
        <v/>
      </c>
    </row>
    <row r="44">
      <c r="A44" s="65">
        <f>IF($AD44="","",IF(計算用!$B$1=1,INDEX(新年度名簿!$C$3:$C$452,$AD44),INDEX(前年度名簿!$C$3:$C$452,$AD44)))</f>
        <v/>
      </c>
      <c r="B44" s="66">
        <f>IF($AD44="","",IF(計算用!$B$1=1,INDEX(新年度名簿!$D$3:$D$452,$AD44),INDEX(前年度名簿!$D$3:$D$452,$AD44)))</f>
        <v/>
      </c>
      <c r="C44" s="65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M$7:$M$456,MATCH($AD44,振り分け!$P$7:$P$456,0))="転出","転出",IF(INDEX(振り分け!$L$7:$L$456,MATCH($AD44,振り分け!$P$7:$P$456,0))="","未決定",INDEX(振り分け!$L$7:$L$456,MATCH($AD44,振り分け!$P$7:$P$456,0)))),"未決定")))</f>
        <v/>
      </c>
      <c r="D44" s="65">
        <f>IF($AE44="","",IF(計算用!$B$1=1,INDEX(新年度名簿!$C$3:$C$452,$AE44),INDEX(前年度名簿!$C$3:$C$452,$AE44)))</f>
        <v/>
      </c>
      <c r="E44" s="66">
        <f>IF($AE44="","",IF(計算用!$B$1=1,INDEX(新年度名簿!$D$3:$D$452,$AE44),INDEX(前年度名簿!$D$3:$D$452,$AE44)))</f>
        <v/>
      </c>
      <c r="F44" s="65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M$7:$M$456,MATCH($AE44,振り分け!$P$7:$P$456,0))="転出","転出",IF(INDEX(振り分け!$L$7:$L$456,MATCH($AE44,振り分け!$P$7:$P$456,0))="","未決定",INDEX(振り分け!$L$7:$L$456,MATCH($AE44,振り分け!$P$7:$P$456,0)))),"未決定")))</f>
        <v/>
      </c>
      <c r="G44" s="65">
        <f>IF($AF44="","",IF(計算用!$B$1=1,INDEX(新年度名簿!$C$3:$C$452,$AF44),INDEX(前年度名簿!$C$3:$C$452,$AF44)))</f>
        <v/>
      </c>
      <c r="H44" s="66">
        <f>IF($AF44="","",IF(計算用!$B$1=1,INDEX(新年度名簿!$D$3:$D$452,$AF44),INDEX(前年度名簿!$D$3:$D$452,$AF44)))</f>
        <v/>
      </c>
      <c r="I44" s="65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M$7:$M$456,MATCH($AF44,振り分け!$P$7:$P$456,0))="転出","転出",IF(INDEX(振り分け!$L$7:$L$456,MATCH($AF44,振り分け!$P$7:$P$456,0))="","未決定",INDEX(振り分け!$L$7:$L$456,MATCH($AF44,振り分け!$P$7:$P$456,0)))),"未決定")))</f>
        <v/>
      </c>
      <c r="J44" s="65">
        <f>IF($AG44="","",IF(計算用!$B$1=1,INDEX(新年度名簿!$C$3:$C$452,$AG44),INDEX(前年度名簿!$C$3:$C$452,$AG44)))</f>
        <v/>
      </c>
      <c r="K44" s="66">
        <f>IF($AG44="","",IF(計算用!$B$1=1,INDEX(新年度名簿!$D$3:$D$452,$AG44),INDEX(前年度名簿!$D$3:$D$452,$AG44)))</f>
        <v/>
      </c>
      <c r="L44" s="65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M$7:$M$456,MATCH($AG44,振り分け!$P$7:$P$456,0))="転出","転出",IF(INDEX(振り分け!$L$7:$L$456,MATCH($AG44,振り分け!$P$7:$P$456,0))="","未決定",INDEX(振り分け!$L$7:$L$456,MATCH($AG44,振り分け!$P$7:$P$456,0)))),"未決定")))</f>
        <v/>
      </c>
      <c r="M44" s="65">
        <f>IF($AH44="","",IF(計算用!$B$1=1,INDEX(新年度名簿!$C$3:$C$452,$AH44),INDEX(前年度名簿!$C$3:$C$452,$AH44)))</f>
        <v/>
      </c>
      <c r="N44" s="66">
        <f>IF($AH44="","",IF(計算用!$B$1=1,INDEX(新年度名簿!$D$3:$D$452,$AH44),INDEX(前年度名簿!$D$3:$D$452,$AH44)))</f>
        <v/>
      </c>
      <c r="O44" s="65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M$7:$M$456,MATCH($AH44,振り分け!$P$7:$P$456,0))="転出","転出",IF(INDEX(振り分け!$L$7:$L$456,MATCH($AH44,振り分け!$P$7:$P$456,0))="","未決定",INDEX(振り分け!$L$7:$L$456,MATCH($AH44,振り分け!$P$7:$P$456,0)))),"未決定")))</f>
        <v/>
      </c>
      <c r="P44" s="65">
        <f>IF($AI44="","",IF(計算用!$B$1=1,INDEX(新年度名簿!$C$3:$C$452,$AI44),INDEX(前年度名簿!$C$3:$C$452,$AI44)))</f>
        <v/>
      </c>
      <c r="Q44" s="66">
        <f>IF($AI44="","",IF(計算用!$B$1=1,INDEX(新年度名簿!$D$3:$D$452,$AI44),INDEX(前年度名簿!$D$3:$D$452,$AI44)))</f>
        <v/>
      </c>
      <c r="R44" s="65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M$7:$M$456,MATCH($AI44,振り分け!$P$7:$P$456,0))="転出","転出",IF(INDEX(振り分け!$L$7:$L$456,MATCH($AI44,振り分け!$P$7:$P$456,0))="","未決定",INDEX(振り分け!$L$7:$L$456,MATCH($AI44,振り分け!$P$7:$P$456,0)))),"未決定")))</f>
        <v/>
      </c>
      <c r="S44" s="65">
        <f>IF($AJ44="","",IF(計算用!$B$1=1,INDEX(新年度名簿!$C$3:$C$452,$AJ44),INDEX(前年度名簿!$C$3:$C$452,$AJ44)))</f>
        <v/>
      </c>
      <c r="T44" s="66">
        <f>IF($AJ44="","",IF(計算用!$B$1=1,INDEX(新年度名簿!$D$3:$D$452,$AJ44),INDEX(前年度名簿!$D$3:$D$452,$AJ44)))</f>
        <v/>
      </c>
      <c r="U44" s="65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M$7:$M$456,MATCH($AJ44,振り分け!$P$7:$P$456,0))="転出","転出",IF(INDEX(振り分け!$L$7:$L$456,MATCH($AJ44,振り分け!$P$7:$P$456,0))="","未決定",INDEX(振り分け!$L$7:$L$456,MATCH($AJ44,振り分け!$P$7:$P$456,0)))),"未決定")))</f>
        <v/>
      </c>
      <c r="V44" s="65">
        <f>IF($AK44="","",IF(計算用!$B$1=1,INDEX(新年度名簿!$C$3:$C$452,$AK44),INDEX(前年度名簿!$C$3:$C$452,$AK44)))</f>
        <v/>
      </c>
      <c r="W44" s="66">
        <f>IF($AK44="","",IF(計算用!$B$1=1,INDEX(新年度名簿!$D$3:$D$452,$AK44),INDEX(前年度名簿!$D$3:$D$452,$AK44)))</f>
        <v/>
      </c>
      <c r="X44" s="65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M$7:$M$456,MATCH($AK44,振り分け!$P$7:$P$456,0))="転出","転出",IF(INDEX(振り分け!$L$7:$L$456,MATCH($AK44,振り分け!$P$7:$P$456,0))="","未決定",INDEX(振り分け!$L$7:$L$456,MATCH($AK44,振り分け!$P$7:$P$456,0)))),"未決定")))</f>
        <v/>
      </c>
      <c r="AD44" s="63">
        <f>IF(計算用!$B$1=1,IFERROR(IF(SMALL(新年度名簿!$J$3:$J$452,$AD$3+40)&lt;2000,MATCH(SMALL(新年度名簿!$J$3:$J$452,$AD$3+40),新年度名簿!$J$3:$J$452,0),""),""),IFERROR(IF(SMALL(前年度名簿!$G$3:$G$452,$AD$3+40)&lt;2000,MATCH(SMALL(前年度名簿!$G$3:$G$452,$AD$3+40),前年度名簿!$G$3:$G$452,0),""),""))</f>
        <v/>
      </c>
      <c r="AE44" s="63">
        <f>IF(計算用!$B$1=1,IFERROR(IF(SMALL(新年度名簿!$J$3:$J$452,$AE$3+40)&lt;3000,MATCH(SMALL(新年度名簿!$J$3:$J$452,$AE$3+40),新年度名簿!$J$3:$J$452,0),""),""),IFERROR(IF(SMALL(前年度名簿!$G$3:$G$452,$AE$3+40)&lt;3000,MATCH(SMALL(前年度名簿!$G$3:$G$452,$AE$3+40),前年度名簿!$G$3:$G$452,0),""),""))</f>
        <v/>
      </c>
      <c r="AF44" s="63">
        <f>IF(計算用!$B$1=1,IFERROR(IF(SMALL(新年度名簿!$J$3:$J$452,$AF$3+40)&lt;4000,MATCH(SMALL(新年度名簿!$J$3:$J$452,$AF$3+40),新年度名簿!$J$3:$J$452,0),""),""),IFERROR(IF(SMALL(前年度名簿!$G$3:$G$452,$AF$3+40)&lt;4000,MATCH(SMALL(前年度名簿!$G$3:$G$452,$AF$3+40),前年度名簿!$G$3:$G$452,0),""),""))</f>
        <v/>
      </c>
      <c r="AG44" s="63">
        <f>IF(計算用!$B$1=1,IFERROR(IF(SMALL(新年度名簿!$J$3:$J$452,$AG$3+40)&lt;5000,MATCH(SMALL(新年度名簿!$J$3:$J$452,$AG$3+40),新年度名簿!$J$3:$J$452,0),""),""),IFERROR(IF(SMALL(前年度名簿!$G$3:$G$452,$AG$3+40)&lt;5000,MATCH(SMALL(前年度名簿!$G$3:$G$452,$AG$3+40),前年度名簿!$G$3:$G$452,0),""),""))</f>
        <v/>
      </c>
      <c r="AH44" s="63">
        <f>IF(計算用!$B$1=1,IFERROR(IF(SMALL(新年度名簿!$J$3:$J$452,$AH$3+40)&lt;6000,MATCH(SMALL(新年度名簿!$J$3:$J$452,$AH$3+40),新年度名簿!$J$3:$J$452,0),""),""),IFERROR(IF(SMALL(前年度名簿!$G$3:$G$452,$AH$3+40)&lt;6000,MATCH(SMALL(前年度名簿!$G$3:$G$452,$AH$3+40),前年度名簿!$G$3:$G$452,0),""),""))</f>
        <v/>
      </c>
      <c r="AI44" s="63">
        <f>IF(計算用!$B$1=1,IFERROR(IF(SMALL(新年度名簿!$J$3:$J$452,$AI$3+40)&lt;7000,MATCH(SMALL(新年度名簿!$J$3:$J$452,$AI$3+40),新年度名簿!$J$3:$J$452,0),""),""),IFERROR(IF(SMALL(前年度名簿!$G$3:$G$452,$AI$3+40)&lt;7000,MATCH(SMALL(前年度名簿!$G$3:$G$452,$AI$3+40),前年度名簿!$G$3:$G$452,0),""),""))</f>
        <v/>
      </c>
      <c r="AJ44" s="63">
        <f>IF(計算用!$B$1=1,IFERROR(IF(SMALL(新年度名簿!$J$3:$J$452,$AJ$3+40)&lt;8000,MATCH(SMALL(新年度名簿!$J$3:$J$452,$AJ$3+40),新年度名簿!$J$3:$J$452,0),""),""),IFERROR(IF(SMALL(前年度名簿!$G$3:$G$452,$AJ$3+40)&lt;8000,MATCH(SMALL(前年度名簿!$G$3:$G$452,$AJ$3+40),前年度名簿!$G$3:$G$452,0),""),""))</f>
        <v/>
      </c>
      <c r="AK44" s="63">
        <f>IF(計算用!$B$1=1,IFERROR(IF(SMALL(新年度名簿!$J$3:$J$452,$AK$3+40)&lt;9000,MATCH(SMALL(新年度名簿!$J$3:$J$452,$AK$3+40),新年度名簿!$J$3:$J$452,0),""),""),IFERROR(IF(SMALL(前年度名簿!$G$3:$G$452,$AK$3+40)&lt;9000,MATCH(SMALL(前年度名簿!$G$3:$G$452,$AK$3+40),前年度名簿!$G$3:$G$452,0),""),""))</f>
        <v/>
      </c>
    </row>
    <row r="45">
      <c r="A45" s="65">
        <f>IF($AD45="","",IF(計算用!$B$1=1,INDEX(新年度名簿!$C$3:$C$452,$AD45),INDEX(前年度名簿!$C$3:$C$452,$AD45)))</f>
        <v/>
      </c>
      <c r="B45" s="66">
        <f>IF($AD45="","",IF(計算用!$B$1=1,INDEX(新年度名簿!$D$3:$D$452,$AD45),INDEX(前年度名簿!$D$3:$D$452,$AD45)))</f>
        <v/>
      </c>
      <c r="C45" s="65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M$7:$M$456,MATCH($AD45,振り分け!$P$7:$P$456,0))="転出","転出",IF(INDEX(振り分け!$L$7:$L$456,MATCH($AD45,振り分け!$P$7:$P$456,0))="","未決定",INDEX(振り分け!$L$7:$L$456,MATCH($AD45,振り分け!$P$7:$P$456,0)))),"未決定")))</f>
        <v/>
      </c>
      <c r="D45" s="65">
        <f>IF($AE45="","",IF(計算用!$B$1=1,INDEX(新年度名簿!$C$3:$C$452,$AE45),INDEX(前年度名簿!$C$3:$C$452,$AE45)))</f>
        <v/>
      </c>
      <c r="E45" s="66">
        <f>IF($AE45="","",IF(計算用!$B$1=1,INDEX(新年度名簿!$D$3:$D$452,$AE45),INDEX(前年度名簿!$D$3:$D$452,$AE45)))</f>
        <v/>
      </c>
      <c r="F45" s="65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M$7:$M$456,MATCH($AE45,振り分け!$P$7:$P$456,0))="転出","転出",IF(INDEX(振り分け!$L$7:$L$456,MATCH($AE45,振り分け!$P$7:$P$456,0))="","未決定",INDEX(振り分け!$L$7:$L$456,MATCH($AE45,振り分け!$P$7:$P$456,0)))),"未決定")))</f>
        <v/>
      </c>
      <c r="G45" s="65">
        <f>IF($AF45="","",IF(計算用!$B$1=1,INDEX(新年度名簿!$C$3:$C$452,$AF45),INDEX(前年度名簿!$C$3:$C$452,$AF45)))</f>
        <v/>
      </c>
      <c r="H45" s="66">
        <f>IF($AF45="","",IF(計算用!$B$1=1,INDEX(新年度名簿!$D$3:$D$452,$AF45),INDEX(前年度名簿!$D$3:$D$452,$AF45)))</f>
        <v/>
      </c>
      <c r="I45" s="65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M$7:$M$456,MATCH($AF45,振り分け!$P$7:$P$456,0))="転出","転出",IF(INDEX(振り分け!$L$7:$L$456,MATCH($AF45,振り分け!$P$7:$P$456,0))="","未決定",INDEX(振り分け!$L$7:$L$456,MATCH($AF45,振り分け!$P$7:$P$456,0)))),"未決定")))</f>
        <v/>
      </c>
      <c r="J45" s="65">
        <f>IF($AG45="","",IF(計算用!$B$1=1,INDEX(新年度名簿!$C$3:$C$452,$AG45),INDEX(前年度名簿!$C$3:$C$452,$AG45)))</f>
        <v/>
      </c>
      <c r="K45" s="66">
        <f>IF($AG45="","",IF(計算用!$B$1=1,INDEX(新年度名簿!$D$3:$D$452,$AG45),INDEX(前年度名簿!$D$3:$D$452,$AG45)))</f>
        <v/>
      </c>
      <c r="L45" s="65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M$7:$M$456,MATCH($AG45,振り分け!$P$7:$P$456,0))="転出","転出",IF(INDEX(振り分け!$L$7:$L$456,MATCH($AG45,振り分け!$P$7:$P$456,0))="","未決定",INDEX(振り分け!$L$7:$L$456,MATCH($AG45,振り分け!$P$7:$P$456,0)))),"未決定")))</f>
        <v/>
      </c>
      <c r="M45" s="65">
        <f>IF($AH45="","",IF(計算用!$B$1=1,INDEX(新年度名簿!$C$3:$C$452,$AH45),INDEX(前年度名簿!$C$3:$C$452,$AH45)))</f>
        <v/>
      </c>
      <c r="N45" s="66">
        <f>IF($AH45="","",IF(計算用!$B$1=1,INDEX(新年度名簿!$D$3:$D$452,$AH45),INDEX(前年度名簿!$D$3:$D$452,$AH45)))</f>
        <v/>
      </c>
      <c r="O45" s="65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M$7:$M$456,MATCH($AH45,振り分け!$P$7:$P$456,0))="転出","転出",IF(INDEX(振り分け!$L$7:$L$456,MATCH($AH45,振り分け!$P$7:$P$456,0))="","未決定",INDEX(振り分け!$L$7:$L$456,MATCH($AH45,振り分け!$P$7:$P$456,0)))),"未決定")))</f>
        <v/>
      </c>
      <c r="P45" s="65">
        <f>IF($AI45="","",IF(計算用!$B$1=1,INDEX(新年度名簿!$C$3:$C$452,$AI45),INDEX(前年度名簿!$C$3:$C$452,$AI45)))</f>
        <v/>
      </c>
      <c r="Q45" s="66">
        <f>IF($AI45="","",IF(計算用!$B$1=1,INDEX(新年度名簿!$D$3:$D$452,$AI45),INDEX(前年度名簿!$D$3:$D$452,$AI45)))</f>
        <v/>
      </c>
      <c r="R45" s="65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M$7:$M$456,MATCH($AI45,振り分け!$P$7:$P$456,0))="転出","転出",IF(INDEX(振り分け!$L$7:$L$456,MATCH($AI45,振り分け!$P$7:$P$456,0))="","未決定",INDEX(振り分け!$L$7:$L$456,MATCH($AI45,振り分け!$P$7:$P$456,0)))),"未決定")))</f>
        <v/>
      </c>
      <c r="S45" s="65">
        <f>IF($AJ45="","",IF(計算用!$B$1=1,INDEX(新年度名簿!$C$3:$C$452,$AJ45),INDEX(前年度名簿!$C$3:$C$452,$AJ45)))</f>
        <v/>
      </c>
      <c r="T45" s="66">
        <f>IF($AJ45="","",IF(計算用!$B$1=1,INDEX(新年度名簿!$D$3:$D$452,$AJ45),INDEX(前年度名簿!$D$3:$D$452,$AJ45)))</f>
        <v/>
      </c>
      <c r="U45" s="65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M$7:$M$456,MATCH($AJ45,振り分け!$P$7:$P$456,0))="転出","転出",IF(INDEX(振り分け!$L$7:$L$456,MATCH($AJ45,振り分け!$P$7:$P$456,0))="","未決定",INDEX(振り分け!$L$7:$L$456,MATCH($AJ45,振り分け!$P$7:$P$456,0)))),"未決定")))</f>
        <v/>
      </c>
      <c r="V45" s="65">
        <f>IF($AK45="","",IF(計算用!$B$1=1,INDEX(新年度名簿!$C$3:$C$452,$AK45),INDEX(前年度名簿!$C$3:$C$452,$AK45)))</f>
        <v/>
      </c>
      <c r="W45" s="66">
        <f>IF($AK45="","",IF(計算用!$B$1=1,INDEX(新年度名簿!$D$3:$D$452,$AK45),INDEX(前年度名簿!$D$3:$D$452,$AK45)))</f>
        <v/>
      </c>
      <c r="X45" s="65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M$7:$M$456,MATCH($AK45,振り分け!$P$7:$P$456,0))="転出","転出",IF(INDEX(振り分け!$L$7:$L$456,MATCH($AK45,振り分け!$P$7:$P$456,0))="","未決定",INDEX(振り分け!$L$7:$L$456,MATCH($AK45,振り分け!$P$7:$P$456,0)))),"未決定")))</f>
        <v/>
      </c>
      <c r="AD45" s="63">
        <f>IF(計算用!$B$1=1,IFERROR(IF(SMALL(新年度名簿!$J$3:$J$452,$AD$3+41)&lt;2000,MATCH(SMALL(新年度名簿!$J$3:$J$452,$AD$3+41),新年度名簿!$J$3:$J$452,0),""),""),IFERROR(IF(SMALL(前年度名簿!$G$3:$G$452,$AD$3+41)&lt;2000,MATCH(SMALL(前年度名簿!$G$3:$G$452,$AD$3+41),前年度名簿!$G$3:$G$452,0),""),""))</f>
        <v/>
      </c>
      <c r="AE45" s="63">
        <f>IF(計算用!$B$1=1,IFERROR(IF(SMALL(新年度名簿!$J$3:$J$452,$AE$3+41)&lt;3000,MATCH(SMALL(新年度名簿!$J$3:$J$452,$AE$3+41),新年度名簿!$J$3:$J$452,0),""),""),IFERROR(IF(SMALL(前年度名簿!$G$3:$G$452,$AE$3+41)&lt;3000,MATCH(SMALL(前年度名簿!$G$3:$G$452,$AE$3+41),前年度名簿!$G$3:$G$452,0),""),""))</f>
        <v/>
      </c>
      <c r="AF45" s="63">
        <f>IF(計算用!$B$1=1,IFERROR(IF(SMALL(新年度名簿!$J$3:$J$452,$AF$3+41)&lt;4000,MATCH(SMALL(新年度名簿!$J$3:$J$452,$AF$3+41),新年度名簿!$J$3:$J$452,0),""),""),IFERROR(IF(SMALL(前年度名簿!$G$3:$G$452,$AF$3+41)&lt;4000,MATCH(SMALL(前年度名簿!$G$3:$G$452,$AF$3+41),前年度名簿!$G$3:$G$452,0),""),""))</f>
        <v/>
      </c>
      <c r="AG45" s="63">
        <f>IF(計算用!$B$1=1,IFERROR(IF(SMALL(新年度名簿!$J$3:$J$452,$AG$3+41)&lt;5000,MATCH(SMALL(新年度名簿!$J$3:$J$452,$AG$3+41),新年度名簿!$J$3:$J$452,0),""),""),IFERROR(IF(SMALL(前年度名簿!$G$3:$G$452,$AG$3+41)&lt;5000,MATCH(SMALL(前年度名簿!$G$3:$G$452,$AG$3+41),前年度名簿!$G$3:$G$452,0),""),""))</f>
        <v/>
      </c>
      <c r="AH45" s="63">
        <f>IF(計算用!$B$1=1,IFERROR(IF(SMALL(新年度名簿!$J$3:$J$452,$AH$3+41)&lt;6000,MATCH(SMALL(新年度名簿!$J$3:$J$452,$AH$3+41),新年度名簿!$J$3:$J$452,0),""),""),IFERROR(IF(SMALL(前年度名簿!$G$3:$G$452,$AH$3+41)&lt;6000,MATCH(SMALL(前年度名簿!$G$3:$G$452,$AH$3+41),前年度名簿!$G$3:$G$452,0),""),""))</f>
        <v/>
      </c>
      <c r="AI45" s="63">
        <f>IF(計算用!$B$1=1,IFERROR(IF(SMALL(新年度名簿!$J$3:$J$452,$AI$3+41)&lt;7000,MATCH(SMALL(新年度名簿!$J$3:$J$452,$AI$3+41),新年度名簿!$J$3:$J$452,0),""),""),IFERROR(IF(SMALL(前年度名簿!$G$3:$G$452,$AI$3+41)&lt;7000,MATCH(SMALL(前年度名簿!$G$3:$G$452,$AI$3+41),前年度名簿!$G$3:$G$452,0),""),""))</f>
        <v/>
      </c>
      <c r="AJ45" s="63">
        <f>IF(計算用!$B$1=1,IFERROR(IF(SMALL(新年度名簿!$J$3:$J$452,$AJ$3+41)&lt;8000,MATCH(SMALL(新年度名簿!$J$3:$J$452,$AJ$3+41),新年度名簿!$J$3:$J$452,0),""),""),IFERROR(IF(SMALL(前年度名簿!$G$3:$G$452,$AJ$3+41)&lt;8000,MATCH(SMALL(前年度名簿!$G$3:$G$452,$AJ$3+41),前年度名簿!$G$3:$G$452,0),""),""))</f>
        <v/>
      </c>
      <c r="AK45" s="63">
        <f>IF(計算用!$B$1=1,IFERROR(IF(SMALL(新年度名簿!$J$3:$J$452,$AK$3+41)&lt;9000,MATCH(SMALL(新年度名簿!$J$3:$J$452,$AK$3+41),新年度名簿!$J$3:$J$452,0),""),""),IFERROR(IF(SMALL(前年度名簿!$G$3:$G$452,$AK$3+41)&lt;9000,MATCH(SMALL(前年度名簿!$G$3:$G$452,$AK$3+41),前年度名簿!$G$3:$G$452,0),""),""))</f>
        <v/>
      </c>
    </row>
    <row r="46">
      <c r="A46" s="65">
        <f>IF($AD46="","",IF(計算用!$B$1=1,INDEX(新年度名簿!$C$3:$C$452,$AD46),INDEX(前年度名簿!$C$3:$C$452,$AD46)))</f>
        <v/>
      </c>
      <c r="B46" s="66">
        <f>IF($AD46="","",IF(計算用!$B$1=1,INDEX(新年度名簿!$D$3:$D$452,$AD46),INDEX(前年度名簿!$D$3:$D$452,$AD46)))</f>
        <v/>
      </c>
      <c r="C46" s="65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M$7:$M$456,MATCH($AD46,振り分け!$P$7:$P$456,0))="転出","転出",IF(INDEX(振り分け!$L$7:$L$456,MATCH($AD46,振り分け!$P$7:$P$456,0))="","未決定",INDEX(振り分け!$L$7:$L$456,MATCH($AD46,振り分け!$P$7:$P$456,0)))),"未決定")))</f>
        <v/>
      </c>
      <c r="D46" s="65">
        <f>IF($AE46="","",IF(計算用!$B$1=1,INDEX(新年度名簿!$C$3:$C$452,$AE46),INDEX(前年度名簿!$C$3:$C$452,$AE46)))</f>
        <v/>
      </c>
      <c r="E46" s="66">
        <f>IF($AE46="","",IF(計算用!$B$1=1,INDEX(新年度名簿!$D$3:$D$452,$AE46),INDEX(前年度名簿!$D$3:$D$452,$AE46)))</f>
        <v/>
      </c>
      <c r="F46" s="65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M$7:$M$456,MATCH($AE46,振り分け!$P$7:$P$456,0))="転出","転出",IF(INDEX(振り分け!$L$7:$L$456,MATCH($AE46,振り分け!$P$7:$P$456,0))="","未決定",INDEX(振り分け!$L$7:$L$456,MATCH($AE46,振り分け!$P$7:$P$456,0)))),"未決定")))</f>
        <v/>
      </c>
      <c r="G46" s="65">
        <f>IF($AF46="","",IF(計算用!$B$1=1,INDEX(新年度名簿!$C$3:$C$452,$AF46),INDEX(前年度名簿!$C$3:$C$452,$AF46)))</f>
        <v/>
      </c>
      <c r="H46" s="66">
        <f>IF($AF46="","",IF(計算用!$B$1=1,INDEX(新年度名簿!$D$3:$D$452,$AF46),INDEX(前年度名簿!$D$3:$D$452,$AF46)))</f>
        <v/>
      </c>
      <c r="I46" s="65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M$7:$M$456,MATCH($AF46,振り分け!$P$7:$P$456,0))="転出","転出",IF(INDEX(振り分け!$L$7:$L$456,MATCH($AF46,振り分け!$P$7:$P$456,0))="","未決定",INDEX(振り分け!$L$7:$L$456,MATCH($AF46,振り分け!$P$7:$P$456,0)))),"未決定")))</f>
        <v/>
      </c>
      <c r="J46" s="65">
        <f>IF($AG46="","",IF(計算用!$B$1=1,INDEX(新年度名簿!$C$3:$C$452,$AG46),INDEX(前年度名簿!$C$3:$C$452,$AG46)))</f>
        <v/>
      </c>
      <c r="K46" s="66">
        <f>IF($AG46="","",IF(計算用!$B$1=1,INDEX(新年度名簿!$D$3:$D$452,$AG46),INDEX(前年度名簿!$D$3:$D$452,$AG46)))</f>
        <v/>
      </c>
      <c r="L46" s="65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M$7:$M$456,MATCH($AG46,振り分け!$P$7:$P$456,0))="転出","転出",IF(INDEX(振り分け!$L$7:$L$456,MATCH($AG46,振り分け!$P$7:$P$456,0))="","未決定",INDEX(振り分け!$L$7:$L$456,MATCH($AG46,振り分け!$P$7:$P$456,0)))),"未決定")))</f>
        <v/>
      </c>
      <c r="M46" s="65">
        <f>IF($AH46="","",IF(計算用!$B$1=1,INDEX(新年度名簿!$C$3:$C$452,$AH46),INDEX(前年度名簿!$C$3:$C$452,$AH46)))</f>
        <v/>
      </c>
      <c r="N46" s="66">
        <f>IF($AH46="","",IF(計算用!$B$1=1,INDEX(新年度名簿!$D$3:$D$452,$AH46),INDEX(前年度名簿!$D$3:$D$452,$AH46)))</f>
        <v/>
      </c>
      <c r="O46" s="65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M$7:$M$456,MATCH($AH46,振り分け!$P$7:$P$456,0))="転出","転出",IF(INDEX(振り分け!$L$7:$L$456,MATCH($AH46,振り分け!$P$7:$P$456,0))="","未決定",INDEX(振り分け!$L$7:$L$456,MATCH($AH46,振り分け!$P$7:$P$456,0)))),"未決定")))</f>
        <v/>
      </c>
      <c r="P46" s="65">
        <f>IF($AI46="","",IF(計算用!$B$1=1,INDEX(新年度名簿!$C$3:$C$452,$AI46),INDEX(前年度名簿!$C$3:$C$452,$AI46)))</f>
        <v/>
      </c>
      <c r="Q46" s="66">
        <f>IF($AI46="","",IF(計算用!$B$1=1,INDEX(新年度名簿!$D$3:$D$452,$AI46),INDEX(前年度名簿!$D$3:$D$452,$AI46)))</f>
        <v/>
      </c>
      <c r="R46" s="65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M$7:$M$456,MATCH($AI46,振り分け!$P$7:$P$456,0))="転出","転出",IF(INDEX(振り分け!$L$7:$L$456,MATCH($AI46,振り分け!$P$7:$P$456,0))="","未決定",INDEX(振り分け!$L$7:$L$456,MATCH($AI46,振り分け!$P$7:$P$456,0)))),"未決定")))</f>
        <v/>
      </c>
      <c r="S46" s="65">
        <f>IF($AJ46="","",IF(計算用!$B$1=1,INDEX(新年度名簿!$C$3:$C$452,$AJ46),INDEX(前年度名簿!$C$3:$C$452,$AJ46)))</f>
        <v/>
      </c>
      <c r="T46" s="66">
        <f>IF($AJ46="","",IF(計算用!$B$1=1,INDEX(新年度名簿!$D$3:$D$452,$AJ46),INDEX(前年度名簿!$D$3:$D$452,$AJ46)))</f>
        <v/>
      </c>
      <c r="U46" s="65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M$7:$M$456,MATCH($AJ46,振り分け!$P$7:$P$456,0))="転出","転出",IF(INDEX(振り分け!$L$7:$L$456,MATCH($AJ46,振り分け!$P$7:$P$456,0))="","未決定",INDEX(振り分け!$L$7:$L$456,MATCH($AJ46,振り分け!$P$7:$P$456,0)))),"未決定")))</f>
        <v/>
      </c>
      <c r="V46" s="65">
        <f>IF($AK46="","",IF(計算用!$B$1=1,INDEX(新年度名簿!$C$3:$C$452,$AK46),INDEX(前年度名簿!$C$3:$C$452,$AK46)))</f>
        <v/>
      </c>
      <c r="W46" s="66">
        <f>IF($AK46="","",IF(計算用!$B$1=1,INDEX(新年度名簿!$D$3:$D$452,$AK46),INDEX(前年度名簿!$D$3:$D$452,$AK46)))</f>
        <v/>
      </c>
      <c r="X46" s="65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M$7:$M$456,MATCH($AK46,振り分け!$P$7:$P$456,0))="転出","転出",IF(INDEX(振り分け!$L$7:$L$456,MATCH($AK46,振り分け!$P$7:$P$456,0))="","未決定",INDEX(振り分け!$L$7:$L$456,MATCH($AK46,振り分け!$P$7:$P$456,0)))),"未決定")))</f>
        <v/>
      </c>
      <c r="AD46" s="63">
        <f>IF(計算用!$B$1=1,IFERROR(IF(SMALL(新年度名簿!$J$3:$J$452,$AD$3+42)&lt;2000,MATCH(SMALL(新年度名簿!$J$3:$J$452,$AD$3+42),新年度名簿!$J$3:$J$452,0),""),""),IFERROR(IF(SMALL(前年度名簿!$G$3:$G$452,$AD$3+42)&lt;2000,MATCH(SMALL(前年度名簿!$G$3:$G$452,$AD$3+42),前年度名簿!$G$3:$G$452,0),""),""))</f>
        <v/>
      </c>
      <c r="AE46" s="63">
        <f>IF(計算用!$B$1=1,IFERROR(IF(SMALL(新年度名簿!$J$3:$J$452,$AE$3+42)&lt;3000,MATCH(SMALL(新年度名簿!$J$3:$J$452,$AE$3+42),新年度名簿!$J$3:$J$452,0),""),""),IFERROR(IF(SMALL(前年度名簿!$G$3:$G$452,$AE$3+42)&lt;3000,MATCH(SMALL(前年度名簿!$G$3:$G$452,$AE$3+42),前年度名簿!$G$3:$G$452,0),""),""))</f>
        <v/>
      </c>
      <c r="AF46" s="63">
        <f>IF(計算用!$B$1=1,IFERROR(IF(SMALL(新年度名簿!$J$3:$J$452,$AF$3+42)&lt;4000,MATCH(SMALL(新年度名簿!$J$3:$J$452,$AF$3+42),新年度名簿!$J$3:$J$452,0),""),""),IFERROR(IF(SMALL(前年度名簿!$G$3:$G$452,$AF$3+42)&lt;4000,MATCH(SMALL(前年度名簿!$G$3:$G$452,$AF$3+42),前年度名簿!$G$3:$G$452,0),""),""))</f>
        <v/>
      </c>
      <c r="AG46" s="63">
        <f>IF(計算用!$B$1=1,IFERROR(IF(SMALL(新年度名簿!$J$3:$J$452,$AG$3+42)&lt;5000,MATCH(SMALL(新年度名簿!$J$3:$J$452,$AG$3+42),新年度名簿!$J$3:$J$452,0),""),""),IFERROR(IF(SMALL(前年度名簿!$G$3:$G$452,$AG$3+42)&lt;5000,MATCH(SMALL(前年度名簿!$G$3:$G$452,$AG$3+42),前年度名簿!$G$3:$G$452,0),""),""))</f>
        <v/>
      </c>
      <c r="AH46" s="63">
        <f>IF(計算用!$B$1=1,IFERROR(IF(SMALL(新年度名簿!$J$3:$J$452,$AH$3+42)&lt;6000,MATCH(SMALL(新年度名簿!$J$3:$J$452,$AH$3+42),新年度名簿!$J$3:$J$452,0),""),""),IFERROR(IF(SMALL(前年度名簿!$G$3:$G$452,$AH$3+42)&lt;6000,MATCH(SMALL(前年度名簿!$G$3:$G$452,$AH$3+42),前年度名簿!$G$3:$G$452,0),""),""))</f>
        <v/>
      </c>
      <c r="AI46" s="63">
        <f>IF(計算用!$B$1=1,IFERROR(IF(SMALL(新年度名簿!$J$3:$J$452,$AI$3+42)&lt;7000,MATCH(SMALL(新年度名簿!$J$3:$J$452,$AI$3+42),新年度名簿!$J$3:$J$452,0),""),""),IFERROR(IF(SMALL(前年度名簿!$G$3:$G$452,$AI$3+42)&lt;7000,MATCH(SMALL(前年度名簿!$G$3:$G$452,$AI$3+42),前年度名簿!$G$3:$G$452,0),""),""))</f>
        <v/>
      </c>
      <c r="AJ46" s="63">
        <f>IF(計算用!$B$1=1,IFERROR(IF(SMALL(新年度名簿!$J$3:$J$452,$AJ$3+42)&lt;8000,MATCH(SMALL(新年度名簿!$J$3:$J$452,$AJ$3+42),新年度名簿!$J$3:$J$452,0),""),""),IFERROR(IF(SMALL(前年度名簿!$G$3:$G$452,$AJ$3+42)&lt;8000,MATCH(SMALL(前年度名簿!$G$3:$G$452,$AJ$3+42),前年度名簿!$G$3:$G$452,0),""),""))</f>
        <v/>
      </c>
      <c r="AK46" s="63">
        <f>IF(計算用!$B$1=1,IFERROR(IF(SMALL(新年度名簿!$J$3:$J$452,$AK$3+42)&lt;9000,MATCH(SMALL(新年度名簿!$J$3:$J$452,$AK$3+42),新年度名簿!$J$3:$J$452,0),""),""),IFERROR(IF(SMALL(前年度名簿!$G$3:$G$452,$AK$3+42)&lt;9000,MATCH(SMALL(前年度名簿!$G$3:$G$452,$AK$3+42),前年度名簿!$G$3:$G$452,0),""),""))</f>
        <v/>
      </c>
    </row>
    <row r="47">
      <c r="A47" s="65">
        <f>IF($AD47="","",IF(計算用!$B$1=1,INDEX(新年度名簿!$C$3:$C$452,$AD47),INDEX(前年度名簿!$C$3:$C$452,$AD47)))</f>
        <v/>
      </c>
      <c r="B47" s="66">
        <f>IF($AD47="","",IF(計算用!$B$1=1,INDEX(新年度名簿!$D$3:$D$452,$AD47),INDEX(前年度名簿!$D$3:$D$452,$AD47)))</f>
        <v/>
      </c>
      <c r="C47" s="65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M$7:$M$456,MATCH($AD47,振り分け!$P$7:$P$456,0))="転出","転出",IF(INDEX(振り分け!$L$7:$L$456,MATCH($AD47,振り分け!$P$7:$P$456,0))="","未決定",INDEX(振り分け!$L$7:$L$456,MATCH($AD47,振り分け!$P$7:$P$456,0)))),"未決定")))</f>
        <v/>
      </c>
      <c r="D47" s="65">
        <f>IF($AE47="","",IF(計算用!$B$1=1,INDEX(新年度名簿!$C$3:$C$452,$AE47),INDEX(前年度名簿!$C$3:$C$452,$AE47)))</f>
        <v/>
      </c>
      <c r="E47" s="66">
        <f>IF($AE47="","",IF(計算用!$B$1=1,INDEX(新年度名簿!$D$3:$D$452,$AE47),INDEX(前年度名簿!$D$3:$D$452,$AE47)))</f>
        <v/>
      </c>
      <c r="F47" s="65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M$7:$M$456,MATCH($AE47,振り分け!$P$7:$P$456,0))="転出","転出",IF(INDEX(振り分け!$L$7:$L$456,MATCH($AE47,振り分け!$P$7:$P$456,0))="","未決定",INDEX(振り分け!$L$7:$L$456,MATCH($AE47,振り分け!$P$7:$P$456,0)))),"未決定")))</f>
        <v/>
      </c>
      <c r="G47" s="65">
        <f>IF($AF47="","",IF(計算用!$B$1=1,INDEX(新年度名簿!$C$3:$C$452,$AF47),INDEX(前年度名簿!$C$3:$C$452,$AF47)))</f>
        <v/>
      </c>
      <c r="H47" s="66">
        <f>IF($AF47="","",IF(計算用!$B$1=1,INDEX(新年度名簿!$D$3:$D$452,$AF47),INDEX(前年度名簿!$D$3:$D$452,$AF47)))</f>
        <v/>
      </c>
      <c r="I47" s="65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M$7:$M$456,MATCH($AF47,振り分け!$P$7:$P$456,0))="転出","転出",IF(INDEX(振り分け!$L$7:$L$456,MATCH($AF47,振り分け!$P$7:$P$456,0))="","未決定",INDEX(振り分け!$L$7:$L$456,MATCH($AF47,振り分け!$P$7:$P$456,0)))),"未決定")))</f>
        <v/>
      </c>
      <c r="J47" s="65">
        <f>IF($AG47="","",IF(計算用!$B$1=1,INDEX(新年度名簿!$C$3:$C$452,$AG47),INDEX(前年度名簿!$C$3:$C$452,$AG47)))</f>
        <v/>
      </c>
      <c r="K47" s="66">
        <f>IF($AG47="","",IF(計算用!$B$1=1,INDEX(新年度名簿!$D$3:$D$452,$AG47),INDEX(前年度名簿!$D$3:$D$452,$AG47)))</f>
        <v/>
      </c>
      <c r="L47" s="65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M$7:$M$456,MATCH($AG47,振り分け!$P$7:$P$456,0))="転出","転出",IF(INDEX(振り分け!$L$7:$L$456,MATCH($AG47,振り分け!$P$7:$P$456,0))="","未決定",INDEX(振り分け!$L$7:$L$456,MATCH($AG47,振り分け!$P$7:$P$456,0)))),"未決定")))</f>
        <v/>
      </c>
      <c r="M47" s="65">
        <f>IF($AH47="","",IF(計算用!$B$1=1,INDEX(新年度名簿!$C$3:$C$452,$AH47),INDEX(前年度名簿!$C$3:$C$452,$AH47)))</f>
        <v/>
      </c>
      <c r="N47" s="66">
        <f>IF($AH47="","",IF(計算用!$B$1=1,INDEX(新年度名簿!$D$3:$D$452,$AH47),INDEX(前年度名簿!$D$3:$D$452,$AH47)))</f>
        <v/>
      </c>
      <c r="O47" s="65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M$7:$M$456,MATCH($AH47,振り分け!$P$7:$P$456,0))="転出","転出",IF(INDEX(振り分け!$L$7:$L$456,MATCH($AH47,振り分け!$P$7:$P$456,0))="","未決定",INDEX(振り分け!$L$7:$L$456,MATCH($AH47,振り分け!$P$7:$P$456,0)))),"未決定")))</f>
        <v/>
      </c>
      <c r="P47" s="65">
        <f>IF($AI47="","",IF(計算用!$B$1=1,INDEX(新年度名簿!$C$3:$C$452,$AI47),INDEX(前年度名簿!$C$3:$C$452,$AI47)))</f>
        <v/>
      </c>
      <c r="Q47" s="66">
        <f>IF($AI47="","",IF(計算用!$B$1=1,INDEX(新年度名簿!$D$3:$D$452,$AI47),INDEX(前年度名簿!$D$3:$D$452,$AI47)))</f>
        <v/>
      </c>
      <c r="R47" s="65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M$7:$M$456,MATCH($AI47,振り分け!$P$7:$P$456,0))="転出","転出",IF(INDEX(振り分け!$L$7:$L$456,MATCH($AI47,振り分け!$P$7:$P$456,0))="","未決定",INDEX(振り分け!$L$7:$L$456,MATCH($AI47,振り分け!$P$7:$P$456,0)))),"未決定")))</f>
        <v/>
      </c>
      <c r="S47" s="65">
        <f>IF($AJ47="","",IF(計算用!$B$1=1,INDEX(新年度名簿!$C$3:$C$452,$AJ47),INDEX(前年度名簿!$C$3:$C$452,$AJ47)))</f>
        <v/>
      </c>
      <c r="T47" s="66">
        <f>IF($AJ47="","",IF(計算用!$B$1=1,INDEX(新年度名簿!$D$3:$D$452,$AJ47),INDEX(前年度名簿!$D$3:$D$452,$AJ47)))</f>
        <v/>
      </c>
      <c r="U47" s="65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M$7:$M$456,MATCH($AJ47,振り分け!$P$7:$P$456,0))="転出","転出",IF(INDEX(振り分け!$L$7:$L$456,MATCH($AJ47,振り分け!$P$7:$P$456,0))="","未決定",INDEX(振り分け!$L$7:$L$456,MATCH($AJ47,振り分け!$P$7:$P$456,0)))),"未決定")))</f>
        <v/>
      </c>
      <c r="V47" s="65">
        <f>IF($AK47="","",IF(計算用!$B$1=1,INDEX(新年度名簿!$C$3:$C$452,$AK47),INDEX(前年度名簿!$C$3:$C$452,$AK47)))</f>
        <v/>
      </c>
      <c r="W47" s="66">
        <f>IF($AK47="","",IF(計算用!$B$1=1,INDEX(新年度名簿!$D$3:$D$452,$AK47),INDEX(前年度名簿!$D$3:$D$452,$AK47)))</f>
        <v/>
      </c>
      <c r="X47" s="65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M$7:$M$456,MATCH($AK47,振り分け!$P$7:$P$456,0))="転出","転出",IF(INDEX(振り分け!$L$7:$L$456,MATCH($AK47,振り分け!$P$7:$P$456,0))="","未決定",INDEX(振り分け!$L$7:$L$456,MATCH($AK47,振り分け!$P$7:$P$456,0)))),"未決定")))</f>
        <v/>
      </c>
      <c r="AD47" s="63">
        <f>IF(計算用!$B$1=1,IFERROR(IF(SMALL(新年度名簿!$J$3:$J$452,$AD$3+43)&lt;2000,MATCH(SMALL(新年度名簿!$J$3:$J$452,$AD$3+43),新年度名簿!$J$3:$J$452,0),""),""),IFERROR(IF(SMALL(前年度名簿!$G$3:$G$452,$AD$3+43)&lt;2000,MATCH(SMALL(前年度名簿!$G$3:$G$452,$AD$3+43),前年度名簿!$G$3:$G$452,0),""),""))</f>
        <v/>
      </c>
      <c r="AE47" s="63">
        <f>IF(計算用!$B$1=1,IFERROR(IF(SMALL(新年度名簿!$J$3:$J$452,$AE$3+43)&lt;3000,MATCH(SMALL(新年度名簿!$J$3:$J$452,$AE$3+43),新年度名簿!$J$3:$J$452,0),""),""),IFERROR(IF(SMALL(前年度名簿!$G$3:$G$452,$AE$3+43)&lt;3000,MATCH(SMALL(前年度名簿!$G$3:$G$452,$AE$3+43),前年度名簿!$G$3:$G$452,0),""),""))</f>
        <v/>
      </c>
      <c r="AF47" s="63">
        <f>IF(計算用!$B$1=1,IFERROR(IF(SMALL(新年度名簿!$J$3:$J$452,$AF$3+43)&lt;4000,MATCH(SMALL(新年度名簿!$J$3:$J$452,$AF$3+43),新年度名簿!$J$3:$J$452,0),""),""),IFERROR(IF(SMALL(前年度名簿!$G$3:$G$452,$AF$3+43)&lt;4000,MATCH(SMALL(前年度名簿!$G$3:$G$452,$AF$3+43),前年度名簿!$G$3:$G$452,0),""),""))</f>
        <v/>
      </c>
      <c r="AG47" s="63">
        <f>IF(計算用!$B$1=1,IFERROR(IF(SMALL(新年度名簿!$J$3:$J$452,$AG$3+43)&lt;5000,MATCH(SMALL(新年度名簿!$J$3:$J$452,$AG$3+43),新年度名簿!$J$3:$J$452,0),""),""),IFERROR(IF(SMALL(前年度名簿!$G$3:$G$452,$AG$3+43)&lt;5000,MATCH(SMALL(前年度名簿!$G$3:$G$452,$AG$3+43),前年度名簿!$G$3:$G$452,0),""),""))</f>
        <v/>
      </c>
      <c r="AH47" s="63">
        <f>IF(計算用!$B$1=1,IFERROR(IF(SMALL(新年度名簿!$J$3:$J$452,$AH$3+43)&lt;6000,MATCH(SMALL(新年度名簿!$J$3:$J$452,$AH$3+43),新年度名簿!$J$3:$J$452,0),""),""),IFERROR(IF(SMALL(前年度名簿!$G$3:$G$452,$AH$3+43)&lt;6000,MATCH(SMALL(前年度名簿!$G$3:$G$452,$AH$3+43),前年度名簿!$G$3:$G$452,0),""),""))</f>
        <v/>
      </c>
      <c r="AI47" s="63">
        <f>IF(計算用!$B$1=1,IFERROR(IF(SMALL(新年度名簿!$J$3:$J$452,$AI$3+43)&lt;7000,MATCH(SMALL(新年度名簿!$J$3:$J$452,$AI$3+43),新年度名簿!$J$3:$J$452,0),""),""),IFERROR(IF(SMALL(前年度名簿!$G$3:$G$452,$AI$3+43)&lt;7000,MATCH(SMALL(前年度名簿!$G$3:$G$452,$AI$3+43),前年度名簿!$G$3:$G$452,0),""),""))</f>
        <v/>
      </c>
      <c r="AJ47" s="63">
        <f>IF(計算用!$B$1=1,IFERROR(IF(SMALL(新年度名簿!$J$3:$J$452,$AJ$3+43)&lt;8000,MATCH(SMALL(新年度名簿!$J$3:$J$452,$AJ$3+43),新年度名簿!$J$3:$J$452,0),""),""),IFERROR(IF(SMALL(前年度名簿!$G$3:$G$452,$AJ$3+43)&lt;8000,MATCH(SMALL(前年度名簿!$G$3:$G$452,$AJ$3+43),前年度名簿!$G$3:$G$452,0),""),""))</f>
        <v/>
      </c>
      <c r="AK47" s="63">
        <f>IF(計算用!$B$1=1,IFERROR(IF(SMALL(新年度名簿!$J$3:$J$452,$AK$3+43)&lt;9000,MATCH(SMALL(新年度名簿!$J$3:$J$452,$AK$3+43),新年度名簿!$J$3:$J$452,0),""),""),IFERROR(IF(SMALL(前年度名簿!$G$3:$G$452,$AK$3+43)&lt;9000,MATCH(SMALL(前年度名簿!$G$3:$G$452,$AK$3+43),前年度名簿!$G$3:$G$452,0),""),""))</f>
        <v/>
      </c>
    </row>
    <row r="48">
      <c r="A48" s="65">
        <f>IF($AD48="","",IF(計算用!$B$1=1,INDEX(新年度名簿!$C$3:$C$452,$AD48),INDEX(前年度名簿!$C$3:$C$452,$AD48)))</f>
        <v/>
      </c>
      <c r="B48" s="66">
        <f>IF($AD48="","",IF(計算用!$B$1=1,INDEX(新年度名簿!$D$3:$D$452,$AD48),INDEX(前年度名簿!$D$3:$D$452,$AD48)))</f>
        <v/>
      </c>
      <c r="C48" s="65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M$7:$M$456,MATCH($AD48,振り分け!$P$7:$P$456,0))="転出","転出",IF(INDEX(振り分け!$L$7:$L$456,MATCH($AD48,振り分け!$P$7:$P$456,0))="","未決定",INDEX(振り分け!$L$7:$L$456,MATCH($AD48,振り分け!$P$7:$P$456,0)))),"未決定")))</f>
        <v/>
      </c>
      <c r="D48" s="65">
        <f>IF($AE48="","",IF(計算用!$B$1=1,INDEX(新年度名簿!$C$3:$C$452,$AE48),INDEX(前年度名簿!$C$3:$C$452,$AE48)))</f>
        <v/>
      </c>
      <c r="E48" s="66">
        <f>IF($AE48="","",IF(計算用!$B$1=1,INDEX(新年度名簿!$D$3:$D$452,$AE48),INDEX(前年度名簿!$D$3:$D$452,$AE48)))</f>
        <v/>
      </c>
      <c r="F48" s="65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M$7:$M$456,MATCH($AE48,振り分け!$P$7:$P$456,0))="転出","転出",IF(INDEX(振り分け!$L$7:$L$456,MATCH($AE48,振り分け!$P$7:$P$456,0))="","未決定",INDEX(振り分け!$L$7:$L$456,MATCH($AE48,振り分け!$P$7:$P$456,0)))),"未決定")))</f>
        <v/>
      </c>
      <c r="G48" s="65">
        <f>IF($AF48="","",IF(計算用!$B$1=1,INDEX(新年度名簿!$C$3:$C$452,$AF48),INDEX(前年度名簿!$C$3:$C$452,$AF48)))</f>
        <v/>
      </c>
      <c r="H48" s="66">
        <f>IF($AF48="","",IF(計算用!$B$1=1,INDEX(新年度名簿!$D$3:$D$452,$AF48),INDEX(前年度名簿!$D$3:$D$452,$AF48)))</f>
        <v/>
      </c>
      <c r="I48" s="65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M$7:$M$456,MATCH($AF48,振り分け!$P$7:$P$456,0))="転出","転出",IF(INDEX(振り分け!$L$7:$L$456,MATCH($AF48,振り分け!$P$7:$P$456,0))="","未決定",INDEX(振り分け!$L$7:$L$456,MATCH($AF48,振り分け!$P$7:$P$456,0)))),"未決定")))</f>
        <v/>
      </c>
      <c r="J48" s="65">
        <f>IF($AG48="","",IF(計算用!$B$1=1,INDEX(新年度名簿!$C$3:$C$452,$AG48),INDEX(前年度名簿!$C$3:$C$452,$AG48)))</f>
        <v/>
      </c>
      <c r="K48" s="66">
        <f>IF($AG48="","",IF(計算用!$B$1=1,INDEX(新年度名簿!$D$3:$D$452,$AG48),INDEX(前年度名簿!$D$3:$D$452,$AG48)))</f>
        <v/>
      </c>
      <c r="L48" s="65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M$7:$M$456,MATCH($AG48,振り分け!$P$7:$P$456,0))="転出","転出",IF(INDEX(振り分け!$L$7:$L$456,MATCH($AG48,振り分け!$P$7:$P$456,0))="","未決定",INDEX(振り分け!$L$7:$L$456,MATCH($AG48,振り分け!$P$7:$P$456,0)))),"未決定")))</f>
        <v/>
      </c>
      <c r="M48" s="65">
        <f>IF($AH48="","",IF(計算用!$B$1=1,INDEX(新年度名簿!$C$3:$C$452,$AH48),INDEX(前年度名簿!$C$3:$C$452,$AH48)))</f>
        <v/>
      </c>
      <c r="N48" s="66">
        <f>IF($AH48="","",IF(計算用!$B$1=1,INDEX(新年度名簿!$D$3:$D$452,$AH48),INDEX(前年度名簿!$D$3:$D$452,$AH48)))</f>
        <v/>
      </c>
      <c r="O48" s="65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M$7:$M$456,MATCH($AH48,振り分け!$P$7:$P$456,0))="転出","転出",IF(INDEX(振り分け!$L$7:$L$456,MATCH($AH48,振り分け!$P$7:$P$456,0))="","未決定",INDEX(振り分け!$L$7:$L$456,MATCH($AH48,振り分け!$P$7:$P$456,0)))),"未決定")))</f>
        <v/>
      </c>
      <c r="P48" s="65">
        <f>IF($AI48="","",IF(計算用!$B$1=1,INDEX(新年度名簿!$C$3:$C$452,$AI48),INDEX(前年度名簿!$C$3:$C$452,$AI48)))</f>
        <v/>
      </c>
      <c r="Q48" s="66">
        <f>IF($AI48="","",IF(計算用!$B$1=1,INDEX(新年度名簿!$D$3:$D$452,$AI48),INDEX(前年度名簿!$D$3:$D$452,$AI48)))</f>
        <v/>
      </c>
      <c r="R48" s="65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M$7:$M$456,MATCH($AI48,振り分け!$P$7:$P$456,0))="転出","転出",IF(INDEX(振り分け!$L$7:$L$456,MATCH($AI48,振り分け!$P$7:$P$456,0))="","未決定",INDEX(振り分け!$L$7:$L$456,MATCH($AI48,振り分け!$P$7:$P$456,0)))),"未決定")))</f>
        <v/>
      </c>
      <c r="S48" s="65">
        <f>IF($AJ48="","",IF(計算用!$B$1=1,INDEX(新年度名簿!$C$3:$C$452,$AJ48),INDEX(前年度名簿!$C$3:$C$452,$AJ48)))</f>
        <v/>
      </c>
      <c r="T48" s="66">
        <f>IF($AJ48="","",IF(計算用!$B$1=1,INDEX(新年度名簿!$D$3:$D$452,$AJ48),INDEX(前年度名簿!$D$3:$D$452,$AJ48)))</f>
        <v/>
      </c>
      <c r="U48" s="65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M$7:$M$456,MATCH($AJ48,振り分け!$P$7:$P$456,0))="転出","転出",IF(INDEX(振り分け!$L$7:$L$456,MATCH($AJ48,振り分け!$P$7:$P$456,0))="","未決定",INDEX(振り分け!$L$7:$L$456,MATCH($AJ48,振り分け!$P$7:$P$456,0)))),"未決定")))</f>
        <v/>
      </c>
      <c r="V48" s="65">
        <f>IF($AK48="","",IF(計算用!$B$1=1,INDEX(新年度名簿!$C$3:$C$452,$AK48),INDEX(前年度名簿!$C$3:$C$452,$AK48)))</f>
        <v/>
      </c>
      <c r="W48" s="66">
        <f>IF($AK48="","",IF(計算用!$B$1=1,INDEX(新年度名簿!$D$3:$D$452,$AK48),INDEX(前年度名簿!$D$3:$D$452,$AK48)))</f>
        <v/>
      </c>
      <c r="X48" s="65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M$7:$M$456,MATCH($AK48,振り分け!$P$7:$P$456,0))="転出","転出",IF(INDEX(振り分け!$L$7:$L$456,MATCH($AK48,振り分け!$P$7:$P$456,0))="","未決定",INDEX(振り分け!$L$7:$L$456,MATCH($AK48,振り分け!$P$7:$P$456,0)))),"未決定")))</f>
        <v/>
      </c>
      <c r="AD48" s="63">
        <f>IF(計算用!$B$1=1,IFERROR(IF(SMALL(新年度名簿!$J$3:$J$452,$AD$3+44)&lt;2000,MATCH(SMALL(新年度名簿!$J$3:$J$452,$AD$3+44),新年度名簿!$J$3:$J$452,0),""),""),IFERROR(IF(SMALL(前年度名簿!$G$3:$G$452,$AD$3+44)&lt;2000,MATCH(SMALL(前年度名簿!$G$3:$G$452,$AD$3+44),前年度名簿!$G$3:$G$452,0),""),""))</f>
        <v/>
      </c>
      <c r="AE48" s="63">
        <f>IF(計算用!$B$1=1,IFERROR(IF(SMALL(新年度名簿!$J$3:$J$452,$AE$3+44)&lt;3000,MATCH(SMALL(新年度名簿!$J$3:$J$452,$AE$3+44),新年度名簿!$J$3:$J$452,0),""),""),IFERROR(IF(SMALL(前年度名簿!$G$3:$G$452,$AE$3+44)&lt;3000,MATCH(SMALL(前年度名簿!$G$3:$G$452,$AE$3+44),前年度名簿!$G$3:$G$452,0),""),""))</f>
        <v/>
      </c>
      <c r="AF48" s="63">
        <f>IF(計算用!$B$1=1,IFERROR(IF(SMALL(新年度名簿!$J$3:$J$452,$AF$3+44)&lt;4000,MATCH(SMALL(新年度名簿!$J$3:$J$452,$AF$3+44),新年度名簿!$J$3:$J$452,0),""),""),IFERROR(IF(SMALL(前年度名簿!$G$3:$G$452,$AF$3+44)&lt;4000,MATCH(SMALL(前年度名簿!$G$3:$G$452,$AF$3+44),前年度名簿!$G$3:$G$452,0),""),""))</f>
        <v/>
      </c>
      <c r="AG48" s="63">
        <f>IF(計算用!$B$1=1,IFERROR(IF(SMALL(新年度名簿!$J$3:$J$452,$AG$3+44)&lt;5000,MATCH(SMALL(新年度名簿!$J$3:$J$452,$AG$3+44),新年度名簿!$J$3:$J$452,0),""),""),IFERROR(IF(SMALL(前年度名簿!$G$3:$G$452,$AG$3+44)&lt;5000,MATCH(SMALL(前年度名簿!$G$3:$G$452,$AG$3+44),前年度名簿!$G$3:$G$452,0),""),""))</f>
        <v/>
      </c>
      <c r="AH48" s="63">
        <f>IF(計算用!$B$1=1,IFERROR(IF(SMALL(新年度名簿!$J$3:$J$452,$AH$3+44)&lt;6000,MATCH(SMALL(新年度名簿!$J$3:$J$452,$AH$3+44),新年度名簿!$J$3:$J$452,0),""),""),IFERROR(IF(SMALL(前年度名簿!$G$3:$G$452,$AH$3+44)&lt;6000,MATCH(SMALL(前年度名簿!$G$3:$G$452,$AH$3+44),前年度名簿!$G$3:$G$452,0),""),""))</f>
        <v/>
      </c>
      <c r="AI48" s="63">
        <f>IF(計算用!$B$1=1,IFERROR(IF(SMALL(新年度名簿!$J$3:$J$452,$AI$3+44)&lt;7000,MATCH(SMALL(新年度名簿!$J$3:$J$452,$AI$3+44),新年度名簿!$J$3:$J$452,0),""),""),IFERROR(IF(SMALL(前年度名簿!$G$3:$G$452,$AI$3+44)&lt;7000,MATCH(SMALL(前年度名簿!$G$3:$G$452,$AI$3+44),前年度名簿!$G$3:$G$452,0),""),""))</f>
        <v/>
      </c>
      <c r="AJ48" s="63">
        <f>IF(計算用!$B$1=1,IFERROR(IF(SMALL(新年度名簿!$J$3:$J$452,$AJ$3+44)&lt;8000,MATCH(SMALL(新年度名簿!$J$3:$J$452,$AJ$3+44),新年度名簿!$J$3:$J$452,0),""),""),IFERROR(IF(SMALL(前年度名簿!$G$3:$G$452,$AJ$3+44)&lt;8000,MATCH(SMALL(前年度名簿!$G$3:$G$452,$AJ$3+44),前年度名簿!$G$3:$G$452,0),""),""))</f>
        <v/>
      </c>
      <c r="AK48" s="63">
        <f>IF(計算用!$B$1=1,IFERROR(IF(SMALL(新年度名簿!$J$3:$J$452,$AK$3+44)&lt;9000,MATCH(SMALL(新年度名簿!$J$3:$J$452,$AK$3+44),新年度名簿!$J$3:$J$452,0),""),""),IFERROR(IF(SMALL(前年度名簿!$G$3:$G$452,$AK$3+44)&lt;9000,MATCH(SMALL(前年度名簿!$G$3:$G$452,$AK$3+44),前年度名簿!$G$3:$G$452,0),""),""))</f>
        <v/>
      </c>
    </row>
    <row r="49">
      <c r="A49" s="65">
        <f>IF($AD49="","",IF(計算用!$B$1=1,INDEX(新年度名簿!$C$3:$C$452,$AD49),INDEX(前年度名簿!$C$3:$C$452,$AD49)))</f>
        <v/>
      </c>
      <c r="B49" s="66">
        <f>IF($AD49="","",IF(計算用!$B$1=1,INDEX(新年度名簿!$D$3:$D$452,$AD49),INDEX(前年度名簿!$D$3:$D$452,$AD49)))</f>
        <v/>
      </c>
      <c r="C49" s="65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M$7:$M$456,MATCH($AD49,振り分け!$P$7:$P$456,0))="転出","転出",IF(INDEX(振り分け!$L$7:$L$456,MATCH($AD49,振り分け!$P$7:$P$456,0))="","未決定",INDEX(振り分け!$L$7:$L$456,MATCH($AD49,振り分け!$P$7:$P$456,0)))),"未決定")))</f>
        <v/>
      </c>
      <c r="D49" s="65">
        <f>IF($AE49="","",IF(計算用!$B$1=1,INDEX(新年度名簿!$C$3:$C$452,$AE49),INDEX(前年度名簿!$C$3:$C$452,$AE49)))</f>
        <v/>
      </c>
      <c r="E49" s="66">
        <f>IF($AE49="","",IF(計算用!$B$1=1,INDEX(新年度名簿!$D$3:$D$452,$AE49),INDEX(前年度名簿!$D$3:$D$452,$AE49)))</f>
        <v/>
      </c>
      <c r="F49" s="65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M$7:$M$456,MATCH($AE49,振り分け!$P$7:$P$456,0))="転出","転出",IF(INDEX(振り分け!$L$7:$L$456,MATCH($AE49,振り分け!$P$7:$P$456,0))="","未決定",INDEX(振り分け!$L$7:$L$456,MATCH($AE49,振り分け!$P$7:$P$456,0)))),"未決定")))</f>
        <v/>
      </c>
      <c r="G49" s="65">
        <f>IF($AF49="","",IF(計算用!$B$1=1,INDEX(新年度名簿!$C$3:$C$452,$AF49),INDEX(前年度名簿!$C$3:$C$452,$AF49)))</f>
        <v/>
      </c>
      <c r="H49" s="66">
        <f>IF($AF49="","",IF(計算用!$B$1=1,INDEX(新年度名簿!$D$3:$D$452,$AF49),INDEX(前年度名簿!$D$3:$D$452,$AF49)))</f>
        <v/>
      </c>
      <c r="I49" s="65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M$7:$M$456,MATCH($AF49,振り分け!$P$7:$P$456,0))="転出","転出",IF(INDEX(振り分け!$L$7:$L$456,MATCH($AF49,振り分け!$P$7:$P$456,0))="","未決定",INDEX(振り分け!$L$7:$L$456,MATCH($AF49,振り分け!$P$7:$P$456,0)))),"未決定")))</f>
        <v/>
      </c>
      <c r="J49" s="65">
        <f>IF($AG49="","",IF(計算用!$B$1=1,INDEX(新年度名簿!$C$3:$C$452,$AG49),INDEX(前年度名簿!$C$3:$C$452,$AG49)))</f>
        <v/>
      </c>
      <c r="K49" s="66">
        <f>IF($AG49="","",IF(計算用!$B$1=1,INDEX(新年度名簿!$D$3:$D$452,$AG49),INDEX(前年度名簿!$D$3:$D$452,$AG49)))</f>
        <v/>
      </c>
      <c r="L49" s="65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M$7:$M$456,MATCH($AG49,振り分け!$P$7:$P$456,0))="転出","転出",IF(INDEX(振り分け!$L$7:$L$456,MATCH($AG49,振り分け!$P$7:$P$456,0))="","未決定",INDEX(振り分け!$L$7:$L$456,MATCH($AG49,振り分け!$P$7:$P$456,0)))),"未決定")))</f>
        <v/>
      </c>
      <c r="M49" s="65">
        <f>IF($AH49="","",IF(計算用!$B$1=1,INDEX(新年度名簿!$C$3:$C$452,$AH49),INDEX(前年度名簿!$C$3:$C$452,$AH49)))</f>
        <v/>
      </c>
      <c r="N49" s="66">
        <f>IF($AH49="","",IF(計算用!$B$1=1,INDEX(新年度名簿!$D$3:$D$452,$AH49),INDEX(前年度名簿!$D$3:$D$452,$AH49)))</f>
        <v/>
      </c>
      <c r="O49" s="65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M$7:$M$456,MATCH($AH49,振り分け!$P$7:$P$456,0))="転出","転出",IF(INDEX(振り分け!$L$7:$L$456,MATCH($AH49,振り分け!$P$7:$P$456,0))="","未決定",INDEX(振り分け!$L$7:$L$456,MATCH($AH49,振り分け!$P$7:$P$456,0)))),"未決定")))</f>
        <v/>
      </c>
      <c r="P49" s="65">
        <f>IF($AI49="","",IF(計算用!$B$1=1,INDEX(新年度名簿!$C$3:$C$452,$AI49),INDEX(前年度名簿!$C$3:$C$452,$AI49)))</f>
        <v/>
      </c>
      <c r="Q49" s="66">
        <f>IF($AI49="","",IF(計算用!$B$1=1,INDEX(新年度名簿!$D$3:$D$452,$AI49),INDEX(前年度名簿!$D$3:$D$452,$AI49)))</f>
        <v/>
      </c>
      <c r="R49" s="65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M$7:$M$456,MATCH($AI49,振り分け!$P$7:$P$456,0))="転出","転出",IF(INDEX(振り分け!$L$7:$L$456,MATCH($AI49,振り分け!$P$7:$P$456,0))="","未決定",INDEX(振り分け!$L$7:$L$456,MATCH($AI49,振り分け!$P$7:$P$456,0)))),"未決定")))</f>
        <v/>
      </c>
      <c r="S49" s="65">
        <f>IF($AJ49="","",IF(計算用!$B$1=1,INDEX(新年度名簿!$C$3:$C$452,$AJ49),INDEX(前年度名簿!$C$3:$C$452,$AJ49)))</f>
        <v/>
      </c>
      <c r="T49" s="66">
        <f>IF($AJ49="","",IF(計算用!$B$1=1,INDEX(新年度名簿!$D$3:$D$452,$AJ49),INDEX(前年度名簿!$D$3:$D$452,$AJ49)))</f>
        <v/>
      </c>
      <c r="U49" s="65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M$7:$M$456,MATCH($AJ49,振り分け!$P$7:$P$456,0))="転出","転出",IF(INDEX(振り分け!$L$7:$L$456,MATCH($AJ49,振り分け!$P$7:$P$456,0))="","未決定",INDEX(振り分け!$L$7:$L$456,MATCH($AJ49,振り分け!$P$7:$P$456,0)))),"未決定")))</f>
        <v/>
      </c>
      <c r="V49" s="65">
        <f>IF($AK49="","",IF(計算用!$B$1=1,INDEX(新年度名簿!$C$3:$C$452,$AK49),INDEX(前年度名簿!$C$3:$C$452,$AK49)))</f>
        <v/>
      </c>
      <c r="W49" s="66">
        <f>IF($AK49="","",IF(計算用!$B$1=1,INDEX(新年度名簿!$D$3:$D$452,$AK49),INDEX(前年度名簿!$D$3:$D$452,$AK49)))</f>
        <v/>
      </c>
      <c r="X49" s="65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M$7:$M$456,MATCH($AK49,振り分け!$P$7:$P$456,0))="転出","転出",IF(INDEX(振り分け!$L$7:$L$456,MATCH($AK49,振り分け!$P$7:$P$456,0))="","未決定",INDEX(振り分け!$L$7:$L$456,MATCH($AK49,振り分け!$P$7:$P$456,0)))),"未決定")))</f>
        <v/>
      </c>
      <c r="AD49" s="63">
        <f>IF(計算用!$B$1=1,IFERROR(IF(SMALL(新年度名簿!$J$3:$J$452,$AD$3+45)&lt;2000,MATCH(SMALL(新年度名簿!$J$3:$J$452,$AD$3+45),新年度名簿!$J$3:$J$452,0),""),""),IFERROR(IF(SMALL(前年度名簿!$G$3:$G$452,$AD$3+45)&lt;2000,MATCH(SMALL(前年度名簿!$G$3:$G$452,$AD$3+45),前年度名簿!$G$3:$G$452,0),""),""))</f>
        <v/>
      </c>
      <c r="AE49" s="63">
        <f>IF(計算用!$B$1=1,IFERROR(IF(SMALL(新年度名簿!$J$3:$J$452,$AE$3+45)&lt;3000,MATCH(SMALL(新年度名簿!$J$3:$J$452,$AE$3+45),新年度名簿!$J$3:$J$452,0),""),""),IFERROR(IF(SMALL(前年度名簿!$G$3:$G$452,$AE$3+45)&lt;3000,MATCH(SMALL(前年度名簿!$G$3:$G$452,$AE$3+45),前年度名簿!$G$3:$G$452,0),""),""))</f>
        <v/>
      </c>
      <c r="AF49" s="63">
        <f>IF(計算用!$B$1=1,IFERROR(IF(SMALL(新年度名簿!$J$3:$J$452,$AF$3+45)&lt;4000,MATCH(SMALL(新年度名簿!$J$3:$J$452,$AF$3+45),新年度名簿!$J$3:$J$452,0),""),""),IFERROR(IF(SMALL(前年度名簿!$G$3:$G$452,$AF$3+45)&lt;4000,MATCH(SMALL(前年度名簿!$G$3:$G$452,$AF$3+45),前年度名簿!$G$3:$G$452,0),""),""))</f>
        <v/>
      </c>
      <c r="AG49" s="63">
        <f>IF(計算用!$B$1=1,IFERROR(IF(SMALL(新年度名簿!$J$3:$J$452,$AG$3+45)&lt;5000,MATCH(SMALL(新年度名簿!$J$3:$J$452,$AG$3+45),新年度名簿!$J$3:$J$452,0),""),""),IFERROR(IF(SMALL(前年度名簿!$G$3:$G$452,$AG$3+45)&lt;5000,MATCH(SMALL(前年度名簿!$G$3:$G$452,$AG$3+45),前年度名簿!$G$3:$G$452,0),""),""))</f>
        <v/>
      </c>
      <c r="AH49" s="63">
        <f>IF(計算用!$B$1=1,IFERROR(IF(SMALL(新年度名簿!$J$3:$J$452,$AH$3+45)&lt;6000,MATCH(SMALL(新年度名簿!$J$3:$J$452,$AH$3+45),新年度名簿!$J$3:$J$452,0),""),""),IFERROR(IF(SMALL(前年度名簿!$G$3:$G$452,$AH$3+45)&lt;6000,MATCH(SMALL(前年度名簿!$G$3:$G$452,$AH$3+45),前年度名簿!$G$3:$G$452,0),""),""))</f>
        <v/>
      </c>
      <c r="AI49" s="63">
        <f>IF(計算用!$B$1=1,IFERROR(IF(SMALL(新年度名簿!$J$3:$J$452,$AI$3+45)&lt;7000,MATCH(SMALL(新年度名簿!$J$3:$J$452,$AI$3+45),新年度名簿!$J$3:$J$452,0),""),""),IFERROR(IF(SMALL(前年度名簿!$G$3:$G$452,$AI$3+45)&lt;7000,MATCH(SMALL(前年度名簿!$G$3:$G$452,$AI$3+45),前年度名簿!$G$3:$G$452,0),""),""))</f>
        <v/>
      </c>
      <c r="AJ49" s="63">
        <f>IF(計算用!$B$1=1,IFERROR(IF(SMALL(新年度名簿!$J$3:$J$452,$AJ$3+45)&lt;8000,MATCH(SMALL(新年度名簿!$J$3:$J$452,$AJ$3+45),新年度名簿!$J$3:$J$452,0),""),""),IFERROR(IF(SMALL(前年度名簿!$G$3:$G$452,$AJ$3+45)&lt;8000,MATCH(SMALL(前年度名簿!$G$3:$G$452,$AJ$3+45),前年度名簿!$G$3:$G$452,0),""),""))</f>
        <v/>
      </c>
      <c r="AK49" s="63">
        <f>IF(計算用!$B$1=1,IFERROR(IF(SMALL(新年度名簿!$J$3:$J$452,$AK$3+45)&lt;9000,MATCH(SMALL(新年度名簿!$J$3:$J$452,$AK$3+45),新年度名簿!$J$3:$J$452,0),""),""),IFERROR(IF(SMALL(前年度名簿!$G$3:$G$452,$AK$3+45)&lt;9000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IF(計算用!$B$1=1,設定!$M$8,設定!$H$8)="黒"</formula>
    </cfRule>
    <cfRule type="expression" priority="2" dxfId="1">
      <formula>IF(計算用!$B$1=1,設定!$M$8,設定!$H$8)="赤"</formula>
    </cfRule>
    <cfRule type="expression" priority="3" dxfId="2">
      <formula>IF(計算用!$B$1=1,設定!$M$8,設定!$H$8)="青"</formula>
    </cfRule>
    <cfRule type="expression" priority="4" dxfId="3">
      <formula>IF(計算用!$B$1=1,設定!$M$8,設定!$H$8)="緑"</formula>
    </cfRule>
    <cfRule type="expression" priority="5" dxfId="4">
      <formula>IF(計算用!$B$1=1,設定!$M$8,設定!$H$8)="黄"</formula>
    </cfRule>
    <cfRule type="expression" priority="6" dxfId="5">
      <formula>IF(計算用!$B$1=1,設定!$M$8,設定!$H$8)="橙"</formula>
    </cfRule>
    <cfRule type="expression" priority="7" dxfId="6">
      <formula>IF(計算用!$B$1=1,設定!$M$8,設定!$H$8)="紫"</formula>
    </cfRule>
    <cfRule type="expression" priority="8" dxfId="7">
      <formula>IF(計算用!$B$1=1,設定!$M$8,設定!$H$8)="茶"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IF(計算用!$B$1=1,設定!$M$9,設定!$H$9)="黒"</formula>
    </cfRule>
    <cfRule type="expression" priority="11" dxfId="1">
      <formula>IF(計算用!$B$1=1,設定!$M$9,設定!$H$9)="赤"</formula>
    </cfRule>
    <cfRule type="expression" priority="12" dxfId="2">
      <formula>IF(計算用!$B$1=1,設定!$M$9,設定!$H$9)="青"</formula>
    </cfRule>
    <cfRule type="expression" priority="13" dxfId="3">
      <formula>IF(計算用!$B$1=1,設定!$M$9,設定!$H$9)="緑"</formula>
    </cfRule>
    <cfRule type="expression" priority="14" dxfId="4">
      <formula>IF(計算用!$B$1=1,設定!$M$9,設定!$H$9)="黄"</formula>
    </cfRule>
    <cfRule type="expression" priority="15" dxfId="5">
      <formula>IF(計算用!$B$1=1,設定!$M$9,設定!$H$9)="橙"</formula>
    </cfRule>
    <cfRule type="expression" priority="16" dxfId="6">
      <formula>IF(計算用!$B$1=1,設定!$M$9,設定!$H$9)="紫"</formula>
    </cfRule>
    <cfRule type="expression" priority="17" dxfId="7">
      <formula>IF(計算用!$B$1=1,設定!$M$9,設定!$H$9)="茶"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IF(計算用!$B$1=1,設定!$M$10,設定!$H$10)="黒"</formula>
    </cfRule>
    <cfRule type="expression" priority="20" dxfId="1">
      <formula>IF(計算用!$B$1=1,設定!$M$10,設定!$H$10)="赤"</formula>
    </cfRule>
    <cfRule type="expression" priority="21" dxfId="2">
      <formula>IF(計算用!$B$1=1,設定!$M$10,設定!$H$10)="青"</formula>
    </cfRule>
    <cfRule type="expression" priority="22" dxfId="3">
      <formula>IF(計算用!$B$1=1,設定!$M$10,設定!$H$10)="緑"</formula>
    </cfRule>
    <cfRule type="expression" priority="23" dxfId="4">
      <formula>IF(計算用!$B$1=1,設定!$M$10,設定!$H$10)="黄"</formula>
    </cfRule>
    <cfRule type="expression" priority="24" dxfId="5">
      <formula>IF(計算用!$B$1=1,設定!$M$10,設定!$H$10)="橙"</formula>
    </cfRule>
    <cfRule type="expression" priority="25" dxfId="6">
      <formula>IF(計算用!$B$1=1,設定!$M$10,設定!$H$10)="紫"</formula>
    </cfRule>
    <cfRule type="expression" priority="26" dxfId="7">
      <formula>IF(計算用!$B$1=1,設定!$M$10,設定!$H$10)="茶"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IF(計算用!$B$1=1,設定!$M$11,設定!$H$11)="黒"</formula>
    </cfRule>
    <cfRule type="expression" priority="29" dxfId="1">
      <formula>IF(計算用!$B$1=1,設定!$M$11,設定!$H$11)="赤"</formula>
    </cfRule>
    <cfRule type="expression" priority="30" dxfId="2">
      <formula>IF(計算用!$B$1=1,設定!$M$11,設定!$H$11)="青"</formula>
    </cfRule>
    <cfRule type="expression" priority="31" dxfId="3">
      <formula>IF(計算用!$B$1=1,設定!$M$11,設定!$H$11)="緑"</formula>
    </cfRule>
    <cfRule type="expression" priority="32" dxfId="4">
      <formula>IF(計算用!$B$1=1,設定!$M$11,設定!$H$11)="黄"</formula>
    </cfRule>
    <cfRule type="expression" priority="33" dxfId="5">
      <formula>IF(計算用!$B$1=1,設定!$M$11,設定!$H$11)="橙"</formula>
    </cfRule>
    <cfRule type="expression" priority="34" dxfId="6">
      <formula>IF(計算用!$B$1=1,設定!$M$11,設定!$H$11)="紫"</formula>
    </cfRule>
    <cfRule type="expression" priority="35" dxfId="7">
      <formula>IF(計算用!$B$1=1,設定!$M$11,設定!$H$11)="茶"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IF(計算用!$B$1=1,設定!$M$12,設定!$H$12)="黒"</formula>
    </cfRule>
    <cfRule type="expression" priority="38" dxfId="1">
      <formula>IF(計算用!$B$1=1,設定!$M$12,設定!$H$12)="赤"</formula>
    </cfRule>
    <cfRule type="expression" priority="39" dxfId="2">
      <formula>IF(計算用!$B$1=1,設定!$M$12,設定!$H$12)="青"</formula>
    </cfRule>
    <cfRule type="expression" priority="40" dxfId="3">
      <formula>IF(計算用!$B$1=1,設定!$M$12,設定!$H$12)="緑"</formula>
    </cfRule>
    <cfRule type="expression" priority="41" dxfId="4">
      <formula>IF(計算用!$B$1=1,設定!$M$12,設定!$H$12)="黄"</formula>
    </cfRule>
    <cfRule type="expression" priority="42" dxfId="5">
      <formula>IF(計算用!$B$1=1,設定!$M$12,設定!$H$12)="橙"</formula>
    </cfRule>
    <cfRule type="expression" priority="43" dxfId="6">
      <formula>IF(計算用!$B$1=1,設定!$M$12,設定!$H$12)="紫"</formula>
    </cfRule>
    <cfRule type="expression" priority="44" dxfId="7">
      <formula>IF(計算用!$B$1=1,設定!$M$12,設定!$H$12)="茶"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IF(計算用!$B$1=1,設定!$M$13,設定!$H$13)="黒"</formula>
    </cfRule>
    <cfRule type="expression" priority="47" dxfId="1">
      <formula>IF(計算用!$B$1=1,設定!$M$13,設定!$H$13)="赤"</formula>
    </cfRule>
    <cfRule type="expression" priority="48" dxfId="2">
      <formula>IF(計算用!$B$1=1,設定!$M$13,設定!$H$13)="青"</formula>
    </cfRule>
    <cfRule type="expression" priority="49" dxfId="3">
      <formula>IF(計算用!$B$1=1,設定!$M$13,設定!$H$13)="緑"</formula>
    </cfRule>
    <cfRule type="expression" priority="50" dxfId="4">
      <formula>IF(計算用!$B$1=1,設定!$M$13,設定!$H$13)="黄"</formula>
    </cfRule>
    <cfRule type="expression" priority="51" dxfId="5">
      <formula>IF(計算用!$B$1=1,設定!$M$13,設定!$H$13)="橙"</formula>
    </cfRule>
    <cfRule type="expression" priority="52" dxfId="6">
      <formula>IF(計算用!$B$1=1,設定!$M$13,設定!$H$13)="紫"</formula>
    </cfRule>
    <cfRule type="expression" priority="53" dxfId="7">
      <formula>IF(計算用!$B$1=1,設定!$M$13,設定!$H$13)="茶"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IF(計算用!$B$1=1,設定!$M$14,設定!$H$14)="黒"</formula>
    </cfRule>
    <cfRule type="expression" priority="56" dxfId="1">
      <formula>IF(計算用!$B$1=1,設定!$M$14,設定!$H$14)="赤"</formula>
    </cfRule>
    <cfRule type="expression" priority="57" dxfId="2">
      <formula>IF(計算用!$B$1=1,設定!$M$14,設定!$H$14)="青"</formula>
    </cfRule>
    <cfRule type="expression" priority="58" dxfId="3">
      <formula>IF(計算用!$B$1=1,設定!$M$14,設定!$H$14)="緑"</formula>
    </cfRule>
    <cfRule type="expression" priority="59" dxfId="4">
      <formula>IF(計算用!$B$1=1,設定!$M$14,設定!$H$14)="黄"</formula>
    </cfRule>
    <cfRule type="expression" priority="60" dxfId="5">
      <formula>IF(計算用!$B$1=1,設定!$M$14,設定!$H$14)="橙"</formula>
    </cfRule>
    <cfRule type="expression" priority="61" dxfId="6">
      <formula>IF(計算用!$B$1=1,設定!$M$14,設定!$H$14)="紫"</formula>
    </cfRule>
    <cfRule type="expression" priority="62" dxfId="7">
      <formula>IF(計算用!$B$1=1,設定!$M$14,設定!$H$14)="茶"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IF(計算用!$B$1=1,設定!$M$15,設定!$H$15)="黒"</formula>
    </cfRule>
    <cfRule type="expression" priority="65" dxfId="1">
      <formula>IF(計算用!$B$1=1,設定!$M$15,設定!$H$15)="赤"</formula>
    </cfRule>
    <cfRule type="expression" priority="66" dxfId="2">
      <formula>IF(計算用!$B$1=1,設定!$M$15,設定!$H$15)="青"</formula>
    </cfRule>
    <cfRule type="expression" priority="67" dxfId="3">
      <formula>IF(計算用!$B$1=1,設定!$M$15,設定!$H$15)="緑"</formula>
    </cfRule>
    <cfRule type="expression" priority="68" dxfId="4">
      <formula>IF(計算用!$B$1=1,設定!$M$15,設定!$H$15)="黄"</formula>
    </cfRule>
    <cfRule type="expression" priority="69" dxfId="5">
      <formula>IF(計算用!$B$1=1,設定!$M$15,設定!$H$15)="橙"</formula>
    </cfRule>
    <cfRule type="expression" priority="70" dxfId="6">
      <formula>IF(計算用!$B$1=1,設定!$M$15,設定!$H$15)="紫"</formula>
    </cfRule>
    <cfRule type="expression" priority="71" dxfId="7">
      <formula>IF(計算用!$B$1=1,設定!$M$15,設定!$H$15)="茶"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"&amp;設定!$B$9&amp;"年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64">
        <f>IF(計算用!$B$1=1,IF(設定!$K$16="","",設定!$L$16),IF(設定!$F$16="","",設定!$G$16))</f>
        <v/>
      </c>
      <c r="B3" s="72" t="n"/>
      <c r="C3" s="73" t="n"/>
      <c r="D3" s="64">
        <f>IF(計算用!$B$1=1,IF(設定!$K$17="","",設定!$L$17),IF(設定!$F$17="","",設定!$G$17))</f>
        <v/>
      </c>
      <c r="E3" s="72" t="n"/>
      <c r="F3" s="73" t="n"/>
      <c r="G3" s="64">
        <f>IF(計算用!$B$1=1,IF(設定!$K$18="","",設定!$L$18),IF(設定!$F$18="","",設定!$G$18))</f>
        <v/>
      </c>
      <c r="H3" s="72" t="n"/>
      <c r="I3" s="73" t="n"/>
      <c r="J3" s="64">
        <f>IF(計算用!$B$1=1,IF(設定!$K$19="","",設定!$L$19),IF(設定!$F$19="","",設定!$G$19))</f>
        <v/>
      </c>
      <c r="K3" s="72" t="n"/>
      <c r="L3" s="73" t="n"/>
      <c r="M3" s="64">
        <f>IF(計算用!$B$1=1,IF(設定!$K$20="","",設定!$L$20),IF(設定!$F$20="","",設定!$G$20))</f>
        <v/>
      </c>
      <c r="N3" s="72" t="n"/>
      <c r="O3" s="73" t="n"/>
      <c r="P3" s="64">
        <f>IF(計算用!$B$1=1,IF(設定!$K$21="","",設定!$L$21),IF(設定!$F$21="","",設定!$G$21))</f>
        <v/>
      </c>
      <c r="Q3" s="72" t="n"/>
      <c r="R3" s="73" t="n"/>
      <c r="S3" s="64">
        <f>IF(計算用!$B$1=1,IF(設定!$K$22="","",設定!$L$22),IF(設定!$F$22="","",設定!$G$22))</f>
        <v/>
      </c>
      <c r="T3" s="72" t="n"/>
      <c r="U3" s="73" t="n"/>
      <c r="V3" s="64">
        <f>IF(計算用!$B$1=1,IF(設定!$K$23="","",設定!$L$23),IF(設定!$F$23="","",設定!$G$23))</f>
        <v/>
      </c>
      <c r="W3" s="72" t="n"/>
      <c r="X3" s="73" t="n"/>
      <c r="AD3" s="63">
        <f>IF(計算用!$B$1=1,COUNTIF(新年度名簿!$J$3:$J$452,"&lt;"&amp;9000),COUNTIF(前年度名簿!$G$3:$G$452,"&lt;"&amp;9000))</f>
        <v/>
      </c>
      <c r="AE3" s="63">
        <f>IF(計算用!$B$1=1,COUNTIF(新年度名簿!$J$3:$J$452,"&lt;"&amp;10000),COUNTIF(前年度名簿!$G$3:$G$452,"&lt;"&amp;10000))</f>
        <v/>
      </c>
      <c r="AF3" s="63">
        <f>IF(計算用!$B$1=1,COUNTIF(新年度名簿!$J$3:$J$452,"&lt;"&amp;11000),COUNTIF(前年度名簿!$G$3:$G$452,"&lt;"&amp;11000))</f>
        <v/>
      </c>
      <c r="AG3" s="63">
        <f>IF(計算用!$B$1=1,COUNTIF(新年度名簿!$J$3:$J$452,"&lt;"&amp;12000),COUNTIF(前年度名簿!$G$3:$G$452,"&lt;"&amp;12000))</f>
        <v/>
      </c>
      <c r="AH3" s="63">
        <f>IF(計算用!$B$1=1,COUNTIF(新年度名簿!$J$3:$J$452,"&lt;"&amp;13000),COUNTIF(前年度名簿!$G$3:$G$452,"&lt;"&amp;13000))</f>
        <v/>
      </c>
      <c r="AI3" s="63">
        <f>IF(計算用!$B$1=1,COUNTIF(新年度名簿!$J$3:$J$452,"&lt;"&amp;14000),COUNTIF(前年度名簿!$G$3:$G$452,"&lt;"&amp;14000))</f>
        <v/>
      </c>
      <c r="AJ3" s="63">
        <f>IF(計算用!$B$1=1,COUNTIF(新年度名簿!$J$3:$J$452,"&lt;"&amp;15000),COUNTIF(前年度名簿!$G$3:$G$452,"&lt;"&amp;15000))</f>
        <v/>
      </c>
      <c r="AK3" s="63">
        <f>IF(計算用!$B$1=1,COUNTIF(新年度名簿!$J$3:$J$452,"&lt;"&amp;16000),COUNTIF(前年度名簿!$G$3:$G$452,"&lt;"&amp;16000))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5">
        <f>IF($AD5="","",IF(計算用!$B$1=1,INDEX(新年度名簿!$C$3:$C$452,$AD5),INDEX(前年度名簿!$C$3:$C$452,$AD5)))</f>
        <v/>
      </c>
      <c r="B5" s="66">
        <f>IF($AD5="","",IF(計算用!$B$1=1,INDEX(新年度名簿!$D$3:$D$452,$AD5),INDEX(前年度名簿!$D$3:$D$452,$AD5)))</f>
        <v/>
      </c>
      <c r="C5" s="65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M$7:$M$456,MATCH($AD5,振り分け!$P$7:$P$456,0))="転出","転出",IF(INDEX(振り分け!$L$7:$L$456,MATCH($AD5,振り分け!$P$7:$P$456,0))="","未決定",INDEX(振り分け!$L$7:$L$456,MATCH($AD5,振り分け!$P$7:$P$456,0)))),"未決定")))</f>
        <v/>
      </c>
      <c r="D5" s="65">
        <f>IF($AE5="","",IF(計算用!$B$1=1,INDEX(新年度名簿!$C$3:$C$452,$AE5),INDEX(前年度名簿!$C$3:$C$452,$AE5)))</f>
        <v/>
      </c>
      <c r="E5" s="66">
        <f>IF($AE5="","",IF(計算用!$B$1=1,INDEX(新年度名簿!$D$3:$D$452,$AE5),INDEX(前年度名簿!$D$3:$D$452,$AE5)))</f>
        <v/>
      </c>
      <c r="F5" s="65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M$7:$M$456,MATCH($AE5,振り分け!$P$7:$P$456,0))="転出","転出",IF(INDEX(振り分け!$L$7:$L$456,MATCH($AE5,振り分け!$P$7:$P$456,0))="","未決定",INDEX(振り分け!$L$7:$L$456,MATCH($AE5,振り分け!$P$7:$P$456,0)))),"未決定")))</f>
        <v/>
      </c>
      <c r="G5" s="65">
        <f>IF($AF5="","",IF(計算用!$B$1=1,INDEX(新年度名簿!$C$3:$C$452,$AF5),INDEX(前年度名簿!$C$3:$C$452,$AF5)))</f>
        <v/>
      </c>
      <c r="H5" s="66">
        <f>IF($AF5="","",IF(計算用!$B$1=1,INDEX(新年度名簿!$D$3:$D$452,$AF5),INDEX(前年度名簿!$D$3:$D$452,$AF5)))</f>
        <v/>
      </c>
      <c r="I5" s="65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M$7:$M$456,MATCH($AF5,振り分け!$P$7:$P$456,0))="転出","転出",IF(INDEX(振り分け!$L$7:$L$456,MATCH($AF5,振り分け!$P$7:$P$456,0))="","未決定",INDEX(振り分け!$L$7:$L$456,MATCH($AF5,振り分け!$P$7:$P$456,0)))),"未決定")))</f>
        <v/>
      </c>
      <c r="J5" s="65">
        <f>IF($AG5="","",IF(計算用!$B$1=1,INDEX(新年度名簿!$C$3:$C$452,$AG5),INDEX(前年度名簿!$C$3:$C$452,$AG5)))</f>
        <v/>
      </c>
      <c r="K5" s="66">
        <f>IF($AG5="","",IF(計算用!$B$1=1,INDEX(新年度名簿!$D$3:$D$452,$AG5),INDEX(前年度名簿!$D$3:$D$452,$AG5)))</f>
        <v/>
      </c>
      <c r="L5" s="65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M$7:$M$456,MATCH($AG5,振り分け!$P$7:$P$456,0))="転出","転出",IF(INDEX(振り分け!$L$7:$L$456,MATCH($AG5,振り分け!$P$7:$P$456,0))="","未決定",INDEX(振り分け!$L$7:$L$456,MATCH($AG5,振り分け!$P$7:$P$456,0)))),"未決定")))</f>
        <v/>
      </c>
      <c r="M5" s="65">
        <f>IF($AH5="","",IF(計算用!$B$1=1,INDEX(新年度名簿!$C$3:$C$452,$AH5),INDEX(前年度名簿!$C$3:$C$452,$AH5)))</f>
        <v/>
      </c>
      <c r="N5" s="66">
        <f>IF($AH5="","",IF(計算用!$B$1=1,INDEX(新年度名簿!$D$3:$D$452,$AH5),INDEX(前年度名簿!$D$3:$D$452,$AH5)))</f>
        <v/>
      </c>
      <c r="O5" s="65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M$7:$M$456,MATCH($AH5,振り分け!$P$7:$P$456,0))="転出","転出",IF(INDEX(振り分け!$L$7:$L$456,MATCH($AH5,振り分け!$P$7:$P$456,0))="","未決定",INDEX(振り分け!$L$7:$L$456,MATCH($AH5,振り分け!$P$7:$P$456,0)))),"未決定")))</f>
        <v/>
      </c>
      <c r="P5" s="65">
        <f>IF($AI5="","",IF(計算用!$B$1=1,INDEX(新年度名簿!$C$3:$C$452,$AI5),INDEX(前年度名簿!$C$3:$C$452,$AI5)))</f>
        <v/>
      </c>
      <c r="Q5" s="66">
        <f>IF($AI5="","",IF(計算用!$B$1=1,INDEX(新年度名簿!$D$3:$D$452,$AI5),INDEX(前年度名簿!$D$3:$D$452,$AI5)))</f>
        <v/>
      </c>
      <c r="R5" s="65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M$7:$M$456,MATCH($AI5,振り分け!$P$7:$P$456,0))="転出","転出",IF(INDEX(振り分け!$L$7:$L$456,MATCH($AI5,振り分け!$P$7:$P$456,0))="","未決定",INDEX(振り分け!$L$7:$L$456,MATCH($AI5,振り分け!$P$7:$P$456,0)))),"未決定")))</f>
        <v/>
      </c>
      <c r="S5" s="65">
        <f>IF($AJ5="","",IF(計算用!$B$1=1,INDEX(新年度名簿!$C$3:$C$452,$AJ5),INDEX(前年度名簿!$C$3:$C$452,$AJ5)))</f>
        <v/>
      </c>
      <c r="T5" s="66">
        <f>IF($AJ5="","",IF(計算用!$B$1=1,INDEX(新年度名簿!$D$3:$D$452,$AJ5),INDEX(前年度名簿!$D$3:$D$452,$AJ5)))</f>
        <v/>
      </c>
      <c r="U5" s="65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M$7:$M$456,MATCH($AJ5,振り分け!$P$7:$P$456,0))="転出","転出",IF(INDEX(振り分け!$L$7:$L$456,MATCH($AJ5,振り分け!$P$7:$P$456,0))="","未決定",INDEX(振り分け!$L$7:$L$456,MATCH($AJ5,振り分け!$P$7:$P$456,0)))),"未決定")))</f>
        <v/>
      </c>
      <c r="V5" s="65">
        <f>IF($AK5="","",IF(計算用!$B$1=1,INDEX(新年度名簿!$C$3:$C$452,$AK5),INDEX(前年度名簿!$C$3:$C$452,$AK5)))</f>
        <v/>
      </c>
      <c r="W5" s="66">
        <f>IF($AK5="","",IF(計算用!$B$1=1,INDEX(新年度名簿!$D$3:$D$452,$AK5),INDEX(前年度名簿!$D$3:$D$452,$AK5)))</f>
        <v/>
      </c>
      <c r="X5" s="65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M$7:$M$456,MATCH($AK5,振り分け!$P$7:$P$456,0))="転出","転出",IF(INDEX(振り分け!$L$7:$L$456,MATCH($AK5,振り分け!$P$7:$P$456,0))="","未決定",INDEX(振り分け!$L$7:$L$456,MATCH($AK5,振り分け!$P$7:$P$456,0)))),"未決定")))</f>
        <v/>
      </c>
      <c r="AD5" s="63">
        <f>IF(計算用!$B$1=1,IFERROR(IF(SMALL(新年度名簿!$J$3:$J$452,$AD$3+1)&lt;10000,MATCH(SMALL(新年度名簿!$J$3:$J$452,$AD$3+1),新年度名簿!$J$3:$J$452,0),""),""),IFERROR(IF(SMALL(前年度名簿!$G$3:$G$452,$AD$3+1)&lt;10000,MATCH(SMALL(前年度名簿!$G$3:$G$452,$AD$3+1),前年度名簿!$G$3:$G$452,0),""),""))</f>
        <v/>
      </c>
      <c r="AE5" s="63">
        <f>IF(計算用!$B$1=1,IFERROR(IF(SMALL(新年度名簿!$J$3:$J$452,$AE$3+1)&lt;11000,MATCH(SMALL(新年度名簿!$J$3:$J$452,$AE$3+1),新年度名簿!$J$3:$J$452,0),""),""),IFERROR(IF(SMALL(前年度名簿!$G$3:$G$452,$AE$3+1)&lt;11000,MATCH(SMALL(前年度名簿!$G$3:$G$452,$AE$3+1),前年度名簿!$G$3:$G$452,0),""),""))</f>
        <v/>
      </c>
      <c r="AF5" s="63">
        <f>IF(計算用!$B$1=1,IFERROR(IF(SMALL(新年度名簿!$J$3:$J$452,$AF$3+1)&lt;12000,MATCH(SMALL(新年度名簿!$J$3:$J$452,$AF$3+1),新年度名簿!$J$3:$J$452,0),""),""),IFERROR(IF(SMALL(前年度名簿!$G$3:$G$452,$AF$3+1)&lt;12000,MATCH(SMALL(前年度名簿!$G$3:$G$452,$AF$3+1),前年度名簿!$G$3:$G$452,0),""),""))</f>
        <v/>
      </c>
      <c r="AG5" s="63">
        <f>IF(計算用!$B$1=1,IFERROR(IF(SMALL(新年度名簿!$J$3:$J$452,$AG$3+1)&lt;13000,MATCH(SMALL(新年度名簿!$J$3:$J$452,$AG$3+1),新年度名簿!$J$3:$J$452,0),""),""),IFERROR(IF(SMALL(前年度名簿!$G$3:$G$452,$AG$3+1)&lt;13000,MATCH(SMALL(前年度名簿!$G$3:$G$452,$AG$3+1),前年度名簿!$G$3:$G$452,0),""),""))</f>
        <v/>
      </c>
      <c r="AH5" s="63">
        <f>IF(計算用!$B$1=1,IFERROR(IF(SMALL(新年度名簿!$J$3:$J$452,$AH$3+1)&lt;14000,MATCH(SMALL(新年度名簿!$J$3:$J$452,$AH$3+1),新年度名簿!$J$3:$J$452,0),""),""),IFERROR(IF(SMALL(前年度名簿!$G$3:$G$452,$AH$3+1)&lt;14000,MATCH(SMALL(前年度名簿!$G$3:$G$452,$AH$3+1),前年度名簿!$G$3:$G$452,0),""),""))</f>
        <v/>
      </c>
      <c r="AI5" s="63">
        <f>IF(計算用!$B$1=1,IFERROR(IF(SMALL(新年度名簿!$J$3:$J$452,$AI$3+1)&lt;15000,MATCH(SMALL(新年度名簿!$J$3:$J$452,$AI$3+1),新年度名簿!$J$3:$J$452,0),""),""),IFERROR(IF(SMALL(前年度名簿!$G$3:$G$452,$AI$3+1)&lt;15000,MATCH(SMALL(前年度名簿!$G$3:$G$452,$AI$3+1),前年度名簿!$G$3:$G$452,0),""),""))</f>
        <v/>
      </c>
      <c r="AJ5" s="63">
        <f>IF(計算用!$B$1=1,IFERROR(IF(SMALL(新年度名簿!$J$3:$J$452,$AJ$3+1)&lt;16000,MATCH(SMALL(新年度名簿!$J$3:$J$452,$AJ$3+1),新年度名簿!$J$3:$J$452,0),""),""),IFERROR(IF(SMALL(前年度名簿!$G$3:$G$452,$AJ$3+1)&lt;16000,MATCH(SMALL(前年度名簿!$G$3:$G$452,$AJ$3+1),前年度名簿!$G$3:$G$452,0),""),""))</f>
        <v/>
      </c>
      <c r="AK5" s="63">
        <f>IF(計算用!$B$1=1,IFERROR(IF(SMALL(新年度名簿!$J$3:$J$452,$AK$3+1)&lt;17000,MATCH(SMALL(新年度名簿!$J$3:$J$452,$AK$3+1),新年度名簿!$J$3:$J$452,0),""),""),IFERROR(IF(SMALL(前年度名簿!$G$3:$G$452,$AK$3+1)&lt;17000,MATCH(SMALL(前年度名簿!$G$3:$G$452,$AK$3+1),前年度名簿!$G$3:$G$452,0),""),""))</f>
        <v/>
      </c>
    </row>
    <row r="6">
      <c r="A6" s="65">
        <f>IF($AD6="","",IF(計算用!$B$1=1,INDEX(新年度名簿!$C$3:$C$452,$AD6),INDEX(前年度名簿!$C$3:$C$452,$AD6)))</f>
        <v/>
      </c>
      <c r="B6" s="66">
        <f>IF($AD6="","",IF(計算用!$B$1=1,INDEX(新年度名簿!$D$3:$D$452,$AD6),INDEX(前年度名簿!$D$3:$D$452,$AD6)))</f>
        <v/>
      </c>
      <c r="C6" s="65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M$7:$M$456,MATCH($AD6,振り分け!$P$7:$P$456,0))="転出","転出",IF(INDEX(振り分け!$L$7:$L$456,MATCH($AD6,振り分け!$P$7:$P$456,0))="","未決定",INDEX(振り分け!$L$7:$L$456,MATCH($AD6,振り分け!$P$7:$P$456,0)))),"未決定")))</f>
        <v/>
      </c>
      <c r="D6" s="65">
        <f>IF($AE6="","",IF(計算用!$B$1=1,INDEX(新年度名簿!$C$3:$C$452,$AE6),INDEX(前年度名簿!$C$3:$C$452,$AE6)))</f>
        <v/>
      </c>
      <c r="E6" s="66">
        <f>IF($AE6="","",IF(計算用!$B$1=1,INDEX(新年度名簿!$D$3:$D$452,$AE6),INDEX(前年度名簿!$D$3:$D$452,$AE6)))</f>
        <v/>
      </c>
      <c r="F6" s="65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M$7:$M$456,MATCH($AE6,振り分け!$P$7:$P$456,0))="転出","転出",IF(INDEX(振り分け!$L$7:$L$456,MATCH($AE6,振り分け!$P$7:$P$456,0))="","未決定",INDEX(振り分け!$L$7:$L$456,MATCH($AE6,振り分け!$P$7:$P$456,0)))),"未決定")))</f>
        <v/>
      </c>
      <c r="G6" s="65">
        <f>IF($AF6="","",IF(計算用!$B$1=1,INDEX(新年度名簿!$C$3:$C$452,$AF6),INDEX(前年度名簿!$C$3:$C$452,$AF6)))</f>
        <v/>
      </c>
      <c r="H6" s="66">
        <f>IF($AF6="","",IF(計算用!$B$1=1,INDEX(新年度名簿!$D$3:$D$452,$AF6),INDEX(前年度名簿!$D$3:$D$452,$AF6)))</f>
        <v/>
      </c>
      <c r="I6" s="65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M$7:$M$456,MATCH($AF6,振り分け!$P$7:$P$456,0))="転出","転出",IF(INDEX(振り分け!$L$7:$L$456,MATCH($AF6,振り分け!$P$7:$P$456,0))="","未決定",INDEX(振り分け!$L$7:$L$456,MATCH($AF6,振り分け!$P$7:$P$456,0)))),"未決定")))</f>
        <v/>
      </c>
      <c r="J6" s="65">
        <f>IF($AG6="","",IF(計算用!$B$1=1,INDEX(新年度名簿!$C$3:$C$452,$AG6),INDEX(前年度名簿!$C$3:$C$452,$AG6)))</f>
        <v/>
      </c>
      <c r="K6" s="66">
        <f>IF($AG6="","",IF(計算用!$B$1=1,INDEX(新年度名簿!$D$3:$D$452,$AG6),INDEX(前年度名簿!$D$3:$D$452,$AG6)))</f>
        <v/>
      </c>
      <c r="L6" s="65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M$7:$M$456,MATCH($AG6,振り分け!$P$7:$P$456,0))="転出","転出",IF(INDEX(振り分け!$L$7:$L$456,MATCH($AG6,振り分け!$P$7:$P$456,0))="","未決定",INDEX(振り分け!$L$7:$L$456,MATCH($AG6,振り分け!$P$7:$P$456,0)))),"未決定")))</f>
        <v/>
      </c>
      <c r="M6" s="65">
        <f>IF($AH6="","",IF(計算用!$B$1=1,INDEX(新年度名簿!$C$3:$C$452,$AH6),INDEX(前年度名簿!$C$3:$C$452,$AH6)))</f>
        <v/>
      </c>
      <c r="N6" s="66">
        <f>IF($AH6="","",IF(計算用!$B$1=1,INDEX(新年度名簿!$D$3:$D$452,$AH6),INDEX(前年度名簿!$D$3:$D$452,$AH6)))</f>
        <v/>
      </c>
      <c r="O6" s="65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M$7:$M$456,MATCH($AH6,振り分け!$P$7:$P$456,0))="転出","転出",IF(INDEX(振り分け!$L$7:$L$456,MATCH($AH6,振り分け!$P$7:$P$456,0))="","未決定",INDEX(振り分け!$L$7:$L$456,MATCH($AH6,振り分け!$P$7:$P$456,0)))),"未決定")))</f>
        <v/>
      </c>
      <c r="P6" s="65">
        <f>IF($AI6="","",IF(計算用!$B$1=1,INDEX(新年度名簿!$C$3:$C$452,$AI6),INDEX(前年度名簿!$C$3:$C$452,$AI6)))</f>
        <v/>
      </c>
      <c r="Q6" s="66">
        <f>IF($AI6="","",IF(計算用!$B$1=1,INDEX(新年度名簿!$D$3:$D$452,$AI6),INDEX(前年度名簿!$D$3:$D$452,$AI6)))</f>
        <v/>
      </c>
      <c r="R6" s="65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M$7:$M$456,MATCH($AI6,振り分け!$P$7:$P$456,0))="転出","転出",IF(INDEX(振り分け!$L$7:$L$456,MATCH($AI6,振り分け!$P$7:$P$456,0))="","未決定",INDEX(振り分け!$L$7:$L$456,MATCH($AI6,振り分け!$P$7:$P$456,0)))),"未決定")))</f>
        <v/>
      </c>
      <c r="S6" s="65">
        <f>IF($AJ6="","",IF(計算用!$B$1=1,INDEX(新年度名簿!$C$3:$C$452,$AJ6),INDEX(前年度名簿!$C$3:$C$452,$AJ6)))</f>
        <v/>
      </c>
      <c r="T6" s="66">
        <f>IF($AJ6="","",IF(計算用!$B$1=1,INDEX(新年度名簿!$D$3:$D$452,$AJ6),INDEX(前年度名簿!$D$3:$D$452,$AJ6)))</f>
        <v/>
      </c>
      <c r="U6" s="65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M$7:$M$456,MATCH($AJ6,振り分け!$P$7:$P$456,0))="転出","転出",IF(INDEX(振り分け!$L$7:$L$456,MATCH($AJ6,振り分け!$P$7:$P$456,0))="","未決定",INDEX(振り分け!$L$7:$L$456,MATCH($AJ6,振り分け!$P$7:$P$456,0)))),"未決定")))</f>
        <v/>
      </c>
      <c r="V6" s="65">
        <f>IF($AK6="","",IF(計算用!$B$1=1,INDEX(新年度名簿!$C$3:$C$452,$AK6),INDEX(前年度名簿!$C$3:$C$452,$AK6)))</f>
        <v/>
      </c>
      <c r="W6" s="66">
        <f>IF($AK6="","",IF(計算用!$B$1=1,INDEX(新年度名簿!$D$3:$D$452,$AK6),INDEX(前年度名簿!$D$3:$D$452,$AK6)))</f>
        <v/>
      </c>
      <c r="X6" s="65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M$7:$M$456,MATCH($AK6,振り分け!$P$7:$P$456,0))="転出","転出",IF(INDEX(振り分け!$L$7:$L$456,MATCH($AK6,振り分け!$P$7:$P$456,0))="","未決定",INDEX(振り分け!$L$7:$L$456,MATCH($AK6,振り分け!$P$7:$P$456,0)))),"未決定")))</f>
        <v/>
      </c>
      <c r="AD6" s="63">
        <f>IF(計算用!$B$1=1,IFERROR(IF(SMALL(新年度名簿!$J$3:$J$452,$AD$3+2)&lt;10000,MATCH(SMALL(新年度名簿!$J$3:$J$452,$AD$3+2),新年度名簿!$J$3:$J$452,0),""),""),IFERROR(IF(SMALL(前年度名簿!$G$3:$G$452,$AD$3+2)&lt;10000,MATCH(SMALL(前年度名簿!$G$3:$G$452,$AD$3+2),前年度名簿!$G$3:$G$452,0),""),""))</f>
        <v/>
      </c>
      <c r="AE6" s="63">
        <f>IF(計算用!$B$1=1,IFERROR(IF(SMALL(新年度名簿!$J$3:$J$452,$AE$3+2)&lt;11000,MATCH(SMALL(新年度名簿!$J$3:$J$452,$AE$3+2),新年度名簿!$J$3:$J$452,0),""),""),IFERROR(IF(SMALL(前年度名簿!$G$3:$G$452,$AE$3+2)&lt;11000,MATCH(SMALL(前年度名簿!$G$3:$G$452,$AE$3+2),前年度名簿!$G$3:$G$452,0),""),""))</f>
        <v/>
      </c>
      <c r="AF6" s="63">
        <f>IF(計算用!$B$1=1,IFERROR(IF(SMALL(新年度名簿!$J$3:$J$452,$AF$3+2)&lt;12000,MATCH(SMALL(新年度名簿!$J$3:$J$452,$AF$3+2),新年度名簿!$J$3:$J$452,0),""),""),IFERROR(IF(SMALL(前年度名簿!$G$3:$G$452,$AF$3+2)&lt;12000,MATCH(SMALL(前年度名簿!$G$3:$G$452,$AF$3+2),前年度名簿!$G$3:$G$452,0),""),""))</f>
        <v/>
      </c>
      <c r="AG6" s="63">
        <f>IF(計算用!$B$1=1,IFERROR(IF(SMALL(新年度名簿!$J$3:$J$452,$AG$3+2)&lt;13000,MATCH(SMALL(新年度名簿!$J$3:$J$452,$AG$3+2),新年度名簿!$J$3:$J$452,0),""),""),IFERROR(IF(SMALL(前年度名簿!$G$3:$G$452,$AG$3+2)&lt;13000,MATCH(SMALL(前年度名簿!$G$3:$G$452,$AG$3+2),前年度名簿!$G$3:$G$452,0),""),""))</f>
        <v/>
      </c>
      <c r="AH6" s="63">
        <f>IF(計算用!$B$1=1,IFERROR(IF(SMALL(新年度名簿!$J$3:$J$452,$AH$3+2)&lt;14000,MATCH(SMALL(新年度名簿!$J$3:$J$452,$AH$3+2),新年度名簿!$J$3:$J$452,0),""),""),IFERROR(IF(SMALL(前年度名簿!$G$3:$G$452,$AH$3+2)&lt;14000,MATCH(SMALL(前年度名簿!$G$3:$G$452,$AH$3+2),前年度名簿!$G$3:$G$452,0),""),""))</f>
        <v/>
      </c>
      <c r="AI6" s="63">
        <f>IF(計算用!$B$1=1,IFERROR(IF(SMALL(新年度名簿!$J$3:$J$452,$AI$3+2)&lt;15000,MATCH(SMALL(新年度名簿!$J$3:$J$452,$AI$3+2),新年度名簿!$J$3:$J$452,0),""),""),IFERROR(IF(SMALL(前年度名簿!$G$3:$G$452,$AI$3+2)&lt;15000,MATCH(SMALL(前年度名簿!$G$3:$G$452,$AI$3+2),前年度名簿!$G$3:$G$452,0),""),""))</f>
        <v/>
      </c>
      <c r="AJ6" s="63">
        <f>IF(計算用!$B$1=1,IFERROR(IF(SMALL(新年度名簿!$J$3:$J$452,$AJ$3+2)&lt;16000,MATCH(SMALL(新年度名簿!$J$3:$J$452,$AJ$3+2),新年度名簿!$J$3:$J$452,0),""),""),IFERROR(IF(SMALL(前年度名簿!$G$3:$G$452,$AJ$3+2)&lt;16000,MATCH(SMALL(前年度名簿!$G$3:$G$452,$AJ$3+2),前年度名簿!$G$3:$G$452,0),""),""))</f>
        <v/>
      </c>
      <c r="AK6" s="63">
        <f>IF(計算用!$B$1=1,IFERROR(IF(SMALL(新年度名簿!$J$3:$J$452,$AK$3+2)&lt;17000,MATCH(SMALL(新年度名簿!$J$3:$J$452,$AK$3+2),新年度名簿!$J$3:$J$452,0),""),""),IFERROR(IF(SMALL(前年度名簿!$G$3:$G$452,$AK$3+2)&lt;17000,MATCH(SMALL(前年度名簿!$G$3:$G$452,$AK$3+2),前年度名簿!$G$3:$G$452,0),""),""))</f>
        <v/>
      </c>
    </row>
    <row r="7">
      <c r="A7" s="65">
        <f>IF($AD7="","",IF(計算用!$B$1=1,INDEX(新年度名簿!$C$3:$C$452,$AD7),INDEX(前年度名簿!$C$3:$C$452,$AD7)))</f>
        <v/>
      </c>
      <c r="B7" s="66">
        <f>IF($AD7="","",IF(計算用!$B$1=1,INDEX(新年度名簿!$D$3:$D$452,$AD7),INDEX(前年度名簿!$D$3:$D$452,$AD7)))</f>
        <v/>
      </c>
      <c r="C7" s="65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M$7:$M$456,MATCH($AD7,振り分け!$P$7:$P$456,0))="転出","転出",IF(INDEX(振り分け!$L$7:$L$456,MATCH($AD7,振り分け!$P$7:$P$456,0))="","未決定",INDEX(振り分け!$L$7:$L$456,MATCH($AD7,振り分け!$P$7:$P$456,0)))),"未決定")))</f>
        <v/>
      </c>
      <c r="D7" s="65">
        <f>IF($AE7="","",IF(計算用!$B$1=1,INDEX(新年度名簿!$C$3:$C$452,$AE7),INDEX(前年度名簿!$C$3:$C$452,$AE7)))</f>
        <v/>
      </c>
      <c r="E7" s="66">
        <f>IF($AE7="","",IF(計算用!$B$1=1,INDEX(新年度名簿!$D$3:$D$452,$AE7),INDEX(前年度名簿!$D$3:$D$452,$AE7)))</f>
        <v/>
      </c>
      <c r="F7" s="65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M$7:$M$456,MATCH($AE7,振り分け!$P$7:$P$456,0))="転出","転出",IF(INDEX(振り分け!$L$7:$L$456,MATCH($AE7,振り分け!$P$7:$P$456,0))="","未決定",INDEX(振り分け!$L$7:$L$456,MATCH($AE7,振り分け!$P$7:$P$456,0)))),"未決定")))</f>
        <v/>
      </c>
      <c r="G7" s="65">
        <f>IF($AF7="","",IF(計算用!$B$1=1,INDEX(新年度名簿!$C$3:$C$452,$AF7),INDEX(前年度名簿!$C$3:$C$452,$AF7)))</f>
        <v/>
      </c>
      <c r="H7" s="66">
        <f>IF($AF7="","",IF(計算用!$B$1=1,INDEX(新年度名簿!$D$3:$D$452,$AF7),INDEX(前年度名簿!$D$3:$D$452,$AF7)))</f>
        <v/>
      </c>
      <c r="I7" s="65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M$7:$M$456,MATCH($AF7,振り分け!$P$7:$P$456,0))="転出","転出",IF(INDEX(振り分け!$L$7:$L$456,MATCH($AF7,振り分け!$P$7:$P$456,0))="","未決定",INDEX(振り分け!$L$7:$L$456,MATCH($AF7,振り分け!$P$7:$P$456,0)))),"未決定")))</f>
        <v/>
      </c>
      <c r="J7" s="65">
        <f>IF($AG7="","",IF(計算用!$B$1=1,INDEX(新年度名簿!$C$3:$C$452,$AG7),INDEX(前年度名簿!$C$3:$C$452,$AG7)))</f>
        <v/>
      </c>
      <c r="K7" s="66">
        <f>IF($AG7="","",IF(計算用!$B$1=1,INDEX(新年度名簿!$D$3:$D$452,$AG7),INDEX(前年度名簿!$D$3:$D$452,$AG7)))</f>
        <v/>
      </c>
      <c r="L7" s="65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M$7:$M$456,MATCH($AG7,振り分け!$P$7:$P$456,0))="転出","転出",IF(INDEX(振り分け!$L$7:$L$456,MATCH($AG7,振り分け!$P$7:$P$456,0))="","未決定",INDEX(振り分け!$L$7:$L$456,MATCH($AG7,振り分け!$P$7:$P$456,0)))),"未決定")))</f>
        <v/>
      </c>
      <c r="M7" s="65">
        <f>IF($AH7="","",IF(計算用!$B$1=1,INDEX(新年度名簿!$C$3:$C$452,$AH7),INDEX(前年度名簿!$C$3:$C$452,$AH7)))</f>
        <v/>
      </c>
      <c r="N7" s="66">
        <f>IF($AH7="","",IF(計算用!$B$1=1,INDEX(新年度名簿!$D$3:$D$452,$AH7),INDEX(前年度名簿!$D$3:$D$452,$AH7)))</f>
        <v/>
      </c>
      <c r="O7" s="65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M$7:$M$456,MATCH($AH7,振り分け!$P$7:$P$456,0))="転出","転出",IF(INDEX(振り分け!$L$7:$L$456,MATCH($AH7,振り分け!$P$7:$P$456,0))="","未決定",INDEX(振り分け!$L$7:$L$456,MATCH($AH7,振り分け!$P$7:$P$456,0)))),"未決定")))</f>
        <v/>
      </c>
      <c r="P7" s="65">
        <f>IF($AI7="","",IF(計算用!$B$1=1,INDEX(新年度名簿!$C$3:$C$452,$AI7),INDEX(前年度名簿!$C$3:$C$452,$AI7)))</f>
        <v/>
      </c>
      <c r="Q7" s="66">
        <f>IF($AI7="","",IF(計算用!$B$1=1,INDEX(新年度名簿!$D$3:$D$452,$AI7),INDEX(前年度名簿!$D$3:$D$452,$AI7)))</f>
        <v/>
      </c>
      <c r="R7" s="65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M$7:$M$456,MATCH($AI7,振り分け!$P$7:$P$456,0))="転出","転出",IF(INDEX(振り分け!$L$7:$L$456,MATCH($AI7,振り分け!$P$7:$P$456,0))="","未決定",INDEX(振り分け!$L$7:$L$456,MATCH($AI7,振り分け!$P$7:$P$456,0)))),"未決定")))</f>
        <v/>
      </c>
      <c r="S7" s="65">
        <f>IF($AJ7="","",IF(計算用!$B$1=1,INDEX(新年度名簿!$C$3:$C$452,$AJ7),INDEX(前年度名簿!$C$3:$C$452,$AJ7)))</f>
        <v/>
      </c>
      <c r="T7" s="66">
        <f>IF($AJ7="","",IF(計算用!$B$1=1,INDEX(新年度名簿!$D$3:$D$452,$AJ7),INDEX(前年度名簿!$D$3:$D$452,$AJ7)))</f>
        <v/>
      </c>
      <c r="U7" s="65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M$7:$M$456,MATCH($AJ7,振り分け!$P$7:$P$456,0))="転出","転出",IF(INDEX(振り分け!$L$7:$L$456,MATCH($AJ7,振り分け!$P$7:$P$456,0))="","未決定",INDEX(振り分け!$L$7:$L$456,MATCH($AJ7,振り分け!$P$7:$P$456,0)))),"未決定")))</f>
        <v/>
      </c>
      <c r="V7" s="65">
        <f>IF($AK7="","",IF(計算用!$B$1=1,INDEX(新年度名簿!$C$3:$C$452,$AK7),INDEX(前年度名簿!$C$3:$C$452,$AK7)))</f>
        <v/>
      </c>
      <c r="W7" s="66">
        <f>IF($AK7="","",IF(計算用!$B$1=1,INDEX(新年度名簿!$D$3:$D$452,$AK7),INDEX(前年度名簿!$D$3:$D$452,$AK7)))</f>
        <v/>
      </c>
      <c r="X7" s="65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M$7:$M$456,MATCH($AK7,振り分け!$P$7:$P$456,0))="転出","転出",IF(INDEX(振り分け!$L$7:$L$456,MATCH($AK7,振り分け!$P$7:$P$456,0))="","未決定",INDEX(振り分け!$L$7:$L$456,MATCH($AK7,振り分け!$P$7:$P$456,0)))),"未決定")))</f>
        <v/>
      </c>
      <c r="AD7" s="63">
        <f>IF(計算用!$B$1=1,IFERROR(IF(SMALL(新年度名簿!$J$3:$J$452,$AD$3+3)&lt;10000,MATCH(SMALL(新年度名簿!$J$3:$J$452,$AD$3+3),新年度名簿!$J$3:$J$452,0),""),""),IFERROR(IF(SMALL(前年度名簿!$G$3:$G$452,$AD$3+3)&lt;10000,MATCH(SMALL(前年度名簿!$G$3:$G$452,$AD$3+3),前年度名簿!$G$3:$G$452,0),""),""))</f>
        <v/>
      </c>
      <c r="AE7" s="63">
        <f>IF(計算用!$B$1=1,IFERROR(IF(SMALL(新年度名簿!$J$3:$J$452,$AE$3+3)&lt;11000,MATCH(SMALL(新年度名簿!$J$3:$J$452,$AE$3+3),新年度名簿!$J$3:$J$452,0),""),""),IFERROR(IF(SMALL(前年度名簿!$G$3:$G$452,$AE$3+3)&lt;11000,MATCH(SMALL(前年度名簿!$G$3:$G$452,$AE$3+3),前年度名簿!$G$3:$G$452,0),""),""))</f>
        <v/>
      </c>
      <c r="AF7" s="63">
        <f>IF(計算用!$B$1=1,IFERROR(IF(SMALL(新年度名簿!$J$3:$J$452,$AF$3+3)&lt;12000,MATCH(SMALL(新年度名簿!$J$3:$J$452,$AF$3+3),新年度名簿!$J$3:$J$452,0),""),""),IFERROR(IF(SMALL(前年度名簿!$G$3:$G$452,$AF$3+3)&lt;12000,MATCH(SMALL(前年度名簿!$G$3:$G$452,$AF$3+3),前年度名簿!$G$3:$G$452,0),""),""))</f>
        <v/>
      </c>
      <c r="AG7" s="63">
        <f>IF(計算用!$B$1=1,IFERROR(IF(SMALL(新年度名簿!$J$3:$J$452,$AG$3+3)&lt;13000,MATCH(SMALL(新年度名簿!$J$3:$J$452,$AG$3+3),新年度名簿!$J$3:$J$452,0),""),""),IFERROR(IF(SMALL(前年度名簿!$G$3:$G$452,$AG$3+3)&lt;13000,MATCH(SMALL(前年度名簿!$G$3:$G$452,$AG$3+3),前年度名簿!$G$3:$G$452,0),""),""))</f>
        <v/>
      </c>
      <c r="AH7" s="63">
        <f>IF(計算用!$B$1=1,IFERROR(IF(SMALL(新年度名簿!$J$3:$J$452,$AH$3+3)&lt;14000,MATCH(SMALL(新年度名簿!$J$3:$J$452,$AH$3+3),新年度名簿!$J$3:$J$452,0),""),""),IFERROR(IF(SMALL(前年度名簿!$G$3:$G$452,$AH$3+3)&lt;14000,MATCH(SMALL(前年度名簿!$G$3:$G$452,$AH$3+3),前年度名簿!$G$3:$G$452,0),""),""))</f>
        <v/>
      </c>
      <c r="AI7" s="63">
        <f>IF(計算用!$B$1=1,IFERROR(IF(SMALL(新年度名簿!$J$3:$J$452,$AI$3+3)&lt;15000,MATCH(SMALL(新年度名簿!$J$3:$J$452,$AI$3+3),新年度名簿!$J$3:$J$452,0),""),""),IFERROR(IF(SMALL(前年度名簿!$G$3:$G$452,$AI$3+3)&lt;15000,MATCH(SMALL(前年度名簿!$G$3:$G$452,$AI$3+3),前年度名簿!$G$3:$G$452,0),""),""))</f>
        <v/>
      </c>
      <c r="AJ7" s="63">
        <f>IF(計算用!$B$1=1,IFERROR(IF(SMALL(新年度名簿!$J$3:$J$452,$AJ$3+3)&lt;16000,MATCH(SMALL(新年度名簿!$J$3:$J$452,$AJ$3+3),新年度名簿!$J$3:$J$452,0),""),""),IFERROR(IF(SMALL(前年度名簿!$G$3:$G$452,$AJ$3+3)&lt;16000,MATCH(SMALL(前年度名簿!$G$3:$G$452,$AJ$3+3),前年度名簿!$G$3:$G$452,0),""),""))</f>
        <v/>
      </c>
      <c r="AK7" s="63">
        <f>IF(計算用!$B$1=1,IFERROR(IF(SMALL(新年度名簿!$J$3:$J$452,$AK$3+3)&lt;17000,MATCH(SMALL(新年度名簿!$J$3:$J$452,$AK$3+3),新年度名簿!$J$3:$J$452,0),""),""),IFERROR(IF(SMALL(前年度名簿!$G$3:$G$452,$AK$3+3)&lt;17000,MATCH(SMALL(前年度名簿!$G$3:$G$452,$AK$3+3),前年度名簿!$G$3:$G$452,0),""),""))</f>
        <v/>
      </c>
    </row>
    <row r="8">
      <c r="A8" s="65">
        <f>IF($AD8="","",IF(計算用!$B$1=1,INDEX(新年度名簿!$C$3:$C$452,$AD8),INDEX(前年度名簿!$C$3:$C$452,$AD8)))</f>
        <v/>
      </c>
      <c r="B8" s="66">
        <f>IF($AD8="","",IF(計算用!$B$1=1,INDEX(新年度名簿!$D$3:$D$452,$AD8),INDEX(前年度名簿!$D$3:$D$452,$AD8)))</f>
        <v/>
      </c>
      <c r="C8" s="65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M$7:$M$456,MATCH($AD8,振り分け!$P$7:$P$456,0))="転出","転出",IF(INDEX(振り分け!$L$7:$L$456,MATCH($AD8,振り分け!$P$7:$P$456,0))="","未決定",INDEX(振り分け!$L$7:$L$456,MATCH($AD8,振り分け!$P$7:$P$456,0)))),"未決定")))</f>
        <v/>
      </c>
      <c r="D8" s="65">
        <f>IF($AE8="","",IF(計算用!$B$1=1,INDEX(新年度名簿!$C$3:$C$452,$AE8),INDEX(前年度名簿!$C$3:$C$452,$AE8)))</f>
        <v/>
      </c>
      <c r="E8" s="66">
        <f>IF($AE8="","",IF(計算用!$B$1=1,INDEX(新年度名簿!$D$3:$D$452,$AE8),INDEX(前年度名簿!$D$3:$D$452,$AE8)))</f>
        <v/>
      </c>
      <c r="F8" s="65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M$7:$M$456,MATCH($AE8,振り分け!$P$7:$P$456,0))="転出","転出",IF(INDEX(振り分け!$L$7:$L$456,MATCH($AE8,振り分け!$P$7:$P$456,0))="","未決定",INDEX(振り分け!$L$7:$L$456,MATCH($AE8,振り分け!$P$7:$P$456,0)))),"未決定")))</f>
        <v/>
      </c>
      <c r="G8" s="65">
        <f>IF($AF8="","",IF(計算用!$B$1=1,INDEX(新年度名簿!$C$3:$C$452,$AF8),INDEX(前年度名簿!$C$3:$C$452,$AF8)))</f>
        <v/>
      </c>
      <c r="H8" s="66">
        <f>IF($AF8="","",IF(計算用!$B$1=1,INDEX(新年度名簿!$D$3:$D$452,$AF8),INDEX(前年度名簿!$D$3:$D$452,$AF8)))</f>
        <v/>
      </c>
      <c r="I8" s="65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M$7:$M$456,MATCH($AF8,振り分け!$P$7:$P$456,0))="転出","転出",IF(INDEX(振り分け!$L$7:$L$456,MATCH($AF8,振り分け!$P$7:$P$456,0))="","未決定",INDEX(振り分け!$L$7:$L$456,MATCH($AF8,振り分け!$P$7:$P$456,0)))),"未決定")))</f>
        <v/>
      </c>
      <c r="J8" s="65">
        <f>IF($AG8="","",IF(計算用!$B$1=1,INDEX(新年度名簿!$C$3:$C$452,$AG8),INDEX(前年度名簿!$C$3:$C$452,$AG8)))</f>
        <v/>
      </c>
      <c r="K8" s="66">
        <f>IF($AG8="","",IF(計算用!$B$1=1,INDEX(新年度名簿!$D$3:$D$452,$AG8),INDEX(前年度名簿!$D$3:$D$452,$AG8)))</f>
        <v/>
      </c>
      <c r="L8" s="65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M$7:$M$456,MATCH($AG8,振り分け!$P$7:$P$456,0))="転出","転出",IF(INDEX(振り分け!$L$7:$L$456,MATCH($AG8,振り分け!$P$7:$P$456,0))="","未決定",INDEX(振り分け!$L$7:$L$456,MATCH($AG8,振り分け!$P$7:$P$456,0)))),"未決定")))</f>
        <v/>
      </c>
      <c r="M8" s="65">
        <f>IF($AH8="","",IF(計算用!$B$1=1,INDEX(新年度名簿!$C$3:$C$452,$AH8),INDEX(前年度名簿!$C$3:$C$452,$AH8)))</f>
        <v/>
      </c>
      <c r="N8" s="66">
        <f>IF($AH8="","",IF(計算用!$B$1=1,INDEX(新年度名簿!$D$3:$D$452,$AH8),INDEX(前年度名簿!$D$3:$D$452,$AH8)))</f>
        <v/>
      </c>
      <c r="O8" s="65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M$7:$M$456,MATCH($AH8,振り分け!$P$7:$P$456,0))="転出","転出",IF(INDEX(振り分け!$L$7:$L$456,MATCH($AH8,振り分け!$P$7:$P$456,0))="","未決定",INDEX(振り分け!$L$7:$L$456,MATCH($AH8,振り分け!$P$7:$P$456,0)))),"未決定")))</f>
        <v/>
      </c>
      <c r="P8" s="65">
        <f>IF($AI8="","",IF(計算用!$B$1=1,INDEX(新年度名簿!$C$3:$C$452,$AI8),INDEX(前年度名簿!$C$3:$C$452,$AI8)))</f>
        <v/>
      </c>
      <c r="Q8" s="66">
        <f>IF($AI8="","",IF(計算用!$B$1=1,INDEX(新年度名簿!$D$3:$D$452,$AI8),INDEX(前年度名簿!$D$3:$D$452,$AI8)))</f>
        <v/>
      </c>
      <c r="R8" s="65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M$7:$M$456,MATCH($AI8,振り分け!$P$7:$P$456,0))="転出","転出",IF(INDEX(振り分け!$L$7:$L$456,MATCH($AI8,振り分け!$P$7:$P$456,0))="","未決定",INDEX(振り分け!$L$7:$L$456,MATCH($AI8,振り分け!$P$7:$P$456,0)))),"未決定")))</f>
        <v/>
      </c>
      <c r="S8" s="65">
        <f>IF($AJ8="","",IF(計算用!$B$1=1,INDEX(新年度名簿!$C$3:$C$452,$AJ8),INDEX(前年度名簿!$C$3:$C$452,$AJ8)))</f>
        <v/>
      </c>
      <c r="T8" s="66">
        <f>IF($AJ8="","",IF(計算用!$B$1=1,INDEX(新年度名簿!$D$3:$D$452,$AJ8),INDEX(前年度名簿!$D$3:$D$452,$AJ8)))</f>
        <v/>
      </c>
      <c r="U8" s="65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M$7:$M$456,MATCH($AJ8,振り分け!$P$7:$P$456,0))="転出","転出",IF(INDEX(振り分け!$L$7:$L$456,MATCH($AJ8,振り分け!$P$7:$P$456,0))="","未決定",INDEX(振り分け!$L$7:$L$456,MATCH($AJ8,振り分け!$P$7:$P$456,0)))),"未決定")))</f>
        <v/>
      </c>
      <c r="V8" s="65">
        <f>IF($AK8="","",IF(計算用!$B$1=1,INDEX(新年度名簿!$C$3:$C$452,$AK8),INDEX(前年度名簿!$C$3:$C$452,$AK8)))</f>
        <v/>
      </c>
      <c r="W8" s="66">
        <f>IF($AK8="","",IF(計算用!$B$1=1,INDEX(新年度名簿!$D$3:$D$452,$AK8),INDEX(前年度名簿!$D$3:$D$452,$AK8)))</f>
        <v/>
      </c>
      <c r="X8" s="65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M$7:$M$456,MATCH($AK8,振り分け!$P$7:$P$456,0))="転出","転出",IF(INDEX(振り分け!$L$7:$L$456,MATCH($AK8,振り分け!$P$7:$P$456,0))="","未決定",INDEX(振り分け!$L$7:$L$456,MATCH($AK8,振り分け!$P$7:$P$456,0)))),"未決定")))</f>
        <v/>
      </c>
      <c r="AD8" s="63">
        <f>IF(計算用!$B$1=1,IFERROR(IF(SMALL(新年度名簿!$J$3:$J$452,$AD$3+4)&lt;10000,MATCH(SMALL(新年度名簿!$J$3:$J$452,$AD$3+4),新年度名簿!$J$3:$J$452,0),""),""),IFERROR(IF(SMALL(前年度名簿!$G$3:$G$452,$AD$3+4)&lt;10000,MATCH(SMALL(前年度名簿!$G$3:$G$452,$AD$3+4),前年度名簿!$G$3:$G$452,0),""),""))</f>
        <v/>
      </c>
      <c r="AE8" s="63">
        <f>IF(計算用!$B$1=1,IFERROR(IF(SMALL(新年度名簿!$J$3:$J$452,$AE$3+4)&lt;11000,MATCH(SMALL(新年度名簿!$J$3:$J$452,$AE$3+4),新年度名簿!$J$3:$J$452,0),""),""),IFERROR(IF(SMALL(前年度名簿!$G$3:$G$452,$AE$3+4)&lt;11000,MATCH(SMALL(前年度名簿!$G$3:$G$452,$AE$3+4),前年度名簿!$G$3:$G$452,0),""),""))</f>
        <v/>
      </c>
      <c r="AF8" s="63">
        <f>IF(計算用!$B$1=1,IFERROR(IF(SMALL(新年度名簿!$J$3:$J$452,$AF$3+4)&lt;12000,MATCH(SMALL(新年度名簿!$J$3:$J$452,$AF$3+4),新年度名簿!$J$3:$J$452,0),""),""),IFERROR(IF(SMALL(前年度名簿!$G$3:$G$452,$AF$3+4)&lt;12000,MATCH(SMALL(前年度名簿!$G$3:$G$452,$AF$3+4),前年度名簿!$G$3:$G$452,0),""),""))</f>
        <v/>
      </c>
      <c r="AG8" s="63">
        <f>IF(計算用!$B$1=1,IFERROR(IF(SMALL(新年度名簿!$J$3:$J$452,$AG$3+4)&lt;13000,MATCH(SMALL(新年度名簿!$J$3:$J$452,$AG$3+4),新年度名簿!$J$3:$J$452,0),""),""),IFERROR(IF(SMALL(前年度名簿!$G$3:$G$452,$AG$3+4)&lt;13000,MATCH(SMALL(前年度名簿!$G$3:$G$452,$AG$3+4),前年度名簿!$G$3:$G$452,0),""),""))</f>
        <v/>
      </c>
      <c r="AH8" s="63">
        <f>IF(計算用!$B$1=1,IFERROR(IF(SMALL(新年度名簿!$J$3:$J$452,$AH$3+4)&lt;14000,MATCH(SMALL(新年度名簿!$J$3:$J$452,$AH$3+4),新年度名簿!$J$3:$J$452,0),""),""),IFERROR(IF(SMALL(前年度名簿!$G$3:$G$452,$AH$3+4)&lt;14000,MATCH(SMALL(前年度名簿!$G$3:$G$452,$AH$3+4),前年度名簿!$G$3:$G$452,0),""),""))</f>
        <v/>
      </c>
      <c r="AI8" s="63">
        <f>IF(計算用!$B$1=1,IFERROR(IF(SMALL(新年度名簿!$J$3:$J$452,$AI$3+4)&lt;15000,MATCH(SMALL(新年度名簿!$J$3:$J$452,$AI$3+4),新年度名簿!$J$3:$J$452,0),""),""),IFERROR(IF(SMALL(前年度名簿!$G$3:$G$452,$AI$3+4)&lt;15000,MATCH(SMALL(前年度名簿!$G$3:$G$452,$AI$3+4),前年度名簿!$G$3:$G$452,0),""),""))</f>
        <v/>
      </c>
      <c r="AJ8" s="63">
        <f>IF(計算用!$B$1=1,IFERROR(IF(SMALL(新年度名簿!$J$3:$J$452,$AJ$3+4)&lt;16000,MATCH(SMALL(新年度名簿!$J$3:$J$452,$AJ$3+4),新年度名簿!$J$3:$J$452,0),""),""),IFERROR(IF(SMALL(前年度名簿!$G$3:$G$452,$AJ$3+4)&lt;16000,MATCH(SMALL(前年度名簿!$G$3:$G$452,$AJ$3+4),前年度名簿!$G$3:$G$452,0),""),""))</f>
        <v/>
      </c>
      <c r="AK8" s="63">
        <f>IF(計算用!$B$1=1,IFERROR(IF(SMALL(新年度名簿!$J$3:$J$452,$AK$3+4)&lt;17000,MATCH(SMALL(新年度名簿!$J$3:$J$452,$AK$3+4),新年度名簿!$J$3:$J$452,0),""),""),IFERROR(IF(SMALL(前年度名簿!$G$3:$G$452,$AK$3+4)&lt;17000,MATCH(SMALL(前年度名簿!$G$3:$G$452,$AK$3+4),前年度名簿!$G$3:$G$452,0),""),""))</f>
        <v/>
      </c>
    </row>
    <row r="9">
      <c r="A9" s="65">
        <f>IF($AD9="","",IF(計算用!$B$1=1,INDEX(新年度名簿!$C$3:$C$452,$AD9),INDEX(前年度名簿!$C$3:$C$452,$AD9)))</f>
        <v/>
      </c>
      <c r="B9" s="66">
        <f>IF($AD9="","",IF(計算用!$B$1=1,INDEX(新年度名簿!$D$3:$D$452,$AD9),INDEX(前年度名簿!$D$3:$D$452,$AD9)))</f>
        <v/>
      </c>
      <c r="C9" s="65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M$7:$M$456,MATCH($AD9,振り分け!$P$7:$P$456,0))="転出","転出",IF(INDEX(振り分け!$L$7:$L$456,MATCH($AD9,振り分け!$P$7:$P$456,0))="","未決定",INDEX(振り分け!$L$7:$L$456,MATCH($AD9,振り分け!$P$7:$P$456,0)))),"未決定")))</f>
        <v/>
      </c>
      <c r="D9" s="65">
        <f>IF($AE9="","",IF(計算用!$B$1=1,INDEX(新年度名簿!$C$3:$C$452,$AE9),INDEX(前年度名簿!$C$3:$C$452,$AE9)))</f>
        <v/>
      </c>
      <c r="E9" s="66">
        <f>IF($AE9="","",IF(計算用!$B$1=1,INDEX(新年度名簿!$D$3:$D$452,$AE9),INDEX(前年度名簿!$D$3:$D$452,$AE9)))</f>
        <v/>
      </c>
      <c r="F9" s="65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M$7:$M$456,MATCH($AE9,振り分け!$P$7:$P$456,0))="転出","転出",IF(INDEX(振り分け!$L$7:$L$456,MATCH($AE9,振り分け!$P$7:$P$456,0))="","未決定",INDEX(振り分け!$L$7:$L$456,MATCH($AE9,振り分け!$P$7:$P$456,0)))),"未決定")))</f>
        <v/>
      </c>
      <c r="G9" s="65">
        <f>IF($AF9="","",IF(計算用!$B$1=1,INDEX(新年度名簿!$C$3:$C$452,$AF9),INDEX(前年度名簿!$C$3:$C$452,$AF9)))</f>
        <v/>
      </c>
      <c r="H9" s="66">
        <f>IF($AF9="","",IF(計算用!$B$1=1,INDEX(新年度名簿!$D$3:$D$452,$AF9),INDEX(前年度名簿!$D$3:$D$452,$AF9)))</f>
        <v/>
      </c>
      <c r="I9" s="65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M$7:$M$456,MATCH($AF9,振り分け!$P$7:$P$456,0))="転出","転出",IF(INDEX(振り分け!$L$7:$L$456,MATCH($AF9,振り分け!$P$7:$P$456,0))="","未決定",INDEX(振り分け!$L$7:$L$456,MATCH($AF9,振り分け!$P$7:$P$456,0)))),"未決定")))</f>
        <v/>
      </c>
      <c r="J9" s="65">
        <f>IF($AG9="","",IF(計算用!$B$1=1,INDEX(新年度名簿!$C$3:$C$452,$AG9),INDEX(前年度名簿!$C$3:$C$452,$AG9)))</f>
        <v/>
      </c>
      <c r="K9" s="66">
        <f>IF($AG9="","",IF(計算用!$B$1=1,INDEX(新年度名簿!$D$3:$D$452,$AG9),INDEX(前年度名簿!$D$3:$D$452,$AG9)))</f>
        <v/>
      </c>
      <c r="L9" s="65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M$7:$M$456,MATCH($AG9,振り分け!$P$7:$P$456,0))="転出","転出",IF(INDEX(振り分け!$L$7:$L$456,MATCH($AG9,振り分け!$P$7:$P$456,0))="","未決定",INDEX(振り分け!$L$7:$L$456,MATCH($AG9,振り分け!$P$7:$P$456,0)))),"未決定")))</f>
        <v/>
      </c>
      <c r="M9" s="65">
        <f>IF($AH9="","",IF(計算用!$B$1=1,INDEX(新年度名簿!$C$3:$C$452,$AH9),INDEX(前年度名簿!$C$3:$C$452,$AH9)))</f>
        <v/>
      </c>
      <c r="N9" s="66">
        <f>IF($AH9="","",IF(計算用!$B$1=1,INDEX(新年度名簿!$D$3:$D$452,$AH9),INDEX(前年度名簿!$D$3:$D$452,$AH9)))</f>
        <v/>
      </c>
      <c r="O9" s="65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M$7:$M$456,MATCH($AH9,振り分け!$P$7:$P$456,0))="転出","転出",IF(INDEX(振り分け!$L$7:$L$456,MATCH($AH9,振り分け!$P$7:$P$456,0))="","未決定",INDEX(振り分け!$L$7:$L$456,MATCH($AH9,振り分け!$P$7:$P$456,0)))),"未決定")))</f>
        <v/>
      </c>
      <c r="P9" s="65">
        <f>IF($AI9="","",IF(計算用!$B$1=1,INDEX(新年度名簿!$C$3:$C$452,$AI9),INDEX(前年度名簿!$C$3:$C$452,$AI9)))</f>
        <v/>
      </c>
      <c r="Q9" s="66">
        <f>IF($AI9="","",IF(計算用!$B$1=1,INDEX(新年度名簿!$D$3:$D$452,$AI9),INDEX(前年度名簿!$D$3:$D$452,$AI9)))</f>
        <v/>
      </c>
      <c r="R9" s="65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M$7:$M$456,MATCH($AI9,振り分け!$P$7:$P$456,0))="転出","転出",IF(INDEX(振り分け!$L$7:$L$456,MATCH($AI9,振り分け!$P$7:$P$456,0))="","未決定",INDEX(振り分け!$L$7:$L$456,MATCH($AI9,振り分け!$P$7:$P$456,0)))),"未決定")))</f>
        <v/>
      </c>
      <c r="S9" s="65">
        <f>IF($AJ9="","",IF(計算用!$B$1=1,INDEX(新年度名簿!$C$3:$C$452,$AJ9),INDEX(前年度名簿!$C$3:$C$452,$AJ9)))</f>
        <v/>
      </c>
      <c r="T9" s="66">
        <f>IF($AJ9="","",IF(計算用!$B$1=1,INDEX(新年度名簿!$D$3:$D$452,$AJ9),INDEX(前年度名簿!$D$3:$D$452,$AJ9)))</f>
        <v/>
      </c>
      <c r="U9" s="65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M$7:$M$456,MATCH($AJ9,振り分け!$P$7:$P$456,0))="転出","転出",IF(INDEX(振り分け!$L$7:$L$456,MATCH($AJ9,振り分け!$P$7:$P$456,0))="","未決定",INDEX(振り分け!$L$7:$L$456,MATCH($AJ9,振り分け!$P$7:$P$456,0)))),"未決定")))</f>
        <v/>
      </c>
      <c r="V9" s="65">
        <f>IF($AK9="","",IF(計算用!$B$1=1,INDEX(新年度名簿!$C$3:$C$452,$AK9),INDEX(前年度名簿!$C$3:$C$452,$AK9)))</f>
        <v/>
      </c>
      <c r="W9" s="66">
        <f>IF($AK9="","",IF(計算用!$B$1=1,INDEX(新年度名簿!$D$3:$D$452,$AK9),INDEX(前年度名簿!$D$3:$D$452,$AK9)))</f>
        <v/>
      </c>
      <c r="X9" s="65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M$7:$M$456,MATCH($AK9,振り分け!$P$7:$P$456,0))="転出","転出",IF(INDEX(振り分け!$L$7:$L$456,MATCH($AK9,振り分け!$P$7:$P$456,0))="","未決定",INDEX(振り分け!$L$7:$L$456,MATCH($AK9,振り分け!$P$7:$P$456,0)))),"未決定")))</f>
        <v/>
      </c>
      <c r="AD9" s="63">
        <f>IF(計算用!$B$1=1,IFERROR(IF(SMALL(新年度名簿!$J$3:$J$452,$AD$3+5)&lt;10000,MATCH(SMALL(新年度名簿!$J$3:$J$452,$AD$3+5),新年度名簿!$J$3:$J$452,0),""),""),IFERROR(IF(SMALL(前年度名簿!$G$3:$G$452,$AD$3+5)&lt;10000,MATCH(SMALL(前年度名簿!$G$3:$G$452,$AD$3+5),前年度名簿!$G$3:$G$452,0),""),""))</f>
        <v/>
      </c>
      <c r="AE9" s="63">
        <f>IF(計算用!$B$1=1,IFERROR(IF(SMALL(新年度名簿!$J$3:$J$452,$AE$3+5)&lt;11000,MATCH(SMALL(新年度名簿!$J$3:$J$452,$AE$3+5),新年度名簿!$J$3:$J$452,0),""),""),IFERROR(IF(SMALL(前年度名簿!$G$3:$G$452,$AE$3+5)&lt;11000,MATCH(SMALL(前年度名簿!$G$3:$G$452,$AE$3+5),前年度名簿!$G$3:$G$452,0),""),""))</f>
        <v/>
      </c>
      <c r="AF9" s="63">
        <f>IF(計算用!$B$1=1,IFERROR(IF(SMALL(新年度名簿!$J$3:$J$452,$AF$3+5)&lt;12000,MATCH(SMALL(新年度名簿!$J$3:$J$452,$AF$3+5),新年度名簿!$J$3:$J$452,0),""),""),IFERROR(IF(SMALL(前年度名簿!$G$3:$G$452,$AF$3+5)&lt;12000,MATCH(SMALL(前年度名簿!$G$3:$G$452,$AF$3+5),前年度名簿!$G$3:$G$452,0),""),""))</f>
        <v/>
      </c>
      <c r="AG9" s="63">
        <f>IF(計算用!$B$1=1,IFERROR(IF(SMALL(新年度名簿!$J$3:$J$452,$AG$3+5)&lt;13000,MATCH(SMALL(新年度名簿!$J$3:$J$452,$AG$3+5),新年度名簿!$J$3:$J$452,0),""),""),IFERROR(IF(SMALL(前年度名簿!$G$3:$G$452,$AG$3+5)&lt;13000,MATCH(SMALL(前年度名簿!$G$3:$G$452,$AG$3+5),前年度名簿!$G$3:$G$452,0),""),""))</f>
        <v/>
      </c>
      <c r="AH9" s="63">
        <f>IF(計算用!$B$1=1,IFERROR(IF(SMALL(新年度名簿!$J$3:$J$452,$AH$3+5)&lt;14000,MATCH(SMALL(新年度名簿!$J$3:$J$452,$AH$3+5),新年度名簿!$J$3:$J$452,0),""),""),IFERROR(IF(SMALL(前年度名簿!$G$3:$G$452,$AH$3+5)&lt;14000,MATCH(SMALL(前年度名簿!$G$3:$G$452,$AH$3+5),前年度名簿!$G$3:$G$452,0),""),""))</f>
        <v/>
      </c>
      <c r="AI9" s="63">
        <f>IF(計算用!$B$1=1,IFERROR(IF(SMALL(新年度名簿!$J$3:$J$452,$AI$3+5)&lt;15000,MATCH(SMALL(新年度名簿!$J$3:$J$452,$AI$3+5),新年度名簿!$J$3:$J$452,0),""),""),IFERROR(IF(SMALL(前年度名簿!$G$3:$G$452,$AI$3+5)&lt;15000,MATCH(SMALL(前年度名簿!$G$3:$G$452,$AI$3+5),前年度名簿!$G$3:$G$452,0),""),""))</f>
        <v/>
      </c>
      <c r="AJ9" s="63">
        <f>IF(計算用!$B$1=1,IFERROR(IF(SMALL(新年度名簿!$J$3:$J$452,$AJ$3+5)&lt;16000,MATCH(SMALL(新年度名簿!$J$3:$J$452,$AJ$3+5),新年度名簿!$J$3:$J$452,0),""),""),IFERROR(IF(SMALL(前年度名簿!$G$3:$G$452,$AJ$3+5)&lt;16000,MATCH(SMALL(前年度名簿!$G$3:$G$452,$AJ$3+5),前年度名簿!$G$3:$G$452,0),""),""))</f>
        <v/>
      </c>
      <c r="AK9" s="63">
        <f>IF(計算用!$B$1=1,IFERROR(IF(SMALL(新年度名簿!$J$3:$J$452,$AK$3+5)&lt;17000,MATCH(SMALL(新年度名簿!$J$3:$J$452,$AK$3+5),新年度名簿!$J$3:$J$452,0),""),""),IFERROR(IF(SMALL(前年度名簿!$G$3:$G$452,$AK$3+5)&lt;17000,MATCH(SMALL(前年度名簿!$G$3:$G$452,$AK$3+5),前年度名簿!$G$3:$G$452,0),""),""))</f>
        <v/>
      </c>
    </row>
    <row r="10">
      <c r="A10" s="65">
        <f>IF($AD10="","",IF(計算用!$B$1=1,INDEX(新年度名簿!$C$3:$C$452,$AD10),INDEX(前年度名簿!$C$3:$C$452,$AD10)))</f>
        <v/>
      </c>
      <c r="B10" s="66">
        <f>IF($AD10="","",IF(計算用!$B$1=1,INDEX(新年度名簿!$D$3:$D$452,$AD10),INDEX(前年度名簿!$D$3:$D$452,$AD10)))</f>
        <v/>
      </c>
      <c r="C10" s="65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M$7:$M$456,MATCH($AD10,振り分け!$P$7:$P$456,0))="転出","転出",IF(INDEX(振り分け!$L$7:$L$456,MATCH($AD10,振り分け!$P$7:$P$456,0))="","未決定",INDEX(振り分け!$L$7:$L$456,MATCH($AD10,振り分け!$P$7:$P$456,0)))),"未決定")))</f>
        <v/>
      </c>
      <c r="D10" s="65">
        <f>IF($AE10="","",IF(計算用!$B$1=1,INDEX(新年度名簿!$C$3:$C$452,$AE10),INDEX(前年度名簿!$C$3:$C$452,$AE10)))</f>
        <v/>
      </c>
      <c r="E10" s="66">
        <f>IF($AE10="","",IF(計算用!$B$1=1,INDEX(新年度名簿!$D$3:$D$452,$AE10),INDEX(前年度名簿!$D$3:$D$452,$AE10)))</f>
        <v/>
      </c>
      <c r="F10" s="65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M$7:$M$456,MATCH($AE10,振り分け!$P$7:$P$456,0))="転出","転出",IF(INDEX(振り分け!$L$7:$L$456,MATCH($AE10,振り分け!$P$7:$P$456,0))="","未決定",INDEX(振り分け!$L$7:$L$456,MATCH($AE10,振り分け!$P$7:$P$456,0)))),"未決定")))</f>
        <v/>
      </c>
      <c r="G10" s="65">
        <f>IF($AF10="","",IF(計算用!$B$1=1,INDEX(新年度名簿!$C$3:$C$452,$AF10),INDEX(前年度名簿!$C$3:$C$452,$AF10)))</f>
        <v/>
      </c>
      <c r="H10" s="66">
        <f>IF($AF10="","",IF(計算用!$B$1=1,INDEX(新年度名簿!$D$3:$D$452,$AF10),INDEX(前年度名簿!$D$3:$D$452,$AF10)))</f>
        <v/>
      </c>
      <c r="I10" s="65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M$7:$M$456,MATCH($AF10,振り分け!$P$7:$P$456,0))="転出","転出",IF(INDEX(振り分け!$L$7:$L$456,MATCH($AF10,振り分け!$P$7:$P$456,0))="","未決定",INDEX(振り分け!$L$7:$L$456,MATCH($AF10,振り分け!$P$7:$P$456,0)))),"未決定")))</f>
        <v/>
      </c>
      <c r="J10" s="65">
        <f>IF($AG10="","",IF(計算用!$B$1=1,INDEX(新年度名簿!$C$3:$C$452,$AG10),INDEX(前年度名簿!$C$3:$C$452,$AG10)))</f>
        <v/>
      </c>
      <c r="K10" s="66">
        <f>IF($AG10="","",IF(計算用!$B$1=1,INDEX(新年度名簿!$D$3:$D$452,$AG10),INDEX(前年度名簿!$D$3:$D$452,$AG10)))</f>
        <v/>
      </c>
      <c r="L10" s="65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M$7:$M$456,MATCH($AG10,振り分け!$P$7:$P$456,0))="転出","転出",IF(INDEX(振り分け!$L$7:$L$456,MATCH($AG10,振り分け!$P$7:$P$456,0))="","未決定",INDEX(振り分け!$L$7:$L$456,MATCH($AG10,振り分け!$P$7:$P$456,0)))),"未決定")))</f>
        <v/>
      </c>
      <c r="M10" s="65">
        <f>IF($AH10="","",IF(計算用!$B$1=1,INDEX(新年度名簿!$C$3:$C$452,$AH10),INDEX(前年度名簿!$C$3:$C$452,$AH10)))</f>
        <v/>
      </c>
      <c r="N10" s="66">
        <f>IF($AH10="","",IF(計算用!$B$1=1,INDEX(新年度名簿!$D$3:$D$452,$AH10),INDEX(前年度名簿!$D$3:$D$452,$AH10)))</f>
        <v/>
      </c>
      <c r="O10" s="65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M$7:$M$456,MATCH($AH10,振り分け!$P$7:$P$456,0))="転出","転出",IF(INDEX(振り分け!$L$7:$L$456,MATCH($AH10,振り分け!$P$7:$P$456,0))="","未決定",INDEX(振り分け!$L$7:$L$456,MATCH($AH10,振り分け!$P$7:$P$456,0)))),"未決定")))</f>
        <v/>
      </c>
      <c r="P10" s="65">
        <f>IF($AI10="","",IF(計算用!$B$1=1,INDEX(新年度名簿!$C$3:$C$452,$AI10),INDEX(前年度名簿!$C$3:$C$452,$AI10)))</f>
        <v/>
      </c>
      <c r="Q10" s="66">
        <f>IF($AI10="","",IF(計算用!$B$1=1,INDEX(新年度名簿!$D$3:$D$452,$AI10),INDEX(前年度名簿!$D$3:$D$452,$AI10)))</f>
        <v/>
      </c>
      <c r="R10" s="65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M$7:$M$456,MATCH($AI10,振り分け!$P$7:$P$456,0))="転出","転出",IF(INDEX(振り分け!$L$7:$L$456,MATCH($AI10,振り分け!$P$7:$P$456,0))="","未決定",INDEX(振り分け!$L$7:$L$456,MATCH($AI10,振り分け!$P$7:$P$456,0)))),"未決定")))</f>
        <v/>
      </c>
      <c r="S10" s="65">
        <f>IF($AJ10="","",IF(計算用!$B$1=1,INDEX(新年度名簿!$C$3:$C$452,$AJ10),INDEX(前年度名簿!$C$3:$C$452,$AJ10)))</f>
        <v/>
      </c>
      <c r="T10" s="66">
        <f>IF($AJ10="","",IF(計算用!$B$1=1,INDEX(新年度名簿!$D$3:$D$452,$AJ10),INDEX(前年度名簿!$D$3:$D$452,$AJ10)))</f>
        <v/>
      </c>
      <c r="U10" s="65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M$7:$M$456,MATCH($AJ10,振り分け!$P$7:$P$456,0))="転出","転出",IF(INDEX(振り分け!$L$7:$L$456,MATCH($AJ10,振り分け!$P$7:$P$456,0))="","未決定",INDEX(振り分け!$L$7:$L$456,MATCH($AJ10,振り分け!$P$7:$P$456,0)))),"未決定")))</f>
        <v/>
      </c>
      <c r="V10" s="65">
        <f>IF($AK10="","",IF(計算用!$B$1=1,INDEX(新年度名簿!$C$3:$C$452,$AK10),INDEX(前年度名簿!$C$3:$C$452,$AK10)))</f>
        <v/>
      </c>
      <c r="W10" s="66">
        <f>IF($AK10="","",IF(計算用!$B$1=1,INDEX(新年度名簿!$D$3:$D$452,$AK10),INDEX(前年度名簿!$D$3:$D$452,$AK10)))</f>
        <v/>
      </c>
      <c r="X10" s="65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M$7:$M$456,MATCH($AK10,振り分け!$P$7:$P$456,0))="転出","転出",IF(INDEX(振り分け!$L$7:$L$456,MATCH($AK10,振り分け!$P$7:$P$456,0))="","未決定",INDEX(振り分け!$L$7:$L$456,MATCH($AK10,振り分け!$P$7:$P$456,0)))),"未決定")))</f>
        <v/>
      </c>
      <c r="AD10" s="63">
        <f>IF(計算用!$B$1=1,IFERROR(IF(SMALL(新年度名簿!$J$3:$J$452,$AD$3+6)&lt;10000,MATCH(SMALL(新年度名簿!$J$3:$J$452,$AD$3+6),新年度名簿!$J$3:$J$452,0),""),""),IFERROR(IF(SMALL(前年度名簿!$G$3:$G$452,$AD$3+6)&lt;10000,MATCH(SMALL(前年度名簿!$G$3:$G$452,$AD$3+6),前年度名簿!$G$3:$G$452,0),""),""))</f>
        <v/>
      </c>
      <c r="AE10" s="63">
        <f>IF(計算用!$B$1=1,IFERROR(IF(SMALL(新年度名簿!$J$3:$J$452,$AE$3+6)&lt;11000,MATCH(SMALL(新年度名簿!$J$3:$J$452,$AE$3+6),新年度名簿!$J$3:$J$452,0),""),""),IFERROR(IF(SMALL(前年度名簿!$G$3:$G$452,$AE$3+6)&lt;11000,MATCH(SMALL(前年度名簿!$G$3:$G$452,$AE$3+6),前年度名簿!$G$3:$G$452,0),""),""))</f>
        <v/>
      </c>
      <c r="AF10" s="63">
        <f>IF(計算用!$B$1=1,IFERROR(IF(SMALL(新年度名簿!$J$3:$J$452,$AF$3+6)&lt;12000,MATCH(SMALL(新年度名簿!$J$3:$J$452,$AF$3+6),新年度名簿!$J$3:$J$452,0),""),""),IFERROR(IF(SMALL(前年度名簿!$G$3:$G$452,$AF$3+6)&lt;12000,MATCH(SMALL(前年度名簿!$G$3:$G$452,$AF$3+6),前年度名簿!$G$3:$G$452,0),""),""))</f>
        <v/>
      </c>
      <c r="AG10" s="63">
        <f>IF(計算用!$B$1=1,IFERROR(IF(SMALL(新年度名簿!$J$3:$J$452,$AG$3+6)&lt;13000,MATCH(SMALL(新年度名簿!$J$3:$J$452,$AG$3+6),新年度名簿!$J$3:$J$452,0),""),""),IFERROR(IF(SMALL(前年度名簿!$G$3:$G$452,$AG$3+6)&lt;13000,MATCH(SMALL(前年度名簿!$G$3:$G$452,$AG$3+6),前年度名簿!$G$3:$G$452,0),""),""))</f>
        <v/>
      </c>
      <c r="AH10" s="63">
        <f>IF(計算用!$B$1=1,IFERROR(IF(SMALL(新年度名簿!$J$3:$J$452,$AH$3+6)&lt;14000,MATCH(SMALL(新年度名簿!$J$3:$J$452,$AH$3+6),新年度名簿!$J$3:$J$452,0),""),""),IFERROR(IF(SMALL(前年度名簿!$G$3:$G$452,$AH$3+6)&lt;14000,MATCH(SMALL(前年度名簿!$G$3:$G$452,$AH$3+6),前年度名簿!$G$3:$G$452,0),""),""))</f>
        <v/>
      </c>
      <c r="AI10" s="63">
        <f>IF(計算用!$B$1=1,IFERROR(IF(SMALL(新年度名簿!$J$3:$J$452,$AI$3+6)&lt;15000,MATCH(SMALL(新年度名簿!$J$3:$J$452,$AI$3+6),新年度名簿!$J$3:$J$452,0),""),""),IFERROR(IF(SMALL(前年度名簿!$G$3:$G$452,$AI$3+6)&lt;15000,MATCH(SMALL(前年度名簿!$G$3:$G$452,$AI$3+6),前年度名簿!$G$3:$G$452,0),""),""))</f>
        <v/>
      </c>
      <c r="AJ10" s="63">
        <f>IF(計算用!$B$1=1,IFERROR(IF(SMALL(新年度名簿!$J$3:$J$452,$AJ$3+6)&lt;16000,MATCH(SMALL(新年度名簿!$J$3:$J$452,$AJ$3+6),新年度名簿!$J$3:$J$452,0),""),""),IFERROR(IF(SMALL(前年度名簿!$G$3:$G$452,$AJ$3+6)&lt;16000,MATCH(SMALL(前年度名簿!$G$3:$G$452,$AJ$3+6),前年度名簿!$G$3:$G$452,0),""),""))</f>
        <v/>
      </c>
      <c r="AK10" s="63">
        <f>IF(計算用!$B$1=1,IFERROR(IF(SMALL(新年度名簿!$J$3:$J$452,$AK$3+6)&lt;17000,MATCH(SMALL(新年度名簿!$J$3:$J$452,$AK$3+6),新年度名簿!$J$3:$J$452,0),""),""),IFERROR(IF(SMALL(前年度名簿!$G$3:$G$452,$AK$3+6)&lt;17000,MATCH(SMALL(前年度名簿!$G$3:$G$452,$AK$3+6),前年度名簿!$G$3:$G$452,0),""),""))</f>
        <v/>
      </c>
    </row>
    <row r="11">
      <c r="A11" s="65">
        <f>IF($AD11="","",IF(計算用!$B$1=1,INDEX(新年度名簿!$C$3:$C$452,$AD11),INDEX(前年度名簿!$C$3:$C$452,$AD11)))</f>
        <v/>
      </c>
      <c r="B11" s="66">
        <f>IF($AD11="","",IF(計算用!$B$1=1,INDEX(新年度名簿!$D$3:$D$452,$AD11),INDEX(前年度名簿!$D$3:$D$452,$AD11)))</f>
        <v/>
      </c>
      <c r="C11" s="65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M$7:$M$456,MATCH($AD11,振り分け!$P$7:$P$456,0))="転出","転出",IF(INDEX(振り分け!$L$7:$L$456,MATCH($AD11,振り分け!$P$7:$P$456,0))="","未決定",INDEX(振り分け!$L$7:$L$456,MATCH($AD11,振り分け!$P$7:$P$456,0)))),"未決定")))</f>
        <v/>
      </c>
      <c r="D11" s="65">
        <f>IF($AE11="","",IF(計算用!$B$1=1,INDEX(新年度名簿!$C$3:$C$452,$AE11),INDEX(前年度名簿!$C$3:$C$452,$AE11)))</f>
        <v/>
      </c>
      <c r="E11" s="66">
        <f>IF($AE11="","",IF(計算用!$B$1=1,INDEX(新年度名簿!$D$3:$D$452,$AE11),INDEX(前年度名簿!$D$3:$D$452,$AE11)))</f>
        <v/>
      </c>
      <c r="F11" s="65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M$7:$M$456,MATCH($AE11,振り分け!$P$7:$P$456,0))="転出","転出",IF(INDEX(振り分け!$L$7:$L$456,MATCH($AE11,振り分け!$P$7:$P$456,0))="","未決定",INDEX(振り分け!$L$7:$L$456,MATCH($AE11,振り分け!$P$7:$P$456,0)))),"未決定")))</f>
        <v/>
      </c>
      <c r="G11" s="65">
        <f>IF($AF11="","",IF(計算用!$B$1=1,INDEX(新年度名簿!$C$3:$C$452,$AF11),INDEX(前年度名簿!$C$3:$C$452,$AF11)))</f>
        <v/>
      </c>
      <c r="H11" s="66">
        <f>IF($AF11="","",IF(計算用!$B$1=1,INDEX(新年度名簿!$D$3:$D$452,$AF11),INDEX(前年度名簿!$D$3:$D$452,$AF11)))</f>
        <v/>
      </c>
      <c r="I11" s="65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M$7:$M$456,MATCH($AF11,振り分け!$P$7:$P$456,0))="転出","転出",IF(INDEX(振り分け!$L$7:$L$456,MATCH($AF11,振り分け!$P$7:$P$456,0))="","未決定",INDEX(振り分け!$L$7:$L$456,MATCH($AF11,振り分け!$P$7:$P$456,0)))),"未決定")))</f>
        <v/>
      </c>
      <c r="J11" s="65">
        <f>IF($AG11="","",IF(計算用!$B$1=1,INDEX(新年度名簿!$C$3:$C$452,$AG11),INDEX(前年度名簿!$C$3:$C$452,$AG11)))</f>
        <v/>
      </c>
      <c r="K11" s="66">
        <f>IF($AG11="","",IF(計算用!$B$1=1,INDEX(新年度名簿!$D$3:$D$452,$AG11),INDEX(前年度名簿!$D$3:$D$452,$AG11)))</f>
        <v/>
      </c>
      <c r="L11" s="65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M$7:$M$456,MATCH($AG11,振り分け!$P$7:$P$456,0))="転出","転出",IF(INDEX(振り分け!$L$7:$L$456,MATCH($AG11,振り分け!$P$7:$P$456,0))="","未決定",INDEX(振り分け!$L$7:$L$456,MATCH($AG11,振り分け!$P$7:$P$456,0)))),"未決定")))</f>
        <v/>
      </c>
      <c r="M11" s="65">
        <f>IF($AH11="","",IF(計算用!$B$1=1,INDEX(新年度名簿!$C$3:$C$452,$AH11),INDEX(前年度名簿!$C$3:$C$452,$AH11)))</f>
        <v/>
      </c>
      <c r="N11" s="66">
        <f>IF($AH11="","",IF(計算用!$B$1=1,INDEX(新年度名簿!$D$3:$D$452,$AH11),INDEX(前年度名簿!$D$3:$D$452,$AH11)))</f>
        <v/>
      </c>
      <c r="O11" s="65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M$7:$M$456,MATCH($AH11,振り分け!$P$7:$P$456,0))="転出","転出",IF(INDEX(振り分け!$L$7:$L$456,MATCH($AH11,振り分け!$P$7:$P$456,0))="","未決定",INDEX(振り分け!$L$7:$L$456,MATCH($AH11,振り分け!$P$7:$P$456,0)))),"未決定")))</f>
        <v/>
      </c>
      <c r="P11" s="65">
        <f>IF($AI11="","",IF(計算用!$B$1=1,INDEX(新年度名簿!$C$3:$C$452,$AI11),INDEX(前年度名簿!$C$3:$C$452,$AI11)))</f>
        <v/>
      </c>
      <c r="Q11" s="66">
        <f>IF($AI11="","",IF(計算用!$B$1=1,INDEX(新年度名簿!$D$3:$D$452,$AI11),INDEX(前年度名簿!$D$3:$D$452,$AI11)))</f>
        <v/>
      </c>
      <c r="R11" s="65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M$7:$M$456,MATCH($AI11,振り分け!$P$7:$P$456,0))="転出","転出",IF(INDEX(振り分け!$L$7:$L$456,MATCH($AI11,振り分け!$P$7:$P$456,0))="","未決定",INDEX(振り分け!$L$7:$L$456,MATCH($AI11,振り分け!$P$7:$P$456,0)))),"未決定")))</f>
        <v/>
      </c>
      <c r="S11" s="65">
        <f>IF($AJ11="","",IF(計算用!$B$1=1,INDEX(新年度名簿!$C$3:$C$452,$AJ11),INDEX(前年度名簿!$C$3:$C$452,$AJ11)))</f>
        <v/>
      </c>
      <c r="T11" s="66">
        <f>IF($AJ11="","",IF(計算用!$B$1=1,INDEX(新年度名簿!$D$3:$D$452,$AJ11),INDEX(前年度名簿!$D$3:$D$452,$AJ11)))</f>
        <v/>
      </c>
      <c r="U11" s="65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M$7:$M$456,MATCH($AJ11,振り分け!$P$7:$P$456,0))="転出","転出",IF(INDEX(振り分け!$L$7:$L$456,MATCH($AJ11,振り分け!$P$7:$P$456,0))="","未決定",INDEX(振り分け!$L$7:$L$456,MATCH($AJ11,振り分け!$P$7:$P$456,0)))),"未決定")))</f>
        <v/>
      </c>
      <c r="V11" s="65">
        <f>IF($AK11="","",IF(計算用!$B$1=1,INDEX(新年度名簿!$C$3:$C$452,$AK11),INDEX(前年度名簿!$C$3:$C$452,$AK11)))</f>
        <v/>
      </c>
      <c r="W11" s="66">
        <f>IF($AK11="","",IF(計算用!$B$1=1,INDEX(新年度名簿!$D$3:$D$452,$AK11),INDEX(前年度名簿!$D$3:$D$452,$AK11)))</f>
        <v/>
      </c>
      <c r="X11" s="65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M$7:$M$456,MATCH($AK11,振り分け!$P$7:$P$456,0))="転出","転出",IF(INDEX(振り分け!$L$7:$L$456,MATCH($AK11,振り分け!$P$7:$P$456,0))="","未決定",INDEX(振り分け!$L$7:$L$456,MATCH($AK11,振り分け!$P$7:$P$456,0)))),"未決定")))</f>
        <v/>
      </c>
      <c r="AD11" s="63">
        <f>IF(計算用!$B$1=1,IFERROR(IF(SMALL(新年度名簿!$J$3:$J$452,$AD$3+7)&lt;10000,MATCH(SMALL(新年度名簿!$J$3:$J$452,$AD$3+7),新年度名簿!$J$3:$J$452,0),""),""),IFERROR(IF(SMALL(前年度名簿!$G$3:$G$452,$AD$3+7)&lt;10000,MATCH(SMALL(前年度名簿!$G$3:$G$452,$AD$3+7),前年度名簿!$G$3:$G$452,0),""),""))</f>
        <v/>
      </c>
      <c r="AE11" s="63">
        <f>IF(計算用!$B$1=1,IFERROR(IF(SMALL(新年度名簿!$J$3:$J$452,$AE$3+7)&lt;11000,MATCH(SMALL(新年度名簿!$J$3:$J$452,$AE$3+7),新年度名簿!$J$3:$J$452,0),""),""),IFERROR(IF(SMALL(前年度名簿!$G$3:$G$452,$AE$3+7)&lt;11000,MATCH(SMALL(前年度名簿!$G$3:$G$452,$AE$3+7),前年度名簿!$G$3:$G$452,0),""),""))</f>
        <v/>
      </c>
      <c r="AF11" s="63">
        <f>IF(計算用!$B$1=1,IFERROR(IF(SMALL(新年度名簿!$J$3:$J$452,$AF$3+7)&lt;12000,MATCH(SMALL(新年度名簿!$J$3:$J$452,$AF$3+7),新年度名簿!$J$3:$J$452,0),""),""),IFERROR(IF(SMALL(前年度名簿!$G$3:$G$452,$AF$3+7)&lt;12000,MATCH(SMALL(前年度名簿!$G$3:$G$452,$AF$3+7),前年度名簿!$G$3:$G$452,0),""),""))</f>
        <v/>
      </c>
      <c r="AG11" s="63">
        <f>IF(計算用!$B$1=1,IFERROR(IF(SMALL(新年度名簿!$J$3:$J$452,$AG$3+7)&lt;13000,MATCH(SMALL(新年度名簿!$J$3:$J$452,$AG$3+7),新年度名簿!$J$3:$J$452,0),""),""),IFERROR(IF(SMALL(前年度名簿!$G$3:$G$452,$AG$3+7)&lt;13000,MATCH(SMALL(前年度名簿!$G$3:$G$452,$AG$3+7),前年度名簿!$G$3:$G$452,0),""),""))</f>
        <v/>
      </c>
      <c r="AH11" s="63">
        <f>IF(計算用!$B$1=1,IFERROR(IF(SMALL(新年度名簿!$J$3:$J$452,$AH$3+7)&lt;14000,MATCH(SMALL(新年度名簿!$J$3:$J$452,$AH$3+7),新年度名簿!$J$3:$J$452,0),""),""),IFERROR(IF(SMALL(前年度名簿!$G$3:$G$452,$AH$3+7)&lt;14000,MATCH(SMALL(前年度名簿!$G$3:$G$452,$AH$3+7),前年度名簿!$G$3:$G$452,0),""),""))</f>
        <v/>
      </c>
      <c r="AI11" s="63">
        <f>IF(計算用!$B$1=1,IFERROR(IF(SMALL(新年度名簿!$J$3:$J$452,$AI$3+7)&lt;15000,MATCH(SMALL(新年度名簿!$J$3:$J$452,$AI$3+7),新年度名簿!$J$3:$J$452,0),""),""),IFERROR(IF(SMALL(前年度名簿!$G$3:$G$452,$AI$3+7)&lt;15000,MATCH(SMALL(前年度名簿!$G$3:$G$452,$AI$3+7),前年度名簿!$G$3:$G$452,0),""),""))</f>
        <v/>
      </c>
      <c r="AJ11" s="63">
        <f>IF(計算用!$B$1=1,IFERROR(IF(SMALL(新年度名簿!$J$3:$J$452,$AJ$3+7)&lt;16000,MATCH(SMALL(新年度名簿!$J$3:$J$452,$AJ$3+7),新年度名簿!$J$3:$J$452,0),""),""),IFERROR(IF(SMALL(前年度名簿!$G$3:$G$452,$AJ$3+7)&lt;16000,MATCH(SMALL(前年度名簿!$G$3:$G$452,$AJ$3+7),前年度名簿!$G$3:$G$452,0),""),""))</f>
        <v/>
      </c>
      <c r="AK11" s="63">
        <f>IF(計算用!$B$1=1,IFERROR(IF(SMALL(新年度名簿!$J$3:$J$452,$AK$3+7)&lt;17000,MATCH(SMALL(新年度名簿!$J$3:$J$452,$AK$3+7),新年度名簿!$J$3:$J$452,0),""),""),IFERROR(IF(SMALL(前年度名簿!$G$3:$G$452,$AK$3+7)&lt;17000,MATCH(SMALL(前年度名簿!$G$3:$G$452,$AK$3+7),前年度名簿!$G$3:$G$452,0),""),""))</f>
        <v/>
      </c>
    </row>
    <row r="12">
      <c r="A12" s="65">
        <f>IF($AD12="","",IF(計算用!$B$1=1,INDEX(新年度名簿!$C$3:$C$452,$AD12),INDEX(前年度名簿!$C$3:$C$452,$AD12)))</f>
        <v/>
      </c>
      <c r="B12" s="66">
        <f>IF($AD12="","",IF(計算用!$B$1=1,INDEX(新年度名簿!$D$3:$D$452,$AD12),INDEX(前年度名簿!$D$3:$D$452,$AD12)))</f>
        <v/>
      </c>
      <c r="C12" s="65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M$7:$M$456,MATCH($AD12,振り分け!$P$7:$P$456,0))="転出","転出",IF(INDEX(振り分け!$L$7:$L$456,MATCH($AD12,振り分け!$P$7:$P$456,0))="","未決定",INDEX(振り分け!$L$7:$L$456,MATCH($AD12,振り分け!$P$7:$P$456,0)))),"未決定")))</f>
        <v/>
      </c>
      <c r="D12" s="65">
        <f>IF($AE12="","",IF(計算用!$B$1=1,INDEX(新年度名簿!$C$3:$C$452,$AE12),INDEX(前年度名簿!$C$3:$C$452,$AE12)))</f>
        <v/>
      </c>
      <c r="E12" s="66">
        <f>IF($AE12="","",IF(計算用!$B$1=1,INDEX(新年度名簿!$D$3:$D$452,$AE12),INDEX(前年度名簿!$D$3:$D$452,$AE12)))</f>
        <v/>
      </c>
      <c r="F12" s="65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M$7:$M$456,MATCH($AE12,振り分け!$P$7:$P$456,0))="転出","転出",IF(INDEX(振り分け!$L$7:$L$456,MATCH($AE12,振り分け!$P$7:$P$456,0))="","未決定",INDEX(振り分け!$L$7:$L$456,MATCH($AE12,振り分け!$P$7:$P$456,0)))),"未決定")))</f>
        <v/>
      </c>
      <c r="G12" s="65">
        <f>IF($AF12="","",IF(計算用!$B$1=1,INDEX(新年度名簿!$C$3:$C$452,$AF12),INDEX(前年度名簿!$C$3:$C$452,$AF12)))</f>
        <v/>
      </c>
      <c r="H12" s="66">
        <f>IF($AF12="","",IF(計算用!$B$1=1,INDEX(新年度名簿!$D$3:$D$452,$AF12),INDEX(前年度名簿!$D$3:$D$452,$AF12)))</f>
        <v/>
      </c>
      <c r="I12" s="65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M$7:$M$456,MATCH($AF12,振り分け!$P$7:$P$456,0))="転出","転出",IF(INDEX(振り分け!$L$7:$L$456,MATCH($AF12,振り分け!$P$7:$P$456,0))="","未決定",INDEX(振り分け!$L$7:$L$456,MATCH($AF12,振り分け!$P$7:$P$456,0)))),"未決定")))</f>
        <v/>
      </c>
      <c r="J12" s="65">
        <f>IF($AG12="","",IF(計算用!$B$1=1,INDEX(新年度名簿!$C$3:$C$452,$AG12),INDEX(前年度名簿!$C$3:$C$452,$AG12)))</f>
        <v/>
      </c>
      <c r="K12" s="66">
        <f>IF($AG12="","",IF(計算用!$B$1=1,INDEX(新年度名簿!$D$3:$D$452,$AG12),INDEX(前年度名簿!$D$3:$D$452,$AG12)))</f>
        <v/>
      </c>
      <c r="L12" s="65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M$7:$M$456,MATCH($AG12,振り分け!$P$7:$P$456,0))="転出","転出",IF(INDEX(振り分け!$L$7:$L$456,MATCH($AG12,振り分け!$P$7:$P$456,0))="","未決定",INDEX(振り分け!$L$7:$L$456,MATCH($AG12,振り分け!$P$7:$P$456,0)))),"未決定")))</f>
        <v/>
      </c>
      <c r="M12" s="65">
        <f>IF($AH12="","",IF(計算用!$B$1=1,INDEX(新年度名簿!$C$3:$C$452,$AH12),INDEX(前年度名簿!$C$3:$C$452,$AH12)))</f>
        <v/>
      </c>
      <c r="N12" s="66">
        <f>IF($AH12="","",IF(計算用!$B$1=1,INDEX(新年度名簿!$D$3:$D$452,$AH12),INDEX(前年度名簿!$D$3:$D$452,$AH12)))</f>
        <v/>
      </c>
      <c r="O12" s="65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M$7:$M$456,MATCH($AH12,振り分け!$P$7:$P$456,0))="転出","転出",IF(INDEX(振り分け!$L$7:$L$456,MATCH($AH12,振り分け!$P$7:$P$456,0))="","未決定",INDEX(振り分け!$L$7:$L$456,MATCH($AH12,振り分け!$P$7:$P$456,0)))),"未決定")))</f>
        <v/>
      </c>
      <c r="P12" s="65">
        <f>IF($AI12="","",IF(計算用!$B$1=1,INDEX(新年度名簿!$C$3:$C$452,$AI12),INDEX(前年度名簿!$C$3:$C$452,$AI12)))</f>
        <v/>
      </c>
      <c r="Q12" s="66">
        <f>IF($AI12="","",IF(計算用!$B$1=1,INDEX(新年度名簿!$D$3:$D$452,$AI12),INDEX(前年度名簿!$D$3:$D$452,$AI12)))</f>
        <v/>
      </c>
      <c r="R12" s="65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M$7:$M$456,MATCH($AI12,振り分け!$P$7:$P$456,0))="転出","転出",IF(INDEX(振り分け!$L$7:$L$456,MATCH($AI12,振り分け!$P$7:$P$456,0))="","未決定",INDEX(振り分け!$L$7:$L$456,MATCH($AI12,振り分け!$P$7:$P$456,0)))),"未決定")))</f>
        <v/>
      </c>
      <c r="S12" s="65">
        <f>IF($AJ12="","",IF(計算用!$B$1=1,INDEX(新年度名簿!$C$3:$C$452,$AJ12),INDEX(前年度名簿!$C$3:$C$452,$AJ12)))</f>
        <v/>
      </c>
      <c r="T12" s="66">
        <f>IF($AJ12="","",IF(計算用!$B$1=1,INDEX(新年度名簿!$D$3:$D$452,$AJ12),INDEX(前年度名簿!$D$3:$D$452,$AJ12)))</f>
        <v/>
      </c>
      <c r="U12" s="65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M$7:$M$456,MATCH($AJ12,振り分け!$P$7:$P$456,0))="転出","転出",IF(INDEX(振り分け!$L$7:$L$456,MATCH($AJ12,振り分け!$P$7:$P$456,0))="","未決定",INDEX(振り分け!$L$7:$L$456,MATCH($AJ12,振り分け!$P$7:$P$456,0)))),"未決定")))</f>
        <v/>
      </c>
      <c r="V12" s="65">
        <f>IF($AK12="","",IF(計算用!$B$1=1,INDEX(新年度名簿!$C$3:$C$452,$AK12),INDEX(前年度名簿!$C$3:$C$452,$AK12)))</f>
        <v/>
      </c>
      <c r="W12" s="66">
        <f>IF($AK12="","",IF(計算用!$B$1=1,INDEX(新年度名簿!$D$3:$D$452,$AK12),INDEX(前年度名簿!$D$3:$D$452,$AK12)))</f>
        <v/>
      </c>
      <c r="X12" s="65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M$7:$M$456,MATCH($AK12,振り分け!$P$7:$P$456,0))="転出","転出",IF(INDEX(振り分け!$L$7:$L$456,MATCH($AK12,振り分け!$P$7:$P$456,0))="","未決定",INDEX(振り分け!$L$7:$L$456,MATCH($AK12,振り分け!$P$7:$P$456,0)))),"未決定")))</f>
        <v/>
      </c>
      <c r="AD12" s="63">
        <f>IF(計算用!$B$1=1,IFERROR(IF(SMALL(新年度名簿!$J$3:$J$452,$AD$3+8)&lt;10000,MATCH(SMALL(新年度名簿!$J$3:$J$452,$AD$3+8),新年度名簿!$J$3:$J$452,0),""),""),IFERROR(IF(SMALL(前年度名簿!$G$3:$G$452,$AD$3+8)&lt;10000,MATCH(SMALL(前年度名簿!$G$3:$G$452,$AD$3+8),前年度名簿!$G$3:$G$452,0),""),""))</f>
        <v/>
      </c>
      <c r="AE12" s="63">
        <f>IF(計算用!$B$1=1,IFERROR(IF(SMALL(新年度名簿!$J$3:$J$452,$AE$3+8)&lt;11000,MATCH(SMALL(新年度名簿!$J$3:$J$452,$AE$3+8),新年度名簿!$J$3:$J$452,0),""),""),IFERROR(IF(SMALL(前年度名簿!$G$3:$G$452,$AE$3+8)&lt;11000,MATCH(SMALL(前年度名簿!$G$3:$G$452,$AE$3+8),前年度名簿!$G$3:$G$452,0),""),""))</f>
        <v/>
      </c>
      <c r="AF12" s="63">
        <f>IF(計算用!$B$1=1,IFERROR(IF(SMALL(新年度名簿!$J$3:$J$452,$AF$3+8)&lt;12000,MATCH(SMALL(新年度名簿!$J$3:$J$452,$AF$3+8),新年度名簿!$J$3:$J$452,0),""),""),IFERROR(IF(SMALL(前年度名簿!$G$3:$G$452,$AF$3+8)&lt;12000,MATCH(SMALL(前年度名簿!$G$3:$G$452,$AF$3+8),前年度名簿!$G$3:$G$452,0),""),""))</f>
        <v/>
      </c>
      <c r="AG12" s="63">
        <f>IF(計算用!$B$1=1,IFERROR(IF(SMALL(新年度名簿!$J$3:$J$452,$AG$3+8)&lt;13000,MATCH(SMALL(新年度名簿!$J$3:$J$452,$AG$3+8),新年度名簿!$J$3:$J$452,0),""),""),IFERROR(IF(SMALL(前年度名簿!$G$3:$G$452,$AG$3+8)&lt;13000,MATCH(SMALL(前年度名簿!$G$3:$G$452,$AG$3+8),前年度名簿!$G$3:$G$452,0),""),""))</f>
        <v/>
      </c>
      <c r="AH12" s="63">
        <f>IF(計算用!$B$1=1,IFERROR(IF(SMALL(新年度名簿!$J$3:$J$452,$AH$3+8)&lt;14000,MATCH(SMALL(新年度名簿!$J$3:$J$452,$AH$3+8),新年度名簿!$J$3:$J$452,0),""),""),IFERROR(IF(SMALL(前年度名簿!$G$3:$G$452,$AH$3+8)&lt;14000,MATCH(SMALL(前年度名簿!$G$3:$G$452,$AH$3+8),前年度名簿!$G$3:$G$452,0),""),""))</f>
        <v/>
      </c>
      <c r="AI12" s="63">
        <f>IF(計算用!$B$1=1,IFERROR(IF(SMALL(新年度名簿!$J$3:$J$452,$AI$3+8)&lt;15000,MATCH(SMALL(新年度名簿!$J$3:$J$452,$AI$3+8),新年度名簿!$J$3:$J$452,0),""),""),IFERROR(IF(SMALL(前年度名簿!$G$3:$G$452,$AI$3+8)&lt;15000,MATCH(SMALL(前年度名簿!$G$3:$G$452,$AI$3+8),前年度名簿!$G$3:$G$452,0),""),""))</f>
        <v/>
      </c>
      <c r="AJ12" s="63">
        <f>IF(計算用!$B$1=1,IFERROR(IF(SMALL(新年度名簿!$J$3:$J$452,$AJ$3+8)&lt;16000,MATCH(SMALL(新年度名簿!$J$3:$J$452,$AJ$3+8),新年度名簿!$J$3:$J$452,0),""),""),IFERROR(IF(SMALL(前年度名簿!$G$3:$G$452,$AJ$3+8)&lt;16000,MATCH(SMALL(前年度名簿!$G$3:$G$452,$AJ$3+8),前年度名簿!$G$3:$G$452,0),""),""))</f>
        <v/>
      </c>
      <c r="AK12" s="63">
        <f>IF(計算用!$B$1=1,IFERROR(IF(SMALL(新年度名簿!$J$3:$J$452,$AK$3+8)&lt;17000,MATCH(SMALL(新年度名簿!$J$3:$J$452,$AK$3+8),新年度名簿!$J$3:$J$452,0),""),""),IFERROR(IF(SMALL(前年度名簿!$G$3:$G$452,$AK$3+8)&lt;17000,MATCH(SMALL(前年度名簿!$G$3:$G$452,$AK$3+8),前年度名簿!$G$3:$G$452,0),""),""))</f>
        <v/>
      </c>
    </row>
    <row r="13">
      <c r="A13" s="65">
        <f>IF($AD13="","",IF(計算用!$B$1=1,INDEX(新年度名簿!$C$3:$C$452,$AD13),INDEX(前年度名簿!$C$3:$C$452,$AD13)))</f>
        <v/>
      </c>
      <c r="B13" s="66">
        <f>IF($AD13="","",IF(計算用!$B$1=1,INDEX(新年度名簿!$D$3:$D$452,$AD13),INDEX(前年度名簿!$D$3:$D$452,$AD13)))</f>
        <v/>
      </c>
      <c r="C13" s="65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M$7:$M$456,MATCH($AD13,振り分け!$P$7:$P$456,0))="転出","転出",IF(INDEX(振り分け!$L$7:$L$456,MATCH($AD13,振り分け!$P$7:$P$456,0))="","未決定",INDEX(振り分け!$L$7:$L$456,MATCH($AD13,振り分け!$P$7:$P$456,0)))),"未決定")))</f>
        <v/>
      </c>
      <c r="D13" s="65">
        <f>IF($AE13="","",IF(計算用!$B$1=1,INDEX(新年度名簿!$C$3:$C$452,$AE13),INDEX(前年度名簿!$C$3:$C$452,$AE13)))</f>
        <v/>
      </c>
      <c r="E13" s="66">
        <f>IF($AE13="","",IF(計算用!$B$1=1,INDEX(新年度名簿!$D$3:$D$452,$AE13),INDEX(前年度名簿!$D$3:$D$452,$AE13)))</f>
        <v/>
      </c>
      <c r="F13" s="65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M$7:$M$456,MATCH($AE13,振り分け!$P$7:$P$456,0))="転出","転出",IF(INDEX(振り分け!$L$7:$L$456,MATCH($AE13,振り分け!$P$7:$P$456,0))="","未決定",INDEX(振り分け!$L$7:$L$456,MATCH($AE13,振り分け!$P$7:$P$456,0)))),"未決定")))</f>
        <v/>
      </c>
      <c r="G13" s="65">
        <f>IF($AF13="","",IF(計算用!$B$1=1,INDEX(新年度名簿!$C$3:$C$452,$AF13),INDEX(前年度名簿!$C$3:$C$452,$AF13)))</f>
        <v/>
      </c>
      <c r="H13" s="66">
        <f>IF($AF13="","",IF(計算用!$B$1=1,INDEX(新年度名簿!$D$3:$D$452,$AF13),INDEX(前年度名簿!$D$3:$D$452,$AF13)))</f>
        <v/>
      </c>
      <c r="I13" s="65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M$7:$M$456,MATCH($AF13,振り分け!$P$7:$P$456,0))="転出","転出",IF(INDEX(振り分け!$L$7:$L$456,MATCH($AF13,振り分け!$P$7:$P$456,0))="","未決定",INDEX(振り分け!$L$7:$L$456,MATCH($AF13,振り分け!$P$7:$P$456,0)))),"未決定")))</f>
        <v/>
      </c>
      <c r="J13" s="65">
        <f>IF($AG13="","",IF(計算用!$B$1=1,INDEX(新年度名簿!$C$3:$C$452,$AG13),INDEX(前年度名簿!$C$3:$C$452,$AG13)))</f>
        <v/>
      </c>
      <c r="K13" s="66">
        <f>IF($AG13="","",IF(計算用!$B$1=1,INDEX(新年度名簿!$D$3:$D$452,$AG13),INDEX(前年度名簿!$D$3:$D$452,$AG13)))</f>
        <v/>
      </c>
      <c r="L13" s="65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M$7:$M$456,MATCH($AG13,振り分け!$P$7:$P$456,0))="転出","転出",IF(INDEX(振り分け!$L$7:$L$456,MATCH($AG13,振り分け!$P$7:$P$456,0))="","未決定",INDEX(振り分け!$L$7:$L$456,MATCH($AG13,振り分け!$P$7:$P$456,0)))),"未決定")))</f>
        <v/>
      </c>
      <c r="M13" s="65">
        <f>IF($AH13="","",IF(計算用!$B$1=1,INDEX(新年度名簿!$C$3:$C$452,$AH13),INDEX(前年度名簿!$C$3:$C$452,$AH13)))</f>
        <v/>
      </c>
      <c r="N13" s="66">
        <f>IF($AH13="","",IF(計算用!$B$1=1,INDEX(新年度名簿!$D$3:$D$452,$AH13),INDEX(前年度名簿!$D$3:$D$452,$AH13)))</f>
        <v/>
      </c>
      <c r="O13" s="65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M$7:$M$456,MATCH($AH13,振り分け!$P$7:$P$456,0))="転出","転出",IF(INDEX(振り分け!$L$7:$L$456,MATCH($AH13,振り分け!$P$7:$P$456,0))="","未決定",INDEX(振り分け!$L$7:$L$456,MATCH($AH13,振り分け!$P$7:$P$456,0)))),"未決定")))</f>
        <v/>
      </c>
      <c r="P13" s="65">
        <f>IF($AI13="","",IF(計算用!$B$1=1,INDEX(新年度名簿!$C$3:$C$452,$AI13),INDEX(前年度名簿!$C$3:$C$452,$AI13)))</f>
        <v/>
      </c>
      <c r="Q13" s="66">
        <f>IF($AI13="","",IF(計算用!$B$1=1,INDEX(新年度名簿!$D$3:$D$452,$AI13),INDEX(前年度名簿!$D$3:$D$452,$AI13)))</f>
        <v/>
      </c>
      <c r="R13" s="65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M$7:$M$456,MATCH($AI13,振り分け!$P$7:$P$456,0))="転出","転出",IF(INDEX(振り分け!$L$7:$L$456,MATCH($AI13,振り分け!$P$7:$P$456,0))="","未決定",INDEX(振り分け!$L$7:$L$456,MATCH($AI13,振り分け!$P$7:$P$456,0)))),"未決定")))</f>
        <v/>
      </c>
      <c r="S13" s="65">
        <f>IF($AJ13="","",IF(計算用!$B$1=1,INDEX(新年度名簿!$C$3:$C$452,$AJ13),INDEX(前年度名簿!$C$3:$C$452,$AJ13)))</f>
        <v/>
      </c>
      <c r="T13" s="66">
        <f>IF($AJ13="","",IF(計算用!$B$1=1,INDEX(新年度名簿!$D$3:$D$452,$AJ13),INDEX(前年度名簿!$D$3:$D$452,$AJ13)))</f>
        <v/>
      </c>
      <c r="U13" s="65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M$7:$M$456,MATCH($AJ13,振り分け!$P$7:$P$456,0))="転出","転出",IF(INDEX(振り分け!$L$7:$L$456,MATCH($AJ13,振り分け!$P$7:$P$456,0))="","未決定",INDEX(振り分け!$L$7:$L$456,MATCH($AJ13,振り分け!$P$7:$P$456,0)))),"未決定")))</f>
        <v/>
      </c>
      <c r="V13" s="65">
        <f>IF($AK13="","",IF(計算用!$B$1=1,INDEX(新年度名簿!$C$3:$C$452,$AK13),INDEX(前年度名簿!$C$3:$C$452,$AK13)))</f>
        <v/>
      </c>
      <c r="W13" s="66">
        <f>IF($AK13="","",IF(計算用!$B$1=1,INDEX(新年度名簿!$D$3:$D$452,$AK13),INDEX(前年度名簿!$D$3:$D$452,$AK13)))</f>
        <v/>
      </c>
      <c r="X13" s="65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M$7:$M$456,MATCH($AK13,振り分け!$P$7:$P$456,0))="転出","転出",IF(INDEX(振り分け!$L$7:$L$456,MATCH($AK13,振り分け!$P$7:$P$456,0))="","未決定",INDEX(振り分け!$L$7:$L$456,MATCH($AK13,振り分け!$P$7:$P$456,0)))),"未決定")))</f>
        <v/>
      </c>
      <c r="AD13" s="63">
        <f>IF(計算用!$B$1=1,IFERROR(IF(SMALL(新年度名簿!$J$3:$J$452,$AD$3+9)&lt;10000,MATCH(SMALL(新年度名簿!$J$3:$J$452,$AD$3+9),新年度名簿!$J$3:$J$452,0),""),""),IFERROR(IF(SMALL(前年度名簿!$G$3:$G$452,$AD$3+9)&lt;10000,MATCH(SMALL(前年度名簿!$G$3:$G$452,$AD$3+9),前年度名簿!$G$3:$G$452,0),""),""))</f>
        <v/>
      </c>
      <c r="AE13" s="63">
        <f>IF(計算用!$B$1=1,IFERROR(IF(SMALL(新年度名簿!$J$3:$J$452,$AE$3+9)&lt;11000,MATCH(SMALL(新年度名簿!$J$3:$J$452,$AE$3+9),新年度名簿!$J$3:$J$452,0),""),""),IFERROR(IF(SMALL(前年度名簿!$G$3:$G$452,$AE$3+9)&lt;11000,MATCH(SMALL(前年度名簿!$G$3:$G$452,$AE$3+9),前年度名簿!$G$3:$G$452,0),""),""))</f>
        <v/>
      </c>
      <c r="AF13" s="63">
        <f>IF(計算用!$B$1=1,IFERROR(IF(SMALL(新年度名簿!$J$3:$J$452,$AF$3+9)&lt;12000,MATCH(SMALL(新年度名簿!$J$3:$J$452,$AF$3+9),新年度名簿!$J$3:$J$452,0),""),""),IFERROR(IF(SMALL(前年度名簿!$G$3:$G$452,$AF$3+9)&lt;12000,MATCH(SMALL(前年度名簿!$G$3:$G$452,$AF$3+9),前年度名簿!$G$3:$G$452,0),""),""))</f>
        <v/>
      </c>
      <c r="AG13" s="63">
        <f>IF(計算用!$B$1=1,IFERROR(IF(SMALL(新年度名簿!$J$3:$J$452,$AG$3+9)&lt;13000,MATCH(SMALL(新年度名簿!$J$3:$J$452,$AG$3+9),新年度名簿!$J$3:$J$452,0),""),""),IFERROR(IF(SMALL(前年度名簿!$G$3:$G$452,$AG$3+9)&lt;13000,MATCH(SMALL(前年度名簿!$G$3:$G$452,$AG$3+9),前年度名簿!$G$3:$G$452,0),""),""))</f>
        <v/>
      </c>
      <c r="AH13" s="63">
        <f>IF(計算用!$B$1=1,IFERROR(IF(SMALL(新年度名簿!$J$3:$J$452,$AH$3+9)&lt;14000,MATCH(SMALL(新年度名簿!$J$3:$J$452,$AH$3+9),新年度名簿!$J$3:$J$452,0),""),""),IFERROR(IF(SMALL(前年度名簿!$G$3:$G$452,$AH$3+9)&lt;14000,MATCH(SMALL(前年度名簿!$G$3:$G$452,$AH$3+9),前年度名簿!$G$3:$G$452,0),""),""))</f>
        <v/>
      </c>
      <c r="AI13" s="63">
        <f>IF(計算用!$B$1=1,IFERROR(IF(SMALL(新年度名簿!$J$3:$J$452,$AI$3+9)&lt;15000,MATCH(SMALL(新年度名簿!$J$3:$J$452,$AI$3+9),新年度名簿!$J$3:$J$452,0),""),""),IFERROR(IF(SMALL(前年度名簿!$G$3:$G$452,$AI$3+9)&lt;15000,MATCH(SMALL(前年度名簿!$G$3:$G$452,$AI$3+9),前年度名簿!$G$3:$G$452,0),""),""))</f>
        <v/>
      </c>
      <c r="AJ13" s="63">
        <f>IF(計算用!$B$1=1,IFERROR(IF(SMALL(新年度名簿!$J$3:$J$452,$AJ$3+9)&lt;16000,MATCH(SMALL(新年度名簿!$J$3:$J$452,$AJ$3+9),新年度名簿!$J$3:$J$452,0),""),""),IFERROR(IF(SMALL(前年度名簿!$G$3:$G$452,$AJ$3+9)&lt;16000,MATCH(SMALL(前年度名簿!$G$3:$G$452,$AJ$3+9),前年度名簿!$G$3:$G$452,0),""),""))</f>
        <v/>
      </c>
      <c r="AK13" s="63">
        <f>IF(計算用!$B$1=1,IFERROR(IF(SMALL(新年度名簿!$J$3:$J$452,$AK$3+9)&lt;17000,MATCH(SMALL(新年度名簿!$J$3:$J$452,$AK$3+9),新年度名簿!$J$3:$J$452,0),""),""),IFERROR(IF(SMALL(前年度名簿!$G$3:$G$452,$AK$3+9)&lt;17000,MATCH(SMALL(前年度名簿!$G$3:$G$452,$AK$3+9),前年度名簿!$G$3:$G$452,0),""),""))</f>
        <v/>
      </c>
    </row>
    <row r="14">
      <c r="A14" s="65">
        <f>IF($AD14="","",IF(計算用!$B$1=1,INDEX(新年度名簿!$C$3:$C$452,$AD14),INDEX(前年度名簿!$C$3:$C$452,$AD14)))</f>
        <v/>
      </c>
      <c r="B14" s="66">
        <f>IF($AD14="","",IF(計算用!$B$1=1,INDEX(新年度名簿!$D$3:$D$452,$AD14),INDEX(前年度名簿!$D$3:$D$452,$AD14)))</f>
        <v/>
      </c>
      <c r="C14" s="65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M$7:$M$456,MATCH($AD14,振り分け!$P$7:$P$456,0))="転出","転出",IF(INDEX(振り分け!$L$7:$L$456,MATCH($AD14,振り分け!$P$7:$P$456,0))="","未決定",INDEX(振り分け!$L$7:$L$456,MATCH($AD14,振り分け!$P$7:$P$456,0)))),"未決定")))</f>
        <v/>
      </c>
      <c r="D14" s="65">
        <f>IF($AE14="","",IF(計算用!$B$1=1,INDEX(新年度名簿!$C$3:$C$452,$AE14),INDEX(前年度名簿!$C$3:$C$452,$AE14)))</f>
        <v/>
      </c>
      <c r="E14" s="66">
        <f>IF($AE14="","",IF(計算用!$B$1=1,INDEX(新年度名簿!$D$3:$D$452,$AE14),INDEX(前年度名簿!$D$3:$D$452,$AE14)))</f>
        <v/>
      </c>
      <c r="F14" s="65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M$7:$M$456,MATCH($AE14,振り分け!$P$7:$P$456,0))="転出","転出",IF(INDEX(振り分け!$L$7:$L$456,MATCH($AE14,振り分け!$P$7:$P$456,0))="","未決定",INDEX(振り分け!$L$7:$L$456,MATCH($AE14,振り分け!$P$7:$P$456,0)))),"未決定")))</f>
        <v/>
      </c>
      <c r="G14" s="65">
        <f>IF($AF14="","",IF(計算用!$B$1=1,INDEX(新年度名簿!$C$3:$C$452,$AF14),INDEX(前年度名簿!$C$3:$C$452,$AF14)))</f>
        <v/>
      </c>
      <c r="H14" s="66">
        <f>IF($AF14="","",IF(計算用!$B$1=1,INDEX(新年度名簿!$D$3:$D$452,$AF14),INDEX(前年度名簿!$D$3:$D$452,$AF14)))</f>
        <v/>
      </c>
      <c r="I14" s="65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M$7:$M$456,MATCH($AF14,振り分け!$P$7:$P$456,0))="転出","転出",IF(INDEX(振り分け!$L$7:$L$456,MATCH($AF14,振り分け!$P$7:$P$456,0))="","未決定",INDEX(振り分け!$L$7:$L$456,MATCH($AF14,振り分け!$P$7:$P$456,0)))),"未決定")))</f>
        <v/>
      </c>
      <c r="J14" s="65">
        <f>IF($AG14="","",IF(計算用!$B$1=1,INDEX(新年度名簿!$C$3:$C$452,$AG14),INDEX(前年度名簿!$C$3:$C$452,$AG14)))</f>
        <v/>
      </c>
      <c r="K14" s="66">
        <f>IF($AG14="","",IF(計算用!$B$1=1,INDEX(新年度名簿!$D$3:$D$452,$AG14),INDEX(前年度名簿!$D$3:$D$452,$AG14)))</f>
        <v/>
      </c>
      <c r="L14" s="65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M$7:$M$456,MATCH($AG14,振り分け!$P$7:$P$456,0))="転出","転出",IF(INDEX(振り分け!$L$7:$L$456,MATCH($AG14,振り分け!$P$7:$P$456,0))="","未決定",INDEX(振り分け!$L$7:$L$456,MATCH($AG14,振り分け!$P$7:$P$456,0)))),"未決定")))</f>
        <v/>
      </c>
      <c r="M14" s="65">
        <f>IF($AH14="","",IF(計算用!$B$1=1,INDEX(新年度名簿!$C$3:$C$452,$AH14),INDEX(前年度名簿!$C$3:$C$452,$AH14)))</f>
        <v/>
      </c>
      <c r="N14" s="66">
        <f>IF($AH14="","",IF(計算用!$B$1=1,INDEX(新年度名簿!$D$3:$D$452,$AH14),INDEX(前年度名簿!$D$3:$D$452,$AH14)))</f>
        <v/>
      </c>
      <c r="O14" s="65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M$7:$M$456,MATCH($AH14,振り分け!$P$7:$P$456,0))="転出","転出",IF(INDEX(振り分け!$L$7:$L$456,MATCH($AH14,振り分け!$P$7:$P$456,0))="","未決定",INDEX(振り分け!$L$7:$L$456,MATCH($AH14,振り分け!$P$7:$P$456,0)))),"未決定")))</f>
        <v/>
      </c>
      <c r="P14" s="65">
        <f>IF($AI14="","",IF(計算用!$B$1=1,INDEX(新年度名簿!$C$3:$C$452,$AI14),INDEX(前年度名簿!$C$3:$C$452,$AI14)))</f>
        <v/>
      </c>
      <c r="Q14" s="66">
        <f>IF($AI14="","",IF(計算用!$B$1=1,INDEX(新年度名簿!$D$3:$D$452,$AI14),INDEX(前年度名簿!$D$3:$D$452,$AI14)))</f>
        <v/>
      </c>
      <c r="R14" s="65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M$7:$M$456,MATCH($AI14,振り分け!$P$7:$P$456,0))="転出","転出",IF(INDEX(振り分け!$L$7:$L$456,MATCH($AI14,振り分け!$P$7:$P$456,0))="","未決定",INDEX(振り分け!$L$7:$L$456,MATCH($AI14,振り分け!$P$7:$P$456,0)))),"未決定")))</f>
        <v/>
      </c>
      <c r="S14" s="65">
        <f>IF($AJ14="","",IF(計算用!$B$1=1,INDEX(新年度名簿!$C$3:$C$452,$AJ14),INDEX(前年度名簿!$C$3:$C$452,$AJ14)))</f>
        <v/>
      </c>
      <c r="T14" s="66">
        <f>IF($AJ14="","",IF(計算用!$B$1=1,INDEX(新年度名簿!$D$3:$D$452,$AJ14),INDEX(前年度名簿!$D$3:$D$452,$AJ14)))</f>
        <v/>
      </c>
      <c r="U14" s="65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M$7:$M$456,MATCH($AJ14,振り分け!$P$7:$P$456,0))="転出","転出",IF(INDEX(振り分け!$L$7:$L$456,MATCH($AJ14,振り分け!$P$7:$P$456,0))="","未決定",INDEX(振り分け!$L$7:$L$456,MATCH($AJ14,振り分け!$P$7:$P$456,0)))),"未決定")))</f>
        <v/>
      </c>
      <c r="V14" s="65">
        <f>IF($AK14="","",IF(計算用!$B$1=1,INDEX(新年度名簿!$C$3:$C$452,$AK14),INDEX(前年度名簿!$C$3:$C$452,$AK14)))</f>
        <v/>
      </c>
      <c r="W14" s="66">
        <f>IF($AK14="","",IF(計算用!$B$1=1,INDEX(新年度名簿!$D$3:$D$452,$AK14),INDEX(前年度名簿!$D$3:$D$452,$AK14)))</f>
        <v/>
      </c>
      <c r="X14" s="65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M$7:$M$456,MATCH($AK14,振り分け!$P$7:$P$456,0))="転出","転出",IF(INDEX(振り分け!$L$7:$L$456,MATCH($AK14,振り分け!$P$7:$P$456,0))="","未決定",INDEX(振り分け!$L$7:$L$456,MATCH($AK14,振り分け!$P$7:$P$456,0)))),"未決定")))</f>
        <v/>
      </c>
      <c r="AD14" s="63">
        <f>IF(計算用!$B$1=1,IFERROR(IF(SMALL(新年度名簿!$J$3:$J$452,$AD$3+10)&lt;10000,MATCH(SMALL(新年度名簿!$J$3:$J$452,$AD$3+10),新年度名簿!$J$3:$J$452,0),""),""),IFERROR(IF(SMALL(前年度名簿!$G$3:$G$452,$AD$3+10)&lt;10000,MATCH(SMALL(前年度名簿!$G$3:$G$452,$AD$3+10),前年度名簿!$G$3:$G$452,0),""),""))</f>
        <v/>
      </c>
      <c r="AE14" s="63">
        <f>IF(計算用!$B$1=1,IFERROR(IF(SMALL(新年度名簿!$J$3:$J$452,$AE$3+10)&lt;11000,MATCH(SMALL(新年度名簿!$J$3:$J$452,$AE$3+10),新年度名簿!$J$3:$J$452,0),""),""),IFERROR(IF(SMALL(前年度名簿!$G$3:$G$452,$AE$3+10)&lt;11000,MATCH(SMALL(前年度名簿!$G$3:$G$452,$AE$3+10),前年度名簿!$G$3:$G$452,0),""),""))</f>
        <v/>
      </c>
      <c r="AF14" s="63">
        <f>IF(計算用!$B$1=1,IFERROR(IF(SMALL(新年度名簿!$J$3:$J$452,$AF$3+10)&lt;12000,MATCH(SMALL(新年度名簿!$J$3:$J$452,$AF$3+10),新年度名簿!$J$3:$J$452,0),""),""),IFERROR(IF(SMALL(前年度名簿!$G$3:$G$452,$AF$3+10)&lt;12000,MATCH(SMALL(前年度名簿!$G$3:$G$452,$AF$3+10),前年度名簿!$G$3:$G$452,0),""),""))</f>
        <v/>
      </c>
      <c r="AG14" s="63">
        <f>IF(計算用!$B$1=1,IFERROR(IF(SMALL(新年度名簿!$J$3:$J$452,$AG$3+10)&lt;13000,MATCH(SMALL(新年度名簿!$J$3:$J$452,$AG$3+10),新年度名簿!$J$3:$J$452,0),""),""),IFERROR(IF(SMALL(前年度名簿!$G$3:$G$452,$AG$3+10)&lt;13000,MATCH(SMALL(前年度名簿!$G$3:$G$452,$AG$3+10),前年度名簿!$G$3:$G$452,0),""),""))</f>
        <v/>
      </c>
      <c r="AH14" s="63">
        <f>IF(計算用!$B$1=1,IFERROR(IF(SMALL(新年度名簿!$J$3:$J$452,$AH$3+10)&lt;14000,MATCH(SMALL(新年度名簿!$J$3:$J$452,$AH$3+10),新年度名簿!$J$3:$J$452,0),""),""),IFERROR(IF(SMALL(前年度名簿!$G$3:$G$452,$AH$3+10)&lt;14000,MATCH(SMALL(前年度名簿!$G$3:$G$452,$AH$3+10),前年度名簿!$G$3:$G$452,0),""),""))</f>
        <v/>
      </c>
      <c r="AI14" s="63">
        <f>IF(計算用!$B$1=1,IFERROR(IF(SMALL(新年度名簿!$J$3:$J$452,$AI$3+10)&lt;15000,MATCH(SMALL(新年度名簿!$J$3:$J$452,$AI$3+10),新年度名簿!$J$3:$J$452,0),""),""),IFERROR(IF(SMALL(前年度名簿!$G$3:$G$452,$AI$3+10)&lt;15000,MATCH(SMALL(前年度名簿!$G$3:$G$452,$AI$3+10),前年度名簿!$G$3:$G$452,0),""),""))</f>
        <v/>
      </c>
      <c r="AJ14" s="63">
        <f>IF(計算用!$B$1=1,IFERROR(IF(SMALL(新年度名簿!$J$3:$J$452,$AJ$3+10)&lt;16000,MATCH(SMALL(新年度名簿!$J$3:$J$452,$AJ$3+10),新年度名簿!$J$3:$J$452,0),""),""),IFERROR(IF(SMALL(前年度名簿!$G$3:$G$452,$AJ$3+10)&lt;16000,MATCH(SMALL(前年度名簿!$G$3:$G$452,$AJ$3+10),前年度名簿!$G$3:$G$452,0),""),""))</f>
        <v/>
      </c>
      <c r="AK14" s="63">
        <f>IF(計算用!$B$1=1,IFERROR(IF(SMALL(新年度名簿!$J$3:$J$452,$AK$3+10)&lt;17000,MATCH(SMALL(新年度名簿!$J$3:$J$452,$AK$3+10),新年度名簿!$J$3:$J$452,0),""),""),IFERROR(IF(SMALL(前年度名簿!$G$3:$G$452,$AK$3+10)&lt;17000,MATCH(SMALL(前年度名簿!$G$3:$G$452,$AK$3+10),前年度名簿!$G$3:$G$452,0),""),""))</f>
        <v/>
      </c>
    </row>
    <row r="15">
      <c r="A15" s="65">
        <f>IF($AD15="","",IF(計算用!$B$1=1,INDEX(新年度名簿!$C$3:$C$452,$AD15),INDEX(前年度名簿!$C$3:$C$452,$AD15)))</f>
        <v/>
      </c>
      <c r="B15" s="66">
        <f>IF($AD15="","",IF(計算用!$B$1=1,INDEX(新年度名簿!$D$3:$D$452,$AD15),INDEX(前年度名簿!$D$3:$D$452,$AD15)))</f>
        <v/>
      </c>
      <c r="C15" s="65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M$7:$M$456,MATCH($AD15,振り分け!$P$7:$P$456,0))="転出","転出",IF(INDEX(振り分け!$L$7:$L$456,MATCH($AD15,振り分け!$P$7:$P$456,0))="","未決定",INDEX(振り分け!$L$7:$L$456,MATCH($AD15,振り分け!$P$7:$P$456,0)))),"未決定")))</f>
        <v/>
      </c>
      <c r="D15" s="65">
        <f>IF($AE15="","",IF(計算用!$B$1=1,INDEX(新年度名簿!$C$3:$C$452,$AE15),INDEX(前年度名簿!$C$3:$C$452,$AE15)))</f>
        <v/>
      </c>
      <c r="E15" s="66">
        <f>IF($AE15="","",IF(計算用!$B$1=1,INDEX(新年度名簿!$D$3:$D$452,$AE15),INDEX(前年度名簿!$D$3:$D$452,$AE15)))</f>
        <v/>
      </c>
      <c r="F15" s="65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M$7:$M$456,MATCH($AE15,振り分け!$P$7:$P$456,0))="転出","転出",IF(INDEX(振り分け!$L$7:$L$456,MATCH($AE15,振り分け!$P$7:$P$456,0))="","未決定",INDEX(振り分け!$L$7:$L$456,MATCH($AE15,振り分け!$P$7:$P$456,0)))),"未決定")))</f>
        <v/>
      </c>
      <c r="G15" s="65">
        <f>IF($AF15="","",IF(計算用!$B$1=1,INDEX(新年度名簿!$C$3:$C$452,$AF15),INDEX(前年度名簿!$C$3:$C$452,$AF15)))</f>
        <v/>
      </c>
      <c r="H15" s="66">
        <f>IF($AF15="","",IF(計算用!$B$1=1,INDEX(新年度名簿!$D$3:$D$452,$AF15),INDEX(前年度名簿!$D$3:$D$452,$AF15)))</f>
        <v/>
      </c>
      <c r="I15" s="65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M$7:$M$456,MATCH($AF15,振り分け!$P$7:$P$456,0))="転出","転出",IF(INDEX(振り分け!$L$7:$L$456,MATCH($AF15,振り分け!$P$7:$P$456,0))="","未決定",INDEX(振り分け!$L$7:$L$456,MATCH($AF15,振り分け!$P$7:$P$456,0)))),"未決定")))</f>
        <v/>
      </c>
      <c r="J15" s="65">
        <f>IF($AG15="","",IF(計算用!$B$1=1,INDEX(新年度名簿!$C$3:$C$452,$AG15),INDEX(前年度名簿!$C$3:$C$452,$AG15)))</f>
        <v/>
      </c>
      <c r="K15" s="66">
        <f>IF($AG15="","",IF(計算用!$B$1=1,INDEX(新年度名簿!$D$3:$D$452,$AG15),INDEX(前年度名簿!$D$3:$D$452,$AG15)))</f>
        <v/>
      </c>
      <c r="L15" s="65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M$7:$M$456,MATCH($AG15,振り分け!$P$7:$P$456,0))="転出","転出",IF(INDEX(振り分け!$L$7:$L$456,MATCH($AG15,振り分け!$P$7:$P$456,0))="","未決定",INDEX(振り分け!$L$7:$L$456,MATCH($AG15,振り分け!$P$7:$P$456,0)))),"未決定")))</f>
        <v/>
      </c>
      <c r="M15" s="65">
        <f>IF($AH15="","",IF(計算用!$B$1=1,INDEX(新年度名簿!$C$3:$C$452,$AH15),INDEX(前年度名簿!$C$3:$C$452,$AH15)))</f>
        <v/>
      </c>
      <c r="N15" s="66">
        <f>IF($AH15="","",IF(計算用!$B$1=1,INDEX(新年度名簿!$D$3:$D$452,$AH15),INDEX(前年度名簿!$D$3:$D$452,$AH15)))</f>
        <v/>
      </c>
      <c r="O15" s="65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M$7:$M$456,MATCH($AH15,振り分け!$P$7:$P$456,0))="転出","転出",IF(INDEX(振り分け!$L$7:$L$456,MATCH($AH15,振り分け!$P$7:$P$456,0))="","未決定",INDEX(振り分け!$L$7:$L$456,MATCH($AH15,振り分け!$P$7:$P$456,0)))),"未決定")))</f>
        <v/>
      </c>
      <c r="P15" s="65">
        <f>IF($AI15="","",IF(計算用!$B$1=1,INDEX(新年度名簿!$C$3:$C$452,$AI15),INDEX(前年度名簿!$C$3:$C$452,$AI15)))</f>
        <v/>
      </c>
      <c r="Q15" s="66">
        <f>IF($AI15="","",IF(計算用!$B$1=1,INDEX(新年度名簿!$D$3:$D$452,$AI15),INDEX(前年度名簿!$D$3:$D$452,$AI15)))</f>
        <v/>
      </c>
      <c r="R15" s="65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M$7:$M$456,MATCH($AI15,振り分け!$P$7:$P$456,0))="転出","転出",IF(INDEX(振り分け!$L$7:$L$456,MATCH($AI15,振り分け!$P$7:$P$456,0))="","未決定",INDEX(振り分け!$L$7:$L$456,MATCH($AI15,振り分け!$P$7:$P$456,0)))),"未決定")))</f>
        <v/>
      </c>
      <c r="S15" s="65">
        <f>IF($AJ15="","",IF(計算用!$B$1=1,INDEX(新年度名簿!$C$3:$C$452,$AJ15),INDEX(前年度名簿!$C$3:$C$452,$AJ15)))</f>
        <v/>
      </c>
      <c r="T15" s="66">
        <f>IF($AJ15="","",IF(計算用!$B$1=1,INDEX(新年度名簿!$D$3:$D$452,$AJ15),INDEX(前年度名簿!$D$3:$D$452,$AJ15)))</f>
        <v/>
      </c>
      <c r="U15" s="65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M$7:$M$456,MATCH($AJ15,振り分け!$P$7:$P$456,0))="転出","転出",IF(INDEX(振り分け!$L$7:$L$456,MATCH($AJ15,振り分け!$P$7:$P$456,0))="","未決定",INDEX(振り分け!$L$7:$L$456,MATCH($AJ15,振り分け!$P$7:$P$456,0)))),"未決定")))</f>
        <v/>
      </c>
      <c r="V15" s="65">
        <f>IF($AK15="","",IF(計算用!$B$1=1,INDEX(新年度名簿!$C$3:$C$452,$AK15),INDEX(前年度名簿!$C$3:$C$452,$AK15)))</f>
        <v/>
      </c>
      <c r="W15" s="66">
        <f>IF($AK15="","",IF(計算用!$B$1=1,INDEX(新年度名簿!$D$3:$D$452,$AK15),INDEX(前年度名簿!$D$3:$D$452,$AK15)))</f>
        <v/>
      </c>
      <c r="X15" s="65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M$7:$M$456,MATCH($AK15,振り分け!$P$7:$P$456,0))="転出","転出",IF(INDEX(振り分け!$L$7:$L$456,MATCH($AK15,振り分け!$P$7:$P$456,0))="","未決定",INDEX(振り分け!$L$7:$L$456,MATCH($AK15,振り分け!$P$7:$P$456,0)))),"未決定")))</f>
        <v/>
      </c>
      <c r="AD15" s="63">
        <f>IF(計算用!$B$1=1,IFERROR(IF(SMALL(新年度名簿!$J$3:$J$452,$AD$3+11)&lt;10000,MATCH(SMALL(新年度名簿!$J$3:$J$452,$AD$3+11),新年度名簿!$J$3:$J$452,0),""),""),IFERROR(IF(SMALL(前年度名簿!$G$3:$G$452,$AD$3+11)&lt;10000,MATCH(SMALL(前年度名簿!$G$3:$G$452,$AD$3+11),前年度名簿!$G$3:$G$452,0),""),""))</f>
        <v/>
      </c>
      <c r="AE15" s="63">
        <f>IF(計算用!$B$1=1,IFERROR(IF(SMALL(新年度名簿!$J$3:$J$452,$AE$3+11)&lt;11000,MATCH(SMALL(新年度名簿!$J$3:$J$452,$AE$3+11),新年度名簿!$J$3:$J$452,0),""),""),IFERROR(IF(SMALL(前年度名簿!$G$3:$G$452,$AE$3+11)&lt;11000,MATCH(SMALL(前年度名簿!$G$3:$G$452,$AE$3+11),前年度名簿!$G$3:$G$452,0),""),""))</f>
        <v/>
      </c>
      <c r="AF15" s="63">
        <f>IF(計算用!$B$1=1,IFERROR(IF(SMALL(新年度名簿!$J$3:$J$452,$AF$3+11)&lt;12000,MATCH(SMALL(新年度名簿!$J$3:$J$452,$AF$3+11),新年度名簿!$J$3:$J$452,0),""),""),IFERROR(IF(SMALL(前年度名簿!$G$3:$G$452,$AF$3+11)&lt;12000,MATCH(SMALL(前年度名簿!$G$3:$G$452,$AF$3+11),前年度名簿!$G$3:$G$452,0),""),""))</f>
        <v/>
      </c>
      <c r="AG15" s="63">
        <f>IF(計算用!$B$1=1,IFERROR(IF(SMALL(新年度名簿!$J$3:$J$452,$AG$3+11)&lt;13000,MATCH(SMALL(新年度名簿!$J$3:$J$452,$AG$3+11),新年度名簿!$J$3:$J$452,0),""),""),IFERROR(IF(SMALL(前年度名簿!$G$3:$G$452,$AG$3+11)&lt;13000,MATCH(SMALL(前年度名簿!$G$3:$G$452,$AG$3+11),前年度名簿!$G$3:$G$452,0),""),""))</f>
        <v/>
      </c>
      <c r="AH15" s="63">
        <f>IF(計算用!$B$1=1,IFERROR(IF(SMALL(新年度名簿!$J$3:$J$452,$AH$3+11)&lt;14000,MATCH(SMALL(新年度名簿!$J$3:$J$452,$AH$3+11),新年度名簿!$J$3:$J$452,0),""),""),IFERROR(IF(SMALL(前年度名簿!$G$3:$G$452,$AH$3+11)&lt;14000,MATCH(SMALL(前年度名簿!$G$3:$G$452,$AH$3+11),前年度名簿!$G$3:$G$452,0),""),""))</f>
        <v/>
      </c>
      <c r="AI15" s="63">
        <f>IF(計算用!$B$1=1,IFERROR(IF(SMALL(新年度名簿!$J$3:$J$452,$AI$3+11)&lt;15000,MATCH(SMALL(新年度名簿!$J$3:$J$452,$AI$3+11),新年度名簿!$J$3:$J$452,0),""),""),IFERROR(IF(SMALL(前年度名簿!$G$3:$G$452,$AI$3+11)&lt;15000,MATCH(SMALL(前年度名簿!$G$3:$G$452,$AI$3+11),前年度名簿!$G$3:$G$452,0),""),""))</f>
        <v/>
      </c>
      <c r="AJ15" s="63">
        <f>IF(計算用!$B$1=1,IFERROR(IF(SMALL(新年度名簿!$J$3:$J$452,$AJ$3+11)&lt;16000,MATCH(SMALL(新年度名簿!$J$3:$J$452,$AJ$3+11),新年度名簿!$J$3:$J$452,0),""),""),IFERROR(IF(SMALL(前年度名簿!$G$3:$G$452,$AJ$3+11)&lt;16000,MATCH(SMALL(前年度名簿!$G$3:$G$452,$AJ$3+11),前年度名簿!$G$3:$G$452,0),""),""))</f>
        <v/>
      </c>
      <c r="AK15" s="63">
        <f>IF(計算用!$B$1=1,IFERROR(IF(SMALL(新年度名簿!$J$3:$J$452,$AK$3+11)&lt;17000,MATCH(SMALL(新年度名簿!$J$3:$J$452,$AK$3+11),新年度名簿!$J$3:$J$452,0),""),""),IFERROR(IF(SMALL(前年度名簿!$G$3:$G$452,$AK$3+11)&lt;17000,MATCH(SMALL(前年度名簿!$G$3:$G$452,$AK$3+11),前年度名簿!$G$3:$G$452,0),""),""))</f>
        <v/>
      </c>
    </row>
    <row r="16">
      <c r="A16" s="65">
        <f>IF($AD16="","",IF(計算用!$B$1=1,INDEX(新年度名簿!$C$3:$C$452,$AD16),INDEX(前年度名簿!$C$3:$C$452,$AD16)))</f>
        <v/>
      </c>
      <c r="B16" s="66">
        <f>IF($AD16="","",IF(計算用!$B$1=1,INDEX(新年度名簿!$D$3:$D$452,$AD16),INDEX(前年度名簿!$D$3:$D$452,$AD16)))</f>
        <v/>
      </c>
      <c r="C16" s="65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M$7:$M$456,MATCH($AD16,振り分け!$P$7:$P$456,0))="転出","転出",IF(INDEX(振り分け!$L$7:$L$456,MATCH($AD16,振り分け!$P$7:$P$456,0))="","未決定",INDEX(振り分け!$L$7:$L$456,MATCH($AD16,振り分け!$P$7:$P$456,0)))),"未決定")))</f>
        <v/>
      </c>
      <c r="D16" s="65">
        <f>IF($AE16="","",IF(計算用!$B$1=1,INDEX(新年度名簿!$C$3:$C$452,$AE16),INDEX(前年度名簿!$C$3:$C$452,$AE16)))</f>
        <v/>
      </c>
      <c r="E16" s="66">
        <f>IF($AE16="","",IF(計算用!$B$1=1,INDEX(新年度名簿!$D$3:$D$452,$AE16),INDEX(前年度名簿!$D$3:$D$452,$AE16)))</f>
        <v/>
      </c>
      <c r="F16" s="65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M$7:$M$456,MATCH($AE16,振り分け!$P$7:$P$456,0))="転出","転出",IF(INDEX(振り分け!$L$7:$L$456,MATCH($AE16,振り分け!$P$7:$P$456,0))="","未決定",INDEX(振り分け!$L$7:$L$456,MATCH($AE16,振り分け!$P$7:$P$456,0)))),"未決定")))</f>
        <v/>
      </c>
      <c r="G16" s="65">
        <f>IF($AF16="","",IF(計算用!$B$1=1,INDEX(新年度名簿!$C$3:$C$452,$AF16),INDEX(前年度名簿!$C$3:$C$452,$AF16)))</f>
        <v/>
      </c>
      <c r="H16" s="66">
        <f>IF($AF16="","",IF(計算用!$B$1=1,INDEX(新年度名簿!$D$3:$D$452,$AF16),INDEX(前年度名簿!$D$3:$D$452,$AF16)))</f>
        <v/>
      </c>
      <c r="I16" s="65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M$7:$M$456,MATCH($AF16,振り分け!$P$7:$P$456,0))="転出","転出",IF(INDEX(振り分け!$L$7:$L$456,MATCH($AF16,振り分け!$P$7:$P$456,0))="","未決定",INDEX(振り分け!$L$7:$L$456,MATCH($AF16,振り分け!$P$7:$P$456,0)))),"未決定")))</f>
        <v/>
      </c>
      <c r="J16" s="65">
        <f>IF($AG16="","",IF(計算用!$B$1=1,INDEX(新年度名簿!$C$3:$C$452,$AG16),INDEX(前年度名簿!$C$3:$C$452,$AG16)))</f>
        <v/>
      </c>
      <c r="K16" s="66">
        <f>IF($AG16="","",IF(計算用!$B$1=1,INDEX(新年度名簿!$D$3:$D$452,$AG16),INDEX(前年度名簿!$D$3:$D$452,$AG16)))</f>
        <v/>
      </c>
      <c r="L16" s="65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M$7:$M$456,MATCH($AG16,振り分け!$P$7:$P$456,0))="転出","転出",IF(INDEX(振り分け!$L$7:$L$456,MATCH($AG16,振り分け!$P$7:$P$456,0))="","未決定",INDEX(振り分け!$L$7:$L$456,MATCH($AG16,振り分け!$P$7:$P$456,0)))),"未決定")))</f>
        <v/>
      </c>
      <c r="M16" s="65">
        <f>IF($AH16="","",IF(計算用!$B$1=1,INDEX(新年度名簿!$C$3:$C$452,$AH16),INDEX(前年度名簿!$C$3:$C$452,$AH16)))</f>
        <v/>
      </c>
      <c r="N16" s="66">
        <f>IF($AH16="","",IF(計算用!$B$1=1,INDEX(新年度名簿!$D$3:$D$452,$AH16),INDEX(前年度名簿!$D$3:$D$452,$AH16)))</f>
        <v/>
      </c>
      <c r="O16" s="65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M$7:$M$456,MATCH($AH16,振り分け!$P$7:$P$456,0))="転出","転出",IF(INDEX(振り分け!$L$7:$L$456,MATCH($AH16,振り分け!$P$7:$P$456,0))="","未決定",INDEX(振り分け!$L$7:$L$456,MATCH($AH16,振り分け!$P$7:$P$456,0)))),"未決定")))</f>
        <v/>
      </c>
      <c r="P16" s="65">
        <f>IF($AI16="","",IF(計算用!$B$1=1,INDEX(新年度名簿!$C$3:$C$452,$AI16),INDEX(前年度名簿!$C$3:$C$452,$AI16)))</f>
        <v/>
      </c>
      <c r="Q16" s="66">
        <f>IF($AI16="","",IF(計算用!$B$1=1,INDEX(新年度名簿!$D$3:$D$452,$AI16),INDEX(前年度名簿!$D$3:$D$452,$AI16)))</f>
        <v/>
      </c>
      <c r="R16" s="65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M$7:$M$456,MATCH($AI16,振り分け!$P$7:$P$456,0))="転出","転出",IF(INDEX(振り分け!$L$7:$L$456,MATCH($AI16,振り分け!$P$7:$P$456,0))="","未決定",INDEX(振り分け!$L$7:$L$456,MATCH($AI16,振り分け!$P$7:$P$456,0)))),"未決定")))</f>
        <v/>
      </c>
      <c r="S16" s="65">
        <f>IF($AJ16="","",IF(計算用!$B$1=1,INDEX(新年度名簿!$C$3:$C$452,$AJ16),INDEX(前年度名簿!$C$3:$C$452,$AJ16)))</f>
        <v/>
      </c>
      <c r="T16" s="66">
        <f>IF($AJ16="","",IF(計算用!$B$1=1,INDEX(新年度名簿!$D$3:$D$452,$AJ16),INDEX(前年度名簿!$D$3:$D$452,$AJ16)))</f>
        <v/>
      </c>
      <c r="U16" s="65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M$7:$M$456,MATCH($AJ16,振り分け!$P$7:$P$456,0))="転出","転出",IF(INDEX(振り分け!$L$7:$L$456,MATCH($AJ16,振り分け!$P$7:$P$456,0))="","未決定",INDEX(振り分け!$L$7:$L$456,MATCH($AJ16,振り分け!$P$7:$P$456,0)))),"未決定")))</f>
        <v/>
      </c>
      <c r="V16" s="65">
        <f>IF($AK16="","",IF(計算用!$B$1=1,INDEX(新年度名簿!$C$3:$C$452,$AK16),INDEX(前年度名簿!$C$3:$C$452,$AK16)))</f>
        <v/>
      </c>
      <c r="W16" s="66">
        <f>IF($AK16="","",IF(計算用!$B$1=1,INDEX(新年度名簿!$D$3:$D$452,$AK16),INDEX(前年度名簿!$D$3:$D$452,$AK16)))</f>
        <v/>
      </c>
      <c r="X16" s="65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M$7:$M$456,MATCH($AK16,振り分け!$P$7:$P$456,0))="転出","転出",IF(INDEX(振り分け!$L$7:$L$456,MATCH($AK16,振り分け!$P$7:$P$456,0))="","未決定",INDEX(振り分け!$L$7:$L$456,MATCH($AK16,振り分け!$P$7:$P$456,0)))),"未決定")))</f>
        <v/>
      </c>
      <c r="AD16" s="63">
        <f>IF(計算用!$B$1=1,IFERROR(IF(SMALL(新年度名簿!$J$3:$J$452,$AD$3+12)&lt;10000,MATCH(SMALL(新年度名簿!$J$3:$J$452,$AD$3+12),新年度名簿!$J$3:$J$452,0),""),""),IFERROR(IF(SMALL(前年度名簿!$G$3:$G$452,$AD$3+12)&lt;10000,MATCH(SMALL(前年度名簿!$G$3:$G$452,$AD$3+12),前年度名簿!$G$3:$G$452,0),""),""))</f>
        <v/>
      </c>
      <c r="AE16" s="63">
        <f>IF(計算用!$B$1=1,IFERROR(IF(SMALL(新年度名簿!$J$3:$J$452,$AE$3+12)&lt;11000,MATCH(SMALL(新年度名簿!$J$3:$J$452,$AE$3+12),新年度名簿!$J$3:$J$452,0),""),""),IFERROR(IF(SMALL(前年度名簿!$G$3:$G$452,$AE$3+12)&lt;11000,MATCH(SMALL(前年度名簿!$G$3:$G$452,$AE$3+12),前年度名簿!$G$3:$G$452,0),""),""))</f>
        <v/>
      </c>
      <c r="AF16" s="63">
        <f>IF(計算用!$B$1=1,IFERROR(IF(SMALL(新年度名簿!$J$3:$J$452,$AF$3+12)&lt;12000,MATCH(SMALL(新年度名簿!$J$3:$J$452,$AF$3+12),新年度名簿!$J$3:$J$452,0),""),""),IFERROR(IF(SMALL(前年度名簿!$G$3:$G$452,$AF$3+12)&lt;12000,MATCH(SMALL(前年度名簿!$G$3:$G$452,$AF$3+12),前年度名簿!$G$3:$G$452,0),""),""))</f>
        <v/>
      </c>
      <c r="AG16" s="63">
        <f>IF(計算用!$B$1=1,IFERROR(IF(SMALL(新年度名簿!$J$3:$J$452,$AG$3+12)&lt;13000,MATCH(SMALL(新年度名簿!$J$3:$J$452,$AG$3+12),新年度名簿!$J$3:$J$452,0),""),""),IFERROR(IF(SMALL(前年度名簿!$G$3:$G$452,$AG$3+12)&lt;13000,MATCH(SMALL(前年度名簿!$G$3:$G$452,$AG$3+12),前年度名簿!$G$3:$G$452,0),""),""))</f>
        <v/>
      </c>
      <c r="AH16" s="63">
        <f>IF(計算用!$B$1=1,IFERROR(IF(SMALL(新年度名簿!$J$3:$J$452,$AH$3+12)&lt;14000,MATCH(SMALL(新年度名簿!$J$3:$J$452,$AH$3+12),新年度名簿!$J$3:$J$452,0),""),""),IFERROR(IF(SMALL(前年度名簿!$G$3:$G$452,$AH$3+12)&lt;14000,MATCH(SMALL(前年度名簿!$G$3:$G$452,$AH$3+12),前年度名簿!$G$3:$G$452,0),""),""))</f>
        <v/>
      </c>
      <c r="AI16" s="63">
        <f>IF(計算用!$B$1=1,IFERROR(IF(SMALL(新年度名簿!$J$3:$J$452,$AI$3+12)&lt;15000,MATCH(SMALL(新年度名簿!$J$3:$J$452,$AI$3+12),新年度名簿!$J$3:$J$452,0),""),""),IFERROR(IF(SMALL(前年度名簿!$G$3:$G$452,$AI$3+12)&lt;15000,MATCH(SMALL(前年度名簿!$G$3:$G$452,$AI$3+12),前年度名簿!$G$3:$G$452,0),""),""))</f>
        <v/>
      </c>
      <c r="AJ16" s="63">
        <f>IF(計算用!$B$1=1,IFERROR(IF(SMALL(新年度名簿!$J$3:$J$452,$AJ$3+12)&lt;16000,MATCH(SMALL(新年度名簿!$J$3:$J$452,$AJ$3+12),新年度名簿!$J$3:$J$452,0),""),""),IFERROR(IF(SMALL(前年度名簿!$G$3:$G$452,$AJ$3+12)&lt;16000,MATCH(SMALL(前年度名簿!$G$3:$G$452,$AJ$3+12),前年度名簿!$G$3:$G$452,0),""),""))</f>
        <v/>
      </c>
      <c r="AK16" s="63">
        <f>IF(計算用!$B$1=1,IFERROR(IF(SMALL(新年度名簿!$J$3:$J$452,$AK$3+12)&lt;17000,MATCH(SMALL(新年度名簿!$J$3:$J$452,$AK$3+12),新年度名簿!$J$3:$J$452,0),""),""),IFERROR(IF(SMALL(前年度名簿!$G$3:$G$452,$AK$3+12)&lt;17000,MATCH(SMALL(前年度名簿!$G$3:$G$452,$AK$3+12),前年度名簿!$G$3:$G$452,0),""),""))</f>
        <v/>
      </c>
    </row>
    <row r="17">
      <c r="A17" s="65">
        <f>IF($AD17="","",IF(計算用!$B$1=1,INDEX(新年度名簿!$C$3:$C$452,$AD17),INDEX(前年度名簿!$C$3:$C$452,$AD17)))</f>
        <v/>
      </c>
      <c r="B17" s="66">
        <f>IF($AD17="","",IF(計算用!$B$1=1,INDEX(新年度名簿!$D$3:$D$452,$AD17),INDEX(前年度名簿!$D$3:$D$452,$AD17)))</f>
        <v/>
      </c>
      <c r="C17" s="65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M$7:$M$456,MATCH($AD17,振り分け!$P$7:$P$456,0))="転出","転出",IF(INDEX(振り分け!$L$7:$L$456,MATCH($AD17,振り分け!$P$7:$P$456,0))="","未決定",INDEX(振り分け!$L$7:$L$456,MATCH($AD17,振り分け!$P$7:$P$456,0)))),"未決定")))</f>
        <v/>
      </c>
      <c r="D17" s="65">
        <f>IF($AE17="","",IF(計算用!$B$1=1,INDEX(新年度名簿!$C$3:$C$452,$AE17),INDEX(前年度名簿!$C$3:$C$452,$AE17)))</f>
        <v/>
      </c>
      <c r="E17" s="66">
        <f>IF($AE17="","",IF(計算用!$B$1=1,INDEX(新年度名簿!$D$3:$D$452,$AE17),INDEX(前年度名簿!$D$3:$D$452,$AE17)))</f>
        <v/>
      </c>
      <c r="F17" s="65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M$7:$M$456,MATCH($AE17,振り分け!$P$7:$P$456,0))="転出","転出",IF(INDEX(振り分け!$L$7:$L$456,MATCH($AE17,振り分け!$P$7:$P$456,0))="","未決定",INDEX(振り分け!$L$7:$L$456,MATCH($AE17,振り分け!$P$7:$P$456,0)))),"未決定")))</f>
        <v/>
      </c>
      <c r="G17" s="65">
        <f>IF($AF17="","",IF(計算用!$B$1=1,INDEX(新年度名簿!$C$3:$C$452,$AF17),INDEX(前年度名簿!$C$3:$C$452,$AF17)))</f>
        <v/>
      </c>
      <c r="H17" s="66">
        <f>IF($AF17="","",IF(計算用!$B$1=1,INDEX(新年度名簿!$D$3:$D$452,$AF17),INDEX(前年度名簿!$D$3:$D$452,$AF17)))</f>
        <v/>
      </c>
      <c r="I17" s="65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M$7:$M$456,MATCH($AF17,振り分け!$P$7:$P$456,0))="転出","転出",IF(INDEX(振り分け!$L$7:$L$456,MATCH($AF17,振り分け!$P$7:$P$456,0))="","未決定",INDEX(振り分け!$L$7:$L$456,MATCH($AF17,振り分け!$P$7:$P$456,0)))),"未決定")))</f>
        <v/>
      </c>
      <c r="J17" s="65">
        <f>IF($AG17="","",IF(計算用!$B$1=1,INDEX(新年度名簿!$C$3:$C$452,$AG17),INDEX(前年度名簿!$C$3:$C$452,$AG17)))</f>
        <v/>
      </c>
      <c r="K17" s="66">
        <f>IF($AG17="","",IF(計算用!$B$1=1,INDEX(新年度名簿!$D$3:$D$452,$AG17),INDEX(前年度名簿!$D$3:$D$452,$AG17)))</f>
        <v/>
      </c>
      <c r="L17" s="65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M$7:$M$456,MATCH($AG17,振り分け!$P$7:$P$456,0))="転出","転出",IF(INDEX(振り分け!$L$7:$L$456,MATCH($AG17,振り分け!$P$7:$P$456,0))="","未決定",INDEX(振り分け!$L$7:$L$456,MATCH($AG17,振り分け!$P$7:$P$456,0)))),"未決定")))</f>
        <v/>
      </c>
      <c r="M17" s="65">
        <f>IF($AH17="","",IF(計算用!$B$1=1,INDEX(新年度名簿!$C$3:$C$452,$AH17),INDEX(前年度名簿!$C$3:$C$452,$AH17)))</f>
        <v/>
      </c>
      <c r="N17" s="66">
        <f>IF($AH17="","",IF(計算用!$B$1=1,INDEX(新年度名簿!$D$3:$D$452,$AH17),INDEX(前年度名簿!$D$3:$D$452,$AH17)))</f>
        <v/>
      </c>
      <c r="O17" s="65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M$7:$M$456,MATCH($AH17,振り分け!$P$7:$P$456,0))="転出","転出",IF(INDEX(振り分け!$L$7:$L$456,MATCH($AH17,振り分け!$P$7:$P$456,0))="","未決定",INDEX(振り分け!$L$7:$L$456,MATCH($AH17,振り分け!$P$7:$P$456,0)))),"未決定")))</f>
        <v/>
      </c>
      <c r="P17" s="65">
        <f>IF($AI17="","",IF(計算用!$B$1=1,INDEX(新年度名簿!$C$3:$C$452,$AI17),INDEX(前年度名簿!$C$3:$C$452,$AI17)))</f>
        <v/>
      </c>
      <c r="Q17" s="66">
        <f>IF($AI17="","",IF(計算用!$B$1=1,INDEX(新年度名簿!$D$3:$D$452,$AI17),INDEX(前年度名簿!$D$3:$D$452,$AI17)))</f>
        <v/>
      </c>
      <c r="R17" s="65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M$7:$M$456,MATCH($AI17,振り分け!$P$7:$P$456,0))="転出","転出",IF(INDEX(振り分け!$L$7:$L$456,MATCH($AI17,振り分け!$P$7:$P$456,0))="","未決定",INDEX(振り分け!$L$7:$L$456,MATCH($AI17,振り分け!$P$7:$P$456,0)))),"未決定")))</f>
        <v/>
      </c>
      <c r="S17" s="65">
        <f>IF($AJ17="","",IF(計算用!$B$1=1,INDEX(新年度名簿!$C$3:$C$452,$AJ17),INDEX(前年度名簿!$C$3:$C$452,$AJ17)))</f>
        <v/>
      </c>
      <c r="T17" s="66">
        <f>IF($AJ17="","",IF(計算用!$B$1=1,INDEX(新年度名簿!$D$3:$D$452,$AJ17),INDEX(前年度名簿!$D$3:$D$452,$AJ17)))</f>
        <v/>
      </c>
      <c r="U17" s="65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M$7:$M$456,MATCH($AJ17,振り分け!$P$7:$P$456,0))="転出","転出",IF(INDEX(振り分け!$L$7:$L$456,MATCH($AJ17,振り分け!$P$7:$P$456,0))="","未決定",INDEX(振り分け!$L$7:$L$456,MATCH($AJ17,振り分け!$P$7:$P$456,0)))),"未決定")))</f>
        <v/>
      </c>
      <c r="V17" s="65">
        <f>IF($AK17="","",IF(計算用!$B$1=1,INDEX(新年度名簿!$C$3:$C$452,$AK17),INDEX(前年度名簿!$C$3:$C$452,$AK17)))</f>
        <v/>
      </c>
      <c r="W17" s="66">
        <f>IF($AK17="","",IF(計算用!$B$1=1,INDEX(新年度名簿!$D$3:$D$452,$AK17),INDEX(前年度名簿!$D$3:$D$452,$AK17)))</f>
        <v/>
      </c>
      <c r="X17" s="65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M$7:$M$456,MATCH($AK17,振り分け!$P$7:$P$456,0))="転出","転出",IF(INDEX(振り分け!$L$7:$L$456,MATCH($AK17,振り分け!$P$7:$P$456,0))="","未決定",INDEX(振り分け!$L$7:$L$456,MATCH($AK17,振り分け!$P$7:$P$456,0)))),"未決定")))</f>
        <v/>
      </c>
      <c r="AD17" s="63">
        <f>IF(計算用!$B$1=1,IFERROR(IF(SMALL(新年度名簿!$J$3:$J$452,$AD$3+13)&lt;10000,MATCH(SMALL(新年度名簿!$J$3:$J$452,$AD$3+13),新年度名簿!$J$3:$J$452,0),""),""),IFERROR(IF(SMALL(前年度名簿!$G$3:$G$452,$AD$3+13)&lt;10000,MATCH(SMALL(前年度名簿!$G$3:$G$452,$AD$3+13),前年度名簿!$G$3:$G$452,0),""),""))</f>
        <v/>
      </c>
      <c r="AE17" s="63">
        <f>IF(計算用!$B$1=1,IFERROR(IF(SMALL(新年度名簿!$J$3:$J$452,$AE$3+13)&lt;11000,MATCH(SMALL(新年度名簿!$J$3:$J$452,$AE$3+13),新年度名簿!$J$3:$J$452,0),""),""),IFERROR(IF(SMALL(前年度名簿!$G$3:$G$452,$AE$3+13)&lt;11000,MATCH(SMALL(前年度名簿!$G$3:$G$452,$AE$3+13),前年度名簿!$G$3:$G$452,0),""),""))</f>
        <v/>
      </c>
      <c r="AF17" s="63">
        <f>IF(計算用!$B$1=1,IFERROR(IF(SMALL(新年度名簿!$J$3:$J$452,$AF$3+13)&lt;12000,MATCH(SMALL(新年度名簿!$J$3:$J$452,$AF$3+13),新年度名簿!$J$3:$J$452,0),""),""),IFERROR(IF(SMALL(前年度名簿!$G$3:$G$452,$AF$3+13)&lt;12000,MATCH(SMALL(前年度名簿!$G$3:$G$452,$AF$3+13),前年度名簿!$G$3:$G$452,0),""),""))</f>
        <v/>
      </c>
      <c r="AG17" s="63">
        <f>IF(計算用!$B$1=1,IFERROR(IF(SMALL(新年度名簿!$J$3:$J$452,$AG$3+13)&lt;13000,MATCH(SMALL(新年度名簿!$J$3:$J$452,$AG$3+13),新年度名簿!$J$3:$J$452,0),""),""),IFERROR(IF(SMALL(前年度名簿!$G$3:$G$452,$AG$3+13)&lt;13000,MATCH(SMALL(前年度名簿!$G$3:$G$452,$AG$3+13),前年度名簿!$G$3:$G$452,0),""),""))</f>
        <v/>
      </c>
      <c r="AH17" s="63">
        <f>IF(計算用!$B$1=1,IFERROR(IF(SMALL(新年度名簿!$J$3:$J$452,$AH$3+13)&lt;14000,MATCH(SMALL(新年度名簿!$J$3:$J$452,$AH$3+13),新年度名簿!$J$3:$J$452,0),""),""),IFERROR(IF(SMALL(前年度名簿!$G$3:$G$452,$AH$3+13)&lt;14000,MATCH(SMALL(前年度名簿!$G$3:$G$452,$AH$3+13),前年度名簿!$G$3:$G$452,0),""),""))</f>
        <v/>
      </c>
      <c r="AI17" s="63">
        <f>IF(計算用!$B$1=1,IFERROR(IF(SMALL(新年度名簿!$J$3:$J$452,$AI$3+13)&lt;15000,MATCH(SMALL(新年度名簿!$J$3:$J$452,$AI$3+13),新年度名簿!$J$3:$J$452,0),""),""),IFERROR(IF(SMALL(前年度名簿!$G$3:$G$452,$AI$3+13)&lt;15000,MATCH(SMALL(前年度名簿!$G$3:$G$452,$AI$3+13),前年度名簿!$G$3:$G$452,0),""),""))</f>
        <v/>
      </c>
      <c r="AJ17" s="63">
        <f>IF(計算用!$B$1=1,IFERROR(IF(SMALL(新年度名簿!$J$3:$J$452,$AJ$3+13)&lt;16000,MATCH(SMALL(新年度名簿!$J$3:$J$452,$AJ$3+13),新年度名簿!$J$3:$J$452,0),""),""),IFERROR(IF(SMALL(前年度名簿!$G$3:$G$452,$AJ$3+13)&lt;16000,MATCH(SMALL(前年度名簿!$G$3:$G$452,$AJ$3+13),前年度名簿!$G$3:$G$452,0),""),""))</f>
        <v/>
      </c>
      <c r="AK17" s="63">
        <f>IF(計算用!$B$1=1,IFERROR(IF(SMALL(新年度名簿!$J$3:$J$452,$AK$3+13)&lt;17000,MATCH(SMALL(新年度名簿!$J$3:$J$452,$AK$3+13),新年度名簿!$J$3:$J$452,0),""),""),IFERROR(IF(SMALL(前年度名簿!$G$3:$G$452,$AK$3+13)&lt;17000,MATCH(SMALL(前年度名簿!$G$3:$G$452,$AK$3+13),前年度名簿!$G$3:$G$452,0),""),""))</f>
        <v/>
      </c>
    </row>
    <row r="18">
      <c r="A18" s="65">
        <f>IF($AD18="","",IF(計算用!$B$1=1,INDEX(新年度名簿!$C$3:$C$452,$AD18),INDEX(前年度名簿!$C$3:$C$452,$AD18)))</f>
        <v/>
      </c>
      <c r="B18" s="66">
        <f>IF($AD18="","",IF(計算用!$B$1=1,INDEX(新年度名簿!$D$3:$D$452,$AD18),INDEX(前年度名簿!$D$3:$D$452,$AD18)))</f>
        <v/>
      </c>
      <c r="C18" s="65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M$7:$M$456,MATCH($AD18,振り分け!$P$7:$P$456,0))="転出","転出",IF(INDEX(振り分け!$L$7:$L$456,MATCH($AD18,振り分け!$P$7:$P$456,0))="","未決定",INDEX(振り分け!$L$7:$L$456,MATCH($AD18,振り分け!$P$7:$P$456,0)))),"未決定")))</f>
        <v/>
      </c>
      <c r="D18" s="65">
        <f>IF($AE18="","",IF(計算用!$B$1=1,INDEX(新年度名簿!$C$3:$C$452,$AE18),INDEX(前年度名簿!$C$3:$C$452,$AE18)))</f>
        <v/>
      </c>
      <c r="E18" s="66">
        <f>IF($AE18="","",IF(計算用!$B$1=1,INDEX(新年度名簿!$D$3:$D$452,$AE18),INDEX(前年度名簿!$D$3:$D$452,$AE18)))</f>
        <v/>
      </c>
      <c r="F18" s="65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M$7:$M$456,MATCH($AE18,振り分け!$P$7:$P$456,0))="転出","転出",IF(INDEX(振り分け!$L$7:$L$456,MATCH($AE18,振り分け!$P$7:$P$456,0))="","未決定",INDEX(振り分け!$L$7:$L$456,MATCH($AE18,振り分け!$P$7:$P$456,0)))),"未決定")))</f>
        <v/>
      </c>
      <c r="G18" s="65">
        <f>IF($AF18="","",IF(計算用!$B$1=1,INDEX(新年度名簿!$C$3:$C$452,$AF18),INDEX(前年度名簿!$C$3:$C$452,$AF18)))</f>
        <v/>
      </c>
      <c r="H18" s="66">
        <f>IF($AF18="","",IF(計算用!$B$1=1,INDEX(新年度名簿!$D$3:$D$452,$AF18),INDEX(前年度名簿!$D$3:$D$452,$AF18)))</f>
        <v/>
      </c>
      <c r="I18" s="65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M$7:$M$456,MATCH($AF18,振り分け!$P$7:$P$456,0))="転出","転出",IF(INDEX(振り分け!$L$7:$L$456,MATCH($AF18,振り分け!$P$7:$P$456,0))="","未決定",INDEX(振り分け!$L$7:$L$456,MATCH($AF18,振り分け!$P$7:$P$456,0)))),"未決定")))</f>
        <v/>
      </c>
      <c r="J18" s="65">
        <f>IF($AG18="","",IF(計算用!$B$1=1,INDEX(新年度名簿!$C$3:$C$452,$AG18),INDEX(前年度名簿!$C$3:$C$452,$AG18)))</f>
        <v/>
      </c>
      <c r="K18" s="66">
        <f>IF($AG18="","",IF(計算用!$B$1=1,INDEX(新年度名簿!$D$3:$D$452,$AG18),INDEX(前年度名簿!$D$3:$D$452,$AG18)))</f>
        <v/>
      </c>
      <c r="L18" s="65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M$7:$M$456,MATCH($AG18,振り分け!$P$7:$P$456,0))="転出","転出",IF(INDEX(振り分け!$L$7:$L$456,MATCH($AG18,振り分け!$P$7:$P$456,0))="","未決定",INDEX(振り分け!$L$7:$L$456,MATCH($AG18,振り分け!$P$7:$P$456,0)))),"未決定")))</f>
        <v/>
      </c>
      <c r="M18" s="65">
        <f>IF($AH18="","",IF(計算用!$B$1=1,INDEX(新年度名簿!$C$3:$C$452,$AH18),INDEX(前年度名簿!$C$3:$C$452,$AH18)))</f>
        <v/>
      </c>
      <c r="N18" s="66">
        <f>IF($AH18="","",IF(計算用!$B$1=1,INDEX(新年度名簿!$D$3:$D$452,$AH18),INDEX(前年度名簿!$D$3:$D$452,$AH18)))</f>
        <v/>
      </c>
      <c r="O18" s="65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M$7:$M$456,MATCH($AH18,振り分け!$P$7:$P$456,0))="転出","転出",IF(INDEX(振り分け!$L$7:$L$456,MATCH($AH18,振り分け!$P$7:$P$456,0))="","未決定",INDEX(振り分け!$L$7:$L$456,MATCH($AH18,振り分け!$P$7:$P$456,0)))),"未決定")))</f>
        <v/>
      </c>
      <c r="P18" s="65">
        <f>IF($AI18="","",IF(計算用!$B$1=1,INDEX(新年度名簿!$C$3:$C$452,$AI18),INDEX(前年度名簿!$C$3:$C$452,$AI18)))</f>
        <v/>
      </c>
      <c r="Q18" s="66">
        <f>IF($AI18="","",IF(計算用!$B$1=1,INDEX(新年度名簿!$D$3:$D$452,$AI18),INDEX(前年度名簿!$D$3:$D$452,$AI18)))</f>
        <v/>
      </c>
      <c r="R18" s="65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M$7:$M$456,MATCH($AI18,振り分け!$P$7:$P$456,0))="転出","転出",IF(INDEX(振り分け!$L$7:$L$456,MATCH($AI18,振り分け!$P$7:$P$456,0))="","未決定",INDEX(振り分け!$L$7:$L$456,MATCH($AI18,振り分け!$P$7:$P$456,0)))),"未決定")))</f>
        <v/>
      </c>
      <c r="S18" s="65">
        <f>IF($AJ18="","",IF(計算用!$B$1=1,INDEX(新年度名簿!$C$3:$C$452,$AJ18),INDEX(前年度名簿!$C$3:$C$452,$AJ18)))</f>
        <v/>
      </c>
      <c r="T18" s="66">
        <f>IF($AJ18="","",IF(計算用!$B$1=1,INDEX(新年度名簿!$D$3:$D$452,$AJ18),INDEX(前年度名簿!$D$3:$D$452,$AJ18)))</f>
        <v/>
      </c>
      <c r="U18" s="65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M$7:$M$456,MATCH($AJ18,振り分け!$P$7:$P$456,0))="転出","転出",IF(INDEX(振り分け!$L$7:$L$456,MATCH($AJ18,振り分け!$P$7:$P$456,0))="","未決定",INDEX(振り分け!$L$7:$L$456,MATCH($AJ18,振り分け!$P$7:$P$456,0)))),"未決定")))</f>
        <v/>
      </c>
      <c r="V18" s="65">
        <f>IF($AK18="","",IF(計算用!$B$1=1,INDEX(新年度名簿!$C$3:$C$452,$AK18),INDEX(前年度名簿!$C$3:$C$452,$AK18)))</f>
        <v/>
      </c>
      <c r="W18" s="66">
        <f>IF($AK18="","",IF(計算用!$B$1=1,INDEX(新年度名簿!$D$3:$D$452,$AK18),INDEX(前年度名簿!$D$3:$D$452,$AK18)))</f>
        <v/>
      </c>
      <c r="X18" s="65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M$7:$M$456,MATCH($AK18,振り分け!$P$7:$P$456,0))="転出","転出",IF(INDEX(振り分け!$L$7:$L$456,MATCH($AK18,振り分け!$P$7:$P$456,0))="","未決定",INDEX(振り分け!$L$7:$L$456,MATCH($AK18,振り分け!$P$7:$P$456,0)))),"未決定")))</f>
        <v/>
      </c>
      <c r="AD18" s="63">
        <f>IF(計算用!$B$1=1,IFERROR(IF(SMALL(新年度名簿!$J$3:$J$452,$AD$3+14)&lt;10000,MATCH(SMALL(新年度名簿!$J$3:$J$452,$AD$3+14),新年度名簿!$J$3:$J$452,0),""),""),IFERROR(IF(SMALL(前年度名簿!$G$3:$G$452,$AD$3+14)&lt;10000,MATCH(SMALL(前年度名簿!$G$3:$G$452,$AD$3+14),前年度名簿!$G$3:$G$452,0),""),""))</f>
        <v/>
      </c>
      <c r="AE18" s="63">
        <f>IF(計算用!$B$1=1,IFERROR(IF(SMALL(新年度名簿!$J$3:$J$452,$AE$3+14)&lt;11000,MATCH(SMALL(新年度名簿!$J$3:$J$452,$AE$3+14),新年度名簿!$J$3:$J$452,0),""),""),IFERROR(IF(SMALL(前年度名簿!$G$3:$G$452,$AE$3+14)&lt;11000,MATCH(SMALL(前年度名簿!$G$3:$G$452,$AE$3+14),前年度名簿!$G$3:$G$452,0),""),""))</f>
        <v/>
      </c>
      <c r="AF18" s="63">
        <f>IF(計算用!$B$1=1,IFERROR(IF(SMALL(新年度名簿!$J$3:$J$452,$AF$3+14)&lt;12000,MATCH(SMALL(新年度名簿!$J$3:$J$452,$AF$3+14),新年度名簿!$J$3:$J$452,0),""),""),IFERROR(IF(SMALL(前年度名簿!$G$3:$G$452,$AF$3+14)&lt;12000,MATCH(SMALL(前年度名簿!$G$3:$G$452,$AF$3+14),前年度名簿!$G$3:$G$452,0),""),""))</f>
        <v/>
      </c>
      <c r="AG18" s="63">
        <f>IF(計算用!$B$1=1,IFERROR(IF(SMALL(新年度名簿!$J$3:$J$452,$AG$3+14)&lt;13000,MATCH(SMALL(新年度名簿!$J$3:$J$452,$AG$3+14),新年度名簿!$J$3:$J$452,0),""),""),IFERROR(IF(SMALL(前年度名簿!$G$3:$G$452,$AG$3+14)&lt;13000,MATCH(SMALL(前年度名簿!$G$3:$G$452,$AG$3+14),前年度名簿!$G$3:$G$452,0),""),""))</f>
        <v/>
      </c>
      <c r="AH18" s="63">
        <f>IF(計算用!$B$1=1,IFERROR(IF(SMALL(新年度名簿!$J$3:$J$452,$AH$3+14)&lt;14000,MATCH(SMALL(新年度名簿!$J$3:$J$452,$AH$3+14),新年度名簿!$J$3:$J$452,0),""),""),IFERROR(IF(SMALL(前年度名簿!$G$3:$G$452,$AH$3+14)&lt;14000,MATCH(SMALL(前年度名簿!$G$3:$G$452,$AH$3+14),前年度名簿!$G$3:$G$452,0),""),""))</f>
        <v/>
      </c>
      <c r="AI18" s="63">
        <f>IF(計算用!$B$1=1,IFERROR(IF(SMALL(新年度名簿!$J$3:$J$452,$AI$3+14)&lt;15000,MATCH(SMALL(新年度名簿!$J$3:$J$452,$AI$3+14),新年度名簿!$J$3:$J$452,0),""),""),IFERROR(IF(SMALL(前年度名簿!$G$3:$G$452,$AI$3+14)&lt;15000,MATCH(SMALL(前年度名簿!$G$3:$G$452,$AI$3+14),前年度名簿!$G$3:$G$452,0),""),""))</f>
        <v/>
      </c>
      <c r="AJ18" s="63">
        <f>IF(計算用!$B$1=1,IFERROR(IF(SMALL(新年度名簿!$J$3:$J$452,$AJ$3+14)&lt;16000,MATCH(SMALL(新年度名簿!$J$3:$J$452,$AJ$3+14),新年度名簿!$J$3:$J$452,0),""),""),IFERROR(IF(SMALL(前年度名簿!$G$3:$G$452,$AJ$3+14)&lt;16000,MATCH(SMALL(前年度名簿!$G$3:$G$452,$AJ$3+14),前年度名簿!$G$3:$G$452,0),""),""))</f>
        <v/>
      </c>
      <c r="AK18" s="63">
        <f>IF(計算用!$B$1=1,IFERROR(IF(SMALL(新年度名簿!$J$3:$J$452,$AK$3+14)&lt;17000,MATCH(SMALL(新年度名簿!$J$3:$J$452,$AK$3+14),新年度名簿!$J$3:$J$452,0),""),""),IFERROR(IF(SMALL(前年度名簿!$G$3:$G$452,$AK$3+14)&lt;17000,MATCH(SMALL(前年度名簿!$G$3:$G$452,$AK$3+14),前年度名簿!$G$3:$G$452,0),""),""))</f>
        <v/>
      </c>
    </row>
    <row r="19">
      <c r="A19" s="65">
        <f>IF($AD19="","",IF(計算用!$B$1=1,INDEX(新年度名簿!$C$3:$C$452,$AD19),INDEX(前年度名簿!$C$3:$C$452,$AD19)))</f>
        <v/>
      </c>
      <c r="B19" s="66">
        <f>IF($AD19="","",IF(計算用!$B$1=1,INDEX(新年度名簿!$D$3:$D$452,$AD19),INDEX(前年度名簿!$D$3:$D$452,$AD19)))</f>
        <v/>
      </c>
      <c r="C19" s="65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M$7:$M$456,MATCH($AD19,振り分け!$P$7:$P$456,0))="転出","転出",IF(INDEX(振り分け!$L$7:$L$456,MATCH($AD19,振り分け!$P$7:$P$456,0))="","未決定",INDEX(振り分け!$L$7:$L$456,MATCH($AD19,振り分け!$P$7:$P$456,0)))),"未決定")))</f>
        <v/>
      </c>
      <c r="D19" s="65">
        <f>IF($AE19="","",IF(計算用!$B$1=1,INDEX(新年度名簿!$C$3:$C$452,$AE19),INDEX(前年度名簿!$C$3:$C$452,$AE19)))</f>
        <v/>
      </c>
      <c r="E19" s="66">
        <f>IF($AE19="","",IF(計算用!$B$1=1,INDEX(新年度名簿!$D$3:$D$452,$AE19),INDEX(前年度名簿!$D$3:$D$452,$AE19)))</f>
        <v/>
      </c>
      <c r="F19" s="65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M$7:$M$456,MATCH($AE19,振り分け!$P$7:$P$456,0))="転出","転出",IF(INDEX(振り分け!$L$7:$L$456,MATCH($AE19,振り分け!$P$7:$P$456,0))="","未決定",INDEX(振り分け!$L$7:$L$456,MATCH($AE19,振り分け!$P$7:$P$456,0)))),"未決定")))</f>
        <v/>
      </c>
      <c r="G19" s="65">
        <f>IF($AF19="","",IF(計算用!$B$1=1,INDEX(新年度名簿!$C$3:$C$452,$AF19),INDEX(前年度名簿!$C$3:$C$452,$AF19)))</f>
        <v/>
      </c>
      <c r="H19" s="66">
        <f>IF($AF19="","",IF(計算用!$B$1=1,INDEX(新年度名簿!$D$3:$D$452,$AF19),INDEX(前年度名簿!$D$3:$D$452,$AF19)))</f>
        <v/>
      </c>
      <c r="I19" s="65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M$7:$M$456,MATCH($AF19,振り分け!$P$7:$P$456,0))="転出","転出",IF(INDEX(振り分け!$L$7:$L$456,MATCH($AF19,振り分け!$P$7:$P$456,0))="","未決定",INDEX(振り分け!$L$7:$L$456,MATCH($AF19,振り分け!$P$7:$P$456,0)))),"未決定")))</f>
        <v/>
      </c>
      <c r="J19" s="65">
        <f>IF($AG19="","",IF(計算用!$B$1=1,INDEX(新年度名簿!$C$3:$C$452,$AG19),INDEX(前年度名簿!$C$3:$C$452,$AG19)))</f>
        <v/>
      </c>
      <c r="K19" s="66">
        <f>IF($AG19="","",IF(計算用!$B$1=1,INDEX(新年度名簿!$D$3:$D$452,$AG19),INDEX(前年度名簿!$D$3:$D$452,$AG19)))</f>
        <v/>
      </c>
      <c r="L19" s="65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M$7:$M$456,MATCH($AG19,振り分け!$P$7:$P$456,0))="転出","転出",IF(INDEX(振り分け!$L$7:$L$456,MATCH($AG19,振り分け!$P$7:$P$456,0))="","未決定",INDEX(振り分け!$L$7:$L$456,MATCH($AG19,振り分け!$P$7:$P$456,0)))),"未決定")))</f>
        <v/>
      </c>
      <c r="M19" s="65">
        <f>IF($AH19="","",IF(計算用!$B$1=1,INDEX(新年度名簿!$C$3:$C$452,$AH19),INDEX(前年度名簿!$C$3:$C$452,$AH19)))</f>
        <v/>
      </c>
      <c r="N19" s="66">
        <f>IF($AH19="","",IF(計算用!$B$1=1,INDEX(新年度名簿!$D$3:$D$452,$AH19),INDEX(前年度名簿!$D$3:$D$452,$AH19)))</f>
        <v/>
      </c>
      <c r="O19" s="65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M$7:$M$456,MATCH($AH19,振り分け!$P$7:$P$456,0))="転出","転出",IF(INDEX(振り分け!$L$7:$L$456,MATCH($AH19,振り分け!$P$7:$P$456,0))="","未決定",INDEX(振り分け!$L$7:$L$456,MATCH($AH19,振り分け!$P$7:$P$456,0)))),"未決定")))</f>
        <v/>
      </c>
      <c r="P19" s="65">
        <f>IF($AI19="","",IF(計算用!$B$1=1,INDEX(新年度名簿!$C$3:$C$452,$AI19),INDEX(前年度名簿!$C$3:$C$452,$AI19)))</f>
        <v/>
      </c>
      <c r="Q19" s="66">
        <f>IF($AI19="","",IF(計算用!$B$1=1,INDEX(新年度名簿!$D$3:$D$452,$AI19),INDEX(前年度名簿!$D$3:$D$452,$AI19)))</f>
        <v/>
      </c>
      <c r="R19" s="65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M$7:$M$456,MATCH($AI19,振り分け!$P$7:$P$456,0))="転出","転出",IF(INDEX(振り分け!$L$7:$L$456,MATCH($AI19,振り分け!$P$7:$P$456,0))="","未決定",INDEX(振り分け!$L$7:$L$456,MATCH($AI19,振り分け!$P$7:$P$456,0)))),"未決定")))</f>
        <v/>
      </c>
      <c r="S19" s="65">
        <f>IF($AJ19="","",IF(計算用!$B$1=1,INDEX(新年度名簿!$C$3:$C$452,$AJ19),INDEX(前年度名簿!$C$3:$C$452,$AJ19)))</f>
        <v/>
      </c>
      <c r="T19" s="66">
        <f>IF($AJ19="","",IF(計算用!$B$1=1,INDEX(新年度名簿!$D$3:$D$452,$AJ19),INDEX(前年度名簿!$D$3:$D$452,$AJ19)))</f>
        <v/>
      </c>
      <c r="U19" s="65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M$7:$M$456,MATCH($AJ19,振り分け!$P$7:$P$456,0))="転出","転出",IF(INDEX(振り分け!$L$7:$L$456,MATCH($AJ19,振り分け!$P$7:$P$456,0))="","未決定",INDEX(振り分け!$L$7:$L$456,MATCH($AJ19,振り分け!$P$7:$P$456,0)))),"未決定")))</f>
        <v/>
      </c>
      <c r="V19" s="65">
        <f>IF($AK19="","",IF(計算用!$B$1=1,INDEX(新年度名簿!$C$3:$C$452,$AK19),INDEX(前年度名簿!$C$3:$C$452,$AK19)))</f>
        <v/>
      </c>
      <c r="W19" s="66">
        <f>IF($AK19="","",IF(計算用!$B$1=1,INDEX(新年度名簿!$D$3:$D$452,$AK19),INDEX(前年度名簿!$D$3:$D$452,$AK19)))</f>
        <v/>
      </c>
      <c r="X19" s="65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M$7:$M$456,MATCH($AK19,振り分け!$P$7:$P$456,0))="転出","転出",IF(INDEX(振り分け!$L$7:$L$456,MATCH($AK19,振り分け!$P$7:$P$456,0))="","未決定",INDEX(振り分け!$L$7:$L$456,MATCH($AK19,振り分け!$P$7:$P$456,0)))),"未決定")))</f>
        <v/>
      </c>
      <c r="AD19" s="63">
        <f>IF(計算用!$B$1=1,IFERROR(IF(SMALL(新年度名簿!$J$3:$J$452,$AD$3+15)&lt;10000,MATCH(SMALL(新年度名簿!$J$3:$J$452,$AD$3+15),新年度名簿!$J$3:$J$452,0),""),""),IFERROR(IF(SMALL(前年度名簿!$G$3:$G$452,$AD$3+15)&lt;10000,MATCH(SMALL(前年度名簿!$G$3:$G$452,$AD$3+15),前年度名簿!$G$3:$G$452,0),""),""))</f>
        <v/>
      </c>
      <c r="AE19" s="63">
        <f>IF(計算用!$B$1=1,IFERROR(IF(SMALL(新年度名簿!$J$3:$J$452,$AE$3+15)&lt;11000,MATCH(SMALL(新年度名簿!$J$3:$J$452,$AE$3+15),新年度名簿!$J$3:$J$452,0),""),""),IFERROR(IF(SMALL(前年度名簿!$G$3:$G$452,$AE$3+15)&lt;11000,MATCH(SMALL(前年度名簿!$G$3:$G$452,$AE$3+15),前年度名簿!$G$3:$G$452,0),""),""))</f>
        <v/>
      </c>
      <c r="AF19" s="63">
        <f>IF(計算用!$B$1=1,IFERROR(IF(SMALL(新年度名簿!$J$3:$J$452,$AF$3+15)&lt;12000,MATCH(SMALL(新年度名簿!$J$3:$J$452,$AF$3+15),新年度名簿!$J$3:$J$452,0),""),""),IFERROR(IF(SMALL(前年度名簿!$G$3:$G$452,$AF$3+15)&lt;12000,MATCH(SMALL(前年度名簿!$G$3:$G$452,$AF$3+15),前年度名簿!$G$3:$G$452,0),""),""))</f>
        <v/>
      </c>
      <c r="AG19" s="63">
        <f>IF(計算用!$B$1=1,IFERROR(IF(SMALL(新年度名簿!$J$3:$J$452,$AG$3+15)&lt;13000,MATCH(SMALL(新年度名簿!$J$3:$J$452,$AG$3+15),新年度名簿!$J$3:$J$452,0),""),""),IFERROR(IF(SMALL(前年度名簿!$G$3:$G$452,$AG$3+15)&lt;13000,MATCH(SMALL(前年度名簿!$G$3:$G$452,$AG$3+15),前年度名簿!$G$3:$G$452,0),""),""))</f>
        <v/>
      </c>
      <c r="AH19" s="63">
        <f>IF(計算用!$B$1=1,IFERROR(IF(SMALL(新年度名簿!$J$3:$J$452,$AH$3+15)&lt;14000,MATCH(SMALL(新年度名簿!$J$3:$J$452,$AH$3+15),新年度名簿!$J$3:$J$452,0),""),""),IFERROR(IF(SMALL(前年度名簿!$G$3:$G$452,$AH$3+15)&lt;14000,MATCH(SMALL(前年度名簿!$G$3:$G$452,$AH$3+15),前年度名簿!$G$3:$G$452,0),""),""))</f>
        <v/>
      </c>
      <c r="AI19" s="63">
        <f>IF(計算用!$B$1=1,IFERROR(IF(SMALL(新年度名簿!$J$3:$J$452,$AI$3+15)&lt;15000,MATCH(SMALL(新年度名簿!$J$3:$J$452,$AI$3+15),新年度名簿!$J$3:$J$452,0),""),""),IFERROR(IF(SMALL(前年度名簿!$G$3:$G$452,$AI$3+15)&lt;15000,MATCH(SMALL(前年度名簿!$G$3:$G$452,$AI$3+15),前年度名簿!$G$3:$G$452,0),""),""))</f>
        <v/>
      </c>
      <c r="AJ19" s="63">
        <f>IF(計算用!$B$1=1,IFERROR(IF(SMALL(新年度名簿!$J$3:$J$452,$AJ$3+15)&lt;16000,MATCH(SMALL(新年度名簿!$J$3:$J$452,$AJ$3+15),新年度名簿!$J$3:$J$452,0),""),""),IFERROR(IF(SMALL(前年度名簿!$G$3:$G$452,$AJ$3+15)&lt;16000,MATCH(SMALL(前年度名簿!$G$3:$G$452,$AJ$3+15),前年度名簿!$G$3:$G$452,0),""),""))</f>
        <v/>
      </c>
      <c r="AK19" s="63">
        <f>IF(計算用!$B$1=1,IFERROR(IF(SMALL(新年度名簿!$J$3:$J$452,$AK$3+15)&lt;17000,MATCH(SMALL(新年度名簿!$J$3:$J$452,$AK$3+15),新年度名簿!$J$3:$J$452,0),""),""),IFERROR(IF(SMALL(前年度名簿!$G$3:$G$452,$AK$3+15)&lt;17000,MATCH(SMALL(前年度名簿!$G$3:$G$452,$AK$3+15),前年度名簿!$G$3:$G$452,0),""),""))</f>
        <v/>
      </c>
    </row>
    <row r="20">
      <c r="A20" s="65">
        <f>IF($AD20="","",IF(計算用!$B$1=1,INDEX(新年度名簿!$C$3:$C$452,$AD20),INDEX(前年度名簿!$C$3:$C$452,$AD20)))</f>
        <v/>
      </c>
      <c r="B20" s="66">
        <f>IF($AD20="","",IF(計算用!$B$1=1,INDEX(新年度名簿!$D$3:$D$452,$AD20),INDEX(前年度名簿!$D$3:$D$452,$AD20)))</f>
        <v/>
      </c>
      <c r="C20" s="65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M$7:$M$456,MATCH($AD20,振り分け!$P$7:$P$456,0))="転出","転出",IF(INDEX(振り分け!$L$7:$L$456,MATCH($AD20,振り分け!$P$7:$P$456,0))="","未決定",INDEX(振り分け!$L$7:$L$456,MATCH($AD20,振り分け!$P$7:$P$456,0)))),"未決定")))</f>
        <v/>
      </c>
      <c r="D20" s="65">
        <f>IF($AE20="","",IF(計算用!$B$1=1,INDEX(新年度名簿!$C$3:$C$452,$AE20),INDEX(前年度名簿!$C$3:$C$452,$AE20)))</f>
        <v/>
      </c>
      <c r="E20" s="66">
        <f>IF($AE20="","",IF(計算用!$B$1=1,INDEX(新年度名簿!$D$3:$D$452,$AE20),INDEX(前年度名簿!$D$3:$D$452,$AE20)))</f>
        <v/>
      </c>
      <c r="F20" s="65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M$7:$M$456,MATCH($AE20,振り分け!$P$7:$P$456,0))="転出","転出",IF(INDEX(振り分け!$L$7:$L$456,MATCH($AE20,振り分け!$P$7:$P$456,0))="","未決定",INDEX(振り分け!$L$7:$L$456,MATCH($AE20,振り分け!$P$7:$P$456,0)))),"未決定")))</f>
        <v/>
      </c>
      <c r="G20" s="65">
        <f>IF($AF20="","",IF(計算用!$B$1=1,INDEX(新年度名簿!$C$3:$C$452,$AF20),INDEX(前年度名簿!$C$3:$C$452,$AF20)))</f>
        <v/>
      </c>
      <c r="H20" s="66">
        <f>IF($AF20="","",IF(計算用!$B$1=1,INDEX(新年度名簿!$D$3:$D$452,$AF20),INDEX(前年度名簿!$D$3:$D$452,$AF20)))</f>
        <v/>
      </c>
      <c r="I20" s="65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M$7:$M$456,MATCH($AF20,振り分け!$P$7:$P$456,0))="転出","転出",IF(INDEX(振り分け!$L$7:$L$456,MATCH($AF20,振り分け!$P$7:$P$456,0))="","未決定",INDEX(振り分け!$L$7:$L$456,MATCH($AF20,振り分け!$P$7:$P$456,0)))),"未決定")))</f>
        <v/>
      </c>
      <c r="J20" s="65">
        <f>IF($AG20="","",IF(計算用!$B$1=1,INDEX(新年度名簿!$C$3:$C$452,$AG20),INDEX(前年度名簿!$C$3:$C$452,$AG20)))</f>
        <v/>
      </c>
      <c r="K20" s="66">
        <f>IF($AG20="","",IF(計算用!$B$1=1,INDEX(新年度名簿!$D$3:$D$452,$AG20),INDEX(前年度名簿!$D$3:$D$452,$AG20)))</f>
        <v/>
      </c>
      <c r="L20" s="65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M$7:$M$456,MATCH($AG20,振り分け!$P$7:$P$456,0))="転出","転出",IF(INDEX(振り分け!$L$7:$L$456,MATCH($AG20,振り分け!$P$7:$P$456,0))="","未決定",INDEX(振り分け!$L$7:$L$456,MATCH($AG20,振り分け!$P$7:$P$456,0)))),"未決定")))</f>
        <v/>
      </c>
      <c r="M20" s="65">
        <f>IF($AH20="","",IF(計算用!$B$1=1,INDEX(新年度名簿!$C$3:$C$452,$AH20),INDEX(前年度名簿!$C$3:$C$452,$AH20)))</f>
        <v/>
      </c>
      <c r="N20" s="66">
        <f>IF($AH20="","",IF(計算用!$B$1=1,INDEX(新年度名簿!$D$3:$D$452,$AH20),INDEX(前年度名簿!$D$3:$D$452,$AH20)))</f>
        <v/>
      </c>
      <c r="O20" s="65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M$7:$M$456,MATCH($AH20,振り分け!$P$7:$P$456,0))="転出","転出",IF(INDEX(振り分け!$L$7:$L$456,MATCH($AH20,振り分け!$P$7:$P$456,0))="","未決定",INDEX(振り分け!$L$7:$L$456,MATCH($AH20,振り分け!$P$7:$P$456,0)))),"未決定")))</f>
        <v/>
      </c>
      <c r="P20" s="65">
        <f>IF($AI20="","",IF(計算用!$B$1=1,INDEX(新年度名簿!$C$3:$C$452,$AI20),INDEX(前年度名簿!$C$3:$C$452,$AI20)))</f>
        <v/>
      </c>
      <c r="Q20" s="66">
        <f>IF($AI20="","",IF(計算用!$B$1=1,INDEX(新年度名簿!$D$3:$D$452,$AI20),INDEX(前年度名簿!$D$3:$D$452,$AI20)))</f>
        <v/>
      </c>
      <c r="R20" s="65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M$7:$M$456,MATCH($AI20,振り分け!$P$7:$P$456,0))="転出","転出",IF(INDEX(振り分け!$L$7:$L$456,MATCH($AI20,振り分け!$P$7:$P$456,0))="","未決定",INDEX(振り分け!$L$7:$L$456,MATCH($AI20,振り分け!$P$7:$P$456,0)))),"未決定")))</f>
        <v/>
      </c>
      <c r="S20" s="65">
        <f>IF($AJ20="","",IF(計算用!$B$1=1,INDEX(新年度名簿!$C$3:$C$452,$AJ20),INDEX(前年度名簿!$C$3:$C$452,$AJ20)))</f>
        <v/>
      </c>
      <c r="T20" s="66">
        <f>IF($AJ20="","",IF(計算用!$B$1=1,INDEX(新年度名簿!$D$3:$D$452,$AJ20),INDEX(前年度名簿!$D$3:$D$452,$AJ20)))</f>
        <v/>
      </c>
      <c r="U20" s="65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M$7:$M$456,MATCH($AJ20,振り分け!$P$7:$P$456,0))="転出","転出",IF(INDEX(振り分け!$L$7:$L$456,MATCH($AJ20,振り分け!$P$7:$P$456,0))="","未決定",INDEX(振り分け!$L$7:$L$456,MATCH($AJ20,振り分け!$P$7:$P$456,0)))),"未決定")))</f>
        <v/>
      </c>
      <c r="V20" s="65">
        <f>IF($AK20="","",IF(計算用!$B$1=1,INDEX(新年度名簿!$C$3:$C$452,$AK20),INDEX(前年度名簿!$C$3:$C$452,$AK20)))</f>
        <v/>
      </c>
      <c r="W20" s="66">
        <f>IF($AK20="","",IF(計算用!$B$1=1,INDEX(新年度名簿!$D$3:$D$452,$AK20),INDEX(前年度名簿!$D$3:$D$452,$AK20)))</f>
        <v/>
      </c>
      <c r="X20" s="65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M$7:$M$456,MATCH($AK20,振り分け!$P$7:$P$456,0))="転出","転出",IF(INDEX(振り分け!$L$7:$L$456,MATCH($AK20,振り分け!$P$7:$P$456,0))="","未決定",INDEX(振り分け!$L$7:$L$456,MATCH($AK20,振り分け!$P$7:$P$456,0)))),"未決定")))</f>
        <v/>
      </c>
      <c r="AD20" s="63">
        <f>IF(計算用!$B$1=1,IFERROR(IF(SMALL(新年度名簿!$J$3:$J$452,$AD$3+16)&lt;10000,MATCH(SMALL(新年度名簿!$J$3:$J$452,$AD$3+16),新年度名簿!$J$3:$J$452,0),""),""),IFERROR(IF(SMALL(前年度名簿!$G$3:$G$452,$AD$3+16)&lt;10000,MATCH(SMALL(前年度名簿!$G$3:$G$452,$AD$3+16),前年度名簿!$G$3:$G$452,0),""),""))</f>
        <v/>
      </c>
      <c r="AE20" s="63">
        <f>IF(計算用!$B$1=1,IFERROR(IF(SMALL(新年度名簿!$J$3:$J$452,$AE$3+16)&lt;11000,MATCH(SMALL(新年度名簿!$J$3:$J$452,$AE$3+16),新年度名簿!$J$3:$J$452,0),""),""),IFERROR(IF(SMALL(前年度名簿!$G$3:$G$452,$AE$3+16)&lt;11000,MATCH(SMALL(前年度名簿!$G$3:$G$452,$AE$3+16),前年度名簿!$G$3:$G$452,0),""),""))</f>
        <v/>
      </c>
      <c r="AF20" s="63">
        <f>IF(計算用!$B$1=1,IFERROR(IF(SMALL(新年度名簿!$J$3:$J$452,$AF$3+16)&lt;12000,MATCH(SMALL(新年度名簿!$J$3:$J$452,$AF$3+16),新年度名簿!$J$3:$J$452,0),""),""),IFERROR(IF(SMALL(前年度名簿!$G$3:$G$452,$AF$3+16)&lt;12000,MATCH(SMALL(前年度名簿!$G$3:$G$452,$AF$3+16),前年度名簿!$G$3:$G$452,0),""),""))</f>
        <v/>
      </c>
      <c r="AG20" s="63">
        <f>IF(計算用!$B$1=1,IFERROR(IF(SMALL(新年度名簿!$J$3:$J$452,$AG$3+16)&lt;13000,MATCH(SMALL(新年度名簿!$J$3:$J$452,$AG$3+16),新年度名簿!$J$3:$J$452,0),""),""),IFERROR(IF(SMALL(前年度名簿!$G$3:$G$452,$AG$3+16)&lt;13000,MATCH(SMALL(前年度名簿!$G$3:$G$452,$AG$3+16),前年度名簿!$G$3:$G$452,0),""),""))</f>
        <v/>
      </c>
      <c r="AH20" s="63">
        <f>IF(計算用!$B$1=1,IFERROR(IF(SMALL(新年度名簿!$J$3:$J$452,$AH$3+16)&lt;14000,MATCH(SMALL(新年度名簿!$J$3:$J$452,$AH$3+16),新年度名簿!$J$3:$J$452,0),""),""),IFERROR(IF(SMALL(前年度名簿!$G$3:$G$452,$AH$3+16)&lt;14000,MATCH(SMALL(前年度名簿!$G$3:$G$452,$AH$3+16),前年度名簿!$G$3:$G$452,0),""),""))</f>
        <v/>
      </c>
      <c r="AI20" s="63">
        <f>IF(計算用!$B$1=1,IFERROR(IF(SMALL(新年度名簿!$J$3:$J$452,$AI$3+16)&lt;15000,MATCH(SMALL(新年度名簿!$J$3:$J$452,$AI$3+16),新年度名簿!$J$3:$J$452,0),""),""),IFERROR(IF(SMALL(前年度名簿!$G$3:$G$452,$AI$3+16)&lt;15000,MATCH(SMALL(前年度名簿!$G$3:$G$452,$AI$3+16),前年度名簿!$G$3:$G$452,0),""),""))</f>
        <v/>
      </c>
      <c r="AJ20" s="63">
        <f>IF(計算用!$B$1=1,IFERROR(IF(SMALL(新年度名簿!$J$3:$J$452,$AJ$3+16)&lt;16000,MATCH(SMALL(新年度名簿!$J$3:$J$452,$AJ$3+16),新年度名簿!$J$3:$J$452,0),""),""),IFERROR(IF(SMALL(前年度名簿!$G$3:$G$452,$AJ$3+16)&lt;16000,MATCH(SMALL(前年度名簿!$G$3:$G$452,$AJ$3+16),前年度名簿!$G$3:$G$452,0),""),""))</f>
        <v/>
      </c>
      <c r="AK20" s="63">
        <f>IF(計算用!$B$1=1,IFERROR(IF(SMALL(新年度名簿!$J$3:$J$452,$AK$3+16)&lt;17000,MATCH(SMALL(新年度名簿!$J$3:$J$452,$AK$3+16),新年度名簿!$J$3:$J$452,0),""),""),IFERROR(IF(SMALL(前年度名簿!$G$3:$G$452,$AK$3+16)&lt;17000,MATCH(SMALL(前年度名簿!$G$3:$G$452,$AK$3+16),前年度名簿!$G$3:$G$452,0),""),""))</f>
        <v/>
      </c>
    </row>
    <row r="21">
      <c r="A21" s="65">
        <f>IF($AD21="","",IF(計算用!$B$1=1,INDEX(新年度名簿!$C$3:$C$452,$AD21),INDEX(前年度名簿!$C$3:$C$452,$AD21)))</f>
        <v/>
      </c>
      <c r="B21" s="66">
        <f>IF($AD21="","",IF(計算用!$B$1=1,INDEX(新年度名簿!$D$3:$D$452,$AD21),INDEX(前年度名簿!$D$3:$D$452,$AD21)))</f>
        <v/>
      </c>
      <c r="C21" s="65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M$7:$M$456,MATCH($AD21,振り分け!$P$7:$P$456,0))="転出","転出",IF(INDEX(振り分け!$L$7:$L$456,MATCH($AD21,振り分け!$P$7:$P$456,0))="","未決定",INDEX(振り分け!$L$7:$L$456,MATCH($AD21,振り分け!$P$7:$P$456,0)))),"未決定")))</f>
        <v/>
      </c>
      <c r="D21" s="65">
        <f>IF($AE21="","",IF(計算用!$B$1=1,INDEX(新年度名簿!$C$3:$C$452,$AE21),INDEX(前年度名簿!$C$3:$C$452,$AE21)))</f>
        <v/>
      </c>
      <c r="E21" s="66">
        <f>IF($AE21="","",IF(計算用!$B$1=1,INDEX(新年度名簿!$D$3:$D$452,$AE21),INDEX(前年度名簿!$D$3:$D$452,$AE21)))</f>
        <v/>
      </c>
      <c r="F21" s="65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M$7:$M$456,MATCH($AE21,振り分け!$P$7:$P$456,0))="転出","転出",IF(INDEX(振り分け!$L$7:$L$456,MATCH($AE21,振り分け!$P$7:$P$456,0))="","未決定",INDEX(振り分け!$L$7:$L$456,MATCH($AE21,振り分け!$P$7:$P$456,0)))),"未決定")))</f>
        <v/>
      </c>
      <c r="G21" s="65">
        <f>IF($AF21="","",IF(計算用!$B$1=1,INDEX(新年度名簿!$C$3:$C$452,$AF21),INDEX(前年度名簿!$C$3:$C$452,$AF21)))</f>
        <v/>
      </c>
      <c r="H21" s="66">
        <f>IF($AF21="","",IF(計算用!$B$1=1,INDEX(新年度名簿!$D$3:$D$452,$AF21),INDEX(前年度名簿!$D$3:$D$452,$AF21)))</f>
        <v/>
      </c>
      <c r="I21" s="65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M$7:$M$456,MATCH($AF21,振り分け!$P$7:$P$456,0))="転出","転出",IF(INDEX(振り分け!$L$7:$L$456,MATCH($AF21,振り分け!$P$7:$P$456,0))="","未決定",INDEX(振り分け!$L$7:$L$456,MATCH($AF21,振り分け!$P$7:$P$456,0)))),"未決定")))</f>
        <v/>
      </c>
      <c r="J21" s="65">
        <f>IF($AG21="","",IF(計算用!$B$1=1,INDEX(新年度名簿!$C$3:$C$452,$AG21),INDEX(前年度名簿!$C$3:$C$452,$AG21)))</f>
        <v/>
      </c>
      <c r="K21" s="66">
        <f>IF($AG21="","",IF(計算用!$B$1=1,INDEX(新年度名簿!$D$3:$D$452,$AG21),INDEX(前年度名簿!$D$3:$D$452,$AG21)))</f>
        <v/>
      </c>
      <c r="L21" s="65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M$7:$M$456,MATCH($AG21,振り分け!$P$7:$P$456,0))="転出","転出",IF(INDEX(振り分け!$L$7:$L$456,MATCH($AG21,振り分け!$P$7:$P$456,0))="","未決定",INDEX(振り分け!$L$7:$L$456,MATCH($AG21,振り分け!$P$7:$P$456,0)))),"未決定")))</f>
        <v/>
      </c>
      <c r="M21" s="65">
        <f>IF($AH21="","",IF(計算用!$B$1=1,INDEX(新年度名簿!$C$3:$C$452,$AH21),INDEX(前年度名簿!$C$3:$C$452,$AH21)))</f>
        <v/>
      </c>
      <c r="N21" s="66">
        <f>IF($AH21="","",IF(計算用!$B$1=1,INDEX(新年度名簿!$D$3:$D$452,$AH21),INDEX(前年度名簿!$D$3:$D$452,$AH21)))</f>
        <v/>
      </c>
      <c r="O21" s="65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M$7:$M$456,MATCH($AH21,振り分け!$P$7:$P$456,0))="転出","転出",IF(INDEX(振り分け!$L$7:$L$456,MATCH($AH21,振り分け!$P$7:$P$456,0))="","未決定",INDEX(振り分け!$L$7:$L$456,MATCH($AH21,振り分け!$P$7:$P$456,0)))),"未決定")))</f>
        <v/>
      </c>
      <c r="P21" s="65">
        <f>IF($AI21="","",IF(計算用!$B$1=1,INDEX(新年度名簿!$C$3:$C$452,$AI21),INDEX(前年度名簿!$C$3:$C$452,$AI21)))</f>
        <v/>
      </c>
      <c r="Q21" s="66">
        <f>IF($AI21="","",IF(計算用!$B$1=1,INDEX(新年度名簿!$D$3:$D$452,$AI21),INDEX(前年度名簿!$D$3:$D$452,$AI21)))</f>
        <v/>
      </c>
      <c r="R21" s="65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M$7:$M$456,MATCH($AI21,振り分け!$P$7:$P$456,0))="転出","転出",IF(INDEX(振り分け!$L$7:$L$456,MATCH($AI21,振り分け!$P$7:$P$456,0))="","未決定",INDEX(振り分け!$L$7:$L$456,MATCH($AI21,振り分け!$P$7:$P$456,0)))),"未決定")))</f>
        <v/>
      </c>
      <c r="S21" s="65">
        <f>IF($AJ21="","",IF(計算用!$B$1=1,INDEX(新年度名簿!$C$3:$C$452,$AJ21),INDEX(前年度名簿!$C$3:$C$452,$AJ21)))</f>
        <v/>
      </c>
      <c r="T21" s="66">
        <f>IF($AJ21="","",IF(計算用!$B$1=1,INDEX(新年度名簿!$D$3:$D$452,$AJ21),INDEX(前年度名簿!$D$3:$D$452,$AJ21)))</f>
        <v/>
      </c>
      <c r="U21" s="65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M$7:$M$456,MATCH($AJ21,振り分け!$P$7:$P$456,0))="転出","転出",IF(INDEX(振り分け!$L$7:$L$456,MATCH($AJ21,振り分け!$P$7:$P$456,0))="","未決定",INDEX(振り分け!$L$7:$L$456,MATCH($AJ21,振り分け!$P$7:$P$456,0)))),"未決定")))</f>
        <v/>
      </c>
      <c r="V21" s="65">
        <f>IF($AK21="","",IF(計算用!$B$1=1,INDEX(新年度名簿!$C$3:$C$452,$AK21),INDEX(前年度名簿!$C$3:$C$452,$AK21)))</f>
        <v/>
      </c>
      <c r="W21" s="66">
        <f>IF($AK21="","",IF(計算用!$B$1=1,INDEX(新年度名簿!$D$3:$D$452,$AK21),INDEX(前年度名簿!$D$3:$D$452,$AK21)))</f>
        <v/>
      </c>
      <c r="X21" s="65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M$7:$M$456,MATCH($AK21,振り分け!$P$7:$P$456,0))="転出","転出",IF(INDEX(振り分け!$L$7:$L$456,MATCH($AK21,振り分け!$P$7:$P$456,0))="","未決定",INDEX(振り分け!$L$7:$L$456,MATCH($AK21,振り分け!$P$7:$P$456,0)))),"未決定")))</f>
        <v/>
      </c>
      <c r="AD21" s="63">
        <f>IF(計算用!$B$1=1,IFERROR(IF(SMALL(新年度名簿!$J$3:$J$452,$AD$3+17)&lt;10000,MATCH(SMALL(新年度名簿!$J$3:$J$452,$AD$3+17),新年度名簿!$J$3:$J$452,0),""),""),IFERROR(IF(SMALL(前年度名簿!$G$3:$G$452,$AD$3+17)&lt;10000,MATCH(SMALL(前年度名簿!$G$3:$G$452,$AD$3+17),前年度名簿!$G$3:$G$452,0),""),""))</f>
        <v/>
      </c>
      <c r="AE21" s="63">
        <f>IF(計算用!$B$1=1,IFERROR(IF(SMALL(新年度名簿!$J$3:$J$452,$AE$3+17)&lt;11000,MATCH(SMALL(新年度名簿!$J$3:$J$452,$AE$3+17),新年度名簿!$J$3:$J$452,0),""),""),IFERROR(IF(SMALL(前年度名簿!$G$3:$G$452,$AE$3+17)&lt;11000,MATCH(SMALL(前年度名簿!$G$3:$G$452,$AE$3+17),前年度名簿!$G$3:$G$452,0),""),""))</f>
        <v/>
      </c>
      <c r="AF21" s="63">
        <f>IF(計算用!$B$1=1,IFERROR(IF(SMALL(新年度名簿!$J$3:$J$452,$AF$3+17)&lt;12000,MATCH(SMALL(新年度名簿!$J$3:$J$452,$AF$3+17),新年度名簿!$J$3:$J$452,0),""),""),IFERROR(IF(SMALL(前年度名簿!$G$3:$G$452,$AF$3+17)&lt;12000,MATCH(SMALL(前年度名簿!$G$3:$G$452,$AF$3+17),前年度名簿!$G$3:$G$452,0),""),""))</f>
        <v/>
      </c>
      <c r="AG21" s="63">
        <f>IF(計算用!$B$1=1,IFERROR(IF(SMALL(新年度名簿!$J$3:$J$452,$AG$3+17)&lt;13000,MATCH(SMALL(新年度名簿!$J$3:$J$452,$AG$3+17),新年度名簿!$J$3:$J$452,0),""),""),IFERROR(IF(SMALL(前年度名簿!$G$3:$G$452,$AG$3+17)&lt;13000,MATCH(SMALL(前年度名簿!$G$3:$G$452,$AG$3+17),前年度名簿!$G$3:$G$452,0),""),""))</f>
        <v/>
      </c>
      <c r="AH21" s="63">
        <f>IF(計算用!$B$1=1,IFERROR(IF(SMALL(新年度名簿!$J$3:$J$452,$AH$3+17)&lt;14000,MATCH(SMALL(新年度名簿!$J$3:$J$452,$AH$3+17),新年度名簿!$J$3:$J$452,0),""),""),IFERROR(IF(SMALL(前年度名簿!$G$3:$G$452,$AH$3+17)&lt;14000,MATCH(SMALL(前年度名簿!$G$3:$G$452,$AH$3+17),前年度名簿!$G$3:$G$452,0),""),""))</f>
        <v/>
      </c>
      <c r="AI21" s="63">
        <f>IF(計算用!$B$1=1,IFERROR(IF(SMALL(新年度名簿!$J$3:$J$452,$AI$3+17)&lt;15000,MATCH(SMALL(新年度名簿!$J$3:$J$452,$AI$3+17),新年度名簿!$J$3:$J$452,0),""),""),IFERROR(IF(SMALL(前年度名簿!$G$3:$G$452,$AI$3+17)&lt;15000,MATCH(SMALL(前年度名簿!$G$3:$G$452,$AI$3+17),前年度名簿!$G$3:$G$452,0),""),""))</f>
        <v/>
      </c>
      <c r="AJ21" s="63">
        <f>IF(計算用!$B$1=1,IFERROR(IF(SMALL(新年度名簿!$J$3:$J$452,$AJ$3+17)&lt;16000,MATCH(SMALL(新年度名簿!$J$3:$J$452,$AJ$3+17),新年度名簿!$J$3:$J$452,0),""),""),IFERROR(IF(SMALL(前年度名簿!$G$3:$G$452,$AJ$3+17)&lt;16000,MATCH(SMALL(前年度名簿!$G$3:$G$452,$AJ$3+17),前年度名簿!$G$3:$G$452,0),""),""))</f>
        <v/>
      </c>
      <c r="AK21" s="63">
        <f>IF(計算用!$B$1=1,IFERROR(IF(SMALL(新年度名簿!$J$3:$J$452,$AK$3+17)&lt;17000,MATCH(SMALL(新年度名簿!$J$3:$J$452,$AK$3+17),新年度名簿!$J$3:$J$452,0),""),""),IFERROR(IF(SMALL(前年度名簿!$G$3:$G$452,$AK$3+17)&lt;17000,MATCH(SMALL(前年度名簿!$G$3:$G$452,$AK$3+17),前年度名簿!$G$3:$G$452,0),""),""))</f>
        <v/>
      </c>
    </row>
    <row r="22">
      <c r="A22" s="65">
        <f>IF($AD22="","",IF(計算用!$B$1=1,INDEX(新年度名簿!$C$3:$C$452,$AD22),INDEX(前年度名簿!$C$3:$C$452,$AD22)))</f>
        <v/>
      </c>
      <c r="B22" s="66">
        <f>IF($AD22="","",IF(計算用!$B$1=1,INDEX(新年度名簿!$D$3:$D$452,$AD22),INDEX(前年度名簿!$D$3:$D$452,$AD22)))</f>
        <v/>
      </c>
      <c r="C22" s="65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M$7:$M$456,MATCH($AD22,振り分け!$P$7:$P$456,0))="転出","転出",IF(INDEX(振り分け!$L$7:$L$456,MATCH($AD22,振り分け!$P$7:$P$456,0))="","未決定",INDEX(振り分け!$L$7:$L$456,MATCH($AD22,振り分け!$P$7:$P$456,0)))),"未決定")))</f>
        <v/>
      </c>
      <c r="D22" s="65">
        <f>IF($AE22="","",IF(計算用!$B$1=1,INDEX(新年度名簿!$C$3:$C$452,$AE22),INDEX(前年度名簿!$C$3:$C$452,$AE22)))</f>
        <v/>
      </c>
      <c r="E22" s="66">
        <f>IF($AE22="","",IF(計算用!$B$1=1,INDEX(新年度名簿!$D$3:$D$452,$AE22),INDEX(前年度名簿!$D$3:$D$452,$AE22)))</f>
        <v/>
      </c>
      <c r="F22" s="65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M$7:$M$456,MATCH($AE22,振り分け!$P$7:$P$456,0))="転出","転出",IF(INDEX(振り分け!$L$7:$L$456,MATCH($AE22,振り分け!$P$7:$P$456,0))="","未決定",INDEX(振り分け!$L$7:$L$456,MATCH($AE22,振り分け!$P$7:$P$456,0)))),"未決定")))</f>
        <v/>
      </c>
      <c r="G22" s="65">
        <f>IF($AF22="","",IF(計算用!$B$1=1,INDEX(新年度名簿!$C$3:$C$452,$AF22),INDEX(前年度名簿!$C$3:$C$452,$AF22)))</f>
        <v/>
      </c>
      <c r="H22" s="66">
        <f>IF($AF22="","",IF(計算用!$B$1=1,INDEX(新年度名簿!$D$3:$D$452,$AF22),INDEX(前年度名簿!$D$3:$D$452,$AF22)))</f>
        <v/>
      </c>
      <c r="I22" s="65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M$7:$M$456,MATCH($AF22,振り分け!$P$7:$P$456,0))="転出","転出",IF(INDEX(振り分け!$L$7:$L$456,MATCH($AF22,振り分け!$P$7:$P$456,0))="","未決定",INDEX(振り分け!$L$7:$L$456,MATCH($AF22,振り分け!$P$7:$P$456,0)))),"未決定")))</f>
        <v/>
      </c>
      <c r="J22" s="65">
        <f>IF($AG22="","",IF(計算用!$B$1=1,INDEX(新年度名簿!$C$3:$C$452,$AG22),INDEX(前年度名簿!$C$3:$C$452,$AG22)))</f>
        <v/>
      </c>
      <c r="K22" s="66">
        <f>IF($AG22="","",IF(計算用!$B$1=1,INDEX(新年度名簿!$D$3:$D$452,$AG22),INDEX(前年度名簿!$D$3:$D$452,$AG22)))</f>
        <v/>
      </c>
      <c r="L22" s="65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M$7:$M$456,MATCH($AG22,振り分け!$P$7:$P$456,0))="転出","転出",IF(INDEX(振り分け!$L$7:$L$456,MATCH($AG22,振り分け!$P$7:$P$456,0))="","未決定",INDEX(振り分け!$L$7:$L$456,MATCH($AG22,振り分け!$P$7:$P$456,0)))),"未決定")))</f>
        <v/>
      </c>
      <c r="M22" s="65">
        <f>IF($AH22="","",IF(計算用!$B$1=1,INDEX(新年度名簿!$C$3:$C$452,$AH22),INDEX(前年度名簿!$C$3:$C$452,$AH22)))</f>
        <v/>
      </c>
      <c r="N22" s="66">
        <f>IF($AH22="","",IF(計算用!$B$1=1,INDEX(新年度名簿!$D$3:$D$452,$AH22),INDEX(前年度名簿!$D$3:$D$452,$AH22)))</f>
        <v/>
      </c>
      <c r="O22" s="65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M$7:$M$456,MATCH($AH22,振り分け!$P$7:$P$456,0))="転出","転出",IF(INDEX(振り分け!$L$7:$L$456,MATCH($AH22,振り分け!$P$7:$P$456,0))="","未決定",INDEX(振り分け!$L$7:$L$456,MATCH($AH22,振り分け!$P$7:$P$456,0)))),"未決定")))</f>
        <v/>
      </c>
      <c r="P22" s="65">
        <f>IF($AI22="","",IF(計算用!$B$1=1,INDEX(新年度名簿!$C$3:$C$452,$AI22),INDEX(前年度名簿!$C$3:$C$452,$AI22)))</f>
        <v/>
      </c>
      <c r="Q22" s="66">
        <f>IF($AI22="","",IF(計算用!$B$1=1,INDEX(新年度名簿!$D$3:$D$452,$AI22),INDEX(前年度名簿!$D$3:$D$452,$AI22)))</f>
        <v/>
      </c>
      <c r="R22" s="65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M$7:$M$456,MATCH($AI22,振り分け!$P$7:$P$456,0))="転出","転出",IF(INDEX(振り分け!$L$7:$L$456,MATCH($AI22,振り分け!$P$7:$P$456,0))="","未決定",INDEX(振り分け!$L$7:$L$456,MATCH($AI22,振り分け!$P$7:$P$456,0)))),"未決定")))</f>
        <v/>
      </c>
      <c r="S22" s="65">
        <f>IF($AJ22="","",IF(計算用!$B$1=1,INDEX(新年度名簿!$C$3:$C$452,$AJ22),INDEX(前年度名簿!$C$3:$C$452,$AJ22)))</f>
        <v/>
      </c>
      <c r="T22" s="66">
        <f>IF($AJ22="","",IF(計算用!$B$1=1,INDEX(新年度名簿!$D$3:$D$452,$AJ22),INDEX(前年度名簿!$D$3:$D$452,$AJ22)))</f>
        <v/>
      </c>
      <c r="U22" s="65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M$7:$M$456,MATCH($AJ22,振り分け!$P$7:$P$456,0))="転出","転出",IF(INDEX(振り分け!$L$7:$L$456,MATCH($AJ22,振り分け!$P$7:$P$456,0))="","未決定",INDEX(振り分け!$L$7:$L$456,MATCH($AJ22,振り分け!$P$7:$P$456,0)))),"未決定")))</f>
        <v/>
      </c>
      <c r="V22" s="65">
        <f>IF($AK22="","",IF(計算用!$B$1=1,INDEX(新年度名簿!$C$3:$C$452,$AK22),INDEX(前年度名簿!$C$3:$C$452,$AK22)))</f>
        <v/>
      </c>
      <c r="W22" s="66">
        <f>IF($AK22="","",IF(計算用!$B$1=1,INDEX(新年度名簿!$D$3:$D$452,$AK22),INDEX(前年度名簿!$D$3:$D$452,$AK22)))</f>
        <v/>
      </c>
      <c r="X22" s="65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M$7:$M$456,MATCH($AK22,振り分け!$P$7:$P$456,0))="転出","転出",IF(INDEX(振り分け!$L$7:$L$456,MATCH($AK22,振り分け!$P$7:$P$456,0))="","未決定",INDEX(振り分け!$L$7:$L$456,MATCH($AK22,振り分け!$P$7:$P$456,0)))),"未決定")))</f>
        <v/>
      </c>
      <c r="AD22" s="63">
        <f>IF(計算用!$B$1=1,IFERROR(IF(SMALL(新年度名簿!$J$3:$J$452,$AD$3+18)&lt;10000,MATCH(SMALL(新年度名簿!$J$3:$J$452,$AD$3+18),新年度名簿!$J$3:$J$452,0),""),""),IFERROR(IF(SMALL(前年度名簿!$G$3:$G$452,$AD$3+18)&lt;10000,MATCH(SMALL(前年度名簿!$G$3:$G$452,$AD$3+18),前年度名簿!$G$3:$G$452,0),""),""))</f>
        <v/>
      </c>
      <c r="AE22" s="63">
        <f>IF(計算用!$B$1=1,IFERROR(IF(SMALL(新年度名簿!$J$3:$J$452,$AE$3+18)&lt;11000,MATCH(SMALL(新年度名簿!$J$3:$J$452,$AE$3+18),新年度名簿!$J$3:$J$452,0),""),""),IFERROR(IF(SMALL(前年度名簿!$G$3:$G$452,$AE$3+18)&lt;11000,MATCH(SMALL(前年度名簿!$G$3:$G$452,$AE$3+18),前年度名簿!$G$3:$G$452,0),""),""))</f>
        <v/>
      </c>
      <c r="AF22" s="63">
        <f>IF(計算用!$B$1=1,IFERROR(IF(SMALL(新年度名簿!$J$3:$J$452,$AF$3+18)&lt;12000,MATCH(SMALL(新年度名簿!$J$3:$J$452,$AF$3+18),新年度名簿!$J$3:$J$452,0),""),""),IFERROR(IF(SMALL(前年度名簿!$G$3:$G$452,$AF$3+18)&lt;12000,MATCH(SMALL(前年度名簿!$G$3:$G$452,$AF$3+18),前年度名簿!$G$3:$G$452,0),""),""))</f>
        <v/>
      </c>
      <c r="AG22" s="63">
        <f>IF(計算用!$B$1=1,IFERROR(IF(SMALL(新年度名簿!$J$3:$J$452,$AG$3+18)&lt;13000,MATCH(SMALL(新年度名簿!$J$3:$J$452,$AG$3+18),新年度名簿!$J$3:$J$452,0),""),""),IFERROR(IF(SMALL(前年度名簿!$G$3:$G$452,$AG$3+18)&lt;13000,MATCH(SMALL(前年度名簿!$G$3:$G$452,$AG$3+18),前年度名簿!$G$3:$G$452,0),""),""))</f>
        <v/>
      </c>
      <c r="AH22" s="63">
        <f>IF(計算用!$B$1=1,IFERROR(IF(SMALL(新年度名簿!$J$3:$J$452,$AH$3+18)&lt;14000,MATCH(SMALL(新年度名簿!$J$3:$J$452,$AH$3+18),新年度名簿!$J$3:$J$452,0),""),""),IFERROR(IF(SMALL(前年度名簿!$G$3:$G$452,$AH$3+18)&lt;14000,MATCH(SMALL(前年度名簿!$G$3:$G$452,$AH$3+18),前年度名簿!$G$3:$G$452,0),""),""))</f>
        <v/>
      </c>
      <c r="AI22" s="63">
        <f>IF(計算用!$B$1=1,IFERROR(IF(SMALL(新年度名簿!$J$3:$J$452,$AI$3+18)&lt;15000,MATCH(SMALL(新年度名簿!$J$3:$J$452,$AI$3+18),新年度名簿!$J$3:$J$452,0),""),""),IFERROR(IF(SMALL(前年度名簿!$G$3:$G$452,$AI$3+18)&lt;15000,MATCH(SMALL(前年度名簿!$G$3:$G$452,$AI$3+18),前年度名簿!$G$3:$G$452,0),""),""))</f>
        <v/>
      </c>
      <c r="AJ22" s="63">
        <f>IF(計算用!$B$1=1,IFERROR(IF(SMALL(新年度名簿!$J$3:$J$452,$AJ$3+18)&lt;16000,MATCH(SMALL(新年度名簿!$J$3:$J$452,$AJ$3+18),新年度名簿!$J$3:$J$452,0),""),""),IFERROR(IF(SMALL(前年度名簿!$G$3:$G$452,$AJ$3+18)&lt;16000,MATCH(SMALL(前年度名簿!$G$3:$G$452,$AJ$3+18),前年度名簿!$G$3:$G$452,0),""),""))</f>
        <v/>
      </c>
      <c r="AK22" s="63">
        <f>IF(計算用!$B$1=1,IFERROR(IF(SMALL(新年度名簿!$J$3:$J$452,$AK$3+18)&lt;17000,MATCH(SMALL(新年度名簿!$J$3:$J$452,$AK$3+18),新年度名簿!$J$3:$J$452,0),""),""),IFERROR(IF(SMALL(前年度名簿!$G$3:$G$452,$AK$3+18)&lt;17000,MATCH(SMALL(前年度名簿!$G$3:$G$452,$AK$3+18),前年度名簿!$G$3:$G$452,0),""),""))</f>
        <v/>
      </c>
    </row>
    <row r="23">
      <c r="A23" s="65">
        <f>IF($AD23="","",IF(計算用!$B$1=1,INDEX(新年度名簿!$C$3:$C$452,$AD23),INDEX(前年度名簿!$C$3:$C$452,$AD23)))</f>
        <v/>
      </c>
      <c r="B23" s="66">
        <f>IF($AD23="","",IF(計算用!$B$1=1,INDEX(新年度名簿!$D$3:$D$452,$AD23),INDEX(前年度名簿!$D$3:$D$452,$AD23)))</f>
        <v/>
      </c>
      <c r="C23" s="65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M$7:$M$456,MATCH($AD23,振り分け!$P$7:$P$456,0))="転出","転出",IF(INDEX(振り分け!$L$7:$L$456,MATCH($AD23,振り分け!$P$7:$P$456,0))="","未決定",INDEX(振り分け!$L$7:$L$456,MATCH($AD23,振り分け!$P$7:$P$456,0)))),"未決定")))</f>
        <v/>
      </c>
      <c r="D23" s="65">
        <f>IF($AE23="","",IF(計算用!$B$1=1,INDEX(新年度名簿!$C$3:$C$452,$AE23),INDEX(前年度名簿!$C$3:$C$452,$AE23)))</f>
        <v/>
      </c>
      <c r="E23" s="66">
        <f>IF($AE23="","",IF(計算用!$B$1=1,INDEX(新年度名簿!$D$3:$D$452,$AE23),INDEX(前年度名簿!$D$3:$D$452,$AE23)))</f>
        <v/>
      </c>
      <c r="F23" s="65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M$7:$M$456,MATCH($AE23,振り分け!$P$7:$P$456,0))="転出","転出",IF(INDEX(振り分け!$L$7:$L$456,MATCH($AE23,振り分け!$P$7:$P$456,0))="","未決定",INDEX(振り分け!$L$7:$L$456,MATCH($AE23,振り分け!$P$7:$P$456,0)))),"未決定")))</f>
        <v/>
      </c>
      <c r="G23" s="65">
        <f>IF($AF23="","",IF(計算用!$B$1=1,INDEX(新年度名簿!$C$3:$C$452,$AF23),INDEX(前年度名簿!$C$3:$C$452,$AF23)))</f>
        <v/>
      </c>
      <c r="H23" s="66">
        <f>IF($AF23="","",IF(計算用!$B$1=1,INDEX(新年度名簿!$D$3:$D$452,$AF23),INDEX(前年度名簿!$D$3:$D$452,$AF23)))</f>
        <v/>
      </c>
      <c r="I23" s="65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M$7:$M$456,MATCH($AF23,振り分け!$P$7:$P$456,0))="転出","転出",IF(INDEX(振り分け!$L$7:$L$456,MATCH($AF23,振り分け!$P$7:$P$456,0))="","未決定",INDEX(振り分け!$L$7:$L$456,MATCH($AF23,振り分け!$P$7:$P$456,0)))),"未決定")))</f>
        <v/>
      </c>
      <c r="J23" s="65">
        <f>IF($AG23="","",IF(計算用!$B$1=1,INDEX(新年度名簿!$C$3:$C$452,$AG23),INDEX(前年度名簿!$C$3:$C$452,$AG23)))</f>
        <v/>
      </c>
      <c r="K23" s="66">
        <f>IF($AG23="","",IF(計算用!$B$1=1,INDEX(新年度名簿!$D$3:$D$452,$AG23),INDEX(前年度名簿!$D$3:$D$452,$AG23)))</f>
        <v/>
      </c>
      <c r="L23" s="65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M$7:$M$456,MATCH($AG23,振り分け!$P$7:$P$456,0))="転出","転出",IF(INDEX(振り分け!$L$7:$L$456,MATCH($AG23,振り分け!$P$7:$P$456,0))="","未決定",INDEX(振り分け!$L$7:$L$456,MATCH($AG23,振り分け!$P$7:$P$456,0)))),"未決定")))</f>
        <v/>
      </c>
      <c r="M23" s="65">
        <f>IF($AH23="","",IF(計算用!$B$1=1,INDEX(新年度名簿!$C$3:$C$452,$AH23),INDEX(前年度名簿!$C$3:$C$452,$AH23)))</f>
        <v/>
      </c>
      <c r="N23" s="66">
        <f>IF($AH23="","",IF(計算用!$B$1=1,INDEX(新年度名簿!$D$3:$D$452,$AH23),INDEX(前年度名簿!$D$3:$D$452,$AH23)))</f>
        <v/>
      </c>
      <c r="O23" s="65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M$7:$M$456,MATCH($AH23,振り分け!$P$7:$P$456,0))="転出","転出",IF(INDEX(振り分け!$L$7:$L$456,MATCH($AH23,振り分け!$P$7:$P$456,0))="","未決定",INDEX(振り分け!$L$7:$L$456,MATCH($AH23,振り分け!$P$7:$P$456,0)))),"未決定")))</f>
        <v/>
      </c>
      <c r="P23" s="65">
        <f>IF($AI23="","",IF(計算用!$B$1=1,INDEX(新年度名簿!$C$3:$C$452,$AI23),INDEX(前年度名簿!$C$3:$C$452,$AI23)))</f>
        <v/>
      </c>
      <c r="Q23" s="66">
        <f>IF($AI23="","",IF(計算用!$B$1=1,INDEX(新年度名簿!$D$3:$D$452,$AI23),INDEX(前年度名簿!$D$3:$D$452,$AI23)))</f>
        <v/>
      </c>
      <c r="R23" s="65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M$7:$M$456,MATCH($AI23,振り分け!$P$7:$P$456,0))="転出","転出",IF(INDEX(振り分け!$L$7:$L$456,MATCH($AI23,振り分け!$P$7:$P$456,0))="","未決定",INDEX(振り分け!$L$7:$L$456,MATCH($AI23,振り分け!$P$7:$P$456,0)))),"未決定")))</f>
        <v/>
      </c>
      <c r="S23" s="65">
        <f>IF($AJ23="","",IF(計算用!$B$1=1,INDEX(新年度名簿!$C$3:$C$452,$AJ23),INDEX(前年度名簿!$C$3:$C$452,$AJ23)))</f>
        <v/>
      </c>
      <c r="T23" s="66">
        <f>IF($AJ23="","",IF(計算用!$B$1=1,INDEX(新年度名簿!$D$3:$D$452,$AJ23),INDEX(前年度名簿!$D$3:$D$452,$AJ23)))</f>
        <v/>
      </c>
      <c r="U23" s="65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M$7:$M$456,MATCH($AJ23,振り分け!$P$7:$P$456,0))="転出","転出",IF(INDEX(振り分け!$L$7:$L$456,MATCH($AJ23,振り分け!$P$7:$P$456,0))="","未決定",INDEX(振り分け!$L$7:$L$456,MATCH($AJ23,振り分け!$P$7:$P$456,0)))),"未決定")))</f>
        <v/>
      </c>
      <c r="V23" s="65">
        <f>IF($AK23="","",IF(計算用!$B$1=1,INDEX(新年度名簿!$C$3:$C$452,$AK23),INDEX(前年度名簿!$C$3:$C$452,$AK23)))</f>
        <v/>
      </c>
      <c r="W23" s="66">
        <f>IF($AK23="","",IF(計算用!$B$1=1,INDEX(新年度名簿!$D$3:$D$452,$AK23),INDEX(前年度名簿!$D$3:$D$452,$AK23)))</f>
        <v/>
      </c>
      <c r="X23" s="65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M$7:$M$456,MATCH($AK23,振り分け!$P$7:$P$456,0))="転出","転出",IF(INDEX(振り分け!$L$7:$L$456,MATCH($AK23,振り分け!$P$7:$P$456,0))="","未決定",INDEX(振り分け!$L$7:$L$456,MATCH($AK23,振り分け!$P$7:$P$456,0)))),"未決定")))</f>
        <v/>
      </c>
      <c r="AD23" s="63">
        <f>IF(計算用!$B$1=1,IFERROR(IF(SMALL(新年度名簿!$J$3:$J$452,$AD$3+19)&lt;10000,MATCH(SMALL(新年度名簿!$J$3:$J$452,$AD$3+19),新年度名簿!$J$3:$J$452,0),""),""),IFERROR(IF(SMALL(前年度名簿!$G$3:$G$452,$AD$3+19)&lt;10000,MATCH(SMALL(前年度名簿!$G$3:$G$452,$AD$3+19),前年度名簿!$G$3:$G$452,0),""),""))</f>
        <v/>
      </c>
      <c r="AE23" s="63">
        <f>IF(計算用!$B$1=1,IFERROR(IF(SMALL(新年度名簿!$J$3:$J$452,$AE$3+19)&lt;11000,MATCH(SMALL(新年度名簿!$J$3:$J$452,$AE$3+19),新年度名簿!$J$3:$J$452,0),""),""),IFERROR(IF(SMALL(前年度名簿!$G$3:$G$452,$AE$3+19)&lt;11000,MATCH(SMALL(前年度名簿!$G$3:$G$452,$AE$3+19),前年度名簿!$G$3:$G$452,0),""),""))</f>
        <v/>
      </c>
      <c r="AF23" s="63">
        <f>IF(計算用!$B$1=1,IFERROR(IF(SMALL(新年度名簿!$J$3:$J$452,$AF$3+19)&lt;12000,MATCH(SMALL(新年度名簿!$J$3:$J$452,$AF$3+19),新年度名簿!$J$3:$J$452,0),""),""),IFERROR(IF(SMALL(前年度名簿!$G$3:$G$452,$AF$3+19)&lt;12000,MATCH(SMALL(前年度名簿!$G$3:$G$452,$AF$3+19),前年度名簿!$G$3:$G$452,0),""),""))</f>
        <v/>
      </c>
      <c r="AG23" s="63">
        <f>IF(計算用!$B$1=1,IFERROR(IF(SMALL(新年度名簿!$J$3:$J$452,$AG$3+19)&lt;13000,MATCH(SMALL(新年度名簿!$J$3:$J$452,$AG$3+19),新年度名簿!$J$3:$J$452,0),""),""),IFERROR(IF(SMALL(前年度名簿!$G$3:$G$452,$AG$3+19)&lt;13000,MATCH(SMALL(前年度名簿!$G$3:$G$452,$AG$3+19),前年度名簿!$G$3:$G$452,0),""),""))</f>
        <v/>
      </c>
      <c r="AH23" s="63">
        <f>IF(計算用!$B$1=1,IFERROR(IF(SMALL(新年度名簿!$J$3:$J$452,$AH$3+19)&lt;14000,MATCH(SMALL(新年度名簿!$J$3:$J$452,$AH$3+19),新年度名簿!$J$3:$J$452,0),""),""),IFERROR(IF(SMALL(前年度名簿!$G$3:$G$452,$AH$3+19)&lt;14000,MATCH(SMALL(前年度名簿!$G$3:$G$452,$AH$3+19),前年度名簿!$G$3:$G$452,0),""),""))</f>
        <v/>
      </c>
      <c r="AI23" s="63">
        <f>IF(計算用!$B$1=1,IFERROR(IF(SMALL(新年度名簿!$J$3:$J$452,$AI$3+19)&lt;15000,MATCH(SMALL(新年度名簿!$J$3:$J$452,$AI$3+19),新年度名簿!$J$3:$J$452,0),""),""),IFERROR(IF(SMALL(前年度名簿!$G$3:$G$452,$AI$3+19)&lt;15000,MATCH(SMALL(前年度名簿!$G$3:$G$452,$AI$3+19),前年度名簿!$G$3:$G$452,0),""),""))</f>
        <v/>
      </c>
      <c r="AJ23" s="63">
        <f>IF(計算用!$B$1=1,IFERROR(IF(SMALL(新年度名簿!$J$3:$J$452,$AJ$3+19)&lt;16000,MATCH(SMALL(新年度名簿!$J$3:$J$452,$AJ$3+19),新年度名簿!$J$3:$J$452,0),""),""),IFERROR(IF(SMALL(前年度名簿!$G$3:$G$452,$AJ$3+19)&lt;16000,MATCH(SMALL(前年度名簿!$G$3:$G$452,$AJ$3+19),前年度名簿!$G$3:$G$452,0),""),""))</f>
        <v/>
      </c>
      <c r="AK23" s="63">
        <f>IF(計算用!$B$1=1,IFERROR(IF(SMALL(新年度名簿!$J$3:$J$452,$AK$3+19)&lt;17000,MATCH(SMALL(新年度名簿!$J$3:$J$452,$AK$3+19),新年度名簿!$J$3:$J$452,0),""),""),IFERROR(IF(SMALL(前年度名簿!$G$3:$G$452,$AK$3+19)&lt;17000,MATCH(SMALL(前年度名簿!$G$3:$G$452,$AK$3+19),前年度名簿!$G$3:$G$452,0),""),""))</f>
        <v/>
      </c>
    </row>
    <row r="24">
      <c r="A24" s="65">
        <f>IF($AD24="","",IF(計算用!$B$1=1,INDEX(新年度名簿!$C$3:$C$452,$AD24),INDEX(前年度名簿!$C$3:$C$452,$AD24)))</f>
        <v/>
      </c>
      <c r="B24" s="66">
        <f>IF($AD24="","",IF(計算用!$B$1=1,INDEX(新年度名簿!$D$3:$D$452,$AD24),INDEX(前年度名簿!$D$3:$D$452,$AD24)))</f>
        <v/>
      </c>
      <c r="C24" s="65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M$7:$M$456,MATCH($AD24,振り分け!$P$7:$P$456,0))="転出","転出",IF(INDEX(振り分け!$L$7:$L$456,MATCH($AD24,振り分け!$P$7:$P$456,0))="","未決定",INDEX(振り分け!$L$7:$L$456,MATCH($AD24,振り分け!$P$7:$P$456,0)))),"未決定")))</f>
        <v/>
      </c>
      <c r="D24" s="65">
        <f>IF($AE24="","",IF(計算用!$B$1=1,INDEX(新年度名簿!$C$3:$C$452,$AE24),INDEX(前年度名簿!$C$3:$C$452,$AE24)))</f>
        <v/>
      </c>
      <c r="E24" s="66">
        <f>IF($AE24="","",IF(計算用!$B$1=1,INDEX(新年度名簿!$D$3:$D$452,$AE24),INDEX(前年度名簿!$D$3:$D$452,$AE24)))</f>
        <v/>
      </c>
      <c r="F24" s="65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M$7:$M$456,MATCH($AE24,振り分け!$P$7:$P$456,0))="転出","転出",IF(INDEX(振り分け!$L$7:$L$456,MATCH($AE24,振り分け!$P$7:$P$456,0))="","未決定",INDEX(振り分け!$L$7:$L$456,MATCH($AE24,振り分け!$P$7:$P$456,0)))),"未決定")))</f>
        <v/>
      </c>
      <c r="G24" s="65">
        <f>IF($AF24="","",IF(計算用!$B$1=1,INDEX(新年度名簿!$C$3:$C$452,$AF24),INDEX(前年度名簿!$C$3:$C$452,$AF24)))</f>
        <v/>
      </c>
      <c r="H24" s="66">
        <f>IF($AF24="","",IF(計算用!$B$1=1,INDEX(新年度名簿!$D$3:$D$452,$AF24),INDEX(前年度名簿!$D$3:$D$452,$AF24)))</f>
        <v/>
      </c>
      <c r="I24" s="65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M$7:$M$456,MATCH($AF24,振り分け!$P$7:$P$456,0))="転出","転出",IF(INDEX(振り分け!$L$7:$L$456,MATCH($AF24,振り分け!$P$7:$P$456,0))="","未決定",INDEX(振り分け!$L$7:$L$456,MATCH($AF24,振り分け!$P$7:$P$456,0)))),"未決定")))</f>
        <v/>
      </c>
      <c r="J24" s="65">
        <f>IF($AG24="","",IF(計算用!$B$1=1,INDEX(新年度名簿!$C$3:$C$452,$AG24),INDEX(前年度名簿!$C$3:$C$452,$AG24)))</f>
        <v/>
      </c>
      <c r="K24" s="66">
        <f>IF($AG24="","",IF(計算用!$B$1=1,INDEX(新年度名簿!$D$3:$D$452,$AG24),INDEX(前年度名簿!$D$3:$D$452,$AG24)))</f>
        <v/>
      </c>
      <c r="L24" s="65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M$7:$M$456,MATCH($AG24,振り分け!$P$7:$P$456,0))="転出","転出",IF(INDEX(振り分け!$L$7:$L$456,MATCH($AG24,振り分け!$P$7:$P$456,0))="","未決定",INDEX(振り分け!$L$7:$L$456,MATCH($AG24,振り分け!$P$7:$P$456,0)))),"未決定")))</f>
        <v/>
      </c>
      <c r="M24" s="65">
        <f>IF($AH24="","",IF(計算用!$B$1=1,INDEX(新年度名簿!$C$3:$C$452,$AH24),INDEX(前年度名簿!$C$3:$C$452,$AH24)))</f>
        <v/>
      </c>
      <c r="N24" s="66">
        <f>IF($AH24="","",IF(計算用!$B$1=1,INDEX(新年度名簿!$D$3:$D$452,$AH24),INDEX(前年度名簿!$D$3:$D$452,$AH24)))</f>
        <v/>
      </c>
      <c r="O24" s="65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M$7:$M$456,MATCH($AH24,振り分け!$P$7:$P$456,0))="転出","転出",IF(INDEX(振り分け!$L$7:$L$456,MATCH($AH24,振り分け!$P$7:$P$456,0))="","未決定",INDEX(振り分け!$L$7:$L$456,MATCH($AH24,振り分け!$P$7:$P$456,0)))),"未決定")))</f>
        <v/>
      </c>
      <c r="P24" s="65">
        <f>IF($AI24="","",IF(計算用!$B$1=1,INDEX(新年度名簿!$C$3:$C$452,$AI24),INDEX(前年度名簿!$C$3:$C$452,$AI24)))</f>
        <v/>
      </c>
      <c r="Q24" s="66">
        <f>IF($AI24="","",IF(計算用!$B$1=1,INDEX(新年度名簿!$D$3:$D$452,$AI24),INDEX(前年度名簿!$D$3:$D$452,$AI24)))</f>
        <v/>
      </c>
      <c r="R24" s="65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M$7:$M$456,MATCH($AI24,振り分け!$P$7:$P$456,0))="転出","転出",IF(INDEX(振り分け!$L$7:$L$456,MATCH($AI24,振り分け!$P$7:$P$456,0))="","未決定",INDEX(振り分け!$L$7:$L$456,MATCH($AI24,振り分け!$P$7:$P$456,0)))),"未決定")))</f>
        <v/>
      </c>
      <c r="S24" s="65">
        <f>IF($AJ24="","",IF(計算用!$B$1=1,INDEX(新年度名簿!$C$3:$C$452,$AJ24),INDEX(前年度名簿!$C$3:$C$452,$AJ24)))</f>
        <v/>
      </c>
      <c r="T24" s="66">
        <f>IF($AJ24="","",IF(計算用!$B$1=1,INDEX(新年度名簿!$D$3:$D$452,$AJ24),INDEX(前年度名簿!$D$3:$D$452,$AJ24)))</f>
        <v/>
      </c>
      <c r="U24" s="65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M$7:$M$456,MATCH($AJ24,振り分け!$P$7:$P$456,0))="転出","転出",IF(INDEX(振り分け!$L$7:$L$456,MATCH($AJ24,振り分け!$P$7:$P$456,0))="","未決定",INDEX(振り分け!$L$7:$L$456,MATCH($AJ24,振り分け!$P$7:$P$456,0)))),"未決定")))</f>
        <v/>
      </c>
      <c r="V24" s="65">
        <f>IF($AK24="","",IF(計算用!$B$1=1,INDEX(新年度名簿!$C$3:$C$452,$AK24),INDEX(前年度名簿!$C$3:$C$452,$AK24)))</f>
        <v/>
      </c>
      <c r="W24" s="66">
        <f>IF($AK24="","",IF(計算用!$B$1=1,INDEX(新年度名簿!$D$3:$D$452,$AK24),INDEX(前年度名簿!$D$3:$D$452,$AK24)))</f>
        <v/>
      </c>
      <c r="X24" s="65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M$7:$M$456,MATCH($AK24,振り分け!$P$7:$P$456,0))="転出","転出",IF(INDEX(振り分け!$L$7:$L$456,MATCH($AK24,振り分け!$P$7:$P$456,0))="","未決定",INDEX(振り分け!$L$7:$L$456,MATCH($AK24,振り分け!$P$7:$P$456,0)))),"未決定")))</f>
        <v/>
      </c>
      <c r="AD24" s="63">
        <f>IF(計算用!$B$1=1,IFERROR(IF(SMALL(新年度名簿!$J$3:$J$452,$AD$3+20)&lt;10000,MATCH(SMALL(新年度名簿!$J$3:$J$452,$AD$3+20),新年度名簿!$J$3:$J$452,0),""),""),IFERROR(IF(SMALL(前年度名簿!$G$3:$G$452,$AD$3+20)&lt;10000,MATCH(SMALL(前年度名簿!$G$3:$G$452,$AD$3+20),前年度名簿!$G$3:$G$452,0),""),""))</f>
        <v/>
      </c>
      <c r="AE24" s="63">
        <f>IF(計算用!$B$1=1,IFERROR(IF(SMALL(新年度名簿!$J$3:$J$452,$AE$3+20)&lt;11000,MATCH(SMALL(新年度名簿!$J$3:$J$452,$AE$3+20),新年度名簿!$J$3:$J$452,0),""),""),IFERROR(IF(SMALL(前年度名簿!$G$3:$G$452,$AE$3+20)&lt;11000,MATCH(SMALL(前年度名簿!$G$3:$G$452,$AE$3+20),前年度名簿!$G$3:$G$452,0),""),""))</f>
        <v/>
      </c>
      <c r="AF24" s="63">
        <f>IF(計算用!$B$1=1,IFERROR(IF(SMALL(新年度名簿!$J$3:$J$452,$AF$3+20)&lt;12000,MATCH(SMALL(新年度名簿!$J$3:$J$452,$AF$3+20),新年度名簿!$J$3:$J$452,0),""),""),IFERROR(IF(SMALL(前年度名簿!$G$3:$G$452,$AF$3+20)&lt;12000,MATCH(SMALL(前年度名簿!$G$3:$G$452,$AF$3+20),前年度名簿!$G$3:$G$452,0),""),""))</f>
        <v/>
      </c>
      <c r="AG24" s="63">
        <f>IF(計算用!$B$1=1,IFERROR(IF(SMALL(新年度名簿!$J$3:$J$452,$AG$3+20)&lt;13000,MATCH(SMALL(新年度名簿!$J$3:$J$452,$AG$3+20),新年度名簿!$J$3:$J$452,0),""),""),IFERROR(IF(SMALL(前年度名簿!$G$3:$G$452,$AG$3+20)&lt;13000,MATCH(SMALL(前年度名簿!$G$3:$G$452,$AG$3+20),前年度名簿!$G$3:$G$452,0),""),""))</f>
        <v/>
      </c>
      <c r="AH24" s="63">
        <f>IF(計算用!$B$1=1,IFERROR(IF(SMALL(新年度名簿!$J$3:$J$452,$AH$3+20)&lt;14000,MATCH(SMALL(新年度名簿!$J$3:$J$452,$AH$3+20),新年度名簿!$J$3:$J$452,0),""),""),IFERROR(IF(SMALL(前年度名簿!$G$3:$G$452,$AH$3+20)&lt;14000,MATCH(SMALL(前年度名簿!$G$3:$G$452,$AH$3+20),前年度名簿!$G$3:$G$452,0),""),""))</f>
        <v/>
      </c>
      <c r="AI24" s="63">
        <f>IF(計算用!$B$1=1,IFERROR(IF(SMALL(新年度名簿!$J$3:$J$452,$AI$3+20)&lt;15000,MATCH(SMALL(新年度名簿!$J$3:$J$452,$AI$3+20),新年度名簿!$J$3:$J$452,0),""),""),IFERROR(IF(SMALL(前年度名簿!$G$3:$G$452,$AI$3+20)&lt;15000,MATCH(SMALL(前年度名簿!$G$3:$G$452,$AI$3+20),前年度名簿!$G$3:$G$452,0),""),""))</f>
        <v/>
      </c>
      <c r="AJ24" s="63">
        <f>IF(計算用!$B$1=1,IFERROR(IF(SMALL(新年度名簿!$J$3:$J$452,$AJ$3+20)&lt;16000,MATCH(SMALL(新年度名簿!$J$3:$J$452,$AJ$3+20),新年度名簿!$J$3:$J$452,0),""),""),IFERROR(IF(SMALL(前年度名簿!$G$3:$G$452,$AJ$3+20)&lt;16000,MATCH(SMALL(前年度名簿!$G$3:$G$452,$AJ$3+20),前年度名簿!$G$3:$G$452,0),""),""))</f>
        <v/>
      </c>
      <c r="AK24" s="63">
        <f>IF(計算用!$B$1=1,IFERROR(IF(SMALL(新年度名簿!$J$3:$J$452,$AK$3+20)&lt;17000,MATCH(SMALL(新年度名簿!$J$3:$J$452,$AK$3+20),新年度名簿!$J$3:$J$452,0),""),""),IFERROR(IF(SMALL(前年度名簿!$G$3:$G$452,$AK$3+20)&lt;17000,MATCH(SMALL(前年度名簿!$G$3:$G$452,$AK$3+20),前年度名簿!$G$3:$G$452,0),""),""))</f>
        <v/>
      </c>
    </row>
    <row r="25">
      <c r="A25" s="65">
        <f>IF($AD25="","",IF(計算用!$B$1=1,INDEX(新年度名簿!$C$3:$C$452,$AD25),INDEX(前年度名簿!$C$3:$C$452,$AD25)))</f>
        <v/>
      </c>
      <c r="B25" s="66">
        <f>IF($AD25="","",IF(計算用!$B$1=1,INDEX(新年度名簿!$D$3:$D$452,$AD25),INDEX(前年度名簿!$D$3:$D$452,$AD25)))</f>
        <v/>
      </c>
      <c r="C25" s="65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M$7:$M$456,MATCH($AD25,振り分け!$P$7:$P$456,0))="転出","転出",IF(INDEX(振り分け!$L$7:$L$456,MATCH($AD25,振り分け!$P$7:$P$456,0))="","未決定",INDEX(振り分け!$L$7:$L$456,MATCH($AD25,振り分け!$P$7:$P$456,0)))),"未決定")))</f>
        <v/>
      </c>
      <c r="D25" s="65">
        <f>IF($AE25="","",IF(計算用!$B$1=1,INDEX(新年度名簿!$C$3:$C$452,$AE25),INDEX(前年度名簿!$C$3:$C$452,$AE25)))</f>
        <v/>
      </c>
      <c r="E25" s="66">
        <f>IF($AE25="","",IF(計算用!$B$1=1,INDEX(新年度名簿!$D$3:$D$452,$AE25),INDEX(前年度名簿!$D$3:$D$452,$AE25)))</f>
        <v/>
      </c>
      <c r="F25" s="65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M$7:$M$456,MATCH($AE25,振り分け!$P$7:$P$456,0))="転出","転出",IF(INDEX(振り分け!$L$7:$L$456,MATCH($AE25,振り分け!$P$7:$P$456,0))="","未決定",INDEX(振り分け!$L$7:$L$456,MATCH($AE25,振り分け!$P$7:$P$456,0)))),"未決定")))</f>
        <v/>
      </c>
      <c r="G25" s="65">
        <f>IF($AF25="","",IF(計算用!$B$1=1,INDEX(新年度名簿!$C$3:$C$452,$AF25),INDEX(前年度名簿!$C$3:$C$452,$AF25)))</f>
        <v/>
      </c>
      <c r="H25" s="66">
        <f>IF($AF25="","",IF(計算用!$B$1=1,INDEX(新年度名簿!$D$3:$D$452,$AF25),INDEX(前年度名簿!$D$3:$D$452,$AF25)))</f>
        <v/>
      </c>
      <c r="I25" s="65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M$7:$M$456,MATCH($AF25,振り分け!$P$7:$P$456,0))="転出","転出",IF(INDEX(振り分け!$L$7:$L$456,MATCH($AF25,振り分け!$P$7:$P$456,0))="","未決定",INDEX(振り分け!$L$7:$L$456,MATCH($AF25,振り分け!$P$7:$P$456,0)))),"未決定")))</f>
        <v/>
      </c>
      <c r="J25" s="65">
        <f>IF($AG25="","",IF(計算用!$B$1=1,INDEX(新年度名簿!$C$3:$C$452,$AG25),INDEX(前年度名簿!$C$3:$C$452,$AG25)))</f>
        <v/>
      </c>
      <c r="K25" s="66">
        <f>IF($AG25="","",IF(計算用!$B$1=1,INDEX(新年度名簿!$D$3:$D$452,$AG25),INDEX(前年度名簿!$D$3:$D$452,$AG25)))</f>
        <v/>
      </c>
      <c r="L25" s="65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M$7:$M$456,MATCH($AG25,振り分け!$P$7:$P$456,0))="転出","転出",IF(INDEX(振り分け!$L$7:$L$456,MATCH($AG25,振り分け!$P$7:$P$456,0))="","未決定",INDEX(振り分け!$L$7:$L$456,MATCH($AG25,振り分け!$P$7:$P$456,0)))),"未決定")))</f>
        <v/>
      </c>
      <c r="M25" s="65">
        <f>IF($AH25="","",IF(計算用!$B$1=1,INDEX(新年度名簿!$C$3:$C$452,$AH25),INDEX(前年度名簿!$C$3:$C$452,$AH25)))</f>
        <v/>
      </c>
      <c r="N25" s="66">
        <f>IF($AH25="","",IF(計算用!$B$1=1,INDEX(新年度名簿!$D$3:$D$452,$AH25),INDEX(前年度名簿!$D$3:$D$452,$AH25)))</f>
        <v/>
      </c>
      <c r="O25" s="65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M$7:$M$456,MATCH($AH25,振り分け!$P$7:$P$456,0))="転出","転出",IF(INDEX(振り分け!$L$7:$L$456,MATCH($AH25,振り分け!$P$7:$P$456,0))="","未決定",INDEX(振り分け!$L$7:$L$456,MATCH($AH25,振り分け!$P$7:$P$456,0)))),"未決定")))</f>
        <v/>
      </c>
      <c r="P25" s="65">
        <f>IF($AI25="","",IF(計算用!$B$1=1,INDEX(新年度名簿!$C$3:$C$452,$AI25),INDEX(前年度名簿!$C$3:$C$452,$AI25)))</f>
        <v/>
      </c>
      <c r="Q25" s="66">
        <f>IF($AI25="","",IF(計算用!$B$1=1,INDEX(新年度名簿!$D$3:$D$452,$AI25),INDEX(前年度名簿!$D$3:$D$452,$AI25)))</f>
        <v/>
      </c>
      <c r="R25" s="65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M$7:$M$456,MATCH($AI25,振り分け!$P$7:$P$456,0))="転出","転出",IF(INDEX(振り分け!$L$7:$L$456,MATCH($AI25,振り分け!$P$7:$P$456,0))="","未決定",INDEX(振り分け!$L$7:$L$456,MATCH($AI25,振り分け!$P$7:$P$456,0)))),"未決定")))</f>
        <v/>
      </c>
      <c r="S25" s="65">
        <f>IF($AJ25="","",IF(計算用!$B$1=1,INDEX(新年度名簿!$C$3:$C$452,$AJ25),INDEX(前年度名簿!$C$3:$C$452,$AJ25)))</f>
        <v/>
      </c>
      <c r="T25" s="66">
        <f>IF($AJ25="","",IF(計算用!$B$1=1,INDEX(新年度名簿!$D$3:$D$452,$AJ25),INDEX(前年度名簿!$D$3:$D$452,$AJ25)))</f>
        <v/>
      </c>
      <c r="U25" s="65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M$7:$M$456,MATCH($AJ25,振り分け!$P$7:$P$456,0))="転出","転出",IF(INDEX(振り分け!$L$7:$L$456,MATCH($AJ25,振り分け!$P$7:$P$456,0))="","未決定",INDEX(振り分け!$L$7:$L$456,MATCH($AJ25,振り分け!$P$7:$P$456,0)))),"未決定")))</f>
        <v/>
      </c>
      <c r="V25" s="65">
        <f>IF($AK25="","",IF(計算用!$B$1=1,INDEX(新年度名簿!$C$3:$C$452,$AK25),INDEX(前年度名簿!$C$3:$C$452,$AK25)))</f>
        <v/>
      </c>
      <c r="W25" s="66">
        <f>IF($AK25="","",IF(計算用!$B$1=1,INDEX(新年度名簿!$D$3:$D$452,$AK25),INDEX(前年度名簿!$D$3:$D$452,$AK25)))</f>
        <v/>
      </c>
      <c r="X25" s="65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M$7:$M$456,MATCH($AK25,振り分け!$P$7:$P$456,0))="転出","転出",IF(INDEX(振り分け!$L$7:$L$456,MATCH($AK25,振り分け!$P$7:$P$456,0))="","未決定",INDEX(振り分け!$L$7:$L$456,MATCH($AK25,振り分け!$P$7:$P$456,0)))),"未決定")))</f>
        <v/>
      </c>
      <c r="AD25" s="63">
        <f>IF(計算用!$B$1=1,IFERROR(IF(SMALL(新年度名簿!$J$3:$J$452,$AD$3+21)&lt;10000,MATCH(SMALL(新年度名簿!$J$3:$J$452,$AD$3+21),新年度名簿!$J$3:$J$452,0),""),""),IFERROR(IF(SMALL(前年度名簿!$G$3:$G$452,$AD$3+21)&lt;10000,MATCH(SMALL(前年度名簿!$G$3:$G$452,$AD$3+21),前年度名簿!$G$3:$G$452,0),""),""))</f>
        <v/>
      </c>
      <c r="AE25" s="63">
        <f>IF(計算用!$B$1=1,IFERROR(IF(SMALL(新年度名簿!$J$3:$J$452,$AE$3+21)&lt;11000,MATCH(SMALL(新年度名簿!$J$3:$J$452,$AE$3+21),新年度名簿!$J$3:$J$452,0),""),""),IFERROR(IF(SMALL(前年度名簿!$G$3:$G$452,$AE$3+21)&lt;11000,MATCH(SMALL(前年度名簿!$G$3:$G$452,$AE$3+21),前年度名簿!$G$3:$G$452,0),""),""))</f>
        <v/>
      </c>
      <c r="AF25" s="63">
        <f>IF(計算用!$B$1=1,IFERROR(IF(SMALL(新年度名簿!$J$3:$J$452,$AF$3+21)&lt;12000,MATCH(SMALL(新年度名簿!$J$3:$J$452,$AF$3+21),新年度名簿!$J$3:$J$452,0),""),""),IFERROR(IF(SMALL(前年度名簿!$G$3:$G$452,$AF$3+21)&lt;12000,MATCH(SMALL(前年度名簿!$G$3:$G$452,$AF$3+21),前年度名簿!$G$3:$G$452,0),""),""))</f>
        <v/>
      </c>
      <c r="AG25" s="63">
        <f>IF(計算用!$B$1=1,IFERROR(IF(SMALL(新年度名簿!$J$3:$J$452,$AG$3+21)&lt;13000,MATCH(SMALL(新年度名簿!$J$3:$J$452,$AG$3+21),新年度名簿!$J$3:$J$452,0),""),""),IFERROR(IF(SMALL(前年度名簿!$G$3:$G$452,$AG$3+21)&lt;13000,MATCH(SMALL(前年度名簿!$G$3:$G$452,$AG$3+21),前年度名簿!$G$3:$G$452,0),""),""))</f>
        <v/>
      </c>
      <c r="AH25" s="63">
        <f>IF(計算用!$B$1=1,IFERROR(IF(SMALL(新年度名簿!$J$3:$J$452,$AH$3+21)&lt;14000,MATCH(SMALL(新年度名簿!$J$3:$J$452,$AH$3+21),新年度名簿!$J$3:$J$452,0),""),""),IFERROR(IF(SMALL(前年度名簿!$G$3:$G$452,$AH$3+21)&lt;14000,MATCH(SMALL(前年度名簿!$G$3:$G$452,$AH$3+21),前年度名簿!$G$3:$G$452,0),""),""))</f>
        <v/>
      </c>
      <c r="AI25" s="63">
        <f>IF(計算用!$B$1=1,IFERROR(IF(SMALL(新年度名簿!$J$3:$J$452,$AI$3+21)&lt;15000,MATCH(SMALL(新年度名簿!$J$3:$J$452,$AI$3+21),新年度名簿!$J$3:$J$452,0),""),""),IFERROR(IF(SMALL(前年度名簿!$G$3:$G$452,$AI$3+21)&lt;15000,MATCH(SMALL(前年度名簿!$G$3:$G$452,$AI$3+21),前年度名簿!$G$3:$G$452,0),""),""))</f>
        <v/>
      </c>
      <c r="AJ25" s="63">
        <f>IF(計算用!$B$1=1,IFERROR(IF(SMALL(新年度名簿!$J$3:$J$452,$AJ$3+21)&lt;16000,MATCH(SMALL(新年度名簿!$J$3:$J$452,$AJ$3+21),新年度名簿!$J$3:$J$452,0),""),""),IFERROR(IF(SMALL(前年度名簿!$G$3:$G$452,$AJ$3+21)&lt;16000,MATCH(SMALL(前年度名簿!$G$3:$G$452,$AJ$3+21),前年度名簿!$G$3:$G$452,0),""),""))</f>
        <v/>
      </c>
      <c r="AK25" s="63">
        <f>IF(計算用!$B$1=1,IFERROR(IF(SMALL(新年度名簿!$J$3:$J$452,$AK$3+21)&lt;17000,MATCH(SMALL(新年度名簿!$J$3:$J$452,$AK$3+21),新年度名簿!$J$3:$J$452,0),""),""),IFERROR(IF(SMALL(前年度名簿!$G$3:$G$452,$AK$3+21)&lt;17000,MATCH(SMALL(前年度名簿!$G$3:$G$452,$AK$3+21),前年度名簿!$G$3:$G$452,0),""),""))</f>
        <v/>
      </c>
    </row>
    <row r="26">
      <c r="A26" s="65">
        <f>IF($AD26="","",IF(計算用!$B$1=1,INDEX(新年度名簿!$C$3:$C$452,$AD26),INDEX(前年度名簿!$C$3:$C$452,$AD26)))</f>
        <v/>
      </c>
      <c r="B26" s="66">
        <f>IF($AD26="","",IF(計算用!$B$1=1,INDEX(新年度名簿!$D$3:$D$452,$AD26),INDEX(前年度名簿!$D$3:$D$452,$AD26)))</f>
        <v/>
      </c>
      <c r="C26" s="65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M$7:$M$456,MATCH($AD26,振り分け!$P$7:$P$456,0))="転出","転出",IF(INDEX(振り分け!$L$7:$L$456,MATCH($AD26,振り分け!$P$7:$P$456,0))="","未決定",INDEX(振り分け!$L$7:$L$456,MATCH($AD26,振り分け!$P$7:$P$456,0)))),"未決定")))</f>
        <v/>
      </c>
      <c r="D26" s="65">
        <f>IF($AE26="","",IF(計算用!$B$1=1,INDEX(新年度名簿!$C$3:$C$452,$AE26),INDEX(前年度名簿!$C$3:$C$452,$AE26)))</f>
        <v/>
      </c>
      <c r="E26" s="66">
        <f>IF($AE26="","",IF(計算用!$B$1=1,INDEX(新年度名簿!$D$3:$D$452,$AE26),INDEX(前年度名簿!$D$3:$D$452,$AE26)))</f>
        <v/>
      </c>
      <c r="F26" s="65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M$7:$M$456,MATCH($AE26,振り分け!$P$7:$P$456,0))="転出","転出",IF(INDEX(振り分け!$L$7:$L$456,MATCH($AE26,振り分け!$P$7:$P$456,0))="","未決定",INDEX(振り分け!$L$7:$L$456,MATCH($AE26,振り分け!$P$7:$P$456,0)))),"未決定")))</f>
        <v/>
      </c>
      <c r="G26" s="65">
        <f>IF($AF26="","",IF(計算用!$B$1=1,INDEX(新年度名簿!$C$3:$C$452,$AF26),INDEX(前年度名簿!$C$3:$C$452,$AF26)))</f>
        <v/>
      </c>
      <c r="H26" s="66">
        <f>IF($AF26="","",IF(計算用!$B$1=1,INDEX(新年度名簿!$D$3:$D$452,$AF26),INDEX(前年度名簿!$D$3:$D$452,$AF26)))</f>
        <v/>
      </c>
      <c r="I26" s="65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M$7:$M$456,MATCH($AF26,振り分け!$P$7:$P$456,0))="転出","転出",IF(INDEX(振り分け!$L$7:$L$456,MATCH($AF26,振り分け!$P$7:$P$456,0))="","未決定",INDEX(振り分け!$L$7:$L$456,MATCH($AF26,振り分け!$P$7:$P$456,0)))),"未決定")))</f>
        <v/>
      </c>
      <c r="J26" s="65">
        <f>IF($AG26="","",IF(計算用!$B$1=1,INDEX(新年度名簿!$C$3:$C$452,$AG26),INDEX(前年度名簿!$C$3:$C$452,$AG26)))</f>
        <v/>
      </c>
      <c r="K26" s="66">
        <f>IF($AG26="","",IF(計算用!$B$1=1,INDEX(新年度名簿!$D$3:$D$452,$AG26),INDEX(前年度名簿!$D$3:$D$452,$AG26)))</f>
        <v/>
      </c>
      <c r="L26" s="65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M$7:$M$456,MATCH($AG26,振り分け!$P$7:$P$456,0))="転出","転出",IF(INDEX(振り分け!$L$7:$L$456,MATCH($AG26,振り分け!$P$7:$P$456,0))="","未決定",INDEX(振り分け!$L$7:$L$456,MATCH($AG26,振り分け!$P$7:$P$456,0)))),"未決定")))</f>
        <v/>
      </c>
      <c r="M26" s="65">
        <f>IF($AH26="","",IF(計算用!$B$1=1,INDEX(新年度名簿!$C$3:$C$452,$AH26),INDEX(前年度名簿!$C$3:$C$452,$AH26)))</f>
        <v/>
      </c>
      <c r="N26" s="66">
        <f>IF($AH26="","",IF(計算用!$B$1=1,INDEX(新年度名簿!$D$3:$D$452,$AH26),INDEX(前年度名簿!$D$3:$D$452,$AH26)))</f>
        <v/>
      </c>
      <c r="O26" s="65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M$7:$M$456,MATCH($AH26,振り分け!$P$7:$P$456,0))="転出","転出",IF(INDEX(振り分け!$L$7:$L$456,MATCH($AH26,振り分け!$P$7:$P$456,0))="","未決定",INDEX(振り分け!$L$7:$L$456,MATCH($AH26,振り分け!$P$7:$P$456,0)))),"未決定")))</f>
        <v/>
      </c>
      <c r="P26" s="65">
        <f>IF($AI26="","",IF(計算用!$B$1=1,INDEX(新年度名簿!$C$3:$C$452,$AI26),INDEX(前年度名簿!$C$3:$C$452,$AI26)))</f>
        <v/>
      </c>
      <c r="Q26" s="66">
        <f>IF($AI26="","",IF(計算用!$B$1=1,INDEX(新年度名簿!$D$3:$D$452,$AI26),INDEX(前年度名簿!$D$3:$D$452,$AI26)))</f>
        <v/>
      </c>
      <c r="R26" s="65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M$7:$M$456,MATCH($AI26,振り分け!$P$7:$P$456,0))="転出","転出",IF(INDEX(振り分け!$L$7:$L$456,MATCH($AI26,振り分け!$P$7:$P$456,0))="","未決定",INDEX(振り分け!$L$7:$L$456,MATCH($AI26,振り分け!$P$7:$P$456,0)))),"未決定")))</f>
        <v/>
      </c>
      <c r="S26" s="65">
        <f>IF($AJ26="","",IF(計算用!$B$1=1,INDEX(新年度名簿!$C$3:$C$452,$AJ26),INDEX(前年度名簿!$C$3:$C$452,$AJ26)))</f>
        <v/>
      </c>
      <c r="T26" s="66">
        <f>IF($AJ26="","",IF(計算用!$B$1=1,INDEX(新年度名簿!$D$3:$D$452,$AJ26),INDEX(前年度名簿!$D$3:$D$452,$AJ26)))</f>
        <v/>
      </c>
      <c r="U26" s="65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M$7:$M$456,MATCH($AJ26,振り分け!$P$7:$P$456,0))="転出","転出",IF(INDEX(振り分け!$L$7:$L$456,MATCH($AJ26,振り分け!$P$7:$P$456,0))="","未決定",INDEX(振り分け!$L$7:$L$456,MATCH($AJ26,振り分け!$P$7:$P$456,0)))),"未決定")))</f>
        <v/>
      </c>
      <c r="V26" s="65">
        <f>IF($AK26="","",IF(計算用!$B$1=1,INDEX(新年度名簿!$C$3:$C$452,$AK26),INDEX(前年度名簿!$C$3:$C$452,$AK26)))</f>
        <v/>
      </c>
      <c r="W26" s="66">
        <f>IF($AK26="","",IF(計算用!$B$1=1,INDEX(新年度名簿!$D$3:$D$452,$AK26),INDEX(前年度名簿!$D$3:$D$452,$AK26)))</f>
        <v/>
      </c>
      <c r="X26" s="65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M$7:$M$456,MATCH($AK26,振り分け!$P$7:$P$456,0))="転出","転出",IF(INDEX(振り分け!$L$7:$L$456,MATCH($AK26,振り分け!$P$7:$P$456,0))="","未決定",INDEX(振り分け!$L$7:$L$456,MATCH($AK26,振り分け!$P$7:$P$456,0)))),"未決定")))</f>
        <v/>
      </c>
      <c r="AD26" s="63">
        <f>IF(計算用!$B$1=1,IFERROR(IF(SMALL(新年度名簿!$J$3:$J$452,$AD$3+22)&lt;10000,MATCH(SMALL(新年度名簿!$J$3:$J$452,$AD$3+22),新年度名簿!$J$3:$J$452,0),""),""),IFERROR(IF(SMALL(前年度名簿!$G$3:$G$452,$AD$3+22)&lt;10000,MATCH(SMALL(前年度名簿!$G$3:$G$452,$AD$3+22),前年度名簿!$G$3:$G$452,0),""),""))</f>
        <v/>
      </c>
      <c r="AE26" s="63">
        <f>IF(計算用!$B$1=1,IFERROR(IF(SMALL(新年度名簿!$J$3:$J$452,$AE$3+22)&lt;11000,MATCH(SMALL(新年度名簿!$J$3:$J$452,$AE$3+22),新年度名簿!$J$3:$J$452,0),""),""),IFERROR(IF(SMALL(前年度名簿!$G$3:$G$452,$AE$3+22)&lt;11000,MATCH(SMALL(前年度名簿!$G$3:$G$452,$AE$3+22),前年度名簿!$G$3:$G$452,0),""),""))</f>
        <v/>
      </c>
      <c r="AF26" s="63">
        <f>IF(計算用!$B$1=1,IFERROR(IF(SMALL(新年度名簿!$J$3:$J$452,$AF$3+22)&lt;12000,MATCH(SMALL(新年度名簿!$J$3:$J$452,$AF$3+22),新年度名簿!$J$3:$J$452,0),""),""),IFERROR(IF(SMALL(前年度名簿!$G$3:$G$452,$AF$3+22)&lt;12000,MATCH(SMALL(前年度名簿!$G$3:$G$452,$AF$3+22),前年度名簿!$G$3:$G$452,0),""),""))</f>
        <v/>
      </c>
      <c r="AG26" s="63">
        <f>IF(計算用!$B$1=1,IFERROR(IF(SMALL(新年度名簿!$J$3:$J$452,$AG$3+22)&lt;13000,MATCH(SMALL(新年度名簿!$J$3:$J$452,$AG$3+22),新年度名簿!$J$3:$J$452,0),""),""),IFERROR(IF(SMALL(前年度名簿!$G$3:$G$452,$AG$3+22)&lt;13000,MATCH(SMALL(前年度名簿!$G$3:$G$452,$AG$3+22),前年度名簿!$G$3:$G$452,0),""),""))</f>
        <v/>
      </c>
      <c r="AH26" s="63">
        <f>IF(計算用!$B$1=1,IFERROR(IF(SMALL(新年度名簿!$J$3:$J$452,$AH$3+22)&lt;14000,MATCH(SMALL(新年度名簿!$J$3:$J$452,$AH$3+22),新年度名簿!$J$3:$J$452,0),""),""),IFERROR(IF(SMALL(前年度名簿!$G$3:$G$452,$AH$3+22)&lt;14000,MATCH(SMALL(前年度名簿!$G$3:$G$452,$AH$3+22),前年度名簿!$G$3:$G$452,0),""),""))</f>
        <v/>
      </c>
      <c r="AI26" s="63">
        <f>IF(計算用!$B$1=1,IFERROR(IF(SMALL(新年度名簿!$J$3:$J$452,$AI$3+22)&lt;15000,MATCH(SMALL(新年度名簿!$J$3:$J$452,$AI$3+22),新年度名簿!$J$3:$J$452,0),""),""),IFERROR(IF(SMALL(前年度名簿!$G$3:$G$452,$AI$3+22)&lt;15000,MATCH(SMALL(前年度名簿!$G$3:$G$452,$AI$3+22),前年度名簿!$G$3:$G$452,0),""),""))</f>
        <v/>
      </c>
      <c r="AJ26" s="63">
        <f>IF(計算用!$B$1=1,IFERROR(IF(SMALL(新年度名簿!$J$3:$J$452,$AJ$3+22)&lt;16000,MATCH(SMALL(新年度名簿!$J$3:$J$452,$AJ$3+22),新年度名簿!$J$3:$J$452,0),""),""),IFERROR(IF(SMALL(前年度名簿!$G$3:$G$452,$AJ$3+22)&lt;16000,MATCH(SMALL(前年度名簿!$G$3:$G$452,$AJ$3+22),前年度名簿!$G$3:$G$452,0),""),""))</f>
        <v/>
      </c>
      <c r="AK26" s="63">
        <f>IF(計算用!$B$1=1,IFERROR(IF(SMALL(新年度名簿!$J$3:$J$452,$AK$3+22)&lt;17000,MATCH(SMALL(新年度名簿!$J$3:$J$452,$AK$3+22),新年度名簿!$J$3:$J$452,0),""),""),IFERROR(IF(SMALL(前年度名簿!$G$3:$G$452,$AK$3+22)&lt;17000,MATCH(SMALL(前年度名簿!$G$3:$G$452,$AK$3+22),前年度名簿!$G$3:$G$452,0),""),""))</f>
        <v/>
      </c>
    </row>
    <row r="27">
      <c r="A27" s="65">
        <f>IF($AD27="","",IF(計算用!$B$1=1,INDEX(新年度名簿!$C$3:$C$452,$AD27),INDEX(前年度名簿!$C$3:$C$452,$AD27)))</f>
        <v/>
      </c>
      <c r="B27" s="66">
        <f>IF($AD27="","",IF(計算用!$B$1=1,INDEX(新年度名簿!$D$3:$D$452,$AD27),INDEX(前年度名簿!$D$3:$D$452,$AD27)))</f>
        <v/>
      </c>
      <c r="C27" s="65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M$7:$M$456,MATCH($AD27,振り分け!$P$7:$P$456,0))="転出","転出",IF(INDEX(振り分け!$L$7:$L$456,MATCH($AD27,振り分け!$P$7:$P$456,0))="","未決定",INDEX(振り分け!$L$7:$L$456,MATCH($AD27,振り分け!$P$7:$P$456,0)))),"未決定")))</f>
        <v/>
      </c>
      <c r="D27" s="65">
        <f>IF($AE27="","",IF(計算用!$B$1=1,INDEX(新年度名簿!$C$3:$C$452,$AE27),INDEX(前年度名簿!$C$3:$C$452,$AE27)))</f>
        <v/>
      </c>
      <c r="E27" s="66">
        <f>IF($AE27="","",IF(計算用!$B$1=1,INDEX(新年度名簿!$D$3:$D$452,$AE27),INDEX(前年度名簿!$D$3:$D$452,$AE27)))</f>
        <v/>
      </c>
      <c r="F27" s="65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M$7:$M$456,MATCH($AE27,振り分け!$P$7:$P$456,0))="転出","転出",IF(INDEX(振り分け!$L$7:$L$456,MATCH($AE27,振り分け!$P$7:$P$456,0))="","未決定",INDEX(振り分け!$L$7:$L$456,MATCH($AE27,振り分け!$P$7:$P$456,0)))),"未決定")))</f>
        <v/>
      </c>
      <c r="G27" s="65">
        <f>IF($AF27="","",IF(計算用!$B$1=1,INDEX(新年度名簿!$C$3:$C$452,$AF27),INDEX(前年度名簿!$C$3:$C$452,$AF27)))</f>
        <v/>
      </c>
      <c r="H27" s="66">
        <f>IF($AF27="","",IF(計算用!$B$1=1,INDEX(新年度名簿!$D$3:$D$452,$AF27),INDEX(前年度名簿!$D$3:$D$452,$AF27)))</f>
        <v/>
      </c>
      <c r="I27" s="65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M$7:$M$456,MATCH($AF27,振り分け!$P$7:$P$456,0))="転出","転出",IF(INDEX(振り分け!$L$7:$L$456,MATCH($AF27,振り分け!$P$7:$P$456,0))="","未決定",INDEX(振り分け!$L$7:$L$456,MATCH($AF27,振り分け!$P$7:$P$456,0)))),"未決定")))</f>
        <v/>
      </c>
      <c r="J27" s="65">
        <f>IF($AG27="","",IF(計算用!$B$1=1,INDEX(新年度名簿!$C$3:$C$452,$AG27),INDEX(前年度名簿!$C$3:$C$452,$AG27)))</f>
        <v/>
      </c>
      <c r="K27" s="66">
        <f>IF($AG27="","",IF(計算用!$B$1=1,INDEX(新年度名簿!$D$3:$D$452,$AG27),INDEX(前年度名簿!$D$3:$D$452,$AG27)))</f>
        <v/>
      </c>
      <c r="L27" s="65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M$7:$M$456,MATCH($AG27,振り分け!$P$7:$P$456,0))="転出","転出",IF(INDEX(振り分け!$L$7:$L$456,MATCH($AG27,振り分け!$P$7:$P$456,0))="","未決定",INDEX(振り分け!$L$7:$L$456,MATCH($AG27,振り分け!$P$7:$P$456,0)))),"未決定")))</f>
        <v/>
      </c>
      <c r="M27" s="65">
        <f>IF($AH27="","",IF(計算用!$B$1=1,INDEX(新年度名簿!$C$3:$C$452,$AH27),INDEX(前年度名簿!$C$3:$C$452,$AH27)))</f>
        <v/>
      </c>
      <c r="N27" s="66">
        <f>IF($AH27="","",IF(計算用!$B$1=1,INDEX(新年度名簿!$D$3:$D$452,$AH27),INDEX(前年度名簿!$D$3:$D$452,$AH27)))</f>
        <v/>
      </c>
      <c r="O27" s="65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M$7:$M$456,MATCH($AH27,振り分け!$P$7:$P$456,0))="転出","転出",IF(INDEX(振り分け!$L$7:$L$456,MATCH($AH27,振り分け!$P$7:$P$456,0))="","未決定",INDEX(振り分け!$L$7:$L$456,MATCH($AH27,振り分け!$P$7:$P$456,0)))),"未決定")))</f>
        <v/>
      </c>
      <c r="P27" s="65">
        <f>IF($AI27="","",IF(計算用!$B$1=1,INDEX(新年度名簿!$C$3:$C$452,$AI27),INDEX(前年度名簿!$C$3:$C$452,$AI27)))</f>
        <v/>
      </c>
      <c r="Q27" s="66">
        <f>IF($AI27="","",IF(計算用!$B$1=1,INDEX(新年度名簿!$D$3:$D$452,$AI27),INDEX(前年度名簿!$D$3:$D$452,$AI27)))</f>
        <v/>
      </c>
      <c r="R27" s="65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M$7:$M$456,MATCH($AI27,振り分け!$P$7:$P$456,0))="転出","転出",IF(INDEX(振り分け!$L$7:$L$456,MATCH($AI27,振り分け!$P$7:$P$456,0))="","未決定",INDEX(振り分け!$L$7:$L$456,MATCH($AI27,振り分け!$P$7:$P$456,0)))),"未決定")))</f>
        <v/>
      </c>
      <c r="S27" s="65">
        <f>IF($AJ27="","",IF(計算用!$B$1=1,INDEX(新年度名簿!$C$3:$C$452,$AJ27),INDEX(前年度名簿!$C$3:$C$452,$AJ27)))</f>
        <v/>
      </c>
      <c r="T27" s="66">
        <f>IF($AJ27="","",IF(計算用!$B$1=1,INDEX(新年度名簿!$D$3:$D$452,$AJ27),INDEX(前年度名簿!$D$3:$D$452,$AJ27)))</f>
        <v/>
      </c>
      <c r="U27" s="65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M$7:$M$456,MATCH($AJ27,振り分け!$P$7:$P$456,0))="転出","転出",IF(INDEX(振り分け!$L$7:$L$456,MATCH($AJ27,振り分け!$P$7:$P$456,0))="","未決定",INDEX(振り分け!$L$7:$L$456,MATCH($AJ27,振り分け!$P$7:$P$456,0)))),"未決定")))</f>
        <v/>
      </c>
      <c r="V27" s="65">
        <f>IF($AK27="","",IF(計算用!$B$1=1,INDEX(新年度名簿!$C$3:$C$452,$AK27),INDEX(前年度名簿!$C$3:$C$452,$AK27)))</f>
        <v/>
      </c>
      <c r="W27" s="66">
        <f>IF($AK27="","",IF(計算用!$B$1=1,INDEX(新年度名簿!$D$3:$D$452,$AK27),INDEX(前年度名簿!$D$3:$D$452,$AK27)))</f>
        <v/>
      </c>
      <c r="X27" s="65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M$7:$M$456,MATCH($AK27,振り分け!$P$7:$P$456,0))="転出","転出",IF(INDEX(振り分け!$L$7:$L$456,MATCH($AK27,振り分け!$P$7:$P$456,0))="","未決定",INDEX(振り分け!$L$7:$L$456,MATCH($AK27,振り分け!$P$7:$P$456,0)))),"未決定")))</f>
        <v/>
      </c>
      <c r="AD27" s="63">
        <f>IF(計算用!$B$1=1,IFERROR(IF(SMALL(新年度名簿!$J$3:$J$452,$AD$3+23)&lt;10000,MATCH(SMALL(新年度名簿!$J$3:$J$452,$AD$3+23),新年度名簿!$J$3:$J$452,0),""),""),IFERROR(IF(SMALL(前年度名簿!$G$3:$G$452,$AD$3+23)&lt;10000,MATCH(SMALL(前年度名簿!$G$3:$G$452,$AD$3+23),前年度名簿!$G$3:$G$452,0),""),""))</f>
        <v/>
      </c>
      <c r="AE27" s="63">
        <f>IF(計算用!$B$1=1,IFERROR(IF(SMALL(新年度名簿!$J$3:$J$452,$AE$3+23)&lt;11000,MATCH(SMALL(新年度名簿!$J$3:$J$452,$AE$3+23),新年度名簿!$J$3:$J$452,0),""),""),IFERROR(IF(SMALL(前年度名簿!$G$3:$G$452,$AE$3+23)&lt;11000,MATCH(SMALL(前年度名簿!$G$3:$G$452,$AE$3+23),前年度名簿!$G$3:$G$452,0),""),""))</f>
        <v/>
      </c>
      <c r="AF27" s="63">
        <f>IF(計算用!$B$1=1,IFERROR(IF(SMALL(新年度名簿!$J$3:$J$452,$AF$3+23)&lt;12000,MATCH(SMALL(新年度名簿!$J$3:$J$452,$AF$3+23),新年度名簿!$J$3:$J$452,0),""),""),IFERROR(IF(SMALL(前年度名簿!$G$3:$G$452,$AF$3+23)&lt;12000,MATCH(SMALL(前年度名簿!$G$3:$G$452,$AF$3+23),前年度名簿!$G$3:$G$452,0),""),""))</f>
        <v/>
      </c>
      <c r="AG27" s="63">
        <f>IF(計算用!$B$1=1,IFERROR(IF(SMALL(新年度名簿!$J$3:$J$452,$AG$3+23)&lt;13000,MATCH(SMALL(新年度名簿!$J$3:$J$452,$AG$3+23),新年度名簿!$J$3:$J$452,0),""),""),IFERROR(IF(SMALL(前年度名簿!$G$3:$G$452,$AG$3+23)&lt;13000,MATCH(SMALL(前年度名簿!$G$3:$G$452,$AG$3+23),前年度名簿!$G$3:$G$452,0),""),""))</f>
        <v/>
      </c>
      <c r="AH27" s="63">
        <f>IF(計算用!$B$1=1,IFERROR(IF(SMALL(新年度名簿!$J$3:$J$452,$AH$3+23)&lt;14000,MATCH(SMALL(新年度名簿!$J$3:$J$452,$AH$3+23),新年度名簿!$J$3:$J$452,0),""),""),IFERROR(IF(SMALL(前年度名簿!$G$3:$G$452,$AH$3+23)&lt;14000,MATCH(SMALL(前年度名簿!$G$3:$G$452,$AH$3+23),前年度名簿!$G$3:$G$452,0),""),""))</f>
        <v/>
      </c>
      <c r="AI27" s="63">
        <f>IF(計算用!$B$1=1,IFERROR(IF(SMALL(新年度名簿!$J$3:$J$452,$AI$3+23)&lt;15000,MATCH(SMALL(新年度名簿!$J$3:$J$452,$AI$3+23),新年度名簿!$J$3:$J$452,0),""),""),IFERROR(IF(SMALL(前年度名簿!$G$3:$G$452,$AI$3+23)&lt;15000,MATCH(SMALL(前年度名簿!$G$3:$G$452,$AI$3+23),前年度名簿!$G$3:$G$452,0),""),""))</f>
        <v/>
      </c>
      <c r="AJ27" s="63">
        <f>IF(計算用!$B$1=1,IFERROR(IF(SMALL(新年度名簿!$J$3:$J$452,$AJ$3+23)&lt;16000,MATCH(SMALL(新年度名簿!$J$3:$J$452,$AJ$3+23),新年度名簿!$J$3:$J$452,0),""),""),IFERROR(IF(SMALL(前年度名簿!$G$3:$G$452,$AJ$3+23)&lt;16000,MATCH(SMALL(前年度名簿!$G$3:$G$452,$AJ$3+23),前年度名簿!$G$3:$G$452,0),""),""))</f>
        <v/>
      </c>
      <c r="AK27" s="63">
        <f>IF(計算用!$B$1=1,IFERROR(IF(SMALL(新年度名簿!$J$3:$J$452,$AK$3+23)&lt;17000,MATCH(SMALL(新年度名簿!$J$3:$J$452,$AK$3+23),新年度名簿!$J$3:$J$452,0),""),""),IFERROR(IF(SMALL(前年度名簿!$G$3:$G$452,$AK$3+23)&lt;17000,MATCH(SMALL(前年度名簿!$G$3:$G$452,$AK$3+23),前年度名簿!$G$3:$G$452,0),""),""))</f>
        <v/>
      </c>
    </row>
    <row r="28">
      <c r="A28" s="65">
        <f>IF($AD28="","",IF(計算用!$B$1=1,INDEX(新年度名簿!$C$3:$C$452,$AD28),INDEX(前年度名簿!$C$3:$C$452,$AD28)))</f>
        <v/>
      </c>
      <c r="B28" s="66">
        <f>IF($AD28="","",IF(計算用!$B$1=1,INDEX(新年度名簿!$D$3:$D$452,$AD28),INDEX(前年度名簿!$D$3:$D$452,$AD28)))</f>
        <v/>
      </c>
      <c r="C28" s="65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M$7:$M$456,MATCH($AD28,振り分け!$P$7:$P$456,0))="転出","転出",IF(INDEX(振り分け!$L$7:$L$456,MATCH($AD28,振り分け!$P$7:$P$456,0))="","未決定",INDEX(振り分け!$L$7:$L$456,MATCH($AD28,振り分け!$P$7:$P$456,0)))),"未決定")))</f>
        <v/>
      </c>
      <c r="D28" s="65">
        <f>IF($AE28="","",IF(計算用!$B$1=1,INDEX(新年度名簿!$C$3:$C$452,$AE28),INDEX(前年度名簿!$C$3:$C$452,$AE28)))</f>
        <v/>
      </c>
      <c r="E28" s="66">
        <f>IF($AE28="","",IF(計算用!$B$1=1,INDEX(新年度名簿!$D$3:$D$452,$AE28),INDEX(前年度名簿!$D$3:$D$452,$AE28)))</f>
        <v/>
      </c>
      <c r="F28" s="65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M$7:$M$456,MATCH($AE28,振り分け!$P$7:$P$456,0))="転出","転出",IF(INDEX(振り分け!$L$7:$L$456,MATCH($AE28,振り分け!$P$7:$P$456,0))="","未決定",INDEX(振り分け!$L$7:$L$456,MATCH($AE28,振り分け!$P$7:$P$456,0)))),"未決定")))</f>
        <v/>
      </c>
      <c r="G28" s="65">
        <f>IF($AF28="","",IF(計算用!$B$1=1,INDEX(新年度名簿!$C$3:$C$452,$AF28),INDEX(前年度名簿!$C$3:$C$452,$AF28)))</f>
        <v/>
      </c>
      <c r="H28" s="66">
        <f>IF($AF28="","",IF(計算用!$B$1=1,INDEX(新年度名簿!$D$3:$D$452,$AF28),INDEX(前年度名簿!$D$3:$D$452,$AF28)))</f>
        <v/>
      </c>
      <c r="I28" s="65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M$7:$M$456,MATCH($AF28,振り分け!$P$7:$P$456,0))="転出","転出",IF(INDEX(振り分け!$L$7:$L$456,MATCH($AF28,振り分け!$P$7:$P$456,0))="","未決定",INDEX(振り分け!$L$7:$L$456,MATCH($AF28,振り分け!$P$7:$P$456,0)))),"未決定")))</f>
        <v/>
      </c>
      <c r="J28" s="65">
        <f>IF($AG28="","",IF(計算用!$B$1=1,INDEX(新年度名簿!$C$3:$C$452,$AG28),INDEX(前年度名簿!$C$3:$C$452,$AG28)))</f>
        <v/>
      </c>
      <c r="K28" s="66">
        <f>IF($AG28="","",IF(計算用!$B$1=1,INDEX(新年度名簿!$D$3:$D$452,$AG28),INDEX(前年度名簿!$D$3:$D$452,$AG28)))</f>
        <v/>
      </c>
      <c r="L28" s="65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M$7:$M$456,MATCH($AG28,振り分け!$P$7:$P$456,0))="転出","転出",IF(INDEX(振り分け!$L$7:$L$456,MATCH($AG28,振り分け!$P$7:$P$456,0))="","未決定",INDEX(振り分け!$L$7:$L$456,MATCH($AG28,振り分け!$P$7:$P$456,0)))),"未決定")))</f>
        <v/>
      </c>
      <c r="M28" s="65">
        <f>IF($AH28="","",IF(計算用!$B$1=1,INDEX(新年度名簿!$C$3:$C$452,$AH28),INDEX(前年度名簿!$C$3:$C$452,$AH28)))</f>
        <v/>
      </c>
      <c r="N28" s="66">
        <f>IF($AH28="","",IF(計算用!$B$1=1,INDEX(新年度名簿!$D$3:$D$452,$AH28),INDEX(前年度名簿!$D$3:$D$452,$AH28)))</f>
        <v/>
      </c>
      <c r="O28" s="65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M$7:$M$456,MATCH($AH28,振り分け!$P$7:$P$456,0))="転出","転出",IF(INDEX(振り分け!$L$7:$L$456,MATCH($AH28,振り分け!$P$7:$P$456,0))="","未決定",INDEX(振り分け!$L$7:$L$456,MATCH($AH28,振り分け!$P$7:$P$456,0)))),"未決定")))</f>
        <v/>
      </c>
      <c r="P28" s="65">
        <f>IF($AI28="","",IF(計算用!$B$1=1,INDEX(新年度名簿!$C$3:$C$452,$AI28),INDEX(前年度名簿!$C$3:$C$452,$AI28)))</f>
        <v/>
      </c>
      <c r="Q28" s="66">
        <f>IF($AI28="","",IF(計算用!$B$1=1,INDEX(新年度名簿!$D$3:$D$452,$AI28),INDEX(前年度名簿!$D$3:$D$452,$AI28)))</f>
        <v/>
      </c>
      <c r="R28" s="65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M$7:$M$456,MATCH($AI28,振り分け!$P$7:$P$456,0))="転出","転出",IF(INDEX(振り分け!$L$7:$L$456,MATCH($AI28,振り分け!$P$7:$P$456,0))="","未決定",INDEX(振り分け!$L$7:$L$456,MATCH($AI28,振り分け!$P$7:$P$456,0)))),"未決定")))</f>
        <v/>
      </c>
      <c r="S28" s="65">
        <f>IF($AJ28="","",IF(計算用!$B$1=1,INDEX(新年度名簿!$C$3:$C$452,$AJ28),INDEX(前年度名簿!$C$3:$C$452,$AJ28)))</f>
        <v/>
      </c>
      <c r="T28" s="66">
        <f>IF($AJ28="","",IF(計算用!$B$1=1,INDEX(新年度名簿!$D$3:$D$452,$AJ28),INDEX(前年度名簿!$D$3:$D$452,$AJ28)))</f>
        <v/>
      </c>
      <c r="U28" s="65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M$7:$M$456,MATCH($AJ28,振り分け!$P$7:$P$456,0))="転出","転出",IF(INDEX(振り分け!$L$7:$L$456,MATCH($AJ28,振り分け!$P$7:$P$456,0))="","未決定",INDEX(振り分け!$L$7:$L$456,MATCH($AJ28,振り分け!$P$7:$P$456,0)))),"未決定")))</f>
        <v/>
      </c>
      <c r="V28" s="65">
        <f>IF($AK28="","",IF(計算用!$B$1=1,INDEX(新年度名簿!$C$3:$C$452,$AK28),INDEX(前年度名簿!$C$3:$C$452,$AK28)))</f>
        <v/>
      </c>
      <c r="W28" s="66">
        <f>IF($AK28="","",IF(計算用!$B$1=1,INDEX(新年度名簿!$D$3:$D$452,$AK28),INDEX(前年度名簿!$D$3:$D$452,$AK28)))</f>
        <v/>
      </c>
      <c r="X28" s="65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M$7:$M$456,MATCH($AK28,振り分け!$P$7:$P$456,0))="転出","転出",IF(INDEX(振り分け!$L$7:$L$456,MATCH($AK28,振り分け!$P$7:$P$456,0))="","未決定",INDEX(振り分け!$L$7:$L$456,MATCH($AK28,振り分け!$P$7:$P$456,0)))),"未決定")))</f>
        <v/>
      </c>
      <c r="AD28" s="63">
        <f>IF(計算用!$B$1=1,IFERROR(IF(SMALL(新年度名簿!$J$3:$J$452,$AD$3+24)&lt;10000,MATCH(SMALL(新年度名簿!$J$3:$J$452,$AD$3+24),新年度名簿!$J$3:$J$452,0),""),""),IFERROR(IF(SMALL(前年度名簿!$G$3:$G$452,$AD$3+24)&lt;10000,MATCH(SMALL(前年度名簿!$G$3:$G$452,$AD$3+24),前年度名簿!$G$3:$G$452,0),""),""))</f>
        <v/>
      </c>
      <c r="AE28" s="63">
        <f>IF(計算用!$B$1=1,IFERROR(IF(SMALL(新年度名簿!$J$3:$J$452,$AE$3+24)&lt;11000,MATCH(SMALL(新年度名簿!$J$3:$J$452,$AE$3+24),新年度名簿!$J$3:$J$452,0),""),""),IFERROR(IF(SMALL(前年度名簿!$G$3:$G$452,$AE$3+24)&lt;11000,MATCH(SMALL(前年度名簿!$G$3:$G$452,$AE$3+24),前年度名簿!$G$3:$G$452,0),""),""))</f>
        <v/>
      </c>
      <c r="AF28" s="63">
        <f>IF(計算用!$B$1=1,IFERROR(IF(SMALL(新年度名簿!$J$3:$J$452,$AF$3+24)&lt;12000,MATCH(SMALL(新年度名簿!$J$3:$J$452,$AF$3+24),新年度名簿!$J$3:$J$452,0),""),""),IFERROR(IF(SMALL(前年度名簿!$G$3:$G$452,$AF$3+24)&lt;12000,MATCH(SMALL(前年度名簿!$G$3:$G$452,$AF$3+24),前年度名簿!$G$3:$G$452,0),""),""))</f>
        <v/>
      </c>
      <c r="AG28" s="63">
        <f>IF(計算用!$B$1=1,IFERROR(IF(SMALL(新年度名簿!$J$3:$J$452,$AG$3+24)&lt;13000,MATCH(SMALL(新年度名簿!$J$3:$J$452,$AG$3+24),新年度名簿!$J$3:$J$452,0),""),""),IFERROR(IF(SMALL(前年度名簿!$G$3:$G$452,$AG$3+24)&lt;13000,MATCH(SMALL(前年度名簿!$G$3:$G$452,$AG$3+24),前年度名簿!$G$3:$G$452,0),""),""))</f>
        <v/>
      </c>
      <c r="AH28" s="63">
        <f>IF(計算用!$B$1=1,IFERROR(IF(SMALL(新年度名簿!$J$3:$J$452,$AH$3+24)&lt;14000,MATCH(SMALL(新年度名簿!$J$3:$J$452,$AH$3+24),新年度名簿!$J$3:$J$452,0),""),""),IFERROR(IF(SMALL(前年度名簿!$G$3:$G$452,$AH$3+24)&lt;14000,MATCH(SMALL(前年度名簿!$G$3:$G$452,$AH$3+24),前年度名簿!$G$3:$G$452,0),""),""))</f>
        <v/>
      </c>
      <c r="AI28" s="63">
        <f>IF(計算用!$B$1=1,IFERROR(IF(SMALL(新年度名簿!$J$3:$J$452,$AI$3+24)&lt;15000,MATCH(SMALL(新年度名簿!$J$3:$J$452,$AI$3+24),新年度名簿!$J$3:$J$452,0),""),""),IFERROR(IF(SMALL(前年度名簿!$G$3:$G$452,$AI$3+24)&lt;15000,MATCH(SMALL(前年度名簿!$G$3:$G$452,$AI$3+24),前年度名簿!$G$3:$G$452,0),""),""))</f>
        <v/>
      </c>
      <c r="AJ28" s="63">
        <f>IF(計算用!$B$1=1,IFERROR(IF(SMALL(新年度名簿!$J$3:$J$452,$AJ$3+24)&lt;16000,MATCH(SMALL(新年度名簿!$J$3:$J$452,$AJ$3+24),新年度名簿!$J$3:$J$452,0),""),""),IFERROR(IF(SMALL(前年度名簿!$G$3:$G$452,$AJ$3+24)&lt;16000,MATCH(SMALL(前年度名簿!$G$3:$G$452,$AJ$3+24),前年度名簿!$G$3:$G$452,0),""),""))</f>
        <v/>
      </c>
      <c r="AK28" s="63">
        <f>IF(計算用!$B$1=1,IFERROR(IF(SMALL(新年度名簿!$J$3:$J$452,$AK$3+24)&lt;17000,MATCH(SMALL(新年度名簿!$J$3:$J$452,$AK$3+24),新年度名簿!$J$3:$J$452,0),""),""),IFERROR(IF(SMALL(前年度名簿!$G$3:$G$452,$AK$3+24)&lt;17000,MATCH(SMALL(前年度名簿!$G$3:$G$452,$AK$3+24),前年度名簿!$G$3:$G$452,0),""),""))</f>
        <v/>
      </c>
    </row>
    <row r="29">
      <c r="A29" s="65">
        <f>IF($AD29="","",IF(計算用!$B$1=1,INDEX(新年度名簿!$C$3:$C$452,$AD29),INDEX(前年度名簿!$C$3:$C$452,$AD29)))</f>
        <v/>
      </c>
      <c r="B29" s="66">
        <f>IF($AD29="","",IF(計算用!$B$1=1,INDEX(新年度名簿!$D$3:$D$452,$AD29),INDEX(前年度名簿!$D$3:$D$452,$AD29)))</f>
        <v/>
      </c>
      <c r="C29" s="65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M$7:$M$456,MATCH($AD29,振り分け!$P$7:$P$456,0))="転出","転出",IF(INDEX(振り分け!$L$7:$L$456,MATCH($AD29,振り分け!$P$7:$P$456,0))="","未決定",INDEX(振り分け!$L$7:$L$456,MATCH($AD29,振り分け!$P$7:$P$456,0)))),"未決定")))</f>
        <v/>
      </c>
      <c r="D29" s="65">
        <f>IF($AE29="","",IF(計算用!$B$1=1,INDEX(新年度名簿!$C$3:$C$452,$AE29),INDEX(前年度名簿!$C$3:$C$452,$AE29)))</f>
        <v/>
      </c>
      <c r="E29" s="66">
        <f>IF($AE29="","",IF(計算用!$B$1=1,INDEX(新年度名簿!$D$3:$D$452,$AE29),INDEX(前年度名簿!$D$3:$D$452,$AE29)))</f>
        <v/>
      </c>
      <c r="F29" s="65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M$7:$M$456,MATCH($AE29,振り分け!$P$7:$P$456,0))="転出","転出",IF(INDEX(振り分け!$L$7:$L$456,MATCH($AE29,振り分け!$P$7:$P$456,0))="","未決定",INDEX(振り分け!$L$7:$L$456,MATCH($AE29,振り分け!$P$7:$P$456,0)))),"未決定")))</f>
        <v/>
      </c>
      <c r="G29" s="65">
        <f>IF($AF29="","",IF(計算用!$B$1=1,INDEX(新年度名簿!$C$3:$C$452,$AF29),INDEX(前年度名簿!$C$3:$C$452,$AF29)))</f>
        <v/>
      </c>
      <c r="H29" s="66">
        <f>IF($AF29="","",IF(計算用!$B$1=1,INDEX(新年度名簿!$D$3:$D$452,$AF29),INDEX(前年度名簿!$D$3:$D$452,$AF29)))</f>
        <v/>
      </c>
      <c r="I29" s="65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M$7:$M$456,MATCH($AF29,振り分け!$P$7:$P$456,0))="転出","転出",IF(INDEX(振り分け!$L$7:$L$456,MATCH($AF29,振り分け!$P$7:$P$456,0))="","未決定",INDEX(振り分け!$L$7:$L$456,MATCH($AF29,振り分け!$P$7:$P$456,0)))),"未決定")))</f>
        <v/>
      </c>
      <c r="J29" s="65">
        <f>IF($AG29="","",IF(計算用!$B$1=1,INDEX(新年度名簿!$C$3:$C$452,$AG29),INDEX(前年度名簿!$C$3:$C$452,$AG29)))</f>
        <v/>
      </c>
      <c r="K29" s="66">
        <f>IF($AG29="","",IF(計算用!$B$1=1,INDEX(新年度名簿!$D$3:$D$452,$AG29),INDEX(前年度名簿!$D$3:$D$452,$AG29)))</f>
        <v/>
      </c>
      <c r="L29" s="65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M$7:$M$456,MATCH($AG29,振り分け!$P$7:$P$456,0))="転出","転出",IF(INDEX(振り分け!$L$7:$L$456,MATCH($AG29,振り分け!$P$7:$P$456,0))="","未決定",INDEX(振り分け!$L$7:$L$456,MATCH($AG29,振り分け!$P$7:$P$456,0)))),"未決定")))</f>
        <v/>
      </c>
      <c r="M29" s="65">
        <f>IF($AH29="","",IF(計算用!$B$1=1,INDEX(新年度名簿!$C$3:$C$452,$AH29),INDEX(前年度名簿!$C$3:$C$452,$AH29)))</f>
        <v/>
      </c>
      <c r="N29" s="66">
        <f>IF($AH29="","",IF(計算用!$B$1=1,INDEX(新年度名簿!$D$3:$D$452,$AH29),INDEX(前年度名簿!$D$3:$D$452,$AH29)))</f>
        <v/>
      </c>
      <c r="O29" s="65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M$7:$M$456,MATCH($AH29,振り分け!$P$7:$P$456,0))="転出","転出",IF(INDEX(振り分け!$L$7:$L$456,MATCH($AH29,振り分け!$P$7:$P$456,0))="","未決定",INDEX(振り分け!$L$7:$L$456,MATCH($AH29,振り分け!$P$7:$P$456,0)))),"未決定")))</f>
        <v/>
      </c>
      <c r="P29" s="65">
        <f>IF($AI29="","",IF(計算用!$B$1=1,INDEX(新年度名簿!$C$3:$C$452,$AI29),INDEX(前年度名簿!$C$3:$C$452,$AI29)))</f>
        <v/>
      </c>
      <c r="Q29" s="66">
        <f>IF($AI29="","",IF(計算用!$B$1=1,INDEX(新年度名簿!$D$3:$D$452,$AI29),INDEX(前年度名簿!$D$3:$D$452,$AI29)))</f>
        <v/>
      </c>
      <c r="R29" s="65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M$7:$M$456,MATCH($AI29,振り分け!$P$7:$P$456,0))="転出","転出",IF(INDEX(振り分け!$L$7:$L$456,MATCH($AI29,振り分け!$P$7:$P$456,0))="","未決定",INDEX(振り分け!$L$7:$L$456,MATCH($AI29,振り分け!$P$7:$P$456,0)))),"未決定")))</f>
        <v/>
      </c>
      <c r="S29" s="65">
        <f>IF($AJ29="","",IF(計算用!$B$1=1,INDEX(新年度名簿!$C$3:$C$452,$AJ29),INDEX(前年度名簿!$C$3:$C$452,$AJ29)))</f>
        <v/>
      </c>
      <c r="T29" s="66">
        <f>IF($AJ29="","",IF(計算用!$B$1=1,INDEX(新年度名簿!$D$3:$D$452,$AJ29),INDEX(前年度名簿!$D$3:$D$452,$AJ29)))</f>
        <v/>
      </c>
      <c r="U29" s="65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M$7:$M$456,MATCH($AJ29,振り分け!$P$7:$P$456,0))="転出","転出",IF(INDEX(振り分け!$L$7:$L$456,MATCH($AJ29,振り分け!$P$7:$P$456,0))="","未決定",INDEX(振り分け!$L$7:$L$456,MATCH($AJ29,振り分け!$P$7:$P$456,0)))),"未決定")))</f>
        <v/>
      </c>
      <c r="V29" s="65">
        <f>IF($AK29="","",IF(計算用!$B$1=1,INDEX(新年度名簿!$C$3:$C$452,$AK29),INDEX(前年度名簿!$C$3:$C$452,$AK29)))</f>
        <v/>
      </c>
      <c r="W29" s="66">
        <f>IF($AK29="","",IF(計算用!$B$1=1,INDEX(新年度名簿!$D$3:$D$452,$AK29),INDEX(前年度名簿!$D$3:$D$452,$AK29)))</f>
        <v/>
      </c>
      <c r="X29" s="65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M$7:$M$456,MATCH($AK29,振り分け!$P$7:$P$456,0))="転出","転出",IF(INDEX(振り分け!$L$7:$L$456,MATCH($AK29,振り分け!$P$7:$P$456,0))="","未決定",INDEX(振り分け!$L$7:$L$456,MATCH($AK29,振り分け!$P$7:$P$456,0)))),"未決定")))</f>
        <v/>
      </c>
      <c r="AD29" s="63">
        <f>IF(計算用!$B$1=1,IFERROR(IF(SMALL(新年度名簿!$J$3:$J$452,$AD$3+25)&lt;10000,MATCH(SMALL(新年度名簿!$J$3:$J$452,$AD$3+25),新年度名簿!$J$3:$J$452,0),""),""),IFERROR(IF(SMALL(前年度名簿!$G$3:$G$452,$AD$3+25)&lt;10000,MATCH(SMALL(前年度名簿!$G$3:$G$452,$AD$3+25),前年度名簿!$G$3:$G$452,0),""),""))</f>
        <v/>
      </c>
      <c r="AE29" s="63">
        <f>IF(計算用!$B$1=1,IFERROR(IF(SMALL(新年度名簿!$J$3:$J$452,$AE$3+25)&lt;11000,MATCH(SMALL(新年度名簿!$J$3:$J$452,$AE$3+25),新年度名簿!$J$3:$J$452,0),""),""),IFERROR(IF(SMALL(前年度名簿!$G$3:$G$452,$AE$3+25)&lt;11000,MATCH(SMALL(前年度名簿!$G$3:$G$452,$AE$3+25),前年度名簿!$G$3:$G$452,0),""),""))</f>
        <v/>
      </c>
      <c r="AF29" s="63">
        <f>IF(計算用!$B$1=1,IFERROR(IF(SMALL(新年度名簿!$J$3:$J$452,$AF$3+25)&lt;12000,MATCH(SMALL(新年度名簿!$J$3:$J$452,$AF$3+25),新年度名簿!$J$3:$J$452,0),""),""),IFERROR(IF(SMALL(前年度名簿!$G$3:$G$452,$AF$3+25)&lt;12000,MATCH(SMALL(前年度名簿!$G$3:$G$452,$AF$3+25),前年度名簿!$G$3:$G$452,0),""),""))</f>
        <v/>
      </c>
      <c r="AG29" s="63">
        <f>IF(計算用!$B$1=1,IFERROR(IF(SMALL(新年度名簿!$J$3:$J$452,$AG$3+25)&lt;13000,MATCH(SMALL(新年度名簿!$J$3:$J$452,$AG$3+25),新年度名簿!$J$3:$J$452,0),""),""),IFERROR(IF(SMALL(前年度名簿!$G$3:$G$452,$AG$3+25)&lt;13000,MATCH(SMALL(前年度名簿!$G$3:$G$452,$AG$3+25),前年度名簿!$G$3:$G$452,0),""),""))</f>
        <v/>
      </c>
      <c r="AH29" s="63">
        <f>IF(計算用!$B$1=1,IFERROR(IF(SMALL(新年度名簿!$J$3:$J$452,$AH$3+25)&lt;14000,MATCH(SMALL(新年度名簿!$J$3:$J$452,$AH$3+25),新年度名簿!$J$3:$J$452,0),""),""),IFERROR(IF(SMALL(前年度名簿!$G$3:$G$452,$AH$3+25)&lt;14000,MATCH(SMALL(前年度名簿!$G$3:$G$452,$AH$3+25),前年度名簿!$G$3:$G$452,0),""),""))</f>
        <v/>
      </c>
      <c r="AI29" s="63">
        <f>IF(計算用!$B$1=1,IFERROR(IF(SMALL(新年度名簿!$J$3:$J$452,$AI$3+25)&lt;15000,MATCH(SMALL(新年度名簿!$J$3:$J$452,$AI$3+25),新年度名簿!$J$3:$J$452,0),""),""),IFERROR(IF(SMALL(前年度名簿!$G$3:$G$452,$AI$3+25)&lt;15000,MATCH(SMALL(前年度名簿!$G$3:$G$452,$AI$3+25),前年度名簿!$G$3:$G$452,0),""),""))</f>
        <v/>
      </c>
      <c r="AJ29" s="63">
        <f>IF(計算用!$B$1=1,IFERROR(IF(SMALL(新年度名簿!$J$3:$J$452,$AJ$3+25)&lt;16000,MATCH(SMALL(新年度名簿!$J$3:$J$452,$AJ$3+25),新年度名簿!$J$3:$J$452,0),""),""),IFERROR(IF(SMALL(前年度名簿!$G$3:$G$452,$AJ$3+25)&lt;16000,MATCH(SMALL(前年度名簿!$G$3:$G$452,$AJ$3+25),前年度名簿!$G$3:$G$452,0),""),""))</f>
        <v/>
      </c>
      <c r="AK29" s="63">
        <f>IF(計算用!$B$1=1,IFERROR(IF(SMALL(新年度名簿!$J$3:$J$452,$AK$3+25)&lt;17000,MATCH(SMALL(新年度名簿!$J$3:$J$452,$AK$3+25),新年度名簿!$J$3:$J$452,0),""),""),IFERROR(IF(SMALL(前年度名簿!$G$3:$G$452,$AK$3+25)&lt;17000,MATCH(SMALL(前年度名簿!$G$3:$G$452,$AK$3+25),前年度名簿!$G$3:$G$452,0),""),""))</f>
        <v/>
      </c>
    </row>
    <row r="30">
      <c r="A30" s="65">
        <f>IF($AD30="","",IF(計算用!$B$1=1,INDEX(新年度名簿!$C$3:$C$452,$AD30),INDEX(前年度名簿!$C$3:$C$452,$AD30)))</f>
        <v/>
      </c>
      <c r="B30" s="66">
        <f>IF($AD30="","",IF(計算用!$B$1=1,INDEX(新年度名簿!$D$3:$D$452,$AD30),INDEX(前年度名簿!$D$3:$D$452,$AD30)))</f>
        <v/>
      </c>
      <c r="C30" s="65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M$7:$M$456,MATCH($AD30,振り分け!$P$7:$P$456,0))="転出","転出",IF(INDEX(振り分け!$L$7:$L$456,MATCH($AD30,振り分け!$P$7:$P$456,0))="","未決定",INDEX(振り分け!$L$7:$L$456,MATCH($AD30,振り分け!$P$7:$P$456,0)))),"未決定")))</f>
        <v/>
      </c>
      <c r="D30" s="65">
        <f>IF($AE30="","",IF(計算用!$B$1=1,INDEX(新年度名簿!$C$3:$C$452,$AE30),INDEX(前年度名簿!$C$3:$C$452,$AE30)))</f>
        <v/>
      </c>
      <c r="E30" s="66">
        <f>IF($AE30="","",IF(計算用!$B$1=1,INDEX(新年度名簿!$D$3:$D$452,$AE30),INDEX(前年度名簿!$D$3:$D$452,$AE30)))</f>
        <v/>
      </c>
      <c r="F30" s="65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M$7:$M$456,MATCH($AE30,振り分け!$P$7:$P$456,0))="転出","転出",IF(INDEX(振り分け!$L$7:$L$456,MATCH($AE30,振り分け!$P$7:$P$456,0))="","未決定",INDEX(振り分け!$L$7:$L$456,MATCH($AE30,振り分け!$P$7:$P$456,0)))),"未決定")))</f>
        <v/>
      </c>
      <c r="G30" s="65">
        <f>IF($AF30="","",IF(計算用!$B$1=1,INDEX(新年度名簿!$C$3:$C$452,$AF30),INDEX(前年度名簿!$C$3:$C$452,$AF30)))</f>
        <v/>
      </c>
      <c r="H30" s="66">
        <f>IF($AF30="","",IF(計算用!$B$1=1,INDEX(新年度名簿!$D$3:$D$452,$AF30),INDEX(前年度名簿!$D$3:$D$452,$AF30)))</f>
        <v/>
      </c>
      <c r="I30" s="65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M$7:$M$456,MATCH($AF30,振り分け!$P$7:$P$456,0))="転出","転出",IF(INDEX(振り分け!$L$7:$L$456,MATCH($AF30,振り分け!$P$7:$P$456,0))="","未決定",INDEX(振り分け!$L$7:$L$456,MATCH($AF30,振り分け!$P$7:$P$456,0)))),"未決定")))</f>
        <v/>
      </c>
      <c r="J30" s="65">
        <f>IF($AG30="","",IF(計算用!$B$1=1,INDEX(新年度名簿!$C$3:$C$452,$AG30),INDEX(前年度名簿!$C$3:$C$452,$AG30)))</f>
        <v/>
      </c>
      <c r="K30" s="66">
        <f>IF($AG30="","",IF(計算用!$B$1=1,INDEX(新年度名簿!$D$3:$D$452,$AG30),INDEX(前年度名簿!$D$3:$D$452,$AG30)))</f>
        <v/>
      </c>
      <c r="L30" s="65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M$7:$M$456,MATCH($AG30,振り分け!$P$7:$P$456,0))="転出","転出",IF(INDEX(振り分け!$L$7:$L$456,MATCH($AG30,振り分け!$P$7:$P$456,0))="","未決定",INDEX(振り分け!$L$7:$L$456,MATCH($AG30,振り分け!$P$7:$P$456,0)))),"未決定")))</f>
        <v/>
      </c>
      <c r="M30" s="65">
        <f>IF($AH30="","",IF(計算用!$B$1=1,INDEX(新年度名簿!$C$3:$C$452,$AH30),INDEX(前年度名簿!$C$3:$C$452,$AH30)))</f>
        <v/>
      </c>
      <c r="N30" s="66">
        <f>IF($AH30="","",IF(計算用!$B$1=1,INDEX(新年度名簿!$D$3:$D$452,$AH30),INDEX(前年度名簿!$D$3:$D$452,$AH30)))</f>
        <v/>
      </c>
      <c r="O30" s="65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M$7:$M$456,MATCH($AH30,振り分け!$P$7:$P$456,0))="転出","転出",IF(INDEX(振り分け!$L$7:$L$456,MATCH($AH30,振り分け!$P$7:$P$456,0))="","未決定",INDEX(振り分け!$L$7:$L$456,MATCH($AH30,振り分け!$P$7:$P$456,0)))),"未決定")))</f>
        <v/>
      </c>
      <c r="P30" s="65">
        <f>IF($AI30="","",IF(計算用!$B$1=1,INDEX(新年度名簿!$C$3:$C$452,$AI30),INDEX(前年度名簿!$C$3:$C$452,$AI30)))</f>
        <v/>
      </c>
      <c r="Q30" s="66">
        <f>IF($AI30="","",IF(計算用!$B$1=1,INDEX(新年度名簿!$D$3:$D$452,$AI30),INDEX(前年度名簿!$D$3:$D$452,$AI30)))</f>
        <v/>
      </c>
      <c r="R30" s="65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M$7:$M$456,MATCH($AI30,振り分け!$P$7:$P$456,0))="転出","転出",IF(INDEX(振り分け!$L$7:$L$456,MATCH($AI30,振り分け!$P$7:$P$456,0))="","未決定",INDEX(振り分け!$L$7:$L$456,MATCH($AI30,振り分け!$P$7:$P$456,0)))),"未決定")))</f>
        <v/>
      </c>
      <c r="S30" s="65">
        <f>IF($AJ30="","",IF(計算用!$B$1=1,INDEX(新年度名簿!$C$3:$C$452,$AJ30),INDEX(前年度名簿!$C$3:$C$452,$AJ30)))</f>
        <v/>
      </c>
      <c r="T30" s="66">
        <f>IF($AJ30="","",IF(計算用!$B$1=1,INDEX(新年度名簿!$D$3:$D$452,$AJ30),INDEX(前年度名簿!$D$3:$D$452,$AJ30)))</f>
        <v/>
      </c>
      <c r="U30" s="65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M$7:$M$456,MATCH($AJ30,振り分け!$P$7:$P$456,0))="転出","転出",IF(INDEX(振り分け!$L$7:$L$456,MATCH($AJ30,振り分け!$P$7:$P$456,0))="","未決定",INDEX(振り分け!$L$7:$L$456,MATCH($AJ30,振り分け!$P$7:$P$456,0)))),"未決定")))</f>
        <v/>
      </c>
      <c r="V30" s="65">
        <f>IF($AK30="","",IF(計算用!$B$1=1,INDEX(新年度名簿!$C$3:$C$452,$AK30),INDEX(前年度名簿!$C$3:$C$452,$AK30)))</f>
        <v/>
      </c>
      <c r="W30" s="66">
        <f>IF($AK30="","",IF(計算用!$B$1=1,INDEX(新年度名簿!$D$3:$D$452,$AK30),INDEX(前年度名簿!$D$3:$D$452,$AK30)))</f>
        <v/>
      </c>
      <c r="X30" s="65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M$7:$M$456,MATCH($AK30,振り分け!$P$7:$P$456,0))="転出","転出",IF(INDEX(振り分け!$L$7:$L$456,MATCH($AK30,振り分け!$P$7:$P$456,0))="","未決定",INDEX(振り分け!$L$7:$L$456,MATCH($AK30,振り分け!$P$7:$P$456,0)))),"未決定")))</f>
        <v/>
      </c>
      <c r="AD30" s="63">
        <f>IF(計算用!$B$1=1,IFERROR(IF(SMALL(新年度名簿!$J$3:$J$452,$AD$3+26)&lt;10000,MATCH(SMALL(新年度名簿!$J$3:$J$452,$AD$3+26),新年度名簿!$J$3:$J$452,0),""),""),IFERROR(IF(SMALL(前年度名簿!$G$3:$G$452,$AD$3+26)&lt;10000,MATCH(SMALL(前年度名簿!$G$3:$G$452,$AD$3+26),前年度名簿!$G$3:$G$452,0),""),""))</f>
        <v/>
      </c>
      <c r="AE30" s="63">
        <f>IF(計算用!$B$1=1,IFERROR(IF(SMALL(新年度名簿!$J$3:$J$452,$AE$3+26)&lt;11000,MATCH(SMALL(新年度名簿!$J$3:$J$452,$AE$3+26),新年度名簿!$J$3:$J$452,0),""),""),IFERROR(IF(SMALL(前年度名簿!$G$3:$G$452,$AE$3+26)&lt;11000,MATCH(SMALL(前年度名簿!$G$3:$G$452,$AE$3+26),前年度名簿!$G$3:$G$452,0),""),""))</f>
        <v/>
      </c>
      <c r="AF30" s="63">
        <f>IF(計算用!$B$1=1,IFERROR(IF(SMALL(新年度名簿!$J$3:$J$452,$AF$3+26)&lt;12000,MATCH(SMALL(新年度名簿!$J$3:$J$452,$AF$3+26),新年度名簿!$J$3:$J$452,0),""),""),IFERROR(IF(SMALL(前年度名簿!$G$3:$G$452,$AF$3+26)&lt;12000,MATCH(SMALL(前年度名簿!$G$3:$G$452,$AF$3+26),前年度名簿!$G$3:$G$452,0),""),""))</f>
        <v/>
      </c>
      <c r="AG30" s="63">
        <f>IF(計算用!$B$1=1,IFERROR(IF(SMALL(新年度名簿!$J$3:$J$452,$AG$3+26)&lt;13000,MATCH(SMALL(新年度名簿!$J$3:$J$452,$AG$3+26),新年度名簿!$J$3:$J$452,0),""),""),IFERROR(IF(SMALL(前年度名簿!$G$3:$G$452,$AG$3+26)&lt;13000,MATCH(SMALL(前年度名簿!$G$3:$G$452,$AG$3+26),前年度名簿!$G$3:$G$452,0),""),""))</f>
        <v/>
      </c>
      <c r="AH30" s="63">
        <f>IF(計算用!$B$1=1,IFERROR(IF(SMALL(新年度名簿!$J$3:$J$452,$AH$3+26)&lt;14000,MATCH(SMALL(新年度名簿!$J$3:$J$452,$AH$3+26),新年度名簿!$J$3:$J$452,0),""),""),IFERROR(IF(SMALL(前年度名簿!$G$3:$G$452,$AH$3+26)&lt;14000,MATCH(SMALL(前年度名簿!$G$3:$G$452,$AH$3+26),前年度名簿!$G$3:$G$452,0),""),""))</f>
        <v/>
      </c>
      <c r="AI30" s="63">
        <f>IF(計算用!$B$1=1,IFERROR(IF(SMALL(新年度名簿!$J$3:$J$452,$AI$3+26)&lt;15000,MATCH(SMALL(新年度名簿!$J$3:$J$452,$AI$3+26),新年度名簿!$J$3:$J$452,0),""),""),IFERROR(IF(SMALL(前年度名簿!$G$3:$G$452,$AI$3+26)&lt;15000,MATCH(SMALL(前年度名簿!$G$3:$G$452,$AI$3+26),前年度名簿!$G$3:$G$452,0),""),""))</f>
        <v/>
      </c>
      <c r="AJ30" s="63">
        <f>IF(計算用!$B$1=1,IFERROR(IF(SMALL(新年度名簿!$J$3:$J$452,$AJ$3+26)&lt;16000,MATCH(SMALL(新年度名簿!$J$3:$J$452,$AJ$3+26),新年度名簿!$J$3:$J$452,0),""),""),IFERROR(IF(SMALL(前年度名簿!$G$3:$G$452,$AJ$3+26)&lt;16000,MATCH(SMALL(前年度名簿!$G$3:$G$452,$AJ$3+26),前年度名簿!$G$3:$G$452,0),""),""))</f>
        <v/>
      </c>
      <c r="AK30" s="63">
        <f>IF(計算用!$B$1=1,IFERROR(IF(SMALL(新年度名簿!$J$3:$J$452,$AK$3+26)&lt;17000,MATCH(SMALL(新年度名簿!$J$3:$J$452,$AK$3+26),新年度名簿!$J$3:$J$452,0),""),""),IFERROR(IF(SMALL(前年度名簿!$G$3:$G$452,$AK$3+26)&lt;17000,MATCH(SMALL(前年度名簿!$G$3:$G$452,$AK$3+26),前年度名簿!$G$3:$G$452,0),""),""))</f>
        <v/>
      </c>
    </row>
    <row r="31">
      <c r="A31" s="65">
        <f>IF($AD31="","",IF(計算用!$B$1=1,INDEX(新年度名簿!$C$3:$C$452,$AD31),INDEX(前年度名簿!$C$3:$C$452,$AD31)))</f>
        <v/>
      </c>
      <c r="B31" s="66">
        <f>IF($AD31="","",IF(計算用!$B$1=1,INDEX(新年度名簿!$D$3:$D$452,$AD31),INDEX(前年度名簿!$D$3:$D$452,$AD31)))</f>
        <v/>
      </c>
      <c r="C31" s="65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M$7:$M$456,MATCH($AD31,振り分け!$P$7:$P$456,0))="転出","転出",IF(INDEX(振り分け!$L$7:$L$456,MATCH($AD31,振り分け!$P$7:$P$456,0))="","未決定",INDEX(振り分け!$L$7:$L$456,MATCH($AD31,振り分け!$P$7:$P$456,0)))),"未決定")))</f>
        <v/>
      </c>
      <c r="D31" s="65">
        <f>IF($AE31="","",IF(計算用!$B$1=1,INDEX(新年度名簿!$C$3:$C$452,$AE31),INDEX(前年度名簿!$C$3:$C$452,$AE31)))</f>
        <v/>
      </c>
      <c r="E31" s="66">
        <f>IF($AE31="","",IF(計算用!$B$1=1,INDEX(新年度名簿!$D$3:$D$452,$AE31),INDEX(前年度名簿!$D$3:$D$452,$AE31)))</f>
        <v/>
      </c>
      <c r="F31" s="65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M$7:$M$456,MATCH($AE31,振り分け!$P$7:$P$456,0))="転出","転出",IF(INDEX(振り分け!$L$7:$L$456,MATCH($AE31,振り分け!$P$7:$P$456,0))="","未決定",INDEX(振り分け!$L$7:$L$456,MATCH($AE31,振り分け!$P$7:$P$456,0)))),"未決定")))</f>
        <v/>
      </c>
      <c r="G31" s="65">
        <f>IF($AF31="","",IF(計算用!$B$1=1,INDEX(新年度名簿!$C$3:$C$452,$AF31),INDEX(前年度名簿!$C$3:$C$452,$AF31)))</f>
        <v/>
      </c>
      <c r="H31" s="66">
        <f>IF($AF31="","",IF(計算用!$B$1=1,INDEX(新年度名簿!$D$3:$D$452,$AF31),INDEX(前年度名簿!$D$3:$D$452,$AF31)))</f>
        <v/>
      </c>
      <c r="I31" s="65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M$7:$M$456,MATCH($AF31,振り分け!$P$7:$P$456,0))="転出","転出",IF(INDEX(振り分け!$L$7:$L$456,MATCH($AF31,振り分け!$P$7:$P$456,0))="","未決定",INDEX(振り分け!$L$7:$L$456,MATCH($AF31,振り分け!$P$7:$P$456,0)))),"未決定")))</f>
        <v/>
      </c>
      <c r="J31" s="65">
        <f>IF($AG31="","",IF(計算用!$B$1=1,INDEX(新年度名簿!$C$3:$C$452,$AG31),INDEX(前年度名簿!$C$3:$C$452,$AG31)))</f>
        <v/>
      </c>
      <c r="K31" s="66">
        <f>IF($AG31="","",IF(計算用!$B$1=1,INDEX(新年度名簿!$D$3:$D$452,$AG31),INDEX(前年度名簿!$D$3:$D$452,$AG31)))</f>
        <v/>
      </c>
      <c r="L31" s="65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M$7:$M$456,MATCH($AG31,振り分け!$P$7:$P$456,0))="転出","転出",IF(INDEX(振り分け!$L$7:$L$456,MATCH($AG31,振り分け!$P$7:$P$456,0))="","未決定",INDEX(振り分け!$L$7:$L$456,MATCH($AG31,振り分け!$P$7:$P$456,0)))),"未決定")))</f>
        <v/>
      </c>
      <c r="M31" s="65">
        <f>IF($AH31="","",IF(計算用!$B$1=1,INDEX(新年度名簿!$C$3:$C$452,$AH31),INDEX(前年度名簿!$C$3:$C$452,$AH31)))</f>
        <v/>
      </c>
      <c r="N31" s="66">
        <f>IF($AH31="","",IF(計算用!$B$1=1,INDEX(新年度名簿!$D$3:$D$452,$AH31),INDEX(前年度名簿!$D$3:$D$452,$AH31)))</f>
        <v/>
      </c>
      <c r="O31" s="65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M$7:$M$456,MATCH($AH31,振り分け!$P$7:$P$456,0))="転出","転出",IF(INDEX(振り分け!$L$7:$L$456,MATCH($AH31,振り分け!$P$7:$P$456,0))="","未決定",INDEX(振り分け!$L$7:$L$456,MATCH($AH31,振り分け!$P$7:$P$456,0)))),"未決定")))</f>
        <v/>
      </c>
      <c r="P31" s="65">
        <f>IF($AI31="","",IF(計算用!$B$1=1,INDEX(新年度名簿!$C$3:$C$452,$AI31),INDEX(前年度名簿!$C$3:$C$452,$AI31)))</f>
        <v/>
      </c>
      <c r="Q31" s="66">
        <f>IF($AI31="","",IF(計算用!$B$1=1,INDEX(新年度名簿!$D$3:$D$452,$AI31),INDEX(前年度名簿!$D$3:$D$452,$AI31)))</f>
        <v/>
      </c>
      <c r="R31" s="65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M$7:$M$456,MATCH($AI31,振り分け!$P$7:$P$456,0))="転出","転出",IF(INDEX(振り分け!$L$7:$L$456,MATCH($AI31,振り分け!$P$7:$P$456,0))="","未決定",INDEX(振り分け!$L$7:$L$456,MATCH($AI31,振り分け!$P$7:$P$456,0)))),"未決定")))</f>
        <v/>
      </c>
      <c r="S31" s="65">
        <f>IF($AJ31="","",IF(計算用!$B$1=1,INDEX(新年度名簿!$C$3:$C$452,$AJ31),INDEX(前年度名簿!$C$3:$C$452,$AJ31)))</f>
        <v/>
      </c>
      <c r="T31" s="66">
        <f>IF($AJ31="","",IF(計算用!$B$1=1,INDEX(新年度名簿!$D$3:$D$452,$AJ31),INDEX(前年度名簿!$D$3:$D$452,$AJ31)))</f>
        <v/>
      </c>
      <c r="U31" s="65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M$7:$M$456,MATCH($AJ31,振り分け!$P$7:$P$456,0))="転出","転出",IF(INDEX(振り分け!$L$7:$L$456,MATCH($AJ31,振り分け!$P$7:$P$456,0))="","未決定",INDEX(振り分け!$L$7:$L$456,MATCH($AJ31,振り分け!$P$7:$P$456,0)))),"未決定")))</f>
        <v/>
      </c>
      <c r="V31" s="65">
        <f>IF($AK31="","",IF(計算用!$B$1=1,INDEX(新年度名簿!$C$3:$C$452,$AK31),INDEX(前年度名簿!$C$3:$C$452,$AK31)))</f>
        <v/>
      </c>
      <c r="W31" s="66">
        <f>IF($AK31="","",IF(計算用!$B$1=1,INDEX(新年度名簿!$D$3:$D$452,$AK31),INDEX(前年度名簿!$D$3:$D$452,$AK31)))</f>
        <v/>
      </c>
      <c r="X31" s="65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M$7:$M$456,MATCH($AK31,振り分け!$P$7:$P$456,0))="転出","転出",IF(INDEX(振り分け!$L$7:$L$456,MATCH($AK31,振り分け!$P$7:$P$456,0))="","未決定",INDEX(振り分け!$L$7:$L$456,MATCH($AK31,振り分け!$P$7:$P$456,0)))),"未決定")))</f>
        <v/>
      </c>
      <c r="AD31" s="63">
        <f>IF(計算用!$B$1=1,IFERROR(IF(SMALL(新年度名簿!$J$3:$J$452,$AD$3+27)&lt;10000,MATCH(SMALL(新年度名簿!$J$3:$J$452,$AD$3+27),新年度名簿!$J$3:$J$452,0),""),""),IFERROR(IF(SMALL(前年度名簿!$G$3:$G$452,$AD$3+27)&lt;10000,MATCH(SMALL(前年度名簿!$G$3:$G$452,$AD$3+27),前年度名簿!$G$3:$G$452,0),""),""))</f>
        <v/>
      </c>
      <c r="AE31" s="63">
        <f>IF(計算用!$B$1=1,IFERROR(IF(SMALL(新年度名簿!$J$3:$J$452,$AE$3+27)&lt;11000,MATCH(SMALL(新年度名簿!$J$3:$J$452,$AE$3+27),新年度名簿!$J$3:$J$452,0),""),""),IFERROR(IF(SMALL(前年度名簿!$G$3:$G$452,$AE$3+27)&lt;11000,MATCH(SMALL(前年度名簿!$G$3:$G$452,$AE$3+27),前年度名簿!$G$3:$G$452,0),""),""))</f>
        <v/>
      </c>
      <c r="AF31" s="63">
        <f>IF(計算用!$B$1=1,IFERROR(IF(SMALL(新年度名簿!$J$3:$J$452,$AF$3+27)&lt;12000,MATCH(SMALL(新年度名簿!$J$3:$J$452,$AF$3+27),新年度名簿!$J$3:$J$452,0),""),""),IFERROR(IF(SMALL(前年度名簿!$G$3:$G$452,$AF$3+27)&lt;12000,MATCH(SMALL(前年度名簿!$G$3:$G$452,$AF$3+27),前年度名簿!$G$3:$G$452,0),""),""))</f>
        <v/>
      </c>
      <c r="AG31" s="63">
        <f>IF(計算用!$B$1=1,IFERROR(IF(SMALL(新年度名簿!$J$3:$J$452,$AG$3+27)&lt;13000,MATCH(SMALL(新年度名簿!$J$3:$J$452,$AG$3+27),新年度名簿!$J$3:$J$452,0),""),""),IFERROR(IF(SMALL(前年度名簿!$G$3:$G$452,$AG$3+27)&lt;13000,MATCH(SMALL(前年度名簿!$G$3:$G$452,$AG$3+27),前年度名簿!$G$3:$G$452,0),""),""))</f>
        <v/>
      </c>
      <c r="AH31" s="63">
        <f>IF(計算用!$B$1=1,IFERROR(IF(SMALL(新年度名簿!$J$3:$J$452,$AH$3+27)&lt;14000,MATCH(SMALL(新年度名簿!$J$3:$J$452,$AH$3+27),新年度名簿!$J$3:$J$452,0),""),""),IFERROR(IF(SMALL(前年度名簿!$G$3:$G$452,$AH$3+27)&lt;14000,MATCH(SMALL(前年度名簿!$G$3:$G$452,$AH$3+27),前年度名簿!$G$3:$G$452,0),""),""))</f>
        <v/>
      </c>
      <c r="AI31" s="63">
        <f>IF(計算用!$B$1=1,IFERROR(IF(SMALL(新年度名簿!$J$3:$J$452,$AI$3+27)&lt;15000,MATCH(SMALL(新年度名簿!$J$3:$J$452,$AI$3+27),新年度名簿!$J$3:$J$452,0),""),""),IFERROR(IF(SMALL(前年度名簿!$G$3:$G$452,$AI$3+27)&lt;15000,MATCH(SMALL(前年度名簿!$G$3:$G$452,$AI$3+27),前年度名簿!$G$3:$G$452,0),""),""))</f>
        <v/>
      </c>
      <c r="AJ31" s="63">
        <f>IF(計算用!$B$1=1,IFERROR(IF(SMALL(新年度名簿!$J$3:$J$452,$AJ$3+27)&lt;16000,MATCH(SMALL(新年度名簿!$J$3:$J$452,$AJ$3+27),新年度名簿!$J$3:$J$452,0),""),""),IFERROR(IF(SMALL(前年度名簿!$G$3:$G$452,$AJ$3+27)&lt;16000,MATCH(SMALL(前年度名簿!$G$3:$G$452,$AJ$3+27),前年度名簿!$G$3:$G$452,0),""),""))</f>
        <v/>
      </c>
      <c r="AK31" s="63">
        <f>IF(計算用!$B$1=1,IFERROR(IF(SMALL(新年度名簿!$J$3:$J$452,$AK$3+27)&lt;17000,MATCH(SMALL(新年度名簿!$J$3:$J$452,$AK$3+27),新年度名簿!$J$3:$J$452,0),""),""),IFERROR(IF(SMALL(前年度名簿!$G$3:$G$452,$AK$3+27)&lt;17000,MATCH(SMALL(前年度名簿!$G$3:$G$452,$AK$3+27),前年度名簿!$G$3:$G$452,0),""),""))</f>
        <v/>
      </c>
    </row>
    <row r="32">
      <c r="A32" s="65">
        <f>IF($AD32="","",IF(計算用!$B$1=1,INDEX(新年度名簿!$C$3:$C$452,$AD32),INDEX(前年度名簿!$C$3:$C$452,$AD32)))</f>
        <v/>
      </c>
      <c r="B32" s="66">
        <f>IF($AD32="","",IF(計算用!$B$1=1,INDEX(新年度名簿!$D$3:$D$452,$AD32),INDEX(前年度名簿!$D$3:$D$452,$AD32)))</f>
        <v/>
      </c>
      <c r="C32" s="65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M$7:$M$456,MATCH($AD32,振り分け!$P$7:$P$456,0))="転出","転出",IF(INDEX(振り分け!$L$7:$L$456,MATCH($AD32,振り分け!$P$7:$P$456,0))="","未決定",INDEX(振り分け!$L$7:$L$456,MATCH($AD32,振り分け!$P$7:$P$456,0)))),"未決定")))</f>
        <v/>
      </c>
      <c r="D32" s="65">
        <f>IF($AE32="","",IF(計算用!$B$1=1,INDEX(新年度名簿!$C$3:$C$452,$AE32),INDEX(前年度名簿!$C$3:$C$452,$AE32)))</f>
        <v/>
      </c>
      <c r="E32" s="66">
        <f>IF($AE32="","",IF(計算用!$B$1=1,INDEX(新年度名簿!$D$3:$D$452,$AE32),INDEX(前年度名簿!$D$3:$D$452,$AE32)))</f>
        <v/>
      </c>
      <c r="F32" s="65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M$7:$M$456,MATCH($AE32,振り分け!$P$7:$P$456,0))="転出","転出",IF(INDEX(振り分け!$L$7:$L$456,MATCH($AE32,振り分け!$P$7:$P$456,0))="","未決定",INDEX(振り分け!$L$7:$L$456,MATCH($AE32,振り分け!$P$7:$P$456,0)))),"未決定")))</f>
        <v/>
      </c>
      <c r="G32" s="65">
        <f>IF($AF32="","",IF(計算用!$B$1=1,INDEX(新年度名簿!$C$3:$C$452,$AF32),INDEX(前年度名簿!$C$3:$C$452,$AF32)))</f>
        <v/>
      </c>
      <c r="H32" s="66">
        <f>IF($AF32="","",IF(計算用!$B$1=1,INDEX(新年度名簿!$D$3:$D$452,$AF32),INDEX(前年度名簿!$D$3:$D$452,$AF32)))</f>
        <v/>
      </c>
      <c r="I32" s="65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M$7:$M$456,MATCH($AF32,振り分け!$P$7:$P$456,0))="転出","転出",IF(INDEX(振り分け!$L$7:$L$456,MATCH($AF32,振り分け!$P$7:$P$456,0))="","未決定",INDEX(振り分け!$L$7:$L$456,MATCH($AF32,振り分け!$P$7:$P$456,0)))),"未決定")))</f>
        <v/>
      </c>
      <c r="J32" s="65">
        <f>IF($AG32="","",IF(計算用!$B$1=1,INDEX(新年度名簿!$C$3:$C$452,$AG32),INDEX(前年度名簿!$C$3:$C$452,$AG32)))</f>
        <v/>
      </c>
      <c r="K32" s="66">
        <f>IF($AG32="","",IF(計算用!$B$1=1,INDEX(新年度名簿!$D$3:$D$452,$AG32),INDEX(前年度名簿!$D$3:$D$452,$AG32)))</f>
        <v/>
      </c>
      <c r="L32" s="65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M$7:$M$456,MATCH($AG32,振り分け!$P$7:$P$456,0))="転出","転出",IF(INDEX(振り分け!$L$7:$L$456,MATCH($AG32,振り分け!$P$7:$P$456,0))="","未決定",INDEX(振り分け!$L$7:$L$456,MATCH($AG32,振り分け!$P$7:$P$456,0)))),"未決定")))</f>
        <v/>
      </c>
      <c r="M32" s="65">
        <f>IF($AH32="","",IF(計算用!$B$1=1,INDEX(新年度名簿!$C$3:$C$452,$AH32),INDEX(前年度名簿!$C$3:$C$452,$AH32)))</f>
        <v/>
      </c>
      <c r="N32" s="66">
        <f>IF($AH32="","",IF(計算用!$B$1=1,INDEX(新年度名簿!$D$3:$D$452,$AH32),INDEX(前年度名簿!$D$3:$D$452,$AH32)))</f>
        <v/>
      </c>
      <c r="O32" s="65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M$7:$M$456,MATCH($AH32,振り分け!$P$7:$P$456,0))="転出","転出",IF(INDEX(振り分け!$L$7:$L$456,MATCH($AH32,振り分け!$P$7:$P$456,0))="","未決定",INDEX(振り分け!$L$7:$L$456,MATCH($AH32,振り分け!$P$7:$P$456,0)))),"未決定")))</f>
        <v/>
      </c>
      <c r="P32" s="65">
        <f>IF($AI32="","",IF(計算用!$B$1=1,INDEX(新年度名簿!$C$3:$C$452,$AI32),INDEX(前年度名簿!$C$3:$C$452,$AI32)))</f>
        <v/>
      </c>
      <c r="Q32" s="66">
        <f>IF($AI32="","",IF(計算用!$B$1=1,INDEX(新年度名簿!$D$3:$D$452,$AI32),INDEX(前年度名簿!$D$3:$D$452,$AI32)))</f>
        <v/>
      </c>
      <c r="R32" s="65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M$7:$M$456,MATCH($AI32,振り分け!$P$7:$P$456,0))="転出","転出",IF(INDEX(振り分け!$L$7:$L$456,MATCH($AI32,振り分け!$P$7:$P$456,0))="","未決定",INDEX(振り分け!$L$7:$L$456,MATCH($AI32,振り分け!$P$7:$P$456,0)))),"未決定")))</f>
        <v/>
      </c>
      <c r="S32" s="65">
        <f>IF($AJ32="","",IF(計算用!$B$1=1,INDEX(新年度名簿!$C$3:$C$452,$AJ32),INDEX(前年度名簿!$C$3:$C$452,$AJ32)))</f>
        <v/>
      </c>
      <c r="T32" s="66">
        <f>IF($AJ32="","",IF(計算用!$B$1=1,INDEX(新年度名簿!$D$3:$D$452,$AJ32),INDEX(前年度名簿!$D$3:$D$452,$AJ32)))</f>
        <v/>
      </c>
      <c r="U32" s="65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M$7:$M$456,MATCH($AJ32,振り分け!$P$7:$P$456,0))="転出","転出",IF(INDEX(振り分け!$L$7:$L$456,MATCH($AJ32,振り分け!$P$7:$P$456,0))="","未決定",INDEX(振り分け!$L$7:$L$456,MATCH($AJ32,振り分け!$P$7:$P$456,0)))),"未決定")))</f>
        <v/>
      </c>
      <c r="V32" s="65">
        <f>IF($AK32="","",IF(計算用!$B$1=1,INDEX(新年度名簿!$C$3:$C$452,$AK32),INDEX(前年度名簿!$C$3:$C$452,$AK32)))</f>
        <v/>
      </c>
      <c r="W32" s="66">
        <f>IF($AK32="","",IF(計算用!$B$1=1,INDEX(新年度名簿!$D$3:$D$452,$AK32),INDEX(前年度名簿!$D$3:$D$452,$AK32)))</f>
        <v/>
      </c>
      <c r="X32" s="65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M$7:$M$456,MATCH($AK32,振り分け!$P$7:$P$456,0))="転出","転出",IF(INDEX(振り分け!$L$7:$L$456,MATCH($AK32,振り分け!$P$7:$P$456,0))="","未決定",INDEX(振り分け!$L$7:$L$456,MATCH($AK32,振り分け!$P$7:$P$456,0)))),"未決定")))</f>
        <v/>
      </c>
      <c r="AD32" s="63">
        <f>IF(計算用!$B$1=1,IFERROR(IF(SMALL(新年度名簿!$J$3:$J$452,$AD$3+28)&lt;10000,MATCH(SMALL(新年度名簿!$J$3:$J$452,$AD$3+28),新年度名簿!$J$3:$J$452,0),""),""),IFERROR(IF(SMALL(前年度名簿!$G$3:$G$452,$AD$3+28)&lt;10000,MATCH(SMALL(前年度名簿!$G$3:$G$452,$AD$3+28),前年度名簿!$G$3:$G$452,0),""),""))</f>
        <v/>
      </c>
      <c r="AE32" s="63">
        <f>IF(計算用!$B$1=1,IFERROR(IF(SMALL(新年度名簿!$J$3:$J$452,$AE$3+28)&lt;11000,MATCH(SMALL(新年度名簿!$J$3:$J$452,$AE$3+28),新年度名簿!$J$3:$J$452,0),""),""),IFERROR(IF(SMALL(前年度名簿!$G$3:$G$452,$AE$3+28)&lt;11000,MATCH(SMALL(前年度名簿!$G$3:$G$452,$AE$3+28),前年度名簿!$G$3:$G$452,0),""),""))</f>
        <v/>
      </c>
      <c r="AF32" s="63">
        <f>IF(計算用!$B$1=1,IFERROR(IF(SMALL(新年度名簿!$J$3:$J$452,$AF$3+28)&lt;12000,MATCH(SMALL(新年度名簿!$J$3:$J$452,$AF$3+28),新年度名簿!$J$3:$J$452,0),""),""),IFERROR(IF(SMALL(前年度名簿!$G$3:$G$452,$AF$3+28)&lt;12000,MATCH(SMALL(前年度名簿!$G$3:$G$452,$AF$3+28),前年度名簿!$G$3:$G$452,0),""),""))</f>
        <v/>
      </c>
      <c r="AG32" s="63">
        <f>IF(計算用!$B$1=1,IFERROR(IF(SMALL(新年度名簿!$J$3:$J$452,$AG$3+28)&lt;13000,MATCH(SMALL(新年度名簿!$J$3:$J$452,$AG$3+28),新年度名簿!$J$3:$J$452,0),""),""),IFERROR(IF(SMALL(前年度名簿!$G$3:$G$452,$AG$3+28)&lt;13000,MATCH(SMALL(前年度名簿!$G$3:$G$452,$AG$3+28),前年度名簿!$G$3:$G$452,0),""),""))</f>
        <v/>
      </c>
      <c r="AH32" s="63">
        <f>IF(計算用!$B$1=1,IFERROR(IF(SMALL(新年度名簿!$J$3:$J$452,$AH$3+28)&lt;14000,MATCH(SMALL(新年度名簿!$J$3:$J$452,$AH$3+28),新年度名簿!$J$3:$J$452,0),""),""),IFERROR(IF(SMALL(前年度名簿!$G$3:$G$452,$AH$3+28)&lt;14000,MATCH(SMALL(前年度名簿!$G$3:$G$452,$AH$3+28),前年度名簿!$G$3:$G$452,0),""),""))</f>
        <v/>
      </c>
      <c r="AI32" s="63">
        <f>IF(計算用!$B$1=1,IFERROR(IF(SMALL(新年度名簿!$J$3:$J$452,$AI$3+28)&lt;15000,MATCH(SMALL(新年度名簿!$J$3:$J$452,$AI$3+28),新年度名簿!$J$3:$J$452,0),""),""),IFERROR(IF(SMALL(前年度名簿!$G$3:$G$452,$AI$3+28)&lt;15000,MATCH(SMALL(前年度名簿!$G$3:$G$452,$AI$3+28),前年度名簿!$G$3:$G$452,0),""),""))</f>
        <v/>
      </c>
      <c r="AJ32" s="63">
        <f>IF(計算用!$B$1=1,IFERROR(IF(SMALL(新年度名簿!$J$3:$J$452,$AJ$3+28)&lt;16000,MATCH(SMALL(新年度名簿!$J$3:$J$452,$AJ$3+28),新年度名簿!$J$3:$J$452,0),""),""),IFERROR(IF(SMALL(前年度名簿!$G$3:$G$452,$AJ$3+28)&lt;16000,MATCH(SMALL(前年度名簿!$G$3:$G$452,$AJ$3+28),前年度名簿!$G$3:$G$452,0),""),""))</f>
        <v/>
      </c>
      <c r="AK32" s="63">
        <f>IF(計算用!$B$1=1,IFERROR(IF(SMALL(新年度名簿!$J$3:$J$452,$AK$3+28)&lt;17000,MATCH(SMALL(新年度名簿!$J$3:$J$452,$AK$3+28),新年度名簿!$J$3:$J$452,0),""),""),IFERROR(IF(SMALL(前年度名簿!$G$3:$G$452,$AK$3+28)&lt;17000,MATCH(SMALL(前年度名簿!$G$3:$G$452,$AK$3+28),前年度名簿!$G$3:$G$452,0),""),""))</f>
        <v/>
      </c>
    </row>
    <row r="33">
      <c r="A33" s="65">
        <f>IF($AD33="","",IF(計算用!$B$1=1,INDEX(新年度名簿!$C$3:$C$452,$AD33),INDEX(前年度名簿!$C$3:$C$452,$AD33)))</f>
        <v/>
      </c>
      <c r="B33" s="66">
        <f>IF($AD33="","",IF(計算用!$B$1=1,INDEX(新年度名簿!$D$3:$D$452,$AD33),INDEX(前年度名簿!$D$3:$D$452,$AD33)))</f>
        <v/>
      </c>
      <c r="C33" s="65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M$7:$M$456,MATCH($AD33,振り分け!$P$7:$P$456,0))="転出","転出",IF(INDEX(振り分け!$L$7:$L$456,MATCH($AD33,振り分け!$P$7:$P$456,0))="","未決定",INDEX(振り分け!$L$7:$L$456,MATCH($AD33,振り分け!$P$7:$P$456,0)))),"未決定")))</f>
        <v/>
      </c>
      <c r="D33" s="65">
        <f>IF($AE33="","",IF(計算用!$B$1=1,INDEX(新年度名簿!$C$3:$C$452,$AE33),INDEX(前年度名簿!$C$3:$C$452,$AE33)))</f>
        <v/>
      </c>
      <c r="E33" s="66">
        <f>IF($AE33="","",IF(計算用!$B$1=1,INDEX(新年度名簿!$D$3:$D$452,$AE33),INDEX(前年度名簿!$D$3:$D$452,$AE33)))</f>
        <v/>
      </c>
      <c r="F33" s="65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M$7:$M$456,MATCH($AE33,振り分け!$P$7:$P$456,0))="転出","転出",IF(INDEX(振り分け!$L$7:$L$456,MATCH($AE33,振り分け!$P$7:$P$456,0))="","未決定",INDEX(振り分け!$L$7:$L$456,MATCH($AE33,振り分け!$P$7:$P$456,0)))),"未決定")))</f>
        <v/>
      </c>
      <c r="G33" s="65">
        <f>IF($AF33="","",IF(計算用!$B$1=1,INDEX(新年度名簿!$C$3:$C$452,$AF33),INDEX(前年度名簿!$C$3:$C$452,$AF33)))</f>
        <v/>
      </c>
      <c r="H33" s="66">
        <f>IF($AF33="","",IF(計算用!$B$1=1,INDEX(新年度名簿!$D$3:$D$452,$AF33),INDEX(前年度名簿!$D$3:$D$452,$AF33)))</f>
        <v/>
      </c>
      <c r="I33" s="65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M$7:$M$456,MATCH($AF33,振り分け!$P$7:$P$456,0))="転出","転出",IF(INDEX(振り分け!$L$7:$L$456,MATCH($AF33,振り分け!$P$7:$P$456,0))="","未決定",INDEX(振り分け!$L$7:$L$456,MATCH($AF33,振り分け!$P$7:$P$456,0)))),"未決定")))</f>
        <v/>
      </c>
      <c r="J33" s="65">
        <f>IF($AG33="","",IF(計算用!$B$1=1,INDEX(新年度名簿!$C$3:$C$452,$AG33),INDEX(前年度名簿!$C$3:$C$452,$AG33)))</f>
        <v/>
      </c>
      <c r="K33" s="66">
        <f>IF($AG33="","",IF(計算用!$B$1=1,INDEX(新年度名簿!$D$3:$D$452,$AG33),INDEX(前年度名簿!$D$3:$D$452,$AG33)))</f>
        <v/>
      </c>
      <c r="L33" s="65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M$7:$M$456,MATCH($AG33,振り分け!$P$7:$P$456,0))="転出","転出",IF(INDEX(振り分け!$L$7:$L$456,MATCH($AG33,振り分け!$P$7:$P$456,0))="","未決定",INDEX(振り分け!$L$7:$L$456,MATCH($AG33,振り分け!$P$7:$P$456,0)))),"未決定")))</f>
        <v/>
      </c>
      <c r="M33" s="65">
        <f>IF($AH33="","",IF(計算用!$B$1=1,INDEX(新年度名簿!$C$3:$C$452,$AH33),INDEX(前年度名簿!$C$3:$C$452,$AH33)))</f>
        <v/>
      </c>
      <c r="N33" s="66">
        <f>IF($AH33="","",IF(計算用!$B$1=1,INDEX(新年度名簿!$D$3:$D$452,$AH33),INDEX(前年度名簿!$D$3:$D$452,$AH33)))</f>
        <v/>
      </c>
      <c r="O33" s="65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M$7:$M$456,MATCH($AH33,振り分け!$P$7:$P$456,0))="転出","転出",IF(INDEX(振り分け!$L$7:$L$456,MATCH($AH33,振り分け!$P$7:$P$456,0))="","未決定",INDEX(振り分け!$L$7:$L$456,MATCH($AH33,振り分け!$P$7:$P$456,0)))),"未決定")))</f>
        <v/>
      </c>
      <c r="P33" s="65">
        <f>IF($AI33="","",IF(計算用!$B$1=1,INDEX(新年度名簿!$C$3:$C$452,$AI33),INDEX(前年度名簿!$C$3:$C$452,$AI33)))</f>
        <v/>
      </c>
      <c r="Q33" s="66">
        <f>IF($AI33="","",IF(計算用!$B$1=1,INDEX(新年度名簿!$D$3:$D$452,$AI33),INDEX(前年度名簿!$D$3:$D$452,$AI33)))</f>
        <v/>
      </c>
      <c r="R33" s="65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M$7:$M$456,MATCH($AI33,振り分け!$P$7:$P$456,0))="転出","転出",IF(INDEX(振り分け!$L$7:$L$456,MATCH($AI33,振り分け!$P$7:$P$456,0))="","未決定",INDEX(振り分け!$L$7:$L$456,MATCH($AI33,振り分け!$P$7:$P$456,0)))),"未決定")))</f>
        <v/>
      </c>
      <c r="S33" s="65">
        <f>IF($AJ33="","",IF(計算用!$B$1=1,INDEX(新年度名簿!$C$3:$C$452,$AJ33),INDEX(前年度名簿!$C$3:$C$452,$AJ33)))</f>
        <v/>
      </c>
      <c r="T33" s="66">
        <f>IF($AJ33="","",IF(計算用!$B$1=1,INDEX(新年度名簿!$D$3:$D$452,$AJ33),INDEX(前年度名簿!$D$3:$D$452,$AJ33)))</f>
        <v/>
      </c>
      <c r="U33" s="65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M$7:$M$456,MATCH($AJ33,振り分け!$P$7:$P$456,0))="転出","転出",IF(INDEX(振り分け!$L$7:$L$456,MATCH($AJ33,振り分け!$P$7:$P$456,0))="","未決定",INDEX(振り分け!$L$7:$L$456,MATCH($AJ33,振り分け!$P$7:$P$456,0)))),"未決定")))</f>
        <v/>
      </c>
      <c r="V33" s="65">
        <f>IF($AK33="","",IF(計算用!$B$1=1,INDEX(新年度名簿!$C$3:$C$452,$AK33),INDEX(前年度名簿!$C$3:$C$452,$AK33)))</f>
        <v/>
      </c>
      <c r="W33" s="66">
        <f>IF($AK33="","",IF(計算用!$B$1=1,INDEX(新年度名簿!$D$3:$D$452,$AK33),INDEX(前年度名簿!$D$3:$D$452,$AK33)))</f>
        <v/>
      </c>
      <c r="X33" s="65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M$7:$M$456,MATCH($AK33,振り分け!$P$7:$P$456,0))="転出","転出",IF(INDEX(振り分け!$L$7:$L$456,MATCH($AK33,振り分け!$P$7:$P$456,0))="","未決定",INDEX(振り分け!$L$7:$L$456,MATCH($AK33,振り分け!$P$7:$P$456,0)))),"未決定")))</f>
        <v/>
      </c>
      <c r="AD33" s="63">
        <f>IF(計算用!$B$1=1,IFERROR(IF(SMALL(新年度名簿!$J$3:$J$452,$AD$3+29)&lt;10000,MATCH(SMALL(新年度名簿!$J$3:$J$452,$AD$3+29),新年度名簿!$J$3:$J$452,0),""),""),IFERROR(IF(SMALL(前年度名簿!$G$3:$G$452,$AD$3+29)&lt;10000,MATCH(SMALL(前年度名簿!$G$3:$G$452,$AD$3+29),前年度名簿!$G$3:$G$452,0),""),""))</f>
        <v/>
      </c>
      <c r="AE33" s="63">
        <f>IF(計算用!$B$1=1,IFERROR(IF(SMALL(新年度名簿!$J$3:$J$452,$AE$3+29)&lt;11000,MATCH(SMALL(新年度名簿!$J$3:$J$452,$AE$3+29),新年度名簿!$J$3:$J$452,0),""),""),IFERROR(IF(SMALL(前年度名簿!$G$3:$G$452,$AE$3+29)&lt;11000,MATCH(SMALL(前年度名簿!$G$3:$G$452,$AE$3+29),前年度名簿!$G$3:$G$452,0),""),""))</f>
        <v/>
      </c>
      <c r="AF33" s="63">
        <f>IF(計算用!$B$1=1,IFERROR(IF(SMALL(新年度名簿!$J$3:$J$452,$AF$3+29)&lt;12000,MATCH(SMALL(新年度名簿!$J$3:$J$452,$AF$3+29),新年度名簿!$J$3:$J$452,0),""),""),IFERROR(IF(SMALL(前年度名簿!$G$3:$G$452,$AF$3+29)&lt;12000,MATCH(SMALL(前年度名簿!$G$3:$G$452,$AF$3+29),前年度名簿!$G$3:$G$452,0),""),""))</f>
        <v/>
      </c>
      <c r="AG33" s="63">
        <f>IF(計算用!$B$1=1,IFERROR(IF(SMALL(新年度名簿!$J$3:$J$452,$AG$3+29)&lt;13000,MATCH(SMALL(新年度名簿!$J$3:$J$452,$AG$3+29),新年度名簿!$J$3:$J$452,0),""),""),IFERROR(IF(SMALL(前年度名簿!$G$3:$G$452,$AG$3+29)&lt;13000,MATCH(SMALL(前年度名簿!$G$3:$G$452,$AG$3+29),前年度名簿!$G$3:$G$452,0),""),""))</f>
        <v/>
      </c>
      <c r="AH33" s="63">
        <f>IF(計算用!$B$1=1,IFERROR(IF(SMALL(新年度名簿!$J$3:$J$452,$AH$3+29)&lt;14000,MATCH(SMALL(新年度名簿!$J$3:$J$452,$AH$3+29),新年度名簿!$J$3:$J$452,0),""),""),IFERROR(IF(SMALL(前年度名簿!$G$3:$G$452,$AH$3+29)&lt;14000,MATCH(SMALL(前年度名簿!$G$3:$G$452,$AH$3+29),前年度名簿!$G$3:$G$452,0),""),""))</f>
        <v/>
      </c>
      <c r="AI33" s="63">
        <f>IF(計算用!$B$1=1,IFERROR(IF(SMALL(新年度名簿!$J$3:$J$452,$AI$3+29)&lt;15000,MATCH(SMALL(新年度名簿!$J$3:$J$452,$AI$3+29),新年度名簿!$J$3:$J$452,0),""),""),IFERROR(IF(SMALL(前年度名簿!$G$3:$G$452,$AI$3+29)&lt;15000,MATCH(SMALL(前年度名簿!$G$3:$G$452,$AI$3+29),前年度名簿!$G$3:$G$452,0),""),""))</f>
        <v/>
      </c>
      <c r="AJ33" s="63">
        <f>IF(計算用!$B$1=1,IFERROR(IF(SMALL(新年度名簿!$J$3:$J$452,$AJ$3+29)&lt;16000,MATCH(SMALL(新年度名簿!$J$3:$J$452,$AJ$3+29),新年度名簿!$J$3:$J$452,0),""),""),IFERROR(IF(SMALL(前年度名簿!$G$3:$G$452,$AJ$3+29)&lt;16000,MATCH(SMALL(前年度名簿!$G$3:$G$452,$AJ$3+29),前年度名簿!$G$3:$G$452,0),""),""))</f>
        <v/>
      </c>
      <c r="AK33" s="63">
        <f>IF(計算用!$B$1=1,IFERROR(IF(SMALL(新年度名簿!$J$3:$J$452,$AK$3+29)&lt;17000,MATCH(SMALL(新年度名簿!$J$3:$J$452,$AK$3+29),新年度名簿!$J$3:$J$452,0),""),""),IFERROR(IF(SMALL(前年度名簿!$G$3:$G$452,$AK$3+29)&lt;17000,MATCH(SMALL(前年度名簿!$G$3:$G$452,$AK$3+29),前年度名簿!$G$3:$G$452,0),""),""))</f>
        <v/>
      </c>
    </row>
    <row r="34">
      <c r="A34" s="65">
        <f>IF($AD34="","",IF(計算用!$B$1=1,INDEX(新年度名簿!$C$3:$C$452,$AD34),INDEX(前年度名簿!$C$3:$C$452,$AD34)))</f>
        <v/>
      </c>
      <c r="B34" s="66">
        <f>IF($AD34="","",IF(計算用!$B$1=1,INDEX(新年度名簿!$D$3:$D$452,$AD34),INDEX(前年度名簿!$D$3:$D$452,$AD34)))</f>
        <v/>
      </c>
      <c r="C34" s="65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M$7:$M$456,MATCH($AD34,振り分け!$P$7:$P$456,0))="転出","転出",IF(INDEX(振り分け!$L$7:$L$456,MATCH($AD34,振り分け!$P$7:$P$456,0))="","未決定",INDEX(振り分け!$L$7:$L$456,MATCH($AD34,振り分け!$P$7:$P$456,0)))),"未決定")))</f>
        <v/>
      </c>
      <c r="D34" s="65">
        <f>IF($AE34="","",IF(計算用!$B$1=1,INDEX(新年度名簿!$C$3:$C$452,$AE34),INDEX(前年度名簿!$C$3:$C$452,$AE34)))</f>
        <v/>
      </c>
      <c r="E34" s="66">
        <f>IF($AE34="","",IF(計算用!$B$1=1,INDEX(新年度名簿!$D$3:$D$452,$AE34),INDEX(前年度名簿!$D$3:$D$452,$AE34)))</f>
        <v/>
      </c>
      <c r="F34" s="65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M$7:$M$456,MATCH($AE34,振り分け!$P$7:$P$456,0))="転出","転出",IF(INDEX(振り分け!$L$7:$L$456,MATCH($AE34,振り分け!$P$7:$P$456,0))="","未決定",INDEX(振り分け!$L$7:$L$456,MATCH($AE34,振り分け!$P$7:$P$456,0)))),"未決定")))</f>
        <v/>
      </c>
      <c r="G34" s="65">
        <f>IF($AF34="","",IF(計算用!$B$1=1,INDEX(新年度名簿!$C$3:$C$452,$AF34),INDEX(前年度名簿!$C$3:$C$452,$AF34)))</f>
        <v/>
      </c>
      <c r="H34" s="66">
        <f>IF($AF34="","",IF(計算用!$B$1=1,INDEX(新年度名簿!$D$3:$D$452,$AF34),INDEX(前年度名簿!$D$3:$D$452,$AF34)))</f>
        <v/>
      </c>
      <c r="I34" s="65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M$7:$M$456,MATCH($AF34,振り分け!$P$7:$P$456,0))="転出","転出",IF(INDEX(振り分け!$L$7:$L$456,MATCH($AF34,振り分け!$P$7:$P$456,0))="","未決定",INDEX(振り分け!$L$7:$L$456,MATCH($AF34,振り分け!$P$7:$P$456,0)))),"未決定")))</f>
        <v/>
      </c>
      <c r="J34" s="65">
        <f>IF($AG34="","",IF(計算用!$B$1=1,INDEX(新年度名簿!$C$3:$C$452,$AG34),INDEX(前年度名簿!$C$3:$C$452,$AG34)))</f>
        <v/>
      </c>
      <c r="K34" s="66">
        <f>IF($AG34="","",IF(計算用!$B$1=1,INDEX(新年度名簿!$D$3:$D$452,$AG34),INDEX(前年度名簿!$D$3:$D$452,$AG34)))</f>
        <v/>
      </c>
      <c r="L34" s="65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M$7:$M$456,MATCH($AG34,振り分け!$P$7:$P$456,0))="転出","転出",IF(INDEX(振り分け!$L$7:$L$456,MATCH($AG34,振り分け!$P$7:$P$456,0))="","未決定",INDEX(振り分け!$L$7:$L$456,MATCH($AG34,振り分け!$P$7:$P$456,0)))),"未決定")))</f>
        <v/>
      </c>
      <c r="M34" s="65">
        <f>IF($AH34="","",IF(計算用!$B$1=1,INDEX(新年度名簿!$C$3:$C$452,$AH34),INDEX(前年度名簿!$C$3:$C$452,$AH34)))</f>
        <v/>
      </c>
      <c r="N34" s="66">
        <f>IF($AH34="","",IF(計算用!$B$1=1,INDEX(新年度名簿!$D$3:$D$452,$AH34),INDEX(前年度名簿!$D$3:$D$452,$AH34)))</f>
        <v/>
      </c>
      <c r="O34" s="65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M$7:$M$456,MATCH($AH34,振り分け!$P$7:$P$456,0))="転出","転出",IF(INDEX(振り分け!$L$7:$L$456,MATCH($AH34,振り分け!$P$7:$P$456,0))="","未決定",INDEX(振り分け!$L$7:$L$456,MATCH($AH34,振り分け!$P$7:$P$456,0)))),"未決定")))</f>
        <v/>
      </c>
      <c r="P34" s="65">
        <f>IF($AI34="","",IF(計算用!$B$1=1,INDEX(新年度名簿!$C$3:$C$452,$AI34),INDEX(前年度名簿!$C$3:$C$452,$AI34)))</f>
        <v/>
      </c>
      <c r="Q34" s="66">
        <f>IF($AI34="","",IF(計算用!$B$1=1,INDEX(新年度名簿!$D$3:$D$452,$AI34),INDEX(前年度名簿!$D$3:$D$452,$AI34)))</f>
        <v/>
      </c>
      <c r="R34" s="65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M$7:$M$456,MATCH($AI34,振り分け!$P$7:$P$456,0))="転出","転出",IF(INDEX(振り分け!$L$7:$L$456,MATCH($AI34,振り分け!$P$7:$P$456,0))="","未決定",INDEX(振り分け!$L$7:$L$456,MATCH($AI34,振り分け!$P$7:$P$456,0)))),"未決定")))</f>
        <v/>
      </c>
      <c r="S34" s="65">
        <f>IF($AJ34="","",IF(計算用!$B$1=1,INDEX(新年度名簿!$C$3:$C$452,$AJ34),INDEX(前年度名簿!$C$3:$C$452,$AJ34)))</f>
        <v/>
      </c>
      <c r="T34" s="66">
        <f>IF($AJ34="","",IF(計算用!$B$1=1,INDEX(新年度名簿!$D$3:$D$452,$AJ34),INDEX(前年度名簿!$D$3:$D$452,$AJ34)))</f>
        <v/>
      </c>
      <c r="U34" s="65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M$7:$M$456,MATCH($AJ34,振り分け!$P$7:$P$456,0))="転出","転出",IF(INDEX(振り分け!$L$7:$L$456,MATCH($AJ34,振り分け!$P$7:$P$456,0))="","未決定",INDEX(振り分け!$L$7:$L$456,MATCH($AJ34,振り分け!$P$7:$P$456,0)))),"未決定")))</f>
        <v/>
      </c>
      <c r="V34" s="65">
        <f>IF($AK34="","",IF(計算用!$B$1=1,INDEX(新年度名簿!$C$3:$C$452,$AK34),INDEX(前年度名簿!$C$3:$C$452,$AK34)))</f>
        <v/>
      </c>
      <c r="W34" s="66">
        <f>IF($AK34="","",IF(計算用!$B$1=1,INDEX(新年度名簿!$D$3:$D$452,$AK34),INDEX(前年度名簿!$D$3:$D$452,$AK34)))</f>
        <v/>
      </c>
      <c r="X34" s="65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M$7:$M$456,MATCH($AK34,振り分け!$P$7:$P$456,0))="転出","転出",IF(INDEX(振り分け!$L$7:$L$456,MATCH($AK34,振り分け!$P$7:$P$456,0))="","未決定",INDEX(振り分け!$L$7:$L$456,MATCH($AK34,振り分け!$P$7:$P$456,0)))),"未決定")))</f>
        <v/>
      </c>
      <c r="AD34" s="63">
        <f>IF(計算用!$B$1=1,IFERROR(IF(SMALL(新年度名簿!$J$3:$J$452,$AD$3+30)&lt;10000,MATCH(SMALL(新年度名簿!$J$3:$J$452,$AD$3+30),新年度名簿!$J$3:$J$452,0),""),""),IFERROR(IF(SMALL(前年度名簿!$G$3:$G$452,$AD$3+30)&lt;10000,MATCH(SMALL(前年度名簿!$G$3:$G$452,$AD$3+30),前年度名簿!$G$3:$G$452,0),""),""))</f>
        <v/>
      </c>
      <c r="AE34" s="63">
        <f>IF(計算用!$B$1=1,IFERROR(IF(SMALL(新年度名簿!$J$3:$J$452,$AE$3+30)&lt;11000,MATCH(SMALL(新年度名簿!$J$3:$J$452,$AE$3+30),新年度名簿!$J$3:$J$452,0),""),""),IFERROR(IF(SMALL(前年度名簿!$G$3:$G$452,$AE$3+30)&lt;11000,MATCH(SMALL(前年度名簿!$G$3:$G$452,$AE$3+30),前年度名簿!$G$3:$G$452,0),""),""))</f>
        <v/>
      </c>
      <c r="AF34" s="63">
        <f>IF(計算用!$B$1=1,IFERROR(IF(SMALL(新年度名簿!$J$3:$J$452,$AF$3+30)&lt;12000,MATCH(SMALL(新年度名簿!$J$3:$J$452,$AF$3+30),新年度名簿!$J$3:$J$452,0),""),""),IFERROR(IF(SMALL(前年度名簿!$G$3:$G$452,$AF$3+30)&lt;12000,MATCH(SMALL(前年度名簿!$G$3:$G$452,$AF$3+30),前年度名簿!$G$3:$G$452,0),""),""))</f>
        <v/>
      </c>
      <c r="AG34" s="63">
        <f>IF(計算用!$B$1=1,IFERROR(IF(SMALL(新年度名簿!$J$3:$J$452,$AG$3+30)&lt;13000,MATCH(SMALL(新年度名簿!$J$3:$J$452,$AG$3+30),新年度名簿!$J$3:$J$452,0),""),""),IFERROR(IF(SMALL(前年度名簿!$G$3:$G$452,$AG$3+30)&lt;13000,MATCH(SMALL(前年度名簿!$G$3:$G$452,$AG$3+30),前年度名簿!$G$3:$G$452,0),""),""))</f>
        <v/>
      </c>
      <c r="AH34" s="63">
        <f>IF(計算用!$B$1=1,IFERROR(IF(SMALL(新年度名簿!$J$3:$J$452,$AH$3+30)&lt;14000,MATCH(SMALL(新年度名簿!$J$3:$J$452,$AH$3+30),新年度名簿!$J$3:$J$452,0),""),""),IFERROR(IF(SMALL(前年度名簿!$G$3:$G$452,$AH$3+30)&lt;14000,MATCH(SMALL(前年度名簿!$G$3:$G$452,$AH$3+30),前年度名簿!$G$3:$G$452,0),""),""))</f>
        <v/>
      </c>
      <c r="AI34" s="63">
        <f>IF(計算用!$B$1=1,IFERROR(IF(SMALL(新年度名簿!$J$3:$J$452,$AI$3+30)&lt;15000,MATCH(SMALL(新年度名簿!$J$3:$J$452,$AI$3+30),新年度名簿!$J$3:$J$452,0),""),""),IFERROR(IF(SMALL(前年度名簿!$G$3:$G$452,$AI$3+30)&lt;15000,MATCH(SMALL(前年度名簿!$G$3:$G$452,$AI$3+30),前年度名簿!$G$3:$G$452,0),""),""))</f>
        <v/>
      </c>
      <c r="AJ34" s="63">
        <f>IF(計算用!$B$1=1,IFERROR(IF(SMALL(新年度名簿!$J$3:$J$452,$AJ$3+30)&lt;16000,MATCH(SMALL(新年度名簿!$J$3:$J$452,$AJ$3+30),新年度名簿!$J$3:$J$452,0),""),""),IFERROR(IF(SMALL(前年度名簿!$G$3:$G$452,$AJ$3+30)&lt;16000,MATCH(SMALL(前年度名簿!$G$3:$G$452,$AJ$3+30),前年度名簿!$G$3:$G$452,0),""),""))</f>
        <v/>
      </c>
      <c r="AK34" s="63">
        <f>IF(計算用!$B$1=1,IFERROR(IF(SMALL(新年度名簿!$J$3:$J$452,$AK$3+30)&lt;17000,MATCH(SMALL(新年度名簿!$J$3:$J$452,$AK$3+30),新年度名簿!$J$3:$J$452,0),""),""),IFERROR(IF(SMALL(前年度名簿!$G$3:$G$452,$AK$3+30)&lt;17000,MATCH(SMALL(前年度名簿!$G$3:$G$452,$AK$3+30),前年度名簿!$G$3:$G$452,0),""),""))</f>
        <v/>
      </c>
    </row>
    <row r="35">
      <c r="A35" s="65">
        <f>IF($AD35="","",IF(計算用!$B$1=1,INDEX(新年度名簿!$C$3:$C$452,$AD35),INDEX(前年度名簿!$C$3:$C$452,$AD35)))</f>
        <v/>
      </c>
      <c r="B35" s="66">
        <f>IF($AD35="","",IF(計算用!$B$1=1,INDEX(新年度名簿!$D$3:$D$452,$AD35),INDEX(前年度名簿!$D$3:$D$452,$AD35)))</f>
        <v/>
      </c>
      <c r="C35" s="65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M$7:$M$456,MATCH($AD35,振り分け!$P$7:$P$456,0))="転出","転出",IF(INDEX(振り分け!$L$7:$L$456,MATCH($AD35,振り分け!$P$7:$P$456,0))="","未決定",INDEX(振り分け!$L$7:$L$456,MATCH($AD35,振り分け!$P$7:$P$456,0)))),"未決定")))</f>
        <v/>
      </c>
      <c r="D35" s="65">
        <f>IF($AE35="","",IF(計算用!$B$1=1,INDEX(新年度名簿!$C$3:$C$452,$AE35),INDEX(前年度名簿!$C$3:$C$452,$AE35)))</f>
        <v/>
      </c>
      <c r="E35" s="66">
        <f>IF($AE35="","",IF(計算用!$B$1=1,INDEX(新年度名簿!$D$3:$D$452,$AE35),INDEX(前年度名簿!$D$3:$D$452,$AE35)))</f>
        <v/>
      </c>
      <c r="F35" s="65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M$7:$M$456,MATCH($AE35,振り分け!$P$7:$P$456,0))="転出","転出",IF(INDEX(振り分け!$L$7:$L$456,MATCH($AE35,振り分け!$P$7:$P$456,0))="","未決定",INDEX(振り分け!$L$7:$L$456,MATCH($AE35,振り分け!$P$7:$P$456,0)))),"未決定")))</f>
        <v/>
      </c>
      <c r="G35" s="65">
        <f>IF($AF35="","",IF(計算用!$B$1=1,INDEX(新年度名簿!$C$3:$C$452,$AF35),INDEX(前年度名簿!$C$3:$C$452,$AF35)))</f>
        <v/>
      </c>
      <c r="H35" s="66">
        <f>IF($AF35="","",IF(計算用!$B$1=1,INDEX(新年度名簿!$D$3:$D$452,$AF35),INDEX(前年度名簿!$D$3:$D$452,$AF35)))</f>
        <v/>
      </c>
      <c r="I35" s="65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M$7:$M$456,MATCH($AF35,振り分け!$P$7:$P$456,0))="転出","転出",IF(INDEX(振り分け!$L$7:$L$456,MATCH($AF35,振り分け!$P$7:$P$456,0))="","未決定",INDEX(振り分け!$L$7:$L$456,MATCH($AF35,振り分け!$P$7:$P$456,0)))),"未決定")))</f>
        <v/>
      </c>
      <c r="J35" s="65">
        <f>IF($AG35="","",IF(計算用!$B$1=1,INDEX(新年度名簿!$C$3:$C$452,$AG35),INDEX(前年度名簿!$C$3:$C$452,$AG35)))</f>
        <v/>
      </c>
      <c r="K35" s="66">
        <f>IF($AG35="","",IF(計算用!$B$1=1,INDEX(新年度名簿!$D$3:$D$452,$AG35),INDEX(前年度名簿!$D$3:$D$452,$AG35)))</f>
        <v/>
      </c>
      <c r="L35" s="65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M$7:$M$456,MATCH($AG35,振り分け!$P$7:$P$456,0))="転出","転出",IF(INDEX(振り分け!$L$7:$L$456,MATCH($AG35,振り分け!$P$7:$P$456,0))="","未決定",INDEX(振り分け!$L$7:$L$456,MATCH($AG35,振り分け!$P$7:$P$456,0)))),"未決定")))</f>
        <v/>
      </c>
      <c r="M35" s="65">
        <f>IF($AH35="","",IF(計算用!$B$1=1,INDEX(新年度名簿!$C$3:$C$452,$AH35),INDEX(前年度名簿!$C$3:$C$452,$AH35)))</f>
        <v/>
      </c>
      <c r="N35" s="66">
        <f>IF($AH35="","",IF(計算用!$B$1=1,INDEX(新年度名簿!$D$3:$D$452,$AH35),INDEX(前年度名簿!$D$3:$D$452,$AH35)))</f>
        <v/>
      </c>
      <c r="O35" s="65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M$7:$M$456,MATCH($AH35,振り分け!$P$7:$P$456,0))="転出","転出",IF(INDEX(振り分け!$L$7:$L$456,MATCH($AH35,振り分け!$P$7:$P$456,0))="","未決定",INDEX(振り分け!$L$7:$L$456,MATCH($AH35,振り分け!$P$7:$P$456,0)))),"未決定")))</f>
        <v/>
      </c>
      <c r="P35" s="65">
        <f>IF($AI35="","",IF(計算用!$B$1=1,INDEX(新年度名簿!$C$3:$C$452,$AI35),INDEX(前年度名簿!$C$3:$C$452,$AI35)))</f>
        <v/>
      </c>
      <c r="Q35" s="66">
        <f>IF($AI35="","",IF(計算用!$B$1=1,INDEX(新年度名簿!$D$3:$D$452,$AI35),INDEX(前年度名簿!$D$3:$D$452,$AI35)))</f>
        <v/>
      </c>
      <c r="R35" s="65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M$7:$M$456,MATCH($AI35,振り分け!$P$7:$P$456,0))="転出","転出",IF(INDEX(振り分け!$L$7:$L$456,MATCH($AI35,振り分け!$P$7:$P$456,0))="","未決定",INDEX(振り分け!$L$7:$L$456,MATCH($AI35,振り分け!$P$7:$P$456,0)))),"未決定")))</f>
        <v/>
      </c>
      <c r="S35" s="65">
        <f>IF($AJ35="","",IF(計算用!$B$1=1,INDEX(新年度名簿!$C$3:$C$452,$AJ35),INDEX(前年度名簿!$C$3:$C$452,$AJ35)))</f>
        <v/>
      </c>
      <c r="T35" s="66">
        <f>IF($AJ35="","",IF(計算用!$B$1=1,INDEX(新年度名簿!$D$3:$D$452,$AJ35),INDEX(前年度名簿!$D$3:$D$452,$AJ35)))</f>
        <v/>
      </c>
      <c r="U35" s="65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M$7:$M$456,MATCH($AJ35,振り分け!$P$7:$P$456,0))="転出","転出",IF(INDEX(振り分け!$L$7:$L$456,MATCH($AJ35,振り分け!$P$7:$P$456,0))="","未決定",INDEX(振り分け!$L$7:$L$456,MATCH($AJ35,振り分け!$P$7:$P$456,0)))),"未決定")))</f>
        <v/>
      </c>
      <c r="V35" s="65">
        <f>IF($AK35="","",IF(計算用!$B$1=1,INDEX(新年度名簿!$C$3:$C$452,$AK35),INDEX(前年度名簿!$C$3:$C$452,$AK35)))</f>
        <v/>
      </c>
      <c r="W35" s="66">
        <f>IF($AK35="","",IF(計算用!$B$1=1,INDEX(新年度名簿!$D$3:$D$452,$AK35),INDEX(前年度名簿!$D$3:$D$452,$AK35)))</f>
        <v/>
      </c>
      <c r="X35" s="65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M$7:$M$456,MATCH($AK35,振り分け!$P$7:$P$456,0))="転出","転出",IF(INDEX(振り分け!$L$7:$L$456,MATCH($AK35,振り分け!$P$7:$P$456,0))="","未決定",INDEX(振り分け!$L$7:$L$456,MATCH($AK35,振り分け!$P$7:$P$456,0)))),"未決定")))</f>
        <v/>
      </c>
      <c r="AD35" s="63">
        <f>IF(計算用!$B$1=1,IFERROR(IF(SMALL(新年度名簿!$J$3:$J$452,$AD$3+31)&lt;10000,MATCH(SMALL(新年度名簿!$J$3:$J$452,$AD$3+31),新年度名簿!$J$3:$J$452,0),""),""),IFERROR(IF(SMALL(前年度名簿!$G$3:$G$452,$AD$3+31)&lt;10000,MATCH(SMALL(前年度名簿!$G$3:$G$452,$AD$3+31),前年度名簿!$G$3:$G$452,0),""),""))</f>
        <v/>
      </c>
      <c r="AE35" s="63">
        <f>IF(計算用!$B$1=1,IFERROR(IF(SMALL(新年度名簿!$J$3:$J$452,$AE$3+31)&lt;11000,MATCH(SMALL(新年度名簿!$J$3:$J$452,$AE$3+31),新年度名簿!$J$3:$J$452,0),""),""),IFERROR(IF(SMALL(前年度名簿!$G$3:$G$452,$AE$3+31)&lt;11000,MATCH(SMALL(前年度名簿!$G$3:$G$452,$AE$3+31),前年度名簿!$G$3:$G$452,0),""),""))</f>
        <v/>
      </c>
      <c r="AF35" s="63">
        <f>IF(計算用!$B$1=1,IFERROR(IF(SMALL(新年度名簿!$J$3:$J$452,$AF$3+31)&lt;12000,MATCH(SMALL(新年度名簿!$J$3:$J$452,$AF$3+31),新年度名簿!$J$3:$J$452,0),""),""),IFERROR(IF(SMALL(前年度名簿!$G$3:$G$452,$AF$3+31)&lt;12000,MATCH(SMALL(前年度名簿!$G$3:$G$452,$AF$3+31),前年度名簿!$G$3:$G$452,0),""),""))</f>
        <v/>
      </c>
      <c r="AG35" s="63">
        <f>IF(計算用!$B$1=1,IFERROR(IF(SMALL(新年度名簿!$J$3:$J$452,$AG$3+31)&lt;13000,MATCH(SMALL(新年度名簿!$J$3:$J$452,$AG$3+31),新年度名簿!$J$3:$J$452,0),""),""),IFERROR(IF(SMALL(前年度名簿!$G$3:$G$452,$AG$3+31)&lt;13000,MATCH(SMALL(前年度名簿!$G$3:$G$452,$AG$3+31),前年度名簿!$G$3:$G$452,0),""),""))</f>
        <v/>
      </c>
      <c r="AH35" s="63">
        <f>IF(計算用!$B$1=1,IFERROR(IF(SMALL(新年度名簿!$J$3:$J$452,$AH$3+31)&lt;14000,MATCH(SMALL(新年度名簿!$J$3:$J$452,$AH$3+31),新年度名簿!$J$3:$J$452,0),""),""),IFERROR(IF(SMALL(前年度名簿!$G$3:$G$452,$AH$3+31)&lt;14000,MATCH(SMALL(前年度名簿!$G$3:$G$452,$AH$3+31),前年度名簿!$G$3:$G$452,0),""),""))</f>
        <v/>
      </c>
      <c r="AI35" s="63">
        <f>IF(計算用!$B$1=1,IFERROR(IF(SMALL(新年度名簿!$J$3:$J$452,$AI$3+31)&lt;15000,MATCH(SMALL(新年度名簿!$J$3:$J$452,$AI$3+31),新年度名簿!$J$3:$J$452,0),""),""),IFERROR(IF(SMALL(前年度名簿!$G$3:$G$452,$AI$3+31)&lt;15000,MATCH(SMALL(前年度名簿!$G$3:$G$452,$AI$3+31),前年度名簿!$G$3:$G$452,0),""),""))</f>
        <v/>
      </c>
      <c r="AJ35" s="63">
        <f>IF(計算用!$B$1=1,IFERROR(IF(SMALL(新年度名簿!$J$3:$J$452,$AJ$3+31)&lt;16000,MATCH(SMALL(新年度名簿!$J$3:$J$452,$AJ$3+31),新年度名簿!$J$3:$J$452,0),""),""),IFERROR(IF(SMALL(前年度名簿!$G$3:$G$452,$AJ$3+31)&lt;16000,MATCH(SMALL(前年度名簿!$G$3:$G$452,$AJ$3+31),前年度名簿!$G$3:$G$452,0),""),""))</f>
        <v/>
      </c>
      <c r="AK35" s="63">
        <f>IF(計算用!$B$1=1,IFERROR(IF(SMALL(新年度名簿!$J$3:$J$452,$AK$3+31)&lt;17000,MATCH(SMALL(新年度名簿!$J$3:$J$452,$AK$3+31),新年度名簿!$J$3:$J$452,0),""),""),IFERROR(IF(SMALL(前年度名簿!$G$3:$G$452,$AK$3+31)&lt;17000,MATCH(SMALL(前年度名簿!$G$3:$G$452,$AK$3+31),前年度名簿!$G$3:$G$452,0),""),""))</f>
        <v/>
      </c>
    </row>
    <row r="36">
      <c r="A36" s="65">
        <f>IF($AD36="","",IF(計算用!$B$1=1,INDEX(新年度名簿!$C$3:$C$452,$AD36),INDEX(前年度名簿!$C$3:$C$452,$AD36)))</f>
        <v/>
      </c>
      <c r="B36" s="66">
        <f>IF($AD36="","",IF(計算用!$B$1=1,INDEX(新年度名簿!$D$3:$D$452,$AD36),INDEX(前年度名簿!$D$3:$D$452,$AD36)))</f>
        <v/>
      </c>
      <c r="C36" s="65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M$7:$M$456,MATCH($AD36,振り分け!$P$7:$P$456,0))="転出","転出",IF(INDEX(振り分け!$L$7:$L$456,MATCH($AD36,振り分け!$P$7:$P$456,0))="","未決定",INDEX(振り分け!$L$7:$L$456,MATCH($AD36,振り分け!$P$7:$P$456,0)))),"未決定")))</f>
        <v/>
      </c>
      <c r="D36" s="65">
        <f>IF($AE36="","",IF(計算用!$B$1=1,INDEX(新年度名簿!$C$3:$C$452,$AE36),INDEX(前年度名簿!$C$3:$C$452,$AE36)))</f>
        <v/>
      </c>
      <c r="E36" s="66">
        <f>IF($AE36="","",IF(計算用!$B$1=1,INDEX(新年度名簿!$D$3:$D$452,$AE36),INDEX(前年度名簿!$D$3:$D$452,$AE36)))</f>
        <v/>
      </c>
      <c r="F36" s="65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M$7:$M$456,MATCH($AE36,振り分け!$P$7:$P$456,0))="転出","転出",IF(INDEX(振り分け!$L$7:$L$456,MATCH($AE36,振り分け!$P$7:$P$456,0))="","未決定",INDEX(振り分け!$L$7:$L$456,MATCH($AE36,振り分け!$P$7:$P$456,0)))),"未決定")))</f>
        <v/>
      </c>
      <c r="G36" s="65">
        <f>IF($AF36="","",IF(計算用!$B$1=1,INDEX(新年度名簿!$C$3:$C$452,$AF36),INDEX(前年度名簿!$C$3:$C$452,$AF36)))</f>
        <v/>
      </c>
      <c r="H36" s="66">
        <f>IF($AF36="","",IF(計算用!$B$1=1,INDEX(新年度名簿!$D$3:$D$452,$AF36),INDEX(前年度名簿!$D$3:$D$452,$AF36)))</f>
        <v/>
      </c>
      <c r="I36" s="65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M$7:$M$456,MATCH($AF36,振り分け!$P$7:$P$456,0))="転出","転出",IF(INDEX(振り分け!$L$7:$L$456,MATCH($AF36,振り分け!$P$7:$P$456,0))="","未決定",INDEX(振り分け!$L$7:$L$456,MATCH($AF36,振り分け!$P$7:$P$456,0)))),"未決定")))</f>
        <v/>
      </c>
      <c r="J36" s="65">
        <f>IF($AG36="","",IF(計算用!$B$1=1,INDEX(新年度名簿!$C$3:$C$452,$AG36),INDEX(前年度名簿!$C$3:$C$452,$AG36)))</f>
        <v/>
      </c>
      <c r="K36" s="66">
        <f>IF($AG36="","",IF(計算用!$B$1=1,INDEX(新年度名簿!$D$3:$D$452,$AG36),INDEX(前年度名簿!$D$3:$D$452,$AG36)))</f>
        <v/>
      </c>
      <c r="L36" s="65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M$7:$M$456,MATCH($AG36,振り分け!$P$7:$P$456,0))="転出","転出",IF(INDEX(振り分け!$L$7:$L$456,MATCH($AG36,振り分け!$P$7:$P$456,0))="","未決定",INDEX(振り分け!$L$7:$L$456,MATCH($AG36,振り分け!$P$7:$P$456,0)))),"未決定")))</f>
        <v/>
      </c>
      <c r="M36" s="65">
        <f>IF($AH36="","",IF(計算用!$B$1=1,INDEX(新年度名簿!$C$3:$C$452,$AH36),INDEX(前年度名簿!$C$3:$C$452,$AH36)))</f>
        <v/>
      </c>
      <c r="N36" s="66">
        <f>IF($AH36="","",IF(計算用!$B$1=1,INDEX(新年度名簿!$D$3:$D$452,$AH36),INDEX(前年度名簿!$D$3:$D$452,$AH36)))</f>
        <v/>
      </c>
      <c r="O36" s="65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M$7:$M$456,MATCH($AH36,振り分け!$P$7:$P$456,0))="転出","転出",IF(INDEX(振り分け!$L$7:$L$456,MATCH($AH36,振り分け!$P$7:$P$456,0))="","未決定",INDEX(振り分け!$L$7:$L$456,MATCH($AH36,振り分け!$P$7:$P$456,0)))),"未決定")))</f>
        <v/>
      </c>
      <c r="P36" s="65">
        <f>IF($AI36="","",IF(計算用!$B$1=1,INDEX(新年度名簿!$C$3:$C$452,$AI36),INDEX(前年度名簿!$C$3:$C$452,$AI36)))</f>
        <v/>
      </c>
      <c r="Q36" s="66">
        <f>IF($AI36="","",IF(計算用!$B$1=1,INDEX(新年度名簿!$D$3:$D$452,$AI36),INDEX(前年度名簿!$D$3:$D$452,$AI36)))</f>
        <v/>
      </c>
      <c r="R36" s="65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M$7:$M$456,MATCH($AI36,振り分け!$P$7:$P$456,0))="転出","転出",IF(INDEX(振り分け!$L$7:$L$456,MATCH($AI36,振り分け!$P$7:$P$456,0))="","未決定",INDEX(振り分け!$L$7:$L$456,MATCH($AI36,振り分け!$P$7:$P$456,0)))),"未決定")))</f>
        <v/>
      </c>
      <c r="S36" s="65">
        <f>IF($AJ36="","",IF(計算用!$B$1=1,INDEX(新年度名簿!$C$3:$C$452,$AJ36),INDEX(前年度名簿!$C$3:$C$452,$AJ36)))</f>
        <v/>
      </c>
      <c r="T36" s="66">
        <f>IF($AJ36="","",IF(計算用!$B$1=1,INDEX(新年度名簿!$D$3:$D$452,$AJ36),INDEX(前年度名簿!$D$3:$D$452,$AJ36)))</f>
        <v/>
      </c>
      <c r="U36" s="65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M$7:$M$456,MATCH($AJ36,振り分け!$P$7:$P$456,0))="転出","転出",IF(INDEX(振り分け!$L$7:$L$456,MATCH($AJ36,振り分け!$P$7:$P$456,0))="","未決定",INDEX(振り分け!$L$7:$L$456,MATCH($AJ36,振り分け!$P$7:$P$456,0)))),"未決定")))</f>
        <v/>
      </c>
      <c r="V36" s="65">
        <f>IF($AK36="","",IF(計算用!$B$1=1,INDEX(新年度名簿!$C$3:$C$452,$AK36),INDEX(前年度名簿!$C$3:$C$452,$AK36)))</f>
        <v/>
      </c>
      <c r="W36" s="66">
        <f>IF($AK36="","",IF(計算用!$B$1=1,INDEX(新年度名簿!$D$3:$D$452,$AK36),INDEX(前年度名簿!$D$3:$D$452,$AK36)))</f>
        <v/>
      </c>
      <c r="X36" s="65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M$7:$M$456,MATCH($AK36,振り分け!$P$7:$P$456,0))="転出","転出",IF(INDEX(振り分け!$L$7:$L$456,MATCH($AK36,振り分け!$P$7:$P$456,0))="","未決定",INDEX(振り分け!$L$7:$L$456,MATCH($AK36,振り分け!$P$7:$P$456,0)))),"未決定")))</f>
        <v/>
      </c>
      <c r="AD36" s="63">
        <f>IF(計算用!$B$1=1,IFERROR(IF(SMALL(新年度名簿!$J$3:$J$452,$AD$3+32)&lt;10000,MATCH(SMALL(新年度名簿!$J$3:$J$452,$AD$3+32),新年度名簿!$J$3:$J$452,0),""),""),IFERROR(IF(SMALL(前年度名簿!$G$3:$G$452,$AD$3+32)&lt;10000,MATCH(SMALL(前年度名簿!$G$3:$G$452,$AD$3+32),前年度名簿!$G$3:$G$452,0),""),""))</f>
        <v/>
      </c>
      <c r="AE36" s="63">
        <f>IF(計算用!$B$1=1,IFERROR(IF(SMALL(新年度名簿!$J$3:$J$452,$AE$3+32)&lt;11000,MATCH(SMALL(新年度名簿!$J$3:$J$452,$AE$3+32),新年度名簿!$J$3:$J$452,0),""),""),IFERROR(IF(SMALL(前年度名簿!$G$3:$G$452,$AE$3+32)&lt;11000,MATCH(SMALL(前年度名簿!$G$3:$G$452,$AE$3+32),前年度名簿!$G$3:$G$452,0),""),""))</f>
        <v/>
      </c>
      <c r="AF36" s="63">
        <f>IF(計算用!$B$1=1,IFERROR(IF(SMALL(新年度名簿!$J$3:$J$452,$AF$3+32)&lt;12000,MATCH(SMALL(新年度名簿!$J$3:$J$452,$AF$3+32),新年度名簿!$J$3:$J$452,0),""),""),IFERROR(IF(SMALL(前年度名簿!$G$3:$G$452,$AF$3+32)&lt;12000,MATCH(SMALL(前年度名簿!$G$3:$G$452,$AF$3+32),前年度名簿!$G$3:$G$452,0),""),""))</f>
        <v/>
      </c>
      <c r="AG36" s="63">
        <f>IF(計算用!$B$1=1,IFERROR(IF(SMALL(新年度名簿!$J$3:$J$452,$AG$3+32)&lt;13000,MATCH(SMALL(新年度名簿!$J$3:$J$452,$AG$3+32),新年度名簿!$J$3:$J$452,0),""),""),IFERROR(IF(SMALL(前年度名簿!$G$3:$G$452,$AG$3+32)&lt;13000,MATCH(SMALL(前年度名簿!$G$3:$G$452,$AG$3+32),前年度名簿!$G$3:$G$452,0),""),""))</f>
        <v/>
      </c>
      <c r="AH36" s="63">
        <f>IF(計算用!$B$1=1,IFERROR(IF(SMALL(新年度名簿!$J$3:$J$452,$AH$3+32)&lt;14000,MATCH(SMALL(新年度名簿!$J$3:$J$452,$AH$3+32),新年度名簿!$J$3:$J$452,0),""),""),IFERROR(IF(SMALL(前年度名簿!$G$3:$G$452,$AH$3+32)&lt;14000,MATCH(SMALL(前年度名簿!$G$3:$G$452,$AH$3+32),前年度名簿!$G$3:$G$452,0),""),""))</f>
        <v/>
      </c>
      <c r="AI36" s="63">
        <f>IF(計算用!$B$1=1,IFERROR(IF(SMALL(新年度名簿!$J$3:$J$452,$AI$3+32)&lt;15000,MATCH(SMALL(新年度名簿!$J$3:$J$452,$AI$3+32),新年度名簿!$J$3:$J$452,0),""),""),IFERROR(IF(SMALL(前年度名簿!$G$3:$G$452,$AI$3+32)&lt;15000,MATCH(SMALL(前年度名簿!$G$3:$G$452,$AI$3+32),前年度名簿!$G$3:$G$452,0),""),""))</f>
        <v/>
      </c>
      <c r="AJ36" s="63">
        <f>IF(計算用!$B$1=1,IFERROR(IF(SMALL(新年度名簿!$J$3:$J$452,$AJ$3+32)&lt;16000,MATCH(SMALL(新年度名簿!$J$3:$J$452,$AJ$3+32),新年度名簿!$J$3:$J$452,0),""),""),IFERROR(IF(SMALL(前年度名簿!$G$3:$G$452,$AJ$3+32)&lt;16000,MATCH(SMALL(前年度名簿!$G$3:$G$452,$AJ$3+32),前年度名簿!$G$3:$G$452,0),""),""))</f>
        <v/>
      </c>
      <c r="AK36" s="63">
        <f>IF(計算用!$B$1=1,IFERROR(IF(SMALL(新年度名簿!$J$3:$J$452,$AK$3+32)&lt;17000,MATCH(SMALL(新年度名簿!$J$3:$J$452,$AK$3+32),新年度名簿!$J$3:$J$452,0),""),""),IFERROR(IF(SMALL(前年度名簿!$G$3:$G$452,$AK$3+32)&lt;17000,MATCH(SMALL(前年度名簿!$G$3:$G$452,$AK$3+32),前年度名簿!$G$3:$G$452,0),""),""))</f>
        <v/>
      </c>
    </row>
    <row r="37">
      <c r="A37" s="65">
        <f>IF($AD37="","",IF(計算用!$B$1=1,INDEX(新年度名簿!$C$3:$C$452,$AD37),INDEX(前年度名簿!$C$3:$C$452,$AD37)))</f>
        <v/>
      </c>
      <c r="B37" s="66">
        <f>IF($AD37="","",IF(計算用!$B$1=1,INDEX(新年度名簿!$D$3:$D$452,$AD37),INDEX(前年度名簿!$D$3:$D$452,$AD37)))</f>
        <v/>
      </c>
      <c r="C37" s="65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M$7:$M$456,MATCH($AD37,振り分け!$P$7:$P$456,0))="転出","転出",IF(INDEX(振り分け!$L$7:$L$456,MATCH($AD37,振り分け!$P$7:$P$456,0))="","未決定",INDEX(振り分け!$L$7:$L$456,MATCH($AD37,振り分け!$P$7:$P$456,0)))),"未決定")))</f>
        <v/>
      </c>
      <c r="D37" s="65">
        <f>IF($AE37="","",IF(計算用!$B$1=1,INDEX(新年度名簿!$C$3:$C$452,$AE37),INDEX(前年度名簿!$C$3:$C$452,$AE37)))</f>
        <v/>
      </c>
      <c r="E37" s="66">
        <f>IF($AE37="","",IF(計算用!$B$1=1,INDEX(新年度名簿!$D$3:$D$452,$AE37),INDEX(前年度名簿!$D$3:$D$452,$AE37)))</f>
        <v/>
      </c>
      <c r="F37" s="65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M$7:$M$456,MATCH($AE37,振り分け!$P$7:$P$456,0))="転出","転出",IF(INDEX(振り分け!$L$7:$L$456,MATCH($AE37,振り分け!$P$7:$P$456,0))="","未決定",INDEX(振り分け!$L$7:$L$456,MATCH($AE37,振り分け!$P$7:$P$456,0)))),"未決定")))</f>
        <v/>
      </c>
      <c r="G37" s="65">
        <f>IF($AF37="","",IF(計算用!$B$1=1,INDEX(新年度名簿!$C$3:$C$452,$AF37),INDEX(前年度名簿!$C$3:$C$452,$AF37)))</f>
        <v/>
      </c>
      <c r="H37" s="66">
        <f>IF($AF37="","",IF(計算用!$B$1=1,INDEX(新年度名簿!$D$3:$D$452,$AF37),INDEX(前年度名簿!$D$3:$D$452,$AF37)))</f>
        <v/>
      </c>
      <c r="I37" s="65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M$7:$M$456,MATCH($AF37,振り分け!$P$7:$P$456,0))="転出","転出",IF(INDEX(振り分け!$L$7:$L$456,MATCH($AF37,振り分け!$P$7:$P$456,0))="","未決定",INDEX(振り分け!$L$7:$L$456,MATCH($AF37,振り分け!$P$7:$P$456,0)))),"未決定")))</f>
        <v/>
      </c>
      <c r="J37" s="65">
        <f>IF($AG37="","",IF(計算用!$B$1=1,INDEX(新年度名簿!$C$3:$C$452,$AG37),INDEX(前年度名簿!$C$3:$C$452,$AG37)))</f>
        <v/>
      </c>
      <c r="K37" s="66">
        <f>IF($AG37="","",IF(計算用!$B$1=1,INDEX(新年度名簿!$D$3:$D$452,$AG37),INDEX(前年度名簿!$D$3:$D$452,$AG37)))</f>
        <v/>
      </c>
      <c r="L37" s="65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M$7:$M$456,MATCH($AG37,振り分け!$P$7:$P$456,0))="転出","転出",IF(INDEX(振り分け!$L$7:$L$456,MATCH($AG37,振り分け!$P$7:$P$456,0))="","未決定",INDEX(振り分け!$L$7:$L$456,MATCH($AG37,振り分け!$P$7:$P$456,0)))),"未決定")))</f>
        <v/>
      </c>
      <c r="M37" s="65">
        <f>IF($AH37="","",IF(計算用!$B$1=1,INDEX(新年度名簿!$C$3:$C$452,$AH37),INDEX(前年度名簿!$C$3:$C$452,$AH37)))</f>
        <v/>
      </c>
      <c r="N37" s="66">
        <f>IF($AH37="","",IF(計算用!$B$1=1,INDEX(新年度名簿!$D$3:$D$452,$AH37),INDEX(前年度名簿!$D$3:$D$452,$AH37)))</f>
        <v/>
      </c>
      <c r="O37" s="65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M$7:$M$456,MATCH($AH37,振り分け!$P$7:$P$456,0))="転出","転出",IF(INDEX(振り分け!$L$7:$L$456,MATCH($AH37,振り分け!$P$7:$P$456,0))="","未決定",INDEX(振り分け!$L$7:$L$456,MATCH($AH37,振り分け!$P$7:$P$456,0)))),"未決定")))</f>
        <v/>
      </c>
      <c r="P37" s="65">
        <f>IF($AI37="","",IF(計算用!$B$1=1,INDEX(新年度名簿!$C$3:$C$452,$AI37),INDEX(前年度名簿!$C$3:$C$452,$AI37)))</f>
        <v/>
      </c>
      <c r="Q37" s="66">
        <f>IF($AI37="","",IF(計算用!$B$1=1,INDEX(新年度名簿!$D$3:$D$452,$AI37),INDEX(前年度名簿!$D$3:$D$452,$AI37)))</f>
        <v/>
      </c>
      <c r="R37" s="65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M$7:$M$456,MATCH($AI37,振り分け!$P$7:$P$456,0))="転出","転出",IF(INDEX(振り分け!$L$7:$L$456,MATCH($AI37,振り分け!$P$7:$P$456,0))="","未決定",INDEX(振り分け!$L$7:$L$456,MATCH($AI37,振り分け!$P$7:$P$456,0)))),"未決定")))</f>
        <v/>
      </c>
      <c r="S37" s="65">
        <f>IF($AJ37="","",IF(計算用!$B$1=1,INDEX(新年度名簿!$C$3:$C$452,$AJ37),INDEX(前年度名簿!$C$3:$C$452,$AJ37)))</f>
        <v/>
      </c>
      <c r="T37" s="66">
        <f>IF($AJ37="","",IF(計算用!$B$1=1,INDEX(新年度名簿!$D$3:$D$452,$AJ37),INDEX(前年度名簿!$D$3:$D$452,$AJ37)))</f>
        <v/>
      </c>
      <c r="U37" s="65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M$7:$M$456,MATCH($AJ37,振り分け!$P$7:$P$456,0))="転出","転出",IF(INDEX(振り分け!$L$7:$L$456,MATCH($AJ37,振り分け!$P$7:$P$456,0))="","未決定",INDEX(振り分け!$L$7:$L$456,MATCH($AJ37,振り分け!$P$7:$P$456,0)))),"未決定")))</f>
        <v/>
      </c>
      <c r="V37" s="65">
        <f>IF($AK37="","",IF(計算用!$B$1=1,INDEX(新年度名簿!$C$3:$C$452,$AK37),INDEX(前年度名簿!$C$3:$C$452,$AK37)))</f>
        <v/>
      </c>
      <c r="W37" s="66">
        <f>IF($AK37="","",IF(計算用!$B$1=1,INDEX(新年度名簿!$D$3:$D$452,$AK37),INDEX(前年度名簿!$D$3:$D$452,$AK37)))</f>
        <v/>
      </c>
      <c r="X37" s="65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M$7:$M$456,MATCH($AK37,振り分け!$P$7:$P$456,0))="転出","転出",IF(INDEX(振り分け!$L$7:$L$456,MATCH($AK37,振り分け!$P$7:$P$456,0))="","未決定",INDEX(振り分け!$L$7:$L$456,MATCH($AK37,振り分け!$P$7:$P$456,0)))),"未決定")))</f>
        <v/>
      </c>
      <c r="AD37" s="63">
        <f>IF(計算用!$B$1=1,IFERROR(IF(SMALL(新年度名簿!$J$3:$J$452,$AD$3+33)&lt;10000,MATCH(SMALL(新年度名簿!$J$3:$J$452,$AD$3+33),新年度名簿!$J$3:$J$452,0),""),""),IFERROR(IF(SMALL(前年度名簿!$G$3:$G$452,$AD$3+33)&lt;10000,MATCH(SMALL(前年度名簿!$G$3:$G$452,$AD$3+33),前年度名簿!$G$3:$G$452,0),""),""))</f>
        <v/>
      </c>
      <c r="AE37" s="63">
        <f>IF(計算用!$B$1=1,IFERROR(IF(SMALL(新年度名簿!$J$3:$J$452,$AE$3+33)&lt;11000,MATCH(SMALL(新年度名簿!$J$3:$J$452,$AE$3+33),新年度名簿!$J$3:$J$452,0),""),""),IFERROR(IF(SMALL(前年度名簿!$G$3:$G$452,$AE$3+33)&lt;11000,MATCH(SMALL(前年度名簿!$G$3:$G$452,$AE$3+33),前年度名簿!$G$3:$G$452,0),""),""))</f>
        <v/>
      </c>
      <c r="AF37" s="63">
        <f>IF(計算用!$B$1=1,IFERROR(IF(SMALL(新年度名簿!$J$3:$J$452,$AF$3+33)&lt;12000,MATCH(SMALL(新年度名簿!$J$3:$J$452,$AF$3+33),新年度名簿!$J$3:$J$452,0),""),""),IFERROR(IF(SMALL(前年度名簿!$G$3:$G$452,$AF$3+33)&lt;12000,MATCH(SMALL(前年度名簿!$G$3:$G$452,$AF$3+33),前年度名簿!$G$3:$G$452,0),""),""))</f>
        <v/>
      </c>
      <c r="AG37" s="63">
        <f>IF(計算用!$B$1=1,IFERROR(IF(SMALL(新年度名簿!$J$3:$J$452,$AG$3+33)&lt;13000,MATCH(SMALL(新年度名簿!$J$3:$J$452,$AG$3+33),新年度名簿!$J$3:$J$452,0),""),""),IFERROR(IF(SMALL(前年度名簿!$G$3:$G$452,$AG$3+33)&lt;13000,MATCH(SMALL(前年度名簿!$G$3:$G$452,$AG$3+33),前年度名簿!$G$3:$G$452,0),""),""))</f>
        <v/>
      </c>
      <c r="AH37" s="63">
        <f>IF(計算用!$B$1=1,IFERROR(IF(SMALL(新年度名簿!$J$3:$J$452,$AH$3+33)&lt;14000,MATCH(SMALL(新年度名簿!$J$3:$J$452,$AH$3+33),新年度名簿!$J$3:$J$452,0),""),""),IFERROR(IF(SMALL(前年度名簿!$G$3:$G$452,$AH$3+33)&lt;14000,MATCH(SMALL(前年度名簿!$G$3:$G$452,$AH$3+33),前年度名簿!$G$3:$G$452,0),""),""))</f>
        <v/>
      </c>
      <c r="AI37" s="63">
        <f>IF(計算用!$B$1=1,IFERROR(IF(SMALL(新年度名簿!$J$3:$J$452,$AI$3+33)&lt;15000,MATCH(SMALL(新年度名簿!$J$3:$J$452,$AI$3+33),新年度名簿!$J$3:$J$452,0),""),""),IFERROR(IF(SMALL(前年度名簿!$G$3:$G$452,$AI$3+33)&lt;15000,MATCH(SMALL(前年度名簿!$G$3:$G$452,$AI$3+33),前年度名簿!$G$3:$G$452,0),""),""))</f>
        <v/>
      </c>
      <c r="AJ37" s="63">
        <f>IF(計算用!$B$1=1,IFERROR(IF(SMALL(新年度名簿!$J$3:$J$452,$AJ$3+33)&lt;16000,MATCH(SMALL(新年度名簿!$J$3:$J$452,$AJ$3+33),新年度名簿!$J$3:$J$452,0),""),""),IFERROR(IF(SMALL(前年度名簿!$G$3:$G$452,$AJ$3+33)&lt;16000,MATCH(SMALL(前年度名簿!$G$3:$G$452,$AJ$3+33),前年度名簿!$G$3:$G$452,0),""),""))</f>
        <v/>
      </c>
      <c r="AK37" s="63">
        <f>IF(計算用!$B$1=1,IFERROR(IF(SMALL(新年度名簿!$J$3:$J$452,$AK$3+33)&lt;17000,MATCH(SMALL(新年度名簿!$J$3:$J$452,$AK$3+33),新年度名簿!$J$3:$J$452,0),""),""),IFERROR(IF(SMALL(前年度名簿!$G$3:$G$452,$AK$3+33)&lt;17000,MATCH(SMALL(前年度名簿!$G$3:$G$452,$AK$3+33),前年度名簿!$G$3:$G$452,0),""),""))</f>
        <v/>
      </c>
    </row>
    <row r="38">
      <c r="A38" s="65">
        <f>IF($AD38="","",IF(計算用!$B$1=1,INDEX(新年度名簿!$C$3:$C$452,$AD38),INDEX(前年度名簿!$C$3:$C$452,$AD38)))</f>
        <v/>
      </c>
      <c r="B38" s="66">
        <f>IF($AD38="","",IF(計算用!$B$1=1,INDEX(新年度名簿!$D$3:$D$452,$AD38),INDEX(前年度名簿!$D$3:$D$452,$AD38)))</f>
        <v/>
      </c>
      <c r="C38" s="65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M$7:$M$456,MATCH($AD38,振り分け!$P$7:$P$456,0))="転出","転出",IF(INDEX(振り分け!$L$7:$L$456,MATCH($AD38,振り分け!$P$7:$P$456,0))="","未決定",INDEX(振り分け!$L$7:$L$456,MATCH($AD38,振り分け!$P$7:$P$456,0)))),"未決定")))</f>
        <v/>
      </c>
      <c r="D38" s="65">
        <f>IF($AE38="","",IF(計算用!$B$1=1,INDEX(新年度名簿!$C$3:$C$452,$AE38),INDEX(前年度名簿!$C$3:$C$452,$AE38)))</f>
        <v/>
      </c>
      <c r="E38" s="66">
        <f>IF($AE38="","",IF(計算用!$B$1=1,INDEX(新年度名簿!$D$3:$D$452,$AE38),INDEX(前年度名簿!$D$3:$D$452,$AE38)))</f>
        <v/>
      </c>
      <c r="F38" s="65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M$7:$M$456,MATCH($AE38,振り分け!$P$7:$P$456,0))="転出","転出",IF(INDEX(振り分け!$L$7:$L$456,MATCH($AE38,振り分け!$P$7:$P$456,0))="","未決定",INDEX(振り分け!$L$7:$L$456,MATCH($AE38,振り分け!$P$7:$P$456,0)))),"未決定")))</f>
        <v/>
      </c>
      <c r="G38" s="65">
        <f>IF($AF38="","",IF(計算用!$B$1=1,INDEX(新年度名簿!$C$3:$C$452,$AF38),INDEX(前年度名簿!$C$3:$C$452,$AF38)))</f>
        <v/>
      </c>
      <c r="H38" s="66">
        <f>IF($AF38="","",IF(計算用!$B$1=1,INDEX(新年度名簿!$D$3:$D$452,$AF38),INDEX(前年度名簿!$D$3:$D$452,$AF38)))</f>
        <v/>
      </c>
      <c r="I38" s="65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M$7:$M$456,MATCH($AF38,振り分け!$P$7:$P$456,0))="転出","転出",IF(INDEX(振り分け!$L$7:$L$456,MATCH($AF38,振り分け!$P$7:$P$456,0))="","未決定",INDEX(振り分け!$L$7:$L$456,MATCH($AF38,振り分け!$P$7:$P$456,0)))),"未決定")))</f>
        <v/>
      </c>
      <c r="J38" s="65">
        <f>IF($AG38="","",IF(計算用!$B$1=1,INDEX(新年度名簿!$C$3:$C$452,$AG38),INDEX(前年度名簿!$C$3:$C$452,$AG38)))</f>
        <v/>
      </c>
      <c r="K38" s="66">
        <f>IF($AG38="","",IF(計算用!$B$1=1,INDEX(新年度名簿!$D$3:$D$452,$AG38),INDEX(前年度名簿!$D$3:$D$452,$AG38)))</f>
        <v/>
      </c>
      <c r="L38" s="65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M$7:$M$456,MATCH($AG38,振り分け!$P$7:$P$456,0))="転出","転出",IF(INDEX(振り分け!$L$7:$L$456,MATCH($AG38,振り分け!$P$7:$P$456,0))="","未決定",INDEX(振り分け!$L$7:$L$456,MATCH($AG38,振り分け!$P$7:$P$456,0)))),"未決定")))</f>
        <v/>
      </c>
      <c r="M38" s="65">
        <f>IF($AH38="","",IF(計算用!$B$1=1,INDEX(新年度名簿!$C$3:$C$452,$AH38),INDEX(前年度名簿!$C$3:$C$452,$AH38)))</f>
        <v/>
      </c>
      <c r="N38" s="66">
        <f>IF($AH38="","",IF(計算用!$B$1=1,INDEX(新年度名簿!$D$3:$D$452,$AH38),INDEX(前年度名簿!$D$3:$D$452,$AH38)))</f>
        <v/>
      </c>
      <c r="O38" s="65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M$7:$M$456,MATCH($AH38,振り分け!$P$7:$P$456,0))="転出","転出",IF(INDEX(振り分け!$L$7:$L$456,MATCH($AH38,振り分け!$P$7:$P$456,0))="","未決定",INDEX(振り分け!$L$7:$L$456,MATCH($AH38,振り分け!$P$7:$P$456,0)))),"未決定")))</f>
        <v/>
      </c>
      <c r="P38" s="65">
        <f>IF($AI38="","",IF(計算用!$B$1=1,INDEX(新年度名簿!$C$3:$C$452,$AI38),INDEX(前年度名簿!$C$3:$C$452,$AI38)))</f>
        <v/>
      </c>
      <c r="Q38" s="66">
        <f>IF($AI38="","",IF(計算用!$B$1=1,INDEX(新年度名簿!$D$3:$D$452,$AI38),INDEX(前年度名簿!$D$3:$D$452,$AI38)))</f>
        <v/>
      </c>
      <c r="R38" s="65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M$7:$M$456,MATCH($AI38,振り分け!$P$7:$P$456,0))="転出","転出",IF(INDEX(振り分け!$L$7:$L$456,MATCH($AI38,振り分け!$P$7:$P$456,0))="","未決定",INDEX(振り分け!$L$7:$L$456,MATCH($AI38,振り分け!$P$7:$P$456,0)))),"未決定")))</f>
        <v/>
      </c>
      <c r="S38" s="65">
        <f>IF($AJ38="","",IF(計算用!$B$1=1,INDEX(新年度名簿!$C$3:$C$452,$AJ38),INDEX(前年度名簿!$C$3:$C$452,$AJ38)))</f>
        <v/>
      </c>
      <c r="T38" s="66">
        <f>IF($AJ38="","",IF(計算用!$B$1=1,INDEX(新年度名簿!$D$3:$D$452,$AJ38),INDEX(前年度名簿!$D$3:$D$452,$AJ38)))</f>
        <v/>
      </c>
      <c r="U38" s="65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M$7:$M$456,MATCH($AJ38,振り分け!$P$7:$P$456,0))="転出","転出",IF(INDEX(振り分け!$L$7:$L$456,MATCH($AJ38,振り分け!$P$7:$P$456,0))="","未決定",INDEX(振り分け!$L$7:$L$456,MATCH($AJ38,振り分け!$P$7:$P$456,0)))),"未決定")))</f>
        <v/>
      </c>
      <c r="V38" s="65">
        <f>IF($AK38="","",IF(計算用!$B$1=1,INDEX(新年度名簿!$C$3:$C$452,$AK38),INDEX(前年度名簿!$C$3:$C$452,$AK38)))</f>
        <v/>
      </c>
      <c r="W38" s="66">
        <f>IF($AK38="","",IF(計算用!$B$1=1,INDEX(新年度名簿!$D$3:$D$452,$AK38),INDEX(前年度名簿!$D$3:$D$452,$AK38)))</f>
        <v/>
      </c>
      <c r="X38" s="65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M$7:$M$456,MATCH($AK38,振り分け!$P$7:$P$456,0))="転出","転出",IF(INDEX(振り分け!$L$7:$L$456,MATCH($AK38,振り分け!$P$7:$P$456,0))="","未決定",INDEX(振り分け!$L$7:$L$456,MATCH($AK38,振り分け!$P$7:$P$456,0)))),"未決定")))</f>
        <v/>
      </c>
      <c r="AD38" s="63">
        <f>IF(計算用!$B$1=1,IFERROR(IF(SMALL(新年度名簿!$J$3:$J$452,$AD$3+34)&lt;10000,MATCH(SMALL(新年度名簿!$J$3:$J$452,$AD$3+34),新年度名簿!$J$3:$J$452,0),""),""),IFERROR(IF(SMALL(前年度名簿!$G$3:$G$452,$AD$3+34)&lt;10000,MATCH(SMALL(前年度名簿!$G$3:$G$452,$AD$3+34),前年度名簿!$G$3:$G$452,0),""),""))</f>
        <v/>
      </c>
      <c r="AE38" s="63">
        <f>IF(計算用!$B$1=1,IFERROR(IF(SMALL(新年度名簿!$J$3:$J$452,$AE$3+34)&lt;11000,MATCH(SMALL(新年度名簿!$J$3:$J$452,$AE$3+34),新年度名簿!$J$3:$J$452,0),""),""),IFERROR(IF(SMALL(前年度名簿!$G$3:$G$452,$AE$3+34)&lt;11000,MATCH(SMALL(前年度名簿!$G$3:$G$452,$AE$3+34),前年度名簿!$G$3:$G$452,0),""),""))</f>
        <v/>
      </c>
      <c r="AF38" s="63">
        <f>IF(計算用!$B$1=1,IFERROR(IF(SMALL(新年度名簿!$J$3:$J$452,$AF$3+34)&lt;12000,MATCH(SMALL(新年度名簿!$J$3:$J$452,$AF$3+34),新年度名簿!$J$3:$J$452,0),""),""),IFERROR(IF(SMALL(前年度名簿!$G$3:$G$452,$AF$3+34)&lt;12000,MATCH(SMALL(前年度名簿!$G$3:$G$452,$AF$3+34),前年度名簿!$G$3:$G$452,0),""),""))</f>
        <v/>
      </c>
      <c r="AG38" s="63">
        <f>IF(計算用!$B$1=1,IFERROR(IF(SMALL(新年度名簿!$J$3:$J$452,$AG$3+34)&lt;13000,MATCH(SMALL(新年度名簿!$J$3:$J$452,$AG$3+34),新年度名簿!$J$3:$J$452,0),""),""),IFERROR(IF(SMALL(前年度名簿!$G$3:$G$452,$AG$3+34)&lt;13000,MATCH(SMALL(前年度名簿!$G$3:$G$452,$AG$3+34),前年度名簿!$G$3:$G$452,0),""),""))</f>
        <v/>
      </c>
      <c r="AH38" s="63">
        <f>IF(計算用!$B$1=1,IFERROR(IF(SMALL(新年度名簿!$J$3:$J$452,$AH$3+34)&lt;14000,MATCH(SMALL(新年度名簿!$J$3:$J$452,$AH$3+34),新年度名簿!$J$3:$J$452,0),""),""),IFERROR(IF(SMALL(前年度名簿!$G$3:$G$452,$AH$3+34)&lt;14000,MATCH(SMALL(前年度名簿!$G$3:$G$452,$AH$3+34),前年度名簿!$G$3:$G$452,0),""),""))</f>
        <v/>
      </c>
      <c r="AI38" s="63">
        <f>IF(計算用!$B$1=1,IFERROR(IF(SMALL(新年度名簿!$J$3:$J$452,$AI$3+34)&lt;15000,MATCH(SMALL(新年度名簿!$J$3:$J$452,$AI$3+34),新年度名簿!$J$3:$J$452,0),""),""),IFERROR(IF(SMALL(前年度名簿!$G$3:$G$452,$AI$3+34)&lt;15000,MATCH(SMALL(前年度名簿!$G$3:$G$452,$AI$3+34),前年度名簿!$G$3:$G$452,0),""),""))</f>
        <v/>
      </c>
      <c r="AJ38" s="63">
        <f>IF(計算用!$B$1=1,IFERROR(IF(SMALL(新年度名簿!$J$3:$J$452,$AJ$3+34)&lt;16000,MATCH(SMALL(新年度名簿!$J$3:$J$452,$AJ$3+34),新年度名簿!$J$3:$J$452,0),""),""),IFERROR(IF(SMALL(前年度名簿!$G$3:$G$452,$AJ$3+34)&lt;16000,MATCH(SMALL(前年度名簿!$G$3:$G$452,$AJ$3+34),前年度名簿!$G$3:$G$452,0),""),""))</f>
        <v/>
      </c>
      <c r="AK38" s="63">
        <f>IF(計算用!$B$1=1,IFERROR(IF(SMALL(新年度名簿!$J$3:$J$452,$AK$3+34)&lt;17000,MATCH(SMALL(新年度名簿!$J$3:$J$452,$AK$3+34),新年度名簿!$J$3:$J$452,0),""),""),IFERROR(IF(SMALL(前年度名簿!$G$3:$G$452,$AK$3+34)&lt;17000,MATCH(SMALL(前年度名簿!$G$3:$G$452,$AK$3+34),前年度名簿!$G$3:$G$452,0),""),""))</f>
        <v/>
      </c>
    </row>
    <row r="39">
      <c r="A39" s="65">
        <f>IF($AD39="","",IF(計算用!$B$1=1,INDEX(新年度名簿!$C$3:$C$452,$AD39),INDEX(前年度名簿!$C$3:$C$452,$AD39)))</f>
        <v/>
      </c>
      <c r="B39" s="66">
        <f>IF($AD39="","",IF(計算用!$B$1=1,INDEX(新年度名簿!$D$3:$D$452,$AD39),INDEX(前年度名簿!$D$3:$D$452,$AD39)))</f>
        <v/>
      </c>
      <c r="C39" s="65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M$7:$M$456,MATCH($AD39,振り分け!$P$7:$P$456,0))="転出","転出",IF(INDEX(振り分け!$L$7:$L$456,MATCH($AD39,振り分け!$P$7:$P$456,0))="","未決定",INDEX(振り分け!$L$7:$L$456,MATCH($AD39,振り分け!$P$7:$P$456,0)))),"未決定")))</f>
        <v/>
      </c>
      <c r="D39" s="65">
        <f>IF($AE39="","",IF(計算用!$B$1=1,INDEX(新年度名簿!$C$3:$C$452,$AE39),INDEX(前年度名簿!$C$3:$C$452,$AE39)))</f>
        <v/>
      </c>
      <c r="E39" s="66">
        <f>IF($AE39="","",IF(計算用!$B$1=1,INDEX(新年度名簿!$D$3:$D$452,$AE39),INDEX(前年度名簿!$D$3:$D$452,$AE39)))</f>
        <v/>
      </c>
      <c r="F39" s="65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M$7:$M$456,MATCH($AE39,振り分け!$P$7:$P$456,0))="転出","転出",IF(INDEX(振り分け!$L$7:$L$456,MATCH($AE39,振り分け!$P$7:$P$456,0))="","未決定",INDEX(振り分け!$L$7:$L$456,MATCH($AE39,振り分け!$P$7:$P$456,0)))),"未決定")))</f>
        <v/>
      </c>
      <c r="G39" s="65">
        <f>IF($AF39="","",IF(計算用!$B$1=1,INDEX(新年度名簿!$C$3:$C$452,$AF39),INDEX(前年度名簿!$C$3:$C$452,$AF39)))</f>
        <v/>
      </c>
      <c r="H39" s="66">
        <f>IF($AF39="","",IF(計算用!$B$1=1,INDEX(新年度名簿!$D$3:$D$452,$AF39),INDEX(前年度名簿!$D$3:$D$452,$AF39)))</f>
        <v/>
      </c>
      <c r="I39" s="65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M$7:$M$456,MATCH($AF39,振り分け!$P$7:$P$456,0))="転出","転出",IF(INDEX(振り分け!$L$7:$L$456,MATCH($AF39,振り分け!$P$7:$P$456,0))="","未決定",INDEX(振り分け!$L$7:$L$456,MATCH($AF39,振り分け!$P$7:$P$456,0)))),"未決定")))</f>
        <v/>
      </c>
      <c r="J39" s="65">
        <f>IF($AG39="","",IF(計算用!$B$1=1,INDEX(新年度名簿!$C$3:$C$452,$AG39),INDEX(前年度名簿!$C$3:$C$452,$AG39)))</f>
        <v/>
      </c>
      <c r="K39" s="66">
        <f>IF($AG39="","",IF(計算用!$B$1=1,INDEX(新年度名簿!$D$3:$D$452,$AG39),INDEX(前年度名簿!$D$3:$D$452,$AG39)))</f>
        <v/>
      </c>
      <c r="L39" s="65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M$7:$M$456,MATCH($AG39,振り分け!$P$7:$P$456,0))="転出","転出",IF(INDEX(振り分け!$L$7:$L$456,MATCH($AG39,振り分け!$P$7:$P$456,0))="","未決定",INDEX(振り分け!$L$7:$L$456,MATCH($AG39,振り分け!$P$7:$P$456,0)))),"未決定")))</f>
        <v/>
      </c>
      <c r="M39" s="65">
        <f>IF($AH39="","",IF(計算用!$B$1=1,INDEX(新年度名簿!$C$3:$C$452,$AH39),INDEX(前年度名簿!$C$3:$C$452,$AH39)))</f>
        <v/>
      </c>
      <c r="N39" s="66">
        <f>IF($AH39="","",IF(計算用!$B$1=1,INDEX(新年度名簿!$D$3:$D$452,$AH39),INDEX(前年度名簿!$D$3:$D$452,$AH39)))</f>
        <v/>
      </c>
      <c r="O39" s="65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M$7:$M$456,MATCH($AH39,振り分け!$P$7:$P$456,0))="転出","転出",IF(INDEX(振り分け!$L$7:$L$456,MATCH($AH39,振り分け!$P$7:$P$456,0))="","未決定",INDEX(振り分け!$L$7:$L$456,MATCH($AH39,振り分け!$P$7:$P$456,0)))),"未決定")))</f>
        <v/>
      </c>
      <c r="P39" s="65">
        <f>IF($AI39="","",IF(計算用!$B$1=1,INDEX(新年度名簿!$C$3:$C$452,$AI39),INDEX(前年度名簿!$C$3:$C$452,$AI39)))</f>
        <v/>
      </c>
      <c r="Q39" s="66">
        <f>IF($AI39="","",IF(計算用!$B$1=1,INDEX(新年度名簿!$D$3:$D$452,$AI39),INDEX(前年度名簿!$D$3:$D$452,$AI39)))</f>
        <v/>
      </c>
      <c r="R39" s="65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M$7:$M$456,MATCH($AI39,振り分け!$P$7:$P$456,0))="転出","転出",IF(INDEX(振り分け!$L$7:$L$456,MATCH($AI39,振り分け!$P$7:$P$456,0))="","未決定",INDEX(振り分け!$L$7:$L$456,MATCH($AI39,振り分け!$P$7:$P$456,0)))),"未決定")))</f>
        <v/>
      </c>
      <c r="S39" s="65">
        <f>IF($AJ39="","",IF(計算用!$B$1=1,INDEX(新年度名簿!$C$3:$C$452,$AJ39),INDEX(前年度名簿!$C$3:$C$452,$AJ39)))</f>
        <v/>
      </c>
      <c r="T39" s="66">
        <f>IF($AJ39="","",IF(計算用!$B$1=1,INDEX(新年度名簿!$D$3:$D$452,$AJ39),INDEX(前年度名簿!$D$3:$D$452,$AJ39)))</f>
        <v/>
      </c>
      <c r="U39" s="65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M$7:$M$456,MATCH($AJ39,振り分け!$P$7:$P$456,0))="転出","転出",IF(INDEX(振り分け!$L$7:$L$456,MATCH($AJ39,振り分け!$P$7:$P$456,0))="","未決定",INDEX(振り分け!$L$7:$L$456,MATCH($AJ39,振り分け!$P$7:$P$456,0)))),"未決定")))</f>
        <v/>
      </c>
      <c r="V39" s="65">
        <f>IF($AK39="","",IF(計算用!$B$1=1,INDEX(新年度名簿!$C$3:$C$452,$AK39),INDEX(前年度名簿!$C$3:$C$452,$AK39)))</f>
        <v/>
      </c>
      <c r="W39" s="66">
        <f>IF($AK39="","",IF(計算用!$B$1=1,INDEX(新年度名簿!$D$3:$D$452,$AK39),INDEX(前年度名簿!$D$3:$D$452,$AK39)))</f>
        <v/>
      </c>
      <c r="X39" s="65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M$7:$M$456,MATCH($AK39,振り分け!$P$7:$P$456,0))="転出","転出",IF(INDEX(振り分け!$L$7:$L$456,MATCH($AK39,振り分け!$P$7:$P$456,0))="","未決定",INDEX(振り分け!$L$7:$L$456,MATCH($AK39,振り分け!$P$7:$P$456,0)))),"未決定")))</f>
        <v/>
      </c>
      <c r="AD39" s="63">
        <f>IF(計算用!$B$1=1,IFERROR(IF(SMALL(新年度名簿!$J$3:$J$452,$AD$3+35)&lt;10000,MATCH(SMALL(新年度名簿!$J$3:$J$452,$AD$3+35),新年度名簿!$J$3:$J$452,0),""),""),IFERROR(IF(SMALL(前年度名簿!$G$3:$G$452,$AD$3+35)&lt;10000,MATCH(SMALL(前年度名簿!$G$3:$G$452,$AD$3+35),前年度名簿!$G$3:$G$452,0),""),""))</f>
        <v/>
      </c>
      <c r="AE39" s="63">
        <f>IF(計算用!$B$1=1,IFERROR(IF(SMALL(新年度名簿!$J$3:$J$452,$AE$3+35)&lt;11000,MATCH(SMALL(新年度名簿!$J$3:$J$452,$AE$3+35),新年度名簿!$J$3:$J$452,0),""),""),IFERROR(IF(SMALL(前年度名簿!$G$3:$G$452,$AE$3+35)&lt;11000,MATCH(SMALL(前年度名簿!$G$3:$G$452,$AE$3+35),前年度名簿!$G$3:$G$452,0),""),""))</f>
        <v/>
      </c>
      <c r="AF39" s="63">
        <f>IF(計算用!$B$1=1,IFERROR(IF(SMALL(新年度名簿!$J$3:$J$452,$AF$3+35)&lt;12000,MATCH(SMALL(新年度名簿!$J$3:$J$452,$AF$3+35),新年度名簿!$J$3:$J$452,0),""),""),IFERROR(IF(SMALL(前年度名簿!$G$3:$G$452,$AF$3+35)&lt;12000,MATCH(SMALL(前年度名簿!$G$3:$G$452,$AF$3+35),前年度名簿!$G$3:$G$452,0),""),""))</f>
        <v/>
      </c>
      <c r="AG39" s="63">
        <f>IF(計算用!$B$1=1,IFERROR(IF(SMALL(新年度名簿!$J$3:$J$452,$AG$3+35)&lt;13000,MATCH(SMALL(新年度名簿!$J$3:$J$452,$AG$3+35),新年度名簿!$J$3:$J$452,0),""),""),IFERROR(IF(SMALL(前年度名簿!$G$3:$G$452,$AG$3+35)&lt;13000,MATCH(SMALL(前年度名簿!$G$3:$G$452,$AG$3+35),前年度名簿!$G$3:$G$452,0),""),""))</f>
        <v/>
      </c>
      <c r="AH39" s="63">
        <f>IF(計算用!$B$1=1,IFERROR(IF(SMALL(新年度名簿!$J$3:$J$452,$AH$3+35)&lt;14000,MATCH(SMALL(新年度名簿!$J$3:$J$452,$AH$3+35),新年度名簿!$J$3:$J$452,0),""),""),IFERROR(IF(SMALL(前年度名簿!$G$3:$G$452,$AH$3+35)&lt;14000,MATCH(SMALL(前年度名簿!$G$3:$G$452,$AH$3+35),前年度名簿!$G$3:$G$452,0),""),""))</f>
        <v/>
      </c>
      <c r="AI39" s="63">
        <f>IF(計算用!$B$1=1,IFERROR(IF(SMALL(新年度名簿!$J$3:$J$452,$AI$3+35)&lt;15000,MATCH(SMALL(新年度名簿!$J$3:$J$452,$AI$3+35),新年度名簿!$J$3:$J$452,0),""),""),IFERROR(IF(SMALL(前年度名簿!$G$3:$G$452,$AI$3+35)&lt;15000,MATCH(SMALL(前年度名簿!$G$3:$G$452,$AI$3+35),前年度名簿!$G$3:$G$452,0),""),""))</f>
        <v/>
      </c>
      <c r="AJ39" s="63">
        <f>IF(計算用!$B$1=1,IFERROR(IF(SMALL(新年度名簿!$J$3:$J$452,$AJ$3+35)&lt;16000,MATCH(SMALL(新年度名簿!$J$3:$J$452,$AJ$3+35),新年度名簿!$J$3:$J$452,0),""),""),IFERROR(IF(SMALL(前年度名簿!$G$3:$G$452,$AJ$3+35)&lt;16000,MATCH(SMALL(前年度名簿!$G$3:$G$452,$AJ$3+35),前年度名簿!$G$3:$G$452,0),""),""))</f>
        <v/>
      </c>
      <c r="AK39" s="63">
        <f>IF(計算用!$B$1=1,IFERROR(IF(SMALL(新年度名簿!$J$3:$J$452,$AK$3+35)&lt;17000,MATCH(SMALL(新年度名簿!$J$3:$J$452,$AK$3+35),新年度名簿!$J$3:$J$452,0),""),""),IFERROR(IF(SMALL(前年度名簿!$G$3:$G$452,$AK$3+35)&lt;17000,MATCH(SMALL(前年度名簿!$G$3:$G$452,$AK$3+35),前年度名簿!$G$3:$G$452,0),""),""))</f>
        <v/>
      </c>
    </row>
    <row r="40">
      <c r="A40" s="65">
        <f>IF($AD40="","",IF(計算用!$B$1=1,INDEX(新年度名簿!$C$3:$C$452,$AD40),INDEX(前年度名簿!$C$3:$C$452,$AD40)))</f>
        <v/>
      </c>
      <c r="B40" s="66">
        <f>IF($AD40="","",IF(計算用!$B$1=1,INDEX(新年度名簿!$D$3:$D$452,$AD40),INDEX(前年度名簿!$D$3:$D$452,$AD40)))</f>
        <v/>
      </c>
      <c r="C40" s="65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M$7:$M$456,MATCH($AD40,振り分け!$P$7:$P$456,0))="転出","転出",IF(INDEX(振り分け!$L$7:$L$456,MATCH($AD40,振り分け!$P$7:$P$456,0))="","未決定",INDEX(振り分け!$L$7:$L$456,MATCH($AD40,振り分け!$P$7:$P$456,0)))),"未決定")))</f>
        <v/>
      </c>
      <c r="D40" s="65">
        <f>IF($AE40="","",IF(計算用!$B$1=1,INDEX(新年度名簿!$C$3:$C$452,$AE40),INDEX(前年度名簿!$C$3:$C$452,$AE40)))</f>
        <v/>
      </c>
      <c r="E40" s="66">
        <f>IF($AE40="","",IF(計算用!$B$1=1,INDEX(新年度名簿!$D$3:$D$452,$AE40),INDEX(前年度名簿!$D$3:$D$452,$AE40)))</f>
        <v/>
      </c>
      <c r="F40" s="65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M$7:$M$456,MATCH($AE40,振り分け!$P$7:$P$456,0))="転出","転出",IF(INDEX(振り分け!$L$7:$L$456,MATCH($AE40,振り分け!$P$7:$P$456,0))="","未決定",INDEX(振り分け!$L$7:$L$456,MATCH($AE40,振り分け!$P$7:$P$456,0)))),"未決定")))</f>
        <v/>
      </c>
      <c r="G40" s="65">
        <f>IF($AF40="","",IF(計算用!$B$1=1,INDEX(新年度名簿!$C$3:$C$452,$AF40),INDEX(前年度名簿!$C$3:$C$452,$AF40)))</f>
        <v/>
      </c>
      <c r="H40" s="66">
        <f>IF($AF40="","",IF(計算用!$B$1=1,INDEX(新年度名簿!$D$3:$D$452,$AF40),INDEX(前年度名簿!$D$3:$D$452,$AF40)))</f>
        <v/>
      </c>
      <c r="I40" s="65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M$7:$M$456,MATCH($AF40,振り分け!$P$7:$P$456,0))="転出","転出",IF(INDEX(振り分け!$L$7:$L$456,MATCH($AF40,振り分け!$P$7:$P$456,0))="","未決定",INDEX(振り分け!$L$7:$L$456,MATCH($AF40,振り分け!$P$7:$P$456,0)))),"未決定")))</f>
        <v/>
      </c>
      <c r="J40" s="65">
        <f>IF($AG40="","",IF(計算用!$B$1=1,INDEX(新年度名簿!$C$3:$C$452,$AG40),INDEX(前年度名簿!$C$3:$C$452,$AG40)))</f>
        <v/>
      </c>
      <c r="K40" s="66">
        <f>IF($AG40="","",IF(計算用!$B$1=1,INDEX(新年度名簿!$D$3:$D$452,$AG40),INDEX(前年度名簿!$D$3:$D$452,$AG40)))</f>
        <v/>
      </c>
      <c r="L40" s="65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M$7:$M$456,MATCH($AG40,振り分け!$P$7:$P$456,0))="転出","転出",IF(INDEX(振り分け!$L$7:$L$456,MATCH($AG40,振り分け!$P$7:$P$456,0))="","未決定",INDEX(振り分け!$L$7:$L$456,MATCH($AG40,振り分け!$P$7:$P$456,0)))),"未決定")))</f>
        <v/>
      </c>
      <c r="M40" s="65">
        <f>IF($AH40="","",IF(計算用!$B$1=1,INDEX(新年度名簿!$C$3:$C$452,$AH40),INDEX(前年度名簿!$C$3:$C$452,$AH40)))</f>
        <v/>
      </c>
      <c r="N40" s="66">
        <f>IF($AH40="","",IF(計算用!$B$1=1,INDEX(新年度名簿!$D$3:$D$452,$AH40),INDEX(前年度名簿!$D$3:$D$452,$AH40)))</f>
        <v/>
      </c>
      <c r="O40" s="65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M$7:$M$456,MATCH($AH40,振り分け!$P$7:$P$456,0))="転出","転出",IF(INDEX(振り分け!$L$7:$L$456,MATCH($AH40,振り分け!$P$7:$P$456,0))="","未決定",INDEX(振り分け!$L$7:$L$456,MATCH($AH40,振り分け!$P$7:$P$456,0)))),"未決定")))</f>
        <v/>
      </c>
      <c r="P40" s="65">
        <f>IF($AI40="","",IF(計算用!$B$1=1,INDEX(新年度名簿!$C$3:$C$452,$AI40),INDEX(前年度名簿!$C$3:$C$452,$AI40)))</f>
        <v/>
      </c>
      <c r="Q40" s="66">
        <f>IF($AI40="","",IF(計算用!$B$1=1,INDEX(新年度名簿!$D$3:$D$452,$AI40),INDEX(前年度名簿!$D$3:$D$452,$AI40)))</f>
        <v/>
      </c>
      <c r="R40" s="65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M$7:$M$456,MATCH($AI40,振り分け!$P$7:$P$456,0))="転出","転出",IF(INDEX(振り分け!$L$7:$L$456,MATCH($AI40,振り分け!$P$7:$P$456,0))="","未決定",INDEX(振り分け!$L$7:$L$456,MATCH($AI40,振り分け!$P$7:$P$456,0)))),"未決定")))</f>
        <v/>
      </c>
      <c r="S40" s="65">
        <f>IF($AJ40="","",IF(計算用!$B$1=1,INDEX(新年度名簿!$C$3:$C$452,$AJ40),INDEX(前年度名簿!$C$3:$C$452,$AJ40)))</f>
        <v/>
      </c>
      <c r="T40" s="66">
        <f>IF($AJ40="","",IF(計算用!$B$1=1,INDEX(新年度名簿!$D$3:$D$452,$AJ40),INDEX(前年度名簿!$D$3:$D$452,$AJ40)))</f>
        <v/>
      </c>
      <c r="U40" s="65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M$7:$M$456,MATCH($AJ40,振り分け!$P$7:$P$456,0))="転出","転出",IF(INDEX(振り分け!$L$7:$L$456,MATCH($AJ40,振り分け!$P$7:$P$456,0))="","未決定",INDEX(振り分け!$L$7:$L$456,MATCH($AJ40,振り分け!$P$7:$P$456,0)))),"未決定")))</f>
        <v/>
      </c>
      <c r="V40" s="65">
        <f>IF($AK40="","",IF(計算用!$B$1=1,INDEX(新年度名簿!$C$3:$C$452,$AK40),INDEX(前年度名簿!$C$3:$C$452,$AK40)))</f>
        <v/>
      </c>
      <c r="W40" s="66">
        <f>IF($AK40="","",IF(計算用!$B$1=1,INDEX(新年度名簿!$D$3:$D$452,$AK40),INDEX(前年度名簿!$D$3:$D$452,$AK40)))</f>
        <v/>
      </c>
      <c r="X40" s="65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M$7:$M$456,MATCH($AK40,振り分け!$P$7:$P$456,0))="転出","転出",IF(INDEX(振り分け!$L$7:$L$456,MATCH($AK40,振り分け!$P$7:$P$456,0))="","未決定",INDEX(振り分け!$L$7:$L$456,MATCH($AK40,振り分け!$P$7:$P$456,0)))),"未決定")))</f>
        <v/>
      </c>
      <c r="AD40" s="63">
        <f>IF(計算用!$B$1=1,IFERROR(IF(SMALL(新年度名簿!$J$3:$J$452,$AD$3+36)&lt;10000,MATCH(SMALL(新年度名簿!$J$3:$J$452,$AD$3+36),新年度名簿!$J$3:$J$452,0),""),""),IFERROR(IF(SMALL(前年度名簿!$G$3:$G$452,$AD$3+36)&lt;10000,MATCH(SMALL(前年度名簿!$G$3:$G$452,$AD$3+36),前年度名簿!$G$3:$G$452,0),""),""))</f>
        <v/>
      </c>
      <c r="AE40" s="63">
        <f>IF(計算用!$B$1=1,IFERROR(IF(SMALL(新年度名簿!$J$3:$J$452,$AE$3+36)&lt;11000,MATCH(SMALL(新年度名簿!$J$3:$J$452,$AE$3+36),新年度名簿!$J$3:$J$452,0),""),""),IFERROR(IF(SMALL(前年度名簿!$G$3:$G$452,$AE$3+36)&lt;11000,MATCH(SMALL(前年度名簿!$G$3:$G$452,$AE$3+36),前年度名簿!$G$3:$G$452,0),""),""))</f>
        <v/>
      </c>
      <c r="AF40" s="63">
        <f>IF(計算用!$B$1=1,IFERROR(IF(SMALL(新年度名簿!$J$3:$J$452,$AF$3+36)&lt;12000,MATCH(SMALL(新年度名簿!$J$3:$J$452,$AF$3+36),新年度名簿!$J$3:$J$452,0),""),""),IFERROR(IF(SMALL(前年度名簿!$G$3:$G$452,$AF$3+36)&lt;12000,MATCH(SMALL(前年度名簿!$G$3:$G$452,$AF$3+36),前年度名簿!$G$3:$G$452,0),""),""))</f>
        <v/>
      </c>
      <c r="AG40" s="63">
        <f>IF(計算用!$B$1=1,IFERROR(IF(SMALL(新年度名簿!$J$3:$J$452,$AG$3+36)&lt;13000,MATCH(SMALL(新年度名簿!$J$3:$J$452,$AG$3+36),新年度名簿!$J$3:$J$452,0),""),""),IFERROR(IF(SMALL(前年度名簿!$G$3:$G$452,$AG$3+36)&lt;13000,MATCH(SMALL(前年度名簿!$G$3:$G$452,$AG$3+36),前年度名簿!$G$3:$G$452,0),""),""))</f>
        <v/>
      </c>
      <c r="AH40" s="63">
        <f>IF(計算用!$B$1=1,IFERROR(IF(SMALL(新年度名簿!$J$3:$J$452,$AH$3+36)&lt;14000,MATCH(SMALL(新年度名簿!$J$3:$J$452,$AH$3+36),新年度名簿!$J$3:$J$452,0),""),""),IFERROR(IF(SMALL(前年度名簿!$G$3:$G$452,$AH$3+36)&lt;14000,MATCH(SMALL(前年度名簿!$G$3:$G$452,$AH$3+36),前年度名簿!$G$3:$G$452,0),""),""))</f>
        <v/>
      </c>
      <c r="AI40" s="63">
        <f>IF(計算用!$B$1=1,IFERROR(IF(SMALL(新年度名簿!$J$3:$J$452,$AI$3+36)&lt;15000,MATCH(SMALL(新年度名簿!$J$3:$J$452,$AI$3+36),新年度名簿!$J$3:$J$452,0),""),""),IFERROR(IF(SMALL(前年度名簿!$G$3:$G$452,$AI$3+36)&lt;15000,MATCH(SMALL(前年度名簿!$G$3:$G$452,$AI$3+36),前年度名簿!$G$3:$G$452,0),""),""))</f>
        <v/>
      </c>
      <c r="AJ40" s="63">
        <f>IF(計算用!$B$1=1,IFERROR(IF(SMALL(新年度名簿!$J$3:$J$452,$AJ$3+36)&lt;16000,MATCH(SMALL(新年度名簿!$J$3:$J$452,$AJ$3+36),新年度名簿!$J$3:$J$452,0),""),""),IFERROR(IF(SMALL(前年度名簿!$G$3:$G$452,$AJ$3+36)&lt;16000,MATCH(SMALL(前年度名簿!$G$3:$G$452,$AJ$3+36),前年度名簿!$G$3:$G$452,0),""),""))</f>
        <v/>
      </c>
      <c r="AK40" s="63">
        <f>IF(計算用!$B$1=1,IFERROR(IF(SMALL(新年度名簿!$J$3:$J$452,$AK$3+36)&lt;17000,MATCH(SMALL(新年度名簿!$J$3:$J$452,$AK$3+36),新年度名簿!$J$3:$J$452,0),""),""),IFERROR(IF(SMALL(前年度名簿!$G$3:$G$452,$AK$3+36)&lt;17000,MATCH(SMALL(前年度名簿!$G$3:$G$452,$AK$3+36),前年度名簿!$G$3:$G$452,0),""),""))</f>
        <v/>
      </c>
    </row>
    <row r="41">
      <c r="A41" s="65">
        <f>IF($AD41="","",IF(計算用!$B$1=1,INDEX(新年度名簿!$C$3:$C$452,$AD41),INDEX(前年度名簿!$C$3:$C$452,$AD41)))</f>
        <v/>
      </c>
      <c r="B41" s="66">
        <f>IF($AD41="","",IF(計算用!$B$1=1,INDEX(新年度名簿!$D$3:$D$452,$AD41),INDEX(前年度名簿!$D$3:$D$452,$AD41)))</f>
        <v/>
      </c>
      <c r="C41" s="65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M$7:$M$456,MATCH($AD41,振り分け!$P$7:$P$456,0))="転出","転出",IF(INDEX(振り分け!$L$7:$L$456,MATCH($AD41,振り分け!$P$7:$P$456,0))="","未決定",INDEX(振り分け!$L$7:$L$456,MATCH($AD41,振り分け!$P$7:$P$456,0)))),"未決定")))</f>
        <v/>
      </c>
      <c r="D41" s="65">
        <f>IF($AE41="","",IF(計算用!$B$1=1,INDEX(新年度名簿!$C$3:$C$452,$AE41),INDEX(前年度名簿!$C$3:$C$452,$AE41)))</f>
        <v/>
      </c>
      <c r="E41" s="66">
        <f>IF($AE41="","",IF(計算用!$B$1=1,INDEX(新年度名簿!$D$3:$D$452,$AE41),INDEX(前年度名簿!$D$3:$D$452,$AE41)))</f>
        <v/>
      </c>
      <c r="F41" s="65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M$7:$M$456,MATCH($AE41,振り分け!$P$7:$P$456,0))="転出","転出",IF(INDEX(振り分け!$L$7:$L$456,MATCH($AE41,振り分け!$P$7:$P$456,0))="","未決定",INDEX(振り分け!$L$7:$L$456,MATCH($AE41,振り分け!$P$7:$P$456,0)))),"未決定")))</f>
        <v/>
      </c>
      <c r="G41" s="65">
        <f>IF($AF41="","",IF(計算用!$B$1=1,INDEX(新年度名簿!$C$3:$C$452,$AF41),INDEX(前年度名簿!$C$3:$C$452,$AF41)))</f>
        <v/>
      </c>
      <c r="H41" s="66">
        <f>IF($AF41="","",IF(計算用!$B$1=1,INDEX(新年度名簿!$D$3:$D$452,$AF41),INDEX(前年度名簿!$D$3:$D$452,$AF41)))</f>
        <v/>
      </c>
      <c r="I41" s="65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M$7:$M$456,MATCH($AF41,振り分け!$P$7:$P$456,0))="転出","転出",IF(INDEX(振り分け!$L$7:$L$456,MATCH($AF41,振り分け!$P$7:$P$456,0))="","未決定",INDEX(振り分け!$L$7:$L$456,MATCH($AF41,振り分け!$P$7:$P$456,0)))),"未決定")))</f>
        <v/>
      </c>
      <c r="J41" s="65">
        <f>IF($AG41="","",IF(計算用!$B$1=1,INDEX(新年度名簿!$C$3:$C$452,$AG41),INDEX(前年度名簿!$C$3:$C$452,$AG41)))</f>
        <v/>
      </c>
      <c r="K41" s="66">
        <f>IF($AG41="","",IF(計算用!$B$1=1,INDEX(新年度名簿!$D$3:$D$452,$AG41),INDEX(前年度名簿!$D$3:$D$452,$AG41)))</f>
        <v/>
      </c>
      <c r="L41" s="65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M$7:$M$456,MATCH($AG41,振り分け!$P$7:$P$456,0))="転出","転出",IF(INDEX(振り分け!$L$7:$L$456,MATCH($AG41,振り分け!$P$7:$P$456,0))="","未決定",INDEX(振り分け!$L$7:$L$456,MATCH($AG41,振り分け!$P$7:$P$456,0)))),"未決定")))</f>
        <v/>
      </c>
      <c r="M41" s="65">
        <f>IF($AH41="","",IF(計算用!$B$1=1,INDEX(新年度名簿!$C$3:$C$452,$AH41),INDEX(前年度名簿!$C$3:$C$452,$AH41)))</f>
        <v/>
      </c>
      <c r="N41" s="66">
        <f>IF($AH41="","",IF(計算用!$B$1=1,INDEX(新年度名簿!$D$3:$D$452,$AH41),INDEX(前年度名簿!$D$3:$D$452,$AH41)))</f>
        <v/>
      </c>
      <c r="O41" s="65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M$7:$M$456,MATCH($AH41,振り分け!$P$7:$P$456,0))="転出","転出",IF(INDEX(振り分け!$L$7:$L$456,MATCH($AH41,振り分け!$P$7:$P$456,0))="","未決定",INDEX(振り分け!$L$7:$L$456,MATCH($AH41,振り分け!$P$7:$P$456,0)))),"未決定")))</f>
        <v/>
      </c>
      <c r="P41" s="65">
        <f>IF($AI41="","",IF(計算用!$B$1=1,INDEX(新年度名簿!$C$3:$C$452,$AI41),INDEX(前年度名簿!$C$3:$C$452,$AI41)))</f>
        <v/>
      </c>
      <c r="Q41" s="66">
        <f>IF($AI41="","",IF(計算用!$B$1=1,INDEX(新年度名簿!$D$3:$D$452,$AI41),INDEX(前年度名簿!$D$3:$D$452,$AI41)))</f>
        <v/>
      </c>
      <c r="R41" s="65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M$7:$M$456,MATCH($AI41,振り分け!$P$7:$P$456,0))="転出","転出",IF(INDEX(振り分け!$L$7:$L$456,MATCH($AI41,振り分け!$P$7:$P$456,0))="","未決定",INDEX(振り分け!$L$7:$L$456,MATCH($AI41,振り分け!$P$7:$P$456,0)))),"未決定")))</f>
        <v/>
      </c>
      <c r="S41" s="65">
        <f>IF($AJ41="","",IF(計算用!$B$1=1,INDEX(新年度名簿!$C$3:$C$452,$AJ41),INDEX(前年度名簿!$C$3:$C$452,$AJ41)))</f>
        <v/>
      </c>
      <c r="T41" s="66">
        <f>IF($AJ41="","",IF(計算用!$B$1=1,INDEX(新年度名簿!$D$3:$D$452,$AJ41),INDEX(前年度名簿!$D$3:$D$452,$AJ41)))</f>
        <v/>
      </c>
      <c r="U41" s="65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M$7:$M$456,MATCH($AJ41,振り分け!$P$7:$P$456,0))="転出","転出",IF(INDEX(振り分け!$L$7:$L$456,MATCH($AJ41,振り分け!$P$7:$P$456,0))="","未決定",INDEX(振り分け!$L$7:$L$456,MATCH($AJ41,振り分け!$P$7:$P$456,0)))),"未決定")))</f>
        <v/>
      </c>
      <c r="V41" s="65">
        <f>IF($AK41="","",IF(計算用!$B$1=1,INDEX(新年度名簿!$C$3:$C$452,$AK41),INDEX(前年度名簿!$C$3:$C$452,$AK41)))</f>
        <v/>
      </c>
      <c r="W41" s="66">
        <f>IF($AK41="","",IF(計算用!$B$1=1,INDEX(新年度名簿!$D$3:$D$452,$AK41),INDEX(前年度名簿!$D$3:$D$452,$AK41)))</f>
        <v/>
      </c>
      <c r="X41" s="65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M$7:$M$456,MATCH($AK41,振り分け!$P$7:$P$456,0))="転出","転出",IF(INDEX(振り分け!$L$7:$L$456,MATCH($AK41,振り分け!$P$7:$P$456,0))="","未決定",INDEX(振り分け!$L$7:$L$456,MATCH($AK41,振り分け!$P$7:$P$456,0)))),"未決定")))</f>
        <v/>
      </c>
      <c r="AD41" s="63">
        <f>IF(計算用!$B$1=1,IFERROR(IF(SMALL(新年度名簿!$J$3:$J$452,$AD$3+37)&lt;10000,MATCH(SMALL(新年度名簿!$J$3:$J$452,$AD$3+37),新年度名簿!$J$3:$J$452,0),""),""),IFERROR(IF(SMALL(前年度名簿!$G$3:$G$452,$AD$3+37)&lt;10000,MATCH(SMALL(前年度名簿!$G$3:$G$452,$AD$3+37),前年度名簿!$G$3:$G$452,0),""),""))</f>
        <v/>
      </c>
      <c r="AE41" s="63">
        <f>IF(計算用!$B$1=1,IFERROR(IF(SMALL(新年度名簿!$J$3:$J$452,$AE$3+37)&lt;11000,MATCH(SMALL(新年度名簿!$J$3:$J$452,$AE$3+37),新年度名簿!$J$3:$J$452,0),""),""),IFERROR(IF(SMALL(前年度名簿!$G$3:$G$452,$AE$3+37)&lt;11000,MATCH(SMALL(前年度名簿!$G$3:$G$452,$AE$3+37),前年度名簿!$G$3:$G$452,0),""),""))</f>
        <v/>
      </c>
      <c r="AF41" s="63">
        <f>IF(計算用!$B$1=1,IFERROR(IF(SMALL(新年度名簿!$J$3:$J$452,$AF$3+37)&lt;12000,MATCH(SMALL(新年度名簿!$J$3:$J$452,$AF$3+37),新年度名簿!$J$3:$J$452,0),""),""),IFERROR(IF(SMALL(前年度名簿!$G$3:$G$452,$AF$3+37)&lt;12000,MATCH(SMALL(前年度名簿!$G$3:$G$452,$AF$3+37),前年度名簿!$G$3:$G$452,0),""),""))</f>
        <v/>
      </c>
      <c r="AG41" s="63">
        <f>IF(計算用!$B$1=1,IFERROR(IF(SMALL(新年度名簿!$J$3:$J$452,$AG$3+37)&lt;13000,MATCH(SMALL(新年度名簿!$J$3:$J$452,$AG$3+37),新年度名簿!$J$3:$J$452,0),""),""),IFERROR(IF(SMALL(前年度名簿!$G$3:$G$452,$AG$3+37)&lt;13000,MATCH(SMALL(前年度名簿!$G$3:$G$452,$AG$3+37),前年度名簿!$G$3:$G$452,0),""),""))</f>
        <v/>
      </c>
      <c r="AH41" s="63">
        <f>IF(計算用!$B$1=1,IFERROR(IF(SMALL(新年度名簿!$J$3:$J$452,$AH$3+37)&lt;14000,MATCH(SMALL(新年度名簿!$J$3:$J$452,$AH$3+37),新年度名簿!$J$3:$J$452,0),""),""),IFERROR(IF(SMALL(前年度名簿!$G$3:$G$452,$AH$3+37)&lt;14000,MATCH(SMALL(前年度名簿!$G$3:$G$452,$AH$3+37),前年度名簿!$G$3:$G$452,0),""),""))</f>
        <v/>
      </c>
      <c r="AI41" s="63">
        <f>IF(計算用!$B$1=1,IFERROR(IF(SMALL(新年度名簿!$J$3:$J$452,$AI$3+37)&lt;15000,MATCH(SMALL(新年度名簿!$J$3:$J$452,$AI$3+37),新年度名簿!$J$3:$J$452,0),""),""),IFERROR(IF(SMALL(前年度名簿!$G$3:$G$452,$AI$3+37)&lt;15000,MATCH(SMALL(前年度名簿!$G$3:$G$452,$AI$3+37),前年度名簿!$G$3:$G$452,0),""),""))</f>
        <v/>
      </c>
      <c r="AJ41" s="63">
        <f>IF(計算用!$B$1=1,IFERROR(IF(SMALL(新年度名簿!$J$3:$J$452,$AJ$3+37)&lt;16000,MATCH(SMALL(新年度名簿!$J$3:$J$452,$AJ$3+37),新年度名簿!$J$3:$J$452,0),""),""),IFERROR(IF(SMALL(前年度名簿!$G$3:$G$452,$AJ$3+37)&lt;16000,MATCH(SMALL(前年度名簿!$G$3:$G$452,$AJ$3+37),前年度名簿!$G$3:$G$452,0),""),""))</f>
        <v/>
      </c>
      <c r="AK41" s="63">
        <f>IF(計算用!$B$1=1,IFERROR(IF(SMALL(新年度名簿!$J$3:$J$452,$AK$3+37)&lt;17000,MATCH(SMALL(新年度名簿!$J$3:$J$452,$AK$3+37),新年度名簿!$J$3:$J$452,0),""),""),IFERROR(IF(SMALL(前年度名簿!$G$3:$G$452,$AK$3+37)&lt;17000,MATCH(SMALL(前年度名簿!$G$3:$G$452,$AK$3+37),前年度名簿!$G$3:$G$452,0),""),""))</f>
        <v/>
      </c>
    </row>
    <row r="42">
      <c r="A42" s="65">
        <f>IF($AD42="","",IF(計算用!$B$1=1,INDEX(新年度名簿!$C$3:$C$452,$AD42),INDEX(前年度名簿!$C$3:$C$452,$AD42)))</f>
        <v/>
      </c>
      <c r="B42" s="66">
        <f>IF($AD42="","",IF(計算用!$B$1=1,INDEX(新年度名簿!$D$3:$D$452,$AD42),INDEX(前年度名簿!$D$3:$D$452,$AD42)))</f>
        <v/>
      </c>
      <c r="C42" s="65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M$7:$M$456,MATCH($AD42,振り分け!$P$7:$P$456,0))="転出","転出",IF(INDEX(振り分け!$L$7:$L$456,MATCH($AD42,振り分け!$P$7:$P$456,0))="","未決定",INDEX(振り分け!$L$7:$L$456,MATCH($AD42,振り分け!$P$7:$P$456,0)))),"未決定")))</f>
        <v/>
      </c>
      <c r="D42" s="65">
        <f>IF($AE42="","",IF(計算用!$B$1=1,INDEX(新年度名簿!$C$3:$C$452,$AE42),INDEX(前年度名簿!$C$3:$C$452,$AE42)))</f>
        <v/>
      </c>
      <c r="E42" s="66">
        <f>IF($AE42="","",IF(計算用!$B$1=1,INDEX(新年度名簿!$D$3:$D$452,$AE42),INDEX(前年度名簿!$D$3:$D$452,$AE42)))</f>
        <v/>
      </c>
      <c r="F42" s="65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M$7:$M$456,MATCH($AE42,振り分け!$P$7:$P$456,0))="転出","転出",IF(INDEX(振り分け!$L$7:$L$456,MATCH($AE42,振り分け!$P$7:$P$456,0))="","未決定",INDEX(振り分け!$L$7:$L$456,MATCH($AE42,振り分け!$P$7:$P$456,0)))),"未決定")))</f>
        <v/>
      </c>
      <c r="G42" s="65">
        <f>IF($AF42="","",IF(計算用!$B$1=1,INDEX(新年度名簿!$C$3:$C$452,$AF42),INDEX(前年度名簿!$C$3:$C$452,$AF42)))</f>
        <v/>
      </c>
      <c r="H42" s="66">
        <f>IF($AF42="","",IF(計算用!$B$1=1,INDEX(新年度名簿!$D$3:$D$452,$AF42),INDEX(前年度名簿!$D$3:$D$452,$AF42)))</f>
        <v/>
      </c>
      <c r="I42" s="65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M$7:$M$456,MATCH($AF42,振り分け!$P$7:$P$456,0))="転出","転出",IF(INDEX(振り分け!$L$7:$L$456,MATCH($AF42,振り分け!$P$7:$P$456,0))="","未決定",INDEX(振り分け!$L$7:$L$456,MATCH($AF42,振り分け!$P$7:$P$456,0)))),"未決定")))</f>
        <v/>
      </c>
      <c r="J42" s="65">
        <f>IF($AG42="","",IF(計算用!$B$1=1,INDEX(新年度名簿!$C$3:$C$452,$AG42),INDEX(前年度名簿!$C$3:$C$452,$AG42)))</f>
        <v/>
      </c>
      <c r="K42" s="66">
        <f>IF($AG42="","",IF(計算用!$B$1=1,INDEX(新年度名簿!$D$3:$D$452,$AG42),INDEX(前年度名簿!$D$3:$D$452,$AG42)))</f>
        <v/>
      </c>
      <c r="L42" s="65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M$7:$M$456,MATCH($AG42,振り分け!$P$7:$P$456,0))="転出","転出",IF(INDEX(振り分け!$L$7:$L$456,MATCH($AG42,振り分け!$P$7:$P$456,0))="","未決定",INDEX(振り分け!$L$7:$L$456,MATCH($AG42,振り分け!$P$7:$P$456,0)))),"未決定")))</f>
        <v/>
      </c>
      <c r="M42" s="65">
        <f>IF($AH42="","",IF(計算用!$B$1=1,INDEX(新年度名簿!$C$3:$C$452,$AH42),INDEX(前年度名簿!$C$3:$C$452,$AH42)))</f>
        <v/>
      </c>
      <c r="N42" s="66">
        <f>IF($AH42="","",IF(計算用!$B$1=1,INDEX(新年度名簿!$D$3:$D$452,$AH42),INDEX(前年度名簿!$D$3:$D$452,$AH42)))</f>
        <v/>
      </c>
      <c r="O42" s="65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M$7:$M$456,MATCH($AH42,振り分け!$P$7:$P$456,0))="転出","転出",IF(INDEX(振り分け!$L$7:$L$456,MATCH($AH42,振り分け!$P$7:$P$456,0))="","未決定",INDEX(振り分け!$L$7:$L$456,MATCH($AH42,振り分け!$P$7:$P$456,0)))),"未決定")))</f>
        <v/>
      </c>
      <c r="P42" s="65">
        <f>IF($AI42="","",IF(計算用!$B$1=1,INDEX(新年度名簿!$C$3:$C$452,$AI42),INDEX(前年度名簿!$C$3:$C$452,$AI42)))</f>
        <v/>
      </c>
      <c r="Q42" s="66">
        <f>IF($AI42="","",IF(計算用!$B$1=1,INDEX(新年度名簿!$D$3:$D$452,$AI42),INDEX(前年度名簿!$D$3:$D$452,$AI42)))</f>
        <v/>
      </c>
      <c r="R42" s="65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M$7:$M$456,MATCH($AI42,振り分け!$P$7:$P$456,0))="転出","転出",IF(INDEX(振り分け!$L$7:$L$456,MATCH($AI42,振り分け!$P$7:$P$456,0))="","未決定",INDEX(振り分け!$L$7:$L$456,MATCH($AI42,振り分け!$P$7:$P$456,0)))),"未決定")))</f>
        <v/>
      </c>
      <c r="S42" s="65">
        <f>IF($AJ42="","",IF(計算用!$B$1=1,INDEX(新年度名簿!$C$3:$C$452,$AJ42),INDEX(前年度名簿!$C$3:$C$452,$AJ42)))</f>
        <v/>
      </c>
      <c r="T42" s="66">
        <f>IF($AJ42="","",IF(計算用!$B$1=1,INDEX(新年度名簿!$D$3:$D$452,$AJ42),INDEX(前年度名簿!$D$3:$D$452,$AJ42)))</f>
        <v/>
      </c>
      <c r="U42" s="65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M$7:$M$456,MATCH($AJ42,振り分け!$P$7:$P$456,0))="転出","転出",IF(INDEX(振り分け!$L$7:$L$456,MATCH($AJ42,振り分け!$P$7:$P$456,0))="","未決定",INDEX(振り分け!$L$7:$L$456,MATCH($AJ42,振り分け!$P$7:$P$456,0)))),"未決定")))</f>
        <v/>
      </c>
      <c r="V42" s="65">
        <f>IF($AK42="","",IF(計算用!$B$1=1,INDEX(新年度名簿!$C$3:$C$452,$AK42),INDEX(前年度名簿!$C$3:$C$452,$AK42)))</f>
        <v/>
      </c>
      <c r="W42" s="66">
        <f>IF($AK42="","",IF(計算用!$B$1=1,INDEX(新年度名簿!$D$3:$D$452,$AK42),INDEX(前年度名簿!$D$3:$D$452,$AK42)))</f>
        <v/>
      </c>
      <c r="X42" s="65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M$7:$M$456,MATCH($AK42,振り分け!$P$7:$P$456,0))="転出","転出",IF(INDEX(振り分け!$L$7:$L$456,MATCH($AK42,振り分け!$P$7:$P$456,0))="","未決定",INDEX(振り分け!$L$7:$L$456,MATCH($AK42,振り分け!$P$7:$P$456,0)))),"未決定")))</f>
        <v/>
      </c>
      <c r="AD42" s="63">
        <f>IF(計算用!$B$1=1,IFERROR(IF(SMALL(新年度名簿!$J$3:$J$452,$AD$3+38)&lt;10000,MATCH(SMALL(新年度名簿!$J$3:$J$452,$AD$3+38),新年度名簿!$J$3:$J$452,0),""),""),IFERROR(IF(SMALL(前年度名簿!$G$3:$G$452,$AD$3+38)&lt;10000,MATCH(SMALL(前年度名簿!$G$3:$G$452,$AD$3+38),前年度名簿!$G$3:$G$452,0),""),""))</f>
        <v/>
      </c>
      <c r="AE42" s="63">
        <f>IF(計算用!$B$1=1,IFERROR(IF(SMALL(新年度名簿!$J$3:$J$452,$AE$3+38)&lt;11000,MATCH(SMALL(新年度名簿!$J$3:$J$452,$AE$3+38),新年度名簿!$J$3:$J$452,0),""),""),IFERROR(IF(SMALL(前年度名簿!$G$3:$G$452,$AE$3+38)&lt;11000,MATCH(SMALL(前年度名簿!$G$3:$G$452,$AE$3+38),前年度名簿!$G$3:$G$452,0),""),""))</f>
        <v/>
      </c>
      <c r="AF42" s="63">
        <f>IF(計算用!$B$1=1,IFERROR(IF(SMALL(新年度名簿!$J$3:$J$452,$AF$3+38)&lt;12000,MATCH(SMALL(新年度名簿!$J$3:$J$452,$AF$3+38),新年度名簿!$J$3:$J$452,0),""),""),IFERROR(IF(SMALL(前年度名簿!$G$3:$G$452,$AF$3+38)&lt;12000,MATCH(SMALL(前年度名簿!$G$3:$G$452,$AF$3+38),前年度名簿!$G$3:$G$452,0),""),""))</f>
        <v/>
      </c>
      <c r="AG42" s="63">
        <f>IF(計算用!$B$1=1,IFERROR(IF(SMALL(新年度名簿!$J$3:$J$452,$AG$3+38)&lt;13000,MATCH(SMALL(新年度名簿!$J$3:$J$452,$AG$3+38),新年度名簿!$J$3:$J$452,0),""),""),IFERROR(IF(SMALL(前年度名簿!$G$3:$G$452,$AG$3+38)&lt;13000,MATCH(SMALL(前年度名簿!$G$3:$G$452,$AG$3+38),前年度名簿!$G$3:$G$452,0),""),""))</f>
        <v/>
      </c>
      <c r="AH42" s="63">
        <f>IF(計算用!$B$1=1,IFERROR(IF(SMALL(新年度名簿!$J$3:$J$452,$AH$3+38)&lt;14000,MATCH(SMALL(新年度名簿!$J$3:$J$452,$AH$3+38),新年度名簿!$J$3:$J$452,0),""),""),IFERROR(IF(SMALL(前年度名簿!$G$3:$G$452,$AH$3+38)&lt;14000,MATCH(SMALL(前年度名簿!$G$3:$G$452,$AH$3+38),前年度名簿!$G$3:$G$452,0),""),""))</f>
        <v/>
      </c>
      <c r="AI42" s="63">
        <f>IF(計算用!$B$1=1,IFERROR(IF(SMALL(新年度名簿!$J$3:$J$452,$AI$3+38)&lt;15000,MATCH(SMALL(新年度名簿!$J$3:$J$452,$AI$3+38),新年度名簿!$J$3:$J$452,0),""),""),IFERROR(IF(SMALL(前年度名簿!$G$3:$G$452,$AI$3+38)&lt;15000,MATCH(SMALL(前年度名簿!$G$3:$G$452,$AI$3+38),前年度名簿!$G$3:$G$452,0),""),""))</f>
        <v/>
      </c>
      <c r="AJ42" s="63">
        <f>IF(計算用!$B$1=1,IFERROR(IF(SMALL(新年度名簿!$J$3:$J$452,$AJ$3+38)&lt;16000,MATCH(SMALL(新年度名簿!$J$3:$J$452,$AJ$3+38),新年度名簿!$J$3:$J$452,0),""),""),IFERROR(IF(SMALL(前年度名簿!$G$3:$G$452,$AJ$3+38)&lt;16000,MATCH(SMALL(前年度名簿!$G$3:$G$452,$AJ$3+38),前年度名簿!$G$3:$G$452,0),""),""))</f>
        <v/>
      </c>
      <c r="AK42" s="63">
        <f>IF(計算用!$B$1=1,IFERROR(IF(SMALL(新年度名簿!$J$3:$J$452,$AK$3+38)&lt;17000,MATCH(SMALL(新年度名簿!$J$3:$J$452,$AK$3+38),新年度名簿!$J$3:$J$452,0),""),""),IFERROR(IF(SMALL(前年度名簿!$G$3:$G$452,$AK$3+38)&lt;17000,MATCH(SMALL(前年度名簿!$G$3:$G$452,$AK$3+38),前年度名簿!$G$3:$G$452,0),""),""))</f>
        <v/>
      </c>
    </row>
    <row r="43">
      <c r="A43" s="65">
        <f>IF($AD43="","",IF(計算用!$B$1=1,INDEX(新年度名簿!$C$3:$C$452,$AD43),INDEX(前年度名簿!$C$3:$C$452,$AD43)))</f>
        <v/>
      </c>
      <c r="B43" s="66">
        <f>IF($AD43="","",IF(計算用!$B$1=1,INDEX(新年度名簿!$D$3:$D$452,$AD43),INDEX(前年度名簿!$D$3:$D$452,$AD43)))</f>
        <v/>
      </c>
      <c r="C43" s="65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M$7:$M$456,MATCH($AD43,振り分け!$P$7:$P$456,0))="転出","転出",IF(INDEX(振り分け!$L$7:$L$456,MATCH($AD43,振り分け!$P$7:$P$456,0))="","未決定",INDEX(振り分け!$L$7:$L$456,MATCH($AD43,振り分け!$P$7:$P$456,0)))),"未決定")))</f>
        <v/>
      </c>
      <c r="D43" s="65">
        <f>IF($AE43="","",IF(計算用!$B$1=1,INDEX(新年度名簿!$C$3:$C$452,$AE43),INDEX(前年度名簿!$C$3:$C$452,$AE43)))</f>
        <v/>
      </c>
      <c r="E43" s="66">
        <f>IF($AE43="","",IF(計算用!$B$1=1,INDEX(新年度名簿!$D$3:$D$452,$AE43),INDEX(前年度名簿!$D$3:$D$452,$AE43)))</f>
        <v/>
      </c>
      <c r="F43" s="65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M$7:$M$456,MATCH($AE43,振り分け!$P$7:$P$456,0))="転出","転出",IF(INDEX(振り分け!$L$7:$L$456,MATCH($AE43,振り分け!$P$7:$P$456,0))="","未決定",INDEX(振り分け!$L$7:$L$456,MATCH($AE43,振り分け!$P$7:$P$456,0)))),"未決定")))</f>
        <v/>
      </c>
      <c r="G43" s="65">
        <f>IF($AF43="","",IF(計算用!$B$1=1,INDEX(新年度名簿!$C$3:$C$452,$AF43),INDEX(前年度名簿!$C$3:$C$452,$AF43)))</f>
        <v/>
      </c>
      <c r="H43" s="66">
        <f>IF($AF43="","",IF(計算用!$B$1=1,INDEX(新年度名簿!$D$3:$D$452,$AF43),INDEX(前年度名簿!$D$3:$D$452,$AF43)))</f>
        <v/>
      </c>
      <c r="I43" s="65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M$7:$M$456,MATCH($AF43,振り分け!$P$7:$P$456,0))="転出","転出",IF(INDEX(振り分け!$L$7:$L$456,MATCH($AF43,振り分け!$P$7:$P$456,0))="","未決定",INDEX(振り分け!$L$7:$L$456,MATCH($AF43,振り分け!$P$7:$P$456,0)))),"未決定")))</f>
        <v/>
      </c>
      <c r="J43" s="65">
        <f>IF($AG43="","",IF(計算用!$B$1=1,INDEX(新年度名簿!$C$3:$C$452,$AG43),INDEX(前年度名簿!$C$3:$C$452,$AG43)))</f>
        <v/>
      </c>
      <c r="K43" s="66">
        <f>IF($AG43="","",IF(計算用!$B$1=1,INDEX(新年度名簿!$D$3:$D$452,$AG43),INDEX(前年度名簿!$D$3:$D$452,$AG43)))</f>
        <v/>
      </c>
      <c r="L43" s="65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M$7:$M$456,MATCH($AG43,振り分け!$P$7:$P$456,0))="転出","転出",IF(INDEX(振り分け!$L$7:$L$456,MATCH($AG43,振り分け!$P$7:$P$456,0))="","未決定",INDEX(振り分け!$L$7:$L$456,MATCH($AG43,振り分け!$P$7:$P$456,0)))),"未決定")))</f>
        <v/>
      </c>
      <c r="M43" s="65">
        <f>IF($AH43="","",IF(計算用!$B$1=1,INDEX(新年度名簿!$C$3:$C$452,$AH43),INDEX(前年度名簿!$C$3:$C$452,$AH43)))</f>
        <v/>
      </c>
      <c r="N43" s="66">
        <f>IF($AH43="","",IF(計算用!$B$1=1,INDEX(新年度名簿!$D$3:$D$452,$AH43),INDEX(前年度名簿!$D$3:$D$452,$AH43)))</f>
        <v/>
      </c>
      <c r="O43" s="65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M$7:$M$456,MATCH($AH43,振り分け!$P$7:$P$456,0))="転出","転出",IF(INDEX(振り分け!$L$7:$L$456,MATCH($AH43,振り分け!$P$7:$P$456,0))="","未決定",INDEX(振り分け!$L$7:$L$456,MATCH($AH43,振り分け!$P$7:$P$456,0)))),"未決定")))</f>
        <v/>
      </c>
      <c r="P43" s="65">
        <f>IF($AI43="","",IF(計算用!$B$1=1,INDEX(新年度名簿!$C$3:$C$452,$AI43),INDEX(前年度名簿!$C$3:$C$452,$AI43)))</f>
        <v/>
      </c>
      <c r="Q43" s="66">
        <f>IF($AI43="","",IF(計算用!$B$1=1,INDEX(新年度名簿!$D$3:$D$452,$AI43),INDEX(前年度名簿!$D$3:$D$452,$AI43)))</f>
        <v/>
      </c>
      <c r="R43" s="65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M$7:$M$456,MATCH($AI43,振り分け!$P$7:$P$456,0))="転出","転出",IF(INDEX(振り分け!$L$7:$L$456,MATCH($AI43,振り分け!$P$7:$P$456,0))="","未決定",INDEX(振り分け!$L$7:$L$456,MATCH($AI43,振り分け!$P$7:$P$456,0)))),"未決定")))</f>
        <v/>
      </c>
      <c r="S43" s="65">
        <f>IF($AJ43="","",IF(計算用!$B$1=1,INDEX(新年度名簿!$C$3:$C$452,$AJ43),INDEX(前年度名簿!$C$3:$C$452,$AJ43)))</f>
        <v/>
      </c>
      <c r="T43" s="66">
        <f>IF($AJ43="","",IF(計算用!$B$1=1,INDEX(新年度名簿!$D$3:$D$452,$AJ43),INDEX(前年度名簿!$D$3:$D$452,$AJ43)))</f>
        <v/>
      </c>
      <c r="U43" s="65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M$7:$M$456,MATCH($AJ43,振り分け!$P$7:$P$456,0))="転出","転出",IF(INDEX(振り分け!$L$7:$L$456,MATCH($AJ43,振り分け!$P$7:$P$456,0))="","未決定",INDEX(振り分け!$L$7:$L$456,MATCH($AJ43,振り分け!$P$7:$P$456,0)))),"未決定")))</f>
        <v/>
      </c>
      <c r="V43" s="65">
        <f>IF($AK43="","",IF(計算用!$B$1=1,INDEX(新年度名簿!$C$3:$C$452,$AK43),INDEX(前年度名簿!$C$3:$C$452,$AK43)))</f>
        <v/>
      </c>
      <c r="W43" s="66">
        <f>IF($AK43="","",IF(計算用!$B$1=1,INDEX(新年度名簿!$D$3:$D$452,$AK43),INDEX(前年度名簿!$D$3:$D$452,$AK43)))</f>
        <v/>
      </c>
      <c r="X43" s="65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M$7:$M$456,MATCH($AK43,振り分け!$P$7:$P$456,0))="転出","転出",IF(INDEX(振り分け!$L$7:$L$456,MATCH($AK43,振り分け!$P$7:$P$456,0))="","未決定",INDEX(振り分け!$L$7:$L$456,MATCH($AK43,振り分け!$P$7:$P$456,0)))),"未決定")))</f>
        <v/>
      </c>
      <c r="AD43" s="63">
        <f>IF(計算用!$B$1=1,IFERROR(IF(SMALL(新年度名簿!$J$3:$J$452,$AD$3+39)&lt;10000,MATCH(SMALL(新年度名簿!$J$3:$J$452,$AD$3+39),新年度名簿!$J$3:$J$452,0),""),""),IFERROR(IF(SMALL(前年度名簿!$G$3:$G$452,$AD$3+39)&lt;10000,MATCH(SMALL(前年度名簿!$G$3:$G$452,$AD$3+39),前年度名簿!$G$3:$G$452,0),""),""))</f>
        <v/>
      </c>
      <c r="AE43" s="63">
        <f>IF(計算用!$B$1=1,IFERROR(IF(SMALL(新年度名簿!$J$3:$J$452,$AE$3+39)&lt;11000,MATCH(SMALL(新年度名簿!$J$3:$J$452,$AE$3+39),新年度名簿!$J$3:$J$452,0),""),""),IFERROR(IF(SMALL(前年度名簿!$G$3:$G$452,$AE$3+39)&lt;11000,MATCH(SMALL(前年度名簿!$G$3:$G$452,$AE$3+39),前年度名簿!$G$3:$G$452,0),""),""))</f>
        <v/>
      </c>
      <c r="AF43" s="63">
        <f>IF(計算用!$B$1=1,IFERROR(IF(SMALL(新年度名簿!$J$3:$J$452,$AF$3+39)&lt;12000,MATCH(SMALL(新年度名簿!$J$3:$J$452,$AF$3+39),新年度名簿!$J$3:$J$452,0),""),""),IFERROR(IF(SMALL(前年度名簿!$G$3:$G$452,$AF$3+39)&lt;12000,MATCH(SMALL(前年度名簿!$G$3:$G$452,$AF$3+39),前年度名簿!$G$3:$G$452,0),""),""))</f>
        <v/>
      </c>
      <c r="AG43" s="63">
        <f>IF(計算用!$B$1=1,IFERROR(IF(SMALL(新年度名簿!$J$3:$J$452,$AG$3+39)&lt;13000,MATCH(SMALL(新年度名簿!$J$3:$J$452,$AG$3+39),新年度名簿!$J$3:$J$452,0),""),""),IFERROR(IF(SMALL(前年度名簿!$G$3:$G$452,$AG$3+39)&lt;13000,MATCH(SMALL(前年度名簿!$G$3:$G$452,$AG$3+39),前年度名簿!$G$3:$G$452,0),""),""))</f>
        <v/>
      </c>
      <c r="AH43" s="63">
        <f>IF(計算用!$B$1=1,IFERROR(IF(SMALL(新年度名簿!$J$3:$J$452,$AH$3+39)&lt;14000,MATCH(SMALL(新年度名簿!$J$3:$J$452,$AH$3+39),新年度名簿!$J$3:$J$452,0),""),""),IFERROR(IF(SMALL(前年度名簿!$G$3:$G$452,$AH$3+39)&lt;14000,MATCH(SMALL(前年度名簿!$G$3:$G$452,$AH$3+39),前年度名簿!$G$3:$G$452,0),""),""))</f>
        <v/>
      </c>
      <c r="AI43" s="63">
        <f>IF(計算用!$B$1=1,IFERROR(IF(SMALL(新年度名簿!$J$3:$J$452,$AI$3+39)&lt;15000,MATCH(SMALL(新年度名簿!$J$3:$J$452,$AI$3+39),新年度名簿!$J$3:$J$452,0),""),""),IFERROR(IF(SMALL(前年度名簿!$G$3:$G$452,$AI$3+39)&lt;15000,MATCH(SMALL(前年度名簿!$G$3:$G$452,$AI$3+39),前年度名簿!$G$3:$G$452,0),""),""))</f>
        <v/>
      </c>
      <c r="AJ43" s="63">
        <f>IF(計算用!$B$1=1,IFERROR(IF(SMALL(新年度名簿!$J$3:$J$452,$AJ$3+39)&lt;16000,MATCH(SMALL(新年度名簿!$J$3:$J$452,$AJ$3+39),新年度名簿!$J$3:$J$452,0),""),""),IFERROR(IF(SMALL(前年度名簿!$G$3:$G$452,$AJ$3+39)&lt;16000,MATCH(SMALL(前年度名簿!$G$3:$G$452,$AJ$3+39),前年度名簿!$G$3:$G$452,0),""),""))</f>
        <v/>
      </c>
      <c r="AK43" s="63">
        <f>IF(計算用!$B$1=1,IFERROR(IF(SMALL(新年度名簿!$J$3:$J$452,$AK$3+39)&lt;17000,MATCH(SMALL(新年度名簿!$J$3:$J$452,$AK$3+39),新年度名簿!$J$3:$J$452,0),""),""),IFERROR(IF(SMALL(前年度名簿!$G$3:$G$452,$AK$3+39)&lt;17000,MATCH(SMALL(前年度名簿!$G$3:$G$452,$AK$3+39),前年度名簿!$G$3:$G$452,0),""),""))</f>
        <v/>
      </c>
    </row>
    <row r="44">
      <c r="A44" s="65">
        <f>IF($AD44="","",IF(計算用!$B$1=1,INDEX(新年度名簿!$C$3:$C$452,$AD44),INDEX(前年度名簿!$C$3:$C$452,$AD44)))</f>
        <v/>
      </c>
      <c r="B44" s="66">
        <f>IF($AD44="","",IF(計算用!$B$1=1,INDEX(新年度名簿!$D$3:$D$452,$AD44),INDEX(前年度名簿!$D$3:$D$452,$AD44)))</f>
        <v/>
      </c>
      <c r="C44" s="65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M$7:$M$456,MATCH($AD44,振り分け!$P$7:$P$456,0))="転出","転出",IF(INDEX(振り分け!$L$7:$L$456,MATCH($AD44,振り分け!$P$7:$P$456,0))="","未決定",INDEX(振り分け!$L$7:$L$456,MATCH($AD44,振り分け!$P$7:$P$456,0)))),"未決定")))</f>
        <v/>
      </c>
      <c r="D44" s="65">
        <f>IF($AE44="","",IF(計算用!$B$1=1,INDEX(新年度名簿!$C$3:$C$452,$AE44),INDEX(前年度名簿!$C$3:$C$452,$AE44)))</f>
        <v/>
      </c>
      <c r="E44" s="66">
        <f>IF($AE44="","",IF(計算用!$B$1=1,INDEX(新年度名簿!$D$3:$D$452,$AE44),INDEX(前年度名簿!$D$3:$D$452,$AE44)))</f>
        <v/>
      </c>
      <c r="F44" s="65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M$7:$M$456,MATCH($AE44,振り分け!$P$7:$P$456,0))="転出","転出",IF(INDEX(振り分け!$L$7:$L$456,MATCH($AE44,振り分け!$P$7:$P$456,0))="","未決定",INDEX(振り分け!$L$7:$L$456,MATCH($AE44,振り分け!$P$7:$P$456,0)))),"未決定")))</f>
        <v/>
      </c>
      <c r="G44" s="65">
        <f>IF($AF44="","",IF(計算用!$B$1=1,INDEX(新年度名簿!$C$3:$C$452,$AF44),INDEX(前年度名簿!$C$3:$C$452,$AF44)))</f>
        <v/>
      </c>
      <c r="H44" s="66">
        <f>IF($AF44="","",IF(計算用!$B$1=1,INDEX(新年度名簿!$D$3:$D$452,$AF44),INDEX(前年度名簿!$D$3:$D$452,$AF44)))</f>
        <v/>
      </c>
      <c r="I44" s="65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M$7:$M$456,MATCH($AF44,振り分け!$P$7:$P$456,0))="転出","転出",IF(INDEX(振り分け!$L$7:$L$456,MATCH($AF44,振り分け!$P$7:$P$456,0))="","未決定",INDEX(振り分け!$L$7:$L$456,MATCH($AF44,振り分け!$P$7:$P$456,0)))),"未決定")))</f>
        <v/>
      </c>
      <c r="J44" s="65">
        <f>IF($AG44="","",IF(計算用!$B$1=1,INDEX(新年度名簿!$C$3:$C$452,$AG44),INDEX(前年度名簿!$C$3:$C$452,$AG44)))</f>
        <v/>
      </c>
      <c r="K44" s="66">
        <f>IF($AG44="","",IF(計算用!$B$1=1,INDEX(新年度名簿!$D$3:$D$452,$AG44),INDEX(前年度名簿!$D$3:$D$452,$AG44)))</f>
        <v/>
      </c>
      <c r="L44" s="65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M$7:$M$456,MATCH($AG44,振り分け!$P$7:$P$456,0))="転出","転出",IF(INDEX(振り分け!$L$7:$L$456,MATCH($AG44,振り分け!$P$7:$P$456,0))="","未決定",INDEX(振り分け!$L$7:$L$456,MATCH($AG44,振り分け!$P$7:$P$456,0)))),"未決定")))</f>
        <v/>
      </c>
      <c r="M44" s="65">
        <f>IF($AH44="","",IF(計算用!$B$1=1,INDEX(新年度名簿!$C$3:$C$452,$AH44),INDEX(前年度名簿!$C$3:$C$452,$AH44)))</f>
        <v/>
      </c>
      <c r="N44" s="66">
        <f>IF($AH44="","",IF(計算用!$B$1=1,INDEX(新年度名簿!$D$3:$D$452,$AH44),INDEX(前年度名簿!$D$3:$D$452,$AH44)))</f>
        <v/>
      </c>
      <c r="O44" s="65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M$7:$M$456,MATCH($AH44,振り分け!$P$7:$P$456,0))="転出","転出",IF(INDEX(振り分け!$L$7:$L$456,MATCH($AH44,振り分け!$P$7:$P$456,0))="","未決定",INDEX(振り分け!$L$7:$L$456,MATCH($AH44,振り分け!$P$7:$P$456,0)))),"未決定")))</f>
        <v/>
      </c>
      <c r="P44" s="65">
        <f>IF($AI44="","",IF(計算用!$B$1=1,INDEX(新年度名簿!$C$3:$C$452,$AI44),INDEX(前年度名簿!$C$3:$C$452,$AI44)))</f>
        <v/>
      </c>
      <c r="Q44" s="66">
        <f>IF($AI44="","",IF(計算用!$B$1=1,INDEX(新年度名簿!$D$3:$D$452,$AI44),INDEX(前年度名簿!$D$3:$D$452,$AI44)))</f>
        <v/>
      </c>
      <c r="R44" s="65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M$7:$M$456,MATCH($AI44,振り分け!$P$7:$P$456,0))="転出","転出",IF(INDEX(振り分け!$L$7:$L$456,MATCH($AI44,振り分け!$P$7:$P$456,0))="","未決定",INDEX(振り分け!$L$7:$L$456,MATCH($AI44,振り分け!$P$7:$P$456,0)))),"未決定")))</f>
        <v/>
      </c>
      <c r="S44" s="65">
        <f>IF($AJ44="","",IF(計算用!$B$1=1,INDEX(新年度名簿!$C$3:$C$452,$AJ44),INDEX(前年度名簿!$C$3:$C$452,$AJ44)))</f>
        <v/>
      </c>
      <c r="T44" s="66">
        <f>IF($AJ44="","",IF(計算用!$B$1=1,INDEX(新年度名簿!$D$3:$D$452,$AJ44),INDEX(前年度名簿!$D$3:$D$452,$AJ44)))</f>
        <v/>
      </c>
      <c r="U44" s="65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M$7:$M$456,MATCH($AJ44,振り分け!$P$7:$P$456,0))="転出","転出",IF(INDEX(振り分け!$L$7:$L$456,MATCH($AJ44,振り分け!$P$7:$P$456,0))="","未決定",INDEX(振り分け!$L$7:$L$456,MATCH($AJ44,振り分け!$P$7:$P$456,0)))),"未決定")))</f>
        <v/>
      </c>
      <c r="V44" s="65">
        <f>IF($AK44="","",IF(計算用!$B$1=1,INDEX(新年度名簿!$C$3:$C$452,$AK44),INDEX(前年度名簿!$C$3:$C$452,$AK44)))</f>
        <v/>
      </c>
      <c r="W44" s="66">
        <f>IF($AK44="","",IF(計算用!$B$1=1,INDEX(新年度名簿!$D$3:$D$452,$AK44),INDEX(前年度名簿!$D$3:$D$452,$AK44)))</f>
        <v/>
      </c>
      <c r="X44" s="65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M$7:$M$456,MATCH($AK44,振り分け!$P$7:$P$456,0))="転出","転出",IF(INDEX(振り分け!$L$7:$L$456,MATCH($AK44,振り分け!$P$7:$P$456,0))="","未決定",INDEX(振り分け!$L$7:$L$456,MATCH($AK44,振り分け!$P$7:$P$456,0)))),"未決定")))</f>
        <v/>
      </c>
      <c r="AD44" s="63">
        <f>IF(計算用!$B$1=1,IFERROR(IF(SMALL(新年度名簿!$J$3:$J$452,$AD$3+40)&lt;10000,MATCH(SMALL(新年度名簿!$J$3:$J$452,$AD$3+40),新年度名簿!$J$3:$J$452,0),""),""),IFERROR(IF(SMALL(前年度名簿!$G$3:$G$452,$AD$3+40)&lt;10000,MATCH(SMALL(前年度名簿!$G$3:$G$452,$AD$3+40),前年度名簿!$G$3:$G$452,0),""),""))</f>
        <v/>
      </c>
      <c r="AE44" s="63">
        <f>IF(計算用!$B$1=1,IFERROR(IF(SMALL(新年度名簿!$J$3:$J$452,$AE$3+40)&lt;11000,MATCH(SMALL(新年度名簿!$J$3:$J$452,$AE$3+40),新年度名簿!$J$3:$J$452,0),""),""),IFERROR(IF(SMALL(前年度名簿!$G$3:$G$452,$AE$3+40)&lt;11000,MATCH(SMALL(前年度名簿!$G$3:$G$452,$AE$3+40),前年度名簿!$G$3:$G$452,0),""),""))</f>
        <v/>
      </c>
      <c r="AF44" s="63">
        <f>IF(計算用!$B$1=1,IFERROR(IF(SMALL(新年度名簿!$J$3:$J$452,$AF$3+40)&lt;12000,MATCH(SMALL(新年度名簿!$J$3:$J$452,$AF$3+40),新年度名簿!$J$3:$J$452,0),""),""),IFERROR(IF(SMALL(前年度名簿!$G$3:$G$452,$AF$3+40)&lt;12000,MATCH(SMALL(前年度名簿!$G$3:$G$452,$AF$3+40),前年度名簿!$G$3:$G$452,0),""),""))</f>
        <v/>
      </c>
      <c r="AG44" s="63">
        <f>IF(計算用!$B$1=1,IFERROR(IF(SMALL(新年度名簿!$J$3:$J$452,$AG$3+40)&lt;13000,MATCH(SMALL(新年度名簿!$J$3:$J$452,$AG$3+40),新年度名簿!$J$3:$J$452,0),""),""),IFERROR(IF(SMALL(前年度名簿!$G$3:$G$452,$AG$3+40)&lt;13000,MATCH(SMALL(前年度名簿!$G$3:$G$452,$AG$3+40),前年度名簿!$G$3:$G$452,0),""),""))</f>
        <v/>
      </c>
      <c r="AH44" s="63">
        <f>IF(計算用!$B$1=1,IFERROR(IF(SMALL(新年度名簿!$J$3:$J$452,$AH$3+40)&lt;14000,MATCH(SMALL(新年度名簿!$J$3:$J$452,$AH$3+40),新年度名簿!$J$3:$J$452,0),""),""),IFERROR(IF(SMALL(前年度名簿!$G$3:$G$452,$AH$3+40)&lt;14000,MATCH(SMALL(前年度名簿!$G$3:$G$452,$AH$3+40),前年度名簿!$G$3:$G$452,0),""),""))</f>
        <v/>
      </c>
      <c r="AI44" s="63">
        <f>IF(計算用!$B$1=1,IFERROR(IF(SMALL(新年度名簿!$J$3:$J$452,$AI$3+40)&lt;15000,MATCH(SMALL(新年度名簿!$J$3:$J$452,$AI$3+40),新年度名簿!$J$3:$J$452,0),""),""),IFERROR(IF(SMALL(前年度名簿!$G$3:$G$452,$AI$3+40)&lt;15000,MATCH(SMALL(前年度名簿!$G$3:$G$452,$AI$3+40),前年度名簿!$G$3:$G$452,0),""),""))</f>
        <v/>
      </c>
      <c r="AJ44" s="63">
        <f>IF(計算用!$B$1=1,IFERROR(IF(SMALL(新年度名簿!$J$3:$J$452,$AJ$3+40)&lt;16000,MATCH(SMALL(新年度名簿!$J$3:$J$452,$AJ$3+40),新年度名簿!$J$3:$J$452,0),""),""),IFERROR(IF(SMALL(前年度名簿!$G$3:$G$452,$AJ$3+40)&lt;16000,MATCH(SMALL(前年度名簿!$G$3:$G$452,$AJ$3+40),前年度名簿!$G$3:$G$452,0),""),""))</f>
        <v/>
      </c>
      <c r="AK44" s="63">
        <f>IF(計算用!$B$1=1,IFERROR(IF(SMALL(新年度名簿!$J$3:$J$452,$AK$3+40)&lt;17000,MATCH(SMALL(新年度名簿!$J$3:$J$452,$AK$3+40),新年度名簿!$J$3:$J$452,0),""),""),IFERROR(IF(SMALL(前年度名簿!$G$3:$G$452,$AK$3+40)&lt;17000,MATCH(SMALL(前年度名簿!$G$3:$G$452,$AK$3+40),前年度名簿!$G$3:$G$452,0),""),""))</f>
        <v/>
      </c>
    </row>
    <row r="45">
      <c r="A45" s="65">
        <f>IF($AD45="","",IF(計算用!$B$1=1,INDEX(新年度名簿!$C$3:$C$452,$AD45),INDEX(前年度名簿!$C$3:$C$452,$AD45)))</f>
        <v/>
      </c>
      <c r="B45" s="66">
        <f>IF($AD45="","",IF(計算用!$B$1=1,INDEX(新年度名簿!$D$3:$D$452,$AD45),INDEX(前年度名簿!$D$3:$D$452,$AD45)))</f>
        <v/>
      </c>
      <c r="C45" s="65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M$7:$M$456,MATCH($AD45,振り分け!$P$7:$P$456,0))="転出","転出",IF(INDEX(振り分け!$L$7:$L$456,MATCH($AD45,振り分け!$P$7:$P$456,0))="","未決定",INDEX(振り分け!$L$7:$L$456,MATCH($AD45,振り分け!$P$7:$P$456,0)))),"未決定")))</f>
        <v/>
      </c>
      <c r="D45" s="65">
        <f>IF($AE45="","",IF(計算用!$B$1=1,INDEX(新年度名簿!$C$3:$C$452,$AE45),INDEX(前年度名簿!$C$3:$C$452,$AE45)))</f>
        <v/>
      </c>
      <c r="E45" s="66">
        <f>IF($AE45="","",IF(計算用!$B$1=1,INDEX(新年度名簿!$D$3:$D$452,$AE45),INDEX(前年度名簿!$D$3:$D$452,$AE45)))</f>
        <v/>
      </c>
      <c r="F45" s="65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M$7:$M$456,MATCH($AE45,振り分け!$P$7:$P$456,0))="転出","転出",IF(INDEX(振り分け!$L$7:$L$456,MATCH($AE45,振り分け!$P$7:$P$456,0))="","未決定",INDEX(振り分け!$L$7:$L$456,MATCH($AE45,振り分け!$P$7:$P$456,0)))),"未決定")))</f>
        <v/>
      </c>
      <c r="G45" s="65">
        <f>IF($AF45="","",IF(計算用!$B$1=1,INDEX(新年度名簿!$C$3:$C$452,$AF45),INDEX(前年度名簿!$C$3:$C$452,$AF45)))</f>
        <v/>
      </c>
      <c r="H45" s="66">
        <f>IF($AF45="","",IF(計算用!$B$1=1,INDEX(新年度名簿!$D$3:$D$452,$AF45),INDEX(前年度名簿!$D$3:$D$452,$AF45)))</f>
        <v/>
      </c>
      <c r="I45" s="65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M$7:$M$456,MATCH($AF45,振り分け!$P$7:$P$456,0))="転出","転出",IF(INDEX(振り分け!$L$7:$L$456,MATCH($AF45,振り分け!$P$7:$P$456,0))="","未決定",INDEX(振り分け!$L$7:$L$456,MATCH($AF45,振り分け!$P$7:$P$456,0)))),"未決定")))</f>
        <v/>
      </c>
      <c r="J45" s="65">
        <f>IF($AG45="","",IF(計算用!$B$1=1,INDEX(新年度名簿!$C$3:$C$452,$AG45),INDEX(前年度名簿!$C$3:$C$452,$AG45)))</f>
        <v/>
      </c>
      <c r="K45" s="66">
        <f>IF($AG45="","",IF(計算用!$B$1=1,INDEX(新年度名簿!$D$3:$D$452,$AG45),INDEX(前年度名簿!$D$3:$D$452,$AG45)))</f>
        <v/>
      </c>
      <c r="L45" s="65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M$7:$M$456,MATCH($AG45,振り分け!$P$7:$P$456,0))="転出","転出",IF(INDEX(振り分け!$L$7:$L$456,MATCH($AG45,振り分け!$P$7:$P$456,0))="","未決定",INDEX(振り分け!$L$7:$L$456,MATCH($AG45,振り分け!$P$7:$P$456,0)))),"未決定")))</f>
        <v/>
      </c>
      <c r="M45" s="65">
        <f>IF($AH45="","",IF(計算用!$B$1=1,INDEX(新年度名簿!$C$3:$C$452,$AH45),INDEX(前年度名簿!$C$3:$C$452,$AH45)))</f>
        <v/>
      </c>
      <c r="N45" s="66">
        <f>IF($AH45="","",IF(計算用!$B$1=1,INDEX(新年度名簿!$D$3:$D$452,$AH45),INDEX(前年度名簿!$D$3:$D$452,$AH45)))</f>
        <v/>
      </c>
      <c r="O45" s="65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M$7:$M$456,MATCH($AH45,振り分け!$P$7:$P$456,0))="転出","転出",IF(INDEX(振り分け!$L$7:$L$456,MATCH($AH45,振り分け!$P$7:$P$456,0))="","未決定",INDEX(振り分け!$L$7:$L$456,MATCH($AH45,振り分け!$P$7:$P$456,0)))),"未決定")))</f>
        <v/>
      </c>
      <c r="P45" s="65">
        <f>IF($AI45="","",IF(計算用!$B$1=1,INDEX(新年度名簿!$C$3:$C$452,$AI45),INDEX(前年度名簿!$C$3:$C$452,$AI45)))</f>
        <v/>
      </c>
      <c r="Q45" s="66">
        <f>IF($AI45="","",IF(計算用!$B$1=1,INDEX(新年度名簿!$D$3:$D$452,$AI45),INDEX(前年度名簿!$D$3:$D$452,$AI45)))</f>
        <v/>
      </c>
      <c r="R45" s="65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M$7:$M$456,MATCH($AI45,振り分け!$P$7:$P$456,0))="転出","転出",IF(INDEX(振り分け!$L$7:$L$456,MATCH($AI45,振り分け!$P$7:$P$456,0))="","未決定",INDEX(振り分け!$L$7:$L$456,MATCH($AI45,振り分け!$P$7:$P$456,0)))),"未決定")))</f>
        <v/>
      </c>
      <c r="S45" s="65">
        <f>IF($AJ45="","",IF(計算用!$B$1=1,INDEX(新年度名簿!$C$3:$C$452,$AJ45),INDEX(前年度名簿!$C$3:$C$452,$AJ45)))</f>
        <v/>
      </c>
      <c r="T45" s="66">
        <f>IF($AJ45="","",IF(計算用!$B$1=1,INDEX(新年度名簿!$D$3:$D$452,$AJ45),INDEX(前年度名簿!$D$3:$D$452,$AJ45)))</f>
        <v/>
      </c>
      <c r="U45" s="65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M$7:$M$456,MATCH($AJ45,振り分け!$P$7:$P$456,0))="転出","転出",IF(INDEX(振り分け!$L$7:$L$456,MATCH($AJ45,振り分け!$P$7:$P$456,0))="","未決定",INDEX(振り分け!$L$7:$L$456,MATCH($AJ45,振り分け!$P$7:$P$456,0)))),"未決定")))</f>
        <v/>
      </c>
      <c r="V45" s="65">
        <f>IF($AK45="","",IF(計算用!$B$1=1,INDEX(新年度名簿!$C$3:$C$452,$AK45),INDEX(前年度名簿!$C$3:$C$452,$AK45)))</f>
        <v/>
      </c>
      <c r="W45" s="66">
        <f>IF($AK45="","",IF(計算用!$B$1=1,INDEX(新年度名簿!$D$3:$D$452,$AK45),INDEX(前年度名簿!$D$3:$D$452,$AK45)))</f>
        <v/>
      </c>
      <c r="X45" s="65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M$7:$M$456,MATCH($AK45,振り分け!$P$7:$P$456,0))="転出","転出",IF(INDEX(振り分け!$L$7:$L$456,MATCH($AK45,振り分け!$P$7:$P$456,0))="","未決定",INDEX(振り分け!$L$7:$L$456,MATCH($AK45,振り分け!$P$7:$P$456,0)))),"未決定")))</f>
        <v/>
      </c>
      <c r="AD45" s="63">
        <f>IF(計算用!$B$1=1,IFERROR(IF(SMALL(新年度名簿!$J$3:$J$452,$AD$3+41)&lt;10000,MATCH(SMALL(新年度名簿!$J$3:$J$452,$AD$3+41),新年度名簿!$J$3:$J$452,0),""),""),IFERROR(IF(SMALL(前年度名簿!$G$3:$G$452,$AD$3+41)&lt;10000,MATCH(SMALL(前年度名簿!$G$3:$G$452,$AD$3+41),前年度名簿!$G$3:$G$452,0),""),""))</f>
        <v/>
      </c>
      <c r="AE45" s="63">
        <f>IF(計算用!$B$1=1,IFERROR(IF(SMALL(新年度名簿!$J$3:$J$452,$AE$3+41)&lt;11000,MATCH(SMALL(新年度名簿!$J$3:$J$452,$AE$3+41),新年度名簿!$J$3:$J$452,0),""),""),IFERROR(IF(SMALL(前年度名簿!$G$3:$G$452,$AE$3+41)&lt;11000,MATCH(SMALL(前年度名簿!$G$3:$G$452,$AE$3+41),前年度名簿!$G$3:$G$452,0),""),""))</f>
        <v/>
      </c>
      <c r="AF45" s="63">
        <f>IF(計算用!$B$1=1,IFERROR(IF(SMALL(新年度名簿!$J$3:$J$452,$AF$3+41)&lt;12000,MATCH(SMALL(新年度名簿!$J$3:$J$452,$AF$3+41),新年度名簿!$J$3:$J$452,0),""),""),IFERROR(IF(SMALL(前年度名簿!$G$3:$G$452,$AF$3+41)&lt;12000,MATCH(SMALL(前年度名簿!$G$3:$G$452,$AF$3+41),前年度名簿!$G$3:$G$452,0),""),""))</f>
        <v/>
      </c>
      <c r="AG45" s="63">
        <f>IF(計算用!$B$1=1,IFERROR(IF(SMALL(新年度名簿!$J$3:$J$452,$AG$3+41)&lt;13000,MATCH(SMALL(新年度名簿!$J$3:$J$452,$AG$3+41),新年度名簿!$J$3:$J$452,0),""),""),IFERROR(IF(SMALL(前年度名簿!$G$3:$G$452,$AG$3+41)&lt;13000,MATCH(SMALL(前年度名簿!$G$3:$G$452,$AG$3+41),前年度名簿!$G$3:$G$452,0),""),""))</f>
        <v/>
      </c>
      <c r="AH45" s="63">
        <f>IF(計算用!$B$1=1,IFERROR(IF(SMALL(新年度名簿!$J$3:$J$452,$AH$3+41)&lt;14000,MATCH(SMALL(新年度名簿!$J$3:$J$452,$AH$3+41),新年度名簿!$J$3:$J$452,0),""),""),IFERROR(IF(SMALL(前年度名簿!$G$3:$G$452,$AH$3+41)&lt;14000,MATCH(SMALL(前年度名簿!$G$3:$G$452,$AH$3+41),前年度名簿!$G$3:$G$452,0),""),""))</f>
        <v/>
      </c>
      <c r="AI45" s="63">
        <f>IF(計算用!$B$1=1,IFERROR(IF(SMALL(新年度名簿!$J$3:$J$452,$AI$3+41)&lt;15000,MATCH(SMALL(新年度名簿!$J$3:$J$452,$AI$3+41),新年度名簿!$J$3:$J$452,0),""),""),IFERROR(IF(SMALL(前年度名簿!$G$3:$G$452,$AI$3+41)&lt;15000,MATCH(SMALL(前年度名簿!$G$3:$G$452,$AI$3+41),前年度名簿!$G$3:$G$452,0),""),""))</f>
        <v/>
      </c>
      <c r="AJ45" s="63">
        <f>IF(計算用!$B$1=1,IFERROR(IF(SMALL(新年度名簿!$J$3:$J$452,$AJ$3+41)&lt;16000,MATCH(SMALL(新年度名簿!$J$3:$J$452,$AJ$3+41),新年度名簿!$J$3:$J$452,0),""),""),IFERROR(IF(SMALL(前年度名簿!$G$3:$G$452,$AJ$3+41)&lt;16000,MATCH(SMALL(前年度名簿!$G$3:$G$452,$AJ$3+41),前年度名簿!$G$3:$G$452,0),""),""))</f>
        <v/>
      </c>
      <c r="AK45" s="63">
        <f>IF(計算用!$B$1=1,IFERROR(IF(SMALL(新年度名簿!$J$3:$J$452,$AK$3+41)&lt;17000,MATCH(SMALL(新年度名簿!$J$3:$J$452,$AK$3+41),新年度名簿!$J$3:$J$452,0),""),""),IFERROR(IF(SMALL(前年度名簿!$G$3:$G$452,$AK$3+41)&lt;17000,MATCH(SMALL(前年度名簿!$G$3:$G$452,$AK$3+41),前年度名簿!$G$3:$G$452,0),""),""))</f>
        <v/>
      </c>
    </row>
    <row r="46">
      <c r="A46" s="65">
        <f>IF($AD46="","",IF(計算用!$B$1=1,INDEX(新年度名簿!$C$3:$C$452,$AD46),INDEX(前年度名簿!$C$3:$C$452,$AD46)))</f>
        <v/>
      </c>
      <c r="B46" s="66">
        <f>IF($AD46="","",IF(計算用!$B$1=1,INDEX(新年度名簿!$D$3:$D$452,$AD46),INDEX(前年度名簿!$D$3:$D$452,$AD46)))</f>
        <v/>
      </c>
      <c r="C46" s="65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M$7:$M$456,MATCH($AD46,振り分け!$P$7:$P$456,0))="転出","転出",IF(INDEX(振り分け!$L$7:$L$456,MATCH($AD46,振り分け!$P$7:$P$456,0))="","未決定",INDEX(振り分け!$L$7:$L$456,MATCH($AD46,振り分け!$P$7:$P$456,0)))),"未決定")))</f>
        <v/>
      </c>
      <c r="D46" s="65">
        <f>IF($AE46="","",IF(計算用!$B$1=1,INDEX(新年度名簿!$C$3:$C$452,$AE46),INDEX(前年度名簿!$C$3:$C$452,$AE46)))</f>
        <v/>
      </c>
      <c r="E46" s="66">
        <f>IF($AE46="","",IF(計算用!$B$1=1,INDEX(新年度名簿!$D$3:$D$452,$AE46),INDEX(前年度名簿!$D$3:$D$452,$AE46)))</f>
        <v/>
      </c>
      <c r="F46" s="65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M$7:$M$456,MATCH($AE46,振り分け!$P$7:$P$456,0))="転出","転出",IF(INDEX(振り分け!$L$7:$L$456,MATCH($AE46,振り分け!$P$7:$P$456,0))="","未決定",INDEX(振り分け!$L$7:$L$456,MATCH($AE46,振り分け!$P$7:$P$456,0)))),"未決定")))</f>
        <v/>
      </c>
      <c r="G46" s="65">
        <f>IF($AF46="","",IF(計算用!$B$1=1,INDEX(新年度名簿!$C$3:$C$452,$AF46),INDEX(前年度名簿!$C$3:$C$452,$AF46)))</f>
        <v/>
      </c>
      <c r="H46" s="66">
        <f>IF($AF46="","",IF(計算用!$B$1=1,INDEX(新年度名簿!$D$3:$D$452,$AF46),INDEX(前年度名簿!$D$3:$D$452,$AF46)))</f>
        <v/>
      </c>
      <c r="I46" s="65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M$7:$M$456,MATCH($AF46,振り分け!$P$7:$P$456,0))="転出","転出",IF(INDEX(振り分け!$L$7:$L$456,MATCH($AF46,振り分け!$P$7:$P$456,0))="","未決定",INDEX(振り分け!$L$7:$L$456,MATCH($AF46,振り分け!$P$7:$P$456,0)))),"未決定")))</f>
        <v/>
      </c>
      <c r="J46" s="65">
        <f>IF($AG46="","",IF(計算用!$B$1=1,INDEX(新年度名簿!$C$3:$C$452,$AG46),INDEX(前年度名簿!$C$3:$C$452,$AG46)))</f>
        <v/>
      </c>
      <c r="K46" s="66">
        <f>IF($AG46="","",IF(計算用!$B$1=1,INDEX(新年度名簿!$D$3:$D$452,$AG46),INDEX(前年度名簿!$D$3:$D$452,$AG46)))</f>
        <v/>
      </c>
      <c r="L46" s="65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M$7:$M$456,MATCH($AG46,振り分け!$P$7:$P$456,0))="転出","転出",IF(INDEX(振り分け!$L$7:$L$456,MATCH($AG46,振り分け!$P$7:$P$456,0))="","未決定",INDEX(振り分け!$L$7:$L$456,MATCH($AG46,振り分け!$P$7:$P$456,0)))),"未決定")))</f>
        <v/>
      </c>
      <c r="M46" s="65">
        <f>IF($AH46="","",IF(計算用!$B$1=1,INDEX(新年度名簿!$C$3:$C$452,$AH46),INDEX(前年度名簿!$C$3:$C$452,$AH46)))</f>
        <v/>
      </c>
      <c r="N46" s="66">
        <f>IF($AH46="","",IF(計算用!$B$1=1,INDEX(新年度名簿!$D$3:$D$452,$AH46),INDEX(前年度名簿!$D$3:$D$452,$AH46)))</f>
        <v/>
      </c>
      <c r="O46" s="65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M$7:$M$456,MATCH($AH46,振り分け!$P$7:$P$456,0))="転出","転出",IF(INDEX(振り分け!$L$7:$L$456,MATCH($AH46,振り分け!$P$7:$P$456,0))="","未決定",INDEX(振り分け!$L$7:$L$456,MATCH($AH46,振り分け!$P$7:$P$456,0)))),"未決定")))</f>
        <v/>
      </c>
      <c r="P46" s="65">
        <f>IF($AI46="","",IF(計算用!$B$1=1,INDEX(新年度名簿!$C$3:$C$452,$AI46),INDEX(前年度名簿!$C$3:$C$452,$AI46)))</f>
        <v/>
      </c>
      <c r="Q46" s="66">
        <f>IF($AI46="","",IF(計算用!$B$1=1,INDEX(新年度名簿!$D$3:$D$452,$AI46),INDEX(前年度名簿!$D$3:$D$452,$AI46)))</f>
        <v/>
      </c>
      <c r="R46" s="65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M$7:$M$456,MATCH($AI46,振り分け!$P$7:$P$456,0))="転出","転出",IF(INDEX(振り分け!$L$7:$L$456,MATCH($AI46,振り分け!$P$7:$P$456,0))="","未決定",INDEX(振り分け!$L$7:$L$456,MATCH($AI46,振り分け!$P$7:$P$456,0)))),"未決定")))</f>
        <v/>
      </c>
      <c r="S46" s="65">
        <f>IF($AJ46="","",IF(計算用!$B$1=1,INDEX(新年度名簿!$C$3:$C$452,$AJ46),INDEX(前年度名簿!$C$3:$C$452,$AJ46)))</f>
        <v/>
      </c>
      <c r="T46" s="66">
        <f>IF($AJ46="","",IF(計算用!$B$1=1,INDEX(新年度名簿!$D$3:$D$452,$AJ46),INDEX(前年度名簿!$D$3:$D$452,$AJ46)))</f>
        <v/>
      </c>
      <c r="U46" s="65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M$7:$M$456,MATCH($AJ46,振り分け!$P$7:$P$456,0))="転出","転出",IF(INDEX(振り分け!$L$7:$L$456,MATCH($AJ46,振り分け!$P$7:$P$456,0))="","未決定",INDEX(振り分け!$L$7:$L$456,MATCH($AJ46,振り分け!$P$7:$P$456,0)))),"未決定")))</f>
        <v/>
      </c>
      <c r="V46" s="65">
        <f>IF($AK46="","",IF(計算用!$B$1=1,INDEX(新年度名簿!$C$3:$C$452,$AK46),INDEX(前年度名簿!$C$3:$C$452,$AK46)))</f>
        <v/>
      </c>
      <c r="W46" s="66">
        <f>IF($AK46="","",IF(計算用!$B$1=1,INDEX(新年度名簿!$D$3:$D$452,$AK46),INDEX(前年度名簿!$D$3:$D$452,$AK46)))</f>
        <v/>
      </c>
      <c r="X46" s="65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M$7:$M$456,MATCH($AK46,振り分け!$P$7:$P$456,0))="転出","転出",IF(INDEX(振り分け!$L$7:$L$456,MATCH($AK46,振り分け!$P$7:$P$456,0))="","未決定",INDEX(振り分け!$L$7:$L$456,MATCH($AK46,振り分け!$P$7:$P$456,0)))),"未決定")))</f>
        <v/>
      </c>
      <c r="AD46" s="63">
        <f>IF(計算用!$B$1=1,IFERROR(IF(SMALL(新年度名簿!$J$3:$J$452,$AD$3+42)&lt;10000,MATCH(SMALL(新年度名簿!$J$3:$J$452,$AD$3+42),新年度名簿!$J$3:$J$452,0),""),""),IFERROR(IF(SMALL(前年度名簿!$G$3:$G$452,$AD$3+42)&lt;10000,MATCH(SMALL(前年度名簿!$G$3:$G$452,$AD$3+42),前年度名簿!$G$3:$G$452,0),""),""))</f>
        <v/>
      </c>
      <c r="AE46" s="63">
        <f>IF(計算用!$B$1=1,IFERROR(IF(SMALL(新年度名簿!$J$3:$J$452,$AE$3+42)&lt;11000,MATCH(SMALL(新年度名簿!$J$3:$J$452,$AE$3+42),新年度名簿!$J$3:$J$452,0),""),""),IFERROR(IF(SMALL(前年度名簿!$G$3:$G$452,$AE$3+42)&lt;11000,MATCH(SMALL(前年度名簿!$G$3:$G$452,$AE$3+42),前年度名簿!$G$3:$G$452,0),""),""))</f>
        <v/>
      </c>
      <c r="AF46" s="63">
        <f>IF(計算用!$B$1=1,IFERROR(IF(SMALL(新年度名簿!$J$3:$J$452,$AF$3+42)&lt;12000,MATCH(SMALL(新年度名簿!$J$3:$J$452,$AF$3+42),新年度名簿!$J$3:$J$452,0),""),""),IFERROR(IF(SMALL(前年度名簿!$G$3:$G$452,$AF$3+42)&lt;12000,MATCH(SMALL(前年度名簿!$G$3:$G$452,$AF$3+42),前年度名簿!$G$3:$G$452,0),""),""))</f>
        <v/>
      </c>
      <c r="AG46" s="63">
        <f>IF(計算用!$B$1=1,IFERROR(IF(SMALL(新年度名簿!$J$3:$J$452,$AG$3+42)&lt;13000,MATCH(SMALL(新年度名簿!$J$3:$J$452,$AG$3+42),新年度名簿!$J$3:$J$452,0),""),""),IFERROR(IF(SMALL(前年度名簿!$G$3:$G$452,$AG$3+42)&lt;13000,MATCH(SMALL(前年度名簿!$G$3:$G$452,$AG$3+42),前年度名簿!$G$3:$G$452,0),""),""))</f>
        <v/>
      </c>
      <c r="AH46" s="63">
        <f>IF(計算用!$B$1=1,IFERROR(IF(SMALL(新年度名簿!$J$3:$J$452,$AH$3+42)&lt;14000,MATCH(SMALL(新年度名簿!$J$3:$J$452,$AH$3+42),新年度名簿!$J$3:$J$452,0),""),""),IFERROR(IF(SMALL(前年度名簿!$G$3:$G$452,$AH$3+42)&lt;14000,MATCH(SMALL(前年度名簿!$G$3:$G$452,$AH$3+42),前年度名簿!$G$3:$G$452,0),""),""))</f>
        <v/>
      </c>
      <c r="AI46" s="63">
        <f>IF(計算用!$B$1=1,IFERROR(IF(SMALL(新年度名簿!$J$3:$J$452,$AI$3+42)&lt;15000,MATCH(SMALL(新年度名簿!$J$3:$J$452,$AI$3+42),新年度名簿!$J$3:$J$452,0),""),""),IFERROR(IF(SMALL(前年度名簿!$G$3:$G$452,$AI$3+42)&lt;15000,MATCH(SMALL(前年度名簿!$G$3:$G$452,$AI$3+42),前年度名簿!$G$3:$G$452,0),""),""))</f>
        <v/>
      </c>
      <c r="AJ46" s="63">
        <f>IF(計算用!$B$1=1,IFERROR(IF(SMALL(新年度名簿!$J$3:$J$452,$AJ$3+42)&lt;16000,MATCH(SMALL(新年度名簿!$J$3:$J$452,$AJ$3+42),新年度名簿!$J$3:$J$452,0),""),""),IFERROR(IF(SMALL(前年度名簿!$G$3:$G$452,$AJ$3+42)&lt;16000,MATCH(SMALL(前年度名簿!$G$3:$G$452,$AJ$3+42),前年度名簿!$G$3:$G$452,0),""),""))</f>
        <v/>
      </c>
      <c r="AK46" s="63">
        <f>IF(計算用!$B$1=1,IFERROR(IF(SMALL(新年度名簿!$J$3:$J$452,$AK$3+42)&lt;17000,MATCH(SMALL(新年度名簿!$J$3:$J$452,$AK$3+42),新年度名簿!$J$3:$J$452,0),""),""),IFERROR(IF(SMALL(前年度名簿!$G$3:$G$452,$AK$3+42)&lt;17000,MATCH(SMALL(前年度名簿!$G$3:$G$452,$AK$3+42),前年度名簿!$G$3:$G$452,0),""),""))</f>
        <v/>
      </c>
    </row>
    <row r="47">
      <c r="A47" s="65">
        <f>IF($AD47="","",IF(計算用!$B$1=1,INDEX(新年度名簿!$C$3:$C$452,$AD47),INDEX(前年度名簿!$C$3:$C$452,$AD47)))</f>
        <v/>
      </c>
      <c r="B47" s="66">
        <f>IF($AD47="","",IF(計算用!$B$1=1,INDEX(新年度名簿!$D$3:$D$452,$AD47),INDEX(前年度名簿!$D$3:$D$452,$AD47)))</f>
        <v/>
      </c>
      <c r="C47" s="65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M$7:$M$456,MATCH($AD47,振り分け!$P$7:$P$456,0))="転出","転出",IF(INDEX(振り分け!$L$7:$L$456,MATCH($AD47,振り分け!$P$7:$P$456,0))="","未決定",INDEX(振り分け!$L$7:$L$456,MATCH($AD47,振り分け!$P$7:$P$456,0)))),"未決定")))</f>
        <v/>
      </c>
      <c r="D47" s="65">
        <f>IF($AE47="","",IF(計算用!$B$1=1,INDEX(新年度名簿!$C$3:$C$452,$AE47),INDEX(前年度名簿!$C$3:$C$452,$AE47)))</f>
        <v/>
      </c>
      <c r="E47" s="66">
        <f>IF($AE47="","",IF(計算用!$B$1=1,INDEX(新年度名簿!$D$3:$D$452,$AE47),INDEX(前年度名簿!$D$3:$D$452,$AE47)))</f>
        <v/>
      </c>
      <c r="F47" s="65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M$7:$M$456,MATCH($AE47,振り分け!$P$7:$P$456,0))="転出","転出",IF(INDEX(振り分け!$L$7:$L$456,MATCH($AE47,振り分け!$P$7:$P$456,0))="","未決定",INDEX(振り分け!$L$7:$L$456,MATCH($AE47,振り分け!$P$7:$P$456,0)))),"未決定")))</f>
        <v/>
      </c>
      <c r="G47" s="65">
        <f>IF($AF47="","",IF(計算用!$B$1=1,INDEX(新年度名簿!$C$3:$C$452,$AF47),INDEX(前年度名簿!$C$3:$C$452,$AF47)))</f>
        <v/>
      </c>
      <c r="H47" s="66">
        <f>IF($AF47="","",IF(計算用!$B$1=1,INDEX(新年度名簿!$D$3:$D$452,$AF47),INDEX(前年度名簿!$D$3:$D$452,$AF47)))</f>
        <v/>
      </c>
      <c r="I47" s="65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M$7:$M$456,MATCH($AF47,振り分け!$P$7:$P$456,0))="転出","転出",IF(INDEX(振り分け!$L$7:$L$456,MATCH($AF47,振り分け!$P$7:$P$456,0))="","未決定",INDEX(振り分け!$L$7:$L$456,MATCH($AF47,振り分け!$P$7:$P$456,0)))),"未決定")))</f>
        <v/>
      </c>
      <c r="J47" s="65">
        <f>IF($AG47="","",IF(計算用!$B$1=1,INDEX(新年度名簿!$C$3:$C$452,$AG47),INDEX(前年度名簿!$C$3:$C$452,$AG47)))</f>
        <v/>
      </c>
      <c r="K47" s="66">
        <f>IF($AG47="","",IF(計算用!$B$1=1,INDEX(新年度名簿!$D$3:$D$452,$AG47),INDEX(前年度名簿!$D$3:$D$452,$AG47)))</f>
        <v/>
      </c>
      <c r="L47" s="65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M$7:$M$456,MATCH($AG47,振り分け!$P$7:$P$456,0))="転出","転出",IF(INDEX(振り分け!$L$7:$L$456,MATCH($AG47,振り分け!$P$7:$P$456,0))="","未決定",INDEX(振り分け!$L$7:$L$456,MATCH($AG47,振り分け!$P$7:$P$456,0)))),"未決定")))</f>
        <v/>
      </c>
      <c r="M47" s="65">
        <f>IF($AH47="","",IF(計算用!$B$1=1,INDEX(新年度名簿!$C$3:$C$452,$AH47),INDEX(前年度名簿!$C$3:$C$452,$AH47)))</f>
        <v/>
      </c>
      <c r="N47" s="66">
        <f>IF($AH47="","",IF(計算用!$B$1=1,INDEX(新年度名簿!$D$3:$D$452,$AH47),INDEX(前年度名簿!$D$3:$D$452,$AH47)))</f>
        <v/>
      </c>
      <c r="O47" s="65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M$7:$M$456,MATCH($AH47,振り分け!$P$7:$P$456,0))="転出","転出",IF(INDEX(振り分け!$L$7:$L$456,MATCH($AH47,振り分け!$P$7:$P$456,0))="","未決定",INDEX(振り分け!$L$7:$L$456,MATCH($AH47,振り分け!$P$7:$P$456,0)))),"未決定")))</f>
        <v/>
      </c>
      <c r="P47" s="65">
        <f>IF($AI47="","",IF(計算用!$B$1=1,INDEX(新年度名簿!$C$3:$C$452,$AI47),INDEX(前年度名簿!$C$3:$C$452,$AI47)))</f>
        <v/>
      </c>
      <c r="Q47" s="66">
        <f>IF($AI47="","",IF(計算用!$B$1=1,INDEX(新年度名簿!$D$3:$D$452,$AI47),INDEX(前年度名簿!$D$3:$D$452,$AI47)))</f>
        <v/>
      </c>
      <c r="R47" s="65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M$7:$M$456,MATCH($AI47,振り分け!$P$7:$P$456,0))="転出","転出",IF(INDEX(振り分け!$L$7:$L$456,MATCH($AI47,振り分け!$P$7:$P$456,0))="","未決定",INDEX(振り分け!$L$7:$L$456,MATCH($AI47,振り分け!$P$7:$P$456,0)))),"未決定")))</f>
        <v/>
      </c>
      <c r="S47" s="65">
        <f>IF($AJ47="","",IF(計算用!$B$1=1,INDEX(新年度名簿!$C$3:$C$452,$AJ47),INDEX(前年度名簿!$C$3:$C$452,$AJ47)))</f>
        <v/>
      </c>
      <c r="T47" s="66">
        <f>IF($AJ47="","",IF(計算用!$B$1=1,INDEX(新年度名簿!$D$3:$D$452,$AJ47),INDEX(前年度名簿!$D$3:$D$452,$AJ47)))</f>
        <v/>
      </c>
      <c r="U47" s="65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M$7:$M$456,MATCH($AJ47,振り分け!$P$7:$P$456,0))="転出","転出",IF(INDEX(振り分け!$L$7:$L$456,MATCH($AJ47,振り分け!$P$7:$P$456,0))="","未決定",INDEX(振り分け!$L$7:$L$456,MATCH($AJ47,振り分け!$P$7:$P$456,0)))),"未決定")))</f>
        <v/>
      </c>
      <c r="V47" s="65">
        <f>IF($AK47="","",IF(計算用!$B$1=1,INDEX(新年度名簿!$C$3:$C$452,$AK47),INDEX(前年度名簿!$C$3:$C$452,$AK47)))</f>
        <v/>
      </c>
      <c r="W47" s="66">
        <f>IF($AK47="","",IF(計算用!$B$1=1,INDEX(新年度名簿!$D$3:$D$452,$AK47),INDEX(前年度名簿!$D$3:$D$452,$AK47)))</f>
        <v/>
      </c>
      <c r="X47" s="65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M$7:$M$456,MATCH($AK47,振り分け!$P$7:$P$456,0))="転出","転出",IF(INDEX(振り分け!$L$7:$L$456,MATCH($AK47,振り分け!$P$7:$P$456,0))="","未決定",INDEX(振り分け!$L$7:$L$456,MATCH($AK47,振り分け!$P$7:$P$456,0)))),"未決定")))</f>
        <v/>
      </c>
      <c r="AD47" s="63">
        <f>IF(計算用!$B$1=1,IFERROR(IF(SMALL(新年度名簿!$J$3:$J$452,$AD$3+43)&lt;10000,MATCH(SMALL(新年度名簿!$J$3:$J$452,$AD$3+43),新年度名簿!$J$3:$J$452,0),""),""),IFERROR(IF(SMALL(前年度名簿!$G$3:$G$452,$AD$3+43)&lt;10000,MATCH(SMALL(前年度名簿!$G$3:$G$452,$AD$3+43),前年度名簿!$G$3:$G$452,0),""),""))</f>
        <v/>
      </c>
      <c r="AE47" s="63">
        <f>IF(計算用!$B$1=1,IFERROR(IF(SMALL(新年度名簿!$J$3:$J$452,$AE$3+43)&lt;11000,MATCH(SMALL(新年度名簿!$J$3:$J$452,$AE$3+43),新年度名簿!$J$3:$J$452,0),""),""),IFERROR(IF(SMALL(前年度名簿!$G$3:$G$452,$AE$3+43)&lt;11000,MATCH(SMALL(前年度名簿!$G$3:$G$452,$AE$3+43),前年度名簿!$G$3:$G$452,0),""),""))</f>
        <v/>
      </c>
      <c r="AF47" s="63">
        <f>IF(計算用!$B$1=1,IFERROR(IF(SMALL(新年度名簿!$J$3:$J$452,$AF$3+43)&lt;12000,MATCH(SMALL(新年度名簿!$J$3:$J$452,$AF$3+43),新年度名簿!$J$3:$J$452,0),""),""),IFERROR(IF(SMALL(前年度名簿!$G$3:$G$452,$AF$3+43)&lt;12000,MATCH(SMALL(前年度名簿!$G$3:$G$452,$AF$3+43),前年度名簿!$G$3:$G$452,0),""),""))</f>
        <v/>
      </c>
      <c r="AG47" s="63">
        <f>IF(計算用!$B$1=1,IFERROR(IF(SMALL(新年度名簿!$J$3:$J$452,$AG$3+43)&lt;13000,MATCH(SMALL(新年度名簿!$J$3:$J$452,$AG$3+43),新年度名簿!$J$3:$J$452,0),""),""),IFERROR(IF(SMALL(前年度名簿!$G$3:$G$452,$AG$3+43)&lt;13000,MATCH(SMALL(前年度名簿!$G$3:$G$452,$AG$3+43),前年度名簿!$G$3:$G$452,0),""),""))</f>
        <v/>
      </c>
      <c r="AH47" s="63">
        <f>IF(計算用!$B$1=1,IFERROR(IF(SMALL(新年度名簿!$J$3:$J$452,$AH$3+43)&lt;14000,MATCH(SMALL(新年度名簿!$J$3:$J$452,$AH$3+43),新年度名簿!$J$3:$J$452,0),""),""),IFERROR(IF(SMALL(前年度名簿!$G$3:$G$452,$AH$3+43)&lt;14000,MATCH(SMALL(前年度名簿!$G$3:$G$452,$AH$3+43),前年度名簿!$G$3:$G$452,0),""),""))</f>
        <v/>
      </c>
      <c r="AI47" s="63">
        <f>IF(計算用!$B$1=1,IFERROR(IF(SMALL(新年度名簿!$J$3:$J$452,$AI$3+43)&lt;15000,MATCH(SMALL(新年度名簿!$J$3:$J$452,$AI$3+43),新年度名簿!$J$3:$J$452,0),""),""),IFERROR(IF(SMALL(前年度名簿!$G$3:$G$452,$AI$3+43)&lt;15000,MATCH(SMALL(前年度名簿!$G$3:$G$452,$AI$3+43),前年度名簿!$G$3:$G$452,0),""),""))</f>
        <v/>
      </c>
      <c r="AJ47" s="63">
        <f>IF(計算用!$B$1=1,IFERROR(IF(SMALL(新年度名簿!$J$3:$J$452,$AJ$3+43)&lt;16000,MATCH(SMALL(新年度名簿!$J$3:$J$452,$AJ$3+43),新年度名簿!$J$3:$J$452,0),""),""),IFERROR(IF(SMALL(前年度名簿!$G$3:$G$452,$AJ$3+43)&lt;16000,MATCH(SMALL(前年度名簿!$G$3:$G$452,$AJ$3+43),前年度名簿!$G$3:$G$452,0),""),""))</f>
        <v/>
      </c>
      <c r="AK47" s="63">
        <f>IF(計算用!$B$1=1,IFERROR(IF(SMALL(新年度名簿!$J$3:$J$452,$AK$3+43)&lt;17000,MATCH(SMALL(新年度名簿!$J$3:$J$452,$AK$3+43),新年度名簿!$J$3:$J$452,0),""),""),IFERROR(IF(SMALL(前年度名簿!$G$3:$G$452,$AK$3+43)&lt;17000,MATCH(SMALL(前年度名簿!$G$3:$G$452,$AK$3+43),前年度名簿!$G$3:$G$452,0),""),""))</f>
        <v/>
      </c>
    </row>
    <row r="48">
      <c r="A48" s="65">
        <f>IF($AD48="","",IF(計算用!$B$1=1,INDEX(新年度名簿!$C$3:$C$452,$AD48),INDEX(前年度名簿!$C$3:$C$452,$AD48)))</f>
        <v/>
      </c>
      <c r="B48" s="66">
        <f>IF($AD48="","",IF(計算用!$B$1=1,INDEX(新年度名簿!$D$3:$D$452,$AD48),INDEX(前年度名簿!$D$3:$D$452,$AD48)))</f>
        <v/>
      </c>
      <c r="C48" s="65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M$7:$M$456,MATCH($AD48,振り分け!$P$7:$P$456,0))="転出","転出",IF(INDEX(振り分け!$L$7:$L$456,MATCH($AD48,振り分け!$P$7:$P$456,0))="","未決定",INDEX(振り分け!$L$7:$L$456,MATCH($AD48,振り分け!$P$7:$P$456,0)))),"未決定")))</f>
        <v/>
      </c>
      <c r="D48" s="65">
        <f>IF($AE48="","",IF(計算用!$B$1=1,INDEX(新年度名簿!$C$3:$C$452,$AE48),INDEX(前年度名簿!$C$3:$C$452,$AE48)))</f>
        <v/>
      </c>
      <c r="E48" s="66">
        <f>IF($AE48="","",IF(計算用!$B$1=1,INDEX(新年度名簿!$D$3:$D$452,$AE48),INDEX(前年度名簿!$D$3:$D$452,$AE48)))</f>
        <v/>
      </c>
      <c r="F48" s="65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M$7:$M$456,MATCH($AE48,振り分け!$P$7:$P$456,0))="転出","転出",IF(INDEX(振り分け!$L$7:$L$456,MATCH($AE48,振り分け!$P$7:$P$456,0))="","未決定",INDEX(振り分け!$L$7:$L$456,MATCH($AE48,振り分け!$P$7:$P$456,0)))),"未決定")))</f>
        <v/>
      </c>
      <c r="G48" s="65">
        <f>IF($AF48="","",IF(計算用!$B$1=1,INDEX(新年度名簿!$C$3:$C$452,$AF48),INDEX(前年度名簿!$C$3:$C$452,$AF48)))</f>
        <v/>
      </c>
      <c r="H48" s="66">
        <f>IF($AF48="","",IF(計算用!$B$1=1,INDEX(新年度名簿!$D$3:$D$452,$AF48),INDEX(前年度名簿!$D$3:$D$452,$AF48)))</f>
        <v/>
      </c>
      <c r="I48" s="65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M$7:$M$456,MATCH($AF48,振り分け!$P$7:$P$456,0))="転出","転出",IF(INDEX(振り分け!$L$7:$L$456,MATCH($AF48,振り分け!$P$7:$P$456,0))="","未決定",INDEX(振り分け!$L$7:$L$456,MATCH($AF48,振り分け!$P$7:$P$456,0)))),"未決定")))</f>
        <v/>
      </c>
      <c r="J48" s="65">
        <f>IF($AG48="","",IF(計算用!$B$1=1,INDEX(新年度名簿!$C$3:$C$452,$AG48),INDEX(前年度名簿!$C$3:$C$452,$AG48)))</f>
        <v/>
      </c>
      <c r="K48" s="66">
        <f>IF($AG48="","",IF(計算用!$B$1=1,INDEX(新年度名簿!$D$3:$D$452,$AG48),INDEX(前年度名簿!$D$3:$D$452,$AG48)))</f>
        <v/>
      </c>
      <c r="L48" s="65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M$7:$M$456,MATCH($AG48,振り分け!$P$7:$P$456,0))="転出","転出",IF(INDEX(振り分け!$L$7:$L$456,MATCH($AG48,振り分け!$P$7:$P$456,0))="","未決定",INDEX(振り分け!$L$7:$L$456,MATCH($AG48,振り分け!$P$7:$P$456,0)))),"未決定")))</f>
        <v/>
      </c>
      <c r="M48" s="65">
        <f>IF($AH48="","",IF(計算用!$B$1=1,INDEX(新年度名簿!$C$3:$C$452,$AH48),INDEX(前年度名簿!$C$3:$C$452,$AH48)))</f>
        <v/>
      </c>
      <c r="N48" s="66">
        <f>IF($AH48="","",IF(計算用!$B$1=1,INDEX(新年度名簿!$D$3:$D$452,$AH48),INDEX(前年度名簿!$D$3:$D$452,$AH48)))</f>
        <v/>
      </c>
      <c r="O48" s="65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M$7:$M$456,MATCH($AH48,振り分け!$P$7:$P$456,0))="転出","転出",IF(INDEX(振り分け!$L$7:$L$456,MATCH($AH48,振り分け!$P$7:$P$456,0))="","未決定",INDEX(振り分け!$L$7:$L$456,MATCH($AH48,振り分け!$P$7:$P$456,0)))),"未決定")))</f>
        <v/>
      </c>
      <c r="P48" s="65">
        <f>IF($AI48="","",IF(計算用!$B$1=1,INDEX(新年度名簿!$C$3:$C$452,$AI48),INDEX(前年度名簿!$C$3:$C$452,$AI48)))</f>
        <v/>
      </c>
      <c r="Q48" s="66">
        <f>IF($AI48="","",IF(計算用!$B$1=1,INDEX(新年度名簿!$D$3:$D$452,$AI48),INDEX(前年度名簿!$D$3:$D$452,$AI48)))</f>
        <v/>
      </c>
      <c r="R48" s="65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M$7:$M$456,MATCH($AI48,振り分け!$P$7:$P$456,0))="転出","転出",IF(INDEX(振り分け!$L$7:$L$456,MATCH($AI48,振り分け!$P$7:$P$456,0))="","未決定",INDEX(振り分け!$L$7:$L$456,MATCH($AI48,振り分け!$P$7:$P$456,0)))),"未決定")))</f>
        <v/>
      </c>
      <c r="S48" s="65">
        <f>IF($AJ48="","",IF(計算用!$B$1=1,INDEX(新年度名簿!$C$3:$C$452,$AJ48),INDEX(前年度名簿!$C$3:$C$452,$AJ48)))</f>
        <v/>
      </c>
      <c r="T48" s="66">
        <f>IF($AJ48="","",IF(計算用!$B$1=1,INDEX(新年度名簿!$D$3:$D$452,$AJ48),INDEX(前年度名簿!$D$3:$D$452,$AJ48)))</f>
        <v/>
      </c>
      <c r="U48" s="65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M$7:$M$456,MATCH($AJ48,振り分け!$P$7:$P$456,0))="転出","転出",IF(INDEX(振り分け!$L$7:$L$456,MATCH($AJ48,振り分け!$P$7:$P$456,0))="","未決定",INDEX(振り分け!$L$7:$L$456,MATCH($AJ48,振り分け!$P$7:$P$456,0)))),"未決定")))</f>
        <v/>
      </c>
      <c r="V48" s="65">
        <f>IF($AK48="","",IF(計算用!$B$1=1,INDEX(新年度名簿!$C$3:$C$452,$AK48),INDEX(前年度名簿!$C$3:$C$452,$AK48)))</f>
        <v/>
      </c>
      <c r="W48" s="66">
        <f>IF($AK48="","",IF(計算用!$B$1=1,INDEX(新年度名簿!$D$3:$D$452,$AK48),INDEX(前年度名簿!$D$3:$D$452,$AK48)))</f>
        <v/>
      </c>
      <c r="X48" s="65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M$7:$M$456,MATCH($AK48,振り分け!$P$7:$P$456,0))="転出","転出",IF(INDEX(振り分け!$L$7:$L$456,MATCH($AK48,振り分け!$P$7:$P$456,0))="","未決定",INDEX(振り分け!$L$7:$L$456,MATCH($AK48,振り分け!$P$7:$P$456,0)))),"未決定")))</f>
        <v/>
      </c>
      <c r="AD48" s="63">
        <f>IF(計算用!$B$1=1,IFERROR(IF(SMALL(新年度名簿!$J$3:$J$452,$AD$3+44)&lt;10000,MATCH(SMALL(新年度名簿!$J$3:$J$452,$AD$3+44),新年度名簿!$J$3:$J$452,0),""),""),IFERROR(IF(SMALL(前年度名簿!$G$3:$G$452,$AD$3+44)&lt;10000,MATCH(SMALL(前年度名簿!$G$3:$G$452,$AD$3+44),前年度名簿!$G$3:$G$452,0),""),""))</f>
        <v/>
      </c>
      <c r="AE48" s="63">
        <f>IF(計算用!$B$1=1,IFERROR(IF(SMALL(新年度名簿!$J$3:$J$452,$AE$3+44)&lt;11000,MATCH(SMALL(新年度名簿!$J$3:$J$452,$AE$3+44),新年度名簿!$J$3:$J$452,0),""),""),IFERROR(IF(SMALL(前年度名簿!$G$3:$G$452,$AE$3+44)&lt;11000,MATCH(SMALL(前年度名簿!$G$3:$G$452,$AE$3+44),前年度名簿!$G$3:$G$452,0),""),""))</f>
        <v/>
      </c>
      <c r="AF48" s="63">
        <f>IF(計算用!$B$1=1,IFERROR(IF(SMALL(新年度名簿!$J$3:$J$452,$AF$3+44)&lt;12000,MATCH(SMALL(新年度名簿!$J$3:$J$452,$AF$3+44),新年度名簿!$J$3:$J$452,0),""),""),IFERROR(IF(SMALL(前年度名簿!$G$3:$G$452,$AF$3+44)&lt;12000,MATCH(SMALL(前年度名簿!$G$3:$G$452,$AF$3+44),前年度名簿!$G$3:$G$452,0),""),""))</f>
        <v/>
      </c>
      <c r="AG48" s="63">
        <f>IF(計算用!$B$1=1,IFERROR(IF(SMALL(新年度名簿!$J$3:$J$452,$AG$3+44)&lt;13000,MATCH(SMALL(新年度名簿!$J$3:$J$452,$AG$3+44),新年度名簿!$J$3:$J$452,0),""),""),IFERROR(IF(SMALL(前年度名簿!$G$3:$G$452,$AG$3+44)&lt;13000,MATCH(SMALL(前年度名簿!$G$3:$G$452,$AG$3+44),前年度名簿!$G$3:$G$452,0),""),""))</f>
        <v/>
      </c>
      <c r="AH48" s="63">
        <f>IF(計算用!$B$1=1,IFERROR(IF(SMALL(新年度名簿!$J$3:$J$452,$AH$3+44)&lt;14000,MATCH(SMALL(新年度名簿!$J$3:$J$452,$AH$3+44),新年度名簿!$J$3:$J$452,0),""),""),IFERROR(IF(SMALL(前年度名簿!$G$3:$G$452,$AH$3+44)&lt;14000,MATCH(SMALL(前年度名簿!$G$3:$G$452,$AH$3+44),前年度名簿!$G$3:$G$452,0),""),""))</f>
        <v/>
      </c>
      <c r="AI48" s="63">
        <f>IF(計算用!$B$1=1,IFERROR(IF(SMALL(新年度名簿!$J$3:$J$452,$AI$3+44)&lt;15000,MATCH(SMALL(新年度名簿!$J$3:$J$452,$AI$3+44),新年度名簿!$J$3:$J$452,0),""),""),IFERROR(IF(SMALL(前年度名簿!$G$3:$G$452,$AI$3+44)&lt;15000,MATCH(SMALL(前年度名簿!$G$3:$G$452,$AI$3+44),前年度名簿!$G$3:$G$452,0),""),""))</f>
        <v/>
      </c>
      <c r="AJ48" s="63">
        <f>IF(計算用!$B$1=1,IFERROR(IF(SMALL(新年度名簿!$J$3:$J$452,$AJ$3+44)&lt;16000,MATCH(SMALL(新年度名簿!$J$3:$J$452,$AJ$3+44),新年度名簿!$J$3:$J$452,0),""),""),IFERROR(IF(SMALL(前年度名簿!$G$3:$G$452,$AJ$3+44)&lt;16000,MATCH(SMALL(前年度名簿!$G$3:$G$452,$AJ$3+44),前年度名簿!$G$3:$G$452,0),""),""))</f>
        <v/>
      </c>
      <c r="AK48" s="63">
        <f>IF(計算用!$B$1=1,IFERROR(IF(SMALL(新年度名簿!$J$3:$J$452,$AK$3+44)&lt;17000,MATCH(SMALL(新年度名簿!$J$3:$J$452,$AK$3+44),新年度名簿!$J$3:$J$452,0),""),""),IFERROR(IF(SMALL(前年度名簿!$G$3:$G$452,$AK$3+44)&lt;17000,MATCH(SMALL(前年度名簿!$G$3:$G$452,$AK$3+44),前年度名簿!$G$3:$G$452,0),""),""))</f>
        <v/>
      </c>
    </row>
    <row r="49">
      <c r="A49" s="65">
        <f>IF($AD49="","",IF(計算用!$B$1=1,INDEX(新年度名簿!$C$3:$C$452,$AD49),INDEX(前年度名簿!$C$3:$C$452,$AD49)))</f>
        <v/>
      </c>
      <c r="B49" s="66">
        <f>IF($AD49="","",IF(計算用!$B$1=1,INDEX(新年度名簿!$D$3:$D$452,$AD49),INDEX(前年度名簿!$D$3:$D$452,$AD49)))</f>
        <v/>
      </c>
      <c r="C49" s="65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M$7:$M$456,MATCH($AD49,振り分け!$P$7:$P$456,0))="転出","転出",IF(INDEX(振り分け!$L$7:$L$456,MATCH($AD49,振り分け!$P$7:$P$456,0))="","未決定",INDEX(振り分け!$L$7:$L$456,MATCH($AD49,振り分け!$P$7:$P$456,0)))),"未決定")))</f>
        <v/>
      </c>
      <c r="D49" s="65">
        <f>IF($AE49="","",IF(計算用!$B$1=1,INDEX(新年度名簿!$C$3:$C$452,$AE49),INDEX(前年度名簿!$C$3:$C$452,$AE49)))</f>
        <v/>
      </c>
      <c r="E49" s="66">
        <f>IF($AE49="","",IF(計算用!$B$1=1,INDEX(新年度名簿!$D$3:$D$452,$AE49),INDEX(前年度名簿!$D$3:$D$452,$AE49)))</f>
        <v/>
      </c>
      <c r="F49" s="65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M$7:$M$456,MATCH($AE49,振り分け!$P$7:$P$456,0))="転出","転出",IF(INDEX(振り分け!$L$7:$L$456,MATCH($AE49,振り分け!$P$7:$P$456,0))="","未決定",INDEX(振り分け!$L$7:$L$456,MATCH($AE49,振り分け!$P$7:$P$456,0)))),"未決定")))</f>
        <v/>
      </c>
      <c r="G49" s="65">
        <f>IF($AF49="","",IF(計算用!$B$1=1,INDEX(新年度名簿!$C$3:$C$452,$AF49),INDEX(前年度名簿!$C$3:$C$452,$AF49)))</f>
        <v/>
      </c>
      <c r="H49" s="66">
        <f>IF($AF49="","",IF(計算用!$B$1=1,INDEX(新年度名簿!$D$3:$D$452,$AF49),INDEX(前年度名簿!$D$3:$D$452,$AF49)))</f>
        <v/>
      </c>
      <c r="I49" s="65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M$7:$M$456,MATCH($AF49,振り分け!$P$7:$P$456,0))="転出","転出",IF(INDEX(振り分け!$L$7:$L$456,MATCH($AF49,振り分け!$P$7:$P$456,0))="","未決定",INDEX(振り分け!$L$7:$L$456,MATCH($AF49,振り分け!$P$7:$P$456,0)))),"未決定")))</f>
        <v/>
      </c>
      <c r="J49" s="65">
        <f>IF($AG49="","",IF(計算用!$B$1=1,INDEX(新年度名簿!$C$3:$C$452,$AG49),INDEX(前年度名簿!$C$3:$C$452,$AG49)))</f>
        <v/>
      </c>
      <c r="K49" s="66">
        <f>IF($AG49="","",IF(計算用!$B$1=1,INDEX(新年度名簿!$D$3:$D$452,$AG49),INDEX(前年度名簿!$D$3:$D$452,$AG49)))</f>
        <v/>
      </c>
      <c r="L49" s="65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M$7:$M$456,MATCH($AG49,振り分け!$P$7:$P$456,0))="転出","転出",IF(INDEX(振り分け!$L$7:$L$456,MATCH($AG49,振り分け!$P$7:$P$456,0))="","未決定",INDEX(振り分け!$L$7:$L$456,MATCH($AG49,振り分け!$P$7:$P$456,0)))),"未決定")))</f>
        <v/>
      </c>
      <c r="M49" s="65">
        <f>IF($AH49="","",IF(計算用!$B$1=1,INDEX(新年度名簿!$C$3:$C$452,$AH49),INDEX(前年度名簿!$C$3:$C$452,$AH49)))</f>
        <v/>
      </c>
      <c r="N49" s="66">
        <f>IF($AH49="","",IF(計算用!$B$1=1,INDEX(新年度名簿!$D$3:$D$452,$AH49),INDEX(前年度名簿!$D$3:$D$452,$AH49)))</f>
        <v/>
      </c>
      <c r="O49" s="65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M$7:$M$456,MATCH($AH49,振り分け!$P$7:$P$456,0))="転出","転出",IF(INDEX(振り分け!$L$7:$L$456,MATCH($AH49,振り分け!$P$7:$P$456,0))="","未決定",INDEX(振り分け!$L$7:$L$456,MATCH($AH49,振り分け!$P$7:$P$456,0)))),"未決定")))</f>
        <v/>
      </c>
      <c r="P49" s="65">
        <f>IF($AI49="","",IF(計算用!$B$1=1,INDEX(新年度名簿!$C$3:$C$452,$AI49),INDEX(前年度名簿!$C$3:$C$452,$AI49)))</f>
        <v/>
      </c>
      <c r="Q49" s="66">
        <f>IF($AI49="","",IF(計算用!$B$1=1,INDEX(新年度名簿!$D$3:$D$452,$AI49),INDEX(前年度名簿!$D$3:$D$452,$AI49)))</f>
        <v/>
      </c>
      <c r="R49" s="65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M$7:$M$456,MATCH($AI49,振り分け!$P$7:$P$456,0))="転出","転出",IF(INDEX(振り分け!$L$7:$L$456,MATCH($AI49,振り分け!$P$7:$P$456,0))="","未決定",INDEX(振り分け!$L$7:$L$456,MATCH($AI49,振り分け!$P$7:$P$456,0)))),"未決定")))</f>
        <v/>
      </c>
      <c r="S49" s="65">
        <f>IF($AJ49="","",IF(計算用!$B$1=1,INDEX(新年度名簿!$C$3:$C$452,$AJ49),INDEX(前年度名簿!$C$3:$C$452,$AJ49)))</f>
        <v/>
      </c>
      <c r="T49" s="66">
        <f>IF($AJ49="","",IF(計算用!$B$1=1,INDEX(新年度名簿!$D$3:$D$452,$AJ49),INDEX(前年度名簿!$D$3:$D$452,$AJ49)))</f>
        <v/>
      </c>
      <c r="U49" s="65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M$7:$M$456,MATCH($AJ49,振り分け!$P$7:$P$456,0))="転出","転出",IF(INDEX(振り分け!$L$7:$L$456,MATCH($AJ49,振り分け!$P$7:$P$456,0))="","未決定",INDEX(振り分け!$L$7:$L$456,MATCH($AJ49,振り分け!$P$7:$P$456,0)))),"未決定")))</f>
        <v/>
      </c>
      <c r="V49" s="65">
        <f>IF($AK49="","",IF(計算用!$B$1=1,INDEX(新年度名簿!$C$3:$C$452,$AK49),INDEX(前年度名簿!$C$3:$C$452,$AK49)))</f>
        <v/>
      </c>
      <c r="W49" s="66">
        <f>IF($AK49="","",IF(計算用!$B$1=1,INDEX(新年度名簿!$D$3:$D$452,$AK49),INDEX(前年度名簿!$D$3:$D$452,$AK49)))</f>
        <v/>
      </c>
      <c r="X49" s="65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M$7:$M$456,MATCH($AK49,振り分け!$P$7:$P$456,0))="転出","転出",IF(INDEX(振り分け!$L$7:$L$456,MATCH($AK49,振り分け!$P$7:$P$456,0))="","未決定",INDEX(振り分け!$L$7:$L$456,MATCH($AK49,振り分け!$P$7:$P$456,0)))),"未決定")))</f>
        <v/>
      </c>
      <c r="AD49" s="63">
        <f>IF(計算用!$B$1=1,IFERROR(IF(SMALL(新年度名簿!$J$3:$J$452,$AD$3+45)&lt;10000,MATCH(SMALL(新年度名簿!$J$3:$J$452,$AD$3+45),新年度名簿!$J$3:$J$452,0),""),""),IFERROR(IF(SMALL(前年度名簿!$G$3:$G$452,$AD$3+45)&lt;10000,MATCH(SMALL(前年度名簿!$G$3:$G$452,$AD$3+45),前年度名簿!$G$3:$G$452,0),""),""))</f>
        <v/>
      </c>
      <c r="AE49" s="63">
        <f>IF(計算用!$B$1=1,IFERROR(IF(SMALL(新年度名簿!$J$3:$J$452,$AE$3+45)&lt;11000,MATCH(SMALL(新年度名簿!$J$3:$J$452,$AE$3+45),新年度名簿!$J$3:$J$452,0),""),""),IFERROR(IF(SMALL(前年度名簿!$G$3:$G$452,$AE$3+45)&lt;11000,MATCH(SMALL(前年度名簿!$G$3:$G$452,$AE$3+45),前年度名簿!$G$3:$G$452,0),""),""))</f>
        <v/>
      </c>
      <c r="AF49" s="63">
        <f>IF(計算用!$B$1=1,IFERROR(IF(SMALL(新年度名簿!$J$3:$J$452,$AF$3+45)&lt;12000,MATCH(SMALL(新年度名簿!$J$3:$J$452,$AF$3+45),新年度名簿!$J$3:$J$452,0),""),""),IFERROR(IF(SMALL(前年度名簿!$G$3:$G$452,$AF$3+45)&lt;12000,MATCH(SMALL(前年度名簿!$G$3:$G$452,$AF$3+45),前年度名簿!$G$3:$G$452,0),""),""))</f>
        <v/>
      </c>
      <c r="AG49" s="63">
        <f>IF(計算用!$B$1=1,IFERROR(IF(SMALL(新年度名簿!$J$3:$J$452,$AG$3+45)&lt;13000,MATCH(SMALL(新年度名簿!$J$3:$J$452,$AG$3+45),新年度名簿!$J$3:$J$452,0),""),""),IFERROR(IF(SMALL(前年度名簿!$G$3:$G$452,$AG$3+45)&lt;13000,MATCH(SMALL(前年度名簿!$G$3:$G$452,$AG$3+45),前年度名簿!$G$3:$G$452,0),""),""))</f>
        <v/>
      </c>
      <c r="AH49" s="63">
        <f>IF(計算用!$B$1=1,IFERROR(IF(SMALL(新年度名簿!$J$3:$J$452,$AH$3+45)&lt;14000,MATCH(SMALL(新年度名簿!$J$3:$J$452,$AH$3+45),新年度名簿!$J$3:$J$452,0),""),""),IFERROR(IF(SMALL(前年度名簿!$G$3:$G$452,$AH$3+45)&lt;14000,MATCH(SMALL(前年度名簿!$G$3:$G$452,$AH$3+45),前年度名簿!$G$3:$G$452,0),""),""))</f>
        <v/>
      </c>
      <c r="AI49" s="63">
        <f>IF(計算用!$B$1=1,IFERROR(IF(SMALL(新年度名簿!$J$3:$J$452,$AI$3+45)&lt;15000,MATCH(SMALL(新年度名簿!$J$3:$J$452,$AI$3+45),新年度名簿!$J$3:$J$452,0),""),""),IFERROR(IF(SMALL(前年度名簿!$G$3:$G$452,$AI$3+45)&lt;15000,MATCH(SMALL(前年度名簿!$G$3:$G$452,$AI$3+45),前年度名簿!$G$3:$G$452,0),""),""))</f>
        <v/>
      </c>
      <c r="AJ49" s="63">
        <f>IF(計算用!$B$1=1,IFERROR(IF(SMALL(新年度名簿!$J$3:$J$452,$AJ$3+45)&lt;16000,MATCH(SMALL(新年度名簿!$J$3:$J$452,$AJ$3+45),新年度名簿!$J$3:$J$452,0),""),""),IFERROR(IF(SMALL(前年度名簿!$G$3:$G$452,$AJ$3+45)&lt;16000,MATCH(SMALL(前年度名簿!$G$3:$G$452,$AJ$3+45),前年度名簿!$G$3:$G$452,0),""),""))</f>
        <v/>
      </c>
      <c r="AK49" s="63">
        <f>IF(計算用!$B$1=1,IFERROR(IF(SMALL(新年度名簿!$J$3:$J$452,$AK$3+45)&lt;17000,MATCH(SMALL(新年度名簿!$J$3:$J$452,$AK$3+45),新年度名簿!$J$3:$J$452,0),""),""),IFERROR(IF(SMALL(前年度名簿!$G$3:$G$452,$AK$3+45)&lt;17000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IF(計算用!$B$1=1,設定!$M$16,設定!$H$16)="黒"</formula>
    </cfRule>
    <cfRule type="expression" priority="2" dxfId="1">
      <formula>IF(計算用!$B$1=1,設定!$M$16,設定!$H$16)="赤"</formula>
    </cfRule>
    <cfRule type="expression" priority="3" dxfId="2">
      <formula>IF(計算用!$B$1=1,設定!$M$16,設定!$H$16)="青"</formula>
    </cfRule>
    <cfRule type="expression" priority="4" dxfId="3">
      <formula>IF(計算用!$B$1=1,設定!$M$16,設定!$H$16)="緑"</formula>
    </cfRule>
    <cfRule type="expression" priority="5" dxfId="4">
      <formula>IF(計算用!$B$1=1,設定!$M$16,設定!$H$16)="黄"</formula>
    </cfRule>
    <cfRule type="expression" priority="6" dxfId="5">
      <formula>IF(計算用!$B$1=1,設定!$M$16,設定!$H$16)="橙"</formula>
    </cfRule>
    <cfRule type="expression" priority="7" dxfId="6">
      <formula>IF(計算用!$B$1=1,設定!$M$16,設定!$H$16)="紫"</formula>
    </cfRule>
    <cfRule type="expression" priority="8" dxfId="7">
      <formula>IF(計算用!$B$1=1,設定!$M$16,設定!$H$16)="茶"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IF(計算用!$B$1=1,設定!$M$17,設定!$H$17)="黒"</formula>
    </cfRule>
    <cfRule type="expression" priority="11" dxfId="1">
      <formula>IF(計算用!$B$1=1,設定!$M$17,設定!$H$17)="赤"</formula>
    </cfRule>
    <cfRule type="expression" priority="12" dxfId="2">
      <formula>IF(計算用!$B$1=1,設定!$M$17,設定!$H$17)="青"</formula>
    </cfRule>
    <cfRule type="expression" priority="13" dxfId="3">
      <formula>IF(計算用!$B$1=1,設定!$M$17,設定!$H$17)="緑"</formula>
    </cfRule>
    <cfRule type="expression" priority="14" dxfId="4">
      <formula>IF(計算用!$B$1=1,設定!$M$17,設定!$H$17)="黄"</formula>
    </cfRule>
    <cfRule type="expression" priority="15" dxfId="5">
      <formula>IF(計算用!$B$1=1,設定!$M$17,設定!$H$17)="橙"</formula>
    </cfRule>
    <cfRule type="expression" priority="16" dxfId="6">
      <formula>IF(計算用!$B$1=1,設定!$M$17,設定!$H$17)="紫"</formula>
    </cfRule>
    <cfRule type="expression" priority="17" dxfId="7">
      <formula>IF(計算用!$B$1=1,設定!$M$17,設定!$H$17)="茶"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IF(計算用!$B$1=1,設定!$M$18,設定!$H$18)="黒"</formula>
    </cfRule>
    <cfRule type="expression" priority="20" dxfId="1">
      <formula>IF(計算用!$B$1=1,設定!$M$18,設定!$H$18)="赤"</formula>
    </cfRule>
    <cfRule type="expression" priority="21" dxfId="2">
      <formula>IF(計算用!$B$1=1,設定!$M$18,設定!$H$18)="青"</formula>
    </cfRule>
    <cfRule type="expression" priority="22" dxfId="3">
      <formula>IF(計算用!$B$1=1,設定!$M$18,設定!$H$18)="緑"</formula>
    </cfRule>
    <cfRule type="expression" priority="23" dxfId="4">
      <formula>IF(計算用!$B$1=1,設定!$M$18,設定!$H$18)="黄"</formula>
    </cfRule>
    <cfRule type="expression" priority="24" dxfId="5">
      <formula>IF(計算用!$B$1=1,設定!$M$18,設定!$H$18)="橙"</formula>
    </cfRule>
    <cfRule type="expression" priority="25" dxfId="6">
      <formula>IF(計算用!$B$1=1,設定!$M$18,設定!$H$18)="紫"</formula>
    </cfRule>
    <cfRule type="expression" priority="26" dxfId="7">
      <formula>IF(計算用!$B$1=1,設定!$M$18,設定!$H$18)="茶"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IF(計算用!$B$1=1,設定!$M$19,設定!$H$19)="黒"</formula>
    </cfRule>
    <cfRule type="expression" priority="29" dxfId="1">
      <formula>IF(計算用!$B$1=1,設定!$M$19,設定!$H$19)="赤"</formula>
    </cfRule>
    <cfRule type="expression" priority="30" dxfId="2">
      <formula>IF(計算用!$B$1=1,設定!$M$19,設定!$H$19)="青"</formula>
    </cfRule>
    <cfRule type="expression" priority="31" dxfId="3">
      <formula>IF(計算用!$B$1=1,設定!$M$19,設定!$H$19)="緑"</formula>
    </cfRule>
    <cfRule type="expression" priority="32" dxfId="4">
      <formula>IF(計算用!$B$1=1,設定!$M$19,設定!$H$19)="黄"</formula>
    </cfRule>
    <cfRule type="expression" priority="33" dxfId="5">
      <formula>IF(計算用!$B$1=1,設定!$M$19,設定!$H$19)="橙"</formula>
    </cfRule>
    <cfRule type="expression" priority="34" dxfId="6">
      <formula>IF(計算用!$B$1=1,設定!$M$19,設定!$H$19)="紫"</formula>
    </cfRule>
    <cfRule type="expression" priority="35" dxfId="7">
      <formula>IF(計算用!$B$1=1,設定!$M$19,設定!$H$19)="茶"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IF(計算用!$B$1=1,設定!$M$20,設定!$H$20)="黒"</formula>
    </cfRule>
    <cfRule type="expression" priority="38" dxfId="1">
      <formula>IF(計算用!$B$1=1,設定!$M$20,設定!$H$20)="赤"</formula>
    </cfRule>
    <cfRule type="expression" priority="39" dxfId="2">
      <formula>IF(計算用!$B$1=1,設定!$M$20,設定!$H$20)="青"</formula>
    </cfRule>
    <cfRule type="expression" priority="40" dxfId="3">
      <formula>IF(計算用!$B$1=1,設定!$M$20,設定!$H$20)="緑"</formula>
    </cfRule>
    <cfRule type="expression" priority="41" dxfId="4">
      <formula>IF(計算用!$B$1=1,設定!$M$20,設定!$H$20)="黄"</formula>
    </cfRule>
    <cfRule type="expression" priority="42" dxfId="5">
      <formula>IF(計算用!$B$1=1,設定!$M$20,設定!$H$20)="橙"</formula>
    </cfRule>
    <cfRule type="expression" priority="43" dxfId="6">
      <formula>IF(計算用!$B$1=1,設定!$M$20,設定!$H$20)="紫"</formula>
    </cfRule>
    <cfRule type="expression" priority="44" dxfId="7">
      <formula>IF(計算用!$B$1=1,設定!$M$20,設定!$H$20)="茶"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IF(計算用!$B$1=1,設定!$M$21,設定!$H$21)="黒"</formula>
    </cfRule>
    <cfRule type="expression" priority="47" dxfId="1">
      <formula>IF(計算用!$B$1=1,設定!$M$21,設定!$H$21)="赤"</formula>
    </cfRule>
    <cfRule type="expression" priority="48" dxfId="2">
      <formula>IF(計算用!$B$1=1,設定!$M$21,設定!$H$21)="青"</formula>
    </cfRule>
    <cfRule type="expression" priority="49" dxfId="3">
      <formula>IF(計算用!$B$1=1,設定!$M$21,設定!$H$21)="緑"</formula>
    </cfRule>
    <cfRule type="expression" priority="50" dxfId="4">
      <formula>IF(計算用!$B$1=1,設定!$M$21,設定!$H$21)="黄"</formula>
    </cfRule>
    <cfRule type="expression" priority="51" dxfId="5">
      <formula>IF(計算用!$B$1=1,設定!$M$21,設定!$H$21)="橙"</formula>
    </cfRule>
    <cfRule type="expression" priority="52" dxfId="6">
      <formula>IF(計算用!$B$1=1,設定!$M$21,設定!$H$21)="紫"</formula>
    </cfRule>
    <cfRule type="expression" priority="53" dxfId="7">
      <formula>IF(計算用!$B$1=1,設定!$M$21,設定!$H$21)="茶"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IF(計算用!$B$1=1,設定!$M$22,設定!$H$22)="黒"</formula>
    </cfRule>
    <cfRule type="expression" priority="56" dxfId="1">
      <formula>IF(計算用!$B$1=1,設定!$M$22,設定!$H$22)="赤"</formula>
    </cfRule>
    <cfRule type="expression" priority="57" dxfId="2">
      <formula>IF(計算用!$B$1=1,設定!$M$22,設定!$H$22)="青"</formula>
    </cfRule>
    <cfRule type="expression" priority="58" dxfId="3">
      <formula>IF(計算用!$B$1=1,設定!$M$22,設定!$H$22)="緑"</formula>
    </cfRule>
    <cfRule type="expression" priority="59" dxfId="4">
      <formula>IF(計算用!$B$1=1,設定!$M$22,設定!$H$22)="黄"</formula>
    </cfRule>
    <cfRule type="expression" priority="60" dxfId="5">
      <formula>IF(計算用!$B$1=1,設定!$M$22,設定!$H$22)="橙"</formula>
    </cfRule>
    <cfRule type="expression" priority="61" dxfId="6">
      <formula>IF(計算用!$B$1=1,設定!$M$22,設定!$H$22)="紫"</formula>
    </cfRule>
    <cfRule type="expression" priority="62" dxfId="7">
      <formula>IF(計算用!$B$1=1,設定!$M$22,設定!$H$22)="茶"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IF(計算用!$B$1=1,設定!$M$23,設定!$H$23)="黒"</formula>
    </cfRule>
    <cfRule type="expression" priority="65" dxfId="1">
      <formula>IF(計算用!$B$1=1,設定!$M$23,設定!$H$23)="赤"</formula>
    </cfRule>
    <cfRule type="expression" priority="66" dxfId="2">
      <formula>IF(計算用!$B$1=1,設定!$M$23,設定!$H$23)="青"</formula>
    </cfRule>
    <cfRule type="expression" priority="67" dxfId="3">
      <formula>IF(計算用!$B$1=1,設定!$M$23,設定!$H$23)="緑"</formula>
    </cfRule>
    <cfRule type="expression" priority="68" dxfId="4">
      <formula>IF(計算用!$B$1=1,設定!$M$23,設定!$H$23)="黄"</formula>
    </cfRule>
    <cfRule type="expression" priority="69" dxfId="5">
      <formula>IF(計算用!$B$1=1,設定!$M$23,設定!$H$23)="橙"</formula>
    </cfRule>
    <cfRule type="expression" priority="70" dxfId="6">
      <formula>IF(計算用!$B$1=1,設定!$M$23,設定!$H$23)="紫"</formula>
    </cfRule>
    <cfRule type="expression" priority="71" dxfId="7">
      <formula>IF(計算用!$B$1=1,設定!$M$23,設定!$H$23)="茶"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"&amp;設定!$B$10&amp;"年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64">
        <f>IF(計算用!$B$1=1,IF(設定!$K$24="","",設定!$L$24),IF(設定!$F$24="","",設定!$G$24))</f>
        <v/>
      </c>
      <c r="B3" s="72" t="n"/>
      <c r="C3" s="73" t="n"/>
      <c r="D3" s="64">
        <f>IF(計算用!$B$1=1,IF(設定!$K$25="","",設定!$L$25),IF(設定!$F$25="","",設定!$G$25))</f>
        <v/>
      </c>
      <c r="E3" s="72" t="n"/>
      <c r="F3" s="73" t="n"/>
      <c r="G3" s="64">
        <f>IF(計算用!$B$1=1,IF(設定!$K$26="","",設定!$L$26),IF(設定!$F$26="","",設定!$G$26))</f>
        <v/>
      </c>
      <c r="H3" s="72" t="n"/>
      <c r="I3" s="73" t="n"/>
      <c r="J3" s="64">
        <f>IF(計算用!$B$1=1,IF(設定!$K$27="","",設定!$L$27),IF(設定!$F$27="","",設定!$G$27))</f>
        <v/>
      </c>
      <c r="K3" s="72" t="n"/>
      <c r="L3" s="73" t="n"/>
      <c r="M3" s="64">
        <f>IF(計算用!$B$1=1,IF(設定!$K$28="","",設定!$L$28),IF(設定!$F$28="","",設定!$G$28))</f>
        <v/>
      </c>
      <c r="N3" s="72" t="n"/>
      <c r="O3" s="73" t="n"/>
      <c r="P3" s="64">
        <f>IF(計算用!$B$1=1,IF(設定!$K$29="","",設定!$L$29),IF(設定!$F$29="","",設定!$G$29))</f>
        <v/>
      </c>
      <c r="Q3" s="72" t="n"/>
      <c r="R3" s="73" t="n"/>
      <c r="S3" s="64">
        <f>IF(計算用!$B$1=1,IF(設定!$K$30="","",設定!$L$30),IF(設定!$F$30="","",設定!$G$30))</f>
        <v/>
      </c>
      <c r="T3" s="72" t="n"/>
      <c r="U3" s="73" t="n"/>
      <c r="V3" s="64">
        <f>IF(計算用!$B$1=1,IF(設定!$K$31="","",設定!$L$31),IF(設定!$F$31="","",設定!$G$31))</f>
        <v/>
      </c>
      <c r="W3" s="72" t="n"/>
      <c r="X3" s="73" t="n"/>
      <c r="AD3" s="63">
        <f>IF(計算用!$B$1=1,COUNTIF(新年度名簿!$J$3:$J$452,"&lt;"&amp;17000),COUNTIF(前年度名簿!$G$3:$G$452,"&lt;"&amp;17000))</f>
        <v/>
      </c>
      <c r="AE3" s="63">
        <f>IF(計算用!$B$1=1,COUNTIF(新年度名簿!$J$3:$J$452,"&lt;"&amp;18000),COUNTIF(前年度名簿!$G$3:$G$452,"&lt;"&amp;18000))</f>
        <v/>
      </c>
      <c r="AF3" s="63">
        <f>IF(計算用!$B$1=1,COUNTIF(新年度名簿!$J$3:$J$452,"&lt;"&amp;19000),COUNTIF(前年度名簿!$G$3:$G$452,"&lt;"&amp;19000))</f>
        <v/>
      </c>
      <c r="AG3" s="63">
        <f>IF(計算用!$B$1=1,COUNTIF(新年度名簿!$J$3:$J$452,"&lt;"&amp;20000),COUNTIF(前年度名簿!$G$3:$G$452,"&lt;"&amp;20000))</f>
        <v/>
      </c>
      <c r="AH3" s="63">
        <f>IF(計算用!$B$1=1,COUNTIF(新年度名簿!$J$3:$J$452,"&lt;"&amp;21000),COUNTIF(前年度名簿!$G$3:$G$452,"&lt;"&amp;21000))</f>
        <v/>
      </c>
      <c r="AI3" s="63">
        <f>IF(計算用!$B$1=1,COUNTIF(新年度名簿!$J$3:$J$452,"&lt;"&amp;22000),COUNTIF(前年度名簿!$G$3:$G$452,"&lt;"&amp;22000))</f>
        <v/>
      </c>
      <c r="AJ3" s="63">
        <f>IF(計算用!$B$1=1,COUNTIF(新年度名簿!$J$3:$J$452,"&lt;"&amp;23000),COUNTIF(前年度名簿!$G$3:$G$452,"&lt;"&amp;23000))</f>
        <v/>
      </c>
      <c r="AK3" s="63">
        <f>IF(計算用!$B$1=1,COUNTIF(新年度名簿!$J$3:$J$452,"&lt;"&amp;24000),COUNTIF(前年度名簿!$G$3:$G$452,"&lt;"&amp;24000))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5">
        <f>IF($AD5="","",IF(計算用!$B$1=1,INDEX(新年度名簿!$C$3:$C$452,$AD5),INDEX(前年度名簿!$C$3:$C$452,$AD5)))</f>
        <v/>
      </c>
      <c r="B5" s="66">
        <f>IF($AD5="","",IF(計算用!$B$1=1,INDEX(新年度名簿!$D$3:$D$452,$AD5),INDEX(前年度名簿!$D$3:$D$452,$AD5)))</f>
        <v/>
      </c>
      <c r="C5" s="65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M$7:$M$456,MATCH($AD5,振り分け!$P$7:$P$456,0))="転出","転出",IF(INDEX(振り分け!$L$7:$L$456,MATCH($AD5,振り分け!$P$7:$P$456,0))="","未決定",INDEX(振り分け!$L$7:$L$456,MATCH($AD5,振り分け!$P$7:$P$456,0)))),"未決定")))</f>
        <v/>
      </c>
      <c r="D5" s="65">
        <f>IF($AE5="","",IF(計算用!$B$1=1,INDEX(新年度名簿!$C$3:$C$452,$AE5),INDEX(前年度名簿!$C$3:$C$452,$AE5)))</f>
        <v/>
      </c>
      <c r="E5" s="66">
        <f>IF($AE5="","",IF(計算用!$B$1=1,INDEX(新年度名簿!$D$3:$D$452,$AE5),INDEX(前年度名簿!$D$3:$D$452,$AE5)))</f>
        <v/>
      </c>
      <c r="F5" s="65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M$7:$M$456,MATCH($AE5,振り分け!$P$7:$P$456,0))="転出","転出",IF(INDEX(振り分け!$L$7:$L$456,MATCH($AE5,振り分け!$P$7:$P$456,0))="","未決定",INDEX(振り分け!$L$7:$L$456,MATCH($AE5,振り分け!$P$7:$P$456,0)))),"未決定")))</f>
        <v/>
      </c>
      <c r="G5" s="65">
        <f>IF($AF5="","",IF(計算用!$B$1=1,INDEX(新年度名簿!$C$3:$C$452,$AF5),INDEX(前年度名簿!$C$3:$C$452,$AF5)))</f>
        <v/>
      </c>
      <c r="H5" s="66">
        <f>IF($AF5="","",IF(計算用!$B$1=1,INDEX(新年度名簿!$D$3:$D$452,$AF5),INDEX(前年度名簿!$D$3:$D$452,$AF5)))</f>
        <v/>
      </c>
      <c r="I5" s="65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M$7:$M$456,MATCH($AF5,振り分け!$P$7:$P$456,0))="転出","転出",IF(INDEX(振り分け!$L$7:$L$456,MATCH($AF5,振り分け!$P$7:$P$456,0))="","未決定",INDEX(振り分け!$L$7:$L$456,MATCH($AF5,振り分け!$P$7:$P$456,0)))),"未決定")))</f>
        <v/>
      </c>
      <c r="J5" s="65">
        <f>IF($AG5="","",IF(計算用!$B$1=1,INDEX(新年度名簿!$C$3:$C$452,$AG5),INDEX(前年度名簿!$C$3:$C$452,$AG5)))</f>
        <v/>
      </c>
      <c r="K5" s="66">
        <f>IF($AG5="","",IF(計算用!$B$1=1,INDEX(新年度名簿!$D$3:$D$452,$AG5),INDEX(前年度名簿!$D$3:$D$452,$AG5)))</f>
        <v/>
      </c>
      <c r="L5" s="65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M$7:$M$456,MATCH($AG5,振り分け!$P$7:$P$456,0))="転出","転出",IF(INDEX(振り分け!$L$7:$L$456,MATCH($AG5,振り分け!$P$7:$P$456,0))="","未決定",INDEX(振り分け!$L$7:$L$456,MATCH($AG5,振り分け!$P$7:$P$456,0)))),"未決定")))</f>
        <v/>
      </c>
      <c r="M5" s="65">
        <f>IF($AH5="","",IF(計算用!$B$1=1,INDEX(新年度名簿!$C$3:$C$452,$AH5),INDEX(前年度名簿!$C$3:$C$452,$AH5)))</f>
        <v/>
      </c>
      <c r="N5" s="66">
        <f>IF($AH5="","",IF(計算用!$B$1=1,INDEX(新年度名簿!$D$3:$D$452,$AH5),INDEX(前年度名簿!$D$3:$D$452,$AH5)))</f>
        <v/>
      </c>
      <c r="O5" s="65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M$7:$M$456,MATCH($AH5,振り分け!$P$7:$P$456,0))="転出","転出",IF(INDEX(振り分け!$L$7:$L$456,MATCH($AH5,振り分け!$P$7:$P$456,0))="","未決定",INDEX(振り分け!$L$7:$L$456,MATCH($AH5,振り分け!$P$7:$P$456,0)))),"未決定")))</f>
        <v/>
      </c>
      <c r="P5" s="65">
        <f>IF($AI5="","",IF(計算用!$B$1=1,INDEX(新年度名簿!$C$3:$C$452,$AI5),INDEX(前年度名簿!$C$3:$C$452,$AI5)))</f>
        <v/>
      </c>
      <c r="Q5" s="66">
        <f>IF($AI5="","",IF(計算用!$B$1=1,INDEX(新年度名簿!$D$3:$D$452,$AI5),INDEX(前年度名簿!$D$3:$D$452,$AI5)))</f>
        <v/>
      </c>
      <c r="R5" s="65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M$7:$M$456,MATCH($AI5,振り分け!$P$7:$P$456,0))="転出","転出",IF(INDEX(振り分け!$L$7:$L$456,MATCH($AI5,振り分け!$P$7:$P$456,0))="","未決定",INDEX(振り分け!$L$7:$L$456,MATCH($AI5,振り分け!$P$7:$P$456,0)))),"未決定")))</f>
        <v/>
      </c>
      <c r="S5" s="65">
        <f>IF($AJ5="","",IF(計算用!$B$1=1,INDEX(新年度名簿!$C$3:$C$452,$AJ5),INDEX(前年度名簿!$C$3:$C$452,$AJ5)))</f>
        <v/>
      </c>
      <c r="T5" s="66">
        <f>IF($AJ5="","",IF(計算用!$B$1=1,INDEX(新年度名簿!$D$3:$D$452,$AJ5),INDEX(前年度名簿!$D$3:$D$452,$AJ5)))</f>
        <v/>
      </c>
      <c r="U5" s="65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M$7:$M$456,MATCH($AJ5,振り分け!$P$7:$P$456,0))="転出","転出",IF(INDEX(振り分け!$L$7:$L$456,MATCH($AJ5,振り分け!$P$7:$P$456,0))="","未決定",INDEX(振り分け!$L$7:$L$456,MATCH($AJ5,振り分け!$P$7:$P$456,0)))),"未決定")))</f>
        <v/>
      </c>
      <c r="V5" s="65">
        <f>IF($AK5="","",IF(計算用!$B$1=1,INDEX(新年度名簿!$C$3:$C$452,$AK5),INDEX(前年度名簿!$C$3:$C$452,$AK5)))</f>
        <v/>
      </c>
      <c r="W5" s="66">
        <f>IF($AK5="","",IF(計算用!$B$1=1,INDEX(新年度名簿!$D$3:$D$452,$AK5),INDEX(前年度名簿!$D$3:$D$452,$AK5)))</f>
        <v/>
      </c>
      <c r="X5" s="65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M$7:$M$456,MATCH($AK5,振り分け!$P$7:$P$456,0))="転出","転出",IF(INDEX(振り分け!$L$7:$L$456,MATCH($AK5,振り分け!$P$7:$P$456,0))="","未決定",INDEX(振り分け!$L$7:$L$456,MATCH($AK5,振り分け!$P$7:$P$456,0)))),"未決定")))</f>
        <v/>
      </c>
      <c r="AD5" s="63">
        <f>IF(計算用!$B$1=1,IFERROR(IF(SMALL(新年度名簿!$J$3:$J$452,$AD$3+1)&lt;18000,MATCH(SMALL(新年度名簿!$J$3:$J$452,$AD$3+1),新年度名簿!$J$3:$J$452,0),""),""),IFERROR(IF(SMALL(前年度名簿!$G$3:$G$452,$AD$3+1)&lt;18000,MATCH(SMALL(前年度名簿!$G$3:$G$452,$AD$3+1),前年度名簿!$G$3:$G$452,0),""),""))</f>
        <v/>
      </c>
      <c r="AE5" s="63">
        <f>IF(計算用!$B$1=1,IFERROR(IF(SMALL(新年度名簿!$J$3:$J$452,$AE$3+1)&lt;19000,MATCH(SMALL(新年度名簿!$J$3:$J$452,$AE$3+1),新年度名簿!$J$3:$J$452,0),""),""),IFERROR(IF(SMALL(前年度名簿!$G$3:$G$452,$AE$3+1)&lt;19000,MATCH(SMALL(前年度名簿!$G$3:$G$452,$AE$3+1),前年度名簿!$G$3:$G$452,0),""),""))</f>
        <v/>
      </c>
      <c r="AF5" s="63">
        <f>IF(計算用!$B$1=1,IFERROR(IF(SMALL(新年度名簿!$J$3:$J$452,$AF$3+1)&lt;20000,MATCH(SMALL(新年度名簿!$J$3:$J$452,$AF$3+1),新年度名簿!$J$3:$J$452,0),""),""),IFERROR(IF(SMALL(前年度名簿!$G$3:$G$452,$AF$3+1)&lt;20000,MATCH(SMALL(前年度名簿!$G$3:$G$452,$AF$3+1),前年度名簿!$G$3:$G$452,0),""),""))</f>
        <v/>
      </c>
      <c r="AG5" s="63">
        <f>IF(計算用!$B$1=1,IFERROR(IF(SMALL(新年度名簿!$J$3:$J$452,$AG$3+1)&lt;21000,MATCH(SMALL(新年度名簿!$J$3:$J$452,$AG$3+1),新年度名簿!$J$3:$J$452,0),""),""),IFERROR(IF(SMALL(前年度名簿!$G$3:$G$452,$AG$3+1)&lt;21000,MATCH(SMALL(前年度名簿!$G$3:$G$452,$AG$3+1),前年度名簿!$G$3:$G$452,0),""),""))</f>
        <v/>
      </c>
      <c r="AH5" s="63">
        <f>IF(計算用!$B$1=1,IFERROR(IF(SMALL(新年度名簿!$J$3:$J$452,$AH$3+1)&lt;22000,MATCH(SMALL(新年度名簿!$J$3:$J$452,$AH$3+1),新年度名簿!$J$3:$J$452,0),""),""),IFERROR(IF(SMALL(前年度名簿!$G$3:$G$452,$AH$3+1)&lt;22000,MATCH(SMALL(前年度名簿!$G$3:$G$452,$AH$3+1),前年度名簿!$G$3:$G$452,0),""),""))</f>
        <v/>
      </c>
      <c r="AI5" s="63">
        <f>IF(計算用!$B$1=1,IFERROR(IF(SMALL(新年度名簿!$J$3:$J$452,$AI$3+1)&lt;23000,MATCH(SMALL(新年度名簿!$J$3:$J$452,$AI$3+1),新年度名簿!$J$3:$J$452,0),""),""),IFERROR(IF(SMALL(前年度名簿!$G$3:$G$452,$AI$3+1)&lt;23000,MATCH(SMALL(前年度名簿!$G$3:$G$452,$AI$3+1),前年度名簿!$G$3:$G$452,0),""),""))</f>
        <v/>
      </c>
      <c r="AJ5" s="63">
        <f>IF(計算用!$B$1=1,IFERROR(IF(SMALL(新年度名簿!$J$3:$J$452,$AJ$3+1)&lt;24000,MATCH(SMALL(新年度名簿!$J$3:$J$452,$AJ$3+1),新年度名簿!$J$3:$J$452,0),""),""),IFERROR(IF(SMALL(前年度名簿!$G$3:$G$452,$AJ$3+1)&lt;24000,MATCH(SMALL(前年度名簿!$G$3:$G$452,$AJ$3+1),前年度名簿!$G$3:$G$452,0),""),""))</f>
        <v/>
      </c>
      <c r="AK5" s="63">
        <f>IF(計算用!$B$1=1,IFERROR(IF(SMALL(新年度名簿!$J$3:$J$452,$AK$3+1)&lt;25000,MATCH(SMALL(新年度名簿!$J$3:$J$452,$AK$3+1),新年度名簿!$J$3:$J$452,0),""),""),IFERROR(IF(SMALL(前年度名簿!$G$3:$G$452,$AK$3+1)&lt;25000,MATCH(SMALL(前年度名簿!$G$3:$G$452,$AK$3+1),前年度名簿!$G$3:$G$452,0),""),""))</f>
        <v/>
      </c>
    </row>
    <row r="6">
      <c r="A6" s="65">
        <f>IF($AD6="","",IF(計算用!$B$1=1,INDEX(新年度名簿!$C$3:$C$452,$AD6),INDEX(前年度名簿!$C$3:$C$452,$AD6)))</f>
        <v/>
      </c>
      <c r="B6" s="66">
        <f>IF($AD6="","",IF(計算用!$B$1=1,INDEX(新年度名簿!$D$3:$D$452,$AD6),INDEX(前年度名簿!$D$3:$D$452,$AD6)))</f>
        <v/>
      </c>
      <c r="C6" s="65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M$7:$M$456,MATCH($AD6,振り分け!$P$7:$P$456,0))="転出","転出",IF(INDEX(振り分け!$L$7:$L$456,MATCH($AD6,振り分け!$P$7:$P$456,0))="","未決定",INDEX(振り分け!$L$7:$L$456,MATCH($AD6,振り分け!$P$7:$P$456,0)))),"未決定")))</f>
        <v/>
      </c>
      <c r="D6" s="65">
        <f>IF($AE6="","",IF(計算用!$B$1=1,INDEX(新年度名簿!$C$3:$C$452,$AE6),INDEX(前年度名簿!$C$3:$C$452,$AE6)))</f>
        <v/>
      </c>
      <c r="E6" s="66">
        <f>IF($AE6="","",IF(計算用!$B$1=1,INDEX(新年度名簿!$D$3:$D$452,$AE6),INDEX(前年度名簿!$D$3:$D$452,$AE6)))</f>
        <v/>
      </c>
      <c r="F6" s="65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M$7:$M$456,MATCH($AE6,振り分け!$P$7:$P$456,0))="転出","転出",IF(INDEX(振り分け!$L$7:$L$456,MATCH($AE6,振り分け!$P$7:$P$456,0))="","未決定",INDEX(振り分け!$L$7:$L$456,MATCH($AE6,振り分け!$P$7:$P$456,0)))),"未決定")))</f>
        <v/>
      </c>
      <c r="G6" s="65">
        <f>IF($AF6="","",IF(計算用!$B$1=1,INDEX(新年度名簿!$C$3:$C$452,$AF6),INDEX(前年度名簿!$C$3:$C$452,$AF6)))</f>
        <v/>
      </c>
      <c r="H6" s="66">
        <f>IF($AF6="","",IF(計算用!$B$1=1,INDEX(新年度名簿!$D$3:$D$452,$AF6),INDEX(前年度名簿!$D$3:$D$452,$AF6)))</f>
        <v/>
      </c>
      <c r="I6" s="65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M$7:$M$456,MATCH($AF6,振り分け!$P$7:$P$456,0))="転出","転出",IF(INDEX(振り分け!$L$7:$L$456,MATCH($AF6,振り分け!$P$7:$P$456,0))="","未決定",INDEX(振り分け!$L$7:$L$456,MATCH($AF6,振り分け!$P$7:$P$456,0)))),"未決定")))</f>
        <v/>
      </c>
      <c r="J6" s="65">
        <f>IF($AG6="","",IF(計算用!$B$1=1,INDEX(新年度名簿!$C$3:$C$452,$AG6),INDEX(前年度名簿!$C$3:$C$452,$AG6)))</f>
        <v/>
      </c>
      <c r="K6" s="66">
        <f>IF($AG6="","",IF(計算用!$B$1=1,INDEX(新年度名簿!$D$3:$D$452,$AG6),INDEX(前年度名簿!$D$3:$D$452,$AG6)))</f>
        <v/>
      </c>
      <c r="L6" s="65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M$7:$M$456,MATCH($AG6,振り分け!$P$7:$P$456,0))="転出","転出",IF(INDEX(振り分け!$L$7:$L$456,MATCH($AG6,振り分け!$P$7:$P$456,0))="","未決定",INDEX(振り分け!$L$7:$L$456,MATCH($AG6,振り分け!$P$7:$P$456,0)))),"未決定")))</f>
        <v/>
      </c>
      <c r="M6" s="65">
        <f>IF($AH6="","",IF(計算用!$B$1=1,INDEX(新年度名簿!$C$3:$C$452,$AH6),INDEX(前年度名簿!$C$3:$C$452,$AH6)))</f>
        <v/>
      </c>
      <c r="N6" s="66">
        <f>IF($AH6="","",IF(計算用!$B$1=1,INDEX(新年度名簿!$D$3:$D$452,$AH6),INDEX(前年度名簿!$D$3:$D$452,$AH6)))</f>
        <v/>
      </c>
      <c r="O6" s="65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M$7:$M$456,MATCH($AH6,振り分け!$P$7:$P$456,0))="転出","転出",IF(INDEX(振り分け!$L$7:$L$456,MATCH($AH6,振り分け!$P$7:$P$456,0))="","未決定",INDEX(振り分け!$L$7:$L$456,MATCH($AH6,振り分け!$P$7:$P$456,0)))),"未決定")))</f>
        <v/>
      </c>
      <c r="P6" s="65">
        <f>IF($AI6="","",IF(計算用!$B$1=1,INDEX(新年度名簿!$C$3:$C$452,$AI6),INDEX(前年度名簿!$C$3:$C$452,$AI6)))</f>
        <v/>
      </c>
      <c r="Q6" s="66">
        <f>IF($AI6="","",IF(計算用!$B$1=1,INDEX(新年度名簿!$D$3:$D$452,$AI6),INDEX(前年度名簿!$D$3:$D$452,$AI6)))</f>
        <v/>
      </c>
      <c r="R6" s="65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M$7:$M$456,MATCH($AI6,振り分け!$P$7:$P$456,0))="転出","転出",IF(INDEX(振り分け!$L$7:$L$456,MATCH($AI6,振り分け!$P$7:$P$456,0))="","未決定",INDEX(振り分け!$L$7:$L$456,MATCH($AI6,振り分け!$P$7:$P$456,0)))),"未決定")))</f>
        <v/>
      </c>
      <c r="S6" s="65">
        <f>IF($AJ6="","",IF(計算用!$B$1=1,INDEX(新年度名簿!$C$3:$C$452,$AJ6),INDEX(前年度名簿!$C$3:$C$452,$AJ6)))</f>
        <v/>
      </c>
      <c r="T6" s="66">
        <f>IF($AJ6="","",IF(計算用!$B$1=1,INDEX(新年度名簿!$D$3:$D$452,$AJ6),INDEX(前年度名簿!$D$3:$D$452,$AJ6)))</f>
        <v/>
      </c>
      <c r="U6" s="65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M$7:$M$456,MATCH($AJ6,振り分け!$P$7:$P$456,0))="転出","転出",IF(INDEX(振り分け!$L$7:$L$456,MATCH($AJ6,振り分け!$P$7:$P$456,0))="","未決定",INDEX(振り分け!$L$7:$L$456,MATCH($AJ6,振り分け!$P$7:$P$456,0)))),"未決定")))</f>
        <v/>
      </c>
      <c r="V6" s="65">
        <f>IF($AK6="","",IF(計算用!$B$1=1,INDEX(新年度名簿!$C$3:$C$452,$AK6),INDEX(前年度名簿!$C$3:$C$452,$AK6)))</f>
        <v/>
      </c>
      <c r="W6" s="66">
        <f>IF($AK6="","",IF(計算用!$B$1=1,INDEX(新年度名簿!$D$3:$D$452,$AK6),INDEX(前年度名簿!$D$3:$D$452,$AK6)))</f>
        <v/>
      </c>
      <c r="X6" s="65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M$7:$M$456,MATCH($AK6,振り分け!$P$7:$P$456,0))="転出","転出",IF(INDEX(振り分け!$L$7:$L$456,MATCH($AK6,振り分け!$P$7:$P$456,0))="","未決定",INDEX(振り分け!$L$7:$L$456,MATCH($AK6,振り分け!$P$7:$P$456,0)))),"未決定")))</f>
        <v/>
      </c>
      <c r="AD6" s="63">
        <f>IF(計算用!$B$1=1,IFERROR(IF(SMALL(新年度名簿!$J$3:$J$452,$AD$3+2)&lt;18000,MATCH(SMALL(新年度名簿!$J$3:$J$452,$AD$3+2),新年度名簿!$J$3:$J$452,0),""),""),IFERROR(IF(SMALL(前年度名簿!$G$3:$G$452,$AD$3+2)&lt;18000,MATCH(SMALL(前年度名簿!$G$3:$G$452,$AD$3+2),前年度名簿!$G$3:$G$452,0),""),""))</f>
        <v/>
      </c>
      <c r="AE6" s="63">
        <f>IF(計算用!$B$1=1,IFERROR(IF(SMALL(新年度名簿!$J$3:$J$452,$AE$3+2)&lt;19000,MATCH(SMALL(新年度名簿!$J$3:$J$452,$AE$3+2),新年度名簿!$J$3:$J$452,0),""),""),IFERROR(IF(SMALL(前年度名簿!$G$3:$G$452,$AE$3+2)&lt;19000,MATCH(SMALL(前年度名簿!$G$3:$G$452,$AE$3+2),前年度名簿!$G$3:$G$452,0),""),""))</f>
        <v/>
      </c>
      <c r="AF6" s="63">
        <f>IF(計算用!$B$1=1,IFERROR(IF(SMALL(新年度名簿!$J$3:$J$452,$AF$3+2)&lt;20000,MATCH(SMALL(新年度名簿!$J$3:$J$452,$AF$3+2),新年度名簿!$J$3:$J$452,0),""),""),IFERROR(IF(SMALL(前年度名簿!$G$3:$G$452,$AF$3+2)&lt;20000,MATCH(SMALL(前年度名簿!$G$3:$G$452,$AF$3+2),前年度名簿!$G$3:$G$452,0),""),""))</f>
        <v/>
      </c>
      <c r="AG6" s="63">
        <f>IF(計算用!$B$1=1,IFERROR(IF(SMALL(新年度名簿!$J$3:$J$452,$AG$3+2)&lt;21000,MATCH(SMALL(新年度名簿!$J$3:$J$452,$AG$3+2),新年度名簿!$J$3:$J$452,0),""),""),IFERROR(IF(SMALL(前年度名簿!$G$3:$G$452,$AG$3+2)&lt;21000,MATCH(SMALL(前年度名簿!$G$3:$G$452,$AG$3+2),前年度名簿!$G$3:$G$452,0),""),""))</f>
        <v/>
      </c>
      <c r="AH6" s="63">
        <f>IF(計算用!$B$1=1,IFERROR(IF(SMALL(新年度名簿!$J$3:$J$452,$AH$3+2)&lt;22000,MATCH(SMALL(新年度名簿!$J$3:$J$452,$AH$3+2),新年度名簿!$J$3:$J$452,0),""),""),IFERROR(IF(SMALL(前年度名簿!$G$3:$G$452,$AH$3+2)&lt;22000,MATCH(SMALL(前年度名簿!$G$3:$G$452,$AH$3+2),前年度名簿!$G$3:$G$452,0),""),""))</f>
        <v/>
      </c>
      <c r="AI6" s="63">
        <f>IF(計算用!$B$1=1,IFERROR(IF(SMALL(新年度名簿!$J$3:$J$452,$AI$3+2)&lt;23000,MATCH(SMALL(新年度名簿!$J$3:$J$452,$AI$3+2),新年度名簿!$J$3:$J$452,0),""),""),IFERROR(IF(SMALL(前年度名簿!$G$3:$G$452,$AI$3+2)&lt;23000,MATCH(SMALL(前年度名簿!$G$3:$G$452,$AI$3+2),前年度名簿!$G$3:$G$452,0),""),""))</f>
        <v/>
      </c>
      <c r="AJ6" s="63">
        <f>IF(計算用!$B$1=1,IFERROR(IF(SMALL(新年度名簿!$J$3:$J$452,$AJ$3+2)&lt;24000,MATCH(SMALL(新年度名簿!$J$3:$J$452,$AJ$3+2),新年度名簿!$J$3:$J$452,0),""),""),IFERROR(IF(SMALL(前年度名簿!$G$3:$G$452,$AJ$3+2)&lt;24000,MATCH(SMALL(前年度名簿!$G$3:$G$452,$AJ$3+2),前年度名簿!$G$3:$G$452,0),""),""))</f>
        <v/>
      </c>
      <c r="AK6" s="63">
        <f>IF(計算用!$B$1=1,IFERROR(IF(SMALL(新年度名簿!$J$3:$J$452,$AK$3+2)&lt;25000,MATCH(SMALL(新年度名簿!$J$3:$J$452,$AK$3+2),新年度名簿!$J$3:$J$452,0),""),""),IFERROR(IF(SMALL(前年度名簿!$G$3:$G$452,$AK$3+2)&lt;25000,MATCH(SMALL(前年度名簿!$G$3:$G$452,$AK$3+2),前年度名簿!$G$3:$G$452,0),""),""))</f>
        <v/>
      </c>
    </row>
    <row r="7">
      <c r="A7" s="65">
        <f>IF($AD7="","",IF(計算用!$B$1=1,INDEX(新年度名簿!$C$3:$C$452,$AD7),INDEX(前年度名簿!$C$3:$C$452,$AD7)))</f>
        <v/>
      </c>
      <c r="B7" s="66">
        <f>IF($AD7="","",IF(計算用!$B$1=1,INDEX(新年度名簿!$D$3:$D$452,$AD7),INDEX(前年度名簿!$D$3:$D$452,$AD7)))</f>
        <v/>
      </c>
      <c r="C7" s="65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M$7:$M$456,MATCH($AD7,振り分け!$P$7:$P$456,0))="転出","転出",IF(INDEX(振り分け!$L$7:$L$456,MATCH($AD7,振り分け!$P$7:$P$456,0))="","未決定",INDEX(振り分け!$L$7:$L$456,MATCH($AD7,振り分け!$P$7:$P$456,0)))),"未決定")))</f>
        <v/>
      </c>
      <c r="D7" s="65">
        <f>IF($AE7="","",IF(計算用!$B$1=1,INDEX(新年度名簿!$C$3:$C$452,$AE7),INDEX(前年度名簿!$C$3:$C$452,$AE7)))</f>
        <v/>
      </c>
      <c r="E7" s="66">
        <f>IF($AE7="","",IF(計算用!$B$1=1,INDEX(新年度名簿!$D$3:$D$452,$AE7),INDEX(前年度名簿!$D$3:$D$452,$AE7)))</f>
        <v/>
      </c>
      <c r="F7" s="65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M$7:$M$456,MATCH($AE7,振り分け!$P$7:$P$456,0))="転出","転出",IF(INDEX(振り分け!$L$7:$L$456,MATCH($AE7,振り分け!$P$7:$P$456,0))="","未決定",INDEX(振り分け!$L$7:$L$456,MATCH($AE7,振り分け!$P$7:$P$456,0)))),"未決定")))</f>
        <v/>
      </c>
      <c r="G7" s="65">
        <f>IF($AF7="","",IF(計算用!$B$1=1,INDEX(新年度名簿!$C$3:$C$452,$AF7),INDEX(前年度名簿!$C$3:$C$452,$AF7)))</f>
        <v/>
      </c>
      <c r="H7" s="66">
        <f>IF($AF7="","",IF(計算用!$B$1=1,INDEX(新年度名簿!$D$3:$D$452,$AF7),INDEX(前年度名簿!$D$3:$D$452,$AF7)))</f>
        <v/>
      </c>
      <c r="I7" s="65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M$7:$M$456,MATCH($AF7,振り分け!$P$7:$P$456,0))="転出","転出",IF(INDEX(振り分け!$L$7:$L$456,MATCH($AF7,振り分け!$P$7:$P$456,0))="","未決定",INDEX(振り分け!$L$7:$L$456,MATCH($AF7,振り分け!$P$7:$P$456,0)))),"未決定")))</f>
        <v/>
      </c>
      <c r="J7" s="65">
        <f>IF($AG7="","",IF(計算用!$B$1=1,INDEX(新年度名簿!$C$3:$C$452,$AG7),INDEX(前年度名簿!$C$3:$C$452,$AG7)))</f>
        <v/>
      </c>
      <c r="K7" s="66">
        <f>IF($AG7="","",IF(計算用!$B$1=1,INDEX(新年度名簿!$D$3:$D$452,$AG7),INDEX(前年度名簿!$D$3:$D$452,$AG7)))</f>
        <v/>
      </c>
      <c r="L7" s="65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M$7:$M$456,MATCH($AG7,振り分け!$P$7:$P$456,0))="転出","転出",IF(INDEX(振り分け!$L$7:$L$456,MATCH($AG7,振り分け!$P$7:$P$456,0))="","未決定",INDEX(振り分け!$L$7:$L$456,MATCH($AG7,振り分け!$P$7:$P$456,0)))),"未決定")))</f>
        <v/>
      </c>
      <c r="M7" s="65">
        <f>IF($AH7="","",IF(計算用!$B$1=1,INDEX(新年度名簿!$C$3:$C$452,$AH7),INDEX(前年度名簿!$C$3:$C$452,$AH7)))</f>
        <v/>
      </c>
      <c r="N7" s="66">
        <f>IF($AH7="","",IF(計算用!$B$1=1,INDEX(新年度名簿!$D$3:$D$452,$AH7),INDEX(前年度名簿!$D$3:$D$452,$AH7)))</f>
        <v/>
      </c>
      <c r="O7" s="65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M$7:$M$456,MATCH($AH7,振り分け!$P$7:$P$456,0))="転出","転出",IF(INDEX(振り分け!$L$7:$L$456,MATCH($AH7,振り分け!$P$7:$P$456,0))="","未決定",INDEX(振り分け!$L$7:$L$456,MATCH($AH7,振り分け!$P$7:$P$456,0)))),"未決定")))</f>
        <v/>
      </c>
      <c r="P7" s="65">
        <f>IF($AI7="","",IF(計算用!$B$1=1,INDEX(新年度名簿!$C$3:$C$452,$AI7),INDEX(前年度名簿!$C$3:$C$452,$AI7)))</f>
        <v/>
      </c>
      <c r="Q7" s="66">
        <f>IF($AI7="","",IF(計算用!$B$1=1,INDEX(新年度名簿!$D$3:$D$452,$AI7),INDEX(前年度名簿!$D$3:$D$452,$AI7)))</f>
        <v/>
      </c>
      <c r="R7" s="65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M$7:$M$456,MATCH($AI7,振り分け!$P$7:$P$456,0))="転出","転出",IF(INDEX(振り分け!$L$7:$L$456,MATCH($AI7,振り分け!$P$7:$P$456,0))="","未決定",INDEX(振り分け!$L$7:$L$456,MATCH($AI7,振り分け!$P$7:$P$456,0)))),"未決定")))</f>
        <v/>
      </c>
      <c r="S7" s="65">
        <f>IF($AJ7="","",IF(計算用!$B$1=1,INDEX(新年度名簿!$C$3:$C$452,$AJ7),INDEX(前年度名簿!$C$3:$C$452,$AJ7)))</f>
        <v/>
      </c>
      <c r="T7" s="66">
        <f>IF($AJ7="","",IF(計算用!$B$1=1,INDEX(新年度名簿!$D$3:$D$452,$AJ7),INDEX(前年度名簿!$D$3:$D$452,$AJ7)))</f>
        <v/>
      </c>
      <c r="U7" s="65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M$7:$M$456,MATCH($AJ7,振り分け!$P$7:$P$456,0))="転出","転出",IF(INDEX(振り分け!$L$7:$L$456,MATCH($AJ7,振り分け!$P$7:$P$456,0))="","未決定",INDEX(振り分け!$L$7:$L$456,MATCH($AJ7,振り分け!$P$7:$P$456,0)))),"未決定")))</f>
        <v/>
      </c>
      <c r="V7" s="65">
        <f>IF($AK7="","",IF(計算用!$B$1=1,INDEX(新年度名簿!$C$3:$C$452,$AK7),INDEX(前年度名簿!$C$3:$C$452,$AK7)))</f>
        <v/>
      </c>
      <c r="W7" s="66">
        <f>IF($AK7="","",IF(計算用!$B$1=1,INDEX(新年度名簿!$D$3:$D$452,$AK7),INDEX(前年度名簿!$D$3:$D$452,$AK7)))</f>
        <v/>
      </c>
      <c r="X7" s="65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M$7:$M$456,MATCH($AK7,振り分け!$P$7:$P$456,0))="転出","転出",IF(INDEX(振り分け!$L$7:$L$456,MATCH($AK7,振り分け!$P$7:$P$456,0))="","未決定",INDEX(振り分け!$L$7:$L$456,MATCH($AK7,振り分け!$P$7:$P$456,0)))),"未決定")))</f>
        <v/>
      </c>
      <c r="AD7" s="63">
        <f>IF(計算用!$B$1=1,IFERROR(IF(SMALL(新年度名簿!$J$3:$J$452,$AD$3+3)&lt;18000,MATCH(SMALL(新年度名簿!$J$3:$J$452,$AD$3+3),新年度名簿!$J$3:$J$452,0),""),""),IFERROR(IF(SMALL(前年度名簿!$G$3:$G$452,$AD$3+3)&lt;18000,MATCH(SMALL(前年度名簿!$G$3:$G$452,$AD$3+3),前年度名簿!$G$3:$G$452,0),""),""))</f>
        <v/>
      </c>
      <c r="AE7" s="63">
        <f>IF(計算用!$B$1=1,IFERROR(IF(SMALL(新年度名簿!$J$3:$J$452,$AE$3+3)&lt;19000,MATCH(SMALL(新年度名簿!$J$3:$J$452,$AE$3+3),新年度名簿!$J$3:$J$452,0),""),""),IFERROR(IF(SMALL(前年度名簿!$G$3:$G$452,$AE$3+3)&lt;19000,MATCH(SMALL(前年度名簿!$G$3:$G$452,$AE$3+3),前年度名簿!$G$3:$G$452,0),""),""))</f>
        <v/>
      </c>
      <c r="AF7" s="63">
        <f>IF(計算用!$B$1=1,IFERROR(IF(SMALL(新年度名簿!$J$3:$J$452,$AF$3+3)&lt;20000,MATCH(SMALL(新年度名簿!$J$3:$J$452,$AF$3+3),新年度名簿!$J$3:$J$452,0),""),""),IFERROR(IF(SMALL(前年度名簿!$G$3:$G$452,$AF$3+3)&lt;20000,MATCH(SMALL(前年度名簿!$G$3:$G$452,$AF$3+3),前年度名簿!$G$3:$G$452,0),""),""))</f>
        <v/>
      </c>
      <c r="AG7" s="63">
        <f>IF(計算用!$B$1=1,IFERROR(IF(SMALL(新年度名簿!$J$3:$J$452,$AG$3+3)&lt;21000,MATCH(SMALL(新年度名簿!$J$3:$J$452,$AG$3+3),新年度名簿!$J$3:$J$452,0),""),""),IFERROR(IF(SMALL(前年度名簿!$G$3:$G$452,$AG$3+3)&lt;21000,MATCH(SMALL(前年度名簿!$G$3:$G$452,$AG$3+3),前年度名簿!$G$3:$G$452,0),""),""))</f>
        <v/>
      </c>
      <c r="AH7" s="63">
        <f>IF(計算用!$B$1=1,IFERROR(IF(SMALL(新年度名簿!$J$3:$J$452,$AH$3+3)&lt;22000,MATCH(SMALL(新年度名簿!$J$3:$J$452,$AH$3+3),新年度名簿!$J$3:$J$452,0),""),""),IFERROR(IF(SMALL(前年度名簿!$G$3:$G$452,$AH$3+3)&lt;22000,MATCH(SMALL(前年度名簿!$G$3:$G$452,$AH$3+3),前年度名簿!$G$3:$G$452,0),""),""))</f>
        <v/>
      </c>
      <c r="AI7" s="63">
        <f>IF(計算用!$B$1=1,IFERROR(IF(SMALL(新年度名簿!$J$3:$J$452,$AI$3+3)&lt;23000,MATCH(SMALL(新年度名簿!$J$3:$J$452,$AI$3+3),新年度名簿!$J$3:$J$452,0),""),""),IFERROR(IF(SMALL(前年度名簿!$G$3:$G$452,$AI$3+3)&lt;23000,MATCH(SMALL(前年度名簿!$G$3:$G$452,$AI$3+3),前年度名簿!$G$3:$G$452,0),""),""))</f>
        <v/>
      </c>
      <c r="AJ7" s="63">
        <f>IF(計算用!$B$1=1,IFERROR(IF(SMALL(新年度名簿!$J$3:$J$452,$AJ$3+3)&lt;24000,MATCH(SMALL(新年度名簿!$J$3:$J$452,$AJ$3+3),新年度名簿!$J$3:$J$452,0),""),""),IFERROR(IF(SMALL(前年度名簿!$G$3:$G$452,$AJ$3+3)&lt;24000,MATCH(SMALL(前年度名簿!$G$3:$G$452,$AJ$3+3),前年度名簿!$G$3:$G$452,0),""),""))</f>
        <v/>
      </c>
      <c r="AK7" s="63">
        <f>IF(計算用!$B$1=1,IFERROR(IF(SMALL(新年度名簿!$J$3:$J$452,$AK$3+3)&lt;25000,MATCH(SMALL(新年度名簿!$J$3:$J$452,$AK$3+3),新年度名簿!$J$3:$J$452,0),""),""),IFERROR(IF(SMALL(前年度名簿!$G$3:$G$452,$AK$3+3)&lt;25000,MATCH(SMALL(前年度名簿!$G$3:$G$452,$AK$3+3),前年度名簿!$G$3:$G$452,0),""),""))</f>
        <v/>
      </c>
    </row>
    <row r="8">
      <c r="A8" s="65">
        <f>IF($AD8="","",IF(計算用!$B$1=1,INDEX(新年度名簿!$C$3:$C$452,$AD8),INDEX(前年度名簿!$C$3:$C$452,$AD8)))</f>
        <v/>
      </c>
      <c r="B8" s="66">
        <f>IF($AD8="","",IF(計算用!$B$1=1,INDEX(新年度名簿!$D$3:$D$452,$AD8),INDEX(前年度名簿!$D$3:$D$452,$AD8)))</f>
        <v/>
      </c>
      <c r="C8" s="65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M$7:$M$456,MATCH($AD8,振り分け!$P$7:$P$456,0))="転出","転出",IF(INDEX(振り分け!$L$7:$L$456,MATCH($AD8,振り分け!$P$7:$P$456,0))="","未決定",INDEX(振り分け!$L$7:$L$456,MATCH($AD8,振り分け!$P$7:$P$456,0)))),"未決定")))</f>
        <v/>
      </c>
      <c r="D8" s="65">
        <f>IF($AE8="","",IF(計算用!$B$1=1,INDEX(新年度名簿!$C$3:$C$452,$AE8),INDEX(前年度名簿!$C$3:$C$452,$AE8)))</f>
        <v/>
      </c>
      <c r="E8" s="66">
        <f>IF($AE8="","",IF(計算用!$B$1=1,INDEX(新年度名簿!$D$3:$D$452,$AE8),INDEX(前年度名簿!$D$3:$D$452,$AE8)))</f>
        <v/>
      </c>
      <c r="F8" s="65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M$7:$M$456,MATCH($AE8,振り分け!$P$7:$P$456,0))="転出","転出",IF(INDEX(振り分け!$L$7:$L$456,MATCH($AE8,振り分け!$P$7:$P$456,0))="","未決定",INDEX(振り分け!$L$7:$L$456,MATCH($AE8,振り分け!$P$7:$P$456,0)))),"未決定")))</f>
        <v/>
      </c>
      <c r="G8" s="65">
        <f>IF($AF8="","",IF(計算用!$B$1=1,INDEX(新年度名簿!$C$3:$C$452,$AF8),INDEX(前年度名簿!$C$3:$C$452,$AF8)))</f>
        <v/>
      </c>
      <c r="H8" s="66">
        <f>IF($AF8="","",IF(計算用!$B$1=1,INDEX(新年度名簿!$D$3:$D$452,$AF8),INDEX(前年度名簿!$D$3:$D$452,$AF8)))</f>
        <v/>
      </c>
      <c r="I8" s="65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M$7:$M$456,MATCH($AF8,振り分け!$P$7:$P$456,0))="転出","転出",IF(INDEX(振り分け!$L$7:$L$456,MATCH($AF8,振り分け!$P$7:$P$456,0))="","未決定",INDEX(振り分け!$L$7:$L$456,MATCH($AF8,振り分け!$P$7:$P$456,0)))),"未決定")))</f>
        <v/>
      </c>
      <c r="J8" s="65">
        <f>IF($AG8="","",IF(計算用!$B$1=1,INDEX(新年度名簿!$C$3:$C$452,$AG8),INDEX(前年度名簿!$C$3:$C$452,$AG8)))</f>
        <v/>
      </c>
      <c r="K8" s="66">
        <f>IF($AG8="","",IF(計算用!$B$1=1,INDEX(新年度名簿!$D$3:$D$452,$AG8),INDEX(前年度名簿!$D$3:$D$452,$AG8)))</f>
        <v/>
      </c>
      <c r="L8" s="65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M$7:$M$456,MATCH($AG8,振り分け!$P$7:$P$456,0))="転出","転出",IF(INDEX(振り分け!$L$7:$L$456,MATCH($AG8,振り分け!$P$7:$P$456,0))="","未決定",INDEX(振り分け!$L$7:$L$456,MATCH($AG8,振り分け!$P$7:$P$456,0)))),"未決定")))</f>
        <v/>
      </c>
      <c r="M8" s="65">
        <f>IF($AH8="","",IF(計算用!$B$1=1,INDEX(新年度名簿!$C$3:$C$452,$AH8),INDEX(前年度名簿!$C$3:$C$452,$AH8)))</f>
        <v/>
      </c>
      <c r="N8" s="66">
        <f>IF($AH8="","",IF(計算用!$B$1=1,INDEX(新年度名簿!$D$3:$D$452,$AH8),INDEX(前年度名簿!$D$3:$D$452,$AH8)))</f>
        <v/>
      </c>
      <c r="O8" s="65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M$7:$M$456,MATCH($AH8,振り分け!$P$7:$P$456,0))="転出","転出",IF(INDEX(振り分け!$L$7:$L$456,MATCH($AH8,振り分け!$P$7:$P$456,0))="","未決定",INDEX(振り分け!$L$7:$L$456,MATCH($AH8,振り分け!$P$7:$P$456,0)))),"未決定")))</f>
        <v/>
      </c>
      <c r="P8" s="65">
        <f>IF($AI8="","",IF(計算用!$B$1=1,INDEX(新年度名簿!$C$3:$C$452,$AI8),INDEX(前年度名簿!$C$3:$C$452,$AI8)))</f>
        <v/>
      </c>
      <c r="Q8" s="66">
        <f>IF($AI8="","",IF(計算用!$B$1=1,INDEX(新年度名簿!$D$3:$D$452,$AI8),INDEX(前年度名簿!$D$3:$D$452,$AI8)))</f>
        <v/>
      </c>
      <c r="R8" s="65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M$7:$M$456,MATCH($AI8,振り分け!$P$7:$P$456,0))="転出","転出",IF(INDEX(振り分け!$L$7:$L$456,MATCH($AI8,振り分け!$P$7:$P$456,0))="","未決定",INDEX(振り分け!$L$7:$L$456,MATCH($AI8,振り分け!$P$7:$P$456,0)))),"未決定")))</f>
        <v/>
      </c>
      <c r="S8" s="65">
        <f>IF($AJ8="","",IF(計算用!$B$1=1,INDEX(新年度名簿!$C$3:$C$452,$AJ8),INDEX(前年度名簿!$C$3:$C$452,$AJ8)))</f>
        <v/>
      </c>
      <c r="T8" s="66">
        <f>IF($AJ8="","",IF(計算用!$B$1=1,INDEX(新年度名簿!$D$3:$D$452,$AJ8),INDEX(前年度名簿!$D$3:$D$452,$AJ8)))</f>
        <v/>
      </c>
      <c r="U8" s="65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M$7:$M$456,MATCH($AJ8,振り分け!$P$7:$P$456,0))="転出","転出",IF(INDEX(振り分け!$L$7:$L$456,MATCH($AJ8,振り分け!$P$7:$P$456,0))="","未決定",INDEX(振り分け!$L$7:$L$456,MATCH($AJ8,振り分け!$P$7:$P$456,0)))),"未決定")))</f>
        <v/>
      </c>
      <c r="V8" s="65">
        <f>IF($AK8="","",IF(計算用!$B$1=1,INDEX(新年度名簿!$C$3:$C$452,$AK8),INDEX(前年度名簿!$C$3:$C$452,$AK8)))</f>
        <v/>
      </c>
      <c r="W8" s="66">
        <f>IF($AK8="","",IF(計算用!$B$1=1,INDEX(新年度名簿!$D$3:$D$452,$AK8),INDEX(前年度名簿!$D$3:$D$452,$AK8)))</f>
        <v/>
      </c>
      <c r="X8" s="65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M$7:$M$456,MATCH($AK8,振り分け!$P$7:$P$456,0))="転出","転出",IF(INDEX(振り分け!$L$7:$L$456,MATCH($AK8,振り分け!$P$7:$P$456,0))="","未決定",INDEX(振り分け!$L$7:$L$456,MATCH($AK8,振り分け!$P$7:$P$456,0)))),"未決定")))</f>
        <v/>
      </c>
      <c r="AD8" s="63">
        <f>IF(計算用!$B$1=1,IFERROR(IF(SMALL(新年度名簿!$J$3:$J$452,$AD$3+4)&lt;18000,MATCH(SMALL(新年度名簿!$J$3:$J$452,$AD$3+4),新年度名簿!$J$3:$J$452,0),""),""),IFERROR(IF(SMALL(前年度名簿!$G$3:$G$452,$AD$3+4)&lt;18000,MATCH(SMALL(前年度名簿!$G$3:$G$452,$AD$3+4),前年度名簿!$G$3:$G$452,0),""),""))</f>
        <v/>
      </c>
      <c r="AE8" s="63">
        <f>IF(計算用!$B$1=1,IFERROR(IF(SMALL(新年度名簿!$J$3:$J$452,$AE$3+4)&lt;19000,MATCH(SMALL(新年度名簿!$J$3:$J$452,$AE$3+4),新年度名簿!$J$3:$J$452,0),""),""),IFERROR(IF(SMALL(前年度名簿!$G$3:$G$452,$AE$3+4)&lt;19000,MATCH(SMALL(前年度名簿!$G$3:$G$452,$AE$3+4),前年度名簿!$G$3:$G$452,0),""),""))</f>
        <v/>
      </c>
      <c r="AF8" s="63">
        <f>IF(計算用!$B$1=1,IFERROR(IF(SMALL(新年度名簿!$J$3:$J$452,$AF$3+4)&lt;20000,MATCH(SMALL(新年度名簿!$J$3:$J$452,$AF$3+4),新年度名簿!$J$3:$J$452,0),""),""),IFERROR(IF(SMALL(前年度名簿!$G$3:$G$452,$AF$3+4)&lt;20000,MATCH(SMALL(前年度名簿!$G$3:$G$452,$AF$3+4),前年度名簿!$G$3:$G$452,0),""),""))</f>
        <v/>
      </c>
      <c r="AG8" s="63">
        <f>IF(計算用!$B$1=1,IFERROR(IF(SMALL(新年度名簿!$J$3:$J$452,$AG$3+4)&lt;21000,MATCH(SMALL(新年度名簿!$J$3:$J$452,$AG$3+4),新年度名簿!$J$3:$J$452,0),""),""),IFERROR(IF(SMALL(前年度名簿!$G$3:$G$452,$AG$3+4)&lt;21000,MATCH(SMALL(前年度名簿!$G$3:$G$452,$AG$3+4),前年度名簿!$G$3:$G$452,0),""),""))</f>
        <v/>
      </c>
      <c r="AH8" s="63">
        <f>IF(計算用!$B$1=1,IFERROR(IF(SMALL(新年度名簿!$J$3:$J$452,$AH$3+4)&lt;22000,MATCH(SMALL(新年度名簿!$J$3:$J$452,$AH$3+4),新年度名簿!$J$3:$J$452,0),""),""),IFERROR(IF(SMALL(前年度名簿!$G$3:$G$452,$AH$3+4)&lt;22000,MATCH(SMALL(前年度名簿!$G$3:$G$452,$AH$3+4),前年度名簿!$G$3:$G$452,0),""),""))</f>
        <v/>
      </c>
      <c r="AI8" s="63">
        <f>IF(計算用!$B$1=1,IFERROR(IF(SMALL(新年度名簿!$J$3:$J$452,$AI$3+4)&lt;23000,MATCH(SMALL(新年度名簿!$J$3:$J$452,$AI$3+4),新年度名簿!$J$3:$J$452,0),""),""),IFERROR(IF(SMALL(前年度名簿!$G$3:$G$452,$AI$3+4)&lt;23000,MATCH(SMALL(前年度名簿!$G$3:$G$452,$AI$3+4),前年度名簿!$G$3:$G$452,0),""),""))</f>
        <v/>
      </c>
      <c r="AJ8" s="63">
        <f>IF(計算用!$B$1=1,IFERROR(IF(SMALL(新年度名簿!$J$3:$J$452,$AJ$3+4)&lt;24000,MATCH(SMALL(新年度名簿!$J$3:$J$452,$AJ$3+4),新年度名簿!$J$3:$J$452,0),""),""),IFERROR(IF(SMALL(前年度名簿!$G$3:$G$452,$AJ$3+4)&lt;24000,MATCH(SMALL(前年度名簿!$G$3:$G$452,$AJ$3+4),前年度名簿!$G$3:$G$452,0),""),""))</f>
        <v/>
      </c>
      <c r="AK8" s="63">
        <f>IF(計算用!$B$1=1,IFERROR(IF(SMALL(新年度名簿!$J$3:$J$452,$AK$3+4)&lt;25000,MATCH(SMALL(新年度名簿!$J$3:$J$452,$AK$3+4),新年度名簿!$J$3:$J$452,0),""),""),IFERROR(IF(SMALL(前年度名簿!$G$3:$G$452,$AK$3+4)&lt;25000,MATCH(SMALL(前年度名簿!$G$3:$G$452,$AK$3+4),前年度名簿!$G$3:$G$452,0),""),""))</f>
        <v/>
      </c>
    </row>
    <row r="9">
      <c r="A9" s="65">
        <f>IF($AD9="","",IF(計算用!$B$1=1,INDEX(新年度名簿!$C$3:$C$452,$AD9),INDEX(前年度名簿!$C$3:$C$452,$AD9)))</f>
        <v/>
      </c>
      <c r="B9" s="66">
        <f>IF($AD9="","",IF(計算用!$B$1=1,INDEX(新年度名簿!$D$3:$D$452,$AD9),INDEX(前年度名簿!$D$3:$D$452,$AD9)))</f>
        <v/>
      </c>
      <c r="C9" s="65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M$7:$M$456,MATCH($AD9,振り分け!$P$7:$P$456,0))="転出","転出",IF(INDEX(振り分け!$L$7:$L$456,MATCH($AD9,振り分け!$P$7:$P$456,0))="","未決定",INDEX(振り分け!$L$7:$L$456,MATCH($AD9,振り分け!$P$7:$P$456,0)))),"未決定")))</f>
        <v/>
      </c>
      <c r="D9" s="65">
        <f>IF($AE9="","",IF(計算用!$B$1=1,INDEX(新年度名簿!$C$3:$C$452,$AE9),INDEX(前年度名簿!$C$3:$C$452,$AE9)))</f>
        <v/>
      </c>
      <c r="E9" s="66">
        <f>IF($AE9="","",IF(計算用!$B$1=1,INDEX(新年度名簿!$D$3:$D$452,$AE9),INDEX(前年度名簿!$D$3:$D$452,$AE9)))</f>
        <v/>
      </c>
      <c r="F9" s="65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M$7:$M$456,MATCH($AE9,振り分け!$P$7:$P$456,0))="転出","転出",IF(INDEX(振り分け!$L$7:$L$456,MATCH($AE9,振り分け!$P$7:$P$456,0))="","未決定",INDEX(振り分け!$L$7:$L$456,MATCH($AE9,振り分け!$P$7:$P$456,0)))),"未決定")))</f>
        <v/>
      </c>
      <c r="G9" s="65">
        <f>IF($AF9="","",IF(計算用!$B$1=1,INDEX(新年度名簿!$C$3:$C$452,$AF9),INDEX(前年度名簿!$C$3:$C$452,$AF9)))</f>
        <v/>
      </c>
      <c r="H9" s="66">
        <f>IF($AF9="","",IF(計算用!$B$1=1,INDEX(新年度名簿!$D$3:$D$452,$AF9),INDEX(前年度名簿!$D$3:$D$452,$AF9)))</f>
        <v/>
      </c>
      <c r="I9" s="65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M$7:$M$456,MATCH($AF9,振り分け!$P$7:$P$456,0))="転出","転出",IF(INDEX(振り分け!$L$7:$L$456,MATCH($AF9,振り分け!$P$7:$P$456,0))="","未決定",INDEX(振り分け!$L$7:$L$456,MATCH($AF9,振り分け!$P$7:$P$456,0)))),"未決定")))</f>
        <v/>
      </c>
      <c r="J9" s="65">
        <f>IF($AG9="","",IF(計算用!$B$1=1,INDEX(新年度名簿!$C$3:$C$452,$AG9),INDEX(前年度名簿!$C$3:$C$452,$AG9)))</f>
        <v/>
      </c>
      <c r="K9" s="66">
        <f>IF($AG9="","",IF(計算用!$B$1=1,INDEX(新年度名簿!$D$3:$D$452,$AG9),INDEX(前年度名簿!$D$3:$D$452,$AG9)))</f>
        <v/>
      </c>
      <c r="L9" s="65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M$7:$M$456,MATCH($AG9,振り分け!$P$7:$P$456,0))="転出","転出",IF(INDEX(振り分け!$L$7:$L$456,MATCH($AG9,振り分け!$P$7:$P$456,0))="","未決定",INDEX(振り分け!$L$7:$L$456,MATCH($AG9,振り分け!$P$7:$P$456,0)))),"未決定")))</f>
        <v/>
      </c>
      <c r="M9" s="65">
        <f>IF($AH9="","",IF(計算用!$B$1=1,INDEX(新年度名簿!$C$3:$C$452,$AH9),INDEX(前年度名簿!$C$3:$C$452,$AH9)))</f>
        <v/>
      </c>
      <c r="N9" s="66">
        <f>IF($AH9="","",IF(計算用!$B$1=1,INDEX(新年度名簿!$D$3:$D$452,$AH9),INDEX(前年度名簿!$D$3:$D$452,$AH9)))</f>
        <v/>
      </c>
      <c r="O9" s="65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M$7:$M$456,MATCH($AH9,振り分け!$P$7:$P$456,0))="転出","転出",IF(INDEX(振り分け!$L$7:$L$456,MATCH($AH9,振り分け!$P$7:$P$456,0))="","未決定",INDEX(振り分け!$L$7:$L$456,MATCH($AH9,振り分け!$P$7:$P$456,0)))),"未決定")))</f>
        <v/>
      </c>
      <c r="P9" s="65">
        <f>IF($AI9="","",IF(計算用!$B$1=1,INDEX(新年度名簿!$C$3:$C$452,$AI9),INDEX(前年度名簿!$C$3:$C$452,$AI9)))</f>
        <v/>
      </c>
      <c r="Q9" s="66">
        <f>IF($AI9="","",IF(計算用!$B$1=1,INDEX(新年度名簿!$D$3:$D$452,$AI9),INDEX(前年度名簿!$D$3:$D$452,$AI9)))</f>
        <v/>
      </c>
      <c r="R9" s="65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M$7:$M$456,MATCH($AI9,振り分け!$P$7:$P$456,0))="転出","転出",IF(INDEX(振り分け!$L$7:$L$456,MATCH($AI9,振り分け!$P$7:$P$456,0))="","未決定",INDEX(振り分け!$L$7:$L$456,MATCH($AI9,振り分け!$P$7:$P$456,0)))),"未決定")))</f>
        <v/>
      </c>
      <c r="S9" s="65">
        <f>IF($AJ9="","",IF(計算用!$B$1=1,INDEX(新年度名簿!$C$3:$C$452,$AJ9),INDEX(前年度名簿!$C$3:$C$452,$AJ9)))</f>
        <v/>
      </c>
      <c r="T9" s="66">
        <f>IF($AJ9="","",IF(計算用!$B$1=1,INDEX(新年度名簿!$D$3:$D$452,$AJ9),INDEX(前年度名簿!$D$3:$D$452,$AJ9)))</f>
        <v/>
      </c>
      <c r="U9" s="65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M$7:$M$456,MATCH($AJ9,振り分け!$P$7:$P$456,0))="転出","転出",IF(INDEX(振り分け!$L$7:$L$456,MATCH($AJ9,振り分け!$P$7:$P$456,0))="","未決定",INDEX(振り分け!$L$7:$L$456,MATCH($AJ9,振り分け!$P$7:$P$456,0)))),"未決定")))</f>
        <v/>
      </c>
      <c r="V9" s="65">
        <f>IF($AK9="","",IF(計算用!$B$1=1,INDEX(新年度名簿!$C$3:$C$452,$AK9),INDEX(前年度名簿!$C$3:$C$452,$AK9)))</f>
        <v/>
      </c>
      <c r="W9" s="66">
        <f>IF($AK9="","",IF(計算用!$B$1=1,INDEX(新年度名簿!$D$3:$D$452,$AK9),INDEX(前年度名簿!$D$3:$D$452,$AK9)))</f>
        <v/>
      </c>
      <c r="X9" s="65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M$7:$M$456,MATCH($AK9,振り分け!$P$7:$P$456,0))="転出","転出",IF(INDEX(振り分け!$L$7:$L$456,MATCH($AK9,振り分け!$P$7:$P$456,0))="","未決定",INDEX(振り分け!$L$7:$L$456,MATCH($AK9,振り分け!$P$7:$P$456,0)))),"未決定")))</f>
        <v/>
      </c>
      <c r="AD9" s="63">
        <f>IF(計算用!$B$1=1,IFERROR(IF(SMALL(新年度名簿!$J$3:$J$452,$AD$3+5)&lt;18000,MATCH(SMALL(新年度名簿!$J$3:$J$452,$AD$3+5),新年度名簿!$J$3:$J$452,0),""),""),IFERROR(IF(SMALL(前年度名簿!$G$3:$G$452,$AD$3+5)&lt;18000,MATCH(SMALL(前年度名簿!$G$3:$G$452,$AD$3+5),前年度名簿!$G$3:$G$452,0),""),""))</f>
        <v/>
      </c>
      <c r="AE9" s="63">
        <f>IF(計算用!$B$1=1,IFERROR(IF(SMALL(新年度名簿!$J$3:$J$452,$AE$3+5)&lt;19000,MATCH(SMALL(新年度名簿!$J$3:$J$452,$AE$3+5),新年度名簿!$J$3:$J$452,0),""),""),IFERROR(IF(SMALL(前年度名簿!$G$3:$G$452,$AE$3+5)&lt;19000,MATCH(SMALL(前年度名簿!$G$3:$G$452,$AE$3+5),前年度名簿!$G$3:$G$452,0),""),""))</f>
        <v/>
      </c>
      <c r="AF9" s="63">
        <f>IF(計算用!$B$1=1,IFERROR(IF(SMALL(新年度名簿!$J$3:$J$452,$AF$3+5)&lt;20000,MATCH(SMALL(新年度名簿!$J$3:$J$452,$AF$3+5),新年度名簿!$J$3:$J$452,0),""),""),IFERROR(IF(SMALL(前年度名簿!$G$3:$G$452,$AF$3+5)&lt;20000,MATCH(SMALL(前年度名簿!$G$3:$G$452,$AF$3+5),前年度名簿!$G$3:$G$452,0),""),""))</f>
        <v/>
      </c>
      <c r="AG9" s="63">
        <f>IF(計算用!$B$1=1,IFERROR(IF(SMALL(新年度名簿!$J$3:$J$452,$AG$3+5)&lt;21000,MATCH(SMALL(新年度名簿!$J$3:$J$452,$AG$3+5),新年度名簿!$J$3:$J$452,0),""),""),IFERROR(IF(SMALL(前年度名簿!$G$3:$G$452,$AG$3+5)&lt;21000,MATCH(SMALL(前年度名簿!$G$3:$G$452,$AG$3+5),前年度名簿!$G$3:$G$452,0),""),""))</f>
        <v/>
      </c>
      <c r="AH9" s="63">
        <f>IF(計算用!$B$1=1,IFERROR(IF(SMALL(新年度名簿!$J$3:$J$452,$AH$3+5)&lt;22000,MATCH(SMALL(新年度名簿!$J$3:$J$452,$AH$3+5),新年度名簿!$J$3:$J$452,0),""),""),IFERROR(IF(SMALL(前年度名簿!$G$3:$G$452,$AH$3+5)&lt;22000,MATCH(SMALL(前年度名簿!$G$3:$G$452,$AH$3+5),前年度名簿!$G$3:$G$452,0),""),""))</f>
        <v/>
      </c>
      <c r="AI9" s="63">
        <f>IF(計算用!$B$1=1,IFERROR(IF(SMALL(新年度名簿!$J$3:$J$452,$AI$3+5)&lt;23000,MATCH(SMALL(新年度名簿!$J$3:$J$452,$AI$3+5),新年度名簿!$J$3:$J$452,0),""),""),IFERROR(IF(SMALL(前年度名簿!$G$3:$G$452,$AI$3+5)&lt;23000,MATCH(SMALL(前年度名簿!$G$3:$G$452,$AI$3+5),前年度名簿!$G$3:$G$452,0),""),""))</f>
        <v/>
      </c>
      <c r="AJ9" s="63">
        <f>IF(計算用!$B$1=1,IFERROR(IF(SMALL(新年度名簿!$J$3:$J$452,$AJ$3+5)&lt;24000,MATCH(SMALL(新年度名簿!$J$3:$J$452,$AJ$3+5),新年度名簿!$J$3:$J$452,0),""),""),IFERROR(IF(SMALL(前年度名簿!$G$3:$G$452,$AJ$3+5)&lt;24000,MATCH(SMALL(前年度名簿!$G$3:$G$452,$AJ$3+5),前年度名簿!$G$3:$G$452,0),""),""))</f>
        <v/>
      </c>
      <c r="AK9" s="63">
        <f>IF(計算用!$B$1=1,IFERROR(IF(SMALL(新年度名簿!$J$3:$J$452,$AK$3+5)&lt;25000,MATCH(SMALL(新年度名簿!$J$3:$J$452,$AK$3+5),新年度名簿!$J$3:$J$452,0),""),""),IFERROR(IF(SMALL(前年度名簿!$G$3:$G$452,$AK$3+5)&lt;25000,MATCH(SMALL(前年度名簿!$G$3:$G$452,$AK$3+5),前年度名簿!$G$3:$G$452,0),""),""))</f>
        <v/>
      </c>
    </row>
    <row r="10">
      <c r="A10" s="65">
        <f>IF($AD10="","",IF(計算用!$B$1=1,INDEX(新年度名簿!$C$3:$C$452,$AD10),INDEX(前年度名簿!$C$3:$C$452,$AD10)))</f>
        <v/>
      </c>
      <c r="B10" s="66">
        <f>IF($AD10="","",IF(計算用!$B$1=1,INDEX(新年度名簿!$D$3:$D$452,$AD10),INDEX(前年度名簿!$D$3:$D$452,$AD10)))</f>
        <v/>
      </c>
      <c r="C10" s="65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M$7:$M$456,MATCH($AD10,振り分け!$P$7:$P$456,0))="転出","転出",IF(INDEX(振り分け!$L$7:$L$456,MATCH($AD10,振り分け!$P$7:$P$456,0))="","未決定",INDEX(振り分け!$L$7:$L$456,MATCH($AD10,振り分け!$P$7:$P$456,0)))),"未決定")))</f>
        <v/>
      </c>
      <c r="D10" s="65">
        <f>IF($AE10="","",IF(計算用!$B$1=1,INDEX(新年度名簿!$C$3:$C$452,$AE10),INDEX(前年度名簿!$C$3:$C$452,$AE10)))</f>
        <v/>
      </c>
      <c r="E10" s="66">
        <f>IF($AE10="","",IF(計算用!$B$1=1,INDEX(新年度名簿!$D$3:$D$452,$AE10),INDEX(前年度名簿!$D$3:$D$452,$AE10)))</f>
        <v/>
      </c>
      <c r="F10" s="65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M$7:$M$456,MATCH($AE10,振り分け!$P$7:$P$456,0))="転出","転出",IF(INDEX(振り分け!$L$7:$L$456,MATCH($AE10,振り分け!$P$7:$P$456,0))="","未決定",INDEX(振り分け!$L$7:$L$456,MATCH($AE10,振り分け!$P$7:$P$456,0)))),"未決定")))</f>
        <v/>
      </c>
      <c r="G10" s="65">
        <f>IF($AF10="","",IF(計算用!$B$1=1,INDEX(新年度名簿!$C$3:$C$452,$AF10),INDEX(前年度名簿!$C$3:$C$452,$AF10)))</f>
        <v/>
      </c>
      <c r="H10" s="66">
        <f>IF($AF10="","",IF(計算用!$B$1=1,INDEX(新年度名簿!$D$3:$D$452,$AF10),INDEX(前年度名簿!$D$3:$D$452,$AF10)))</f>
        <v/>
      </c>
      <c r="I10" s="65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M$7:$M$456,MATCH($AF10,振り分け!$P$7:$P$456,0))="転出","転出",IF(INDEX(振り分け!$L$7:$L$456,MATCH($AF10,振り分け!$P$7:$P$456,0))="","未決定",INDEX(振り分け!$L$7:$L$456,MATCH($AF10,振り分け!$P$7:$P$456,0)))),"未決定")))</f>
        <v/>
      </c>
      <c r="J10" s="65">
        <f>IF($AG10="","",IF(計算用!$B$1=1,INDEX(新年度名簿!$C$3:$C$452,$AG10),INDEX(前年度名簿!$C$3:$C$452,$AG10)))</f>
        <v/>
      </c>
      <c r="K10" s="66">
        <f>IF($AG10="","",IF(計算用!$B$1=1,INDEX(新年度名簿!$D$3:$D$452,$AG10),INDEX(前年度名簿!$D$3:$D$452,$AG10)))</f>
        <v/>
      </c>
      <c r="L10" s="65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M$7:$M$456,MATCH($AG10,振り分け!$P$7:$P$456,0))="転出","転出",IF(INDEX(振り分け!$L$7:$L$456,MATCH($AG10,振り分け!$P$7:$P$456,0))="","未決定",INDEX(振り分け!$L$7:$L$456,MATCH($AG10,振り分け!$P$7:$P$456,0)))),"未決定")))</f>
        <v/>
      </c>
      <c r="M10" s="65">
        <f>IF($AH10="","",IF(計算用!$B$1=1,INDEX(新年度名簿!$C$3:$C$452,$AH10),INDEX(前年度名簿!$C$3:$C$452,$AH10)))</f>
        <v/>
      </c>
      <c r="N10" s="66">
        <f>IF($AH10="","",IF(計算用!$B$1=1,INDEX(新年度名簿!$D$3:$D$452,$AH10),INDEX(前年度名簿!$D$3:$D$452,$AH10)))</f>
        <v/>
      </c>
      <c r="O10" s="65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M$7:$M$456,MATCH($AH10,振り分け!$P$7:$P$456,0))="転出","転出",IF(INDEX(振り分け!$L$7:$L$456,MATCH($AH10,振り分け!$P$7:$P$456,0))="","未決定",INDEX(振り分け!$L$7:$L$456,MATCH($AH10,振り分け!$P$7:$P$456,0)))),"未決定")))</f>
        <v/>
      </c>
      <c r="P10" s="65">
        <f>IF($AI10="","",IF(計算用!$B$1=1,INDEX(新年度名簿!$C$3:$C$452,$AI10),INDEX(前年度名簿!$C$3:$C$452,$AI10)))</f>
        <v/>
      </c>
      <c r="Q10" s="66">
        <f>IF($AI10="","",IF(計算用!$B$1=1,INDEX(新年度名簿!$D$3:$D$452,$AI10),INDEX(前年度名簿!$D$3:$D$452,$AI10)))</f>
        <v/>
      </c>
      <c r="R10" s="65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M$7:$M$456,MATCH($AI10,振り分け!$P$7:$P$456,0))="転出","転出",IF(INDEX(振り分け!$L$7:$L$456,MATCH($AI10,振り分け!$P$7:$P$456,0))="","未決定",INDEX(振り分け!$L$7:$L$456,MATCH($AI10,振り分け!$P$7:$P$456,0)))),"未決定")))</f>
        <v/>
      </c>
      <c r="S10" s="65">
        <f>IF($AJ10="","",IF(計算用!$B$1=1,INDEX(新年度名簿!$C$3:$C$452,$AJ10),INDEX(前年度名簿!$C$3:$C$452,$AJ10)))</f>
        <v/>
      </c>
      <c r="T10" s="66">
        <f>IF($AJ10="","",IF(計算用!$B$1=1,INDEX(新年度名簿!$D$3:$D$452,$AJ10),INDEX(前年度名簿!$D$3:$D$452,$AJ10)))</f>
        <v/>
      </c>
      <c r="U10" s="65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M$7:$M$456,MATCH($AJ10,振り分け!$P$7:$P$456,0))="転出","転出",IF(INDEX(振り分け!$L$7:$L$456,MATCH($AJ10,振り分け!$P$7:$P$456,0))="","未決定",INDEX(振り分け!$L$7:$L$456,MATCH($AJ10,振り分け!$P$7:$P$456,0)))),"未決定")))</f>
        <v/>
      </c>
      <c r="V10" s="65">
        <f>IF($AK10="","",IF(計算用!$B$1=1,INDEX(新年度名簿!$C$3:$C$452,$AK10),INDEX(前年度名簿!$C$3:$C$452,$AK10)))</f>
        <v/>
      </c>
      <c r="W10" s="66">
        <f>IF($AK10="","",IF(計算用!$B$1=1,INDEX(新年度名簿!$D$3:$D$452,$AK10),INDEX(前年度名簿!$D$3:$D$452,$AK10)))</f>
        <v/>
      </c>
      <c r="X10" s="65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M$7:$M$456,MATCH($AK10,振り分け!$P$7:$P$456,0))="転出","転出",IF(INDEX(振り分け!$L$7:$L$456,MATCH($AK10,振り分け!$P$7:$P$456,0))="","未決定",INDEX(振り分け!$L$7:$L$456,MATCH($AK10,振り分け!$P$7:$P$456,0)))),"未決定")))</f>
        <v/>
      </c>
      <c r="AD10" s="63">
        <f>IF(計算用!$B$1=1,IFERROR(IF(SMALL(新年度名簿!$J$3:$J$452,$AD$3+6)&lt;18000,MATCH(SMALL(新年度名簿!$J$3:$J$452,$AD$3+6),新年度名簿!$J$3:$J$452,0),""),""),IFERROR(IF(SMALL(前年度名簿!$G$3:$G$452,$AD$3+6)&lt;18000,MATCH(SMALL(前年度名簿!$G$3:$G$452,$AD$3+6),前年度名簿!$G$3:$G$452,0),""),""))</f>
        <v/>
      </c>
      <c r="AE10" s="63">
        <f>IF(計算用!$B$1=1,IFERROR(IF(SMALL(新年度名簿!$J$3:$J$452,$AE$3+6)&lt;19000,MATCH(SMALL(新年度名簿!$J$3:$J$452,$AE$3+6),新年度名簿!$J$3:$J$452,0),""),""),IFERROR(IF(SMALL(前年度名簿!$G$3:$G$452,$AE$3+6)&lt;19000,MATCH(SMALL(前年度名簿!$G$3:$G$452,$AE$3+6),前年度名簿!$G$3:$G$452,0),""),""))</f>
        <v/>
      </c>
      <c r="AF10" s="63">
        <f>IF(計算用!$B$1=1,IFERROR(IF(SMALL(新年度名簿!$J$3:$J$452,$AF$3+6)&lt;20000,MATCH(SMALL(新年度名簿!$J$3:$J$452,$AF$3+6),新年度名簿!$J$3:$J$452,0),""),""),IFERROR(IF(SMALL(前年度名簿!$G$3:$G$452,$AF$3+6)&lt;20000,MATCH(SMALL(前年度名簿!$G$3:$G$452,$AF$3+6),前年度名簿!$G$3:$G$452,0),""),""))</f>
        <v/>
      </c>
      <c r="AG10" s="63">
        <f>IF(計算用!$B$1=1,IFERROR(IF(SMALL(新年度名簿!$J$3:$J$452,$AG$3+6)&lt;21000,MATCH(SMALL(新年度名簿!$J$3:$J$452,$AG$3+6),新年度名簿!$J$3:$J$452,0),""),""),IFERROR(IF(SMALL(前年度名簿!$G$3:$G$452,$AG$3+6)&lt;21000,MATCH(SMALL(前年度名簿!$G$3:$G$452,$AG$3+6),前年度名簿!$G$3:$G$452,0),""),""))</f>
        <v/>
      </c>
      <c r="AH10" s="63">
        <f>IF(計算用!$B$1=1,IFERROR(IF(SMALL(新年度名簿!$J$3:$J$452,$AH$3+6)&lt;22000,MATCH(SMALL(新年度名簿!$J$3:$J$452,$AH$3+6),新年度名簿!$J$3:$J$452,0),""),""),IFERROR(IF(SMALL(前年度名簿!$G$3:$G$452,$AH$3+6)&lt;22000,MATCH(SMALL(前年度名簿!$G$3:$G$452,$AH$3+6),前年度名簿!$G$3:$G$452,0),""),""))</f>
        <v/>
      </c>
      <c r="AI10" s="63">
        <f>IF(計算用!$B$1=1,IFERROR(IF(SMALL(新年度名簿!$J$3:$J$452,$AI$3+6)&lt;23000,MATCH(SMALL(新年度名簿!$J$3:$J$452,$AI$3+6),新年度名簿!$J$3:$J$452,0),""),""),IFERROR(IF(SMALL(前年度名簿!$G$3:$G$452,$AI$3+6)&lt;23000,MATCH(SMALL(前年度名簿!$G$3:$G$452,$AI$3+6),前年度名簿!$G$3:$G$452,0),""),""))</f>
        <v/>
      </c>
      <c r="AJ10" s="63">
        <f>IF(計算用!$B$1=1,IFERROR(IF(SMALL(新年度名簿!$J$3:$J$452,$AJ$3+6)&lt;24000,MATCH(SMALL(新年度名簿!$J$3:$J$452,$AJ$3+6),新年度名簿!$J$3:$J$452,0),""),""),IFERROR(IF(SMALL(前年度名簿!$G$3:$G$452,$AJ$3+6)&lt;24000,MATCH(SMALL(前年度名簿!$G$3:$G$452,$AJ$3+6),前年度名簿!$G$3:$G$452,0),""),""))</f>
        <v/>
      </c>
      <c r="AK10" s="63">
        <f>IF(計算用!$B$1=1,IFERROR(IF(SMALL(新年度名簿!$J$3:$J$452,$AK$3+6)&lt;25000,MATCH(SMALL(新年度名簿!$J$3:$J$452,$AK$3+6),新年度名簿!$J$3:$J$452,0),""),""),IFERROR(IF(SMALL(前年度名簿!$G$3:$G$452,$AK$3+6)&lt;25000,MATCH(SMALL(前年度名簿!$G$3:$G$452,$AK$3+6),前年度名簿!$G$3:$G$452,0),""),""))</f>
        <v/>
      </c>
    </row>
    <row r="11">
      <c r="A11" s="65">
        <f>IF($AD11="","",IF(計算用!$B$1=1,INDEX(新年度名簿!$C$3:$C$452,$AD11),INDEX(前年度名簿!$C$3:$C$452,$AD11)))</f>
        <v/>
      </c>
      <c r="B11" s="66">
        <f>IF($AD11="","",IF(計算用!$B$1=1,INDEX(新年度名簿!$D$3:$D$452,$AD11),INDEX(前年度名簿!$D$3:$D$452,$AD11)))</f>
        <v/>
      </c>
      <c r="C11" s="65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M$7:$M$456,MATCH($AD11,振り分け!$P$7:$P$456,0))="転出","転出",IF(INDEX(振り分け!$L$7:$L$456,MATCH($AD11,振り分け!$P$7:$P$456,0))="","未決定",INDEX(振り分け!$L$7:$L$456,MATCH($AD11,振り分け!$P$7:$P$456,0)))),"未決定")))</f>
        <v/>
      </c>
      <c r="D11" s="65">
        <f>IF($AE11="","",IF(計算用!$B$1=1,INDEX(新年度名簿!$C$3:$C$452,$AE11),INDEX(前年度名簿!$C$3:$C$452,$AE11)))</f>
        <v/>
      </c>
      <c r="E11" s="66">
        <f>IF($AE11="","",IF(計算用!$B$1=1,INDEX(新年度名簿!$D$3:$D$452,$AE11),INDEX(前年度名簿!$D$3:$D$452,$AE11)))</f>
        <v/>
      </c>
      <c r="F11" s="65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M$7:$M$456,MATCH($AE11,振り分け!$P$7:$P$456,0))="転出","転出",IF(INDEX(振り分け!$L$7:$L$456,MATCH($AE11,振り分け!$P$7:$P$456,0))="","未決定",INDEX(振り分け!$L$7:$L$456,MATCH($AE11,振り分け!$P$7:$P$456,0)))),"未決定")))</f>
        <v/>
      </c>
      <c r="G11" s="65">
        <f>IF($AF11="","",IF(計算用!$B$1=1,INDEX(新年度名簿!$C$3:$C$452,$AF11),INDEX(前年度名簿!$C$3:$C$452,$AF11)))</f>
        <v/>
      </c>
      <c r="H11" s="66">
        <f>IF($AF11="","",IF(計算用!$B$1=1,INDEX(新年度名簿!$D$3:$D$452,$AF11),INDEX(前年度名簿!$D$3:$D$452,$AF11)))</f>
        <v/>
      </c>
      <c r="I11" s="65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M$7:$M$456,MATCH($AF11,振り分け!$P$7:$P$456,0))="転出","転出",IF(INDEX(振り分け!$L$7:$L$456,MATCH($AF11,振り分け!$P$7:$P$456,0))="","未決定",INDEX(振り分け!$L$7:$L$456,MATCH($AF11,振り分け!$P$7:$P$456,0)))),"未決定")))</f>
        <v/>
      </c>
      <c r="J11" s="65">
        <f>IF($AG11="","",IF(計算用!$B$1=1,INDEX(新年度名簿!$C$3:$C$452,$AG11),INDEX(前年度名簿!$C$3:$C$452,$AG11)))</f>
        <v/>
      </c>
      <c r="K11" s="66">
        <f>IF($AG11="","",IF(計算用!$B$1=1,INDEX(新年度名簿!$D$3:$D$452,$AG11),INDEX(前年度名簿!$D$3:$D$452,$AG11)))</f>
        <v/>
      </c>
      <c r="L11" s="65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M$7:$M$456,MATCH($AG11,振り分け!$P$7:$P$456,0))="転出","転出",IF(INDEX(振り分け!$L$7:$L$456,MATCH($AG11,振り分け!$P$7:$P$456,0))="","未決定",INDEX(振り分け!$L$7:$L$456,MATCH($AG11,振り分け!$P$7:$P$456,0)))),"未決定")))</f>
        <v/>
      </c>
      <c r="M11" s="65">
        <f>IF($AH11="","",IF(計算用!$B$1=1,INDEX(新年度名簿!$C$3:$C$452,$AH11),INDEX(前年度名簿!$C$3:$C$452,$AH11)))</f>
        <v/>
      </c>
      <c r="N11" s="66">
        <f>IF($AH11="","",IF(計算用!$B$1=1,INDEX(新年度名簿!$D$3:$D$452,$AH11),INDEX(前年度名簿!$D$3:$D$452,$AH11)))</f>
        <v/>
      </c>
      <c r="O11" s="65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M$7:$M$456,MATCH($AH11,振り分け!$P$7:$P$456,0))="転出","転出",IF(INDEX(振り分け!$L$7:$L$456,MATCH($AH11,振り分け!$P$7:$P$456,0))="","未決定",INDEX(振り分け!$L$7:$L$456,MATCH($AH11,振り分け!$P$7:$P$456,0)))),"未決定")))</f>
        <v/>
      </c>
      <c r="P11" s="65">
        <f>IF($AI11="","",IF(計算用!$B$1=1,INDEX(新年度名簿!$C$3:$C$452,$AI11),INDEX(前年度名簿!$C$3:$C$452,$AI11)))</f>
        <v/>
      </c>
      <c r="Q11" s="66">
        <f>IF($AI11="","",IF(計算用!$B$1=1,INDEX(新年度名簿!$D$3:$D$452,$AI11),INDEX(前年度名簿!$D$3:$D$452,$AI11)))</f>
        <v/>
      </c>
      <c r="R11" s="65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M$7:$M$456,MATCH($AI11,振り分け!$P$7:$P$456,0))="転出","転出",IF(INDEX(振り分け!$L$7:$L$456,MATCH($AI11,振り分け!$P$7:$P$456,0))="","未決定",INDEX(振り分け!$L$7:$L$456,MATCH($AI11,振り分け!$P$7:$P$456,0)))),"未決定")))</f>
        <v/>
      </c>
      <c r="S11" s="65">
        <f>IF($AJ11="","",IF(計算用!$B$1=1,INDEX(新年度名簿!$C$3:$C$452,$AJ11),INDEX(前年度名簿!$C$3:$C$452,$AJ11)))</f>
        <v/>
      </c>
      <c r="T11" s="66">
        <f>IF($AJ11="","",IF(計算用!$B$1=1,INDEX(新年度名簿!$D$3:$D$452,$AJ11),INDEX(前年度名簿!$D$3:$D$452,$AJ11)))</f>
        <v/>
      </c>
      <c r="U11" s="65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M$7:$M$456,MATCH($AJ11,振り分け!$P$7:$P$456,0))="転出","転出",IF(INDEX(振り分け!$L$7:$L$456,MATCH($AJ11,振り分け!$P$7:$P$456,0))="","未決定",INDEX(振り分け!$L$7:$L$456,MATCH($AJ11,振り分け!$P$7:$P$456,0)))),"未決定")))</f>
        <v/>
      </c>
      <c r="V11" s="65">
        <f>IF($AK11="","",IF(計算用!$B$1=1,INDEX(新年度名簿!$C$3:$C$452,$AK11),INDEX(前年度名簿!$C$3:$C$452,$AK11)))</f>
        <v/>
      </c>
      <c r="W11" s="66">
        <f>IF($AK11="","",IF(計算用!$B$1=1,INDEX(新年度名簿!$D$3:$D$452,$AK11),INDEX(前年度名簿!$D$3:$D$452,$AK11)))</f>
        <v/>
      </c>
      <c r="X11" s="65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M$7:$M$456,MATCH($AK11,振り分け!$P$7:$P$456,0))="転出","転出",IF(INDEX(振り分け!$L$7:$L$456,MATCH($AK11,振り分け!$P$7:$P$456,0))="","未決定",INDEX(振り分け!$L$7:$L$456,MATCH($AK11,振り分け!$P$7:$P$456,0)))),"未決定")))</f>
        <v/>
      </c>
      <c r="AD11" s="63">
        <f>IF(計算用!$B$1=1,IFERROR(IF(SMALL(新年度名簿!$J$3:$J$452,$AD$3+7)&lt;18000,MATCH(SMALL(新年度名簿!$J$3:$J$452,$AD$3+7),新年度名簿!$J$3:$J$452,0),""),""),IFERROR(IF(SMALL(前年度名簿!$G$3:$G$452,$AD$3+7)&lt;18000,MATCH(SMALL(前年度名簿!$G$3:$G$452,$AD$3+7),前年度名簿!$G$3:$G$452,0),""),""))</f>
        <v/>
      </c>
      <c r="AE11" s="63">
        <f>IF(計算用!$B$1=1,IFERROR(IF(SMALL(新年度名簿!$J$3:$J$452,$AE$3+7)&lt;19000,MATCH(SMALL(新年度名簿!$J$3:$J$452,$AE$3+7),新年度名簿!$J$3:$J$452,0),""),""),IFERROR(IF(SMALL(前年度名簿!$G$3:$G$452,$AE$3+7)&lt;19000,MATCH(SMALL(前年度名簿!$G$3:$G$452,$AE$3+7),前年度名簿!$G$3:$G$452,0),""),""))</f>
        <v/>
      </c>
      <c r="AF11" s="63">
        <f>IF(計算用!$B$1=1,IFERROR(IF(SMALL(新年度名簿!$J$3:$J$452,$AF$3+7)&lt;20000,MATCH(SMALL(新年度名簿!$J$3:$J$452,$AF$3+7),新年度名簿!$J$3:$J$452,0),""),""),IFERROR(IF(SMALL(前年度名簿!$G$3:$G$452,$AF$3+7)&lt;20000,MATCH(SMALL(前年度名簿!$G$3:$G$452,$AF$3+7),前年度名簿!$G$3:$G$452,0),""),""))</f>
        <v/>
      </c>
      <c r="AG11" s="63">
        <f>IF(計算用!$B$1=1,IFERROR(IF(SMALL(新年度名簿!$J$3:$J$452,$AG$3+7)&lt;21000,MATCH(SMALL(新年度名簿!$J$3:$J$452,$AG$3+7),新年度名簿!$J$3:$J$452,0),""),""),IFERROR(IF(SMALL(前年度名簿!$G$3:$G$452,$AG$3+7)&lt;21000,MATCH(SMALL(前年度名簿!$G$3:$G$452,$AG$3+7),前年度名簿!$G$3:$G$452,0),""),""))</f>
        <v/>
      </c>
      <c r="AH11" s="63">
        <f>IF(計算用!$B$1=1,IFERROR(IF(SMALL(新年度名簿!$J$3:$J$452,$AH$3+7)&lt;22000,MATCH(SMALL(新年度名簿!$J$3:$J$452,$AH$3+7),新年度名簿!$J$3:$J$452,0),""),""),IFERROR(IF(SMALL(前年度名簿!$G$3:$G$452,$AH$3+7)&lt;22000,MATCH(SMALL(前年度名簿!$G$3:$G$452,$AH$3+7),前年度名簿!$G$3:$G$452,0),""),""))</f>
        <v/>
      </c>
      <c r="AI11" s="63">
        <f>IF(計算用!$B$1=1,IFERROR(IF(SMALL(新年度名簿!$J$3:$J$452,$AI$3+7)&lt;23000,MATCH(SMALL(新年度名簿!$J$3:$J$452,$AI$3+7),新年度名簿!$J$3:$J$452,0),""),""),IFERROR(IF(SMALL(前年度名簿!$G$3:$G$452,$AI$3+7)&lt;23000,MATCH(SMALL(前年度名簿!$G$3:$G$452,$AI$3+7),前年度名簿!$G$3:$G$452,0),""),""))</f>
        <v/>
      </c>
      <c r="AJ11" s="63">
        <f>IF(計算用!$B$1=1,IFERROR(IF(SMALL(新年度名簿!$J$3:$J$452,$AJ$3+7)&lt;24000,MATCH(SMALL(新年度名簿!$J$3:$J$452,$AJ$3+7),新年度名簿!$J$3:$J$452,0),""),""),IFERROR(IF(SMALL(前年度名簿!$G$3:$G$452,$AJ$3+7)&lt;24000,MATCH(SMALL(前年度名簿!$G$3:$G$452,$AJ$3+7),前年度名簿!$G$3:$G$452,0),""),""))</f>
        <v/>
      </c>
      <c r="AK11" s="63">
        <f>IF(計算用!$B$1=1,IFERROR(IF(SMALL(新年度名簿!$J$3:$J$452,$AK$3+7)&lt;25000,MATCH(SMALL(新年度名簿!$J$3:$J$452,$AK$3+7),新年度名簿!$J$3:$J$452,0),""),""),IFERROR(IF(SMALL(前年度名簿!$G$3:$G$452,$AK$3+7)&lt;25000,MATCH(SMALL(前年度名簿!$G$3:$G$452,$AK$3+7),前年度名簿!$G$3:$G$452,0),""),""))</f>
        <v/>
      </c>
    </row>
    <row r="12">
      <c r="A12" s="65">
        <f>IF($AD12="","",IF(計算用!$B$1=1,INDEX(新年度名簿!$C$3:$C$452,$AD12),INDEX(前年度名簿!$C$3:$C$452,$AD12)))</f>
        <v/>
      </c>
      <c r="B12" s="66">
        <f>IF($AD12="","",IF(計算用!$B$1=1,INDEX(新年度名簿!$D$3:$D$452,$AD12),INDEX(前年度名簿!$D$3:$D$452,$AD12)))</f>
        <v/>
      </c>
      <c r="C12" s="65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M$7:$M$456,MATCH($AD12,振り分け!$P$7:$P$456,0))="転出","転出",IF(INDEX(振り分け!$L$7:$L$456,MATCH($AD12,振り分け!$P$7:$P$456,0))="","未決定",INDEX(振り分け!$L$7:$L$456,MATCH($AD12,振り分け!$P$7:$P$456,0)))),"未決定")))</f>
        <v/>
      </c>
      <c r="D12" s="65">
        <f>IF($AE12="","",IF(計算用!$B$1=1,INDEX(新年度名簿!$C$3:$C$452,$AE12),INDEX(前年度名簿!$C$3:$C$452,$AE12)))</f>
        <v/>
      </c>
      <c r="E12" s="66">
        <f>IF($AE12="","",IF(計算用!$B$1=1,INDEX(新年度名簿!$D$3:$D$452,$AE12),INDEX(前年度名簿!$D$3:$D$452,$AE12)))</f>
        <v/>
      </c>
      <c r="F12" s="65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M$7:$M$456,MATCH($AE12,振り分け!$P$7:$P$456,0))="転出","転出",IF(INDEX(振り分け!$L$7:$L$456,MATCH($AE12,振り分け!$P$7:$P$456,0))="","未決定",INDEX(振り分け!$L$7:$L$456,MATCH($AE12,振り分け!$P$7:$P$456,0)))),"未決定")))</f>
        <v/>
      </c>
      <c r="G12" s="65">
        <f>IF($AF12="","",IF(計算用!$B$1=1,INDEX(新年度名簿!$C$3:$C$452,$AF12),INDEX(前年度名簿!$C$3:$C$452,$AF12)))</f>
        <v/>
      </c>
      <c r="H12" s="66">
        <f>IF($AF12="","",IF(計算用!$B$1=1,INDEX(新年度名簿!$D$3:$D$452,$AF12),INDEX(前年度名簿!$D$3:$D$452,$AF12)))</f>
        <v/>
      </c>
      <c r="I12" s="65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M$7:$M$456,MATCH($AF12,振り分け!$P$7:$P$456,0))="転出","転出",IF(INDEX(振り分け!$L$7:$L$456,MATCH($AF12,振り分け!$P$7:$P$456,0))="","未決定",INDEX(振り分け!$L$7:$L$456,MATCH($AF12,振り分け!$P$7:$P$456,0)))),"未決定")))</f>
        <v/>
      </c>
      <c r="J12" s="65">
        <f>IF($AG12="","",IF(計算用!$B$1=1,INDEX(新年度名簿!$C$3:$C$452,$AG12),INDEX(前年度名簿!$C$3:$C$452,$AG12)))</f>
        <v/>
      </c>
      <c r="K12" s="66">
        <f>IF($AG12="","",IF(計算用!$B$1=1,INDEX(新年度名簿!$D$3:$D$452,$AG12),INDEX(前年度名簿!$D$3:$D$452,$AG12)))</f>
        <v/>
      </c>
      <c r="L12" s="65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M$7:$M$456,MATCH($AG12,振り分け!$P$7:$P$456,0))="転出","転出",IF(INDEX(振り分け!$L$7:$L$456,MATCH($AG12,振り分け!$P$7:$P$456,0))="","未決定",INDEX(振り分け!$L$7:$L$456,MATCH($AG12,振り分け!$P$7:$P$456,0)))),"未決定")))</f>
        <v/>
      </c>
      <c r="M12" s="65">
        <f>IF($AH12="","",IF(計算用!$B$1=1,INDEX(新年度名簿!$C$3:$C$452,$AH12),INDEX(前年度名簿!$C$3:$C$452,$AH12)))</f>
        <v/>
      </c>
      <c r="N12" s="66">
        <f>IF($AH12="","",IF(計算用!$B$1=1,INDEX(新年度名簿!$D$3:$D$452,$AH12),INDEX(前年度名簿!$D$3:$D$452,$AH12)))</f>
        <v/>
      </c>
      <c r="O12" s="65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M$7:$M$456,MATCH($AH12,振り分け!$P$7:$P$456,0))="転出","転出",IF(INDEX(振り分け!$L$7:$L$456,MATCH($AH12,振り分け!$P$7:$P$456,0))="","未決定",INDEX(振り分け!$L$7:$L$456,MATCH($AH12,振り分け!$P$7:$P$456,0)))),"未決定")))</f>
        <v/>
      </c>
      <c r="P12" s="65">
        <f>IF($AI12="","",IF(計算用!$B$1=1,INDEX(新年度名簿!$C$3:$C$452,$AI12),INDEX(前年度名簿!$C$3:$C$452,$AI12)))</f>
        <v/>
      </c>
      <c r="Q12" s="66">
        <f>IF($AI12="","",IF(計算用!$B$1=1,INDEX(新年度名簿!$D$3:$D$452,$AI12),INDEX(前年度名簿!$D$3:$D$452,$AI12)))</f>
        <v/>
      </c>
      <c r="R12" s="65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M$7:$M$456,MATCH($AI12,振り分け!$P$7:$P$456,0))="転出","転出",IF(INDEX(振り分け!$L$7:$L$456,MATCH($AI12,振り分け!$P$7:$P$456,0))="","未決定",INDEX(振り分け!$L$7:$L$456,MATCH($AI12,振り分け!$P$7:$P$456,0)))),"未決定")))</f>
        <v/>
      </c>
      <c r="S12" s="65">
        <f>IF($AJ12="","",IF(計算用!$B$1=1,INDEX(新年度名簿!$C$3:$C$452,$AJ12),INDEX(前年度名簿!$C$3:$C$452,$AJ12)))</f>
        <v/>
      </c>
      <c r="T12" s="66">
        <f>IF($AJ12="","",IF(計算用!$B$1=1,INDEX(新年度名簿!$D$3:$D$452,$AJ12),INDEX(前年度名簿!$D$3:$D$452,$AJ12)))</f>
        <v/>
      </c>
      <c r="U12" s="65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M$7:$M$456,MATCH($AJ12,振り分け!$P$7:$P$456,0))="転出","転出",IF(INDEX(振り分け!$L$7:$L$456,MATCH($AJ12,振り分け!$P$7:$P$456,0))="","未決定",INDEX(振り分け!$L$7:$L$456,MATCH($AJ12,振り分け!$P$7:$P$456,0)))),"未決定")))</f>
        <v/>
      </c>
      <c r="V12" s="65">
        <f>IF($AK12="","",IF(計算用!$B$1=1,INDEX(新年度名簿!$C$3:$C$452,$AK12),INDEX(前年度名簿!$C$3:$C$452,$AK12)))</f>
        <v/>
      </c>
      <c r="W12" s="66">
        <f>IF($AK12="","",IF(計算用!$B$1=1,INDEX(新年度名簿!$D$3:$D$452,$AK12),INDEX(前年度名簿!$D$3:$D$452,$AK12)))</f>
        <v/>
      </c>
      <c r="X12" s="65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M$7:$M$456,MATCH($AK12,振り分け!$P$7:$P$456,0))="転出","転出",IF(INDEX(振り分け!$L$7:$L$456,MATCH($AK12,振り分け!$P$7:$P$456,0))="","未決定",INDEX(振り分け!$L$7:$L$456,MATCH($AK12,振り分け!$P$7:$P$456,0)))),"未決定")))</f>
        <v/>
      </c>
      <c r="AD12" s="63">
        <f>IF(計算用!$B$1=1,IFERROR(IF(SMALL(新年度名簿!$J$3:$J$452,$AD$3+8)&lt;18000,MATCH(SMALL(新年度名簿!$J$3:$J$452,$AD$3+8),新年度名簿!$J$3:$J$452,0),""),""),IFERROR(IF(SMALL(前年度名簿!$G$3:$G$452,$AD$3+8)&lt;18000,MATCH(SMALL(前年度名簿!$G$3:$G$452,$AD$3+8),前年度名簿!$G$3:$G$452,0),""),""))</f>
        <v/>
      </c>
      <c r="AE12" s="63">
        <f>IF(計算用!$B$1=1,IFERROR(IF(SMALL(新年度名簿!$J$3:$J$452,$AE$3+8)&lt;19000,MATCH(SMALL(新年度名簿!$J$3:$J$452,$AE$3+8),新年度名簿!$J$3:$J$452,0),""),""),IFERROR(IF(SMALL(前年度名簿!$G$3:$G$452,$AE$3+8)&lt;19000,MATCH(SMALL(前年度名簿!$G$3:$G$452,$AE$3+8),前年度名簿!$G$3:$G$452,0),""),""))</f>
        <v/>
      </c>
      <c r="AF12" s="63">
        <f>IF(計算用!$B$1=1,IFERROR(IF(SMALL(新年度名簿!$J$3:$J$452,$AF$3+8)&lt;20000,MATCH(SMALL(新年度名簿!$J$3:$J$452,$AF$3+8),新年度名簿!$J$3:$J$452,0),""),""),IFERROR(IF(SMALL(前年度名簿!$G$3:$G$452,$AF$3+8)&lt;20000,MATCH(SMALL(前年度名簿!$G$3:$G$452,$AF$3+8),前年度名簿!$G$3:$G$452,0),""),""))</f>
        <v/>
      </c>
      <c r="AG12" s="63">
        <f>IF(計算用!$B$1=1,IFERROR(IF(SMALL(新年度名簿!$J$3:$J$452,$AG$3+8)&lt;21000,MATCH(SMALL(新年度名簿!$J$3:$J$452,$AG$3+8),新年度名簿!$J$3:$J$452,0),""),""),IFERROR(IF(SMALL(前年度名簿!$G$3:$G$452,$AG$3+8)&lt;21000,MATCH(SMALL(前年度名簿!$G$3:$G$452,$AG$3+8),前年度名簿!$G$3:$G$452,0),""),""))</f>
        <v/>
      </c>
      <c r="AH12" s="63">
        <f>IF(計算用!$B$1=1,IFERROR(IF(SMALL(新年度名簿!$J$3:$J$452,$AH$3+8)&lt;22000,MATCH(SMALL(新年度名簿!$J$3:$J$452,$AH$3+8),新年度名簿!$J$3:$J$452,0),""),""),IFERROR(IF(SMALL(前年度名簿!$G$3:$G$452,$AH$3+8)&lt;22000,MATCH(SMALL(前年度名簿!$G$3:$G$452,$AH$3+8),前年度名簿!$G$3:$G$452,0),""),""))</f>
        <v/>
      </c>
      <c r="AI12" s="63">
        <f>IF(計算用!$B$1=1,IFERROR(IF(SMALL(新年度名簿!$J$3:$J$452,$AI$3+8)&lt;23000,MATCH(SMALL(新年度名簿!$J$3:$J$452,$AI$3+8),新年度名簿!$J$3:$J$452,0),""),""),IFERROR(IF(SMALL(前年度名簿!$G$3:$G$452,$AI$3+8)&lt;23000,MATCH(SMALL(前年度名簿!$G$3:$G$452,$AI$3+8),前年度名簿!$G$3:$G$452,0),""),""))</f>
        <v/>
      </c>
      <c r="AJ12" s="63">
        <f>IF(計算用!$B$1=1,IFERROR(IF(SMALL(新年度名簿!$J$3:$J$452,$AJ$3+8)&lt;24000,MATCH(SMALL(新年度名簿!$J$3:$J$452,$AJ$3+8),新年度名簿!$J$3:$J$452,0),""),""),IFERROR(IF(SMALL(前年度名簿!$G$3:$G$452,$AJ$3+8)&lt;24000,MATCH(SMALL(前年度名簿!$G$3:$G$452,$AJ$3+8),前年度名簿!$G$3:$G$452,0),""),""))</f>
        <v/>
      </c>
      <c r="AK12" s="63">
        <f>IF(計算用!$B$1=1,IFERROR(IF(SMALL(新年度名簿!$J$3:$J$452,$AK$3+8)&lt;25000,MATCH(SMALL(新年度名簿!$J$3:$J$452,$AK$3+8),新年度名簿!$J$3:$J$452,0),""),""),IFERROR(IF(SMALL(前年度名簿!$G$3:$G$452,$AK$3+8)&lt;25000,MATCH(SMALL(前年度名簿!$G$3:$G$452,$AK$3+8),前年度名簿!$G$3:$G$452,0),""),""))</f>
        <v/>
      </c>
    </row>
    <row r="13">
      <c r="A13" s="65">
        <f>IF($AD13="","",IF(計算用!$B$1=1,INDEX(新年度名簿!$C$3:$C$452,$AD13),INDEX(前年度名簿!$C$3:$C$452,$AD13)))</f>
        <v/>
      </c>
      <c r="B13" s="66">
        <f>IF($AD13="","",IF(計算用!$B$1=1,INDEX(新年度名簿!$D$3:$D$452,$AD13),INDEX(前年度名簿!$D$3:$D$452,$AD13)))</f>
        <v/>
      </c>
      <c r="C13" s="65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M$7:$M$456,MATCH($AD13,振り分け!$P$7:$P$456,0))="転出","転出",IF(INDEX(振り分け!$L$7:$L$456,MATCH($AD13,振り分け!$P$7:$P$456,0))="","未決定",INDEX(振り分け!$L$7:$L$456,MATCH($AD13,振り分け!$P$7:$P$456,0)))),"未決定")))</f>
        <v/>
      </c>
      <c r="D13" s="65">
        <f>IF($AE13="","",IF(計算用!$B$1=1,INDEX(新年度名簿!$C$3:$C$452,$AE13),INDEX(前年度名簿!$C$3:$C$452,$AE13)))</f>
        <v/>
      </c>
      <c r="E13" s="66">
        <f>IF($AE13="","",IF(計算用!$B$1=1,INDEX(新年度名簿!$D$3:$D$452,$AE13),INDEX(前年度名簿!$D$3:$D$452,$AE13)))</f>
        <v/>
      </c>
      <c r="F13" s="65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M$7:$M$456,MATCH($AE13,振り分け!$P$7:$P$456,0))="転出","転出",IF(INDEX(振り分け!$L$7:$L$456,MATCH($AE13,振り分け!$P$7:$P$456,0))="","未決定",INDEX(振り分け!$L$7:$L$456,MATCH($AE13,振り分け!$P$7:$P$456,0)))),"未決定")))</f>
        <v/>
      </c>
      <c r="G13" s="65">
        <f>IF($AF13="","",IF(計算用!$B$1=1,INDEX(新年度名簿!$C$3:$C$452,$AF13),INDEX(前年度名簿!$C$3:$C$452,$AF13)))</f>
        <v/>
      </c>
      <c r="H13" s="66">
        <f>IF($AF13="","",IF(計算用!$B$1=1,INDEX(新年度名簿!$D$3:$D$452,$AF13),INDEX(前年度名簿!$D$3:$D$452,$AF13)))</f>
        <v/>
      </c>
      <c r="I13" s="65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M$7:$M$456,MATCH($AF13,振り分け!$P$7:$P$456,0))="転出","転出",IF(INDEX(振り分け!$L$7:$L$456,MATCH($AF13,振り分け!$P$7:$P$456,0))="","未決定",INDEX(振り分け!$L$7:$L$456,MATCH($AF13,振り分け!$P$7:$P$456,0)))),"未決定")))</f>
        <v/>
      </c>
      <c r="J13" s="65">
        <f>IF($AG13="","",IF(計算用!$B$1=1,INDEX(新年度名簿!$C$3:$C$452,$AG13),INDEX(前年度名簿!$C$3:$C$452,$AG13)))</f>
        <v/>
      </c>
      <c r="K13" s="66">
        <f>IF($AG13="","",IF(計算用!$B$1=1,INDEX(新年度名簿!$D$3:$D$452,$AG13),INDEX(前年度名簿!$D$3:$D$452,$AG13)))</f>
        <v/>
      </c>
      <c r="L13" s="65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M$7:$M$456,MATCH($AG13,振り分け!$P$7:$P$456,0))="転出","転出",IF(INDEX(振り分け!$L$7:$L$456,MATCH($AG13,振り分け!$P$7:$P$456,0))="","未決定",INDEX(振り分け!$L$7:$L$456,MATCH($AG13,振り分け!$P$7:$P$456,0)))),"未決定")))</f>
        <v/>
      </c>
      <c r="M13" s="65">
        <f>IF($AH13="","",IF(計算用!$B$1=1,INDEX(新年度名簿!$C$3:$C$452,$AH13),INDEX(前年度名簿!$C$3:$C$452,$AH13)))</f>
        <v/>
      </c>
      <c r="N13" s="66">
        <f>IF($AH13="","",IF(計算用!$B$1=1,INDEX(新年度名簿!$D$3:$D$452,$AH13),INDEX(前年度名簿!$D$3:$D$452,$AH13)))</f>
        <v/>
      </c>
      <c r="O13" s="65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M$7:$M$456,MATCH($AH13,振り分け!$P$7:$P$456,0))="転出","転出",IF(INDEX(振り分け!$L$7:$L$456,MATCH($AH13,振り分け!$P$7:$P$456,0))="","未決定",INDEX(振り分け!$L$7:$L$456,MATCH($AH13,振り分け!$P$7:$P$456,0)))),"未決定")))</f>
        <v/>
      </c>
      <c r="P13" s="65">
        <f>IF($AI13="","",IF(計算用!$B$1=1,INDEX(新年度名簿!$C$3:$C$452,$AI13),INDEX(前年度名簿!$C$3:$C$452,$AI13)))</f>
        <v/>
      </c>
      <c r="Q13" s="66">
        <f>IF($AI13="","",IF(計算用!$B$1=1,INDEX(新年度名簿!$D$3:$D$452,$AI13),INDEX(前年度名簿!$D$3:$D$452,$AI13)))</f>
        <v/>
      </c>
      <c r="R13" s="65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M$7:$M$456,MATCH($AI13,振り分け!$P$7:$P$456,0))="転出","転出",IF(INDEX(振り分け!$L$7:$L$456,MATCH($AI13,振り分け!$P$7:$P$456,0))="","未決定",INDEX(振り分け!$L$7:$L$456,MATCH($AI13,振り分け!$P$7:$P$456,0)))),"未決定")))</f>
        <v/>
      </c>
      <c r="S13" s="65">
        <f>IF($AJ13="","",IF(計算用!$B$1=1,INDEX(新年度名簿!$C$3:$C$452,$AJ13),INDEX(前年度名簿!$C$3:$C$452,$AJ13)))</f>
        <v/>
      </c>
      <c r="T13" s="66">
        <f>IF($AJ13="","",IF(計算用!$B$1=1,INDEX(新年度名簿!$D$3:$D$452,$AJ13),INDEX(前年度名簿!$D$3:$D$452,$AJ13)))</f>
        <v/>
      </c>
      <c r="U13" s="65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M$7:$M$456,MATCH($AJ13,振り分け!$P$7:$P$456,0))="転出","転出",IF(INDEX(振り分け!$L$7:$L$456,MATCH($AJ13,振り分け!$P$7:$P$456,0))="","未決定",INDEX(振り分け!$L$7:$L$456,MATCH($AJ13,振り分け!$P$7:$P$456,0)))),"未決定")))</f>
        <v/>
      </c>
      <c r="V13" s="65">
        <f>IF($AK13="","",IF(計算用!$B$1=1,INDEX(新年度名簿!$C$3:$C$452,$AK13),INDEX(前年度名簿!$C$3:$C$452,$AK13)))</f>
        <v/>
      </c>
      <c r="W13" s="66">
        <f>IF($AK13="","",IF(計算用!$B$1=1,INDEX(新年度名簿!$D$3:$D$452,$AK13),INDEX(前年度名簿!$D$3:$D$452,$AK13)))</f>
        <v/>
      </c>
      <c r="X13" s="65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M$7:$M$456,MATCH($AK13,振り分け!$P$7:$P$456,0))="転出","転出",IF(INDEX(振り分け!$L$7:$L$456,MATCH($AK13,振り分け!$P$7:$P$456,0))="","未決定",INDEX(振り分け!$L$7:$L$456,MATCH($AK13,振り分け!$P$7:$P$456,0)))),"未決定")))</f>
        <v/>
      </c>
      <c r="AD13" s="63">
        <f>IF(計算用!$B$1=1,IFERROR(IF(SMALL(新年度名簿!$J$3:$J$452,$AD$3+9)&lt;18000,MATCH(SMALL(新年度名簿!$J$3:$J$452,$AD$3+9),新年度名簿!$J$3:$J$452,0),""),""),IFERROR(IF(SMALL(前年度名簿!$G$3:$G$452,$AD$3+9)&lt;18000,MATCH(SMALL(前年度名簿!$G$3:$G$452,$AD$3+9),前年度名簿!$G$3:$G$452,0),""),""))</f>
        <v/>
      </c>
      <c r="AE13" s="63">
        <f>IF(計算用!$B$1=1,IFERROR(IF(SMALL(新年度名簿!$J$3:$J$452,$AE$3+9)&lt;19000,MATCH(SMALL(新年度名簿!$J$3:$J$452,$AE$3+9),新年度名簿!$J$3:$J$452,0),""),""),IFERROR(IF(SMALL(前年度名簿!$G$3:$G$452,$AE$3+9)&lt;19000,MATCH(SMALL(前年度名簿!$G$3:$G$452,$AE$3+9),前年度名簿!$G$3:$G$452,0),""),""))</f>
        <v/>
      </c>
      <c r="AF13" s="63">
        <f>IF(計算用!$B$1=1,IFERROR(IF(SMALL(新年度名簿!$J$3:$J$452,$AF$3+9)&lt;20000,MATCH(SMALL(新年度名簿!$J$3:$J$452,$AF$3+9),新年度名簿!$J$3:$J$452,0),""),""),IFERROR(IF(SMALL(前年度名簿!$G$3:$G$452,$AF$3+9)&lt;20000,MATCH(SMALL(前年度名簿!$G$3:$G$452,$AF$3+9),前年度名簿!$G$3:$G$452,0),""),""))</f>
        <v/>
      </c>
      <c r="AG13" s="63">
        <f>IF(計算用!$B$1=1,IFERROR(IF(SMALL(新年度名簿!$J$3:$J$452,$AG$3+9)&lt;21000,MATCH(SMALL(新年度名簿!$J$3:$J$452,$AG$3+9),新年度名簿!$J$3:$J$452,0),""),""),IFERROR(IF(SMALL(前年度名簿!$G$3:$G$452,$AG$3+9)&lt;21000,MATCH(SMALL(前年度名簿!$G$3:$G$452,$AG$3+9),前年度名簿!$G$3:$G$452,0),""),""))</f>
        <v/>
      </c>
      <c r="AH13" s="63">
        <f>IF(計算用!$B$1=1,IFERROR(IF(SMALL(新年度名簿!$J$3:$J$452,$AH$3+9)&lt;22000,MATCH(SMALL(新年度名簿!$J$3:$J$452,$AH$3+9),新年度名簿!$J$3:$J$452,0),""),""),IFERROR(IF(SMALL(前年度名簿!$G$3:$G$452,$AH$3+9)&lt;22000,MATCH(SMALL(前年度名簿!$G$3:$G$452,$AH$3+9),前年度名簿!$G$3:$G$452,0),""),""))</f>
        <v/>
      </c>
      <c r="AI13" s="63">
        <f>IF(計算用!$B$1=1,IFERROR(IF(SMALL(新年度名簿!$J$3:$J$452,$AI$3+9)&lt;23000,MATCH(SMALL(新年度名簿!$J$3:$J$452,$AI$3+9),新年度名簿!$J$3:$J$452,0),""),""),IFERROR(IF(SMALL(前年度名簿!$G$3:$G$452,$AI$3+9)&lt;23000,MATCH(SMALL(前年度名簿!$G$3:$G$452,$AI$3+9),前年度名簿!$G$3:$G$452,0),""),""))</f>
        <v/>
      </c>
      <c r="AJ13" s="63">
        <f>IF(計算用!$B$1=1,IFERROR(IF(SMALL(新年度名簿!$J$3:$J$452,$AJ$3+9)&lt;24000,MATCH(SMALL(新年度名簿!$J$3:$J$452,$AJ$3+9),新年度名簿!$J$3:$J$452,0),""),""),IFERROR(IF(SMALL(前年度名簿!$G$3:$G$452,$AJ$3+9)&lt;24000,MATCH(SMALL(前年度名簿!$G$3:$G$452,$AJ$3+9),前年度名簿!$G$3:$G$452,0),""),""))</f>
        <v/>
      </c>
      <c r="AK13" s="63">
        <f>IF(計算用!$B$1=1,IFERROR(IF(SMALL(新年度名簿!$J$3:$J$452,$AK$3+9)&lt;25000,MATCH(SMALL(新年度名簿!$J$3:$J$452,$AK$3+9),新年度名簿!$J$3:$J$452,0),""),""),IFERROR(IF(SMALL(前年度名簿!$G$3:$G$452,$AK$3+9)&lt;25000,MATCH(SMALL(前年度名簿!$G$3:$G$452,$AK$3+9),前年度名簿!$G$3:$G$452,0),""),""))</f>
        <v/>
      </c>
    </row>
    <row r="14">
      <c r="A14" s="65">
        <f>IF($AD14="","",IF(計算用!$B$1=1,INDEX(新年度名簿!$C$3:$C$452,$AD14),INDEX(前年度名簿!$C$3:$C$452,$AD14)))</f>
        <v/>
      </c>
      <c r="B14" s="66">
        <f>IF($AD14="","",IF(計算用!$B$1=1,INDEX(新年度名簿!$D$3:$D$452,$AD14),INDEX(前年度名簿!$D$3:$D$452,$AD14)))</f>
        <v/>
      </c>
      <c r="C14" s="65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M$7:$M$456,MATCH($AD14,振り分け!$P$7:$P$456,0))="転出","転出",IF(INDEX(振り分け!$L$7:$L$456,MATCH($AD14,振り分け!$P$7:$P$456,0))="","未決定",INDEX(振り分け!$L$7:$L$456,MATCH($AD14,振り分け!$P$7:$P$456,0)))),"未決定")))</f>
        <v/>
      </c>
      <c r="D14" s="65">
        <f>IF($AE14="","",IF(計算用!$B$1=1,INDEX(新年度名簿!$C$3:$C$452,$AE14),INDEX(前年度名簿!$C$3:$C$452,$AE14)))</f>
        <v/>
      </c>
      <c r="E14" s="66">
        <f>IF($AE14="","",IF(計算用!$B$1=1,INDEX(新年度名簿!$D$3:$D$452,$AE14),INDEX(前年度名簿!$D$3:$D$452,$AE14)))</f>
        <v/>
      </c>
      <c r="F14" s="65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M$7:$M$456,MATCH($AE14,振り分け!$P$7:$P$456,0))="転出","転出",IF(INDEX(振り分け!$L$7:$L$456,MATCH($AE14,振り分け!$P$7:$P$456,0))="","未決定",INDEX(振り分け!$L$7:$L$456,MATCH($AE14,振り分け!$P$7:$P$456,0)))),"未決定")))</f>
        <v/>
      </c>
      <c r="G14" s="65">
        <f>IF($AF14="","",IF(計算用!$B$1=1,INDEX(新年度名簿!$C$3:$C$452,$AF14),INDEX(前年度名簿!$C$3:$C$452,$AF14)))</f>
        <v/>
      </c>
      <c r="H14" s="66">
        <f>IF($AF14="","",IF(計算用!$B$1=1,INDEX(新年度名簿!$D$3:$D$452,$AF14),INDEX(前年度名簿!$D$3:$D$452,$AF14)))</f>
        <v/>
      </c>
      <c r="I14" s="65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M$7:$M$456,MATCH($AF14,振り分け!$P$7:$P$456,0))="転出","転出",IF(INDEX(振り分け!$L$7:$L$456,MATCH($AF14,振り分け!$P$7:$P$456,0))="","未決定",INDEX(振り分け!$L$7:$L$456,MATCH($AF14,振り分け!$P$7:$P$456,0)))),"未決定")))</f>
        <v/>
      </c>
      <c r="J14" s="65">
        <f>IF($AG14="","",IF(計算用!$B$1=1,INDEX(新年度名簿!$C$3:$C$452,$AG14),INDEX(前年度名簿!$C$3:$C$452,$AG14)))</f>
        <v/>
      </c>
      <c r="K14" s="66">
        <f>IF($AG14="","",IF(計算用!$B$1=1,INDEX(新年度名簿!$D$3:$D$452,$AG14),INDEX(前年度名簿!$D$3:$D$452,$AG14)))</f>
        <v/>
      </c>
      <c r="L14" s="65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M$7:$M$456,MATCH($AG14,振り分け!$P$7:$P$456,0))="転出","転出",IF(INDEX(振り分け!$L$7:$L$456,MATCH($AG14,振り分け!$P$7:$P$456,0))="","未決定",INDEX(振り分け!$L$7:$L$456,MATCH($AG14,振り分け!$P$7:$P$456,0)))),"未決定")))</f>
        <v/>
      </c>
      <c r="M14" s="65">
        <f>IF($AH14="","",IF(計算用!$B$1=1,INDEX(新年度名簿!$C$3:$C$452,$AH14),INDEX(前年度名簿!$C$3:$C$452,$AH14)))</f>
        <v/>
      </c>
      <c r="N14" s="66">
        <f>IF($AH14="","",IF(計算用!$B$1=1,INDEX(新年度名簿!$D$3:$D$452,$AH14),INDEX(前年度名簿!$D$3:$D$452,$AH14)))</f>
        <v/>
      </c>
      <c r="O14" s="65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M$7:$M$456,MATCH($AH14,振り分け!$P$7:$P$456,0))="転出","転出",IF(INDEX(振り分け!$L$7:$L$456,MATCH($AH14,振り分け!$P$7:$P$456,0))="","未決定",INDEX(振り分け!$L$7:$L$456,MATCH($AH14,振り分け!$P$7:$P$456,0)))),"未決定")))</f>
        <v/>
      </c>
      <c r="P14" s="65">
        <f>IF($AI14="","",IF(計算用!$B$1=1,INDEX(新年度名簿!$C$3:$C$452,$AI14),INDEX(前年度名簿!$C$3:$C$452,$AI14)))</f>
        <v/>
      </c>
      <c r="Q14" s="66">
        <f>IF($AI14="","",IF(計算用!$B$1=1,INDEX(新年度名簿!$D$3:$D$452,$AI14),INDEX(前年度名簿!$D$3:$D$452,$AI14)))</f>
        <v/>
      </c>
      <c r="R14" s="65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M$7:$M$456,MATCH($AI14,振り分け!$P$7:$P$456,0))="転出","転出",IF(INDEX(振り分け!$L$7:$L$456,MATCH($AI14,振り分け!$P$7:$P$456,0))="","未決定",INDEX(振り分け!$L$7:$L$456,MATCH($AI14,振り分け!$P$7:$P$456,0)))),"未決定")))</f>
        <v/>
      </c>
      <c r="S14" s="65">
        <f>IF($AJ14="","",IF(計算用!$B$1=1,INDEX(新年度名簿!$C$3:$C$452,$AJ14),INDEX(前年度名簿!$C$3:$C$452,$AJ14)))</f>
        <v/>
      </c>
      <c r="T14" s="66">
        <f>IF($AJ14="","",IF(計算用!$B$1=1,INDEX(新年度名簿!$D$3:$D$452,$AJ14),INDEX(前年度名簿!$D$3:$D$452,$AJ14)))</f>
        <v/>
      </c>
      <c r="U14" s="65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M$7:$M$456,MATCH($AJ14,振り分け!$P$7:$P$456,0))="転出","転出",IF(INDEX(振り分け!$L$7:$L$456,MATCH($AJ14,振り分け!$P$7:$P$456,0))="","未決定",INDEX(振り分け!$L$7:$L$456,MATCH($AJ14,振り分け!$P$7:$P$456,0)))),"未決定")))</f>
        <v/>
      </c>
      <c r="V14" s="65">
        <f>IF($AK14="","",IF(計算用!$B$1=1,INDEX(新年度名簿!$C$3:$C$452,$AK14),INDEX(前年度名簿!$C$3:$C$452,$AK14)))</f>
        <v/>
      </c>
      <c r="W14" s="66">
        <f>IF($AK14="","",IF(計算用!$B$1=1,INDEX(新年度名簿!$D$3:$D$452,$AK14),INDEX(前年度名簿!$D$3:$D$452,$AK14)))</f>
        <v/>
      </c>
      <c r="X14" s="65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M$7:$M$456,MATCH($AK14,振り分け!$P$7:$P$456,0))="転出","転出",IF(INDEX(振り分け!$L$7:$L$456,MATCH($AK14,振り分け!$P$7:$P$456,0))="","未決定",INDEX(振り分け!$L$7:$L$456,MATCH($AK14,振り分け!$P$7:$P$456,0)))),"未決定")))</f>
        <v/>
      </c>
      <c r="AD14" s="63">
        <f>IF(計算用!$B$1=1,IFERROR(IF(SMALL(新年度名簿!$J$3:$J$452,$AD$3+10)&lt;18000,MATCH(SMALL(新年度名簿!$J$3:$J$452,$AD$3+10),新年度名簿!$J$3:$J$452,0),""),""),IFERROR(IF(SMALL(前年度名簿!$G$3:$G$452,$AD$3+10)&lt;18000,MATCH(SMALL(前年度名簿!$G$3:$G$452,$AD$3+10),前年度名簿!$G$3:$G$452,0),""),""))</f>
        <v/>
      </c>
      <c r="AE14" s="63">
        <f>IF(計算用!$B$1=1,IFERROR(IF(SMALL(新年度名簿!$J$3:$J$452,$AE$3+10)&lt;19000,MATCH(SMALL(新年度名簿!$J$3:$J$452,$AE$3+10),新年度名簿!$J$3:$J$452,0),""),""),IFERROR(IF(SMALL(前年度名簿!$G$3:$G$452,$AE$3+10)&lt;19000,MATCH(SMALL(前年度名簿!$G$3:$G$452,$AE$3+10),前年度名簿!$G$3:$G$452,0),""),""))</f>
        <v/>
      </c>
      <c r="AF14" s="63">
        <f>IF(計算用!$B$1=1,IFERROR(IF(SMALL(新年度名簿!$J$3:$J$452,$AF$3+10)&lt;20000,MATCH(SMALL(新年度名簿!$J$3:$J$452,$AF$3+10),新年度名簿!$J$3:$J$452,0),""),""),IFERROR(IF(SMALL(前年度名簿!$G$3:$G$452,$AF$3+10)&lt;20000,MATCH(SMALL(前年度名簿!$G$3:$G$452,$AF$3+10),前年度名簿!$G$3:$G$452,0),""),""))</f>
        <v/>
      </c>
      <c r="AG14" s="63">
        <f>IF(計算用!$B$1=1,IFERROR(IF(SMALL(新年度名簿!$J$3:$J$452,$AG$3+10)&lt;21000,MATCH(SMALL(新年度名簿!$J$3:$J$452,$AG$3+10),新年度名簿!$J$3:$J$452,0),""),""),IFERROR(IF(SMALL(前年度名簿!$G$3:$G$452,$AG$3+10)&lt;21000,MATCH(SMALL(前年度名簿!$G$3:$G$452,$AG$3+10),前年度名簿!$G$3:$G$452,0),""),""))</f>
        <v/>
      </c>
      <c r="AH14" s="63">
        <f>IF(計算用!$B$1=1,IFERROR(IF(SMALL(新年度名簿!$J$3:$J$452,$AH$3+10)&lt;22000,MATCH(SMALL(新年度名簿!$J$3:$J$452,$AH$3+10),新年度名簿!$J$3:$J$452,0),""),""),IFERROR(IF(SMALL(前年度名簿!$G$3:$G$452,$AH$3+10)&lt;22000,MATCH(SMALL(前年度名簿!$G$3:$G$452,$AH$3+10),前年度名簿!$G$3:$G$452,0),""),""))</f>
        <v/>
      </c>
      <c r="AI14" s="63">
        <f>IF(計算用!$B$1=1,IFERROR(IF(SMALL(新年度名簿!$J$3:$J$452,$AI$3+10)&lt;23000,MATCH(SMALL(新年度名簿!$J$3:$J$452,$AI$3+10),新年度名簿!$J$3:$J$452,0),""),""),IFERROR(IF(SMALL(前年度名簿!$G$3:$G$452,$AI$3+10)&lt;23000,MATCH(SMALL(前年度名簿!$G$3:$G$452,$AI$3+10),前年度名簿!$G$3:$G$452,0),""),""))</f>
        <v/>
      </c>
      <c r="AJ14" s="63">
        <f>IF(計算用!$B$1=1,IFERROR(IF(SMALL(新年度名簿!$J$3:$J$452,$AJ$3+10)&lt;24000,MATCH(SMALL(新年度名簿!$J$3:$J$452,$AJ$3+10),新年度名簿!$J$3:$J$452,0),""),""),IFERROR(IF(SMALL(前年度名簿!$G$3:$G$452,$AJ$3+10)&lt;24000,MATCH(SMALL(前年度名簿!$G$3:$G$452,$AJ$3+10),前年度名簿!$G$3:$G$452,0),""),""))</f>
        <v/>
      </c>
      <c r="AK14" s="63">
        <f>IF(計算用!$B$1=1,IFERROR(IF(SMALL(新年度名簿!$J$3:$J$452,$AK$3+10)&lt;25000,MATCH(SMALL(新年度名簿!$J$3:$J$452,$AK$3+10),新年度名簿!$J$3:$J$452,0),""),""),IFERROR(IF(SMALL(前年度名簿!$G$3:$G$452,$AK$3+10)&lt;25000,MATCH(SMALL(前年度名簿!$G$3:$G$452,$AK$3+10),前年度名簿!$G$3:$G$452,0),""),""))</f>
        <v/>
      </c>
    </row>
    <row r="15">
      <c r="A15" s="65">
        <f>IF($AD15="","",IF(計算用!$B$1=1,INDEX(新年度名簿!$C$3:$C$452,$AD15),INDEX(前年度名簿!$C$3:$C$452,$AD15)))</f>
        <v/>
      </c>
      <c r="B15" s="66">
        <f>IF($AD15="","",IF(計算用!$B$1=1,INDEX(新年度名簿!$D$3:$D$452,$AD15),INDEX(前年度名簿!$D$3:$D$452,$AD15)))</f>
        <v/>
      </c>
      <c r="C15" s="65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M$7:$M$456,MATCH($AD15,振り分け!$P$7:$P$456,0))="転出","転出",IF(INDEX(振り分け!$L$7:$L$456,MATCH($AD15,振り分け!$P$7:$P$456,0))="","未決定",INDEX(振り分け!$L$7:$L$456,MATCH($AD15,振り分け!$P$7:$P$456,0)))),"未決定")))</f>
        <v/>
      </c>
      <c r="D15" s="65">
        <f>IF($AE15="","",IF(計算用!$B$1=1,INDEX(新年度名簿!$C$3:$C$452,$AE15),INDEX(前年度名簿!$C$3:$C$452,$AE15)))</f>
        <v/>
      </c>
      <c r="E15" s="66">
        <f>IF($AE15="","",IF(計算用!$B$1=1,INDEX(新年度名簿!$D$3:$D$452,$AE15),INDEX(前年度名簿!$D$3:$D$452,$AE15)))</f>
        <v/>
      </c>
      <c r="F15" s="65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M$7:$M$456,MATCH($AE15,振り分け!$P$7:$P$456,0))="転出","転出",IF(INDEX(振り分け!$L$7:$L$456,MATCH($AE15,振り分け!$P$7:$P$456,0))="","未決定",INDEX(振り分け!$L$7:$L$456,MATCH($AE15,振り分け!$P$7:$P$456,0)))),"未決定")))</f>
        <v/>
      </c>
      <c r="G15" s="65">
        <f>IF($AF15="","",IF(計算用!$B$1=1,INDEX(新年度名簿!$C$3:$C$452,$AF15),INDEX(前年度名簿!$C$3:$C$452,$AF15)))</f>
        <v/>
      </c>
      <c r="H15" s="66">
        <f>IF($AF15="","",IF(計算用!$B$1=1,INDEX(新年度名簿!$D$3:$D$452,$AF15),INDEX(前年度名簿!$D$3:$D$452,$AF15)))</f>
        <v/>
      </c>
      <c r="I15" s="65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M$7:$M$456,MATCH($AF15,振り分け!$P$7:$P$456,0))="転出","転出",IF(INDEX(振り分け!$L$7:$L$456,MATCH($AF15,振り分け!$P$7:$P$456,0))="","未決定",INDEX(振り分け!$L$7:$L$456,MATCH($AF15,振り分け!$P$7:$P$456,0)))),"未決定")))</f>
        <v/>
      </c>
      <c r="J15" s="65">
        <f>IF($AG15="","",IF(計算用!$B$1=1,INDEX(新年度名簿!$C$3:$C$452,$AG15),INDEX(前年度名簿!$C$3:$C$452,$AG15)))</f>
        <v/>
      </c>
      <c r="K15" s="66">
        <f>IF($AG15="","",IF(計算用!$B$1=1,INDEX(新年度名簿!$D$3:$D$452,$AG15),INDEX(前年度名簿!$D$3:$D$452,$AG15)))</f>
        <v/>
      </c>
      <c r="L15" s="65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M$7:$M$456,MATCH($AG15,振り分け!$P$7:$P$456,0))="転出","転出",IF(INDEX(振り分け!$L$7:$L$456,MATCH($AG15,振り分け!$P$7:$P$456,0))="","未決定",INDEX(振り分け!$L$7:$L$456,MATCH($AG15,振り分け!$P$7:$P$456,0)))),"未決定")))</f>
        <v/>
      </c>
      <c r="M15" s="65">
        <f>IF($AH15="","",IF(計算用!$B$1=1,INDEX(新年度名簿!$C$3:$C$452,$AH15),INDEX(前年度名簿!$C$3:$C$452,$AH15)))</f>
        <v/>
      </c>
      <c r="N15" s="66">
        <f>IF($AH15="","",IF(計算用!$B$1=1,INDEX(新年度名簿!$D$3:$D$452,$AH15),INDEX(前年度名簿!$D$3:$D$452,$AH15)))</f>
        <v/>
      </c>
      <c r="O15" s="65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M$7:$M$456,MATCH($AH15,振り分け!$P$7:$P$456,0))="転出","転出",IF(INDEX(振り分け!$L$7:$L$456,MATCH($AH15,振り分け!$P$7:$P$456,0))="","未決定",INDEX(振り分け!$L$7:$L$456,MATCH($AH15,振り分け!$P$7:$P$456,0)))),"未決定")))</f>
        <v/>
      </c>
      <c r="P15" s="65">
        <f>IF($AI15="","",IF(計算用!$B$1=1,INDEX(新年度名簿!$C$3:$C$452,$AI15),INDEX(前年度名簿!$C$3:$C$452,$AI15)))</f>
        <v/>
      </c>
      <c r="Q15" s="66">
        <f>IF($AI15="","",IF(計算用!$B$1=1,INDEX(新年度名簿!$D$3:$D$452,$AI15),INDEX(前年度名簿!$D$3:$D$452,$AI15)))</f>
        <v/>
      </c>
      <c r="R15" s="65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M$7:$M$456,MATCH($AI15,振り分け!$P$7:$P$456,0))="転出","転出",IF(INDEX(振り分け!$L$7:$L$456,MATCH($AI15,振り分け!$P$7:$P$456,0))="","未決定",INDEX(振り分け!$L$7:$L$456,MATCH($AI15,振り分け!$P$7:$P$456,0)))),"未決定")))</f>
        <v/>
      </c>
      <c r="S15" s="65">
        <f>IF($AJ15="","",IF(計算用!$B$1=1,INDEX(新年度名簿!$C$3:$C$452,$AJ15),INDEX(前年度名簿!$C$3:$C$452,$AJ15)))</f>
        <v/>
      </c>
      <c r="T15" s="66">
        <f>IF($AJ15="","",IF(計算用!$B$1=1,INDEX(新年度名簿!$D$3:$D$452,$AJ15),INDEX(前年度名簿!$D$3:$D$452,$AJ15)))</f>
        <v/>
      </c>
      <c r="U15" s="65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M$7:$M$456,MATCH($AJ15,振り分け!$P$7:$P$456,0))="転出","転出",IF(INDEX(振り分け!$L$7:$L$456,MATCH($AJ15,振り分け!$P$7:$P$456,0))="","未決定",INDEX(振り分け!$L$7:$L$456,MATCH($AJ15,振り分け!$P$7:$P$456,0)))),"未決定")))</f>
        <v/>
      </c>
      <c r="V15" s="65">
        <f>IF($AK15="","",IF(計算用!$B$1=1,INDEX(新年度名簿!$C$3:$C$452,$AK15),INDEX(前年度名簿!$C$3:$C$452,$AK15)))</f>
        <v/>
      </c>
      <c r="W15" s="66">
        <f>IF($AK15="","",IF(計算用!$B$1=1,INDEX(新年度名簿!$D$3:$D$452,$AK15),INDEX(前年度名簿!$D$3:$D$452,$AK15)))</f>
        <v/>
      </c>
      <c r="X15" s="65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M$7:$M$456,MATCH($AK15,振り分け!$P$7:$P$456,0))="転出","転出",IF(INDEX(振り分け!$L$7:$L$456,MATCH($AK15,振り分け!$P$7:$P$456,0))="","未決定",INDEX(振り分け!$L$7:$L$456,MATCH($AK15,振り分け!$P$7:$P$456,0)))),"未決定")))</f>
        <v/>
      </c>
      <c r="AD15" s="63">
        <f>IF(計算用!$B$1=1,IFERROR(IF(SMALL(新年度名簿!$J$3:$J$452,$AD$3+11)&lt;18000,MATCH(SMALL(新年度名簿!$J$3:$J$452,$AD$3+11),新年度名簿!$J$3:$J$452,0),""),""),IFERROR(IF(SMALL(前年度名簿!$G$3:$G$452,$AD$3+11)&lt;18000,MATCH(SMALL(前年度名簿!$G$3:$G$452,$AD$3+11),前年度名簿!$G$3:$G$452,0),""),""))</f>
        <v/>
      </c>
      <c r="AE15" s="63">
        <f>IF(計算用!$B$1=1,IFERROR(IF(SMALL(新年度名簿!$J$3:$J$452,$AE$3+11)&lt;19000,MATCH(SMALL(新年度名簿!$J$3:$J$452,$AE$3+11),新年度名簿!$J$3:$J$452,0),""),""),IFERROR(IF(SMALL(前年度名簿!$G$3:$G$452,$AE$3+11)&lt;19000,MATCH(SMALL(前年度名簿!$G$3:$G$452,$AE$3+11),前年度名簿!$G$3:$G$452,0),""),""))</f>
        <v/>
      </c>
      <c r="AF15" s="63">
        <f>IF(計算用!$B$1=1,IFERROR(IF(SMALL(新年度名簿!$J$3:$J$452,$AF$3+11)&lt;20000,MATCH(SMALL(新年度名簿!$J$3:$J$452,$AF$3+11),新年度名簿!$J$3:$J$452,0),""),""),IFERROR(IF(SMALL(前年度名簿!$G$3:$G$452,$AF$3+11)&lt;20000,MATCH(SMALL(前年度名簿!$G$3:$G$452,$AF$3+11),前年度名簿!$G$3:$G$452,0),""),""))</f>
        <v/>
      </c>
      <c r="AG15" s="63">
        <f>IF(計算用!$B$1=1,IFERROR(IF(SMALL(新年度名簿!$J$3:$J$452,$AG$3+11)&lt;21000,MATCH(SMALL(新年度名簿!$J$3:$J$452,$AG$3+11),新年度名簿!$J$3:$J$452,0),""),""),IFERROR(IF(SMALL(前年度名簿!$G$3:$G$452,$AG$3+11)&lt;21000,MATCH(SMALL(前年度名簿!$G$3:$G$452,$AG$3+11),前年度名簿!$G$3:$G$452,0),""),""))</f>
        <v/>
      </c>
      <c r="AH15" s="63">
        <f>IF(計算用!$B$1=1,IFERROR(IF(SMALL(新年度名簿!$J$3:$J$452,$AH$3+11)&lt;22000,MATCH(SMALL(新年度名簿!$J$3:$J$452,$AH$3+11),新年度名簿!$J$3:$J$452,0),""),""),IFERROR(IF(SMALL(前年度名簿!$G$3:$G$452,$AH$3+11)&lt;22000,MATCH(SMALL(前年度名簿!$G$3:$G$452,$AH$3+11),前年度名簿!$G$3:$G$452,0),""),""))</f>
        <v/>
      </c>
      <c r="AI15" s="63">
        <f>IF(計算用!$B$1=1,IFERROR(IF(SMALL(新年度名簿!$J$3:$J$452,$AI$3+11)&lt;23000,MATCH(SMALL(新年度名簿!$J$3:$J$452,$AI$3+11),新年度名簿!$J$3:$J$452,0),""),""),IFERROR(IF(SMALL(前年度名簿!$G$3:$G$452,$AI$3+11)&lt;23000,MATCH(SMALL(前年度名簿!$G$3:$G$452,$AI$3+11),前年度名簿!$G$3:$G$452,0),""),""))</f>
        <v/>
      </c>
      <c r="AJ15" s="63">
        <f>IF(計算用!$B$1=1,IFERROR(IF(SMALL(新年度名簿!$J$3:$J$452,$AJ$3+11)&lt;24000,MATCH(SMALL(新年度名簿!$J$3:$J$452,$AJ$3+11),新年度名簿!$J$3:$J$452,0),""),""),IFERROR(IF(SMALL(前年度名簿!$G$3:$G$452,$AJ$3+11)&lt;24000,MATCH(SMALL(前年度名簿!$G$3:$G$452,$AJ$3+11),前年度名簿!$G$3:$G$452,0),""),""))</f>
        <v/>
      </c>
      <c r="AK15" s="63">
        <f>IF(計算用!$B$1=1,IFERROR(IF(SMALL(新年度名簿!$J$3:$J$452,$AK$3+11)&lt;25000,MATCH(SMALL(新年度名簿!$J$3:$J$452,$AK$3+11),新年度名簿!$J$3:$J$452,0),""),""),IFERROR(IF(SMALL(前年度名簿!$G$3:$G$452,$AK$3+11)&lt;25000,MATCH(SMALL(前年度名簿!$G$3:$G$452,$AK$3+11),前年度名簿!$G$3:$G$452,0),""),""))</f>
        <v/>
      </c>
    </row>
    <row r="16">
      <c r="A16" s="65">
        <f>IF($AD16="","",IF(計算用!$B$1=1,INDEX(新年度名簿!$C$3:$C$452,$AD16),INDEX(前年度名簿!$C$3:$C$452,$AD16)))</f>
        <v/>
      </c>
      <c r="B16" s="66">
        <f>IF($AD16="","",IF(計算用!$B$1=1,INDEX(新年度名簿!$D$3:$D$452,$AD16),INDEX(前年度名簿!$D$3:$D$452,$AD16)))</f>
        <v/>
      </c>
      <c r="C16" s="65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M$7:$M$456,MATCH($AD16,振り分け!$P$7:$P$456,0))="転出","転出",IF(INDEX(振り分け!$L$7:$L$456,MATCH($AD16,振り分け!$P$7:$P$456,0))="","未決定",INDEX(振り分け!$L$7:$L$456,MATCH($AD16,振り分け!$P$7:$P$456,0)))),"未決定")))</f>
        <v/>
      </c>
      <c r="D16" s="65">
        <f>IF($AE16="","",IF(計算用!$B$1=1,INDEX(新年度名簿!$C$3:$C$452,$AE16),INDEX(前年度名簿!$C$3:$C$452,$AE16)))</f>
        <v/>
      </c>
      <c r="E16" s="66">
        <f>IF($AE16="","",IF(計算用!$B$1=1,INDEX(新年度名簿!$D$3:$D$452,$AE16),INDEX(前年度名簿!$D$3:$D$452,$AE16)))</f>
        <v/>
      </c>
      <c r="F16" s="65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M$7:$M$456,MATCH($AE16,振り分け!$P$7:$P$456,0))="転出","転出",IF(INDEX(振り分け!$L$7:$L$456,MATCH($AE16,振り分け!$P$7:$P$456,0))="","未決定",INDEX(振り分け!$L$7:$L$456,MATCH($AE16,振り分け!$P$7:$P$456,0)))),"未決定")))</f>
        <v/>
      </c>
      <c r="G16" s="65">
        <f>IF($AF16="","",IF(計算用!$B$1=1,INDEX(新年度名簿!$C$3:$C$452,$AF16),INDEX(前年度名簿!$C$3:$C$452,$AF16)))</f>
        <v/>
      </c>
      <c r="H16" s="66">
        <f>IF($AF16="","",IF(計算用!$B$1=1,INDEX(新年度名簿!$D$3:$D$452,$AF16),INDEX(前年度名簿!$D$3:$D$452,$AF16)))</f>
        <v/>
      </c>
      <c r="I16" s="65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M$7:$M$456,MATCH($AF16,振り分け!$P$7:$P$456,0))="転出","転出",IF(INDEX(振り分け!$L$7:$L$456,MATCH($AF16,振り分け!$P$7:$P$456,0))="","未決定",INDEX(振り分け!$L$7:$L$456,MATCH($AF16,振り分け!$P$7:$P$456,0)))),"未決定")))</f>
        <v/>
      </c>
      <c r="J16" s="65">
        <f>IF($AG16="","",IF(計算用!$B$1=1,INDEX(新年度名簿!$C$3:$C$452,$AG16),INDEX(前年度名簿!$C$3:$C$452,$AG16)))</f>
        <v/>
      </c>
      <c r="K16" s="66">
        <f>IF($AG16="","",IF(計算用!$B$1=1,INDEX(新年度名簿!$D$3:$D$452,$AG16),INDEX(前年度名簿!$D$3:$D$452,$AG16)))</f>
        <v/>
      </c>
      <c r="L16" s="65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M$7:$M$456,MATCH($AG16,振り分け!$P$7:$P$456,0))="転出","転出",IF(INDEX(振り分け!$L$7:$L$456,MATCH($AG16,振り分け!$P$7:$P$456,0))="","未決定",INDEX(振り分け!$L$7:$L$456,MATCH($AG16,振り分け!$P$7:$P$456,0)))),"未決定")))</f>
        <v/>
      </c>
      <c r="M16" s="65">
        <f>IF($AH16="","",IF(計算用!$B$1=1,INDEX(新年度名簿!$C$3:$C$452,$AH16),INDEX(前年度名簿!$C$3:$C$452,$AH16)))</f>
        <v/>
      </c>
      <c r="N16" s="66">
        <f>IF($AH16="","",IF(計算用!$B$1=1,INDEX(新年度名簿!$D$3:$D$452,$AH16),INDEX(前年度名簿!$D$3:$D$452,$AH16)))</f>
        <v/>
      </c>
      <c r="O16" s="65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M$7:$M$456,MATCH($AH16,振り分け!$P$7:$P$456,0))="転出","転出",IF(INDEX(振り分け!$L$7:$L$456,MATCH($AH16,振り分け!$P$7:$P$456,0))="","未決定",INDEX(振り分け!$L$7:$L$456,MATCH($AH16,振り分け!$P$7:$P$456,0)))),"未決定")))</f>
        <v/>
      </c>
      <c r="P16" s="65">
        <f>IF($AI16="","",IF(計算用!$B$1=1,INDEX(新年度名簿!$C$3:$C$452,$AI16),INDEX(前年度名簿!$C$3:$C$452,$AI16)))</f>
        <v/>
      </c>
      <c r="Q16" s="66">
        <f>IF($AI16="","",IF(計算用!$B$1=1,INDEX(新年度名簿!$D$3:$D$452,$AI16),INDEX(前年度名簿!$D$3:$D$452,$AI16)))</f>
        <v/>
      </c>
      <c r="R16" s="65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M$7:$M$456,MATCH($AI16,振り分け!$P$7:$P$456,0))="転出","転出",IF(INDEX(振り分け!$L$7:$L$456,MATCH($AI16,振り分け!$P$7:$P$456,0))="","未決定",INDEX(振り分け!$L$7:$L$456,MATCH($AI16,振り分け!$P$7:$P$456,0)))),"未決定")))</f>
        <v/>
      </c>
      <c r="S16" s="65">
        <f>IF($AJ16="","",IF(計算用!$B$1=1,INDEX(新年度名簿!$C$3:$C$452,$AJ16),INDEX(前年度名簿!$C$3:$C$452,$AJ16)))</f>
        <v/>
      </c>
      <c r="T16" s="66">
        <f>IF($AJ16="","",IF(計算用!$B$1=1,INDEX(新年度名簿!$D$3:$D$452,$AJ16),INDEX(前年度名簿!$D$3:$D$452,$AJ16)))</f>
        <v/>
      </c>
      <c r="U16" s="65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M$7:$M$456,MATCH($AJ16,振り分け!$P$7:$P$456,0))="転出","転出",IF(INDEX(振り分け!$L$7:$L$456,MATCH($AJ16,振り分け!$P$7:$P$456,0))="","未決定",INDEX(振り分け!$L$7:$L$456,MATCH($AJ16,振り分け!$P$7:$P$456,0)))),"未決定")))</f>
        <v/>
      </c>
      <c r="V16" s="65">
        <f>IF($AK16="","",IF(計算用!$B$1=1,INDEX(新年度名簿!$C$3:$C$452,$AK16),INDEX(前年度名簿!$C$3:$C$452,$AK16)))</f>
        <v/>
      </c>
      <c r="W16" s="66">
        <f>IF($AK16="","",IF(計算用!$B$1=1,INDEX(新年度名簿!$D$3:$D$452,$AK16),INDEX(前年度名簿!$D$3:$D$452,$AK16)))</f>
        <v/>
      </c>
      <c r="X16" s="65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M$7:$M$456,MATCH($AK16,振り分け!$P$7:$P$456,0))="転出","転出",IF(INDEX(振り分け!$L$7:$L$456,MATCH($AK16,振り分け!$P$7:$P$456,0))="","未決定",INDEX(振り分け!$L$7:$L$456,MATCH($AK16,振り分け!$P$7:$P$456,0)))),"未決定")))</f>
        <v/>
      </c>
      <c r="AD16" s="63">
        <f>IF(計算用!$B$1=1,IFERROR(IF(SMALL(新年度名簿!$J$3:$J$452,$AD$3+12)&lt;18000,MATCH(SMALL(新年度名簿!$J$3:$J$452,$AD$3+12),新年度名簿!$J$3:$J$452,0),""),""),IFERROR(IF(SMALL(前年度名簿!$G$3:$G$452,$AD$3+12)&lt;18000,MATCH(SMALL(前年度名簿!$G$3:$G$452,$AD$3+12),前年度名簿!$G$3:$G$452,0),""),""))</f>
        <v/>
      </c>
      <c r="AE16" s="63">
        <f>IF(計算用!$B$1=1,IFERROR(IF(SMALL(新年度名簿!$J$3:$J$452,$AE$3+12)&lt;19000,MATCH(SMALL(新年度名簿!$J$3:$J$452,$AE$3+12),新年度名簿!$J$3:$J$452,0),""),""),IFERROR(IF(SMALL(前年度名簿!$G$3:$G$452,$AE$3+12)&lt;19000,MATCH(SMALL(前年度名簿!$G$3:$G$452,$AE$3+12),前年度名簿!$G$3:$G$452,0),""),""))</f>
        <v/>
      </c>
      <c r="AF16" s="63">
        <f>IF(計算用!$B$1=1,IFERROR(IF(SMALL(新年度名簿!$J$3:$J$452,$AF$3+12)&lt;20000,MATCH(SMALL(新年度名簿!$J$3:$J$452,$AF$3+12),新年度名簿!$J$3:$J$452,0),""),""),IFERROR(IF(SMALL(前年度名簿!$G$3:$G$452,$AF$3+12)&lt;20000,MATCH(SMALL(前年度名簿!$G$3:$G$452,$AF$3+12),前年度名簿!$G$3:$G$452,0),""),""))</f>
        <v/>
      </c>
      <c r="AG16" s="63">
        <f>IF(計算用!$B$1=1,IFERROR(IF(SMALL(新年度名簿!$J$3:$J$452,$AG$3+12)&lt;21000,MATCH(SMALL(新年度名簿!$J$3:$J$452,$AG$3+12),新年度名簿!$J$3:$J$452,0),""),""),IFERROR(IF(SMALL(前年度名簿!$G$3:$G$452,$AG$3+12)&lt;21000,MATCH(SMALL(前年度名簿!$G$3:$G$452,$AG$3+12),前年度名簿!$G$3:$G$452,0),""),""))</f>
        <v/>
      </c>
      <c r="AH16" s="63">
        <f>IF(計算用!$B$1=1,IFERROR(IF(SMALL(新年度名簿!$J$3:$J$452,$AH$3+12)&lt;22000,MATCH(SMALL(新年度名簿!$J$3:$J$452,$AH$3+12),新年度名簿!$J$3:$J$452,0),""),""),IFERROR(IF(SMALL(前年度名簿!$G$3:$G$452,$AH$3+12)&lt;22000,MATCH(SMALL(前年度名簿!$G$3:$G$452,$AH$3+12),前年度名簿!$G$3:$G$452,0),""),""))</f>
        <v/>
      </c>
      <c r="AI16" s="63">
        <f>IF(計算用!$B$1=1,IFERROR(IF(SMALL(新年度名簿!$J$3:$J$452,$AI$3+12)&lt;23000,MATCH(SMALL(新年度名簿!$J$3:$J$452,$AI$3+12),新年度名簿!$J$3:$J$452,0),""),""),IFERROR(IF(SMALL(前年度名簿!$G$3:$G$452,$AI$3+12)&lt;23000,MATCH(SMALL(前年度名簿!$G$3:$G$452,$AI$3+12),前年度名簿!$G$3:$G$452,0),""),""))</f>
        <v/>
      </c>
      <c r="AJ16" s="63">
        <f>IF(計算用!$B$1=1,IFERROR(IF(SMALL(新年度名簿!$J$3:$J$452,$AJ$3+12)&lt;24000,MATCH(SMALL(新年度名簿!$J$3:$J$452,$AJ$3+12),新年度名簿!$J$3:$J$452,0),""),""),IFERROR(IF(SMALL(前年度名簿!$G$3:$G$452,$AJ$3+12)&lt;24000,MATCH(SMALL(前年度名簿!$G$3:$G$452,$AJ$3+12),前年度名簿!$G$3:$G$452,0),""),""))</f>
        <v/>
      </c>
      <c r="AK16" s="63">
        <f>IF(計算用!$B$1=1,IFERROR(IF(SMALL(新年度名簿!$J$3:$J$452,$AK$3+12)&lt;25000,MATCH(SMALL(新年度名簿!$J$3:$J$452,$AK$3+12),新年度名簿!$J$3:$J$452,0),""),""),IFERROR(IF(SMALL(前年度名簿!$G$3:$G$452,$AK$3+12)&lt;25000,MATCH(SMALL(前年度名簿!$G$3:$G$452,$AK$3+12),前年度名簿!$G$3:$G$452,0),""),""))</f>
        <v/>
      </c>
    </row>
    <row r="17">
      <c r="A17" s="65">
        <f>IF($AD17="","",IF(計算用!$B$1=1,INDEX(新年度名簿!$C$3:$C$452,$AD17),INDEX(前年度名簿!$C$3:$C$452,$AD17)))</f>
        <v/>
      </c>
      <c r="B17" s="66">
        <f>IF($AD17="","",IF(計算用!$B$1=1,INDEX(新年度名簿!$D$3:$D$452,$AD17),INDEX(前年度名簿!$D$3:$D$452,$AD17)))</f>
        <v/>
      </c>
      <c r="C17" s="65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M$7:$M$456,MATCH($AD17,振り分け!$P$7:$P$456,0))="転出","転出",IF(INDEX(振り分け!$L$7:$L$456,MATCH($AD17,振り分け!$P$7:$P$456,0))="","未決定",INDEX(振り分け!$L$7:$L$456,MATCH($AD17,振り分け!$P$7:$P$456,0)))),"未決定")))</f>
        <v/>
      </c>
      <c r="D17" s="65">
        <f>IF($AE17="","",IF(計算用!$B$1=1,INDEX(新年度名簿!$C$3:$C$452,$AE17),INDEX(前年度名簿!$C$3:$C$452,$AE17)))</f>
        <v/>
      </c>
      <c r="E17" s="66">
        <f>IF($AE17="","",IF(計算用!$B$1=1,INDEX(新年度名簿!$D$3:$D$452,$AE17),INDEX(前年度名簿!$D$3:$D$452,$AE17)))</f>
        <v/>
      </c>
      <c r="F17" s="65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M$7:$M$456,MATCH($AE17,振り分け!$P$7:$P$456,0))="転出","転出",IF(INDEX(振り分け!$L$7:$L$456,MATCH($AE17,振り分け!$P$7:$P$456,0))="","未決定",INDEX(振り分け!$L$7:$L$456,MATCH($AE17,振り分け!$P$7:$P$456,0)))),"未決定")))</f>
        <v/>
      </c>
      <c r="G17" s="65">
        <f>IF($AF17="","",IF(計算用!$B$1=1,INDEX(新年度名簿!$C$3:$C$452,$AF17),INDEX(前年度名簿!$C$3:$C$452,$AF17)))</f>
        <v/>
      </c>
      <c r="H17" s="66">
        <f>IF($AF17="","",IF(計算用!$B$1=1,INDEX(新年度名簿!$D$3:$D$452,$AF17),INDEX(前年度名簿!$D$3:$D$452,$AF17)))</f>
        <v/>
      </c>
      <c r="I17" s="65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M$7:$M$456,MATCH($AF17,振り分け!$P$7:$P$456,0))="転出","転出",IF(INDEX(振り分け!$L$7:$L$456,MATCH($AF17,振り分け!$P$7:$P$456,0))="","未決定",INDEX(振り分け!$L$7:$L$456,MATCH($AF17,振り分け!$P$7:$P$456,0)))),"未決定")))</f>
        <v/>
      </c>
      <c r="J17" s="65">
        <f>IF($AG17="","",IF(計算用!$B$1=1,INDEX(新年度名簿!$C$3:$C$452,$AG17),INDEX(前年度名簿!$C$3:$C$452,$AG17)))</f>
        <v/>
      </c>
      <c r="K17" s="66">
        <f>IF($AG17="","",IF(計算用!$B$1=1,INDEX(新年度名簿!$D$3:$D$452,$AG17),INDEX(前年度名簿!$D$3:$D$452,$AG17)))</f>
        <v/>
      </c>
      <c r="L17" s="65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M$7:$M$456,MATCH($AG17,振り分け!$P$7:$P$456,0))="転出","転出",IF(INDEX(振り分け!$L$7:$L$456,MATCH($AG17,振り分け!$P$7:$P$456,0))="","未決定",INDEX(振り分け!$L$7:$L$456,MATCH($AG17,振り分け!$P$7:$P$456,0)))),"未決定")))</f>
        <v/>
      </c>
      <c r="M17" s="65">
        <f>IF($AH17="","",IF(計算用!$B$1=1,INDEX(新年度名簿!$C$3:$C$452,$AH17),INDEX(前年度名簿!$C$3:$C$452,$AH17)))</f>
        <v/>
      </c>
      <c r="N17" s="66">
        <f>IF($AH17="","",IF(計算用!$B$1=1,INDEX(新年度名簿!$D$3:$D$452,$AH17),INDEX(前年度名簿!$D$3:$D$452,$AH17)))</f>
        <v/>
      </c>
      <c r="O17" s="65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M$7:$M$456,MATCH($AH17,振り分け!$P$7:$P$456,0))="転出","転出",IF(INDEX(振り分け!$L$7:$L$456,MATCH($AH17,振り分け!$P$7:$P$456,0))="","未決定",INDEX(振り分け!$L$7:$L$456,MATCH($AH17,振り分け!$P$7:$P$456,0)))),"未決定")))</f>
        <v/>
      </c>
      <c r="P17" s="65">
        <f>IF($AI17="","",IF(計算用!$B$1=1,INDEX(新年度名簿!$C$3:$C$452,$AI17),INDEX(前年度名簿!$C$3:$C$452,$AI17)))</f>
        <v/>
      </c>
      <c r="Q17" s="66">
        <f>IF($AI17="","",IF(計算用!$B$1=1,INDEX(新年度名簿!$D$3:$D$452,$AI17),INDEX(前年度名簿!$D$3:$D$452,$AI17)))</f>
        <v/>
      </c>
      <c r="R17" s="65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M$7:$M$456,MATCH($AI17,振り分け!$P$7:$P$456,0))="転出","転出",IF(INDEX(振り分け!$L$7:$L$456,MATCH($AI17,振り分け!$P$7:$P$456,0))="","未決定",INDEX(振り分け!$L$7:$L$456,MATCH($AI17,振り分け!$P$7:$P$456,0)))),"未決定")))</f>
        <v/>
      </c>
      <c r="S17" s="65">
        <f>IF($AJ17="","",IF(計算用!$B$1=1,INDEX(新年度名簿!$C$3:$C$452,$AJ17),INDEX(前年度名簿!$C$3:$C$452,$AJ17)))</f>
        <v/>
      </c>
      <c r="T17" s="66">
        <f>IF($AJ17="","",IF(計算用!$B$1=1,INDEX(新年度名簿!$D$3:$D$452,$AJ17),INDEX(前年度名簿!$D$3:$D$452,$AJ17)))</f>
        <v/>
      </c>
      <c r="U17" s="65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M$7:$M$456,MATCH($AJ17,振り分け!$P$7:$P$456,0))="転出","転出",IF(INDEX(振り分け!$L$7:$L$456,MATCH($AJ17,振り分け!$P$7:$P$456,0))="","未決定",INDEX(振り分け!$L$7:$L$456,MATCH($AJ17,振り分け!$P$7:$P$456,0)))),"未決定")))</f>
        <v/>
      </c>
      <c r="V17" s="65">
        <f>IF($AK17="","",IF(計算用!$B$1=1,INDEX(新年度名簿!$C$3:$C$452,$AK17),INDEX(前年度名簿!$C$3:$C$452,$AK17)))</f>
        <v/>
      </c>
      <c r="W17" s="66">
        <f>IF($AK17="","",IF(計算用!$B$1=1,INDEX(新年度名簿!$D$3:$D$452,$AK17),INDEX(前年度名簿!$D$3:$D$452,$AK17)))</f>
        <v/>
      </c>
      <c r="X17" s="65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M$7:$M$456,MATCH($AK17,振り分け!$P$7:$P$456,0))="転出","転出",IF(INDEX(振り分け!$L$7:$L$456,MATCH($AK17,振り分け!$P$7:$P$456,0))="","未決定",INDEX(振り分け!$L$7:$L$456,MATCH($AK17,振り分け!$P$7:$P$456,0)))),"未決定")))</f>
        <v/>
      </c>
      <c r="AD17" s="63">
        <f>IF(計算用!$B$1=1,IFERROR(IF(SMALL(新年度名簿!$J$3:$J$452,$AD$3+13)&lt;18000,MATCH(SMALL(新年度名簿!$J$3:$J$452,$AD$3+13),新年度名簿!$J$3:$J$452,0),""),""),IFERROR(IF(SMALL(前年度名簿!$G$3:$G$452,$AD$3+13)&lt;18000,MATCH(SMALL(前年度名簿!$G$3:$G$452,$AD$3+13),前年度名簿!$G$3:$G$452,0),""),""))</f>
        <v/>
      </c>
      <c r="AE17" s="63">
        <f>IF(計算用!$B$1=1,IFERROR(IF(SMALL(新年度名簿!$J$3:$J$452,$AE$3+13)&lt;19000,MATCH(SMALL(新年度名簿!$J$3:$J$452,$AE$3+13),新年度名簿!$J$3:$J$452,0),""),""),IFERROR(IF(SMALL(前年度名簿!$G$3:$G$452,$AE$3+13)&lt;19000,MATCH(SMALL(前年度名簿!$G$3:$G$452,$AE$3+13),前年度名簿!$G$3:$G$452,0),""),""))</f>
        <v/>
      </c>
      <c r="AF17" s="63">
        <f>IF(計算用!$B$1=1,IFERROR(IF(SMALL(新年度名簿!$J$3:$J$452,$AF$3+13)&lt;20000,MATCH(SMALL(新年度名簿!$J$3:$J$452,$AF$3+13),新年度名簿!$J$3:$J$452,0),""),""),IFERROR(IF(SMALL(前年度名簿!$G$3:$G$452,$AF$3+13)&lt;20000,MATCH(SMALL(前年度名簿!$G$3:$G$452,$AF$3+13),前年度名簿!$G$3:$G$452,0),""),""))</f>
        <v/>
      </c>
      <c r="AG17" s="63">
        <f>IF(計算用!$B$1=1,IFERROR(IF(SMALL(新年度名簿!$J$3:$J$452,$AG$3+13)&lt;21000,MATCH(SMALL(新年度名簿!$J$3:$J$452,$AG$3+13),新年度名簿!$J$3:$J$452,0),""),""),IFERROR(IF(SMALL(前年度名簿!$G$3:$G$452,$AG$3+13)&lt;21000,MATCH(SMALL(前年度名簿!$G$3:$G$452,$AG$3+13),前年度名簿!$G$3:$G$452,0),""),""))</f>
        <v/>
      </c>
      <c r="AH17" s="63">
        <f>IF(計算用!$B$1=1,IFERROR(IF(SMALL(新年度名簿!$J$3:$J$452,$AH$3+13)&lt;22000,MATCH(SMALL(新年度名簿!$J$3:$J$452,$AH$3+13),新年度名簿!$J$3:$J$452,0),""),""),IFERROR(IF(SMALL(前年度名簿!$G$3:$G$452,$AH$3+13)&lt;22000,MATCH(SMALL(前年度名簿!$G$3:$G$452,$AH$3+13),前年度名簿!$G$3:$G$452,0),""),""))</f>
        <v/>
      </c>
      <c r="AI17" s="63">
        <f>IF(計算用!$B$1=1,IFERROR(IF(SMALL(新年度名簿!$J$3:$J$452,$AI$3+13)&lt;23000,MATCH(SMALL(新年度名簿!$J$3:$J$452,$AI$3+13),新年度名簿!$J$3:$J$452,0),""),""),IFERROR(IF(SMALL(前年度名簿!$G$3:$G$452,$AI$3+13)&lt;23000,MATCH(SMALL(前年度名簿!$G$3:$G$452,$AI$3+13),前年度名簿!$G$3:$G$452,0),""),""))</f>
        <v/>
      </c>
      <c r="AJ17" s="63">
        <f>IF(計算用!$B$1=1,IFERROR(IF(SMALL(新年度名簿!$J$3:$J$452,$AJ$3+13)&lt;24000,MATCH(SMALL(新年度名簿!$J$3:$J$452,$AJ$3+13),新年度名簿!$J$3:$J$452,0),""),""),IFERROR(IF(SMALL(前年度名簿!$G$3:$G$452,$AJ$3+13)&lt;24000,MATCH(SMALL(前年度名簿!$G$3:$G$452,$AJ$3+13),前年度名簿!$G$3:$G$452,0),""),""))</f>
        <v/>
      </c>
      <c r="AK17" s="63">
        <f>IF(計算用!$B$1=1,IFERROR(IF(SMALL(新年度名簿!$J$3:$J$452,$AK$3+13)&lt;25000,MATCH(SMALL(新年度名簿!$J$3:$J$452,$AK$3+13),新年度名簿!$J$3:$J$452,0),""),""),IFERROR(IF(SMALL(前年度名簿!$G$3:$G$452,$AK$3+13)&lt;25000,MATCH(SMALL(前年度名簿!$G$3:$G$452,$AK$3+13),前年度名簿!$G$3:$G$452,0),""),""))</f>
        <v/>
      </c>
    </row>
    <row r="18">
      <c r="A18" s="65">
        <f>IF($AD18="","",IF(計算用!$B$1=1,INDEX(新年度名簿!$C$3:$C$452,$AD18),INDEX(前年度名簿!$C$3:$C$452,$AD18)))</f>
        <v/>
      </c>
      <c r="B18" s="66">
        <f>IF($AD18="","",IF(計算用!$B$1=1,INDEX(新年度名簿!$D$3:$D$452,$AD18),INDEX(前年度名簿!$D$3:$D$452,$AD18)))</f>
        <v/>
      </c>
      <c r="C18" s="65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M$7:$M$456,MATCH($AD18,振り分け!$P$7:$P$456,0))="転出","転出",IF(INDEX(振り分け!$L$7:$L$456,MATCH($AD18,振り分け!$P$7:$P$456,0))="","未決定",INDEX(振り分け!$L$7:$L$456,MATCH($AD18,振り分け!$P$7:$P$456,0)))),"未決定")))</f>
        <v/>
      </c>
      <c r="D18" s="65">
        <f>IF($AE18="","",IF(計算用!$B$1=1,INDEX(新年度名簿!$C$3:$C$452,$AE18),INDEX(前年度名簿!$C$3:$C$452,$AE18)))</f>
        <v/>
      </c>
      <c r="E18" s="66">
        <f>IF($AE18="","",IF(計算用!$B$1=1,INDEX(新年度名簿!$D$3:$D$452,$AE18),INDEX(前年度名簿!$D$3:$D$452,$AE18)))</f>
        <v/>
      </c>
      <c r="F18" s="65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M$7:$M$456,MATCH($AE18,振り分け!$P$7:$P$456,0))="転出","転出",IF(INDEX(振り分け!$L$7:$L$456,MATCH($AE18,振り分け!$P$7:$P$456,0))="","未決定",INDEX(振り分け!$L$7:$L$456,MATCH($AE18,振り分け!$P$7:$P$456,0)))),"未決定")))</f>
        <v/>
      </c>
      <c r="G18" s="65">
        <f>IF($AF18="","",IF(計算用!$B$1=1,INDEX(新年度名簿!$C$3:$C$452,$AF18),INDEX(前年度名簿!$C$3:$C$452,$AF18)))</f>
        <v/>
      </c>
      <c r="H18" s="66">
        <f>IF($AF18="","",IF(計算用!$B$1=1,INDEX(新年度名簿!$D$3:$D$452,$AF18),INDEX(前年度名簿!$D$3:$D$452,$AF18)))</f>
        <v/>
      </c>
      <c r="I18" s="65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M$7:$M$456,MATCH($AF18,振り分け!$P$7:$P$456,0))="転出","転出",IF(INDEX(振り分け!$L$7:$L$456,MATCH($AF18,振り分け!$P$7:$P$456,0))="","未決定",INDEX(振り分け!$L$7:$L$456,MATCH($AF18,振り分け!$P$7:$P$456,0)))),"未決定")))</f>
        <v/>
      </c>
      <c r="J18" s="65">
        <f>IF($AG18="","",IF(計算用!$B$1=1,INDEX(新年度名簿!$C$3:$C$452,$AG18),INDEX(前年度名簿!$C$3:$C$452,$AG18)))</f>
        <v/>
      </c>
      <c r="K18" s="66">
        <f>IF($AG18="","",IF(計算用!$B$1=1,INDEX(新年度名簿!$D$3:$D$452,$AG18),INDEX(前年度名簿!$D$3:$D$452,$AG18)))</f>
        <v/>
      </c>
      <c r="L18" s="65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M$7:$M$456,MATCH($AG18,振り分け!$P$7:$P$456,0))="転出","転出",IF(INDEX(振り分け!$L$7:$L$456,MATCH($AG18,振り分け!$P$7:$P$456,0))="","未決定",INDEX(振り分け!$L$7:$L$456,MATCH($AG18,振り分け!$P$7:$P$456,0)))),"未決定")))</f>
        <v/>
      </c>
      <c r="M18" s="65">
        <f>IF($AH18="","",IF(計算用!$B$1=1,INDEX(新年度名簿!$C$3:$C$452,$AH18),INDEX(前年度名簿!$C$3:$C$452,$AH18)))</f>
        <v/>
      </c>
      <c r="N18" s="66">
        <f>IF($AH18="","",IF(計算用!$B$1=1,INDEX(新年度名簿!$D$3:$D$452,$AH18),INDEX(前年度名簿!$D$3:$D$452,$AH18)))</f>
        <v/>
      </c>
      <c r="O18" s="65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M$7:$M$456,MATCH($AH18,振り分け!$P$7:$P$456,0))="転出","転出",IF(INDEX(振り分け!$L$7:$L$456,MATCH($AH18,振り分け!$P$7:$P$456,0))="","未決定",INDEX(振り分け!$L$7:$L$456,MATCH($AH18,振り分け!$P$7:$P$456,0)))),"未決定")))</f>
        <v/>
      </c>
      <c r="P18" s="65">
        <f>IF($AI18="","",IF(計算用!$B$1=1,INDEX(新年度名簿!$C$3:$C$452,$AI18),INDEX(前年度名簿!$C$3:$C$452,$AI18)))</f>
        <v/>
      </c>
      <c r="Q18" s="66">
        <f>IF($AI18="","",IF(計算用!$B$1=1,INDEX(新年度名簿!$D$3:$D$452,$AI18),INDEX(前年度名簿!$D$3:$D$452,$AI18)))</f>
        <v/>
      </c>
      <c r="R18" s="65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M$7:$M$456,MATCH($AI18,振り分け!$P$7:$P$456,0))="転出","転出",IF(INDEX(振り分け!$L$7:$L$456,MATCH($AI18,振り分け!$P$7:$P$456,0))="","未決定",INDEX(振り分け!$L$7:$L$456,MATCH($AI18,振り分け!$P$7:$P$456,0)))),"未決定")))</f>
        <v/>
      </c>
      <c r="S18" s="65">
        <f>IF($AJ18="","",IF(計算用!$B$1=1,INDEX(新年度名簿!$C$3:$C$452,$AJ18),INDEX(前年度名簿!$C$3:$C$452,$AJ18)))</f>
        <v/>
      </c>
      <c r="T18" s="66">
        <f>IF($AJ18="","",IF(計算用!$B$1=1,INDEX(新年度名簿!$D$3:$D$452,$AJ18),INDEX(前年度名簿!$D$3:$D$452,$AJ18)))</f>
        <v/>
      </c>
      <c r="U18" s="65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M$7:$M$456,MATCH($AJ18,振り分け!$P$7:$P$456,0))="転出","転出",IF(INDEX(振り分け!$L$7:$L$456,MATCH($AJ18,振り分け!$P$7:$P$456,0))="","未決定",INDEX(振り分け!$L$7:$L$456,MATCH($AJ18,振り分け!$P$7:$P$456,0)))),"未決定")))</f>
        <v/>
      </c>
      <c r="V18" s="65">
        <f>IF($AK18="","",IF(計算用!$B$1=1,INDEX(新年度名簿!$C$3:$C$452,$AK18),INDEX(前年度名簿!$C$3:$C$452,$AK18)))</f>
        <v/>
      </c>
      <c r="W18" s="66">
        <f>IF($AK18="","",IF(計算用!$B$1=1,INDEX(新年度名簿!$D$3:$D$452,$AK18),INDEX(前年度名簿!$D$3:$D$452,$AK18)))</f>
        <v/>
      </c>
      <c r="X18" s="65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M$7:$M$456,MATCH($AK18,振り分け!$P$7:$P$456,0))="転出","転出",IF(INDEX(振り分け!$L$7:$L$456,MATCH($AK18,振り分け!$P$7:$P$456,0))="","未決定",INDEX(振り分け!$L$7:$L$456,MATCH($AK18,振り分け!$P$7:$P$456,0)))),"未決定")))</f>
        <v/>
      </c>
      <c r="AD18" s="63">
        <f>IF(計算用!$B$1=1,IFERROR(IF(SMALL(新年度名簿!$J$3:$J$452,$AD$3+14)&lt;18000,MATCH(SMALL(新年度名簿!$J$3:$J$452,$AD$3+14),新年度名簿!$J$3:$J$452,0),""),""),IFERROR(IF(SMALL(前年度名簿!$G$3:$G$452,$AD$3+14)&lt;18000,MATCH(SMALL(前年度名簿!$G$3:$G$452,$AD$3+14),前年度名簿!$G$3:$G$452,0),""),""))</f>
        <v/>
      </c>
      <c r="AE18" s="63">
        <f>IF(計算用!$B$1=1,IFERROR(IF(SMALL(新年度名簿!$J$3:$J$452,$AE$3+14)&lt;19000,MATCH(SMALL(新年度名簿!$J$3:$J$452,$AE$3+14),新年度名簿!$J$3:$J$452,0),""),""),IFERROR(IF(SMALL(前年度名簿!$G$3:$G$452,$AE$3+14)&lt;19000,MATCH(SMALL(前年度名簿!$G$3:$G$452,$AE$3+14),前年度名簿!$G$3:$G$452,0),""),""))</f>
        <v/>
      </c>
      <c r="AF18" s="63">
        <f>IF(計算用!$B$1=1,IFERROR(IF(SMALL(新年度名簿!$J$3:$J$452,$AF$3+14)&lt;20000,MATCH(SMALL(新年度名簿!$J$3:$J$452,$AF$3+14),新年度名簿!$J$3:$J$452,0),""),""),IFERROR(IF(SMALL(前年度名簿!$G$3:$G$452,$AF$3+14)&lt;20000,MATCH(SMALL(前年度名簿!$G$3:$G$452,$AF$3+14),前年度名簿!$G$3:$G$452,0),""),""))</f>
        <v/>
      </c>
      <c r="AG18" s="63">
        <f>IF(計算用!$B$1=1,IFERROR(IF(SMALL(新年度名簿!$J$3:$J$452,$AG$3+14)&lt;21000,MATCH(SMALL(新年度名簿!$J$3:$J$452,$AG$3+14),新年度名簿!$J$3:$J$452,0),""),""),IFERROR(IF(SMALL(前年度名簿!$G$3:$G$452,$AG$3+14)&lt;21000,MATCH(SMALL(前年度名簿!$G$3:$G$452,$AG$3+14),前年度名簿!$G$3:$G$452,0),""),""))</f>
        <v/>
      </c>
      <c r="AH18" s="63">
        <f>IF(計算用!$B$1=1,IFERROR(IF(SMALL(新年度名簿!$J$3:$J$452,$AH$3+14)&lt;22000,MATCH(SMALL(新年度名簿!$J$3:$J$452,$AH$3+14),新年度名簿!$J$3:$J$452,0),""),""),IFERROR(IF(SMALL(前年度名簿!$G$3:$G$452,$AH$3+14)&lt;22000,MATCH(SMALL(前年度名簿!$G$3:$G$452,$AH$3+14),前年度名簿!$G$3:$G$452,0),""),""))</f>
        <v/>
      </c>
      <c r="AI18" s="63">
        <f>IF(計算用!$B$1=1,IFERROR(IF(SMALL(新年度名簿!$J$3:$J$452,$AI$3+14)&lt;23000,MATCH(SMALL(新年度名簿!$J$3:$J$452,$AI$3+14),新年度名簿!$J$3:$J$452,0),""),""),IFERROR(IF(SMALL(前年度名簿!$G$3:$G$452,$AI$3+14)&lt;23000,MATCH(SMALL(前年度名簿!$G$3:$G$452,$AI$3+14),前年度名簿!$G$3:$G$452,0),""),""))</f>
        <v/>
      </c>
      <c r="AJ18" s="63">
        <f>IF(計算用!$B$1=1,IFERROR(IF(SMALL(新年度名簿!$J$3:$J$452,$AJ$3+14)&lt;24000,MATCH(SMALL(新年度名簿!$J$3:$J$452,$AJ$3+14),新年度名簿!$J$3:$J$452,0),""),""),IFERROR(IF(SMALL(前年度名簿!$G$3:$G$452,$AJ$3+14)&lt;24000,MATCH(SMALL(前年度名簿!$G$3:$G$452,$AJ$3+14),前年度名簿!$G$3:$G$452,0),""),""))</f>
        <v/>
      </c>
      <c r="AK18" s="63">
        <f>IF(計算用!$B$1=1,IFERROR(IF(SMALL(新年度名簿!$J$3:$J$452,$AK$3+14)&lt;25000,MATCH(SMALL(新年度名簿!$J$3:$J$452,$AK$3+14),新年度名簿!$J$3:$J$452,0),""),""),IFERROR(IF(SMALL(前年度名簿!$G$3:$G$452,$AK$3+14)&lt;25000,MATCH(SMALL(前年度名簿!$G$3:$G$452,$AK$3+14),前年度名簿!$G$3:$G$452,0),""),""))</f>
        <v/>
      </c>
    </row>
    <row r="19">
      <c r="A19" s="65">
        <f>IF($AD19="","",IF(計算用!$B$1=1,INDEX(新年度名簿!$C$3:$C$452,$AD19),INDEX(前年度名簿!$C$3:$C$452,$AD19)))</f>
        <v/>
      </c>
      <c r="B19" s="66">
        <f>IF($AD19="","",IF(計算用!$B$1=1,INDEX(新年度名簿!$D$3:$D$452,$AD19),INDEX(前年度名簿!$D$3:$D$452,$AD19)))</f>
        <v/>
      </c>
      <c r="C19" s="65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M$7:$M$456,MATCH($AD19,振り分け!$P$7:$P$456,0))="転出","転出",IF(INDEX(振り分け!$L$7:$L$456,MATCH($AD19,振り分け!$P$7:$P$456,0))="","未決定",INDEX(振り分け!$L$7:$L$456,MATCH($AD19,振り分け!$P$7:$P$456,0)))),"未決定")))</f>
        <v/>
      </c>
      <c r="D19" s="65">
        <f>IF($AE19="","",IF(計算用!$B$1=1,INDEX(新年度名簿!$C$3:$C$452,$AE19),INDEX(前年度名簿!$C$3:$C$452,$AE19)))</f>
        <v/>
      </c>
      <c r="E19" s="66">
        <f>IF($AE19="","",IF(計算用!$B$1=1,INDEX(新年度名簿!$D$3:$D$452,$AE19),INDEX(前年度名簿!$D$3:$D$452,$AE19)))</f>
        <v/>
      </c>
      <c r="F19" s="65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M$7:$M$456,MATCH($AE19,振り分け!$P$7:$P$456,0))="転出","転出",IF(INDEX(振り分け!$L$7:$L$456,MATCH($AE19,振り分け!$P$7:$P$456,0))="","未決定",INDEX(振り分け!$L$7:$L$456,MATCH($AE19,振り分け!$P$7:$P$456,0)))),"未決定")))</f>
        <v/>
      </c>
      <c r="G19" s="65">
        <f>IF($AF19="","",IF(計算用!$B$1=1,INDEX(新年度名簿!$C$3:$C$452,$AF19),INDEX(前年度名簿!$C$3:$C$452,$AF19)))</f>
        <v/>
      </c>
      <c r="H19" s="66">
        <f>IF($AF19="","",IF(計算用!$B$1=1,INDEX(新年度名簿!$D$3:$D$452,$AF19),INDEX(前年度名簿!$D$3:$D$452,$AF19)))</f>
        <v/>
      </c>
      <c r="I19" s="65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M$7:$M$456,MATCH($AF19,振り分け!$P$7:$P$456,0))="転出","転出",IF(INDEX(振り分け!$L$7:$L$456,MATCH($AF19,振り分け!$P$7:$P$456,0))="","未決定",INDEX(振り分け!$L$7:$L$456,MATCH($AF19,振り分け!$P$7:$P$456,0)))),"未決定")))</f>
        <v/>
      </c>
      <c r="J19" s="65">
        <f>IF($AG19="","",IF(計算用!$B$1=1,INDEX(新年度名簿!$C$3:$C$452,$AG19),INDEX(前年度名簿!$C$3:$C$452,$AG19)))</f>
        <v/>
      </c>
      <c r="K19" s="66">
        <f>IF($AG19="","",IF(計算用!$B$1=1,INDEX(新年度名簿!$D$3:$D$452,$AG19),INDEX(前年度名簿!$D$3:$D$452,$AG19)))</f>
        <v/>
      </c>
      <c r="L19" s="65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M$7:$M$456,MATCH($AG19,振り分け!$P$7:$P$456,0))="転出","転出",IF(INDEX(振り分け!$L$7:$L$456,MATCH($AG19,振り分け!$P$7:$P$456,0))="","未決定",INDEX(振り分け!$L$7:$L$456,MATCH($AG19,振り分け!$P$7:$P$456,0)))),"未決定")))</f>
        <v/>
      </c>
      <c r="M19" s="65">
        <f>IF($AH19="","",IF(計算用!$B$1=1,INDEX(新年度名簿!$C$3:$C$452,$AH19),INDEX(前年度名簿!$C$3:$C$452,$AH19)))</f>
        <v/>
      </c>
      <c r="N19" s="66">
        <f>IF($AH19="","",IF(計算用!$B$1=1,INDEX(新年度名簿!$D$3:$D$452,$AH19),INDEX(前年度名簿!$D$3:$D$452,$AH19)))</f>
        <v/>
      </c>
      <c r="O19" s="65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M$7:$M$456,MATCH($AH19,振り分け!$P$7:$P$456,0))="転出","転出",IF(INDEX(振り分け!$L$7:$L$456,MATCH($AH19,振り分け!$P$7:$P$456,0))="","未決定",INDEX(振り分け!$L$7:$L$456,MATCH($AH19,振り分け!$P$7:$P$456,0)))),"未決定")))</f>
        <v/>
      </c>
      <c r="P19" s="65">
        <f>IF($AI19="","",IF(計算用!$B$1=1,INDEX(新年度名簿!$C$3:$C$452,$AI19),INDEX(前年度名簿!$C$3:$C$452,$AI19)))</f>
        <v/>
      </c>
      <c r="Q19" s="66">
        <f>IF($AI19="","",IF(計算用!$B$1=1,INDEX(新年度名簿!$D$3:$D$452,$AI19),INDEX(前年度名簿!$D$3:$D$452,$AI19)))</f>
        <v/>
      </c>
      <c r="R19" s="65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M$7:$M$456,MATCH($AI19,振り分け!$P$7:$P$456,0))="転出","転出",IF(INDEX(振り分け!$L$7:$L$456,MATCH($AI19,振り分け!$P$7:$P$456,0))="","未決定",INDEX(振り分け!$L$7:$L$456,MATCH($AI19,振り分け!$P$7:$P$456,0)))),"未決定")))</f>
        <v/>
      </c>
      <c r="S19" s="65">
        <f>IF($AJ19="","",IF(計算用!$B$1=1,INDEX(新年度名簿!$C$3:$C$452,$AJ19),INDEX(前年度名簿!$C$3:$C$452,$AJ19)))</f>
        <v/>
      </c>
      <c r="T19" s="66">
        <f>IF($AJ19="","",IF(計算用!$B$1=1,INDEX(新年度名簿!$D$3:$D$452,$AJ19),INDEX(前年度名簿!$D$3:$D$452,$AJ19)))</f>
        <v/>
      </c>
      <c r="U19" s="65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M$7:$M$456,MATCH($AJ19,振り分け!$P$7:$P$456,0))="転出","転出",IF(INDEX(振り分け!$L$7:$L$456,MATCH($AJ19,振り分け!$P$7:$P$456,0))="","未決定",INDEX(振り分け!$L$7:$L$456,MATCH($AJ19,振り分け!$P$7:$P$456,0)))),"未決定")))</f>
        <v/>
      </c>
      <c r="V19" s="65">
        <f>IF($AK19="","",IF(計算用!$B$1=1,INDEX(新年度名簿!$C$3:$C$452,$AK19),INDEX(前年度名簿!$C$3:$C$452,$AK19)))</f>
        <v/>
      </c>
      <c r="W19" s="66">
        <f>IF($AK19="","",IF(計算用!$B$1=1,INDEX(新年度名簿!$D$3:$D$452,$AK19),INDEX(前年度名簿!$D$3:$D$452,$AK19)))</f>
        <v/>
      </c>
      <c r="X19" s="65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M$7:$M$456,MATCH($AK19,振り分け!$P$7:$P$456,0))="転出","転出",IF(INDEX(振り分け!$L$7:$L$456,MATCH($AK19,振り分け!$P$7:$P$456,0))="","未決定",INDEX(振り分け!$L$7:$L$456,MATCH($AK19,振り分け!$P$7:$P$456,0)))),"未決定")))</f>
        <v/>
      </c>
      <c r="AD19" s="63">
        <f>IF(計算用!$B$1=1,IFERROR(IF(SMALL(新年度名簿!$J$3:$J$452,$AD$3+15)&lt;18000,MATCH(SMALL(新年度名簿!$J$3:$J$452,$AD$3+15),新年度名簿!$J$3:$J$452,0),""),""),IFERROR(IF(SMALL(前年度名簿!$G$3:$G$452,$AD$3+15)&lt;18000,MATCH(SMALL(前年度名簿!$G$3:$G$452,$AD$3+15),前年度名簿!$G$3:$G$452,0),""),""))</f>
        <v/>
      </c>
      <c r="AE19" s="63">
        <f>IF(計算用!$B$1=1,IFERROR(IF(SMALL(新年度名簿!$J$3:$J$452,$AE$3+15)&lt;19000,MATCH(SMALL(新年度名簿!$J$3:$J$452,$AE$3+15),新年度名簿!$J$3:$J$452,0),""),""),IFERROR(IF(SMALL(前年度名簿!$G$3:$G$452,$AE$3+15)&lt;19000,MATCH(SMALL(前年度名簿!$G$3:$G$452,$AE$3+15),前年度名簿!$G$3:$G$452,0),""),""))</f>
        <v/>
      </c>
      <c r="AF19" s="63">
        <f>IF(計算用!$B$1=1,IFERROR(IF(SMALL(新年度名簿!$J$3:$J$452,$AF$3+15)&lt;20000,MATCH(SMALL(新年度名簿!$J$3:$J$452,$AF$3+15),新年度名簿!$J$3:$J$452,0),""),""),IFERROR(IF(SMALL(前年度名簿!$G$3:$G$452,$AF$3+15)&lt;20000,MATCH(SMALL(前年度名簿!$G$3:$G$452,$AF$3+15),前年度名簿!$G$3:$G$452,0),""),""))</f>
        <v/>
      </c>
      <c r="AG19" s="63">
        <f>IF(計算用!$B$1=1,IFERROR(IF(SMALL(新年度名簿!$J$3:$J$452,$AG$3+15)&lt;21000,MATCH(SMALL(新年度名簿!$J$3:$J$452,$AG$3+15),新年度名簿!$J$3:$J$452,0),""),""),IFERROR(IF(SMALL(前年度名簿!$G$3:$G$452,$AG$3+15)&lt;21000,MATCH(SMALL(前年度名簿!$G$3:$G$452,$AG$3+15),前年度名簿!$G$3:$G$452,0),""),""))</f>
        <v/>
      </c>
      <c r="AH19" s="63">
        <f>IF(計算用!$B$1=1,IFERROR(IF(SMALL(新年度名簿!$J$3:$J$452,$AH$3+15)&lt;22000,MATCH(SMALL(新年度名簿!$J$3:$J$452,$AH$3+15),新年度名簿!$J$3:$J$452,0),""),""),IFERROR(IF(SMALL(前年度名簿!$G$3:$G$452,$AH$3+15)&lt;22000,MATCH(SMALL(前年度名簿!$G$3:$G$452,$AH$3+15),前年度名簿!$G$3:$G$452,0),""),""))</f>
        <v/>
      </c>
      <c r="AI19" s="63">
        <f>IF(計算用!$B$1=1,IFERROR(IF(SMALL(新年度名簿!$J$3:$J$452,$AI$3+15)&lt;23000,MATCH(SMALL(新年度名簿!$J$3:$J$452,$AI$3+15),新年度名簿!$J$3:$J$452,0),""),""),IFERROR(IF(SMALL(前年度名簿!$G$3:$G$452,$AI$3+15)&lt;23000,MATCH(SMALL(前年度名簿!$G$3:$G$452,$AI$3+15),前年度名簿!$G$3:$G$452,0),""),""))</f>
        <v/>
      </c>
      <c r="AJ19" s="63">
        <f>IF(計算用!$B$1=1,IFERROR(IF(SMALL(新年度名簿!$J$3:$J$452,$AJ$3+15)&lt;24000,MATCH(SMALL(新年度名簿!$J$3:$J$452,$AJ$3+15),新年度名簿!$J$3:$J$452,0),""),""),IFERROR(IF(SMALL(前年度名簿!$G$3:$G$452,$AJ$3+15)&lt;24000,MATCH(SMALL(前年度名簿!$G$3:$G$452,$AJ$3+15),前年度名簿!$G$3:$G$452,0),""),""))</f>
        <v/>
      </c>
      <c r="AK19" s="63">
        <f>IF(計算用!$B$1=1,IFERROR(IF(SMALL(新年度名簿!$J$3:$J$452,$AK$3+15)&lt;25000,MATCH(SMALL(新年度名簿!$J$3:$J$452,$AK$3+15),新年度名簿!$J$3:$J$452,0),""),""),IFERROR(IF(SMALL(前年度名簿!$G$3:$G$452,$AK$3+15)&lt;25000,MATCH(SMALL(前年度名簿!$G$3:$G$452,$AK$3+15),前年度名簿!$G$3:$G$452,0),""),""))</f>
        <v/>
      </c>
    </row>
    <row r="20">
      <c r="A20" s="65">
        <f>IF($AD20="","",IF(計算用!$B$1=1,INDEX(新年度名簿!$C$3:$C$452,$AD20),INDEX(前年度名簿!$C$3:$C$452,$AD20)))</f>
        <v/>
      </c>
      <c r="B20" s="66">
        <f>IF($AD20="","",IF(計算用!$B$1=1,INDEX(新年度名簿!$D$3:$D$452,$AD20),INDEX(前年度名簿!$D$3:$D$452,$AD20)))</f>
        <v/>
      </c>
      <c r="C20" s="65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M$7:$M$456,MATCH($AD20,振り分け!$P$7:$P$456,0))="転出","転出",IF(INDEX(振り分け!$L$7:$L$456,MATCH($AD20,振り分け!$P$7:$P$456,0))="","未決定",INDEX(振り分け!$L$7:$L$456,MATCH($AD20,振り分け!$P$7:$P$456,0)))),"未決定")))</f>
        <v/>
      </c>
      <c r="D20" s="65">
        <f>IF($AE20="","",IF(計算用!$B$1=1,INDEX(新年度名簿!$C$3:$C$452,$AE20),INDEX(前年度名簿!$C$3:$C$452,$AE20)))</f>
        <v/>
      </c>
      <c r="E20" s="66">
        <f>IF($AE20="","",IF(計算用!$B$1=1,INDEX(新年度名簿!$D$3:$D$452,$AE20),INDEX(前年度名簿!$D$3:$D$452,$AE20)))</f>
        <v/>
      </c>
      <c r="F20" s="65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M$7:$M$456,MATCH($AE20,振り分け!$P$7:$P$456,0))="転出","転出",IF(INDEX(振り分け!$L$7:$L$456,MATCH($AE20,振り分け!$P$7:$P$456,0))="","未決定",INDEX(振り分け!$L$7:$L$456,MATCH($AE20,振り分け!$P$7:$P$456,0)))),"未決定")))</f>
        <v/>
      </c>
      <c r="G20" s="65">
        <f>IF($AF20="","",IF(計算用!$B$1=1,INDEX(新年度名簿!$C$3:$C$452,$AF20),INDEX(前年度名簿!$C$3:$C$452,$AF20)))</f>
        <v/>
      </c>
      <c r="H20" s="66">
        <f>IF($AF20="","",IF(計算用!$B$1=1,INDEX(新年度名簿!$D$3:$D$452,$AF20),INDEX(前年度名簿!$D$3:$D$452,$AF20)))</f>
        <v/>
      </c>
      <c r="I20" s="65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M$7:$M$456,MATCH($AF20,振り分け!$P$7:$P$456,0))="転出","転出",IF(INDEX(振り分け!$L$7:$L$456,MATCH($AF20,振り分け!$P$7:$P$456,0))="","未決定",INDEX(振り分け!$L$7:$L$456,MATCH($AF20,振り分け!$P$7:$P$456,0)))),"未決定")))</f>
        <v/>
      </c>
      <c r="J20" s="65">
        <f>IF($AG20="","",IF(計算用!$B$1=1,INDEX(新年度名簿!$C$3:$C$452,$AG20),INDEX(前年度名簿!$C$3:$C$452,$AG20)))</f>
        <v/>
      </c>
      <c r="K20" s="66">
        <f>IF($AG20="","",IF(計算用!$B$1=1,INDEX(新年度名簿!$D$3:$D$452,$AG20),INDEX(前年度名簿!$D$3:$D$452,$AG20)))</f>
        <v/>
      </c>
      <c r="L20" s="65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M$7:$M$456,MATCH($AG20,振り分け!$P$7:$P$456,0))="転出","転出",IF(INDEX(振り分け!$L$7:$L$456,MATCH($AG20,振り分け!$P$7:$P$456,0))="","未決定",INDEX(振り分け!$L$7:$L$456,MATCH($AG20,振り分け!$P$7:$P$456,0)))),"未決定")))</f>
        <v/>
      </c>
      <c r="M20" s="65">
        <f>IF($AH20="","",IF(計算用!$B$1=1,INDEX(新年度名簿!$C$3:$C$452,$AH20),INDEX(前年度名簿!$C$3:$C$452,$AH20)))</f>
        <v/>
      </c>
      <c r="N20" s="66">
        <f>IF($AH20="","",IF(計算用!$B$1=1,INDEX(新年度名簿!$D$3:$D$452,$AH20),INDEX(前年度名簿!$D$3:$D$452,$AH20)))</f>
        <v/>
      </c>
      <c r="O20" s="65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M$7:$M$456,MATCH($AH20,振り分け!$P$7:$P$456,0))="転出","転出",IF(INDEX(振り分け!$L$7:$L$456,MATCH($AH20,振り分け!$P$7:$P$456,0))="","未決定",INDEX(振り分け!$L$7:$L$456,MATCH($AH20,振り分け!$P$7:$P$456,0)))),"未決定")))</f>
        <v/>
      </c>
      <c r="P20" s="65">
        <f>IF($AI20="","",IF(計算用!$B$1=1,INDEX(新年度名簿!$C$3:$C$452,$AI20),INDEX(前年度名簿!$C$3:$C$452,$AI20)))</f>
        <v/>
      </c>
      <c r="Q20" s="66">
        <f>IF($AI20="","",IF(計算用!$B$1=1,INDEX(新年度名簿!$D$3:$D$452,$AI20),INDEX(前年度名簿!$D$3:$D$452,$AI20)))</f>
        <v/>
      </c>
      <c r="R20" s="65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M$7:$M$456,MATCH($AI20,振り分け!$P$7:$P$456,0))="転出","転出",IF(INDEX(振り分け!$L$7:$L$456,MATCH($AI20,振り分け!$P$7:$P$456,0))="","未決定",INDEX(振り分け!$L$7:$L$456,MATCH($AI20,振り分け!$P$7:$P$456,0)))),"未決定")))</f>
        <v/>
      </c>
      <c r="S20" s="65">
        <f>IF($AJ20="","",IF(計算用!$B$1=1,INDEX(新年度名簿!$C$3:$C$452,$AJ20),INDEX(前年度名簿!$C$3:$C$452,$AJ20)))</f>
        <v/>
      </c>
      <c r="T20" s="66">
        <f>IF($AJ20="","",IF(計算用!$B$1=1,INDEX(新年度名簿!$D$3:$D$452,$AJ20),INDEX(前年度名簿!$D$3:$D$452,$AJ20)))</f>
        <v/>
      </c>
      <c r="U20" s="65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M$7:$M$456,MATCH($AJ20,振り分け!$P$7:$P$456,0))="転出","転出",IF(INDEX(振り分け!$L$7:$L$456,MATCH($AJ20,振り分け!$P$7:$P$456,0))="","未決定",INDEX(振り分け!$L$7:$L$456,MATCH($AJ20,振り分け!$P$7:$P$456,0)))),"未決定")))</f>
        <v/>
      </c>
      <c r="V20" s="65">
        <f>IF($AK20="","",IF(計算用!$B$1=1,INDEX(新年度名簿!$C$3:$C$452,$AK20),INDEX(前年度名簿!$C$3:$C$452,$AK20)))</f>
        <v/>
      </c>
      <c r="W20" s="66">
        <f>IF($AK20="","",IF(計算用!$B$1=1,INDEX(新年度名簿!$D$3:$D$452,$AK20),INDEX(前年度名簿!$D$3:$D$452,$AK20)))</f>
        <v/>
      </c>
      <c r="X20" s="65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M$7:$M$456,MATCH($AK20,振り分け!$P$7:$P$456,0))="転出","転出",IF(INDEX(振り分け!$L$7:$L$456,MATCH($AK20,振り分け!$P$7:$P$456,0))="","未決定",INDEX(振り分け!$L$7:$L$456,MATCH($AK20,振り分け!$P$7:$P$456,0)))),"未決定")))</f>
        <v/>
      </c>
      <c r="AD20" s="63">
        <f>IF(計算用!$B$1=1,IFERROR(IF(SMALL(新年度名簿!$J$3:$J$452,$AD$3+16)&lt;18000,MATCH(SMALL(新年度名簿!$J$3:$J$452,$AD$3+16),新年度名簿!$J$3:$J$452,0),""),""),IFERROR(IF(SMALL(前年度名簿!$G$3:$G$452,$AD$3+16)&lt;18000,MATCH(SMALL(前年度名簿!$G$3:$G$452,$AD$3+16),前年度名簿!$G$3:$G$452,0),""),""))</f>
        <v/>
      </c>
      <c r="AE20" s="63">
        <f>IF(計算用!$B$1=1,IFERROR(IF(SMALL(新年度名簿!$J$3:$J$452,$AE$3+16)&lt;19000,MATCH(SMALL(新年度名簿!$J$3:$J$452,$AE$3+16),新年度名簿!$J$3:$J$452,0),""),""),IFERROR(IF(SMALL(前年度名簿!$G$3:$G$452,$AE$3+16)&lt;19000,MATCH(SMALL(前年度名簿!$G$3:$G$452,$AE$3+16),前年度名簿!$G$3:$G$452,0),""),""))</f>
        <v/>
      </c>
      <c r="AF20" s="63">
        <f>IF(計算用!$B$1=1,IFERROR(IF(SMALL(新年度名簿!$J$3:$J$452,$AF$3+16)&lt;20000,MATCH(SMALL(新年度名簿!$J$3:$J$452,$AF$3+16),新年度名簿!$J$3:$J$452,0),""),""),IFERROR(IF(SMALL(前年度名簿!$G$3:$G$452,$AF$3+16)&lt;20000,MATCH(SMALL(前年度名簿!$G$3:$G$452,$AF$3+16),前年度名簿!$G$3:$G$452,0),""),""))</f>
        <v/>
      </c>
      <c r="AG20" s="63">
        <f>IF(計算用!$B$1=1,IFERROR(IF(SMALL(新年度名簿!$J$3:$J$452,$AG$3+16)&lt;21000,MATCH(SMALL(新年度名簿!$J$3:$J$452,$AG$3+16),新年度名簿!$J$3:$J$452,0),""),""),IFERROR(IF(SMALL(前年度名簿!$G$3:$G$452,$AG$3+16)&lt;21000,MATCH(SMALL(前年度名簿!$G$3:$G$452,$AG$3+16),前年度名簿!$G$3:$G$452,0),""),""))</f>
        <v/>
      </c>
      <c r="AH20" s="63">
        <f>IF(計算用!$B$1=1,IFERROR(IF(SMALL(新年度名簿!$J$3:$J$452,$AH$3+16)&lt;22000,MATCH(SMALL(新年度名簿!$J$3:$J$452,$AH$3+16),新年度名簿!$J$3:$J$452,0),""),""),IFERROR(IF(SMALL(前年度名簿!$G$3:$G$452,$AH$3+16)&lt;22000,MATCH(SMALL(前年度名簿!$G$3:$G$452,$AH$3+16),前年度名簿!$G$3:$G$452,0),""),""))</f>
        <v/>
      </c>
      <c r="AI20" s="63">
        <f>IF(計算用!$B$1=1,IFERROR(IF(SMALL(新年度名簿!$J$3:$J$452,$AI$3+16)&lt;23000,MATCH(SMALL(新年度名簿!$J$3:$J$452,$AI$3+16),新年度名簿!$J$3:$J$452,0),""),""),IFERROR(IF(SMALL(前年度名簿!$G$3:$G$452,$AI$3+16)&lt;23000,MATCH(SMALL(前年度名簿!$G$3:$G$452,$AI$3+16),前年度名簿!$G$3:$G$452,0),""),""))</f>
        <v/>
      </c>
      <c r="AJ20" s="63">
        <f>IF(計算用!$B$1=1,IFERROR(IF(SMALL(新年度名簿!$J$3:$J$452,$AJ$3+16)&lt;24000,MATCH(SMALL(新年度名簿!$J$3:$J$452,$AJ$3+16),新年度名簿!$J$3:$J$452,0),""),""),IFERROR(IF(SMALL(前年度名簿!$G$3:$G$452,$AJ$3+16)&lt;24000,MATCH(SMALL(前年度名簿!$G$3:$G$452,$AJ$3+16),前年度名簿!$G$3:$G$452,0),""),""))</f>
        <v/>
      </c>
      <c r="AK20" s="63">
        <f>IF(計算用!$B$1=1,IFERROR(IF(SMALL(新年度名簿!$J$3:$J$452,$AK$3+16)&lt;25000,MATCH(SMALL(新年度名簿!$J$3:$J$452,$AK$3+16),新年度名簿!$J$3:$J$452,0),""),""),IFERROR(IF(SMALL(前年度名簿!$G$3:$G$452,$AK$3+16)&lt;25000,MATCH(SMALL(前年度名簿!$G$3:$G$452,$AK$3+16),前年度名簿!$G$3:$G$452,0),""),""))</f>
        <v/>
      </c>
    </row>
    <row r="21">
      <c r="A21" s="65">
        <f>IF($AD21="","",IF(計算用!$B$1=1,INDEX(新年度名簿!$C$3:$C$452,$AD21),INDEX(前年度名簿!$C$3:$C$452,$AD21)))</f>
        <v/>
      </c>
      <c r="B21" s="66">
        <f>IF($AD21="","",IF(計算用!$B$1=1,INDEX(新年度名簿!$D$3:$D$452,$AD21),INDEX(前年度名簿!$D$3:$D$452,$AD21)))</f>
        <v/>
      </c>
      <c r="C21" s="65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M$7:$M$456,MATCH($AD21,振り分け!$P$7:$P$456,0))="転出","転出",IF(INDEX(振り分け!$L$7:$L$456,MATCH($AD21,振り分け!$P$7:$P$456,0))="","未決定",INDEX(振り分け!$L$7:$L$456,MATCH($AD21,振り分け!$P$7:$P$456,0)))),"未決定")))</f>
        <v/>
      </c>
      <c r="D21" s="65">
        <f>IF($AE21="","",IF(計算用!$B$1=1,INDEX(新年度名簿!$C$3:$C$452,$AE21),INDEX(前年度名簿!$C$3:$C$452,$AE21)))</f>
        <v/>
      </c>
      <c r="E21" s="66">
        <f>IF($AE21="","",IF(計算用!$B$1=1,INDEX(新年度名簿!$D$3:$D$452,$AE21),INDEX(前年度名簿!$D$3:$D$452,$AE21)))</f>
        <v/>
      </c>
      <c r="F21" s="65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M$7:$M$456,MATCH($AE21,振り分け!$P$7:$P$456,0))="転出","転出",IF(INDEX(振り分け!$L$7:$L$456,MATCH($AE21,振り分け!$P$7:$P$456,0))="","未決定",INDEX(振り分け!$L$7:$L$456,MATCH($AE21,振り分け!$P$7:$P$456,0)))),"未決定")))</f>
        <v/>
      </c>
      <c r="G21" s="65">
        <f>IF($AF21="","",IF(計算用!$B$1=1,INDEX(新年度名簿!$C$3:$C$452,$AF21),INDEX(前年度名簿!$C$3:$C$452,$AF21)))</f>
        <v/>
      </c>
      <c r="H21" s="66">
        <f>IF($AF21="","",IF(計算用!$B$1=1,INDEX(新年度名簿!$D$3:$D$452,$AF21),INDEX(前年度名簿!$D$3:$D$452,$AF21)))</f>
        <v/>
      </c>
      <c r="I21" s="65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M$7:$M$456,MATCH($AF21,振り分け!$P$7:$P$456,0))="転出","転出",IF(INDEX(振り分け!$L$7:$L$456,MATCH($AF21,振り分け!$P$7:$P$456,0))="","未決定",INDEX(振り分け!$L$7:$L$456,MATCH($AF21,振り分け!$P$7:$P$456,0)))),"未決定")))</f>
        <v/>
      </c>
      <c r="J21" s="65">
        <f>IF($AG21="","",IF(計算用!$B$1=1,INDEX(新年度名簿!$C$3:$C$452,$AG21),INDEX(前年度名簿!$C$3:$C$452,$AG21)))</f>
        <v/>
      </c>
      <c r="K21" s="66">
        <f>IF($AG21="","",IF(計算用!$B$1=1,INDEX(新年度名簿!$D$3:$D$452,$AG21),INDEX(前年度名簿!$D$3:$D$452,$AG21)))</f>
        <v/>
      </c>
      <c r="L21" s="65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M$7:$M$456,MATCH($AG21,振り分け!$P$7:$P$456,0))="転出","転出",IF(INDEX(振り分け!$L$7:$L$456,MATCH($AG21,振り分け!$P$7:$P$456,0))="","未決定",INDEX(振り分け!$L$7:$L$456,MATCH($AG21,振り分け!$P$7:$P$456,0)))),"未決定")))</f>
        <v/>
      </c>
      <c r="M21" s="65">
        <f>IF($AH21="","",IF(計算用!$B$1=1,INDEX(新年度名簿!$C$3:$C$452,$AH21),INDEX(前年度名簿!$C$3:$C$452,$AH21)))</f>
        <v/>
      </c>
      <c r="N21" s="66">
        <f>IF($AH21="","",IF(計算用!$B$1=1,INDEX(新年度名簿!$D$3:$D$452,$AH21),INDEX(前年度名簿!$D$3:$D$452,$AH21)))</f>
        <v/>
      </c>
      <c r="O21" s="65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M$7:$M$456,MATCH($AH21,振り分け!$P$7:$P$456,0))="転出","転出",IF(INDEX(振り分け!$L$7:$L$456,MATCH($AH21,振り分け!$P$7:$P$456,0))="","未決定",INDEX(振り分け!$L$7:$L$456,MATCH($AH21,振り分け!$P$7:$P$456,0)))),"未決定")))</f>
        <v/>
      </c>
      <c r="P21" s="65">
        <f>IF($AI21="","",IF(計算用!$B$1=1,INDEX(新年度名簿!$C$3:$C$452,$AI21),INDEX(前年度名簿!$C$3:$C$452,$AI21)))</f>
        <v/>
      </c>
      <c r="Q21" s="66">
        <f>IF($AI21="","",IF(計算用!$B$1=1,INDEX(新年度名簿!$D$3:$D$452,$AI21),INDEX(前年度名簿!$D$3:$D$452,$AI21)))</f>
        <v/>
      </c>
      <c r="R21" s="65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M$7:$M$456,MATCH($AI21,振り分け!$P$7:$P$456,0))="転出","転出",IF(INDEX(振り分け!$L$7:$L$456,MATCH($AI21,振り分け!$P$7:$P$456,0))="","未決定",INDEX(振り分け!$L$7:$L$456,MATCH($AI21,振り分け!$P$7:$P$456,0)))),"未決定")))</f>
        <v/>
      </c>
      <c r="S21" s="65">
        <f>IF($AJ21="","",IF(計算用!$B$1=1,INDEX(新年度名簿!$C$3:$C$452,$AJ21),INDEX(前年度名簿!$C$3:$C$452,$AJ21)))</f>
        <v/>
      </c>
      <c r="T21" s="66">
        <f>IF($AJ21="","",IF(計算用!$B$1=1,INDEX(新年度名簿!$D$3:$D$452,$AJ21),INDEX(前年度名簿!$D$3:$D$452,$AJ21)))</f>
        <v/>
      </c>
      <c r="U21" s="65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M$7:$M$456,MATCH($AJ21,振り分け!$P$7:$P$456,0))="転出","転出",IF(INDEX(振り分け!$L$7:$L$456,MATCH($AJ21,振り分け!$P$7:$P$456,0))="","未決定",INDEX(振り分け!$L$7:$L$456,MATCH($AJ21,振り分け!$P$7:$P$456,0)))),"未決定")))</f>
        <v/>
      </c>
      <c r="V21" s="65">
        <f>IF($AK21="","",IF(計算用!$B$1=1,INDEX(新年度名簿!$C$3:$C$452,$AK21),INDEX(前年度名簿!$C$3:$C$452,$AK21)))</f>
        <v/>
      </c>
      <c r="W21" s="66">
        <f>IF($AK21="","",IF(計算用!$B$1=1,INDEX(新年度名簿!$D$3:$D$452,$AK21),INDEX(前年度名簿!$D$3:$D$452,$AK21)))</f>
        <v/>
      </c>
      <c r="X21" s="65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M$7:$M$456,MATCH($AK21,振り分け!$P$7:$P$456,0))="転出","転出",IF(INDEX(振り分け!$L$7:$L$456,MATCH($AK21,振り分け!$P$7:$P$456,0))="","未決定",INDEX(振り分け!$L$7:$L$456,MATCH($AK21,振り分け!$P$7:$P$456,0)))),"未決定")))</f>
        <v/>
      </c>
      <c r="AD21" s="63">
        <f>IF(計算用!$B$1=1,IFERROR(IF(SMALL(新年度名簿!$J$3:$J$452,$AD$3+17)&lt;18000,MATCH(SMALL(新年度名簿!$J$3:$J$452,$AD$3+17),新年度名簿!$J$3:$J$452,0),""),""),IFERROR(IF(SMALL(前年度名簿!$G$3:$G$452,$AD$3+17)&lt;18000,MATCH(SMALL(前年度名簿!$G$3:$G$452,$AD$3+17),前年度名簿!$G$3:$G$452,0),""),""))</f>
        <v/>
      </c>
      <c r="AE21" s="63">
        <f>IF(計算用!$B$1=1,IFERROR(IF(SMALL(新年度名簿!$J$3:$J$452,$AE$3+17)&lt;19000,MATCH(SMALL(新年度名簿!$J$3:$J$452,$AE$3+17),新年度名簿!$J$3:$J$452,0),""),""),IFERROR(IF(SMALL(前年度名簿!$G$3:$G$452,$AE$3+17)&lt;19000,MATCH(SMALL(前年度名簿!$G$3:$G$452,$AE$3+17),前年度名簿!$G$3:$G$452,0),""),""))</f>
        <v/>
      </c>
      <c r="AF21" s="63">
        <f>IF(計算用!$B$1=1,IFERROR(IF(SMALL(新年度名簿!$J$3:$J$452,$AF$3+17)&lt;20000,MATCH(SMALL(新年度名簿!$J$3:$J$452,$AF$3+17),新年度名簿!$J$3:$J$452,0),""),""),IFERROR(IF(SMALL(前年度名簿!$G$3:$G$452,$AF$3+17)&lt;20000,MATCH(SMALL(前年度名簿!$G$3:$G$452,$AF$3+17),前年度名簿!$G$3:$G$452,0),""),""))</f>
        <v/>
      </c>
      <c r="AG21" s="63">
        <f>IF(計算用!$B$1=1,IFERROR(IF(SMALL(新年度名簿!$J$3:$J$452,$AG$3+17)&lt;21000,MATCH(SMALL(新年度名簿!$J$3:$J$452,$AG$3+17),新年度名簿!$J$3:$J$452,0),""),""),IFERROR(IF(SMALL(前年度名簿!$G$3:$G$452,$AG$3+17)&lt;21000,MATCH(SMALL(前年度名簿!$G$3:$G$452,$AG$3+17),前年度名簿!$G$3:$G$452,0),""),""))</f>
        <v/>
      </c>
      <c r="AH21" s="63">
        <f>IF(計算用!$B$1=1,IFERROR(IF(SMALL(新年度名簿!$J$3:$J$452,$AH$3+17)&lt;22000,MATCH(SMALL(新年度名簿!$J$3:$J$452,$AH$3+17),新年度名簿!$J$3:$J$452,0),""),""),IFERROR(IF(SMALL(前年度名簿!$G$3:$G$452,$AH$3+17)&lt;22000,MATCH(SMALL(前年度名簿!$G$3:$G$452,$AH$3+17),前年度名簿!$G$3:$G$452,0),""),""))</f>
        <v/>
      </c>
      <c r="AI21" s="63">
        <f>IF(計算用!$B$1=1,IFERROR(IF(SMALL(新年度名簿!$J$3:$J$452,$AI$3+17)&lt;23000,MATCH(SMALL(新年度名簿!$J$3:$J$452,$AI$3+17),新年度名簿!$J$3:$J$452,0),""),""),IFERROR(IF(SMALL(前年度名簿!$G$3:$G$452,$AI$3+17)&lt;23000,MATCH(SMALL(前年度名簿!$G$3:$G$452,$AI$3+17),前年度名簿!$G$3:$G$452,0),""),""))</f>
        <v/>
      </c>
      <c r="AJ21" s="63">
        <f>IF(計算用!$B$1=1,IFERROR(IF(SMALL(新年度名簿!$J$3:$J$452,$AJ$3+17)&lt;24000,MATCH(SMALL(新年度名簿!$J$3:$J$452,$AJ$3+17),新年度名簿!$J$3:$J$452,0),""),""),IFERROR(IF(SMALL(前年度名簿!$G$3:$G$452,$AJ$3+17)&lt;24000,MATCH(SMALL(前年度名簿!$G$3:$G$452,$AJ$3+17),前年度名簿!$G$3:$G$452,0),""),""))</f>
        <v/>
      </c>
      <c r="AK21" s="63">
        <f>IF(計算用!$B$1=1,IFERROR(IF(SMALL(新年度名簿!$J$3:$J$452,$AK$3+17)&lt;25000,MATCH(SMALL(新年度名簿!$J$3:$J$452,$AK$3+17),新年度名簿!$J$3:$J$452,0),""),""),IFERROR(IF(SMALL(前年度名簿!$G$3:$G$452,$AK$3+17)&lt;25000,MATCH(SMALL(前年度名簿!$G$3:$G$452,$AK$3+17),前年度名簿!$G$3:$G$452,0),""),""))</f>
        <v/>
      </c>
    </row>
    <row r="22">
      <c r="A22" s="65">
        <f>IF($AD22="","",IF(計算用!$B$1=1,INDEX(新年度名簿!$C$3:$C$452,$AD22),INDEX(前年度名簿!$C$3:$C$452,$AD22)))</f>
        <v/>
      </c>
      <c r="B22" s="66">
        <f>IF($AD22="","",IF(計算用!$B$1=1,INDEX(新年度名簿!$D$3:$D$452,$AD22),INDEX(前年度名簿!$D$3:$D$452,$AD22)))</f>
        <v/>
      </c>
      <c r="C22" s="65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M$7:$M$456,MATCH($AD22,振り分け!$P$7:$P$456,0))="転出","転出",IF(INDEX(振り分け!$L$7:$L$456,MATCH($AD22,振り分け!$P$7:$P$456,0))="","未決定",INDEX(振り分け!$L$7:$L$456,MATCH($AD22,振り分け!$P$7:$P$456,0)))),"未決定")))</f>
        <v/>
      </c>
      <c r="D22" s="65">
        <f>IF($AE22="","",IF(計算用!$B$1=1,INDEX(新年度名簿!$C$3:$C$452,$AE22),INDEX(前年度名簿!$C$3:$C$452,$AE22)))</f>
        <v/>
      </c>
      <c r="E22" s="66">
        <f>IF($AE22="","",IF(計算用!$B$1=1,INDEX(新年度名簿!$D$3:$D$452,$AE22),INDEX(前年度名簿!$D$3:$D$452,$AE22)))</f>
        <v/>
      </c>
      <c r="F22" s="65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M$7:$M$456,MATCH($AE22,振り分け!$P$7:$P$456,0))="転出","転出",IF(INDEX(振り分け!$L$7:$L$456,MATCH($AE22,振り分け!$P$7:$P$456,0))="","未決定",INDEX(振り分け!$L$7:$L$456,MATCH($AE22,振り分け!$P$7:$P$456,0)))),"未決定")))</f>
        <v/>
      </c>
      <c r="G22" s="65">
        <f>IF($AF22="","",IF(計算用!$B$1=1,INDEX(新年度名簿!$C$3:$C$452,$AF22),INDEX(前年度名簿!$C$3:$C$452,$AF22)))</f>
        <v/>
      </c>
      <c r="H22" s="66">
        <f>IF($AF22="","",IF(計算用!$B$1=1,INDEX(新年度名簿!$D$3:$D$452,$AF22),INDEX(前年度名簿!$D$3:$D$452,$AF22)))</f>
        <v/>
      </c>
      <c r="I22" s="65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M$7:$M$456,MATCH($AF22,振り分け!$P$7:$P$456,0))="転出","転出",IF(INDEX(振り分け!$L$7:$L$456,MATCH($AF22,振り分け!$P$7:$P$456,0))="","未決定",INDEX(振り分け!$L$7:$L$456,MATCH($AF22,振り分け!$P$7:$P$456,0)))),"未決定")))</f>
        <v/>
      </c>
      <c r="J22" s="65">
        <f>IF($AG22="","",IF(計算用!$B$1=1,INDEX(新年度名簿!$C$3:$C$452,$AG22),INDEX(前年度名簿!$C$3:$C$452,$AG22)))</f>
        <v/>
      </c>
      <c r="K22" s="66">
        <f>IF($AG22="","",IF(計算用!$B$1=1,INDEX(新年度名簿!$D$3:$D$452,$AG22),INDEX(前年度名簿!$D$3:$D$452,$AG22)))</f>
        <v/>
      </c>
      <c r="L22" s="65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M$7:$M$456,MATCH($AG22,振り分け!$P$7:$P$456,0))="転出","転出",IF(INDEX(振り分け!$L$7:$L$456,MATCH($AG22,振り分け!$P$7:$P$456,0))="","未決定",INDEX(振り分け!$L$7:$L$456,MATCH($AG22,振り分け!$P$7:$P$456,0)))),"未決定")))</f>
        <v/>
      </c>
      <c r="M22" s="65">
        <f>IF($AH22="","",IF(計算用!$B$1=1,INDEX(新年度名簿!$C$3:$C$452,$AH22),INDEX(前年度名簿!$C$3:$C$452,$AH22)))</f>
        <v/>
      </c>
      <c r="N22" s="66">
        <f>IF($AH22="","",IF(計算用!$B$1=1,INDEX(新年度名簿!$D$3:$D$452,$AH22),INDEX(前年度名簿!$D$3:$D$452,$AH22)))</f>
        <v/>
      </c>
      <c r="O22" s="65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M$7:$M$456,MATCH($AH22,振り分け!$P$7:$P$456,0))="転出","転出",IF(INDEX(振り分け!$L$7:$L$456,MATCH($AH22,振り分け!$P$7:$P$456,0))="","未決定",INDEX(振り分け!$L$7:$L$456,MATCH($AH22,振り分け!$P$7:$P$456,0)))),"未決定")))</f>
        <v/>
      </c>
      <c r="P22" s="65">
        <f>IF($AI22="","",IF(計算用!$B$1=1,INDEX(新年度名簿!$C$3:$C$452,$AI22),INDEX(前年度名簿!$C$3:$C$452,$AI22)))</f>
        <v/>
      </c>
      <c r="Q22" s="66">
        <f>IF($AI22="","",IF(計算用!$B$1=1,INDEX(新年度名簿!$D$3:$D$452,$AI22),INDEX(前年度名簿!$D$3:$D$452,$AI22)))</f>
        <v/>
      </c>
      <c r="R22" s="65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M$7:$M$456,MATCH($AI22,振り分け!$P$7:$P$456,0))="転出","転出",IF(INDEX(振り分け!$L$7:$L$456,MATCH($AI22,振り分け!$P$7:$P$456,0))="","未決定",INDEX(振り分け!$L$7:$L$456,MATCH($AI22,振り分け!$P$7:$P$456,0)))),"未決定")))</f>
        <v/>
      </c>
      <c r="S22" s="65">
        <f>IF($AJ22="","",IF(計算用!$B$1=1,INDEX(新年度名簿!$C$3:$C$452,$AJ22),INDEX(前年度名簿!$C$3:$C$452,$AJ22)))</f>
        <v/>
      </c>
      <c r="T22" s="66">
        <f>IF($AJ22="","",IF(計算用!$B$1=1,INDEX(新年度名簿!$D$3:$D$452,$AJ22),INDEX(前年度名簿!$D$3:$D$452,$AJ22)))</f>
        <v/>
      </c>
      <c r="U22" s="65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M$7:$M$456,MATCH($AJ22,振り分け!$P$7:$P$456,0))="転出","転出",IF(INDEX(振り分け!$L$7:$L$456,MATCH($AJ22,振り分け!$P$7:$P$456,0))="","未決定",INDEX(振り分け!$L$7:$L$456,MATCH($AJ22,振り分け!$P$7:$P$456,0)))),"未決定")))</f>
        <v/>
      </c>
      <c r="V22" s="65">
        <f>IF($AK22="","",IF(計算用!$B$1=1,INDEX(新年度名簿!$C$3:$C$452,$AK22),INDEX(前年度名簿!$C$3:$C$452,$AK22)))</f>
        <v/>
      </c>
      <c r="W22" s="66">
        <f>IF($AK22="","",IF(計算用!$B$1=1,INDEX(新年度名簿!$D$3:$D$452,$AK22),INDEX(前年度名簿!$D$3:$D$452,$AK22)))</f>
        <v/>
      </c>
      <c r="X22" s="65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M$7:$M$456,MATCH($AK22,振り分け!$P$7:$P$456,0))="転出","転出",IF(INDEX(振り分け!$L$7:$L$456,MATCH($AK22,振り分け!$P$7:$P$456,0))="","未決定",INDEX(振り分け!$L$7:$L$456,MATCH($AK22,振り分け!$P$7:$P$456,0)))),"未決定")))</f>
        <v/>
      </c>
      <c r="AD22" s="63">
        <f>IF(計算用!$B$1=1,IFERROR(IF(SMALL(新年度名簿!$J$3:$J$452,$AD$3+18)&lt;18000,MATCH(SMALL(新年度名簿!$J$3:$J$452,$AD$3+18),新年度名簿!$J$3:$J$452,0),""),""),IFERROR(IF(SMALL(前年度名簿!$G$3:$G$452,$AD$3+18)&lt;18000,MATCH(SMALL(前年度名簿!$G$3:$G$452,$AD$3+18),前年度名簿!$G$3:$G$452,0),""),""))</f>
        <v/>
      </c>
      <c r="AE22" s="63">
        <f>IF(計算用!$B$1=1,IFERROR(IF(SMALL(新年度名簿!$J$3:$J$452,$AE$3+18)&lt;19000,MATCH(SMALL(新年度名簿!$J$3:$J$452,$AE$3+18),新年度名簿!$J$3:$J$452,0),""),""),IFERROR(IF(SMALL(前年度名簿!$G$3:$G$452,$AE$3+18)&lt;19000,MATCH(SMALL(前年度名簿!$G$3:$G$452,$AE$3+18),前年度名簿!$G$3:$G$452,0),""),""))</f>
        <v/>
      </c>
      <c r="AF22" s="63">
        <f>IF(計算用!$B$1=1,IFERROR(IF(SMALL(新年度名簿!$J$3:$J$452,$AF$3+18)&lt;20000,MATCH(SMALL(新年度名簿!$J$3:$J$452,$AF$3+18),新年度名簿!$J$3:$J$452,0),""),""),IFERROR(IF(SMALL(前年度名簿!$G$3:$G$452,$AF$3+18)&lt;20000,MATCH(SMALL(前年度名簿!$G$3:$G$452,$AF$3+18),前年度名簿!$G$3:$G$452,0),""),""))</f>
        <v/>
      </c>
      <c r="AG22" s="63">
        <f>IF(計算用!$B$1=1,IFERROR(IF(SMALL(新年度名簿!$J$3:$J$452,$AG$3+18)&lt;21000,MATCH(SMALL(新年度名簿!$J$3:$J$452,$AG$3+18),新年度名簿!$J$3:$J$452,0),""),""),IFERROR(IF(SMALL(前年度名簿!$G$3:$G$452,$AG$3+18)&lt;21000,MATCH(SMALL(前年度名簿!$G$3:$G$452,$AG$3+18),前年度名簿!$G$3:$G$452,0),""),""))</f>
        <v/>
      </c>
      <c r="AH22" s="63">
        <f>IF(計算用!$B$1=1,IFERROR(IF(SMALL(新年度名簿!$J$3:$J$452,$AH$3+18)&lt;22000,MATCH(SMALL(新年度名簿!$J$3:$J$452,$AH$3+18),新年度名簿!$J$3:$J$452,0),""),""),IFERROR(IF(SMALL(前年度名簿!$G$3:$G$452,$AH$3+18)&lt;22000,MATCH(SMALL(前年度名簿!$G$3:$G$452,$AH$3+18),前年度名簿!$G$3:$G$452,0),""),""))</f>
        <v/>
      </c>
      <c r="AI22" s="63">
        <f>IF(計算用!$B$1=1,IFERROR(IF(SMALL(新年度名簿!$J$3:$J$452,$AI$3+18)&lt;23000,MATCH(SMALL(新年度名簿!$J$3:$J$452,$AI$3+18),新年度名簿!$J$3:$J$452,0),""),""),IFERROR(IF(SMALL(前年度名簿!$G$3:$G$452,$AI$3+18)&lt;23000,MATCH(SMALL(前年度名簿!$G$3:$G$452,$AI$3+18),前年度名簿!$G$3:$G$452,0),""),""))</f>
        <v/>
      </c>
      <c r="AJ22" s="63">
        <f>IF(計算用!$B$1=1,IFERROR(IF(SMALL(新年度名簿!$J$3:$J$452,$AJ$3+18)&lt;24000,MATCH(SMALL(新年度名簿!$J$3:$J$452,$AJ$3+18),新年度名簿!$J$3:$J$452,0),""),""),IFERROR(IF(SMALL(前年度名簿!$G$3:$G$452,$AJ$3+18)&lt;24000,MATCH(SMALL(前年度名簿!$G$3:$G$452,$AJ$3+18),前年度名簿!$G$3:$G$452,0),""),""))</f>
        <v/>
      </c>
      <c r="AK22" s="63">
        <f>IF(計算用!$B$1=1,IFERROR(IF(SMALL(新年度名簿!$J$3:$J$452,$AK$3+18)&lt;25000,MATCH(SMALL(新年度名簿!$J$3:$J$452,$AK$3+18),新年度名簿!$J$3:$J$452,0),""),""),IFERROR(IF(SMALL(前年度名簿!$G$3:$G$452,$AK$3+18)&lt;25000,MATCH(SMALL(前年度名簿!$G$3:$G$452,$AK$3+18),前年度名簿!$G$3:$G$452,0),""),""))</f>
        <v/>
      </c>
    </row>
    <row r="23">
      <c r="A23" s="65">
        <f>IF($AD23="","",IF(計算用!$B$1=1,INDEX(新年度名簿!$C$3:$C$452,$AD23),INDEX(前年度名簿!$C$3:$C$452,$AD23)))</f>
        <v/>
      </c>
      <c r="B23" s="66">
        <f>IF($AD23="","",IF(計算用!$B$1=1,INDEX(新年度名簿!$D$3:$D$452,$AD23),INDEX(前年度名簿!$D$3:$D$452,$AD23)))</f>
        <v/>
      </c>
      <c r="C23" s="65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M$7:$M$456,MATCH($AD23,振り分け!$P$7:$P$456,0))="転出","転出",IF(INDEX(振り分け!$L$7:$L$456,MATCH($AD23,振り分け!$P$7:$P$456,0))="","未決定",INDEX(振り分け!$L$7:$L$456,MATCH($AD23,振り分け!$P$7:$P$456,0)))),"未決定")))</f>
        <v/>
      </c>
      <c r="D23" s="65">
        <f>IF($AE23="","",IF(計算用!$B$1=1,INDEX(新年度名簿!$C$3:$C$452,$AE23),INDEX(前年度名簿!$C$3:$C$452,$AE23)))</f>
        <v/>
      </c>
      <c r="E23" s="66">
        <f>IF($AE23="","",IF(計算用!$B$1=1,INDEX(新年度名簿!$D$3:$D$452,$AE23),INDEX(前年度名簿!$D$3:$D$452,$AE23)))</f>
        <v/>
      </c>
      <c r="F23" s="65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M$7:$M$456,MATCH($AE23,振り分け!$P$7:$P$456,0))="転出","転出",IF(INDEX(振り分け!$L$7:$L$456,MATCH($AE23,振り分け!$P$7:$P$456,0))="","未決定",INDEX(振り分け!$L$7:$L$456,MATCH($AE23,振り分け!$P$7:$P$456,0)))),"未決定")))</f>
        <v/>
      </c>
      <c r="G23" s="65">
        <f>IF($AF23="","",IF(計算用!$B$1=1,INDEX(新年度名簿!$C$3:$C$452,$AF23),INDEX(前年度名簿!$C$3:$C$452,$AF23)))</f>
        <v/>
      </c>
      <c r="H23" s="66">
        <f>IF($AF23="","",IF(計算用!$B$1=1,INDEX(新年度名簿!$D$3:$D$452,$AF23),INDEX(前年度名簿!$D$3:$D$452,$AF23)))</f>
        <v/>
      </c>
      <c r="I23" s="65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M$7:$M$456,MATCH($AF23,振り分け!$P$7:$P$456,0))="転出","転出",IF(INDEX(振り分け!$L$7:$L$456,MATCH($AF23,振り分け!$P$7:$P$456,0))="","未決定",INDEX(振り分け!$L$7:$L$456,MATCH($AF23,振り分け!$P$7:$P$456,0)))),"未決定")))</f>
        <v/>
      </c>
      <c r="J23" s="65">
        <f>IF($AG23="","",IF(計算用!$B$1=1,INDEX(新年度名簿!$C$3:$C$452,$AG23),INDEX(前年度名簿!$C$3:$C$452,$AG23)))</f>
        <v/>
      </c>
      <c r="K23" s="66">
        <f>IF($AG23="","",IF(計算用!$B$1=1,INDEX(新年度名簿!$D$3:$D$452,$AG23),INDEX(前年度名簿!$D$3:$D$452,$AG23)))</f>
        <v/>
      </c>
      <c r="L23" s="65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M$7:$M$456,MATCH($AG23,振り分け!$P$7:$P$456,0))="転出","転出",IF(INDEX(振り分け!$L$7:$L$456,MATCH($AG23,振り分け!$P$7:$P$456,0))="","未決定",INDEX(振り分け!$L$7:$L$456,MATCH($AG23,振り分け!$P$7:$P$456,0)))),"未決定")))</f>
        <v/>
      </c>
      <c r="M23" s="65">
        <f>IF($AH23="","",IF(計算用!$B$1=1,INDEX(新年度名簿!$C$3:$C$452,$AH23),INDEX(前年度名簿!$C$3:$C$452,$AH23)))</f>
        <v/>
      </c>
      <c r="N23" s="66">
        <f>IF($AH23="","",IF(計算用!$B$1=1,INDEX(新年度名簿!$D$3:$D$452,$AH23),INDEX(前年度名簿!$D$3:$D$452,$AH23)))</f>
        <v/>
      </c>
      <c r="O23" s="65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M$7:$M$456,MATCH($AH23,振り分け!$P$7:$P$456,0))="転出","転出",IF(INDEX(振り分け!$L$7:$L$456,MATCH($AH23,振り分け!$P$7:$P$456,0))="","未決定",INDEX(振り分け!$L$7:$L$456,MATCH($AH23,振り分け!$P$7:$P$456,0)))),"未決定")))</f>
        <v/>
      </c>
      <c r="P23" s="65">
        <f>IF($AI23="","",IF(計算用!$B$1=1,INDEX(新年度名簿!$C$3:$C$452,$AI23),INDEX(前年度名簿!$C$3:$C$452,$AI23)))</f>
        <v/>
      </c>
      <c r="Q23" s="66">
        <f>IF($AI23="","",IF(計算用!$B$1=1,INDEX(新年度名簿!$D$3:$D$452,$AI23),INDEX(前年度名簿!$D$3:$D$452,$AI23)))</f>
        <v/>
      </c>
      <c r="R23" s="65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M$7:$M$456,MATCH($AI23,振り分け!$P$7:$P$456,0))="転出","転出",IF(INDEX(振り分け!$L$7:$L$456,MATCH($AI23,振り分け!$P$7:$P$456,0))="","未決定",INDEX(振り分け!$L$7:$L$456,MATCH($AI23,振り分け!$P$7:$P$456,0)))),"未決定")))</f>
        <v/>
      </c>
      <c r="S23" s="65">
        <f>IF($AJ23="","",IF(計算用!$B$1=1,INDEX(新年度名簿!$C$3:$C$452,$AJ23),INDEX(前年度名簿!$C$3:$C$452,$AJ23)))</f>
        <v/>
      </c>
      <c r="T23" s="66">
        <f>IF($AJ23="","",IF(計算用!$B$1=1,INDEX(新年度名簿!$D$3:$D$452,$AJ23),INDEX(前年度名簿!$D$3:$D$452,$AJ23)))</f>
        <v/>
      </c>
      <c r="U23" s="65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M$7:$M$456,MATCH($AJ23,振り分け!$P$7:$P$456,0))="転出","転出",IF(INDEX(振り分け!$L$7:$L$456,MATCH($AJ23,振り分け!$P$7:$P$456,0))="","未決定",INDEX(振り分け!$L$7:$L$456,MATCH($AJ23,振り分け!$P$7:$P$456,0)))),"未決定")))</f>
        <v/>
      </c>
      <c r="V23" s="65">
        <f>IF($AK23="","",IF(計算用!$B$1=1,INDEX(新年度名簿!$C$3:$C$452,$AK23),INDEX(前年度名簿!$C$3:$C$452,$AK23)))</f>
        <v/>
      </c>
      <c r="W23" s="66">
        <f>IF($AK23="","",IF(計算用!$B$1=1,INDEX(新年度名簿!$D$3:$D$452,$AK23),INDEX(前年度名簿!$D$3:$D$452,$AK23)))</f>
        <v/>
      </c>
      <c r="X23" s="65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M$7:$M$456,MATCH($AK23,振り分け!$P$7:$P$456,0))="転出","転出",IF(INDEX(振り分け!$L$7:$L$456,MATCH($AK23,振り分け!$P$7:$P$456,0))="","未決定",INDEX(振り分け!$L$7:$L$456,MATCH($AK23,振り分け!$P$7:$P$456,0)))),"未決定")))</f>
        <v/>
      </c>
      <c r="AD23" s="63">
        <f>IF(計算用!$B$1=1,IFERROR(IF(SMALL(新年度名簿!$J$3:$J$452,$AD$3+19)&lt;18000,MATCH(SMALL(新年度名簿!$J$3:$J$452,$AD$3+19),新年度名簿!$J$3:$J$452,0),""),""),IFERROR(IF(SMALL(前年度名簿!$G$3:$G$452,$AD$3+19)&lt;18000,MATCH(SMALL(前年度名簿!$G$3:$G$452,$AD$3+19),前年度名簿!$G$3:$G$452,0),""),""))</f>
        <v/>
      </c>
      <c r="AE23" s="63">
        <f>IF(計算用!$B$1=1,IFERROR(IF(SMALL(新年度名簿!$J$3:$J$452,$AE$3+19)&lt;19000,MATCH(SMALL(新年度名簿!$J$3:$J$452,$AE$3+19),新年度名簿!$J$3:$J$452,0),""),""),IFERROR(IF(SMALL(前年度名簿!$G$3:$G$452,$AE$3+19)&lt;19000,MATCH(SMALL(前年度名簿!$G$3:$G$452,$AE$3+19),前年度名簿!$G$3:$G$452,0),""),""))</f>
        <v/>
      </c>
      <c r="AF23" s="63">
        <f>IF(計算用!$B$1=1,IFERROR(IF(SMALL(新年度名簿!$J$3:$J$452,$AF$3+19)&lt;20000,MATCH(SMALL(新年度名簿!$J$3:$J$452,$AF$3+19),新年度名簿!$J$3:$J$452,0),""),""),IFERROR(IF(SMALL(前年度名簿!$G$3:$G$452,$AF$3+19)&lt;20000,MATCH(SMALL(前年度名簿!$G$3:$G$452,$AF$3+19),前年度名簿!$G$3:$G$452,0),""),""))</f>
        <v/>
      </c>
      <c r="AG23" s="63">
        <f>IF(計算用!$B$1=1,IFERROR(IF(SMALL(新年度名簿!$J$3:$J$452,$AG$3+19)&lt;21000,MATCH(SMALL(新年度名簿!$J$3:$J$452,$AG$3+19),新年度名簿!$J$3:$J$452,0),""),""),IFERROR(IF(SMALL(前年度名簿!$G$3:$G$452,$AG$3+19)&lt;21000,MATCH(SMALL(前年度名簿!$G$3:$G$452,$AG$3+19),前年度名簿!$G$3:$G$452,0),""),""))</f>
        <v/>
      </c>
      <c r="AH23" s="63">
        <f>IF(計算用!$B$1=1,IFERROR(IF(SMALL(新年度名簿!$J$3:$J$452,$AH$3+19)&lt;22000,MATCH(SMALL(新年度名簿!$J$3:$J$452,$AH$3+19),新年度名簿!$J$3:$J$452,0),""),""),IFERROR(IF(SMALL(前年度名簿!$G$3:$G$452,$AH$3+19)&lt;22000,MATCH(SMALL(前年度名簿!$G$3:$G$452,$AH$3+19),前年度名簿!$G$3:$G$452,0),""),""))</f>
        <v/>
      </c>
      <c r="AI23" s="63">
        <f>IF(計算用!$B$1=1,IFERROR(IF(SMALL(新年度名簿!$J$3:$J$452,$AI$3+19)&lt;23000,MATCH(SMALL(新年度名簿!$J$3:$J$452,$AI$3+19),新年度名簿!$J$3:$J$452,0),""),""),IFERROR(IF(SMALL(前年度名簿!$G$3:$G$452,$AI$3+19)&lt;23000,MATCH(SMALL(前年度名簿!$G$3:$G$452,$AI$3+19),前年度名簿!$G$3:$G$452,0),""),""))</f>
        <v/>
      </c>
      <c r="AJ23" s="63">
        <f>IF(計算用!$B$1=1,IFERROR(IF(SMALL(新年度名簿!$J$3:$J$452,$AJ$3+19)&lt;24000,MATCH(SMALL(新年度名簿!$J$3:$J$452,$AJ$3+19),新年度名簿!$J$3:$J$452,0),""),""),IFERROR(IF(SMALL(前年度名簿!$G$3:$G$452,$AJ$3+19)&lt;24000,MATCH(SMALL(前年度名簿!$G$3:$G$452,$AJ$3+19),前年度名簿!$G$3:$G$452,0),""),""))</f>
        <v/>
      </c>
      <c r="AK23" s="63">
        <f>IF(計算用!$B$1=1,IFERROR(IF(SMALL(新年度名簿!$J$3:$J$452,$AK$3+19)&lt;25000,MATCH(SMALL(新年度名簿!$J$3:$J$452,$AK$3+19),新年度名簿!$J$3:$J$452,0),""),""),IFERROR(IF(SMALL(前年度名簿!$G$3:$G$452,$AK$3+19)&lt;25000,MATCH(SMALL(前年度名簿!$G$3:$G$452,$AK$3+19),前年度名簿!$G$3:$G$452,0),""),""))</f>
        <v/>
      </c>
    </row>
    <row r="24">
      <c r="A24" s="65">
        <f>IF($AD24="","",IF(計算用!$B$1=1,INDEX(新年度名簿!$C$3:$C$452,$AD24),INDEX(前年度名簿!$C$3:$C$452,$AD24)))</f>
        <v/>
      </c>
      <c r="B24" s="66">
        <f>IF($AD24="","",IF(計算用!$B$1=1,INDEX(新年度名簿!$D$3:$D$452,$AD24),INDEX(前年度名簿!$D$3:$D$452,$AD24)))</f>
        <v/>
      </c>
      <c r="C24" s="65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M$7:$M$456,MATCH($AD24,振り分け!$P$7:$P$456,0))="転出","転出",IF(INDEX(振り分け!$L$7:$L$456,MATCH($AD24,振り分け!$P$7:$P$456,0))="","未決定",INDEX(振り分け!$L$7:$L$456,MATCH($AD24,振り分け!$P$7:$P$456,0)))),"未決定")))</f>
        <v/>
      </c>
      <c r="D24" s="65">
        <f>IF($AE24="","",IF(計算用!$B$1=1,INDEX(新年度名簿!$C$3:$C$452,$AE24),INDEX(前年度名簿!$C$3:$C$452,$AE24)))</f>
        <v/>
      </c>
      <c r="E24" s="66">
        <f>IF($AE24="","",IF(計算用!$B$1=1,INDEX(新年度名簿!$D$3:$D$452,$AE24),INDEX(前年度名簿!$D$3:$D$452,$AE24)))</f>
        <v/>
      </c>
      <c r="F24" s="65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M$7:$M$456,MATCH($AE24,振り分け!$P$7:$P$456,0))="転出","転出",IF(INDEX(振り分け!$L$7:$L$456,MATCH($AE24,振り分け!$P$7:$P$456,0))="","未決定",INDEX(振り分け!$L$7:$L$456,MATCH($AE24,振り分け!$P$7:$P$456,0)))),"未決定")))</f>
        <v/>
      </c>
      <c r="G24" s="65">
        <f>IF($AF24="","",IF(計算用!$B$1=1,INDEX(新年度名簿!$C$3:$C$452,$AF24),INDEX(前年度名簿!$C$3:$C$452,$AF24)))</f>
        <v/>
      </c>
      <c r="H24" s="66">
        <f>IF($AF24="","",IF(計算用!$B$1=1,INDEX(新年度名簿!$D$3:$D$452,$AF24),INDEX(前年度名簿!$D$3:$D$452,$AF24)))</f>
        <v/>
      </c>
      <c r="I24" s="65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M$7:$M$456,MATCH($AF24,振り分け!$P$7:$P$456,0))="転出","転出",IF(INDEX(振り分け!$L$7:$L$456,MATCH($AF24,振り分け!$P$7:$P$456,0))="","未決定",INDEX(振り分け!$L$7:$L$456,MATCH($AF24,振り分け!$P$7:$P$456,0)))),"未決定")))</f>
        <v/>
      </c>
      <c r="J24" s="65">
        <f>IF($AG24="","",IF(計算用!$B$1=1,INDEX(新年度名簿!$C$3:$C$452,$AG24),INDEX(前年度名簿!$C$3:$C$452,$AG24)))</f>
        <v/>
      </c>
      <c r="K24" s="66">
        <f>IF($AG24="","",IF(計算用!$B$1=1,INDEX(新年度名簿!$D$3:$D$452,$AG24),INDEX(前年度名簿!$D$3:$D$452,$AG24)))</f>
        <v/>
      </c>
      <c r="L24" s="65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M$7:$M$456,MATCH($AG24,振り分け!$P$7:$P$456,0))="転出","転出",IF(INDEX(振り分け!$L$7:$L$456,MATCH($AG24,振り分け!$P$7:$P$456,0))="","未決定",INDEX(振り分け!$L$7:$L$456,MATCH($AG24,振り分け!$P$7:$P$456,0)))),"未決定")))</f>
        <v/>
      </c>
      <c r="M24" s="65">
        <f>IF($AH24="","",IF(計算用!$B$1=1,INDEX(新年度名簿!$C$3:$C$452,$AH24),INDEX(前年度名簿!$C$3:$C$452,$AH24)))</f>
        <v/>
      </c>
      <c r="N24" s="66">
        <f>IF($AH24="","",IF(計算用!$B$1=1,INDEX(新年度名簿!$D$3:$D$452,$AH24),INDEX(前年度名簿!$D$3:$D$452,$AH24)))</f>
        <v/>
      </c>
      <c r="O24" s="65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M$7:$M$456,MATCH($AH24,振り分け!$P$7:$P$456,0))="転出","転出",IF(INDEX(振り分け!$L$7:$L$456,MATCH($AH24,振り分け!$P$7:$P$456,0))="","未決定",INDEX(振り分け!$L$7:$L$456,MATCH($AH24,振り分け!$P$7:$P$456,0)))),"未決定")))</f>
        <v/>
      </c>
      <c r="P24" s="65">
        <f>IF($AI24="","",IF(計算用!$B$1=1,INDEX(新年度名簿!$C$3:$C$452,$AI24),INDEX(前年度名簿!$C$3:$C$452,$AI24)))</f>
        <v/>
      </c>
      <c r="Q24" s="66">
        <f>IF($AI24="","",IF(計算用!$B$1=1,INDEX(新年度名簿!$D$3:$D$452,$AI24),INDEX(前年度名簿!$D$3:$D$452,$AI24)))</f>
        <v/>
      </c>
      <c r="R24" s="65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M$7:$M$456,MATCH($AI24,振り分け!$P$7:$P$456,0))="転出","転出",IF(INDEX(振り分け!$L$7:$L$456,MATCH($AI24,振り分け!$P$7:$P$456,0))="","未決定",INDEX(振り分け!$L$7:$L$456,MATCH($AI24,振り分け!$P$7:$P$456,0)))),"未決定")))</f>
        <v/>
      </c>
      <c r="S24" s="65">
        <f>IF($AJ24="","",IF(計算用!$B$1=1,INDEX(新年度名簿!$C$3:$C$452,$AJ24),INDEX(前年度名簿!$C$3:$C$452,$AJ24)))</f>
        <v/>
      </c>
      <c r="T24" s="66">
        <f>IF($AJ24="","",IF(計算用!$B$1=1,INDEX(新年度名簿!$D$3:$D$452,$AJ24),INDEX(前年度名簿!$D$3:$D$452,$AJ24)))</f>
        <v/>
      </c>
      <c r="U24" s="65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M$7:$M$456,MATCH($AJ24,振り分け!$P$7:$P$456,0))="転出","転出",IF(INDEX(振り分け!$L$7:$L$456,MATCH($AJ24,振り分け!$P$7:$P$456,0))="","未決定",INDEX(振り分け!$L$7:$L$456,MATCH($AJ24,振り分け!$P$7:$P$456,0)))),"未決定")))</f>
        <v/>
      </c>
      <c r="V24" s="65">
        <f>IF($AK24="","",IF(計算用!$B$1=1,INDEX(新年度名簿!$C$3:$C$452,$AK24),INDEX(前年度名簿!$C$3:$C$452,$AK24)))</f>
        <v/>
      </c>
      <c r="W24" s="66">
        <f>IF($AK24="","",IF(計算用!$B$1=1,INDEX(新年度名簿!$D$3:$D$452,$AK24),INDEX(前年度名簿!$D$3:$D$452,$AK24)))</f>
        <v/>
      </c>
      <c r="X24" s="65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M$7:$M$456,MATCH($AK24,振り分け!$P$7:$P$456,0))="転出","転出",IF(INDEX(振り分け!$L$7:$L$456,MATCH($AK24,振り分け!$P$7:$P$456,0))="","未決定",INDEX(振り分け!$L$7:$L$456,MATCH($AK24,振り分け!$P$7:$P$456,0)))),"未決定")))</f>
        <v/>
      </c>
      <c r="AD24" s="63">
        <f>IF(計算用!$B$1=1,IFERROR(IF(SMALL(新年度名簿!$J$3:$J$452,$AD$3+20)&lt;18000,MATCH(SMALL(新年度名簿!$J$3:$J$452,$AD$3+20),新年度名簿!$J$3:$J$452,0),""),""),IFERROR(IF(SMALL(前年度名簿!$G$3:$G$452,$AD$3+20)&lt;18000,MATCH(SMALL(前年度名簿!$G$3:$G$452,$AD$3+20),前年度名簿!$G$3:$G$452,0),""),""))</f>
        <v/>
      </c>
      <c r="AE24" s="63">
        <f>IF(計算用!$B$1=1,IFERROR(IF(SMALL(新年度名簿!$J$3:$J$452,$AE$3+20)&lt;19000,MATCH(SMALL(新年度名簿!$J$3:$J$452,$AE$3+20),新年度名簿!$J$3:$J$452,0),""),""),IFERROR(IF(SMALL(前年度名簿!$G$3:$G$452,$AE$3+20)&lt;19000,MATCH(SMALL(前年度名簿!$G$3:$G$452,$AE$3+20),前年度名簿!$G$3:$G$452,0),""),""))</f>
        <v/>
      </c>
      <c r="AF24" s="63">
        <f>IF(計算用!$B$1=1,IFERROR(IF(SMALL(新年度名簿!$J$3:$J$452,$AF$3+20)&lt;20000,MATCH(SMALL(新年度名簿!$J$3:$J$452,$AF$3+20),新年度名簿!$J$3:$J$452,0),""),""),IFERROR(IF(SMALL(前年度名簿!$G$3:$G$452,$AF$3+20)&lt;20000,MATCH(SMALL(前年度名簿!$G$3:$G$452,$AF$3+20),前年度名簿!$G$3:$G$452,0),""),""))</f>
        <v/>
      </c>
      <c r="AG24" s="63">
        <f>IF(計算用!$B$1=1,IFERROR(IF(SMALL(新年度名簿!$J$3:$J$452,$AG$3+20)&lt;21000,MATCH(SMALL(新年度名簿!$J$3:$J$452,$AG$3+20),新年度名簿!$J$3:$J$452,0),""),""),IFERROR(IF(SMALL(前年度名簿!$G$3:$G$452,$AG$3+20)&lt;21000,MATCH(SMALL(前年度名簿!$G$3:$G$452,$AG$3+20),前年度名簿!$G$3:$G$452,0),""),""))</f>
        <v/>
      </c>
      <c r="AH24" s="63">
        <f>IF(計算用!$B$1=1,IFERROR(IF(SMALL(新年度名簿!$J$3:$J$452,$AH$3+20)&lt;22000,MATCH(SMALL(新年度名簿!$J$3:$J$452,$AH$3+20),新年度名簿!$J$3:$J$452,0),""),""),IFERROR(IF(SMALL(前年度名簿!$G$3:$G$452,$AH$3+20)&lt;22000,MATCH(SMALL(前年度名簿!$G$3:$G$452,$AH$3+20),前年度名簿!$G$3:$G$452,0),""),""))</f>
        <v/>
      </c>
      <c r="AI24" s="63">
        <f>IF(計算用!$B$1=1,IFERROR(IF(SMALL(新年度名簿!$J$3:$J$452,$AI$3+20)&lt;23000,MATCH(SMALL(新年度名簿!$J$3:$J$452,$AI$3+20),新年度名簿!$J$3:$J$452,0),""),""),IFERROR(IF(SMALL(前年度名簿!$G$3:$G$452,$AI$3+20)&lt;23000,MATCH(SMALL(前年度名簿!$G$3:$G$452,$AI$3+20),前年度名簿!$G$3:$G$452,0),""),""))</f>
        <v/>
      </c>
      <c r="AJ24" s="63">
        <f>IF(計算用!$B$1=1,IFERROR(IF(SMALL(新年度名簿!$J$3:$J$452,$AJ$3+20)&lt;24000,MATCH(SMALL(新年度名簿!$J$3:$J$452,$AJ$3+20),新年度名簿!$J$3:$J$452,0),""),""),IFERROR(IF(SMALL(前年度名簿!$G$3:$G$452,$AJ$3+20)&lt;24000,MATCH(SMALL(前年度名簿!$G$3:$G$452,$AJ$3+20),前年度名簿!$G$3:$G$452,0),""),""))</f>
        <v/>
      </c>
      <c r="AK24" s="63">
        <f>IF(計算用!$B$1=1,IFERROR(IF(SMALL(新年度名簿!$J$3:$J$452,$AK$3+20)&lt;25000,MATCH(SMALL(新年度名簿!$J$3:$J$452,$AK$3+20),新年度名簿!$J$3:$J$452,0),""),""),IFERROR(IF(SMALL(前年度名簿!$G$3:$G$452,$AK$3+20)&lt;25000,MATCH(SMALL(前年度名簿!$G$3:$G$452,$AK$3+20),前年度名簿!$G$3:$G$452,0),""),""))</f>
        <v/>
      </c>
    </row>
    <row r="25">
      <c r="A25" s="65">
        <f>IF($AD25="","",IF(計算用!$B$1=1,INDEX(新年度名簿!$C$3:$C$452,$AD25),INDEX(前年度名簿!$C$3:$C$452,$AD25)))</f>
        <v/>
      </c>
      <c r="B25" s="66">
        <f>IF($AD25="","",IF(計算用!$B$1=1,INDEX(新年度名簿!$D$3:$D$452,$AD25),INDEX(前年度名簿!$D$3:$D$452,$AD25)))</f>
        <v/>
      </c>
      <c r="C25" s="65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M$7:$M$456,MATCH($AD25,振り分け!$P$7:$P$456,0))="転出","転出",IF(INDEX(振り分け!$L$7:$L$456,MATCH($AD25,振り分け!$P$7:$P$456,0))="","未決定",INDEX(振り分け!$L$7:$L$456,MATCH($AD25,振り分け!$P$7:$P$456,0)))),"未決定")))</f>
        <v/>
      </c>
      <c r="D25" s="65">
        <f>IF($AE25="","",IF(計算用!$B$1=1,INDEX(新年度名簿!$C$3:$C$452,$AE25),INDEX(前年度名簿!$C$3:$C$452,$AE25)))</f>
        <v/>
      </c>
      <c r="E25" s="66">
        <f>IF($AE25="","",IF(計算用!$B$1=1,INDEX(新年度名簿!$D$3:$D$452,$AE25),INDEX(前年度名簿!$D$3:$D$452,$AE25)))</f>
        <v/>
      </c>
      <c r="F25" s="65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M$7:$M$456,MATCH($AE25,振り分け!$P$7:$P$456,0))="転出","転出",IF(INDEX(振り分け!$L$7:$L$456,MATCH($AE25,振り分け!$P$7:$P$456,0))="","未決定",INDEX(振り分け!$L$7:$L$456,MATCH($AE25,振り分け!$P$7:$P$456,0)))),"未決定")))</f>
        <v/>
      </c>
      <c r="G25" s="65">
        <f>IF($AF25="","",IF(計算用!$B$1=1,INDEX(新年度名簿!$C$3:$C$452,$AF25),INDEX(前年度名簿!$C$3:$C$452,$AF25)))</f>
        <v/>
      </c>
      <c r="H25" s="66">
        <f>IF($AF25="","",IF(計算用!$B$1=1,INDEX(新年度名簿!$D$3:$D$452,$AF25),INDEX(前年度名簿!$D$3:$D$452,$AF25)))</f>
        <v/>
      </c>
      <c r="I25" s="65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M$7:$M$456,MATCH($AF25,振り分け!$P$7:$P$456,0))="転出","転出",IF(INDEX(振り分け!$L$7:$L$456,MATCH($AF25,振り分け!$P$7:$P$456,0))="","未決定",INDEX(振り分け!$L$7:$L$456,MATCH($AF25,振り分け!$P$7:$P$456,0)))),"未決定")))</f>
        <v/>
      </c>
      <c r="J25" s="65">
        <f>IF($AG25="","",IF(計算用!$B$1=1,INDEX(新年度名簿!$C$3:$C$452,$AG25),INDEX(前年度名簿!$C$3:$C$452,$AG25)))</f>
        <v/>
      </c>
      <c r="K25" s="66">
        <f>IF($AG25="","",IF(計算用!$B$1=1,INDEX(新年度名簿!$D$3:$D$452,$AG25),INDEX(前年度名簿!$D$3:$D$452,$AG25)))</f>
        <v/>
      </c>
      <c r="L25" s="65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M$7:$M$456,MATCH($AG25,振り分け!$P$7:$P$456,0))="転出","転出",IF(INDEX(振り分け!$L$7:$L$456,MATCH($AG25,振り分け!$P$7:$P$456,0))="","未決定",INDEX(振り分け!$L$7:$L$456,MATCH($AG25,振り分け!$P$7:$P$456,0)))),"未決定")))</f>
        <v/>
      </c>
      <c r="M25" s="65">
        <f>IF($AH25="","",IF(計算用!$B$1=1,INDEX(新年度名簿!$C$3:$C$452,$AH25),INDEX(前年度名簿!$C$3:$C$452,$AH25)))</f>
        <v/>
      </c>
      <c r="N25" s="66">
        <f>IF($AH25="","",IF(計算用!$B$1=1,INDEX(新年度名簿!$D$3:$D$452,$AH25),INDEX(前年度名簿!$D$3:$D$452,$AH25)))</f>
        <v/>
      </c>
      <c r="O25" s="65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M$7:$M$456,MATCH($AH25,振り分け!$P$7:$P$456,0))="転出","転出",IF(INDEX(振り分け!$L$7:$L$456,MATCH($AH25,振り分け!$P$7:$P$456,0))="","未決定",INDEX(振り分け!$L$7:$L$456,MATCH($AH25,振り分け!$P$7:$P$456,0)))),"未決定")))</f>
        <v/>
      </c>
      <c r="P25" s="65">
        <f>IF($AI25="","",IF(計算用!$B$1=1,INDEX(新年度名簿!$C$3:$C$452,$AI25),INDEX(前年度名簿!$C$3:$C$452,$AI25)))</f>
        <v/>
      </c>
      <c r="Q25" s="66">
        <f>IF($AI25="","",IF(計算用!$B$1=1,INDEX(新年度名簿!$D$3:$D$452,$AI25),INDEX(前年度名簿!$D$3:$D$452,$AI25)))</f>
        <v/>
      </c>
      <c r="R25" s="65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M$7:$M$456,MATCH($AI25,振り分け!$P$7:$P$456,0))="転出","転出",IF(INDEX(振り分け!$L$7:$L$456,MATCH($AI25,振り分け!$P$7:$P$456,0))="","未決定",INDEX(振り分け!$L$7:$L$456,MATCH($AI25,振り分け!$P$7:$P$456,0)))),"未決定")))</f>
        <v/>
      </c>
      <c r="S25" s="65">
        <f>IF($AJ25="","",IF(計算用!$B$1=1,INDEX(新年度名簿!$C$3:$C$452,$AJ25),INDEX(前年度名簿!$C$3:$C$452,$AJ25)))</f>
        <v/>
      </c>
      <c r="T25" s="66">
        <f>IF($AJ25="","",IF(計算用!$B$1=1,INDEX(新年度名簿!$D$3:$D$452,$AJ25),INDEX(前年度名簿!$D$3:$D$452,$AJ25)))</f>
        <v/>
      </c>
      <c r="U25" s="65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M$7:$M$456,MATCH($AJ25,振り分け!$P$7:$P$456,0))="転出","転出",IF(INDEX(振り分け!$L$7:$L$456,MATCH($AJ25,振り分け!$P$7:$P$456,0))="","未決定",INDEX(振り分け!$L$7:$L$456,MATCH($AJ25,振り分け!$P$7:$P$456,0)))),"未決定")))</f>
        <v/>
      </c>
      <c r="V25" s="65">
        <f>IF($AK25="","",IF(計算用!$B$1=1,INDEX(新年度名簿!$C$3:$C$452,$AK25),INDEX(前年度名簿!$C$3:$C$452,$AK25)))</f>
        <v/>
      </c>
      <c r="W25" s="66">
        <f>IF($AK25="","",IF(計算用!$B$1=1,INDEX(新年度名簿!$D$3:$D$452,$AK25),INDEX(前年度名簿!$D$3:$D$452,$AK25)))</f>
        <v/>
      </c>
      <c r="X25" s="65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M$7:$M$456,MATCH($AK25,振り分け!$P$7:$P$456,0))="転出","転出",IF(INDEX(振り分け!$L$7:$L$456,MATCH($AK25,振り分け!$P$7:$P$456,0))="","未決定",INDEX(振り分け!$L$7:$L$456,MATCH($AK25,振り分け!$P$7:$P$456,0)))),"未決定")))</f>
        <v/>
      </c>
      <c r="AD25" s="63">
        <f>IF(計算用!$B$1=1,IFERROR(IF(SMALL(新年度名簿!$J$3:$J$452,$AD$3+21)&lt;18000,MATCH(SMALL(新年度名簿!$J$3:$J$452,$AD$3+21),新年度名簿!$J$3:$J$452,0),""),""),IFERROR(IF(SMALL(前年度名簿!$G$3:$G$452,$AD$3+21)&lt;18000,MATCH(SMALL(前年度名簿!$G$3:$G$452,$AD$3+21),前年度名簿!$G$3:$G$452,0),""),""))</f>
        <v/>
      </c>
      <c r="AE25" s="63">
        <f>IF(計算用!$B$1=1,IFERROR(IF(SMALL(新年度名簿!$J$3:$J$452,$AE$3+21)&lt;19000,MATCH(SMALL(新年度名簿!$J$3:$J$452,$AE$3+21),新年度名簿!$J$3:$J$452,0),""),""),IFERROR(IF(SMALL(前年度名簿!$G$3:$G$452,$AE$3+21)&lt;19000,MATCH(SMALL(前年度名簿!$G$3:$G$452,$AE$3+21),前年度名簿!$G$3:$G$452,0),""),""))</f>
        <v/>
      </c>
      <c r="AF25" s="63">
        <f>IF(計算用!$B$1=1,IFERROR(IF(SMALL(新年度名簿!$J$3:$J$452,$AF$3+21)&lt;20000,MATCH(SMALL(新年度名簿!$J$3:$J$452,$AF$3+21),新年度名簿!$J$3:$J$452,0),""),""),IFERROR(IF(SMALL(前年度名簿!$G$3:$G$452,$AF$3+21)&lt;20000,MATCH(SMALL(前年度名簿!$G$3:$G$452,$AF$3+21),前年度名簿!$G$3:$G$452,0),""),""))</f>
        <v/>
      </c>
      <c r="AG25" s="63">
        <f>IF(計算用!$B$1=1,IFERROR(IF(SMALL(新年度名簿!$J$3:$J$452,$AG$3+21)&lt;21000,MATCH(SMALL(新年度名簿!$J$3:$J$452,$AG$3+21),新年度名簿!$J$3:$J$452,0),""),""),IFERROR(IF(SMALL(前年度名簿!$G$3:$G$452,$AG$3+21)&lt;21000,MATCH(SMALL(前年度名簿!$G$3:$G$452,$AG$3+21),前年度名簿!$G$3:$G$452,0),""),""))</f>
        <v/>
      </c>
      <c r="AH25" s="63">
        <f>IF(計算用!$B$1=1,IFERROR(IF(SMALL(新年度名簿!$J$3:$J$452,$AH$3+21)&lt;22000,MATCH(SMALL(新年度名簿!$J$3:$J$452,$AH$3+21),新年度名簿!$J$3:$J$452,0),""),""),IFERROR(IF(SMALL(前年度名簿!$G$3:$G$452,$AH$3+21)&lt;22000,MATCH(SMALL(前年度名簿!$G$3:$G$452,$AH$3+21),前年度名簿!$G$3:$G$452,0),""),""))</f>
        <v/>
      </c>
      <c r="AI25" s="63">
        <f>IF(計算用!$B$1=1,IFERROR(IF(SMALL(新年度名簿!$J$3:$J$452,$AI$3+21)&lt;23000,MATCH(SMALL(新年度名簿!$J$3:$J$452,$AI$3+21),新年度名簿!$J$3:$J$452,0),""),""),IFERROR(IF(SMALL(前年度名簿!$G$3:$G$452,$AI$3+21)&lt;23000,MATCH(SMALL(前年度名簿!$G$3:$G$452,$AI$3+21),前年度名簿!$G$3:$G$452,0),""),""))</f>
        <v/>
      </c>
      <c r="AJ25" s="63">
        <f>IF(計算用!$B$1=1,IFERROR(IF(SMALL(新年度名簿!$J$3:$J$452,$AJ$3+21)&lt;24000,MATCH(SMALL(新年度名簿!$J$3:$J$452,$AJ$3+21),新年度名簿!$J$3:$J$452,0),""),""),IFERROR(IF(SMALL(前年度名簿!$G$3:$G$452,$AJ$3+21)&lt;24000,MATCH(SMALL(前年度名簿!$G$3:$G$452,$AJ$3+21),前年度名簿!$G$3:$G$452,0),""),""))</f>
        <v/>
      </c>
      <c r="AK25" s="63">
        <f>IF(計算用!$B$1=1,IFERROR(IF(SMALL(新年度名簿!$J$3:$J$452,$AK$3+21)&lt;25000,MATCH(SMALL(新年度名簿!$J$3:$J$452,$AK$3+21),新年度名簿!$J$3:$J$452,0),""),""),IFERROR(IF(SMALL(前年度名簿!$G$3:$G$452,$AK$3+21)&lt;25000,MATCH(SMALL(前年度名簿!$G$3:$G$452,$AK$3+21),前年度名簿!$G$3:$G$452,0),""),""))</f>
        <v/>
      </c>
    </row>
    <row r="26">
      <c r="A26" s="65">
        <f>IF($AD26="","",IF(計算用!$B$1=1,INDEX(新年度名簿!$C$3:$C$452,$AD26),INDEX(前年度名簿!$C$3:$C$452,$AD26)))</f>
        <v/>
      </c>
      <c r="B26" s="66">
        <f>IF($AD26="","",IF(計算用!$B$1=1,INDEX(新年度名簿!$D$3:$D$452,$AD26),INDEX(前年度名簿!$D$3:$D$452,$AD26)))</f>
        <v/>
      </c>
      <c r="C26" s="65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M$7:$M$456,MATCH($AD26,振り分け!$P$7:$P$456,0))="転出","転出",IF(INDEX(振り分け!$L$7:$L$456,MATCH($AD26,振り分け!$P$7:$P$456,0))="","未決定",INDEX(振り分け!$L$7:$L$456,MATCH($AD26,振り分け!$P$7:$P$456,0)))),"未決定")))</f>
        <v/>
      </c>
      <c r="D26" s="65">
        <f>IF($AE26="","",IF(計算用!$B$1=1,INDEX(新年度名簿!$C$3:$C$452,$AE26),INDEX(前年度名簿!$C$3:$C$452,$AE26)))</f>
        <v/>
      </c>
      <c r="E26" s="66">
        <f>IF($AE26="","",IF(計算用!$B$1=1,INDEX(新年度名簿!$D$3:$D$452,$AE26),INDEX(前年度名簿!$D$3:$D$452,$AE26)))</f>
        <v/>
      </c>
      <c r="F26" s="65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M$7:$M$456,MATCH($AE26,振り分け!$P$7:$P$456,0))="転出","転出",IF(INDEX(振り分け!$L$7:$L$456,MATCH($AE26,振り分け!$P$7:$P$456,0))="","未決定",INDEX(振り分け!$L$7:$L$456,MATCH($AE26,振り分け!$P$7:$P$456,0)))),"未決定")))</f>
        <v/>
      </c>
      <c r="G26" s="65">
        <f>IF($AF26="","",IF(計算用!$B$1=1,INDEX(新年度名簿!$C$3:$C$452,$AF26),INDEX(前年度名簿!$C$3:$C$452,$AF26)))</f>
        <v/>
      </c>
      <c r="H26" s="66">
        <f>IF($AF26="","",IF(計算用!$B$1=1,INDEX(新年度名簿!$D$3:$D$452,$AF26),INDEX(前年度名簿!$D$3:$D$452,$AF26)))</f>
        <v/>
      </c>
      <c r="I26" s="65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M$7:$M$456,MATCH($AF26,振り分け!$P$7:$P$456,0))="転出","転出",IF(INDEX(振り分け!$L$7:$L$456,MATCH($AF26,振り分け!$P$7:$P$456,0))="","未決定",INDEX(振り分け!$L$7:$L$456,MATCH($AF26,振り分け!$P$7:$P$456,0)))),"未決定")))</f>
        <v/>
      </c>
      <c r="J26" s="65">
        <f>IF($AG26="","",IF(計算用!$B$1=1,INDEX(新年度名簿!$C$3:$C$452,$AG26),INDEX(前年度名簿!$C$3:$C$452,$AG26)))</f>
        <v/>
      </c>
      <c r="K26" s="66">
        <f>IF($AG26="","",IF(計算用!$B$1=1,INDEX(新年度名簿!$D$3:$D$452,$AG26),INDEX(前年度名簿!$D$3:$D$452,$AG26)))</f>
        <v/>
      </c>
      <c r="L26" s="65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M$7:$M$456,MATCH($AG26,振り分け!$P$7:$P$456,0))="転出","転出",IF(INDEX(振り分け!$L$7:$L$456,MATCH($AG26,振り分け!$P$7:$P$456,0))="","未決定",INDEX(振り分け!$L$7:$L$456,MATCH($AG26,振り分け!$P$7:$P$456,0)))),"未決定")))</f>
        <v/>
      </c>
      <c r="M26" s="65">
        <f>IF($AH26="","",IF(計算用!$B$1=1,INDEX(新年度名簿!$C$3:$C$452,$AH26),INDEX(前年度名簿!$C$3:$C$452,$AH26)))</f>
        <v/>
      </c>
      <c r="N26" s="66">
        <f>IF($AH26="","",IF(計算用!$B$1=1,INDEX(新年度名簿!$D$3:$D$452,$AH26),INDEX(前年度名簿!$D$3:$D$452,$AH26)))</f>
        <v/>
      </c>
      <c r="O26" s="65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M$7:$M$456,MATCH($AH26,振り分け!$P$7:$P$456,0))="転出","転出",IF(INDEX(振り分け!$L$7:$L$456,MATCH($AH26,振り分け!$P$7:$P$456,0))="","未決定",INDEX(振り分け!$L$7:$L$456,MATCH($AH26,振り分け!$P$7:$P$456,0)))),"未決定")))</f>
        <v/>
      </c>
      <c r="P26" s="65">
        <f>IF($AI26="","",IF(計算用!$B$1=1,INDEX(新年度名簿!$C$3:$C$452,$AI26),INDEX(前年度名簿!$C$3:$C$452,$AI26)))</f>
        <v/>
      </c>
      <c r="Q26" s="66">
        <f>IF($AI26="","",IF(計算用!$B$1=1,INDEX(新年度名簿!$D$3:$D$452,$AI26),INDEX(前年度名簿!$D$3:$D$452,$AI26)))</f>
        <v/>
      </c>
      <c r="R26" s="65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M$7:$M$456,MATCH($AI26,振り分け!$P$7:$P$456,0))="転出","転出",IF(INDEX(振り分け!$L$7:$L$456,MATCH($AI26,振り分け!$P$7:$P$456,0))="","未決定",INDEX(振り分け!$L$7:$L$456,MATCH($AI26,振り分け!$P$7:$P$456,0)))),"未決定")))</f>
        <v/>
      </c>
      <c r="S26" s="65">
        <f>IF($AJ26="","",IF(計算用!$B$1=1,INDEX(新年度名簿!$C$3:$C$452,$AJ26),INDEX(前年度名簿!$C$3:$C$452,$AJ26)))</f>
        <v/>
      </c>
      <c r="T26" s="66">
        <f>IF($AJ26="","",IF(計算用!$B$1=1,INDEX(新年度名簿!$D$3:$D$452,$AJ26),INDEX(前年度名簿!$D$3:$D$452,$AJ26)))</f>
        <v/>
      </c>
      <c r="U26" s="65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M$7:$M$456,MATCH($AJ26,振り分け!$P$7:$P$456,0))="転出","転出",IF(INDEX(振り分け!$L$7:$L$456,MATCH($AJ26,振り分け!$P$7:$P$456,0))="","未決定",INDEX(振り分け!$L$7:$L$456,MATCH($AJ26,振り分け!$P$7:$P$456,0)))),"未決定")))</f>
        <v/>
      </c>
      <c r="V26" s="65">
        <f>IF($AK26="","",IF(計算用!$B$1=1,INDEX(新年度名簿!$C$3:$C$452,$AK26),INDEX(前年度名簿!$C$3:$C$452,$AK26)))</f>
        <v/>
      </c>
      <c r="W26" s="66">
        <f>IF($AK26="","",IF(計算用!$B$1=1,INDEX(新年度名簿!$D$3:$D$452,$AK26),INDEX(前年度名簿!$D$3:$D$452,$AK26)))</f>
        <v/>
      </c>
      <c r="X26" s="65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M$7:$M$456,MATCH($AK26,振り分け!$P$7:$P$456,0))="転出","転出",IF(INDEX(振り分け!$L$7:$L$456,MATCH($AK26,振り分け!$P$7:$P$456,0))="","未決定",INDEX(振り分け!$L$7:$L$456,MATCH($AK26,振り分け!$P$7:$P$456,0)))),"未決定")))</f>
        <v/>
      </c>
      <c r="AD26" s="63">
        <f>IF(計算用!$B$1=1,IFERROR(IF(SMALL(新年度名簿!$J$3:$J$452,$AD$3+22)&lt;18000,MATCH(SMALL(新年度名簿!$J$3:$J$452,$AD$3+22),新年度名簿!$J$3:$J$452,0),""),""),IFERROR(IF(SMALL(前年度名簿!$G$3:$G$452,$AD$3+22)&lt;18000,MATCH(SMALL(前年度名簿!$G$3:$G$452,$AD$3+22),前年度名簿!$G$3:$G$452,0),""),""))</f>
        <v/>
      </c>
      <c r="AE26" s="63">
        <f>IF(計算用!$B$1=1,IFERROR(IF(SMALL(新年度名簿!$J$3:$J$452,$AE$3+22)&lt;19000,MATCH(SMALL(新年度名簿!$J$3:$J$452,$AE$3+22),新年度名簿!$J$3:$J$452,0),""),""),IFERROR(IF(SMALL(前年度名簿!$G$3:$G$452,$AE$3+22)&lt;19000,MATCH(SMALL(前年度名簿!$G$3:$G$452,$AE$3+22),前年度名簿!$G$3:$G$452,0),""),""))</f>
        <v/>
      </c>
      <c r="AF26" s="63">
        <f>IF(計算用!$B$1=1,IFERROR(IF(SMALL(新年度名簿!$J$3:$J$452,$AF$3+22)&lt;20000,MATCH(SMALL(新年度名簿!$J$3:$J$452,$AF$3+22),新年度名簿!$J$3:$J$452,0),""),""),IFERROR(IF(SMALL(前年度名簿!$G$3:$G$452,$AF$3+22)&lt;20000,MATCH(SMALL(前年度名簿!$G$3:$G$452,$AF$3+22),前年度名簿!$G$3:$G$452,0),""),""))</f>
        <v/>
      </c>
      <c r="AG26" s="63">
        <f>IF(計算用!$B$1=1,IFERROR(IF(SMALL(新年度名簿!$J$3:$J$452,$AG$3+22)&lt;21000,MATCH(SMALL(新年度名簿!$J$3:$J$452,$AG$3+22),新年度名簿!$J$3:$J$452,0),""),""),IFERROR(IF(SMALL(前年度名簿!$G$3:$G$452,$AG$3+22)&lt;21000,MATCH(SMALL(前年度名簿!$G$3:$G$452,$AG$3+22),前年度名簿!$G$3:$G$452,0),""),""))</f>
        <v/>
      </c>
      <c r="AH26" s="63">
        <f>IF(計算用!$B$1=1,IFERROR(IF(SMALL(新年度名簿!$J$3:$J$452,$AH$3+22)&lt;22000,MATCH(SMALL(新年度名簿!$J$3:$J$452,$AH$3+22),新年度名簿!$J$3:$J$452,0),""),""),IFERROR(IF(SMALL(前年度名簿!$G$3:$G$452,$AH$3+22)&lt;22000,MATCH(SMALL(前年度名簿!$G$3:$G$452,$AH$3+22),前年度名簿!$G$3:$G$452,0),""),""))</f>
        <v/>
      </c>
      <c r="AI26" s="63">
        <f>IF(計算用!$B$1=1,IFERROR(IF(SMALL(新年度名簿!$J$3:$J$452,$AI$3+22)&lt;23000,MATCH(SMALL(新年度名簿!$J$3:$J$452,$AI$3+22),新年度名簿!$J$3:$J$452,0),""),""),IFERROR(IF(SMALL(前年度名簿!$G$3:$G$452,$AI$3+22)&lt;23000,MATCH(SMALL(前年度名簿!$G$3:$G$452,$AI$3+22),前年度名簿!$G$3:$G$452,0),""),""))</f>
        <v/>
      </c>
      <c r="AJ26" s="63">
        <f>IF(計算用!$B$1=1,IFERROR(IF(SMALL(新年度名簿!$J$3:$J$452,$AJ$3+22)&lt;24000,MATCH(SMALL(新年度名簿!$J$3:$J$452,$AJ$3+22),新年度名簿!$J$3:$J$452,0),""),""),IFERROR(IF(SMALL(前年度名簿!$G$3:$G$452,$AJ$3+22)&lt;24000,MATCH(SMALL(前年度名簿!$G$3:$G$452,$AJ$3+22),前年度名簿!$G$3:$G$452,0),""),""))</f>
        <v/>
      </c>
      <c r="AK26" s="63">
        <f>IF(計算用!$B$1=1,IFERROR(IF(SMALL(新年度名簿!$J$3:$J$452,$AK$3+22)&lt;25000,MATCH(SMALL(新年度名簿!$J$3:$J$452,$AK$3+22),新年度名簿!$J$3:$J$452,0),""),""),IFERROR(IF(SMALL(前年度名簿!$G$3:$G$452,$AK$3+22)&lt;25000,MATCH(SMALL(前年度名簿!$G$3:$G$452,$AK$3+22),前年度名簿!$G$3:$G$452,0),""),""))</f>
        <v/>
      </c>
    </row>
    <row r="27">
      <c r="A27" s="65">
        <f>IF($AD27="","",IF(計算用!$B$1=1,INDEX(新年度名簿!$C$3:$C$452,$AD27),INDEX(前年度名簿!$C$3:$C$452,$AD27)))</f>
        <v/>
      </c>
      <c r="B27" s="66">
        <f>IF($AD27="","",IF(計算用!$B$1=1,INDEX(新年度名簿!$D$3:$D$452,$AD27),INDEX(前年度名簿!$D$3:$D$452,$AD27)))</f>
        <v/>
      </c>
      <c r="C27" s="65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M$7:$M$456,MATCH($AD27,振り分け!$P$7:$P$456,0))="転出","転出",IF(INDEX(振り分け!$L$7:$L$456,MATCH($AD27,振り分け!$P$7:$P$456,0))="","未決定",INDEX(振り分け!$L$7:$L$456,MATCH($AD27,振り分け!$P$7:$P$456,0)))),"未決定")))</f>
        <v/>
      </c>
      <c r="D27" s="65">
        <f>IF($AE27="","",IF(計算用!$B$1=1,INDEX(新年度名簿!$C$3:$C$452,$AE27),INDEX(前年度名簿!$C$3:$C$452,$AE27)))</f>
        <v/>
      </c>
      <c r="E27" s="66">
        <f>IF($AE27="","",IF(計算用!$B$1=1,INDEX(新年度名簿!$D$3:$D$452,$AE27),INDEX(前年度名簿!$D$3:$D$452,$AE27)))</f>
        <v/>
      </c>
      <c r="F27" s="65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M$7:$M$456,MATCH($AE27,振り分け!$P$7:$P$456,0))="転出","転出",IF(INDEX(振り分け!$L$7:$L$456,MATCH($AE27,振り分け!$P$7:$P$456,0))="","未決定",INDEX(振り分け!$L$7:$L$456,MATCH($AE27,振り分け!$P$7:$P$456,0)))),"未決定")))</f>
        <v/>
      </c>
      <c r="G27" s="65">
        <f>IF($AF27="","",IF(計算用!$B$1=1,INDEX(新年度名簿!$C$3:$C$452,$AF27),INDEX(前年度名簿!$C$3:$C$452,$AF27)))</f>
        <v/>
      </c>
      <c r="H27" s="66">
        <f>IF($AF27="","",IF(計算用!$B$1=1,INDEX(新年度名簿!$D$3:$D$452,$AF27),INDEX(前年度名簿!$D$3:$D$452,$AF27)))</f>
        <v/>
      </c>
      <c r="I27" s="65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M$7:$M$456,MATCH($AF27,振り分け!$P$7:$P$456,0))="転出","転出",IF(INDEX(振り分け!$L$7:$L$456,MATCH($AF27,振り分け!$P$7:$P$456,0))="","未決定",INDEX(振り分け!$L$7:$L$456,MATCH($AF27,振り分け!$P$7:$P$456,0)))),"未決定")))</f>
        <v/>
      </c>
      <c r="J27" s="65">
        <f>IF($AG27="","",IF(計算用!$B$1=1,INDEX(新年度名簿!$C$3:$C$452,$AG27),INDEX(前年度名簿!$C$3:$C$452,$AG27)))</f>
        <v/>
      </c>
      <c r="K27" s="66">
        <f>IF($AG27="","",IF(計算用!$B$1=1,INDEX(新年度名簿!$D$3:$D$452,$AG27),INDEX(前年度名簿!$D$3:$D$452,$AG27)))</f>
        <v/>
      </c>
      <c r="L27" s="65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M$7:$M$456,MATCH($AG27,振り分け!$P$7:$P$456,0))="転出","転出",IF(INDEX(振り分け!$L$7:$L$456,MATCH($AG27,振り分け!$P$7:$P$456,0))="","未決定",INDEX(振り分け!$L$7:$L$456,MATCH($AG27,振り分け!$P$7:$P$456,0)))),"未決定")))</f>
        <v/>
      </c>
      <c r="M27" s="65">
        <f>IF($AH27="","",IF(計算用!$B$1=1,INDEX(新年度名簿!$C$3:$C$452,$AH27),INDEX(前年度名簿!$C$3:$C$452,$AH27)))</f>
        <v/>
      </c>
      <c r="N27" s="66">
        <f>IF($AH27="","",IF(計算用!$B$1=1,INDEX(新年度名簿!$D$3:$D$452,$AH27),INDEX(前年度名簿!$D$3:$D$452,$AH27)))</f>
        <v/>
      </c>
      <c r="O27" s="65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M$7:$M$456,MATCH($AH27,振り分け!$P$7:$P$456,0))="転出","転出",IF(INDEX(振り分け!$L$7:$L$456,MATCH($AH27,振り分け!$P$7:$P$456,0))="","未決定",INDEX(振り分け!$L$7:$L$456,MATCH($AH27,振り分け!$P$7:$P$456,0)))),"未決定")))</f>
        <v/>
      </c>
      <c r="P27" s="65">
        <f>IF($AI27="","",IF(計算用!$B$1=1,INDEX(新年度名簿!$C$3:$C$452,$AI27),INDEX(前年度名簿!$C$3:$C$452,$AI27)))</f>
        <v/>
      </c>
      <c r="Q27" s="66">
        <f>IF($AI27="","",IF(計算用!$B$1=1,INDEX(新年度名簿!$D$3:$D$452,$AI27),INDEX(前年度名簿!$D$3:$D$452,$AI27)))</f>
        <v/>
      </c>
      <c r="R27" s="65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M$7:$M$456,MATCH($AI27,振り分け!$P$7:$P$456,0))="転出","転出",IF(INDEX(振り分け!$L$7:$L$456,MATCH($AI27,振り分け!$P$7:$P$456,0))="","未決定",INDEX(振り分け!$L$7:$L$456,MATCH($AI27,振り分け!$P$7:$P$456,0)))),"未決定")))</f>
        <v/>
      </c>
      <c r="S27" s="65">
        <f>IF($AJ27="","",IF(計算用!$B$1=1,INDEX(新年度名簿!$C$3:$C$452,$AJ27),INDEX(前年度名簿!$C$3:$C$452,$AJ27)))</f>
        <v/>
      </c>
      <c r="T27" s="66">
        <f>IF($AJ27="","",IF(計算用!$B$1=1,INDEX(新年度名簿!$D$3:$D$452,$AJ27),INDEX(前年度名簿!$D$3:$D$452,$AJ27)))</f>
        <v/>
      </c>
      <c r="U27" s="65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M$7:$M$456,MATCH($AJ27,振り分け!$P$7:$P$456,0))="転出","転出",IF(INDEX(振り分け!$L$7:$L$456,MATCH($AJ27,振り分け!$P$7:$P$456,0))="","未決定",INDEX(振り分け!$L$7:$L$456,MATCH($AJ27,振り分け!$P$7:$P$456,0)))),"未決定")))</f>
        <v/>
      </c>
      <c r="V27" s="65">
        <f>IF($AK27="","",IF(計算用!$B$1=1,INDEX(新年度名簿!$C$3:$C$452,$AK27),INDEX(前年度名簿!$C$3:$C$452,$AK27)))</f>
        <v/>
      </c>
      <c r="W27" s="66">
        <f>IF($AK27="","",IF(計算用!$B$1=1,INDEX(新年度名簿!$D$3:$D$452,$AK27),INDEX(前年度名簿!$D$3:$D$452,$AK27)))</f>
        <v/>
      </c>
      <c r="X27" s="65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M$7:$M$456,MATCH($AK27,振り分け!$P$7:$P$456,0))="転出","転出",IF(INDEX(振り分け!$L$7:$L$456,MATCH($AK27,振り分け!$P$7:$P$456,0))="","未決定",INDEX(振り分け!$L$7:$L$456,MATCH($AK27,振り分け!$P$7:$P$456,0)))),"未決定")))</f>
        <v/>
      </c>
      <c r="AD27" s="63">
        <f>IF(計算用!$B$1=1,IFERROR(IF(SMALL(新年度名簿!$J$3:$J$452,$AD$3+23)&lt;18000,MATCH(SMALL(新年度名簿!$J$3:$J$452,$AD$3+23),新年度名簿!$J$3:$J$452,0),""),""),IFERROR(IF(SMALL(前年度名簿!$G$3:$G$452,$AD$3+23)&lt;18000,MATCH(SMALL(前年度名簿!$G$3:$G$452,$AD$3+23),前年度名簿!$G$3:$G$452,0),""),""))</f>
        <v/>
      </c>
      <c r="AE27" s="63">
        <f>IF(計算用!$B$1=1,IFERROR(IF(SMALL(新年度名簿!$J$3:$J$452,$AE$3+23)&lt;19000,MATCH(SMALL(新年度名簿!$J$3:$J$452,$AE$3+23),新年度名簿!$J$3:$J$452,0),""),""),IFERROR(IF(SMALL(前年度名簿!$G$3:$G$452,$AE$3+23)&lt;19000,MATCH(SMALL(前年度名簿!$G$3:$G$452,$AE$3+23),前年度名簿!$G$3:$G$452,0),""),""))</f>
        <v/>
      </c>
      <c r="AF27" s="63">
        <f>IF(計算用!$B$1=1,IFERROR(IF(SMALL(新年度名簿!$J$3:$J$452,$AF$3+23)&lt;20000,MATCH(SMALL(新年度名簿!$J$3:$J$452,$AF$3+23),新年度名簿!$J$3:$J$452,0),""),""),IFERROR(IF(SMALL(前年度名簿!$G$3:$G$452,$AF$3+23)&lt;20000,MATCH(SMALL(前年度名簿!$G$3:$G$452,$AF$3+23),前年度名簿!$G$3:$G$452,0),""),""))</f>
        <v/>
      </c>
      <c r="AG27" s="63">
        <f>IF(計算用!$B$1=1,IFERROR(IF(SMALL(新年度名簿!$J$3:$J$452,$AG$3+23)&lt;21000,MATCH(SMALL(新年度名簿!$J$3:$J$452,$AG$3+23),新年度名簿!$J$3:$J$452,0),""),""),IFERROR(IF(SMALL(前年度名簿!$G$3:$G$452,$AG$3+23)&lt;21000,MATCH(SMALL(前年度名簿!$G$3:$G$452,$AG$3+23),前年度名簿!$G$3:$G$452,0),""),""))</f>
        <v/>
      </c>
      <c r="AH27" s="63">
        <f>IF(計算用!$B$1=1,IFERROR(IF(SMALL(新年度名簿!$J$3:$J$452,$AH$3+23)&lt;22000,MATCH(SMALL(新年度名簿!$J$3:$J$452,$AH$3+23),新年度名簿!$J$3:$J$452,0),""),""),IFERROR(IF(SMALL(前年度名簿!$G$3:$G$452,$AH$3+23)&lt;22000,MATCH(SMALL(前年度名簿!$G$3:$G$452,$AH$3+23),前年度名簿!$G$3:$G$452,0),""),""))</f>
        <v/>
      </c>
      <c r="AI27" s="63">
        <f>IF(計算用!$B$1=1,IFERROR(IF(SMALL(新年度名簿!$J$3:$J$452,$AI$3+23)&lt;23000,MATCH(SMALL(新年度名簿!$J$3:$J$452,$AI$3+23),新年度名簿!$J$3:$J$452,0),""),""),IFERROR(IF(SMALL(前年度名簿!$G$3:$G$452,$AI$3+23)&lt;23000,MATCH(SMALL(前年度名簿!$G$3:$G$452,$AI$3+23),前年度名簿!$G$3:$G$452,0),""),""))</f>
        <v/>
      </c>
      <c r="AJ27" s="63">
        <f>IF(計算用!$B$1=1,IFERROR(IF(SMALL(新年度名簿!$J$3:$J$452,$AJ$3+23)&lt;24000,MATCH(SMALL(新年度名簿!$J$3:$J$452,$AJ$3+23),新年度名簿!$J$3:$J$452,0),""),""),IFERROR(IF(SMALL(前年度名簿!$G$3:$G$452,$AJ$3+23)&lt;24000,MATCH(SMALL(前年度名簿!$G$3:$G$452,$AJ$3+23),前年度名簿!$G$3:$G$452,0),""),""))</f>
        <v/>
      </c>
      <c r="AK27" s="63">
        <f>IF(計算用!$B$1=1,IFERROR(IF(SMALL(新年度名簿!$J$3:$J$452,$AK$3+23)&lt;25000,MATCH(SMALL(新年度名簿!$J$3:$J$452,$AK$3+23),新年度名簿!$J$3:$J$452,0),""),""),IFERROR(IF(SMALL(前年度名簿!$G$3:$G$452,$AK$3+23)&lt;25000,MATCH(SMALL(前年度名簿!$G$3:$G$452,$AK$3+23),前年度名簿!$G$3:$G$452,0),""),""))</f>
        <v/>
      </c>
    </row>
    <row r="28">
      <c r="A28" s="65">
        <f>IF($AD28="","",IF(計算用!$B$1=1,INDEX(新年度名簿!$C$3:$C$452,$AD28),INDEX(前年度名簿!$C$3:$C$452,$AD28)))</f>
        <v/>
      </c>
      <c r="B28" s="66">
        <f>IF($AD28="","",IF(計算用!$B$1=1,INDEX(新年度名簿!$D$3:$D$452,$AD28),INDEX(前年度名簿!$D$3:$D$452,$AD28)))</f>
        <v/>
      </c>
      <c r="C28" s="65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M$7:$M$456,MATCH($AD28,振り分け!$P$7:$P$456,0))="転出","転出",IF(INDEX(振り分け!$L$7:$L$456,MATCH($AD28,振り分け!$P$7:$P$456,0))="","未決定",INDEX(振り分け!$L$7:$L$456,MATCH($AD28,振り分け!$P$7:$P$456,0)))),"未決定")))</f>
        <v/>
      </c>
      <c r="D28" s="65">
        <f>IF($AE28="","",IF(計算用!$B$1=1,INDEX(新年度名簿!$C$3:$C$452,$AE28),INDEX(前年度名簿!$C$3:$C$452,$AE28)))</f>
        <v/>
      </c>
      <c r="E28" s="66">
        <f>IF($AE28="","",IF(計算用!$B$1=1,INDEX(新年度名簿!$D$3:$D$452,$AE28),INDEX(前年度名簿!$D$3:$D$452,$AE28)))</f>
        <v/>
      </c>
      <c r="F28" s="65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M$7:$M$456,MATCH($AE28,振り分け!$P$7:$P$456,0))="転出","転出",IF(INDEX(振り分け!$L$7:$L$456,MATCH($AE28,振り分け!$P$7:$P$456,0))="","未決定",INDEX(振り分け!$L$7:$L$456,MATCH($AE28,振り分け!$P$7:$P$456,0)))),"未決定")))</f>
        <v/>
      </c>
      <c r="G28" s="65">
        <f>IF($AF28="","",IF(計算用!$B$1=1,INDEX(新年度名簿!$C$3:$C$452,$AF28),INDEX(前年度名簿!$C$3:$C$452,$AF28)))</f>
        <v/>
      </c>
      <c r="H28" s="66">
        <f>IF($AF28="","",IF(計算用!$B$1=1,INDEX(新年度名簿!$D$3:$D$452,$AF28),INDEX(前年度名簿!$D$3:$D$452,$AF28)))</f>
        <v/>
      </c>
      <c r="I28" s="65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M$7:$M$456,MATCH($AF28,振り分け!$P$7:$P$456,0))="転出","転出",IF(INDEX(振り分け!$L$7:$L$456,MATCH($AF28,振り分け!$P$7:$P$456,0))="","未決定",INDEX(振り分け!$L$7:$L$456,MATCH($AF28,振り分け!$P$7:$P$456,0)))),"未決定")))</f>
        <v/>
      </c>
      <c r="J28" s="65">
        <f>IF($AG28="","",IF(計算用!$B$1=1,INDEX(新年度名簿!$C$3:$C$452,$AG28),INDEX(前年度名簿!$C$3:$C$452,$AG28)))</f>
        <v/>
      </c>
      <c r="K28" s="66">
        <f>IF($AG28="","",IF(計算用!$B$1=1,INDEX(新年度名簿!$D$3:$D$452,$AG28),INDEX(前年度名簿!$D$3:$D$452,$AG28)))</f>
        <v/>
      </c>
      <c r="L28" s="65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M$7:$M$456,MATCH($AG28,振り分け!$P$7:$P$456,0))="転出","転出",IF(INDEX(振り分け!$L$7:$L$456,MATCH($AG28,振り分け!$P$7:$P$456,0))="","未決定",INDEX(振り分け!$L$7:$L$456,MATCH($AG28,振り分け!$P$7:$P$456,0)))),"未決定")))</f>
        <v/>
      </c>
      <c r="M28" s="65">
        <f>IF($AH28="","",IF(計算用!$B$1=1,INDEX(新年度名簿!$C$3:$C$452,$AH28),INDEX(前年度名簿!$C$3:$C$452,$AH28)))</f>
        <v/>
      </c>
      <c r="N28" s="66">
        <f>IF($AH28="","",IF(計算用!$B$1=1,INDEX(新年度名簿!$D$3:$D$452,$AH28),INDEX(前年度名簿!$D$3:$D$452,$AH28)))</f>
        <v/>
      </c>
      <c r="O28" s="65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M$7:$M$456,MATCH($AH28,振り分け!$P$7:$P$456,0))="転出","転出",IF(INDEX(振り分け!$L$7:$L$456,MATCH($AH28,振り分け!$P$7:$P$456,0))="","未決定",INDEX(振り分け!$L$7:$L$456,MATCH($AH28,振り分け!$P$7:$P$456,0)))),"未決定")))</f>
        <v/>
      </c>
      <c r="P28" s="65">
        <f>IF($AI28="","",IF(計算用!$B$1=1,INDEX(新年度名簿!$C$3:$C$452,$AI28),INDEX(前年度名簿!$C$3:$C$452,$AI28)))</f>
        <v/>
      </c>
      <c r="Q28" s="66">
        <f>IF($AI28="","",IF(計算用!$B$1=1,INDEX(新年度名簿!$D$3:$D$452,$AI28),INDEX(前年度名簿!$D$3:$D$452,$AI28)))</f>
        <v/>
      </c>
      <c r="R28" s="65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M$7:$M$456,MATCH($AI28,振り分け!$P$7:$P$456,0))="転出","転出",IF(INDEX(振り分け!$L$7:$L$456,MATCH($AI28,振り分け!$P$7:$P$456,0))="","未決定",INDEX(振り分け!$L$7:$L$456,MATCH($AI28,振り分け!$P$7:$P$456,0)))),"未決定")))</f>
        <v/>
      </c>
      <c r="S28" s="65">
        <f>IF($AJ28="","",IF(計算用!$B$1=1,INDEX(新年度名簿!$C$3:$C$452,$AJ28),INDEX(前年度名簿!$C$3:$C$452,$AJ28)))</f>
        <v/>
      </c>
      <c r="T28" s="66">
        <f>IF($AJ28="","",IF(計算用!$B$1=1,INDEX(新年度名簿!$D$3:$D$452,$AJ28),INDEX(前年度名簿!$D$3:$D$452,$AJ28)))</f>
        <v/>
      </c>
      <c r="U28" s="65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M$7:$M$456,MATCH($AJ28,振り分け!$P$7:$P$456,0))="転出","転出",IF(INDEX(振り分け!$L$7:$L$456,MATCH($AJ28,振り分け!$P$7:$P$456,0))="","未決定",INDEX(振り分け!$L$7:$L$456,MATCH($AJ28,振り分け!$P$7:$P$456,0)))),"未決定")))</f>
        <v/>
      </c>
      <c r="V28" s="65">
        <f>IF($AK28="","",IF(計算用!$B$1=1,INDEX(新年度名簿!$C$3:$C$452,$AK28),INDEX(前年度名簿!$C$3:$C$452,$AK28)))</f>
        <v/>
      </c>
      <c r="W28" s="66">
        <f>IF($AK28="","",IF(計算用!$B$1=1,INDEX(新年度名簿!$D$3:$D$452,$AK28),INDEX(前年度名簿!$D$3:$D$452,$AK28)))</f>
        <v/>
      </c>
      <c r="X28" s="65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M$7:$M$456,MATCH($AK28,振り分け!$P$7:$P$456,0))="転出","転出",IF(INDEX(振り分け!$L$7:$L$456,MATCH($AK28,振り分け!$P$7:$P$456,0))="","未決定",INDEX(振り分け!$L$7:$L$456,MATCH($AK28,振り分け!$P$7:$P$456,0)))),"未決定")))</f>
        <v/>
      </c>
      <c r="AD28" s="63">
        <f>IF(計算用!$B$1=1,IFERROR(IF(SMALL(新年度名簿!$J$3:$J$452,$AD$3+24)&lt;18000,MATCH(SMALL(新年度名簿!$J$3:$J$452,$AD$3+24),新年度名簿!$J$3:$J$452,0),""),""),IFERROR(IF(SMALL(前年度名簿!$G$3:$G$452,$AD$3+24)&lt;18000,MATCH(SMALL(前年度名簿!$G$3:$G$452,$AD$3+24),前年度名簿!$G$3:$G$452,0),""),""))</f>
        <v/>
      </c>
      <c r="AE28" s="63">
        <f>IF(計算用!$B$1=1,IFERROR(IF(SMALL(新年度名簿!$J$3:$J$452,$AE$3+24)&lt;19000,MATCH(SMALL(新年度名簿!$J$3:$J$452,$AE$3+24),新年度名簿!$J$3:$J$452,0),""),""),IFERROR(IF(SMALL(前年度名簿!$G$3:$G$452,$AE$3+24)&lt;19000,MATCH(SMALL(前年度名簿!$G$3:$G$452,$AE$3+24),前年度名簿!$G$3:$G$452,0),""),""))</f>
        <v/>
      </c>
      <c r="AF28" s="63">
        <f>IF(計算用!$B$1=1,IFERROR(IF(SMALL(新年度名簿!$J$3:$J$452,$AF$3+24)&lt;20000,MATCH(SMALL(新年度名簿!$J$3:$J$452,$AF$3+24),新年度名簿!$J$3:$J$452,0),""),""),IFERROR(IF(SMALL(前年度名簿!$G$3:$G$452,$AF$3+24)&lt;20000,MATCH(SMALL(前年度名簿!$G$3:$G$452,$AF$3+24),前年度名簿!$G$3:$G$452,0),""),""))</f>
        <v/>
      </c>
      <c r="AG28" s="63">
        <f>IF(計算用!$B$1=1,IFERROR(IF(SMALL(新年度名簿!$J$3:$J$452,$AG$3+24)&lt;21000,MATCH(SMALL(新年度名簿!$J$3:$J$452,$AG$3+24),新年度名簿!$J$3:$J$452,0),""),""),IFERROR(IF(SMALL(前年度名簿!$G$3:$G$452,$AG$3+24)&lt;21000,MATCH(SMALL(前年度名簿!$G$3:$G$452,$AG$3+24),前年度名簿!$G$3:$G$452,0),""),""))</f>
        <v/>
      </c>
      <c r="AH28" s="63">
        <f>IF(計算用!$B$1=1,IFERROR(IF(SMALL(新年度名簿!$J$3:$J$452,$AH$3+24)&lt;22000,MATCH(SMALL(新年度名簿!$J$3:$J$452,$AH$3+24),新年度名簿!$J$3:$J$452,0),""),""),IFERROR(IF(SMALL(前年度名簿!$G$3:$G$452,$AH$3+24)&lt;22000,MATCH(SMALL(前年度名簿!$G$3:$G$452,$AH$3+24),前年度名簿!$G$3:$G$452,0),""),""))</f>
        <v/>
      </c>
      <c r="AI28" s="63">
        <f>IF(計算用!$B$1=1,IFERROR(IF(SMALL(新年度名簿!$J$3:$J$452,$AI$3+24)&lt;23000,MATCH(SMALL(新年度名簿!$J$3:$J$452,$AI$3+24),新年度名簿!$J$3:$J$452,0),""),""),IFERROR(IF(SMALL(前年度名簿!$G$3:$G$452,$AI$3+24)&lt;23000,MATCH(SMALL(前年度名簿!$G$3:$G$452,$AI$3+24),前年度名簿!$G$3:$G$452,0),""),""))</f>
        <v/>
      </c>
      <c r="AJ28" s="63">
        <f>IF(計算用!$B$1=1,IFERROR(IF(SMALL(新年度名簿!$J$3:$J$452,$AJ$3+24)&lt;24000,MATCH(SMALL(新年度名簿!$J$3:$J$452,$AJ$3+24),新年度名簿!$J$3:$J$452,0),""),""),IFERROR(IF(SMALL(前年度名簿!$G$3:$G$452,$AJ$3+24)&lt;24000,MATCH(SMALL(前年度名簿!$G$3:$G$452,$AJ$3+24),前年度名簿!$G$3:$G$452,0),""),""))</f>
        <v/>
      </c>
      <c r="AK28" s="63">
        <f>IF(計算用!$B$1=1,IFERROR(IF(SMALL(新年度名簿!$J$3:$J$452,$AK$3+24)&lt;25000,MATCH(SMALL(新年度名簿!$J$3:$J$452,$AK$3+24),新年度名簿!$J$3:$J$452,0),""),""),IFERROR(IF(SMALL(前年度名簿!$G$3:$G$452,$AK$3+24)&lt;25000,MATCH(SMALL(前年度名簿!$G$3:$G$452,$AK$3+24),前年度名簿!$G$3:$G$452,0),""),""))</f>
        <v/>
      </c>
    </row>
    <row r="29">
      <c r="A29" s="65">
        <f>IF($AD29="","",IF(計算用!$B$1=1,INDEX(新年度名簿!$C$3:$C$452,$AD29),INDEX(前年度名簿!$C$3:$C$452,$AD29)))</f>
        <v/>
      </c>
      <c r="B29" s="66">
        <f>IF($AD29="","",IF(計算用!$B$1=1,INDEX(新年度名簿!$D$3:$D$452,$AD29),INDEX(前年度名簿!$D$3:$D$452,$AD29)))</f>
        <v/>
      </c>
      <c r="C29" s="65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M$7:$M$456,MATCH($AD29,振り分け!$P$7:$P$456,0))="転出","転出",IF(INDEX(振り分け!$L$7:$L$456,MATCH($AD29,振り分け!$P$7:$P$456,0))="","未決定",INDEX(振り分け!$L$7:$L$456,MATCH($AD29,振り分け!$P$7:$P$456,0)))),"未決定")))</f>
        <v/>
      </c>
      <c r="D29" s="65">
        <f>IF($AE29="","",IF(計算用!$B$1=1,INDEX(新年度名簿!$C$3:$C$452,$AE29),INDEX(前年度名簿!$C$3:$C$452,$AE29)))</f>
        <v/>
      </c>
      <c r="E29" s="66">
        <f>IF($AE29="","",IF(計算用!$B$1=1,INDEX(新年度名簿!$D$3:$D$452,$AE29),INDEX(前年度名簿!$D$3:$D$452,$AE29)))</f>
        <v/>
      </c>
      <c r="F29" s="65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M$7:$M$456,MATCH($AE29,振り分け!$P$7:$P$456,0))="転出","転出",IF(INDEX(振り分け!$L$7:$L$456,MATCH($AE29,振り分け!$P$7:$P$456,0))="","未決定",INDEX(振り分け!$L$7:$L$456,MATCH($AE29,振り分け!$P$7:$P$456,0)))),"未決定")))</f>
        <v/>
      </c>
      <c r="G29" s="65">
        <f>IF($AF29="","",IF(計算用!$B$1=1,INDEX(新年度名簿!$C$3:$C$452,$AF29),INDEX(前年度名簿!$C$3:$C$452,$AF29)))</f>
        <v/>
      </c>
      <c r="H29" s="66">
        <f>IF($AF29="","",IF(計算用!$B$1=1,INDEX(新年度名簿!$D$3:$D$452,$AF29),INDEX(前年度名簿!$D$3:$D$452,$AF29)))</f>
        <v/>
      </c>
      <c r="I29" s="65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M$7:$M$456,MATCH($AF29,振り分け!$P$7:$P$456,0))="転出","転出",IF(INDEX(振り分け!$L$7:$L$456,MATCH($AF29,振り分け!$P$7:$P$456,0))="","未決定",INDEX(振り分け!$L$7:$L$456,MATCH($AF29,振り分け!$P$7:$P$456,0)))),"未決定")))</f>
        <v/>
      </c>
      <c r="J29" s="65">
        <f>IF($AG29="","",IF(計算用!$B$1=1,INDEX(新年度名簿!$C$3:$C$452,$AG29),INDEX(前年度名簿!$C$3:$C$452,$AG29)))</f>
        <v/>
      </c>
      <c r="K29" s="66">
        <f>IF($AG29="","",IF(計算用!$B$1=1,INDEX(新年度名簿!$D$3:$D$452,$AG29),INDEX(前年度名簿!$D$3:$D$452,$AG29)))</f>
        <v/>
      </c>
      <c r="L29" s="65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M$7:$M$456,MATCH($AG29,振り分け!$P$7:$P$456,0))="転出","転出",IF(INDEX(振り分け!$L$7:$L$456,MATCH($AG29,振り分け!$P$7:$P$456,0))="","未決定",INDEX(振り分け!$L$7:$L$456,MATCH($AG29,振り分け!$P$7:$P$456,0)))),"未決定")))</f>
        <v/>
      </c>
      <c r="M29" s="65">
        <f>IF($AH29="","",IF(計算用!$B$1=1,INDEX(新年度名簿!$C$3:$C$452,$AH29),INDEX(前年度名簿!$C$3:$C$452,$AH29)))</f>
        <v/>
      </c>
      <c r="N29" s="66">
        <f>IF($AH29="","",IF(計算用!$B$1=1,INDEX(新年度名簿!$D$3:$D$452,$AH29),INDEX(前年度名簿!$D$3:$D$452,$AH29)))</f>
        <v/>
      </c>
      <c r="O29" s="65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M$7:$M$456,MATCH($AH29,振り分け!$P$7:$P$456,0))="転出","転出",IF(INDEX(振り分け!$L$7:$L$456,MATCH($AH29,振り分け!$P$7:$P$456,0))="","未決定",INDEX(振り分け!$L$7:$L$456,MATCH($AH29,振り分け!$P$7:$P$456,0)))),"未決定")))</f>
        <v/>
      </c>
      <c r="P29" s="65">
        <f>IF($AI29="","",IF(計算用!$B$1=1,INDEX(新年度名簿!$C$3:$C$452,$AI29),INDEX(前年度名簿!$C$3:$C$452,$AI29)))</f>
        <v/>
      </c>
      <c r="Q29" s="66">
        <f>IF($AI29="","",IF(計算用!$B$1=1,INDEX(新年度名簿!$D$3:$D$452,$AI29),INDEX(前年度名簿!$D$3:$D$452,$AI29)))</f>
        <v/>
      </c>
      <c r="R29" s="65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M$7:$M$456,MATCH($AI29,振り分け!$P$7:$P$456,0))="転出","転出",IF(INDEX(振り分け!$L$7:$L$456,MATCH($AI29,振り分け!$P$7:$P$456,0))="","未決定",INDEX(振り分け!$L$7:$L$456,MATCH($AI29,振り分け!$P$7:$P$456,0)))),"未決定")))</f>
        <v/>
      </c>
      <c r="S29" s="65">
        <f>IF($AJ29="","",IF(計算用!$B$1=1,INDEX(新年度名簿!$C$3:$C$452,$AJ29),INDEX(前年度名簿!$C$3:$C$452,$AJ29)))</f>
        <v/>
      </c>
      <c r="T29" s="66">
        <f>IF($AJ29="","",IF(計算用!$B$1=1,INDEX(新年度名簿!$D$3:$D$452,$AJ29),INDEX(前年度名簿!$D$3:$D$452,$AJ29)))</f>
        <v/>
      </c>
      <c r="U29" s="65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M$7:$M$456,MATCH($AJ29,振り分け!$P$7:$P$456,0))="転出","転出",IF(INDEX(振り分け!$L$7:$L$456,MATCH($AJ29,振り分け!$P$7:$P$456,0))="","未決定",INDEX(振り分け!$L$7:$L$456,MATCH($AJ29,振り分け!$P$7:$P$456,0)))),"未決定")))</f>
        <v/>
      </c>
      <c r="V29" s="65">
        <f>IF($AK29="","",IF(計算用!$B$1=1,INDEX(新年度名簿!$C$3:$C$452,$AK29),INDEX(前年度名簿!$C$3:$C$452,$AK29)))</f>
        <v/>
      </c>
      <c r="W29" s="66">
        <f>IF($AK29="","",IF(計算用!$B$1=1,INDEX(新年度名簿!$D$3:$D$452,$AK29),INDEX(前年度名簿!$D$3:$D$452,$AK29)))</f>
        <v/>
      </c>
      <c r="X29" s="65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M$7:$M$456,MATCH($AK29,振り分け!$P$7:$P$456,0))="転出","転出",IF(INDEX(振り分け!$L$7:$L$456,MATCH($AK29,振り分け!$P$7:$P$456,0))="","未決定",INDEX(振り分け!$L$7:$L$456,MATCH($AK29,振り分け!$P$7:$P$456,0)))),"未決定")))</f>
        <v/>
      </c>
      <c r="AD29" s="63">
        <f>IF(計算用!$B$1=1,IFERROR(IF(SMALL(新年度名簿!$J$3:$J$452,$AD$3+25)&lt;18000,MATCH(SMALL(新年度名簿!$J$3:$J$452,$AD$3+25),新年度名簿!$J$3:$J$452,0),""),""),IFERROR(IF(SMALL(前年度名簿!$G$3:$G$452,$AD$3+25)&lt;18000,MATCH(SMALL(前年度名簿!$G$3:$G$452,$AD$3+25),前年度名簿!$G$3:$G$452,0),""),""))</f>
        <v/>
      </c>
      <c r="AE29" s="63">
        <f>IF(計算用!$B$1=1,IFERROR(IF(SMALL(新年度名簿!$J$3:$J$452,$AE$3+25)&lt;19000,MATCH(SMALL(新年度名簿!$J$3:$J$452,$AE$3+25),新年度名簿!$J$3:$J$452,0),""),""),IFERROR(IF(SMALL(前年度名簿!$G$3:$G$452,$AE$3+25)&lt;19000,MATCH(SMALL(前年度名簿!$G$3:$G$452,$AE$3+25),前年度名簿!$G$3:$G$452,0),""),""))</f>
        <v/>
      </c>
      <c r="AF29" s="63">
        <f>IF(計算用!$B$1=1,IFERROR(IF(SMALL(新年度名簿!$J$3:$J$452,$AF$3+25)&lt;20000,MATCH(SMALL(新年度名簿!$J$3:$J$452,$AF$3+25),新年度名簿!$J$3:$J$452,0),""),""),IFERROR(IF(SMALL(前年度名簿!$G$3:$G$452,$AF$3+25)&lt;20000,MATCH(SMALL(前年度名簿!$G$3:$G$452,$AF$3+25),前年度名簿!$G$3:$G$452,0),""),""))</f>
        <v/>
      </c>
      <c r="AG29" s="63">
        <f>IF(計算用!$B$1=1,IFERROR(IF(SMALL(新年度名簿!$J$3:$J$452,$AG$3+25)&lt;21000,MATCH(SMALL(新年度名簿!$J$3:$J$452,$AG$3+25),新年度名簿!$J$3:$J$452,0),""),""),IFERROR(IF(SMALL(前年度名簿!$G$3:$G$452,$AG$3+25)&lt;21000,MATCH(SMALL(前年度名簿!$G$3:$G$452,$AG$3+25),前年度名簿!$G$3:$G$452,0),""),""))</f>
        <v/>
      </c>
      <c r="AH29" s="63">
        <f>IF(計算用!$B$1=1,IFERROR(IF(SMALL(新年度名簿!$J$3:$J$452,$AH$3+25)&lt;22000,MATCH(SMALL(新年度名簿!$J$3:$J$452,$AH$3+25),新年度名簿!$J$3:$J$452,0),""),""),IFERROR(IF(SMALL(前年度名簿!$G$3:$G$452,$AH$3+25)&lt;22000,MATCH(SMALL(前年度名簿!$G$3:$G$452,$AH$3+25),前年度名簿!$G$3:$G$452,0),""),""))</f>
        <v/>
      </c>
      <c r="AI29" s="63">
        <f>IF(計算用!$B$1=1,IFERROR(IF(SMALL(新年度名簿!$J$3:$J$452,$AI$3+25)&lt;23000,MATCH(SMALL(新年度名簿!$J$3:$J$452,$AI$3+25),新年度名簿!$J$3:$J$452,0),""),""),IFERROR(IF(SMALL(前年度名簿!$G$3:$G$452,$AI$3+25)&lt;23000,MATCH(SMALL(前年度名簿!$G$3:$G$452,$AI$3+25),前年度名簿!$G$3:$G$452,0),""),""))</f>
        <v/>
      </c>
      <c r="AJ29" s="63">
        <f>IF(計算用!$B$1=1,IFERROR(IF(SMALL(新年度名簿!$J$3:$J$452,$AJ$3+25)&lt;24000,MATCH(SMALL(新年度名簿!$J$3:$J$452,$AJ$3+25),新年度名簿!$J$3:$J$452,0),""),""),IFERROR(IF(SMALL(前年度名簿!$G$3:$G$452,$AJ$3+25)&lt;24000,MATCH(SMALL(前年度名簿!$G$3:$G$452,$AJ$3+25),前年度名簿!$G$3:$G$452,0),""),""))</f>
        <v/>
      </c>
      <c r="AK29" s="63">
        <f>IF(計算用!$B$1=1,IFERROR(IF(SMALL(新年度名簿!$J$3:$J$452,$AK$3+25)&lt;25000,MATCH(SMALL(新年度名簿!$J$3:$J$452,$AK$3+25),新年度名簿!$J$3:$J$452,0),""),""),IFERROR(IF(SMALL(前年度名簿!$G$3:$G$452,$AK$3+25)&lt;25000,MATCH(SMALL(前年度名簿!$G$3:$G$452,$AK$3+25),前年度名簿!$G$3:$G$452,0),""),""))</f>
        <v/>
      </c>
    </row>
    <row r="30">
      <c r="A30" s="65">
        <f>IF($AD30="","",IF(計算用!$B$1=1,INDEX(新年度名簿!$C$3:$C$452,$AD30),INDEX(前年度名簿!$C$3:$C$452,$AD30)))</f>
        <v/>
      </c>
      <c r="B30" s="66">
        <f>IF($AD30="","",IF(計算用!$B$1=1,INDEX(新年度名簿!$D$3:$D$452,$AD30),INDEX(前年度名簿!$D$3:$D$452,$AD30)))</f>
        <v/>
      </c>
      <c r="C30" s="65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M$7:$M$456,MATCH($AD30,振り分け!$P$7:$P$456,0))="転出","転出",IF(INDEX(振り分け!$L$7:$L$456,MATCH($AD30,振り分け!$P$7:$P$456,0))="","未決定",INDEX(振り分け!$L$7:$L$456,MATCH($AD30,振り分け!$P$7:$P$456,0)))),"未決定")))</f>
        <v/>
      </c>
      <c r="D30" s="65">
        <f>IF($AE30="","",IF(計算用!$B$1=1,INDEX(新年度名簿!$C$3:$C$452,$AE30),INDEX(前年度名簿!$C$3:$C$452,$AE30)))</f>
        <v/>
      </c>
      <c r="E30" s="66">
        <f>IF($AE30="","",IF(計算用!$B$1=1,INDEX(新年度名簿!$D$3:$D$452,$AE30),INDEX(前年度名簿!$D$3:$D$452,$AE30)))</f>
        <v/>
      </c>
      <c r="F30" s="65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M$7:$M$456,MATCH($AE30,振り分け!$P$7:$P$456,0))="転出","転出",IF(INDEX(振り分け!$L$7:$L$456,MATCH($AE30,振り分け!$P$7:$P$456,0))="","未決定",INDEX(振り分け!$L$7:$L$456,MATCH($AE30,振り分け!$P$7:$P$456,0)))),"未決定")))</f>
        <v/>
      </c>
      <c r="G30" s="65">
        <f>IF($AF30="","",IF(計算用!$B$1=1,INDEX(新年度名簿!$C$3:$C$452,$AF30),INDEX(前年度名簿!$C$3:$C$452,$AF30)))</f>
        <v/>
      </c>
      <c r="H30" s="66">
        <f>IF($AF30="","",IF(計算用!$B$1=1,INDEX(新年度名簿!$D$3:$D$452,$AF30),INDEX(前年度名簿!$D$3:$D$452,$AF30)))</f>
        <v/>
      </c>
      <c r="I30" s="65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M$7:$M$456,MATCH($AF30,振り分け!$P$7:$P$456,0))="転出","転出",IF(INDEX(振り分け!$L$7:$L$456,MATCH($AF30,振り分け!$P$7:$P$456,0))="","未決定",INDEX(振り分け!$L$7:$L$456,MATCH($AF30,振り分け!$P$7:$P$456,0)))),"未決定")))</f>
        <v/>
      </c>
      <c r="J30" s="65">
        <f>IF($AG30="","",IF(計算用!$B$1=1,INDEX(新年度名簿!$C$3:$C$452,$AG30),INDEX(前年度名簿!$C$3:$C$452,$AG30)))</f>
        <v/>
      </c>
      <c r="K30" s="66">
        <f>IF($AG30="","",IF(計算用!$B$1=1,INDEX(新年度名簿!$D$3:$D$452,$AG30),INDEX(前年度名簿!$D$3:$D$452,$AG30)))</f>
        <v/>
      </c>
      <c r="L30" s="65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M$7:$M$456,MATCH($AG30,振り分け!$P$7:$P$456,0))="転出","転出",IF(INDEX(振り分け!$L$7:$L$456,MATCH($AG30,振り分け!$P$7:$P$456,0))="","未決定",INDEX(振り分け!$L$7:$L$456,MATCH($AG30,振り分け!$P$7:$P$456,0)))),"未決定")))</f>
        <v/>
      </c>
      <c r="M30" s="65">
        <f>IF($AH30="","",IF(計算用!$B$1=1,INDEX(新年度名簿!$C$3:$C$452,$AH30),INDEX(前年度名簿!$C$3:$C$452,$AH30)))</f>
        <v/>
      </c>
      <c r="N30" s="66">
        <f>IF($AH30="","",IF(計算用!$B$1=1,INDEX(新年度名簿!$D$3:$D$452,$AH30),INDEX(前年度名簿!$D$3:$D$452,$AH30)))</f>
        <v/>
      </c>
      <c r="O30" s="65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M$7:$M$456,MATCH($AH30,振り分け!$P$7:$P$456,0))="転出","転出",IF(INDEX(振り分け!$L$7:$L$456,MATCH($AH30,振り分け!$P$7:$P$456,0))="","未決定",INDEX(振り分け!$L$7:$L$456,MATCH($AH30,振り分け!$P$7:$P$456,0)))),"未決定")))</f>
        <v/>
      </c>
      <c r="P30" s="65">
        <f>IF($AI30="","",IF(計算用!$B$1=1,INDEX(新年度名簿!$C$3:$C$452,$AI30),INDEX(前年度名簿!$C$3:$C$452,$AI30)))</f>
        <v/>
      </c>
      <c r="Q30" s="66">
        <f>IF($AI30="","",IF(計算用!$B$1=1,INDEX(新年度名簿!$D$3:$D$452,$AI30),INDEX(前年度名簿!$D$3:$D$452,$AI30)))</f>
        <v/>
      </c>
      <c r="R30" s="65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M$7:$M$456,MATCH($AI30,振り分け!$P$7:$P$456,0))="転出","転出",IF(INDEX(振り分け!$L$7:$L$456,MATCH($AI30,振り分け!$P$7:$P$456,0))="","未決定",INDEX(振り分け!$L$7:$L$456,MATCH($AI30,振り分け!$P$7:$P$456,0)))),"未決定")))</f>
        <v/>
      </c>
      <c r="S30" s="65">
        <f>IF($AJ30="","",IF(計算用!$B$1=1,INDEX(新年度名簿!$C$3:$C$452,$AJ30),INDEX(前年度名簿!$C$3:$C$452,$AJ30)))</f>
        <v/>
      </c>
      <c r="T30" s="66">
        <f>IF($AJ30="","",IF(計算用!$B$1=1,INDEX(新年度名簿!$D$3:$D$452,$AJ30),INDEX(前年度名簿!$D$3:$D$452,$AJ30)))</f>
        <v/>
      </c>
      <c r="U30" s="65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M$7:$M$456,MATCH($AJ30,振り分け!$P$7:$P$456,0))="転出","転出",IF(INDEX(振り分け!$L$7:$L$456,MATCH($AJ30,振り分け!$P$7:$P$456,0))="","未決定",INDEX(振り分け!$L$7:$L$456,MATCH($AJ30,振り分け!$P$7:$P$456,0)))),"未決定")))</f>
        <v/>
      </c>
      <c r="V30" s="65">
        <f>IF($AK30="","",IF(計算用!$B$1=1,INDEX(新年度名簿!$C$3:$C$452,$AK30),INDEX(前年度名簿!$C$3:$C$452,$AK30)))</f>
        <v/>
      </c>
      <c r="W30" s="66">
        <f>IF($AK30="","",IF(計算用!$B$1=1,INDEX(新年度名簿!$D$3:$D$452,$AK30),INDEX(前年度名簿!$D$3:$D$452,$AK30)))</f>
        <v/>
      </c>
      <c r="X30" s="65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M$7:$M$456,MATCH($AK30,振り分け!$P$7:$P$456,0))="転出","転出",IF(INDEX(振り分け!$L$7:$L$456,MATCH($AK30,振り分け!$P$7:$P$456,0))="","未決定",INDEX(振り分け!$L$7:$L$456,MATCH($AK30,振り分け!$P$7:$P$456,0)))),"未決定")))</f>
        <v/>
      </c>
      <c r="AD30" s="63">
        <f>IF(計算用!$B$1=1,IFERROR(IF(SMALL(新年度名簿!$J$3:$J$452,$AD$3+26)&lt;18000,MATCH(SMALL(新年度名簿!$J$3:$J$452,$AD$3+26),新年度名簿!$J$3:$J$452,0),""),""),IFERROR(IF(SMALL(前年度名簿!$G$3:$G$452,$AD$3+26)&lt;18000,MATCH(SMALL(前年度名簿!$G$3:$G$452,$AD$3+26),前年度名簿!$G$3:$G$452,0),""),""))</f>
        <v/>
      </c>
      <c r="AE30" s="63">
        <f>IF(計算用!$B$1=1,IFERROR(IF(SMALL(新年度名簿!$J$3:$J$452,$AE$3+26)&lt;19000,MATCH(SMALL(新年度名簿!$J$3:$J$452,$AE$3+26),新年度名簿!$J$3:$J$452,0),""),""),IFERROR(IF(SMALL(前年度名簿!$G$3:$G$452,$AE$3+26)&lt;19000,MATCH(SMALL(前年度名簿!$G$3:$G$452,$AE$3+26),前年度名簿!$G$3:$G$452,0),""),""))</f>
        <v/>
      </c>
      <c r="AF30" s="63">
        <f>IF(計算用!$B$1=1,IFERROR(IF(SMALL(新年度名簿!$J$3:$J$452,$AF$3+26)&lt;20000,MATCH(SMALL(新年度名簿!$J$3:$J$452,$AF$3+26),新年度名簿!$J$3:$J$452,0),""),""),IFERROR(IF(SMALL(前年度名簿!$G$3:$G$452,$AF$3+26)&lt;20000,MATCH(SMALL(前年度名簿!$G$3:$G$452,$AF$3+26),前年度名簿!$G$3:$G$452,0),""),""))</f>
        <v/>
      </c>
      <c r="AG30" s="63">
        <f>IF(計算用!$B$1=1,IFERROR(IF(SMALL(新年度名簿!$J$3:$J$452,$AG$3+26)&lt;21000,MATCH(SMALL(新年度名簿!$J$3:$J$452,$AG$3+26),新年度名簿!$J$3:$J$452,0),""),""),IFERROR(IF(SMALL(前年度名簿!$G$3:$G$452,$AG$3+26)&lt;21000,MATCH(SMALL(前年度名簿!$G$3:$G$452,$AG$3+26),前年度名簿!$G$3:$G$452,0),""),""))</f>
        <v/>
      </c>
      <c r="AH30" s="63">
        <f>IF(計算用!$B$1=1,IFERROR(IF(SMALL(新年度名簿!$J$3:$J$452,$AH$3+26)&lt;22000,MATCH(SMALL(新年度名簿!$J$3:$J$452,$AH$3+26),新年度名簿!$J$3:$J$452,0),""),""),IFERROR(IF(SMALL(前年度名簿!$G$3:$G$452,$AH$3+26)&lt;22000,MATCH(SMALL(前年度名簿!$G$3:$G$452,$AH$3+26),前年度名簿!$G$3:$G$452,0),""),""))</f>
        <v/>
      </c>
      <c r="AI30" s="63">
        <f>IF(計算用!$B$1=1,IFERROR(IF(SMALL(新年度名簿!$J$3:$J$452,$AI$3+26)&lt;23000,MATCH(SMALL(新年度名簿!$J$3:$J$452,$AI$3+26),新年度名簿!$J$3:$J$452,0),""),""),IFERROR(IF(SMALL(前年度名簿!$G$3:$G$452,$AI$3+26)&lt;23000,MATCH(SMALL(前年度名簿!$G$3:$G$452,$AI$3+26),前年度名簿!$G$3:$G$452,0),""),""))</f>
        <v/>
      </c>
      <c r="AJ30" s="63">
        <f>IF(計算用!$B$1=1,IFERROR(IF(SMALL(新年度名簿!$J$3:$J$452,$AJ$3+26)&lt;24000,MATCH(SMALL(新年度名簿!$J$3:$J$452,$AJ$3+26),新年度名簿!$J$3:$J$452,0),""),""),IFERROR(IF(SMALL(前年度名簿!$G$3:$G$452,$AJ$3+26)&lt;24000,MATCH(SMALL(前年度名簿!$G$3:$G$452,$AJ$3+26),前年度名簿!$G$3:$G$452,0),""),""))</f>
        <v/>
      </c>
      <c r="AK30" s="63">
        <f>IF(計算用!$B$1=1,IFERROR(IF(SMALL(新年度名簿!$J$3:$J$452,$AK$3+26)&lt;25000,MATCH(SMALL(新年度名簿!$J$3:$J$452,$AK$3+26),新年度名簿!$J$3:$J$452,0),""),""),IFERROR(IF(SMALL(前年度名簿!$G$3:$G$452,$AK$3+26)&lt;25000,MATCH(SMALL(前年度名簿!$G$3:$G$452,$AK$3+26),前年度名簿!$G$3:$G$452,0),""),""))</f>
        <v/>
      </c>
    </row>
    <row r="31">
      <c r="A31" s="65">
        <f>IF($AD31="","",IF(計算用!$B$1=1,INDEX(新年度名簿!$C$3:$C$452,$AD31),INDEX(前年度名簿!$C$3:$C$452,$AD31)))</f>
        <v/>
      </c>
      <c r="B31" s="66">
        <f>IF($AD31="","",IF(計算用!$B$1=1,INDEX(新年度名簿!$D$3:$D$452,$AD31),INDEX(前年度名簿!$D$3:$D$452,$AD31)))</f>
        <v/>
      </c>
      <c r="C31" s="65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M$7:$M$456,MATCH($AD31,振り分け!$P$7:$P$456,0))="転出","転出",IF(INDEX(振り分け!$L$7:$L$456,MATCH($AD31,振り分け!$P$7:$P$456,0))="","未決定",INDEX(振り分け!$L$7:$L$456,MATCH($AD31,振り分け!$P$7:$P$456,0)))),"未決定")))</f>
        <v/>
      </c>
      <c r="D31" s="65">
        <f>IF($AE31="","",IF(計算用!$B$1=1,INDEX(新年度名簿!$C$3:$C$452,$AE31),INDEX(前年度名簿!$C$3:$C$452,$AE31)))</f>
        <v/>
      </c>
      <c r="E31" s="66">
        <f>IF($AE31="","",IF(計算用!$B$1=1,INDEX(新年度名簿!$D$3:$D$452,$AE31),INDEX(前年度名簿!$D$3:$D$452,$AE31)))</f>
        <v/>
      </c>
      <c r="F31" s="65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M$7:$M$456,MATCH($AE31,振り分け!$P$7:$P$456,0))="転出","転出",IF(INDEX(振り分け!$L$7:$L$456,MATCH($AE31,振り分け!$P$7:$P$456,0))="","未決定",INDEX(振り分け!$L$7:$L$456,MATCH($AE31,振り分け!$P$7:$P$456,0)))),"未決定")))</f>
        <v/>
      </c>
      <c r="G31" s="65">
        <f>IF($AF31="","",IF(計算用!$B$1=1,INDEX(新年度名簿!$C$3:$C$452,$AF31),INDEX(前年度名簿!$C$3:$C$452,$AF31)))</f>
        <v/>
      </c>
      <c r="H31" s="66">
        <f>IF($AF31="","",IF(計算用!$B$1=1,INDEX(新年度名簿!$D$3:$D$452,$AF31),INDEX(前年度名簿!$D$3:$D$452,$AF31)))</f>
        <v/>
      </c>
      <c r="I31" s="65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M$7:$M$456,MATCH($AF31,振り分け!$P$7:$P$456,0))="転出","転出",IF(INDEX(振り分け!$L$7:$L$456,MATCH($AF31,振り分け!$P$7:$P$456,0))="","未決定",INDEX(振り分け!$L$7:$L$456,MATCH($AF31,振り分け!$P$7:$P$456,0)))),"未決定")))</f>
        <v/>
      </c>
      <c r="J31" s="65">
        <f>IF($AG31="","",IF(計算用!$B$1=1,INDEX(新年度名簿!$C$3:$C$452,$AG31),INDEX(前年度名簿!$C$3:$C$452,$AG31)))</f>
        <v/>
      </c>
      <c r="K31" s="66">
        <f>IF($AG31="","",IF(計算用!$B$1=1,INDEX(新年度名簿!$D$3:$D$452,$AG31),INDEX(前年度名簿!$D$3:$D$452,$AG31)))</f>
        <v/>
      </c>
      <c r="L31" s="65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M$7:$M$456,MATCH($AG31,振り分け!$P$7:$P$456,0))="転出","転出",IF(INDEX(振り分け!$L$7:$L$456,MATCH($AG31,振り分け!$P$7:$P$456,0))="","未決定",INDEX(振り分け!$L$7:$L$456,MATCH($AG31,振り分け!$P$7:$P$456,0)))),"未決定")))</f>
        <v/>
      </c>
      <c r="M31" s="65">
        <f>IF($AH31="","",IF(計算用!$B$1=1,INDEX(新年度名簿!$C$3:$C$452,$AH31),INDEX(前年度名簿!$C$3:$C$452,$AH31)))</f>
        <v/>
      </c>
      <c r="N31" s="66">
        <f>IF($AH31="","",IF(計算用!$B$1=1,INDEX(新年度名簿!$D$3:$D$452,$AH31),INDEX(前年度名簿!$D$3:$D$452,$AH31)))</f>
        <v/>
      </c>
      <c r="O31" s="65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M$7:$M$456,MATCH($AH31,振り分け!$P$7:$P$456,0))="転出","転出",IF(INDEX(振り分け!$L$7:$L$456,MATCH($AH31,振り分け!$P$7:$P$456,0))="","未決定",INDEX(振り分け!$L$7:$L$456,MATCH($AH31,振り分け!$P$7:$P$456,0)))),"未決定")))</f>
        <v/>
      </c>
      <c r="P31" s="65">
        <f>IF($AI31="","",IF(計算用!$B$1=1,INDEX(新年度名簿!$C$3:$C$452,$AI31),INDEX(前年度名簿!$C$3:$C$452,$AI31)))</f>
        <v/>
      </c>
      <c r="Q31" s="66">
        <f>IF($AI31="","",IF(計算用!$B$1=1,INDEX(新年度名簿!$D$3:$D$452,$AI31),INDEX(前年度名簿!$D$3:$D$452,$AI31)))</f>
        <v/>
      </c>
      <c r="R31" s="65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M$7:$M$456,MATCH($AI31,振り分け!$P$7:$P$456,0))="転出","転出",IF(INDEX(振り分け!$L$7:$L$456,MATCH($AI31,振り分け!$P$7:$P$456,0))="","未決定",INDEX(振り分け!$L$7:$L$456,MATCH($AI31,振り分け!$P$7:$P$456,0)))),"未決定")))</f>
        <v/>
      </c>
      <c r="S31" s="65">
        <f>IF($AJ31="","",IF(計算用!$B$1=1,INDEX(新年度名簿!$C$3:$C$452,$AJ31),INDEX(前年度名簿!$C$3:$C$452,$AJ31)))</f>
        <v/>
      </c>
      <c r="T31" s="66">
        <f>IF($AJ31="","",IF(計算用!$B$1=1,INDEX(新年度名簿!$D$3:$D$452,$AJ31),INDEX(前年度名簿!$D$3:$D$452,$AJ31)))</f>
        <v/>
      </c>
      <c r="U31" s="65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M$7:$M$456,MATCH($AJ31,振り分け!$P$7:$P$456,0))="転出","転出",IF(INDEX(振り分け!$L$7:$L$456,MATCH($AJ31,振り分け!$P$7:$P$456,0))="","未決定",INDEX(振り分け!$L$7:$L$456,MATCH($AJ31,振り分け!$P$7:$P$456,0)))),"未決定")))</f>
        <v/>
      </c>
      <c r="V31" s="65">
        <f>IF($AK31="","",IF(計算用!$B$1=1,INDEX(新年度名簿!$C$3:$C$452,$AK31),INDEX(前年度名簿!$C$3:$C$452,$AK31)))</f>
        <v/>
      </c>
      <c r="W31" s="66">
        <f>IF($AK31="","",IF(計算用!$B$1=1,INDEX(新年度名簿!$D$3:$D$452,$AK31),INDEX(前年度名簿!$D$3:$D$452,$AK31)))</f>
        <v/>
      </c>
      <c r="X31" s="65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M$7:$M$456,MATCH($AK31,振り分け!$P$7:$P$456,0))="転出","転出",IF(INDEX(振り分け!$L$7:$L$456,MATCH($AK31,振り分け!$P$7:$P$456,0))="","未決定",INDEX(振り分け!$L$7:$L$456,MATCH($AK31,振り分け!$P$7:$P$456,0)))),"未決定")))</f>
        <v/>
      </c>
      <c r="AD31" s="63">
        <f>IF(計算用!$B$1=1,IFERROR(IF(SMALL(新年度名簿!$J$3:$J$452,$AD$3+27)&lt;18000,MATCH(SMALL(新年度名簿!$J$3:$J$452,$AD$3+27),新年度名簿!$J$3:$J$452,0),""),""),IFERROR(IF(SMALL(前年度名簿!$G$3:$G$452,$AD$3+27)&lt;18000,MATCH(SMALL(前年度名簿!$G$3:$G$452,$AD$3+27),前年度名簿!$G$3:$G$452,0),""),""))</f>
        <v/>
      </c>
      <c r="AE31" s="63">
        <f>IF(計算用!$B$1=1,IFERROR(IF(SMALL(新年度名簿!$J$3:$J$452,$AE$3+27)&lt;19000,MATCH(SMALL(新年度名簿!$J$3:$J$452,$AE$3+27),新年度名簿!$J$3:$J$452,0),""),""),IFERROR(IF(SMALL(前年度名簿!$G$3:$G$452,$AE$3+27)&lt;19000,MATCH(SMALL(前年度名簿!$G$3:$G$452,$AE$3+27),前年度名簿!$G$3:$G$452,0),""),""))</f>
        <v/>
      </c>
      <c r="AF31" s="63">
        <f>IF(計算用!$B$1=1,IFERROR(IF(SMALL(新年度名簿!$J$3:$J$452,$AF$3+27)&lt;20000,MATCH(SMALL(新年度名簿!$J$3:$J$452,$AF$3+27),新年度名簿!$J$3:$J$452,0),""),""),IFERROR(IF(SMALL(前年度名簿!$G$3:$G$452,$AF$3+27)&lt;20000,MATCH(SMALL(前年度名簿!$G$3:$G$452,$AF$3+27),前年度名簿!$G$3:$G$452,0),""),""))</f>
        <v/>
      </c>
      <c r="AG31" s="63">
        <f>IF(計算用!$B$1=1,IFERROR(IF(SMALL(新年度名簿!$J$3:$J$452,$AG$3+27)&lt;21000,MATCH(SMALL(新年度名簿!$J$3:$J$452,$AG$3+27),新年度名簿!$J$3:$J$452,0),""),""),IFERROR(IF(SMALL(前年度名簿!$G$3:$G$452,$AG$3+27)&lt;21000,MATCH(SMALL(前年度名簿!$G$3:$G$452,$AG$3+27),前年度名簿!$G$3:$G$452,0),""),""))</f>
        <v/>
      </c>
      <c r="AH31" s="63">
        <f>IF(計算用!$B$1=1,IFERROR(IF(SMALL(新年度名簿!$J$3:$J$452,$AH$3+27)&lt;22000,MATCH(SMALL(新年度名簿!$J$3:$J$452,$AH$3+27),新年度名簿!$J$3:$J$452,0),""),""),IFERROR(IF(SMALL(前年度名簿!$G$3:$G$452,$AH$3+27)&lt;22000,MATCH(SMALL(前年度名簿!$G$3:$G$452,$AH$3+27),前年度名簿!$G$3:$G$452,0),""),""))</f>
        <v/>
      </c>
      <c r="AI31" s="63">
        <f>IF(計算用!$B$1=1,IFERROR(IF(SMALL(新年度名簿!$J$3:$J$452,$AI$3+27)&lt;23000,MATCH(SMALL(新年度名簿!$J$3:$J$452,$AI$3+27),新年度名簿!$J$3:$J$452,0),""),""),IFERROR(IF(SMALL(前年度名簿!$G$3:$G$452,$AI$3+27)&lt;23000,MATCH(SMALL(前年度名簿!$G$3:$G$452,$AI$3+27),前年度名簿!$G$3:$G$452,0),""),""))</f>
        <v/>
      </c>
      <c r="AJ31" s="63">
        <f>IF(計算用!$B$1=1,IFERROR(IF(SMALL(新年度名簿!$J$3:$J$452,$AJ$3+27)&lt;24000,MATCH(SMALL(新年度名簿!$J$3:$J$452,$AJ$3+27),新年度名簿!$J$3:$J$452,0),""),""),IFERROR(IF(SMALL(前年度名簿!$G$3:$G$452,$AJ$3+27)&lt;24000,MATCH(SMALL(前年度名簿!$G$3:$G$452,$AJ$3+27),前年度名簿!$G$3:$G$452,0),""),""))</f>
        <v/>
      </c>
      <c r="AK31" s="63">
        <f>IF(計算用!$B$1=1,IFERROR(IF(SMALL(新年度名簿!$J$3:$J$452,$AK$3+27)&lt;25000,MATCH(SMALL(新年度名簿!$J$3:$J$452,$AK$3+27),新年度名簿!$J$3:$J$452,0),""),""),IFERROR(IF(SMALL(前年度名簿!$G$3:$G$452,$AK$3+27)&lt;25000,MATCH(SMALL(前年度名簿!$G$3:$G$452,$AK$3+27),前年度名簿!$G$3:$G$452,0),""),""))</f>
        <v/>
      </c>
    </row>
    <row r="32">
      <c r="A32" s="65">
        <f>IF($AD32="","",IF(計算用!$B$1=1,INDEX(新年度名簿!$C$3:$C$452,$AD32),INDEX(前年度名簿!$C$3:$C$452,$AD32)))</f>
        <v/>
      </c>
      <c r="B32" s="66">
        <f>IF($AD32="","",IF(計算用!$B$1=1,INDEX(新年度名簿!$D$3:$D$452,$AD32),INDEX(前年度名簿!$D$3:$D$452,$AD32)))</f>
        <v/>
      </c>
      <c r="C32" s="65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M$7:$M$456,MATCH($AD32,振り分け!$P$7:$P$456,0))="転出","転出",IF(INDEX(振り分け!$L$7:$L$456,MATCH($AD32,振り分け!$P$7:$P$456,0))="","未決定",INDEX(振り分け!$L$7:$L$456,MATCH($AD32,振り分け!$P$7:$P$456,0)))),"未決定")))</f>
        <v/>
      </c>
      <c r="D32" s="65">
        <f>IF($AE32="","",IF(計算用!$B$1=1,INDEX(新年度名簿!$C$3:$C$452,$AE32),INDEX(前年度名簿!$C$3:$C$452,$AE32)))</f>
        <v/>
      </c>
      <c r="E32" s="66">
        <f>IF($AE32="","",IF(計算用!$B$1=1,INDEX(新年度名簿!$D$3:$D$452,$AE32),INDEX(前年度名簿!$D$3:$D$452,$AE32)))</f>
        <v/>
      </c>
      <c r="F32" s="65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M$7:$M$456,MATCH($AE32,振り分け!$P$7:$P$456,0))="転出","転出",IF(INDEX(振り分け!$L$7:$L$456,MATCH($AE32,振り分け!$P$7:$P$456,0))="","未決定",INDEX(振り分け!$L$7:$L$456,MATCH($AE32,振り分け!$P$7:$P$456,0)))),"未決定")))</f>
        <v/>
      </c>
      <c r="G32" s="65">
        <f>IF($AF32="","",IF(計算用!$B$1=1,INDEX(新年度名簿!$C$3:$C$452,$AF32),INDEX(前年度名簿!$C$3:$C$452,$AF32)))</f>
        <v/>
      </c>
      <c r="H32" s="66">
        <f>IF($AF32="","",IF(計算用!$B$1=1,INDEX(新年度名簿!$D$3:$D$452,$AF32),INDEX(前年度名簿!$D$3:$D$452,$AF32)))</f>
        <v/>
      </c>
      <c r="I32" s="65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M$7:$M$456,MATCH($AF32,振り分け!$P$7:$P$456,0))="転出","転出",IF(INDEX(振り分け!$L$7:$L$456,MATCH($AF32,振り分け!$P$7:$P$456,0))="","未決定",INDEX(振り分け!$L$7:$L$456,MATCH($AF32,振り分け!$P$7:$P$456,0)))),"未決定")))</f>
        <v/>
      </c>
      <c r="J32" s="65">
        <f>IF($AG32="","",IF(計算用!$B$1=1,INDEX(新年度名簿!$C$3:$C$452,$AG32),INDEX(前年度名簿!$C$3:$C$452,$AG32)))</f>
        <v/>
      </c>
      <c r="K32" s="66">
        <f>IF($AG32="","",IF(計算用!$B$1=1,INDEX(新年度名簿!$D$3:$D$452,$AG32),INDEX(前年度名簿!$D$3:$D$452,$AG32)))</f>
        <v/>
      </c>
      <c r="L32" s="65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M$7:$M$456,MATCH($AG32,振り分け!$P$7:$P$456,0))="転出","転出",IF(INDEX(振り分け!$L$7:$L$456,MATCH($AG32,振り分け!$P$7:$P$456,0))="","未決定",INDEX(振り分け!$L$7:$L$456,MATCH($AG32,振り分け!$P$7:$P$456,0)))),"未決定")))</f>
        <v/>
      </c>
      <c r="M32" s="65">
        <f>IF($AH32="","",IF(計算用!$B$1=1,INDEX(新年度名簿!$C$3:$C$452,$AH32),INDEX(前年度名簿!$C$3:$C$452,$AH32)))</f>
        <v/>
      </c>
      <c r="N32" s="66">
        <f>IF($AH32="","",IF(計算用!$B$1=1,INDEX(新年度名簿!$D$3:$D$452,$AH32),INDEX(前年度名簿!$D$3:$D$452,$AH32)))</f>
        <v/>
      </c>
      <c r="O32" s="65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M$7:$M$456,MATCH($AH32,振り分け!$P$7:$P$456,0))="転出","転出",IF(INDEX(振り分け!$L$7:$L$456,MATCH($AH32,振り分け!$P$7:$P$456,0))="","未決定",INDEX(振り分け!$L$7:$L$456,MATCH($AH32,振り分け!$P$7:$P$456,0)))),"未決定")))</f>
        <v/>
      </c>
      <c r="P32" s="65">
        <f>IF($AI32="","",IF(計算用!$B$1=1,INDEX(新年度名簿!$C$3:$C$452,$AI32),INDEX(前年度名簿!$C$3:$C$452,$AI32)))</f>
        <v/>
      </c>
      <c r="Q32" s="66">
        <f>IF($AI32="","",IF(計算用!$B$1=1,INDEX(新年度名簿!$D$3:$D$452,$AI32),INDEX(前年度名簿!$D$3:$D$452,$AI32)))</f>
        <v/>
      </c>
      <c r="R32" s="65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M$7:$M$456,MATCH($AI32,振り分け!$P$7:$P$456,0))="転出","転出",IF(INDEX(振り分け!$L$7:$L$456,MATCH($AI32,振り分け!$P$7:$P$456,0))="","未決定",INDEX(振り分け!$L$7:$L$456,MATCH($AI32,振り分け!$P$7:$P$456,0)))),"未決定")))</f>
        <v/>
      </c>
      <c r="S32" s="65">
        <f>IF($AJ32="","",IF(計算用!$B$1=1,INDEX(新年度名簿!$C$3:$C$452,$AJ32),INDEX(前年度名簿!$C$3:$C$452,$AJ32)))</f>
        <v/>
      </c>
      <c r="T32" s="66">
        <f>IF($AJ32="","",IF(計算用!$B$1=1,INDEX(新年度名簿!$D$3:$D$452,$AJ32),INDEX(前年度名簿!$D$3:$D$452,$AJ32)))</f>
        <v/>
      </c>
      <c r="U32" s="65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M$7:$M$456,MATCH($AJ32,振り分け!$P$7:$P$456,0))="転出","転出",IF(INDEX(振り分け!$L$7:$L$456,MATCH($AJ32,振り分け!$P$7:$P$456,0))="","未決定",INDEX(振り分け!$L$7:$L$456,MATCH($AJ32,振り分け!$P$7:$P$456,0)))),"未決定")))</f>
        <v/>
      </c>
      <c r="V32" s="65">
        <f>IF($AK32="","",IF(計算用!$B$1=1,INDEX(新年度名簿!$C$3:$C$452,$AK32),INDEX(前年度名簿!$C$3:$C$452,$AK32)))</f>
        <v/>
      </c>
      <c r="W32" s="66">
        <f>IF($AK32="","",IF(計算用!$B$1=1,INDEX(新年度名簿!$D$3:$D$452,$AK32),INDEX(前年度名簿!$D$3:$D$452,$AK32)))</f>
        <v/>
      </c>
      <c r="X32" s="65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M$7:$M$456,MATCH($AK32,振り分け!$P$7:$P$456,0))="転出","転出",IF(INDEX(振り分け!$L$7:$L$456,MATCH($AK32,振り分け!$P$7:$P$456,0))="","未決定",INDEX(振り分け!$L$7:$L$456,MATCH($AK32,振り分け!$P$7:$P$456,0)))),"未決定")))</f>
        <v/>
      </c>
      <c r="AD32" s="63">
        <f>IF(計算用!$B$1=1,IFERROR(IF(SMALL(新年度名簿!$J$3:$J$452,$AD$3+28)&lt;18000,MATCH(SMALL(新年度名簿!$J$3:$J$452,$AD$3+28),新年度名簿!$J$3:$J$452,0),""),""),IFERROR(IF(SMALL(前年度名簿!$G$3:$G$452,$AD$3+28)&lt;18000,MATCH(SMALL(前年度名簿!$G$3:$G$452,$AD$3+28),前年度名簿!$G$3:$G$452,0),""),""))</f>
        <v/>
      </c>
      <c r="AE32" s="63">
        <f>IF(計算用!$B$1=1,IFERROR(IF(SMALL(新年度名簿!$J$3:$J$452,$AE$3+28)&lt;19000,MATCH(SMALL(新年度名簿!$J$3:$J$452,$AE$3+28),新年度名簿!$J$3:$J$452,0),""),""),IFERROR(IF(SMALL(前年度名簿!$G$3:$G$452,$AE$3+28)&lt;19000,MATCH(SMALL(前年度名簿!$G$3:$G$452,$AE$3+28),前年度名簿!$G$3:$G$452,0),""),""))</f>
        <v/>
      </c>
      <c r="AF32" s="63">
        <f>IF(計算用!$B$1=1,IFERROR(IF(SMALL(新年度名簿!$J$3:$J$452,$AF$3+28)&lt;20000,MATCH(SMALL(新年度名簿!$J$3:$J$452,$AF$3+28),新年度名簿!$J$3:$J$452,0),""),""),IFERROR(IF(SMALL(前年度名簿!$G$3:$G$452,$AF$3+28)&lt;20000,MATCH(SMALL(前年度名簿!$G$3:$G$452,$AF$3+28),前年度名簿!$G$3:$G$452,0),""),""))</f>
        <v/>
      </c>
      <c r="AG32" s="63">
        <f>IF(計算用!$B$1=1,IFERROR(IF(SMALL(新年度名簿!$J$3:$J$452,$AG$3+28)&lt;21000,MATCH(SMALL(新年度名簿!$J$3:$J$452,$AG$3+28),新年度名簿!$J$3:$J$452,0),""),""),IFERROR(IF(SMALL(前年度名簿!$G$3:$G$452,$AG$3+28)&lt;21000,MATCH(SMALL(前年度名簿!$G$3:$G$452,$AG$3+28),前年度名簿!$G$3:$G$452,0),""),""))</f>
        <v/>
      </c>
      <c r="AH32" s="63">
        <f>IF(計算用!$B$1=1,IFERROR(IF(SMALL(新年度名簿!$J$3:$J$452,$AH$3+28)&lt;22000,MATCH(SMALL(新年度名簿!$J$3:$J$452,$AH$3+28),新年度名簿!$J$3:$J$452,0),""),""),IFERROR(IF(SMALL(前年度名簿!$G$3:$G$452,$AH$3+28)&lt;22000,MATCH(SMALL(前年度名簿!$G$3:$G$452,$AH$3+28),前年度名簿!$G$3:$G$452,0),""),""))</f>
        <v/>
      </c>
      <c r="AI32" s="63">
        <f>IF(計算用!$B$1=1,IFERROR(IF(SMALL(新年度名簿!$J$3:$J$452,$AI$3+28)&lt;23000,MATCH(SMALL(新年度名簿!$J$3:$J$452,$AI$3+28),新年度名簿!$J$3:$J$452,0),""),""),IFERROR(IF(SMALL(前年度名簿!$G$3:$G$452,$AI$3+28)&lt;23000,MATCH(SMALL(前年度名簿!$G$3:$G$452,$AI$3+28),前年度名簿!$G$3:$G$452,0),""),""))</f>
        <v/>
      </c>
      <c r="AJ32" s="63">
        <f>IF(計算用!$B$1=1,IFERROR(IF(SMALL(新年度名簿!$J$3:$J$452,$AJ$3+28)&lt;24000,MATCH(SMALL(新年度名簿!$J$3:$J$452,$AJ$3+28),新年度名簿!$J$3:$J$452,0),""),""),IFERROR(IF(SMALL(前年度名簿!$G$3:$G$452,$AJ$3+28)&lt;24000,MATCH(SMALL(前年度名簿!$G$3:$G$452,$AJ$3+28),前年度名簿!$G$3:$G$452,0),""),""))</f>
        <v/>
      </c>
      <c r="AK32" s="63">
        <f>IF(計算用!$B$1=1,IFERROR(IF(SMALL(新年度名簿!$J$3:$J$452,$AK$3+28)&lt;25000,MATCH(SMALL(新年度名簿!$J$3:$J$452,$AK$3+28),新年度名簿!$J$3:$J$452,0),""),""),IFERROR(IF(SMALL(前年度名簿!$G$3:$G$452,$AK$3+28)&lt;25000,MATCH(SMALL(前年度名簿!$G$3:$G$452,$AK$3+28),前年度名簿!$G$3:$G$452,0),""),""))</f>
        <v/>
      </c>
    </row>
    <row r="33">
      <c r="A33" s="65">
        <f>IF($AD33="","",IF(計算用!$B$1=1,INDEX(新年度名簿!$C$3:$C$452,$AD33),INDEX(前年度名簿!$C$3:$C$452,$AD33)))</f>
        <v/>
      </c>
      <c r="B33" s="66">
        <f>IF($AD33="","",IF(計算用!$B$1=1,INDEX(新年度名簿!$D$3:$D$452,$AD33),INDEX(前年度名簿!$D$3:$D$452,$AD33)))</f>
        <v/>
      </c>
      <c r="C33" s="65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M$7:$M$456,MATCH($AD33,振り分け!$P$7:$P$456,0))="転出","転出",IF(INDEX(振り分け!$L$7:$L$456,MATCH($AD33,振り分け!$P$7:$P$456,0))="","未決定",INDEX(振り分け!$L$7:$L$456,MATCH($AD33,振り分け!$P$7:$P$456,0)))),"未決定")))</f>
        <v/>
      </c>
      <c r="D33" s="65">
        <f>IF($AE33="","",IF(計算用!$B$1=1,INDEX(新年度名簿!$C$3:$C$452,$AE33),INDEX(前年度名簿!$C$3:$C$452,$AE33)))</f>
        <v/>
      </c>
      <c r="E33" s="66">
        <f>IF($AE33="","",IF(計算用!$B$1=1,INDEX(新年度名簿!$D$3:$D$452,$AE33),INDEX(前年度名簿!$D$3:$D$452,$AE33)))</f>
        <v/>
      </c>
      <c r="F33" s="65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M$7:$M$456,MATCH($AE33,振り分け!$P$7:$P$456,0))="転出","転出",IF(INDEX(振り分け!$L$7:$L$456,MATCH($AE33,振り分け!$P$7:$P$456,0))="","未決定",INDEX(振り分け!$L$7:$L$456,MATCH($AE33,振り分け!$P$7:$P$456,0)))),"未決定")))</f>
        <v/>
      </c>
      <c r="G33" s="65">
        <f>IF($AF33="","",IF(計算用!$B$1=1,INDEX(新年度名簿!$C$3:$C$452,$AF33),INDEX(前年度名簿!$C$3:$C$452,$AF33)))</f>
        <v/>
      </c>
      <c r="H33" s="66">
        <f>IF($AF33="","",IF(計算用!$B$1=1,INDEX(新年度名簿!$D$3:$D$452,$AF33),INDEX(前年度名簿!$D$3:$D$452,$AF33)))</f>
        <v/>
      </c>
      <c r="I33" s="65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M$7:$M$456,MATCH($AF33,振り分け!$P$7:$P$456,0))="転出","転出",IF(INDEX(振り分け!$L$7:$L$456,MATCH($AF33,振り分け!$P$7:$P$456,0))="","未決定",INDEX(振り分け!$L$7:$L$456,MATCH($AF33,振り分け!$P$7:$P$456,0)))),"未決定")))</f>
        <v/>
      </c>
      <c r="J33" s="65">
        <f>IF($AG33="","",IF(計算用!$B$1=1,INDEX(新年度名簿!$C$3:$C$452,$AG33),INDEX(前年度名簿!$C$3:$C$452,$AG33)))</f>
        <v/>
      </c>
      <c r="K33" s="66">
        <f>IF($AG33="","",IF(計算用!$B$1=1,INDEX(新年度名簿!$D$3:$D$452,$AG33),INDEX(前年度名簿!$D$3:$D$452,$AG33)))</f>
        <v/>
      </c>
      <c r="L33" s="65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M$7:$M$456,MATCH($AG33,振り分け!$P$7:$P$456,0))="転出","転出",IF(INDEX(振り分け!$L$7:$L$456,MATCH($AG33,振り分け!$P$7:$P$456,0))="","未決定",INDEX(振り分け!$L$7:$L$456,MATCH($AG33,振り分け!$P$7:$P$456,0)))),"未決定")))</f>
        <v/>
      </c>
      <c r="M33" s="65">
        <f>IF($AH33="","",IF(計算用!$B$1=1,INDEX(新年度名簿!$C$3:$C$452,$AH33),INDEX(前年度名簿!$C$3:$C$452,$AH33)))</f>
        <v/>
      </c>
      <c r="N33" s="66">
        <f>IF($AH33="","",IF(計算用!$B$1=1,INDEX(新年度名簿!$D$3:$D$452,$AH33),INDEX(前年度名簿!$D$3:$D$452,$AH33)))</f>
        <v/>
      </c>
      <c r="O33" s="65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M$7:$M$456,MATCH($AH33,振り分け!$P$7:$P$456,0))="転出","転出",IF(INDEX(振り分け!$L$7:$L$456,MATCH($AH33,振り分け!$P$7:$P$456,0))="","未決定",INDEX(振り分け!$L$7:$L$456,MATCH($AH33,振り分け!$P$7:$P$456,0)))),"未決定")))</f>
        <v/>
      </c>
      <c r="P33" s="65">
        <f>IF($AI33="","",IF(計算用!$B$1=1,INDEX(新年度名簿!$C$3:$C$452,$AI33),INDEX(前年度名簿!$C$3:$C$452,$AI33)))</f>
        <v/>
      </c>
      <c r="Q33" s="66">
        <f>IF($AI33="","",IF(計算用!$B$1=1,INDEX(新年度名簿!$D$3:$D$452,$AI33),INDEX(前年度名簿!$D$3:$D$452,$AI33)))</f>
        <v/>
      </c>
      <c r="R33" s="65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M$7:$M$456,MATCH($AI33,振り分け!$P$7:$P$456,0))="転出","転出",IF(INDEX(振り分け!$L$7:$L$456,MATCH($AI33,振り分け!$P$7:$P$456,0))="","未決定",INDEX(振り分け!$L$7:$L$456,MATCH($AI33,振り分け!$P$7:$P$456,0)))),"未決定")))</f>
        <v/>
      </c>
      <c r="S33" s="65">
        <f>IF($AJ33="","",IF(計算用!$B$1=1,INDEX(新年度名簿!$C$3:$C$452,$AJ33),INDEX(前年度名簿!$C$3:$C$452,$AJ33)))</f>
        <v/>
      </c>
      <c r="T33" s="66">
        <f>IF($AJ33="","",IF(計算用!$B$1=1,INDEX(新年度名簿!$D$3:$D$452,$AJ33),INDEX(前年度名簿!$D$3:$D$452,$AJ33)))</f>
        <v/>
      </c>
      <c r="U33" s="65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M$7:$M$456,MATCH($AJ33,振り分け!$P$7:$P$456,0))="転出","転出",IF(INDEX(振り分け!$L$7:$L$456,MATCH($AJ33,振り分け!$P$7:$P$456,0))="","未決定",INDEX(振り分け!$L$7:$L$456,MATCH($AJ33,振り分け!$P$7:$P$456,0)))),"未決定")))</f>
        <v/>
      </c>
      <c r="V33" s="65">
        <f>IF($AK33="","",IF(計算用!$B$1=1,INDEX(新年度名簿!$C$3:$C$452,$AK33),INDEX(前年度名簿!$C$3:$C$452,$AK33)))</f>
        <v/>
      </c>
      <c r="W33" s="66">
        <f>IF($AK33="","",IF(計算用!$B$1=1,INDEX(新年度名簿!$D$3:$D$452,$AK33),INDEX(前年度名簿!$D$3:$D$452,$AK33)))</f>
        <v/>
      </c>
      <c r="X33" s="65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M$7:$M$456,MATCH($AK33,振り分け!$P$7:$P$456,0))="転出","転出",IF(INDEX(振り分け!$L$7:$L$456,MATCH($AK33,振り分け!$P$7:$P$456,0))="","未決定",INDEX(振り分け!$L$7:$L$456,MATCH($AK33,振り分け!$P$7:$P$456,0)))),"未決定")))</f>
        <v/>
      </c>
      <c r="AD33" s="63">
        <f>IF(計算用!$B$1=1,IFERROR(IF(SMALL(新年度名簿!$J$3:$J$452,$AD$3+29)&lt;18000,MATCH(SMALL(新年度名簿!$J$3:$J$452,$AD$3+29),新年度名簿!$J$3:$J$452,0),""),""),IFERROR(IF(SMALL(前年度名簿!$G$3:$G$452,$AD$3+29)&lt;18000,MATCH(SMALL(前年度名簿!$G$3:$G$452,$AD$3+29),前年度名簿!$G$3:$G$452,0),""),""))</f>
        <v/>
      </c>
      <c r="AE33" s="63">
        <f>IF(計算用!$B$1=1,IFERROR(IF(SMALL(新年度名簿!$J$3:$J$452,$AE$3+29)&lt;19000,MATCH(SMALL(新年度名簿!$J$3:$J$452,$AE$3+29),新年度名簿!$J$3:$J$452,0),""),""),IFERROR(IF(SMALL(前年度名簿!$G$3:$G$452,$AE$3+29)&lt;19000,MATCH(SMALL(前年度名簿!$G$3:$G$452,$AE$3+29),前年度名簿!$G$3:$G$452,0),""),""))</f>
        <v/>
      </c>
      <c r="AF33" s="63">
        <f>IF(計算用!$B$1=1,IFERROR(IF(SMALL(新年度名簿!$J$3:$J$452,$AF$3+29)&lt;20000,MATCH(SMALL(新年度名簿!$J$3:$J$452,$AF$3+29),新年度名簿!$J$3:$J$452,0),""),""),IFERROR(IF(SMALL(前年度名簿!$G$3:$G$452,$AF$3+29)&lt;20000,MATCH(SMALL(前年度名簿!$G$3:$G$452,$AF$3+29),前年度名簿!$G$3:$G$452,0),""),""))</f>
        <v/>
      </c>
      <c r="AG33" s="63">
        <f>IF(計算用!$B$1=1,IFERROR(IF(SMALL(新年度名簿!$J$3:$J$452,$AG$3+29)&lt;21000,MATCH(SMALL(新年度名簿!$J$3:$J$452,$AG$3+29),新年度名簿!$J$3:$J$452,0),""),""),IFERROR(IF(SMALL(前年度名簿!$G$3:$G$452,$AG$3+29)&lt;21000,MATCH(SMALL(前年度名簿!$G$3:$G$452,$AG$3+29),前年度名簿!$G$3:$G$452,0),""),""))</f>
        <v/>
      </c>
      <c r="AH33" s="63">
        <f>IF(計算用!$B$1=1,IFERROR(IF(SMALL(新年度名簿!$J$3:$J$452,$AH$3+29)&lt;22000,MATCH(SMALL(新年度名簿!$J$3:$J$452,$AH$3+29),新年度名簿!$J$3:$J$452,0),""),""),IFERROR(IF(SMALL(前年度名簿!$G$3:$G$452,$AH$3+29)&lt;22000,MATCH(SMALL(前年度名簿!$G$3:$G$452,$AH$3+29),前年度名簿!$G$3:$G$452,0),""),""))</f>
        <v/>
      </c>
      <c r="AI33" s="63">
        <f>IF(計算用!$B$1=1,IFERROR(IF(SMALL(新年度名簿!$J$3:$J$452,$AI$3+29)&lt;23000,MATCH(SMALL(新年度名簿!$J$3:$J$452,$AI$3+29),新年度名簿!$J$3:$J$452,0),""),""),IFERROR(IF(SMALL(前年度名簿!$G$3:$G$452,$AI$3+29)&lt;23000,MATCH(SMALL(前年度名簿!$G$3:$G$452,$AI$3+29),前年度名簿!$G$3:$G$452,0),""),""))</f>
        <v/>
      </c>
      <c r="AJ33" s="63">
        <f>IF(計算用!$B$1=1,IFERROR(IF(SMALL(新年度名簿!$J$3:$J$452,$AJ$3+29)&lt;24000,MATCH(SMALL(新年度名簿!$J$3:$J$452,$AJ$3+29),新年度名簿!$J$3:$J$452,0),""),""),IFERROR(IF(SMALL(前年度名簿!$G$3:$G$452,$AJ$3+29)&lt;24000,MATCH(SMALL(前年度名簿!$G$3:$G$452,$AJ$3+29),前年度名簿!$G$3:$G$452,0),""),""))</f>
        <v/>
      </c>
      <c r="AK33" s="63">
        <f>IF(計算用!$B$1=1,IFERROR(IF(SMALL(新年度名簿!$J$3:$J$452,$AK$3+29)&lt;25000,MATCH(SMALL(新年度名簿!$J$3:$J$452,$AK$3+29),新年度名簿!$J$3:$J$452,0),""),""),IFERROR(IF(SMALL(前年度名簿!$G$3:$G$452,$AK$3+29)&lt;25000,MATCH(SMALL(前年度名簿!$G$3:$G$452,$AK$3+29),前年度名簿!$G$3:$G$452,0),""),""))</f>
        <v/>
      </c>
    </row>
    <row r="34">
      <c r="A34" s="65">
        <f>IF($AD34="","",IF(計算用!$B$1=1,INDEX(新年度名簿!$C$3:$C$452,$AD34),INDEX(前年度名簿!$C$3:$C$452,$AD34)))</f>
        <v/>
      </c>
      <c r="B34" s="66">
        <f>IF($AD34="","",IF(計算用!$B$1=1,INDEX(新年度名簿!$D$3:$D$452,$AD34),INDEX(前年度名簿!$D$3:$D$452,$AD34)))</f>
        <v/>
      </c>
      <c r="C34" s="65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M$7:$M$456,MATCH($AD34,振り分け!$P$7:$P$456,0))="転出","転出",IF(INDEX(振り分け!$L$7:$L$456,MATCH($AD34,振り分け!$P$7:$P$456,0))="","未決定",INDEX(振り分け!$L$7:$L$456,MATCH($AD34,振り分け!$P$7:$P$456,0)))),"未決定")))</f>
        <v/>
      </c>
      <c r="D34" s="65">
        <f>IF($AE34="","",IF(計算用!$B$1=1,INDEX(新年度名簿!$C$3:$C$452,$AE34),INDEX(前年度名簿!$C$3:$C$452,$AE34)))</f>
        <v/>
      </c>
      <c r="E34" s="66">
        <f>IF($AE34="","",IF(計算用!$B$1=1,INDEX(新年度名簿!$D$3:$D$452,$AE34),INDEX(前年度名簿!$D$3:$D$452,$AE34)))</f>
        <v/>
      </c>
      <c r="F34" s="65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M$7:$M$456,MATCH($AE34,振り分け!$P$7:$P$456,0))="転出","転出",IF(INDEX(振り分け!$L$7:$L$456,MATCH($AE34,振り分け!$P$7:$P$456,0))="","未決定",INDEX(振り分け!$L$7:$L$456,MATCH($AE34,振り分け!$P$7:$P$456,0)))),"未決定")))</f>
        <v/>
      </c>
      <c r="G34" s="65">
        <f>IF($AF34="","",IF(計算用!$B$1=1,INDEX(新年度名簿!$C$3:$C$452,$AF34),INDEX(前年度名簿!$C$3:$C$452,$AF34)))</f>
        <v/>
      </c>
      <c r="H34" s="66">
        <f>IF($AF34="","",IF(計算用!$B$1=1,INDEX(新年度名簿!$D$3:$D$452,$AF34),INDEX(前年度名簿!$D$3:$D$452,$AF34)))</f>
        <v/>
      </c>
      <c r="I34" s="65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M$7:$M$456,MATCH($AF34,振り分け!$P$7:$P$456,0))="転出","転出",IF(INDEX(振り分け!$L$7:$L$456,MATCH($AF34,振り分け!$P$7:$P$456,0))="","未決定",INDEX(振り分け!$L$7:$L$456,MATCH($AF34,振り分け!$P$7:$P$456,0)))),"未決定")))</f>
        <v/>
      </c>
      <c r="J34" s="65">
        <f>IF($AG34="","",IF(計算用!$B$1=1,INDEX(新年度名簿!$C$3:$C$452,$AG34),INDEX(前年度名簿!$C$3:$C$452,$AG34)))</f>
        <v/>
      </c>
      <c r="K34" s="66">
        <f>IF($AG34="","",IF(計算用!$B$1=1,INDEX(新年度名簿!$D$3:$D$452,$AG34),INDEX(前年度名簿!$D$3:$D$452,$AG34)))</f>
        <v/>
      </c>
      <c r="L34" s="65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M$7:$M$456,MATCH($AG34,振り分け!$P$7:$P$456,0))="転出","転出",IF(INDEX(振り分け!$L$7:$L$456,MATCH($AG34,振り分け!$P$7:$P$456,0))="","未決定",INDEX(振り分け!$L$7:$L$456,MATCH($AG34,振り分け!$P$7:$P$456,0)))),"未決定")))</f>
        <v/>
      </c>
      <c r="M34" s="65">
        <f>IF($AH34="","",IF(計算用!$B$1=1,INDEX(新年度名簿!$C$3:$C$452,$AH34),INDEX(前年度名簿!$C$3:$C$452,$AH34)))</f>
        <v/>
      </c>
      <c r="N34" s="66">
        <f>IF($AH34="","",IF(計算用!$B$1=1,INDEX(新年度名簿!$D$3:$D$452,$AH34),INDEX(前年度名簿!$D$3:$D$452,$AH34)))</f>
        <v/>
      </c>
      <c r="O34" s="65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M$7:$M$456,MATCH($AH34,振り分け!$P$7:$P$456,0))="転出","転出",IF(INDEX(振り分け!$L$7:$L$456,MATCH($AH34,振り分け!$P$7:$P$456,0))="","未決定",INDEX(振り分け!$L$7:$L$456,MATCH($AH34,振り分け!$P$7:$P$456,0)))),"未決定")))</f>
        <v/>
      </c>
      <c r="P34" s="65">
        <f>IF($AI34="","",IF(計算用!$B$1=1,INDEX(新年度名簿!$C$3:$C$452,$AI34),INDEX(前年度名簿!$C$3:$C$452,$AI34)))</f>
        <v/>
      </c>
      <c r="Q34" s="66">
        <f>IF($AI34="","",IF(計算用!$B$1=1,INDEX(新年度名簿!$D$3:$D$452,$AI34),INDEX(前年度名簿!$D$3:$D$452,$AI34)))</f>
        <v/>
      </c>
      <c r="R34" s="65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M$7:$M$456,MATCH($AI34,振り分け!$P$7:$P$456,0))="転出","転出",IF(INDEX(振り分け!$L$7:$L$456,MATCH($AI34,振り分け!$P$7:$P$456,0))="","未決定",INDEX(振り分け!$L$7:$L$456,MATCH($AI34,振り分け!$P$7:$P$456,0)))),"未決定")))</f>
        <v/>
      </c>
      <c r="S34" s="65">
        <f>IF($AJ34="","",IF(計算用!$B$1=1,INDEX(新年度名簿!$C$3:$C$452,$AJ34),INDEX(前年度名簿!$C$3:$C$452,$AJ34)))</f>
        <v/>
      </c>
      <c r="T34" s="66">
        <f>IF($AJ34="","",IF(計算用!$B$1=1,INDEX(新年度名簿!$D$3:$D$452,$AJ34),INDEX(前年度名簿!$D$3:$D$452,$AJ34)))</f>
        <v/>
      </c>
      <c r="U34" s="65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M$7:$M$456,MATCH($AJ34,振り分け!$P$7:$P$456,0))="転出","転出",IF(INDEX(振り分け!$L$7:$L$456,MATCH($AJ34,振り分け!$P$7:$P$456,0))="","未決定",INDEX(振り分け!$L$7:$L$456,MATCH($AJ34,振り分け!$P$7:$P$456,0)))),"未決定")))</f>
        <v/>
      </c>
      <c r="V34" s="65">
        <f>IF($AK34="","",IF(計算用!$B$1=1,INDEX(新年度名簿!$C$3:$C$452,$AK34),INDEX(前年度名簿!$C$3:$C$452,$AK34)))</f>
        <v/>
      </c>
      <c r="W34" s="66">
        <f>IF($AK34="","",IF(計算用!$B$1=1,INDEX(新年度名簿!$D$3:$D$452,$AK34),INDEX(前年度名簿!$D$3:$D$452,$AK34)))</f>
        <v/>
      </c>
      <c r="X34" s="65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M$7:$M$456,MATCH($AK34,振り分け!$P$7:$P$456,0))="転出","転出",IF(INDEX(振り分け!$L$7:$L$456,MATCH($AK34,振り分け!$P$7:$P$456,0))="","未決定",INDEX(振り分け!$L$7:$L$456,MATCH($AK34,振り分け!$P$7:$P$456,0)))),"未決定")))</f>
        <v/>
      </c>
      <c r="AD34" s="63">
        <f>IF(計算用!$B$1=1,IFERROR(IF(SMALL(新年度名簿!$J$3:$J$452,$AD$3+30)&lt;18000,MATCH(SMALL(新年度名簿!$J$3:$J$452,$AD$3+30),新年度名簿!$J$3:$J$452,0),""),""),IFERROR(IF(SMALL(前年度名簿!$G$3:$G$452,$AD$3+30)&lt;18000,MATCH(SMALL(前年度名簿!$G$3:$G$452,$AD$3+30),前年度名簿!$G$3:$G$452,0),""),""))</f>
        <v/>
      </c>
      <c r="AE34" s="63">
        <f>IF(計算用!$B$1=1,IFERROR(IF(SMALL(新年度名簿!$J$3:$J$452,$AE$3+30)&lt;19000,MATCH(SMALL(新年度名簿!$J$3:$J$452,$AE$3+30),新年度名簿!$J$3:$J$452,0),""),""),IFERROR(IF(SMALL(前年度名簿!$G$3:$G$452,$AE$3+30)&lt;19000,MATCH(SMALL(前年度名簿!$G$3:$G$452,$AE$3+30),前年度名簿!$G$3:$G$452,0),""),""))</f>
        <v/>
      </c>
      <c r="AF34" s="63">
        <f>IF(計算用!$B$1=1,IFERROR(IF(SMALL(新年度名簿!$J$3:$J$452,$AF$3+30)&lt;20000,MATCH(SMALL(新年度名簿!$J$3:$J$452,$AF$3+30),新年度名簿!$J$3:$J$452,0),""),""),IFERROR(IF(SMALL(前年度名簿!$G$3:$G$452,$AF$3+30)&lt;20000,MATCH(SMALL(前年度名簿!$G$3:$G$452,$AF$3+30),前年度名簿!$G$3:$G$452,0),""),""))</f>
        <v/>
      </c>
      <c r="AG34" s="63">
        <f>IF(計算用!$B$1=1,IFERROR(IF(SMALL(新年度名簿!$J$3:$J$452,$AG$3+30)&lt;21000,MATCH(SMALL(新年度名簿!$J$3:$J$452,$AG$3+30),新年度名簿!$J$3:$J$452,0),""),""),IFERROR(IF(SMALL(前年度名簿!$G$3:$G$452,$AG$3+30)&lt;21000,MATCH(SMALL(前年度名簿!$G$3:$G$452,$AG$3+30),前年度名簿!$G$3:$G$452,0),""),""))</f>
        <v/>
      </c>
      <c r="AH34" s="63">
        <f>IF(計算用!$B$1=1,IFERROR(IF(SMALL(新年度名簿!$J$3:$J$452,$AH$3+30)&lt;22000,MATCH(SMALL(新年度名簿!$J$3:$J$452,$AH$3+30),新年度名簿!$J$3:$J$452,0),""),""),IFERROR(IF(SMALL(前年度名簿!$G$3:$G$452,$AH$3+30)&lt;22000,MATCH(SMALL(前年度名簿!$G$3:$G$452,$AH$3+30),前年度名簿!$G$3:$G$452,0),""),""))</f>
        <v/>
      </c>
      <c r="AI34" s="63">
        <f>IF(計算用!$B$1=1,IFERROR(IF(SMALL(新年度名簿!$J$3:$J$452,$AI$3+30)&lt;23000,MATCH(SMALL(新年度名簿!$J$3:$J$452,$AI$3+30),新年度名簿!$J$3:$J$452,0),""),""),IFERROR(IF(SMALL(前年度名簿!$G$3:$G$452,$AI$3+30)&lt;23000,MATCH(SMALL(前年度名簿!$G$3:$G$452,$AI$3+30),前年度名簿!$G$3:$G$452,0),""),""))</f>
        <v/>
      </c>
      <c r="AJ34" s="63">
        <f>IF(計算用!$B$1=1,IFERROR(IF(SMALL(新年度名簿!$J$3:$J$452,$AJ$3+30)&lt;24000,MATCH(SMALL(新年度名簿!$J$3:$J$452,$AJ$3+30),新年度名簿!$J$3:$J$452,0),""),""),IFERROR(IF(SMALL(前年度名簿!$G$3:$G$452,$AJ$3+30)&lt;24000,MATCH(SMALL(前年度名簿!$G$3:$G$452,$AJ$3+30),前年度名簿!$G$3:$G$452,0),""),""))</f>
        <v/>
      </c>
      <c r="AK34" s="63">
        <f>IF(計算用!$B$1=1,IFERROR(IF(SMALL(新年度名簿!$J$3:$J$452,$AK$3+30)&lt;25000,MATCH(SMALL(新年度名簿!$J$3:$J$452,$AK$3+30),新年度名簿!$J$3:$J$452,0),""),""),IFERROR(IF(SMALL(前年度名簿!$G$3:$G$452,$AK$3+30)&lt;25000,MATCH(SMALL(前年度名簿!$G$3:$G$452,$AK$3+30),前年度名簿!$G$3:$G$452,0),""),""))</f>
        <v/>
      </c>
    </row>
    <row r="35">
      <c r="A35" s="65">
        <f>IF($AD35="","",IF(計算用!$B$1=1,INDEX(新年度名簿!$C$3:$C$452,$AD35),INDEX(前年度名簿!$C$3:$C$452,$AD35)))</f>
        <v/>
      </c>
      <c r="B35" s="66">
        <f>IF($AD35="","",IF(計算用!$B$1=1,INDEX(新年度名簿!$D$3:$D$452,$AD35),INDEX(前年度名簿!$D$3:$D$452,$AD35)))</f>
        <v/>
      </c>
      <c r="C35" s="65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M$7:$M$456,MATCH($AD35,振り分け!$P$7:$P$456,0))="転出","転出",IF(INDEX(振り分け!$L$7:$L$456,MATCH($AD35,振り分け!$P$7:$P$456,0))="","未決定",INDEX(振り分け!$L$7:$L$456,MATCH($AD35,振り分け!$P$7:$P$456,0)))),"未決定")))</f>
        <v/>
      </c>
      <c r="D35" s="65">
        <f>IF($AE35="","",IF(計算用!$B$1=1,INDEX(新年度名簿!$C$3:$C$452,$AE35),INDEX(前年度名簿!$C$3:$C$452,$AE35)))</f>
        <v/>
      </c>
      <c r="E35" s="66">
        <f>IF($AE35="","",IF(計算用!$B$1=1,INDEX(新年度名簿!$D$3:$D$452,$AE35),INDEX(前年度名簿!$D$3:$D$452,$AE35)))</f>
        <v/>
      </c>
      <c r="F35" s="65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M$7:$M$456,MATCH($AE35,振り分け!$P$7:$P$456,0))="転出","転出",IF(INDEX(振り分け!$L$7:$L$456,MATCH($AE35,振り分け!$P$7:$P$456,0))="","未決定",INDEX(振り分け!$L$7:$L$456,MATCH($AE35,振り分け!$P$7:$P$456,0)))),"未決定")))</f>
        <v/>
      </c>
      <c r="G35" s="65">
        <f>IF($AF35="","",IF(計算用!$B$1=1,INDEX(新年度名簿!$C$3:$C$452,$AF35),INDEX(前年度名簿!$C$3:$C$452,$AF35)))</f>
        <v/>
      </c>
      <c r="H35" s="66">
        <f>IF($AF35="","",IF(計算用!$B$1=1,INDEX(新年度名簿!$D$3:$D$452,$AF35),INDEX(前年度名簿!$D$3:$D$452,$AF35)))</f>
        <v/>
      </c>
      <c r="I35" s="65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M$7:$M$456,MATCH($AF35,振り分け!$P$7:$P$456,0))="転出","転出",IF(INDEX(振り分け!$L$7:$L$456,MATCH($AF35,振り分け!$P$7:$P$456,0))="","未決定",INDEX(振り分け!$L$7:$L$456,MATCH($AF35,振り分け!$P$7:$P$456,0)))),"未決定")))</f>
        <v/>
      </c>
      <c r="J35" s="65">
        <f>IF($AG35="","",IF(計算用!$B$1=1,INDEX(新年度名簿!$C$3:$C$452,$AG35),INDEX(前年度名簿!$C$3:$C$452,$AG35)))</f>
        <v/>
      </c>
      <c r="K35" s="66">
        <f>IF($AG35="","",IF(計算用!$B$1=1,INDEX(新年度名簿!$D$3:$D$452,$AG35),INDEX(前年度名簿!$D$3:$D$452,$AG35)))</f>
        <v/>
      </c>
      <c r="L35" s="65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M$7:$M$456,MATCH($AG35,振り分け!$P$7:$P$456,0))="転出","転出",IF(INDEX(振り分け!$L$7:$L$456,MATCH($AG35,振り分け!$P$7:$P$456,0))="","未決定",INDEX(振り分け!$L$7:$L$456,MATCH($AG35,振り分け!$P$7:$P$456,0)))),"未決定")))</f>
        <v/>
      </c>
      <c r="M35" s="65">
        <f>IF($AH35="","",IF(計算用!$B$1=1,INDEX(新年度名簿!$C$3:$C$452,$AH35),INDEX(前年度名簿!$C$3:$C$452,$AH35)))</f>
        <v/>
      </c>
      <c r="N35" s="66">
        <f>IF($AH35="","",IF(計算用!$B$1=1,INDEX(新年度名簿!$D$3:$D$452,$AH35),INDEX(前年度名簿!$D$3:$D$452,$AH35)))</f>
        <v/>
      </c>
      <c r="O35" s="65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M$7:$M$456,MATCH($AH35,振り分け!$P$7:$P$456,0))="転出","転出",IF(INDEX(振り分け!$L$7:$L$456,MATCH($AH35,振り分け!$P$7:$P$456,0))="","未決定",INDEX(振り分け!$L$7:$L$456,MATCH($AH35,振り分け!$P$7:$P$456,0)))),"未決定")))</f>
        <v/>
      </c>
      <c r="P35" s="65">
        <f>IF($AI35="","",IF(計算用!$B$1=1,INDEX(新年度名簿!$C$3:$C$452,$AI35),INDEX(前年度名簿!$C$3:$C$452,$AI35)))</f>
        <v/>
      </c>
      <c r="Q35" s="66">
        <f>IF($AI35="","",IF(計算用!$B$1=1,INDEX(新年度名簿!$D$3:$D$452,$AI35),INDEX(前年度名簿!$D$3:$D$452,$AI35)))</f>
        <v/>
      </c>
      <c r="R35" s="65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M$7:$M$456,MATCH($AI35,振り分け!$P$7:$P$456,0))="転出","転出",IF(INDEX(振り分け!$L$7:$L$456,MATCH($AI35,振り分け!$P$7:$P$456,0))="","未決定",INDEX(振り分け!$L$7:$L$456,MATCH($AI35,振り分け!$P$7:$P$456,0)))),"未決定")))</f>
        <v/>
      </c>
      <c r="S35" s="65">
        <f>IF($AJ35="","",IF(計算用!$B$1=1,INDEX(新年度名簿!$C$3:$C$452,$AJ35),INDEX(前年度名簿!$C$3:$C$452,$AJ35)))</f>
        <v/>
      </c>
      <c r="T35" s="66">
        <f>IF($AJ35="","",IF(計算用!$B$1=1,INDEX(新年度名簿!$D$3:$D$452,$AJ35),INDEX(前年度名簿!$D$3:$D$452,$AJ35)))</f>
        <v/>
      </c>
      <c r="U35" s="65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M$7:$M$456,MATCH($AJ35,振り分け!$P$7:$P$456,0))="転出","転出",IF(INDEX(振り分け!$L$7:$L$456,MATCH($AJ35,振り分け!$P$7:$P$456,0))="","未決定",INDEX(振り分け!$L$7:$L$456,MATCH($AJ35,振り分け!$P$7:$P$456,0)))),"未決定")))</f>
        <v/>
      </c>
      <c r="V35" s="65">
        <f>IF($AK35="","",IF(計算用!$B$1=1,INDEX(新年度名簿!$C$3:$C$452,$AK35),INDEX(前年度名簿!$C$3:$C$452,$AK35)))</f>
        <v/>
      </c>
      <c r="W35" s="66">
        <f>IF($AK35="","",IF(計算用!$B$1=1,INDEX(新年度名簿!$D$3:$D$452,$AK35),INDEX(前年度名簿!$D$3:$D$452,$AK35)))</f>
        <v/>
      </c>
      <c r="X35" s="65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M$7:$M$456,MATCH($AK35,振り分け!$P$7:$P$456,0))="転出","転出",IF(INDEX(振り分け!$L$7:$L$456,MATCH($AK35,振り分け!$P$7:$P$456,0))="","未決定",INDEX(振り分け!$L$7:$L$456,MATCH($AK35,振り分け!$P$7:$P$456,0)))),"未決定")))</f>
        <v/>
      </c>
      <c r="AD35" s="63">
        <f>IF(計算用!$B$1=1,IFERROR(IF(SMALL(新年度名簿!$J$3:$J$452,$AD$3+31)&lt;18000,MATCH(SMALL(新年度名簿!$J$3:$J$452,$AD$3+31),新年度名簿!$J$3:$J$452,0),""),""),IFERROR(IF(SMALL(前年度名簿!$G$3:$G$452,$AD$3+31)&lt;18000,MATCH(SMALL(前年度名簿!$G$3:$G$452,$AD$3+31),前年度名簿!$G$3:$G$452,0),""),""))</f>
        <v/>
      </c>
      <c r="AE35" s="63">
        <f>IF(計算用!$B$1=1,IFERROR(IF(SMALL(新年度名簿!$J$3:$J$452,$AE$3+31)&lt;19000,MATCH(SMALL(新年度名簿!$J$3:$J$452,$AE$3+31),新年度名簿!$J$3:$J$452,0),""),""),IFERROR(IF(SMALL(前年度名簿!$G$3:$G$452,$AE$3+31)&lt;19000,MATCH(SMALL(前年度名簿!$G$3:$G$452,$AE$3+31),前年度名簿!$G$3:$G$452,0),""),""))</f>
        <v/>
      </c>
      <c r="AF35" s="63">
        <f>IF(計算用!$B$1=1,IFERROR(IF(SMALL(新年度名簿!$J$3:$J$452,$AF$3+31)&lt;20000,MATCH(SMALL(新年度名簿!$J$3:$J$452,$AF$3+31),新年度名簿!$J$3:$J$452,0),""),""),IFERROR(IF(SMALL(前年度名簿!$G$3:$G$452,$AF$3+31)&lt;20000,MATCH(SMALL(前年度名簿!$G$3:$G$452,$AF$3+31),前年度名簿!$G$3:$G$452,0),""),""))</f>
        <v/>
      </c>
      <c r="AG35" s="63">
        <f>IF(計算用!$B$1=1,IFERROR(IF(SMALL(新年度名簿!$J$3:$J$452,$AG$3+31)&lt;21000,MATCH(SMALL(新年度名簿!$J$3:$J$452,$AG$3+31),新年度名簿!$J$3:$J$452,0),""),""),IFERROR(IF(SMALL(前年度名簿!$G$3:$G$452,$AG$3+31)&lt;21000,MATCH(SMALL(前年度名簿!$G$3:$G$452,$AG$3+31),前年度名簿!$G$3:$G$452,0),""),""))</f>
        <v/>
      </c>
      <c r="AH35" s="63">
        <f>IF(計算用!$B$1=1,IFERROR(IF(SMALL(新年度名簿!$J$3:$J$452,$AH$3+31)&lt;22000,MATCH(SMALL(新年度名簿!$J$3:$J$452,$AH$3+31),新年度名簿!$J$3:$J$452,0),""),""),IFERROR(IF(SMALL(前年度名簿!$G$3:$G$452,$AH$3+31)&lt;22000,MATCH(SMALL(前年度名簿!$G$3:$G$452,$AH$3+31),前年度名簿!$G$3:$G$452,0),""),""))</f>
        <v/>
      </c>
      <c r="AI35" s="63">
        <f>IF(計算用!$B$1=1,IFERROR(IF(SMALL(新年度名簿!$J$3:$J$452,$AI$3+31)&lt;23000,MATCH(SMALL(新年度名簿!$J$3:$J$452,$AI$3+31),新年度名簿!$J$3:$J$452,0),""),""),IFERROR(IF(SMALL(前年度名簿!$G$3:$G$452,$AI$3+31)&lt;23000,MATCH(SMALL(前年度名簿!$G$3:$G$452,$AI$3+31),前年度名簿!$G$3:$G$452,0),""),""))</f>
        <v/>
      </c>
      <c r="AJ35" s="63">
        <f>IF(計算用!$B$1=1,IFERROR(IF(SMALL(新年度名簿!$J$3:$J$452,$AJ$3+31)&lt;24000,MATCH(SMALL(新年度名簿!$J$3:$J$452,$AJ$3+31),新年度名簿!$J$3:$J$452,0),""),""),IFERROR(IF(SMALL(前年度名簿!$G$3:$G$452,$AJ$3+31)&lt;24000,MATCH(SMALL(前年度名簿!$G$3:$G$452,$AJ$3+31),前年度名簿!$G$3:$G$452,0),""),""))</f>
        <v/>
      </c>
      <c r="AK35" s="63">
        <f>IF(計算用!$B$1=1,IFERROR(IF(SMALL(新年度名簿!$J$3:$J$452,$AK$3+31)&lt;25000,MATCH(SMALL(新年度名簿!$J$3:$J$452,$AK$3+31),新年度名簿!$J$3:$J$452,0),""),""),IFERROR(IF(SMALL(前年度名簿!$G$3:$G$452,$AK$3+31)&lt;25000,MATCH(SMALL(前年度名簿!$G$3:$G$452,$AK$3+31),前年度名簿!$G$3:$G$452,0),""),""))</f>
        <v/>
      </c>
    </row>
    <row r="36">
      <c r="A36" s="65">
        <f>IF($AD36="","",IF(計算用!$B$1=1,INDEX(新年度名簿!$C$3:$C$452,$AD36),INDEX(前年度名簿!$C$3:$C$452,$AD36)))</f>
        <v/>
      </c>
      <c r="B36" s="66">
        <f>IF($AD36="","",IF(計算用!$B$1=1,INDEX(新年度名簿!$D$3:$D$452,$AD36),INDEX(前年度名簿!$D$3:$D$452,$AD36)))</f>
        <v/>
      </c>
      <c r="C36" s="65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M$7:$M$456,MATCH($AD36,振り分け!$P$7:$P$456,0))="転出","転出",IF(INDEX(振り分け!$L$7:$L$456,MATCH($AD36,振り分け!$P$7:$P$456,0))="","未決定",INDEX(振り分け!$L$7:$L$456,MATCH($AD36,振り分け!$P$7:$P$456,0)))),"未決定")))</f>
        <v/>
      </c>
      <c r="D36" s="65">
        <f>IF($AE36="","",IF(計算用!$B$1=1,INDEX(新年度名簿!$C$3:$C$452,$AE36),INDEX(前年度名簿!$C$3:$C$452,$AE36)))</f>
        <v/>
      </c>
      <c r="E36" s="66">
        <f>IF($AE36="","",IF(計算用!$B$1=1,INDEX(新年度名簿!$D$3:$D$452,$AE36),INDEX(前年度名簿!$D$3:$D$452,$AE36)))</f>
        <v/>
      </c>
      <c r="F36" s="65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M$7:$M$456,MATCH($AE36,振り分け!$P$7:$P$456,0))="転出","転出",IF(INDEX(振り分け!$L$7:$L$456,MATCH($AE36,振り分け!$P$7:$P$456,0))="","未決定",INDEX(振り分け!$L$7:$L$456,MATCH($AE36,振り分け!$P$7:$P$456,0)))),"未決定")))</f>
        <v/>
      </c>
      <c r="G36" s="65">
        <f>IF($AF36="","",IF(計算用!$B$1=1,INDEX(新年度名簿!$C$3:$C$452,$AF36),INDEX(前年度名簿!$C$3:$C$452,$AF36)))</f>
        <v/>
      </c>
      <c r="H36" s="66">
        <f>IF($AF36="","",IF(計算用!$B$1=1,INDEX(新年度名簿!$D$3:$D$452,$AF36),INDEX(前年度名簿!$D$3:$D$452,$AF36)))</f>
        <v/>
      </c>
      <c r="I36" s="65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M$7:$M$456,MATCH($AF36,振り分け!$P$7:$P$456,0))="転出","転出",IF(INDEX(振り分け!$L$7:$L$456,MATCH($AF36,振り分け!$P$7:$P$456,0))="","未決定",INDEX(振り分け!$L$7:$L$456,MATCH($AF36,振り分け!$P$7:$P$456,0)))),"未決定")))</f>
        <v/>
      </c>
      <c r="J36" s="65">
        <f>IF($AG36="","",IF(計算用!$B$1=1,INDEX(新年度名簿!$C$3:$C$452,$AG36),INDEX(前年度名簿!$C$3:$C$452,$AG36)))</f>
        <v/>
      </c>
      <c r="K36" s="66">
        <f>IF($AG36="","",IF(計算用!$B$1=1,INDEX(新年度名簿!$D$3:$D$452,$AG36),INDEX(前年度名簿!$D$3:$D$452,$AG36)))</f>
        <v/>
      </c>
      <c r="L36" s="65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M$7:$M$456,MATCH($AG36,振り分け!$P$7:$P$456,0))="転出","転出",IF(INDEX(振り分け!$L$7:$L$456,MATCH($AG36,振り分け!$P$7:$P$456,0))="","未決定",INDEX(振り分け!$L$7:$L$456,MATCH($AG36,振り分け!$P$7:$P$456,0)))),"未決定")))</f>
        <v/>
      </c>
      <c r="M36" s="65">
        <f>IF($AH36="","",IF(計算用!$B$1=1,INDEX(新年度名簿!$C$3:$C$452,$AH36),INDEX(前年度名簿!$C$3:$C$452,$AH36)))</f>
        <v/>
      </c>
      <c r="N36" s="66">
        <f>IF($AH36="","",IF(計算用!$B$1=1,INDEX(新年度名簿!$D$3:$D$452,$AH36),INDEX(前年度名簿!$D$3:$D$452,$AH36)))</f>
        <v/>
      </c>
      <c r="O36" s="65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M$7:$M$456,MATCH($AH36,振り分け!$P$7:$P$456,0))="転出","転出",IF(INDEX(振り分け!$L$7:$L$456,MATCH($AH36,振り分け!$P$7:$P$456,0))="","未決定",INDEX(振り分け!$L$7:$L$456,MATCH($AH36,振り分け!$P$7:$P$456,0)))),"未決定")))</f>
        <v/>
      </c>
      <c r="P36" s="65">
        <f>IF($AI36="","",IF(計算用!$B$1=1,INDEX(新年度名簿!$C$3:$C$452,$AI36),INDEX(前年度名簿!$C$3:$C$452,$AI36)))</f>
        <v/>
      </c>
      <c r="Q36" s="66">
        <f>IF($AI36="","",IF(計算用!$B$1=1,INDEX(新年度名簿!$D$3:$D$452,$AI36),INDEX(前年度名簿!$D$3:$D$452,$AI36)))</f>
        <v/>
      </c>
      <c r="R36" s="65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M$7:$M$456,MATCH($AI36,振り分け!$P$7:$P$456,0))="転出","転出",IF(INDEX(振り分け!$L$7:$L$456,MATCH($AI36,振り分け!$P$7:$P$456,0))="","未決定",INDEX(振り分け!$L$7:$L$456,MATCH($AI36,振り分け!$P$7:$P$456,0)))),"未決定")))</f>
        <v/>
      </c>
      <c r="S36" s="65">
        <f>IF($AJ36="","",IF(計算用!$B$1=1,INDEX(新年度名簿!$C$3:$C$452,$AJ36),INDEX(前年度名簿!$C$3:$C$452,$AJ36)))</f>
        <v/>
      </c>
      <c r="T36" s="66">
        <f>IF($AJ36="","",IF(計算用!$B$1=1,INDEX(新年度名簿!$D$3:$D$452,$AJ36),INDEX(前年度名簿!$D$3:$D$452,$AJ36)))</f>
        <v/>
      </c>
      <c r="U36" s="65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M$7:$M$456,MATCH($AJ36,振り分け!$P$7:$P$456,0))="転出","転出",IF(INDEX(振り分け!$L$7:$L$456,MATCH($AJ36,振り分け!$P$7:$P$456,0))="","未決定",INDEX(振り分け!$L$7:$L$456,MATCH($AJ36,振り分け!$P$7:$P$456,0)))),"未決定")))</f>
        <v/>
      </c>
      <c r="V36" s="65">
        <f>IF($AK36="","",IF(計算用!$B$1=1,INDEX(新年度名簿!$C$3:$C$452,$AK36),INDEX(前年度名簿!$C$3:$C$452,$AK36)))</f>
        <v/>
      </c>
      <c r="W36" s="66">
        <f>IF($AK36="","",IF(計算用!$B$1=1,INDEX(新年度名簿!$D$3:$D$452,$AK36),INDEX(前年度名簿!$D$3:$D$452,$AK36)))</f>
        <v/>
      </c>
      <c r="X36" s="65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M$7:$M$456,MATCH($AK36,振り分け!$P$7:$P$456,0))="転出","転出",IF(INDEX(振り分け!$L$7:$L$456,MATCH($AK36,振り分け!$P$7:$P$456,0))="","未決定",INDEX(振り分け!$L$7:$L$456,MATCH($AK36,振り分け!$P$7:$P$456,0)))),"未決定")))</f>
        <v/>
      </c>
      <c r="AD36" s="63">
        <f>IF(計算用!$B$1=1,IFERROR(IF(SMALL(新年度名簿!$J$3:$J$452,$AD$3+32)&lt;18000,MATCH(SMALL(新年度名簿!$J$3:$J$452,$AD$3+32),新年度名簿!$J$3:$J$452,0),""),""),IFERROR(IF(SMALL(前年度名簿!$G$3:$G$452,$AD$3+32)&lt;18000,MATCH(SMALL(前年度名簿!$G$3:$G$452,$AD$3+32),前年度名簿!$G$3:$G$452,0),""),""))</f>
        <v/>
      </c>
      <c r="AE36" s="63">
        <f>IF(計算用!$B$1=1,IFERROR(IF(SMALL(新年度名簿!$J$3:$J$452,$AE$3+32)&lt;19000,MATCH(SMALL(新年度名簿!$J$3:$J$452,$AE$3+32),新年度名簿!$J$3:$J$452,0),""),""),IFERROR(IF(SMALL(前年度名簿!$G$3:$G$452,$AE$3+32)&lt;19000,MATCH(SMALL(前年度名簿!$G$3:$G$452,$AE$3+32),前年度名簿!$G$3:$G$452,0),""),""))</f>
        <v/>
      </c>
      <c r="AF36" s="63">
        <f>IF(計算用!$B$1=1,IFERROR(IF(SMALL(新年度名簿!$J$3:$J$452,$AF$3+32)&lt;20000,MATCH(SMALL(新年度名簿!$J$3:$J$452,$AF$3+32),新年度名簿!$J$3:$J$452,0),""),""),IFERROR(IF(SMALL(前年度名簿!$G$3:$G$452,$AF$3+32)&lt;20000,MATCH(SMALL(前年度名簿!$G$3:$G$452,$AF$3+32),前年度名簿!$G$3:$G$452,0),""),""))</f>
        <v/>
      </c>
      <c r="AG36" s="63">
        <f>IF(計算用!$B$1=1,IFERROR(IF(SMALL(新年度名簿!$J$3:$J$452,$AG$3+32)&lt;21000,MATCH(SMALL(新年度名簿!$J$3:$J$452,$AG$3+32),新年度名簿!$J$3:$J$452,0),""),""),IFERROR(IF(SMALL(前年度名簿!$G$3:$G$452,$AG$3+32)&lt;21000,MATCH(SMALL(前年度名簿!$G$3:$G$452,$AG$3+32),前年度名簿!$G$3:$G$452,0),""),""))</f>
        <v/>
      </c>
      <c r="AH36" s="63">
        <f>IF(計算用!$B$1=1,IFERROR(IF(SMALL(新年度名簿!$J$3:$J$452,$AH$3+32)&lt;22000,MATCH(SMALL(新年度名簿!$J$3:$J$452,$AH$3+32),新年度名簿!$J$3:$J$452,0),""),""),IFERROR(IF(SMALL(前年度名簿!$G$3:$G$452,$AH$3+32)&lt;22000,MATCH(SMALL(前年度名簿!$G$3:$G$452,$AH$3+32),前年度名簿!$G$3:$G$452,0),""),""))</f>
        <v/>
      </c>
      <c r="AI36" s="63">
        <f>IF(計算用!$B$1=1,IFERROR(IF(SMALL(新年度名簿!$J$3:$J$452,$AI$3+32)&lt;23000,MATCH(SMALL(新年度名簿!$J$3:$J$452,$AI$3+32),新年度名簿!$J$3:$J$452,0),""),""),IFERROR(IF(SMALL(前年度名簿!$G$3:$G$452,$AI$3+32)&lt;23000,MATCH(SMALL(前年度名簿!$G$3:$G$452,$AI$3+32),前年度名簿!$G$3:$G$452,0),""),""))</f>
        <v/>
      </c>
      <c r="AJ36" s="63">
        <f>IF(計算用!$B$1=1,IFERROR(IF(SMALL(新年度名簿!$J$3:$J$452,$AJ$3+32)&lt;24000,MATCH(SMALL(新年度名簿!$J$3:$J$452,$AJ$3+32),新年度名簿!$J$3:$J$452,0),""),""),IFERROR(IF(SMALL(前年度名簿!$G$3:$G$452,$AJ$3+32)&lt;24000,MATCH(SMALL(前年度名簿!$G$3:$G$452,$AJ$3+32),前年度名簿!$G$3:$G$452,0),""),""))</f>
        <v/>
      </c>
      <c r="AK36" s="63">
        <f>IF(計算用!$B$1=1,IFERROR(IF(SMALL(新年度名簿!$J$3:$J$452,$AK$3+32)&lt;25000,MATCH(SMALL(新年度名簿!$J$3:$J$452,$AK$3+32),新年度名簿!$J$3:$J$452,0),""),""),IFERROR(IF(SMALL(前年度名簿!$G$3:$G$452,$AK$3+32)&lt;25000,MATCH(SMALL(前年度名簿!$G$3:$G$452,$AK$3+32),前年度名簿!$G$3:$G$452,0),""),""))</f>
        <v/>
      </c>
    </row>
    <row r="37">
      <c r="A37" s="65">
        <f>IF($AD37="","",IF(計算用!$B$1=1,INDEX(新年度名簿!$C$3:$C$452,$AD37),INDEX(前年度名簿!$C$3:$C$452,$AD37)))</f>
        <v/>
      </c>
      <c r="B37" s="66">
        <f>IF($AD37="","",IF(計算用!$B$1=1,INDEX(新年度名簿!$D$3:$D$452,$AD37),INDEX(前年度名簿!$D$3:$D$452,$AD37)))</f>
        <v/>
      </c>
      <c r="C37" s="65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M$7:$M$456,MATCH($AD37,振り分け!$P$7:$P$456,0))="転出","転出",IF(INDEX(振り分け!$L$7:$L$456,MATCH($AD37,振り分け!$P$7:$P$456,0))="","未決定",INDEX(振り分け!$L$7:$L$456,MATCH($AD37,振り分け!$P$7:$P$456,0)))),"未決定")))</f>
        <v/>
      </c>
      <c r="D37" s="65">
        <f>IF($AE37="","",IF(計算用!$B$1=1,INDEX(新年度名簿!$C$3:$C$452,$AE37),INDEX(前年度名簿!$C$3:$C$452,$AE37)))</f>
        <v/>
      </c>
      <c r="E37" s="66">
        <f>IF($AE37="","",IF(計算用!$B$1=1,INDEX(新年度名簿!$D$3:$D$452,$AE37),INDEX(前年度名簿!$D$3:$D$452,$AE37)))</f>
        <v/>
      </c>
      <c r="F37" s="65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M$7:$M$456,MATCH($AE37,振り分け!$P$7:$P$456,0))="転出","転出",IF(INDEX(振り分け!$L$7:$L$456,MATCH($AE37,振り分け!$P$7:$P$456,0))="","未決定",INDEX(振り分け!$L$7:$L$456,MATCH($AE37,振り分け!$P$7:$P$456,0)))),"未決定")))</f>
        <v/>
      </c>
      <c r="G37" s="65">
        <f>IF($AF37="","",IF(計算用!$B$1=1,INDEX(新年度名簿!$C$3:$C$452,$AF37),INDEX(前年度名簿!$C$3:$C$452,$AF37)))</f>
        <v/>
      </c>
      <c r="H37" s="66">
        <f>IF($AF37="","",IF(計算用!$B$1=1,INDEX(新年度名簿!$D$3:$D$452,$AF37),INDEX(前年度名簿!$D$3:$D$452,$AF37)))</f>
        <v/>
      </c>
      <c r="I37" s="65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M$7:$M$456,MATCH($AF37,振り分け!$P$7:$P$456,0))="転出","転出",IF(INDEX(振り分け!$L$7:$L$456,MATCH($AF37,振り分け!$P$7:$P$456,0))="","未決定",INDEX(振り分け!$L$7:$L$456,MATCH($AF37,振り分け!$P$7:$P$456,0)))),"未決定")))</f>
        <v/>
      </c>
      <c r="J37" s="65">
        <f>IF($AG37="","",IF(計算用!$B$1=1,INDEX(新年度名簿!$C$3:$C$452,$AG37),INDEX(前年度名簿!$C$3:$C$452,$AG37)))</f>
        <v/>
      </c>
      <c r="K37" s="66">
        <f>IF($AG37="","",IF(計算用!$B$1=1,INDEX(新年度名簿!$D$3:$D$452,$AG37),INDEX(前年度名簿!$D$3:$D$452,$AG37)))</f>
        <v/>
      </c>
      <c r="L37" s="65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M$7:$M$456,MATCH($AG37,振り分け!$P$7:$P$456,0))="転出","転出",IF(INDEX(振り分け!$L$7:$L$456,MATCH($AG37,振り分け!$P$7:$P$456,0))="","未決定",INDEX(振り分け!$L$7:$L$456,MATCH($AG37,振り分け!$P$7:$P$456,0)))),"未決定")))</f>
        <v/>
      </c>
      <c r="M37" s="65">
        <f>IF($AH37="","",IF(計算用!$B$1=1,INDEX(新年度名簿!$C$3:$C$452,$AH37),INDEX(前年度名簿!$C$3:$C$452,$AH37)))</f>
        <v/>
      </c>
      <c r="N37" s="66">
        <f>IF($AH37="","",IF(計算用!$B$1=1,INDEX(新年度名簿!$D$3:$D$452,$AH37),INDEX(前年度名簿!$D$3:$D$452,$AH37)))</f>
        <v/>
      </c>
      <c r="O37" s="65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M$7:$M$456,MATCH($AH37,振り分け!$P$7:$P$456,0))="転出","転出",IF(INDEX(振り分け!$L$7:$L$456,MATCH($AH37,振り分け!$P$7:$P$456,0))="","未決定",INDEX(振り分け!$L$7:$L$456,MATCH($AH37,振り分け!$P$7:$P$456,0)))),"未決定")))</f>
        <v/>
      </c>
      <c r="P37" s="65">
        <f>IF($AI37="","",IF(計算用!$B$1=1,INDEX(新年度名簿!$C$3:$C$452,$AI37),INDEX(前年度名簿!$C$3:$C$452,$AI37)))</f>
        <v/>
      </c>
      <c r="Q37" s="66">
        <f>IF($AI37="","",IF(計算用!$B$1=1,INDEX(新年度名簿!$D$3:$D$452,$AI37),INDEX(前年度名簿!$D$3:$D$452,$AI37)))</f>
        <v/>
      </c>
      <c r="R37" s="65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M$7:$M$456,MATCH($AI37,振り分け!$P$7:$P$456,0))="転出","転出",IF(INDEX(振り分け!$L$7:$L$456,MATCH($AI37,振り分け!$P$7:$P$456,0))="","未決定",INDEX(振り分け!$L$7:$L$456,MATCH($AI37,振り分け!$P$7:$P$456,0)))),"未決定")))</f>
        <v/>
      </c>
      <c r="S37" s="65">
        <f>IF($AJ37="","",IF(計算用!$B$1=1,INDEX(新年度名簿!$C$3:$C$452,$AJ37),INDEX(前年度名簿!$C$3:$C$452,$AJ37)))</f>
        <v/>
      </c>
      <c r="T37" s="66">
        <f>IF($AJ37="","",IF(計算用!$B$1=1,INDEX(新年度名簿!$D$3:$D$452,$AJ37),INDEX(前年度名簿!$D$3:$D$452,$AJ37)))</f>
        <v/>
      </c>
      <c r="U37" s="65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M$7:$M$456,MATCH($AJ37,振り分け!$P$7:$P$456,0))="転出","転出",IF(INDEX(振り分け!$L$7:$L$456,MATCH($AJ37,振り分け!$P$7:$P$456,0))="","未決定",INDEX(振り分け!$L$7:$L$456,MATCH($AJ37,振り分け!$P$7:$P$456,0)))),"未決定")))</f>
        <v/>
      </c>
      <c r="V37" s="65">
        <f>IF($AK37="","",IF(計算用!$B$1=1,INDEX(新年度名簿!$C$3:$C$452,$AK37),INDEX(前年度名簿!$C$3:$C$452,$AK37)))</f>
        <v/>
      </c>
      <c r="W37" s="66">
        <f>IF($AK37="","",IF(計算用!$B$1=1,INDEX(新年度名簿!$D$3:$D$452,$AK37),INDEX(前年度名簿!$D$3:$D$452,$AK37)))</f>
        <v/>
      </c>
      <c r="X37" s="65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M$7:$M$456,MATCH($AK37,振り分け!$P$7:$P$456,0))="転出","転出",IF(INDEX(振り分け!$L$7:$L$456,MATCH($AK37,振り分け!$P$7:$P$456,0))="","未決定",INDEX(振り分け!$L$7:$L$456,MATCH($AK37,振り分け!$P$7:$P$456,0)))),"未決定")))</f>
        <v/>
      </c>
      <c r="AD37" s="63">
        <f>IF(計算用!$B$1=1,IFERROR(IF(SMALL(新年度名簿!$J$3:$J$452,$AD$3+33)&lt;18000,MATCH(SMALL(新年度名簿!$J$3:$J$452,$AD$3+33),新年度名簿!$J$3:$J$452,0),""),""),IFERROR(IF(SMALL(前年度名簿!$G$3:$G$452,$AD$3+33)&lt;18000,MATCH(SMALL(前年度名簿!$G$3:$G$452,$AD$3+33),前年度名簿!$G$3:$G$452,0),""),""))</f>
        <v/>
      </c>
      <c r="AE37" s="63">
        <f>IF(計算用!$B$1=1,IFERROR(IF(SMALL(新年度名簿!$J$3:$J$452,$AE$3+33)&lt;19000,MATCH(SMALL(新年度名簿!$J$3:$J$452,$AE$3+33),新年度名簿!$J$3:$J$452,0),""),""),IFERROR(IF(SMALL(前年度名簿!$G$3:$G$452,$AE$3+33)&lt;19000,MATCH(SMALL(前年度名簿!$G$3:$G$452,$AE$3+33),前年度名簿!$G$3:$G$452,0),""),""))</f>
        <v/>
      </c>
      <c r="AF37" s="63">
        <f>IF(計算用!$B$1=1,IFERROR(IF(SMALL(新年度名簿!$J$3:$J$452,$AF$3+33)&lt;20000,MATCH(SMALL(新年度名簿!$J$3:$J$452,$AF$3+33),新年度名簿!$J$3:$J$452,0),""),""),IFERROR(IF(SMALL(前年度名簿!$G$3:$G$452,$AF$3+33)&lt;20000,MATCH(SMALL(前年度名簿!$G$3:$G$452,$AF$3+33),前年度名簿!$G$3:$G$452,0),""),""))</f>
        <v/>
      </c>
      <c r="AG37" s="63">
        <f>IF(計算用!$B$1=1,IFERROR(IF(SMALL(新年度名簿!$J$3:$J$452,$AG$3+33)&lt;21000,MATCH(SMALL(新年度名簿!$J$3:$J$452,$AG$3+33),新年度名簿!$J$3:$J$452,0),""),""),IFERROR(IF(SMALL(前年度名簿!$G$3:$G$452,$AG$3+33)&lt;21000,MATCH(SMALL(前年度名簿!$G$3:$G$452,$AG$3+33),前年度名簿!$G$3:$G$452,0),""),""))</f>
        <v/>
      </c>
      <c r="AH37" s="63">
        <f>IF(計算用!$B$1=1,IFERROR(IF(SMALL(新年度名簿!$J$3:$J$452,$AH$3+33)&lt;22000,MATCH(SMALL(新年度名簿!$J$3:$J$452,$AH$3+33),新年度名簿!$J$3:$J$452,0),""),""),IFERROR(IF(SMALL(前年度名簿!$G$3:$G$452,$AH$3+33)&lt;22000,MATCH(SMALL(前年度名簿!$G$3:$G$452,$AH$3+33),前年度名簿!$G$3:$G$452,0),""),""))</f>
        <v/>
      </c>
      <c r="AI37" s="63">
        <f>IF(計算用!$B$1=1,IFERROR(IF(SMALL(新年度名簿!$J$3:$J$452,$AI$3+33)&lt;23000,MATCH(SMALL(新年度名簿!$J$3:$J$452,$AI$3+33),新年度名簿!$J$3:$J$452,0),""),""),IFERROR(IF(SMALL(前年度名簿!$G$3:$G$452,$AI$3+33)&lt;23000,MATCH(SMALL(前年度名簿!$G$3:$G$452,$AI$3+33),前年度名簿!$G$3:$G$452,0),""),""))</f>
        <v/>
      </c>
      <c r="AJ37" s="63">
        <f>IF(計算用!$B$1=1,IFERROR(IF(SMALL(新年度名簿!$J$3:$J$452,$AJ$3+33)&lt;24000,MATCH(SMALL(新年度名簿!$J$3:$J$452,$AJ$3+33),新年度名簿!$J$3:$J$452,0),""),""),IFERROR(IF(SMALL(前年度名簿!$G$3:$G$452,$AJ$3+33)&lt;24000,MATCH(SMALL(前年度名簿!$G$3:$G$452,$AJ$3+33),前年度名簿!$G$3:$G$452,0),""),""))</f>
        <v/>
      </c>
      <c r="AK37" s="63">
        <f>IF(計算用!$B$1=1,IFERROR(IF(SMALL(新年度名簿!$J$3:$J$452,$AK$3+33)&lt;25000,MATCH(SMALL(新年度名簿!$J$3:$J$452,$AK$3+33),新年度名簿!$J$3:$J$452,0),""),""),IFERROR(IF(SMALL(前年度名簿!$G$3:$G$452,$AK$3+33)&lt;25000,MATCH(SMALL(前年度名簿!$G$3:$G$452,$AK$3+33),前年度名簿!$G$3:$G$452,0),""),""))</f>
        <v/>
      </c>
    </row>
    <row r="38">
      <c r="A38" s="65">
        <f>IF($AD38="","",IF(計算用!$B$1=1,INDEX(新年度名簿!$C$3:$C$452,$AD38),INDEX(前年度名簿!$C$3:$C$452,$AD38)))</f>
        <v/>
      </c>
      <c r="B38" s="66">
        <f>IF($AD38="","",IF(計算用!$B$1=1,INDEX(新年度名簿!$D$3:$D$452,$AD38),INDEX(前年度名簿!$D$3:$D$452,$AD38)))</f>
        <v/>
      </c>
      <c r="C38" s="65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M$7:$M$456,MATCH($AD38,振り分け!$P$7:$P$456,0))="転出","転出",IF(INDEX(振り分け!$L$7:$L$456,MATCH($AD38,振り分け!$P$7:$P$456,0))="","未決定",INDEX(振り分け!$L$7:$L$456,MATCH($AD38,振り分け!$P$7:$P$456,0)))),"未決定")))</f>
        <v/>
      </c>
      <c r="D38" s="65">
        <f>IF($AE38="","",IF(計算用!$B$1=1,INDEX(新年度名簿!$C$3:$C$452,$AE38),INDEX(前年度名簿!$C$3:$C$452,$AE38)))</f>
        <v/>
      </c>
      <c r="E38" s="66">
        <f>IF($AE38="","",IF(計算用!$B$1=1,INDEX(新年度名簿!$D$3:$D$452,$AE38),INDEX(前年度名簿!$D$3:$D$452,$AE38)))</f>
        <v/>
      </c>
      <c r="F38" s="65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M$7:$M$456,MATCH($AE38,振り分け!$P$7:$P$456,0))="転出","転出",IF(INDEX(振り分け!$L$7:$L$456,MATCH($AE38,振り分け!$P$7:$P$456,0))="","未決定",INDEX(振り分け!$L$7:$L$456,MATCH($AE38,振り分け!$P$7:$P$456,0)))),"未決定")))</f>
        <v/>
      </c>
      <c r="G38" s="65">
        <f>IF($AF38="","",IF(計算用!$B$1=1,INDEX(新年度名簿!$C$3:$C$452,$AF38),INDEX(前年度名簿!$C$3:$C$452,$AF38)))</f>
        <v/>
      </c>
      <c r="H38" s="66">
        <f>IF($AF38="","",IF(計算用!$B$1=1,INDEX(新年度名簿!$D$3:$D$452,$AF38),INDEX(前年度名簿!$D$3:$D$452,$AF38)))</f>
        <v/>
      </c>
      <c r="I38" s="65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M$7:$M$456,MATCH($AF38,振り分け!$P$7:$P$456,0))="転出","転出",IF(INDEX(振り分け!$L$7:$L$456,MATCH($AF38,振り分け!$P$7:$P$456,0))="","未決定",INDEX(振り分け!$L$7:$L$456,MATCH($AF38,振り分け!$P$7:$P$456,0)))),"未決定")))</f>
        <v/>
      </c>
      <c r="J38" s="65">
        <f>IF($AG38="","",IF(計算用!$B$1=1,INDEX(新年度名簿!$C$3:$C$452,$AG38),INDEX(前年度名簿!$C$3:$C$452,$AG38)))</f>
        <v/>
      </c>
      <c r="K38" s="66">
        <f>IF($AG38="","",IF(計算用!$B$1=1,INDEX(新年度名簿!$D$3:$D$452,$AG38),INDEX(前年度名簿!$D$3:$D$452,$AG38)))</f>
        <v/>
      </c>
      <c r="L38" s="65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M$7:$M$456,MATCH($AG38,振り分け!$P$7:$P$456,0))="転出","転出",IF(INDEX(振り分け!$L$7:$L$456,MATCH($AG38,振り分け!$P$7:$P$456,0))="","未決定",INDEX(振り分け!$L$7:$L$456,MATCH($AG38,振り分け!$P$7:$P$456,0)))),"未決定")))</f>
        <v/>
      </c>
      <c r="M38" s="65">
        <f>IF($AH38="","",IF(計算用!$B$1=1,INDEX(新年度名簿!$C$3:$C$452,$AH38),INDEX(前年度名簿!$C$3:$C$452,$AH38)))</f>
        <v/>
      </c>
      <c r="N38" s="66">
        <f>IF($AH38="","",IF(計算用!$B$1=1,INDEX(新年度名簿!$D$3:$D$452,$AH38),INDEX(前年度名簿!$D$3:$D$452,$AH38)))</f>
        <v/>
      </c>
      <c r="O38" s="65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M$7:$M$456,MATCH($AH38,振り分け!$P$7:$P$456,0))="転出","転出",IF(INDEX(振り分け!$L$7:$L$456,MATCH($AH38,振り分け!$P$7:$P$456,0))="","未決定",INDEX(振り分け!$L$7:$L$456,MATCH($AH38,振り分け!$P$7:$P$456,0)))),"未決定")))</f>
        <v/>
      </c>
      <c r="P38" s="65">
        <f>IF($AI38="","",IF(計算用!$B$1=1,INDEX(新年度名簿!$C$3:$C$452,$AI38),INDEX(前年度名簿!$C$3:$C$452,$AI38)))</f>
        <v/>
      </c>
      <c r="Q38" s="66">
        <f>IF($AI38="","",IF(計算用!$B$1=1,INDEX(新年度名簿!$D$3:$D$452,$AI38),INDEX(前年度名簿!$D$3:$D$452,$AI38)))</f>
        <v/>
      </c>
      <c r="R38" s="65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M$7:$M$456,MATCH($AI38,振り分け!$P$7:$P$456,0))="転出","転出",IF(INDEX(振り分け!$L$7:$L$456,MATCH($AI38,振り分け!$P$7:$P$456,0))="","未決定",INDEX(振り分け!$L$7:$L$456,MATCH($AI38,振り分け!$P$7:$P$456,0)))),"未決定")))</f>
        <v/>
      </c>
      <c r="S38" s="65">
        <f>IF($AJ38="","",IF(計算用!$B$1=1,INDEX(新年度名簿!$C$3:$C$452,$AJ38),INDEX(前年度名簿!$C$3:$C$452,$AJ38)))</f>
        <v/>
      </c>
      <c r="T38" s="66">
        <f>IF($AJ38="","",IF(計算用!$B$1=1,INDEX(新年度名簿!$D$3:$D$452,$AJ38),INDEX(前年度名簿!$D$3:$D$452,$AJ38)))</f>
        <v/>
      </c>
      <c r="U38" s="65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M$7:$M$456,MATCH($AJ38,振り分け!$P$7:$P$456,0))="転出","転出",IF(INDEX(振り分け!$L$7:$L$456,MATCH($AJ38,振り分け!$P$7:$P$456,0))="","未決定",INDEX(振り分け!$L$7:$L$456,MATCH($AJ38,振り分け!$P$7:$P$456,0)))),"未決定")))</f>
        <v/>
      </c>
      <c r="V38" s="65">
        <f>IF($AK38="","",IF(計算用!$B$1=1,INDEX(新年度名簿!$C$3:$C$452,$AK38),INDEX(前年度名簿!$C$3:$C$452,$AK38)))</f>
        <v/>
      </c>
      <c r="W38" s="66">
        <f>IF($AK38="","",IF(計算用!$B$1=1,INDEX(新年度名簿!$D$3:$D$452,$AK38),INDEX(前年度名簿!$D$3:$D$452,$AK38)))</f>
        <v/>
      </c>
      <c r="X38" s="65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M$7:$M$456,MATCH($AK38,振り分け!$P$7:$P$456,0))="転出","転出",IF(INDEX(振り分け!$L$7:$L$456,MATCH($AK38,振り分け!$P$7:$P$456,0))="","未決定",INDEX(振り分け!$L$7:$L$456,MATCH($AK38,振り分け!$P$7:$P$456,0)))),"未決定")))</f>
        <v/>
      </c>
      <c r="AD38" s="63">
        <f>IF(計算用!$B$1=1,IFERROR(IF(SMALL(新年度名簿!$J$3:$J$452,$AD$3+34)&lt;18000,MATCH(SMALL(新年度名簿!$J$3:$J$452,$AD$3+34),新年度名簿!$J$3:$J$452,0),""),""),IFERROR(IF(SMALL(前年度名簿!$G$3:$G$452,$AD$3+34)&lt;18000,MATCH(SMALL(前年度名簿!$G$3:$G$452,$AD$3+34),前年度名簿!$G$3:$G$452,0),""),""))</f>
        <v/>
      </c>
      <c r="AE38" s="63">
        <f>IF(計算用!$B$1=1,IFERROR(IF(SMALL(新年度名簿!$J$3:$J$452,$AE$3+34)&lt;19000,MATCH(SMALL(新年度名簿!$J$3:$J$452,$AE$3+34),新年度名簿!$J$3:$J$452,0),""),""),IFERROR(IF(SMALL(前年度名簿!$G$3:$G$452,$AE$3+34)&lt;19000,MATCH(SMALL(前年度名簿!$G$3:$G$452,$AE$3+34),前年度名簿!$G$3:$G$452,0),""),""))</f>
        <v/>
      </c>
      <c r="AF38" s="63">
        <f>IF(計算用!$B$1=1,IFERROR(IF(SMALL(新年度名簿!$J$3:$J$452,$AF$3+34)&lt;20000,MATCH(SMALL(新年度名簿!$J$3:$J$452,$AF$3+34),新年度名簿!$J$3:$J$452,0),""),""),IFERROR(IF(SMALL(前年度名簿!$G$3:$G$452,$AF$3+34)&lt;20000,MATCH(SMALL(前年度名簿!$G$3:$G$452,$AF$3+34),前年度名簿!$G$3:$G$452,0),""),""))</f>
        <v/>
      </c>
      <c r="AG38" s="63">
        <f>IF(計算用!$B$1=1,IFERROR(IF(SMALL(新年度名簿!$J$3:$J$452,$AG$3+34)&lt;21000,MATCH(SMALL(新年度名簿!$J$3:$J$452,$AG$3+34),新年度名簿!$J$3:$J$452,0),""),""),IFERROR(IF(SMALL(前年度名簿!$G$3:$G$452,$AG$3+34)&lt;21000,MATCH(SMALL(前年度名簿!$G$3:$G$452,$AG$3+34),前年度名簿!$G$3:$G$452,0),""),""))</f>
        <v/>
      </c>
      <c r="AH38" s="63">
        <f>IF(計算用!$B$1=1,IFERROR(IF(SMALL(新年度名簿!$J$3:$J$452,$AH$3+34)&lt;22000,MATCH(SMALL(新年度名簿!$J$3:$J$452,$AH$3+34),新年度名簿!$J$3:$J$452,0),""),""),IFERROR(IF(SMALL(前年度名簿!$G$3:$G$452,$AH$3+34)&lt;22000,MATCH(SMALL(前年度名簿!$G$3:$G$452,$AH$3+34),前年度名簿!$G$3:$G$452,0),""),""))</f>
        <v/>
      </c>
      <c r="AI38" s="63">
        <f>IF(計算用!$B$1=1,IFERROR(IF(SMALL(新年度名簿!$J$3:$J$452,$AI$3+34)&lt;23000,MATCH(SMALL(新年度名簿!$J$3:$J$452,$AI$3+34),新年度名簿!$J$3:$J$452,0),""),""),IFERROR(IF(SMALL(前年度名簿!$G$3:$G$452,$AI$3+34)&lt;23000,MATCH(SMALL(前年度名簿!$G$3:$G$452,$AI$3+34),前年度名簿!$G$3:$G$452,0),""),""))</f>
        <v/>
      </c>
      <c r="AJ38" s="63">
        <f>IF(計算用!$B$1=1,IFERROR(IF(SMALL(新年度名簿!$J$3:$J$452,$AJ$3+34)&lt;24000,MATCH(SMALL(新年度名簿!$J$3:$J$452,$AJ$3+34),新年度名簿!$J$3:$J$452,0),""),""),IFERROR(IF(SMALL(前年度名簿!$G$3:$G$452,$AJ$3+34)&lt;24000,MATCH(SMALL(前年度名簿!$G$3:$G$452,$AJ$3+34),前年度名簿!$G$3:$G$452,0),""),""))</f>
        <v/>
      </c>
      <c r="AK38" s="63">
        <f>IF(計算用!$B$1=1,IFERROR(IF(SMALL(新年度名簿!$J$3:$J$452,$AK$3+34)&lt;25000,MATCH(SMALL(新年度名簿!$J$3:$J$452,$AK$3+34),新年度名簿!$J$3:$J$452,0),""),""),IFERROR(IF(SMALL(前年度名簿!$G$3:$G$452,$AK$3+34)&lt;25000,MATCH(SMALL(前年度名簿!$G$3:$G$452,$AK$3+34),前年度名簿!$G$3:$G$452,0),""),""))</f>
        <v/>
      </c>
    </row>
    <row r="39">
      <c r="A39" s="65">
        <f>IF($AD39="","",IF(計算用!$B$1=1,INDEX(新年度名簿!$C$3:$C$452,$AD39),INDEX(前年度名簿!$C$3:$C$452,$AD39)))</f>
        <v/>
      </c>
      <c r="B39" s="66">
        <f>IF($AD39="","",IF(計算用!$B$1=1,INDEX(新年度名簿!$D$3:$D$452,$AD39),INDEX(前年度名簿!$D$3:$D$452,$AD39)))</f>
        <v/>
      </c>
      <c r="C39" s="65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M$7:$M$456,MATCH($AD39,振り分け!$P$7:$P$456,0))="転出","転出",IF(INDEX(振り分け!$L$7:$L$456,MATCH($AD39,振り分け!$P$7:$P$456,0))="","未決定",INDEX(振り分け!$L$7:$L$456,MATCH($AD39,振り分け!$P$7:$P$456,0)))),"未決定")))</f>
        <v/>
      </c>
      <c r="D39" s="65">
        <f>IF($AE39="","",IF(計算用!$B$1=1,INDEX(新年度名簿!$C$3:$C$452,$AE39),INDEX(前年度名簿!$C$3:$C$452,$AE39)))</f>
        <v/>
      </c>
      <c r="E39" s="66">
        <f>IF($AE39="","",IF(計算用!$B$1=1,INDEX(新年度名簿!$D$3:$D$452,$AE39),INDEX(前年度名簿!$D$3:$D$452,$AE39)))</f>
        <v/>
      </c>
      <c r="F39" s="65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M$7:$M$456,MATCH($AE39,振り分け!$P$7:$P$456,0))="転出","転出",IF(INDEX(振り分け!$L$7:$L$456,MATCH($AE39,振り分け!$P$7:$P$456,0))="","未決定",INDEX(振り分け!$L$7:$L$456,MATCH($AE39,振り分け!$P$7:$P$456,0)))),"未決定")))</f>
        <v/>
      </c>
      <c r="G39" s="65">
        <f>IF($AF39="","",IF(計算用!$B$1=1,INDEX(新年度名簿!$C$3:$C$452,$AF39),INDEX(前年度名簿!$C$3:$C$452,$AF39)))</f>
        <v/>
      </c>
      <c r="H39" s="66">
        <f>IF($AF39="","",IF(計算用!$B$1=1,INDEX(新年度名簿!$D$3:$D$452,$AF39),INDEX(前年度名簿!$D$3:$D$452,$AF39)))</f>
        <v/>
      </c>
      <c r="I39" s="65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M$7:$M$456,MATCH($AF39,振り分け!$P$7:$P$456,0))="転出","転出",IF(INDEX(振り分け!$L$7:$L$456,MATCH($AF39,振り分け!$P$7:$P$456,0))="","未決定",INDEX(振り分け!$L$7:$L$456,MATCH($AF39,振り分け!$P$7:$P$456,0)))),"未決定")))</f>
        <v/>
      </c>
      <c r="J39" s="65">
        <f>IF($AG39="","",IF(計算用!$B$1=1,INDEX(新年度名簿!$C$3:$C$452,$AG39),INDEX(前年度名簿!$C$3:$C$452,$AG39)))</f>
        <v/>
      </c>
      <c r="K39" s="66">
        <f>IF($AG39="","",IF(計算用!$B$1=1,INDEX(新年度名簿!$D$3:$D$452,$AG39),INDEX(前年度名簿!$D$3:$D$452,$AG39)))</f>
        <v/>
      </c>
      <c r="L39" s="65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M$7:$M$456,MATCH($AG39,振り分け!$P$7:$P$456,0))="転出","転出",IF(INDEX(振り分け!$L$7:$L$456,MATCH($AG39,振り分け!$P$7:$P$456,0))="","未決定",INDEX(振り分け!$L$7:$L$456,MATCH($AG39,振り分け!$P$7:$P$456,0)))),"未決定")))</f>
        <v/>
      </c>
      <c r="M39" s="65">
        <f>IF($AH39="","",IF(計算用!$B$1=1,INDEX(新年度名簿!$C$3:$C$452,$AH39),INDEX(前年度名簿!$C$3:$C$452,$AH39)))</f>
        <v/>
      </c>
      <c r="N39" s="66">
        <f>IF($AH39="","",IF(計算用!$B$1=1,INDEX(新年度名簿!$D$3:$D$452,$AH39),INDEX(前年度名簿!$D$3:$D$452,$AH39)))</f>
        <v/>
      </c>
      <c r="O39" s="65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M$7:$M$456,MATCH($AH39,振り分け!$P$7:$P$456,0))="転出","転出",IF(INDEX(振り分け!$L$7:$L$456,MATCH($AH39,振り分け!$P$7:$P$456,0))="","未決定",INDEX(振り分け!$L$7:$L$456,MATCH($AH39,振り分け!$P$7:$P$456,0)))),"未決定")))</f>
        <v/>
      </c>
      <c r="P39" s="65">
        <f>IF($AI39="","",IF(計算用!$B$1=1,INDEX(新年度名簿!$C$3:$C$452,$AI39),INDEX(前年度名簿!$C$3:$C$452,$AI39)))</f>
        <v/>
      </c>
      <c r="Q39" s="66">
        <f>IF($AI39="","",IF(計算用!$B$1=1,INDEX(新年度名簿!$D$3:$D$452,$AI39),INDEX(前年度名簿!$D$3:$D$452,$AI39)))</f>
        <v/>
      </c>
      <c r="R39" s="65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M$7:$M$456,MATCH($AI39,振り分け!$P$7:$P$456,0))="転出","転出",IF(INDEX(振り分け!$L$7:$L$456,MATCH($AI39,振り分け!$P$7:$P$456,0))="","未決定",INDEX(振り分け!$L$7:$L$456,MATCH($AI39,振り分け!$P$7:$P$456,0)))),"未決定")))</f>
        <v/>
      </c>
      <c r="S39" s="65">
        <f>IF($AJ39="","",IF(計算用!$B$1=1,INDEX(新年度名簿!$C$3:$C$452,$AJ39),INDEX(前年度名簿!$C$3:$C$452,$AJ39)))</f>
        <v/>
      </c>
      <c r="T39" s="66">
        <f>IF($AJ39="","",IF(計算用!$B$1=1,INDEX(新年度名簿!$D$3:$D$452,$AJ39),INDEX(前年度名簿!$D$3:$D$452,$AJ39)))</f>
        <v/>
      </c>
      <c r="U39" s="65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M$7:$M$456,MATCH($AJ39,振り分け!$P$7:$P$456,0))="転出","転出",IF(INDEX(振り分け!$L$7:$L$456,MATCH($AJ39,振り分け!$P$7:$P$456,0))="","未決定",INDEX(振り分け!$L$7:$L$456,MATCH($AJ39,振り分け!$P$7:$P$456,0)))),"未決定")))</f>
        <v/>
      </c>
      <c r="V39" s="65">
        <f>IF($AK39="","",IF(計算用!$B$1=1,INDEX(新年度名簿!$C$3:$C$452,$AK39),INDEX(前年度名簿!$C$3:$C$452,$AK39)))</f>
        <v/>
      </c>
      <c r="W39" s="66">
        <f>IF($AK39="","",IF(計算用!$B$1=1,INDEX(新年度名簿!$D$3:$D$452,$AK39),INDEX(前年度名簿!$D$3:$D$452,$AK39)))</f>
        <v/>
      </c>
      <c r="X39" s="65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M$7:$M$456,MATCH($AK39,振り分け!$P$7:$P$456,0))="転出","転出",IF(INDEX(振り分け!$L$7:$L$456,MATCH($AK39,振り分け!$P$7:$P$456,0))="","未決定",INDEX(振り分け!$L$7:$L$456,MATCH($AK39,振り分け!$P$7:$P$456,0)))),"未決定")))</f>
        <v/>
      </c>
      <c r="AD39" s="63">
        <f>IF(計算用!$B$1=1,IFERROR(IF(SMALL(新年度名簿!$J$3:$J$452,$AD$3+35)&lt;18000,MATCH(SMALL(新年度名簿!$J$3:$J$452,$AD$3+35),新年度名簿!$J$3:$J$452,0),""),""),IFERROR(IF(SMALL(前年度名簿!$G$3:$G$452,$AD$3+35)&lt;18000,MATCH(SMALL(前年度名簿!$G$3:$G$452,$AD$3+35),前年度名簿!$G$3:$G$452,0),""),""))</f>
        <v/>
      </c>
      <c r="AE39" s="63">
        <f>IF(計算用!$B$1=1,IFERROR(IF(SMALL(新年度名簿!$J$3:$J$452,$AE$3+35)&lt;19000,MATCH(SMALL(新年度名簿!$J$3:$J$452,$AE$3+35),新年度名簿!$J$3:$J$452,0),""),""),IFERROR(IF(SMALL(前年度名簿!$G$3:$G$452,$AE$3+35)&lt;19000,MATCH(SMALL(前年度名簿!$G$3:$G$452,$AE$3+35),前年度名簿!$G$3:$G$452,0),""),""))</f>
        <v/>
      </c>
      <c r="AF39" s="63">
        <f>IF(計算用!$B$1=1,IFERROR(IF(SMALL(新年度名簿!$J$3:$J$452,$AF$3+35)&lt;20000,MATCH(SMALL(新年度名簿!$J$3:$J$452,$AF$3+35),新年度名簿!$J$3:$J$452,0),""),""),IFERROR(IF(SMALL(前年度名簿!$G$3:$G$452,$AF$3+35)&lt;20000,MATCH(SMALL(前年度名簿!$G$3:$G$452,$AF$3+35),前年度名簿!$G$3:$G$452,0),""),""))</f>
        <v/>
      </c>
      <c r="AG39" s="63">
        <f>IF(計算用!$B$1=1,IFERROR(IF(SMALL(新年度名簿!$J$3:$J$452,$AG$3+35)&lt;21000,MATCH(SMALL(新年度名簿!$J$3:$J$452,$AG$3+35),新年度名簿!$J$3:$J$452,0),""),""),IFERROR(IF(SMALL(前年度名簿!$G$3:$G$452,$AG$3+35)&lt;21000,MATCH(SMALL(前年度名簿!$G$3:$G$452,$AG$3+35),前年度名簿!$G$3:$G$452,0),""),""))</f>
        <v/>
      </c>
      <c r="AH39" s="63">
        <f>IF(計算用!$B$1=1,IFERROR(IF(SMALL(新年度名簿!$J$3:$J$452,$AH$3+35)&lt;22000,MATCH(SMALL(新年度名簿!$J$3:$J$452,$AH$3+35),新年度名簿!$J$3:$J$452,0),""),""),IFERROR(IF(SMALL(前年度名簿!$G$3:$G$452,$AH$3+35)&lt;22000,MATCH(SMALL(前年度名簿!$G$3:$G$452,$AH$3+35),前年度名簿!$G$3:$G$452,0),""),""))</f>
        <v/>
      </c>
      <c r="AI39" s="63">
        <f>IF(計算用!$B$1=1,IFERROR(IF(SMALL(新年度名簿!$J$3:$J$452,$AI$3+35)&lt;23000,MATCH(SMALL(新年度名簿!$J$3:$J$452,$AI$3+35),新年度名簿!$J$3:$J$452,0),""),""),IFERROR(IF(SMALL(前年度名簿!$G$3:$G$452,$AI$3+35)&lt;23000,MATCH(SMALL(前年度名簿!$G$3:$G$452,$AI$3+35),前年度名簿!$G$3:$G$452,0),""),""))</f>
        <v/>
      </c>
      <c r="AJ39" s="63">
        <f>IF(計算用!$B$1=1,IFERROR(IF(SMALL(新年度名簿!$J$3:$J$452,$AJ$3+35)&lt;24000,MATCH(SMALL(新年度名簿!$J$3:$J$452,$AJ$3+35),新年度名簿!$J$3:$J$452,0),""),""),IFERROR(IF(SMALL(前年度名簿!$G$3:$G$452,$AJ$3+35)&lt;24000,MATCH(SMALL(前年度名簿!$G$3:$G$452,$AJ$3+35),前年度名簿!$G$3:$G$452,0),""),""))</f>
        <v/>
      </c>
      <c r="AK39" s="63">
        <f>IF(計算用!$B$1=1,IFERROR(IF(SMALL(新年度名簿!$J$3:$J$452,$AK$3+35)&lt;25000,MATCH(SMALL(新年度名簿!$J$3:$J$452,$AK$3+35),新年度名簿!$J$3:$J$452,0),""),""),IFERROR(IF(SMALL(前年度名簿!$G$3:$G$452,$AK$3+35)&lt;25000,MATCH(SMALL(前年度名簿!$G$3:$G$452,$AK$3+35),前年度名簿!$G$3:$G$452,0),""),""))</f>
        <v/>
      </c>
    </row>
    <row r="40">
      <c r="A40" s="65">
        <f>IF($AD40="","",IF(計算用!$B$1=1,INDEX(新年度名簿!$C$3:$C$452,$AD40),INDEX(前年度名簿!$C$3:$C$452,$AD40)))</f>
        <v/>
      </c>
      <c r="B40" s="66">
        <f>IF($AD40="","",IF(計算用!$B$1=1,INDEX(新年度名簿!$D$3:$D$452,$AD40),INDEX(前年度名簿!$D$3:$D$452,$AD40)))</f>
        <v/>
      </c>
      <c r="C40" s="65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M$7:$M$456,MATCH($AD40,振り分け!$P$7:$P$456,0))="転出","転出",IF(INDEX(振り分け!$L$7:$L$456,MATCH($AD40,振り分け!$P$7:$P$456,0))="","未決定",INDEX(振り分け!$L$7:$L$456,MATCH($AD40,振り分け!$P$7:$P$456,0)))),"未決定")))</f>
        <v/>
      </c>
      <c r="D40" s="65">
        <f>IF($AE40="","",IF(計算用!$B$1=1,INDEX(新年度名簿!$C$3:$C$452,$AE40),INDEX(前年度名簿!$C$3:$C$452,$AE40)))</f>
        <v/>
      </c>
      <c r="E40" s="66">
        <f>IF($AE40="","",IF(計算用!$B$1=1,INDEX(新年度名簿!$D$3:$D$452,$AE40),INDEX(前年度名簿!$D$3:$D$452,$AE40)))</f>
        <v/>
      </c>
      <c r="F40" s="65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M$7:$M$456,MATCH($AE40,振り分け!$P$7:$P$456,0))="転出","転出",IF(INDEX(振り分け!$L$7:$L$456,MATCH($AE40,振り分け!$P$7:$P$456,0))="","未決定",INDEX(振り分け!$L$7:$L$456,MATCH($AE40,振り分け!$P$7:$P$456,0)))),"未決定")))</f>
        <v/>
      </c>
      <c r="G40" s="65">
        <f>IF($AF40="","",IF(計算用!$B$1=1,INDEX(新年度名簿!$C$3:$C$452,$AF40),INDEX(前年度名簿!$C$3:$C$452,$AF40)))</f>
        <v/>
      </c>
      <c r="H40" s="66">
        <f>IF($AF40="","",IF(計算用!$B$1=1,INDEX(新年度名簿!$D$3:$D$452,$AF40),INDEX(前年度名簿!$D$3:$D$452,$AF40)))</f>
        <v/>
      </c>
      <c r="I40" s="65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M$7:$M$456,MATCH($AF40,振り分け!$P$7:$P$456,0))="転出","転出",IF(INDEX(振り分け!$L$7:$L$456,MATCH($AF40,振り分け!$P$7:$P$456,0))="","未決定",INDEX(振り分け!$L$7:$L$456,MATCH($AF40,振り分け!$P$7:$P$456,0)))),"未決定")))</f>
        <v/>
      </c>
      <c r="J40" s="65">
        <f>IF($AG40="","",IF(計算用!$B$1=1,INDEX(新年度名簿!$C$3:$C$452,$AG40),INDEX(前年度名簿!$C$3:$C$452,$AG40)))</f>
        <v/>
      </c>
      <c r="K40" s="66">
        <f>IF($AG40="","",IF(計算用!$B$1=1,INDEX(新年度名簿!$D$3:$D$452,$AG40),INDEX(前年度名簿!$D$3:$D$452,$AG40)))</f>
        <v/>
      </c>
      <c r="L40" s="65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M$7:$M$456,MATCH($AG40,振り分け!$P$7:$P$456,0))="転出","転出",IF(INDEX(振り分け!$L$7:$L$456,MATCH($AG40,振り分け!$P$7:$P$456,0))="","未決定",INDEX(振り分け!$L$7:$L$456,MATCH($AG40,振り分け!$P$7:$P$456,0)))),"未決定")))</f>
        <v/>
      </c>
      <c r="M40" s="65">
        <f>IF($AH40="","",IF(計算用!$B$1=1,INDEX(新年度名簿!$C$3:$C$452,$AH40),INDEX(前年度名簿!$C$3:$C$452,$AH40)))</f>
        <v/>
      </c>
      <c r="N40" s="66">
        <f>IF($AH40="","",IF(計算用!$B$1=1,INDEX(新年度名簿!$D$3:$D$452,$AH40),INDEX(前年度名簿!$D$3:$D$452,$AH40)))</f>
        <v/>
      </c>
      <c r="O40" s="65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M$7:$M$456,MATCH($AH40,振り分け!$P$7:$P$456,0))="転出","転出",IF(INDEX(振り分け!$L$7:$L$456,MATCH($AH40,振り分け!$P$7:$P$456,0))="","未決定",INDEX(振り分け!$L$7:$L$456,MATCH($AH40,振り分け!$P$7:$P$456,0)))),"未決定")))</f>
        <v/>
      </c>
      <c r="P40" s="65">
        <f>IF($AI40="","",IF(計算用!$B$1=1,INDEX(新年度名簿!$C$3:$C$452,$AI40),INDEX(前年度名簿!$C$3:$C$452,$AI40)))</f>
        <v/>
      </c>
      <c r="Q40" s="66">
        <f>IF($AI40="","",IF(計算用!$B$1=1,INDEX(新年度名簿!$D$3:$D$452,$AI40),INDEX(前年度名簿!$D$3:$D$452,$AI40)))</f>
        <v/>
      </c>
      <c r="R40" s="65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M$7:$M$456,MATCH($AI40,振り分け!$P$7:$P$456,0))="転出","転出",IF(INDEX(振り分け!$L$7:$L$456,MATCH($AI40,振り分け!$P$7:$P$456,0))="","未決定",INDEX(振り分け!$L$7:$L$456,MATCH($AI40,振り分け!$P$7:$P$456,0)))),"未決定")))</f>
        <v/>
      </c>
      <c r="S40" s="65">
        <f>IF($AJ40="","",IF(計算用!$B$1=1,INDEX(新年度名簿!$C$3:$C$452,$AJ40),INDEX(前年度名簿!$C$3:$C$452,$AJ40)))</f>
        <v/>
      </c>
      <c r="T40" s="66">
        <f>IF($AJ40="","",IF(計算用!$B$1=1,INDEX(新年度名簿!$D$3:$D$452,$AJ40),INDEX(前年度名簿!$D$3:$D$452,$AJ40)))</f>
        <v/>
      </c>
      <c r="U40" s="65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M$7:$M$456,MATCH($AJ40,振り分け!$P$7:$P$456,0))="転出","転出",IF(INDEX(振り分け!$L$7:$L$456,MATCH($AJ40,振り分け!$P$7:$P$456,0))="","未決定",INDEX(振り分け!$L$7:$L$456,MATCH($AJ40,振り分け!$P$7:$P$456,0)))),"未決定")))</f>
        <v/>
      </c>
      <c r="V40" s="65">
        <f>IF($AK40="","",IF(計算用!$B$1=1,INDEX(新年度名簿!$C$3:$C$452,$AK40),INDEX(前年度名簿!$C$3:$C$452,$AK40)))</f>
        <v/>
      </c>
      <c r="W40" s="66">
        <f>IF($AK40="","",IF(計算用!$B$1=1,INDEX(新年度名簿!$D$3:$D$452,$AK40),INDEX(前年度名簿!$D$3:$D$452,$AK40)))</f>
        <v/>
      </c>
      <c r="X40" s="65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M$7:$M$456,MATCH($AK40,振り分け!$P$7:$P$456,0))="転出","転出",IF(INDEX(振り分け!$L$7:$L$456,MATCH($AK40,振り分け!$P$7:$P$456,0))="","未決定",INDEX(振り分け!$L$7:$L$456,MATCH($AK40,振り分け!$P$7:$P$456,0)))),"未決定")))</f>
        <v/>
      </c>
      <c r="AD40" s="63">
        <f>IF(計算用!$B$1=1,IFERROR(IF(SMALL(新年度名簿!$J$3:$J$452,$AD$3+36)&lt;18000,MATCH(SMALL(新年度名簿!$J$3:$J$452,$AD$3+36),新年度名簿!$J$3:$J$452,0),""),""),IFERROR(IF(SMALL(前年度名簿!$G$3:$G$452,$AD$3+36)&lt;18000,MATCH(SMALL(前年度名簿!$G$3:$G$452,$AD$3+36),前年度名簿!$G$3:$G$452,0),""),""))</f>
        <v/>
      </c>
      <c r="AE40" s="63">
        <f>IF(計算用!$B$1=1,IFERROR(IF(SMALL(新年度名簿!$J$3:$J$452,$AE$3+36)&lt;19000,MATCH(SMALL(新年度名簿!$J$3:$J$452,$AE$3+36),新年度名簿!$J$3:$J$452,0),""),""),IFERROR(IF(SMALL(前年度名簿!$G$3:$G$452,$AE$3+36)&lt;19000,MATCH(SMALL(前年度名簿!$G$3:$G$452,$AE$3+36),前年度名簿!$G$3:$G$452,0),""),""))</f>
        <v/>
      </c>
      <c r="AF40" s="63">
        <f>IF(計算用!$B$1=1,IFERROR(IF(SMALL(新年度名簿!$J$3:$J$452,$AF$3+36)&lt;20000,MATCH(SMALL(新年度名簿!$J$3:$J$452,$AF$3+36),新年度名簿!$J$3:$J$452,0),""),""),IFERROR(IF(SMALL(前年度名簿!$G$3:$G$452,$AF$3+36)&lt;20000,MATCH(SMALL(前年度名簿!$G$3:$G$452,$AF$3+36),前年度名簿!$G$3:$G$452,0),""),""))</f>
        <v/>
      </c>
      <c r="AG40" s="63">
        <f>IF(計算用!$B$1=1,IFERROR(IF(SMALL(新年度名簿!$J$3:$J$452,$AG$3+36)&lt;21000,MATCH(SMALL(新年度名簿!$J$3:$J$452,$AG$3+36),新年度名簿!$J$3:$J$452,0),""),""),IFERROR(IF(SMALL(前年度名簿!$G$3:$G$452,$AG$3+36)&lt;21000,MATCH(SMALL(前年度名簿!$G$3:$G$452,$AG$3+36),前年度名簿!$G$3:$G$452,0),""),""))</f>
        <v/>
      </c>
      <c r="AH40" s="63">
        <f>IF(計算用!$B$1=1,IFERROR(IF(SMALL(新年度名簿!$J$3:$J$452,$AH$3+36)&lt;22000,MATCH(SMALL(新年度名簿!$J$3:$J$452,$AH$3+36),新年度名簿!$J$3:$J$452,0),""),""),IFERROR(IF(SMALL(前年度名簿!$G$3:$G$452,$AH$3+36)&lt;22000,MATCH(SMALL(前年度名簿!$G$3:$G$452,$AH$3+36),前年度名簿!$G$3:$G$452,0),""),""))</f>
        <v/>
      </c>
      <c r="AI40" s="63">
        <f>IF(計算用!$B$1=1,IFERROR(IF(SMALL(新年度名簿!$J$3:$J$452,$AI$3+36)&lt;23000,MATCH(SMALL(新年度名簿!$J$3:$J$452,$AI$3+36),新年度名簿!$J$3:$J$452,0),""),""),IFERROR(IF(SMALL(前年度名簿!$G$3:$G$452,$AI$3+36)&lt;23000,MATCH(SMALL(前年度名簿!$G$3:$G$452,$AI$3+36),前年度名簿!$G$3:$G$452,0),""),""))</f>
        <v/>
      </c>
      <c r="AJ40" s="63">
        <f>IF(計算用!$B$1=1,IFERROR(IF(SMALL(新年度名簿!$J$3:$J$452,$AJ$3+36)&lt;24000,MATCH(SMALL(新年度名簿!$J$3:$J$452,$AJ$3+36),新年度名簿!$J$3:$J$452,0),""),""),IFERROR(IF(SMALL(前年度名簿!$G$3:$G$452,$AJ$3+36)&lt;24000,MATCH(SMALL(前年度名簿!$G$3:$G$452,$AJ$3+36),前年度名簿!$G$3:$G$452,0),""),""))</f>
        <v/>
      </c>
      <c r="AK40" s="63">
        <f>IF(計算用!$B$1=1,IFERROR(IF(SMALL(新年度名簿!$J$3:$J$452,$AK$3+36)&lt;25000,MATCH(SMALL(新年度名簿!$J$3:$J$452,$AK$3+36),新年度名簿!$J$3:$J$452,0),""),""),IFERROR(IF(SMALL(前年度名簿!$G$3:$G$452,$AK$3+36)&lt;25000,MATCH(SMALL(前年度名簿!$G$3:$G$452,$AK$3+36),前年度名簿!$G$3:$G$452,0),""),""))</f>
        <v/>
      </c>
    </row>
    <row r="41">
      <c r="A41" s="65">
        <f>IF($AD41="","",IF(計算用!$B$1=1,INDEX(新年度名簿!$C$3:$C$452,$AD41),INDEX(前年度名簿!$C$3:$C$452,$AD41)))</f>
        <v/>
      </c>
      <c r="B41" s="66">
        <f>IF($AD41="","",IF(計算用!$B$1=1,INDEX(新年度名簿!$D$3:$D$452,$AD41),INDEX(前年度名簿!$D$3:$D$452,$AD41)))</f>
        <v/>
      </c>
      <c r="C41" s="65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M$7:$M$456,MATCH($AD41,振り分け!$P$7:$P$456,0))="転出","転出",IF(INDEX(振り分け!$L$7:$L$456,MATCH($AD41,振り分け!$P$7:$P$456,0))="","未決定",INDEX(振り分け!$L$7:$L$456,MATCH($AD41,振り分け!$P$7:$P$456,0)))),"未決定")))</f>
        <v/>
      </c>
      <c r="D41" s="65">
        <f>IF($AE41="","",IF(計算用!$B$1=1,INDEX(新年度名簿!$C$3:$C$452,$AE41),INDEX(前年度名簿!$C$3:$C$452,$AE41)))</f>
        <v/>
      </c>
      <c r="E41" s="66">
        <f>IF($AE41="","",IF(計算用!$B$1=1,INDEX(新年度名簿!$D$3:$D$452,$AE41),INDEX(前年度名簿!$D$3:$D$452,$AE41)))</f>
        <v/>
      </c>
      <c r="F41" s="65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M$7:$M$456,MATCH($AE41,振り分け!$P$7:$P$456,0))="転出","転出",IF(INDEX(振り分け!$L$7:$L$456,MATCH($AE41,振り分け!$P$7:$P$456,0))="","未決定",INDEX(振り分け!$L$7:$L$456,MATCH($AE41,振り分け!$P$7:$P$456,0)))),"未決定")))</f>
        <v/>
      </c>
      <c r="G41" s="65">
        <f>IF($AF41="","",IF(計算用!$B$1=1,INDEX(新年度名簿!$C$3:$C$452,$AF41),INDEX(前年度名簿!$C$3:$C$452,$AF41)))</f>
        <v/>
      </c>
      <c r="H41" s="66">
        <f>IF($AF41="","",IF(計算用!$B$1=1,INDEX(新年度名簿!$D$3:$D$452,$AF41),INDEX(前年度名簿!$D$3:$D$452,$AF41)))</f>
        <v/>
      </c>
      <c r="I41" s="65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M$7:$M$456,MATCH($AF41,振り分け!$P$7:$P$456,0))="転出","転出",IF(INDEX(振り分け!$L$7:$L$456,MATCH($AF41,振り分け!$P$7:$P$456,0))="","未決定",INDEX(振り分け!$L$7:$L$456,MATCH($AF41,振り分け!$P$7:$P$456,0)))),"未決定")))</f>
        <v/>
      </c>
      <c r="J41" s="65">
        <f>IF($AG41="","",IF(計算用!$B$1=1,INDEX(新年度名簿!$C$3:$C$452,$AG41),INDEX(前年度名簿!$C$3:$C$452,$AG41)))</f>
        <v/>
      </c>
      <c r="K41" s="66">
        <f>IF($AG41="","",IF(計算用!$B$1=1,INDEX(新年度名簿!$D$3:$D$452,$AG41),INDEX(前年度名簿!$D$3:$D$452,$AG41)))</f>
        <v/>
      </c>
      <c r="L41" s="65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M$7:$M$456,MATCH($AG41,振り分け!$P$7:$P$456,0))="転出","転出",IF(INDEX(振り分け!$L$7:$L$456,MATCH($AG41,振り分け!$P$7:$P$456,0))="","未決定",INDEX(振り分け!$L$7:$L$456,MATCH($AG41,振り分け!$P$7:$P$456,0)))),"未決定")))</f>
        <v/>
      </c>
      <c r="M41" s="65">
        <f>IF($AH41="","",IF(計算用!$B$1=1,INDEX(新年度名簿!$C$3:$C$452,$AH41),INDEX(前年度名簿!$C$3:$C$452,$AH41)))</f>
        <v/>
      </c>
      <c r="N41" s="66">
        <f>IF($AH41="","",IF(計算用!$B$1=1,INDEX(新年度名簿!$D$3:$D$452,$AH41),INDEX(前年度名簿!$D$3:$D$452,$AH41)))</f>
        <v/>
      </c>
      <c r="O41" s="65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M$7:$M$456,MATCH($AH41,振り分け!$P$7:$P$456,0))="転出","転出",IF(INDEX(振り分け!$L$7:$L$456,MATCH($AH41,振り分け!$P$7:$P$456,0))="","未決定",INDEX(振り分け!$L$7:$L$456,MATCH($AH41,振り分け!$P$7:$P$456,0)))),"未決定")))</f>
        <v/>
      </c>
      <c r="P41" s="65">
        <f>IF($AI41="","",IF(計算用!$B$1=1,INDEX(新年度名簿!$C$3:$C$452,$AI41),INDEX(前年度名簿!$C$3:$C$452,$AI41)))</f>
        <v/>
      </c>
      <c r="Q41" s="66">
        <f>IF($AI41="","",IF(計算用!$B$1=1,INDEX(新年度名簿!$D$3:$D$452,$AI41),INDEX(前年度名簿!$D$3:$D$452,$AI41)))</f>
        <v/>
      </c>
      <c r="R41" s="65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M$7:$M$456,MATCH($AI41,振り分け!$P$7:$P$456,0))="転出","転出",IF(INDEX(振り分け!$L$7:$L$456,MATCH($AI41,振り分け!$P$7:$P$456,0))="","未決定",INDEX(振り分け!$L$7:$L$456,MATCH($AI41,振り分け!$P$7:$P$456,0)))),"未決定")))</f>
        <v/>
      </c>
      <c r="S41" s="65">
        <f>IF($AJ41="","",IF(計算用!$B$1=1,INDEX(新年度名簿!$C$3:$C$452,$AJ41),INDEX(前年度名簿!$C$3:$C$452,$AJ41)))</f>
        <v/>
      </c>
      <c r="T41" s="66">
        <f>IF($AJ41="","",IF(計算用!$B$1=1,INDEX(新年度名簿!$D$3:$D$452,$AJ41),INDEX(前年度名簿!$D$3:$D$452,$AJ41)))</f>
        <v/>
      </c>
      <c r="U41" s="65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M$7:$M$456,MATCH($AJ41,振り分け!$P$7:$P$456,0))="転出","転出",IF(INDEX(振り分け!$L$7:$L$456,MATCH($AJ41,振り分け!$P$7:$P$456,0))="","未決定",INDEX(振り分け!$L$7:$L$456,MATCH($AJ41,振り分け!$P$7:$P$456,0)))),"未決定")))</f>
        <v/>
      </c>
      <c r="V41" s="65">
        <f>IF($AK41="","",IF(計算用!$B$1=1,INDEX(新年度名簿!$C$3:$C$452,$AK41),INDEX(前年度名簿!$C$3:$C$452,$AK41)))</f>
        <v/>
      </c>
      <c r="W41" s="66">
        <f>IF($AK41="","",IF(計算用!$B$1=1,INDEX(新年度名簿!$D$3:$D$452,$AK41),INDEX(前年度名簿!$D$3:$D$452,$AK41)))</f>
        <v/>
      </c>
      <c r="X41" s="65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M$7:$M$456,MATCH($AK41,振り分け!$P$7:$P$456,0))="転出","転出",IF(INDEX(振り分け!$L$7:$L$456,MATCH($AK41,振り分け!$P$7:$P$456,0))="","未決定",INDEX(振り分け!$L$7:$L$456,MATCH($AK41,振り分け!$P$7:$P$456,0)))),"未決定")))</f>
        <v/>
      </c>
      <c r="AD41" s="63">
        <f>IF(計算用!$B$1=1,IFERROR(IF(SMALL(新年度名簿!$J$3:$J$452,$AD$3+37)&lt;18000,MATCH(SMALL(新年度名簿!$J$3:$J$452,$AD$3+37),新年度名簿!$J$3:$J$452,0),""),""),IFERROR(IF(SMALL(前年度名簿!$G$3:$G$452,$AD$3+37)&lt;18000,MATCH(SMALL(前年度名簿!$G$3:$G$452,$AD$3+37),前年度名簿!$G$3:$G$452,0),""),""))</f>
        <v/>
      </c>
      <c r="AE41" s="63">
        <f>IF(計算用!$B$1=1,IFERROR(IF(SMALL(新年度名簿!$J$3:$J$452,$AE$3+37)&lt;19000,MATCH(SMALL(新年度名簿!$J$3:$J$452,$AE$3+37),新年度名簿!$J$3:$J$452,0),""),""),IFERROR(IF(SMALL(前年度名簿!$G$3:$G$452,$AE$3+37)&lt;19000,MATCH(SMALL(前年度名簿!$G$3:$G$452,$AE$3+37),前年度名簿!$G$3:$G$452,0),""),""))</f>
        <v/>
      </c>
      <c r="AF41" s="63">
        <f>IF(計算用!$B$1=1,IFERROR(IF(SMALL(新年度名簿!$J$3:$J$452,$AF$3+37)&lt;20000,MATCH(SMALL(新年度名簿!$J$3:$J$452,$AF$3+37),新年度名簿!$J$3:$J$452,0),""),""),IFERROR(IF(SMALL(前年度名簿!$G$3:$G$452,$AF$3+37)&lt;20000,MATCH(SMALL(前年度名簿!$G$3:$G$452,$AF$3+37),前年度名簿!$G$3:$G$452,0),""),""))</f>
        <v/>
      </c>
      <c r="AG41" s="63">
        <f>IF(計算用!$B$1=1,IFERROR(IF(SMALL(新年度名簿!$J$3:$J$452,$AG$3+37)&lt;21000,MATCH(SMALL(新年度名簿!$J$3:$J$452,$AG$3+37),新年度名簿!$J$3:$J$452,0),""),""),IFERROR(IF(SMALL(前年度名簿!$G$3:$G$452,$AG$3+37)&lt;21000,MATCH(SMALL(前年度名簿!$G$3:$G$452,$AG$3+37),前年度名簿!$G$3:$G$452,0),""),""))</f>
        <v/>
      </c>
      <c r="AH41" s="63">
        <f>IF(計算用!$B$1=1,IFERROR(IF(SMALL(新年度名簿!$J$3:$J$452,$AH$3+37)&lt;22000,MATCH(SMALL(新年度名簿!$J$3:$J$452,$AH$3+37),新年度名簿!$J$3:$J$452,0),""),""),IFERROR(IF(SMALL(前年度名簿!$G$3:$G$452,$AH$3+37)&lt;22000,MATCH(SMALL(前年度名簿!$G$3:$G$452,$AH$3+37),前年度名簿!$G$3:$G$452,0),""),""))</f>
        <v/>
      </c>
      <c r="AI41" s="63">
        <f>IF(計算用!$B$1=1,IFERROR(IF(SMALL(新年度名簿!$J$3:$J$452,$AI$3+37)&lt;23000,MATCH(SMALL(新年度名簿!$J$3:$J$452,$AI$3+37),新年度名簿!$J$3:$J$452,0),""),""),IFERROR(IF(SMALL(前年度名簿!$G$3:$G$452,$AI$3+37)&lt;23000,MATCH(SMALL(前年度名簿!$G$3:$G$452,$AI$3+37),前年度名簿!$G$3:$G$452,0),""),""))</f>
        <v/>
      </c>
      <c r="AJ41" s="63">
        <f>IF(計算用!$B$1=1,IFERROR(IF(SMALL(新年度名簿!$J$3:$J$452,$AJ$3+37)&lt;24000,MATCH(SMALL(新年度名簿!$J$3:$J$452,$AJ$3+37),新年度名簿!$J$3:$J$452,0),""),""),IFERROR(IF(SMALL(前年度名簿!$G$3:$G$452,$AJ$3+37)&lt;24000,MATCH(SMALL(前年度名簿!$G$3:$G$452,$AJ$3+37),前年度名簿!$G$3:$G$452,0),""),""))</f>
        <v/>
      </c>
      <c r="AK41" s="63">
        <f>IF(計算用!$B$1=1,IFERROR(IF(SMALL(新年度名簿!$J$3:$J$452,$AK$3+37)&lt;25000,MATCH(SMALL(新年度名簿!$J$3:$J$452,$AK$3+37),新年度名簿!$J$3:$J$452,0),""),""),IFERROR(IF(SMALL(前年度名簿!$G$3:$G$452,$AK$3+37)&lt;25000,MATCH(SMALL(前年度名簿!$G$3:$G$452,$AK$3+37),前年度名簿!$G$3:$G$452,0),""),""))</f>
        <v/>
      </c>
    </row>
    <row r="42">
      <c r="A42" s="65">
        <f>IF($AD42="","",IF(計算用!$B$1=1,INDEX(新年度名簿!$C$3:$C$452,$AD42),INDEX(前年度名簿!$C$3:$C$452,$AD42)))</f>
        <v/>
      </c>
      <c r="B42" s="66">
        <f>IF($AD42="","",IF(計算用!$B$1=1,INDEX(新年度名簿!$D$3:$D$452,$AD42),INDEX(前年度名簿!$D$3:$D$452,$AD42)))</f>
        <v/>
      </c>
      <c r="C42" s="65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M$7:$M$456,MATCH($AD42,振り分け!$P$7:$P$456,0))="転出","転出",IF(INDEX(振り分け!$L$7:$L$456,MATCH($AD42,振り分け!$P$7:$P$456,0))="","未決定",INDEX(振り分け!$L$7:$L$456,MATCH($AD42,振り分け!$P$7:$P$456,0)))),"未決定")))</f>
        <v/>
      </c>
      <c r="D42" s="65">
        <f>IF($AE42="","",IF(計算用!$B$1=1,INDEX(新年度名簿!$C$3:$C$452,$AE42),INDEX(前年度名簿!$C$3:$C$452,$AE42)))</f>
        <v/>
      </c>
      <c r="E42" s="66">
        <f>IF($AE42="","",IF(計算用!$B$1=1,INDEX(新年度名簿!$D$3:$D$452,$AE42),INDEX(前年度名簿!$D$3:$D$452,$AE42)))</f>
        <v/>
      </c>
      <c r="F42" s="65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M$7:$M$456,MATCH($AE42,振り分け!$P$7:$P$456,0))="転出","転出",IF(INDEX(振り分け!$L$7:$L$456,MATCH($AE42,振り分け!$P$7:$P$456,0))="","未決定",INDEX(振り分け!$L$7:$L$456,MATCH($AE42,振り分け!$P$7:$P$456,0)))),"未決定")))</f>
        <v/>
      </c>
      <c r="G42" s="65">
        <f>IF($AF42="","",IF(計算用!$B$1=1,INDEX(新年度名簿!$C$3:$C$452,$AF42),INDEX(前年度名簿!$C$3:$C$452,$AF42)))</f>
        <v/>
      </c>
      <c r="H42" s="66">
        <f>IF($AF42="","",IF(計算用!$B$1=1,INDEX(新年度名簿!$D$3:$D$452,$AF42),INDEX(前年度名簿!$D$3:$D$452,$AF42)))</f>
        <v/>
      </c>
      <c r="I42" s="65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M$7:$M$456,MATCH($AF42,振り分け!$P$7:$P$456,0))="転出","転出",IF(INDEX(振り分け!$L$7:$L$456,MATCH($AF42,振り分け!$P$7:$P$456,0))="","未決定",INDEX(振り分け!$L$7:$L$456,MATCH($AF42,振り分け!$P$7:$P$456,0)))),"未決定")))</f>
        <v/>
      </c>
      <c r="J42" s="65">
        <f>IF($AG42="","",IF(計算用!$B$1=1,INDEX(新年度名簿!$C$3:$C$452,$AG42),INDEX(前年度名簿!$C$3:$C$452,$AG42)))</f>
        <v/>
      </c>
      <c r="K42" s="66">
        <f>IF($AG42="","",IF(計算用!$B$1=1,INDEX(新年度名簿!$D$3:$D$452,$AG42),INDEX(前年度名簿!$D$3:$D$452,$AG42)))</f>
        <v/>
      </c>
      <c r="L42" s="65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M$7:$M$456,MATCH($AG42,振り分け!$P$7:$P$456,0))="転出","転出",IF(INDEX(振り分け!$L$7:$L$456,MATCH($AG42,振り分け!$P$7:$P$456,0))="","未決定",INDEX(振り分け!$L$7:$L$456,MATCH($AG42,振り分け!$P$7:$P$456,0)))),"未決定")))</f>
        <v/>
      </c>
      <c r="M42" s="65">
        <f>IF($AH42="","",IF(計算用!$B$1=1,INDEX(新年度名簿!$C$3:$C$452,$AH42),INDEX(前年度名簿!$C$3:$C$452,$AH42)))</f>
        <v/>
      </c>
      <c r="N42" s="66">
        <f>IF($AH42="","",IF(計算用!$B$1=1,INDEX(新年度名簿!$D$3:$D$452,$AH42),INDEX(前年度名簿!$D$3:$D$452,$AH42)))</f>
        <v/>
      </c>
      <c r="O42" s="65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M$7:$M$456,MATCH($AH42,振り分け!$P$7:$P$456,0))="転出","転出",IF(INDEX(振り分け!$L$7:$L$456,MATCH($AH42,振り分け!$P$7:$P$456,0))="","未決定",INDEX(振り分け!$L$7:$L$456,MATCH($AH42,振り分け!$P$7:$P$456,0)))),"未決定")))</f>
        <v/>
      </c>
      <c r="P42" s="65">
        <f>IF($AI42="","",IF(計算用!$B$1=1,INDEX(新年度名簿!$C$3:$C$452,$AI42),INDEX(前年度名簿!$C$3:$C$452,$AI42)))</f>
        <v/>
      </c>
      <c r="Q42" s="66">
        <f>IF($AI42="","",IF(計算用!$B$1=1,INDEX(新年度名簿!$D$3:$D$452,$AI42),INDEX(前年度名簿!$D$3:$D$452,$AI42)))</f>
        <v/>
      </c>
      <c r="R42" s="65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M$7:$M$456,MATCH($AI42,振り分け!$P$7:$P$456,0))="転出","転出",IF(INDEX(振り分け!$L$7:$L$456,MATCH($AI42,振り分け!$P$7:$P$456,0))="","未決定",INDEX(振り分け!$L$7:$L$456,MATCH($AI42,振り分け!$P$7:$P$456,0)))),"未決定")))</f>
        <v/>
      </c>
      <c r="S42" s="65">
        <f>IF($AJ42="","",IF(計算用!$B$1=1,INDEX(新年度名簿!$C$3:$C$452,$AJ42),INDEX(前年度名簿!$C$3:$C$452,$AJ42)))</f>
        <v/>
      </c>
      <c r="T42" s="66">
        <f>IF($AJ42="","",IF(計算用!$B$1=1,INDEX(新年度名簿!$D$3:$D$452,$AJ42),INDEX(前年度名簿!$D$3:$D$452,$AJ42)))</f>
        <v/>
      </c>
      <c r="U42" s="65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M$7:$M$456,MATCH($AJ42,振り分け!$P$7:$P$456,0))="転出","転出",IF(INDEX(振り分け!$L$7:$L$456,MATCH($AJ42,振り分け!$P$7:$P$456,0))="","未決定",INDEX(振り分け!$L$7:$L$456,MATCH($AJ42,振り分け!$P$7:$P$456,0)))),"未決定")))</f>
        <v/>
      </c>
      <c r="V42" s="65">
        <f>IF($AK42="","",IF(計算用!$B$1=1,INDEX(新年度名簿!$C$3:$C$452,$AK42),INDEX(前年度名簿!$C$3:$C$452,$AK42)))</f>
        <v/>
      </c>
      <c r="W42" s="66">
        <f>IF($AK42="","",IF(計算用!$B$1=1,INDEX(新年度名簿!$D$3:$D$452,$AK42),INDEX(前年度名簿!$D$3:$D$452,$AK42)))</f>
        <v/>
      </c>
      <c r="X42" s="65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M$7:$M$456,MATCH($AK42,振り分け!$P$7:$P$456,0))="転出","転出",IF(INDEX(振り分け!$L$7:$L$456,MATCH($AK42,振り分け!$P$7:$P$456,0))="","未決定",INDEX(振り分け!$L$7:$L$456,MATCH($AK42,振り分け!$P$7:$P$456,0)))),"未決定")))</f>
        <v/>
      </c>
      <c r="AD42" s="63">
        <f>IF(計算用!$B$1=1,IFERROR(IF(SMALL(新年度名簿!$J$3:$J$452,$AD$3+38)&lt;18000,MATCH(SMALL(新年度名簿!$J$3:$J$452,$AD$3+38),新年度名簿!$J$3:$J$452,0),""),""),IFERROR(IF(SMALL(前年度名簿!$G$3:$G$452,$AD$3+38)&lt;18000,MATCH(SMALL(前年度名簿!$G$3:$G$452,$AD$3+38),前年度名簿!$G$3:$G$452,0),""),""))</f>
        <v/>
      </c>
      <c r="AE42" s="63">
        <f>IF(計算用!$B$1=1,IFERROR(IF(SMALL(新年度名簿!$J$3:$J$452,$AE$3+38)&lt;19000,MATCH(SMALL(新年度名簿!$J$3:$J$452,$AE$3+38),新年度名簿!$J$3:$J$452,0),""),""),IFERROR(IF(SMALL(前年度名簿!$G$3:$G$452,$AE$3+38)&lt;19000,MATCH(SMALL(前年度名簿!$G$3:$G$452,$AE$3+38),前年度名簿!$G$3:$G$452,0),""),""))</f>
        <v/>
      </c>
      <c r="AF42" s="63">
        <f>IF(計算用!$B$1=1,IFERROR(IF(SMALL(新年度名簿!$J$3:$J$452,$AF$3+38)&lt;20000,MATCH(SMALL(新年度名簿!$J$3:$J$452,$AF$3+38),新年度名簿!$J$3:$J$452,0),""),""),IFERROR(IF(SMALL(前年度名簿!$G$3:$G$452,$AF$3+38)&lt;20000,MATCH(SMALL(前年度名簿!$G$3:$G$452,$AF$3+38),前年度名簿!$G$3:$G$452,0),""),""))</f>
        <v/>
      </c>
      <c r="AG42" s="63">
        <f>IF(計算用!$B$1=1,IFERROR(IF(SMALL(新年度名簿!$J$3:$J$452,$AG$3+38)&lt;21000,MATCH(SMALL(新年度名簿!$J$3:$J$452,$AG$3+38),新年度名簿!$J$3:$J$452,0),""),""),IFERROR(IF(SMALL(前年度名簿!$G$3:$G$452,$AG$3+38)&lt;21000,MATCH(SMALL(前年度名簿!$G$3:$G$452,$AG$3+38),前年度名簿!$G$3:$G$452,0),""),""))</f>
        <v/>
      </c>
      <c r="AH42" s="63">
        <f>IF(計算用!$B$1=1,IFERROR(IF(SMALL(新年度名簿!$J$3:$J$452,$AH$3+38)&lt;22000,MATCH(SMALL(新年度名簿!$J$3:$J$452,$AH$3+38),新年度名簿!$J$3:$J$452,0),""),""),IFERROR(IF(SMALL(前年度名簿!$G$3:$G$452,$AH$3+38)&lt;22000,MATCH(SMALL(前年度名簿!$G$3:$G$452,$AH$3+38),前年度名簿!$G$3:$G$452,0),""),""))</f>
        <v/>
      </c>
      <c r="AI42" s="63">
        <f>IF(計算用!$B$1=1,IFERROR(IF(SMALL(新年度名簿!$J$3:$J$452,$AI$3+38)&lt;23000,MATCH(SMALL(新年度名簿!$J$3:$J$452,$AI$3+38),新年度名簿!$J$3:$J$452,0),""),""),IFERROR(IF(SMALL(前年度名簿!$G$3:$G$452,$AI$3+38)&lt;23000,MATCH(SMALL(前年度名簿!$G$3:$G$452,$AI$3+38),前年度名簿!$G$3:$G$452,0),""),""))</f>
        <v/>
      </c>
      <c r="AJ42" s="63">
        <f>IF(計算用!$B$1=1,IFERROR(IF(SMALL(新年度名簿!$J$3:$J$452,$AJ$3+38)&lt;24000,MATCH(SMALL(新年度名簿!$J$3:$J$452,$AJ$3+38),新年度名簿!$J$3:$J$452,0),""),""),IFERROR(IF(SMALL(前年度名簿!$G$3:$G$452,$AJ$3+38)&lt;24000,MATCH(SMALL(前年度名簿!$G$3:$G$452,$AJ$3+38),前年度名簿!$G$3:$G$452,0),""),""))</f>
        <v/>
      </c>
      <c r="AK42" s="63">
        <f>IF(計算用!$B$1=1,IFERROR(IF(SMALL(新年度名簿!$J$3:$J$452,$AK$3+38)&lt;25000,MATCH(SMALL(新年度名簿!$J$3:$J$452,$AK$3+38),新年度名簿!$J$3:$J$452,0),""),""),IFERROR(IF(SMALL(前年度名簿!$G$3:$G$452,$AK$3+38)&lt;25000,MATCH(SMALL(前年度名簿!$G$3:$G$452,$AK$3+38),前年度名簿!$G$3:$G$452,0),""),""))</f>
        <v/>
      </c>
    </row>
    <row r="43">
      <c r="A43" s="65">
        <f>IF($AD43="","",IF(計算用!$B$1=1,INDEX(新年度名簿!$C$3:$C$452,$AD43),INDEX(前年度名簿!$C$3:$C$452,$AD43)))</f>
        <v/>
      </c>
      <c r="B43" s="66">
        <f>IF($AD43="","",IF(計算用!$B$1=1,INDEX(新年度名簿!$D$3:$D$452,$AD43),INDEX(前年度名簿!$D$3:$D$452,$AD43)))</f>
        <v/>
      </c>
      <c r="C43" s="65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M$7:$M$456,MATCH($AD43,振り分け!$P$7:$P$456,0))="転出","転出",IF(INDEX(振り分け!$L$7:$L$456,MATCH($AD43,振り分け!$P$7:$P$456,0))="","未決定",INDEX(振り分け!$L$7:$L$456,MATCH($AD43,振り分け!$P$7:$P$456,0)))),"未決定")))</f>
        <v/>
      </c>
      <c r="D43" s="65">
        <f>IF($AE43="","",IF(計算用!$B$1=1,INDEX(新年度名簿!$C$3:$C$452,$AE43),INDEX(前年度名簿!$C$3:$C$452,$AE43)))</f>
        <v/>
      </c>
      <c r="E43" s="66">
        <f>IF($AE43="","",IF(計算用!$B$1=1,INDEX(新年度名簿!$D$3:$D$452,$AE43),INDEX(前年度名簿!$D$3:$D$452,$AE43)))</f>
        <v/>
      </c>
      <c r="F43" s="65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M$7:$M$456,MATCH($AE43,振り分け!$P$7:$P$456,0))="転出","転出",IF(INDEX(振り分け!$L$7:$L$456,MATCH($AE43,振り分け!$P$7:$P$456,0))="","未決定",INDEX(振り分け!$L$7:$L$456,MATCH($AE43,振り分け!$P$7:$P$456,0)))),"未決定")))</f>
        <v/>
      </c>
      <c r="G43" s="65">
        <f>IF($AF43="","",IF(計算用!$B$1=1,INDEX(新年度名簿!$C$3:$C$452,$AF43),INDEX(前年度名簿!$C$3:$C$452,$AF43)))</f>
        <v/>
      </c>
      <c r="H43" s="66">
        <f>IF($AF43="","",IF(計算用!$B$1=1,INDEX(新年度名簿!$D$3:$D$452,$AF43),INDEX(前年度名簿!$D$3:$D$452,$AF43)))</f>
        <v/>
      </c>
      <c r="I43" s="65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M$7:$M$456,MATCH($AF43,振り分け!$P$7:$P$456,0))="転出","転出",IF(INDEX(振り分け!$L$7:$L$456,MATCH($AF43,振り分け!$P$7:$P$456,0))="","未決定",INDEX(振り分け!$L$7:$L$456,MATCH($AF43,振り分け!$P$7:$P$456,0)))),"未決定")))</f>
        <v/>
      </c>
      <c r="J43" s="65">
        <f>IF($AG43="","",IF(計算用!$B$1=1,INDEX(新年度名簿!$C$3:$C$452,$AG43),INDEX(前年度名簿!$C$3:$C$452,$AG43)))</f>
        <v/>
      </c>
      <c r="K43" s="66">
        <f>IF($AG43="","",IF(計算用!$B$1=1,INDEX(新年度名簿!$D$3:$D$452,$AG43),INDEX(前年度名簿!$D$3:$D$452,$AG43)))</f>
        <v/>
      </c>
      <c r="L43" s="65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M$7:$M$456,MATCH($AG43,振り分け!$P$7:$P$456,0))="転出","転出",IF(INDEX(振り分け!$L$7:$L$456,MATCH($AG43,振り分け!$P$7:$P$456,0))="","未決定",INDEX(振り分け!$L$7:$L$456,MATCH($AG43,振り分け!$P$7:$P$456,0)))),"未決定")))</f>
        <v/>
      </c>
      <c r="M43" s="65">
        <f>IF($AH43="","",IF(計算用!$B$1=1,INDEX(新年度名簿!$C$3:$C$452,$AH43),INDEX(前年度名簿!$C$3:$C$452,$AH43)))</f>
        <v/>
      </c>
      <c r="N43" s="66">
        <f>IF($AH43="","",IF(計算用!$B$1=1,INDEX(新年度名簿!$D$3:$D$452,$AH43),INDEX(前年度名簿!$D$3:$D$452,$AH43)))</f>
        <v/>
      </c>
      <c r="O43" s="65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M$7:$M$456,MATCH($AH43,振り分け!$P$7:$P$456,0))="転出","転出",IF(INDEX(振り分け!$L$7:$L$456,MATCH($AH43,振り分け!$P$7:$P$456,0))="","未決定",INDEX(振り分け!$L$7:$L$456,MATCH($AH43,振り分け!$P$7:$P$456,0)))),"未決定")))</f>
        <v/>
      </c>
      <c r="P43" s="65">
        <f>IF($AI43="","",IF(計算用!$B$1=1,INDEX(新年度名簿!$C$3:$C$452,$AI43),INDEX(前年度名簿!$C$3:$C$452,$AI43)))</f>
        <v/>
      </c>
      <c r="Q43" s="66">
        <f>IF($AI43="","",IF(計算用!$B$1=1,INDEX(新年度名簿!$D$3:$D$452,$AI43),INDEX(前年度名簿!$D$3:$D$452,$AI43)))</f>
        <v/>
      </c>
      <c r="R43" s="65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M$7:$M$456,MATCH($AI43,振り分け!$P$7:$P$456,0))="転出","転出",IF(INDEX(振り分け!$L$7:$L$456,MATCH($AI43,振り分け!$P$7:$P$456,0))="","未決定",INDEX(振り分け!$L$7:$L$456,MATCH($AI43,振り分け!$P$7:$P$456,0)))),"未決定")))</f>
        <v/>
      </c>
      <c r="S43" s="65">
        <f>IF($AJ43="","",IF(計算用!$B$1=1,INDEX(新年度名簿!$C$3:$C$452,$AJ43),INDEX(前年度名簿!$C$3:$C$452,$AJ43)))</f>
        <v/>
      </c>
      <c r="T43" s="66">
        <f>IF($AJ43="","",IF(計算用!$B$1=1,INDEX(新年度名簿!$D$3:$D$452,$AJ43),INDEX(前年度名簿!$D$3:$D$452,$AJ43)))</f>
        <v/>
      </c>
      <c r="U43" s="65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M$7:$M$456,MATCH($AJ43,振り分け!$P$7:$P$456,0))="転出","転出",IF(INDEX(振り分け!$L$7:$L$456,MATCH($AJ43,振り分け!$P$7:$P$456,0))="","未決定",INDEX(振り分け!$L$7:$L$456,MATCH($AJ43,振り分け!$P$7:$P$456,0)))),"未決定")))</f>
        <v/>
      </c>
      <c r="V43" s="65">
        <f>IF($AK43="","",IF(計算用!$B$1=1,INDEX(新年度名簿!$C$3:$C$452,$AK43),INDEX(前年度名簿!$C$3:$C$452,$AK43)))</f>
        <v/>
      </c>
      <c r="W43" s="66">
        <f>IF($AK43="","",IF(計算用!$B$1=1,INDEX(新年度名簿!$D$3:$D$452,$AK43),INDEX(前年度名簿!$D$3:$D$452,$AK43)))</f>
        <v/>
      </c>
      <c r="X43" s="65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M$7:$M$456,MATCH($AK43,振り分け!$P$7:$P$456,0))="転出","転出",IF(INDEX(振り分け!$L$7:$L$456,MATCH($AK43,振り分け!$P$7:$P$456,0))="","未決定",INDEX(振り分け!$L$7:$L$456,MATCH($AK43,振り分け!$P$7:$P$456,0)))),"未決定")))</f>
        <v/>
      </c>
      <c r="AD43" s="63">
        <f>IF(計算用!$B$1=1,IFERROR(IF(SMALL(新年度名簿!$J$3:$J$452,$AD$3+39)&lt;18000,MATCH(SMALL(新年度名簿!$J$3:$J$452,$AD$3+39),新年度名簿!$J$3:$J$452,0),""),""),IFERROR(IF(SMALL(前年度名簿!$G$3:$G$452,$AD$3+39)&lt;18000,MATCH(SMALL(前年度名簿!$G$3:$G$452,$AD$3+39),前年度名簿!$G$3:$G$452,0),""),""))</f>
        <v/>
      </c>
      <c r="AE43" s="63">
        <f>IF(計算用!$B$1=1,IFERROR(IF(SMALL(新年度名簿!$J$3:$J$452,$AE$3+39)&lt;19000,MATCH(SMALL(新年度名簿!$J$3:$J$452,$AE$3+39),新年度名簿!$J$3:$J$452,0),""),""),IFERROR(IF(SMALL(前年度名簿!$G$3:$G$452,$AE$3+39)&lt;19000,MATCH(SMALL(前年度名簿!$G$3:$G$452,$AE$3+39),前年度名簿!$G$3:$G$452,0),""),""))</f>
        <v/>
      </c>
      <c r="AF43" s="63">
        <f>IF(計算用!$B$1=1,IFERROR(IF(SMALL(新年度名簿!$J$3:$J$452,$AF$3+39)&lt;20000,MATCH(SMALL(新年度名簿!$J$3:$J$452,$AF$3+39),新年度名簿!$J$3:$J$452,0),""),""),IFERROR(IF(SMALL(前年度名簿!$G$3:$G$452,$AF$3+39)&lt;20000,MATCH(SMALL(前年度名簿!$G$3:$G$452,$AF$3+39),前年度名簿!$G$3:$G$452,0),""),""))</f>
        <v/>
      </c>
      <c r="AG43" s="63">
        <f>IF(計算用!$B$1=1,IFERROR(IF(SMALL(新年度名簿!$J$3:$J$452,$AG$3+39)&lt;21000,MATCH(SMALL(新年度名簿!$J$3:$J$452,$AG$3+39),新年度名簿!$J$3:$J$452,0),""),""),IFERROR(IF(SMALL(前年度名簿!$G$3:$G$452,$AG$3+39)&lt;21000,MATCH(SMALL(前年度名簿!$G$3:$G$452,$AG$3+39),前年度名簿!$G$3:$G$452,0),""),""))</f>
        <v/>
      </c>
      <c r="AH43" s="63">
        <f>IF(計算用!$B$1=1,IFERROR(IF(SMALL(新年度名簿!$J$3:$J$452,$AH$3+39)&lt;22000,MATCH(SMALL(新年度名簿!$J$3:$J$452,$AH$3+39),新年度名簿!$J$3:$J$452,0),""),""),IFERROR(IF(SMALL(前年度名簿!$G$3:$G$452,$AH$3+39)&lt;22000,MATCH(SMALL(前年度名簿!$G$3:$G$452,$AH$3+39),前年度名簿!$G$3:$G$452,0),""),""))</f>
        <v/>
      </c>
      <c r="AI43" s="63">
        <f>IF(計算用!$B$1=1,IFERROR(IF(SMALL(新年度名簿!$J$3:$J$452,$AI$3+39)&lt;23000,MATCH(SMALL(新年度名簿!$J$3:$J$452,$AI$3+39),新年度名簿!$J$3:$J$452,0),""),""),IFERROR(IF(SMALL(前年度名簿!$G$3:$G$452,$AI$3+39)&lt;23000,MATCH(SMALL(前年度名簿!$G$3:$G$452,$AI$3+39),前年度名簿!$G$3:$G$452,0),""),""))</f>
        <v/>
      </c>
      <c r="AJ43" s="63">
        <f>IF(計算用!$B$1=1,IFERROR(IF(SMALL(新年度名簿!$J$3:$J$452,$AJ$3+39)&lt;24000,MATCH(SMALL(新年度名簿!$J$3:$J$452,$AJ$3+39),新年度名簿!$J$3:$J$452,0),""),""),IFERROR(IF(SMALL(前年度名簿!$G$3:$G$452,$AJ$3+39)&lt;24000,MATCH(SMALL(前年度名簿!$G$3:$G$452,$AJ$3+39),前年度名簿!$G$3:$G$452,0),""),""))</f>
        <v/>
      </c>
      <c r="AK43" s="63">
        <f>IF(計算用!$B$1=1,IFERROR(IF(SMALL(新年度名簿!$J$3:$J$452,$AK$3+39)&lt;25000,MATCH(SMALL(新年度名簿!$J$3:$J$452,$AK$3+39),新年度名簿!$J$3:$J$452,0),""),""),IFERROR(IF(SMALL(前年度名簿!$G$3:$G$452,$AK$3+39)&lt;25000,MATCH(SMALL(前年度名簿!$G$3:$G$452,$AK$3+39),前年度名簿!$G$3:$G$452,0),""),""))</f>
        <v/>
      </c>
    </row>
    <row r="44">
      <c r="A44" s="65">
        <f>IF($AD44="","",IF(計算用!$B$1=1,INDEX(新年度名簿!$C$3:$C$452,$AD44),INDEX(前年度名簿!$C$3:$C$452,$AD44)))</f>
        <v/>
      </c>
      <c r="B44" s="66">
        <f>IF($AD44="","",IF(計算用!$B$1=1,INDEX(新年度名簿!$D$3:$D$452,$AD44),INDEX(前年度名簿!$D$3:$D$452,$AD44)))</f>
        <v/>
      </c>
      <c r="C44" s="65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M$7:$M$456,MATCH($AD44,振り分け!$P$7:$P$456,0))="転出","転出",IF(INDEX(振り分け!$L$7:$L$456,MATCH($AD44,振り分け!$P$7:$P$456,0))="","未決定",INDEX(振り分け!$L$7:$L$456,MATCH($AD44,振り分け!$P$7:$P$456,0)))),"未決定")))</f>
        <v/>
      </c>
      <c r="D44" s="65">
        <f>IF($AE44="","",IF(計算用!$B$1=1,INDEX(新年度名簿!$C$3:$C$452,$AE44),INDEX(前年度名簿!$C$3:$C$452,$AE44)))</f>
        <v/>
      </c>
      <c r="E44" s="66">
        <f>IF($AE44="","",IF(計算用!$B$1=1,INDEX(新年度名簿!$D$3:$D$452,$AE44),INDEX(前年度名簿!$D$3:$D$452,$AE44)))</f>
        <v/>
      </c>
      <c r="F44" s="65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M$7:$M$456,MATCH($AE44,振り分け!$P$7:$P$456,0))="転出","転出",IF(INDEX(振り分け!$L$7:$L$456,MATCH($AE44,振り分け!$P$7:$P$456,0))="","未決定",INDEX(振り分け!$L$7:$L$456,MATCH($AE44,振り分け!$P$7:$P$456,0)))),"未決定")))</f>
        <v/>
      </c>
      <c r="G44" s="65">
        <f>IF($AF44="","",IF(計算用!$B$1=1,INDEX(新年度名簿!$C$3:$C$452,$AF44),INDEX(前年度名簿!$C$3:$C$452,$AF44)))</f>
        <v/>
      </c>
      <c r="H44" s="66">
        <f>IF($AF44="","",IF(計算用!$B$1=1,INDEX(新年度名簿!$D$3:$D$452,$AF44),INDEX(前年度名簿!$D$3:$D$452,$AF44)))</f>
        <v/>
      </c>
      <c r="I44" s="65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M$7:$M$456,MATCH($AF44,振り分け!$P$7:$P$456,0))="転出","転出",IF(INDEX(振り分け!$L$7:$L$456,MATCH($AF44,振り分け!$P$7:$P$456,0))="","未決定",INDEX(振り分け!$L$7:$L$456,MATCH($AF44,振り分け!$P$7:$P$456,0)))),"未決定")))</f>
        <v/>
      </c>
      <c r="J44" s="65">
        <f>IF($AG44="","",IF(計算用!$B$1=1,INDEX(新年度名簿!$C$3:$C$452,$AG44),INDEX(前年度名簿!$C$3:$C$452,$AG44)))</f>
        <v/>
      </c>
      <c r="K44" s="66">
        <f>IF($AG44="","",IF(計算用!$B$1=1,INDEX(新年度名簿!$D$3:$D$452,$AG44),INDEX(前年度名簿!$D$3:$D$452,$AG44)))</f>
        <v/>
      </c>
      <c r="L44" s="65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M$7:$M$456,MATCH($AG44,振り分け!$P$7:$P$456,0))="転出","転出",IF(INDEX(振り分け!$L$7:$L$456,MATCH($AG44,振り分け!$P$7:$P$456,0))="","未決定",INDEX(振り分け!$L$7:$L$456,MATCH($AG44,振り分け!$P$7:$P$456,0)))),"未決定")))</f>
        <v/>
      </c>
      <c r="M44" s="65">
        <f>IF($AH44="","",IF(計算用!$B$1=1,INDEX(新年度名簿!$C$3:$C$452,$AH44),INDEX(前年度名簿!$C$3:$C$452,$AH44)))</f>
        <v/>
      </c>
      <c r="N44" s="66">
        <f>IF($AH44="","",IF(計算用!$B$1=1,INDEX(新年度名簿!$D$3:$D$452,$AH44),INDEX(前年度名簿!$D$3:$D$452,$AH44)))</f>
        <v/>
      </c>
      <c r="O44" s="65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M$7:$M$456,MATCH($AH44,振り分け!$P$7:$P$456,0))="転出","転出",IF(INDEX(振り分け!$L$7:$L$456,MATCH($AH44,振り分け!$P$7:$P$456,0))="","未決定",INDEX(振り分け!$L$7:$L$456,MATCH($AH44,振り分け!$P$7:$P$456,0)))),"未決定")))</f>
        <v/>
      </c>
      <c r="P44" s="65">
        <f>IF($AI44="","",IF(計算用!$B$1=1,INDEX(新年度名簿!$C$3:$C$452,$AI44),INDEX(前年度名簿!$C$3:$C$452,$AI44)))</f>
        <v/>
      </c>
      <c r="Q44" s="66">
        <f>IF($AI44="","",IF(計算用!$B$1=1,INDEX(新年度名簿!$D$3:$D$452,$AI44),INDEX(前年度名簿!$D$3:$D$452,$AI44)))</f>
        <v/>
      </c>
      <c r="R44" s="65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M$7:$M$456,MATCH($AI44,振り分け!$P$7:$P$456,0))="転出","転出",IF(INDEX(振り分け!$L$7:$L$456,MATCH($AI44,振り分け!$P$7:$P$456,0))="","未決定",INDEX(振り分け!$L$7:$L$456,MATCH($AI44,振り分け!$P$7:$P$456,0)))),"未決定")))</f>
        <v/>
      </c>
      <c r="S44" s="65">
        <f>IF($AJ44="","",IF(計算用!$B$1=1,INDEX(新年度名簿!$C$3:$C$452,$AJ44),INDEX(前年度名簿!$C$3:$C$452,$AJ44)))</f>
        <v/>
      </c>
      <c r="T44" s="66">
        <f>IF($AJ44="","",IF(計算用!$B$1=1,INDEX(新年度名簿!$D$3:$D$452,$AJ44),INDEX(前年度名簿!$D$3:$D$452,$AJ44)))</f>
        <v/>
      </c>
      <c r="U44" s="65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M$7:$M$456,MATCH($AJ44,振り分け!$P$7:$P$456,0))="転出","転出",IF(INDEX(振り分け!$L$7:$L$456,MATCH($AJ44,振り分け!$P$7:$P$456,0))="","未決定",INDEX(振り分け!$L$7:$L$456,MATCH($AJ44,振り分け!$P$7:$P$456,0)))),"未決定")))</f>
        <v/>
      </c>
      <c r="V44" s="65">
        <f>IF($AK44="","",IF(計算用!$B$1=1,INDEX(新年度名簿!$C$3:$C$452,$AK44),INDEX(前年度名簿!$C$3:$C$452,$AK44)))</f>
        <v/>
      </c>
      <c r="W44" s="66">
        <f>IF($AK44="","",IF(計算用!$B$1=1,INDEX(新年度名簿!$D$3:$D$452,$AK44),INDEX(前年度名簿!$D$3:$D$452,$AK44)))</f>
        <v/>
      </c>
      <c r="X44" s="65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M$7:$M$456,MATCH($AK44,振り分け!$P$7:$P$456,0))="転出","転出",IF(INDEX(振り分け!$L$7:$L$456,MATCH($AK44,振り分け!$P$7:$P$456,0))="","未決定",INDEX(振り分け!$L$7:$L$456,MATCH($AK44,振り分け!$P$7:$P$456,0)))),"未決定")))</f>
        <v/>
      </c>
      <c r="AD44" s="63">
        <f>IF(計算用!$B$1=1,IFERROR(IF(SMALL(新年度名簿!$J$3:$J$452,$AD$3+40)&lt;18000,MATCH(SMALL(新年度名簿!$J$3:$J$452,$AD$3+40),新年度名簿!$J$3:$J$452,0),""),""),IFERROR(IF(SMALL(前年度名簿!$G$3:$G$452,$AD$3+40)&lt;18000,MATCH(SMALL(前年度名簿!$G$3:$G$452,$AD$3+40),前年度名簿!$G$3:$G$452,0),""),""))</f>
        <v/>
      </c>
      <c r="AE44" s="63">
        <f>IF(計算用!$B$1=1,IFERROR(IF(SMALL(新年度名簿!$J$3:$J$452,$AE$3+40)&lt;19000,MATCH(SMALL(新年度名簿!$J$3:$J$452,$AE$3+40),新年度名簿!$J$3:$J$452,0),""),""),IFERROR(IF(SMALL(前年度名簿!$G$3:$G$452,$AE$3+40)&lt;19000,MATCH(SMALL(前年度名簿!$G$3:$G$452,$AE$3+40),前年度名簿!$G$3:$G$452,0),""),""))</f>
        <v/>
      </c>
      <c r="AF44" s="63">
        <f>IF(計算用!$B$1=1,IFERROR(IF(SMALL(新年度名簿!$J$3:$J$452,$AF$3+40)&lt;20000,MATCH(SMALL(新年度名簿!$J$3:$J$452,$AF$3+40),新年度名簿!$J$3:$J$452,0),""),""),IFERROR(IF(SMALL(前年度名簿!$G$3:$G$452,$AF$3+40)&lt;20000,MATCH(SMALL(前年度名簿!$G$3:$G$452,$AF$3+40),前年度名簿!$G$3:$G$452,0),""),""))</f>
        <v/>
      </c>
      <c r="AG44" s="63">
        <f>IF(計算用!$B$1=1,IFERROR(IF(SMALL(新年度名簿!$J$3:$J$452,$AG$3+40)&lt;21000,MATCH(SMALL(新年度名簿!$J$3:$J$452,$AG$3+40),新年度名簿!$J$3:$J$452,0),""),""),IFERROR(IF(SMALL(前年度名簿!$G$3:$G$452,$AG$3+40)&lt;21000,MATCH(SMALL(前年度名簿!$G$3:$G$452,$AG$3+40),前年度名簿!$G$3:$G$452,0),""),""))</f>
        <v/>
      </c>
      <c r="AH44" s="63">
        <f>IF(計算用!$B$1=1,IFERROR(IF(SMALL(新年度名簿!$J$3:$J$452,$AH$3+40)&lt;22000,MATCH(SMALL(新年度名簿!$J$3:$J$452,$AH$3+40),新年度名簿!$J$3:$J$452,0),""),""),IFERROR(IF(SMALL(前年度名簿!$G$3:$G$452,$AH$3+40)&lt;22000,MATCH(SMALL(前年度名簿!$G$3:$G$452,$AH$3+40),前年度名簿!$G$3:$G$452,0),""),""))</f>
        <v/>
      </c>
      <c r="AI44" s="63">
        <f>IF(計算用!$B$1=1,IFERROR(IF(SMALL(新年度名簿!$J$3:$J$452,$AI$3+40)&lt;23000,MATCH(SMALL(新年度名簿!$J$3:$J$452,$AI$3+40),新年度名簿!$J$3:$J$452,0),""),""),IFERROR(IF(SMALL(前年度名簿!$G$3:$G$452,$AI$3+40)&lt;23000,MATCH(SMALL(前年度名簿!$G$3:$G$452,$AI$3+40),前年度名簿!$G$3:$G$452,0),""),""))</f>
        <v/>
      </c>
      <c r="AJ44" s="63">
        <f>IF(計算用!$B$1=1,IFERROR(IF(SMALL(新年度名簿!$J$3:$J$452,$AJ$3+40)&lt;24000,MATCH(SMALL(新年度名簿!$J$3:$J$452,$AJ$3+40),新年度名簿!$J$3:$J$452,0),""),""),IFERROR(IF(SMALL(前年度名簿!$G$3:$G$452,$AJ$3+40)&lt;24000,MATCH(SMALL(前年度名簿!$G$3:$G$452,$AJ$3+40),前年度名簿!$G$3:$G$452,0),""),""))</f>
        <v/>
      </c>
      <c r="AK44" s="63">
        <f>IF(計算用!$B$1=1,IFERROR(IF(SMALL(新年度名簿!$J$3:$J$452,$AK$3+40)&lt;25000,MATCH(SMALL(新年度名簿!$J$3:$J$452,$AK$3+40),新年度名簿!$J$3:$J$452,0),""),""),IFERROR(IF(SMALL(前年度名簿!$G$3:$G$452,$AK$3+40)&lt;25000,MATCH(SMALL(前年度名簿!$G$3:$G$452,$AK$3+40),前年度名簿!$G$3:$G$452,0),""),""))</f>
        <v/>
      </c>
    </row>
    <row r="45">
      <c r="A45" s="65">
        <f>IF($AD45="","",IF(計算用!$B$1=1,INDEX(新年度名簿!$C$3:$C$452,$AD45),INDEX(前年度名簿!$C$3:$C$452,$AD45)))</f>
        <v/>
      </c>
      <c r="B45" s="66">
        <f>IF($AD45="","",IF(計算用!$B$1=1,INDEX(新年度名簿!$D$3:$D$452,$AD45),INDEX(前年度名簿!$D$3:$D$452,$AD45)))</f>
        <v/>
      </c>
      <c r="C45" s="65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M$7:$M$456,MATCH($AD45,振り分け!$P$7:$P$456,0))="転出","転出",IF(INDEX(振り分け!$L$7:$L$456,MATCH($AD45,振り分け!$P$7:$P$456,0))="","未決定",INDEX(振り分け!$L$7:$L$456,MATCH($AD45,振り分け!$P$7:$P$456,0)))),"未決定")))</f>
        <v/>
      </c>
      <c r="D45" s="65">
        <f>IF($AE45="","",IF(計算用!$B$1=1,INDEX(新年度名簿!$C$3:$C$452,$AE45),INDEX(前年度名簿!$C$3:$C$452,$AE45)))</f>
        <v/>
      </c>
      <c r="E45" s="66">
        <f>IF($AE45="","",IF(計算用!$B$1=1,INDEX(新年度名簿!$D$3:$D$452,$AE45),INDEX(前年度名簿!$D$3:$D$452,$AE45)))</f>
        <v/>
      </c>
      <c r="F45" s="65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M$7:$M$456,MATCH($AE45,振り分け!$P$7:$P$456,0))="転出","転出",IF(INDEX(振り分け!$L$7:$L$456,MATCH($AE45,振り分け!$P$7:$P$456,0))="","未決定",INDEX(振り分け!$L$7:$L$456,MATCH($AE45,振り分け!$P$7:$P$456,0)))),"未決定")))</f>
        <v/>
      </c>
      <c r="G45" s="65">
        <f>IF($AF45="","",IF(計算用!$B$1=1,INDEX(新年度名簿!$C$3:$C$452,$AF45),INDEX(前年度名簿!$C$3:$C$452,$AF45)))</f>
        <v/>
      </c>
      <c r="H45" s="66">
        <f>IF($AF45="","",IF(計算用!$B$1=1,INDEX(新年度名簿!$D$3:$D$452,$AF45),INDEX(前年度名簿!$D$3:$D$452,$AF45)))</f>
        <v/>
      </c>
      <c r="I45" s="65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M$7:$M$456,MATCH($AF45,振り分け!$P$7:$P$456,0))="転出","転出",IF(INDEX(振り分け!$L$7:$L$456,MATCH($AF45,振り分け!$P$7:$P$456,0))="","未決定",INDEX(振り分け!$L$7:$L$456,MATCH($AF45,振り分け!$P$7:$P$456,0)))),"未決定")))</f>
        <v/>
      </c>
      <c r="J45" s="65">
        <f>IF($AG45="","",IF(計算用!$B$1=1,INDEX(新年度名簿!$C$3:$C$452,$AG45),INDEX(前年度名簿!$C$3:$C$452,$AG45)))</f>
        <v/>
      </c>
      <c r="K45" s="66">
        <f>IF($AG45="","",IF(計算用!$B$1=1,INDEX(新年度名簿!$D$3:$D$452,$AG45),INDEX(前年度名簿!$D$3:$D$452,$AG45)))</f>
        <v/>
      </c>
      <c r="L45" s="65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M$7:$M$456,MATCH($AG45,振り分け!$P$7:$P$456,0))="転出","転出",IF(INDEX(振り分け!$L$7:$L$456,MATCH($AG45,振り分け!$P$7:$P$456,0))="","未決定",INDEX(振り分け!$L$7:$L$456,MATCH($AG45,振り分け!$P$7:$P$456,0)))),"未決定")))</f>
        <v/>
      </c>
      <c r="M45" s="65">
        <f>IF($AH45="","",IF(計算用!$B$1=1,INDEX(新年度名簿!$C$3:$C$452,$AH45),INDEX(前年度名簿!$C$3:$C$452,$AH45)))</f>
        <v/>
      </c>
      <c r="N45" s="66">
        <f>IF($AH45="","",IF(計算用!$B$1=1,INDEX(新年度名簿!$D$3:$D$452,$AH45),INDEX(前年度名簿!$D$3:$D$452,$AH45)))</f>
        <v/>
      </c>
      <c r="O45" s="65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M$7:$M$456,MATCH($AH45,振り分け!$P$7:$P$456,0))="転出","転出",IF(INDEX(振り分け!$L$7:$L$456,MATCH($AH45,振り分け!$P$7:$P$456,0))="","未決定",INDEX(振り分け!$L$7:$L$456,MATCH($AH45,振り分け!$P$7:$P$456,0)))),"未決定")))</f>
        <v/>
      </c>
      <c r="P45" s="65">
        <f>IF($AI45="","",IF(計算用!$B$1=1,INDEX(新年度名簿!$C$3:$C$452,$AI45),INDEX(前年度名簿!$C$3:$C$452,$AI45)))</f>
        <v/>
      </c>
      <c r="Q45" s="66">
        <f>IF($AI45="","",IF(計算用!$B$1=1,INDEX(新年度名簿!$D$3:$D$452,$AI45),INDEX(前年度名簿!$D$3:$D$452,$AI45)))</f>
        <v/>
      </c>
      <c r="R45" s="65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M$7:$M$456,MATCH($AI45,振り分け!$P$7:$P$456,0))="転出","転出",IF(INDEX(振り分け!$L$7:$L$456,MATCH($AI45,振り分け!$P$7:$P$456,0))="","未決定",INDEX(振り分け!$L$7:$L$456,MATCH($AI45,振り分け!$P$7:$P$456,0)))),"未決定")))</f>
        <v/>
      </c>
      <c r="S45" s="65">
        <f>IF($AJ45="","",IF(計算用!$B$1=1,INDEX(新年度名簿!$C$3:$C$452,$AJ45),INDEX(前年度名簿!$C$3:$C$452,$AJ45)))</f>
        <v/>
      </c>
      <c r="T45" s="66">
        <f>IF($AJ45="","",IF(計算用!$B$1=1,INDEX(新年度名簿!$D$3:$D$452,$AJ45),INDEX(前年度名簿!$D$3:$D$452,$AJ45)))</f>
        <v/>
      </c>
      <c r="U45" s="65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M$7:$M$456,MATCH($AJ45,振り分け!$P$7:$P$456,0))="転出","転出",IF(INDEX(振り分け!$L$7:$L$456,MATCH($AJ45,振り分け!$P$7:$P$456,0))="","未決定",INDEX(振り分け!$L$7:$L$456,MATCH($AJ45,振り分け!$P$7:$P$456,0)))),"未決定")))</f>
        <v/>
      </c>
      <c r="V45" s="65">
        <f>IF($AK45="","",IF(計算用!$B$1=1,INDEX(新年度名簿!$C$3:$C$452,$AK45),INDEX(前年度名簿!$C$3:$C$452,$AK45)))</f>
        <v/>
      </c>
      <c r="W45" s="66">
        <f>IF($AK45="","",IF(計算用!$B$1=1,INDEX(新年度名簿!$D$3:$D$452,$AK45),INDEX(前年度名簿!$D$3:$D$452,$AK45)))</f>
        <v/>
      </c>
      <c r="X45" s="65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M$7:$M$456,MATCH($AK45,振り分け!$P$7:$P$456,0))="転出","転出",IF(INDEX(振り分け!$L$7:$L$456,MATCH($AK45,振り分け!$P$7:$P$456,0))="","未決定",INDEX(振り分け!$L$7:$L$456,MATCH($AK45,振り分け!$P$7:$P$456,0)))),"未決定")))</f>
        <v/>
      </c>
      <c r="AD45" s="63">
        <f>IF(計算用!$B$1=1,IFERROR(IF(SMALL(新年度名簿!$J$3:$J$452,$AD$3+41)&lt;18000,MATCH(SMALL(新年度名簿!$J$3:$J$452,$AD$3+41),新年度名簿!$J$3:$J$452,0),""),""),IFERROR(IF(SMALL(前年度名簿!$G$3:$G$452,$AD$3+41)&lt;18000,MATCH(SMALL(前年度名簿!$G$3:$G$452,$AD$3+41),前年度名簿!$G$3:$G$452,0),""),""))</f>
        <v/>
      </c>
      <c r="AE45" s="63">
        <f>IF(計算用!$B$1=1,IFERROR(IF(SMALL(新年度名簿!$J$3:$J$452,$AE$3+41)&lt;19000,MATCH(SMALL(新年度名簿!$J$3:$J$452,$AE$3+41),新年度名簿!$J$3:$J$452,0),""),""),IFERROR(IF(SMALL(前年度名簿!$G$3:$G$452,$AE$3+41)&lt;19000,MATCH(SMALL(前年度名簿!$G$3:$G$452,$AE$3+41),前年度名簿!$G$3:$G$452,0),""),""))</f>
        <v/>
      </c>
      <c r="AF45" s="63">
        <f>IF(計算用!$B$1=1,IFERROR(IF(SMALL(新年度名簿!$J$3:$J$452,$AF$3+41)&lt;20000,MATCH(SMALL(新年度名簿!$J$3:$J$452,$AF$3+41),新年度名簿!$J$3:$J$452,0),""),""),IFERROR(IF(SMALL(前年度名簿!$G$3:$G$452,$AF$3+41)&lt;20000,MATCH(SMALL(前年度名簿!$G$3:$G$452,$AF$3+41),前年度名簿!$G$3:$G$452,0),""),""))</f>
        <v/>
      </c>
      <c r="AG45" s="63">
        <f>IF(計算用!$B$1=1,IFERROR(IF(SMALL(新年度名簿!$J$3:$J$452,$AG$3+41)&lt;21000,MATCH(SMALL(新年度名簿!$J$3:$J$452,$AG$3+41),新年度名簿!$J$3:$J$452,0),""),""),IFERROR(IF(SMALL(前年度名簿!$G$3:$G$452,$AG$3+41)&lt;21000,MATCH(SMALL(前年度名簿!$G$3:$G$452,$AG$3+41),前年度名簿!$G$3:$G$452,0),""),""))</f>
        <v/>
      </c>
      <c r="AH45" s="63">
        <f>IF(計算用!$B$1=1,IFERROR(IF(SMALL(新年度名簿!$J$3:$J$452,$AH$3+41)&lt;22000,MATCH(SMALL(新年度名簿!$J$3:$J$452,$AH$3+41),新年度名簿!$J$3:$J$452,0),""),""),IFERROR(IF(SMALL(前年度名簿!$G$3:$G$452,$AH$3+41)&lt;22000,MATCH(SMALL(前年度名簿!$G$3:$G$452,$AH$3+41),前年度名簿!$G$3:$G$452,0),""),""))</f>
        <v/>
      </c>
      <c r="AI45" s="63">
        <f>IF(計算用!$B$1=1,IFERROR(IF(SMALL(新年度名簿!$J$3:$J$452,$AI$3+41)&lt;23000,MATCH(SMALL(新年度名簿!$J$3:$J$452,$AI$3+41),新年度名簿!$J$3:$J$452,0),""),""),IFERROR(IF(SMALL(前年度名簿!$G$3:$G$452,$AI$3+41)&lt;23000,MATCH(SMALL(前年度名簿!$G$3:$G$452,$AI$3+41),前年度名簿!$G$3:$G$452,0),""),""))</f>
        <v/>
      </c>
      <c r="AJ45" s="63">
        <f>IF(計算用!$B$1=1,IFERROR(IF(SMALL(新年度名簿!$J$3:$J$452,$AJ$3+41)&lt;24000,MATCH(SMALL(新年度名簿!$J$3:$J$452,$AJ$3+41),新年度名簿!$J$3:$J$452,0),""),""),IFERROR(IF(SMALL(前年度名簿!$G$3:$G$452,$AJ$3+41)&lt;24000,MATCH(SMALL(前年度名簿!$G$3:$G$452,$AJ$3+41),前年度名簿!$G$3:$G$452,0),""),""))</f>
        <v/>
      </c>
      <c r="AK45" s="63">
        <f>IF(計算用!$B$1=1,IFERROR(IF(SMALL(新年度名簿!$J$3:$J$452,$AK$3+41)&lt;25000,MATCH(SMALL(新年度名簿!$J$3:$J$452,$AK$3+41),新年度名簿!$J$3:$J$452,0),""),""),IFERROR(IF(SMALL(前年度名簿!$G$3:$G$452,$AK$3+41)&lt;25000,MATCH(SMALL(前年度名簿!$G$3:$G$452,$AK$3+41),前年度名簿!$G$3:$G$452,0),""),""))</f>
        <v/>
      </c>
    </row>
    <row r="46">
      <c r="A46" s="65">
        <f>IF($AD46="","",IF(計算用!$B$1=1,INDEX(新年度名簿!$C$3:$C$452,$AD46),INDEX(前年度名簿!$C$3:$C$452,$AD46)))</f>
        <v/>
      </c>
      <c r="B46" s="66">
        <f>IF($AD46="","",IF(計算用!$B$1=1,INDEX(新年度名簿!$D$3:$D$452,$AD46),INDEX(前年度名簿!$D$3:$D$452,$AD46)))</f>
        <v/>
      </c>
      <c r="C46" s="65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M$7:$M$456,MATCH($AD46,振り分け!$P$7:$P$456,0))="転出","転出",IF(INDEX(振り分け!$L$7:$L$456,MATCH($AD46,振り分け!$P$7:$P$456,0))="","未決定",INDEX(振り分け!$L$7:$L$456,MATCH($AD46,振り分け!$P$7:$P$456,0)))),"未決定")))</f>
        <v/>
      </c>
      <c r="D46" s="65">
        <f>IF($AE46="","",IF(計算用!$B$1=1,INDEX(新年度名簿!$C$3:$C$452,$AE46),INDEX(前年度名簿!$C$3:$C$452,$AE46)))</f>
        <v/>
      </c>
      <c r="E46" s="66">
        <f>IF($AE46="","",IF(計算用!$B$1=1,INDEX(新年度名簿!$D$3:$D$452,$AE46),INDEX(前年度名簿!$D$3:$D$452,$AE46)))</f>
        <v/>
      </c>
      <c r="F46" s="65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M$7:$M$456,MATCH($AE46,振り分け!$P$7:$P$456,0))="転出","転出",IF(INDEX(振り分け!$L$7:$L$456,MATCH($AE46,振り分け!$P$7:$P$456,0))="","未決定",INDEX(振り分け!$L$7:$L$456,MATCH($AE46,振り分け!$P$7:$P$456,0)))),"未決定")))</f>
        <v/>
      </c>
      <c r="G46" s="65">
        <f>IF($AF46="","",IF(計算用!$B$1=1,INDEX(新年度名簿!$C$3:$C$452,$AF46),INDEX(前年度名簿!$C$3:$C$452,$AF46)))</f>
        <v/>
      </c>
      <c r="H46" s="66">
        <f>IF($AF46="","",IF(計算用!$B$1=1,INDEX(新年度名簿!$D$3:$D$452,$AF46),INDEX(前年度名簿!$D$3:$D$452,$AF46)))</f>
        <v/>
      </c>
      <c r="I46" s="65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M$7:$M$456,MATCH($AF46,振り分け!$P$7:$P$456,0))="転出","転出",IF(INDEX(振り分け!$L$7:$L$456,MATCH($AF46,振り分け!$P$7:$P$456,0))="","未決定",INDEX(振り分け!$L$7:$L$456,MATCH($AF46,振り分け!$P$7:$P$456,0)))),"未決定")))</f>
        <v/>
      </c>
      <c r="J46" s="65">
        <f>IF($AG46="","",IF(計算用!$B$1=1,INDEX(新年度名簿!$C$3:$C$452,$AG46),INDEX(前年度名簿!$C$3:$C$452,$AG46)))</f>
        <v/>
      </c>
      <c r="K46" s="66">
        <f>IF($AG46="","",IF(計算用!$B$1=1,INDEX(新年度名簿!$D$3:$D$452,$AG46),INDEX(前年度名簿!$D$3:$D$452,$AG46)))</f>
        <v/>
      </c>
      <c r="L46" s="65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M$7:$M$456,MATCH($AG46,振り分け!$P$7:$P$456,0))="転出","転出",IF(INDEX(振り分け!$L$7:$L$456,MATCH($AG46,振り分け!$P$7:$P$456,0))="","未決定",INDEX(振り分け!$L$7:$L$456,MATCH($AG46,振り分け!$P$7:$P$456,0)))),"未決定")))</f>
        <v/>
      </c>
      <c r="M46" s="65">
        <f>IF($AH46="","",IF(計算用!$B$1=1,INDEX(新年度名簿!$C$3:$C$452,$AH46),INDEX(前年度名簿!$C$3:$C$452,$AH46)))</f>
        <v/>
      </c>
      <c r="N46" s="66">
        <f>IF($AH46="","",IF(計算用!$B$1=1,INDEX(新年度名簿!$D$3:$D$452,$AH46),INDEX(前年度名簿!$D$3:$D$452,$AH46)))</f>
        <v/>
      </c>
      <c r="O46" s="65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M$7:$M$456,MATCH($AH46,振り分け!$P$7:$P$456,0))="転出","転出",IF(INDEX(振り分け!$L$7:$L$456,MATCH($AH46,振り分け!$P$7:$P$456,0))="","未決定",INDEX(振り分け!$L$7:$L$456,MATCH($AH46,振り分け!$P$7:$P$456,0)))),"未決定")))</f>
        <v/>
      </c>
      <c r="P46" s="65">
        <f>IF($AI46="","",IF(計算用!$B$1=1,INDEX(新年度名簿!$C$3:$C$452,$AI46),INDEX(前年度名簿!$C$3:$C$452,$AI46)))</f>
        <v/>
      </c>
      <c r="Q46" s="66">
        <f>IF($AI46="","",IF(計算用!$B$1=1,INDEX(新年度名簿!$D$3:$D$452,$AI46),INDEX(前年度名簿!$D$3:$D$452,$AI46)))</f>
        <v/>
      </c>
      <c r="R46" s="65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M$7:$M$456,MATCH($AI46,振り分け!$P$7:$P$456,0))="転出","転出",IF(INDEX(振り分け!$L$7:$L$456,MATCH($AI46,振り分け!$P$7:$P$456,0))="","未決定",INDEX(振り分け!$L$7:$L$456,MATCH($AI46,振り分け!$P$7:$P$456,0)))),"未決定")))</f>
        <v/>
      </c>
      <c r="S46" s="65">
        <f>IF($AJ46="","",IF(計算用!$B$1=1,INDEX(新年度名簿!$C$3:$C$452,$AJ46),INDEX(前年度名簿!$C$3:$C$452,$AJ46)))</f>
        <v/>
      </c>
      <c r="T46" s="66">
        <f>IF($AJ46="","",IF(計算用!$B$1=1,INDEX(新年度名簿!$D$3:$D$452,$AJ46),INDEX(前年度名簿!$D$3:$D$452,$AJ46)))</f>
        <v/>
      </c>
      <c r="U46" s="65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M$7:$M$456,MATCH($AJ46,振り分け!$P$7:$P$456,0))="転出","転出",IF(INDEX(振り分け!$L$7:$L$456,MATCH($AJ46,振り分け!$P$7:$P$456,0))="","未決定",INDEX(振り分け!$L$7:$L$456,MATCH($AJ46,振り分け!$P$7:$P$456,0)))),"未決定")))</f>
        <v/>
      </c>
      <c r="V46" s="65">
        <f>IF($AK46="","",IF(計算用!$B$1=1,INDEX(新年度名簿!$C$3:$C$452,$AK46),INDEX(前年度名簿!$C$3:$C$452,$AK46)))</f>
        <v/>
      </c>
      <c r="W46" s="66">
        <f>IF($AK46="","",IF(計算用!$B$1=1,INDEX(新年度名簿!$D$3:$D$452,$AK46),INDEX(前年度名簿!$D$3:$D$452,$AK46)))</f>
        <v/>
      </c>
      <c r="X46" s="65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M$7:$M$456,MATCH($AK46,振り分け!$P$7:$P$456,0))="転出","転出",IF(INDEX(振り分け!$L$7:$L$456,MATCH($AK46,振り分け!$P$7:$P$456,0))="","未決定",INDEX(振り分け!$L$7:$L$456,MATCH($AK46,振り分け!$P$7:$P$456,0)))),"未決定")))</f>
        <v/>
      </c>
      <c r="AD46" s="63">
        <f>IF(計算用!$B$1=1,IFERROR(IF(SMALL(新年度名簿!$J$3:$J$452,$AD$3+42)&lt;18000,MATCH(SMALL(新年度名簿!$J$3:$J$452,$AD$3+42),新年度名簿!$J$3:$J$452,0),""),""),IFERROR(IF(SMALL(前年度名簿!$G$3:$G$452,$AD$3+42)&lt;18000,MATCH(SMALL(前年度名簿!$G$3:$G$452,$AD$3+42),前年度名簿!$G$3:$G$452,0),""),""))</f>
        <v/>
      </c>
      <c r="AE46" s="63">
        <f>IF(計算用!$B$1=1,IFERROR(IF(SMALL(新年度名簿!$J$3:$J$452,$AE$3+42)&lt;19000,MATCH(SMALL(新年度名簿!$J$3:$J$452,$AE$3+42),新年度名簿!$J$3:$J$452,0),""),""),IFERROR(IF(SMALL(前年度名簿!$G$3:$G$452,$AE$3+42)&lt;19000,MATCH(SMALL(前年度名簿!$G$3:$G$452,$AE$3+42),前年度名簿!$G$3:$G$452,0),""),""))</f>
        <v/>
      </c>
      <c r="AF46" s="63">
        <f>IF(計算用!$B$1=1,IFERROR(IF(SMALL(新年度名簿!$J$3:$J$452,$AF$3+42)&lt;20000,MATCH(SMALL(新年度名簿!$J$3:$J$452,$AF$3+42),新年度名簿!$J$3:$J$452,0),""),""),IFERROR(IF(SMALL(前年度名簿!$G$3:$G$452,$AF$3+42)&lt;20000,MATCH(SMALL(前年度名簿!$G$3:$G$452,$AF$3+42),前年度名簿!$G$3:$G$452,0),""),""))</f>
        <v/>
      </c>
      <c r="AG46" s="63">
        <f>IF(計算用!$B$1=1,IFERROR(IF(SMALL(新年度名簿!$J$3:$J$452,$AG$3+42)&lt;21000,MATCH(SMALL(新年度名簿!$J$3:$J$452,$AG$3+42),新年度名簿!$J$3:$J$452,0),""),""),IFERROR(IF(SMALL(前年度名簿!$G$3:$G$452,$AG$3+42)&lt;21000,MATCH(SMALL(前年度名簿!$G$3:$G$452,$AG$3+42),前年度名簿!$G$3:$G$452,0),""),""))</f>
        <v/>
      </c>
      <c r="AH46" s="63">
        <f>IF(計算用!$B$1=1,IFERROR(IF(SMALL(新年度名簿!$J$3:$J$452,$AH$3+42)&lt;22000,MATCH(SMALL(新年度名簿!$J$3:$J$452,$AH$3+42),新年度名簿!$J$3:$J$452,0),""),""),IFERROR(IF(SMALL(前年度名簿!$G$3:$G$452,$AH$3+42)&lt;22000,MATCH(SMALL(前年度名簿!$G$3:$G$452,$AH$3+42),前年度名簿!$G$3:$G$452,0),""),""))</f>
        <v/>
      </c>
      <c r="AI46" s="63">
        <f>IF(計算用!$B$1=1,IFERROR(IF(SMALL(新年度名簿!$J$3:$J$452,$AI$3+42)&lt;23000,MATCH(SMALL(新年度名簿!$J$3:$J$452,$AI$3+42),新年度名簿!$J$3:$J$452,0),""),""),IFERROR(IF(SMALL(前年度名簿!$G$3:$G$452,$AI$3+42)&lt;23000,MATCH(SMALL(前年度名簿!$G$3:$G$452,$AI$3+42),前年度名簿!$G$3:$G$452,0),""),""))</f>
        <v/>
      </c>
      <c r="AJ46" s="63">
        <f>IF(計算用!$B$1=1,IFERROR(IF(SMALL(新年度名簿!$J$3:$J$452,$AJ$3+42)&lt;24000,MATCH(SMALL(新年度名簿!$J$3:$J$452,$AJ$3+42),新年度名簿!$J$3:$J$452,0),""),""),IFERROR(IF(SMALL(前年度名簿!$G$3:$G$452,$AJ$3+42)&lt;24000,MATCH(SMALL(前年度名簿!$G$3:$G$452,$AJ$3+42),前年度名簿!$G$3:$G$452,0),""),""))</f>
        <v/>
      </c>
      <c r="AK46" s="63">
        <f>IF(計算用!$B$1=1,IFERROR(IF(SMALL(新年度名簿!$J$3:$J$452,$AK$3+42)&lt;25000,MATCH(SMALL(新年度名簿!$J$3:$J$452,$AK$3+42),新年度名簿!$J$3:$J$452,0),""),""),IFERROR(IF(SMALL(前年度名簿!$G$3:$G$452,$AK$3+42)&lt;25000,MATCH(SMALL(前年度名簿!$G$3:$G$452,$AK$3+42),前年度名簿!$G$3:$G$452,0),""),""))</f>
        <v/>
      </c>
    </row>
    <row r="47">
      <c r="A47" s="65">
        <f>IF($AD47="","",IF(計算用!$B$1=1,INDEX(新年度名簿!$C$3:$C$452,$AD47),INDEX(前年度名簿!$C$3:$C$452,$AD47)))</f>
        <v/>
      </c>
      <c r="B47" s="66">
        <f>IF($AD47="","",IF(計算用!$B$1=1,INDEX(新年度名簿!$D$3:$D$452,$AD47),INDEX(前年度名簿!$D$3:$D$452,$AD47)))</f>
        <v/>
      </c>
      <c r="C47" s="65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M$7:$M$456,MATCH($AD47,振り分け!$P$7:$P$456,0))="転出","転出",IF(INDEX(振り分け!$L$7:$L$456,MATCH($AD47,振り分け!$P$7:$P$456,0))="","未決定",INDEX(振り分け!$L$7:$L$456,MATCH($AD47,振り分け!$P$7:$P$456,0)))),"未決定")))</f>
        <v/>
      </c>
      <c r="D47" s="65">
        <f>IF($AE47="","",IF(計算用!$B$1=1,INDEX(新年度名簿!$C$3:$C$452,$AE47),INDEX(前年度名簿!$C$3:$C$452,$AE47)))</f>
        <v/>
      </c>
      <c r="E47" s="66">
        <f>IF($AE47="","",IF(計算用!$B$1=1,INDEX(新年度名簿!$D$3:$D$452,$AE47),INDEX(前年度名簿!$D$3:$D$452,$AE47)))</f>
        <v/>
      </c>
      <c r="F47" s="65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M$7:$M$456,MATCH($AE47,振り分け!$P$7:$P$456,0))="転出","転出",IF(INDEX(振り分け!$L$7:$L$456,MATCH($AE47,振り分け!$P$7:$P$456,0))="","未決定",INDEX(振り分け!$L$7:$L$456,MATCH($AE47,振り分け!$P$7:$P$456,0)))),"未決定")))</f>
        <v/>
      </c>
      <c r="G47" s="65">
        <f>IF($AF47="","",IF(計算用!$B$1=1,INDEX(新年度名簿!$C$3:$C$452,$AF47),INDEX(前年度名簿!$C$3:$C$452,$AF47)))</f>
        <v/>
      </c>
      <c r="H47" s="66">
        <f>IF($AF47="","",IF(計算用!$B$1=1,INDEX(新年度名簿!$D$3:$D$452,$AF47),INDEX(前年度名簿!$D$3:$D$452,$AF47)))</f>
        <v/>
      </c>
      <c r="I47" s="65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M$7:$M$456,MATCH($AF47,振り分け!$P$7:$P$456,0))="転出","転出",IF(INDEX(振り分け!$L$7:$L$456,MATCH($AF47,振り分け!$P$7:$P$456,0))="","未決定",INDEX(振り分け!$L$7:$L$456,MATCH($AF47,振り分け!$P$7:$P$456,0)))),"未決定")))</f>
        <v/>
      </c>
      <c r="J47" s="65">
        <f>IF($AG47="","",IF(計算用!$B$1=1,INDEX(新年度名簿!$C$3:$C$452,$AG47),INDEX(前年度名簿!$C$3:$C$452,$AG47)))</f>
        <v/>
      </c>
      <c r="K47" s="66">
        <f>IF($AG47="","",IF(計算用!$B$1=1,INDEX(新年度名簿!$D$3:$D$452,$AG47),INDEX(前年度名簿!$D$3:$D$452,$AG47)))</f>
        <v/>
      </c>
      <c r="L47" s="65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M$7:$M$456,MATCH($AG47,振り分け!$P$7:$P$456,0))="転出","転出",IF(INDEX(振り分け!$L$7:$L$456,MATCH($AG47,振り分け!$P$7:$P$456,0))="","未決定",INDEX(振り分け!$L$7:$L$456,MATCH($AG47,振り分け!$P$7:$P$456,0)))),"未決定")))</f>
        <v/>
      </c>
      <c r="M47" s="65">
        <f>IF($AH47="","",IF(計算用!$B$1=1,INDEX(新年度名簿!$C$3:$C$452,$AH47),INDEX(前年度名簿!$C$3:$C$452,$AH47)))</f>
        <v/>
      </c>
      <c r="N47" s="66">
        <f>IF($AH47="","",IF(計算用!$B$1=1,INDEX(新年度名簿!$D$3:$D$452,$AH47),INDEX(前年度名簿!$D$3:$D$452,$AH47)))</f>
        <v/>
      </c>
      <c r="O47" s="65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M$7:$M$456,MATCH($AH47,振り分け!$P$7:$P$456,0))="転出","転出",IF(INDEX(振り分け!$L$7:$L$456,MATCH($AH47,振り分け!$P$7:$P$456,0))="","未決定",INDEX(振り分け!$L$7:$L$456,MATCH($AH47,振り分け!$P$7:$P$456,0)))),"未決定")))</f>
        <v/>
      </c>
      <c r="P47" s="65">
        <f>IF($AI47="","",IF(計算用!$B$1=1,INDEX(新年度名簿!$C$3:$C$452,$AI47),INDEX(前年度名簿!$C$3:$C$452,$AI47)))</f>
        <v/>
      </c>
      <c r="Q47" s="66">
        <f>IF($AI47="","",IF(計算用!$B$1=1,INDEX(新年度名簿!$D$3:$D$452,$AI47),INDEX(前年度名簿!$D$3:$D$452,$AI47)))</f>
        <v/>
      </c>
      <c r="R47" s="65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M$7:$M$456,MATCH($AI47,振り分け!$P$7:$P$456,0))="転出","転出",IF(INDEX(振り分け!$L$7:$L$456,MATCH($AI47,振り分け!$P$7:$P$456,0))="","未決定",INDEX(振り分け!$L$7:$L$456,MATCH($AI47,振り分け!$P$7:$P$456,0)))),"未決定")))</f>
        <v/>
      </c>
      <c r="S47" s="65">
        <f>IF($AJ47="","",IF(計算用!$B$1=1,INDEX(新年度名簿!$C$3:$C$452,$AJ47),INDEX(前年度名簿!$C$3:$C$452,$AJ47)))</f>
        <v/>
      </c>
      <c r="T47" s="66">
        <f>IF($AJ47="","",IF(計算用!$B$1=1,INDEX(新年度名簿!$D$3:$D$452,$AJ47),INDEX(前年度名簿!$D$3:$D$452,$AJ47)))</f>
        <v/>
      </c>
      <c r="U47" s="65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M$7:$M$456,MATCH($AJ47,振り分け!$P$7:$P$456,0))="転出","転出",IF(INDEX(振り分け!$L$7:$L$456,MATCH($AJ47,振り分け!$P$7:$P$456,0))="","未決定",INDEX(振り分け!$L$7:$L$456,MATCH($AJ47,振り分け!$P$7:$P$456,0)))),"未決定")))</f>
        <v/>
      </c>
      <c r="V47" s="65">
        <f>IF($AK47="","",IF(計算用!$B$1=1,INDEX(新年度名簿!$C$3:$C$452,$AK47),INDEX(前年度名簿!$C$3:$C$452,$AK47)))</f>
        <v/>
      </c>
      <c r="W47" s="66">
        <f>IF($AK47="","",IF(計算用!$B$1=1,INDEX(新年度名簿!$D$3:$D$452,$AK47),INDEX(前年度名簿!$D$3:$D$452,$AK47)))</f>
        <v/>
      </c>
      <c r="X47" s="65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M$7:$M$456,MATCH($AK47,振り分け!$P$7:$P$456,0))="転出","転出",IF(INDEX(振り分け!$L$7:$L$456,MATCH($AK47,振り分け!$P$7:$P$456,0))="","未決定",INDEX(振り分け!$L$7:$L$456,MATCH($AK47,振り分け!$P$7:$P$456,0)))),"未決定")))</f>
        <v/>
      </c>
      <c r="AD47" s="63">
        <f>IF(計算用!$B$1=1,IFERROR(IF(SMALL(新年度名簿!$J$3:$J$452,$AD$3+43)&lt;18000,MATCH(SMALL(新年度名簿!$J$3:$J$452,$AD$3+43),新年度名簿!$J$3:$J$452,0),""),""),IFERROR(IF(SMALL(前年度名簿!$G$3:$G$452,$AD$3+43)&lt;18000,MATCH(SMALL(前年度名簿!$G$3:$G$452,$AD$3+43),前年度名簿!$G$3:$G$452,0),""),""))</f>
        <v/>
      </c>
      <c r="AE47" s="63">
        <f>IF(計算用!$B$1=1,IFERROR(IF(SMALL(新年度名簿!$J$3:$J$452,$AE$3+43)&lt;19000,MATCH(SMALL(新年度名簿!$J$3:$J$452,$AE$3+43),新年度名簿!$J$3:$J$452,0),""),""),IFERROR(IF(SMALL(前年度名簿!$G$3:$G$452,$AE$3+43)&lt;19000,MATCH(SMALL(前年度名簿!$G$3:$G$452,$AE$3+43),前年度名簿!$G$3:$G$452,0),""),""))</f>
        <v/>
      </c>
      <c r="AF47" s="63">
        <f>IF(計算用!$B$1=1,IFERROR(IF(SMALL(新年度名簿!$J$3:$J$452,$AF$3+43)&lt;20000,MATCH(SMALL(新年度名簿!$J$3:$J$452,$AF$3+43),新年度名簿!$J$3:$J$452,0),""),""),IFERROR(IF(SMALL(前年度名簿!$G$3:$G$452,$AF$3+43)&lt;20000,MATCH(SMALL(前年度名簿!$G$3:$G$452,$AF$3+43),前年度名簿!$G$3:$G$452,0),""),""))</f>
        <v/>
      </c>
      <c r="AG47" s="63">
        <f>IF(計算用!$B$1=1,IFERROR(IF(SMALL(新年度名簿!$J$3:$J$452,$AG$3+43)&lt;21000,MATCH(SMALL(新年度名簿!$J$3:$J$452,$AG$3+43),新年度名簿!$J$3:$J$452,0),""),""),IFERROR(IF(SMALL(前年度名簿!$G$3:$G$452,$AG$3+43)&lt;21000,MATCH(SMALL(前年度名簿!$G$3:$G$452,$AG$3+43),前年度名簿!$G$3:$G$452,0),""),""))</f>
        <v/>
      </c>
      <c r="AH47" s="63">
        <f>IF(計算用!$B$1=1,IFERROR(IF(SMALL(新年度名簿!$J$3:$J$452,$AH$3+43)&lt;22000,MATCH(SMALL(新年度名簿!$J$3:$J$452,$AH$3+43),新年度名簿!$J$3:$J$452,0),""),""),IFERROR(IF(SMALL(前年度名簿!$G$3:$G$452,$AH$3+43)&lt;22000,MATCH(SMALL(前年度名簿!$G$3:$G$452,$AH$3+43),前年度名簿!$G$3:$G$452,0),""),""))</f>
        <v/>
      </c>
      <c r="AI47" s="63">
        <f>IF(計算用!$B$1=1,IFERROR(IF(SMALL(新年度名簿!$J$3:$J$452,$AI$3+43)&lt;23000,MATCH(SMALL(新年度名簿!$J$3:$J$452,$AI$3+43),新年度名簿!$J$3:$J$452,0),""),""),IFERROR(IF(SMALL(前年度名簿!$G$3:$G$452,$AI$3+43)&lt;23000,MATCH(SMALL(前年度名簿!$G$3:$G$452,$AI$3+43),前年度名簿!$G$3:$G$452,0),""),""))</f>
        <v/>
      </c>
      <c r="AJ47" s="63">
        <f>IF(計算用!$B$1=1,IFERROR(IF(SMALL(新年度名簿!$J$3:$J$452,$AJ$3+43)&lt;24000,MATCH(SMALL(新年度名簿!$J$3:$J$452,$AJ$3+43),新年度名簿!$J$3:$J$452,0),""),""),IFERROR(IF(SMALL(前年度名簿!$G$3:$G$452,$AJ$3+43)&lt;24000,MATCH(SMALL(前年度名簿!$G$3:$G$452,$AJ$3+43),前年度名簿!$G$3:$G$452,0),""),""))</f>
        <v/>
      </c>
      <c r="AK47" s="63">
        <f>IF(計算用!$B$1=1,IFERROR(IF(SMALL(新年度名簿!$J$3:$J$452,$AK$3+43)&lt;25000,MATCH(SMALL(新年度名簿!$J$3:$J$452,$AK$3+43),新年度名簿!$J$3:$J$452,0),""),""),IFERROR(IF(SMALL(前年度名簿!$G$3:$G$452,$AK$3+43)&lt;25000,MATCH(SMALL(前年度名簿!$G$3:$G$452,$AK$3+43),前年度名簿!$G$3:$G$452,0),""),""))</f>
        <v/>
      </c>
    </row>
    <row r="48">
      <c r="A48" s="65">
        <f>IF($AD48="","",IF(計算用!$B$1=1,INDEX(新年度名簿!$C$3:$C$452,$AD48),INDEX(前年度名簿!$C$3:$C$452,$AD48)))</f>
        <v/>
      </c>
      <c r="B48" s="66">
        <f>IF($AD48="","",IF(計算用!$B$1=1,INDEX(新年度名簿!$D$3:$D$452,$AD48),INDEX(前年度名簿!$D$3:$D$452,$AD48)))</f>
        <v/>
      </c>
      <c r="C48" s="65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M$7:$M$456,MATCH($AD48,振り分け!$P$7:$P$456,0))="転出","転出",IF(INDEX(振り分け!$L$7:$L$456,MATCH($AD48,振り分け!$P$7:$P$456,0))="","未決定",INDEX(振り分け!$L$7:$L$456,MATCH($AD48,振り分け!$P$7:$P$456,0)))),"未決定")))</f>
        <v/>
      </c>
      <c r="D48" s="65">
        <f>IF($AE48="","",IF(計算用!$B$1=1,INDEX(新年度名簿!$C$3:$C$452,$AE48),INDEX(前年度名簿!$C$3:$C$452,$AE48)))</f>
        <v/>
      </c>
      <c r="E48" s="66">
        <f>IF($AE48="","",IF(計算用!$B$1=1,INDEX(新年度名簿!$D$3:$D$452,$AE48),INDEX(前年度名簿!$D$3:$D$452,$AE48)))</f>
        <v/>
      </c>
      <c r="F48" s="65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M$7:$M$456,MATCH($AE48,振り分け!$P$7:$P$456,0))="転出","転出",IF(INDEX(振り分け!$L$7:$L$456,MATCH($AE48,振り分け!$P$7:$P$456,0))="","未決定",INDEX(振り分け!$L$7:$L$456,MATCH($AE48,振り分け!$P$7:$P$456,0)))),"未決定")))</f>
        <v/>
      </c>
      <c r="G48" s="65">
        <f>IF($AF48="","",IF(計算用!$B$1=1,INDEX(新年度名簿!$C$3:$C$452,$AF48),INDEX(前年度名簿!$C$3:$C$452,$AF48)))</f>
        <v/>
      </c>
      <c r="H48" s="66">
        <f>IF($AF48="","",IF(計算用!$B$1=1,INDEX(新年度名簿!$D$3:$D$452,$AF48),INDEX(前年度名簿!$D$3:$D$452,$AF48)))</f>
        <v/>
      </c>
      <c r="I48" s="65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M$7:$M$456,MATCH($AF48,振り分け!$P$7:$P$456,0))="転出","転出",IF(INDEX(振り分け!$L$7:$L$456,MATCH($AF48,振り分け!$P$7:$P$456,0))="","未決定",INDEX(振り分け!$L$7:$L$456,MATCH($AF48,振り分け!$P$7:$P$456,0)))),"未決定")))</f>
        <v/>
      </c>
      <c r="J48" s="65">
        <f>IF($AG48="","",IF(計算用!$B$1=1,INDEX(新年度名簿!$C$3:$C$452,$AG48),INDEX(前年度名簿!$C$3:$C$452,$AG48)))</f>
        <v/>
      </c>
      <c r="K48" s="66">
        <f>IF($AG48="","",IF(計算用!$B$1=1,INDEX(新年度名簿!$D$3:$D$452,$AG48),INDEX(前年度名簿!$D$3:$D$452,$AG48)))</f>
        <v/>
      </c>
      <c r="L48" s="65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M$7:$M$456,MATCH($AG48,振り分け!$P$7:$P$456,0))="転出","転出",IF(INDEX(振り分け!$L$7:$L$456,MATCH($AG48,振り分け!$P$7:$P$456,0))="","未決定",INDEX(振り分け!$L$7:$L$456,MATCH($AG48,振り分け!$P$7:$P$456,0)))),"未決定")))</f>
        <v/>
      </c>
      <c r="M48" s="65">
        <f>IF($AH48="","",IF(計算用!$B$1=1,INDEX(新年度名簿!$C$3:$C$452,$AH48),INDEX(前年度名簿!$C$3:$C$452,$AH48)))</f>
        <v/>
      </c>
      <c r="N48" s="66">
        <f>IF($AH48="","",IF(計算用!$B$1=1,INDEX(新年度名簿!$D$3:$D$452,$AH48),INDEX(前年度名簿!$D$3:$D$452,$AH48)))</f>
        <v/>
      </c>
      <c r="O48" s="65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M$7:$M$456,MATCH($AH48,振り分け!$P$7:$P$456,0))="転出","転出",IF(INDEX(振り分け!$L$7:$L$456,MATCH($AH48,振り分け!$P$7:$P$456,0))="","未決定",INDEX(振り分け!$L$7:$L$456,MATCH($AH48,振り分け!$P$7:$P$456,0)))),"未決定")))</f>
        <v/>
      </c>
      <c r="P48" s="65">
        <f>IF($AI48="","",IF(計算用!$B$1=1,INDEX(新年度名簿!$C$3:$C$452,$AI48),INDEX(前年度名簿!$C$3:$C$452,$AI48)))</f>
        <v/>
      </c>
      <c r="Q48" s="66">
        <f>IF($AI48="","",IF(計算用!$B$1=1,INDEX(新年度名簿!$D$3:$D$452,$AI48),INDEX(前年度名簿!$D$3:$D$452,$AI48)))</f>
        <v/>
      </c>
      <c r="R48" s="65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M$7:$M$456,MATCH($AI48,振り分け!$P$7:$P$456,0))="転出","転出",IF(INDEX(振り分け!$L$7:$L$456,MATCH($AI48,振り分け!$P$7:$P$456,0))="","未決定",INDEX(振り分け!$L$7:$L$456,MATCH($AI48,振り分け!$P$7:$P$456,0)))),"未決定")))</f>
        <v/>
      </c>
      <c r="S48" s="65">
        <f>IF($AJ48="","",IF(計算用!$B$1=1,INDEX(新年度名簿!$C$3:$C$452,$AJ48),INDEX(前年度名簿!$C$3:$C$452,$AJ48)))</f>
        <v/>
      </c>
      <c r="T48" s="66">
        <f>IF($AJ48="","",IF(計算用!$B$1=1,INDEX(新年度名簿!$D$3:$D$452,$AJ48),INDEX(前年度名簿!$D$3:$D$452,$AJ48)))</f>
        <v/>
      </c>
      <c r="U48" s="65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M$7:$M$456,MATCH($AJ48,振り分け!$P$7:$P$456,0))="転出","転出",IF(INDEX(振り分け!$L$7:$L$456,MATCH($AJ48,振り分け!$P$7:$P$456,0))="","未決定",INDEX(振り分け!$L$7:$L$456,MATCH($AJ48,振り分け!$P$7:$P$456,0)))),"未決定")))</f>
        <v/>
      </c>
      <c r="V48" s="65">
        <f>IF($AK48="","",IF(計算用!$B$1=1,INDEX(新年度名簿!$C$3:$C$452,$AK48),INDEX(前年度名簿!$C$3:$C$452,$AK48)))</f>
        <v/>
      </c>
      <c r="W48" s="66">
        <f>IF($AK48="","",IF(計算用!$B$1=1,INDEX(新年度名簿!$D$3:$D$452,$AK48),INDEX(前年度名簿!$D$3:$D$452,$AK48)))</f>
        <v/>
      </c>
      <c r="X48" s="65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M$7:$M$456,MATCH($AK48,振り分け!$P$7:$P$456,0))="転出","転出",IF(INDEX(振り分け!$L$7:$L$456,MATCH($AK48,振り分け!$P$7:$P$456,0))="","未決定",INDEX(振り分け!$L$7:$L$456,MATCH($AK48,振り分け!$P$7:$P$456,0)))),"未決定")))</f>
        <v/>
      </c>
      <c r="AD48" s="63">
        <f>IF(計算用!$B$1=1,IFERROR(IF(SMALL(新年度名簿!$J$3:$J$452,$AD$3+44)&lt;18000,MATCH(SMALL(新年度名簿!$J$3:$J$452,$AD$3+44),新年度名簿!$J$3:$J$452,0),""),""),IFERROR(IF(SMALL(前年度名簿!$G$3:$G$452,$AD$3+44)&lt;18000,MATCH(SMALL(前年度名簿!$G$3:$G$452,$AD$3+44),前年度名簿!$G$3:$G$452,0),""),""))</f>
        <v/>
      </c>
      <c r="AE48" s="63">
        <f>IF(計算用!$B$1=1,IFERROR(IF(SMALL(新年度名簿!$J$3:$J$452,$AE$3+44)&lt;19000,MATCH(SMALL(新年度名簿!$J$3:$J$452,$AE$3+44),新年度名簿!$J$3:$J$452,0),""),""),IFERROR(IF(SMALL(前年度名簿!$G$3:$G$452,$AE$3+44)&lt;19000,MATCH(SMALL(前年度名簿!$G$3:$G$452,$AE$3+44),前年度名簿!$G$3:$G$452,0),""),""))</f>
        <v/>
      </c>
      <c r="AF48" s="63">
        <f>IF(計算用!$B$1=1,IFERROR(IF(SMALL(新年度名簿!$J$3:$J$452,$AF$3+44)&lt;20000,MATCH(SMALL(新年度名簿!$J$3:$J$452,$AF$3+44),新年度名簿!$J$3:$J$452,0),""),""),IFERROR(IF(SMALL(前年度名簿!$G$3:$G$452,$AF$3+44)&lt;20000,MATCH(SMALL(前年度名簿!$G$3:$G$452,$AF$3+44),前年度名簿!$G$3:$G$452,0),""),""))</f>
        <v/>
      </c>
      <c r="AG48" s="63">
        <f>IF(計算用!$B$1=1,IFERROR(IF(SMALL(新年度名簿!$J$3:$J$452,$AG$3+44)&lt;21000,MATCH(SMALL(新年度名簿!$J$3:$J$452,$AG$3+44),新年度名簿!$J$3:$J$452,0),""),""),IFERROR(IF(SMALL(前年度名簿!$G$3:$G$452,$AG$3+44)&lt;21000,MATCH(SMALL(前年度名簿!$G$3:$G$452,$AG$3+44),前年度名簿!$G$3:$G$452,0),""),""))</f>
        <v/>
      </c>
      <c r="AH48" s="63">
        <f>IF(計算用!$B$1=1,IFERROR(IF(SMALL(新年度名簿!$J$3:$J$452,$AH$3+44)&lt;22000,MATCH(SMALL(新年度名簿!$J$3:$J$452,$AH$3+44),新年度名簿!$J$3:$J$452,0),""),""),IFERROR(IF(SMALL(前年度名簿!$G$3:$G$452,$AH$3+44)&lt;22000,MATCH(SMALL(前年度名簿!$G$3:$G$452,$AH$3+44),前年度名簿!$G$3:$G$452,0),""),""))</f>
        <v/>
      </c>
      <c r="AI48" s="63">
        <f>IF(計算用!$B$1=1,IFERROR(IF(SMALL(新年度名簿!$J$3:$J$452,$AI$3+44)&lt;23000,MATCH(SMALL(新年度名簿!$J$3:$J$452,$AI$3+44),新年度名簿!$J$3:$J$452,0),""),""),IFERROR(IF(SMALL(前年度名簿!$G$3:$G$452,$AI$3+44)&lt;23000,MATCH(SMALL(前年度名簿!$G$3:$G$452,$AI$3+44),前年度名簿!$G$3:$G$452,0),""),""))</f>
        <v/>
      </c>
      <c r="AJ48" s="63">
        <f>IF(計算用!$B$1=1,IFERROR(IF(SMALL(新年度名簿!$J$3:$J$452,$AJ$3+44)&lt;24000,MATCH(SMALL(新年度名簿!$J$3:$J$452,$AJ$3+44),新年度名簿!$J$3:$J$452,0),""),""),IFERROR(IF(SMALL(前年度名簿!$G$3:$G$452,$AJ$3+44)&lt;24000,MATCH(SMALL(前年度名簿!$G$3:$G$452,$AJ$3+44),前年度名簿!$G$3:$G$452,0),""),""))</f>
        <v/>
      </c>
      <c r="AK48" s="63">
        <f>IF(計算用!$B$1=1,IFERROR(IF(SMALL(新年度名簿!$J$3:$J$452,$AK$3+44)&lt;25000,MATCH(SMALL(新年度名簿!$J$3:$J$452,$AK$3+44),新年度名簿!$J$3:$J$452,0),""),""),IFERROR(IF(SMALL(前年度名簿!$G$3:$G$452,$AK$3+44)&lt;25000,MATCH(SMALL(前年度名簿!$G$3:$G$452,$AK$3+44),前年度名簿!$G$3:$G$452,0),""),""))</f>
        <v/>
      </c>
    </row>
    <row r="49">
      <c r="A49" s="65">
        <f>IF($AD49="","",IF(計算用!$B$1=1,INDEX(新年度名簿!$C$3:$C$452,$AD49),INDEX(前年度名簿!$C$3:$C$452,$AD49)))</f>
        <v/>
      </c>
      <c r="B49" s="66">
        <f>IF($AD49="","",IF(計算用!$B$1=1,INDEX(新年度名簿!$D$3:$D$452,$AD49),INDEX(前年度名簿!$D$3:$D$452,$AD49)))</f>
        <v/>
      </c>
      <c r="C49" s="65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M$7:$M$456,MATCH($AD49,振り分け!$P$7:$P$456,0))="転出","転出",IF(INDEX(振り分け!$L$7:$L$456,MATCH($AD49,振り分け!$P$7:$P$456,0))="","未決定",INDEX(振り分け!$L$7:$L$456,MATCH($AD49,振り分け!$P$7:$P$456,0)))),"未決定")))</f>
        <v/>
      </c>
      <c r="D49" s="65">
        <f>IF($AE49="","",IF(計算用!$B$1=1,INDEX(新年度名簿!$C$3:$C$452,$AE49),INDEX(前年度名簿!$C$3:$C$452,$AE49)))</f>
        <v/>
      </c>
      <c r="E49" s="66">
        <f>IF($AE49="","",IF(計算用!$B$1=1,INDEX(新年度名簿!$D$3:$D$452,$AE49),INDEX(前年度名簿!$D$3:$D$452,$AE49)))</f>
        <v/>
      </c>
      <c r="F49" s="65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M$7:$M$456,MATCH($AE49,振り分け!$P$7:$P$456,0))="転出","転出",IF(INDEX(振り分け!$L$7:$L$456,MATCH($AE49,振り分け!$P$7:$P$456,0))="","未決定",INDEX(振り分け!$L$7:$L$456,MATCH($AE49,振り分け!$P$7:$P$456,0)))),"未決定")))</f>
        <v/>
      </c>
      <c r="G49" s="65">
        <f>IF($AF49="","",IF(計算用!$B$1=1,INDEX(新年度名簿!$C$3:$C$452,$AF49),INDEX(前年度名簿!$C$3:$C$452,$AF49)))</f>
        <v/>
      </c>
      <c r="H49" s="66">
        <f>IF($AF49="","",IF(計算用!$B$1=1,INDEX(新年度名簿!$D$3:$D$452,$AF49),INDEX(前年度名簿!$D$3:$D$452,$AF49)))</f>
        <v/>
      </c>
      <c r="I49" s="65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M$7:$M$456,MATCH($AF49,振り分け!$P$7:$P$456,0))="転出","転出",IF(INDEX(振り分け!$L$7:$L$456,MATCH($AF49,振り分け!$P$7:$P$456,0))="","未決定",INDEX(振り分け!$L$7:$L$456,MATCH($AF49,振り分け!$P$7:$P$456,0)))),"未決定")))</f>
        <v/>
      </c>
      <c r="J49" s="65">
        <f>IF($AG49="","",IF(計算用!$B$1=1,INDEX(新年度名簿!$C$3:$C$452,$AG49),INDEX(前年度名簿!$C$3:$C$452,$AG49)))</f>
        <v/>
      </c>
      <c r="K49" s="66">
        <f>IF($AG49="","",IF(計算用!$B$1=1,INDEX(新年度名簿!$D$3:$D$452,$AG49),INDEX(前年度名簿!$D$3:$D$452,$AG49)))</f>
        <v/>
      </c>
      <c r="L49" s="65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M$7:$M$456,MATCH($AG49,振り分け!$P$7:$P$456,0))="転出","転出",IF(INDEX(振り分け!$L$7:$L$456,MATCH($AG49,振り分け!$P$7:$P$456,0))="","未決定",INDEX(振り分け!$L$7:$L$456,MATCH($AG49,振り分け!$P$7:$P$456,0)))),"未決定")))</f>
        <v/>
      </c>
      <c r="M49" s="65">
        <f>IF($AH49="","",IF(計算用!$B$1=1,INDEX(新年度名簿!$C$3:$C$452,$AH49),INDEX(前年度名簿!$C$3:$C$452,$AH49)))</f>
        <v/>
      </c>
      <c r="N49" s="66">
        <f>IF($AH49="","",IF(計算用!$B$1=1,INDEX(新年度名簿!$D$3:$D$452,$AH49),INDEX(前年度名簿!$D$3:$D$452,$AH49)))</f>
        <v/>
      </c>
      <c r="O49" s="65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M$7:$M$456,MATCH($AH49,振り分け!$P$7:$P$456,0))="転出","転出",IF(INDEX(振り分け!$L$7:$L$456,MATCH($AH49,振り分け!$P$7:$P$456,0))="","未決定",INDEX(振り分け!$L$7:$L$456,MATCH($AH49,振り分け!$P$7:$P$456,0)))),"未決定")))</f>
        <v/>
      </c>
      <c r="P49" s="65">
        <f>IF($AI49="","",IF(計算用!$B$1=1,INDEX(新年度名簿!$C$3:$C$452,$AI49),INDEX(前年度名簿!$C$3:$C$452,$AI49)))</f>
        <v/>
      </c>
      <c r="Q49" s="66">
        <f>IF($AI49="","",IF(計算用!$B$1=1,INDEX(新年度名簿!$D$3:$D$452,$AI49),INDEX(前年度名簿!$D$3:$D$452,$AI49)))</f>
        <v/>
      </c>
      <c r="R49" s="65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M$7:$M$456,MATCH($AI49,振り分け!$P$7:$P$456,0))="転出","転出",IF(INDEX(振り分け!$L$7:$L$456,MATCH($AI49,振り分け!$P$7:$P$456,0))="","未決定",INDEX(振り分け!$L$7:$L$456,MATCH($AI49,振り分け!$P$7:$P$456,0)))),"未決定")))</f>
        <v/>
      </c>
      <c r="S49" s="65">
        <f>IF($AJ49="","",IF(計算用!$B$1=1,INDEX(新年度名簿!$C$3:$C$452,$AJ49),INDEX(前年度名簿!$C$3:$C$452,$AJ49)))</f>
        <v/>
      </c>
      <c r="T49" s="66">
        <f>IF($AJ49="","",IF(計算用!$B$1=1,INDEX(新年度名簿!$D$3:$D$452,$AJ49),INDEX(前年度名簿!$D$3:$D$452,$AJ49)))</f>
        <v/>
      </c>
      <c r="U49" s="65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M$7:$M$456,MATCH($AJ49,振り分け!$P$7:$P$456,0))="転出","転出",IF(INDEX(振り分け!$L$7:$L$456,MATCH($AJ49,振り分け!$P$7:$P$456,0))="","未決定",INDEX(振り分け!$L$7:$L$456,MATCH($AJ49,振り分け!$P$7:$P$456,0)))),"未決定")))</f>
        <v/>
      </c>
      <c r="V49" s="65">
        <f>IF($AK49="","",IF(計算用!$B$1=1,INDEX(新年度名簿!$C$3:$C$452,$AK49),INDEX(前年度名簿!$C$3:$C$452,$AK49)))</f>
        <v/>
      </c>
      <c r="W49" s="66">
        <f>IF($AK49="","",IF(計算用!$B$1=1,INDEX(新年度名簿!$D$3:$D$452,$AK49),INDEX(前年度名簿!$D$3:$D$452,$AK49)))</f>
        <v/>
      </c>
      <c r="X49" s="65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M$7:$M$456,MATCH($AK49,振り分け!$P$7:$P$456,0))="転出","転出",IF(INDEX(振り分け!$L$7:$L$456,MATCH($AK49,振り分け!$P$7:$P$456,0))="","未決定",INDEX(振り分け!$L$7:$L$456,MATCH($AK49,振り分け!$P$7:$P$456,0)))),"未決定")))</f>
        <v/>
      </c>
      <c r="AD49" s="63">
        <f>IF(計算用!$B$1=1,IFERROR(IF(SMALL(新年度名簿!$J$3:$J$452,$AD$3+45)&lt;18000,MATCH(SMALL(新年度名簿!$J$3:$J$452,$AD$3+45),新年度名簿!$J$3:$J$452,0),""),""),IFERROR(IF(SMALL(前年度名簿!$G$3:$G$452,$AD$3+45)&lt;18000,MATCH(SMALL(前年度名簿!$G$3:$G$452,$AD$3+45),前年度名簿!$G$3:$G$452,0),""),""))</f>
        <v/>
      </c>
      <c r="AE49" s="63">
        <f>IF(計算用!$B$1=1,IFERROR(IF(SMALL(新年度名簿!$J$3:$J$452,$AE$3+45)&lt;19000,MATCH(SMALL(新年度名簿!$J$3:$J$452,$AE$3+45),新年度名簿!$J$3:$J$452,0),""),""),IFERROR(IF(SMALL(前年度名簿!$G$3:$G$452,$AE$3+45)&lt;19000,MATCH(SMALL(前年度名簿!$G$3:$G$452,$AE$3+45),前年度名簿!$G$3:$G$452,0),""),""))</f>
        <v/>
      </c>
      <c r="AF49" s="63">
        <f>IF(計算用!$B$1=1,IFERROR(IF(SMALL(新年度名簿!$J$3:$J$452,$AF$3+45)&lt;20000,MATCH(SMALL(新年度名簿!$J$3:$J$452,$AF$3+45),新年度名簿!$J$3:$J$452,0),""),""),IFERROR(IF(SMALL(前年度名簿!$G$3:$G$452,$AF$3+45)&lt;20000,MATCH(SMALL(前年度名簿!$G$3:$G$452,$AF$3+45),前年度名簿!$G$3:$G$452,0),""),""))</f>
        <v/>
      </c>
      <c r="AG49" s="63">
        <f>IF(計算用!$B$1=1,IFERROR(IF(SMALL(新年度名簿!$J$3:$J$452,$AG$3+45)&lt;21000,MATCH(SMALL(新年度名簿!$J$3:$J$452,$AG$3+45),新年度名簿!$J$3:$J$452,0),""),""),IFERROR(IF(SMALL(前年度名簿!$G$3:$G$452,$AG$3+45)&lt;21000,MATCH(SMALL(前年度名簿!$G$3:$G$452,$AG$3+45),前年度名簿!$G$3:$G$452,0),""),""))</f>
        <v/>
      </c>
      <c r="AH49" s="63">
        <f>IF(計算用!$B$1=1,IFERROR(IF(SMALL(新年度名簿!$J$3:$J$452,$AH$3+45)&lt;22000,MATCH(SMALL(新年度名簿!$J$3:$J$452,$AH$3+45),新年度名簿!$J$3:$J$452,0),""),""),IFERROR(IF(SMALL(前年度名簿!$G$3:$G$452,$AH$3+45)&lt;22000,MATCH(SMALL(前年度名簿!$G$3:$G$452,$AH$3+45),前年度名簿!$G$3:$G$452,0),""),""))</f>
        <v/>
      </c>
      <c r="AI49" s="63">
        <f>IF(計算用!$B$1=1,IFERROR(IF(SMALL(新年度名簿!$J$3:$J$452,$AI$3+45)&lt;23000,MATCH(SMALL(新年度名簿!$J$3:$J$452,$AI$3+45),新年度名簿!$J$3:$J$452,0),""),""),IFERROR(IF(SMALL(前年度名簿!$G$3:$G$452,$AI$3+45)&lt;23000,MATCH(SMALL(前年度名簿!$G$3:$G$452,$AI$3+45),前年度名簿!$G$3:$G$452,0),""),""))</f>
        <v/>
      </c>
      <c r="AJ49" s="63">
        <f>IF(計算用!$B$1=1,IFERROR(IF(SMALL(新年度名簿!$J$3:$J$452,$AJ$3+45)&lt;24000,MATCH(SMALL(新年度名簿!$J$3:$J$452,$AJ$3+45),新年度名簿!$J$3:$J$452,0),""),""),IFERROR(IF(SMALL(前年度名簿!$G$3:$G$452,$AJ$3+45)&lt;24000,MATCH(SMALL(前年度名簿!$G$3:$G$452,$AJ$3+45),前年度名簿!$G$3:$G$452,0),""),""))</f>
        <v/>
      </c>
      <c r="AK49" s="63">
        <f>IF(計算用!$B$1=1,IFERROR(IF(SMALL(新年度名簿!$J$3:$J$452,$AK$3+45)&lt;25000,MATCH(SMALL(新年度名簿!$J$3:$J$452,$AK$3+45),新年度名簿!$J$3:$J$452,0),""),""),IFERROR(IF(SMALL(前年度名簿!$G$3:$G$452,$AK$3+45)&lt;25000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IF(計算用!$B$1=1,設定!$M$24,設定!$H$24)="黒"</formula>
    </cfRule>
    <cfRule type="expression" priority="2" dxfId="1">
      <formula>IF(計算用!$B$1=1,設定!$M$24,設定!$H$24)="赤"</formula>
    </cfRule>
    <cfRule type="expression" priority="3" dxfId="2">
      <formula>IF(計算用!$B$1=1,設定!$M$24,設定!$H$24)="青"</formula>
    </cfRule>
    <cfRule type="expression" priority="4" dxfId="3">
      <formula>IF(計算用!$B$1=1,設定!$M$24,設定!$H$24)="緑"</formula>
    </cfRule>
    <cfRule type="expression" priority="5" dxfId="4">
      <formula>IF(計算用!$B$1=1,設定!$M$24,設定!$H$24)="黄"</formula>
    </cfRule>
    <cfRule type="expression" priority="6" dxfId="5">
      <formula>IF(計算用!$B$1=1,設定!$M$24,設定!$H$24)="橙"</formula>
    </cfRule>
    <cfRule type="expression" priority="7" dxfId="6">
      <formula>IF(計算用!$B$1=1,設定!$M$24,設定!$H$24)="紫"</formula>
    </cfRule>
    <cfRule type="expression" priority="8" dxfId="7">
      <formula>IF(計算用!$B$1=1,設定!$M$24,設定!$H$24)="茶"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IF(計算用!$B$1=1,設定!$M$25,設定!$H$25)="黒"</formula>
    </cfRule>
    <cfRule type="expression" priority="11" dxfId="1">
      <formula>IF(計算用!$B$1=1,設定!$M$25,設定!$H$25)="赤"</formula>
    </cfRule>
    <cfRule type="expression" priority="12" dxfId="2">
      <formula>IF(計算用!$B$1=1,設定!$M$25,設定!$H$25)="青"</formula>
    </cfRule>
    <cfRule type="expression" priority="13" dxfId="3">
      <formula>IF(計算用!$B$1=1,設定!$M$25,設定!$H$25)="緑"</formula>
    </cfRule>
    <cfRule type="expression" priority="14" dxfId="4">
      <formula>IF(計算用!$B$1=1,設定!$M$25,設定!$H$25)="黄"</formula>
    </cfRule>
    <cfRule type="expression" priority="15" dxfId="5">
      <formula>IF(計算用!$B$1=1,設定!$M$25,設定!$H$25)="橙"</formula>
    </cfRule>
    <cfRule type="expression" priority="16" dxfId="6">
      <formula>IF(計算用!$B$1=1,設定!$M$25,設定!$H$25)="紫"</formula>
    </cfRule>
    <cfRule type="expression" priority="17" dxfId="7">
      <formula>IF(計算用!$B$1=1,設定!$M$25,設定!$H$25)="茶"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IF(計算用!$B$1=1,設定!$M$26,設定!$H$26)="黒"</formula>
    </cfRule>
    <cfRule type="expression" priority="20" dxfId="1">
      <formula>IF(計算用!$B$1=1,設定!$M$26,設定!$H$26)="赤"</formula>
    </cfRule>
    <cfRule type="expression" priority="21" dxfId="2">
      <formula>IF(計算用!$B$1=1,設定!$M$26,設定!$H$26)="青"</formula>
    </cfRule>
    <cfRule type="expression" priority="22" dxfId="3">
      <formula>IF(計算用!$B$1=1,設定!$M$26,設定!$H$26)="緑"</formula>
    </cfRule>
    <cfRule type="expression" priority="23" dxfId="4">
      <formula>IF(計算用!$B$1=1,設定!$M$26,設定!$H$26)="黄"</formula>
    </cfRule>
    <cfRule type="expression" priority="24" dxfId="5">
      <formula>IF(計算用!$B$1=1,設定!$M$26,設定!$H$26)="橙"</formula>
    </cfRule>
    <cfRule type="expression" priority="25" dxfId="6">
      <formula>IF(計算用!$B$1=1,設定!$M$26,設定!$H$26)="紫"</formula>
    </cfRule>
    <cfRule type="expression" priority="26" dxfId="7">
      <formula>IF(計算用!$B$1=1,設定!$M$26,設定!$H$26)="茶"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IF(計算用!$B$1=1,設定!$M$27,設定!$H$27)="黒"</formula>
    </cfRule>
    <cfRule type="expression" priority="29" dxfId="1">
      <formula>IF(計算用!$B$1=1,設定!$M$27,設定!$H$27)="赤"</formula>
    </cfRule>
    <cfRule type="expression" priority="30" dxfId="2">
      <formula>IF(計算用!$B$1=1,設定!$M$27,設定!$H$27)="青"</formula>
    </cfRule>
    <cfRule type="expression" priority="31" dxfId="3">
      <formula>IF(計算用!$B$1=1,設定!$M$27,設定!$H$27)="緑"</formula>
    </cfRule>
    <cfRule type="expression" priority="32" dxfId="4">
      <formula>IF(計算用!$B$1=1,設定!$M$27,設定!$H$27)="黄"</formula>
    </cfRule>
    <cfRule type="expression" priority="33" dxfId="5">
      <formula>IF(計算用!$B$1=1,設定!$M$27,設定!$H$27)="橙"</formula>
    </cfRule>
    <cfRule type="expression" priority="34" dxfId="6">
      <formula>IF(計算用!$B$1=1,設定!$M$27,設定!$H$27)="紫"</formula>
    </cfRule>
    <cfRule type="expression" priority="35" dxfId="7">
      <formula>IF(計算用!$B$1=1,設定!$M$27,設定!$H$27)="茶"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IF(計算用!$B$1=1,設定!$M$28,設定!$H$28)="黒"</formula>
    </cfRule>
    <cfRule type="expression" priority="38" dxfId="1">
      <formula>IF(計算用!$B$1=1,設定!$M$28,設定!$H$28)="赤"</formula>
    </cfRule>
    <cfRule type="expression" priority="39" dxfId="2">
      <formula>IF(計算用!$B$1=1,設定!$M$28,設定!$H$28)="青"</formula>
    </cfRule>
    <cfRule type="expression" priority="40" dxfId="3">
      <formula>IF(計算用!$B$1=1,設定!$M$28,設定!$H$28)="緑"</formula>
    </cfRule>
    <cfRule type="expression" priority="41" dxfId="4">
      <formula>IF(計算用!$B$1=1,設定!$M$28,設定!$H$28)="黄"</formula>
    </cfRule>
    <cfRule type="expression" priority="42" dxfId="5">
      <formula>IF(計算用!$B$1=1,設定!$M$28,設定!$H$28)="橙"</formula>
    </cfRule>
    <cfRule type="expression" priority="43" dxfId="6">
      <formula>IF(計算用!$B$1=1,設定!$M$28,設定!$H$28)="紫"</formula>
    </cfRule>
    <cfRule type="expression" priority="44" dxfId="7">
      <formula>IF(計算用!$B$1=1,設定!$M$28,設定!$H$28)="茶"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IF(計算用!$B$1=1,設定!$M$29,設定!$H$29)="黒"</formula>
    </cfRule>
    <cfRule type="expression" priority="47" dxfId="1">
      <formula>IF(計算用!$B$1=1,設定!$M$29,設定!$H$29)="赤"</formula>
    </cfRule>
    <cfRule type="expression" priority="48" dxfId="2">
      <formula>IF(計算用!$B$1=1,設定!$M$29,設定!$H$29)="青"</formula>
    </cfRule>
    <cfRule type="expression" priority="49" dxfId="3">
      <formula>IF(計算用!$B$1=1,設定!$M$29,設定!$H$29)="緑"</formula>
    </cfRule>
    <cfRule type="expression" priority="50" dxfId="4">
      <formula>IF(計算用!$B$1=1,設定!$M$29,設定!$H$29)="黄"</formula>
    </cfRule>
    <cfRule type="expression" priority="51" dxfId="5">
      <formula>IF(計算用!$B$1=1,設定!$M$29,設定!$H$29)="橙"</formula>
    </cfRule>
    <cfRule type="expression" priority="52" dxfId="6">
      <formula>IF(計算用!$B$1=1,設定!$M$29,設定!$H$29)="紫"</formula>
    </cfRule>
    <cfRule type="expression" priority="53" dxfId="7">
      <formula>IF(計算用!$B$1=1,設定!$M$29,設定!$H$29)="茶"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IF(計算用!$B$1=1,設定!$M$30,設定!$H$30)="黒"</formula>
    </cfRule>
    <cfRule type="expression" priority="56" dxfId="1">
      <formula>IF(計算用!$B$1=1,設定!$M$30,設定!$H$30)="赤"</formula>
    </cfRule>
    <cfRule type="expression" priority="57" dxfId="2">
      <formula>IF(計算用!$B$1=1,設定!$M$30,設定!$H$30)="青"</formula>
    </cfRule>
    <cfRule type="expression" priority="58" dxfId="3">
      <formula>IF(計算用!$B$1=1,設定!$M$30,設定!$H$30)="緑"</formula>
    </cfRule>
    <cfRule type="expression" priority="59" dxfId="4">
      <formula>IF(計算用!$B$1=1,設定!$M$30,設定!$H$30)="黄"</formula>
    </cfRule>
    <cfRule type="expression" priority="60" dxfId="5">
      <formula>IF(計算用!$B$1=1,設定!$M$30,設定!$H$30)="橙"</formula>
    </cfRule>
    <cfRule type="expression" priority="61" dxfId="6">
      <formula>IF(計算用!$B$1=1,設定!$M$30,設定!$H$30)="紫"</formula>
    </cfRule>
    <cfRule type="expression" priority="62" dxfId="7">
      <formula>IF(計算用!$B$1=1,設定!$M$30,設定!$H$30)="茶"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IF(計算用!$B$1=1,設定!$M$31,設定!$H$31)="黒"</formula>
    </cfRule>
    <cfRule type="expression" priority="65" dxfId="1">
      <formula>IF(計算用!$B$1=1,設定!$M$31,設定!$H$31)="赤"</formula>
    </cfRule>
    <cfRule type="expression" priority="66" dxfId="2">
      <formula>IF(計算用!$B$1=1,設定!$M$31,設定!$H$31)="青"</formula>
    </cfRule>
    <cfRule type="expression" priority="67" dxfId="3">
      <formula>IF(計算用!$B$1=1,設定!$M$31,設定!$H$31)="緑"</formula>
    </cfRule>
    <cfRule type="expression" priority="68" dxfId="4">
      <formula>IF(計算用!$B$1=1,設定!$M$31,設定!$H$31)="黄"</formula>
    </cfRule>
    <cfRule type="expression" priority="69" dxfId="5">
      <formula>IF(計算用!$B$1=1,設定!$M$31,設定!$H$31)="橙"</formula>
    </cfRule>
    <cfRule type="expression" priority="70" dxfId="6">
      <formula>IF(計算用!$B$1=1,設定!$M$31,設定!$H$31)="紫"</formula>
    </cfRule>
    <cfRule type="expression" priority="71" dxfId="7">
      <formula>IF(計算用!$B$1=1,設定!$M$31,設定!$H$31)="茶"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3" t="inlineStr">
        <is>
          <t>【入力なし】見る・印刷するだけ</t>
        </is>
      </c>
    </row>
    <row r="2"/>
    <row r="3">
      <c r="A3" s="13">
        <f>IF(設定!$P$8="","",設定!$P$8&amp;"（"&amp;定員チェック!$I$7&amp;"名）")</f>
        <v/>
      </c>
      <c r="B3" s="73" t="n"/>
      <c r="C3" s="13">
        <f>IF(設定!$P$9="","",設定!$P$9&amp;"（"&amp;定員チェック!$I$8&amp;"名）")</f>
        <v/>
      </c>
      <c r="D3" s="73" t="n"/>
      <c r="E3" s="13">
        <f>IF(設定!$P$10="","",設定!$P$10&amp;"（"&amp;定員チェック!$I$9&amp;"名）")</f>
        <v/>
      </c>
      <c r="F3" s="73" t="n"/>
      <c r="G3" s="13">
        <f>IF(設定!$P$11="","",設定!$P$11&amp;"（"&amp;定員チェック!$I$10&amp;"名）")</f>
        <v/>
      </c>
      <c r="H3" s="73" t="n"/>
      <c r="I3" s="13">
        <f>IF(設定!$P$12="","",設定!$P$12&amp;"（"&amp;定員チェック!$I$11&amp;"名）")</f>
        <v/>
      </c>
      <c r="J3" s="73" t="n"/>
      <c r="K3" s="13">
        <f>IF(設定!$P$13="","",設定!$P$13&amp;"（"&amp;定員チェック!$I$12&amp;"名）")</f>
        <v/>
      </c>
      <c r="L3" s="73" t="n"/>
      <c r="M3" s="13">
        <f>IF(設定!$P$14="","",設定!$P$14&amp;"（"&amp;定員チェック!$I$13&amp;"名）")</f>
        <v/>
      </c>
      <c r="N3" s="73" t="n"/>
      <c r="O3" s="13">
        <f>IF(設定!$P$15="","",設定!$P$15&amp;"（"&amp;定員チェック!$I$14&amp;"名）")</f>
        <v/>
      </c>
      <c r="P3" s="73" t="n"/>
      <c r="Q3" s="13">
        <f>IF(設定!$P$16="","",設定!$P$16&amp;"（"&amp;定員チェック!$I$15&amp;"名）")</f>
        <v/>
      </c>
      <c r="R3" s="73" t="n"/>
      <c r="S3" s="13">
        <f>IF(設定!$P$17="","",設定!$P$17&amp;"（"&amp;定員チェック!$I$16&amp;"名）")</f>
        <v/>
      </c>
      <c r="T3" s="73" t="n"/>
    </row>
    <row r="4">
      <c r="A4" s="67">
        <f>IF(設定!$P$8="","","担当："&amp;設定!$S$8)</f>
        <v/>
      </c>
      <c r="B4" s="73" t="n"/>
      <c r="C4" s="67">
        <f>IF(設定!$P$9="","","担当："&amp;設定!$S$9)</f>
        <v/>
      </c>
      <c r="D4" s="73" t="n"/>
      <c r="E4" s="67">
        <f>IF(設定!$P$10="","","担当："&amp;設定!$S$10)</f>
        <v/>
      </c>
      <c r="F4" s="73" t="n"/>
      <c r="G4" s="67">
        <f>IF(設定!$P$11="","","担当："&amp;設定!$S$11)</f>
        <v/>
      </c>
      <c r="H4" s="73" t="n"/>
      <c r="I4" s="67">
        <f>IF(設定!$P$12="","","担当："&amp;設定!$S$12)</f>
        <v/>
      </c>
      <c r="J4" s="73" t="n"/>
      <c r="K4" s="67">
        <f>IF(設定!$P$13="","","担当："&amp;設定!$S$13)</f>
        <v/>
      </c>
      <c r="L4" s="73" t="n"/>
      <c r="M4" s="67">
        <f>IF(設定!$P$14="","","担当："&amp;設定!$S$14)</f>
        <v/>
      </c>
      <c r="N4" s="73" t="n"/>
      <c r="O4" s="67">
        <f>IF(設定!$P$15="","","担当："&amp;設定!$S$15)</f>
        <v/>
      </c>
      <c r="P4" s="73" t="n"/>
      <c r="Q4" s="67">
        <f>IF(設定!$P$16="","","担当："&amp;設定!$S$16)</f>
        <v/>
      </c>
      <c r="R4" s="73" t="n"/>
      <c r="S4" s="67">
        <f>IF(設定!$P$17="","","担当："&amp;設定!$S$17)</f>
        <v/>
      </c>
      <c r="T4" s="73" t="n"/>
    </row>
    <row r="5">
      <c r="A5" s="67">
        <f>IF(設定!$P$8="","","場所："&amp;設定!$T$8)</f>
        <v/>
      </c>
      <c r="B5" s="73" t="n"/>
      <c r="C5" s="67">
        <f>IF(設定!$P$9="","","場所："&amp;設定!$T$9)</f>
        <v/>
      </c>
      <c r="D5" s="73" t="n"/>
      <c r="E5" s="67">
        <f>IF(設定!$P$10="","","場所："&amp;設定!$T$10)</f>
        <v/>
      </c>
      <c r="F5" s="73" t="n"/>
      <c r="G5" s="67">
        <f>IF(設定!$P$11="","","場所："&amp;設定!$T$11)</f>
        <v/>
      </c>
      <c r="H5" s="73" t="n"/>
      <c r="I5" s="67">
        <f>IF(設定!$P$12="","","場所："&amp;設定!$T$12)</f>
        <v/>
      </c>
      <c r="J5" s="73" t="n"/>
      <c r="K5" s="67">
        <f>IF(設定!$P$13="","","場所："&amp;設定!$T$13)</f>
        <v/>
      </c>
      <c r="L5" s="73" t="n"/>
      <c r="M5" s="67">
        <f>IF(設定!$P$14="","","場所："&amp;設定!$T$14)</f>
        <v/>
      </c>
      <c r="N5" s="73" t="n"/>
      <c r="O5" s="67">
        <f>IF(設定!$P$15="","","場所："&amp;設定!$T$15)</f>
        <v/>
      </c>
      <c r="P5" s="73" t="n"/>
      <c r="Q5" s="67">
        <f>IF(設定!$P$16="","","場所："&amp;設定!$T$16)</f>
        <v/>
      </c>
      <c r="R5" s="73" t="n"/>
      <c r="S5" s="67">
        <f>IF(設定!$P$17="","","場所："&amp;設定!$T$17)</f>
        <v/>
      </c>
      <c r="T5" s="73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7">
        <f>IF(計算用!$J$3="","",IF(計算用!$B$1=1,INDEX(計算用!$F$3:$F$452,計算用!$J$3),INDEX(振り分け!$B$7:$B$456,計算用!$J$3)))</f>
        <v/>
      </c>
      <c r="B7" s="68">
        <f>IF(計算用!$J$3="","",IF(計算用!$B$1=1,INDEX(計算用!$H$3:$H$452,計算用!$J$3),INDEX(振り分け!$D$7:$D$456,計算用!$J$3)))</f>
        <v/>
      </c>
      <c r="C7" s="67">
        <f>IF(計算用!$K$3="","",IF(計算用!$B$1=1,INDEX(計算用!$F$3:$F$452,計算用!$K$3),INDEX(振り分け!$B$7:$B$456,計算用!$K$3)))</f>
        <v/>
      </c>
      <c r="D7" s="68">
        <f>IF(計算用!$K$3="","",IF(計算用!$B$1=1,INDEX(計算用!$H$3:$H$452,計算用!$K$3),INDEX(振り分け!$D$7:$D$456,計算用!$K$3)))</f>
        <v/>
      </c>
      <c r="E7" s="67">
        <f>IF(計算用!$L$3="","",IF(計算用!$B$1=1,INDEX(計算用!$F$3:$F$452,計算用!$L$3),INDEX(振り分け!$B$7:$B$456,計算用!$L$3)))</f>
        <v/>
      </c>
      <c r="F7" s="68">
        <f>IF(計算用!$L$3="","",IF(計算用!$B$1=1,INDEX(計算用!$H$3:$H$452,計算用!$L$3),INDEX(振り分け!$D$7:$D$456,計算用!$L$3)))</f>
        <v/>
      </c>
      <c r="G7" s="67">
        <f>IF(計算用!$M$3="","",IF(計算用!$B$1=1,INDEX(計算用!$F$3:$F$452,計算用!$M$3),INDEX(振り分け!$B$7:$B$456,計算用!$M$3)))</f>
        <v/>
      </c>
      <c r="H7" s="68">
        <f>IF(計算用!$M$3="","",IF(計算用!$B$1=1,INDEX(計算用!$H$3:$H$452,計算用!$M$3),INDEX(振り分け!$D$7:$D$456,計算用!$M$3)))</f>
        <v/>
      </c>
      <c r="I7" s="67">
        <f>IF(計算用!$N$3="","",IF(計算用!$B$1=1,INDEX(計算用!$F$3:$F$452,計算用!$N$3),INDEX(振り分け!$B$7:$B$456,計算用!$N$3)))</f>
        <v/>
      </c>
      <c r="J7" s="68">
        <f>IF(計算用!$N$3="","",IF(計算用!$B$1=1,INDEX(計算用!$H$3:$H$452,計算用!$N$3),INDEX(振り分け!$D$7:$D$456,計算用!$N$3)))</f>
        <v/>
      </c>
      <c r="K7" s="67">
        <f>IF(計算用!$O$3="","",IF(計算用!$B$1=1,INDEX(計算用!$F$3:$F$452,計算用!$O$3),INDEX(振り分け!$B$7:$B$456,計算用!$O$3)))</f>
        <v/>
      </c>
      <c r="L7" s="68">
        <f>IF(計算用!$O$3="","",IF(計算用!$B$1=1,INDEX(計算用!$H$3:$H$452,計算用!$O$3),INDEX(振り分け!$D$7:$D$456,計算用!$O$3)))</f>
        <v/>
      </c>
      <c r="M7" s="67">
        <f>IF(計算用!$P$3="","",IF(計算用!$B$1=1,INDEX(計算用!$F$3:$F$452,計算用!$P$3),INDEX(振り分け!$B$7:$B$456,計算用!$P$3)))</f>
        <v/>
      </c>
      <c r="N7" s="68">
        <f>IF(計算用!$P$3="","",IF(計算用!$B$1=1,INDEX(計算用!$H$3:$H$452,計算用!$P$3),INDEX(振り分け!$D$7:$D$456,計算用!$P$3)))</f>
        <v/>
      </c>
      <c r="O7" s="67">
        <f>IF(計算用!$Q$3="","",IF(計算用!$B$1=1,INDEX(計算用!$F$3:$F$452,計算用!$Q$3),INDEX(振り分け!$B$7:$B$456,計算用!$Q$3)))</f>
        <v/>
      </c>
      <c r="P7" s="68">
        <f>IF(計算用!$Q$3="","",IF(計算用!$B$1=1,INDEX(計算用!$H$3:$H$452,計算用!$Q$3),INDEX(振り分け!$D$7:$D$456,計算用!$Q$3)))</f>
        <v/>
      </c>
      <c r="Q7" s="67">
        <f>IF(計算用!$R$3="","",IF(計算用!$B$1=1,INDEX(計算用!$F$3:$F$452,計算用!$R$3),INDEX(振り分け!$B$7:$B$456,計算用!$R$3)))</f>
        <v/>
      </c>
      <c r="R7" s="68">
        <f>IF(計算用!$R$3="","",IF(計算用!$B$1=1,INDEX(計算用!$H$3:$H$452,計算用!$R$3),INDEX(振り分け!$D$7:$D$456,計算用!$R$3)))</f>
        <v/>
      </c>
      <c r="S7" s="67">
        <f>IF(計算用!$S$3="","",IF(計算用!$B$1=1,INDEX(計算用!$F$3:$F$452,計算用!$S$3),INDEX(振り分け!$B$7:$B$456,計算用!$S$3)))</f>
        <v/>
      </c>
      <c r="T7" s="68">
        <f>IF(計算用!$S$3="","",IF(計算用!$B$1=1,INDEX(計算用!$H$3:$H$452,計算用!$S$3),INDEX(振り分け!$D$7:$D$456,計算用!$S$3)))</f>
        <v/>
      </c>
    </row>
    <row r="8">
      <c r="A8" s="67">
        <f>IF(計算用!$J$4="","",IF(計算用!$B$1=1,INDEX(計算用!$F$3:$F$452,計算用!$J$4),INDEX(振り分け!$B$7:$B$456,計算用!$J$4)))</f>
        <v/>
      </c>
      <c r="B8" s="68">
        <f>IF(計算用!$J$4="","",IF(計算用!$B$1=1,INDEX(計算用!$H$3:$H$452,計算用!$J$4),INDEX(振り分け!$D$7:$D$456,計算用!$J$4)))</f>
        <v/>
      </c>
      <c r="C8" s="67">
        <f>IF(計算用!$K$4="","",IF(計算用!$B$1=1,INDEX(計算用!$F$3:$F$452,計算用!$K$4),INDEX(振り分け!$B$7:$B$456,計算用!$K$4)))</f>
        <v/>
      </c>
      <c r="D8" s="68">
        <f>IF(計算用!$K$4="","",IF(計算用!$B$1=1,INDEX(計算用!$H$3:$H$452,計算用!$K$4),INDEX(振り分け!$D$7:$D$456,計算用!$K$4)))</f>
        <v/>
      </c>
      <c r="E8" s="67">
        <f>IF(計算用!$L$4="","",IF(計算用!$B$1=1,INDEX(計算用!$F$3:$F$452,計算用!$L$4),INDEX(振り分け!$B$7:$B$456,計算用!$L$4)))</f>
        <v/>
      </c>
      <c r="F8" s="68">
        <f>IF(計算用!$L$4="","",IF(計算用!$B$1=1,INDEX(計算用!$H$3:$H$452,計算用!$L$4),INDEX(振り分け!$D$7:$D$456,計算用!$L$4)))</f>
        <v/>
      </c>
      <c r="G8" s="67">
        <f>IF(計算用!$M$4="","",IF(計算用!$B$1=1,INDEX(計算用!$F$3:$F$452,計算用!$M$4),INDEX(振り分け!$B$7:$B$456,計算用!$M$4)))</f>
        <v/>
      </c>
      <c r="H8" s="68">
        <f>IF(計算用!$M$4="","",IF(計算用!$B$1=1,INDEX(計算用!$H$3:$H$452,計算用!$M$4),INDEX(振り分け!$D$7:$D$456,計算用!$M$4)))</f>
        <v/>
      </c>
      <c r="I8" s="67">
        <f>IF(計算用!$N$4="","",IF(計算用!$B$1=1,INDEX(計算用!$F$3:$F$452,計算用!$N$4),INDEX(振り分け!$B$7:$B$456,計算用!$N$4)))</f>
        <v/>
      </c>
      <c r="J8" s="68">
        <f>IF(計算用!$N$4="","",IF(計算用!$B$1=1,INDEX(計算用!$H$3:$H$452,計算用!$N$4),INDEX(振り分け!$D$7:$D$456,計算用!$N$4)))</f>
        <v/>
      </c>
      <c r="K8" s="67">
        <f>IF(計算用!$O$4="","",IF(計算用!$B$1=1,INDEX(計算用!$F$3:$F$452,計算用!$O$4),INDEX(振り分け!$B$7:$B$456,計算用!$O$4)))</f>
        <v/>
      </c>
      <c r="L8" s="68">
        <f>IF(計算用!$O$4="","",IF(計算用!$B$1=1,INDEX(計算用!$H$3:$H$452,計算用!$O$4),INDEX(振り分け!$D$7:$D$456,計算用!$O$4)))</f>
        <v/>
      </c>
      <c r="M8" s="67">
        <f>IF(計算用!$P$4="","",IF(計算用!$B$1=1,INDEX(計算用!$F$3:$F$452,計算用!$P$4),INDEX(振り分け!$B$7:$B$456,計算用!$P$4)))</f>
        <v/>
      </c>
      <c r="N8" s="68">
        <f>IF(計算用!$P$4="","",IF(計算用!$B$1=1,INDEX(計算用!$H$3:$H$452,計算用!$P$4),INDEX(振り分け!$D$7:$D$456,計算用!$P$4)))</f>
        <v/>
      </c>
      <c r="O8" s="67">
        <f>IF(計算用!$Q$4="","",IF(計算用!$B$1=1,INDEX(計算用!$F$3:$F$452,計算用!$Q$4),INDEX(振り分け!$B$7:$B$456,計算用!$Q$4)))</f>
        <v/>
      </c>
      <c r="P8" s="68">
        <f>IF(計算用!$Q$4="","",IF(計算用!$B$1=1,INDEX(計算用!$H$3:$H$452,計算用!$Q$4),INDEX(振り分け!$D$7:$D$456,計算用!$Q$4)))</f>
        <v/>
      </c>
      <c r="Q8" s="67">
        <f>IF(計算用!$R$4="","",IF(計算用!$B$1=1,INDEX(計算用!$F$3:$F$452,計算用!$R$4),INDEX(振り分け!$B$7:$B$456,計算用!$R$4)))</f>
        <v/>
      </c>
      <c r="R8" s="68">
        <f>IF(計算用!$R$4="","",IF(計算用!$B$1=1,INDEX(計算用!$H$3:$H$452,計算用!$R$4),INDEX(振り分け!$D$7:$D$456,計算用!$R$4)))</f>
        <v/>
      </c>
      <c r="S8" s="67">
        <f>IF(計算用!$S$4="","",IF(計算用!$B$1=1,INDEX(計算用!$F$3:$F$452,計算用!$S$4),INDEX(振り分け!$B$7:$B$456,計算用!$S$4)))</f>
        <v/>
      </c>
      <c r="T8" s="68">
        <f>IF(計算用!$S$4="","",IF(計算用!$B$1=1,INDEX(計算用!$H$3:$H$452,計算用!$S$4),INDEX(振り分け!$D$7:$D$456,計算用!$S$4)))</f>
        <v/>
      </c>
    </row>
    <row r="9">
      <c r="A9" s="67">
        <f>IF(計算用!$J$5="","",IF(計算用!$B$1=1,INDEX(計算用!$F$3:$F$452,計算用!$J$5),INDEX(振り分け!$B$7:$B$456,計算用!$J$5)))</f>
        <v/>
      </c>
      <c r="B9" s="68">
        <f>IF(計算用!$J$5="","",IF(計算用!$B$1=1,INDEX(計算用!$H$3:$H$452,計算用!$J$5),INDEX(振り分け!$D$7:$D$456,計算用!$J$5)))</f>
        <v/>
      </c>
      <c r="C9" s="67">
        <f>IF(計算用!$K$5="","",IF(計算用!$B$1=1,INDEX(計算用!$F$3:$F$452,計算用!$K$5),INDEX(振り分け!$B$7:$B$456,計算用!$K$5)))</f>
        <v/>
      </c>
      <c r="D9" s="68">
        <f>IF(計算用!$K$5="","",IF(計算用!$B$1=1,INDEX(計算用!$H$3:$H$452,計算用!$K$5),INDEX(振り分け!$D$7:$D$456,計算用!$K$5)))</f>
        <v/>
      </c>
      <c r="E9" s="67">
        <f>IF(計算用!$L$5="","",IF(計算用!$B$1=1,INDEX(計算用!$F$3:$F$452,計算用!$L$5),INDEX(振り分け!$B$7:$B$456,計算用!$L$5)))</f>
        <v/>
      </c>
      <c r="F9" s="68">
        <f>IF(計算用!$L$5="","",IF(計算用!$B$1=1,INDEX(計算用!$H$3:$H$452,計算用!$L$5),INDEX(振り分け!$D$7:$D$456,計算用!$L$5)))</f>
        <v/>
      </c>
      <c r="G9" s="67">
        <f>IF(計算用!$M$5="","",IF(計算用!$B$1=1,INDEX(計算用!$F$3:$F$452,計算用!$M$5),INDEX(振り分け!$B$7:$B$456,計算用!$M$5)))</f>
        <v/>
      </c>
      <c r="H9" s="68">
        <f>IF(計算用!$M$5="","",IF(計算用!$B$1=1,INDEX(計算用!$H$3:$H$452,計算用!$M$5),INDEX(振り分け!$D$7:$D$456,計算用!$M$5)))</f>
        <v/>
      </c>
      <c r="I9" s="67">
        <f>IF(計算用!$N$5="","",IF(計算用!$B$1=1,INDEX(計算用!$F$3:$F$452,計算用!$N$5),INDEX(振り分け!$B$7:$B$456,計算用!$N$5)))</f>
        <v/>
      </c>
      <c r="J9" s="68">
        <f>IF(計算用!$N$5="","",IF(計算用!$B$1=1,INDEX(計算用!$H$3:$H$452,計算用!$N$5),INDEX(振り分け!$D$7:$D$456,計算用!$N$5)))</f>
        <v/>
      </c>
      <c r="K9" s="67">
        <f>IF(計算用!$O$5="","",IF(計算用!$B$1=1,INDEX(計算用!$F$3:$F$452,計算用!$O$5),INDEX(振り分け!$B$7:$B$456,計算用!$O$5)))</f>
        <v/>
      </c>
      <c r="L9" s="68">
        <f>IF(計算用!$O$5="","",IF(計算用!$B$1=1,INDEX(計算用!$H$3:$H$452,計算用!$O$5),INDEX(振り分け!$D$7:$D$456,計算用!$O$5)))</f>
        <v/>
      </c>
      <c r="M9" s="67">
        <f>IF(計算用!$P$5="","",IF(計算用!$B$1=1,INDEX(計算用!$F$3:$F$452,計算用!$P$5),INDEX(振り分け!$B$7:$B$456,計算用!$P$5)))</f>
        <v/>
      </c>
      <c r="N9" s="68">
        <f>IF(計算用!$P$5="","",IF(計算用!$B$1=1,INDEX(計算用!$H$3:$H$452,計算用!$P$5),INDEX(振り分け!$D$7:$D$456,計算用!$P$5)))</f>
        <v/>
      </c>
      <c r="O9" s="67">
        <f>IF(計算用!$Q$5="","",IF(計算用!$B$1=1,INDEX(計算用!$F$3:$F$452,計算用!$Q$5),INDEX(振り分け!$B$7:$B$456,計算用!$Q$5)))</f>
        <v/>
      </c>
      <c r="P9" s="68">
        <f>IF(計算用!$Q$5="","",IF(計算用!$B$1=1,INDEX(計算用!$H$3:$H$452,計算用!$Q$5),INDEX(振り分け!$D$7:$D$456,計算用!$Q$5)))</f>
        <v/>
      </c>
      <c r="Q9" s="67">
        <f>IF(計算用!$R$5="","",IF(計算用!$B$1=1,INDEX(計算用!$F$3:$F$452,計算用!$R$5),INDEX(振り分け!$B$7:$B$456,計算用!$R$5)))</f>
        <v/>
      </c>
      <c r="R9" s="68">
        <f>IF(計算用!$R$5="","",IF(計算用!$B$1=1,INDEX(計算用!$H$3:$H$452,計算用!$R$5),INDEX(振り分け!$D$7:$D$456,計算用!$R$5)))</f>
        <v/>
      </c>
      <c r="S9" s="67">
        <f>IF(計算用!$S$5="","",IF(計算用!$B$1=1,INDEX(計算用!$F$3:$F$452,計算用!$S$5),INDEX(振り分け!$B$7:$B$456,計算用!$S$5)))</f>
        <v/>
      </c>
      <c r="T9" s="68">
        <f>IF(計算用!$S$5="","",IF(計算用!$B$1=1,INDEX(計算用!$H$3:$H$452,計算用!$S$5),INDEX(振り分け!$D$7:$D$456,計算用!$S$5)))</f>
        <v/>
      </c>
    </row>
    <row r="10">
      <c r="A10" s="67">
        <f>IF(計算用!$J$6="","",IF(計算用!$B$1=1,INDEX(計算用!$F$3:$F$452,計算用!$J$6),INDEX(振り分け!$B$7:$B$456,計算用!$J$6)))</f>
        <v/>
      </c>
      <c r="B10" s="68">
        <f>IF(計算用!$J$6="","",IF(計算用!$B$1=1,INDEX(計算用!$H$3:$H$452,計算用!$J$6),INDEX(振り分け!$D$7:$D$456,計算用!$J$6)))</f>
        <v/>
      </c>
      <c r="C10" s="67">
        <f>IF(計算用!$K$6="","",IF(計算用!$B$1=1,INDEX(計算用!$F$3:$F$452,計算用!$K$6),INDEX(振り分け!$B$7:$B$456,計算用!$K$6)))</f>
        <v/>
      </c>
      <c r="D10" s="68">
        <f>IF(計算用!$K$6="","",IF(計算用!$B$1=1,INDEX(計算用!$H$3:$H$452,計算用!$K$6),INDEX(振り分け!$D$7:$D$456,計算用!$K$6)))</f>
        <v/>
      </c>
      <c r="E10" s="67">
        <f>IF(計算用!$L$6="","",IF(計算用!$B$1=1,INDEX(計算用!$F$3:$F$452,計算用!$L$6),INDEX(振り分け!$B$7:$B$456,計算用!$L$6)))</f>
        <v/>
      </c>
      <c r="F10" s="68">
        <f>IF(計算用!$L$6="","",IF(計算用!$B$1=1,INDEX(計算用!$H$3:$H$452,計算用!$L$6),INDEX(振り分け!$D$7:$D$456,計算用!$L$6)))</f>
        <v/>
      </c>
      <c r="G10" s="67">
        <f>IF(計算用!$M$6="","",IF(計算用!$B$1=1,INDEX(計算用!$F$3:$F$452,計算用!$M$6),INDEX(振り分け!$B$7:$B$456,計算用!$M$6)))</f>
        <v/>
      </c>
      <c r="H10" s="68">
        <f>IF(計算用!$M$6="","",IF(計算用!$B$1=1,INDEX(計算用!$H$3:$H$452,計算用!$M$6),INDEX(振り分け!$D$7:$D$456,計算用!$M$6)))</f>
        <v/>
      </c>
      <c r="I10" s="67">
        <f>IF(計算用!$N$6="","",IF(計算用!$B$1=1,INDEX(計算用!$F$3:$F$452,計算用!$N$6),INDEX(振り分け!$B$7:$B$456,計算用!$N$6)))</f>
        <v/>
      </c>
      <c r="J10" s="68">
        <f>IF(計算用!$N$6="","",IF(計算用!$B$1=1,INDEX(計算用!$H$3:$H$452,計算用!$N$6),INDEX(振り分け!$D$7:$D$456,計算用!$N$6)))</f>
        <v/>
      </c>
      <c r="K10" s="67">
        <f>IF(計算用!$O$6="","",IF(計算用!$B$1=1,INDEX(計算用!$F$3:$F$452,計算用!$O$6),INDEX(振り分け!$B$7:$B$456,計算用!$O$6)))</f>
        <v/>
      </c>
      <c r="L10" s="68">
        <f>IF(計算用!$O$6="","",IF(計算用!$B$1=1,INDEX(計算用!$H$3:$H$452,計算用!$O$6),INDEX(振り分け!$D$7:$D$456,計算用!$O$6)))</f>
        <v/>
      </c>
      <c r="M10" s="67">
        <f>IF(計算用!$P$6="","",IF(計算用!$B$1=1,INDEX(計算用!$F$3:$F$452,計算用!$P$6),INDEX(振り分け!$B$7:$B$456,計算用!$P$6)))</f>
        <v/>
      </c>
      <c r="N10" s="68">
        <f>IF(計算用!$P$6="","",IF(計算用!$B$1=1,INDEX(計算用!$H$3:$H$452,計算用!$P$6),INDEX(振り分け!$D$7:$D$456,計算用!$P$6)))</f>
        <v/>
      </c>
      <c r="O10" s="67">
        <f>IF(計算用!$Q$6="","",IF(計算用!$B$1=1,INDEX(計算用!$F$3:$F$452,計算用!$Q$6),INDEX(振り分け!$B$7:$B$456,計算用!$Q$6)))</f>
        <v/>
      </c>
      <c r="P10" s="68">
        <f>IF(計算用!$Q$6="","",IF(計算用!$B$1=1,INDEX(計算用!$H$3:$H$452,計算用!$Q$6),INDEX(振り分け!$D$7:$D$456,計算用!$Q$6)))</f>
        <v/>
      </c>
      <c r="Q10" s="67">
        <f>IF(計算用!$R$6="","",IF(計算用!$B$1=1,INDEX(計算用!$F$3:$F$452,計算用!$R$6),INDEX(振り分け!$B$7:$B$456,計算用!$R$6)))</f>
        <v/>
      </c>
      <c r="R10" s="68">
        <f>IF(計算用!$R$6="","",IF(計算用!$B$1=1,INDEX(計算用!$H$3:$H$452,計算用!$R$6),INDEX(振り分け!$D$7:$D$456,計算用!$R$6)))</f>
        <v/>
      </c>
      <c r="S10" s="67">
        <f>IF(計算用!$S$6="","",IF(計算用!$B$1=1,INDEX(計算用!$F$3:$F$452,計算用!$S$6),INDEX(振り分け!$B$7:$B$456,計算用!$S$6)))</f>
        <v/>
      </c>
      <c r="T10" s="68">
        <f>IF(計算用!$S$6="","",IF(計算用!$B$1=1,INDEX(計算用!$H$3:$H$452,計算用!$S$6),INDEX(振り分け!$D$7:$D$456,計算用!$S$6)))</f>
        <v/>
      </c>
    </row>
    <row r="11">
      <c r="A11" s="67">
        <f>IF(計算用!$J$7="","",IF(計算用!$B$1=1,INDEX(計算用!$F$3:$F$452,計算用!$J$7),INDEX(振り分け!$B$7:$B$456,計算用!$J$7)))</f>
        <v/>
      </c>
      <c r="B11" s="68">
        <f>IF(計算用!$J$7="","",IF(計算用!$B$1=1,INDEX(計算用!$H$3:$H$452,計算用!$J$7),INDEX(振り分け!$D$7:$D$456,計算用!$J$7)))</f>
        <v/>
      </c>
      <c r="C11" s="67">
        <f>IF(計算用!$K$7="","",IF(計算用!$B$1=1,INDEX(計算用!$F$3:$F$452,計算用!$K$7),INDEX(振り分け!$B$7:$B$456,計算用!$K$7)))</f>
        <v/>
      </c>
      <c r="D11" s="68">
        <f>IF(計算用!$K$7="","",IF(計算用!$B$1=1,INDEX(計算用!$H$3:$H$452,計算用!$K$7),INDEX(振り分け!$D$7:$D$456,計算用!$K$7)))</f>
        <v/>
      </c>
      <c r="E11" s="67">
        <f>IF(計算用!$L$7="","",IF(計算用!$B$1=1,INDEX(計算用!$F$3:$F$452,計算用!$L$7),INDEX(振り分け!$B$7:$B$456,計算用!$L$7)))</f>
        <v/>
      </c>
      <c r="F11" s="68">
        <f>IF(計算用!$L$7="","",IF(計算用!$B$1=1,INDEX(計算用!$H$3:$H$452,計算用!$L$7),INDEX(振り分け!$D$7:$D$456,計算用!$L$7)))</f>
        <v/>
      </c>
      <c r="G11" s="67">
        <f>IF(計算用!$M$7="","",IF(計算用!$B$1=1,INDEX(計算用!$F$3:$F$452,計算用!$M$7),INDEX(振り分け!$B$7:$B$456,計算用!$M$7)))</f>
        <v/>
      </c>
      <c r="H11" s="68">
        <f>IF(計算用!$M$7="","",IF(計算用!$B$1=1,INDEX(計算用!$H$3:$H$452,計算用!$M$7),INDEX(振り分け!$D$7:$D$456,計算用!$M$7)))</f>
        <v/>
      </c>
      <c r="I11" s="67">
        <f>IF(計算用!$N$7="","",IF(計算用!$B$1=1,INDEX(計算用!$F$3:$F$452,計算用!$N$7),INDEX(振り分け!$B$7:$B$456,計算用!$N$7)))</f>
        <v/>
      </c>
      <c r="J11" s="68">
        <f>IF(計算用!$N$7="","",IF(計算用!$B$1=1,INDEX(計算用!$H$3:$H$452,計算用!$N$7),INDEX(振り分け!$D$7:$D$456,計算用!$N$7)))</f>
        <v/>
      </c>
      <c r="K11" s="67">
        <f>IF(計算用!$O$7="","",IF(計算用!$B$1=1,INDEX(計算用!$F$3:$F$452,計算用!$O$7),INDEX(振り分け!$B$7:$B$456,計算用!$O$7)))</f>
        <v/>
      </c>
      <c r="L11" s="68">
        <f>IF(計算用!$O$7="","",IF(計算用!$B$1=1,INDEX(計算用!$H$3:$H$452,計算用!$O$7),INDEX(振り分け!$D$7:$D$456,計算用!$O$7)))</f>
        <v/>
      </c>
      <c r="M11" s="67">
        <f>IF(計算用!$P$7="","",IF(計算用!$B$1=1,INDEX(計算用!$F$3:$F$452,計算用!$P$7),INDEX(振り分け!$B$7:$B$456,計算用!$P$7)))</f>
        <v/>
      </c>
      <c r="N11" s="68">
        <f>IF(計算用!$P$7="","",IF(計算用!$B$1=1,INDEX(計算用!$H$3:$H$452,計算用!$P$7),INDEX(振り分け!$D$7:$D$456,計算用!$P$7)))</f>
        <v/>
      </c>
      <c r="O11" s="67">
        <f>IF(計算用!$Q$7="","",IF(計算用!$B$1=1,INDEX(計算用!$F$3:$F$452,計算用!$Q$7),INDEX(振り分け!$B$7:$B$456,計算用!$Q$7)))</f>
        <v/>
      </c>
      <c r="P11" s="68">
        <f>IF(計算用!$Q$7="","",IF(計算用!$B$1=1,INDEX(計算用!$H$3:$H$452,計算用!$Q$7),INDEX(振り分け!$D$7:$D$456,計算用!$Q$7)))</f>
        <v/>
      </c>
      <c r="Q11" s="67">
        <f>IF(計算用!$R$7="","",IF(計算用!$B$1=1,INDEX(計算用!$F$3:$F$452,計算用!$R$7),INDEX(振り分け!$B$7:$B$456,計算用!$R$7)))</f>
        <v/>
      </c>
      <c r="R11" s="68">
        <f>IF(計算用!$R$7="","",IF(計算用!$B$1=1,INDEX(計算用!$H$3:$H$452,計算用!$R$7),INDEX(振り分け!$D$7:$D$456,計算用!$R$7)))</f>
        <v/>
      </c>
      <c r="S11" s="67">
        <f>IF(計算用!$S$7="","",IF(計算用!$B$1=1,INDEX(計算用!$F$3:$F$452,計算用!$S$7),INDEX(振り分け!$B$7:$B$456,計算用!$S$7)))</f>
        <v/>
      </c>
      <c r="T11" s="68">
        <f>IF(計算用!$S$7="","",IF(計算用!$B$1=1,INDEX(計算用!$H$3:$H$452,計算用!$S$7),INDEX(振り分け!$D$7:$D$456,計算用!$S$7)))</f>
        <v/>
      </c>
    </row>
    <row r="12">
      <c r="A12" s="67">
        <f>IF(計算用!$J$8="","",IF(計算用!$B$1=1,INDEX(計算用!$F$3:$F$452,計算用!$J$8),INDEX(振り分け!$B$7:$B$456,計算用!$J$8)))</f>
        <v/>
      </c>
      <c r="B12" s="68">
        <f>IF(計算用!$J$8="","",IF(計算用!$B$1=1,INDEX(計算用!$H$3:$H$452,計算用!$J$8),INDEX(振り分け!$D$7:$D$456,計算用!$J$8)))</f>
        <v/>
      </c>
      <c r="C12" s="67">
        <f>IF(計算用!$K$8="","",IF(計算用!$B$1=1,INDEX(計算用!$F$3:$F$452,計算用!$K$8),INDEX(振り分け!$B$7:$B$456,計算用!$K$8)))</f>
        <v/>
      </c>
      <c r="D12" s="68">
        <f>IF(計算用!$K$8="","",IF(計算用!$B$1=1,INDEX(計算用!$H$3:$H$452,計算用!$K$8),INDEX(振り分け!$D$7:$D$456,計算用!$K$8)))</f>
        <v/>
      </c>
      <c r="E12" s="67">
        <f>IF(計算用!$L$8="","",IF(計算用!$B$1=1,INDEX(計算用!$F$3:$F$452,計算用!$L$8),INDEX(振り分け!$B$7:$B$456,計算用!$L$8)))</f>
        <v/>
      </c>
      <c r="F12" s="68">
        <f>IF(計算用!$L$8="","",IF(計算用!$B$1=1,INDEX(計算用!$H$3:$H$452,計算用!$L$8),INDEX(振り分け!$D$7:$D$456,計算用!$L$8)))</f>
        <v/>
      </c>
      <c r="G12" s="67">
        <f>IF(計算用!$M$8="","",IF(計算用!$B$1=1,INDEX(計算用!$F$3:$F$452,計算用!$M$8),INDEX(振り分け!$B$7:$B$456,計算用!$M$8)))</f>
        <v/>
      </c>
      <c r="H12" s="68">
        <f>IF(計算用!$M$8="","",IF(計算用!$B$1=1,INDEX(計算用!$H$3:$H$452,計算用!$M$8),INDEX(振り分け!$D$7:$D$456,計算用!$M$8)))</f>
        <v/>
      </c>
      <c r="I12" s="67">
        <f>IF(計算用!$N$8="","",IF(計算用!$B$1=1,INDEX(計算用!$F$3:$F$452,計算用!$N$8),INDEX(振り分け!$B$7:$B$456,計算用!$N$8)))</f>
        <v/>
      </c>
      <c r="J12" s="68">
        <f>IF(計算用!$N$8="","",IF(計算用!$B$1=1,INDEX(計算用!$H$3:$H$452,計算用!$N$8),INDEX(振り分け!$D$7:$D$456,計算用!$N$8)))</f>
        <v/>
      </c>
      <c r="K12" s="67">
        <f>IF(計算用!$O$8="","",IF(計算用!$B$1=1,INDEX(計算用!$F$3:$F$452,計算用!$O$8),INDEX(振り分け!$B$7:$B$456,計算用!$O$8)))</f>
        <v/>
      </c>
      <c r="L12" s="68">
        <f>IF(計算用!$O$8="","",IF(計算用!$B$1=1,INDEX(計算用!$H$3:$H$452,計算用!$O$8),INDEX(振り分け!$D$7:$D$456,計算用!$O$8)))</f>
        <v/>
      </c>
      <c r="M12" s="67">
        <f>IF(計算用!$P$8="","",IF(計算用!$B$1=1,INDEX(計算用!$F$3:$F$452,計算用!$P$8),INDEX(振り分け!$B$7:$B$456,計算用!$P$8)))</f>
        <v/>
      </c>
      <c r="N12" s="68">
        <f>IF(計算用!$P$8="","",IF(計算用!$B$1=1,INDEX(計算用!$H$3:$H$452,計算用!$P$8),INDEX(振り分け!$D$7:$D$456,計算用!$P$8)))</f>
        <v/>
      </c>
      <c r="O12" s="67">
        <f>IF(計算用!$Q$8="","",IF(計算用!$B$1=1,INDEX(計算用!$F$3:$F$452,計算用!$Q$8),INDEX(振り分け!$B$7:$B$456,計算用!$Q$8)))</f>
        <v/>
      </c>
      <c r="P12" s="68">
        <f>IF(計算用!$Q$8="","",IF(計算用!$B$1=1,INDEX(計算用!$H$3:$H$452,計算用!$Q$8),INDEX(振り分け!$D$7:$D$456,計算用!$Q$8)))</f>
        <v/>
      </c>
      <c r="Q12" s="67">
        <f>IF(計算用!$R$8="","",IF(計算用!$B$1=1,INDEX(計算用!$F$3:$F$452,計算用!$R$8),INDEX(振り分け!$B$7:$B$456,計算用!$R$8)))</f>
        <v/>
      </c>
      <c r="R12" s="68">
        <f>IF(計算用!$R$8="","",IF(計算用!$B$1=1,INDEX(計算用!$H$3:$H$452,計算用!$R$8),INDEX(振り分け!$D$7:$D$456,計算用!$R$8)))</f>
        <v/>
      </c>
      <c r="S12" s="67">
        <f>IF(計算用!$S$8="","",IF(計算用!$B$1=1,INDEX(計算用!$F$3:$F$452,計算用!$S$8),INDEX(振り分け!$B$7:$B$456,計算用!$S$8)))</f>
        <v/>
      </c>
      <c r="T12" s="68">
        <f>IF(計算用!$S$8="","",IF(計算用!$B$1=1,INDEX(計算用!$H$3:$H$452,計算用!$S$8),INDEX(振り分け!$D$7:$D$456,計算用!$S$8)))</f>
        <v/>
      </c>
    </row>
    <row r="13">
      <c r="A13" s="67">
        <f>IF(計算用!$J$9="","",IF(計算用!$B$1=1,INDEX(計算用!$F$3:$F$452,計算用!$J$9),INDEX(振り分け!$B$7:$B$456,計算用!$J$9)))</f>
        <v/>
      </c>
      <c r="B13" s="68">
        <f>IF(計算用!$J$9="","",IF(計算用!$B$1=1,INDEX(計算用!$H$3:$H$452,計算用!$J$9),INDEX(振り分け!$D$7:$D$456,計算用!$J$9)))</f>
        <v/>
      </c>
      <c r="C13" s="67">
        <f>IF(計算用!$K$9="","",IF(計算用!$B$1=1,INDEX(計算用!$F$3:$F$452,計算用!$K$9),INDEX(振り分け!$B$7:$B$456,計算用!$K$9)))</f>
        <v/>
      </c>
      <c r="D13" s="68">
        <f>IF(計算用!$K$9="","",IF(計算用!$B$1=1,INDEX(計算用!$H$3:$H$452,計算用!$K$9),INDEX(振り分け!$D$7:$D$456,計算用!$K$9)))</f>
        <v/>
      </c>
      <c r="E13" s="67">
        <f>IF(計算用!$L$9="","",IF(計算用!$B$1=1,INDEX(計算用!$F$3:$F$452,計算用!$L$9),INDEX(振り分け!$B$7:$B$456,計算用!$L$9)))</f>
        <v/>
      </c>
      <c r="F13" s="68">
        <f>IF(計算用!$L$9="","",IF(計算用!$B$1=1,INDEX(計算用!$H$3:$H$452,計算用!$L$9),INDEX(振り分け!$D$7:$D$456,計算用!$L$9)))</f>
        <v/>
      </c>
      <c r="G13" s="67">
        <f>IF(計算用!$M$9="","",IF(計算用!$B$1=1,INDEX(計算用!$F$3:$F$452,計算用!$M$9),INDEX(振り分け!$B$7:$B$456,計算用!$M$9)))</f>
        <v/>
      </c>
      <c r="H13" s="68">
        <f>IF(計算用!$M$9="","",IF(計算用!$B$1=1,INDEX(計算用!$H$3:$H$452,計算用!$M$9),INDEX(振り分け!$D$7:$D$456,計算用!$M$9)))</f>
        <v/>
      </c>
      <c r="I13" s="67">
        <f>IF(計算用!$N$9="","",IF(計算用!$B$1=1,INDEX(計算用!$F$3:$F$452,計算用!$N$9),INDEX(振り分け!$B$7:$B$456,計算用!$N$9)))</f>
        <v/>
      </c>
      <c r="J13" s="68">
        <f>IF(計算用!$N$9="","",IF(計算用!$B$1=1,INDEX(計算用!$H$3:$H$452,計算用!$N$9),INDEX(振り分け!$D$7:$D$456,計算用!$N$9)))</f>
        <v/>
      </c>
      <c r="K13" s="67">
        <f>IF(計算用!$O$9="","",IF(計算用!$B$1=1,INDEX(計算用!$F$3:$F$452,計算用!$O$9),INDEX(振り分け!$B$7:$B$456,計算用!$O$9)))</f>
        <v/>
      </c>
      <c r="L13" s="68">
        <f>IF(計算用!$O$9="","",IF(計算用!$B$1=1,INDEX(計算用!$H$3:$H$452,計算用!$O$9),INDEX(振り分け!$D$7:$D$456,計算用!$O$9)))</f>
        <v/>
      </c>
      <c r="M13" s="67">
        <f>IF(計算用!$P$9="","",IF(計算用!$B$1=1,INDEX(計算用!$F$3:$F$452,計算用!$P$9),INDEX(振り分け!$B$7:$B$456,計算用!$P$9)))</f>
        <v/>
      </c>
      <c r="N13" s="68">
        <f>IF(計算用!$P$9="","",IF(計算用!$B$1=1,INDEX(計算用!$H$3:$H$452,計算用!$P$9),INDEX(振り分け!$D$7:$D$456,計算用!$P$9)))</f>
        <v/>
      </c>
      <c r="O13" s="67">
        <f>IF(計算用!$Q$9="","",IF(計算用!$B$1=1,INDEX(計算用!$F$3:$F$452,計算用!$Q$9),INDEX(振り分け!$B$7:$B$456,計算用!$Q$9)))</f>
        <v/>
      </c>
      <c r="P13" s="68">
        <f>IF(計算用!$Q$9="","",IF(計算用!$B$1=1,INDEX(計算用!$H$3:$H$452,計算用!$Q$9),INDEX(振り分け!$D$7:$D$456,計算用!$Q$9)))</f>
        <v/>
      </c>
      <c r="Q13" s="67">
        <f>IF(計算用!$R$9="","",IF(計算用!$B$1=1,INDEX(計算用!$F$3:$F$452,計算用!$R$9),INDEX(振り分け!$B$7:$B$456,計算用!$R$9)))</f>
        <v/>
      </c>
      <c r="R13" s="68">
        <f>IF(計算用!$R$9="","",IF(計算用!$B$1=1,INDEX(計算用!$H$3:$H$452,計算用!$R$9),INDEX(振り分け!$D$7:$D$456,計算用!$R$9)))</f>
        <v/>
      </c>
      <c r="S13" s="67">
        <f>IF(計算用!$S$9="","",IF(計算用!$B$1=1,INDEX(計算用!$F$3:$F$452,計算用!$S$9),INDEX(振り分け!$B$7:$B$456,計算用!$S$9)))</f>
        <v/>
      </c>
      <c r="T13" s="68">
        <f>IF(計算用!$S$9="","",IF(計算用!$B$1=1,INDEX(計算用!$H$3:$H$452,計算用!$S$9),INDEX(振り分け!$D$7:$D$456,計算用!$S$9)))</f>
        <v/>
      </c>
    </row>
    <row r="14">
      <c r="A14" s="67">
        <f>IF(計算用!$J$10="","",IF(計算用!$B$1=1,INDEX(計算用!$F$3:$F$452,計算用!$J$10),INDEX(振り分け!$B$7:$B$456,計算用!$J$10)))</f>
        <v/>
      </c>
      <c r="B14" s="68">
        <f>IF(計算用!$J$10="","",IF(計算用!$B$1=1,INDEX(計算用!$H$3:$H$452,計算用!$J$10),INDEX(振り分け!$D$7:$D$456,計算用!$J$10)))</f>
        <v/>
      </c>
      <c r="C14" s="67">
        <f>IF(計算用!$K$10="","",IF(計算用!$B$1=1,INDEX(計算用!$F$3:$F$452,計算用!$K$10),INDEX(振り分け!$B$7:$B$456,計算用!$K$10)))</f>
        <v/>
      </c>
      <c r="D14" s="68">
        <f>IF(計算用!$K$10="","",IF(計算用!$B$1=1,INDEX(計算用!$H$3:$H$452,計算用!$K$10),INDEX(振り分け!$D$7:$D$456,計算用!$K$10)))</f>
        <v/>
      </c>
      <c r="E14" s="67">
        <f>IF(計算用!$L$10="","",IF(計算用!$B$1=1,INDEX(計算用!$F$3:$F$452,計算用!$L$10),INDEX(振り分け!$B$7:$B$456,計算用!$L$10)))</f>
        <v/>
      </c>
      <c r="F14" s="68">
        <f>IF(計算用!$L$10="","",IF(計算用!$B$1=1,INDEX(計算用!$H$3:$H$452,計算用!$L$10),INDEX(振り分け!$D$7:$D$456,計算用!$L$10)))</f>
        <v/>
      </c>
      <c r="G14" s="67">
        <f>IF(計算用!$M$10="","",IF(計算用!$B$1=1,INDEX(計算用!$F$3:$F$452,計算用!$M$10),INDEX(振り分け!$B$7:$B$456,計算用!$M$10)))</f>
        <v/>
      </c>
      <c r="H14" s="68">
        <f>IF(計算用!$M$10="","",IF(計算用!$B$1=1,INDEX(計算用!$H$3:$H$452,計算用!$M$10),INDEX(振り分け!$D$7:$D$456,計算用!$M$10)))</f>
        <v/>
      </c>
      <c r="I14" s="67">
        <f>IF(計算用!$N$10="","",IF(計算用!$B$1=1,INDEX(計算用!$F$3:$F$452,計算用!$N$10),INDEX(振り分け!$B$7:$B$456,計算用!$N$10)))</f>
        <v/>
      </c>
      <c r="J14" s="68">
        <f>IF(計算用!$N$10="","",IF(計算用!$B$1=1,INDEX(計算用!$H$3:$H$452,計算用!$N$10),INDEX(振り分け!$D$7:$D$456,計算用!$N$10)))</f>
        <v/>
      </c>
      <c r="K14" s="67">
        <f>IF(計算用!$O$10="","",IF(計算用!$B$1=1,INDEX(計算用!$F$3:$F$452,計算用!$O$10),INDEX(振り分け!$B$7:$B$456,計算用!$O$10)))</f>
        <v/>
      </c>
      <c r="L14" s="68">
        <f>IF(計算用!$O$10="","",IF(計算用!$B$1=1,INDEX(計算用!$H$3:$H$452,計算用!$O$10),INDEX(振り分け!$D$7:$D$456,計算用!$O$10)))</f>
        <v/>
      </c>
      <c r="M14" s="67">
        <f>IF(計算用!$P$10="","",IF(計算用!$B$1=1,INDEX(計算用!$F$3:$F$452,計算用!$P$10),INDEX(振り分け!$B$7:$B$456,計算用!$P$10)))</f>
        <v/>
      </c>
      <c r="N14" s="68">
        <f>IF(計算用!$P$10="","",IF(計算用!$B$1=1,INDEX(計算用!$H$3:$H$452,計算用!$P$10),INDEX(振り分け!$D$7:$D$456,計算用!$P$10)))</f>
        <v/>
      </c>
      <c r="O14" s="67">
        <f>IF(計算用!$Q$10="","",IF(計算用!$B$1=1,INDEX(計算用!$F$3:$F$452,計算用!$Q$10),INDEX(振り分け!$B$7:$B$456,計算用!$Q$10)))</f>
        <v/>
      </c>
      <c r="P14" s="68">
        <f>IF(計算用!$Q$10="","",IF(計算用!$B$1=1,INDEX(計算用!$H$3:$H$452,計算用!$Q$10),INDEX(振り分け!$D$7:$D$456,計算用!$Q$10)))</f>
        <v/>
      </c>
      <c r="Q14" s="67">
        <f>IF(計算用!$R$10="","",IF(計算用!$B$1=1,INDEX(計算用!$F$3:$F$452,計算用!$R$10),INDEX(振り分け!$B$7:$B$456,計算用!$R$10)))</f>
        <v/>
      </c>
      <c r="R14" s="68">
        <f>IF(計算用!$R$10="","",IF(計算用!$B$1=1,INDEX(計算用!$H$3:$H$452,計算用!$R$10),INDEX(振り分け!$D$7:$D$456,計算用!$R$10)))</f>
        <v/>
      </c>
      <c r="S14" s="67">
        <f>IF(計算用!$S$10="","",IF(計算用!$B$1=1,INDEX(計算用!$F$3:$F$452,計算用!$S$10),INDEX(振り分け!$B$7:$B$456,計算用!$S$10)))</f>
        <v/>
      </c>
      <c r="T14" s="68">
        <f>IF(計算用!$S$10="","",IF(計算用!$B$1=1,INDEX(計算用!$H$3:$H$452,計算用!$S$10),INDEX(振り分け!$D$7:$D$456,計算用!$S$10)))</f>
        <v/>
      </c>
    </row>
    <row r="15">
      <c r="A15" s="67">
        <f>IF(計算用!$J$11="","",IF(計算用!$B$1=1,INDEX(計算用!$F$3:$F$452,計算用!$J$11),INDEX(振り分け!$B$7:$B$456,計算用!$J$11)))</f>
        <v/>
      </c>
      <c r="B15" s="68">
        <f>IF(計算用!$J$11="","",IF(計算用!$B$1=1,INDEX(計算用!$H$3:$H$452,計算用!$J$11),INDEX(振り分け!$D$7:$D$456,計算用!$J$11)))</f>
        <v/>
      </c>
      <c r="C15" s="67">
        <f>IF(計算用!$K$11="","",IF(計算用!$B$1=1,INDEX(計算用!$F$3:$F$452,計算用!$K$11),INDEX(振り分け!$B$7:$B$456,計算用!$K$11)))</f>
        <v/>
      </c>
      <c r="D15" s="68">
        <f>IF(計算用!$K$11="","",IF(計算用!$B$1=1,INDEX(計算用!$H$3:$H$452,計算用!$K$11),INDEX(振り分け!$D$7:$D$456,計算用!$K$11)))</f>
        <v/>
      </c>
      <c r="E15" s="67">
        <f>IF(計算用!$L$11="","",IF(計算用!$B$1=1,INDEX(計算用!$F$3:$F$452,計算用!$L$11),INDEX(振り分け!$B$7:$B$456,計算用!$L$11)))</f>
        <v/>
      </c>
      <c r="F15" s="68">
        <f>IF(計算用!$L$11="","",IF(計算用!$B$1=1,INDEX(計算用!$H$3:$H$452,計算用!$L$11),INDEX(振り分け!$D$7:$D$456,計算用!$L$11)))</f>
        <v/>
      </c>
      <c r="G15" s="67">
        <f>IF(計算用!$M$11="","",IF(計算用!$B$1=1,INDEX(計算用!$F$3:$F$452,計算用!$M$11),INDEX(振り分け!$B$7:$B$456,計算用!$M$11)))</f>
        <v/>
      </c>
      <c r="H15" s="68">
        <f>IF(計算用!$M$11="","",IF(計算用!$B$1=1,INDEX(計算用!$H$3:$H$452,計算用!$M$11),INDEX(振り分け!$D$7:$D$456,計算用!$M$11)))</f>
        <v/>
      </c>
      <c r="I15" s="67">
        <f>IF(計算用!$N$11="","",IF(計算用!$B$1=1,INDEX(計算用!$F$3:$F$452,計算用!$N$11),INDEX(振り分け!$B$7:$B$456,計算用!$N$11)))</f>
        <v/>
      </c>
      <c r="J15" s="68">
        <f>IF(計算用!$N$11="","",IF(計算用!$B$1=1,INDEX(計算用!$H$3:$H$452,計算用!$N$11),INDEX(振り分け!$D$7:$D$456,計算用!$N$11)))</f>
        <v/>
      </c>
      <c r="K15" s="67">
        <f>IF(計算用!$O$11="","",IF(計算用!$B$1=1,INDEX(計算用!$F$3:$F$452,計算用!$O$11),INDEX(振り分け!$B$7:$B$456,計算用!$O$11)))</f>
        <v/>
      </c>
      <c r="L15" s="68">
        <f>IF(計算用!$O$11="","",IF(計算用!$B$1=1,INDEX(計算用!$H$3:$H$452,計算用!$O$11),INDEX(振り分け!$D$7:$D$456,計算用!$O$11)))</f>
        <v/>
      </c>
      <c r="M15" s="67">
        <f>IF(計算用!$P$11="","",IF(計算用!$B$1=1,INDEX(計算用!$F$3:$F$452,計算用!$P$11),INDEX(振り分け!$B$7:$B$456,計算用!$P$11)))</f>
        <v/>
      </c>
      <c r="N15" s="68">
        <f>IF(計算用!$P$11="","",IF(計算用!$B$1=1,INDEX(計算用!$H$3:$H$452,計算用!$P$11),INDEX(振り分け!$D$7:$D$456,計算用!$P$11)))</f>
        <v/>
      </c>
      <c r="O15" s="67">
        <f>IF(計算用!$Q$11="","",IF(計算用!$B$1=1,INDEX(計算用!$F$3:$F$452,計算用!$Q$11),INDEX(振り分け!$B$7:$B$456,計算用!$Q$11)))</f>
        <v/>
      </c>
      <c r="P15" s="68">
        <f>IF(計算用!$Q$11="","",IF(計算用!$B$1=1,INDEX(計算用!$H$3:$H$452,計算用!$Q$11),INDEX(振り分け!$D$7:$D$456,計算用!$Q$11)))</f>
        <v/>
      </c>
      <c r="Q15" s="67">
        <f>IF(計算用!$R$11="","",IF(計算用!$B$1=1,INDEX(計算用!$F$3:$F$452,計算用!$R$11),INDEX(振り分け!$B$7:$B$456,計算用!$R$11)))</f>
        <v/>
      </c>
      <c r="R15" s="68">
        <f>IF(計算用!$R$11="","",IF(計算用!$B$1=1,INDEX(計算用!$H$3:$H$452,計算用!$R$11),INDEX(振り分け!$D$7:$D$456,計算用!$R$11)))</f>
        <v/>
      </c>
      <c r="S15" s="67">
        <f>IF(計算用!$S$11="","",IF(計算用!$B$1=1,INDEX(計算用!$F$3:$F$452,計算用!$S$11),INDEX(振り分け!$B$7:$B$456,計算用!$S$11)))</f>
        <v/>
      </c>
      <c r="T15" s="68">
        <f>IF(計算用!$S$11="","",IF(計算用!$B$1=1,INDEX(計算用!$H$3:$H$452,計算用!$S$11),INDEX(振り分け!$D$7:$D$456,計算用!$S$11)))</f>
        <v/>
      </c>
    </row>
    <row r="16">
      <c r="A16" s="67">
        <f>IF(計算用!$J$12="","",IF(計算用!$B$1=1,INDEX(計算用!$F$3:$F$452,計算用!$J$12),INDEX(振り分け!$B$7:$B$456,計算用!$J$12)))</f>
        <v/>
      </c>
      <c r="B16" s="68">
        <f>IF(計算用!$J$12="","",IF(計算用!$B$1=1,INDEX(計算用!$H$3:$H$452,計算用!$J$12),INDEX(振り分け!$D$7:$D$456,計算用!$J$12)))</f>
        <v/>
      </c>
      <c r="C16" s="67">
        <f>IF(計算用!$K$12="","",IF(計算用!$B$1=1,INDEX(計算用!$F$3:$F$452,計算用!$K$12),INDEX(振り分け!$B$7:$B$456,計算用!$K$12)))</f>
        <v/>
      </c>
      <c r="D16" s="68">
        <f>IF(計算用!$K$12="","",IF(計算用!$B$1=1,INDEX(計算用!$H$3:$H$452,計算用!$K$12),INDEX(振り分け!$D$7:$D$456,計算用!$K$12)))</f>
        <v/>
      </c>
      <c r="E16" s="67">
        <f>IF(計算用!$L$12="","",IF(計算用!$B$1=1,INDEX(計算用!$F$3:$F$452,計算用!$L$12),INDEX(振り分け!$B$7:$B$456,計算用!$L$12)))</f>
        <v/>
      </c>
      <c r="F16" s="68">
        <f>IF(計算用!$L$12="","",IF(計算用!$B$1=1,INDEX(計算用!$H$3:$H$452,計算用!$L$12),INDEX(振り分け!$D$7:$D$456,計算用!$L$12)))</f>
        <v/>
      </c>
      <c r="G16" s="67">
        <f>IF(計算用!$M$12="","",IF(計算用!$B$1=1,INDEX(計算用!$F$3:$F$452,計算用!$M$12),INDEX(振り分け!$B$7:$B$456,計算用!$M$12)))</f>
        <v/>
      </c>
      <c r="H16" s="68">
        <f>IF(計算用!$M$12="","",IF(計算用!$B$1=1,INDEX(計算用!$H$3:$H$452,計算用!$M$12),INDEX(振り分け!$D$7:$D$456,計算用!$M$12)))</f>
        <v/>
      </c>
      <c r="I16" s="67">
        <f>IF(計算用!$N$12="","",IF(計算用!$B$1=1,INDEX(計算用!$F$3:$F$452,計算用!$N$12),INDEX(振り分け!$B$7:$B$456,計算用!$N$12)))</f>
        <v/>
      </c>
      <c r="J16" s="68">
        <f>IF(計算用!$N$12="","",IF(計算用!$B$1=1,INDEX(計算用!$H$3:$H$452,計算用!$N$12),INDEX(振り分け!$D$7:$D$456,計算用!$N$12)))</f>
        <v/>
      </c>
      <c r="K16" s="67">
        <f>IF(計算用!$O$12="","",IF(計算用!$B$1=1,INDEX(計算用!$F$3:$F$452,計算用!$O$12),INDEX(振り分け!$B$7:$B$456,計算用!$O$12)))</f>
        <v/>
      </c>
      <c r="L16" s="68">
        <f>IF(計算用!$O$12="","",IF(計算用!$B$1=1,INDEX(計算用!$H$3:$H$452,計算用!$O$12),INDEX(振り分け!$D$7:$D$456,計算用!$O$12)))</f>
        <v/>
      </c>
      <c r="M16" s="67">
        <f>IF(計算用!$P$12="","",IF(計算用!$B$1=1,INDEX(計算用!$F$3:$F$452,計算用!$P$12),INDEX(振り分け!$B$7:$B$456,計算用!$P$12)))</f>
        <v/>
      </c>
      <c r="N16" s="68">
        <f>IF(計算用!$P$12="","",IF(計算用!$B$1=1,INDEX(計算用!$H$3:$H$452,計算用!$P$12),INDEX(振り分け!$D$7:$D$456,計算用!$P$12)))</f>
        <v/>
      </c>
      <c r="O16" s="67">
        <f>IF(計算用!$Q$12="","",IF(計算用!$B$1=1,INDEX(計算用!$F$3:$F$452,計算用!$Q$12),INDEX(振り分け!$B$7:$B$456,計算用!$Q$12)))</f>
        <v/>
      </c>
      <c r="P16" s="68">
        <f>IF(計算用!$Q$12="","",IF(計算用!$B$1=1,INDEX(計算用!$H$3:$H$452,計算用!$Q$12),INDEX(振り分け!$D$7:$D$456,計算用!$Q$12)))</f>
        <v/>
      </c>
      <c r="Q16" s="67">
        <f>IF(計算用!$R$12="","",IF(計算用!$B$1=1,INDEX(計算用!$F$3:$F$452,計算用!$R$12),INDEX(振り分け!$B$7:$B$456,計算用!$R$12)))</f>
        <v/>
      </c>
      <c r="R16" s="68">
        <f>IF(計算用!$R$12="","",IF(計算用!$B$1=1,INDEX(計算用!$H$3:$H$452,計算用!$R$12),INDEX(振り分け!$D$7:$D$456,計算用!$R$12)))</f>
        <v/>
      </c>
      <c r="S16" s="67">
        <f>IF(計算用!$S$12="","",IF(計算用!$B$1=1,INDEX(計算用!$F$3:$F$452,計算用!$S$12),INDEX(振り分け!$B$7:$B$456,計算用!$S$12)))</f>
        <v/>
      </c>
      <c r="T16" s="68">
        <f>IF(計算用!$S$12="","",IF(計算用!$B$1=1,INDEX(計算用!$H$3:$H$452,計算用!$S$12),INDEX(振り分け!$D$7:$D$456,計算用!$S$12)))</f>
        <v/>
      </c>
    </row>
    <row r="17">
      <c r="A17" s="67">
        <f>IF(計算用!$J$13="","",IF(計算用!$B$1=1,INDEX(計算用!$F$3:$F$452,計算用!$J$13),INDEX(振り分け!$B$7:$B$456,計算用!$J$13)))</f>
        <v/>
      </c>
      <c r="B17" s="68">
        <f>IF(計算用!$J$13="","",IF(計算用!$B$1=1,INDEX(計算用!$H$3:$H$452,計算用!$J$13),INDEX(振り分け!$D$7:$D$456,計算用!$J$13)))</f>
        <v/>
      </c>
      <c r="C17" s="67">
        <f>IF(計算用!$K$13="","",IF(計算用!$B$1=1,INDEX(計算用!$F$3:$F$452,計算用!$K$13),INDEX(振り分け!$B$7:$B$456,計算用!$K$13)))</f>
        <v/>
      </c>
      <c r="D17" s="68">
        <f>IF(計算用!$K$13="","",IF(計算用!$B$1=1,INDEX(計算用!$H$3:$H$452,計算用!$K$13),INDEX(振り分け!$D$7:$D$456,計算用!$K$13)))</f>
        <v/>
      </c>
      <c r="E17" s="67">
        <f>IF(計算用!$L$13="","",IF(計算用!$B$1=1,INDEX(計算用!$F$3:$F$452,計算用!$L$13),INDEX(振り分け!$B$7:$B$456,計算用!$L$13)))</f>
        <v/>
      </c>
      <c r="F17" s="68">
        <f>IF(計算用!$L$13="","",IF(計算用!$B$1=1,INDEX(計算用!$H$3:$H$452,計算用!$L$13),INDEX(振り分け!$D$7:$D$456,計算用!$L$13)))</f>
        <v/>
      </c>
      <c r="G17" s="67">
        <f>IF(計算用!$M$13="","",IF(計算用!$B$1=1,INDEX(計算用!$F$3:$F$452,計算用!$M$13),INDEX(振り分け!$B$7:$B$456,計算用!$M$13)))</f>
        <v/>
      </c>
      <c r="H17" s="68">
        <f>IF(計算用!$M$13="","",IF(計算用!$B$1=1,INDEX(計算用!$H$3:$H$452,計算用!$M$13),INDEX(振り分け!$D$7:$D$456,計算用!$M$13)))</f>
        <v/>
      </c>
      <c r="I17" s="67">
        <f>IF(計算用!$N$13="","",IF(計算用!$B$1=1,INDEX(計算用!$F$3:$F$452,計算用!$N$13),INDEX(振り分け!$B$7:$B$456,計算用!$N$13)))</f>
        <v/>
      </c>
      <c r="J17" s="68">
        <f>IF(計算用!$N$13="","",IF(計算用!$B$1=1,INDEX(計算用!$H$3:$H$452,計算用!$N$13),INDEX(振り分け!$D$7:$D$456,計算用!$N$13)))</f>
        <v/>
      </c>
      <c r="K17" s="67">
        <f>IF(計算用!$O$13="","",IF(計算用!$B$1=1,INDEX(計算用!$F$3:$F$452,計算用!$O$13),INDEX(振り分け!$B$7:$B$456,計算用!$O$13)))</f>
        <v/>
      </c>
      <c r="L17" s="68">
        <f>IF(計算用!$O$13="","",IF(計算用!$B$1=1,INDEX(計算用!$H$3:$H$452,計算用!$O$13),INDEX(振り分け!$D$7:$D$456,計算用!$O$13)))</f>
        <v/>
      </c>
      <c r="M17" s="67">
        <f>IF(計算用!$P$13="","",IF(計算用!$B$1=1,INDEX(計算用!$F$3:$F$452,計算用!$P$13),INDEX(振り分け!$B$7:$B$456,計算用!$P$13)))</f>
        <v/>
      </c>
      <c r="N17" s="68">
        <f>IF(計算用!$P$13="","",IF(計算用!$B$1=1,INDEX(計算用!$H$3:$H$452,計算用!$P$13),INDEX(振り分け!$D$7:$D$456,計算用!$P$13)))</f>
        <v/>
      </c>
      <c r="O17" s="67">
        <f>IF(計算用!$Q$13="","",IF(計算用!$B$1=1,INDEX(計算用!$F$3:$F$452,計算用!$Q$13),INDEX(振り分け!$B$7:$B$456,計算用!$Q$13)))</f>
        <v/>
      </c>
      <c r="P17" s="68">
        <f>IF(計算用!$Q$13="","",IF(計算用!$B$1=1,INDEX(計算用!$H$3:$H$452,計算用!$Q$13),INDEX(振り分け!$D$7:$D$456,計算用!$Q$13)))</f>
        <v/>
      </c>
      <c r="Q17" s="67">
        <f>IF(計算用!$R$13="","",IF(計算用!$B$1=1,INDEX(計算用!$F$3:$F$452,計算用!$R$13),INDEX(振り分け!$B$7:$B$456,計算用!$R$13)))</f>
        <v/>
      </c>
      <c r="R17" s="68">
        <f>IF(計算用!$R$13="","",IF(計算用!$B$1=1,INDEX(計算用!$H$3:$H$452,計算用!$R$13),INDEX(振り分け!$D$7:$D$456,計算用!$R$13)))</f>
        <v/>
      </c>
      <c r="S17" s="67">
        <f>IF(計算用!$S$13="","",IF(計算用!$B$1=1,INDEX(計算用!$F$3:$F$452,計算用!$S$13),INDEX(振り分け!$B$7:$B$456,計算用!$S$13)))</f>
        <v/>
      </c>
      <c r="T17" s="68">
        <f>IF(計算用!$S$13="","",IF(計算用!$B$1=1,INDEX(計算用!$H$3:$H$452,計算用!$S$13),INDEX(振り分け!$D$7:$D$456,計算用!$S$13)))</f>
        <v/>
      </c>
    </row>
    <row r="18">
      <c r="A18" s="67">
        <f>IF(計算用!$J$14="","",IF(計算用!$B$1=1,INDEX(計算用!$F$3:$F$452,計算用!$J$14),INDEX(振り分け!$B$7:$B$456,計算用!$J$14)))</f>
        <v/>
      </c>
      <c r="B18" s="68">
        <f>IF(計算用!$J$14="","",IF(計算用!$B$1=1,INDEX(計算用!$H$3:$H$452,計算用!$J$14),INDEX(振り分け!$D$7:$D$456,計算用!$J$14)))</f>
        <v/>
      </c>
      <c r="C18" s="67">
        <f>IF(計算用!$K$14="","",IF(計算用!$B$1=1,INDEX(計算用!$F$3:$F$452,計算用!$K$14),INDEX(振り分け!$B$7:$B$456,計算用!$K$14)))</f>
        <v/>
      </c>
      <c r="D18" s="68">
        <f>IF(計算用!$K$14="","",IF(計算用!$B$1=1,INDEX(計算用!$H$3:$H$452,計算用!$K$14),INDEX(振り分け!$D$7:$D$456,計算用!$K$14)))</f>
        <v/>
      </c>
      <c r="E18" s="67">
        <f>IF(計算用!$L$14="","",IF(計算用!$B$1=1,INDEX(計算用!$F$3:$F$452,計算用!$L$14),INDEX(振り分け!$B$7:$B$456,計算用!$L$14)))</f>
        <v/>
      </c>
      <c r="F18" s="68">
        <f>IF(計算用!$L$14="","",IF(計算用!$B$1=1,INDEX(計算用!$H$3:$H$452,計算用!$L$14),INDEX(振り分け!$D$7:$D$456,計算用!$L$14)))</f>
        <v/>
      </c>
      <c r="G18" s="67">
        <f>IF(計算用!$M$14="","",IF(計算用!$B$1=1,INDEX(計算用!$F$3:$F$452,計算用!$M$14),INDEX(振り分け!$B$7:$B$456,計算用!$M$14)))</f>
        <v/>
      </c>
      <c r="H18" s="68">
        <f>IF(計算用!$M$14="","",IF(計算用!$B$1=1,INDEX(計算用!$H$3:$H$452,計算用!$M$14),INDEX(振り分け!$D$7:$D$456,計算用!$M$14)))</f>
        <v/>
      </c>
      <c r="I18" s="67">
        <f>IF(計算用!$N$14="","",IF(計算用!$B$1=1,INDEX(計算用!$F$3:$F$452,計算用!$N$14),INDEX(振り分け!$B$7:$B$456,計算用!$N$14)))</f>
        <v/>
      </c>
      <c r="J18" s="68">
        <f>IF(計算用!$N$14="","",IF(計算用!$B$1=1,INDEX(計算用!$H$3:$H$452,計算用!$N$14),INDEX(振り分け!$D$7:$D$456,計算用!$N$14)))</f>
        <v/>
      </c>
      <c r="K18" s="67">
        <f>IF(計算用!$O$14="","",IF(計算用!$B$1=1,INDEX(計算用!$F$3:$F$452,計算用!$O$14),INDEX(振り分け!$B$7:$B$456,計算用!$O$14)))</f>
        <v/>
      </c>
      <c r="L18" s="68">
        <f>IF(計算用!$O$14="","",IF(計算用!$B$1=1,INDEX(計算用!$H$3:$H$452,計算用!$O$14),INDEX(振り分け!$D$7:$D$456,計算用!$O$14)))</f>
        <v/>
      </c>
      <c r="M18" s="67">
        <f>IF(計算用!$P$14="","",IF(計算用!$B$1=1,INDEX(計算用!$F$3:$F$452,計算用!$P$14),INDEX(振り分け!$B$7:$B$456,計算用!$P$14)))</f>
        <v/>
      </c>
      <c r="N18" s="68">
        <f>IF(計算用!$P$14="","",IF(計算用!$B$1=1,INDEX(計算用!$H$3:$H$452,計算用!$P$14),INDEX(振り分け!$D$7:$D$456,計算用!$P$14)))</f>
        <v/>
      </c>
      <c r="O18" s="67">
        <f>IF(計算用!$Q$14="","",IF(計算用!$B$1=1,INDEX(計算用!$F$3:$F$452,計算用!$Q$14),INDEX(振り分け!$B$7:$B$456,計算用!$Q$14)))</f>
        <v/>
      </c>
      <c r="P18" s="68">
        <f>IF(計算用!$Q$14="","",IF(計算用!$B$1=1,INDEX(計算用!$H$3:$H$452,計算用!$Q$14),INDEX(振り分け!$D$7:$D$456,計算用!$Q$14)))</f>
        <v/>
      </c>
      <c r="Q18" s="67">
        <f>IF(計算用!$R$14="","",IF(計算用!$B$1=1,INDEX(計算用!$F$3:$F$452,計算用!$R$14),INDEX(振り分け!$B$7:$B$456,計算用!$R$14)))</f>
        <v/>
      </c>
      <c r="R18" s="68">
        <f>IF(計算用!$R$14="","",IF(計算用!$B$1=1,INDEX(計算用!$H$3:$H$452,計算用!$R$14),INDEX(振り分け!$D$7:$D$456,計算用!$R$14)))</f>
        <v/>
      </c>
      <c r="S18" s="67">
        <f>IF(計算用!$S$14="","",IF(計算用!$B$1=1,INDEX(計算用!$F$3:$F$452,計算用!$S$14),INDEX(振り分け!$B$7:$B$456,計算用!$S$14)))</f>
        <v/>
      </c>
      <c r="T18" s="68">
        <f>IF(計算用!$S$14="","",IF(計算用!$B$1=1,INDEX(計算用!$H$3:$H$452,計算用!$S$14),INDEX(振り分け!$D$7:$D$456,計算用!$S$14)))</f>
        <v/>
      </c>
    </row>
    <row r="19">
      <c r="A19" s="67">
        <f>IF(計算用!$J$15="","",IF(計算用!$B$1=1,INDEX(計算用!$F$3:$F$452,計算用!$J$15),INDEX(振り分け!$B$7:$B$456,計算用!$J$15)))</f>
        <v/>
      </c>
      <c r="B19" s="68">
        <f>IF(計算用!$J$15="","",IF(計算用!$B$1=1,INDEX(計算用!$H$3:$H$452,計算用!$J$15),INDEX(振り分け!$D$7:$D$456,計算用!$J$15)))</f>
        <v/>
      </c>
      <c r="C19" s="67">
        <f>IF(計算用!$K$15="","",IF(計算用!$B$1=1,INDEX(計算用!$F$3:$F$452,計算用!$K$15),INDEX(振り分け!$B$7:$B$456,計算用!$K$15)))</f>
        <v/>
      </c>
      <c r="D19" s="68">
        <f>IF(計算用!$K$15="","",IF(計算用!$B$1=1,INDEX(計算用!$H$3:$H$452,計算用!$K$15),INDEX(振り分け!$D$7:$D$456,計算用!$K$15)))</f>
        <v/>
      </c>
      <c r="E19" s="67">
        <f>IF(計算用!$L$15="","",IF(計算用!$B$1=1,INDEX(計算用!$F$3:$F$452,計算用!$L$15),INDEX(振り分け!$B$7:$B$456,計算用!$L$15)))</f>
        <v/>
      </c>
      <c r="F19" s="68">
        <f>IF(計算用!$L$15="","",IF(計算用!$B$1=1,INDEX(計算用!$H$3:$H$452,計算用!$L$15),INDEX(振り分け!$D$7:$D$456,計算用!$L$15)))</f>
        <v/>
      </c>
      <c r="G19" s="67">
        <f>IF(計算用!$M$15="","",IF(計算用!$B$1=1,INDEX(計算用!$F$3:$F$452,計算用!$M$15),INDEX(振り分け!$B$7:$B$456,計算用!$M$15)))</f>
        <v/>
      </c>
      <c r="H19" s="68">
        <f>IF(計算用!$M$15="","",IF(計算用!$B$1=1,INDEX(計算用!$H$3:$H$452,計算用!$M$15),INDEX(振り分け!$D$7:$D$456,計算用!$M$15)))</f>
        <v/>
      </c>
      <c r="I19" s="67">
        <f>IF(計算用!$N$15="","",IF(計算用!$B$1=1,INDEX(計算用!$F$3:$F$452,計算用!$N$15),INDEX(振り分け!$B$7:$B$456,計算用!$N$15)))</f>
        <v/>
      </c>
      <c r="J19" s="68">
        <f>IF(計算用!$N$15="","",IF(計算用!$B$1=1,INDEX(計算用!$H$3:$H$452,計算用!$N$15),INDEX(振り分け!$D$7:$D$456,計算用!$N$15)))</f>
        <v/>
      </c>
      <c r="K19" s="67">
        <f>IF(計算用!$O$15="","",IF(計算用!$B$1=1,INDEX(計算用!$F$3:$F$452,計算用!$O$15),INDEX(振り分け!$B$7:$B$456,計算用!$O$15)))</f>
        <v/>
      </c>
      <c r="L19" s="68">
        <f>IF(計算用!$O$15="","",IF(計算用!$B$1=1,INDEX(計算用!$H$3:$H$452,計算用!$O$15),INDEX(振り分け!$D$7:$D$456,計算用!$O$15)))</f>
        <v/>
      </c>
      <c r="M19" s="67">
        <f>IF(計算用!$P$15="","",IF(計算用!$B$1=1,INDEX(計算用!$F$3:$F$452,計算用!$P$15),INDEX(振り分け!$B$7:$B$456,計算用!$P$15)))</f>
        <v/>
      </c>
      <c r="N19" s="68">
        <f>IF(計算用!$P$15="","",IF(計算用!$B$1=1,INDEX(計算用!$H$3:$H$452,計算用!$P$15),INDEX(振り分け!$D$7:$D$456,計算用!$P$15)))</f>
        <v/>
      </c>
      <c r="O19" s="67">
        <f>IF(計算用!$Q$15="","",IF(計算用!$B$1=1,INDEX(計算用!$F$3:$F$452,計算用!$Q$15),INDEX(振り分け!$B$7:$B$456,計算用!$Q$15)))</f>
        <v/>
      </c>
      <c r="P19" s="68">
        <f>IF(計算用!$Q$15="","",IF(計算用!$B$1=1,INDEX(計算用!$H$3:$H$452,計算用!$Q$15),INDEX(振り分け!$D$7:$D$456,計算用!$Q$15)))</f>
        <v/>
      </c>
      <c r="Q19" s="67">
        <f>IF(計算用!$R$15="","",IF(計算用!$B$1=1,INDEX(計算用!$F$3:$F$452,計算用!$R$15),INDEX(振り分け!$B$7:$B$456,計算用!$R$15)))</f>
        <v/>
      </c>
      <c r="R19" s="68">
        <f>IF(計算用!$R$15="","",IF(計算用!$B$1=1,INDEX(計算用!$H$3:$H$452,計算用!$R$15),INDEX(振り分け!$D$7:$D$456,計算用!$R$15)))</f>
        <v/>
      </c>
      <c r="S19" s="67">
        <f>IF(計算用!$S$15="","",IF(計算用!$B$1=1,INDEX(計算用!$F$3:$F$452,計算用!$S$15),INDEX(振り分け!$B$7:$B$456,計算用!$S$15)))</f>
        <v/>
      </c>
      <c r="T19" s="68">
        <f>IF(計算用!$S$15="","",IF(計算用!$B$1=1,INDEX(計算用!$H$3:$H$452,計算用!$S$15),INDEX(振り分け!$D$7:$D$456,計算用!$S$15)))</f>
        <v/>
      </c>
    </row>
    <row r="20">
      <c r="A20" s="67">
        <f>IF(計算用!$J$16="","",IF(計算用!$B$1=1,INDEX(計算用!$F$3:$F$452,計算用!$J$16),INDEX(振り分け!$B$7:$B$456,計算用!$J$16)))</f>
        <v/>
      </c>
      <c r="B20" s="68">
        <f>IF(計算用!$J$16="","",IF(計算用!$B$1=1,INDEX(計算用!$H$3:$H$452,計算用!$J$16),INDEX(振り分け!$D$7:$D$456,計算用!$J$16)))</f>
        <v/>
      </c>
      <c r="C20" s="67">
        <f>IF(計算用!$K$16="","",IF(計算用!$B$1=1,INDEX(計算用!$F$3:$F$452,計算用!$K$16),INDEX(振り分け!$B$7:$B$456,計算用!$K$16)))</f>
        <v/>
      </c>
      <c r="D20" s="68">
        <f>IF(計算用!$K$16="","",IF(計算用!$B$1=1,INDEX(計算用!$H$3:$H$452,計算用!$K$16),INDEX(振り分け!$D$7:$D$456,計算用!$K$16)))</f>
        <v/>
      </c>
      <c r="E20" s="67">
        <f>IF(計算用!$L$16="","",IF(計算用!$B$1=1,INDEX(計算用!$F$3:$F$452,計算用!$L$16),INDEX(振り分け!$B$7:$B$456,計算用!$L$16)))</f>
        <v/>
      </c>
      <c r="F20" s="68">
        <f>IF(計算用!$L$16="","",IF(計算用!$B$1=1,INDEX(計算用!$H$3:$H$452,計算用!$L$16),INDEX(振り分け!$D$7:$D$456,計算用!$L$16)))</f>
        <v/>
      </c>
      <c r="G20" s="67">
        <f>IF(計算用!$M$16="","",IF(計算用!$B$1=1,INDEX(計算用!$F$3:$F$452,計算用!$M$16),INDEX(振り分け!$B$7:$B$456,計算用!$M$16)))</f>
        <v/>
      </c>
      <c r="H20" s="68">
        <f>IF(計算用!$M$16="","",IF(計算用!$B$1=1,INDEX(計算用!$H$3:$H$452,計算用!$M$16),INDEX(振り分け!$D$7:$D$456,計算用!$M$16)))</f>
        <v/>
      </c>
      <c r="I20" s="67">
        <f>IF(計算用!$N$16="","",IF(計算用!$B$1=1,INDEX(計算用!$F$3:$F$452,計算用!$N$16),INDEX(振り分け!$B$7:$B$456,計算用!$N$16)))</f>
        <v/>
      </c>
      <c r="J20" s="68">
        <f>IF(計算用!$N$16="","",IF(計算用!$B$1=1,INDEX(計算用!$H$3:$H$452,計算用!$N$16),INDEX(振り分け!$D$7:$D$456,計算用!$N$16)))</f>
        <v/>
      </c>
      <c r="K20" s="67">
        <f>IF(計算用!$O$16="","",IF(計算用!$B$1=1,INDEX(計算用!$F$3:$F$452,計算用!$O$16),INDEX(振り分け!$B$7:$B$456,計算用!$O$16)))</f>
        <v/>
      </c>
      <c r="L20" s="68">
        <f>IF(計算用!$O$16="","",IF(計算用!$B$1=1,INDEX(計算用!$H$3:$H$452,計算用!$O$16),INDEX(振り分け!$D$7:$D$456,計算用!$O$16)))</f>
        <v/>
      </c>
      <c r="M20" s="67">
        <f>IF(計算用!$P$16="","",IF(計算用!$B$1=1,INDEX(計算用!$F$3:$F$452,計算用!$P$16),INDEX(振り分け!$B$7:$B$456,計算用!$P$16)))</f>
        <v/>
      </c>
      <c r="N20" s="68">
        <f>IF(計算用!$P$16="","",IF(計算用!$B$1=1,INDEX(計算用!$H$3:$H$452,計算用!$P$16),INDEX(振り分け!$D$7:$D$456,計算用!$P$16)))</f>
        <v/>
      </c>
      <c r="O20" s="67">
        <f>IF(計算用!$Q$16="","",IF(計算用!$B$1=1,INDEX(計算用!$F$3:$F$452,計算用!$Q$16),INDEX(振り分け!$B$7:$B$456,計算用!$Q$16)))</f>
        <v/>
      </c>
      <c r="P20" s="68">
        <f>IF(計算用!$Q$16="","",IF(計算用!$B$1=1,INDEX(計算用!$H$3:$H$452,計算用!$Q$16),INDEX(振り分け!$D$7:$D$456,計算用!$Q$16)))</f>
        <v/>
      </c>
      <c r="Q20" s="67">
        <f>IF(計算用!$R$16="","",IF(計算用!$B$1=1,INDEX(計算用!$F$3:$F$452,計算用!$R$16),INDEX(振り分け!$B$7:$B$456,計算用!$R$16)))</f>
        <v/>
      </c>
      <c r="R20" s="68">
        <f>IF(計算用!$R$16="","",IF(計算用!$B$1=1,INDEX(計算用!$H$3:$H$452,計算用!$R$16),INDEX(振り分け!$D$7:$D$456,計算用!$R$16)))</f>
        <v/>
      </c>
      <c r="S20" s="67">
        <f>IF(計算用!$S$16="","",IF(計算用!$B$1=1,INDEX(計算用!$F$3:$F$452,計算用!$S$16),INDEX(振り分け!$B$7:$B$456,計算用!$S$16)))</f>
        <v/>
      </c>
      <c r="T20" s="68">
        <f>IF(計算用!$S$16="","",IF(計算用!$B$1=1,INDEX(計算用!$H$3:$H$452,計算用!$S$16),INDEX(振り分け!$D$7:$D$456,計算用!$S$16)))</f>
        <v/>
      </c>
    </row>
    <row r="21">
      <c r="A21" s="67">
        <f>IF(計算用!$J$17="","",IF(計算用!$B$1=1,INDEX(計算用!$F$3:$F$452,計算用!$J$17),INDEX(振り分け!$B$7:$B$456,計算用!$J$17)))</f>
        <v/>
      </c>
      <c r="B21" s="68">
        <f>IF(計算用!$J$17="","",IF(計算用!$B$1=1,INDEX(計算用!$H$3:$H$452,計算用!$J$17),INDEX(振り分け!$D$7:$D$456,計算用!$J$17)))</f>
        <v/>
      </c>
      <c r="C21" s="67">
        <f>IF(計算用!$K$17="","",IF(計算用!$B$1=1,INDEX(計算用!$F$3:$F$452,計算用!$K$17),INDEX(振り分け!$B$7:$B$456,計算用!$K$17)))</f>
        <v/>
      </c>
      <c r="D21" s="68">
        <f>IF(計算用!$K$17="","",IF(計算用!$B$1=1,INDEX(計算用!$H$3:$H$452,計算用!$K$17),INDEX(振り分け!$D$7:$D$456,計算用!$K$17)))</f>
        <v/>
      </c>
      <c r="E21" s="67">
        <f>IF(計算用!$L$17="","",IF(計算用!$B$1=1,INDEX(計算用!$F$3:$F$452,計算用!$L$17),INDEX(振り分け!$B$7:$B$456,計算用!$L$17)))</f>
        <v/>
      </c>
      <c r="F21" s="68">
        <f>IF(計算用!$L$17="","",IF(計算用!$B$1=1,INDEX(計算用!$H$3:$H$452,計算用!$L$17),INDEX(振り分け!$D$7:$D$456,計算用!$L$17)))</f>
        <v/>
      </c>
      <c r="G21" s="67">
        <f>IF(計算用!$M$17="","",IF(計算用!$B$1=1,INDEX(計算用!$F$3:$F$452,計算用!$M$17),INDEX(振り分け!$B$7:$B$456,計算用!$M$17)))</f>
        <v/>
      </c>
      <c r="H21" s="68">
        <f>IF(計算用!$M$17="","",IF(計算用!$B$1=1,INDEX(計算用!$H$3:$H$452,計算用!$M$17),INDEX(振り分け!$D$7:$D$456,計算用!$M$17)))</f>
        <v/>
      </c>
      <c r="I21" s="67">
        <f>IF(計算用!$N$17="","",IF(計算用!$B$1=1,INDEX(計算用!$F$3:$F$452,計算用!$N$17),INDEX(振り分け!$B$7:$B$456,計算用!$N$17)))</f>
        <v/>
      </c>
      <c r="J21" s="68">
        <f>IF(計算用!$N$17="","",IF(計算用!$B$1=1,INDEX(計算用!$H$3:$H$452,計算用!$N$17),INDEX(振り分け!$D$7:$D$456,計算用!$N$17)))</f>
        <v/>
      </c>
      <c r="K21" s="67">
        <f>IF(計算用!$O$17="","",IF(計算用!$B$1=1,INDEX(計算用!$F$3:$F$452,計算用!$O$17),INDEX(振り分け!$B$7:$B$456,計算用!$O$17)))</f>
        <v/>
      </c>
      <c r="L21" s="68">
        <f>IF(計算用!$O$17="","",IF(計算用!$B$1=1,INDEX(計算用!$H$3:$H$452,計算用!$O$17),INDEX(振り分け!$D$7:$D$456,計算用!$O$17)))</f>
        <v/>
      </c>
      <c r="M21" s="67">
        <f>IF(計算用!$P$17="","",IF(計算用!$B$1=1,INDEX(計算用!$F$3:$F$452,計算用!$P$17),INDEX(振り分け!$B$7:$B$456,計算用!$P$17)))</f>
        <v/>
      </c>
      <c r="N21" s="68">
        <f>IF(計算用!$P$17="","",IF(計算用!$B$1=1,INDEX(計算用!$H$3:$H$452,計算用!$P$17),INDEX(振り分け!$D$7:$D$456,計算用!$P$17)))</f>
        <v/>
      </c>
      <c r="O21" s="67">
        <f>IF(計算用!$Q$17="","",IF(計算用!$B$1=1,INDEX(計算用!$F$3:$F$452,計算用!$Q$17),INDEX(振り分け!$B$7:$B$456,計算用!$Q$17)))</f>
        <v/>
      </c>
      <c r="P21" s="68">
        <f>IF(計算用!$Q$17="","",IF(計算用!$B$1=1,INDEX(計算用!$H$3:$H$452,計算用!$Q$17),INDEX(振り分け!$D$7:$D$456,計算用!$Q$17)))</f>
        <v/>
      </c>
      <c r="Q21" s="67">
        <f>IF(計算用!$R$17="","",IF(計算用!$B$1=1,INDEX(計算用!$F$3:$F$452,計算用!$R$17),INDEX(振り分け!$B$7:$B$456,計算用!$R$17)))</f>
        <v/>
      </c>
      <c r="R21" s="68">
        <f>IF(計算用!$R$17="","",IF(計算用!$B$1=1,INDEX(計算用!$H$3:$H$452,計算用!$R$17),INDEX(振り分け!$D$7:$D$456,計算用!$R$17)))</f>
        <v/>
      </c>
      <c r="S21" s="67">
        <f>IF(計算用!$S$17="","",IF(計算用!$B$1=1,INDEX(計算用!$F$3:$F$452,計算用!$S$17),INDEX(振り分け!$B$7:$B$456,計算用!$S$17)))</f>
        <v/>
      </c>
      <c r="T21" s="68">
        <f>IF(計算用!$S$17="","",IF(計算用!$B$1=1,INDEX(計算用!$H$3:$H$452,計算用!$S$17),INDEX(振り分け!$D$7:$D$456,計算用!$S$17)))</f>
        <v/>
      </c>
    </row>
    <row r="22">
      <c r="A22" s="67">
        <f>IF(計算用!$J$18="","",IF(計算用!$B$1=1,INDEX(計算用!$F$3:$F$452,計算用!$J$18),INDEX(振り分け!$B$7:$B$456,計算用!$J$18)))</f>
        <v/>
      </c>
      <c r="B22" s="68">
        <f>IF(計算用!$J$18="","",IF(計算用!$B$1=1,INDEX(計算用!$H$3:$H$452,計算用!$J$18),INDEX(振り分け!$D$7:$D$456,計算用!$J$18)))</f>
        <v/>
      </c>
      <c r="C22" s="67">
        <f>IF(計算用!$K$18="","",IF(計算用!$B$1=1,INDEX(計算用!$F$3:$F$452,計算用!$K$18),INDEX(振り分け!$B$7:$B$456,計算用!$K$18)))</f>
        <v/>
      </c>
      <c r="D22" s="68">
        <f>IF(計算用!$K$18="","",IF(計算用!$B$1=1,INDEX(計算用!$H$3:$H$452,計算用!$K$18),INDEX(振り分け!$D$7:$D$456,計算用!$K$18)))</f>
        <v/>
      </c>
      <c r="E22" s="67">
        <f>IF(計算用!$L$18="","",IF(計算用!$B$1=1,INDEX(計算用!$F$3:$F$452,計算用!$L$18),INDEX(振り分け!$B$7:$B$456,計算用!$L$18)))</f>
        <v/>
      </c>
      <c r="F22" s="68">
        <f>IF(計算用!$L$18="","",IF(計算用!$B$1=1,INDEX(計算用!$H$3:$H$452,計算用!$L$18),INDEX(振り分け!$D$7:$D$456,計算用!$L$18)))</f>
        <v/>
      </c>
      <c r="G22" s="67">
        <f>IF(計算用!$M$18="","",IF(計算用!$B$1=1,INDEX(計算用!$F$3:$F$452,計算用!$M$18),INDEX(振り分け!$B$7:$B$456,計算用!$M$18)))</f>
        <v/>
      </c>
      <c r="H22" s="68">
        <f>IF(計算用!$M$18="","",IF(計算用!$B$1=1,INDEX(計算用!$H$3:$H$452,計算用!$M$18),INDEX(振り分け!$D$7:$D$456,計算用!$M$18)))</f>
        <v/>
      </c>
      <c r="I22" s="67">
        <f>IF(計算用!$N$18="","",IF(計算用!$B$1=1,INDEX(計算用!$F$3:$F$452,計算用!$N$18),INDEX(振り分け!$B$7:$B$456,計算用!$N$18)))</f>
        <v/>
      </c>
      <c r="J22" s="68">
        <f>IF(計算用!$N$18="","",IF(計算用!$B$1=1,INDEX(計算用!$H$3:$H$452,計算用!$N$18),INDEX(振り分け!$D$7:$D$456,計算用!$N$18)))</f>
        <v/>
      </c>
      <c r="K22" s="67">
        <f>IF(計算用!$O$18="","",IF(計算用!$B$1=1,INDEX(計算用!$F$3:$F$452,計算用!$O$18),INDEX(振り分け!$B$7:$B$456,計算用!$O$18)))</f>
        <v/>
      </c>
      <c r="L22" s="68">
        <f>IF(計算用!$O$18="","",IF(計算用!$B$1=1,INDEX(計算用!$H$3:$H$452,計算用!$O$18),INDEX(振り分け!$D$7:$D$456,計算用!$O$18)))</f>
        <v/>
      </c>
      <c r="M22" s="67">
        <f>IF(計算用!$P$18="","",IF(計算用!$B$1=1,INDEX(計算用!$F$3:$F$452,計算用!$P$18),INDEX(振り分け!$B$7:$B$456,計算用!$P$18)))</f>
        <v/>
      </c>
      <c r="N22" s="68">
        <f>IF(計算用!$P$18="","",IF(計算用!$B$1=1,INDEX(計算用!$H$3:$H$452,計算用!$P$18),INDEX(振り分け!$D$7:$D$456,計算用!$P$18)))</f>
        <v/>
      </c>
      <c r="O22" s="67">
        <f>IF(計算用!$Q$18="","",IF(計算用!$B$1=1,INDEX(計算用!$F$3:$F$452,計算用!$Q$18),INDEX(振り分け!$B$7:$B$456,計算用!$Q$18)))</f>
        <v/>
      </c>
      <c r="P22" s="68">
        <f>IF(計算用!$Q$18="","",IF(計算用!$B$1=1,INDEX(計算用!$H$3:$H$452,計算用!$Q$18),INDEX(振り分け!$D$7:$D$456,計算用!$Q$18)))</f>
        <v/>
      </c>
      <c r="Q22" s="67">
        <f>IF(計算用!$R$18="","",IF(計算用!$B$1=1,INDEX(計算用!$F$3:$F$452,計算用!$R$18),INDEX(振り分け!$B$7:$B$456,計算用!$R$18)))</f>
        <v/>
      </c>
      <c r="R22" s="68">
        <f>IF(計算用!$R$18="","",IF(計算用!$B$1=1,INDEX(計算用!$H$3:$H$452,計算用!$R$18),INDEX(振り分け!$D$7:$D$456,計算用!$R$18)))</f>
        <v/>
      </c>
      <c r="S22" s="67">
        <f>IF(計算用!$S$18="","",IF(計算用!$B$1=1,INDEX(計算用!$F$3:$F$452,計算用!$S$18),INDEX(振り分け!$B$7:$B$456,計算用!$S$18)))</f>
        <v/>
      </c>
      <c r="T22" s="68">
        <f>IF(計算用!$S$18="","",IF(計算用!$B$1=1,INDEX(計算用!$H$3:$H$452,計算用!$S$18),INDEX(振り分け!$D$7:$D$456,計算用!$S$18)))</f>
        <v/>
      </c>
    </row>
    <row r="23">
      <c r="A23" s="67">
        <f>IF(計算用!$J$19="","",IF(計算用!$B$1=1,INDEX(計算用!$F$3:$F$452,計算用!$J$19),INDEX(振り分け!$B$7:$B$456,計算用!$J$19)))</f>
        <v/>
      </c>
      <c r="B23" s="68">
        <f>IF(計算用!$J$19="","",IF(計算用!$B$1=1,INDEX(計算用!$H$3:$H$452,計算用!$J$19),INDEX(振り分け!$D$7:$D$456,計算用!$J$19)))</f>
        <v/>
      </c>
      <c r="C23" s="67">
        <f>IF(計算用!$K$19="","",IF(計算用!$B$1=1,INDEX(計算用!$F$3:$F$452,計算用!$K$19),INDEX(振り分け!$B$7:$B$456,計算用!$K$19)))</f>
        <v/>
      </c>
      <c r="D23" s="68">
        <f>IF(計算用!$K$19="","",IF(計算用!$B$1=1,INDEX(計算用!$H$3:$H$452,計算用!$K$19),INDEX(振り分け!$D$7:$D$456,計算用!$K$19)))</f>
        <v/>
      </c>
      <c r="E23" s="67">
        <f>IF(計算用!$L$19="","",IF(計算用!$B$1=1,INDEX(計算用!$F$3:$F$452,計算用!$L$19),INDEX(振り分け!$B$7:$B$456,計算用!$L$19)))</f>
        <v/>
      </c>
      <c r="F23" s="68">
        <f>IF(計算用!$L$19="","",IF(計算用!$B$1=1,INDEX(計算用!$H$3:$H$452,計算用!$L$19),INDEX(振り分け!$D$7:$D$456,計算用!$L$19)))</f>
        <v/>
      </c>
      <c r="G23" s="67">
        <f>IF(計算用!$M$19="","",IF(計算用!$B$1=1,INDEX(計算用!$F$3:$F$452,計算用!$M$19),INDEX(振り分け!$B$7:$B$456,計算用!$M$19)))</f>
        <v/>
      </c>
      <c r="H23" s="68">
        <f>IF(計算用!$M$19="","",IF(計算用!$B$1=1,INDEX(計算用!$H$3:$H$452,計算用!$M$19),INDEX(振り分け!$D$7:$D$456,計算用!$M$19)))</f>
        <v/>
      </c>
      <c r="I23" s="67">
        <f>IF(計算用!$N$19="","",IF(計算用!$B$1=1,INDEX(計算用!$F$3:$F$452,計算用!$N$19),INDEX(振り分け!$B$7:$B$456,計算用!$N$19)))</f>
        <v/>
      </c>
      <c r="J23" s="68">
        <f>IF(計算用!$N$19="","",IF(計算用!$B$1=1,INDEX(計算用!$H$3:$H$452,計算用!$N$19),INDEX(振り分け!$D$7:$D$456,計算用!$N$19)))</f>
        <v/>
      </c>
      <c r="K23" s="67">
        <f>IF(計算用!$O$19="","",IF(計算用!$B$1=1,INDEX(計算用!$F$3:$F$452,計算用!$O$19),INDEX(振り分け!$B$7:$B$456,計算用!$O$19)))</f>
        <v/>
      </c>
      <c r="L23" s="68">
        <f>IF(計算用!$O$19="","",IF(計算用!$B$1=1,INDEX(計算用!$H$3:$H$452,計算用!$O$19),INDEX(振り分け!$D$7:$D$456,計算用!$O$19)))</f>
        <v/>
      </c>
      <c r="M23" s="67">
        <f>IF(計算用!$P$19="","",IF(計算用!$B$1=1,INDEX(計算用!$F$3:$F$452,計算用!$P$19),INDEX(振り分け!$B$7:$B$456,計算用!$P$19)))</f>
        <v/>
      </c>
      <c r="N23" s="68">
        <f>IF(計算用!$P$19="","",IF(計算用!$B$1=1,INDEX(計算用!$H$3:$H$452,計算用!$P$19),INDEX(振り分け!$D$7:$D$456,計算用!$P$19)))</f>
        <v/>
      </c>
      <c r="O23" s="67">
        <f>IF(計算用!$Q$19="","",IF(計算用!$B$1=1,INDEX(計算用!$F$3:$F$452,計算用!$Q$19),INDEX(振り分け!$B$7:$B$456,計算用!$Q$19)))</f>
        <v/>
      </c>
      <c r="P23" s="68">
        <f>IF(計算用!$Q$19="","",IF(計算用!$B$1=1,INDEX(計算用!$H$3:$H$452,計算用!$Q$19),INDEX(振り分け!$D$7:$D$456,計算用!$Q$19)))</f>
        <v/>
      </c>
      <c r="Q23" s="67">
        <f>IF(計算用!$R$19="","",IF(計算用!$B$1=1,INDEX(計算用!$F$3:$F$452,計算用!$R$19),INDEX(振り分け!$B$7:$B$456,計算用!$R$19)))</f>
        <v/>
      </c>
      <c r="R23" s="68">
        <f>IF(計算用!$R$19="","",IF(計算用!$B$1=1,INDEX(計算用!$H$3:$H$452,計算用!$R$19),INDEX(振り分け!$D$7:$D$456,計算用!$R$19)))</f>
        <v/>
      </c>
      <c r="S23" s="67">
        <f>IF(計算用!$S$19="","",IF(計算用!$B$1=1,INDEX(計算用!$F$3:$F$452,計算用!$S$19),INDEX(振り分け!$B$7:$B$456,計算用!$S$19)))</f>
        <v/>
      </c>
      <c r="T23" s="68">
        <f>IF(計算用!$S$19="","",IF(計算用!$B$1=1,INDEX(計算用!$H$3:$H$452,計算用!$S$19),INDEX(振り分け!$D$7:$D$456,計算用!$S$19)))</f>
        <v/>
      </c>
    </row>
    <row r="24">
      <c r="A24" s="67">
        <f>IF(計算用!$J$20="","",IF(計算用!$B$1=1,INDEX(計算用!$F$3:$F$452,計算用!$J$20),INDEX(振り分け!$B$7:$B$456,計算用!$J$20)))</f>
        <v/>
      </c>
      <c r="B24" s="68">
        <f>IF(計算用!$J$20="","",IF(計算用!$B$1=1,INDEX(計算用!$H$3:$H$452,計算用!$J$20),INDEX(振り分け!$D$7:$D$456,計算用!$J$20)))</f>
        <v/>
      </c>
      <c r="C24" s="67">
        <f>IF(計算用!$K$20="","",IF(計算用!$B$1=1,INDEX(計算用!$F$3:$F$452,計算用!$K$20),INDEX(振り分け!$B$7:$B$456,計算用!$K$20)))</f>
        <v/>
      </c>
      <c r="D24" s="68">
        <f>IF(計算用!$K$20="","",IF(計算用!$B$1=1,INDEX(計算用!$H$3:$H$452,計算用!$K$20),INDEX(振り分け!$D$7:$D$456,計算用!$K$20)))</f>
        <v/>
      </c>
      <c r="E24" s="67">
        <f>IF(計算用!$L$20="","",IF(計算用!$B$1=1,INDEX(計算用!$F$3:$F$452,計算用!$L$20),INDEX(振り分け!$B$7:$B$456,計算用!$L$20)))</f>
        <v/>
      </c>
      <c r="F24" s="68">
        <f>IF(計算用!$L$20="","",IF(計算用!$B$1=1,INDEX(計算用!$H$3:$H$452,計算用!$L$20),INDEX(振り分け!$D$7:$D$456,計算用!$L$20)))</f>
        <v/>
      </c>
      <c r="G24" s="67">
        <f>IF(計算用!$M$20="","",IF(計算用!$B$1=1,INDEX(計算用!$F$3:$F$452,計算用!$M$20),INDEX(振り分け!$B$7:$B$456,計算用!$M$20)))</f>
        <v/>
      </c>
      <c r="H24" s="68">
        <f>IF(計算用!$M$20="","",IF(計算用!$B$1=1,INDEX(計算用!$H$3:$H$452,計算用!$M$20),INDEX(振り分け!$D$7:$D$456,計算用!$M$20)))</f>
        <v/>
      </c>
      <c r="I24" s="67">
        <f>IF(計算用!$N$20="","",IF(計算用!$B$1=1,INDEX(計算用!$F$3:$F$452,計算用!$N$20),INDEX(振り分け!$B$7:$B$456,計算用!$N$20)))</f>
        <v/>
      </c>
      <c r="J24" s="68">
        <f>IF(計算用!$N$20="","",IF(計算用!$B$1=1,INDEX(計算用!$H$3:$H$452,計算用!$N$20),INDEX(振り分け!$D$7:$D$456,計算用!$N$20)))</f>
        <v/>
      </c>
      <c r="K24" s="67">
        <f>IF(計算用!$O$20="","",IF(計算用!$B$1=1,INDEX(計算用!$F$3:$F$452,計算用!$O$20),INDEX(振り分け!$B$7:$B$456,計算用!$O$20)))</f>
        <v/>
      </c>
      <c r="L24" s="68">
        <f>IF(計算用!$O$20="","",IF(計算用!$B$1=1,INDEX(計算用!$H$3:$H$452,計算用!$O$20),INDEX(振り分け!$D$7:$D$456,計算用!$O$20)))</f>
        <v/>
      </c>
      <c r="M24" s="67">
        <f>IF(計算用!$P$20="","",IF(計算用!$B$1=1,INDEX(計算用!$F$3:$F$452,計算用!$P$20),INDEX(振り分け!$B$7:$B$456,計算用!$P$20)))</f>
        <v/>
      </c>
      <c r="N24" s="68">
        <f>IF(計算用!$P$20="","",IF(計算用!$B$1=1,INDEX(計算用!$H$3:$H$452,計算用!$P$20),INDEX(振り分け!$D$7:$D$456,計算用!$P$20)))</f>
        <v/>
      </c>
      <c r="O24" s="67">
        <f>IF(計算用!$Q$20="","",IF(計算用!$B$1=1,INDEX(計算用!$F$3:$F$452,計算用!$Q$20),INDEX(振り分け!$B$7:$B$456,計算用!$Q$20)))</f>
        <v/>
      </c>
      <c r="P24" s="68">
        <f>IF(計算用!$Q$20="","",IF(計算用!$B$1=1,INDEX(計算用!$H$3:$H$452,計算用!$Q$20),INDEX(振り分け!$D$7:$D$456,計算用!$Q$20)))</f>
        <v/>
      </c>
      <c r="Q24" s="67">
        <f>IF(計算用!$R$20="","",IF(計算用!$B$1=1,INDEX(計算用!$F$3:$F$452,計算用!$R$20),INDEX(振り分け!$B$7:$B$456,計算用!$R$20)))</f>
        <v/>
      </c>
      <c r="R24" s="68">
        <f>IF(計算用!$R$20="","",IF(計算用!$B$1=1,INDEX(計算用!$H$3:$H$452,計算用!$R$20),INDEX(振り分け!$D$7:$D$456,計算用!$R$20)))</f>
        <v/>
      </c>
      <c r="S24" s="67">
        <f>IF(計算用!$S$20="","",IF(計算用!$B$1=1,INDEX(計算用!$F$3:$F$452,計算用!$S$20),INDEX(振り分け!$B$7:$B$456,計算用!$S$20)))</f>
        <v/>
      </c>
      <c r="T24" s="68">
        <f>IF(計算用!$S$20="","",IF(計算用!$B$1=1,INDEX(計算用!$H$3:$H$452,計算用!$S$20),INDEX(振り分け!$D$7:$D$456,計算用!$S$20)))</f>
        <v/>
      </c>
    </row>
    <row r="25">
      <c r="A25" s="67">
        <f>IF(計算用!$J$21="","",IF(計算用!$B$1=1,INDEX(計算用!$F$3:$F$452,計算用!$J$21),INDEX(振り分け!$B$7:$B$456,計算用!$J$21)))</f>
        <v/>
      </c>
      <c r="B25" s="68">
        <f>IF(計算用!$J$21="","",IF(計算用!$B$1=1,INDEX(計算用!$H$3:$H$452,計算用!$J$21),INDEX(振り分け!$D$7:$D$456,計算用!$J$21)))</f>
        <v/>
      </c>
      <c r="C25" s="67">
        <f>IF(計算用!$K$21="","",IF(計算用!$B$1=1,INDEX(計算用!$F$3:$F$452,計算用!$K$21),INDEX(振り分け!$B$7:$B$456,計算用!$K$21)))</f>
        <v/>
      </c>
      <c r="D25" s="68">
        <f>IF(計算用!$K$21="","",IF(計算用!$B$1=1,INDEX(計算用!$H$3:$H$452,計算用!$K$21),INDEX(振り分け!$D$7:$D$456,計算用!$K$21)))</f>
        <v/>
      </c>
      <c r="E25" s="67">
        <f>IF(計算用!$L$21="","",IF(計算用!$B$1=1,INDEX(計算用!$F$3:$F$452,計算用!$L$21),INDEX(振り分け!$B$7:$B$456,計算用!$L$21)))</f>
        <v/>
      </c>
      <c r="F25" s="68">
        <f>IF(計算用!$L$21="","",IF(計算用!$B$1=1,INDEX(計算用!$H$3:$H$452,計算用!$L$21),INDEX(振り分け!$D$7:$D$456,計算用!$L$21)))</f>
        <v/>
      </c>
      <c r="G25" s="67">
        <f>IF(計算用!$M$21="","",IF(計算用!$B$1=1,INDEX(計算用!$F$3:$F$452,計算用!$M$21),INDEX(振り分け!$B$7:$B$456,計算用!$M$21)))</f>
        <v/>
      </c>
      <c r="H25" s="68">
        <f>IF(計算用!$M$21="","",IF(計算用!$B$1=1,INDEX(計算用!$H$3:$H$452,計算用!$M$21),INDEX(振り分け!$D$7:$D$456,計算用!$M$21)))</f>
        <v/>
      </c>
      <c r="I25" s="67">
        <f>IF(計算用!$N$21="","",IF(計算用!$B$1=1,INDEX(計算用!$F$3:$F$452,計算用!$N$21),INDEX(振り分け!$B$7:$B$456,計算用!$N$21)))</f>
        <v/>
      </c>
      <c r="J25" s="68">
        <f>IF(計算用!$N$21="","",IF(計算用!$B$1=1,INDEX(計算用!$H$3:$H$452,計算用!$N$21),INDEX(振り分け!$D$7:$D$456,計算用!$N$21)))</f>
        <v/>
      </c>
      <c r="K25" s="67">
        <f>IF(計算用!$O$21="","",IF(計算用!$B$1=1,INDEX(計算用!$F$3:$F$452,計算用!$O$21),INDEX(振り分け!$B$7:$B$456,計算用!$O$21)))</f>
        <v/>
      </c>
      <c r="L25" s="68">
        <f>IF(計算用!$O$21="","",IF(計算用!$B$1=1,INDEX(計算用!$H$3:$H$452,計算用!$O$21),INDEX(振り分け!$D$7:$D$456,計算用!$O$21)))</f>
        <v/>
      </c>
      <c r="M25" s="67">
        <f>IF(計算用!$P$21="","",IF(計算用!$B$1=1,INDEX(計算用!$F$3:$F$452,計算用!$P$21),INDEX(振り分け!$B$7:$B$456,計算用!$P$21)))</f>
        <v/>
      </c>
      <c r="N25" s="68">
        <f>IF(計算用!$P$21="","",IF(計算用!$B$1=1,INDEX(計算用!$H$3:$H$452,計算用!$P$21),INDEX(振り分け!$D$7:$D$456,計算用!$P$21)))</f>
        <v/>
      </c>
      <c r="O25" s="67">
        <f>IF(計算用!$Q$21="","",IF(計算用!$B$1=1,INDEX(計算用!$F$3:$F$452,計算用!$Q$21),INDEX(振り分け!$B$7:$B$456,計算用!$Q$21)))</f>
        <v/>
      </c>
      <c r="P25" s="68">
        <f>IF(計算用!$Q$21="","",IF(計算用!$B$1=1,INDEX(計算用!$H$3:$H$452,計算用!$Q$21),INDEX(振り分け!$D$7:$D$456,計算用!$Q$21)))</f>
        <v/>
      </c>
      <c r="Q25" s="67">
        <f>IF(計算用!$R$21="","",IF(計算用!$B$1=1,INDEX(計算用!$F$3:$F$452,計算用!$R$21),INDEX(振り分け!$B$7:$B$456,計算用!$R$21)))</f>
        <v/>
      </c>
      <c r="R25" s="68">
        <f>IF(計算用!$R$21="","",IF(計算用!$B$1=1,INDEX(計算用!$H$3:$H$452,計算用!$R$21),INDEX(振り分け!$D$7:$D$456,計算用!$R$21)))</f>
        <v/>
      </c>
      <c r="S25" s="67">
        <f>IF(計算用!$S$21="","",IF(計算用!$B$1=1,INDEX(計算用!$F$3:$F$452,計算用!$S$21),INDEX(振り分け!$B$7:$B$456,計算用!$S$21)))</f>
        <v/>
      </c>
      <c r="T25" s="68">
        <f>IF(計算用!$S$21="","",IF(計算用!$B$1=1,INDEX(計算用!$H$3:$H$452,計算用!$S$21),INDEX(振り分け!$D$7:$D$456,計算用!$S$21)))</f>
        <v/>
      </c>
    </row>
    <row r="26">
      <c r="A26" s="67">
        <f>IF(計算用!$J$22="","",IF(計算用!$B$1=1,INDEX(計算用!$F$3:$F$452,計算用!$J$22),INDEX(振り分け!$B$7:$B$456,計算用!$J$22)))</f>
        <v/>
      </c>
      <c r="B26" s="68">
        <f>IF(計算用!$J$22="","",IF(計算用!$B$1=1,INDEX(計算用!$H$3:$H$452,計算用!$J$22),INDEX(振り分け!$D$7:$D$456,計算用!$J$22)))</f>
        <v/>
      </c>
      <c r="C26" s="67">
        <f>IF(計算用!$K$22="","",IF(計算用!$B$1=1,INDEX(計算用!$F$3:$F$452,計算用!$K$22),INDEX(振り分け!$B$7:$B$456,計算用!$K$22)))</f>
        <v/>
      </c>
      <c r="D26" s="68">
        <f>IF(計算用!$K$22="","",IF(計算用!$B$1=1,INDEX(計算用!$H$3:$H$452,計算用!$K$22),INDEX(振り分け!$D$7:$D$456,計算用!$K$22)))</f>
        <v/>
      </c>
      <c r="E26" s="67">
        <f>IF(計算用!$L$22="","",IF(計算用!$B$1=1,INDEX(計算用!$F$3:$F$452,計算用!$L$22),INDEX(振り分け!$B$7:$B$456,計算用!$L$22)))</f>
        <v/>
      </c>
      <c r="F26" s="68">
        <f>IF(計算用!$L$22="","",IF(計算用!$B$1=1,INDEX(計算用!$H$3:$H$452,計算用!$L$22),INDEX(振り分け!$D$7:$D$456,計算用!$L$22)))</f>
        <v/>
      </c>
      <c r="G26" s="67">
        <f>IF(計算用!$M$22="","",IF(計算用!$B$1=1,INDEX(計算用!$F$3:$F$452,計算用!$M$22),INDEX(振り分け!$B$7:$B$456,計算用!$M$22)))</f>
        <v/>
      </c>
      <c r="H26" s="68">
        <f>IF(計算用!$M$22="","",IF(計算用!$B$1=1,INDEX(計算用!$H$3:$H$452,計算用!$M$22),INDEX(振り分け!$D$7:$D$456,計算用!$M$22)))</f>
        <v/>
      </c>
      <c r="I26" s="67">
        <f>IF(計算用!$N$22="","",IF(計算用!$B$1=1,INDEX(計算用!$F$3:$F$452,計算用!$N$22),INDEX(振り分け!$B$7:$B$456,計算用!$N$22)))</f>
        <v/>
      </c>
      <c r="J26" s="68">
        <f>IF(計算用!$N$22="","",IF(計算用!$B$1=1,INDEX(計算用!$H$3:$H$452,計算用!$N$22),INDEX(振り分け!$D$7:$D$456,計算用!$N$22)))</f>
        <v/>
      </c>
      <c r="K26" s="67">
        <f>IF(計算用!$O$22="","",IF(計算用!$B$1=1,INDEX(計算用!$F$3:$F$452,計算用!$O$22),INDEX(振り分け!$B$7:$B$456,計算用!$O$22)))</f>
        <v/>
      </c>
      <c r="L26" s="68">
        <f>IF(計算用!$O$22="","",IF(計算用!$B$1=1,INDEX(計算用!$H$3:$H$452,計算用!$O$22),INDEX(振り分け!$D$7:$D$456,計算用!$O$22)))</f>
        <v/>
      </c>
      <c r="M26" s="67">
        <f>IF(計算用!$P$22="","",IF(計算用!$B$1=1,INDEX(計算用!$F$3:$F$452,計算用!$P$22),INDEX(振り分け!$B$7:$B$456,計算用!$P$22)))</f>
        <v/>
      </c>
      <c r="N26" s="68">
        <f>IF(計算用!$P$22="","",IF(計算用!$B$1=1,INDEX(計算用!$H$3:$H$452,計算用!$P$22),INDEX(振り分け!$D$7:$D$456,計算用!$P$22)))</f>
        <v/>
      </c>
      <c r="O26" s="67">
        <f>IF(計算用!$Q$22="","",IF(計算用!$B$1=1,INDEX(計算用!$F$3:$F$452,計算用!$Q$22),INDEX(振り分け!$B$7:$B$456,計算用!$Q$22)))</f>
        <v/>
      </c>
      <c r="P26" s="68">
        <f>IF(計算用!$Q$22="","",IF(計算用!$B$1=1,INDEX(計算用!$H$3:$H$452,計算用!$Q$22),INDEX(振り分け!$D$7:$D$456,計算用!$Q$22)))</f>
        <v/>
      </c>
      <c r="Q26" s="67">
        <f>IF(計算用!$R$22="","",IF(計算用!$B$1=1,INDEX(計算用!$F$3:$F$452,計算用!$R$22),INDEX(振り分け!$B$7:$B$456,計算用!$R$22)))</f>
        <v/>
      </c>
      <c r="R26" s="68">
        <f>IF(計算用!$R$22="","",IF(計算用!$B$1=1,INDEX(計算用!$H$3:$H$452,計算用!$R$22),INDEX(振り分け!$D$7:$D$456,計算用!$R$22)))</f>
        <v/>
      </c>
      <c r="S26" s="67">
        <f>IF(計算用!$S$22="","",IF(計算用!$B$1=1,INDEX(計算用!$F$3:$F$452,計算用!$S$22),INDEX(振り分け!$B$7:$B$456,計算用!$S$22)))</f>
        <v/>
      </c>
      <c r="T26" s="68">
        <f>IF(計算用!$S$22="","",IF(計算用!$B$1=1,INDEX(計算用!$H$3:$H$452,計算用!$S$22),INDEX(振り分け!$D$7:$D$456,計算用!$S$22)))</f>
        <v/>
      </c>
    </row>
    <row r="27">
      <c r="A27" s="67">
        <f>IF(計算用!$J$23="","",IF(計算用!$B$1=1,INDEX(計算用!$F$3:$F$452,計算用!$J$23),INDEX(振り分け!$B$7:$B$456,計算用!$J$23)))</f>
        <v/>
      </c>
      <c r="B27" s="68">
        <f>IF(計算用!$J$23="","",IF(計算用!$B$1=1,INDEX(計算用!$H$3:$H$452,計算用!$J$23),INDEX(振り分け!$D$7:$D$456,計算用!$J$23)))</f>
        <v/>
      </c>
      <c r="C27" s="67">
        <f>IF(計算用!$K$23="","",IF(計算用!$B$1=1,INDEX(計算用!$F$3:$F$452,計算用!$K$23),INDEX(振り分け!$B$7:$B$456,計算用!$K$23)))</f>
        <v/>
      </c>
      <c r="D27" s="68">
        <f>IF(計算用!$K$23="","",IF(計算用!$B$1=1,INDEX(計算用!$H$3:$H$452,計算用!$K$23),INDEX(振り分け!$D$7:$D$456,計算用!$K$23)))</f>
        <v/>
      </c>
      <c r="E27" s="67">
        <f>IF(計算用!$L$23="","",IF(計算用!$B$1=1,INDEX(計算用!$F$3:$F$452,計算用!$L$23),INDEX(振り分け!$B$7:$B$456,計算用!$L$23)))</f>
        <v/>
      </c>
      <c r="F27" s="68">
        <f>IF(計算用!$L$23="","",IF(計算用!$B$1=1,INDEX(計算用!$H$3:$H$452,計算用!$L$23),INDEX(振り分け!$D$7:$D$456,計算用!$L$23)))</f>
        <v/>
      </c>
      <c r="G27" s="67">
        <f>IF(計算用!$M$23="","",IF(計算用!$B$1=1,INDEX(計算用!$F$3:$F$452,計算用!$M$23),INDEX(振り分け!$B$7:$B$456,計算用!$M$23)))</f>
        <v/>
      </c>
      <c r="H27" s="68">
        <f>IF(計算用!$M$23="","",IF(計算用!$B$1=1,INDEX(計算用!$H$3:$H$452,計算用!$M$23),INDEX(振り分け!$D$7:$D$456,計算用!$M$23)))</f>
        <v/>
      </c>
      <c r="I27" s="67">
        <f>IF(計算用!$N$23="","",IF(計算用!$B$1=1,INDEX(計算用!$F$3:$F$452,計算用!$N$23),INDEX(振り分け!$B$7:$B$456,計算用!$N$23)))</f>
        <v/>
      </c>
      <c r="J27" s="68">
        <f>IF(計算用!$N$23="","",IF(計算用!$B$1=1,INDEX(計算用!$H$3:$H$452,計算用!$N$23),INDEX(振り分け!$D$7:$D$456,計算用!$N$23)))</f>
        <v/>
      </c>
      <c r="K27" s="67">
        <f>IF(計算用!$O$23="","",IF(計算用!$B$1=1,INDEX(計算用!$F$3:$F$452,計算用!$O$23),INDEX(振り分け!$B$7:$B$456,計算用!$O$23)))</f>
        <v/>
      </c>
      <c r="L27" s="68">
        <f>IF(計算用!$O$23="","",IF(計算用!$B$1=1,INDEX(計算用!$H$3:$H$452,計算用!$O$23),INDEX(振り分け!$D$7:$D$456,計算用!$O$23)))</f>
        <v/>
      </c>
      <c r="M27" s="67">
        <f>IF(計算用!$P$23="","",IF(計算用!$B$1=1,INDEX(計算用!$F$3:$F$452,計算用!$P$23),INDEX(振り分け!$B$7:$B$456,計算用!$P$23)))</f>
        <v/>
      </c>
      <c r="N27" s="68">
        <f>IF(計算用!$P$23="","",IF(計算用!$B$1=1,INDEX(計算用!$H$3:$H$452,計算用!$P$23),INDEX(振り分け!$D$7:$D$456,計算用!$P$23)))</f>
        <v/>
      </c>
      <c r="O27" s="67">
        <f>IF(計算用!$Q$23="","",IF(計算用!$B$1=1,INDEX(計算用!$F$3:$F$452,計算用!$Q$23),INDEX(振り分け!$B$7:$B$456,計算用!$Q$23)))</f>
        <v/>
      </c>
      <c r="P27" s="68">
        <f>IF(計算用!$Q$23="","",IF(計算用!$B$1=1,INDEX(計算用!$H$3:$H$452,計算用!$Q$23),INDEX(振り分け!$D$7:$D$456,計算用!$Q$23)))</f>
        <v/>
      </c>
      <c r="Q27" s="67">
        <f>IF(計算用!$R$23="","",IF(計算用!$B$1=1,INDEX(計算用!$F$3:$F$452,計算用!$R$23),INDEX(振り分け!$B$7:$B$456,計算用!$R$23)))</f>
        <v/>
      </c>
      <c r="R27" s="68">
        <f>IF(計算用!$R$23="","",IF(計算用!$B$1=1,INDEX(計算用!$H$3:$H$452,計算用!$R$23),INDEX(振り分け!$D$7:$D$456,計算用!$R$23)))</f>
        <v/>
      </c>
      <c r="S27" s="67">
        <f>IF(計算用!$S$23="","",IF(計算用!$B$1=1,INDEX(計算用!$F$3:$F$452,計算用!$S$23),INDEX(振り分け!$B$7:$B$456,計算用!$S$23)))</f>
        <v/>
      </c>
      <c r="T27" s="68">
        <f>IF(計算用!$S$23="","",IF(計算用!$B$1=1,INDEX(計算用!$H$3:$H$452,計算用!$S$23),INDEX(振り分け!$D$7:$D$456,計算用!$S$23)))</f>
        <v/>
      </c>
    </row>
    <row r="28">
      <c r="A28" s="67">
        <f>IF(計算用!$J$24="","",IF(計算用!$B$1=1,INDEX(計算用!$F$3:$F$452,計算用!$J$24),INDEX(振り分け!$B$7:$B$456,計算用!$J$24)))</f>
        <v/>
      </c>
      <c r="B28" s="68">
        <f>IF(計算用!$J$24="","",IF(計算用!$B$1=1,INDEX(計算用!$H$3:$H$452,計算用!$J$24),INDEX(振り分け!$D$7:$D$456,計算用!$J$24)))</f>
        <v/>
      </c>
      <c r="C28" s="67">
        <f>IF(計算用!$K$24="","",IF(計算用!$B$1=1,INDEX(計算用!$F$3:$F$452,計算用!$K$24),INDEX(振り分け!$B$7:$B$456,計算用!$K$24)))</f>
        <v/>
      </c>
      <c r="D28" s="68">
        <f>IF(計算用!$K$24="","",IF(計算用!$B$1=1,INDEX(計算用!$H$3:$H$452,計算用!$K$24),INDEX(振り分け!$D$7:$D$456,計算用!$K$24)))</f>
        <v/>
      </c>
      <c r="E28" s="67">
        <f>IF(計算用!$L$24="","",IF(計算用!$B$1=1,INDEX(計算用!$F$3:$F$452,計算用!$L$24),INDEX(振り分け!$B$7:$B$456,計算用!$L$24)))</f>
        <v/>
      </c>
      <c r="F28" s="68">
        <f>IF(計算用!$L$24="","",IF(計算用!$B$1=1,INDEX(計算用!$H$3:$H$452,計算用!$L$24),INDEX(振り分け!$D$7:$D$456,計算用!$L$24)))</f>
        <v/>
      </c>
      <c r="G28" s="67">
        <f>IF(計算用!$M$24="","",IF(計算用!$B$1=1,INDEX(計算用!$F$3:$F$452,計算用!$M$24),INDEX(振り分け!$B$7:$B$456,計算用!$M$24)))</f>
        <v/>
      </c>
      <c r="H28" s="68">
        <f>IF(計算用!$M$24="","",IF(計算用!$B$1=1,INDEX(計算用!$H$3:$H$452,計算用!$M$24),INDEX(振り分け!$D$7:$D$456,計算用!$M$24)))</f>
        <v/>
      </c>
      <c r="I28" s="67">
        <f>IF(計算用!$N$24="","",IF(計算用!$B$1=1,INDEX(計算用!$F$3:$F$452,計算用!$N$24),INDEX(振り分け!$B$7:$B$456,計算用!$N$24)))</f>
        <v/>
      </c>
      <c r="J28" s="68">
        <f>IF(計算用!$N$24="","",IF(計算用!$B$1=1,INDEX(計算用!$H$3:$H$452,計算用!$N$24),INDEX(振り分け!$D$7:$D$456,計算用!$N$24)))</f>
        <v/>
      </c>
      <c r="K28" s="67">
        <f>IF(計算用!$O$24="","",IF(計算用!$B$1=1,INDEX(計算用!$F$3:$F$452,計算用!$O$24),INDEX(振り分け!$B$7:$B$456,計算用!$O$24)))</f>
        <v/>
      </c>
      <c r="L28" s="68">
        <f>IF(計算用!$O$24="","",IF(計算用!$B$1=1,INDEX(計算用!$H$3:$H$452,計算用!$O$24),INDEX(振り分け!$D$7:$D$456,計算用!$O$24)))</f>
        <v/>
      </c>
      <c r="M28" s="67">
        <f>IF(計算用!$P$24="","",IF(計算用!$B$1=1,INDEX(計算用!$F$3:$F$452,計算用!$P$24),INDEX(振り分け!$B$7:$B$456,計算用!$P$24)))</f>
        <v/>
      </c>
      <c r="N28" s="68">
        <f>IF(計算用!$P$24="","",IF(計算用!$B$1=1,INDEX(計算用!$H$3:$H$452,計算用!$P$24),INDEX(振り分け!$D$7:$D$456,計算用!$P$24)))</f>
        <v/>
      </c>
      <c r="O28" s="67">
        <f>IF(計算用!$Q$24="","",IF(計算用!$B$1=1,INDEX(計算用!$F$3:$F$452,計算用!$Q$24),INDEX(振り分け!$B$7:$B$456,計算用!$Q$24)))</f>
        <v/>
      </c>
      <c r="P28" s="68">
        <f>IF(計算用!$Q$24="","",IF(計算用!$B$1=1,INDEX(計算用!$H$3:$H$452,計算用!$Q$24),INDEX(振り分け!$D$7:$D$456,計算用!$Q$24)))</f>
        <v/>
      </c>
      <c r="Q28" s="67">
        <f>IF(計算用!$R$24="","",IF(計算用!$B$1=1,INDEX(計算用!$F$3:$F$452,計算用!$R$24),INDEX(振り分け!$B$7:$B$456,計算用!$R$24)))</f>
        <v/>
      </c>
      <c r="R28" s="68">
        <f>IF(計算用!$R$24="","",IF(計算用!$B$1=1,INDEX(計算用!$H$3:$H$452,計算用!$R$24),INDEX(振り分け!$D$7:$D$456,計算用!$R$24)))</f>
        <v/>
      </c>
      <c r="S28" s="67">
        <f>IF(計算用!$S$24="","",IF(計算用!$B$1=1,INDEX(計算用!$F$3:$F$452,計算用!$S$24),INDEX(振り分け!$B$7:$B$456,計算用!$S$24)))</f>
        <v/>
      </c>
      <c r="T28" s="68">
        <f>IF(計算用!$S$24="","",IF(計算用!$B$1=1,INDEX(計算用!$H$3:$H$452,計算用!$S$24),INDEX(振り分け!$D$7:$D$456,計算用!$S$24)))</f>
        <v/>
      </c>
    </row>
    <row r="29">
      <c r="A29" s="67">
        <f>IF(計算用!$J$25="","",IF(計算用!$B$1=1,INDEX(計算用!$F$3:$F$452,計算用!$J$25),INDEX(振り分け!$B$7:$B$456,計算用!$J$25)))</f>
        <v/>
      </c>
      <c r="B29" s="68">
        <f>IF(計算用!$J$25="","",IF(計算用!$B$1=1,INDEX(計算用!$H$3:$H$452,計算用!$J$25),INDEX(振り分け!$D$7:$D$456,計算用!$J$25)))</f>
        <v/>
      </c>
      <c r="C29" s="67">
        <f>IF(計算用!$K$25="","",IF(計算用!$B$1=1,INDEX(計算用!$F$3:$F$452,計算用!$K$25),INDEX(振り分け!$B$7:$B$456,計算用!$K$25)))</f>
        <v/>
      </c>
      <c r="D29" s="68">
        <f>IF(計算用!$K$25="","",IF(計算用!$B$1=1,INDEX(計算用!$H$3:$H$452,計算用!$K$25),INDEX(振り分け!$D$7:$D$456,計算用!$K$25)))</f>
        <v/>
      </c>
      <c r="E29" s="67">
        <f>IF(計算用!$L$25="","",IF(計算用!$B$1=1,INDEX(計算用!$F$3:$F$452,計算用!$L$25),INDEX(振り分け!$B$7:$B$456,計算用!$L$25)))</f>
        <v/>
      </c>
      <c r="F29" s="68">
        <f>IF(計算用!$L$25="","",IF(計算用!$B$1=1,INDEX(計算用!$H$3:$H$452,計算用!$L$25),INDEX(振り分け!$D$7:$D$456,計算用!$L$25)))</f>
        <v/>
      </c>
      <c r="G29" s="67">
        <f>IF(計算用!$M$25="","",IF(計算用!$B$1=1,INDEX(計算用!$F$3:$F$452,計算用!$M$25),INDEX(振り分け!$B$7:$B$456,計算用!$M$25)))</f>
        <v/>
      </c>
      <c r="H29" s="68">
        <f>IF(計算用!$M$25="","",IF(計算用!$B$1=1,INDEX(計算用!$H$3:$H$452,計算用!$M$25),INDEX(振り分け!$D$7:$D$456,計算用!$M$25)))</f>
        <v/>
      </c>
      <c r="I29" s="67">
        <f>IF(計算用!$N$25="","",IF(計算用!$B$1=1,INDEX(計算用!$F$3:$F$452,計算用!$N$25),INDEX(振り分け!$B$7:$B$456,計算用!$N$25)))</f>
        <v/>
      </c>
      <c r="J29" s="68">
        <f>IF(計算用!$N$25="","",IF(計算用!$B$1=1,INDEX(計算用!$H$3:$H$452,計算用!$N$25),INDEX(振り分け!$D$7:$D$456,計算用!$N$25)))</f>
        <v/>
      </c>
      <c r="K29" s="67">
        <f>IF(計算用!$O$25="","",IF(計算用!$B$1=1,INDEX(計算用!$F$3:$F$452,計算用!$O$25),INDEX(振り分け!$B$7:$B$456,計算用!$O$25)))</f>
        <v/>
      </c>
      <c r="L29" s="68">
        <f>IF(計算用!$O$25="","",IF(計算用!$B$1=1,INDEX(計算用!$H$3:$H$452,計算用!$O$25),INDEX(振り分け!$D$7:$D$456,計算用!$O$25)))</f>
        <v/>
      </c>
      <c r="M29" s="67">
        <f>IF(計算用!$P$25="","",IF(計算用!$B$1=1,INDEX(計算用!$F$3:$F$452,計算用!$P$25),INDEX(振り分け!$B$7:$B$456,計算用!$P$25)))</f>
        <v/>
      </c>
      <c r="N29" s="68">
        <f>IF(計算用!$P$25="","",IF(計算用!$B$1=1,INDEX(計算用!$H$3:$H$452,計算用!$P$25),INDEX(振り分け!$D$7:$D$456,計算用!$P$25)))</f>
        <v/>
      </c>
      <c r="O29" s="67">
        <f>IF(計算用!$Q$25="","",IF(計算用!$B$1=1,INDEX(計算用!$F$3:$F$452,計算用!$Q$25),INDEX(振り分け!$B$7:$B$456,計算用!$Q$25)))</f>
        <v/>
      </c>
      <c r="P29" s="68">
        <f>IF(計算用!$Q$25="","",IF(計算用!$B$1=1,INDEX(計算用!$H$3:$H$452,計算用!$Q$25),INDEX(振り分け!$D$7:$D$456,計算用!$Q$25)))</f>
        <v/>
      </c>
      <c r="Q29" s="67">
        <f>IF(計算用!$R$25="","",IF(計算用!$B$1=1,INDEX(計算用!$F$3:$F$452,計算用!$R$25),INDEX(振り分け!$B$7:$B$456,計算用!$R$25)))</f>
        <v/>
      </c>
      <c r="R29" s="68">
        <f>IF(計算用!$R$25="","",IF(計算用!$B$1=1,INDEX(計算用!$H$3:$H$452,計算用!$R$25),INDEX(振り分け!$D$7:$D$456,計算用!$R$25)))</f>
        <v/>
      </c>
      <c r="S29" s="67">
        <f>IF(計算用!$S$25="","",IF(計算用!$B$1=1,INDEX(計算用!$F$3:$F$452,計算用!$S$25),INDEX(振り分け!$B$7:$B$456,計算用!$S$25)))</f>
        <v/>
      </c>
      <c r="T29" s="68">
        <f>IF(計算用!$S$25="","",IF(計算用!$B$1=1,INDEX(計算用!$H$3:$H$452,計算用!$S$25),INDEX(振り分け!$D$7:$D$456,計算用!$S$25)))</f>
        <v/>
      </c>
    </row>
    <row r="30">
      <c r="A30" s="67">
        <f>IF(計算用!$J$26="","",IF(計算用!$B$1=1,INDEX(計算用!$F$3:$F$452,計算用!$J$26),INDEX(振り分け!$B$7:$B$456,計算用!$J$26)))</f>
        <v/>
      </c>
      <c r="B30" s="68">
        <f>IF(計算用!$J$26="","",IF(計算用!$B$1=1,INDEX(計算用!$H$3:$H$452,計算用!$J$26),INDEX(振り分け!$D$7:$D$456,計算用!$J$26)))</f>
        <v/>
      </c>
      <c r="C30" s="67">
        <f>IF(計算用!$K$26="","",IF(計算用!$B$1=1,INDEX(計算用!$F$3:$F$452,計算用!$K$26),INDEX(振り分け!$B$7:$B$456,計算用!$K$26)))</f>
        <v/>
      </c>
      <c r="D30" s="68">
        <f>IF(計算用!$K$26="","",IF(計算用!$B$1=1,INDEX(計算用!$H$3:$H$452,計算用!$K$26),INDEX(振り分け!$D$7:$D$456,計算用!$K$26)))</f>
        <v/>
      </c>
      <c r="E30" s="67">
        <f>IF(計算用!$L$26="","",IF(計算用!$B$1=1,INDEX(計算用!$F$3:$F$452,計算用!$L$26),INDEX(振り分け!$B$7:$B$456,計算用!$L$26)))</f>
        <v/>
      </c>
      <c r="F30" s="68">
        <f>IF(計算用!$L$26="","",IF(計算用!$B$1=1,INDEX(計算用!$H$3:$H$452,計算用!$L$26),INDEX(振り分け!$D$7:$D$456,計算用!$L$26)))</f>
        <v/>
      </c>
      <c r="G30" s="67">
        <f>IF(計算用!$M$26="","",IF(計算用!$B$1=1,INDEX(計算用!$F$3:$F$452,計算用!$M$26),INDEX(振り分け!$B$7:$B$456,計算用!$M$26)))</f>
        <v/>
      </c>
      <c r="H30" s="68">
        <f>IF(計算用!$M$26="","",IF(計算用!$B$1=1,INDEX(計算用!$H$3:$H$452,計算用!$M$26),INDEX(振り分け!$D$7:$D$456,計算用!$M$26)))</f>
        <v/>
      </c>
      <c r="I30" s="67">
        <f>IF(計算用!$N$26="","",IF(計算用!$B$1=1,INDEX(計算用!$F$3:$F$452,計算用!$N$26),INDEX(振り分け!$B$7:$B$456,計算用!$N$26)))</f>
        <v/>
      </c>
      <c r="J30" s="68">
        <f>IF(計算用!$N$26="","",IF(計算用!$B$1=1,INDEX(計算用!$H$3:$H$452,計算用!$N$26),INDEX(振り分け!$D$7:$D$456,計算用!$N$26)))</f>
        <v/>
      </c>
      <c r="K30" s="67">
        <f>IF(計算用!$O$26="","",IF(計算用!$B$1=1,INDEX(計算用!$F$3:$F$452,計算用!$O$26),INDEX(振り分け!$B$7:$B$456,計算用!$O$26)))</f>
        <v/>
      </c>
      <c r="L30" s="68">
        <f>IF(計算用!$O$26="","",IF(計算用!$B$1=1,INDEX(計算用!$H$3:$H$452,計算用!$O$26),INDEX(振り分け!$D$7:$D$456,計算用!$O$26)))</f>
        <v/>
      </c>
      <c r="M30" s="67">
        <f>IF(計算用!$P$26="","",IF(計算用!$B$1=1,INDEX(計算用!$F$3:$F$452,計算用!$P$26),INDEX(振り分け!$B$7:$B$456,計算用!$P$26)))</f>
        <v/>
      </c>
      <c r="N30" s="68">
        <f>IF(計算用!$P$26="","",IF(計算用!$B$1=1,INDEX(計算用!$H$3:$H$452,計算用!$P$26),INDEX(振り分け!$D$7:$D$456,計算用!$P$26)))</f>
        <v/>
      </c>
      <c r="O30" s="67">
        <f>IF(計算用!$Q$26="","",IF(計算用!$B$1=1,INDEX(計算用!$F$3:$F$452,計算用!$Q$26),INDEX(振り分け!$B$7:$B$456,計算用!$Q$26)))</f>
        <v/>
      </c>
      <c r="P30" s="68">
        <f>IF(計算用!$Q$26="","",IF(計算用!$B$1=1,INDEX(計算用!$H$3:$H$452,計算用!$Q$26),INDEX(振り分け!$D$7:$D$456,計算用!$Q$26)))</f>
        <v/>
      </c>
      <c r="Q30" s="67">
        <f>IF(計算用!$R$26="","",IF(計算用!$B$1=1,INDEX(計算用!$F$3:$F$452,計算用!$R$26),INDEX(振り分け!$B$7:$B$456,計算用!$R$26)))</f>
        <v/>
      </c>
      <c r="R30" s="68">
        <f>IF(計算用!$R$26="","",IF(計算用!$B$1=1,INDEX(計算用!$H$3:$H$452,計算用!$R$26),INDEX(振り分け!$D$7:$D$456,計算用!$R$26)))</f>
        <v/>
      </c>
      <c r="S30" s="67">
        <f>IF(計算用!$S$26="","",IF(計算用!$B$1=1,INDEX(計算用!$F$3:$F$452,計算用!$S$26),INDEX(振り分け!$B$7:$B$456,計算用!$S$26)))</f>
        <v/>
      </c>
      <c r="T30" s="68">
        <f>IF(計算用!$S$26="","",IF(計算用!$B$1=1,INDEX(計算用!$H$3:$H$452,計算用!$S$26),INDEX(振り分け!$D$7:$D$456,計算用!$S$26)))</f>
        <v/>
      </c>
    </row>
    <row r="31">
      <c r="A31" s="67">
        <f>IF(計算用!$J$27="","",IF(計算用!$B$1=1,INDEX(計算用!$F$3:$F$452,計算用!$J$27),INDEX(振り分け!$B$7:$B$456,計算用!$J$27)))</f>
        <v/>
      </c>
      <c r="B31" s="68">
        <f>IF(計算用!$J$27="","",IF(計算用!$B$1=1,INDEX(計算用!$H$3:$H$452,計算用!$J$27),INDEX(振り分け!$D$7:$D$456,計算用!$J$27)))</f>
        <v/>
      </c>
      <c r="C31" s="67">
        <f>IF(計算用!$K$27="","",IF(計算用!$B$1=1,INDEX(計算用!$F$3:$F$452,計算用!$K$27),INDEX(振り分け!$B$7:$B$456,計算用!$K$27)))</f>
        <v/>
      </c>
      <c r="D31" s="68">
        <f>IF(計算用!$K$27="","",IF(計算用!$B$1=1,INDEX(計算用!$H$3:$H$452,計算用!$K$27),INDEX(振り分け!$D$7:$D$456,計算用!$K$27)))</f>
        <v/>
      </c>
      <c r="E31" s="67">
        <f>IF(計算用!$L$27="","",IF(計算用!$B$1=1,INDEX(計算用!$F$3:$F$452,計算用!$L$27),INDEX(振り分け!$B$7:$B$456,計算用!$L$27)))</f>
        <v/>
      </c>
      <c r="F31" s="68">
        <f>IF(計算用!$L$27="","",IF(計算用!$B$1=1,INDEX(計算用!$H$3:$H$452,計算用!$L$27),INDEX(振り分け!$D$7:$D$456,計算用!$L$27)))</f>
        <v/>
      </c>
      <c r="G31" s="67">
        <f>IF(計算用!$M$27="","",IF(計算用!$B$1=1,INDEX(計算用!$F$3:$F$452,計算用!$M$27),INDEX(振り分け!$B$7:$B$456,計算用!$M$27)))</f>
        <v/>
      </c>
      <c r="H31" s="68">
        <f>IF(計算用!$M$27="","",IF(計算用!$B$1=1,INDEX(計算用!$H$3:$H$452,計算用!$M$27),INDEX(振り分け!$D$7:$D$456,計算用!$M$27)))</f>
        <v/>
      </c>
      <c r="I31" s="67">
        <f>IF(計算用!$N$27="","",IF(計算用!$B$1=1,INDEX(計算用!$F$3:$F$452,計算用!$N$27),INDEX(振り分け!$B$7:$B$456,計算用!$N$27)))</f>
        <v/>
      </c>
      <c r="J31" s="68">
        <f>IF(計算用!$N$27="","",IF(計算用!$B$1=1,INDEX(計算用!$H$3:$H$452,計算用!$N$27),INDEX(振り分け!$D$7:$D$456,計算用!$N$27)))</f>
        <v/>
      </c>
      <c r="K31" s="67">
        <f>IF(計算用!$O$27="","",IF(計算用!$B$1=1,INDEX(計算用!$F$3:$F$452,計算用!$O$27),INDEX(振り分け!$B$7:$B$456,計算用!$O$27)))</f>
        <v/>
      </c>
      <c r="L31" s="68">
        <f>IF(計算用!$O$27="","",IF(計算用!$B$1=1,INDEX(計算用!$H$3:$H$452,計算用!$O$27),INDEX(振り分け!$D$7:$D$456,計算用!$O$27)))</f>
        <v/>
      </c>
      <c r="M31" s="67">
        <f>IF(計算用!$P$27="","",IF(計算用!$B$1=1,INDEX(計算用!$F$3:$F$452,計算用!$P$27),INDEX(振り分け!$B$7:$B$456,計算用!$P$27)))</f>
        <v/>
      </c>
      <c r="N31" s="68">
        <f>IF(計算用!$P$27="","",IF(計算用!$B$1=1,INDEX(計算用!$H$3:$H$452,計算用!$P$27),INDEX(振り分け!$D$7:$D$456,計算用!$P$27)))</f>
        <v/>
      </c>
      <c r="O31" s="67">
        <f>IF(計算用!$Q$27="","",IF(計算用!$B$1=1,INDEX(計算用!$F$3:$F$452,計算用!$Q$27),INDEX(振り分け!$B$7:$B$456,計算用!$Q$27)))</f>
        <v/>
      </c>
      <c r="P31" s="68">
        <f>IF(計算用!$Q$27="","",IF(計算用!$B$1=1,INDEX(計算用!$H$3:$H$452,計算用!$Q$27),INDEX(振り分け!$D$7:$D$456,計算用!$Q$27)))</f>
        <v/>
      </c>
      <c r="Q31" s="67">
        <f>IF(計算用!$R$27="","",IF(計算用!$B$1=1,INDEX(計算用!$F$3:$F$452,計算用!$R$27),INDEX(振り分け!$B$7:$B$456,計算用!$R$27)))</f>
        <v/>
      </c>
      <c r="R31" s="68">
        <f>IF(計算用!$R$27="","",IF(計算用!$B$1=1,INDEX(計算用!$H$3:$H$452,計算用!$R$27),INDEX(振り分け!$D$7:$D$456,計算用!$R$27)))</f>
        <v/>
      </c>
      <c r="S31" s="67">
        <f>IF(計算用!$S$27="","",IF(計算用!$B$1=1,INDEX(計算用!$F$3:$F$452,計算用!$S$27),INDEX(振り分け!$B$7:$B$456,計算用!$S$27)))</f>
        <v/>
      </c>
      <c r="T31" s="68">
        <f>IF(計算用!$S$27="","",IF(計算用!$B$1=1,INDEX(計算用!$H$3:$H$452,計算用!$S$27),INDEX(振り分け!$D$7:$D$456,計算用!$S$27)))</f>
        <v/>
      </c>
    </row>
    <row r="32">
      <c r="A32" s="67">
        <f>IF(計算用!$J$28="","",IF(計算用!$B$1=1,INDEX(計算用!$F$3:$F$452,計算用!$J$28),INDEX(振り分け!$B$7:$B$456,計算用!$J$28)))</f>
        <v/>
      </c>
      <c r="B32" s="68">
        <f>IF(計算用!$J$28="","",IF(計算用!$B$1=1,INDEX(計算用!$H$3:$H$452,計算用!$J$28),INDEX(振り分け!$D$7:$D$456,計算用!$J$28)))</f>
        <v/>
      </c>
      <c r="C32" s="67">
        <f>IF(計算用!$K$28="","",IF(計算用!$B$1=1,INDEX(計算用!$F$3:$F$452,計算用!$K$28),INDEX(振り分け!$B$7:$B$456,計算用!$K$28)))</f>
        <v/>
      </c>
      <c r="D32" s="68">
        <f>IF(計算用!$K$28="","",IF(計算用!$B$1=1,INDEX(計算用!$H$3:$H$452,計算用!$K$28),INDEX(振り分け!$D$7:$D$456,計算用!$K$28)))</f>
        <v/>
      </c>
      <c r="E32" s="67">
        <f>IF(計算用!$L$28="","",IF(計算用!$B$1=1,INDEX(計算用!$F$3:$F$452,計算用!$L$28),INDEX(振り分け!$B$7:$B$456,計算用!$L$28)))</f>
        <v/>
      </c>
      <c r="F32" s="68">
        <f>IF(計算用!$L$28="","",IF(計算用!$B$1=1,INDEX(計算用!$H$3:$H$452,計算用!$L$28),INDEX(振り分け!$D$7:$D$456,計算用!$L$28)))</f>
        <v/>
      </c>
      <c r="G32" s="67">
        <f>IF(計算用!$M$28="","",IF(計算用!$B$1=1,INDEX(計算用!$F$3:$F$452,計算用!$M$28),INDEX(振り分け!$B$7:$B$456,計算用!$M$28)))</f>
        <v/>
      </c>
      <c r="H32" s="68">
        <f>IF(計算用!$M$28="","",IF(計算用!$B$1=1,INDEX(計算用!$H$3:$H$452,計算用!$M$28),INDEX(振り分け!$D$7:$D$456,計算用!$M$28)))</f>
        <v/>
      </c>
      <c r="I32" s="67">
        <f>IF(計算用!$N$28="","",IF(計算用!$B$1=1,INDEX(計算用!$F$3:$F$452,計算用!$N$28),INDEX(振り分け!$B$7:$B$456,計算用!$N$28)))</f>
        <v/>
      </c>
      <c r="J32" s="68">
        <f>IF(計算用!$N$28="","",IF(計算用!$B$1=1,INDEX(計算用!$H$3:$H$452,計算用!$N$28),INDEX(振り分け!$D$7:$D$456,計算用!$N$28)))</f>
        <v/>
      </c>
      <c r="K32" s="67">
        <f>IF(計算用!$O$28="","",IF(計算用!$B$1=1,INDEX(計算用!$F$3:$F$452,計算用!$O$28),INDEX(振り分け!$B$7:$B$456,計算用!$O$28)))</f>
        <v/>
      </c>
      <c r="L32" s="68">
        <f>IF(計算用!$O$28="","",IF(計算用!$B$1=1,INDEX(計算用!$H$3:$H$452,計算用!$O$28),INDEX(振り分け!$D$7:$D$456,計算用!$O$28)))</f>
        <v/>
      </c>
      <c r="M32" s="67">
        <f>IF(計算用!$P$28="","",IF(計算用!$B$1=1,INDEX(計算用!$F$3:$F$452,計算用!$P$28),INDEX(振り分け!$B$7:$B$456,計算用!$P$28)))</f>
        <v/>
      </c>
      <c r="N32" s="68">
        <f>IF(計算用!$P$28="","",IF(計算用!$B$1=1,INDEX(計算用!$H$3:$H$452,計算用!$P$28),INDEX(振り分け!$D$7:$D$456,計算用!$P$28)))</f>
        <v/>
      </c>
      <c r="O32" s="67">
        <f>IF(計算用!$Q$28="","",IF(計算用!$B$1=1,INDEX(計算用!$F$3:$F$452,計算用!$Q$28),INDEX(振り分け!$B$7:$B$456,計算用!$Q$28)))</f>
        <v/>
      </c>
      <c r="P32" s="68">
        <f>IF(計算用!$Q$28="","",IF(計算用!$B$1=1,INDEX(計算用!$H$3:$H$452,計算用!$Q$28),INDEX(振り分け!$D$7:$D$456,計算用!$Q$28)))</f>
        <v/>
      </c>
      <c r="Q32" s="67">
        <f>IF(計算用!$R$28="","",IF(計算用!$B$1=1,INDEX(計算用!$F$3:$F$452,計算用!$R$28),INDEX(振り分け!$B$7:$B$456,計算用!$R$28)))</f>
        <v/>
      </c>
      <c r="R32" s="68">
        <f>IF(計算用!$R$28="","",IF(計算用!$B$1=1,INDEX(計算用!$H$3:$H$452,計算用!$R$28),INDEX(振り分け!$D$7:$D$456,計算用!$R$28)))</f>
        <v/>
      </c>
      <c r="S32" s="67">
        <f>IF(計算用!$S$28="","",IF(計算用!$B$1=1,INDEX(計算用!$F$3:$F$452,計算用!$S$28),INDEX(振り分け!$B$7:$B$456,計算用!$S$28)))</f>
        <v/>
      </c>
      <c r="T32" s="68">
        <f>IF(計算用!$S$28="","",IF(計算用!$B$1=1,INDEX(計算用!$H$3:$H$452,計算用!$S$28),INDEX(振り分け!$D$7:$D$456,計算用!$S$28)))</f>
        <v/>
      </c>
    </row>
    <row r="33">
      <c r="A33" s="67">
        <f>IF(計算用!$J$29="","",IF(計算用!$B$1=1,INDEX(計算用!$F$3:$F$452,計算用!$J$29),INDEX(振り分け!$B$7:$B$456,計算用!$J$29)))</f>
        <v/>
      </c>
      <c r="B33" s="68">
        <f>IF(計算用!$J$29="","",IF(計算用!$B$1=1,INDEX(計算用!$H$3:$H$452,計算用!$J$29),INDEX(振り分け!$D$7:$D$456,計算用!$J$29)))</f>
        <v/>
      </c>
      <c r="C33" s="67">
        <f>IF(計算用!$K$29="","",IF(計算用!$B$1=1,INDEX(計算用!$F$3:$F$452,計算用!$K$29),INDEX(振り分け!$B$7:$B$456,計算用!$K$29)))</f>
        <v/>
      </c>
      <c r="D33" s="68">
        <f>IF(計算用!$K$29="","",IF(計算用!$B$1=1,INDEX(計算用!$H$3:$H$452,計算用!$K$29),INDEX(振り分け!$D$7:$D$456,計算用!$K$29)))</f>
        <v/>
      </c>
      <c r="E33" s="67">
        <f>IF(計算用!$L$29="","",IF(計算用!$B$1=1,INDEX(計算用!$F$3:$F$452,計算用!$L$29),INDEX(振り分け!$B$7:$B$456,計算用!$L$29)))</f>
        <v/>
      </c>
      <c r="F33" s="68">
        <f>IF(計算用!$L$29="","",IF(計算用!$B$1=1,INDEX(計算用!$H$3:$H$452,計算用!$L$29),INDEX(振り分け!$D$7:$D$456,計算用!$L$29)))</f>
        <v/>
      </c>
      <c r="G33" s="67">
        <f>IF(計算用!$M$29="","",IF(計算用!$B$1=1,INDEX(計算用!$F$3:$F$452,計算用!$M$29),INDEX(振り分け!$B$7:$B$456,計算用!$M$29)))</f>
        <v/>
      </c>
      <c r="H33" s="68">
        <f>IF(計算用!$M$29="","",IF(計算用!$B$1=1,INDEX(計算用!$H$3:$H$452,計算用!$M$29),INDEX(振り分け!$D$7:$D$456,計算用!$M$29)))</f>
        <v/>
      </c>
      <c r="I33" s="67">
        <f>IF(計算用!$N$29="","",IF(計算用!$B$1=1,INDEX(計算用!$F$3:$F$452,計算用!$N$29),INDEX(振り分け!$B$7:$B$456,計算用!$N$29)))</f>
        <v/>
      </c>
      <c r="J33" s="68">
        <f>IF(計算用!$N$29="","",IF(計算用!$B$1=1,INDEX(計算用!$H$3:$H$452,計算用!$N$29),INDEX(振り分け!$D$7:$D$456,計算用!$N$29)))</f>
        <v/>
      </c>
      <c r="K33" s="67">
        <f>IF(計算用!$O$29="","",IF(計算用!$B$1=1,INDEX(計算用!$F$3:$F$452,計算用!$O$29),INDEX(振り分け!$B$7:$B$456,計算用!$O$29)))</f>
        <v/>
      </c>
      <c r="L33" s="68">
        <f>IF(計算用!$O$29="","",IF(計算用!$B$1=1,INDEX(計算用!$H$3:$H$452,計算用!$O$29),INDEX(振り分け!$D$7:$D$456,計算用!$O$29)))</f>
        <v/>
      </c>
      <c r="M33" s="67">
        <f>IF(計算用!$P$29="","",IF(計算用!$B$1=1,INDEX(計算用!$F$3:$F$452,計算用!$P$29),INDEX(振り分け!$B$7:$B$456,計算用!$P$29)))</f>
        <v/>
      </c>
      <c r="N33" s="68">
        <f>IF(計算用!$P$29="","",IF(計算用!$B$1=1,INDEX(計算用!$H$3:$H$452,計算用!$P$29),INDEX(振り分け!$D$7:$D$456,計算用!$P$29)))</f>
        <v/>
      </c>
      <c r="O33" s="67">
        <f>IF(計算用!$Q$29="","",IF(計算用!$B$1=1,INDEX(計算用!$F$3:$F$452,計算用!$Q$29),INDEX(振り分け!$B$7:$B$456,計算用!$Q$29)))</f>
        <v/>
      </c>
      <c r="P33" s="68">
        <f>IF(計算用!$Q$29="","",IF(計算用!$B$1=1,INDEX(計算用!$H$3:$H$452,計算用!$Q$29),INDEX(振り分け!$D$7:$D$456,計算用!$Q$29)))</f>
        <v/>
      </c>
      <c r="Q33" s="67">
        <f>IF(計算用!$R$29="","",IF(計算用!$B$1=1,INDEX(計算用!$F$3:$F$452,計算用!$R$29),INDEX(振り分け!$B$7:$B$456,計算用!$R$29)))</f>
        <v/>
      </c>
      <c r="R33" s="68">
        <f>IF(計算用!$R$29="","",IF(計算用!$B$1=1,INDEX(計算用!$H$3:$H$452,計算用!$R$29),INDEX(振り分け!$D$7:$D$456,計算用!$R$29)))</f>
        <v/>
      </c>
      <c r="S33" s="67">
        <f>IF(計算用!$S$29="","",IF(計算用!$B$1=1,INDEX(計算用!$F$3:$F$452,計算用!$S$29),INDEX(振り分け!$B$7:$B$456,計算用!$S$29)))</f>
        <v/>
      </c>
      <c r="T33" s="68">
        <f>IF(計算用!$S$29="","",IF(計算用!$B$1=1,INDEX(計算用!$H$3:$H$452,計算用!$S$29),INDEX(振り分け!$D$7:$D$456,計算用!$S$29)))</f>
        <v/>
      </c>
    </row>
    <row r="34">
      <c r="A34" s="67">
        <f>IF(計算用!$J$30="","",IF(計算用!$B$1=1,INDEX(計算用!$F$3:$F$452,計算用!$J$30),INDEX(振り分け!$B$7:$B$456,計算用!$J$30)))</f>
        <v/>
      </c>
      <c r="B34" s="68">
        <f>IF(計算用!$J$30="","",IF(計算用!$B$1=1,INDEX(計算用!$H$3:$H$452,計算用!$J$30),INDEX(振り分け!$D$7:$D$456,計算用!$J$30)))</f>
        <v/>
      </c>
      <c r="C34" s="67">
        <f>IF(計算用!$K$30="","",IF(計算用!$B$1=1,INDEX(計算用!$F$3:$F$452,計算用!$K$30),INDEX(振り分け!$B$7:$B$456,計算用!$K$30)))</f>
        <v/>
      </c>
      <c r="D34" s="68">
        <f>IF(計算用!$K$30="","",IF(計算用!$B$1=1,INDEX(計算用!$H$3:$H$452,計算用!$K$30),INDEX(振り分け!$D$7:$D$456,計算用!$K$30)))</f>
        <v/>
      </c>
      <c r="E34" s="67">
        <f>IF(計算用!$L$30="","",IF(計算用!$B$1=1,INDEX(計算用!$F$3:$F$452,計算用!$L$30),INDEX(振り分け!$B$7:$B$456,計算用!$L$30)))</f>
        <v/>
      </c>
      <c r="F34" s="68">
        <f>IF(計算用!$L$30="","",IF(計算用!$B$1=1,INDEX(計算用!$H$3:$H$452,計算用!$L$30),INDEX(振り分け!$D$7:$D$456,計算用!$L$30)))</f>
        <v/>
      </c>
      <c r="G34" s="67">
        <f>IF(計算用!$M$30="","",IF(計算用!$B$1=1,INDEX(計算用!$F$3:$F$452,計算用!$M$30),INDEX(振り分け!$B$7:$B$456,計算用!$M$30)))</f>
        <v/>
      </c>
      <c r="H34" s="68">
        <f>IF(計算用!$M$30="","",IF(計算用!$B$1=1,INDEX(計算用!$H$3:$H$452,計算用!$M$30),INDEX(振り分け!$D$7:$D$456,計算用!$M$30)))</f>
        <v/>
      </c>
      <c r="I34" s="67">
        <f>IF(計算用!$N$30="","",IF(計算用!$B$1=1,INDEX(計算用!$F$3:$F$452,計算用!$N$30),INDEX(振り分け!$B$7:$B$456,計算用!$N$30)))</f>
        <v/>
      </c>
      <c r="J34" s="68">
        <f>IF(計算用!$N$30="","",IF(計算用!$B$1=1,INDEX(計算用!$H$3:$H$452,計算用!$N$30),INDEX(振り分け!$D$7:$D$456,計算用!$N$30)))</f>
        <v/>
      </c>
      <c r="K34" s="67">
        <f>IF(計算用!$O$30="","",IF(計算用!$B$1=1,INDEX(計算用!$F$3:$F$452,計算用!$O$30),INDEX(振り分け!$B$7:$B$456,計算用!$O$30)))</f>
        <v/>
      </c>
      <c r="L34" s="68">
        <f>IF(計算用!$O$30="","",IF(計算用!$B$1=1,INDEX(計算用!$H$3:$H$452,計算用!$O$30),INDEX(振り分け!$D$7:$D$456,計算用!$O$30)))</f>
        <v/>
      </c>
      <c r="M34" s="67">
        <f>IF(計算用!$P$30="","",IF(計算用!$B$1=1,INDEX(計算用!$F$3:$F$452,計算用!$P$30),INDEX(振り分け!$B$7:$B$456,計算用!$P$30)))</f>
        <v/>
      </c>
      <c r="N34" s="68">
        <f>IF(計算用!$P$30="","",IF(計算用!$B$1=1,INDEX(計算用!$H$3:$H$452,計算用!$P$30),INDEX(振り分け!$D$7:$D$456,計算用!$P$30)))</f>
        <v/>
      </c>
      <c r="O34" s="67">
        <f>IF(計算用!$Q$30="","",IF(計算用!$B$1=1,INDEX(計算用!$F$3:$F$452,計算用!$Q$30),INDEX(振り分け!$B$7:$B$456,計算用!$Q$30)))</f>
        <v/>
      </c>
      <c r="P34" s="68">
        <f>IF(計算用!$Q$30="","",IF(計算用!$B$1=1,INDEX(計算用!$H$3:$H$452,計算用!$Q$30),INDEX(振り分け!$D$7:$D$456,計算用!$Q$30)))</f>
        <v/>
      </c>
      <c r="Q34" s="67">
        <f>IF(計算用!$R$30="","",IF(計算用!$B$1=1,INDEX(計算用!$F$3:$F$452,計算用!$R$30),INDEX(振り分け!$B$7:$B$456,計算用!$R$30)))</f>
        <v/>
      </c>
      <c r="R34" s="68">
        <f>IF(計算用!$R$30="","",IF(計算用!$B$1=1,INDEX(計算用!$H$3:$H$452,計算用!$R$30),INDEX(振り分け!$D$7:$D$456,計算用!$R$30)))</f>
        <v/>
      </c>
      <c r="S34" s="67">
        <f>IF(計算用!$S$30="","",IF(計算用!$B$1=1,INDEX(計算用!$F$3:$F$452,計算用!$S$30),INDEX(振り分け!$B$7:$B$456,計算用!$S$30)))</f>
        <v/>
      </c>
      <c r="T34" s="68">
        <f>IF(計算用!$S$30="","",IF(計算用!$B$1=1,INDEX(計算用!$H$3:$H$452,計算用!$S$30),INDEX(振り分け!$D$7:$D$456,計算用!$S$30)))</f>
        <v/>
      </c>
    </row>
    <row r="35">
      <c r="A35" s="67">
        <f>IF(計算用!$J$31="","",IF(計算用!$B$1=1,INDEX(計算用!$F$3:$F$452,計算用!$J$31),INDEX(振り分け!$B$7:$B$456,計算用!$J$31)))</f>
        <v/>
      </c>
      <c r="B35" s="68">
        <f>IF(計算用!$J$31="","",IF(計算用!$B$1=1,INDEX(計算用!$H$3:$H$452,計算用!$J$31),INDEX(振り分け!$D$7:$D$456,計算用!$J$31)))</f>
        <v/>
      </c>
      <c r="C35" s="67">
        <f>IF(計算用!$K$31="","",IF(計算用!$B$1=1,INDEX(計算用!$F$3:$F$452,計算用!$K$31),INDEX(振り分け!$B$7:$B$456,計算用!$K$31)))</f>
        <v/>
      </c>
      <c r="D35" s="68">
        <f>IF(計算用!$K$31="","",IF(計算用!$B$1=1,INDEX(計算用!$H$3:$H$452,計算用!$K$31),INDEX(振り分け!$D$7:$D$456,計算用!$K$31)))</f>
        <v/>
      </c>
      <c r="E35" s="67">
        <f>IF(計算用!$L$31="","",IF(計算用!$B$1=1,INDEX(計算用!$F$3:$F$452,計算用!$L$31),INDEX(振り分け!$B$7:$B$456,計算用!$L$31)))</f>
        <v/>
      </c>
      <c r="F35" s="68">
        <f>IF(計算用!$L$31="","",IF(計算用!$B$1=1,INDEX(計算用!$H$3:$H$452,計算用!$L$31),INDEX(振り分け!$D$7:$D$456,計算用!$L$31)))</f>
        <v/>
      </c>
      <c r="G35" s="67">
        <f>IF(計算用!$M$31="","",IF(計算用!$B$1=1,INDEX(計算用!$F$3:$F$452,計算用!$M$31),INDEX(振り分け!$B$7:$B$456,計算用!$M$31)))</f>
        <v/>
      </c>
      <c r="H35" s="68">
        <f>IF(計算用!$M$31="","",IF(計算用!$B$1=1,INDEX(計算用!$H$3:$H$452,計算用!$M$31),INDEX(振り分け!$D$7:$D$456,計算用!$M$31)))</f>
        <v/>
      </c>
      <c r="I35" s="67">
        <f>IF(計算用!$N$31="","",IF(計算用!$B$1=1,INDEX(計算用!$F$3:$F$452,計算用!$N$31),INDEX(振り分け!$B$7:$B$456,計算用!$N$31)))</f>
        <v/>
      </c>
      <c r="J35" s="68">
        <f>IF(計算用!$N$31="","",IF(計算用!$B$1=1,INDEX(計算用!$H$3:$H$452,計算用!$N$31),INDEX(振り分け!$D$7:$D$456,計算用!$N$31)))</f>
        <v/>
      </c>
      <c r="K35" s="67">
        <f>IF(計算用!$O$31="","",IF(計算用!$B$1=1,INDEX(計算用!$F$3:$F$452,計算用!$O$31),INDEX(振り分け!$B$7:$B$456,計算用!$O$31)))</f>
        <v/>
      </c>
      <c r="L35" s="68">
        <f>IF(計算用!$O$31="","",IF(計算用!$B$1=1,INDEX(計算用!$H$3:$H$452,計算用!$O$31),INDEX(振り分け!$D$7:$D$456,計算用!$O$31)))</f>
        <v/>
      </c>
      <c r="M35" s="67">
        <f>IF(計算用!$P$31="","",IF(計算用!$B$1=1,INDEX(計算用!$F$3:$F$452,計算用!$P$31),INDEX(振り分け!$B$7:$B$456,計算用!$P$31)))</f>
        <v/>
      </c>
      <c r="N35" s="68">
        <f>IF(計算用!$P$31="","",IF(計算用!$B$1=1,INDEX(計算用!$H$3:$H$452,計算用!$P$31),INDEX(振り分け!$D$7:$D$456,計算用!$P$31)))</f>
        <v/>
      </c>
      <c r="O35" s="67">
        <f>IF(計算用!$Q$31="","",IF(計算用!$B$1=1,INDEX(計算用!$F$3:$F$452,計算用!$Q$31),INDEX(振り分け!$B$7:$B$456,計算用!$Q$31)))</f>
        <v/>
      </c>
      <c r="P35" s="68">
        <f>IF(計算用!$Q$31="","",IF(計算用!$B$1=1,INDEX(計算用!$H$3:$H$452,計算用!$Q$31),INDEX(振り分け!$D$7:$D$456,計算用!$Q$31)))</f>
        <v/>
      </c>
      <c r="Q35" s="67">
        <f>IF(計算用!$R$31="","",IF(計算用!$B$1=1,INDEX(計算用!$F$3:$F$452,計算用!$R$31),INDEX(振り分け!$B$7:$B$456,計算用!$R$31)))</f>
        <v/>
      </c>
      <c r="R35" s="68">
        <f>IF(計算用!$R$31="","",IF(計算用!$B$1=1,INDEX(計算用!$H$3:$H$452,計算用!$R$31),INDEX(振り分け!$D$7:$D$456,計算用!$R$31)))</f>
        <v/>
      </c>
      <c r="S35" s="67">
        <f>IF(計算用!$S$31="","",IF(計算用!$B$1=1,INDEX(計算用!$F$3:$F$452,計算用!$S$31),INDEX(振り分け!$B$7:$B$456,計算用!$S$31)))</f>
        <v/>
      </c>
      <c r="T35" s="68">
        <f>IF(計算用!$S$31="","",IF(計算用!$B$1=1,INDEX(計算用!$H$3:$H$452,計算用!$S$31),INDEX(振り分け!$D$7:$D$456,計算用!$S$31)))</f>
        <v/>
      </c>
    </row>
    <row r="36">
      <c r="A36" s="67">
        <f>IF(計算用!$J$32="","",IF(計算用!$B$1=1,INDEX(計算用!$F$3:$F$452,計算用!$J$32),INDEX(振り分け!$B$7:$B$456,計算用!$J$32)))</f>
        <v/>
      </c>
      <c r="B36" s="68">
        <f>IF(計算用!$J$32="","",IF(計算用!$B$1=1,INDEX(計算用!$H$3:$H$452,計算用!$J$32),INDEX(振り分け!$D$7:$D$456,計算用!$J$32)))</f>
        <v/>
      </c>
      <c r="C36" s="67">
        <f>IF(計算用!$K$32="","",IF(計算用!$B$1=1,INDEX(計算用!$F$3:$F$452,計算用!$K$32),INDEX(振り分け!$B$7:$B$456,計算用!$K$32)))</f>
        <v/>
      </c>
      <c r="D36" s="68">
        <f>IF(計算用!$K$32="","",IF(計算用!$B$1=1,INDEX(計算用!$H$3:$H$452,計算用!$K$32),INDEX(振り分け!$D$7:$D$456,計算用!$K$32)))</f>
        <v/>
      </c>
      <c r="E36" s="67">
        <f>IF(計算用!$L$32="","",IF(計算用!$B$1=1,INDEX(計算用!$F$3:$F$452,計算用!$L$32),INDEX(振り分け!$B$7:$B$456,計算用!$L$32)))</f>
        <v/>
      </c>
      <c r="F36" s="68">
        <f>IF(計算用!$L$32="","",IF(計算用!$B$1=1,INDEX(計算用!$H$3:$H$452,計算用!$L$32),INDEX(振り分け!$D$7:$D$456,計算用!$L$32)))</f>
        <v/>
      </c>
      <c r="G36" s="67">
        <f>IF(計算用!$M$32="","",IF(計算用!$B$1=1,INDEX(計算用!$F$3:$F$452,計算用!$M$32),INDEX(振り分け!$B$7:$B$456,計算用!$M$32)))</f>
        <v/>
      </c>
      <c r="H36" s="68">
        <f>IF(計算用!$M$32="","",IF(計算用!$B$1=1,INDEX(計算用!$H$3:$H$452,計算用!$M$32),INDEX(振り分け!$D$7:$D$456,計算用!$M$32)))</f>
        <v/>
      </c>
      <c r="I36" s="67">
        <f>IF(計算用!$N$32="","",IF(計算用!$B$1=1,INDEX(計算用!$F$3:$F$452,計算用!$N$32),INDEX(振り分け!$B$7:$B$456,計算用!$N$32)))</f>
        <v/>
      </c>
      <c r="J36" s="68">
        <f>IF(計算用!$N$32="","",IF(計算用!$B$1=1,INDEX(計算用!$H$3:$H$452,計算用!$N$32),INDEX(振り分け!$D$7:$D$456,計算用!$N$32)))</f>
        <v/>
      </c>
      <c r="K36" s="67">
        <f>IF(計算用!$O$32="","",IF(計算用!$B$1=1,INDEX(計算用!$F$3:$F$452,計算用!$O$32),INDEX(振り分け!$B$7:$B$456,計算用!$O$32)))</f>
        <v/>
      </c>
      <c r="L36" s="68">
        <f>IF(計算用!$O$32="","",IF(計算用!$B$1=1,INDEX(計算用!$H$3:$H$452,計算用!$O$32),INDEX(振り分け!$D$7:$D$456,計算用!$O$32)))</f>
        <v/>
      </c>
      <c r="M36" s="67">
        <f>IF(計算用!$P$32="","",IF(計算用!$B$1=1,INDEX(計算用!$F$3:$F$452,計算用!$P$32),INDEX(振り分け!$B$7:$B$456,計算用!$P$32)))</f>
        <v/>
      </c>
      <c r="N36" s="68">
        <f>IF(計算用!$P$32="","",IF(計算用!$B$1=1,INDEX(計算用!$H$3:$H$452,計算用!$P$32),INDEX(振り分け!$D$7:$D$456,計算用!$P$32)))</f>
        <v/>
      </c>
      <c r="O36" s="67">
        <f>IF(計算用!$Q$32="","",IF(計算用!$B$1=1,INDEX(計算用!$F$3:$F$452,計算用!$Q$32),INDEX(振り分け!$B$7:$B$456,計算用!$Q$32)))</f>
        <v/>
      </c>
      <c r="P36" s="68">
        <f>IF(計算用!$Q$32="","",IF(計算用!$B$1=1,INDEX(計算用!$H$3:$H$452,計算用!$Q$32),INDEX(振り分け!$D$7:$D$456,計算用!$Q$32)))</f>
        <v/>
      </c>
      <c r="Q36" s="67">
        <f>IF(計算用!$R$32="","",IF(計算用!$B$1=1,INDEX(計算用!$F$3:$F$452,計算用!$R$32),INDEX(振り分け!$B$7:$B$456,計算用!$R$32)))</f>
        <v/>
      </c>
      <c r="R36" s="68">
        <f>IF(計算用!$R$32="","",IF(計算用!$B$1=1,INDEX(計算用!$H$3:$H$452,計算用!$R$32),INDEX(振り分け!$D$7:$D$456,計算用!$R$32)))</f>
        <v/>
      </c>
      <c r="S36" s="67">
        <f>IF(計算用!$S$32="","",IF(計算用!$B$1=1,INDEX(計算用!$F$3:$F$452,計算用!$S$32),INDEX(振り分け!$B$7:$B$456,計算用!$S$32)))</f>
        <v/>
      </c>
      <c r="T36" s="68">
        <f>IF(計算用!$S$32="","",IF(計算用!$B$1=1,INDEX(計算用!$H$3:$H$452,計算用!$S$32),INDEX(振り分け!$D$7:$D$456,計算用!$S$32)))</f>
        <v/>
      </c>
    </row>
    <row r="37">
      <c r="A37" s="67">
        <f>IF(計算用!$J$33="","",IF(計算用!$B$1=1,INDEX(計算用!$F$3:$F$452,計算用!$J$33),INDEX(振り分け!$B$7:$B$456,計算用!$J$33)))</f>
        <v/>
      </c>
      <c r="B37" s="68">
        <f>IF(計算用!$J$33="","",IF(計算用!$B$1=1,INDEX(計算用!$H$3:$H$452,計算用!$J$33),INDEX(振り分け!$D$7:$D$456,計算用!$J$33)))</f>
        <v/>
      </c>
      <c r="C37" s="67">
        <f>IF(計算用!$K$33="","",IF(計算用!$B$1=1,INDEX(計算用!$F$3:$F$452,計算用!$K$33),INDEX(振り分け!$B$7:$B$456,計算用!$K$33)))</f>
        <v/>
      </c>
      <c r="D37" s="68">
        <f>IF(計算用!$K$33="","",IF(計算用!$B$1=1,INDEX(計算用!$H$3:$H$452,計算用!$K$33),INDEX(振り分け!$D$7:$D$456,計算用!$K$33)))</f>
        <v/>
      </c>
      <c r="E37" s="67">
        <f>IF(計算用!$L$33="","",IF(計算用!$B$1=1,INDEX(計算用!$F$3:$F$452,計算用!$L$33),INDEX(振り分け!$B$7:$B$456,計算用!$L$33)))</f>
        <v/>
      </c>
      <c r="F37" s="68">
        <f>IF(計算用!$L$33="","",IF(計算用!$B$1=1,INDEX(計算用!$H$3:$H$452,計算用!$L$33),INDEX(振り分け!$D$7:$D$456,計算用!$L$33)))</f>
        <v/>
      </c>
      <c r="G37" s="67">
        <f>IF(計算用!$M$33="","",IF(計算用!$B$1=1,INDEX(計算用!$F$3:$F$452,計算用!$M$33),INDEX(振り分け!$B$7:$B$456,計算用!$M$33)))</f>
        <v/>
      </c>
      <c r="H37" s="68">
        <f>IF(計算用!$M$33="","",IF(計算用!$B$1=1,INDEX(計算用!$H$3:$H$452,計算用!$M$33),INDEX(振り分け!$D$7:$D$456,計算用!$M$33)))</f>
        <v/>
      </c>
      <c r="I37" s="67">
        <f>IF(計算用!$N$33="","",IF(計算用!$B$1=1,INDEX(計算用!$F$3:$F$452,計算用!$N$33),INDEX(振り分け!$B$7:$B$456,計算用!$N$33)))</f>
        <v/>
      </c>
      <c r="J37" s="68">
        <f>IF(計算用!$N$33="","",IF(計算用!$B$1=1,INDEX(計算用!$H$3:$H$452,計算用!$N$33),INDEX(振り分け!$D$7:$D$456,計算用!$N$33)))</f>
        <v/>
      </c>
      <c r="K37" s="67">
        <f>IF(計算用!$O$33="","",IF(計算用!$B$1=1,INDEX(計算用!$F$3:$F$452,計算用!$O$33),INDEX(振り分け!$B$7:$B$456,計算用!$O$33)))</f>
        <v/>
      </c>
      <c r="L37" s="68">
        <f>IF(計算用!$O$33="","",IF(計算用!$B$1=1,INDEX(計算用!$H$3:$H$452,計算用!$O$33),INDEX(振り分け!$D$7:$D$456,計算用!$O$33)))</f>
        <v/>
      </c>
      <c r="M37" s="67">
        <f>IF(計算用!$P$33="","",IF(計算用!$B$1=1,INDEX(計算用!$F$3:$F$452,計算用!$P$33),INDEX(振り分け!$B$7:$B$456,計算用!$P$33)))</f>
        <v/>
      </c>
      <c r="N37" s="68">
        <f>IF(計算用!$P$33="","",IF(計算用!$B$1=1,INDEX(計算用!$H$3:$H$452,計算用!$P$33),INDEX(振り分け!$D$7:$D$456,計算用!$P$33)))</f>
        <v/>
      </c>
      <c r="O37" s="67">
        <f>IF(計算用!$Q$33="","",IF(計算用!$B$1=1,INDEX(計算用!$F$3:$F$452,計算用!$Q$33),INDEX(振り分け!$B$7:$B$456,計算用!$Q$33)))</f>
        <v/>
      </c>
      <c r="P37" s="68">
        <f>IF(計算用!$Q$33="","",IF(計算用!$B$1=1,INDEX(計算用!$H$3:$H$452,計算用!$Q$33),INDEX(振り分け!$D$7:$D$456,計算用!$Q$33)))</f>
        <v/>
      </c>
      <c r="Q37" s="67">
        <f>IF(計算用!$R$33="","",IF(計算用!$B$1=1,INDEX(計算用!$F$3:$F$452,計算用!$R$33),INDEX(振り分け!$B$7:$B$456,計算用!$R$33)))</f>
        <v/>
      </c>
      <c r="R37" s="68">
        <f>IF(計算用!$R$33="","",IF(計算用!$B$1=1,INDEX(計算用!$H$3:$H$452,計算用!$R$33),INDEX(振り分け!$D$7:$D$456,計算用!$R$33)))</f>
        <v/>
      </c>
      <c r="S37" s="67">
        <f>IF(計算用!$S$33="","",IF(計算用!$B$1=1,INDEX(計算用!$F$3:$F$452,計算用!$S$33),INDEX(振り分け!$B$7:$B$456,計算用!$S$33)))</f>
        <v/>
      </c>
      <c r="T37" s="68">
        <f>IF(計算用!$S$33="","",IF(計算用!$B$1=1,INDEX(計算用!$H$3:$H$452,計算用!$S$33),INDEX(振り分け!$D$7:$D$456,計算用!$S$33)))</f>
        <v/>
      </c>
    </row>
    <row r="38">
      <c r="A38" s="67">
        <f>IF(計算用!$J$34="","",IF(計算用!$B$1=1,INDEX(計算用!$F$3:$F$452,計算用!$J$34),INDEX(振り分け!$B$7:$B$456,計算用!$J$34)))</f>
        <v/>
      </c>
      <c r="B38" s="68">
        <f>IF(計算用!$J$34="","",IF(計算用!$B$1=1,INDEX(計算用!$H$3:$H$452,計算用!$J$34),INDEX(振り分け!$D$7:$D$456,計算用!$J$34)))</f>
        <v/>
      </c>
      <c r="C38" s="67">
        <f>IF(計算用!$K$34="","",IF(計算用!$B$1=1,INDEX(計算用!$F$3:$F$452,計算用!$K$34),INDEX(振り分け!$B$7:$B$456,計算用!$K$34)))</f>
        <v/>
      </c>
      <c r="D38" s="68">
        <f>IF(計算用!$K$34="","",IF(計算用!$B$1=1,INDEX(計算用!$H$3:$H$452,計算用!$K$34),INDEX(振り分け!$D$7:$D$456,計算用!$K$34)))</f>
        <v/>
      </c>
      <c r="E38" s="67">
        <f>IF(計算用!$L$34="","",IF(計算用!$B$1=1,INDEX(計算用!$F$3:$F$452,計算用!$L$34),INDEX(振り分け!$B$7:$B$456,計算用!$L$34)))</f>
        <v/>
      </c>
      <c r="F38" s="68">
        <f>IF(計算用!$L$34="","",IF(計算用!$B$1=1,INDEX(計算用!$H$3:$H$452,計算用!$L$34),INDEX(振り分け!$D$7:$D$456,計算用!$L$34)))</f>
        <v/>
      </c>
      <c r="G38" s="67">
        <f>IF(計算用!$M$34="","",IF(計算用!$B$1=1,INDEX(計算用!$F$3:$F$452,計算用!$M$34),INDEX(振り分け!$B$7:$B$456,計算用!$M$34)))</f>
        <v/>
      </c>
      <c r="H38" s="68">
        <f>IF(計算用!$M$34="","",IF(計算用!$B$1=1,INDEX(計算用!$H$3:$H$452,計算用!$M$34),INDEX(振り分け!$D$7:$D$456,計算用!$M$34)))</f>
        <v/>
      </c>
      <c r="I38" s="67">
        <f>IF(計算用!$N$34="","",IF(計算用!$B$1=1,INDEX(計算用!$F$3:$F$452,計算用!$N$34),INDEX(振り分け!$B$7:$B$456,計算用!$N$34)))</f>
        <v/>
      </c>
      <c r="J38" s="68">
        <f>IF(計算用!$N$34="","",IF(計算用!$B$1=1,INDEX(計算用!$H$3:$H$452,計算用!$N$34),INDEX(振り分け!$D$7:$D$456,計算用!$N$34)))</f>
        <v/>
      </c>
      <c r="K38" s="67">
        <f>IF(計算用!$O$34="","",IF(計算用!$B$1=1,INDEX(計算用!$F$3:$F$452,計算用!$O$34),INDEX(振り分け!$B$7:$B$456,計算用!$O$34)))</f>
        <v/>
      </c>
      <c r="L38" s="68">
        <f>IF(計算用!$O$34="","",IF(計算用!$B$1=1,INDEX(計算用!$H$3:$H$452,計算用!$O$34),INDEX(振り分け!$D$7:$D$456,計算用!$O$34)))</f>
        <v/>
      </c>
      <c r="M38" s="67">
        <f>IF(計算用!$P$34="","",IF(計算用!$B$1=1,INDEX(計算用!$F$3:$F$452,計算用!$P$34),INDEX(振り分け!$B$7:$B$456,計算用!$P$34)))</f>
        <v/>
      </c>
      <c r="N38" s="68">
        <f>IF(計算用!$P$34="","",IF(計算用!$B$1=1,INDEX(計算用!$H$3:$H$452,計算用!$P$34),INDEX(振り分け!$D$7:$D$456,計算用!$P$34)))</f>
        <v/>
      </c>
      <c r="O38" s="67">
        <f>IF(計算用!$Q$34="","",IF(計算用!$B$1=1,INDEX(計算用!$F$3:$F$452,計算用!$Q$34),INDEX(振り分け!$B$7:$B$456,計算用!$Q$34)))</f>
        <v/>
      </c>
      <c r="P38" s="68">
        <f>IF(計算用!$Q$34="","",IF(計算用!$B$1=1,INDEX(計算用!$H$3:$H$452,計算用!$Q$34),INDEX(振り分け!$D$7:$D$456,計算用!$Q$34)))</f>
        <v/>
      </c>
      <c r="Q38" s="67">
        <f>IF(計算用!$R$34="","",IF(計算用!$B$1=1,INDEX(計算用!$F$3:$F$452,計算用!$R$34),INDEX(振り分け!$B$7:$B$456,計算用!$R$34)))</f>
        <v/>
      </c>
      <c r="R38" s="68">
        <f>IF(計算用!$R$34="","",IF(計算用!$B$1=1,INDEX(計算用!$H$3:$H$452,計算用!$R$34),INDEX(振り分け!$D$7:$D$456,計算用!$R$34)))</f>
        <v/>
      </c>
      <c r="S38" s="67">
        <f>IF(計算用!$S$34="","",IF(計算用!$B$1=1,INDEX(計算用!$F$3:$F$452,計算用!$S$34),INDEX(振り分け!$B$7:$B$456,計算用!$S$34)))</f>
        <v/>
      </c>
      <c r="T38" s="68">
        <f>IF(計算用!$S$34="","",IF(計算用!$B$1=1,INDEX(計算用!$H$3:$H$452,計算用!$S$34),INDEX(振り分け!$D$7:$D$456,計算用!$S$34)))</f>
        <v/>
      </c>
    </row>
    <row r="39">
      <c r="A39" s="67">
        <f>IF(計算用!$J$35="","",IF(計算用!$B$1=1,INDEX(計算用!$F$3:$F$452,計算用!$J$35),INDEX(振り分け!$B$7:$B$456,計算用!$J$35)))</f>
        <v/>
      </c>
      <c r="B39" s="68">
        <f>IF(計算用!$J$35="","",IF(計算用!$B$1=1,INDEX(計算用!$H$3:$H$452,計算用!$J$35),INDEX(振り分け!$D$7:$D$456,計算用!$J$35)))</f>
        <v/>
      </c>
      <c r="C39" s="67">
        <f>IF(計算用!$K$35="","",IF(計算用!$B$1=1,INDEX(計算用!$F$3:$F$452,計算用!$K$35),INDEX(振り分け!$B$7:$B$456,計算用!$K$35)))</f>
        <v/>
      </c>
      <c r="D39" s="68">
        <f>IF(計算用!$K$35="","",IF(計算用!$B$1=1,INDEX(計算用!$H$3:$H$452,計算用!$K$35),INDEX(振り分け!$D$7:$D$456,計算用!$K$35)))</f>
        <v/>
      </c>
      <c r="E39" s="67">
        <f>IF(計算用!$L$35="","",IF(計算用!$B$1=1,INDEX(計算用!$F$3:$F$452,計算用!$L$35),INDEX(振り分け!$B$7:$B$456,計算用!$L$35)))</f>
        <v/>
      </c>
      <c r="F39" s="68">
        <f>IF(計算用!$L$35="","",IF(計算用!$B$1=1,INDEX(計算用!$H$3:$H$452,計算用!$L$35),INDEX(振り分け!$D$7:$D$456,計算用!$L$35)))</f>
        <v/>
      </c>
      <c r="G39" s="67">
        <f>IF(計算用!$M$35="","",IF(計算用!$B$1=1,INDEX(計算用!$F$3:$F$452,計算用!$M$35),INDEX(振り分け!$B$7:$B$456,計算用!$M$35)))</f>
        <v/>
      </c>
      <c r="H39" s="68">
        <f>IF(計算用!$M$35="","",IF(計算用!$B$1=1,INDEX(計算用!$H$3:$H$452,計算用!$M$35),INDEX(振り分け!$D$7:$D$456,計算用!$M$35)))</f>
        <v/>
      </c>
      <c r="I39" s="67">
        <f>IF(計算用!$N$35="","",IF(計算用!$B$1=1,INDEX(計算用!$F$3:$F$452,計算用!$N$35),INDEX(振り分け!$B$7:$B$456,計算用!$N$35)))</f>
        <v/>
      </c>
      <c r="J39" s="68">
        <f>IF(計算用!$N$35="","",IF(計算用!$B$1=1,INDEX(計算用!$H$3:$H$452,計算用!$N$35),INDEX(振り分け!$D$7:$D$456,計算用!$N$35)))</f>
        <v/>
      </c>
      <c r="K39" s="67">
        <f>IF(計算用!$O$35="","",IF(計算用!$B$1=1,INDEX(計算用!$F$3:$F$452,計算用!$O$35),INDEX(振り分け!$B$7:$B$456,計算用!$O$35)))</f>
        <v/>
      </c>
      <c r="L39" s="68">
        <f>IF(計算用!$O$35="","",IF(計算用!$B$1=1,INDEX(計算用!$H$3:$H$452,計算用!$O$35),INDEX(振り分け!$D$7:$D$456,計算用!$O$35)))</f>
        <v/>
      </c>
      <c r="M39" s="67">
        <f>IF(計算用!$P$35="","",IF(計算用!$B$1=1,INDEX(計算用!$F$3:$F$452,計算用!$P$35),INDEX(振り分け!$B$7:$B$456,計算用!$P$35)))</f>
        <v/>
      </c>
      <c r="N39" s="68">
        <f>IF(計算用!$P$35="","",IF(計算用!$B$1=1,INDEX(計算用!$H$3:$H$452,計算用!$P$35),INDEX(振り分け!$D$7:$D$456,計算用!$P$35)))</f>
        <v/>
      </c>
      <c r="O39" s="67">
        <f>IF(計算用!$Q$35="","",IF(計算用!$B$1=1,INDEX(計算用!$F$3:$F$452,計算用!$Q$35),INDEX(振り分け!$B$7:$B$456,計算用!$Q$35)))</f>
        <v/>
      </c>
      <c r="P39" s="68">
        <f>IF(計算用!$Q$35="","",IF(計算用!$B$1=1,INDEX(計算用!$H$3:$H$452,計算用!$Q$35),INDEX(振り分け!$D$7:$D$456,計算用!$Q$35)))</f>
        <v/>
      </c>
      <c r="Q39" s="67">
        <f>IF(計算用!$R$35="","",IF(計算用!$B$1=1,INDEX(計算用!$F$3:$F$452,計算用!$R$35),INDEX(振り分け!$B$7:$B$456,計算用!$R$35)))</f>
        <v/>
      </c>
      <c r="R39" s="68">
        <f>IF(計算用!$R$35="","",IF(計算用!$B$1=1,INDEX(計算用!$H$3:$H$452,計算用!$R$35),INDEX(振り分け!$D$7:$D$456,計算用!$R$35)))</f>
        <v/>
      </c>
      <c r="S39" s="67">
        <f>IF(計算用!$S$35="","",IF(計算用!$B$1=1,INDEX(計算用!$F$3:$F$452,計算用!$S$35),INDEX(振り分け!$B$7:$B$456,計算用!$S$35)))</f>
        <v/>
      </c>
      <c r="T39" s="68">
        <f>IF(計算用!$S$35="","",IF(計算用!$B$1=1,INDEX(計算用!$H$3:$H$452,計算用!$S$35),INDEX(振り分け!$D$7:$D$456,計算用!$S$35)))</f>
        <v/>
      </c>
    </row>
    <row r="40">
      <c r="A40" s="67">
        <f>IF(計算用!$J$36="","",IF(計算用!$B$1=1,INDEX(計算用!$F$3:$F$452,計算用!$J$36),INDEX(振り分け!$B$7:$B$456,計算用!$J$36)))</f>
        <v/>
      </c>
      <c r="B40" s="68">
        <f>IF(計算用!$J$36="","",IF(計算用!$B$1=1,INDEX(計算用!$H$3:$H$452,計算用!$J$36),INDEX(振り分け!$D$7:$D$456,計算用!$J$36)))</f>
        <v/>
      </c>
      <c r="C40" s="67">
        <f>IF(計算用!$K$36="","",IF(計算用!$B$1=1,INDEX(計算用!$F$3:$F$452,計算用!$K$36),INDEX(振り分け!$B$7:$B$456,計算用!$K$36)))</f>
        <v/>
      </c>
      <c r="D40" s="68">
        <f>IF(計算用!$K$36="","",IF(計算用!$B$1=1,INDEX(計算用!$H$3:$H$452,計算用!$K$36),INDEX(振り分け!$D$7:$D$456,計算用!$K$36)))</f>
        <v/>
      </c>
      <c r="E40" s="67">
        <f>IF(計算用!$L$36="","",IF(計算用!$B$1=1,INDEX(計算用!$F$3:$F$452,計算用!$L$36),INDEX(振り分け!$B$7:$B$456,計算用!$L$36)))</f>
        <v/>
      </c>
      <c r="F40" s="68">
        <f>IF(計算用!$L$36="","",IF(計算用!$B$1=1,INDEX(計算用!$H$3:$H$452,計算用!$L$36),INDEX(振り分け!$D$7:$D$456,計算用!$L$36)))</f>
        <v/>
      </c>
      <c r="G40" s="67">
        <f>IF(計算用!$M$36="","",IF(計算用!$B$1=1,INDEX(計算用!$F$3:$F$452,計算用!$M$36),INDEX(振り分け!$B$7:$B$456,計算用!$M$36)))</f>
        <v/>
      </c>
      <c r="H40" s="68">
        <f>IF(計算用!$M$36="","",IF(計算用!$B$1=1,INDEX(計算用!$H$3:$H$452,計算用!$M$36),INDEX(振り分け!$D$7:$D$456,計算用!$M$36)))</f>
        <v/>
      </c>
      <c r="I40" s="67">
        <f>IF(計算用!$N$36="","",IF(計算用!$B$1=1,INDEX(計算用!$F$3:$F$452,計算用!$N$36),INDEX(振り分け!$B$7:$B$456,計算用!$N$36)))</f>
        <v/>
      </c>
      <c r="J40" s="68">
        <f>IF(計算用!$N$36="","",IF(計算用!$B$1=1,INDEX(計算用!$H$3:$H$452,計算用!$N$36),INDEX(振り分け!$D$7:$D$456,計算用!$N$36)))</f>
        <v/>
      </c>
      <c r="K40" s="67">
        <f>IF(計算用!$O$36="","",IF(計算用!$B$1=1,INDEX(計算用!$F$3:$F$452,計算用!$O$36),INDEX(振り分け!$B$7:$B$456,計算用!$O$36)))</f>
        <v/>
      </c>
      <c r="L40" s="68">
        <f>IF(計算用!$O$36="","",IF(計算用!$B$1=1,INDEX(計算用!$H$3:$H$452,計算用!$O$36),INDEX(振り分け!$D$7:$D$456,計算用!$O$36)))</f>
        <v/>
      </c>
      <c r="M40" s="67">
        <f>IF(計算用!$P$36="","",IF(計算用!$B$1=1,INDEX(計算用!$F$3:$F$452,計算用!$P$36),INDEX(振り分け!$B$7:$B$456,計算用!$P$36)))</f>
        <v/>
      </c>
      <c r="N40" s="68">
        <f>IF(計算用!$P$36="","",IF(計算用!$B$1=1,INDEX(計算用!$H$3:$H$452,計算用!$P$36),INDEX(振り分け!$D$7:$D$456,計算用!$P$36)))</f>
        <v/>
      </c>
      <c r="O40" s="67">
        <f>IF(計算用!$Q$36="","",IF(計算用!$B$1=1,INDEX(計算用!$F$3:$F$452,計算用!$Q$36),INDEX(振り分け!$B$7:$B$456,計算用!$Q$36)))</f>
        <v/>
      </c>
      <c r="P40" s="68">
        <f>IF(計算用!$Q$36="","",IF(計算用!$B$1=1,INDEX(計算用!$H$3:$H$452,計算用!$Q$36),INDEX(振り分け!$D$7:$D$456,計算用!$Q$36)))</f>
        <v/>
      </c>
      <c r="Q40" s="67">
        <f>IF(計算用!$R$36="","",IF(計算用!$B$1=1,INDEX(計算用!$F$3:$F$452,計算用!$R$36),INDEX(振り分け!$B$7:$B$456,計算用!$R$36)))</f>
        <v/>
      </c>
      <c r="R40" s="68">
        <f>IF(計算用!$R$36="","",IF(計算用!$B$1=1,INDEX(計算用!$H$3:$H$452,計算用!$R$36),INDEX(振り分け!$D$7:$D$456,計算用!$R$36)))</f>
        <v/>
      </c>
      <c r="S40" s="67">
        <f>IF(計算用!$S$36="","",IF(計算用!$B$1=1,INDEX(計算用!$F$3:$F$452,計算用!$S$36),INDEX(振り分け!$B$7:$B$456,計算用!$S$36)))</f>
        <v/>
      </c>
      <c r="T40" s="68">
        <f>IF(計算用!$S$36="","",IF(計算用!$B$1=1,INDEX(計算用!$H$3:$H$452,計算用!$S$36),INDEX(振り分け!$D$7:$D$456,計算用!$S$36)))</f>
        <v/>
      </c>
    </row>
    <row r="41">
      <c r="A41" s="67">
        <f>IF(計算用!$J$37="","",IF(計算用!$B$1=1,INDEX(計算用!$F$3:$F$452,計算用!$J$37),INDEX(振り分け!$B$7:$B$456,計算用!$J$37)))</f>
        <v/>
      </c>
      <c r="B41" s="68">
        <f>IF(計算用!$J$37="","",IF(計算用!$B$1=1,INDEX(計算用!$H$3:$H$452,計算用!$J$37),INDEX(振り分け!$D$7:$D$456,計算用!$J$37)))</f>
        <v/>
      </c>
      <c r="C41" s="67">
        <f>IF(計算用!$K$37="","",IF(計算用!$B$1=1,INDEX(計算用!$F$3:$F$452,計算用!$K$37),INDEX(振り分け!$B$7:$B$456,計算用!$K$37)))</f>
        <v/>
      </c>
      <c r="D41" s="68">
        <f>IF(計算用!$K$37="","",IF(計算用!$B$1=1,INDEX(計算用!$H$3:$H$452,計算用!$K$37),INDEX(振り分け!$D$7:$D$456,計算用!$K$37)))</f>
        <v/>
      </c>
      <c r="E41" s="67">
        <f>IF(計算用!$L$37="","",IF(計算用!$B$1=1,INDEX(計算用!$F$3:$F$452,計算用!$L$37),INDEX(振り分け!$B$7:$B$456,計算用!$L$37)))</f>
        <v/>
      </c>
      <c r="F41" s="68">
        <f>IF(計算用!$L$37="","",IF(計算用!$B$1=1,INDEX(計算用!$H$3:$H$452,計算用!$L$37),INDEX(振り分け!$D$7:$D$456,計算用!$L$37)))</f>
        <v/>
      </c>
      <c r="G41" s="67">
        <f>IF(計算用!$M$37="","",IF(計算用!$B$1=1,INDEX(計算用!$F$3:$F$452,計算用!$M$37),INDEX(振り分け!$B$7:$B$456,計算用!$M$37)))</f>
        <v/>
      </c>
      <c r="H41" s="68">
        <f>IF(計算用!$M$37="","",IF(計算用!$B$1=1,INDEX(計算用!$H$3:$H$452,計算用!$M$37),INDEX(振り分け!$D$7:$D$456,計算用!$M$37)))</f>
        <v/>
      </c>
      <c r="I41" s="67">
        <f>IF(計算用!$N$37="","",IF(計算用!$B$1=1,INDEX(計算用!$F$3:$F$452,計算用!$N$37),INDEX(振り分け!$B$7:$B$456,計算用!$N$37)))</f>
        <v/>
      </c>
      <c r="J41" s="68">
        <f>IF(計算用!$N$37="","",IF(計算用!$B$1=1,INDEX(計算用!$H$3:$H$452,計算用!$N$37),INDEX(振り分け!$D$7:$D$456,計算用!$N$37)))</f>
        <v/>
      </c>
      <c r="K41" s="67">
        <f>IF(計算用!$O$37="","",IF(計算用!$B$1=1,INDEX(計算用!$F$3:$F$452,計算用!$O$37),INDEX(振り分け!$B$7:$B$456,計算用!$O$37)))</f>
        <v/>
      </c>
      <c r="L41" s="68">
        <f>IF(計算用!$O$37="","",IF(計算用!$B$1=1,INDEX(計算用!$H$3:$H$452,計算用!$O$37),INDEX(振り分け!$D$7:$D$456,計算用!$O$37)))</f>
        <v/>
      </c>
      <c r="M41" s="67">
        <f>IF(計算用!$P$37="","",IF(計算用!$B$1=1,INDEX(計算用!$F$3:$F$452,計算用!$P$37),INDEX(振り分け!$B$7:$B$456,計算用!$P$37)))</f>
        <v/>
      </c>
      <c r="N41" s="68">
        <f>IF(計算用!$P$37="","",IF(計算用!$B$1=1,INDEX(計算用!$H$3:$H$452,計算用!$P$37),INDEX(振り分け!$D$7:$D$456,計算用!$P$37)))</f>
        <v/>
      </c>
      <c r="O41" s="67">
        <f>IF(計算用!$Q$37="","",IF(計算用!$B$1=1,INDEX(計算用!$F$3:$F$452,計算用!$Q$37),INDEX(振り分け!$B$7:$B$456,計算用!$Q$37)))</f>
        <v/>
      </c>
      <c r="P41" s="68">
        <f>IF(計算用!$Q$37="","",IF(計算用!$B$1=1,INDEX(計算用!$H$3:$H$452,計算用!$Q$37),INDEX(振り分け!$D$7:$D$456,計算用!$Q$37)))</f>
        <v/>
      </c>
      <c r="Q41" s="67">
        <f>IF(計算用!$R$37="","",IF(計算用!$B$1=1,INDEX(計算用!$F$3:$F$452,計算用!$R$37),INDEX(振り分け!$B$7:$B$456,計算用!$R$37)))</f>
        <v/>
      </c>
      <c r="R41" s="68">
        <f>IF(計算用!$R$37="","",IF(計算用!$B$1=1,INDEX(計算用!$H$3:$H$452,計算用!$R$37),INDEX(振り分け!$D$7:$D$456,計算用!$R$37)))</f>
        <v/>
      </c>
      <c r="S41" s="67">
        <f>IF(計算用!$S$37="","",IF(計算用!$B$1=1,INDEX(計算用!$F$3:$F$452,計算用!$S$37),INDEX(振り分け!$B$7:$B$456,計算用!$S$37)))</f>
        <v/>
      </c>
      <c r="T41" s="68">
        <f>IF(計算用!$S$37="","",IF(計算用!$B$1=1,INDEX(計算用!$H$3:$H$452,計算用!$S$37),INDEX(振り分け!$D$7:$D$456,計算用!$S$37)))</f>
        <v/>
      </c>
    </row>
    <row r="42">
      <c r="A42" s="67">
        <f>IF(計算用!$J$38="","",IF(計算用!$B$1=1,INDEX(計算用!$F$3:$F$452,計算用!$J$38),INDEX(振り分け!$B$7:$B$456,計算用!$J$38)))</f>
        <v/>
      </c>
      <c r="B42" s="68">
        <f>IF(計算用!$J$38="","",IF(計算用!$B$1=1,INDEX(計算用!$H$3:$H$452,計算用!$J$38),INDEX(振り分け!$D$7:$D$456,計算用!$J$38)))</f>
        <v/>
      </c>
      <c r="C42" s="67">
        <f>IF(計算用!$K$38="","",IF(計算用!$B$1=1,INDEX(計算用!$F$3:$F$452,計算用!$K$38),INDEX(振り分け!$B$7:$B$456,計算用!$K$38)))</f>
        <v/>
      </c>
      <c r="D42" s="68">
        <f>IF(計算用!$K$38="","",IF(計算用!$B$1=1,INDEX(計算用!$H$3:$H$452,計算用!$K$38),INDEX(振り分け!$D$7:$D$456,計算用!$K$38)))</f>
        <v/>
      </c>
      <c r="E42" s="67">
        <f>IF(計算用!$L$38="","",IF(計算用!$B$1=1,INDEX(計算用!$F$3:$F$452,計算用!$L$38),INDEX(振り分け!$B$7:$B$456,計算用!$L$38)))</f>
        <v/>
      </c>
      <c r="F42" s="68">
        <f>IF(計算用!$L$38="","",IF(計算用!$B$1=1,INDEX(計算用!$H$3:$H$452,計算用!$L$38),INDEX(振り分け!$D$7:$D$456,計算用!$L$38)))</f>
        <v/>
      </c>
      <c r="G42" s="67">
        <f>IF(計算用!$M$38="","",IF(計算用!$B$1=1,INDEX(計算用!$F$3:$F$452,計算用!$M$38),INDEX(振り分け!$B$7:$B$456,計算用!$M$38)))</f>
        <v/>
      </c>
      <c r="H42" s="68">
        <f>IF(計算用!$M$38="","",IF(計算用!$B$1=1,INDEX(計算用!$H$3:$H$452,計算用!$M$38),INDEX(振り分け!$D$7:$D$456,計算用!$M$38)))</f>
        <v/>
      </c>
      <c r="I42" s="67">
        <f>IF(計算用!$N$38="","",IF(計算用!$B$1=1,INDEX(計算用!$F$3:$F$452,計算用!$N$38),INDEX(振り分け!$B$7:$B$456,計算用!$N$38)))</f>
        <v/>
      </c>
      <c r="J42" s="68">
        <f>IF(計算用!$N$38="","",IF(計算用!$B$1=1,INDEX(計算用!$H$3:$H$452,計算用!$N$38),INDEX(振り分け!$D$7:$D$456,計算用!$N$38)))</f>
        <v/>
      </c>
      <c r="K42" s="67">
        <f>IF(計算用!$O$38="","",IF(計算用!$B$1=1,INDEX(計算用!$F$3:$F$452,計算用!$O$38),INDEX(振り分け!$B$7:$B$456,計算用!$O$38)))</f>
        <v/>
      </c>
      <c r="L42" s="68">
        <f>IF(計算用!$O$38="","",IF(計算用!$B$1=1,INDEX(計算用!$H$3:$H$452,計算用!$O$38),INDEX(振り分け!$D$7:$D$456,計算用!$O$38)))</f>
        <v/>
      </c>
      <c r="M42" s="67">
        <f>IF(計算用!$P$38="","",IF(計算用!$B$1=1,INDEX(計算用!$F$3:$F$452,計算用!$P$38),INDEX(振り分け!$B$7:$B$456,計算用!$P$38)))</f>
        <v/>
      </c>
      <c r="N42" s="68">
        <f>IF(計算用!$P$38="","",IF(計算用!$B$1=1,INDEX(計算用!$H$3:$H$452,計算用!$P$38),INDEX(振り分け!$D$7:$D$456,計算用!$P$38)))</f>
        <v/>
      </c>
      <c r="O42" s="67">
        <f>IF(計算用!$Q$38="","",IF(計算用!$B$1=1,INDEX(計算用!$F$3:$F$452,計算用!$Q$38),INDEX(振り分け!$B$7:$B$456,計算用!$Q$38)))</f>
        <v/>
      </c>
      <c r="P42" s="68">
        <f>IF(計算用!$Q$38="","",IF(計算用!$B$1=1,INDEX(計算用!$H$3:$H$452,計算用!$Q$38),INDEX(振り分け!$D$7:$D$456,計算用!$Q$38)))</f>
        <v/>
      </c>
      <c r="Q42" s="67">
        <f>IF(計算用!$R$38="","",IF(計算用!$B$1=1,INDEX(計算用!$F$3:$F$452,計算用!$R$38),INDEX(振り分け!$B$7:$B$456,計算用!$R$38)))</f>
        <v/>
      </c>
      <c r="R42" s="68">
        <f>IF(計算用!$R$38="","",IF(計算用!$B$1=1,INDEX(計算用!$H$3:$H$452,計算用!$R$38),INDEX(振り分け!$D$7:$D$456,計算用!$R$38)))</f>
        <v/>
      </c>
      <c r="S42" s="67">
        <f>IF(計算用!$S$38="","",IF(計算用!$B$1=1,INDEX(計算用!$F$3:$F$452,計算用!$S$38),INDEX(振り分け!$B$7:$B$456,計算用!$S$38)))</f>
        <v/>
      </c>
      <c r="T42" s="68">
        <f>IF(計算用!$S$38="","",IF(計算用!$B$1=1,INDEX(計算用!$H$3:$H$452,計算用!$S$38),INDEX(振り分け!$D$7:$D$456,計算用!$S$38)))</f>
        <v/>
      </c>
    </row>
    <row r="43">
      <c r="A43" s="67">
        <f>IF(計算用!$J$39="","",IF(計算用!$B$1=1,INDEX(計算用!$F$3:$F$452,計算用!$J$39),INDEX(振り分け!$B$7:$B$456,計算用!$J$39)))</f>
        <v/>
      </c>
      <c r="B43" s="68">
        <f>IF(計算用!$J$39="","",IF(計算用!$B$1=1,INDEX(計算用!$H$3:$H$452,計算用!$J$39),INDEX(振り分け!$D$7:$D$456,計算用!$J$39)))</f>
        <v/>
      </c>
      <c r="C43" s="67">
        <f>IF(計算用!$K$39="","",IF(計算用!$B$1=1,INDEX(計算用!$F$3:$F$452,計算用!$K$39),INDEX(振り分け!$B$7:$B$456,計算用!$K$39)))</f>
        <v/>
      </c>
      <c r="D43" s="68">
        <f>IF(計算用!$K$39="","",IF(計算用!$B$1=1,INDEX(計算用!$H$3:$H$452,計算用!$K$39),INDEX(振り分け!$D$7:$D$456,計算用!$K$39)))</f>
        <v/>
      </c>
      <c r="E43" s="67">
        <f>IF(計算用!$L$39="","",IF(計算用!$B$1=1,INDEX(計算用!$F$3:$F$452,計算用!$L$39),INDEX(振り分け!$B$7:$B$456,計算用!$L$39)))</f>
        <v/>
      </c>
      <c r="F43" s="68">
        <f>IF(計算用!$L$39="","",IF(計算用!$B$1=1,INDEX(計算用!$H$3:$H$452,計算用!$L$39),INDEX(振り分け!$D$7:$D$456,計算用!$L$39)))</f>
        <v/>
      </c>
      <c r="G43" s="67">
        <f>IF(計算用!$M$39="","",IF(計算用!$B$1=1,INDEX(計算用!$F$3:$F$452,計算用!$M$39),INDEX(振り分け!$B$7:$B$456,計算用!$M$39)))</f>
        <v/>
      </c>
      <c r="H43" s="68">
        <f>IF(計算用!$M$39="","",IF(計算用!$B$1=1,INDEX(計算用!$H$3:$H$452,計算用!$M$39),INDEX(振り分け!$D$7:$D$456,計算用!$M$39)))</f>
        <v/>
      </c>
      <c r="I43" s="67">
        <f>IF(計算用!$N$39="","",IF(計算用!$B$1=1,INDEX(計算用!$F$3:$F$452,計算用!$N$39),INDEX(振り分け!$B$7:$B$456,計算用!$N$39)))</f>
        <v/>
      </c>
      <c r="J43" s="68">
        <f>IF(計算用!$N$39="","",IF(計算用!$B$1=1,INDEX(計算用!$H$3:$H$452,計算用!$N$39),INDEX(振り分け!$D$7:$D$456,計算用!$N$39)))</f>
        <v/>
      </c>
      <c r="K43" s="67">
        <f>IF(計算用!$O$39="","",IF(計算用!$B$1=1,INDEX(計算用!$F$3:$F$452,計算用!$O$39),INDEX(振り分け!$B$7:$B$456,計算用!$O$39)))</f>
        <v/>
      </c>
      <c r="L43" s="68">
        <f>IF(計算用!$O$39="","",IF(計算用!$B$1=1,INDEX(計算用!$H$3:$H$452,計算用!$O$39),INDEX(振り分け!$D$7:$D$456,計算用!$O$39)))</f>
        <v/>
      </c>
      <c r="M43" s="67">
        <f>IF(計算用!$P$39="","",IF(計算用!$B$1=1,INDEX(計算用!$F$3:$F$452,計算用!$P$39),INDEX(振り分け!$B$7:$B$456,計算用!$P$39)))</f>
        <v/>
      </c>
      <c r="N43" s="68">
        <f>IF(計算用!$P$39="","",IF(計算用!$B$1=1,INDEX(計算用!$H$3:$H$452,計算用!$P$39),INDEX(振り分け!$D$7:$D$456,計算用!$P$39)))</f>
        <v/>
      </c>
      <c r="O43" s="67">
        <f>IF(計算用!$Q$39="","",IF(計算用!$B$1=1,INDEX(計算用!$F$3:$F$452,計算用!$Q$39),INDEX(振り分け!$B$7:$B$456,計算用!$Q$39)))</f>
        <v/>
      </c>
      <c r="P43" s="68">
        <f>IF(計算用!$Q$39="","",IF(計算用!$B$1=1,INDEX(計算用!$H$3:$H$452,計算用!$Q$39),INDEX(振り分け!$D$7:$D$456,計算用!$Q$39)))</f>
        <v/>
      </c>
      <c r="Q43" s="67">
        <f>IF(計算用!$R$39="","",IF(計算用!$B$1=1,INDEX(計算用!$F$3:$F$452,計算用!$R$39),INDEX(振り分け!$B$7:$B$456,計算用!$R$39)))</f>
        <v/>
      </c>
      <c r="R43" s="68">
        <f>IF(計算用!$R$39="","",IF(計算用!$B$1=1,INDEX(計算用!$H$3:$H$452,計算用!$R$39),INDEX(振り分け!$D$7:$D$456,計算用!$R$39)))</f>
        <v/>
      </c>
      <c r="S43" s="67">
        <f>IF(計算用!$S$39="","",IF(計算用!$B$1=1,INDEX(計算用!$F$3:$F$452,計算用!$S$39),INDEX(振り分け!$B$7:$B$456,計算用!$S$39)))</f>
        <v/>
      </c>
      <c r="T43" s="68">
        <f>IF(計算用!$S$39="","",IF(計算用!$B$1=1,INDEX(計算用!$H$3:$H$452,計算用!$S$39),INDEX(振り分け!$D$7:$D$456,計算用!$S$39)))</f>
        <v/>
      </c>
    </row>
    <row r="44">
      <c r="A44" s="67">
        <f>IF(計算用!$J$40="","",IF(計算用!$B$1=1,INDEX(計算用!$F$3:$F$452,計算用!$J$40),INDEX(振り分け!$B$7:$B$456,計算用!$J$40)))</f>
        <v/>
      </c>
      <c r="B44" s="68">
        <f>IF(計算用!$J$40="","",IF(計算用!$B$1=1,INDEX(計算用!$H$3:$H$452,計算用!$J$40),INDEX(振り分け!$D$7:$D$456,計算用!$J$40)))</f>
        <v/>
      </c>
      <c r="C44" s="67">
        <f>IF(計算用!$K$40="","",IF(計算用!$B$1=1,INDEX(計算用!$F$3:$F$452,計算用!$K$40),INDEX(振り分け!$B$7:$B$456,計算用!$K$40)))</f>
        <v/>
      </c>
      <c r="D44" s="68">
        <f>IF(計算用!$K$40="","",IF(計算用!$B$1=1,INDEX(計算用!$H$3:$H$452,計算用!$K$40),INDEX(振り分け!$D$7:$D$456,計算用!$K$40)))</f>
        <v/>
      </c>
      <c r="E44" s="67">
        <f>IF(計算用!$L$40="","",IF(計算用!$B$1=1,INDEX(計算用!$F$3:$F$452,計算用!$L$40),INDEX(振り分け!$B$7:$B$456,計算用!$L$40)))</f>
        <v/>
      </c>
      <c r="F44" s="68">
        <f>IF(計算用!$L$40="","",IF(計算用!$B$1=1,INDEX(計算用!$H$3:$H$452,計算用!$L$40),INDEX(振り分け!$D$7:$D$456,計算用!$L$40)))</f>
        <v/>
      </c>
      <c r="G44" s="67">
        <f>IF(計算用!$M$40="","",IF(計算用!$B$1=1,INDEX(計算用!$F$3:$F$452,計算用!$M$40),INDEX(振り分け!$B$7:$B$456,計算用!$M$40)))</f>
        <v/>
      </c>
      <c r="H44" s="68">
        <f>IF(計算用!$M$40="","",IF(計算用!$B$1=1,INDEX(計算用!$H$3:$H$452,計算用!$M$40),INDEX(振り分け!$D$7:$D$456,計算用!$M$40)))</f>
        <v/>
      </c>
      <c r="I44" s="67">
        <f>IF(計算用!$N$40="","",IF(計算用!$B$1=1,INDEX(計算用!$F$3:$F$452,計算用!$N$40),INDEX(振り分け!$B$7:$B$456,計算用!$N$40)))</f>
        <v/>
      </c>
      <c r="J44" s="68">
        <f>IF(計算用!$N$40="","",IF(計算用!$B$1=1,INDEX(計算用!$H$3:$H$452,計算用!$N$40),INDEX(振り分け!$D$7:$D$456,計算用!$N$40)))</f>
        <v/>
      </c>
      <c r="K44" s="67">
        <f>IF(計算用!$O$40="","",IF(計算用!$B$1=1,INDEX(計算用!$F$3:$F$452,計算用!$O$40),INDEX(振り分け!$B$7:$B$456,計算用!$O$40)))</f>
        <v/>
      </c>
      <c r="L44" s="68">
        <f>IF(計算用!$O$40="","",IF(計算用!$B$1=1,INDEX(計算用!$H$3:$H$452,計算用!$O$40),INDEX(振り分け!$D$7:$D$456,計算用!$O$40)))</f>
        <v/>
      </c>
      <c r="M44" s="67">
        <f>IF(計算用!$P$40="","",IF(計算用!$B$1=1,INDEX(計算用!$F$3:$F$452,計算用!$P$40),INDEX(振り分け!$B$7:$B$456,計算用!$P$40)))</f>
        <v/>
      </c>
      <c r="N44" s="68">
        <f>IF(計算用!$P$40="","",IF(計算用!$B$1=1,INDEX(計算用!$H$3:$H$452,計算用!$P$40),INDEX(振り分け!$D$7:$D$456,計算用!$P$40)))</f>
        <v/>
      </c>
      <c r="O44" s="67">
        <f>IF(計算用!$Q$40="","",IF(計算用!$B$1=1,INDEX(計算用!$F$3:$F$452,計算用!$Q$40),INDEX(振り分け!$B$7:$B$456,計算用!$Q$40)))</f>
        <v/>
      </c>
      <c r="P44" s="68">
        <f>IF(計算用!$Q$40="","",IF(計算用!$B$1=1,INDEX(計算用!$H$3:$H$452,計算用!$Q$40),INDEX(振り分け!$D$7:$D$456,計算用!$Q$40)))</f>
        <v/>
      </c>
      <c r="Q44" s="67">
        <f>IF(計算用!$R$40="","",IF(計算用!$B$1=1,INDEX(計算用!$F$3:$F$452,計算用!$R$40),INDEX(振り分け!$B$7:$B$456,計算用!$R$40)))</f>
        <v/>
      </c>
      <c r="R44" s="68">
        <f>IF(計算用!$R$40="","",IF(計算用!$B$1=1,INDEX(計算用!$H$3:$H$452,計算用!$R$40),INDEX(振り分け!$D$7:$D$456,計算用!$R$40)))</f>
        <v/>
      </c>
      <c r="S44" s="67">
        <f>IF(計算用!$S$40="","",IF(計算用!$B$1=1,INDEX(計算用!$F$3:$F$452,計算用!$S$40),INDEX(振り分け!$B$7:$B$456,計算用!$S$40)))</f>
        <v/>
      </c>
      <c r="T44" s="68">
        <f>IF(計算用!$S$40="","",IF(計算用!$B$1=1,INDEX(計算用!$H$3:$H$452,計算用!$S$40),INDEX(振り分け!$D$7:$D$456,計算用!$S$40)))</f>
        <v/>
      </c>
    </row>
    <row r="45">
      <c r="A45" s="67">
        <f>IF(計算用!$J$41="","",IF(計算用!$B$1=1,INDEX(計算用!$F$3:$F$452,計算用!$J$41),INDEX(振り分け!$B$7:$B$456,計算用!$J$41)))</f>
        <v/>
      </c>
      <c r="B45" s="68">
        <f>IF(計算用!$J$41="","",IF(計算用!$B$1=1,INDEX(計算用!$H$3:$H$452,計算用!$J$41),INDEX(振り分け!$D$7:$D$456,計算用!$J$41)))</f>
        <v/>
      </c>
      <c r="C45" s="67">
        <f>IF(計算用!$K$41="","",IF(計算用!$B$1=1,INDEX(計算用!$F$3:$F$452,計算用!$K$41),INDEX(振り分け!$B$7:$B$456,計算用!$K$41)))</f>
        <v/>
      </c>
      <c r="D45" s="68">
        <f>IF(計算用!$K$41="","",IF(計算用!$B$1=1,INDEX(計算用!$H$3:$H$452,計算用!$K$41),INDEX(振り分け!$D$7:$D$456,計算用!$K$41)))</f>
        <v/>
      </c>
      <c r="E45" s="67">
        <f>IF(計算用!$L$41="","",IF(計算用!$B$1=1,INDEX(計算用!$F$3:$F$452,計算用!$L$41),INDEX(振り分け!$B$7:$B$456,計算用!$L$41)))</f>
        <v/>
      </c>
      <c r="F45" s="68">
        <f>IF(計算用!$L$41="","",IF(計算用!$B$1=1,INDEX(計算用!$H$3:$H$452,計算用!$L$41),INDEX(振り分け!$D$7:$D$456,計算用!$L$41)))</f>
        <v/>
      </c>
      <c r="G45" s="67">
        <f>IF(計算用!$M$41="","",IF(計算用!$B$1=1,INDEX(計算用!$F$3:$F$452,計算用!$M$41),INDEX(振り分け!$B$7:$B$456,計算用!$M$41)))</f>
        <v/>
      </c>
      <c r="H45" s="68">
        <f>IF(計算用!$M$41="","",IF(計算用!$B$1=1,INDEX(計算用!$H$3:$H$452,計算用!$M$41),INDEX(振り分け!$D$7:$D$456,計算用!$M$41)))</f>
        <v/>
      </c>
      <c r="I45" s="67">
        <f>IF(計算用!$N$41="","",IF(計算用!$B$1=1,INDEX(計算用!$F$3:$F$452,計算用!$N$41),INDEX(振り分け!$B$7:$B$456,計算用!$N$41)))</f>
        <v/>
      </c>
      <c r="J45" s="68">
        <f>IF(計算用!$N$41="","",IF(計算用!$B$1=1,INDEX(計算用!$H$3:$H$452,計算用!$N$41),INDEX(振り分け!$D$7:$D$456,計算用!$N$41)))</f>
        <v/>
      </c>
      <c r="K45" s="67">
        <f>IF(計算用!$O$41="","",IF(計算用!$B$1=1,INDEX(計算用!$F$3:$F$452,計算用!$O$41),INDEX(振り分け!$B$7:$B$456,計算用!$O$41)))</f>
        <v/>
      </c>
      <c r="L45" s="68">
        <f>IF(計算用!$O$41="","",IF(計算用!$B$1=1,INDEX(計算用!$H$3:$H$452,計算用!$O$41),INDEX(振り分け!$D$7:$D$456,計算用!$O$41)))</f>
        <v/>
      </c>
      <c r="M45" s="67">
        <f>IF(計算用!$P$41="","",IF(計算用!$B$1=1,INDEX(計算用!$F$3:$F$452,計算用!$P$41),INDEX(振り分け!$B$7:$B$456,計算用!$P$41)))</f>
        <v/>
      </c>
      <c r="N45" s="68">
        <f>IF(計算用!$P$41="","",IF(計算用!$B$1=1,INDEX(計算用!$H$3:$H$452,計算用!$P$41),INDEX(振り分け!$D$7:$D$456,計算用!$P$41)))</f>
        <v/>
      </c>
      <c r="O45" s="67">
        <f>IF(計算用!$Q$41="","",IF(計算用!$B$1=1,INDEX(計算用!$F$3:$F$452,計算用!$Q$41),INDEX(振り分け!$B$7:$B$456,計算用!$Q$41)))</f>
        <v/>
      </c>
      <c r="P45" s="68">
        <f>IF(計算用!$Q$41="","",IF(計算用!$B$1=1,INDEX(計算用!$H$3:$H$452,計算用!$Q$41),INDEX(振り分け!$D$7:$D$456,計算用!$Q$41)))</f>
        <v/>
      </c>
      <c r="Q45" s="67">
        <f>IF(計算用!$R$41="","",IF(計算用!$B$1=1,INDEX(計算用!$F$3:$F$452,計算用!$R$41),INDEX(振り分け!$B$7:$B$456,計算用!$R$41)))</f>
        <v/>
      </c>
      <c r="R45" s="68">
        <f>IF(計算用!$R$41="","",IF(計算用!$B$1=1,INDEX(計算用!$H$3:$H$452,計算用!$R$41),INDEX(振り分け!$D$7:$D$456,計算用!$R$41)))</f>
        <v/>
      </c>
      <c r="S45" s="67">
        <f>IF(計算用!$S$41="","",IF(計算用!$B$1=1,INDEX(計算用!$F$3:$F$452,計算用!$S$41),INDEX(振り分け!$B$7:$B$456,計算用!$S$41)))</f>
        <v/>
      </c>
      <c r="T45" s="68">
        <f>IF(計算用!$S$41="","",IF(計算用!$B$1=1,INDEX(計算用!$H$3:$H$452,計算用!$S$41),INDEX(振り分け!$D$7:$D$456,計算用!$S$41)))</f>
        <v/>
      </c>
    </row>
    <row r="46">
      <c r="A46" s="67">
        <f>IF(計算用!$J$42="","",IF(計算用!$B$1=1,INDEX(計算用!$F$3:$F$452,計算用!$J$42),INDEX(振り分け!$B$7:$B$456,計算用!$J$42)))</f>
        <v/>
      </c>
      <c r="B46" s="68">
        <f>IF(計算用!$J$42="","",IF(計算用!$B$1=1,INDEX(計算用!$H$3:$H$452,計算用!$J$42),INDEX(振り分け!$D$7:$D$456,計算用!$J$42)))</f>
        <v/>
      </c>
      <c r="C46" s="67">
        <f>IF(計算用!$K$42="","",IF(計算用!$B$1=1,INDEX(計算用!$F$3:$F$452,計算用!$K$42),INDEX(振り分け!$B$7:$B$456,計算用!$K$42)))</f>
        <v/>
      </c>
      <c r="D46" s="68">
        <f>IF(計算用!$K$42="","",IF(計算用!$B$1=1,INDEX(計算用!$H$3:$H$452,計算用!$K$42),INDEX(振り分け!$D$7:$D$456,計算用!$K$42)))</f>
        <v/>
      </c>
      <c r="E46" s="67">
        <f>IF(計算用!$L$42="","",IF(計算用!$B$1=1,INDEX(計算用!$F$3:$F$452,計算用!$L$42),INDEX(振り分け!$B$7:$B$456,計算用!$L$42)))</f>
        <v/>
      </c>
      <c r="F46" s="68">
        <f>IF(計算用!$L$42="","",IF(計算用!$B$1=1,INDEX(計算用!$H$3:$H$452,計算用!$L$42),INDEX(振り分け!$D$7:$D$456,計算用!$L$42)))</f>
        <v/>
      </c>
      <c r="G46" s="67">
        <f>IF(計算用!$M$42="","",IF(計算用!$B$1=1,INDEX(計算用!$F$3:$F$452,計算用!$M$42),INDEX(振り分け!$B$7:$B$456,計算用!$M$42)))</f>
        <v/>
      </c>
      <c r="H46" s="68">
        <f>IF(計算用!$M$42="","",IF(計算用!$B$1=1,INDEX(計算用!$H$3:$H$452,計算用!$M$42),INDEX(振り分け!$D$7:$D$456,計算用!$M$42)))</f>
        <v/>
      </c>
      <c r="I46" s="67">
        <f>IF(計算用!$N$42="","",IF(計算用!$B$1=1,INDEX(計算用!$F$3:$F$452,計算用!$N$42),INDEX(振り分け!$B$7:$B$456,計算用!$N$42)))</f>
        <v/>
      </c>
      <c r="J46" s="68">
        <f>IF(計算用!$N$42="","",IF(計算用!$B$1=1,INDEX(計算用!$H$3:$H$452,計算用!$N$42),INDEX(振り分け!$D$7:$D$456,計算用!$N$42)))</f>
        <v/>
      </c>
      <c r="K46" s="67">
        <f>IF(計算用!$O$42="","",IF(計算用!$B$1=1,INDEX(計算用!$F$3:$F$452,計算用!$O$42),INDEX(振り分け!$B$7:$B$456,計算用!$O$42)))</f>
        <v/>
      </c>
      <c r="L46" s="68">
        <f>IF(計算用!$O$42="","",IF(計算用!$B$1=1,INDEX(計算用!$H$3:$H$452,計算用!$O$42),INDEX(振り分け!$D$7:$D$456,計算用!$O$42)))</f>
        <v/>
      </c>
      <c r="M46" s="67">
        <f>IF(計算用!$P$42="","",IF(計算用!$B$1=1,INDEX(計算用!$F$3:$F$452,計算用!$P$42),INDEX(振り分け!$B$7:$B$456,計算用!$P$42)))</f>
        <v/>
      </c>
      <c r="N46" s="68">
        <f>IF(計算用!$P$42="","",IF(計算用!$B$1=1,INDEX(計算用!$H$3:$H$452,計算用!$P$42),INDEX(振り分け!$D$7:$D$456,計算用!$P$42)))</f>
        <v/>
      </c>
      <c r="O46" s="67">
        <f>IF(計算用!$Q$42="","",IF(計算用!$B$1=1,INDEX(計算用!$F$3:$F$452,計算用!$Q$42),INDEX(振り分け!$B$7:$B$456,計算用!$Q$42)))</f>
        <v/>
      </c>
      <c r="P46" s="68">
        <f>IF(計算用!$Q$42="","",IF(計算用!$B$1=1,INDEX(計算用!$H$3:$H$452,計算用!$Q$42),INDEX(振り分け!$D$7:$D$456,計算用!$Q$42)))</f>
        <v/>
      </c>
      <c r="Q46" s="67">
        <f>IF(計算用!$R$42="","",IF(計算用!$B$1=1,INDEX(計算用!$F$3:$F$452,計算用!$R$42),INDEX(振り分け!$B$7:$B$456,計算用!$R$42)))</f>
        <v/>
      </c>
      <c r="R46" s="68">
        <f>IF(計算用!$R$42="","",IF(計算用!$B$1=1,INDEX(計算用!$H$3:$H$452,計算用!$R$42),INDEX(振り分け!$D$7:$D$456,計算用!$R$42)))</f>
        <v/>
      </c>
      <c r="S46" s="67">
        <f>IF(計算用!$S$42="","",IF(計算用!$B$1=1,INDEX(計算用!$F$3:$F$452,計算用!$S$42),INDEX(振り分け!$B$7:$B$456,計算用!$S$42)))</f>
        <v/>
      </c>
      <c r="T46" s="68">
        <f>IF(計算用!$S$42="","",IF(計算用!$B$1=1,INDEX(計算用!$H$3:$H$452,計算用!$S$42),INDEX(振り分け!$D$7:$D$456,計算用!$S$42)))</f>
        <v/>
      </c>
    </row>
    <row r="47">
      <c r="A47" s="67">
        <f>IF(計算用!$J$43="","",IF(計算用!$B$1=1,INDEX(計算用!$F$3:$F$452,計算用!$J$43),INDEX(振り分け!$B$7:$B$456,計算用!$J$43)))</f>
        <v/>
      </c>
      <c r="B47" s="68">
        <f>IF(計算用!$J$43="","",IF(計算用!$B$1=1,INDEX(計算用!$H$3:$H$452,計算用!$J$43),INDEX(振り分け!$D$7:$D$456,計算用!$J$43)))</f>
        <v/>
      </c>
      <c r="C47" s="67">
        <f>IF(計算用!$K$43="","",IF(計算用!$B$1=1,INDEX(計算用!$F$3:$F$452,計算用!$K$43),INDEX(振り分け!$B$7:$B$456,計算用!$K$43)))</f>
        <v/>
      </c>
      <c r="D47" s="68">
        <f>IF(計算用!$K$43="","",IF(計算用!$B$1=1,INDEX(計算用!$H$3:$H$452,計算用!$K$43),INDEX(振り分け!$D$7:$D$456,計算用!$K$43)))</f>
        <v/>
      </c>
      <c r="E47" s="67">
        <f>IF(計算用!$L$43="","",IF(計算用!$B$1=1,INDEX(計算用!$F$3:$F$452,計算用!$L$43),INDEX(振り分け!$B$7:$B$456,計算用!$L$43)))</f>
        <v/>
      </c>
      <c r="F47" s="68">
        <f>IF(計算用!$L$43="","",IF(計算用!$B$1=1,INDEX(計算用!$H$3:$H$452,計算用!$L$43),INDEX(振り分け!$D$7:$D$456,計算用!$L$43)))</f>
        <v/>
      </c>
      <c r="G47" s="67">
        <f>IF(計算用!$M$43="","",IF(計算用!$B$1=1,INDEX(計算用!$F$3:$F$452,計算用!$M$43),INDEX(振り分け!$B$7:$B$456,計算用!$M$43)))</f>
        <v/>
      </c>
      <c r="H47" s="68">
        <f>IF(計算用!$M$43="","",IF(計算用!$B$1=1,INDEX(計算用!$H$3:$H$452,計算用!$M$43),INDEX(振り分け!$D$7:$D$456,計算用!$M$43)))</f>
        <v/>
      </c>
      <c r="I47" s="67">
        <f>IF(計算用!$N$43="","",IF(計算用!$B$1=1,INDEX(計算用!$F$3:$F$452,計算用!$N$43),INDEX(振り分け!$B$7:$B$456,計算用!$N$43)))</f>
        <v/>
      </c>
      <c r="J47" s="68">
        <f>IF(計算用!$N$43="","",IF(計算用!$B$1=1,INDEX(計算用!$H$3:$H$452,計算用!$N$43),INDEX(振り分け!$D$7:$D$456,計算用!$N$43)))</f>
        <v/>
      </c>
      <c r="K47" s="67">
        <f>IF(計算用!$O$43="","",IF(計算用!$B$1=1,INDEX(計算用!$F$3:$F$452,計算用!$O$43),INDEX(振り分け!$B$7:$B$456,計算用!$O$43)))</f>
        <v/>
      </c>
      <c r="L47" s="68">
        <f>IF(計算用!$O$43="","",IF(計算用!$B$1=1,INDEX(計算用!$H$3:$H$452,計算用!$O$43),INDEX(振り分け!$D$7:$D$456,計算用!$O$43)))</f>
        <v/>
      </c>
      <c r="M47" s="67">
        <f>IF(計算用!$P$43="","",IF(計算用!$B$1=1,INDEX(計算用!$F$3:$F$452,計算用!$P$43),INDEX(振り分け!$B$7:$B$456,計算用!$P$43)))</f>
        <v/>
      </c>
      <c r="N47" s="68">
        <f>IF(計算用!$P$43="","",IF(計算用!$B$1=1,INDEX(計算用!$H$3:$H$452,計算用!$P$43),INDEX(振り分け!$D$7:$D$456,計算用!$P$43)))</f>
        <v/>
      </c>
      <c r="O47" s="67">
        <f>IF(計算用!$Q$43="","",IF(計算用!$B$1=1,INDEX(計算用!$F$3:$F$452,計算用!$Q$43),INDEX(振り分け!$B$7:$B$456,計算用!$Q$43)))</f>
        <v/>
      </c>
      <c r="P47" s="68">
        <f>IF(計算用!$Q$43="","",IF(計算用!$B$1=1,INDEX(計算用!$H$3:$H$452,計算用!$Q$43),INDEX(振り分け!$D$7:$D$456,計算用!$Q$43)))</f>
        <v/>
      </c>
      <c r="Q47" s="67">
        <f>IF(計算用!$R$43="","",IF(計算用!$B$1=1,INDEX(計算用!$F$3:$F$452,計算用!$R$43),INDEX(振り分け!$B$7:$B$456,計算用!$R$43)))</f>
        <v/>
      </c>
      <c r="R47" s="68">
        <f>IF(計算用!$R$43="","",IF(計算用!$B$1=1,INDEX(計算用!$H$3:$H$452,計算用!$R$43),INDEX(振り分け!$D$7:$D$456,計算用!$R$43)))</f>
        <v/>
      </c>
      <c r="S47" s="67">
        <f>IF(計算用!$S$43="","",IF(計算用!$B$1=1,INDEX(計算用!$F$3:$F$452,計算用!$S$43),INDEX(振り分け!$B$7:$B$456,計算用!$S$43)))</f>
        <v/>
      </c>
      <c r="T47" s="68">
        <f>IF(計算用!$S$43="","",IF(計算用!$B$1=1,INDEX(計算用!$H$3:$H$452,計算用!$S$43),INDEX(振り分け!$D$7:$D$456,計算用!$S$43)))</f>
        <v/>
      </c>
    </row>
    <row r="48">
      <c r="A48" s="67">
        <f>IF(計算用!$J$44="","",IF(計算用!$B$1=1,INDEX(計算用!$F$3:$F$452,計算用!$J$44),INDEX(振り分け!$B$7:$B$456,計算用!$J$44)))</f>
        <v/>
      </c>
      <c r="B48" s="68">
        <f>IF(計算用!$J$44="","",IF(計算用!$B$1=1,INDEX(計算用!$H$3:$H$452,計算用!$J$44),INDEX(振り分け!$D$7:$D$456,計算用!$J$44)))</f>
        <v/>
      </c>
      <c r="C48" s="67">
        <f>IF(計算用!$K$44="","",IF(計算用!$B$1=1,INDEX(計算用!$F$3:$F$452,計算用!$K$44),INDEX(振り分け!$B$7:$B$456,計算用!$K$44)))</f>
        <v/>
      </c>
      <c r="D48" s="68">
        <f>IF(計算用!$K$44="","",IF(計算用!$B$1=1,INDEX(計算用!$H$3:$H$452,計算用!$K$44),INDEX(振り分け!$D$7:$D$456,計算用!$K$44)))</f>
        <v/>
      </c>
      <c r="E48" s="67">
        <f>IF(計算用!$L$44="","",IF(計算用!$B$1=1,INDEX(計算用!$F$3:$F$452,計算用!$L$44),INDEX(振り分け!$B$7:$B$456,計算用!$L$44)))</f>
        <v/>
      </c>
      <c r="F48" s="68">
        <f>IF(計算用!$L$44="","",IF(計算用!$B$1=1,INDEX(計算用!$H$3:$H$452,計算用!$L$44),INDEX(振り分け!$D$7:$D$456,計算用!$L$44)))</f>
        <v/>
      </c>
      <c r="G48" s="67">
        <f>IF(計算用!$M$44="","",IF(計算用!$B$1=1,INDEX(計算用!$F$3:$F$452,計算用!$M$44),INDEX(振り分け!$B$7:$B$456,計算用!$M$44)))</f>
        <v/>
      </c>
      <c r="H48" s="68">
        <f>IF(計算用!$M$44="","",IF(計算用!$B$1=1,INDEX(計算用!$H$3:$H$452,計算用!$M$44),INDEX(振り分け!$D$7:$D$456,計算用!$M$44)))</f>
        <v/>
      </c>
      <c r="I48" s="67">
        <f>IF(計算用!$N$44="","",IF(計算用!$B$1=1,INDEX(計算用!$F$3:$F$452,計算用!$N$44),INDEX(振り分け!$B$7:$B$456,計算用!$N$44)))</f>
        <v/>
      </c>
      <c r="J48" s="68">
        <f>IF(計算用!$N$44="","",IF(計算用!$B$1=1,INDEX(計算用!$H$3:$H$452,計算用!$N$44),INDEX(振り分け!$D$7:$D$456,計算用!$N$44)))</f>
        <v/>
      </c>
      <c r="K48" s="67">
        <f>IF(計算用!$O$44="","",IF(計算用!$B$1=1,INDEX(計算用!$F$3:$F$452,計算用!$O$44),INDEX(振り分け!$B$7:$B$456,計算用!$O$44)))</f>
        <v/>
      </c>
      <c r="L48" s="68">
        <f>IF(計算用!$O$44="","",IF(計算用!$B$1=1,INDEX(計算用!$H$3:$H$452,計算用!$O$44),INDEX(振り分け!$D$7:$D$456,計算用!$O$44)))</f>
        <v/>
      </c>
      <c r="M48" s="67">
        <f>IF(計算用!$P$44="","",IF(計算用!$B$1=1,INDEX(計算用!$F$3:$F$452,計算用!$P$44),INDEX(振り分け!$B$7:$B$456,計算用!$P$44)))</f>
        <v/>
      </c>
      <c r="N48" s="68">
        <f>IF(計算用!$P$44="","",IF(計算用!$B$1=1,INDEX(計算用!$H$3:$H$452,計算用!$P$44),INDEX(振り分け!$D$7:$D$456,計算用!$P$44)))</f>
        <v/>
      </c>
      <c r="O48" s="67">
        <f>IF(計算用!$Q$44="","",IF(計算用!$B$1=1,INDEX(計算用!$F$3:$F$452,計算用!$Q$44),INDEX(振り分け!$B$7:$B$456,計算用!$Q$44)))</f>
        <v/>
      </c>
      <c r="P48" s="68">
        <f>IF(計算用!$Q$44="","",IF(計算用!$B$1=1,INDEX(計算用!$H$3:$H$452,計算用!$Q$44),INDEX(振り分け!$D$7:$D$456,計算用!$Q$44)))</f>
        <v/>
      </c>
      <c r="Q48" s="67">
        <f>IF(計算用!$R$44="","",IF(計算用!$B$1=1,INDEX(計算用!$F$3:$F$452,計算用!$R$44),INDEX(振り分け!$B$7:$B$456,計算用!$R$44)))</f>
        <v/>
      </c>
      <c r="R48" s="68">
        <f>IF(計算用!$R$44="","",IF(計算用!$B$1=1,INDEX(計算用!$H$3:$H$452,計算用!$R$44),INDEX(振り分け!$D$7:$D$456,計算用!$R$44)))</f>
        <v/>
      </c>
      <c r="S48" s="67">
        <f>IF(計算用!$S$44="","",IF(計算用!$B$1=1,INDEX(計算用!$F$3:$F$452,計算用!$S$44),INDEX(振り分け!$B$7:$B$456,計算用!$S$44)))</f>
        <v/>
      </c>
      <c r="T48" s="68">
        <f>IF(計算用!$S$44="","",IF(計算用!$B$1=1,INDEX(計算用!$H$3:$H$452,計算用!$S$44),INDEX(振り分け!$D$7:$D$456,計算用!$S$44)))</f>
        <v/>
      </c>
    </row>
    <row r="49">
      <c r="A49" s="67">
        <f>IF(計算用!$J$45="","",IF(計算用!$B$1=1,INDEX(計算用!$F$3:$F$452,計算用!$J$45),INDEX(振り分け!$B$7:$B$456,計算用!$J$45)))</f>
        <v/>
      </c>
      <c r="B49" s="68">
        <f>IF(計算用!$J$45="","",IF(計算用!$B$1=1,INDEX(計算用!$H$3:$H$452,計算用!$J$45),INDEX(振り分け!$D$7:$D$456,計算用!$J$45)))</f>
        <v/>
      </c>
      <c r="C49" s="67">
        <f>IF(計算用!$K$45="","",IF(計算用!$B$1=1,INDEX(計算用!$F$3:$F$452,計算用!$K$45),INDEX(振り分け!$B$7:$B$456,計算用!$K$45)))</f>
        <v/>
      </c>
      <c r="D49" s="68">
        <f>IF(計算用!$K$45="","",IF(計算用!$B$1=1,INDEX(計算用!$H$3:$H$452,計算用!$K$45),INDEX(振り分け!$D$7:$D$456,計算用!$K$45)))</f>
        <v/>
      </c>
      <c r="E49" s="67">
        <f>IF(計算用!$L$45="","",IF(計算用!$B$1=1,INDEX(計算用!$F$3:$F$452,計算用!$L$45),INDEX(振り分け!$B$7:$B$456,計算用!$L$45)))</f>
        <v/>
      </c>
      <c r="F49" s="68">
        <f>IF(計算用!$L$45="","",IF(計算用!$B$1=1,INDEX(計算用!$H$3:$H$452,計算用!$L$45),INDEX(振り分け!$D$7:$D$456,計算用!$L$45)))</f>
        <v/>
      </c>
      <c r="G49" s="67">
        <f>IF(計算用!$M$45="","",IF(計算用!$B$1=1,INDEX(計算用!$F$3:$F$452,計算用!$M$45),INDEX(振り分け!$B$7:$B$456,計算用!$M$45)))</f>
        <v/>
      </c>
      <c r="H49" s="68">
        <f>IF(計算用!$M$45="","",IF(計算用!$B$1=1,INDEX(計算用!$H$3:$H$452,計算用!$M$45),INDEX(振り分け!$D$7:$D$456,計算用!$M$45)))</f>
        <v/>
      </c>
      <c r="I49" s="67">
        <f>IF(計算用!$N$45="","",IF(計算用!$B$1=1,INDEX(計算用!$F$3:$F$452,計算用!$N$45),INDEX(振り分け!$B$7:$B$456,計算用!$N$45)))</f>
        <v/>
      </c>
      <c r="J49" s="68">
        <f>IF(計算用!$N$45="","",IF(計算用!$B$1=1,INDEX(計算用!$H$3:$H$452,計算用!$N$45),INDEX(振り分け!$D$7:$D$456,計算用!$N$45)))</f>
        <v/>
      </c>
      <c r="K49" s="67">
        <f>IF(計算用!$O$45="","",IF(計算用!$B$1=1,INDEX(計算用!$F$3:$F$452,計算用!$O$45),INDEX(振り分け!$B$7:$B$456,計算用!$O$45)))</f>
        <v/>
      </c>
      <c r="L49" s="68">
        <f>IF(計算用!$O$45="","",IF(計算用!$B$1=1,INDEX(計算用!$H$3:$H$452,計算用!$O$45),INDEX(振り分け!$D$7:$D$456,計算用!$O$45)))</f>
        <v/>
      </c>
      <c r="M49" s="67">
        <f>IF(計算用!$P$45="","",IF(計算用!$B$1=1,INDEX(計算用!$F$3:$F$452,計算用!$P$45),INDEX(振り分け!$B$7:$B$456,計算用!$P$45)))</f>
        <v/>
      </c>
      <c r="N49" s="68">
        <f>IF(計算用!$P$45="","",IF(計算用!$B$1=1,INDEX(計算用!$H$3:$H$452,計算用!$P$45),INDEX(振り分け!$D$7:$D$456,計算用!$P$45)))</f>
        <v/>
      </c>
      <c r="O49" s="67">
        <f>IF(計算用!$Q$45="","",IF(計算用!$B$1=1,INDEX(計算用!$F$3:$F$452,計算用!$Q$45),INDEX(振り分け!$B$7:$B$456,計算用!$Q$45)))</f>
        <v/>
      </c>
      <c r="P49" s="68">
        <f>IF(計算用!$Q$45="","",IF(計算用!$B$1=1,INDEX(計算用!$H$3:$H$452,計算用!$Q$45),INDEX(振り分け!$D$7:$D$456,計算用!$Q$45)))</f>
        <v/>
      </c>
      <c r="Q49" s="67">
        <f>IF(計算用!$R$45="","",IF(計算用!$B$1=1,INDEX(計算用!$F$3:$F$452,計算用!$R$45),INDEX(振り分け!$B$7:$B$456,計算用!$R$45)))</f>
        <v/>
      </c>
      <c r="R49" s="68">
        <f>IF(計算用!$R$45="","",IF(計算用!$B$1=1,INDEX(計算用!$H$3:$H$452,計算用!$R$45),INDEX(振り分け!$D$7:$D$456,計算用!$R$45)))</f>
        <v/>
      </c>
      <c r="S49" s="67">
        <f>IF(計算用!$S$45="","",IF(計算用!$B$1=1,INDEX(計算用!$F$3:$F$452,計算用!$S$45),INDEX(振り分け!$B$7:$B$456,計算用!$S$45)))</f>
        <v/>
      </c>
      <c r="T49" s="68">
        <f>IF(計算用!$S$45="","",IF(計算用!$B$1=1,INDEX(計算用!$H$3:$H$452,計算用!$S$45),INDEX(振り分け!$D$7:$D$456,計算用!$S$45)))</f>
        <v/>
      </c>
    </row>
    <row r="50">
      <c r="A50" s="67">
        <f>IF(計算用!$J$46="","",IF(計算用!$B$1=1,INDEX(計算用!$F$3:$F$452,計算用!$J$46),INDEX(振り分け!$B$7:$B$456,計算用!$J$46)))</f>
        <v/>
      </c>
      <c r="B50" s="68">
        <f>IF(計算用!$J$46="","",IF(計算用!$B$1=1,INDEX(計算用!$H$3:$H$452,計算用!$J$46),INDEX(振り分け!$D$7:$D$456,計算用!$J$46)))</f>
        <v/>
      </c>
      <c r="C50" s="67">
        <f>IF(計算用!$K$46="","",IF(計算用!$B$1=1,INDEX(計算用!$F$3:$F$452,計算用!$K$46),INDEX(振り分け!$B$7:$B$456,計算用!$K$46)))</f>
        <v/>
      </c>
      <c r="D50" s="68">
        <f>IF(計算用!$K$46="","",IF(計算用!$B$1=1,INDEX(計算用!$H$3:$H$452,計算用!$K$46),INDEX(振り分け!$D$7:$D$456,計算用!$K$46)))</f>
        <v/>
      </c>
      <c r="E50" s="67">
        <f>IF(計算用!$L$46="","",IF(計算用!$B$1=1,INDEX(計算用!$F$3:$F$452,計算用!$L$46),INDEX(振り分け!$B$7:$B$456,計算用!$L$46)))</f>
        <v/>
      </c>
      <c r="F50" s="68">
        <f>IF(計算用!$L$46="","",IF(計算用!$B$1=1,INDEX(計算用!$H$3:$H$452,計算用!$L$46),INDEX(振り分け!$D$7:$D$456,計算用!$L$46)))</f>
        <v/>
      </c>
      <c r="G50" s="67">
        <f>IF(計算用!$M$46="","",IF(計算用!$B$1=1,INDEX(計算用!$F$3:$F$452,計算用!$M$46),INDEX(振り分け!$B$7:$B$456,計算用!$M$46)))</f>
        <v/>
      </c>
      <c r="H50" s="68">
        <f>IF(計算用!$M$46="","",IF(計算用!$B$1=1,INDEX(計算用!$H$3:$H$452,計算用!$M$46),INDEX(振り分け!$D$7:$D$456,計算用!$M$46)))</f>
        <v/>
      </c>
      <c r="I50" s="67">
        <f>IF(計算用!$N$46="","",IF(計算用!$B$1=1,INDEX(計算用!$F$3:$F$452,計算用!$N$46),INDEX(振り分け!$B$7:$B$456,計算用!$N$46)))</f>
        <v/>
      </c>
      <c r="J50" s="68">
        <f>IF(計算用!$N$46="","",IF(計算用!$B$1=1,INDEX(計算用!$H$3:$H$452,計算用!$N$46),INDEX(振り分け!$D$7:$D$456,計算用!$N$46)))</f>
        <v/>
      </c>
      <c r="K50" s="67">
        <f>IF(計算用!$O$46="","",IF(計算用!$B$1=1,INDEX(計算用!$F$3:$F$452,計算用!$O$46),INDEX(振り分け!$B$7:$B$456,計算用!$O$46)))</f>
        <v/>
      </c>
      <c r="L50" s="68">
        <f>IF(計算用!$O$46="","",IF(計算用!$B$1=1,INDEX(計算用!$H$3:$H$452,計算用!$O$46),INDEX(振り分け!$D$7:$D$456,計算用!$O$46)))</f>
        <v/>
      </c>
      <c r="M50" s="67">
        <f>IF(計算用!$P$46="","",IF(計算用!$B$1=1,INDEX(計算用!$F$3:$F$452,計算用!$P$46),INDEX(振り分け!$B$7:$B$456,計算用!$P$46)))</f>
        <v/>
      </c>
      <c r="N50" s="68">
        <f>IF(計算用!$P$46="","",IF(計算用!$B$1=1,INDEX(計算用!$H$3:$H$452,計算用!$P$46),INDEX(振り分け!$D$7:$D$456,計算用!$P$46)))</f>
        <v/>
      </c>
      <c r="O50" s="67">
        <f>IF(計算用!$Q$46="","",IF(計算用!$B$1=1,INDEX(計算用!$F$3:$F$452,計算用!$Q$46),INDEX(振り分け!$B$7:$B$456,計算用!$Q$46)))</f>
        <v/>
      </c>
      <c r="P50" s="68">
        <f>IF(計算用!$Q$46="","",IF(計算用!$B$1=1,INDEX(計算用!$H$3:$H$452,計算用!$Q$46),INDEX(振り分け!$D$7:$D$456,計算用!$Q$46)))</f>
        <v/>
      </c>
      <c r="Q50" s="67">
        <f>IF(計算用!$R$46="","",IF(計算用!$B$1=1,INDEX(計算用!$F$3:$F$452,計算用!$R$46),INDEX(振り分け!$B$7:$B$456,計算用!$R$46)))</f>
        <v/>
      </c>
      <c r="R50" s="68">
        <f>IF(計算用!$R$46="","",IF(計算用!$B$1=1,INDEX(計算用!$H$3:$H$452,計算用!$R$46),INDEX(振り分け!$D$7:$D$456,計算用!$R$46)))</f>
        <v/>
      </c>
      <c r="S50" s="67">
        <f>IF(計算用!$S$46="","",IF(計算用!$B$1=1,INDEX(計算用!$F$3:$F$452,計算用!$S$46),INDEX(振り分け!$B$7:$B$456,計算用!$S$46)))</f>
        <v/>
      </c>
      <c r="T50" s="68">
        <f>IF(計算用!$S$46="","",IF(計算用!$B$1=1,INDEX(計算用!$H$3:$H$452,計算用!$S$46),INDEX(振り分け!$D$7:$D$456,計算用!$S$46)))</f>
        <v/>
      </c>
    </row>
    <row r="51">
      <c r="A51" s="67">
        <f>IF(計算用!$J$47="","",IF(計算用!$B$1=1,INDEX(計算用!$F$3:$F$452,計算用!$J$47),INDEX(振り分け!$B$7:$B$456,計算用!$J$47)))</f>
        <v/>
      </c>
      <c r="B51" s="68">
        <f>IF(計算用!$J$47="","",IF(計算用!$B$1=1,INDEX(計算用!$H$3:$H$452,計算用!$J$47),INDEX(振り分け!$D$7:$D$456,計算用!$J$47)))</f>
        <v/>
      </c>
      <c r="C51" s="67">
        <f>IF(計算用!$K$47="","",IF(計算用!$B$1=1,INDEX(計算用!$F$3:$F$452,計算用!$K$47),INDEX(振り分け!$B$7:$B$456,計算用!$K$47)))</f>
        <v/>
      </c>
      <c r="D51" s="68">
        <f>IF(計算用!$K$47="","",IF(計算用!$B$1=1,INDEX(計算用!$H$3:$H$452,計算用!$K$47),INDEX(振り分け!$D$7:$D$456,計算用!$K$47)))</f>
        <v/>
      </c>
      <c r="E51" s="67">
        <f>IF(計算用!$L$47="","",IF(計算用!$B$1=1,INDEX(計算用!$F$3:$F$452,計算用!$L$47),INDEX(振り分け!$B$7:$B$456,計算用!$L$47)))</f>
        <v/>
      </c>
      <c r="F51" s="68">
        <f>IF(計算用!$L$47="","",IF(計算用!$B$1=1,INDEX(計算用!$H$3:$H$452,計算用!$L$47),INDEX(振り分け!$D$7:$D$456,計算用!$L$47)))</f>
        <v/>
      </c>
      <c r="G51" s="67">
        <f>IF(計算用!$M$47="","",IF(計算用!$B$1=1,INDEX(計算用!$F$3:$F$452,計算用!$M$47),INDEX(振り分け!$B$7:$B$456,計算用!$M$47)))</f>
        <v/>
      </c>
      <c r="H51" s="68">
        <f>IF(計算用!$M$47="","",IF(計算用!$B$1=1,INDEX(計算用!$H$3:$H$452,計算用!$M$47),INDEX(振り分け!$D$7:$D$456,計算用!$M$47)))</f>
        <v/>
      </c>
      <c r="I51" s="67">
        <f>IF(計算用!$N$47="","",IF(計算用!$B$1=1,INDEX(計算用!$F$3:$F$452,計算用!$N$47),INDEX(振り分け!$B$7:$B$456,計算用!$N$47)))</f>
        <v/>
      </c>
      <c r="J51" s="68">
        <f>IF(計算用!$N$47="","",IF(計算用!$B$1=1,INDEX(計算用!$H$3:$H$452,計算用!$N$47),INDEX(振り分け!$D$7:$D$456,計算用!$N$47)))</f>
        <v/>
      </c>
      <c r="K51" s="67">
        <f>IF(計算用!$O$47="","",IF(計算用!$B$1=1,INDEX(計算用!$F$3:$F$452,計算用!$O$47),INDEX(振り分け!$B$7:$B$456,計算用!$O$47)))</f>
        <v/>
      </c>
      <c r="L51" s="68">
        <f>IF(計算用!$O$47="","",IF(計算用!$B$1=1,INDEX(計算用!$H$3:$H$452,計算用!$O$47),INDEX(振り分け!$D$7:$D$456,計算用!$O$47)))</f>
        <v/>
      </c>
      <c r="M51" s="67">
        <f>IF(計算用!$P$47="","",IF(計算用!$B$1=1,INDEX(計算用!$F$3:$F$452,計算用!$P$47),INDEX(振り分け!$B$7:$B$456,計算用!$P$47)))</f>
        <v/>
      </c>
      <c r="N51" s="68">
        <f>IF(計算用!$P$47="","",IF(計算用!$B$1=1,INDEX(計算用!$H$3:$H$452,計算用!$P$47),INDEX(振り分け!$D$7:$D$456,計算用!$P$47)))</f>
        <v/>
      </c>
      <c r="O51" s="67">
        <f>IF(計算用!$Q$47="","",IF(計算用!$B$1=1,INDEX(計算用!$F$3:$F$452,計算用!$Q$47),INDEX(振り分け!$B$7:$B$456,計算用!$Q$47)))</f>
        <v/>
      </c>
      <c r="P51" s="68">
        <f>IF(計算用!$Q$47="","",IF(計算用!$B$1=1,INDEX(計算用!$H$3:$H$452,計算用!$Q$47),INDEX(振り分け!$D$7:$D$456,計算用!$Q$47)))</f>
        <v/>
      </c>
      <c r="Q51" s="67">
        <f>IF(計算用!$R$47="","",IF(計算用!$B$1=1,INDEX(計算用!$F$3:$F$452,計算用!$R$47),INDEX(振り分け!$B$7:$B$456,計算用!$R$47)))</f>
        <v/>
      </c>
      <c r="R51" s="68">
        <f>IF(計算用!$R$47="","",IF(計算用!$B$1=1,INDEX(計算用!$H$3:$H$452,計算用!$R$47),INDEX(振り分け!$D$7:$D$456,計算用!$R$47)))</f>
        <v/>
      </c>
      <c r="S51" s="67">
        <f>IF(計算用!$S$47="","",IF(計算用!$B$1=1,INDEX(計算用!$F$3:$F$452,計算用!$S$47),INDEX(振り分け!$B$7:$B$456,計算用!$S$47)))</f>
        <v/>
      </c>
      <c r="T51" s="68">
        <f>IF(計算用!$S$47="","",IF(計算用!$B$1=1,INDEX(計算用!$H$3:$H$452,計算用!$S$47),INDEX(振り分け!$D$7:$D$456,計算用!$S$47)))</f>
        <v/>
      </c>
    </row>
    <row r="52">
      <c r="A52" s="67">
        <f>IF(計算用!$J$48="","",IF(計算用!$B$1=1,INDEX(計算用!$F$3:$F$452,計算用!$J$48),INDEX(振り分け!$B$7:$B$456,計算用!$J$48)))</f>
        <v/>
      </c>
      <c r="B52" s="68">
        <f>IF(計算用!$J$48="","",IF(計算用!$B$1=1,INDEX(計算用!$H$3:$H$452,計算用!$J$48),INDEX(振り分け!$D$7:$D$456,計算用!$J$48)))</f>
        <v/>
      </c>
      <c r="C52" s="67">
        <f>IF(計算用!$K$48="","",IF(計算用!$B$1=1,INDEX(計算用!$F$3:$F$452,計算用!$K$48),INDEX(振り分け!$B$7:$B$456,計算用!$K$48)))</f>
        <v/>
      </c>
      <c r="D52" s="68">
        <f>IF(計算用!$K$48="","",IF(計算用!$B$1=1,INDEX(計算用!$H$3:$H$452,計算用!$K$48),INDEX(振り分け!$D$7:$D$456,計算用!$K$48)))</f>
        <v/>
      </c>
      <c r="E52" s="67">
        <f>IF(計算用!$L$48="","",IF(計算用!$B$1=1,INDEX(計算用!$F$3:$F$452,計算用!$L$48),INDEX(振り分け!$B$7:$B$456,計算用!$L$48)))</f>
        <v/>
      </c>
      <c r="F52" s="68">
        <f>IF(計算用!$L$48="","",IF(計算用!$B$1=1,INDEX(計算用!$H$3:$H$452,計算用!$L$48),INDEX(振り分け!$D$7:$D$456,計算用!$L$48)))</f>
        <v/>
      </c>
      <c r="G52" s="67">
        <f>IF(計算用!$M$48="","",IF(計算用!$B$1=1,INDEX(計算用!$F$3:$F$452,計算用!$M$48),INDEX(振り分け!$B$7:$B$456,計算用!$M$48)))</f>
        <v/>
      </c>
      <c r="H52" s="68">
        <f>IF(計算用!$M$48="","",IF(計算用!$B$1=1,INDEX(計算用!$H$3:$H$452,計算用!$M$48),INDEX(振り分け!$D$7:$D$456,計算用!$M$48)))</f>
        <v/>
      </c>
      <c r="I52" s="67">
        <f>IF(計算用!$N$48="","",IF(計算用!$B$1=1,INDEX(計算用!$F$3:$F$452,計算用!$N$48),INDEX(振り分け!$B$7:$B$456,計算用!$N$48)))</f>
        <v/>
      </c>
      <c r="J52" s="68">
        <f>IF(計算用!$N$48="","",IF(計算用!$B$1=1,INDEX(計算用!$H$3:$H$452,計算用!$N$48),INDEX(振り分け!$D$7:$D$456,計算用!$N$48)))</f>
        <v/>
      </c>
      <c r="K52" s="67">
        <f>IF(計算用!$O$48="","",IF(計算用!$B$1=1,INDEX(計算用!$F$3:$F$452,計算用!$O$48),INDEX(振り分け!$B$7:$B$456,計算用!$O$48)))</f>
        <v/>
      </c>
      <c r="L52" s="68">
        <f>IF(計算用!$O$48="","",IF(計算用!$B$1=1,INDEX(計算用!$H$3:$H$452,計算用!$O$48),INDEX(振り分け!$D$7:$D$456,計算用!$O$48)))</f>
        <v/>
      </c>
      <c r="M52" s="67">
        <f>IF(計算用!$P$48="","",IF(計算用!$B$1=1,INDEX(計算用!$F$3:$F$452,計算用!$P$48),INDEX(振り分け!$B$7:$B$456,計算用!$P$48)))</f>
        <v/>
      </c>
      <c r="N52" s="68">
        <f>IF(計算用!$P$48="","",IF(計算用!$B$1=1,INDEX(計算用!$H$3:$H$452,計算用!$P$48),INDEX(振り分け!$D$7:$D$456,計算用!$P$48)))</f>
        <v/>
      </c>
      <c r="O52" s="67">
        <f>IF(計算用!$Q$48="","",IF(計算用!$B$1=1,INDEX(計算用!$F$3:$F$452,計算用!$Q$48),INDEX(振り分け!$B$7:$B$456,計算用!$Q$48)))</f>
        <v/>
      </c>
      <c r="P52" s="68">
        <f>IF(計算用!$Q$48="","",IF(計算用!$B$1=1,INDEX(計算用!$H$3:$H$452,計算用!$Q$48),INDEX(振り分け!$D$7:$D$456,計算用!$Q$48)))</f>
        <v/>
      </c>
      <c r="Q52" s="67">
        <f>IF(計算用!$R$48="","",IF(計算用!$B$1=1,INDEX(計算用!$F$3:$F$452,計算用!$R$48),INDEX(振り分け!$B$7:$B$456,計算用!$R$48)))</f>
        <v/>
      </c>
      <c r="R52" s="68">
        <f>IF(計算用!$R$48="","",IF(計算用!$B$1=1,INDEX(計算用!$H$3:$H$452,計算用!$R$48),INDEX(振り分け!$D$7:$D$456,計算用!$R$48)))</f>
        <v/>
      </c>
      <c r="S52" s="67">
        <f>IF(計算用!$S$48="","",IF(計算用!$B$1=1,INDEX(計算用!$F$3:$F$452,計算用!$S$48),INDEX(振り分け!$B$7:$B$456,計算用!$S$48)))</f>
        <v/>
      </c>
      <c r="T52" s="68">
        <f>IF(計算用!$S$48="","",IF(計算用!$B$1=1,INDEX(計算用!$H$3:$H$452,計算用!$S$48),INDEX(振り分け!$D$7:$D$456,計算用!$S$48)))</f>
        <v/>
      </c>
    </row>
    <row r="53">
      <c r="A53" s="67">
        <f>IF(計算用!$J$49="","",IF(計算用!$B$1=1,INDEX(計算用!$F$3:$F$452,計算用!$J$49),INDEX(振り分け!$B$7:$B$456,計算用!$J$49)))</f>
        <v/>
      </c>
      <c r="B53" s="68">
        <f>IF(計算用!$J$49="","",IF(計算用!$B$1=1,INDEX(計算用!$H$3:$H$452,計算用!$J$49),INDEX(振り分け!$D$7:$D$456,計算用!$J$49)))</f>
        <v/>
      </c>
      <c r="C53" s="67">
        <f>IF(計算用!$K$49="","",IF(計算用!$B$1=1,INDEX(計算用!$F$3:$F$452,計算用!$K$49),INDEX(振り分け!$B$7:$B$456,計算用!$K$49)))</f>
        <v/>
      </c>
      <c r="D53" s="68">
        <f>IF(計算用!$K$49="","",IF(計算用!$B$1=1,INDEX(計算用!$H$3:$H$452,計算用!$K$49),INDEX(振り分け!$D$7:$D$456,計算用!$K$49)))</f>
        <v/>
      </c>
      <c r="E53" s="67">
        <f>IF(計算用!$L$49="","",IF(計算用!$B$1=1,INDEX(計算用!$F$3:$F$452,計算用!$L$49),INDEX(振り分け!$B$7:$B$456,計算用!$L$49)))</f>
        <v/>
      </c>
      <c r="F53" s="68">
        <f>IF(計算用!$L$49="","",IF(計算用!$B$1=1,INDEX(計算用!$H$3:$H$452,計算用!$L$49),INDEX(振り分け!$D$7:$D$456,計算用!$L$49)))</f>
        <v/>
      </c>
      <c r="G53" s="67">
        <f>IF(計算用!$M$49="","",IF(計算用!$B$1=1,INDEX(計算用!$F$3:$F$452,計算用!$M$49),INDEX(振り分け!$B$7:$B$456,計算用!$M$49)))</f>
        <v/>
      </c>
      <c r="H53" s="68">
        <f>IF(計算用!$M$49="","",IF(計算用!$B$1=1,INDEX(計算用!$H$3:$H$452,計算用!$M$49),INDEX(振り分け!$D$7:$D$456,計算用!$M$49)))</f>
        <v/>
      </c>
      <c r="I53" s="67">
        <f>IF(計算用!$N$49="","",IF(計算用!$B$1=1,INDEX(計算用!$F$3:$F$452,計算用!$N$49),INDEX(振り分け!$B$7:$B$456,計算用!$N$49)))</f>
        <v/>
      </c>
      <c r="J53" s="68">
        <f>IF(計算用!$N$49="","",IF(計算用!$B$1=1,INDEX(計算用!$H$3:$H$452,計算用!$N$49),INDEX(振り分け!$D$7:$D$456,計算用!$N$49)))</f>
        <v/>
      </c>
      <c r="K53" s="67">
        <f>IF(計算用!$O$49="","",IF(計算用!$B$1=1,INDEX(計算用!$F$3:$F$452,計算用!$O$49),INDEX(振り分け!$B$7:$B$456,計算用!$O$49)))</f>
        <v/>
      </c>
      <c r="L53" s="68">
        <f>IF(計算用!$O$49="","",IF(計算用!$B$1=1,INDEX(計算用!$H$3:$H$452,計算用!$O$49),INDEX(振り分け!$D$7:$D$456,計算用!$O$49)))</f>
        <v/>
      </c>
      <c r="M53" s="67">
        <f>IF(計算用!$P$49="","",IF(計算用!$B$1=1,INDEX(計算用!$F$3:$F$452,計算用!$P$49),INDEX(振り分け!$B$7:$B$456,計算用!$P$49)))</f>
        <v/>
      </c>
      <c r="N53" s="68">
        <f>IF(計算用!$P$49="","",IF(計算用!$B$1=1,INDEX(計算用!$H$3:$H$452,計算用!$P$49),INDEX(振り分け!$D$7:$D$456,計算用!$P$49)))</f>
        <v/>
      </c>
      <c r="O53" s="67">
        <f>IF(計算用!$Q$49="","",IF(計算用!$B$1=1,INDEX(計算用!$F$3:$F$452,計算用!$Q$49),INDEX(振り分け!$B$7:$B$456,計算用!$Q$49)))</f>
        <v/>
      </c>
      <c r="P53" s="68">
        <f>IF(計算用!$Q$49="","",IF(計算用!$B$1=1,INDEX(計算用!$H$3:$H$452,計算用!$Q$49),INDEX(振り分け!$D$7:$D$456,計算用!$Q$49)))</f>
        <v/>
      </c>
      <c r="Q53" s="67">
        <f>IF(計算用!$R$49="","",IF(計算用!$B$1=1,INDEX(計算用!$F$3:$F$452,計算用!$R$49),INDEX(振り分け!$B$7:$B$456,計算用!$R$49)))</f>
        <v/>
      </c>
      <c r="R53" s="68">
        <f>IF(計算用!$R$49="","",IF(計算用!$B$1=1,INDEX(計算用!$H$3:$H$452,計算用!$R$49),INDEX(振り分け!$D$7:$D$456,計算用!$R$49)))</f>
        <v/>
      </c>
      <c r="S53" s="67">
        <f>IF(計算用!$S$49="","",IF(計算用!$B$1=1,INDEX(計算用!$F$3:$F$452,計算用!$S$49),INDEX(振り分け!$B$7:$B$456,計算用!$S$49)))</f>
        <v/>
      </c>
      <c r="T53" s="68">
        <f>IF(計算用!$S$49="","",IF(計算用!$B$1=1,INDEX(計算用!$H$3:$H$452,計算用!$S$49),INDEX(振り分け!$D$7:$D$456,計算用!$S$49)))</f>
        <v/>
      </c>
    </row>
    <row r="54">
      <c r="A54" s="67">
        <f>IF(計算用!$J$50="","",IF(計算用!$B$1=1,INDEX(計算用!$F$3:$F$452,計算用!$J$50),INDEX(振り分け!$B$7:$B$456,計算用!$J$50)))</f>
        <v/>
      </c>
      <c r="B54" s="68">
        <f>IF(計算用!$J$50="","",IF(計算用!$B$1=1,INDEX(計算用!$H$3:$H$452,計算用!$J$50),INDEX(振り分け!$D$7:$D$456,計算用!$J$50)))</f>
        <v/>
      </c>
      <c r="C54" s="67">
        <f>IF(計算用!$K$50="","",IF(計算用!$B$1=1,INDEX(計算用!$F$3:$F$452,計算用!$K$50),INDEX(振り分け!$B$7:$B$456,計算用!$K$50)))</f>
        <v/>
      </c>
      <c r="D54" s="68">
        <f>IF(計算用!$K$50="","",IF(計算用!$B$1=1,INDEX(計算用!$H$3:$H$452,計算用!$K$50),INDEX(振り分け!$D$7:$D$456,計算用!$K$50)))</f>
        <v/>
      </c>
      <c r="E54" s="67">
        <f>IF(計算用!$L$50="","",IF(計算用!$B$1=1,INDEX(計算用!$F$3:$F$452,計算用!$L$50),INDEX(振り分け!$B$7:$B$456,計算用!$L$50)))</f>
        <v/>
      </c>
      <c r="F54" s="68">
        <f>IF(計算用!$L$50="","",IF(計算用!$B$1=1,INDEX(計算用!$H$3:$H$452,計算用!$L$50),INDEX(振り分け!$D$7:$D$456,計算用!$L$50)))</f>
        <v/>
      </c>
      <c r="G54" s="67">
        <f>IF(計算用!$M$50="","",IF(計算用!$B$1=1,INDEX(計算用!$F$3:$F$452,計算用!$M$50),INDEX(振り分け!$B$7:$B$456,計算用!$M$50)))</f>
        <v/>
      </c>
      <c r="H54" s="68">
        <f>IF(計算用!$M$50="","",IF(計算用!$B$1=1,INDEX(計算用!$H$3:$H$452,計算用!$M$50),INDEX(振り分け!$D$7:$D$456,計算用!$M$50)))</f>
        <v/>
      </c>
      <c r="I54" s="67">
        <f>IF(計算用!$N$50="","",IF(計算用!$B$1=1,INDEX(計算用!$F$3:$F$452,計算用!$N$50),INDEX(振り分け!$B$7:$B$456,計算用!$N$50)))</f>
        <v/>
      </c>
      <c r="J54" s="68">
        <f>IF(計算用!$N$50="","",IF(計算用!$B$1=1,INDEX(計算用!$H$3:$H$452,計算用!$N$50),INDEX(振り分け!$D$7:$D$456,計算用!$N$50)))</f>
        <v/>
      </c>
      <c r="K54" s="67">
        <f>IF(計算用!$O$50="","",IF(計算用!$B$1=1,INDEX(計算用!$F$3:$F$452,計算用!$O$50),INDEX(振り分け!$B$7:$B$456,計算用!$O$50)))</f>
        <v/>
      </c>
      <c r="L54" s="68">
        <f>IF(計算用!$O$50="","",IF(計算用!$B$1=1,INDEX(計算用!$H$3:$H$452,計算用!$O$50),INDEX(振り分け!$D$7:$D$456,計算用!$O$50)))</f>
        <v/>
      </c>
      <c r="M54" s="67">
        <f>IF(計算用!$P$50="","",IF(計算用!$B$1=1,INDEX(計算用!$F$3:$F$452,計算用!$P$50),INDEX(振り分け!$B$7:$B$456,計算用!$P$50)))</f>
        <v/>
      </c>
      <c r="N54" s="68">
        <f>IF(計算用!$P$50="","",IF(計算用!$B$1=1,INDEX(計算用!$H$3:$H$452,計算用!$P$50),INDEX(振り分け!$D$7:$D$456,計算用!$P$50)))</f>
        <v/>
      </c>
      <c r="O54" s="67">
        <f>IF(計算用!$Q$50="","",IF(計算用!$B$1=1,INDEX(計算用!$F$3:$F$452,計算用!$Q$50),INDEX(振り分け!$B$7:$B$456,計算用!$Q$50)))</f>
        <v/>
      </c>
      <c r="P54" s="68">
        <f>IF(計算用!$Q$50="","",IF(計算用!$B$1=1,INDEX(計算用!$H$3:$H$452,計算用!$Q$50),INDEX(振り分け!$D$7:$D$456,計算用!$Q$50)))</f>
        <v/>
      </c>
      <c r="Q54" s="67">
        <f>IF(計算用!$R$50="","",IF(計算用!$B$1=1,INDEX(計算用!$F$3:$F$452,計算用!$R$50),INDEX(振り分け!$B$7:$B$456,計算用!$R$50)))</f>
        <v/>
      </c>
      <c r="R54" s="68">
        <f>IF(計算用!$R$50="","",IF(計算用!$B$1=1,INDEX(計算用!$H$3:$H$452,計算用!$R$50),INDEX(振り分け!$D$7:$D$456,計算用!$R$50)))</f>
        <v/>
      </c>
      <c r="S54" s="67">
        <f>IF(計算用!$S$50="","",IF(計算用!$B$1=1,INDEX(計算用!$F$3:$F$452,計算用!$S$50),INDEX(振り分け!$B$7:$B$456,計算用!$S$50)))</f>
        <v/>
      </c>
      <c r="T54" s="68">
        <f>IF(計算用!$S$50="","",IF(計算用!$B$1=1,INDEX(計算用!$H$3:$H$452,計算用!$S$50),INDEX(振り分け!$D$7:$D$456,計算用!$S$50)))</f>
        <v/>
      </c>
    </row>
    <row r="55">
      <c r="A55" s="67">
        <f>IF(計算用!$J$51="","",IF(計算用!$B$1=1,INDEX(計算用!$F$3:$F$452,計算用!$J$51),INDEX(振り分け!$B$7:$B$456,計算用!$J$51)))</f>
        <v/>
      </c>
      <c r="B55" s="68">
        <f>IF(計算用!$J$51="","",IF(計算用!$B$1=1,INDEX(計算用!$H$3:$H$452,計算用!$J$51),INDEX(振り分け!$D$7:$D$456,計算用!$J$51)))</f>
        <v/>
      </c>
      <c r="C55" s="67">
        <f>IF(計算用!$K$51="","",IF(計算用!$B$1=1,INDEX(計算用!$F$3:$F$452,計算用!$K$51),INDEX(振り分け!$B$7:$B$456,計算用!$K$51)))</f>
        <v/>
      </c>
      <c r="D55" s="68">
        <f>IF(計算用!$K$51="","",IF(計算用!$B$1=1,INDEX(計算用!$H$3:$H$452,計算用!$K$51),INDEX(振り分け!$D$7:$D$456,計算用!$K$51)))</f>
        <v/>
      </c>
      <c r="E55" s="67">
        <f>IF(計算用!$L$51="","",IF(計算用!$B$1=1,INDEX(計算用!$F$3:$F$452,計算用!$L$51),INDEX(振り分け!$B$7:$B$456,計算用!$L$51)))</f>
        <v/>
      </c>
      <c r="F55" s="68">
        <f>IF(計算用!$L$51="","",IF(計算用!$B$1=1,INDEX(計算用!$H$3:$H$452,計算用!$L$51),INDEX(振り分け!$D$7:$D$456,計算用!$L$51)))</f>
        <v/>
      </c>
      <c r="G55" s="67">
        <f>IF(計算用!$M$51="","",IF(計算用!$B$1=1,INDEX(計算用!$F$3:$F$452,計算用!$M$51),INDEX(振り分け!$B$7:$B$456,計算用!$M$51)))</f>
        <v/>
      </c>
      <c r="H55" s="68">
        <f>IF(計算用!$M$51="","",IF(計算用!$B$1=1,INDEX(計算用!$H$3:$H$452,計算用!$M$51),INDEX(振り分け!$D$7:$D$456,計算用!$M$51)))</f>
        <v/>
      </c>
      <c r="I55" s="67">
        <f>IF(計算用!$N$51="","",IF(計算用!$B$1=1,INDEX(計算用!$F$3:$F$452,計算用!$N$51),INDEX(振り分け!$B$7:$B$456,計算用!$N$51)))</f>
        <v/>
      </c>
      <c r="J55" s="68">
        <f>IF(計算用!$N$51="","",IF(計算用!$B$1=1,INDEX(計算用!$H$3:$H$452,計算用!$N$51),INDEX(振り分け!$D$7:$D$456,計算用!$N$51)))</f>
        <v/>
      </c>
      <c r="K55" s="67">
        <f>IF(計算用!$O$51="","",IF(計算用!$B$1=1,INDEX(計算用!$F$3:$F$452,計算用!$O$51),INDEX(振り分け!$B$7:$B$456,計算用!$O$51)))</f>
        <v/>
      </c>
      <c r="L55" s="68">
        <f>IF(計算用!$O$51="","",IF(計算用!$B$1=1,INDEX(計算用!$H$3:$H$452,計算用!$O$51),INDEX(振り分け!$D$7:$D$456,計算用!$O$51)))</f>
        <v/>
      </c>
      <c r="M55" s="67">
        <f>IF(計算用!$P$51="","",IF(計算用!$B$1=1,INDEX(計算用!$F$3:$F$452,計算用!$P$51),INDEX(振り分け!$B$7:$B$456,計算用!$P$51)))</f>
        <v/>
      </c>
      <c r="N55" s="68">
        <f>IF(計算用!$P$51="","",IF(計算用!$B$1=1,INDEX(計算用!$H$3:$H$452,計算用!$P$51),INDEX(振り分け!$D$7:$D$456,計算用!$P$51)))</f>
        <v/>
      </c>
      <c r="O55" s="67">
        <f>IF(計算用!$Q$51="","",IF(計算用!$B$1=1,INDEX(計算用!$F$3:$F$452,計算用!$Q$51),INDEX(振り分け!$B$7:$B$456,計算用!$Q$51)))</f>
        <v/>
      </c>
      <c r="P55" s="68">
        <f>IF(計算用!$Q$51="","",IF(計算用!$B$1=1,INDEX(計算用!$H$3:$H$452,計算用!$Q$51),INDEX(振り分け!$D$7:$D$456,計算用!$Q$51)))</f>
        <v/>
      </c>
      <c r="Q55" s="67">
        <f>IF(計算用!$R$51="","",IF(計算用!$B$1=1,INDEX(計算用!$F$3:$F$452,計算用!$R$51),INDEX(振り分け!$B$7:$B$456,計算用!$R$51)))</f>
        <v/>
      </c>
      <c r="R55" s="68">
        <f>IF(計算用!$R$51="","",IF(計算用!$B$1=1,INDEX(計算用!$H$3:$H$452,計算用!$R$51),INDEX(振り分け!$D$7:$D$456,計算用!$R$51)))</f>
        <v/>
      </c>
      <c r="S55" s="67">
        <f>IF(計算用!$S$51="","",IF(計算用!$B$1=1,INDEX(計算用!$F$3:$F$452,計算用!$S$51),INDEX(振り分け!$B$7:$B$456,計算用!$S$51)))</f>
        <v/>
      </c>
      <c r="T55" s="68">
        <f>IF(計算用!$S$51="","",IF(計算用!$B$1=1,INDEX(計算用!$H$3:$H$452,計算用!$S$51),INDEX(振り分け!$D$7:$D$456,計算用!$S$51)))</f>
        <v/>
      </c>
    </row>
    <row r="56">
      <c r="A56" s="67">
        <f>IF(計算用!$J$52="","",IF(計算用!$B$1=1,INDEX(計算用!$F$3:$F$452,計算用!$J$52),INDEX(振り分け!$B$7:$B$456,計算用!$J$52)))</f>
        <v/>
      </c>
      <c r="B56" s="68">
        <f>IF(計算用!$J$52="","",IF(計算用!$B$1=1,INDEX(計算用!$H$3:$H$452,計算用!$J$52),INDEX(振り分け!$D$7:$D$456,計算用!$J$52)))</f>
        <v/>
      </c>
      <c r="C56" s="67">
        <f>IF(計算用!$K$52="","",IF(計算用!$B$1=1,INDEX(計算用!$F$3:$F$452,計算用!$K$52),INDEX(振り分け!$B$7:$B$456,計算用!$K$52)))</f>
        <v/>
      </c>
      <c r="D56" s="68">
        <f>IF(計算用!$K$52="","",IF(計算用!$B$1=1,INDEX(計算用!$H$3:$H$452,計算用!$K$52),INDEX(振り分け!$D$7:$D$456,計算用!$K$52)))</f>
        <v/>
      </c>
      <c r="E56" s="67">
        <f>IF(計算用!$L$52="","",IF(計算用!$B$1=1,INDEX(計算用!$F$3:$F$452,計算用!$L$52),INDEX(振り分け!$B$7:$B$456,計算用!$L$52)))</f>
        <v/>
      </c>
      <c r="F56" s="68">
        <f>IF(計算用!$L$52="","",IF(計算用!$B$1=1,INDEX(計算用!$H$3:$H$452,計算用!$L$52),INDEX(振り分け!$D$7:$D$456,計算用!$L$52)))</f>
        <v/>
      </c>
      <c r="G56" s="67">
        <f>IF(計算用!$M$52="","",IF(計算用!$B$1=1,INDEX(計算用!$F$3:$F$452,計算用!$M$52),INDEX(振り分け!$B$7:$B$456,計算用!$M$52)))</f>
        <v/>
      </c>
      <c r="H56" s="68">
        <f>IF(計算用!$M$52="","",IF(計算用!$B$1=1,INDEX(計算用!$H$3:$H$452,計算用!$M$52),INDEX(振り分け!$D$7:$D$456,計算用!$M$52)))</f>
        <v/>
      </c>
      <c r="I56" s="67">
        <f>IF(計算用!$N$52="","",IF(計算用!$B$1=1,INDEX(計算用!$F$3:$F$452,計算用!$N$52),INDEX(振り分け!$B$7:$B$456,計算用!$N$52)))</f>
        <v/>
      </c>
      <c r="J56" s="68">
        <f>IF(計算用!$N$52="","",IF(計算用!$B$1=1,INDEX(計算用!$H$3:$H$452,計算用!$N$52),INDEX(振り分け!$D$7:$D$456,計算用!$N$52)))</f>
        <v/>
      </c>
      <c r="K56" s="67">
        <f>IF(計算用!$O$52="","",IF(計算用!$B$1=1,INDEX(計算用!$F$3:$F$452,計算用!$O$52),INDEX(振り分け!$B$7:$B$456,計算用!$O$52)))</f>
        <v/>
      </c>
      <c r="L56" s="68">
        <f>IF(計算用!$O$52="","",IF(計算用!$B$1=1,INDEX(計算用!$H$3:$H$452,計算用!$O$52),INDEX(振り分け!$D$7:$D$456,計算用!$O$52)))</f>
        <v/>
      </c>
      <c r="M56" s="67">
        <f>IF(計算用!$P$52="","",IF(計算用!$B$1=1,INDEX(計算用!$F$3:$F$452,計算用!$P$52),INDEX(振り分け!$B$7:$B$456,計算用!$P$52)))</f>
        <v/>
      </c>
      <c r="N56" s="68">
        <f>IF(計算用!$P$52="","",IF(計算用!$B$1=1,INDEX(計算用!$H$3:$H$452,計算用!$P$52),INDEX(振り分け!$D$7:$D$456,計算用!$P$52)))</f>
        <v/>
      </c>
      <c r="O56" s="67">
        <f>IF(計算用!$Q$52="","",IF(計算用!$B$1=1,INDEX(計算用!$F$3:$F$452,計算用!$Q$52),INDEX(振り分け!$B$7:$B$456,計算用!$Q$52)))</f>
        <v/>
      </c>
      <c r="P56" s="68">
        <f>IF(計算用!$Q$52="","",IF(計算用!$B$1=1,INDEX(計算用!$H$3:$H$452,計算用!$Q$52),INDEX(振り分け!$D$7:$D$456,計算用!$Q$52)))</f>
        <v/>
      </c>
      <c r="Q56" s="67">
        <f>IF(計算用!$R$52="","",IF(計算用!$B$1=1,INDEX(計算用!$F$3:$F$452,計算用!$R$52),INDEX(振り分け!$B$7:$B$456,計算用!$R$52)))</f>
        <v/>
      </c>
      <c r="R56" s="68">
        <f>IF(計算用!$R$52="","",IF(計算用!$B$1=1,INDEX(計算用!$H$3:$H$452,計算用!$R$52),INDEX(振り分け!$D$7:$D$456,計算用!$R$52)))</f>
        <v/>
      </c>
      <c r="S56" s="67">
        <f>IF(計算用!$S$52="","",IF(計算用!$B$1=1,INDEX(計算用!$F$3:$F$452,計算用!$S$52),INDEX(振り分け!$B$7:$B$456,計算用!$S$52)))</f>
        <v/>
      </c>
      <c r="T56" s="68">
        <f>IF(計算用!$S$52="","",IF(計算用!$B$1=1,INDEX(計算用!$H$3:$H$452,計算用!$S$52),INDEX(振り分け!$D$7:$D$456,計算用!$S$52)))</f>
        <v/>
      </c>
    </row>
    <row r="57"/>
    <row r="58">
      <c r="A58" s="13">
        <f>IF(設定!$P$18="","",設定!$P$18&amp;"（"&amp;定員チェック!$I$17&amp;"名）")</f>
        <v/>
      </c>
      <c r="B58" s="73" t="n"/>
      <c r="C58" s="13">
        <f>IF(設定!$P$19="","",設定!$P$19&amp;"（"&amp;定員チェック!$I$18&amp;"名）")</f>
        <v/>
      </c>
      <c r="D58" s="73" t="n"/>
      <c r="E58" s="13">
        <f>IF(設定!$P$20="","",設定!$P$20&amp;"（"&amp;定員チェック!$I$19&amp;"名）")</f>
        <v/>
      </c>
      <c r="F58" s="73" t="n"/>
      <c r="G58" s="13">
        <f>IF(設定!$P$21="","",設定!$P$21&amp;"（"&amp;定員チェック!$I$20&amp;"名）")</f>
        <v/>
      </c>
      <c r="H58" s="73" t="n"/>
      <c r="I58" s="13">
        <f>IF(設定!$P$22="","",設定!$P$22&amp;"（"&amp;定員チェック!$I$21&amp;"名）")</f>
        <v/>
      </c>
      <c r="J58" s="73" t="n"/>
      <c r="K58" s="13">
        <f>IF(設定!$P$23="","",設定!$P$23&amp;"（"&amp;定員チェック!$I$22&amp;"名）")</f>
        <v/>
      </c>
      <c r="L58" s="73" t="n"/>
      <c r="M58" s="13">
        <f>IF(設定!$P$24="","",設定!$P$24&amp;"（"&amp;定員チェック!$I$23&amp;"名）")</f>
        <v/>
      </c>
      <c r="N58" s="73" t="n"/>
      <c r="O58" s="13">
        <f>IF(設定!$P$25="","",設定!$P$25&amp;"（"&amp;定員チェック!$I$24&amp;"名）")</f>
        <v/>
      </c>
      <c r="P58" s="73" t="n"/>
      <c r="Q58" s="13">
        <f>IF(設定!$P$26="","",設定!$P$26&amp;"（"&amp;定員チェック!$I$25&amp;"名）")</f>
        <v/>
      </c>
      <c r="R58" s="73" t="n"/>
      <c r="S58" s="13">
        <f>IF(設定!$P$27="","",設定!$P$27&amp;"（"&amp;定員チェック!$I$26&amp;"名）")</f>
        <v/>
      </c>
      <c r="T58" s="73" t="n"/>
    </row>
    <row r="59">
      <c r="A59" s="67">
        <f>IF(設定!$P$18="","","担当："&amp;設定!$S$18)</f>
        <v/>
      </c>
      <c r="B59" s="73" t="n"/>
      <c r="C59" s="67">
        <f>IF(設定!$P$19="","","担当："&amp;設定!$S$19)</f>
        <v/>
      </c>
      <c r="D59" s="73" t="n"/>
      <c r="E59" s="67">
        <f>IF(設定!$P$20="","","担当："&amp;設定!$S$20)</f>
        <v/>
      </c>
      <c r="F59" s="73" t="n"/>
      <c r="G59" s="67">
        <f>IF(設定!$P$21="","","担当："&amp;設定!$S$21)</f>
        <v/>
      </c>
      <c r="H59" s="73" t="n"/>
      <c r="I59" s="67">
        <f>IF(設定!$P$22="","","担当："&amp;設定!$S$22)</f>
        <v/>
      </c>
      <c r="J59" s="73" t="n"/>
      <c r="K59" s="67">
        <f>IF(設定!$P$23="","","担当："&amp;設定!$S$23)</f>
        <v/>
      </c>
      <c r="L59" s="73" t="n"/>
      <c r="M59" s="67">
        <f>IF(設定!$P$24="","","担当："&amp;設定!$S$24)</f>
        <v/>
      </c>
      <c r="N59" s="73" t="n"/>
      <c r="O59" s="67">
        <f>IF(設定!$P$25="","","担当："&amp;設定!$S$25)</f>
        <v/>
      </c>
      <c r="P59" s="73" t="n"/>
      <c r="Q59" s="67">
        <f>IF(設定!$P$26="","","担当："&amp;設定!$S$26)</f>
        <v/>
      </c>
      <c r="R59" s="73" t="n"/>
      <c r="S59" s="67">
        <f>IF(設定!$P$27="","","担当："&amp;設定!$S$27)</f>
        <v/>
      </c>
      <c r="T59" s="73" t="n"/>
    </row>
    <row r="60">
      <c r="A60" s="67">
        <f>IF(設定!$P$18="","","場所："&amp;設定!$T$18)</f>
        <v/>
      </c>
      <c r="B60" s="73" t="n"/>
      <c r="C60" s="67">
        <f>IF(設定!$P$19="","","場所："&amp;設定!$T$19)</f>
        <v/>
      </c>
      <c r="D60" s="73" t="n"/>
      <c r="E60" s="67">
        <f>IF(設定!$P$20="","","場所："&amp;設定!$T$20)</f>
        <v/>
      </c>
      <c r="F60" s="73" t="n"/>
      <c r="G60" s="67">
        <f>IF(設定!$P$21="","","場所："&amp;設定!$T$21)</f>
        <v/>
      </c>
      <c r="H60" s="73" t="n"/>
      <c r="I60" s="67">
        <f>IF(設定!$P$22="","","場所："&amp;設定!$T$22)</f>
        <v/>
      </c>
      <c r="J60" s="73" t="n"/>
      <c r="K60" s="67">
        <f>IF(設定!$P$23="","","場所："&amp;設定!$T$23)</f>
        <v/>
      </c>
      <c r="L60" s="73" t="n"/>
      <c r="M60" s="67">
        <f>IF(設定!$P$24="","","場所："&amp;設定!$T$24)</f>
        <v/>
      </c>
      <c r="N60" s="73" t="n"/>
      <c r="O60" s="67">
        <f>IF(設定!$P$25="","","場所："&amp;設定!$T$25)</f>
        <v/>
      </c>
      <c r="P60" s="73" t="n"/>
      <c r="Q60" s="67">
        <f>IF(設定!$P$26="","","場所："&amp;設定!$T$26)</f>
        <v/>
      </c>
      <c r="R60" s="73" t="n"/>
      <c r="S60" s="67">
        <f>IF(設定!$P$27="","","場所："&amp;設定!$T$27)</f>
        <v/>
      </c>
      <c r="T60" s="73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7">
        <f>IF(計算用!$T$3="","",IF(計算用!$B$1=1,INDEX(計算用!$F$3:$F$452,計算用!$T$3),INDEX(振り分け!$B$7:$B$456,計算用!$T$3)))</f>
        <v/>
      </c>
      <c r="B62" s="68">
        <f>IF(計算用!$T$3="","",IF(計算用!$B$1=1,INDEX(計算用!$H$3:$H$452,計算用!$T$3),INDEX(振り分け!$D$7:$D$456,計算用!$T$3)))</f>
        <v/>
      </c>
      <c r="C62" s="67">
        <f>IF(計算用!$U$3="","",IF(計算用!$B$1=1,INDEX(計算用!$F$3:$F$452,計算用!$U$3),INDEX(振り分け!$B$7:$B$456,計算用!$U$3)))</f>
        <v/>
      </c>
      <c r="D62" s="68">
        <f>IF(計算用!$U$3="","",IF(計算用!$B$1=1,INDEX(計算用!$H$3:$H$452,計算用!$U$3),INDEX(振り分け!$D$7:$D$456,計算用!$U$3)))</f>
        <v/>
      </c>
      <c r="E62" s="67">
        <f>IF(計算用!$V$3="","",IF(計算用!$B$1=1,INDEX(計算用!$F$3:$F$452,計算用!$V$3),INDEX(振り分け!$B$7:$B$456,計算用!$V$3)))</f>
        <v/>
      </c>
      <c r="F62" s="68">
        <f>IF(計算用!$V$3="","",IF(計算用!$B$1=1,INDEX(計算用!$H$3:$H$452,計算用!$V$3),INDEX(振り分け!$D$7:$D$456,計算用!$V$3)))</f>
        <v/>
      </c>
      <c r="G62" s="67">
        <f>IF(計算用!$W$3="","",IF(計算用!$B$1=1,INDEX(計算用!$F$3:$F$452,計算用!$W$3),INDEX(振り分け!$B$7:$B$456,計算用!$W$3)))</f>
        <v/>
      </c>
      <c r="H62" s="68">
        <f>IF(計算用!$W$3="","",IF(計算用!$B$1=1,INDEX(計算用!$H$3:$H$452,計算用!$W$3),INDEX(振り分け!$D$7:$D$456,計算用!$W$3)))</f>
        <v/>
      </c>
      <c r="I62" s="67">
        <f>IF(計算用!$X$3="","",IF(計算用!$B$1=1,INDEX(計算用!$F$3:$F$452,計算用!$X$3),INDEX(振り分け!$B$7:$B$456,計算用!$X$3)))</f>
        <v/>
      </c>
      <c r="J62" s="68">
        <f>IF(計算用!$X$3="","",IF(計算用!$B$1=1,INDEX(計算用!$H$3:$H$452,計算用!$X$3),INDEX(振り分け!$D$7:$D$456,計算用!$X$3)))</f>
        <v/>
      </c>
      <c r="K62" s="67">
        <f>IF(計算用!$Y$3="","",IF(計算用!$B$1=1,INDEX(計算用!$F$3:$F$452,計算用!$Y$3),INDEX(振り分け!$B$7:$B$456,計算用!$Y$3)))</f>
        <v/>
      </c>
      <c r="L62" s="68">
        <f>IF(計算用!$Y$3="","",IF(計算用!$B$1=1,INDEX(計算用!$H$3:$H$452,計算用!$Y$3),INDEX(振り分け!$D$7:$D$456,計算用!$Y$3)))</f>
        <v/>
      </c>
      <c r="M62" s="67">
        <f>IF(計算用!$Z$3="","",IF(計算用!$B$1=1,INDEX(計算用!$F$3:$F$452,計算用!$Z$3),INDEX(振り分け!$B$7:$B$456,計算用!$Z$3)))</f>
        <v/>
      </c>
      <c r="N62" s="68">
        <f>IF(計算用!$Z$3="","",IF(計算用!$B$1=1,INDEX(計算用!$H$3:$H$452,計算用!$Z$3),INDEX(振り分け!$D$7:$D$456,計算用!$Z$3)))</f>
        <v/>
      </c>
      <c r="O62" s="67">
        <f>IF(計算用!$AA$3="","",IF(計算用!$B$1=1,INDEX(計算用!$F$3:$F$452,計算用!$AA$3),INDEX(振り分け!$B$7:$B$456,計算用!$AA$3)))</f>
        <v/>
      </c>
      <c r="P62" s="68">
        <f>IF(計算用!$AA$3="","",IF(計算用!$B$1=1,INDEX(計算用!$H$3:$H$452,計算用!$AA$3),INDEX(振り分け!$D$7:$D$456,計算用!$AA$3)))</f>
        <v/>
      </c>
      <c r="Q62" s="67">
        <f>IF(計算用!$AB$3="","",IF(計算用!$B$1=1,INDEX(計算用!$F$3:$F$452,計算用!$AB$3),INDEX(振り分け!$B$7:$B$456,計算用!$AB$3)))</f>
        <v/>
      </c>
      <c r="R62" s="68">
        <f>IF(計算用!$AB$3="","",IF(計算用!$B$1=1,INDEX(計算用!$H$3:$H$452,計算用!$AB$3),INDEX(振り分け!$D$7:$D$456,計算用!$AB$3)))</f>
        <v/>
      </c>
      <c r="S62" s="67">
        <f>IF(計算用!$AC$3="","",IF(計算用!$B$1=1,INDEX(計算用!$F$3:$F$452,計算用!$AC$3),INDEX(振り分け!$B$7:$B$456,計算用!$AC$3)))</f>
        <v/>
      </c>
      <c r="T62" s="68">
        <f>IF(計算用!$AC$3="","",IF(計算用!$B$1=1,INDEX(計算用!$H$3:$H$452,計算用!$AC$3),INDEX(振り分け!$D$7:$D$456,計算用!$AC$3)))</f>
        <v/>
      </c>
    </row>
    <row r="63">
      <c r="A63" s="67">
        <f>IF(計算用!$T$4="","",IF(計算用!$B$1=1,INDEX(計算用!$F$3:$F$452,計算用!$T$4),INDEX(振り分け!$B$7:$B$456,計算用!$T$4)))</f>
        <v/>
      </c>
      <c r="B63" s="68">
        <f>IF(計算用!$T$4="","",IF(計算用!$B$1=1,INDEX(計算用!$H$3:$H$452,計算用!$T$4),INDEX(振り分け!$D$7:$D$456,計算用!$T$4)))</f>
        <v/>
      </c>
      <c r="C63" s="67">
        <f>IF(計算用!$U$4="","",IF(計算用!$B$1=1,INDEX(計算用!$F$3:$F$452,計算用!$U$4),INDEX(振り分け!$B$7:$B$456,計算用!$U$4)))</f>
        <v/>
      </c>
      <c r="D63" s="68">
        <f>IF(計算用!$U$4="","",IF(計算用!$B$1=1,INDEX(計算用!$H$3:$H$452,計算用!$U$4),INDEX(振り分け!$D$7:$D$456,計算用!$U$4)))</f>
        <v/>
      </c>
      <c r="E63" s="67">
        <f>IF(計算用!$V$4="","",IF(計算用!$B$1=1,INDEX(計算用!$F$3:$F$452,計算用!$V$4),INDEX(振り分け!$B$7:$B$456,計算用!$V$4)))</f>
        <v/>
      </c>
      <c r="F63" s="68">
        <f>IF(計算用!$V$4="","",IF(計算用!$B$1=1,INDEX(計算用!$H$3:$H$452,計算用!$V$4),INDEX(振り分け!$D$7:$D$456,計算用!$V$4)))</f>
        <v/>
      </c>
      <c r="G63" s="67">
        <f>IF(計算用!$W$4="","",IF(計算用!$B$1=1,INDEX(計算用!$F$3:$F$452,計算用!$W$4),INDEX(振り分け!$B$7:$B$456,計算用!$W$4)))</f>
        <v/>
      </c>
      <c r="H63" s="68">
        <f>IF(計算用!$W$4="","",IF(計算用!$B$1=1,INDEX(計算用!$H$3:$H$452,計算用!$W$4),INDEX(振り分け!$D$7:$D$456,計算用!$W$4)))</f>
        <v/>
      </c>
      <c r="I63" s="67">
        <f>IF(計算用!$X$4="","",IF(計算用!$B$1=1,INDEX(計算用!$F$3:$F$452,計算用!$X$4),INDEX(振り分け!$B$7:$B$456,計算用!$X$4)))</f>
        <v/>
      </c>
      <c r="J63" s="68">
        <f>IF(計算用!$X$4="","",IF(計算用!$B$1=1,INDEX(計算用!$H$3:$H$452,計算用!$X$4),INDEX(振り分け!$D$7:$D$456,計算用!$X$4)))</f>
        <v/>
      </c>
      <c r="K63" s="67">
        <f>IF(計算用!$Y$4="","",IF(計算用!$B$1=1,INDEX(計算用!$F$3:$F$452,計算用!$Y$4),INDEX(振り分け!$B$7:$B$456,計算用!$Y$4)))</f>
        <v/>
      </c>
      <c r="L63" s="68">
        <f>IF(計算用!$Y$4="","",IF(計算用!$B$1=1,INDEX(計算用!$H$3:$H$452,計算用!$Y$4),INDEX(振り分け!$D$7:$D$456,計算用!$Y$4)))</f>
        <v/>
      </c>
      <c r="M63" s="67">
        <f>IF(計算用!$Z$4="","",IF(計算用!$B$1=1,INDEX(計算用!$F$3:$F$452,計算用!$Z$4),INDEX(振り分け!$B$7:$B$456,計算用!$Z$4)))</f>
        <v/>
      </c>
      <c r="N63" s="68">
        <f>IF(計算用!$Z$4="","",IF(計算用!$B$1=1,INDEX(計算用!$H$3:$H$452,計算用!$Z$4),INDEX(振り分け!$D$7:$D$456,計算用!$Z$4)))</f>
        <v/>
      </c>
      <c r="O63" s="67">
        <f>IF(計算用!$AA$4="","",IF(計算用!$B$1=1,INDEX(計算用!$F$3:$F$452,計算用!$AA$4),INDEX(振り分け!$B$7:$B$456,計算用!$AA$4)))</f>
        <v/>
      </c>
      <c r="P63" s="68">
        <f>IF(計算用!$AA$4="","",IF(計算用!$B$1=1,INDEX(計算用!$H$3:$H$452,計算用!$AA$4),INDEX(振り分け!$D$7:$D$456,計算用!$AA$4)))</f>
        <v/>
      </c>
      <c r="Q63" s="67">
        <f>IF(計算用!$AB$4="","",IF(計算用!$B$1=1,INDEX(計算用!$F$3:$F$452,計算用!$AB$4),INDEX(振り分け!$B$7:$B$456,計算用!$AB$4)))</f>
        <v/>
      </c>
      <c r="R63" s="68">
        <f>IF(計算用!$AB$4="","",IF(計算用!$B$1=1,INDEX(計算用!$H$3:$H$452,計算用!$AB$4),INDEX(振り分け!$D$7:$D$456,計算用!$AB$4)))</f>
        <v/>
      </c>
      <c r="S63" s="67">
        <f>IF(計算用!$AC$4="","",IF(計算用!$B$1=1,INDEX(計算用!$F$3:$F$452,計算用!$AC$4),INDEX(振り分け!$B$7:$B$456,計算用!$AC$4)))</f>
        <v/>
      </c>
      <c r="T63" s="68">
        <f>IF(計算用!$AC$4="","",IF(計算用!$B$1=1,INDEX(計算用!$H$3:$H$452,計算用!$AC$4),INDEX(振り分け!$D$7:$D$456,計算用!$AC$4)))</f>
        <v/>
      </c>
    </row>
    <row r="64">
      <c r="A64" s="67">
        <f>IF(計算用!$T$5="","",IF(計算用!$B$1=1,INDEX(計算用!$F$3:$F$452,計算用!$T$5),INDEX(振り分け!$B$7:$B$456,計算用!$T$5)))</f>
        <v/>
      </c>
      <c r="B64" s="68">
        <f>IF(計算用!$T$5="","",IF(計算用!$B$1=1,INDEX(計算用!$H$3:$H$452,計算用!$T$5),INDEX(振り分け!$D$7:$D$456,計算用!$T$5)))</f>
        <v/>
      </c>
      <c r="C64" s="67">
        <f>IF(計算用!$U$5="","",IF(計算用!$B$1=1,INDEX(計算用!$F$3:$F$452,計算用!$U$5),INDEX(振り分け!$B$7:$B$456,計算用!$U$5)))</f>
        <v/>
      </c>
      <c r="D64" s="68">
        <f>IF(計算用!$U$5="","",IF(計算用!$B$1=1,INDEX(計算用!$H$3:$H$452,計算用!$U$5),INDEX(振り分け!$D$7:$D$456,計算用!$U$5)))</f>
        <v/>
      </c>
      <c r="E64" s="67">
        <f>IF(計算用!$V$5="","",IF(計算用!$B$1=1,INDEX(計算用!$F$3:$F$452,計算用!$V$5),INDEX(振り分け!$B$7:$B$456,計算用!$V$5)))</f>
        <v/>
      </c>
      <c r="F64" s="68">
        <f>IF(計算用!$V$5="","",IF(計算用!$B$1=1,INDEX(計算用!$H$3:$H$452,計算用!$V$5),INDEX(振り分け!$D$7:$D$456,計算用!$V$5)))</f>
        <v/>
      </c>
      <c r="G64" s="67">
        <f>IF(計算用!$W$5="","",IF(計算用!$B$1=1,INDEX(計算用!$F$3:$F$452,計算用!$W$5),INDEX(振り分け!$B$7:$B$456,計算用!$W$5)))</f>
        <v/>
      </c>
      <c r="H64" s="68">
        <f>IF(計算用!$W$5="","",IF(計算用!$B$1=1,INDEX(計算用!$H$3:$H$452,計算用!$W$5),INDEX(振り分け!$D$7:$D$456,計算用!$W$5)))</f>
        <v/>
      </c>
      <c r="I64" s="67">
        <f>IF(計算用!$X$5="","",IF(計算用!$B$1=1,INDEX(計算用!$F$3:$F$452,計算用!$X$5),INDEX(振り分け!$B$7:$B$456,計算用!$X$5)))</f>
        <v/>
      </c>
      <c r="J64" s="68">
        <f>IF(計算用!$X$5="","",IF(計算用!$B$1=1,INDEX(計算用!$H$3:$H$452,計算用!$X$5),INDEX(振り分け!$D$7:$D$456,計算用!$X$5)))</f>
        <v/>
      </c>
      <c r="K64" s="67">
        <f>IF(計算用!$Y$5="","",IF(計算用!$B$1=1,INDEX(計算用!$F$3:$F$452,計算用!$Y$5),INDEX(振り分け!$B$7:$B$456,計算用!$Y$5)))</f>
        <v/>
      </c>
      <c r="L64" s="68">
        <f>IF(計算用!$Y$5="","",IF(計算用!$B$1=1,INDEX(計算用!$H$3:$H$452,計算用!$Y$5),INDEX(振り分け!$D$7:$D$456,計算用!$Y$5)))</f>
        <v/>
      </c>
      <c r="M64" s="67">
        <f>IF(計算用!$Z$5="","",IF(計算用!$B$1=1,INDEX(計算用!$F$3:$F$452,計算用!$Z$5),INDEX(振り分け!$B$7:$B$456,計算用!$Z$5)))</f>
        <v/>
      </c>
      <c r="N64" s="68">
        <f>IF(計算用!$Z$5="","",IF(計算用!$B$1=1,INDEX(計算用!$H$3:$H$452,計算用!$Z$5),INDEX(振り分け!$D$7:$D$456,計算用!$Z$5)))</f>
        <v/>
      </c>
      <c r="O64" s="67">
        <f>IF(計算用!$AA$5="","",IF(計算用!$B$1=1,INDEX(計算用!$F$3:$F$452,計算用!$AA$5),INDEX(振り分け!$B$7:$B$456,計算用!$AA$5)))</f>
        <v/>
      </c>
      <c r="P64" s="68">
        <f>IF(計算用!$AA$5="","",IF(計算用!$B$1=1,INDEX(計算用!$H$3:$H$452,計算用!$AA$5),INDEX(振り分け!$D$7:$D$456,計算用!$AA$5)))</f>
        <v/>
      </c>
      <c r="Q64" s="67">
        <f>IF(計算用!$AB$5="","",IF(計算用!$B$1=1,INDEX(計算用!$F$3:$F$452,計算用!$AB$5),INDEX(振り分け!$B$7:$B$456,計算用!$AB$5)))</f>
        <v/>
      </c>
      <c r="R64" s="68">
        <f>IF(計算用!$AB$5="","",IF(計算用!$B$1=1,INDEX(計算用!$H$3:$H$452,計算用!$AB$5),INDEX(振り分け!$D$7:$D$456,計算用!$AB$5)))</f>
        <v/>
      </c>
      <c r="S64" s="67">
        <f>IF(計算用!$AC$5="","",IF(計算用!$B$1=1,INDEX(計算用!$F$3:$F$452,計算用!$AC$5),INDEX(振り分け!$B$7:$B$456,計算用!$AC$5)))</f>
        <v/>
      </c>
      <c r="T64" s="68">
        <f>IF(計算用!$AC$5="","",IF(計算用!$B$1=1,INDEX(計算用!$H$3:$H$452,計算用!$AC$5),INDEX(振り分け!$D$7:$D$456,計算用!$AC$5)))</f>
        <v/>
      </c>
    </row>
    <row r="65">
      <c r="A65" s="67">
        <f>IF(計算用!$T$6="","",IF(計算用!$B$1=1,INDEX(計算用!$F$3:$F$452,計算用!$T$6),INDEX(振り分け!$B$7:$B$456,計算用!$T$6)))</f>
        <v/>
      </c>
      <c r="B65" s="68">
        <f>IF(計算用!$T$6="","",IF(計算用!$B$1=1,INDEX(計算用!$H$3:$H$452,計算用!$T$6),INDEX(振り分け!$D$7:$D$456,計算用!$T$6)))</f>
        <v/>
      </c>
      <c r="C65" s="67">
        <f>IF(計算用!$U$6="","",IF(計算用!$B$1=1,INDEX(計算用!$F$3:$F$452,計算用!$U$6),INDEX(振り分け!$B$7:$B$456,計算用!$U$6)))</f>
        <v/>
      </c>
      <c r="D65" s="68">
        <f>IF(計算用!$U$6="","",IF(計算用!$B$1=1,INDEX(計算用!$H$3:$H$452,計算用!$U$6),INDEX(振り分け!$D$7:$D$456,計算用!$U$6)))</f>
        <v/>
      </c>
      <c r="E65" s="67">
        <f>IF(計算用!$V$6="","",IF(計算用!$B$1=1,INDEX(計算用!$F$3:$F$452,計算用!$V$6),INDEX(振り分け!$B$7:$B$456,計算用!$V$6)))</f>
        <v/>
      </c>
      <c r="F65" s="68">
        <f>IF(計算用!$V$6="","",IF(計算用!$B$1=1,INDEX(計算用!$H$3:$H$452,計算用!$V$6),INDEX(振り分け!$D$7:$D$456,計算用!$V$6)))</f>
        <v/>
      </c>
      <c r="G65" s="67">
        <f>IF(計算用!$W$6="","",IF(計算用!$B$1=1,INDEX(計算用!$F$3:$F$452,計算用!$W$6),INDEX(振り分け!$B$7:$B$456,計算用!$W$6)))</f>
        <v/>
      </c>
      <c r="H65" s="68">
        <f>IF(計算用!$W$6="","",IF(計算用!$B$1=1,INDEX(計算用!$H$3:$H$452,計算用!$W$6),INDEX(振り分け!$D$7:$D$456,計算用!$W$6)))</f>
        <v/>
      </c>
      <c r="I65" s="67">
        <f>IF(計算用!$X$6="","",IF(計算用!$B$1=1,INDEX(計算用!$F$3:$F$452,計算用!$X$6),INDEX(振り分け!$B$7:$B$456,計算用!$X$6)))</f>
        <v/>
      </c>
      <c r="J65" s="68">
        <f>IF(計算用!$X$6="","",IF(計算用!$B$1=1,INDEX(計算用!$H$3:$H$452,計算用!$X$6),INDEX(振り分け!$D$7:$D$456,計算用!$X$6)))</f>
        <v/>
      </c>
      <c r="K65" s="67">
        <f>IF(計算用!$Y$6="","",IF(計算用!$B$1=1,INDEX(計算用!$F$3:$F$452,計算用!$Y$6),INDEX(振り分け!$B$7:$B$456,計算用!$Y$6)))</f>
        <v/>
      </c>
      <c r="L65" s="68">
        <f>IF(計算用!$Y$6="","",IF(計算用!$B$1=1,INDEX(計算用!$H$3:$H$452,計算用!$Y$6),INDEX(振り分け!$D$7:$D$456,計算用!$Y$6)))</f>
        <v/>
      </c>
      <c r="M65" s="67">
        <f>IF(計算用!$Z$6="","",IF(計算用!$B$1=1,INDEX(計算用!$F$3:$F$452,計算用!$Z$6),INDEX(振り分け!$B$7:$B$456,計算用!$Z$6)))</f>
        <v/>
      </c>
      <c r="N65" s="68">
        <f>IF(計算用!$Z$6="","",IF(計算用!$B$1=1,INDEX(計算用!$H$3:$H$452,計算用!$Z$6),INDEX(振り分け!$D$7:$D$456,計算用!$Z$6)))</f>
        <v/>
      </c>
      <c r="O65" s="67">
        <f>IF(計算用!$AA$6="","",IF(計算用!$B$1=1,INDEX(計算用!$F$3:$F$452,計算用!$AA$6),INDEX(振り分け!$B$7:$B$456,計算用!$AA$6)))</f>
        <v/>
      </c>
      <c r="P65" s="68">
        <f>IF(計算用!$AA$6="","",IF(計算用!$B$1=1,INDEX(計算用!$H$3:$H$452,計算用!$AA$6),INDEX(振り分け!$D$7:$D$456,計算用!$AA$6)))</f>
        <v/>
      </c>
      <c r="Q65" s="67">
        <f>IF(計算用!$AB$6="","",IF(計算用!$B$1=1,INDEX(計算用!$F$3:$F$452,計算用!$AB$6),INDEX(振り分け!$B$7:$B$456,計算用!$AB$6)))</f>
        <v/>
      </c>
      <c r="R65" s="68">
        <f>IF(計算用!$AB$6="","",IF(計算用!$B$1=1,INDEX(計算用!$H$3:$H$452,計算用!$AB$6),INDEX(振り分け!$D$7:$D$456,計算用!$AB$6)))</f>
        <v/>
      </c>
      <c r="S65" s="67">
        <f>IF(計算用!$AC$6="","",IF(計算用!$B$1=1,INDEX(計算用!$F$3:$F$452,計算用!$AC$6),INDEX(振り分け!$B$7:$B$456,計算用!$AC$6)))</f>
        <v/>
      </c>
      <c r="T65" s="68">
        <f>IF(計算用!$AC$6="","",IF(計算用!$B$1=1,INDEX(計算用!$H$3:$H$452,計算用!$AC$6),INDEX(振り分け!$D$7:$D$456,計算用!$AC$6)))</f>
        <v/>
      </c>
    </row>
    <row r="66">
      <c r="A66" s="67">
        <f>IF(計算用!$T$7="","",IF(計算用!$B$1=1,INDEX(計算用!$F$3:$F$452,計算用!$T$7),INDEX(振り分け!$B$7:$B$456,計算用!$T$7)))</f>
        <v/>
      </c>
      <c r="B66" s="68">
        <f>IF(計算用!$T$7="","",IF(計算用!$B$1=1,INDEX(計算用!$H$3:$H$452,計算用!$T$7),INDEX(振り分け!$D$7:$D$456,計算用!$T$7)))</f>
        <v/>
      </c>
      <c r="C66" s="67">
        <f>IF(計算用!$U$7="","",IF(計算用!$B$1=1,INDEX(計算用!$F$3:$F$452,計算用!$U$7),INDEX(振り分け!$B$7:$B$456,計算用!$U$7)))</f>
        <v/>
      </c>
      <c r="D66" s="68">
        <f>IF(計算用!$U$7="","",IF(計算用!$B$1=1,INDEX(計算用!$H$3:$H$452,計算用!$U$7),INDEX(振り分け!$D$7:$D$456,計算用!$U$7)))</f>
        <v/>
      </c>
      <c r="E66" s="67">
        <f>IF(計算用!$V$7="","",IF(計算用!$B$1=1,INDEX(計算用!$F$3:$F$452,計算用!$V$7),INDEX(振り分け!$B$7:$B$456,計算用!$V$7)))</f>
        <v/>
      </c>
      <c r="F66" s="68">
        <f>IF(計算用!$V$7="","",IF(計算用!$B$1=1,INDEX(計算用!$H$3:$H$452,計算用!$V$7),INDEX(振り分け!$D$7:$D$456,計算用!$V$7)))</f>
        <v/>
      </c>
      <c r="G66" s="67">
        <f>IF(計算用!$W$7="","",IF(計算用!$B$1=1,INDEX(計算用!$F$3:$F$452,計算用!$W$7),INDEX(振り分け!$B$7:$B$456,計算用!$W$7)))</f>
        <v/>
      </c>
      <c r="H66" s="68">
        <f>IF(計算用!$W$7="","",IF(計算用!$B$1=1,INDEX(計算用!$H$3:$H$452,計算用!$W$7),INDEX(振り分け!$D$7:$D$456,計算用!$W$7)))</f>
        <v/>
      </c>
      <c r="I66" s="67">
        <f>IF(計算用!$X$7="","",IF(計算用!$B$1=1,INDEX(計算用!$F$3:$F$452,計算用!$X$7),INDEX(振り分け!$B$7:$B$456,計算用!$X$7)))</f>
        <v/>
      </c>
      <c r="J66" s="68">
        <f>IF(計算用!$X$7="","",IF(計算用!$B$1=1,INDEX(計算用!$H$3:$H$452,計算用!$X$7),INDEX(振り分け!$D$7:$D$456,計算用!$X$7)))</f>
        <v/>
      </c>
      <c r="K66" s="67">
        <f>IF(計算用!$Y$7="","",IF(計算用!$B$1=1,INDEX(計算用!$F$3:$F$452,計算用!$Y$7),INDEX(振り分け!$B$7:$B$456,計算用!$Y$7)))</f>
        <v/>
      </c>
      <c r="L66" s="68">
        <f>IF(計算用!$Y$7="","",IF(計算用!$B$1=1,INDEX(計算用!$H$3:$H$452,計算用!$Y$7),INDEX(振り分け!$D$7:$D$456,計算用!$Y$7)))</f>
        <v/>
      </c>
      <c r="M66" s="67">
        <f>IF(計算用!$Z$7="","",IF(計算用!$B$1=1,INDEX(計算用!$F$3:$F$452,計算用!$Z$7),INDEX(振り分け!$B$7:$B$456,計算用!$Z$7)))</f>
        <v/>
      </c>
      <c r="N66" s="68">
        <f>IF(計算用!$Z$7="","",IF(計算用!$B$1=1,INDEX(計算用!$H$3:$H$452,計算用!$Z$7),INDEX(振り分け!$D$7:$D$456,計算用!$Z$7)))</f>
        <v/>
      </c>
      <c r="O66" s="67">
        <f>IF(計算用!$AA$7="","",IF(計算用!$B$1=1,INDEX(計算用!$F$3:$F$452,計算用!$AA$7),INDEX(振り分け!$B$7:$B$456,計算用!$AA$7)))</f>
        <v/>
      </c>
      <c r="P66" s="68">
        <f>IF(計算用!$AA$7="","",IF(計算用!$B$1=1,INDEX(計算用!$H$3:$H$452,計算用!$AA$7),INDEX(振り分け!$D$7:$D$456,計算用!$AA$7)))</f>
        <v/>
      </c>
      <c r="Q66" s="67">
        <f>IF(計算用!$AB$7="","",IF(計算用!$B$1=1,INDEX(計算用!$F$3:$F$452,計算用!$AB$7),INDEX(振り分け!$B$7:$B$456,計算用!$AB$7)))</f>
        <v/>
      </c>
      <c r="R66" s="68">
        <f>IF(計算用!$AB$7="","",IF(計算用!$B$1=1,INDEX(計算用!$H$3:$H$452,計算用!$AB$7),INDEX(振り分け!$D$7:$D$456,計算用!$AB$7)))</f>
        <v/>
      </c>
      <c r="S66" s="67">
        <f>IF(計算用!$AC$7="","",IF(計算用!$B$1=1,INDEX(計算用!$F$3:$F$452,計算用!$AC$7),INDEX(振り分け!$B$7:$B$456,計算用!$AC$7)))</f>
        <v/>
      </c>
      <c r="T66" s="68">
        <f>IF(計算用!$AC$7="","",IF(計算用!$B$1=1,INDEX(計算用!$H$3:$H$452,計算用!$AC$7),INDEX(振り分け!$D$7:$D$456,計算用!$AC$7)))</f>
        <v/>
      </c>
    </row>
    <row r="67">
      <c r="A67" s="67">
        <f>IF(計算用!$T$8="","",IF(計算用!$B$1=1,INDEX(計算用!$F$3:$F$452,計算用!$T$8),INDEX(振り分け!$B$7:$B$456,計算用!$T$8)))</f>
        <v/>
      </c>
      <c r="B67" s="68">
        <f>IF(計算用!$T$8="","",IF(計算用!$B$1=1,INDEX(計算用!$H$3:$H$452,計算用!$T$8),INDEX(振り分け!$D$7:$D$456,計算用!$T$8)))</f>
        <v/>
      </c>
      <c r="C67" s="67">
        <f>IF(計算用!$U$8="","",IF(計算用!$B$1=1,INDEX(計算用!$F$3:$F$452,計算用!$U$8),INDEX(振り分け!$B$7:$B$456,計算用!$U$8)))</f>
        <v/>
      </c>
      <c r="D67" s="68">
        <f>IF(計算用!$U$8="","",IF(計算用!$B$1=1,INDEX(計算用!$H$3:$H$452,計算用!$U$8),INDEX(振り分け!$D$7:$D$456,計算用!$U$8)))</f>
        <v/>
      </c>
      <c r="E67" s="67">
        <f>IF(計算用!$V$8="","",IF(計算用!$B$1=1,INDEX(計算用!$F$3:$F$452,計算用!$V$8),INDEX(振り分け!$B$7:$B$456,計算用!$V$8)))</f>
        <v/>
      </c>
      <c r="F67" s="68">
        <f>IF(計算用!$V$8="","",IF(計算用!$B$1=1,INDEX(計算用!$H$3:$H$452,計算用!$V$8),INDEX(振り分け!$D$7:$D$456,計算用!$V$8)))</f>
        <v/>
      </c>
      <c r="G67" s="67">
        <f>IF(計算用!$W$8="","",IF(計算用!$B$1=1,INDEX(計算用!$F$3:$F$452,計算用!$W$8),INDEX(振り分け!$B$7:$B$456,計算用!$W$8)))</f>
        <v/>
      </c>
      <c r="H67" s="68">
        <f>IF(計算用!$W$8="","",IF(計算用!$B$1=1,INDEX(計算用!$H$3:$H$452,計算用!$W$8),INDEX(振り分け!$D$7:$D$456,計算用!$W$8)))</f>
        <v/>
      </c>
      <c r="I67" s="67">
        <f>IF(計算用!$X$8="","",IF(計算用!$B$1=1,INDEX(計算用!$F$3:$F$452,計算用!$X$8),INDEX(振り分け!$B$7:$B$456,計算用!$X$8)))</f>
        <v/>
      </c>
      <c r="J67" s="68">
        <f>IF(計算用!$X$8="","",IF(計算用!$B$1=1,INDEX(計算用!$H$3:$H$452,計算用!$X$8),INDEX(振り分け!$D$7:$D$456,計算用!$X$8)))</f>
        <v/>
      </c>
      <c r="K67" s="67">
        <f>IF(計算用!$Y$8="","",IF(計算用!$B$1=1,INDEX(計算用!$F$3:$F$452,計算用!$Y$8),INDEX(振り分け!$B$7:$B$456,計算用!$Y$8)))</f>
        <v/>
      </c>
      <c r="L67" s="68">
        <f>IF(計算用!$Y$8="","",IF(計算用!$B$1=1,INDEX(計算用!$H$3:$H$452,計算用!$Y$8),INDEX(振り分け!$D$7:$D$456,計算用!$Y$8)))</f>
        <v/>
      </c>
      <c r="M67" s="67">
        <f>IF(計算用!$Z$8="","",IF(計算用!$B$1=1,INDEX(計算用!$F$3:$F$452,計算用!$Z$8),INDEX(振り分け!$B$7:$B$456,計算用!$Z$8)))</f>
        <v/>
      </c>
      <c r="N67" s="68">
        <f>IF(計算用!$Z$8="","",IF(計算用!$B$1=1,INDEX(計算用!$H$3:$H$452,計算用!$Z$8),INDEX(振り分け!$D$7:$D$456,計算用!$Z$8)))</f>
        <v/>
      </c>
      <c r="O67" s="67">
        <f>IF(計算用!$AA$8="","",IF(計算用!$B$1=1,INDEX(計算用!$F$3:$F$452,計算用!$AA$8),INDEX(振り分け!$B$7:$B$456,計算用!$AA$8)))</f>
        <v/>
      </c>
      <c r="P67" s="68">
        <f>IF(計算用!$AA$8="","",IF(計算用!$B$1=1,INDEX(計算用!$H$3:$H$452,計算用!$AA$8),INDEX(振り分け!$D$7:$D$456,計算用!$AA$8)))</f>
        <v/>
      </c>
      <c r="Q67" s="67">
        <f>IF(計算用!$AB$8="","",IF(計算用!$B$1=1,INDEX(計算用!$F$3:$F$452,計算用!$AB$8),INDEX(振り分け!$B$7:$B$456,計算用!$AB$8)))</f>
        <v/>
      </c>
      <c r="R67" s="68">
        <f>IF(計算用!$AB$8="","",IF(計算用!$B$1=1,INDEX(計算用!$H$3:$H$452,計算用!$AB$8),INDEX(振り分け!$D$7:$D$456,計算用!$AB$8)))</f>
        <v/>
      </c>
      <c r="S67" s="67">
        <f>IF(計算用!$AC$8="","",IF(計算用!$B$1=1,INDEX(計算用!$F$3:$F$452,計算用!$AC$8),INDEX(振り分け!$B$7:$B$456,計算用!$AC$8)))</f>
        <v/>
      </c>
      <c r="T67" s="68">
        <f>IF(計算用!$AC$8="","",IF(計算用!$B$1=1,INDEX(計算用!$H$3:$H$452,計算用!$AC$8),INDEX(振り分け!$D$7:$D$456,計算用!$AC$8)))</f>
        <v/>
      </c>
    </row>
    <row r="68">
      <c r="A68" s="67">
        <f>IF(計算用!$T$9="","",IF(計算用!$B$1=1,INDEX(計算用!$F$3:$F$452,計算用!$T$9),INDEX(振り分け!$B$7:$B$456,計算用!$T$9)))</f>
        <v/>
      </c>
      <c r="B68" s="68">
        <f>IF(計算用!$T$9="","",IF(計算用!$B$1=1,INDEX(計算用!$H$3:$H$452,計算用!$T$9),INDEX(振り分け!$D$7:$D$456,計算用!$T$9)))</f>
        <v/>
      </c>
      <c r="C68" s="67">
        <f>IF(計算用!$U$9="","",IF(計算用!$B$1=1,INDEX(計算用!$F$3:$F$452,計算用!$U$9),INDEX(振り分け!$B$7:$B$456,計算用!$U$9)))</f>
        <v/>
      </c>
      <c r="D68" s="68">
        <f>IF(計算用!$U$9="","",IF(計算用!$B$1=1,INDEX(計算用!$H$3:$H$452,計算用!$U$9),INDEX(振り分け!$D$7:$D$456,計算用!$U$9)))</f>
        <v/>
      </c>
      <c r="E68" s="67">
        <f>IF(計算用!$V$9="","",IF(計算用!$B$1=1,INDEX(計算用!$F$3:$F$452,計算用!$V$9),INDEX(振り分け!$B$7:$B$456,計算用!$V$9)))</f>
        <v/>
      </c>
      <c r="F68" s="68">
        <f>IF(計算用!$V$9="","",IF(計算用!$B$1=1,INDEX(計算用!$H$3:$H$452,計算用!$V$9),INDEX(振り分け!$D$7:$D$456,計算用!$V$9)))</f>
        <v/>
      </c>
      <c r="G68" s="67">
        <f>IF(計算用!$W$9="","",IF(計算用!$B$1=1,INDEX(計算用!$F$3:$F$452,計算用!$W$9),INDEX(振り分け!$B$7:$B$456,計算用!$W$9)))</f>
        <v/>
      </c>
      <c r="H68" s="68">
        <f>IF(計算用!$W$9="","",IF(計算用!$B$1=1,INDEX(計算用!$H$3:$H$452,計算用!$W$9),INDEX(振り分け!$D$7:$D$456,計算用!$W$9)))</f>
        <v/>
      </c>
      <c r="I68" s="67">
        <f>IF(計算用!$X$9="","",IF(計算用!$B$1=1,INDEX(計算用!$F$3:$F$452,計算用!$X$9),INDEX(振り分け!$B$7:$B$456,計算用!$X$9)))</f>
        <v/>
      </c>
      <c r="J68" s="68">
        <f>IF(計算用!$X$9="","",IF(計算用!$B$1=1,INDEX(計算用!$H$3:$H$452,計算用!$X$9),INDEX(振り分け!$D$7:$D$456,計算用!$X$9)))</f>
        <v/>
      </c>
      <c r="K68" s="67">
        <f>IF(計算用!$Y$9="","",IF(計算用!$B$1=1,INDEX(計算用!$F$3:$F$452,計算用!$Y$9),INDEX(振り分け!$B$7:$B$456,計算用!$Y$9)))</f>
        <v/>
      </c>
      <c r="L68" s="68">
        <f>IF(計算用!$Y$9="","",IF(計算用!$B$1=1,INDEX(計算用!$H$3:$H$452,計算用!$Y$9),INDEX(振り分け!$D$7:$D$456,計算用!$Y$9)))</f>
        <v/>
      </c>
      <c r="M68" s="67">
        <f>IF(計算用!$Z$9="","",IF(計算用!$B$1=1,INDEX(計算用!$F$3:$F$452,計算用!$Z$9),INDEX(振り分け!$B$7:$B$456,計算用!$Z$9)))</f>
        <v/>
      </c>
      <c r="N68" s="68">
        <f>IF(計算用!$Z$9="","",IF(計算用!$B$1=1,INDEX(計算用!$H$3:$H$452,計算用!$Z$9),INDEX(振り分け!$D$7:$D$456,計算用!$Z$9)))</f>
        <v/>
      </c>
      <c r="O68" s="67">
        <f>IF(計算用!$AA$9="","",IF(計算用!$B$1=1,INDEX(計算用!$F$3:$F$452,計算用!$AA$9),INDEX(振り分け!$B$7:$B$456,計算用!$AA$9)))</f>
        <v/>
      </c>
      <c r="P68" s="68">
        <f>IF(計算用!$AA$9="","",IF(計算用!$B$1=1,INDEX(計算用!$H$3:$H$452,計算用!$AA$9),INDEX(振り分け!$D$7:$D$456,計算用!$AA$9)))</f>
        <v/>
      </c>
      <c r="Q68" s="67">
        <f>IF(計算用!$AB$9="","",IF(計算用!$B$1=1,INDEX(計算用!$F$3:$F$452,計算用!$AB$9),INDEX(振り分け!$B$7:$B$456,計算用!$AB$9)))</f>
        <v/>
      </c>
      <c r="R68" s="68">
        <f>IF(計算用!$AB$9="","",IF(計算用!$B$1=1,INDEX(計算用!$H$3:$H$452,計算用!$AB$9),INDEX(振り分け!$D$7:$D$456,計算用!$AB$9)))</f>
        <v/>
      </c>
      <c r="S68" s="67">
        <f>IF(計算用!$AC$9="","",IF(計算用!$B$1=1,INDEX(計算用!$F$3:$F$452,計算用!$AC$9),INDEX(振り分け!$B$7:$B$456,計算用!$AC$9)))</f>
        <v/>
      </c>
      <c r="T68" s="68">
        <f>IF(計算用!$AC$9="","",IF(計算用!$B$1=1,INDEX(計算用!$H$3:$H$452,計算用!$AC$9),INDEX(振り分け!$D$7:$D$456,計算用!$AC$9)))</f>
        <v/>
      </c>
    </row>
    <row r="69">
      <c r="A69" s="67">
        <f>IF(計算用!$T$10="","",IF(計算用!$B$1=1,INDEX(計算用!$F$3:$F$452,計算用!$T$10),INDEX(振り分け!$B$7:$B$456,計算用!$T$10)))</f>
        <v/>
      </c>
      <c r="B69" s="68">
        <f>IF(計算用!$T$10="","",IF(計算用!$B$1=1,INDEX(計算用!$H$3:$H$452,計算用!$T$10),INDEX(振り分け!$D$7:$D$456,計算用!$T$10)))</f>
        <v/>
      </c>
      <c r="C69" s="67">
        <f>IF(計算用!$U$10="","",IF(計算用!$B$1=1,INDEX(計算用!$F$3:$F$452,計算用!$U$10),INDEX(振り分け!$B$7:$B$456,計算用!$U$10)))</f>
        <v/>
      </c>
      <c r="D69" s="68">
        <f>IF(計算用!$U$10="","",IF(計算用!$B$1=1,INDEX(計算用!$H$3:$H$452,計算用!$U$10),INDEX(振り分け!$D$7:$D$456,計算用!$U$10)))</f>
        <v/>
      </c>
      <c r="E69" s="67">
        <f>IF(計算用!$V$10="","",IF(計算用!$B$1=1,INDEX(計算用!$F$3:$F$452,計算用!$V$10),INDEX(振り分け!$B$7:$B$456,計算用!$V$10)))</f>
        <v/>
      </c>
      <c r="F69" s="68">
        <f>IF(計算用!$V$10="","",IF(計算用!$B$1=1,INDEX(計算用!$H$3:$H$452,計算用!$V$10),INDEX(振り分け!$D$7:$D$456,計算用!$V$10)))</f>
        <v/>
      </c>
      <c r="G69" s="67">
        <f>IF(計算用!$W$10="","",IF(計算用!$B$1=1,INDEX(計算用!$F$3:$F$452,計算用!$W$10),INDEX(振り分け!$B$7:$B$456,計算用!$W$10)))</f>
        <v/>
      </c>
      <c r="H69" s="68">
        <f>IF(計算用!$W$10="","",IF(計算用!$B$1=1,INDEX(計算用!$H$3:$H$452,計算用!$W$10),INDEX(振り分け!$D$7:$D$456,計算用!$W$10)))</f>
        <v/>
      </c>
      <c r="I69" s="67">
        <f>IF(計算用!$X$10="","",IF(計算用!$B$1=1,INDEX(計算用!$F$3:$F$452,計算用!$X$10),INDEX(振り分け!$B$7:$B$456,計算用!$X$10)))</f>
        <v/>
      </c>
      <c r="J69" s="68">
        <f>IF(計算用!$X$10="","",IF(計算用!$B$1=1,INDEX(計算用!$H$3:$H$452,計算用!$X$10),INDEX(振り分け!$D$7:$D$456,計算用!$X$10)))</f>
        <v/>
      </c>
      <c r="K69" s="67">
        <f>IF(計算用!$Y$10="","",IF(計算用!$B$1=1,INDEX(計算用!$F$3:$F$452,計算用!$Y$10),INDEX(振り分け!$B$7:$B$456,計算用!$Y$10)))</f>
        <v/>
      </c>
      <c r="L69" s="68">
        <f>IF(計算用!$Y$10="","",IF(計算用!$B$1=1,INDEX(計算用!$H$3:$H$452,計算用!$Y$10),INDEX(振り分け!$D$7:$D$456,計算用!$Y$10)))</f>
        <v/>
      </c>
      <c r="M69" s="67">
        <f>IF(計算用!$Z$10="","",IF(計算用!$B$1=1,INDEX(計算用!$F$3:$F$452,計算用!$Z$10),INDEX(振り分け!$B$7:$B$456,計算用!$Z$10)))</f>
        <v/>
      </c>
      <c r="N69" s="68">
        <f>IF(計算用!$Z$10="","",IF(計算用!$B$1=1,INDEX(計算用!$H$3:$H$452,計算用!$Z$10),INDEX(振り分け!$D$7:$D$456,計算用!$Z$10)))</f>
        <v/>
      </c>
      <c r="O69" s="67">
        <f>IF(計算用!$AA$10="","",IF(計算用!$B$1=1,INDEX(計算用!$F$3:$F$452,計算用!$AA$10),INDEX(振り分け!$B$7:$B$456,計算用!$AA$10)))</f>
        <v/>
      </c>
      <c r="P69" s="68">
        <f>IF(計算用!$AA$10="","",IF(計算用!$B$1=1,INDEX(計算用!$H$3:$H$452,計算用!$AA$10),INDEX(振り分け!$D$7:$D$456,計算用!$AA$10)))</f>
        <v/>
      </c>
      <c r="Q69" s="67">
        <f>IF(計算用!$AB$10="","",IF(計算用!$B$1=1,INDEX(計算用!$F$3:$F$452,計算用!$AB$10),INDEX(振り分け!$B$7:$B$456,計算用!$AB$10)))</f>
        <v/>
      </c>
      <c r="R69" s="68">
        <f>IF(計算用!$AB$10="","",IF(計算用!$B$1=1,INDEX(計算用!$H$3:$H$452,計算用!$AB$10),INDEX(振り分け!$D$7:$D$456,計算用!$AB$10)))</f>
        <v/>
      </c>
      <c r="S69" s="67">
        <f>IF(計算用!$AC$10="","",IF(計算用!$B$1=1,INDEX(計算用!$F$3:$F$452,計算用!$AC$10),INDEX(振り分け!$B$7:$B$456,計算用!$AC$10)))</f>
        <v/>
      </c>
      <c r="T69" s="68">
        <f>IF(計算用!$AC$10="","",IF(計算用!$B$1=1,INDEX(計算用!$H$3:$H$452,計算用!$AC$10),INDEX(振り分け!$D$7:$D$456,計算用!$AC$10)))</f>
        <v/>
      </c>
    </row>
    <row r="70">
      <c r="A70" s="67">
        <f>IF(計算用!$T$11="","",IF(計算用!$B$1=1,INDEX(計算用!$F$3:$F$452,計算用!$T$11),INDEX(振り分け!$B$7:$B$456,計算用!$T$11)))</f>
        <v/>
      </c>
      <c r="B70" s="68">
        <f>IF(計算用!$T$11="","",IF(計算用!$B$1=1,INDEX(計算用!$H$3:$H$452,計算用!$T$11),INDEX(振り分け!$D$7:$D$456,計算用!$T$11)))</f>
        <v/>
      </c>
      <c r="C70" s="67">
        <f>IF(計算用!$U$11="","",IF(計算用!$B$1=1,INDEX(計算用!$F$3:$F$452,計算用!$U$11),INDEX(振り分け!$B$7:$B$456,計算用!$U$11)))</f>
        <v/>
      </c>
      <c r="D70" s="68">
        <f>IF(計算用!$U$11="","",IF(計算用!$B$1=1,INDEX(計算用!$H$3:$H$452,計算用!$U$11),INDEX(振り分け!$D$7:$D$456,計算用!$U$11)))</f>
        <v/>
      </c>
      <c r="E70" s="67">
        <f>IF(計算用!$V$11="","",IF(計算用!$B$1=1,INDEX(計算用!$F$3:$F$452,計算用!$V$11),INDEX(振り分け!$B$7:$B$456,計算用!$V$11)))</f>
        <v/>
      </c>
      <c r="F70" s="68">
        <f>IF(計算用!$V$11="","",IF(計算用!$B$1=1,INDEX(計算用!$H$3:$H$452,計算用!$V$11),INDEX(振り分け!$D$7:$D$456,計算用!$V$11)))</f>
        <v/>
      </c>
      <c r="G70" s="67">
        <f>IF(計算用!$W$11="","",IF(計算用!$B$1=1,INDEX(計算用!$F$3:$F$452,計算用!$W$11),INDEX(振り分け!$B$7:$B$456,計算用!$W$11)))</f>
        <v/>
      </c>
      <c r="H70" s="68">
        <f>IF(計算用!$W$11="","",IF(計算用!$B$1=1,INDEX(計算用!$H$3:$H$452,計算用!$W$11),INDEX(振り分け!$D$7:$D$456,計算用!$W$11)))</f>
        <v/>
      </c>
      <c r="I70" s="67">
        <f>IF(計算用!$X$11="","",IF(計算用!$B$1=1,INDEX(計算用!$F$3:$F$452,計算用!$X$11),INDEX(振り分け!$B$7:$B$456,計算用!$X$11)))</f>
        <v/>
      </c>
      <c r="J70" s="68">
        <f>IF(計算用!$X$11="","",IF(計算用!$B$1=1,INDEX(計算用!$H$3:$H$452,計算用!$X$11),INDEX(振り分け!$D$7:$D$456,計算用!$X$11)))</f>
        <v/>
      </c>
      <c r="K70" s="67">
        <f>IF(計算用!$Y$11="","",IF(計算用!$B$1=1,INDEX(計算用!$F$3:$F$452,計算用!$Y$11),INDEX(振り分け!$B$7:$B$456,計算用!$Y$11)))</f>
        <v/>
      </c>
      <c r="L70" s="68">
        <f>IF(計算用!$Y$11="","",IF(計算用!$B$1=1,INDEX(計算用!$H$3:$H$452,計算用!$Y$11),INDEX(振り分け!$D$7:$D$456,計算用!$Y$11)))</f>
        <v/>
      </c>
      <c r="M70" s="67">
        <f>IF(計算用!$Z$11="","",IF(計算用!$B$1=1,INDEX(計算用!$F$3:$F$452,計算用!$Z$11),INDEX(振り分け!$B$7:$B$456,計算用!$Z$11)))</f>
        <v/>
      </c>
      <c r="N70" s="68">
        <f>IF(計算用!$Z$11="","",IF(計算用!$B$1=1,INDEX(計算用!$H$3:$H$452,計算用!$Z$11),INDEX(振り分け!$D$7:$D$456,計算用!$Z$11)))</f>
        <v/>
      </c>
      <c r="O70" s="67">
        <f>IF(計算用!$AA$11="","",IF(計算用!$B$1=1,INDEX(計算用!$F$3:$F$452,計算用!$AA$11),INDEX(振り分け!$B$7:$B$456,計算用!$AA$11)))</f>
        <v/>
      </c>
      <c r="P70" s="68">
        <f>IF(計算用!$AA$11="","",IF(計算用!$B$1=1,INDEX(計算用!$H$3:$H$452,計算用!$AA$11),INDEX(振り分け!$D$7:$D$456,計算用!$AA$11)))</f>
        <v/>
      </c>
      <c r="Q70" s="67">
        <f>IF(計算用!$AB$11="","",IF(計算用!$B$1=1,INDEX(計算用!$F$3:$F$452,計算用!$AB$11),INDEX(振り分け!$B$7:$B$456,計算用!$AB$11)))</f>
        <v/>
      </c>
      <c r="R70" s="68">
        <f>IF(計算用!$AB$11="","",IF(計算用!$B$1=1,INDEX(計算用!$H$3:$H$452,計算用!$AB$11),INDEX(振り分け!$D$7:$D$456,計算用!$AB$11)))</f>
        <v/>
      </c>
      <c r="S70" s="67">
        <f>IF(計算用!$AC$11="","",IF(計算用!$B$1=1,INDEX(計算用!$F$3:$F$452,計算用!$AC$11),INDEX(振り分け!$B$7:$B$456,計算用!$AC$11)))</f>
        <v/>
      </c>
      <c r="T70" s="68">
        <f>IF(計算用!$AC$11="","",IF(計算用!$B$1=1,INDEX(計算用!$H$3:$H$452,計算用!$AC$11),INDEX(振り分け!$D$7:$D$456,計算用!$AC$11)))</f>
        <v/>
      </c>
    </row>
    <row r="71">
      <c r="A71" s="67">
        <f>IF(計算用!$T$12="","",IF(計算用!$B$1=1,INDEX(計算用!$F$3:$F$452,計算用!$T$12),INDEX(振り分け!$B$7:$B$456,計算用!$T$12)))</f>
        <v/>
      </c>
      <c r="B71" s="68">
        <f>IF(計算用!$T$12="","",IF(計算用!$B$1=1,INDEX(計算用!$H$3:$H$452,計算用!$T$12),INDEX(振り分け!$D$7:$D$456,計算用!$T$12)))</f>
        <v/>
      </c>
      <c r="C71" s="67">
        <f>IF(計算用!$U$12="","",IF(計算用!$B$1=1,INDEX(計算用!$F$3:$F$452,計算用!$U$12),INDEX(振り分け!$B$7:$B$456,計算用!$U$12)))</f>
        <v/>
      </c>
      <c r="D71" s="68">
        <f>IF(計算用!$U$12="","",IF(計算用!$B$1=1,INDEX(計算用!$H$3:$H$452,計算用!$U$12),INDEX(振り分け!$D$7:$D$456,計算用!$U$12)))</f>
        <v/>
      </c>
      <c r="E71" s="67">
        <f>IF(計算用!$V$12="","",IF(計算用!$B$1=1,INDEX(計算用!$F$3:$F$452,計算用!$V$12),INDEX(振り分け!$B$7:$B$456,計算用!$V$12)))</f>
        <v/>
      </c>
      <c r="F71" s="68">
        <f>IF(計算用!$V$12="","",IF(計算用!$B$1=1,INDEX(計算用!$H$3:$H$452,計算用!$V$12),INDEX(振り分け!$D$7:$D$456,計算用!$V$12)))</f>
        <v/>
      </c>
      <c r="G71" s="67">
        <f>IF(計算用!$W$12="","",IF(計算用!$B$1=1,INDEX(計算用!$F$3:$F$452,計算用!$W$12),INDEX(振り分け!$B$7:$B$456,計算用!$W$12)))</f>
        <v/>
      </c>
      <c r="H71" s="68">
        <f>IF(計算用!$W$12="","",IF(計算用!$B$1=1,INDEX(計算用!$H$3:$H$452,計算用!$W$12),INDEX(振り分け!$D$7:$D$456,計算用!$W$12)))</f>
        <v/>
      </c>
      <c r="I71" s="67">
        <f>IF(計算用!$X$12="","",IF(計算用!$B$1=1,INDEX(計算用!$F$3:$F$452,計算用!$X$12),INDEX(振り分け!$B$7:$B$456,計算用!$X$12)))</f>
        <v/>
      </c>
      <c r="J71" s="68">
        <f>IF(計算用!$X$12="","",IF(計算用!$B$1=1,INDEX(計算用!$H$3:$H$452,計算用!$X$12),INDEX(振り分け!$D$7:$D$456,計算用!$X$12)))</f>
        <v/>
      </c>
      <c r="K71" s="67">
        <f>IF(計算用!$Y$12="","",IF(計算用!$B$1=1,INDEX(計算用!$F$3:$F$452,計算用!$Y$12),INDEX(振り分け!$B$7:$B$456,計算用!$Y$12)))</f>
        <v/>
      </c>
      <c r="L71" s="68">
        <f>IF(計算用!$Y$12="","",IF(計算用!$B$1=1,INDEX(計算用!$H$3:$H$452,計算用!$Y$12),INDEX(振り分け!$D$7:$D$456,計算用!$Y$12)))</f>
        <v/>
      </c>
      <c r="M71" s="67">
        <f>IF(計算用!$Z$12="","",IF(計算用!$B$1=1,INDEX(計算用!$F$3:$F$452,計算用!$Z$12),INDEX(振り分け!$B$7:$B$456,計算用!$Z$12)))</f>
        <v/>
      </c>
      <c r="N71" s="68">
        <f>IF(計算用!$Z$12="","",IF(計算用!$B$1=1,INDEX(計算用!$H$3:$H$452,計算用!$Z$12),INDEX(振り分け!$D$7:$D$456,計算用!$Z$12)))</f>
        <v/>
      </c>
      <c r="O71" s="67">
        <f>IF(計算用!$AA$12="","",IF(計算用!$B$1=1,INDEX(計算用!$F$3:$F$452,計算用!$AA$12),INDEX(振り分け!$B$7:$B$456,計算用!$AA$12)))</f>
        <v/>
      </c>
      <c r="P71" s="68">
        <f>IF(計算用!$AA$12="","",IF(計算用!$B$1=1,INDEX(計算用!$H$3:$H$452,計算用!$AA$12),INDEX(振り分け!$D$7:$D$456,計算用!$AA$12)))</f>
        <v/>
      </c>
      <c r="Q71" s="67">
        <f>IF(計算用!$AB$12="","",IF(計算用!$B$1=1,INDEX(計算用!$F$3:$F$452,計算用!$AB$12),INDEX(振り分け!$B$7:$B$456,計算用!$AB$12)))</f>
        <v/>
      </c>
      <c r="R71" s="68">
        <f>IF(計算用!$AB$12="","",IF(計算用!$B$1=1,INDEX(計算用!$H$3:$H$452,計算用!$AB$12),INDEX(振り分け!$D$7:$D$456,計算用!$AB$12)))</f>
        <v/>
      </c>
      <c r="S71" s="67">
        <f>IF(計算用!$AC$12="","",IF(計算用!$B$1=1,INDEX(計算用!$F$3:$F$452,計算用!$AC$12),INDEX(振り分け!$B$7:$B$456,計算用!$AC$12)))</f>
        <v/>
      </c>
      <c r="T71" s="68">
        <f>IF(計算用!$AC$12="","",IF(計算用!$B$1=1,INDEX(計算用!$H$3:$H$452,計算用!$AC$12),INDEX(振り分け!$D$7:$D$456,計算用!$AC$12)))</f>
        <v/>
      </c>
    </row>
    <row r="72">
      <c r="A72" s="67">
        <f>IF(計算用!$T$13="","",IF(計算用!$B$1=1,INDEX(計算用!$F$3:$F$452,計算用!$T$13),INDEX(振り分け!$B$7:$B$456,計算用!$T$13)))</f>
        <v/>
      </c>
      <c r="B72" s="68">
        <f>IF(計算用!$T$13="","",IF(計算用!$B$1=1,INDEX(計算用!$H$3:$H$452,計算用!$T$13),INDEX(振り分け!$D$7:$D$456,計算用!$T$13)))</f>
        <v/>
      </c>
      <c r="C72" s="67">
        <f>IF(計算用!$U$13="","",IF(計算用!$B$1=1,INDEX(計算用!$F$3:$F$452,計算用!$U$13),INDEX(振り分け!$B$7:$B$456,計算用!$U$13)))</f>
        <v/>
      </c>
      <c r="D72" s="68">
        <f>IF(計算用!$U$13="","",IF(計算用!$B$1=1,INDEX(計算用!$H$3:$H$452,計算用!$U$13),INDEX(振り分け!$D$7:$D$456,計算用!$U$13)))</f>
        <v/>
      </c>
      <c r="E72" s="67">
        <f>IF(計算用!$V$13="","",IF(計算用!$B$1=1,INDEX(計算用!$F$3:$F$452,計算用!$V$13),INDEX(振り分け!$B$7:$B$456,計算用!$V$13)))</f>
        <v/>
      </c>
      <c r="F72" s="68">
        <f>IF(計算用!$V$13="","",IF(計算用!$B$1=1,INDEX(計算用!$H$3:$H$452,計算用!$V$13),INDEX(振り分け!$D$7:$D$456,計算用!$V$13)))</f>
        <v/>
      </c>
      <c r="G72" s="67">
        <f>IF(計算用!$W$13="","",IF(計算用!$B$1=1,INDEX(計算用!$F$3:$F$452,計算用!$W$13),INDEX(振り分け!$B$7:$B$456,計算用!$W$13)))</f>
        <v/>
      </c>
      <c r="H72" s="68">
        <f>IF(計算用!$W$13="","",IF(計算用!$B$1=1,INDEX(計算用!$H$3:$H$452,計算用!$W$13),INDEX(振り分け!$D$7:$D$456,計算用!$W$13)))</f>
        <v/>
      </c>
      <c r="I72" s="67">
        <f>IF(計算用!$X$13="","",IF(計算用!$B$1=1,INDEX(計算用!$F$3:$F$452,計算用!$X$13),INDEX(振り分け!$B$7:$B$456,計算用!$X$13)))</f>
        <v/>
      </c>
      <c r="J72" s="68">
        <f>IF(計算用!$X$13="","",IF(計算用!$B$1=1,INDEX(計算用!$H$3:$H$452,計算用!$X$13),INDEX(振り分け!$D$7:$D$456,計算用!$X$13)))</f>
        <v/>
      </c>
      <c r="K72" s="67">
        <f>IF(計算用!$Y$13="","",IF(計算用!$B$1=1,INDEX(計算用!$F$3:$F$452,計算用!$Y$13),INDEX(振り分け!$B$7:$B$456,計算用!$Y$13)))</f>
        <v/>
      </c>
      <c r="L72" s="68">
        <f>IF(計算用!$Y$13="","",IF(計算用!$B$1=1,INDEX(計算用!$H$3:$H$452,計算用!$Y$13),INDEX(振り分け!$D$7:$D$456,計算用!$Y$13)))</f>
        <v/>
      </c>
      <c r="M72" s="67">
        <f>IF(計算用!$Z$13="","",IF(計算用!$B$1=1,INDEX(計算用!$F$3:$F$452,計算用!$Z$13),INDEX(振り分け!$B$7:$B$456,計算用!$Z$13)))</f>
        <v/>
      </c>
      <c r="N72" s="68">
        <f>IF(計算用!$Z$13="","",IF(計算用!$B$1=1,INDEX(計算用!$H$3:$H$452,計算用!$Z$13),INDEX(振り分け!$D$7:$D$456,計算用!$Z$13)))</f>
        <v/>
      </c>
      <c r="O72" s="67">
        <f>IF(計算用!$AA$13="","",IF(計算用!$B$1=1,INDEX(計算用!$F$3:$F$452,計算用!$AA$13),INDEX(振り分け!$B$7:$B$456,計算用!$AA$13)))</f>
        <v/>
      </c>
      <c r="P72" s="68">
        <f>IF(計算用!$AA$13="","",IF(計算用!$B$1=1,INDEX(計算用!$H$3:$H$452,計算用!$AA$13),INDEX(振り分け!$D$7:$D$456,計算用!$AA$13)))</f>
        <v/>
      </c>
      <c r="Q72" s="67">
        <f>IF(計算用!$AB$13="","",IF(計算用!$B$1=1,INDEX(計算用!$F$3:$F$452,計算用!$AB$13),INDEX(振り分け!$B$7:$B$456,計算用!$AB$13)))</f>
        <v/>
      </c>
      <c r="R72" s="68">
        <f>IF(計算用!$AB$13="","",IF(計算用!$B$1=1,INDEX(計算用!$H$3:$H$452,計算用!$AB$13),INDEX(振り分け!$D$7:$D$456,計算用!$AB$13)))</f>
        <v/>
      </c>
      <c r="S72" s="67">
        <f>IF(計算用!$AC$13="","",IF(計算用!$B$1=1,INDEX(計算用!$F$3:$F$452,計算用!$AC$13),INDEX(振り分け!$B$7:$B$456,計算用!$AC$13)))</f>
        <v/>
      </c>
      <c r="T72" s="68">
        <f>IF(計算用!$AC$13="","",IF(計算用!$B$1=1,INDEX(計算用!$H$3:$H$452,計算用!$AC$13),INDEX(振り分け!$D$7:$D$456,計算用!$AC$13)))</f>
        <v/>
      </c>
    </row>
    <row r="73">
      <c r="A73" s="67">
        <f>IF(計算用!$T$14="","",IF(計算用!$B$1=1,INDEX(計算用!$F$3:$F$452,計算用!$T$14),INDEX(振り分け!$B$7:$B$456,計算用!$T$14)))</f>
        <v/>
      </c>
      <c r="B73" s="68">
        <f>IF(計算用!$T$14="","",IF(計算用!$B$1=1,INDEX(計算用!$H$3:$H$452,計算用!$T$14),INDEX(振り分け!$D$7:$D$456,計算用!$T$14)))</f>
        <v/>
      </c>
      <c r="C73" s="67">
        <f>IF(計算用!$U$14="","",IF(計算用!$B$1=1,INDEX(計算用!$F$3:$F$452,計算用!$U$14),INDEX(振り分け!$B$7:$B$456,計算用!$U$14)))</f>
        <v/>
      </c>
      <c r="D73" s="68">
        <f>IF(計算用!$U$14="","",IF(計算用!$B$1=1,INDEX(計算用!$H$3:$H$452,計算用!$U$14),INDEX(振り分け!$D$7:$D$456,計算用!$U$14)))</f>
        <v/>
      </c>
      <c r="E73" s="67">
        <f>IF(計算用!$V$14="","",IF(計算用!$B$1=1,INDEX(計算用!$F$3:$F$452,計算用!$V$14),INDEX(振り分け!$B$7:$B$456,計算用!$V$14)))</f>
        <v/>
      </c>
      <c r="F73" s="68">
        <f>IF(計算用!$V$14="","",IF(計算用!$B$1=1,INDEX(計算用!$H$3:$H$452,計算用!$V$14),INDEX(振り分け!$D$7:$D$456,計算用!$V$14)))</f>
        <v/>
      </c>
      <c r="G73" s="67">
        <f>IF(計算用!$W$14="","",IF(計算用!$B$1=1,INDEX(計算用!$F$3:$F$452,計算用!$W$14),INDEX(振り分け!$B$7:$B$456,計算用!$W$14)))</f>
        <v/>
      </c>
      <c r="H73" s="68">
        <f>IF(計算用!$W$14="","",IF(計算用!$B$1=1,INDEX(計算用!$H$3:$H$452,計算用!$W$14),INDEX(振り分け!$D$7:$D$456,計算用!$W$14)))</f>
        <v/>
      </c>
      <c r="I73" s="67">
        <f>IF(計算用!$X$14="","",IF(計算用!$B$1=1,INDEX(計算用!$F$3:$F$452,計算用!$X$14),INDEX(振り分け!$B$7:$B$456,計算用!$X$14)))</f>
        <v/>
      </c>
      <c r="J73" s="68">
        <f>IF(計算用!$X$14="","",IF(計算用!$B$1=1,INDEX(計算用!$H$3:$H$452,計算用!$X$14),INDEX(振り分け!$D$7:$D$456,計算用!$X$14)))</f>
        <v/>
      </c>
      <c r="K73" s="67">
        <f>IF(計算用!$Y$14="","",IF(計算用!$B$1=1,INDEX(計算用!$F$3:$F$452,計算用!$Y$14),INDEX(振り分け!$B$7:$B$456,計算用!$Y$14)))</f>
        <v/>
      </c>
      <c r="L73" s="68">
        <f>IF(計算用!$Y$14="","",IF(計算用!$B$1=1,INDEX(計算用!$H$3:$H$452,計算用!$Y$14),INDEX(振り分け!$D$7:$D$456,計算用!$Y$14)))</f>
        <v/>
      </c>
      <c r="M73" s="67">
        <f>IF(計算用!$Z$14="","",IF(計算用!$B$1=1,INDEX(計算用!$F$3:$F$452,計算用!$Z$14),INDEX(振り分け!$B$7:$B$456,計算用!$Z$14)))</f>
        <v/>
      </c>
      <c r="N73" s="68">
        <f>IF(計算用!$Z$14="","",IF(計算用!$B$1=1,INDEX(計算用!$H$3:$H$452,計算用!$Z$14),INDEX(振り分け!$D$7:$D$456,計算用!$Z$14)))</f>
        <v/>
      </c>
      <c r="O73" s="67">
        <f>IF(計算用!$AA$14="","",IF(計算用!$B$1=1,INDEX(計算用!$F$3:$F$452,計算用!$AA$14),INDEX(振り分け!$B$7:$B$456,計算用!$AA$14)))</f>
        <v/>
      </c>
      <c r="P73" s="68">
        <f>IF(計算用!$AA$14="","",IF(計算用!$B$1=1,INDEX(計算用!$H$3:$H$452,計算用!$AA$14),INDEX(振り分け!$D$7:$D$456,計算用!$AA$14)))</f>
        <v/>
      </c>
      <c r="Q73" s="67">
        <f>IF(計算用!$AB$14="","",IF(計算用!$B$1=1,INDEX(計算用!$F$3:$F$452,計算用!$AB$14),INDEX(振り分け!$B$7:$B$456,計算用!$AB$14)))</f>
        <v/>
      </c>
      <c r="R73" s="68">
        <f>IF(計算用!$AB$14="","",IF(計算用!$B$1=1,INDEX(計算用!$H$3:$H$452,計算用!$AB$14),INDEX(振り分け!$D$7:$D$456,計算用!$AB$14)))</f>
        <v/>
      </c>
      <c r="S73" s="67">
        <f>IF(計算用!$AC$14="","",IF(計算用!$B$1=1,INDEX(計算用!$F$3:$F$452,計算用!$AC$14),INDEX(振り分け!$B$7:$B$456,計算用!$AC$14)))</f>
        <v/>
      </c>
      <c r="T73" s="68">
        <f>IF(計算用!$AC$14="","",IF(計算用!$B$1=1,INDEX(計算用!$H$3:$H$452,計算用!$AC$14),INDEX(振り分け!$D$7:$D$456,計算用!$AC$14)))</f>
        <v/>
      </c>
    </row>
    <row r="74">
      <c r="A74" s="67">
        <f>IF(計算用!$T$15="","",IF(計算用!$B$1=1,INDEX(計算用!$F$3:$F$452,計算用!$T$15),INDEX(振り分け!$B$7:$B$456,計算用!$T$15)))</f>
        <v/>
      </c>
      <c r="B74" s="68">
        <f>IF(計算用!$T$15="","",IF(計算用!$B$1=1,INDEX(計算用!$H$3:$H$452,計算用!$T$15),INDEX(振り分け!$D$7:$D$456,計算用!$T$15)))</f>
        <v/>
      </c>
      <c r="C74" s="67">
        <f>IF(計算用!$U$15="","",IF(計算用!$B$1=1,INDEX(計算用!$F$3:$F$452,計算用!$U$15),INDEX(振り分け!$B$7:$B$456,計算用!$U$15)))</f>
        <v/>
      </c>
      <c r="D74" s="68">
        <f>IF(計算用!$U$15="","",IF(計算用!$B$1=1,INDEX(計算用!$H$3:$H$452,計算用!$U$15),INDEX(振り分け!$D$7:$D$456,計算用!$U$15)))</f>
        <v/>
      </c>
      <c r="E74" s="67">
        <f>IF(計算用!$V$15="","",IF(計算用!$B$1=1,INDEX(計算用!$F$3:$F$452,計算用!$V$15),INDEX(振り分け!$B$7:$B$456,計算用!$V$15)))</f>
        <v/>
      </c>
      <c r="F74" s="68">
        <f>IF(計算用!$V$15="","",IF(計算用!$B$1=1,INDEX(計算用!$H$3:$H$452,計算用!$V$15),INDEX(振り分け!$D$7:$D$456,計算用!$V$15)))</f>
        <v/>
      </c>
      <c r="G74" s="67">
        <f>IF(計算用!$W$15="","",IF(計算用!$B$1=1,INDEX(計算用!$F$3:$F$452,計算用!$W$15),INDEX(振り分け!$B$7:$B$456,計算用!$W$15)))</f>
        <v/>
      </c>
      <c r="H74" s="68">
        <f>IF(計算用!$W$15="","",IF(計算用!$B$1=1,INDEX(計算用!$H$3:$H$452,計算用!$W$15),INDEX(振り分け!$D$7:$D$456,計算用!$W$15)))</f>
        <v/>
      </c>
      <c r="I74" s="67">
        <f>IF(計算用!$X$15="","",IF(計算用!$B$1=1,INDEX(計算用!$F$3:$F$452,計算用!$X$15),INDEX(振り分け!$B$7:$B$456,計算用!$X$15)))</f>
        <v/>
      </c>
      <c r="J74" s="68">
        <f>IF(計算用!$X$15="","",IF(計算用!$B$1=1,INDEX(計算用!$H$3:$H$452,計算用!$X$15),INDEX(振り分け!$D$7:$D$456,計算用!$X$15)))</f>
        <v/>
      </c>
      <c r="K74" s="67">
        <f>IF(計算用!$Y$15="","",IF(計算用!$B$1=1,INDEX(計算用!$F$3:$F$452,計算用!$Y$15),INDEX(振り分け!$B$7:$B$456,計算用!$Y$15)))</f>
        <v/>
      </c>
      <c r="L74" s="68">
        <f>IF(計算用!$Y$15="","",IF(計算用!$B$1=1,INDEX(計算用!$H$3:$H$452,計算用!$Y$15),INDEX(振り分け!$D$7:$D$456,計算用!$Y$15)))</f>
        <v/>
      </c>
      <c r="M74" s="67">
        <f>IF(計算用!$Z$15="","",IF(計算用!$B$1=1,INDEX(計算用!$F$3:$F$452,計算用!$Z$15),INDEX(振り分け!$B$7:$B$456,計算用!$Z$15)))</f>
        <v/>
      </c>
      <c r="N74" s="68">
        <f>IF(計算用!$Z$15="","",IF(計算用!$B$1=1,INDEX(計算用!$H$3:$H$452,計算用!$Z$15),INDEX(振り分け!$D$7:$D$456,計算用!$Z$15)))</f>
        <v/>
      </c>
      <c r="O74" s="67">
        <f>IF(計算用!$AA$15="","",IF(計算用!$B$1=1,INDEX(計算用!$F$3:$F$452,計算用!$AA$15),INDEX(振り分け!$B$7:$B$456,計算用!$AA$15)))</f>
        <v/>
      </c>
      <c r="P74" s="68">
        <f>IF(計算用!$AA$15="","",IF(計算用!$B$1=1,INDEX(計算用!$H$3:$H$452,計算用!$AA$15),INDEX(振り分け!$D$7:$D$456,計算用!$AA$15)))</f>
        <v/>
      </c>
      <c r="Q74" s="67">
        <f>IF(計算用!$AB$15="","",IF(計算用!$B$1=1,INDEX(計算用!$F$3:$F$452,計算用!$AB$15),INDEX(振り分け!$B$7:$B$456,計算用!$AB$15)))</f>
        <v/>
      </c>
      <c r="R74" s="68">
        <f>IF(計算用!$AB$15="","",IF(計算用!$B$1=1,INDEX(計算用!$H$3:$H$452,計算用!$AB$15),INDEX(振り分け!$D$7:$D$456,計算用!$AB$15)))</f>
        <v/>
      </c>
      <c r="S74" s="67">
        <f>IF(計算用!$AC$15="","",IF(計算用!$B$1=1,INDEX(計算用!$F$3:$F$452,計算用!$AC$15),INDEX(振り分け!$B$7:$B$456,計算用!$AC$15)))</f>
        <v/>
      </c>
      <c r="T74" s="68">
        <f>IF(計算用!$AC$15="","",IF(計算用!$B$1=1,INDEX(計算用!$H$3:$H$452,計算用!$AC$15),INDEX(振り分け!$D$7:$D$456,計算用!$AC$15)))</f>
        <v/>
      </c>
    </row>
    <row r="75">
      <c r="A75" s="67">
        <f>IF(計算用!$T$16="","",IF(計算用!$B$1=1,INDEX(計算用!$F$3:$F$452,計算用!$T$16),INDEX(振り分け!$B$7:$B$456,計算用!$T$16)))</f>
        <v/>
      </c>
      <c r="B75" s="68">
        <f>IF(計算用!$T$16="","",IF(計算用!$B$1=1,INDEX(計算用!$H$3:$H$452,計算用!$T$16),INDEX(振り分け!$D$7:$D$456,計算用!$T$16)))</f>
        <v/>
      </c>
      <c r="C75" s="67">
        <f>IF(計算用!$U$16="","",IF(計算用!$B$1=1,INDEX(計算用!$F$3:$F$452,計算用!$U$16),INDEX(振り分け!$B$7:$B$456,計算用!$U$16)))</f>
        <v/>
      </c>
      <c r="D75" s="68">
        <f>IF(計算用!$U$16="","",IF(計算用!$B$1=1,INDEX(計算用!$H$3:$H$452,計算用!$U$16),INDEX(振り分け!$D$7:$D$456,計算用!$U$16)))</f>
        <v/>
      </c>
      <c r="E75" s="67">
        <f>IF(計算用!$V$16="","",IF(計算用!$B$1=1,INDEX(計算用!$F$3:$F$452,計算用!$V$16),INDEX(振り分け!$B$7:$B$456,計算用!$V$16)))</f>
        <v/>
      </c>
      <c r="F75" s="68">
        <f>IF(計算用!$V$16="","",IF(計算用!$B$1=1,INDEX(計算用!$H$3:$H$452,計算用!$V$16),INDEX(振り分け!$D$7:$D$456,計算用!$V$16)))</f>
        <v/>
      </c>
      <c r="G75" s="67">
        <f>IF(計算用!$W$16="","",IF(計算用!$B$1=1,INDEX(計算用!$F$3:$F$452,計算用!$W$16),INDEX(振り分け!$B$7:$B$456,計算用!$W$16)))</f>
        <v/>
      </c>
      <c r="H75" s="68">
        <f>IF(計算用!$W$16="","",IF(計算用!$B$1=1,INDEX(計算用!$H$3:$H$452,計算用!$W$16),INDEX(振り分け!$D$7:$D$456,計算用!$W$16)))</f>
        <v/>
      </c>
      <c r="I75" s="67">
        <f>IF(計算用!$X$16="","",IF(計算用!$B$1=1,INDEX(計算用!$F$3:$F$452,計算用!$X$16),INDEX(振り分け!$B$7:$B$456,計算用!$X$16)))</f>
        <v/>
      </c>
      <c r="J75" s="68">
        <f>IF(計算用!$X$16="","",IF(計算用!$B$1=1,INDEX(計算用!$H$3:$H$452,計算用!$X$16),INDEX(振り分け!$D$7:$D$456,計算用!$X$16)))</f>
        <v/>
      </c>
      <c r="K75" s="67">
        <f>IF(計算用!$Y$16="","",IF(計算用!$B$1=1,INDEX(計算用!$F$3:$F$452,計算用!$Y$16),INDEX(振り分け!$B$7:$B$456,計算用!$Y$16)))</f>
        <v/>
      </c>
      <c r="L75" s="68">
        <f>IF(計算用!$Y$16="","",IF(計算用!$B$1=1,INDEX(計算用!$H$3:$H$452,計算用!$Y$16),INDEX(振り分け!$D$7:$D$456,計算用!$Y$16)))</f>
        <v/>
      </c>
      <c r="M75" s="67">
        <f>IF(計算用!$Z$16="","",IF(計算用!$B$1=1,INDEX(計算用!$F$3:$F$452,計算用!$Z$16),INDEX(振り分け!$B$7:$B$456,計算用!$Z$16)))</f>
        <v/>
      </c>
      <c r="N75" s="68">
        <f>IF(計算用!$Z$16="","",IF(計算用!$B$1=1,INDEX(計算用!$H$3:$H$452,計算用!$Z$16),INDEX(振り分け!$D$7:$D$456,計算用!$Z$16)))</f>
        <v/>
      </c>
      <c r="O75" s="67">
        <f>IF(計算用!$AA$16="","",IF(計算用!$B$1=1,INDEX(計算用!$F$3:$F$452,計算用!$AA$16),INDEX(振り分け!$B$7:$B$456,計算用!$AA$16)))</f>
        <v/>
      </c>
      <c r="P75" s="68">
        <f>IF(計算用!$AA$16="","",IF(計算用!$B$1=1,INDEX(計算用!$H$3:$H$452,計算用!$AA$16),INDEX(振り分け!$D$7:$D$456,計算用!$AA$16)))</f>
        <v/>
      </c>
      <c r="Q75" s="67">
        <f>IF(計算用!$AB$16="","",IF(計算用!$B$1=1,INDEX(計算用!$F$3:$F$452,計算用!$AB$16),INDEX(振り分け!$B$7:$B$456,計算用!$AB$16)))</f>
        <v/>
      </c>
      <c r="R75" s="68">
        <f>IF(計算用!$AB$16="","",IF(計算用!$B$1=1,INDEX(計算用!$H$3:$H$452,計算用!$AB$16),INDEX(振り分け!$D$7:$D$456,計算用!$AB$16)))</f>
        <v/>
      </c>
      <c r="S75" s="67">
        <f>IF(計算用!$AC$16="","",IF(計算用!$B$1=1,INDEX(計算用!$F$3:$F$452,計算用!$AC$16),INDEX(振り分け!$B$7:$B$456,計算用!$AC$16)))</f>
        <v/>
      </c>
      <c r="T75" s="68">
        <f>IF(計算用!$AC$16="","",IF(計算用!$B$1=1,INDEX(計算用!$H$3:$H$452,計算用!$AC$16),INDEX(振り分け!$D$7:$D$456,計算用!$AC$16)))</f>
        <v/>
      </c>
    </row>
    <row r="76">
      <c r="A76" s="67">
        <f>IF(計算用!$T$17="","",IF(計算用!$B$1=1,INDEX(計算用!$F$3:$F$452,計算用!$T$17),INDEX(振り分け!$B$7:$B$456,計算用!$T$17)))</f>
        <v/>
      </c>
      <c r="B76" s="68">
        <f>IF(計算用!$T$17="","",IF(計算用!$B$1=1,INDEX(計算用!$H$3:$H$452,計算用!$T$17),INDEX(振り分け!$D$7:$D$456,計算用!$T$17)))</f>
        <v/>
      </c>
      <c r="C76" s="67">
        <f>IF(計算用!$U$17="","",IF(計算用!$B$1=1,INDEX(計算用!$F$3:$F$452,計算用!$U$17),INDEX(振り分け!$B$7:$B$456,計算用!$U$17)))</f>
        <v/>
      </c>
      <c r="D76" s="68">
        <f>IF(計算用!$U$17="","",IF(計算用!$B$1=1,INDEX(計算用!$H$3:$H$452,計算用!$U$17),INDEX(振り分け!$D$7:$D$456,計算用!$U$17)))</f>
        <v/>
      </c>
      <c r="E76" s="67">
        <f>IF(計算用!$V$17="","",IF(計算用!$B$1=1,INDEX(計算用!$F$3:$F$452,計算用!$V$17),INDEX(振り分け!$B$7:$B$456,計算用!$V$17)))</f>
        <v/>
      </c>
      <c r="F76" s="68">
        <f>IF(計算用!$V$17="","",IF(計算用!$B$1=1,INDEX(計算用!$H$3:$H$452,計算用!$V$17),INDEX(振り分け!$D$7:$D$456,計算用!$V$17)))</f>
        <v/>
      </c>
      <c r="G76" s="67">
        <f>IF(計算用!$W$17="","",IF(計算用!$B$1=1,INDEX(計算用!$F$3:$F$452,計算用!$W$17),INDEX(振り分け!$B$7:$B$456,計算用!$W$17)))</f>
        <v/>
      </c>
      <c r="H76" s="68">
        <f>IF(計算用!$W$17="","",IF(計算用!$B$1=1,INDEX(計算用!$H$3:$H$452,計算用!$W$17),INDEX(振り分け!$D$7:$D$456,計算用!$W$17)))</f>
        <v/>
      </c>
      <c r="I76" s="67">
        <f>IF(計算用!$X$17="","",IF(計算用!$B$1=1,INDEX(計算用!$F$3:$F$452,計算用!$X$17),INDEX(振り分け!$B$7:$B$456,計算用!$X$17)))</f>
        <v/>
      </c>
      <c r="J76" s="68">
        <f>IF(計算用!$X$17="","",IF(計算用!$B$1=1,INDEX(計算用!$H$3:$H$452,計算用!$X$17),INDEX(振り分け!$D$7:$D$456,計算用!$X$17)))</f>
        <v/>
      </c>
      <c r="K76" s="67">
        <f>IF(計算用!$Y$17="","",IF(計算用!$B$1=1,INDEX(計算用!$F$3:$F$452,計算用!$Y$17),INDEX(振り分け!$B$7:$B$456,計算用!$Y$17)))</f>
        <v/>
      </c>
      <c r="L76" s="68">
        <f>IF(計算用!$Y$17="","",IF(計算用!$B$1=1,INDEX(計算用!$H$3:$H$452,計算用!$Y$17),INDEX(振り分け!$D$7:$D$456,計算用!$Y$17)))</f>
        <v/>
      </c>
      <c r="M76" s="67">
        <f>IF(計算用!$Z$17="","",IF(計算用!$B$1=1,INDEX(計算用!$F$3:$F$452,計算用!$Z$17),INDEX(振り分け!$B$7:$B$456,計算用!$Z$17)))</f>
        <v/>
      </c>
      <c r="N76" s="68">
        <f>IF(計算用!$Z$17="","",IF(計算用!$B$1=1,INDEX(計算用!$H$3:$H$452,計算用!$Z$17),INDEX(振り分け!$D$7:$D$456,計算用!$Z$17)))</f>
        <v/>
      </c>
      <c r="O76" s="67">
        <f>IF(計算用!$AA$17="","",IF(計算用!$B$1=1,INDEX(計算用!$F$3:$F$452,計算用!$AA$17),INDEX(振り分け!$B$7:$B$456,計算用!$AA$17)))</f>
        <v/>
      </c>
      <c r="P76" s="68">
        <f>IF(計算用!$AA$17="","",IF(計算用!$B$1=1,INDEX(計算用!$H$3:$H$452,計算用!$AA$17),INDEX(振り分け!$D$7:$D$456,計算用!$AA$17)))</f>
        <v/>
      </c>
      <c r="Q76" s="67">
        <f>IF(計算用!$AB$17="","",IF(計算用!$B$1=1,INDEX(計算用!$F$3:$F$452,計算用!$AB$17),INDEX(振り分け!$B$7:$B$456,計算用!$AB$17)))</f>
        <v/>
      </c>
      <c r="R76" s="68">
        <f>IF(計算用!$AB$17="","",IF(計算用!$B$1=1,INDEX(計算用!$H$3:$H$452,計算用!$AB$17),INDEX(振り分け!$D$7:$D$456,計算用!$AB$17)))</f>
        <v/>
      </c>
      <c r="S76" s="67">
        <f>IF(計算用!$AC$17="","",IF(計算用!$B$1=1,INDEX(計算用!$F$3:$F$452,計算用!$AC$17),INDEX(振り分け!$B$7:$B$456,計算用!$AC$17)))</f>
        <v/>
      </c>
      <c r="T76" s="68">
        <f>IF(計算用!$AC$17="","",IF(計算用!$B$1=1,INDEX(計算用!$H$3:$H$452,計算用!$AC$17),INDEX(振り分け!$D$7:$D$456,計算用!$AC$17)))</f>
        <v/>
      </c>
    </row>
    <row r="77">
      <c r="A77" s="67">
        <f>IF(計算用!$T$18="","",IF(計算用!$B$1=1,INDEX(計算用!$F$3:$F$452,計算用!$T$18),INDEX(振り分け!$B$7:$B$456,計算用!$T$18)))</f>
        <v/>
      </c>
      <c r="B77" s="68">
        <f>IF(計算用!$T$18="","",IF(計算用!$B$1=1,INDEX(計算用!$H$3:$H$452,計算用!$T$18),INDEX(振り分け!$D$7:$D$456,計算用!$T$18)))</f>
        <v/>
      </c>
      <c r="C77" s="67">
        <f>IF(計算用!$U$18="","",IF(計算用!$B$1=1,INDEX(計算用!$F$3:$F$452,計算用!$U$18),INDEX(振り分け!$B$7:$B$456,計算用!$U$18)))</f>
        <v/>
      </c>
      <c r="D77" s="68">
        <f>IF(計算用!$U$18="","",IF(計算用!$B$1=1,INDEX(計算用!$H$3:$H$452,計算用!$U$18),INDEX(振り分け!$D$7:$D$456,計算用!$U$18)))</f>
        <v/>
      </c>
      <c r="E77" s="67">
        <f>IF(計算用!$V$18="","",IF(計算用!$B$1=1,INDEX(計算用!$F$3:$F$452,計算用!$V$18),INDEX(振り分け!$B$7:$B$456,計算用!$V$18)))</f>
        <v/>
      </c>
      <c r="F77" s="68">
        <f>IF(計算用!$V$18="","",IF(計算用!$B$1=1,INDEX(計算用!$H$3:$H$452,計算用!$V$18),INDEX(振り分け!$D$7:$D$456,計算用!$V$18)))</f>
        <v/>
      </c>
      <c r="G77" s="67">
        <f>IF(計算用!$W$18="","",IF(計算用!$B$1=1,INDEX(計算用!$F$3:$F$452,計算用!$W$18),INDEX(振り分け!$B$7:$B$456,計算用!$W$18)))</f>
        <v/>
      </c>
      <c r="H77" s="68">
        <f>IF(計算用!$W$18="","",IF(計算用!$B$1=1,INDEX(計算用!$H$3:$H$452,計算用!$W$18),INDEX(振り分け!$D$7:$D$456,計算用!$W$18)))</f>
        <v/>
      </c>
      <c r="I77" s="67">
        <f>IF(計算用!$X$18="","",IF(計算用!$B$1=1,INDEX(計算用!$F$3:$F$452,計算用!$X$18),INDEX(振り分け!$B$7:$B$456,計算用!$X$18)))</f>
        <v/>
      </c>
      <c r="J77" s="68">
        <f>IF(計算用!$X$18="","",IF(計算用!$B$1=1,INDEX(計算用!$H$3:$H$452,計算用!$X$18),INDEX(振り分け!$D$7:$D$456,計算用!$X$18)))</f>
        <v/>
      </c>
      <c r="K77" s="67">
        <f>IF(計算用!$Y$18="","",IF(計算用!$B$1=1,INDEX(計算用!$F$3:$F$452,計算用!$Y$18),INDEX(振り分け!$B$7:$B$456,計算用!$Y$18)))</f>
        <v/>
      </c>
      <c r="L77" s="68">
        <f>IF(計算用!$Y$18="","",IF(計算用!$B$1=1,INDEX(計算用!$H$3:$H$452,計算用!$Y$18),INDEX(振り分け!$D$7:$D$456,計算用!$Y$18)))</f>
        <v/>
      </c>
      <c r="M77" s="67">
        <f>IF(計算用!$Z$18="","",IF(計算用!$B$1=1,INDEX(計算用!$F$3:$F$452,計算用!$Z$18),INDEX(振り分け!$B$7:$B$456,計算用!$Z$18)))</f>
        <v/>
      </c>
      <c r="N77" s="68">
        <f>IF(計算用!$Z$18="","",IF(計算用!$B$1=1,INDEX(計算用!$H$3:$H$452,計算用!$Z$18),INDEX(振り分け!$D$7:$D$456,計算用!$Z$18)))</f>
        <v/>
      </c>
      <c r="O77" s="67">
        <f>IF(計算用!$AA$18="","",IF(計算用!$B$1=1,INDEX(計算用!$F$3:$F$452,計算用!$AA$18),INDEX(振り分け!$B$7:$B$456,計算用!$AA$18)))</f>
        <v/>
      </c>
      <c r="P77" s="68">
        <f>IF(計算用!$AA$18="","",IF(計算用!$B$1=1,INDEX(計算用!$H$3:$H$452,計算用!$AA$18),INDEX(振り分け!$D$7:$D$456,計算用!$AA$18)))</f>
        <v/>
      </c>
      <c r="Q77" s="67">
        <f>IF(計算用!$AB$18="","",IF(計算用!$B$1=1,INDEX(計算用!$F$3:$F$452,計算用!$AB$18),INDEX(振り分け!$B$7:$B$456,計算用!$AB$18)))</f>
        <v/>
      </c>
      <c r="R77" s="68">
        <f>IF(計算用!$AB$18="","",IF(計算用!$B$1=1,INDEX(計算用!$H$3:$H$452,計算用!$AB$18),INDEX(振り分け!$D$7:$D$456,計算用!$AB$18)))</f>
        <v/>
      </c>
      <c r="S77" s="67">
        <f>IF(計算用!$AC$18="","",IF(計算用!$B$1=1,INDEX(計算用!$F$3:$F$452,計算用!$AC$18),INDEX(振り分け!$B$7:$B$456,計算用!$AC$18)))</f>
        <v/>
      </c>
      <c r="T77" s="68">
        <f>IF(計算用!$AC$18="","",IF(計算用!$B$1=1,INDEX(計算用!$H$3:$H$452,計算用!$AC$18),INDEX(振り分け!$D$7:$D$456,計算用!$AC$18)))</f>
        <v/>
      </c>
    </row>
    <row r="78">
      <c r="A78" s="67">
        <f>IF(計算用!$T$19="","",IF(計算用!$B$1=1,INDEX(計算用!$F$3:$F$452,計算用!$T$19),INDEX(振り分け!$B$7:$B$456,計算用!$T$19)))</f>
        <v/>
      </c>
      <c r="B78" s="68">
        <f>IF(計算用!$T$19="","",IF(計算用!$B$1=1,INDEX(計算用!$H$3:$H$452,計算用!$T$19),INDEX(振り分け!$D$7:$D$456,計算用!$T$19)))</f>
        <v/>
      </c>
      <c r="C78" s="67">
        <f>IF(計算用!$U$19="","",IF(計算用!$B$1=1,INDEX(計算用!$F$3:$F$452,計算用!$U$19),INDEX(振り分け!$B$7:$B$456,計算用!$U$19)))</f>
        <v/>
      </c>
      <c r="D78" s="68">
        <f>IF(計算用!$U$19="","",IF(計算用!$B$1=1,INDEX(計算用!$H$3:$H$452,計算用!$U$19),INDEX(振り分け!$D$7:$D$456,計算用!$U$19)))</f>
        <v/>
      </c>
      <c r="E78" s="67">
        <f>IF(計算用!$V$19="","",IF(計算用!$B$1=1,INDEX(計算用!$F$3:$F$452,計算用!$V$19),INDEX(振り分け!$B$7:$B$456,計算用!$V$19)))</f>
        <v/>
      </c>
      <c r="F78" s="68">
        <f>IF(計算用!$V$19="","",IF(計算用!$B$1=1,INDEX(計算用!$H$3:$H$452,計算用!$V$19),INDEX(振り分け!$D$7:$D$456,計算用!$V$19)))</f>
        <v/>
      </c>
      <c r="G78" s="67">
        <f>IF(計算用!$W$19="","",IF(計算用!$B$1=1,INDEX(計算用!$F$3:$F$452,計算用!$W$19),INDEX(振り分け!$B$7:$B$456,計算用!$W$19)))</f>
        <v/>
      </c>
      <c r="H78" s="68">
        <f>IF(計算用!$W$19="","",IF(計算用!$B$1=1,INDEX(計算用!$H$3:$H$452,計算用!$W$19),INDEX(振り分け!$D$7:$D$456,計算用!$W$19)))</f>
        <v/>
      </c>
      <c r="I78" s="67">
        <f>IF(計算用!$X$19="","",IF(計算用!$B$1=1,INDEX(計算用!$F$3:$F$452,計算用!$X$19),INDEX(振り分け!$B$7:$B$456,計算用!$X$19)))</f>
        <v/>
      </c>
      <c r="J78" s="68">
        <f>IF(計算用!$X$19="","",IF(計算用!$B$1=1,INDEX(計算用!$H$3:$H$452,計算用!$X$19),INDEX(振り分け!$D$7:$D$456,計算用!$X$19)))</f>
        <v/>
      </c>
      <c r="K78" s="67">
        <f>IF(計算用!$Y$19="","",IF(計算用!$B$1=1,INDEX(計算用!$F$3:$F$452,計算用!$Y$19),INDEX(振り分け!$B$7:$B$456,計算用!$Y$19)))</f>
        <v/>
      </c>
      <c r="L78" s="68">
        <f>IF(計算用!$Y$19="","",IF(計算用!$B$1=1,INDEX(計算用!$H$3:$H$452,計算用!$Y$19),INDEX(振り分け!$D$7:$D$456,計算用!$Y$19)))</f>
        <v/>
      </c>
      <c r="M78" s="67">
        <f>IF(計算用!$Z$19="","",IF(計算用!$B$1=1,INDEX(計算用!$F$3:$F$452,計算用!$Z$19),INDEX(振り分け!$B$7:$B$456,計算用!$Z$19)))</f>
        <v/>
      </c>
      <c r="N78" s="68">
        <f>IF(計算用!$Z$19="","",IF(計算用!$B$1=1,INDEX(計算用!$H$3:$H$452,計算用!$Z$19),INDEX(振り分け!$D$7:$D$456,計算用!$Z$19)))</f>
        <v/>
      </c>
      <c r="O78" s="67">
        <f>IF(計算用!$AA$19="","",IF(計算用!$B$1=1,INDEX(計算用!$F$3:$F$452,計算用!$AA$19),INDEX(振り分け!$B$7:$B$456,計算用!$AA$19)))</f>
        <v/>
      </c>
      <c r="P78" s="68">
        <f>IF(計算用!$AA$19="","",IF(計算用!$B$1=1,INDEX(計算用!$H$3:$H$452,計算用!$AA$19),INDEX(振り分け!$D$7:$D$456,計算用!$AA$19)))</f>
        <v/>
      </c>
      <c r="Q78" s="67">
        <f>IF(計算用!$AB$19="","",IF(計算用!$B$1=1,INDEX(計算用!$F$3:$F$452,計算用!$AB$19),INDEX(振り分け!$B$7:$B$456,計算用!$AB$19)))</f>
        <v/>
      </c>
      <c r="R78" s="68">
        <f>IF(計算用!$AB$19="","",IF(計算用!$B$1=1,INDEX(計算用!$H$3:$H$452,計算用!$AB$19),INDEX(振り分け!$D$7:$D$456,計算用!$AB$19)))</f>
        <v/>
      </c>
      <c r="S78" s="67">
        <f>IF(計算用!$AC$19="","",IF(計算用!$B$1=1,INDEX(計算用!$F$3:$F$452,計算用!$AC$19),INDEX(振り分け!$B$7:$B$456,計算用!$AC$19)))</f>
        <v/>
      </c>
      <c r="T78" s="68">
        <f>IF(計算用!$AC$19="","",IF(計算用!$B$1=1,INDEX(計算用!$H$3:$H$452,計算用!$AC$19),INDEX(振り分け!$D$7:$D$456,計算用!$AC$19)))</f>
        <v/>
      </c>
    </row>
    <row r="79">
      <c r="A79" s="67">
        <f>IF(計算用!$T$20="","",IF(計算用!$B$1=1,INDEX(計算用!$F$3:$F$452,計算用!$T$20),INDEX(振り分け!$B$7:$B$456,計算用!$T$20)))</f>
        <v/>
      </c>
      <c r="B79" s="68">
        <f>IF(計算用!$T$20="","",IF(計算用!$B$1=1,INDEX(計算用!$H$3:$H$452,計算用!$T$20),INDEX(振り分け!$D$7:$D$456,計算用!$T$20)))</f>
        <v/>
      </c>
      <c r="C79" s="67">
        <f>IF(計算用!$U$20="","",IF(計算用!$B$1=1,INDEX(計算用!$F$3:$F$452,計算用!$U$20),INDEX(振り分け!$B$7:$B$456,計算用!$U$20)))</f>
        <v/>
      </c>
      <c r="D79" s="68">
        <f>IF(計算用!$U$20="","",IF(計算用!$B$1=1,INDEX(計算用!$H$3:$H$452,計算用!$U$20),INDEX(振り分け!$D$7:$D$456,計算用!$U$20)))</f>
        <v/>
      </c>
      <c r="E79" s="67">
        <f>IF(計算用!$V$20="","",IF(計算用!$B$1=1,INDEX(計算用!$F$3:$F$452,計算用!$V$20),INDEX(振り分け!$B$7:$B$456,計算用!$V$20)))</f>
        <v/>
      </c>
      <c r="F79" s="68">
        <f>IF(計算用!$V$20="","",IF(計算用!$B$1=1,INDEX(計算用!$H$3:$H$452,計算用!$V$20),INDEX(振り分け!$D$7:$D$456,計算用!$V$20)))</f>
        <v/>
      </c>
      <c r="G79" s="67">
        <f>IF(計算用!$W$20="","",IF(計算用!$B$1=1,INDEX(計算用!$F$3:$F$452,計算用!$W$20),INDEX(振り分け!$B$7:$B$456,計算用!$W$20)))</f>
        <v/>
      </c>
      <c r="H79" s="68">
        <f>IF(計算用!$W$20="","",IF(計算用!$B$1=1,INDEX(計算用!$H$3:$H$452,計算用!$W$20),INDEX(振り分け!$D$7:$D$456,計算用!$W$20)))</f>
        <v/>
      </c>
      <c r="I79" s="67">
        <f>IF(計算用!$X$20="","",IF(計算用!$B$1=1,INDEX(計算用!$F$3:$F$452,計算用!$X$20),INDEX(振り分け!$B$7:$B$456,計算用!$X$20)))</f>
        <v/>
      </c>
      <c r="J79" s="68">
        <f>IF(計算用!$X$20="","",IF(計算用!$B$1=1,INDEX(計算用!$H$3:$H$452,計算用!$X$20),INDEX(振り分け!$D$7:$D$456,計算用!$X$20)))</f>
        <v/>
      </c>
      <c r="K79" s="67">
        <f>IF(計算用!$Y$20="","",IF(計算用!$B$1=1,INDEX(計算用!$F$3:$F$452,計算用!$Y$20),INDEX(振り分け!$B$7:$B$456,計算用!$Y$20)))</f>
        <v/>
      </c>
      <c r="L79" s="68">
        <f>IF(計算用!$Y$20="","",IF(計算用!$B$1=1,INDEX(計算用!$H$3:$H$452,計算用!$Y$20),INDEX(振り分け!$D$7:$D$456,計算用!$Y$20)))</f>
        <v/>
      </c>
      <c r="M79" s="67">
        <f>IF(計算用!$Z$20="","",IF(計算用!$B$1=1,INDEX(計算用!$F$3:$F$452,計算用!$Z$20),INDEX(振り分け!$B$7:$B$456,計算用!$Z$20)))</f>
        <v/>
      </c>
      <c r="N79" s="68">
        <f>IF(計算用!$Z$20="","",IF(計算用!$B$1=1,INDEX(計算用!$H$3:$H$452,計算用!$Z$20),INDEX(振り分け!$D$7:$D$456,計算用!$Z$20)))</f>
        <v/>
      </c>
      <c r="O79" s="67">
        <f>IF(計算用!$AA$20="","",IF(計算用!$B$1=1,INDEX(計算用!$F$3:$F$452,計算用!$AA$20),INDEX(振り分け!$B$7:$B$456,計算用!$AA$20)))</f>
        <v/>
      </c>
      <c r="P79" s="68">
        <f>IF(計算用!$AA$20="","",IF(計算用!$B$1=1,INDEX(計算用!$H$3:$H$452,計算用!$AA$20),INDEX(振り分け!$D$7:$D$456,計算用!$AA$20)))</f>
        <v/>
      </c>
      <c r="Q79" s="67">
        <f>IF(計算用!$AB$20="","",IF(計算用!$B$1=1,INDEX(計算用!$F$3:$F$452,計算用!$AB$20),INDEX(振り分け!$B$7:$B$456,計算用!$AB$20)))</f>
        <v/>
      </c>
      <c r="R79" s="68">
        <f>IF(計算用!$AB$20="","",IF(計算用!$B$1=1,INDEX(計算用!$H$3:$H$452,計算用!$AB$20),INDEX(振り分け!$D$7:$D$456,計算用!$AB$20)))</f>
        <v/>
      </c>
      <c r="S79" s="67">
        <f>IF(計算用!$AC$20="","",IF(計算用!$B$1=1,INDEX(計算用!$F$3:$F$452,計算用!$AC$20),INDEX(振り分け!$B$7:$B$456,計算用!$AC$20)))</f>
        <v/>
      </c>
      <c r="T79" s="68">
        <f>IF(計算用!$AC$20="","",IF(計算用!$B$1=1,INDEX(計算用!$H$3:$H$452,計算用!$AC$20),INDEX(振り分け!$D$7:$D$456,計算用!$AC$20)))</f>
        <v/>
      </c>
    </row>
    <row r="80">
      <c r="A80" s="67">
        <f>IF(計算用!$T$21="","",IF(計算用!$B$1=1,INDEX(計算用!$F$3:$F$452,計算用!$T$21),INDEX(振り分け!$B$7:$B$456,計算用!$T$21)))</f>
        <v/>
      </c>
      <c r="B80" s="68">
        <f>IF(計算用!$T$21="","",IF(計算用!$B$1=1,INDEX(計算用!$H$3:$H$452,計算用!$T$21),INDEX(振り分け!$D$7:$D$456,計算用!$T$21)))</f>
        <v/>
      </c>
      <c r="C80" s="67">
        <f>IF(計算用!$U$21="","",IF(計算用!$B$1=1,INDEX(計算用!$F$3:$F$452,計算用!$U$21),INDEX(振り分け!$B$7:$B$456,計算用!$U$21)))</f>
        <v/>
      </c>
      <c r="D80" s="68">
        <f>IF(計算用!$U$21="","",IF(計算用!$B$1=1,INDEX(計算用!$H$3:$H$452,計算用!$U$21),INDEX(振り分け!$D$7:$D$456,計算用!$U$21)))</f>
        <v/>
      </c>
      <c r="E80" s="67">
        <f>IF(計算用!$V$21="","",IF(計算用!$B$1=1,INDEX(計算用!$F$3:$F$452,計算用!$V$21),INDEX(振り分け!$B$7:$B$456,計算用!$V$21)))</f>
        <v/>
      </c>
      <c r="F80" s="68">
        <f>IF(計算用!$V$21="","",IF(計算用!$B$1=1,INDEX(計算用!$H$3:$H$452,計算用!$V$21),INDEX(振り分け!$D$7:$D$456,計算用!$V$21)))</f>
        <v/>
      </c>
      <c r="G80" s="67">
        <f>IF(計算用!$W$21="","",IF(計算用!$B$1=1,INDEX(計算用!$F$3:$F$452,計算用!$W$21),INDEX(振り分け!$B$7:$B$456,計算用!$W$21)))</f>
        <v/>
      </c>
      <c r="H80" s="68">
        <f>IF(計算用!$W$21="","",IF(計算用!$B$1=1,INDEX(計算用!$H$3:$H$452,計算用!$W$21),INDEX(振り分け!$D$7:$D$456,計算用!$W$21)))</f>
        <v/>
      </c>
      <c r="I80" s="67">
        <f>IF(計算用!$X$21="","",IF(計算用!$B$1=1,INDEX(計算用!$F$3:$F$452,計算用!$X$21),INDEX(振り分け!$B$7:$B$456,計算用!$X$21)))</f>
        <v/>
      </c>
      <c r="J80" s="68">
        <f>IF(計算用!$X$21="","",IF(計算用!$B$1=1,INDEX(計算用!$H$3:$H$452,計算用!$X$21),INDEX(振り分け!$D$7:$D$456,計算用!$X$21)))</f>
        <v/>
      </c>
      <c r="K80" s="67">
        <f>IF(計算用!$Y$21="","",IF(計算用!$B$1=1,INDEX(計算用!$F$3:$F$452,計算用!$Y$21),INDEX(振り分け!$B$7:$B$456,計算用!$Y$21)))</f>
        <v/>
      </c>
      <c r="L80" s="68">
        <f>IF(計算用!$Y$21="","",IF(計算用!$B$1=1,INDEX(計算用!$H$3:$H$452,計算用!$Y$21),INDEX(振り分け!$D$7:$D$456,計算用!$Y$21)))</f>
        <v/>
      </c>
      <c r="M80" s="67">
        <f>IF(計算用!$Z$21="","",IF(計算用!$B$1=1,INDEX(計算用!$F$3:$F$452,計算用!$Z$21),INDEX(振り分け!$B$7:$B$456,計算用!$Z$21)))</f>
        <v/>
      </c>
      <c r="N80" s="68">
        <f>IF(計算用!$Z$21="","",IF(計算用!$B$1=1,INDEX(計算用!$H$3:$H$452,計算用!$Z$21),INDEX(振り分け!$D$7:$D$456,計算用!$Z$21)))</f>
        <v/>
      </c>
      <c r="O80" s="67">
        <f>IF(計算用!$AA$21="","",IF(計算用!$B$1=1,INDEX(計算用!$F$3:$F$452,計算用!$AA$21),INDEX(振り分け!$B$7:$B$456,計算用!$AA$21)))</f>
        <v/>
      </c>
      <c r="P80" s="68">
        <f>IF(計算用!$AA$21="","",IF(計算用!$B$1=1,INDEX(計算用!$H$3:$H$452,計算用!$AA$21),INDEX(振り分け!$D$7:$D$456,計算用!$AA$21)))</f>
        <v/>
      </c>
      <c r="Q80" s="67">
        <f>IF(計算用!$AB$21="","",IF(計算用!$B$1=1,INDEX(計算用!$F$3:$F$452,計算用!$AB$21),INDEX(振り分け!$B$7:$B$456,計算用!$AB$21)))</f>
        <v/>
      </c>
      <c r="R80" s="68">
        <f>IF(計算用!$AB$21="","",IF(計算用!$B$1=1,INDEX(計算用!$H$3:$H$452,計算用!$AB$21),INDEX(振り分け!$D$7:$D$456,計算用!$AB$21)))</f>
        <v/>
      </c>
      <c r="S80" s="67">
        <f>IF(計算用!$AC$21="","",IF(計算用!$B$1=1,INDEX(計算用!$F$3:$F$452,計算用!$AC$21),INDEX(振り分け!$B$7:$B$456,計算用!$AC$21)))</f>
        <v/>
      </c>
      <c r="T80" s="68">
        <f>IF(計算用!$AC$21="","",IF(計算用!$B$1=1,INDEX(計算用!$H$3:$H$452,計算用!$AC$21),INDEX(振り分け!$D$7:$D$456,計算用!$AC$21)))</f>
        <v/>
      </c>
    </row>
    <row r="81">
      <c r="A81" s="67">
        <f>IF(計算用!$T$22="","",IF(計算用!$B$1=1,INDEX(計算用!$F$3:$F$452,計算用!$T$22),INDEX(振り分け!$B$7:$B$456,計算用!$T$22)))</f>
        <v/>
      </c>
      <c r="B81" s="68">
        <f>IF(計算用!$T$22="","",IF(計算用!$B$1=1,INDEX(計算用!$H$3:$H$452,計算用!$T$22),INDEX(振り分け!$D$7:$D$456,計算用!$T$22)))</f>
        <v/>
      </c>
      <c r="C81" s="67">
        <f>IF(計算用!$U$22="","",IF(計算用!$B$1=1,INDEX(計算用!$F$3:$F$452,計算用!$U$22),INDEX(振り分け!$B$7:$B$456,計算用!$U$22)))</f>
        <v/>
      </c>
      <c r="D81" s="68">
        <f>IF(計算用!$U$22="","",IF(計算用!$B$1=1,INDEX(計算用!$H$3:$H$452,計算用!$U$22),INDEX(振り分け!$D$7:$D$456,計算用!$U$22)))</f>
        <v/>
      </c>
      <c r="E81" s="67">
        <f>IF(計算用!$V$22="","",IF(計算用!$B$1=1,INDEX(計算用!$F$3:$F$452,計算用!$V$22),INDEX(振り分け!$B$7:$B$456,計算用!$V$22)))</f>
        <v/>
      </c>
      <c r="F81" s="68">
        <f>IF(計算用!$V$22="","",IF(計算用!$B$1=1,INDEX(計算用!$H$3:$H$452,計算用!$V$22),INDEX(振り分け!$D$7:$D$456,計算用!$V$22)))</f>
        <v/>
      </c>
      <c r="G81" s="67">
        <f>IF(計算用!$W$22="","",IF(計算用!$B$1=1,INDEX(計算用!$F$3:$F$452,計算用!$W$22),INDEX(振り分け!$B$7:$B$456,計算用!$W$22)))</f>
        <v/>
      </c>
      <c r="H81" s="68">
        <f>IF(計算用!$W$22="","",IF(計算用!$B$1=1,INDEX(計算用!$H$3:$H$452,計算用!$W$22),INDEX(振り分け!$D$7:$D$456,計算用!$W$22)))</f>
        <v/>
      </c>
      <c r="I81" s="67">
        <f>IF(計算用!$X$22="","",IF(計算用!$B$1=1,INDEX(計算用!$F$3:$F$452,計算用!$X$22),INDEX(振り分け!$B$7:$B$456,計算用!$X$22)))</f>
        <v/>
      </c>
      <c r="J81" s="68">
        <f>IF(計算用!$X$22="","",IF(計算用!$B$1=1,INDEX(計算用!$H$3:$H$452,計算用!$X$22),INDEX(振り分け!$D$7:$D$456,計算用!$X$22)))</f>
        <v/>
      </c>
      <c r="K81" s="67">
        <f>IF(計算用!$Y$22="","",IF(計算用!$B$1=1,INDEX(計算用!$F$3:$F$452,計算用!$Y$22),INDEX(振り分け!$B$7:$B$456,計算用!$Y$22)))</f>
        <v/>
      </c>
      <c r="L81" s="68">
        <f>IF(計算用!$Y$22="","",IF(計算用!$B$1=1,INDEX(計算用!$H$3:$H$452,計算用!$Y$22),INDEX(振り分け!$D$7:$D$456,計算用!$Y$22)))</f>
        <v/>
      </c>
      <c r="M81" s="67">
        <f>IF(計算用!$Z$22="","",IF(計算用!$B$1=1,INDEX(計算用!$F$3:$F$452,計算用!$Z$22),INDEX(振り分け!$B$7:$B$456,計算用!$Z$22)))</f>
        <v/>
      </c>
      <c r="N81" s="68">
        <f>IF(計算用!$Z$22="","",IF(計算用!$B$1=1,INDEX(計算用!$H$3:$H$452,計算用!$Z$22),INDEX(振り分け!$D$7:$D$456,計算用!$Z$22)))</f>
        <v/>
      </c>
      <c r="O81" s="67">
        <f>IF(計算用!$AA$22="","",IF(計算用!$B$1=1,INDEX(計算用!$F$3:$F$452,計算用!$AA$22),INDEX(振り分け!$B$7:$B$456,計算用!$AA$22)))</f>
        <v/>
      </c>
      <c r="P81" s="68">
        <f>IF(計算用!$AA$22="","",IF(計算用!$B$1=1,INDEX(計算用!$H$3:$H$452,計算用!$AA$22),INDEX(振り分け!$D$7:$D$456,計算用!$AA$22)))</f>
        <v/>
      </c>
      <c r="Q81" s="67">
        <f>IF(計算用!$AB$22="","",IF(計算用!$B$1=1,INDEX(計算用!$F$3:$F$452,計算用!$AB$22),INDEX(振り分け!$B$7:$B$456,計算用!$AB$22)))</f>
        <v/>
      </c>
      <c r="R81" s="68">
        <f>IF(計算用!$AB$22="","",IF(計算用!$B$1=1,INDEX(計算用!$H$3:$H$452,計算用!$AB$22),INDEX(振り分け!$D$7:$D$456,計算用!$AB$22)))</f>
        <v/>
      </c>
      <c r="S81" s="67">
        <f>IF(計算用!$AC$22="","",IF(計算用!$B$1=1,INDEX(計算用!$F$3:$F$452,計算用!$AC$22),INDEX(振り分け!$B$7:$B$456,計算用!$AC$22)))</f>
        <v/>
      </c>
      <c r="T81" s="68">
        <f>IF(計算用!$AC$22="","",IF(計算用!$B$1=1,INDEX(計算用!$H$3:$H$452,計算用!$AC$22),INDEX(振り分け!$D$7:$D$456,計算用!$AC$22)))</f>
        <v/>
      </c>
    </row>
    <row r="82">
      <c r="A82" s="67">
        <f>IF(計算用!$T$23="","",IF(計算用!$B$1=1,INDEX(計算用!$F$3:$F$452,計算用!$T$23),INDEX(振り分け!$B$7:$B$456,計算用!$T$23)))</f>
        <v/>
      </c>
      <c r="B82" s="68">
        <f>IF(計算用!$T$23="","",IF(計算用!$B$1=1,INDEX(計算用!$H$3:$H$452,計算用!$T$23),INDEX(振り分け!$D$7:$D$456,計算用!$T$23)))</f>
        <v/>
      </c>
      <c r="C82" s="67">
        <f>IF(計算用!$U$23="","",IF(計算用!$B$1=1,INDEX(計算用!$F$3:$F$452,計算用!$U$23),INDEX(振り分け!$B$7:$B$456,計算用!$U$23)))</f>
        <v/>
      </c>
      <c r="D82" s="68">
        <f>IF(計算用!$U$23="","",IF(計算用!$B$1=1,INDEX(計算用!$H$3:$H$452,計算用!$U$23),INDEX(振り分け!$D$7:$D$456,計算用!$U$23)))</f>
        <v/>
      </c>
      <c r="E82" s="67">
        <f>IF(計算用!$V$23="","",IF(計算用!$B$1=1,INDEX(計算用!$F$3:$F$452,計算用!$V$23),INDEX(振り分け!$B$7:$B$456,計算用!$V$23)))</f>
        <v/>
      </c>
      <c r="F82" s="68">
        <f>IF(計算用!$V$23="","",IF(計算用!$B$1=1,INDEX(計算用!$H$3:$H$452,計算用!$V$23),INDEX(振り分け!$D$7:$D$456,計算用!$V$23)))</f>
        <v/>
      </c>
      <c r="G82" s="67">
        <f>IF(計算用!$W$23="","",IF(計算用!$B$1=1,INDEX(計算用!$F$3:$F$452,計算用!$W$23),INDEX(振り分け!$B$7:$B$456,計算用!$W$23)))</f>
        <v/>
      </c>
      <c r="H82" s="68">
        <f>IF(計算用!$W$23="","",IF(計算用!$B$1=1,INDEX(計算用!$H$3:$H$452,計算用!$W$23),INDEX(振り分け!$D$7:$D$456,計算用!$W$23)))</f>
        <v/>
      </c>
      <c r="I82" s="67">
        <f>IF(計算用!$X$23="","",IF(計算用!$B$1=1,INDEX(計算用!$F$3:$F$452,計算用!$X$23),INDEX(振り分け!$B$7:$B$456,計算用!$X$23)))</f>
        <v/>
      </c>
      <c r="J82" s="68">
        <f>IF(計算用!$X$23="","",IF(計算用!$B$1=1,INDEX(計算用!$H$3:$H$452,計算用!$X$23),INDEX(振り分け!$D$7:$D$456,計算用!$X$23)))</f>
        <v/>
      </c>
      <c r="K82" s="67">
        <f>IF(計算用!$Y$23="","",IF(計算用!$B$1=1,INDEX(計算用!$F$3:$F$452,計算用!$Y$23),INDEX(振り分け!$B$7:$B$456,計算用!$Y$23)))</f>
        <v/>
      </c>
      <c r="L82" s="68">
        <f>IF(計算用!$Y$23="","",IF(計算用!$B$1=1,INDEX(計算用!$H$3:$H$452,計算用!$Y$23),INDEX(振り分け!$D$7:$D$456,計算用!$Y$23)))</f>
        <v/>
      </c>
      <c r="M82" s="67">
        <f>IF(計算用!$Z$23="","",IF(計算用!$B$1=1,INDEX(計算用!$F$3:$F$452,計算用!$Z$23),INDEX(振り分け!$B$7:$B$456,計算用!$Z$23)))</f>
        <v/>
      </c>
      <c r="N82" s="68">
        <f>IF(計算用!$Z$23="","",IF(計算用!$B$1=1,INDEX(計算用!$H$3:$H$452,計算用!$Z$23),INDEX(振り分け!$D$7:$D$456,計算用!$Z$23)))</f>
        <v/>
      </c>
      <c r="O82" s="67">
        <f>IF(計算用!$AA$23="","",IF(計算用!$B$1=1,INDEX(計算用!$F$3:$F$452,計算用!$AA$23),INDEX(振り分け!$B$7:$B$456,計算用!$AA$23)))</f>
        <v/>
      </c>
      <c r="P82" s="68">
        <f>IF(計算用!$AA$23="","",IF(計算用!$B$1=1,INDEX(計算用!$H$3:$H$452,計算用!$AA$23),INDEX(振り分け!$D$7:$D$456,計算用!$AA$23)))</f>
        <v/>
      </c>
      <c r="Q82" s="67">
        <f>IF(計算用!$AB$23="","",IF(計算用!$B$1=1,INDEX(計算用!$F$3:$F$452,計算用!$AB$23),INDEX(振り分け!$B$7:$B$456,計算用!$AB$23)))</f>
        <v/>
      </c>
      <c r="R82" s="68">
        <f>IF(計算用!$AB$23="","",IF(計算用!$B$1=1,INDEX(計算用!$H$3:$H$452,計算用!$AB$23),INDEX(振り分け!$D$7:$D$456,計算用!$AB$23)))</f>
        <v/>
      </c>
      <c r="S82" s="67">
        <f>IF(計算用!$AC$23="","",IF(計算用!$B$1=1,INDEX(計算用!$F$3:$F$452,計算用!$AC$23),INDEX(振り分け!$B$7:$B$456,計算用!$AC$23)))</f>
        <v/>
      </c>
      <c r="T82" s="68">
        <f>IF(計算用!$AC$23="","",IF(計算用!$B$1=1,INDEX(計算用!$H$3:$H$452,計算用!$AC$23),INDEX(振り分け!$D$7:$D$456,計算用!$AC$23)))</f>
        <v/>
      </c>
    </row>
    <row r="83">
      <c r="A83" s="67">
        <f>IF(計算用!$T$24="","",IF(計算用!$B$1=1,INDEX(計算用!$F$3:$F$452,計算用!$T$24),INDEX(振り分け!$B$7:$B$456,計算用!$T$24)))</f>
        <v/>
      </c>
      <c r="B83" s="68">
        <f>IF(計算用!$T$24="","",IF(計算用!$B$1=1,INDEX(計算用!$H$3:$H$452,計算用!$T$24),INDEX(振り分け!$D$7:$D$456,計算用!$T$24)))</f>
        <v/>
      </c>
      <c r="C83" s="67">
        <f>IF(計算用!$U$24="","",IF(計算用!$B$1=1,INDEX(計算用!$F$3:$F$452,計算用!$U$24),INDEX(振り分け!$B$7:$B$456,計算用!$U$24)))</f>
        <v/>
      </c>
      <c r="D83" s="68">
        <f>IF(計算用!$U$24="","",IF(計算用!$B$1=1,INDEX(計算用!$H$3:$H$452,計算用!$U$24),INDEX(振り分け!$D$7:$D$456,計算用!$U$24)))</f>
        <v/>
      </c>
      <c r="E83" s="67">
        <f>IF(計算用!$V$24="","",IF(計算用!$B$1=1,INDEX(計算用!$F$3:$F$452,計算用!$V$24),INDEX(振り分け!$B$7:$B$456,計算用!$V$24)))</f>
        <v/>
      </c>
      <c r="F83" s="68">
        <f>IF(計算用!$V$24="","",IF(計算用!$B$1=1,INDEX(計算用!$H$3:$H$452,計算用!$V$24),INDEX(振り分け!$D$7:$D$456,計算用!$V$24)))</f>
        <v/>
      </c>
      <c r="G83" s="67">
        <f>IF(計算用!$W$24="","",IF(計算用!$B$1=1,INDEX(計算用!$F$3:$F$452,計算用!$W$24),INDEX(振り分け!$B$7:$B$456,計算用!$W$24)))</f>
        <v/>
      </c>
      <c r="H83" s="68">
        <f>IF(計算用!$W$24="","",IF(計算用!$B$1=1,INDEX(計算用!$H$3:$H$452,計算用!$W$24),INDEX(振り分け!$D$7:$D$456,計算用!$W$24)))</f>
        <v/>
      </c>
      <c r="I83" s="67">
        <f>IF(計算用!$X$24="","",IF(計算用!$B$1=1,INDEX(計算用!$F$3:$F$452,計算用!$X$24),INDEX(振り分け!$B$7:$B$456,計算用!$X$24)))</f>
        <v/>
      </c>
      <c r="J83" s="68">
        <f>IF(計算用!$X$24="","",IF(計算用!$B$1=1,INDEX(計算用!$H$3:$H$452,計算用!$X$24),INDEX(振り分け!$D$7:$D$456,計算用!$X$24)))</f>
        <v/>
      </c>
      <c r="K83" s="67">
        <f>IF(計算用!$Y$24="","",IF(計算用!$B$1=1,INDEX(計算用!$F$3:$F$452,計算用!$Y$24),INDEX(振り分け!$B$7:$B$456,計算用!$Y$24)))</f>
        <v/>
      </c>
      <c r="L83" s="68">
        <f>IF(計算用!$Y$24="","",IF(計算用!$B$1=1,INDEX(計算用!$H$3:$H$452,計算用!$Y$24),INDEX(振り分け!$D$7:$D$456,計算用!$Y$24)))</f>
        <v/>
      </c>
      <c r="M83" s="67">
        <f>IF(計算用!$Z$24="","",IF(計算用!$B$1=1,INDEX(計算用!$F$3:$F$452,計算用!$Z$24),INDEX(振り分け!$B$7:$B$456,計算用!$Z$24)))</f>
        <v/>
      </c>
      <c r="N83" s="68">
        <f>IF(計算用!$Z$24="","",IF(計算用!$B$1=1,INDEX(計算用!$H$3:$H$452,計算用!$Z$24),INDEX(振り分け!$D$7:$D$456,計算用!$Z$24)))</f>
        <v/>
      </c>
      <c r="O83" s="67">
        <f>IF(計算用!$AA$24="","",IF(計算用!$B$1=1,INDEX(計算用!$F$3:$F$452,計算用!$AA$24),INDEX(振り分け!$B$7:$B$456,計算用!$AA$24)))</f>
        <v/>
      </c>
      <c r="P83" s="68">
        <f>IF(計算用!$AA$24="","",IF(計算用!$B$1=1,INDEX(計算用!$H$3:$H$452,計算用!$AA$24),INDEX(振り分け!$D$7:$D$456,計算用!$AA$24)))</f>
        <v/>
      </c>
      <c r="Q83" s="67">
        <f>IF(計算用!$AB$24="","",IF(計算用!$B$1=1,INDEX(計算用!$F$3:$F$452,計算用!$AB$24),INDEX(振り分け!$B$7:$B$456,計算用!$AB$24)))</f>
        <v/>
      </c>
      <c r="R83" s="68">
        <f>IF(計算用!$AB$24="","",IF(計算用!$B$1=1,INDEX(計算用!$H$3:$H$452,計算用!$AB$24),INDEX(振り分け!$D$7:$D$456,計算用!$AB$24)))</f>
        <v/>
      </c>
      <c r="S83" s="67">
        <f>IF(計算用!$AC$24="","",IF(計算用!$B$1=1,INDEX(計算用!$F$3:$F$452,計算用!$AC$24),INDEX(振り分け!$B$7:$B$456,計算用!$AC$24)))</f>
        <v/>
      </c>
      <c r="T83" s="68">
        <f>IF(計算用!$AC$24="","",IF(計算用!$B$1=1,INDEX(計算用!$H$3:$H$452,計算用!$AC$24),INDEX(振り分け!$D$7:$D$456,計算用!$AC$24)))</f>
        <v/>
      </c>
    </row>
    <row r="84">
      <c r="A84" s="67">
        <f>IF(計算用!$T$25="","",IF(計算用!$B$1=1,INDEX(計算用!$F$3:$F$452,計算用!$T$25),INDEX(振り分け!$B$7:$B$456,計算用!$T$25)))</f>
        <v/>
      </c>
      <c r="B84" s="68">
        <f>IF(計算用!$T$25="","",IF(計算用!$B$1=1,INDEX(計算用!$H$3:$H$452,計算用!$T$25),INDEX(振り分け!$D$7:$D$456,計算用!$T$25)))</f>
        <v/>
      </c>
      <c r="C84" s="67">
        <f>IF(計算用!$U$25="","",IF(計算用!$B$1=1,INDEX(計算用!$F$3:$F$452,計算用!$U$25),INDEX(振り分け!$B$7:$B$456,計算用!$U$25)))</f>
        <v/>
      </c>
      <c r="D84" s="68">
        <f>IF(計算用!$U$25="","",IF(計算用!$B$1=1,INDEX(計算用!$H$3:$H$452,計算用!$U$25),INDEX(振り分け!$D$7:$D$456,計算用!$U$25)))</f>
        <v/>
      </c>
      <c r="E84" s="67">
        <f>IF(計算用!$V$25="","",IF(計算用!$B$1=1,INDEX(計算用!$F$3:$F$452,計算用!$V$25),INDEX(振り分け!$B$7:$B$456,計算用!$V$25)))</f>
        <v/>
      </c>
      <c r="F84" s="68">
        <f>IF(計算用!$V$25="","",IF(計算用!$B$1=1,INDEX(計算用!$H$3:$H$452,計算用!$V$25),INDEX(振り分け!$D$7:$D$456,計算用!$V$25)))</f>
        <v/>
      </c>
      <c r="G84" s="67">
        <f>IF(計算用!$W$25="","",IF(計算用!$B$1=1,INDEX(計算用!$F$3:$F$452,計算用!$W$25),INDEX(振り分け!$B$7:$B$456,計算用!$W$25)))</f>
        <v/>
      </c>
      <c r="H84" s="68">
        <f>IF(計算用!$W$25="","",IF(計算用!$B$1=1,INDEX(計算用!$H$3:$H$452,計算用!$W$25),INDEX(振り分け!$D$7:$D$456,計算用!$W$25)))</f>
        <v/>
      </c>
      <c r="I84" s="67">
        <f>IF(計算用!$X$25="","",IF(計算用!$B$1=1,INDEX(計算用!$F$3:$F$452,計算用!$X$25),INDEX(振り分け!$B$7:$B$456,計算用!$X$25)))</f>
        <v/>
      </c>
      <c r="J84" s="68">
        <f>IF(計算用!$X$25="","",IF(計算用!$B$1=1,INDEX(計算用!$H$3:$H$452,計算用!$X$25),INDEX(振り分け!$D$7:$D$456,計算用!$X$25)))</f>
        <v/>
      </c>
      <c r="K84" s="67">
        <f>IF(計算用!$Y$25="","",IF(計算用!$B$1=1,INDEX(計算用!$F$3:$F$452,計算用!$Y$25),INDEX(振り分け!$B$7:$B$456,計算用!$Y$25)))</f>
        <v/>
      </c>
      <c r="L84" s="68">
        <f>IF(計算用!$Y$25="","",IF(計算用!$B$1=1,INDEX(計算用!$H$3:$H$452,計算用!$Y$25),INDEX(振り分け!$D$7:$D$456,計算用!$Y$25)))</f>
        <v/>
      </c>
      <c r="M84" s="67">
        <f>IF(計算用!$Z$25="","",IF(計算用!$B$1=1,INDEX(計算用!$F$3:$F$452,計算用!$Z$25),INDEX(振り分け!$B$7:$B$456,計算用!$Z$25)))</f>
        <v/>
      </c>
      <c r="N84" s="68">
        <f>IF(計算用!$Z$25="","",IF(計算用!$B$1=1,INDEX(計算用!$H$3:$H$452,計算用!$Z$25),INDEX(振り分け!$D$7:$D$456,計算用!$Z$25)))</f>
        <v/>
      </c>
      <c r="O84" s="67">
        <f>IF(計算用!$AA$25="","",IF(計算用!$B$1=1,INDEX(計算用!$F$3:$F$452,計算用!$AA$25),INDEX(振り分け!$B$7:$B$456,計算用!$AA$25)))</f>
        <v/>
      </c>
      <c r="P84" s="68">
        <f>IF(計算用!$AA$25="","",IF(計算用!$B$1=1,INDEX(計算用!$H$3:$H$452,計算用!$AA$25),INDEX(振り分け!$D$7:$D$456,計算用!$AA$25)))</f>
        <v/>
      </c>
      <c r="Q84" s="67">
        <f>IF(計算用!$AB$25="","",IF(計算用!$B$1=1,INDEX(計算用!$F$3:$F$452,計算用!$AB$25),INDEX(振り分け!$B$7:$B$456,計算用!$AB$25)))</f>
        <v/>
      </c>
      <c r="R84" s="68">
        <f>IF(計算用!$AB$25="","",IF(計算用!$B$1=1,INDEX(計算用!$H$3:$H$452,計算用!$AB$25),INDEX(振り分け!$D$7:$D$456,計算用!$AB$25)))</f>
        <v/>
      </c>
      <c r="S84" s="67">
        <f>IF(計算用!$AC$25="","",IF(計算用!$B$1=1,INDEX(計算用!$F$3:$F$452,計算用!$AC$25),INDEX(振り分け!$B$7:$B$456,計算用!$AC$25)))</f>
        <v/>
      </c>
      <c r="T84" s="68">
        <f>IF(計算用!$AC$25="","",IF(計算用!$B$1=1,INDEX(計算用!$H$3:$H$452,計算用!$AC$25),INDEX(振り分け!$D$7:$D$456,計算用!$AC$25)))</f>
        <v/>
      </c>
    </row>
    <row r="85">
      <c r="A85" s="67">
        <f>IF(計算用!$T$26="","",IF(計算用!$B$1=1,INDEX(計算用!$F$3:$F$452,計算用!$T$26),INDEX(振り分け!$B$7:$B$456,計算用!$T$26)))</f>
        <v/>
      </c>
      <c r="B85" s="68">
        <f>IF(計算用!$T$26="","",IF(計算用!$B$1=1,INDEX(計算用!$H$3:$H$452,計算用!$T$26),INDEX(振り分け!$D$7:$D$456,計算用!$T$26)))</f>
        <v/>
      </c>
      <c r="C85" s="67">
        <f>IF(計算用!$U$26="","",IF(計算用!$B$1=1,INDEX(計算用!$F$3:$F$452,計算用!$U$26),INDEX(振り分け!$B$7:$B$456,計算用!$U$26)))</f>
        <v/>
      </c>
      <c r="D85" s="68">
        <f>IF(計算用!$U$26="","",IF(計算用!$B$1=1,INDEX(計算用!$H$3:$H$452,計算用!$U$26),INDEX(振り分け!$D$7:$D$456,計算用!$U$26)))</f>
        <v/>
      </c>
      <c r="E85" s="67">
        <f>IF(計算用!$V$26="","",IF(計算用!$B$1=1,INDEX(計算用!$F$3:$F$452,計算用!$V$26),INDEX(振り分け!$B$7:$B$456,計算用!$V$26)))</f>
        <v/>
      </c>
      <c r="F85" s="68">
        <f>IF(計算用!$V$26="","",IF(計算用!$B$1=1,INDEX(計算用!$H$3:$H$452,計算用!$V$26),INDEX(振り分け!$D$7:$D$456,計算用!$V$26)))</f>
        <v/>
      </c>
      <c r="G85" s="67">
        <f>IF(計算用!$W$26="","",IF(計算用!$B$1=1,INDEX(計算用!$F$3:$F$452,計算用!$W$26),INDEX(振り分け!$B$7:$B$456,計算用!$W$26)))</f>
        <v/>
      </c>
      <c r="H85" s="68">
        <f>IF(計算用!$W$26="","",IF(計算用!$B$1=1,INDEX(計算用!$H$3:$H$452,計算用!$W$26),INDEX(振り分け!$D$7:$D$456,計算用!$W$26)))</f>
        <v/>
      </c>
      <c r="I85" s="67">
        <f>IF(計算用!$X$26="","",IF(計算用!$B$1=1,INDEX(計算用!$F$3:$F$452,計算用!$X$26),INDEX(振り分け!$B$7:$B$456,計算用!$X$26)))</f>
        <v/>
      </c>
      <c r="J85" s="68">
        <f>IF(計算用!$X$26="","",IF(計算用!$B$1=1,INDEX(計算用!$H$3:$H$452,計算用!$X$26),INDEX(振り分け!$D$7:$D$456,計算用!$X$26)))</f>
        <v/>
      </c>
      <c r="K85" s="67">
        <f>IF(計算用!$Y$26="","",IF(計算用!$B$1=1,INDEX(計算用!$F$3:$F$452,計算用!$Y$26),INDEX(振り分け!$B$7:$B$456,計算用!$Y$26)))</f>
        <v/>
      </c>
      <c r="L85" s="68">
        <f>IF(計算用!$Y$26="","",IF(計算用!$B$1=1,INDEX(計算用!$H$3:$H$452,計算用!$Y$26),INDEX(振り分け!$D$7:$D$456,計算用!$Y$26)))</f>
        <v/>
      </c>
      <c r="M85" s="67">
        <f>IF(計算用!$Z$26="","",IF(計算用!$B$1=1,INDEX(計算用!$F$3:$F$452,計算用!$Z$26),INDEX(振り分け!$B$7:$B$456,計算用!$Z$26)))</f>
        <v/>
      </c>
      <c r="N85" s="68">
        <f>IF(計算用!$Z$26="","",IF(計算用!$B$1=1,INDEX(計算用!$H$3:$H$452,計算用!$Z$26),INDEX(振り分け!$D$7:$D$456,計算用!$Z$26)))</f>
        <v/>
      </c>
      <c r="O85" s="67">
        <f>IF(計算用!$AA$26="","",IF(計算用!$B$1=1,INDEX(計算用!$F$3:$F$452,計算用!$AA$26),INDEX(振り分け!$B$7:$B$456,計算用!$AA$26)))</f>
        <v/>
      </c>
      <c r="P85" s="68">
        <f>IF(計算用!$AA$26="","",IF(計算用!$B$1=1,INDEX(計算用!$H$3:$H$452,計算用!$AA$26),INDEX(振り分け!$D$7:$D$456,計算用!$AA$26)))</f>
        <v/>
      </c>
      <c r="Q85" s="67">
        <f>IF(計算用!$AB$26="","",IF(計算用!$B$1=1,INDEX(計算用!$F$3:$F$452,計算用!$AB$26),INDEX(振り分け!$B$7:$B$456,計算用!$AB$26)))</f>
        <v/>
      </c>
      <c r="R85" s="68">
        <f>IF(計算用!$AB$26="","",IF(計算用!$B$1=1,INDEX(計算用!$H$3:$H$452,計算用!$AB$26),INDEX(振り分け!$D$7:$D$456,計算用!$AB$26)))</f>
        <v/>
      </c>
      <c r="S85" s="67">
        <f>IF(計算用!$AC$26="","",IF(計算用!$B$1=1,INDEX(計算用!$F$3:$F$452,計算用!$AC$26),INDEX(振り分け!$B$7:$B$456,計算用!$AC$26)))</f>
        <v/>
      </c>
      <c r="T85" s="68">
        <f>IF(計算用!$AC$26="","",IF(計算用!$B$1=1,INDEX(計算用!$H$3:$H$452,計算用!$AC$26),INDEX(振り分け!$D$7:$D$456,計算用!$AC$26)))</f>
        <v/>
      </c>
    </row>
    <row r="86">
      <c r="A86" s="67">
        <f>IF(計算用!$T$27="","",IF(計算用!$B$1=1,INDEX(計算用!$F$3:$F$452,計算用!$T$27),INDEX(振り分け!$B$7:$B$456,計算用!$T$27)))</f>
        <v/>
      </c>
      <c r="B86" s="68">
        <f>IF(計算用!$T$27="","",IF(計算用!$B$1=1,INDEX(計算用!$H$3:$H$452,計算用!$T$27),INDEX(振り分け!$D$7:$D$456,計算用!$T$27)))</f>
        <v/>
      </c>
      <c r="C86" s="67">
        <f>IF(計算用!$U$27="","",IF(計算用!$B$1=1,INDEX(計算用!$F$3:$F$452,計算用!$U$27),INDEX(振り分け!$B$7:$B$456,計算用!$U$27)))</f>
        <v/>
      </c>
      <c r="D86" s="68">
        <f>IF(計算用!$U$27="","",IF(計算用!$B$1=1,INDEX(計算用!$H$3:$H$452,計算用!$U$27),INDEX(振り分け!$D$7:$D$456,計算用!$U$27)))</f>
        <v/>
      </c>
      <c r="E86" s="67">
        <f>IF(計算用!$V$27="","",IF(計算用!$B$1=1,INDEX(計算用!$F$3:$F$452,計算用!$V$27),INDEX(振り分け!$B$7:$B$456,計算用!$V$27)))</f>
        <v/>
      </c>
      <c r="F86" s="68">
        <f>IF(計算用!$V$27="","",IF(計算用!$B$1=1,INDEX(計算用!$H$3:$H$452,計算用!$V$27),INDEX(振り分け!$D$7:$D$456,計算用!$V$27)))</f>
        <v/>
      </c>
      <c r="G86" s="67">
        <f>IF(計算用!$W$27="","",IF(計算用!$B$1=1,INDEX(計算用!$F$3:$F$452,計算用!$W$27),INDEX(振り分け!$B$7:$B$456,計算用!$W$27)))</f>
        <v/>
      </c>
      <c r="H86" s="68">
        <f>IF(計算用!$W$27="","",IF(計算用!$B$1=1,INDEX(計算用!$H$3:$H$452,計算用!$W$27),INDEX(振り分け!$D$7:$D$456,計算用!$W$27)))</f>
        <v/>
      </c>
      <c r="I86" s="67">
        <f>IF(計算用!$X$27="","",IF(計算用!$B$1=1,INDEX(計算用!$F$3:$F$452,計算用!$X$27),INDEX(振り分け!$B$7:$B$456,計算用!$X$27)))</f>
        <v/>
      </c>
      <c r="J86" s="68">
        <f>IF(計算用!$X$27="","",IF(計算用!$B$1=1,INDEX(計算用!$H$3:$H$452,計算用!$X$27),INDEX(振り分け!$D$7:$D$456,計算用!$X$27)))</f>
        <v/>
      </c>
      <c r="K86" s="67">
        <f>IF(計算用!$Y$27="","",IF(計算用!$B$1=1,INDEX(計算用!$F$3:$F$452,計算用!$Y$27),INDEX(振り分け!$B$7:$B$456,計算用!$Y$27)))</f>
        <v/>
      </c>
      <c r="L86" s="68">
        <f>IF(計算用!$Y$27="","",IF(計算用!$B$1=1,INDEX(計算用!$H$3:$H$452,計算用!$Y$27),INDEX(振り分け!$D$7:$D$456,計算用!$Y$27)))</f>
        <v/>
      </c>
      <c r="M86" s="67">
        <f>IF(計算用!$Z$27="","",IF(計算用!$B$1=1,INDEX(計算用!$F$3:$F$452,計算用!$Z$27),INDEX(振り分け!$B$7:$B$456,計算用!$Z$27)))</f>
        <v/>
      </c>
      <c r="N86" s="68">
        <f>IF(計算用!$Z$27="","",IF(計算用!$B$1=1,INDEX(計算用!$H$3:$H$452,計算用!$Z$27),INDEX(振り分け!$D$7:$D$456,計算用!$Z$27)))</f>
        <v/>
      </c>
      <c r="O86" s="67">
        <f>IF(計算用!$AA$27="","",IF(計算用!$B$1=1,INDEX(計算用!$F$3:$F$452,計算用!$AA$27),INDEX(振り分け!$B$7:$B$456,計算用!$AA$27)))</f>
        <v/>
      </c>
      <c r="P86" s="68">
        <f>IF(計算用!$AA$27="","",IF(計算用!$B$1=1,INDEX(計算用!$H$3:$H$452,計算用!$AA$27),INDEX(振り分け!$D$7:$D$456,計算用!$AA$27)))</f>
        <v/>
      </c>
      <c r="Q86" s="67">
        <f>IF(計算用!$AB$27="","",IF(計算用!$B$1=1,INDEX(計算用!$F$3:$F$452,計算用!$AB$27),INDEX(振り分け!$B$7:$B$456,計算用!$AB$27)))</f>
        <v/>
      </c>
      <c r="R86" s="68">
        <f>IF(計算用!$AB$27="","",IF(計算用!$B$1=1,INDEX(計算用!$H$3:$H$452,計算用!$AB$27),INDEX(振り分け!$D$7:$D$456,計算用!$AB$27)))</f>
        <v/>
      </c>
      <c r="S86" s="67">
        <f>IF(計算用!$AC$27="","",IF(計算用!$B$1=1,INDEX(計算用!$F$3:$F$452,計算用!$AC$27),INDEX(振り分け!$B$7:$B$456,計算用!$AC$27)))</f>
        <v/>
      </c>
      <c r="T86" s="68">
        <f>IF(計算用!$AC$27="","",IF(計算用!$B$1=1,INDEX(計算用!$H$3:$H$452,計算用!$AC$27),INDEX(振り分け!$D$7:$D$456,計算用!$AC$27)))</f>
        <v/>
      </c>
    </row>
    <row r="87">
      <c r="A87" s="67">
        <f>IF(計算用!$T$28="","",IF(計算用!$B$1=1,INDEX(計算用!$F$3:$F$452,計算用!$T$28),INDEX(振り分け!$B$7:$B$456,計算用!$T$28)))</f>
        <v/>
      </c>
      <c r="B87" s="68">
        <f>IF(計算用!$T$28="","",IF(計算用!$B$1=1,INDEX(計算用!$H$3:$H$452,計算用!$T$28),INDEX(振り分け!$D$7:$D$456,計算用!$T$28)))</f>
        <v/>
      </c>
      <c r="C87" s="67">
        <f>IF(計算用!$U$28="","",IF(計算用!$B$1=1,INDEX(計算用!$F$3:$F$452,計算用!$U$28),INDEX(振り分け!$B$7:$B$456,計算用!$U$28)))</f>
        <v/>
      </c>
      <c r="D87" s="68">
        <f>IF(計算用!$U$28="","",IF(計算用!$B$1=1,INDEX(計算用!$H$3:$H$452,計算用!$U$28),INDEX(振り分け!$D$7:$D$456,計算用!$U$28)))</f>
        <v/>
      </c>
      <c r="E87" s="67">
        <f>IF(計算用!$V$28="","",IF(計算用!$B$1=1,INDEX(計算用!$F$3:$F$452,計算用!$V$28),INDEX(振り分け!$B$7:$B$456,計算用!$V$28)))</f>
        <v/>
      </c>
      <c r="F87" s="68">
        <f>IF(計算用!$V$28="","",IF(計算用!$B$1=1,INDEX(計算用!$H$3:$H$452,計算用!$V$28),INDEX(振り分け!$D$7:$D$456,計算用!$V$28)))</f>
        <v/>
      </c>
      <c r="G87" s="67">
        <f>IF(計算用!$W$28="","",IF(計算用!$B$1=1,INDEX(計算用!$F$3:$F$452,計算用!$W$28),INDEX(振り分け!$B$7:$B$456,計算用!$W$28)))</f>
        <v/>
      </c>
      <c r="H87" s="68">
        <f>IF(計算用!$W$28="","",IF(計算用!$B$1=1,INDEX(計算用!$H$3:$H$452,計算用!$W$28),INDEX(振り分け!$D$7:$D$456,計算用!$W$28)))</f>
        <v/>
      </c>
      <c r="I87" s="67">
        <f>IF(計算用!$X$28="","",IF(計算用!$B$1=1,INDEX(計算用!$F$3:$F$452,計算用!$X$28),INDEX(振り分け!$B$7:$B$456,計算用!$X$28)))</f>
        <v/>
      </c>
      <c r="J87" s="68">
        <f>IF(計算用!$X$28="","",IF(計算用!$B$1=1,INDEX(計算用!$H$3:$H$452,計算用!$X$28),INDEX(振り分け!$D$7:$D$456,計算用!$X$28)))</f>
        <v/>
      </c>
      <c r="K87" s="67">
        <f>IF(計算用!$Y$28="","",IF(計算用!$B$1=1,INDEX(計算用!$F$3:$F$452,計算用!$Y$28),INDEX(振り分け!$B$7:$B$456,計算用!$Y$28)))</f>
        <v/>
      </c>
      <c r="L87" s="68">
        <f>IF(計算用!$Y$28="","",IF(計算用!$B$1=1,INDEX(計算用!$H$3:$H$452,計算用!$Y$28),INDEX(振り分け!$D$7:$D$456,計算用!$Y$28)))</f>
        <v/>
      </c>
      <c r="M87" s="67">
        <f>IF(計算用!$Z$28="","",IF(計算用!$B$1=1,INDEX(計算用!$F$3:$F$452,計算用!$Z$28),INDEX(振り分け!$B$7:$B$456,計算用!$Z$28)))</f>
        <v/>
      </c>
      <c r="N87" s="68">
        <f>IF(計算用!$Z$28="","",IF(計算用!$B$1=1,INDEX(計算用!$H$3:$H$452,計算用!$Z$28),INDEX(振り分け!$D$7:$D$456,計算用!$Z$28)))</f>
        <v/>
      </c>
      <c r="O87" s="67">
        <f>IF(計算用!$AA$28="","",IF(計算用!$B$1=1,INDEX(計算用!$F$3:$F$452,計算用!$AA$28),INDEX(振り分け!$B$7:$B$456,計算用!$AA$28)))</f>
        <v/>
      </c>
      <c r="P87" s="68">
        <f>IF(計算用!$AA$28="","",IF(計算用!$B$1=1,INDEX(計算用!$H$3:$H$452,計算用!$AA$28),INDEX(振り分け!$D$7:$D$456,計算用!$AA$28)))</f>
        <v/>
      </c>
      <c r="Q87" s="67">
        <f>IF(計算用!$AB$28="","",IF(計算用!$B$1=1,INDEX(計算用!$F$3:$F$452,計算用!$AB$28),INDEX(振り分け!$B$7:$B$456,計算用!$AB$28)))</f>
        <v/>
      </c>
      <c r="R87" s="68">
        <f>IF(計算用!$AB$28="","",IF(計算用!$B$1=1,INDEX(計算用!$H$3:$H$452,計算用!$AB$28),INDEX(振り分け!$D$7:$D$456,計算用!$AB$28)))</f>
        <v/>
      </c>
      <c r="S87" s="67">
        <f>IF(計算用!$AC$28="","",IF(計算用!$B$1=1,INDEX(計算用!$F$3:$F$452,計算用!$AC$28),INDEX(振り分け!$B$7:$B$456,計算用!$AC$28)))</f>
        <v/>
      </c>
      <c r="T87" s="68">
        <f>IF(計算用!$AC$28="","",IF(計算用!$B$1=1,INDEX(計算用!$H$3:$H$452,計算用!$AC$28),INDEX(振り分け!$D$7:$D$456,計算用!$AC$28)))</f>
        <v/>
      </c>
    </row>
    <row r="88">
      <c r="A88" s="67">
        <f>IF(計算用!$T$29="","",IF(計算用!$B$1=1,INDEX(計算用!$F$3:$F$452,計算用!$T$29),INDEX(振り分け!$B$7:$B$456,計算用!$T$29)))</f>
        <v/>
      </c>
      <c r="B88" s="68">
        <f>IF(計算用!$T$29="","",IF(計算用!$B$1=1,INDEX(計算用!$H$3:$H$452,計算用!$T$29),INDEX(振り分け!$D$7:$D$456,計算用!$T$29)))</f>
        <v/>
      </c>
      <c r="C88" s="67">
        <f>IF(計算用!$U$29="","",IF(計算用!$B$1=1,INDEX(計算用!$F$3:$F$452,計算用!$U$29),INDEX(振り分け!$B$7:$B$456,計算用!$U$29)))</f>
        <v/>
      </c>
      <c r="D88" s="68">
        <f>IF(計算用!$U$29="","",IF(計算用!$B$1=1,INDEX(計算用!$H$3:$H$452,計算用!$U$29),INDEX(振り分け!$D$7:$D$456,計算用!$U$29)))</f>
        <v/>
      </c>
      <c r="E88" s="67">
        <f>IF(計算用!$V$29="","",IF(計算用!$B$1=1,INDEX(計算用!$F$3:$F$452,計算用!$V$29),INDEX(振り分け!$B$7:$B$456,計算用!$V$29)))</f>
        <v/>
      </c>
      <c r="F88" s="68">
        <f>IF(計算用!$V$29="","",IF(計算用!$B$1=1,INDEX(計算用!$H$3:$H$452,計算用!$V$29),INDEX(振り分け!$D$7:$D$456,計算用!$V$29)))</f>
        <v/>
      </c>
      <c r="G88" s="67">
        <f>IF(計算用!$W$29="","",IF(計算用!$B$1=1,INDEX(計算用!$F$3:$F$452,計算用!$W$29),INDEX(振り分け!$B$7:$B$456,計算用!$W$29)))</f>
        <v/>
      </c>
      <c r="H88" s="68">
        <f>IF(計算用!$W$29="","",IF(計算用!$B$1=1,INDEX(計算用!$H$3:$H$452,計算用!$W$29),INDEX(振り分け!$D$7:$D$456,計算用!$W$29)))</f>
        <v/>
      </c>
      <c r="I88" s="67">
        <f>IF(計算用!$X$29="","",IF(計算用!$B$1=1,INDEX(計算用!$F$3:$F$452,計算用!$X$29),INDEX(振り分け!$B$7:$B$456,計算用!$X$29)))</f>
        <v/>
      </c>
      <c r="J88" s="68">
        <f>IF(計算用!$X$29="","",IF(計算用!$B$1=1,INDEX(計算用!$H$3:$H$452,計算用!$X$29),INDEX(振り分け!$D$7:$D$456,計算用!$X$29)))</f>
        <v/>
      </c>
      <c r="K88" s="67">
        <f>IF(計算用!$Y$29="","",IF(計算用!$B$1=1,INDEX(計算用!$F$3:$F$452,計算用!$Y$29),INDEX(振り分け!$B$7:$B$456,計算用!$Y$29)))</f>
        <v/>
      </c>
      <c r="L88" s="68">
        <f>IF(計算用!$Y$29="","",IF(計算用!$B$1=1,INDEX(計算用!$H$3:$H$452,計算用!$Y$29),INDEX(振り分け!$D$7:$D$456,計算用!$Y$29)))</f>
        <v/>
      </c>
      <c r="M88" s="67">
        <f>IF(計算用!$Z$29="","",IF(計算用!$B$1=1,INDEX(計算用!$F$3:$F$452,計算用!$Z$29),INDEX(振り分け!$B$7:$B$456,計算用!$Z$29)))</f>
        <v/>
      </c>
      <c r="N88" s="68">
        <f>IF(計算用!$Z$29="","",IF(計算用!$B$1=1,INDEX(計算用!$H$3:$H$452,計算用!$Z$29),INDEX(振り分け!$D$7:$D$456,計算用!$Z$29)))</f>
        <v/>
      </c>
      <c r="O88" s="67">
        <f>IF(計算用!$AA$29="","",IF(計算用!$B$1=1,INDEX(計算用!$F$3:$F$452,計算用!$AA$29),INDEX(振り分け!$B$7:$B$456,計算用!$AA$29)))</f>
        <v/>
      </c>
      <c r="P88" s="68">
        <f>IF(計算用!$AA$29="","",IF(計算用!$B$1=1,INDEX(計算用!$H$3:$H$452,計算用!$AA$29),INDEX(振り分け!$D$7:$D$456,計算用!$AA$29)))</f>
        <v/>
      </c>
      <c r="Q88" s="67">
        <f>IF(計算用!$AB$29="","",IF(計算用!$B$1=1,INDEX(計算用!$F$3:$F$452,計算用!$AB$29),INDEX(振り分け!$B$7:$B$456,計算用!$AB$29)))</f>
        <v/>
      </c>
      <c r="R88" s="68">
        <f>IF(計算用!$AB$29="","",IF(計算用!$B$1=1,INDEX(計算用!$H$3:$H$452,計算用!$AB$29),INDEX(振り分け!$D$7:$D$456,計算用!$AB$29)))</f>
        <v/>
      </c>
      <c r="S88" s="67">
        <f>IF(計算用!$AC$29="","",IF(計算用!$B$1=1,INDEX(計算用!$F$3:$F$452,計算用!$AC$29),INDEX(振り分け!$B$7:$B$456,計算用!$AC$29)))</f>
        <v/>
      </c>
      <c r="T88" s="68">
        <f>IF(計算用!$AC$29="","",IF(計算用!$B$1=1,INDEX(計算用!$H$3:$H$452,計算用!$AC$29),INDEX(振り分け!$D$7:$D$456,計算用!$AC$29)))</f>
        <v/>
      </c>
    </row>
    <row r="89">
      <c r="A89" s="67">
        <f>IF(計算用!$T$30="","",IF(計算用!$B$1=1,INDEX(計算用!$F$3:$F$452,計算用!$T$30),INDEX(振り分け!$B$7:$B$456,計算用!$T$30)))</f>
        <v/>
      </c>
      <c r="B89" s="68">
        <f>IF(計算用!$T$30="","",IF(計算用!$B$1=1,INDEX(計算用!$H$3:$H$452,計算用!$T$30),INDEX(振り分け!$D$7:$D$456,計算用!$T$30)))</f>
        <v/>
      </c>
      <c r="C89" s="67">
        <f>IF(計算用!$U$30="","",IF(計算用!$B$1=1,INDEX(計算用!$F$3:$F$452,計算用!$U$30),INDEX(振り分け!$B$7:$B$456,計算用!$U$30)))</f>
        <v/>
      </c>
      <c r="D89" s="68">
        <f>IF(計算用!$U$30="","",IF(計算用!$B$1=1,INDEX(計算用!$H$3:$H$452,計算用!$U$30),INDEX(振り分け!$D$7:$D$456,計算用!$U$30)))</f>
        <v/>
      </c>
      <c r="E89" s="67">
        <f>IF(計算用!$V$30="","",IF(計算用!$B$1=1,INDEX(計算用!$F$3:$F$452,計算用!$V$30),INDEX(振り分け!$B$7:$B$456,計算用!$V$30)))</f>
        <v/>
      </c>
      <c r="F89" s="68">
        <f>IF(計算用!$V$30="","",IF(計算用!$B$1=1,INDEX(計算用!$H$3:$H$452,計算用!$V$30),INDEX(振り分け!$D$7:$D$456,計算用!$V$30)))</f>
        <v/>
      </c>
      <c r="G89" s="67">
        <f>IF(計算用!$W$30="","",IF(計算用!$B$1=1,INDEX(計算用!$F$3:$F$452,計算用!$W$30),INDEX(振り分け!$B$7:$B$456,計算用!$W$30)))</f>
        <v/>
      </c>
      <c r="H89" s="68">
        <f>IF(計算用!$W$30="","",IF(計算用!$B$1=1,INDEX(計算用!$H$3:$H$452,計算用!$W$30),INDEX(振り分け!$D$7:$D$456,計算用!$W$30)))</f>
        <v/>
      </c>
      <c r="I89" s="67">
        <f>IF(計算用!$X$30="","",IF(計算用!$B$1=1,INDEX(計算用!$F$3:$F$452,計算用!$X$30),INDEX(振り分け!$B$7:$B$456,計算用!$X$30)))</f>
        <v/>
      </c>
      <c r="J89" s="68">
        <f>IF(計算用!$X$30="","",IF(計算用!$B$1=1,INDEX(計算用!$H$3:$H$452,計算用!$X$30),INDEX(振り分け!$D$7:$D$456,計算用!$X$30)))</f>
        <v/>
      </c>
      <c r="K89" s="67">
        <f>IF(計算用!$Y$30="","",IF(計算用!$B$1=1,INDEX(計算用!$F$3:$F$452,計算用!$Y$30),INDEX(振り分け!$B$7:$B$456,計算用!$Y$30)))</f>
        <v/>
      </c>
      <c r="L89" s="68">
        <f>IF(計算用!$Y$30="","",IF(計算用!$B$1=1,INDEX(計算用!$H$3:$H$452,計算用!$Y$30),INDEX(振り分け!$D$7:$D$456,計算用!$Y$30)))</f>
        <v/>
      </c>
      <c r="M89" s="67">
        <f>IF(計算用!$Z$30="","",IF(計算用!$B$1=1,INDEX(計算用!$F$3:$F$452,計算用!$Z$30),INDEX(振り分け!$B$7:$B$456,計算用!$Z$30)))</f>
        <v/>
      </c>
      <c r="N89" s="68">
        <f>IF(計算用!$Z$30="","",IF(計算用!$B$1=1,INDEX(計算用!$H$3:$H$452,計算用!$Z$30),INDEX(振り分け!$D$7:$D$456,計算用!$Z$30)))</f>
        <v/>
      </c>
      <c r="O89" s="67">
        <f>IF(計算用!$AA$30="","",IF(計算用!$B$1=1,INDEX(計算用!$F$3:$F$452,計算用!$AA$30),INDEX(振り分け!$B$7:$B$456,計算用!$AA$30)))</f>
        <v/>
      </c>
      <c r="P89" s="68">
        <f>IF(計算用!$AA$30="","",IF(計算用!$B$1=1,INDEX(計算用!$H$3:$H$452,計算用!$AA$30),INDEX(振り分け!$D$7:$D$456,計算用!$AA$30)))</f>
        <v/>
      </c>
      <c r="Q89" s="67">
        <f>IF(計算用!$AB$30="","",IF(計算用!$B$1=1,INDEX(計算用!$F$3:$F$452,計算用!$AB$30),INDEX(振り分け!$B$7:$B$456,計算用!$AB$30)))</f>
        <v/>
      </c>
      <c r="R89" s="68">
        <f>IF(計算用!$AB$30="","",IF(計算用!$B$1=1,INDEX(計算用!$H$3:$H$452,計算用!$AB$30),INDEX(振り分け!$D$7:$D$456,計算用!$AB$30)))</f>
        <v/>
      </c>
      <c r="S89" s="67">
        <f>IF(計算用!$AC$30="","",IF(計算用!$B$1=1,INDEX(計算用!$F$3:$F$452,計算用!$AC$30),INDEX(振り分け!$B$7:$B$456,計算用!$AC$30)))</f>
        <v/>
      </c>
      <c r="T89" s="68">
        <f>IF(計算用!$AC$30="","",IF(計算用!$B$1=1,INDEX(計算用!$H$3:$H$452,計算用!$AC$30),INDEX(振り分け!$D$7:$D$456,計算用!$AC$30)))</f>
        <v/>
      </c>
    </row>
    <row r="90">
      <c r="A90" s="67">
        <f>IF(計算用!$T$31="","",IF(計算用!$B$1=1,INDEX(計算用!$F$3:$F$452,計算用!$T$31),INDEX(振り分け!$B$7:$B$456,計算用!$T$31)))</f>
        <v/>
      </c>
      <c r="B90" s="68">
        <f>IF(計算用!$T$31="","",IF(計算用!$B$1=1,INDEX(計算用!$H$3:$H$452,計算用!$T$31),INDEX(振り分け!$D$7:$D$456,計算用!$T$31)))</f>
        <v/>
      </c>
      <c r="C90" s="67">
        <f>IF(計算用!$U$31="","",IF(計算用!$B$1=1,INDEX(計算用!$F$3:$F$452,計算用!$U$31),INDEX(振り分け!$B$7:$B$456,計算用!$U$31)))</f>
        <v/>
      </c>
      <c r="D90" s="68">
        <f>IF(計算用!$U$31="","",IF(計算用!$B$1=1,INDEX(計算用!$H$3:$H$452,計算用!$U$31),INDEX(振り分け!$D$7:$D$456,計算用!$U$31)))</f>
        <v/>
      </c>
      <c r="E90" s="67">
        <f>IF(計算用!$V$31="","",IF(計算用!$B$1=1,INDEX(計算用!$F$3:$F$452,計算用!$V$31),INDEX(振り分け!$B$7:$B$456,計算用!$V$31)))</f>
        <v/>
      </c>
      <c r="F90" s="68">
        <f>IF(計算用!$V$31="","",IF(計算用!$B$1=1,INDEX(計算用!$H$3:$H$452,計算用!$V$31),INDEX(振り分け!$D$7:$D$456,計算用!$V$31)))</f>
        <v/>
      </c>
      <c r="G90" s="67">
        <f>IF(計算用!$W$31="","",IF(計算用!$B$1=1,INDEX(計算用!$F$3:$F$452,計算用!$W$31),INDEX(振り分け!$B$7:$B$456,計算用!$W$31)))</f>
        <v/>
      </c>
      <c r="H90" s="68">
        <f>IF(計算用!$W$31="","",IF(計算用!$B$1=1,INDEX(計算用!$H$3:$H$452,計算用!$W$31),INDEX(振り分け!$D$7:$D$456,計算用!$W$31)))</f>
        <v/>
      </c>
      <c r="I90" s="67">
        <f>IF(計算用!$X$31="","",IF(計算用!$B$1=1,INDEX(計算用!$F$3:$F$452,計算用!$X$31),INDEX(振り分け!$B$7:$B$456,計算用!$X$31)))</f>
        <v/>
      </c>
      <c r="J90" s="68">
        <f>IF(計算用!$X$31="","",IF(計算用!$B$1=1,INDEX(計算用!$H$3:$H$452,計算用!$X$31),INDEX(振り分け!$D$7:$D$456,計算用!$X$31)))</f>
        <v/>
      </c>
      <c r="K90" s="67">
        <f>IF(計算用!$Y$31="","",IF(計算用!$B$1=1,INDEX(計算用!$F$3:$F$452,計算用!$Y$31),INDEX(振り分け!$B$7:$B$456,計算用!$Y$31)))</f>
        <v/>
      </c>
      <c r="L90" s="68">
        <f>IF(計算用!$Y$31="","",IF(計算用!$B$1=1,INDEX(計算用!$H$3:$H$452,計算用!$Y$31),INDEX(振り分け!$D$7:$D$456,計算用!$Y$31)))</f>
        <v/>
      </c>
      <c r="M90" s="67">
        <f>IF(計算用!$Z$31="","",IF(計算用!$B$1=1,INDEX(計算用!$F$3:$F$452,計算用!$Z$31),INDEX(振り分け!$B$7:$B$456,計算用!$Z$31)))</f>
        <v/>
      </c>
      <c r="N90" s="68">
        <f>IF(計算用!$Z$31="","",IF(計算用!$B$1=1,INDEX(計算用!$H$3:$H$452,計算用!$Z$31),INDEX(振り分け!$D$7:$D$456,計算用!$Z$31)))</f>
        <v/>
      </c>
      <c r="O90" s="67">
        <f>IF(計算用!$AA$31="","",IF(計算用!$B$1=1,INDEX(計算用!$F$3:$F$452,計算用!$AA$31),INDEX(振り分け!$B$7:$B$456,計算用!$AA$31)))</f>
        <v/>
      </c>
      <c r="P90" s="68">
        <f>IF(計算用!$AA$31="","",IF(計算用!$B$1=1,INDEX(計算用!$H$3:$H$452,計算用!$AA$31),INDEX(振り分け!$D$7:$D$456,計算用!$AA$31)))</f>
        <v/>
      </c>
      <c r="Q90" s="67">
        <f>IF(計算用!$AB$31="","",IF(計算用!$B$1=1,INDEX(計算用!$F$3:$F$452,計算用!$AB$31),INDEX(振り分け!$B$7:$B$456,計算用!$AB$31)))</f>
        <v/>
      </c>
      <c r="R90" s="68">
        <f>IF(計算用!$AB$31="","",IF(計算用!$B$1=1,INDEX(計算用!$H$3:$H$452,計算用!$AB$31),INDEX(振り分け!$D$7:$D$456,計算用!$AB$31)))</f>
        <v/>
      </c>
      <c r="S90" s="67">
        <f>IF(計算用!$AC$31="","",IF(計算用!$B$1=1,INDEX(計算用!$F$3:$F$452,計算用!$AC$31),INDEX(振り分け!$B$7:$B$456,計算用!$AC$31)))</f>
        <v/>
      </c>
      <c r="T90" s="68">
        <f>IF(計算用!$AC$31="","",IF(計算用!$B$1=1,INDEX(計算用!$H$3:$H$452,計算用!$AC$31),INDEX(振り分け!$D$7:$D$456,計算用!$AC$31)))</f>
        <v/>
      </c>
    </row>
    <row r="91">
      <c r="A91" s="67">
        <f>IF(計算用!$T$32="","",IF(計算用!$B$1=1,INDEX(計算用!$F$3:$F$452,計算用!$T$32),INDEX(振り分け!$B$7:$B$456,計算用!$T$32)))</f>
        <v/>
      </c>
      <c r="B91" s="68">
        <f>IF(計算用!$T$32="","",IF(計算用!$B$1=1,INDEX(計算用!$H$3:$H$452,計算用!$T$32),INDEX(振り分け!$D$7:$D$456,計算用!$T$32)))</f>
        <v/>
      </c>
      <c r="C91" s="67">
        <f>IF(計算用!$U$32="","",IF(計算用!$B$1=1,INDEX(計算用!$F$3:$F$452,計算用!$U$32),INDEX(振り分け!$B$7:$B$456,計算用!$U$32)))</f>
        <v/>
      </c>
      <c r="D91" s="68">
        <f>IF(計算用!$U$32="","",IF(計算用!$B$1=1,INDEX(計算用!$H$3:$H$452,計算用!$U$32),INDEX(振り分け!$D$7:$D$456,計算用!$U$32)))</f>
        <v/>
      </c>
      <c r="E91" s="67">
        <f>IF(計算用!$V$32="","",IF(計算用!$B$1=1,INDEX(計算用!$F$3:$F$452,計算用!$V$32),INDEX(振り分け!$B$7:$B$456,計算用!$V$32)))</f>
        <v/>
      </c>
      <c r="F91" s="68">
        <f>IF(計算用!$V$32="","",IF(計算用!$B$1=1,INDEX(計算用!$H$3:$H$452,計算用!$V$32),INDEX(振り分け!$D$7:$D$456,計算用!$V$32)))</f>
        <v/>
      </c>
      <c r="G91" s="67">
        <f>IF(計算用!$W$32="","",IF(計算用!$B$1=1,INDEX(計算用!$F$3:$F$452,計算用!$W$32),INDEX(振り分け!$B$7:$B$456,計算用!$W$32)))</f>
        <v/>
      </c>
      <c r="H91" s="68">
        <f>IF(計算用!$W$32="","",IF(計算用!$B$1=1,INDEX(計算用!$H$3:$H$452,計算用!$W$32),INDEX(振り分け!$D$7:$D$456,計算用!$W$32)))</f>
        <v/>
      </c>
      <c r="I91" s="67">
        <f>IF(計算用!$X$32="","",IF(計算用!$B$1=1,INDEX(計算用!$F$3:$F$452,計算用!$X$32),INDEX(振り分け!$B$7:$B$456,計算用!$X$32)))</f>
        <v/>
      </c>
      <c r="J91" s="68">
        <f>IF(計算用!$X$32="","",IF(計算用!$B$1=1,INDEX(計算用!$H$3:$H$452,計算用!$X$32),INDEX(振り分け!$D$7:$D$456,計算用!$X$32)))</f>
        <v/>
      </c>
      <c r="K91" s="67">
        <f>IF(計算用!$Y$32="","",IF(計算用!$B$1=1,INDEX(計算用!$F$3:$F$452,計算用!$Y$32),INDEX(振り分け!$B$7:$B$456,計算用!$Y$32)))</f>
        <v/>
      </c>
      <c r="L91" s="68">
        <f>IF(計算用!$Y$32="","",IF(計算用!$B$1=1,INDEX(計算用!$H$3:$H$452,計算用!$Y$32),INDEX(振り分け!$D$7:$D$456,計算用!$Y$32)))</f>
        <v/>
      </c>
      <c r="M91" s="67">
        <f>IF(計算用!$Z$32="","",IF(計算用!$B$1=1,INDEX(計算用!$F$3:$F$452,計算用!$Z$32),INDEX(振り分け!$B$7:$B$456,計算用!$Z$32)))</f>
        <v/>
      </c>
      <c r="N91" s="68">
        <f>IF(計算用!$Z$32="","",IF(計算用!$B$1=1,INDEX(計算用!$H$3:$H$452,計算用!$Z$32),INDEX(振り分け!$D$7:$D$456,計算用!$Z$32)))</f>
        <v/>
      </c>
      <c r="O91" s="67">
        <f>IF(計算用!$AA$32="","",IF(計算用!$B$1=1,INDEX(計算用!$F$3:$F$452,計算用!$AA$32),INDEX(振り分け!$B$7:$B$456,計算用!$AA$32)))</f>
        <v/>
      </c>
      <c r="P91" s="68">
        <f>IF(計算用!$AA$32="","",IF(計算用!$B$1=1,INDEX(計算用!$H$3:$H$452,計算用!$AA$32),INDEX(振り分け!$D$7:$D$456,計算用!$AA$32)))</f>
        <v/>
      </c>
      <c r="Q91" s="67">
        <f>IF(計算用!$AB$32="","",IF(計算用!$B$1=1,INDEX(計算用!$F$3:$F$452,計算用!$AB$32),INDEX(振り分け!$B$7:$B$456,計算用!$AB$32)))</f>
        <v/>
      </c>
      <c r="R91" s="68">
        <f>IF(計算用!$AB$32="","",IF(計算用!$B$1=1,INDEX(計算用!$H$3:$H$452,計算用!$AB$32),INDEX(振り分け!$D$7:$D$456,計算用!$AB$32)))</f>
        <v/>
      </c>
      <c r="S91" s="67">
        <f>IF(計算用!$AC$32="","",IF(計算用!$B$1=1,INDEX(計算用!$F$3:$F$452,計算用!$AC$32),INDEX(振り分け!$B$7:$B$456,計算用!$AC$32)))</f>
        <v/>
      </c>
      <c r="T91" s="68">
        <f>IF(計算用!$AC$32="","",IF(計算用!$B$1=1,INDEX(計算用!$H$3:$H$452,計算用!$AC$32),INDEX(振り分け!$D$7:$D$456,計算用!$AC$32)))</f>
        <v/>
      </c>
    </row>
    <row r="92">
      <c r="A92" s="67">
        <f>IF(計算用!$T$33="","",IF(計算用!$B$1=1,INDEX(計算用!$F$3:$F$452,計算用!$T$33),INDEX(振り分け!$B$7:$B$456,計算用!$T$33)))</f>
        <v/>
      </c>
      <c r="B92" s="68">
        <f>IF(計算用!$T$33="","",IF(計算用!$B$1=1,INDEX(計算用!$H$3:$H$452,計算用!$T$33),INDEX(振り分け!$D$7:$D$456,計算用!$T$33)))</f>
        <v/>
      </c>
      <c r="C92" s="67">
        <f>IF(計算用!$U$33="","",IF(計算用!$B$1=1,INDEX(計算用!$F$3:$F$452,計算用!$U$33),INDEX(振り分け!$B$7:$B$456,計算用!$U$33)))</f>
        <v/>
      </c>
      <c r="D92" s="68">
        <f>IF(計算用!$U$33="","",IF(計算用!$B$1=1,INDEX(計算用!$H$3:$H$452,計算用!$U$33),INDEX(振り分け!$D$7:$D$456,計算用!$U$33)))</f>
        <v/>
      </c>
      <c r="E92" s="67">
        <f>IF(計算用!$V$33="","",IF(計算用!$B$1=1,INDEX(計算用!$F$3:$F$452,計算用!$V$33),INDEX(振り分け!$B$7:$B$456,計算用!$V$33)))</f>
        <v/>
      </c>
      <c r="F92" s="68">
        <f>IF(計算用!$V$33="","",IF(計算用!$B$1=1,INDEX(計算用!$H$3:$H$452,計算用!$V$33),INDEX(振り分け!$D$7:$D$456,計算用!$V$33)))</f>
        <v/>
      </c>
      <c r="G92" s="67">
        <f>IF(計算用!$W$33="","",IF(計算用!$B$1=1,INDEX(計算用!$F$3:$F$452,計算用!$W$33),INDEX(振り分け!$B$7:$B$456,計算用!$W$33)))</f>
        <v/>
      </c>
      <c r="H92" s="68">
        <f>IF(計算用!$W$33="","",IF(計算用!$B$1=1,INDEX(計算用!$H$3:$H$452,計算用!$W$33),INDEX(振り分け!$D$7:$D$456,計算用!$W$33)))</f>
        <v/>
      </c>
      <c r="I92" s="67">
        <f>IF(計算用!$X$33="","",IF(計算用!$B$1=1,INDEX(計算用!$F$3:$F$452,計算用!$X$33),INDEX(振り分け!$B$7:$B$456,計算用!$X$33)))</f>
        <v/>
      </c>
      <c r="J92" s="68">
        <f>IF(計算用!$X$33="","",IF(計算用!$B$1=1,INDEX(計算用!$H$3:$H$452,計算用!$X$33),INDEX(振り分け!$D$7:$D$456,計算用!$X$33)))</f>
        <v/>
      </c>
      <c r="K92" s="67">
        <f>IF(計算用!$Y$33="","",IF(計算用!$B$1=1,INDEX(計算用!$F$3:$F$452,計算用!$Y$33),INDEX(振り分け!$B$7:$B$456,計算用!$Y$33)))</f>
        <v/>
      </c>
      <c r="L92" s="68">
        <f>IF(計算用!$Y$33="","",IF(計算用!$B$1=1,INDEX(計算用!$H$3:$H$452,計算用!$Y$33),INDEX(振り分け!$D$7:$D$456,計算用!$Y$33)))</f>
        <v/>
      </c>
      <c r="M92" s="67">
        <f>IF(計算用!$Z$33="","",IF(計算用!$B$1=1,INDEX(計算用!$F$3:$F$452,計算用!$Z$33),INDEX(振り分け!$B$7:$B$456,計算用!$Z$33)))</f>
        <v/>
      </c>
      <c r="N92" s="68">
        <f>IF(計算用!$Z$33="","",IF(計算用!$B$1=1,INDEX(計算用!$H$3:$H$452,計算用!$Z$33),INDEX(振り分け!$D$7:$D$456,計算用!$Z$33)))</f>
        <v/>
      </c>
      <c r="O92" s="67">
        <f>IF(計算用!$AA$33="","",IF(計算用!$B$1=1,INDEX(計算用!$F$3:$F$452,計算用!$AA$33),INDEX(振り分け!$B$7:$B$456,計算用!$AA$33)))</f>
        <v/>
      </c>
      <c r="P92" s="68">
        <f>IF(計算用!$AA$33="","",IF(計算用!$B$1=1,INDEX(計算用!$H$3:$H$452,計算用!$AA$33),INDEX(振り分け!$D$7:$D$456,計算用!$AA$33)))</f>
        <v/>
      </c>
      <c r="Q92" s="67">
        <f>IF(計算用!$AB$33="","",IF(計算用!$B$1=1,INDEX(計算用!$F$3:$F$452,計算用!$AB$33),INDEX(振り分け!$B$7:$B$456,計算用!$AB$33)))</f>
        <v/>
      </c>
      <c r="R92" s="68">
        <f>IF(計算用!$AB$33="","",IF(計算用!$B$1=1,INDEX(計算用!$H$3:$H$452,計算用!$AB$33),INDEX(振り分け!$D$7:$D$456,計算用!$AB$33)))</f>
        <v/>
      </c>
      <c r="S92" s="67">
        <f>IF(計算用!$AC$33="","",IF(計算用!$B$1=1,INDEX(計算用!$F$3:$F$452,計算用!$AC$33),INDEX(振り分け!$B$7:$B$456,計算用!$AC$33)))</f>
        <v/>
      </c>
      <c r="T92" s="68">
        <f>IF(計算用!$AC$33="","",IF(計算用!$B$1=1,INDEX(計算用!$H$3:$H$452,計算用!$AC$33),INDEX(振り分け!$D$7:$D$456,計算用!$AC$33)))</f>
        <v/>
      </c>
    </row>
    <row r="93">
      <c r="A93" s="67">
        <f>IF(計算用!$T$34="","",IF(計算用!$B$1=1,INDEX(計算用!$F$3:$F$452,計算用!$T$34),INDEX(振り分け!$B$7:$B$456,計算用!$T$34)))</f>
        <v/>
      </c>
      <c r="B93" s="68">
        <f>IF(計算用!$T$34="","",IF(計算用!$B$1=1,INDEX(計算用!$H$3:$H$452,計算用!$T$34),INDEX(振り分け!$D$7:$D$456,計算用!$T$34)))</f>
        <v/>
      </c>
      <c r="C93" s="67">
        <f>IF(計算用!$U$34="","",IF(計算用!$B$1=1,INDEX(計算用!$F$3:$F$452,計算用!$U$34),INDEX(振り分け!$B$7:$B$456,計算用!$U$34)))</f>
        <v/>
      </c>
      <c r="D93" s="68">
        <f>IF(計算用!$U$34="","",IF(計算用!$B$1=1,INDEX(計算用!$H$3:$H$452,計算用!$U$34),INDEX(振り分け!$D$7:$D$456,計算用!$U$34)))</f>
        <v/>
      </c>
      <c r="E93" s="67">
        <f>IF(計算用!$V$34="","",IF(計算用!$B$1=1,INDEX(計算用!$F$3:$F$452,計算用!$V$34),INDEX(振り分け!$B$7:$B$456,計算用!$V$34)))</f>
        <v/>
      </c>
      <c r="F93" s="68">
        <f>IF(計算用!$V$34="","",IF(計算用!$B$1=1,INDEX(計算用!$H$3:$H$452,計算用!$V$34),INDEX(振り分け!$D$7:$D$456,計算用!$V$34)))</f>
        <v/>
      </c>
      <c r="G93" s="67">
        <f>IF(計算用!$W$34="","",IF(計算用!$B$1=1,INDEX(計算用!$F$3:$F$452,計算用!$W$34),INDEX(振り分け!$B$7:$B$456,計算用!$W$34)))</f>
        <v/>
      </c>
      <c r="H93" s="68">
        <f>IF(計算用!$W$34="","",IF(計算用!$B$1=1,INDEX(計算用!$H$3:$H$452,計算用!$W$34),INDEX(振り分け!$D$7:$D$456,計算用!$W$34)))</f>
        <v/>
      </c>
      <c r="I93" s="67">
        <f>IF(計算用!$X$34="","",IF(計算用!$B$1=1,INDEX(計算用!$F$3:$F$452,計算用!$X$34),INDEX(振り分け!$B$7:$B$456,計算用!$X$34)))</f>
        <v/>
      </c>
      <c r="J93" s="68">
        <f>IF(計算用!$X$34="","",IF(計算用!$B$1=1,INDEX(計算用!$H$3:$H$452,計算用!$X$34),INDEX(振り分け!$D$7:$D$456,計算用!$X$34)))</f>
        <v/>
      </c>
      <c r="K93" s="67">
        <f>IF(計算用!$Y$34="","",IF(計算用!$B$1=1,INDEX(計算用!$F$3:$F$452,計算用!$Y$34),INDEX(振り分け!$B$7:$B$456,計算用!$Y$34)))</f>
        <v/>
      </c>
      <c r="L93" s="68">
        <f>IF(計算用!$Y$34="","",IF(計算用!$B$1=1,INDEX(計算用!$H$3:$H$452,計算用!$Y$34),INDEX(振り分け!$D$7:$D$456,計算用!$Y$34)))</f>
        <v/>
      </c>
      <c r="M93" s="67">
        <f>IF(計算用!$Z$34="","",IF(計算用!$B$1=1,INDEX(計算用!$F$3:$F$452,計算用!$Z$34),INDEX(振り分け!$B$7:$B$456,計算用!$Z$34)))</f>
        <v/>
      </c>
      <c r="N93" s="68">
        <f>IF(計算用!$Z$34="","",IF(計算用!$B$1=1,INDEX(計算用!$H$3:$H$452,計算用!$Z$34),INDEX(振り分け!$D$7:$D$456,計算用!$Z$34)))</f>
        <v/>
      </c>
      <c r="O93" s="67">
        <f>IF(計算用!$AA$34="","",IF(計算用!$B$1=1,INDEX(計算用!$F$3:$F$452,計算用!$AA$34),INDEX(振り分け!$B$7:$B$456,計算用!$AA$34)))</f>
        <v/>
      </c>
      <c r="P93" s="68">
        <f>IF(計算用!$AA$34="","",IF(計算用!$B$1=1,INDEX(計算用!$H$3:$H$452,計算用!$AA$34),INDEX(振り分け!$D$7:$D$456,計算用!$AA$34)))</f>
        <v/>
      </c>
      <c r="Q93" s="67">
        <f>IF(計算用!$AB$34="","",IF(計算用!$B$1=1,INDEX(計算用!$F$3:$F$452,計算用!$AB$34),INDEX(振り分け!$B$7:$B$456,計算用!$AB$34)))</f>
        <v/>
      </c>
      <c r="R93" s="68">
        <f>IF(計算用!$AB$34="","",IF(計算用!$B$1=1,INDEX(計算用!$H$3:$H$452,計算用!$AB$34),INDEX(振り分け!$D$7:$D$456,計算用!$AB$34)))</f>
        <v/>
      </c>
      <c r="S93" s="67">
        <f>IF(計算用!$AC$34="","",IF(計算用!$B$1=1,INDEX(計算用!$F$3:$F$452,計算用!$AC$34),INDEX(振り分け!$B$7:$B$456,計算用!$AC$34)))</f>
        <v/>
      </c>
      <c r="T93" s="68">
        <f>IF(計算用!$AC$34="","",IF(計算用!$B$1=1,INDEX(計算用!$H$3:$H$452,計算用!$AC$34),INDEX(振り分け!$D$7:$D$456,計算用!$AC$34)))</f>
        <v/>
      </c>
    </row>
    <row r="94">
      <c r="A94" s="67">
        <f>IF(計算用!$T$35="","",IF(計算用!$B$1=1,INDEX(計算用!$F$3:$F$452,計算用!$T$35),INDEX(振り分け!$B$7:$B$456,計算用!$T$35)))</f>
        <v/>
      </c>
      <c r="B94" s="68">
        <f>IF(計算用!$T$35="","",IF(計算用!$B$1=1,INDEX(計算用!$H$3:$H$452,計算用!$T$35),INDEX(振り分け!$D$7:$D$456,計算用!$T$35)))</f>
        <v/>
      </c>
      <c r="C94" s="67">
        <f>IF(計算用!$U$35="","",IF(計算用!$B$1=1,INDEX(計算用!$F$3:$F$452,計算用!$U$35),INDEX(振り分け!$B$7:$B$456,計算用!$U$35)))</f>
        <v/>
      </c>
      <c r="D94" s="68">
        <f>IF(計算用!$U$35="","",IF(計算用!$B$1=1,INDEX(計算用!$H$3:$H$452,計算用!$U$35),INDEX(振り分け!$D$7:$D$456,計算用!$U$35)))</f>
        <v/>
      </c>
      <c r="E94" s="67">
        <f>IF(計算用!$V$35="","",IF(計算用!$B$1=1,INDEX(計算用!$F$3:$F$452,計算用!$V$35),INDEX(振り分け!$B$7:$B$456,計算用!$V$35)))</f>
        <v/>
      </c>
      <c r="F94" s="68">
        <f>IF(計算用!$V$35="","",IF(計算用!$B$1=1,INDEX(計算用!$H$3:$H$452,計算用!$V$35),INDEX(振り分け!$D$7:$D$456,計算用!$V$35)))</f>
        <v/>
      </c>
      <c r="G94" s="67">
        <f>IF(計算用!$W$35="","",IF(計算用!$B$1=1,INDEX(計算用!$F$3:$F$452,計算用!$W$35),INDEX(振り分け!$B$7:$B$456,計算用!$W$35)))</f>
        <v/>
      </c>
      <c r="H94" s="68">
        <f>IF(計算用!$W$35="","",IF(計算用!$B$1=1,INDEX(計算用!$H$3:$H$452,計算用!$W$35),INDEX(振り分け!$D$7:$D$456,計算用!$W$35)))</f>
        <v/>
      </c>
      <c r="I94" s="67">
        <f>IF(計算用!$X$35="","",IF(計算用!$B$1=1,INDEX(計算用!$F$3:$F$452,計算用!$X$35),INDEX(振り分け!$B$7:$B$456,計算用!$X$35)))</f>
        <v/>
      </c>
      <c r="J94" s="68">
        <f>IF(計算用!$X$35="","",IF(計算用!$B$1=1,INDEX(計算用!$H$3:$H$452,計算用!$X$35),INDEX(振り分け!$D$7:$D$456,計算用!$X$35)))</f>
        <v/>
      </c>
      <c r="K94" s="67">
        <f>IF(計算用!$Y$35="","",IF(計算用!$B$1=1,INDEX(計算用!$F$3:$F$452,計算用!$Y$35),INDEX(振り分け!$B$7:$B$456,計算用!$Y$35)))</f>
        <v/>
      </c>
      <c r="L94" s="68">
        <f>IF(計算用!$Y$35="","",IF(計算用!$B$1=1,INDEX(計算用!$H$3:$H$452,計算用!$Y$35),INDEX(振り分け!$D$7:$D$456,計算用!$Y$35)))</f>
        <v/>
      </c>
      <c r="M94" s="67">
        <f>IF(計算用!$Z$35="","",IF(計算用!$B$1=1,INDEX(計算用!$F$3:$F$452,計算用!$Z$35),INDEX(振り分け!$B$7:$B$456,計算用!$Z$35)))</f>
        <v/>
      </c>
      <c r="N94" s="68">
        <f>IF(計算用!$Z$35="","",IF(計算用!$B$1=1,INDEX(計算用!$H$3:$H$452,計算用!$Z$35),INDEX(振り分け!$D$7:$D$456,計算用!$Z$35)))</f>
        <v/>
      </c>
      <c r="O94" s="67">
        <f>IF(計算用!$AA$35="","",IF(計算用!$B$1=1,INDEX(計算用!$F$3:$F$452,計算用!$AA$35),INDEX(振り分け!$B$7:$B$456,計算用!$AA$35)))</f>
        <v/>
      </c>
      <c r="P94" s="68">
        <f>IF(計算用!$AA$35="","",IF(計算用!$B$1=1,INDEX(計算用!$H$3:$H$452,計算用!$AA$35),INDEX(振り分け!$D$7:$D$456,計算用!$AA$35)))</f>
        <v/>
      </c>
      <c r="Q94" s="67">
        <f>IF(計算用!$AB$35="","",IF(計算用!$B$1=1,INDEX(計算用!$F$3:$F$452,計算用!$AB$35),INDEX(振り分け!$B$7:$B$456,計算用!$AB$35)))</f>
        <v/>
      </c>
      <c r="R94" s="68">
        <f>IF(計算用!$AB$35="","",IF(計算用!$B$1=1,INDEX(計算用!$H$3:$H$452,計算用!$AB$35),INDEX(振り分け!$D$7:$D$456,計算用!$AB$35)))</f>
        <v/>
      </c>
      <c r="S94" s="67">
        <f>IF(計算用!$AC$35="","",IF(計算用!$B$1=1,INDEX(計算用!$F$3:$F$452,計算用!$AC$35),INDEX(振り分け!$B$7:$B$456,計算用!$AC$35)))</f>
        <v/>
      </c>
      <c r="T94" s="68">
        <f>IF(計算用!$AC$35="","",IF(計算用!$B$1=1,INDEX(計算用!$H$3:$H$452,計算用!$AC$35),INDEX(振り分け!$D$7:$D$456,計算用!$AC$35)))</f>
        <v/>
      </c>
    </row>
    <row r="95">
      <c r="A95" s="67">
        <f>IF(計算用!$T$36="","",IF(計算用!$B$1=1,INDEX(計算用!$F$3:$F$452,計算用!$T$36),INDEX(振り分け!$B$7:$B$456,計算用!$T$36)))</f>
        <v/>
      </c>
      <c r="B95" s="68">
        <f>IF(計算用!$T$36="","",IF(計算用!$B$1=1,INDEX(計算用!$H$3:$H$452,計算用!$T$36),INDEX(振り分け!$D$7:$D$456,計算用!$T$36)))</f>
        <v/>
      </c>
      <c r="C95" s="67">
        <f>IF(計算用!$U$36="","",IF(計算用!$B$1=1,INDEX(計算用!$F$3:$F$452,計算用!$U$36),INDEX(振り分け!$B$7:$B$456,計算用!$U$36)))</f>
        <v/>
      </c>
      <c r="D95" s="68">
        <f>IF(計算用!$U$36="","",IF(計算用!$B$1=1,INDEX(計算用!$H$3:$H$452,計算用!$U$36),INDEX(振り分け!$D$7:$D$456,計算用!$U$36)))</f>
        <v/>
      </c>
      <c r="E95" s="67">
        <f>IF(計算用!$V$36="","",IF(計算用!$B$1=1,INDEX(計算用!$F$3:$F$452,計算用!$V$36),INDEX(振り分け!$B$7:$B$456,計算用!$V$36)))</f>
        <v/>
      </c>
      <c r="F95" s="68">
        <f>IF(計算用!$V$36="","",IF(計算用!$B$1=1,INDEX(計算用!$H$3:$H$452,計算用!$V$36),INDEX(振り分け!$D$7:$D$456,計算用!$V$36)))</f>
        <v/>
      </c>
      <c r="G95" s="67">
        <f>IF(計算用!$W$36="","",IF(計算用!$B$1=1,INDEX(計算用!$F$3:$F$452,計算用!$W$36),INDEX(振り分け!$B$7:$B$456,計算用!$W$36)))</f>
        <v/>
      </c>
      <c r="H95" s="68">
        <f>IF(計算用!$W$36="","",IF(計算用!$B$1=1,INDEX(計算用!$H$3:$H$452,計算用!$W$36),INDEX(振り分け!$D$7:$D$456,計算用!$W$36)))</f>
        <v/>
      </c>
      <c r="I95" s="67">
        <f>IF(計算用!$X$36="","",IF(計算用!$B$1=1,INDEX(計算用!$F$3:$F$452,計算用!$X$36),INDEX(振り分け!$B$7:$B$456,計算用!$X$36)))</f>
        <v/>
      </c>
      <c r="J95" s="68">
        <f>IF(計算用!$X$36="","",IF(計算用!$B$1=1,INDEX(計算用!$H$3:$H$452,計算用!$X$36),INDEX(振り分け!$D$7:$D$456,計算用!$X$36)))</f>
        <v/>
      </c>
      <c r="K95" s="67">
        <f>IF(計算用!$Y$36="","",IF(計算用!$B$1=1,INDEX(計算用!$F$3:$F$452,計算用!$Y$36),INDEX(振り分け!$B$7:$B$456,計算用!$Y$36)))</f>
        <v/>
      </c>
      <c r="L95" s="68">
        <f>IF(計算用!$Y$36="","",IF(計算用!$B$1=1,INDEX(計算用!$H$3:$H$452,計算用!$Y$36),INDEX(振り分け!$D$7:$D$456,計算用!$Y$36)))</f>
        <v/>
      </c>
      <c r="M95" s="67">
        <f>IF(計算用!$Z$36="","",IF(計算用!$B$1=1,INDEX(計算用!$F$3:$F$452,計算用!$Z$36),INDEX(振り分け!$B$7:$B$456,計算用!$Z$36)))</f>
        <v/>
      </c>
      <c r="N95" s="68">
        <f>IF(計算用!$Z$36="","",IF(計算用!$B$1=1,INDEX(計算用!$H$3:$H$452,計算用!$Z$36),INDEX(振り分け!$D$7:$D$456,計算用!$Z$36)))</f>
        <v/>
      </c>
      <c r="O95" s="67">
        <f>IF(計算用!$AA$36="","",IF(計算用!$B$1=1,INDEX(計算用!$F$3:$F$452,計算用!$AA$36),INDEX(振り分け!$B$7:$B$456,計算用!$AA$36)))</f>
        <v/>
      </c>
      <c r="P95" s="68">
        <f>IF(計算用!$AA$36="","",IF(計算用!$B$1=1,INDEX(計算用!$H$3:$H$452,計算用!$AA$36),INDEX(振り分け!$D$7:$D$456,計算用!$AA$36)))</f>
        <v/>
      </c>
      <c r="Q95" s="67">
        <f>IF(計算用!$AB$36="","",IF(計算用!$B$1=1,INDEX(計算用!$F$3:$F$452,計算用!$AB$36),INDEX(振り分け!$B$7:$B$456,計算用!$AB$36)))</f>
        <v/>
      </c>
      <c r="R95" s="68">
        <f>IF(計算用!$AB$36="","",IF(計算用!$B$1=1,INDEX(計算用!$H$3:$H$452,計算用!$AB$36),INDEX(振り分け!$D$7:$D$456,計算用!$AB$36)))</f>
        <v/>
      </c>
      <c r="S95" s="67">
        <f>IF(計算用!$AC$36="","",IF(計算用!$B$1=1,INDEX(計算用!$F$3:$F$452,計算用!$AC$36),INDEX(振り分け!$B$7:$B$456,計算用!$AC$36)))</f>
        <v/>
      </c>
      <c r="T95" s="68">
        <f>IF(計算用!$AC$36="","",IF(計算用!$B$1=1,INDEX(計算用!$H$3:$H$452,計算用!$AC$36),INDEX(振り分け!$D$7:$D$456,計算用!$AC$36)))</f>
        <v/>
      </c>
    </row>
    <row r="96">
      <c r="A96" s="67">
        <f>IF(計算用!$T$37="","",IF(計算用!$B$1=1,INDEX(計算用!$F$3:$F$452,計算用!$T$37),INDEX(振り分け!$B$7:$B$456,計算用!$T$37)))</f>
        <v/>
      </c>
      <c r="B96" s="68">
        <f>IF(計算用!$T$37="","",IF(計算用!$B$1=1,INDEX(計算用!$H$3:$H$452,計算用!$T$37),INDEX(振り分け!$D$7:$D$456,計算用!$T$37)))</f>
        <v/>
      </c>
      <c r="C96" s="67">
        <f>IF(計算用!$U$37="","",IF(計算用!$B$1=1,INDEX(計算用!$F$3:$F$452,計算用!$U$37),INDEX(振り分け!$B$7:$B$456,計算用!$U$37)))</f>
        <v/>
      </c>
      <c r="D96" s="68">
        <f>IF(計算用!$U$37="","",IF(計算用!$B$1=1,INDEX(計算用!$H$3:$H$452,計算用!$U$37),INDEX(振り分け!$D$7:$D$456,計算用!$U$37)))</f>
        <v/>
      </c>
      <c r="E96" s="67">
        <f>IF(計算用!$V$37="","",IF(計算用!$B$1=1,INDEX(計算用!$F$3:$F$452,計算用!$V$37),INDEX(振り分け!$B$7:$B$456,計算用!$V$37)))</f>
        <v/>
      </c>
      <c r="F96" s="68">
        <f>IF(計算用!$V$37="","",IF(計算用!$B$1=1,INDEX(計算用!$H$3:$H$452,計算用!$V$37),INDEX(振り分け!$D$7:$D$456,計算用!$V$37)))</f>
        <v/>
      </c>
      <c r="G96" s="67">
        <f>IF(計算用!$W$37="","",IF(計算用!$B$1=1,INDEX(計算用!$F$3:$F$452,計算用!$W$37),INDEX(振り分け!$B$7:$B$456,計算用!$W$37)))</f>
        <v/>
      </c>
      <c r="H96" s="68">
        <f>IF(計算用!$W$37="","",IF(計算用!$B$1=1,INDEX(計算用!$H$3:$H$452,計算用!$W$37),INDEX(振り分け!$D$7:$D$456,計算用!$W$37)))</f>
        <v/>
      </c>
      <c r="I96" s="67">
        <f>IF(計算用!$X$37="","",IF(計算用!$B$1=1,INDEX(計算用!$F$3:$F$452,計算用!$X$37),INDEX(振り分け!$B$7:$B$456,計算用!$X$37)))</f>
        <v/>
      </c>
      <c r="J96" s="68">
        <f>IF(計算用!$X$37="","",IF(計算用!$B$1=1,INDEX(計算用!$H$3:$H$452,計算用!$X$37),INDEX(振り分け!$D$7:$D$456,計算用!$X$37)))</f>
        <v/>
      </c>
      <c r="K96" s="67">
        <f>IF(計算用!$Y$37="","",IF(計算用!$B$1=1,INDEX(計算用!$F$3:$F$452,計算用!$Y$37),INDEX(振り分け!$B$7:$B$456,計算用!$Y$37)))</f>
        <v/>
      </c>
      <c r="L96" s="68">
        <f>IF(計算用!$Y$37="","",IF(計算用!$B$1=1,INDEX(計算用!$H$3:$H$452,計算用!$Y$37),INDEX(振り分け!$D$7:$D$456,計算用!$Y$37)))</f>
        <v/>
      </c>
      <c r="M96" s="67">
        <f>IF(計算用!$Z$37="","",IF(計算用!$B$1=1,INDEX(計算用!$F$3:$F$452,計算用!$Z$37),INDEX(振り分け!$B$7:$B$456,計算用!$Z$37)))</f>
        <v/>
      </c>
      <c r="N96" s="68">
        <f>IF(計算用!$Z$37="","",IF(計算用!$B$1=1,INDEX(計算用!$H$3:$H$452,計算用!$Z$37),INDEX(振り分け!$D$7:$D$456,計算用!$Z$37)))</f>
        <v/>
      </c>
      <c r="O96" s="67">
        <f>IF(計算用!$AA$37="","",IF(計算用!$B$1=1,INDEX(計算用!$F$3:$F$452,計算用!$AA$37),INDEX(振り分け!$B$7:$B$456,計算用!$AA$37)))</f>
        <v/>
      </c>
      <c r="P96" s="68">
        <f>IF(計算用!$AA$37="","",IF(計算用!$B$1=1,INDEX(計算用!$H$3:$H$452,計算用!$AA$37),INDEX(振り分け!$D$7:$D$456,計算用!$AA$37)))</f>
        <v/>
      </c>
      <c r="Q96" s="67">
        <f>IF(計算用!$AB$37="","",IF(計算用!$B$1=1,INDEX(計算用!$F$3:$F$452,計算用!$AB$37),INDEX(振り分け!$B$7:$B$456,計算用!$AB$37)))</f>
        <v/>
      </c>
      <c r="R96" s="68">
        <f>IF(計算用!$AB$37="","",IF(計算用!$B$1=1,INDEX(計算用!$H$3:$H$452,計算用!$AB$37),INDEX(振り分け!$D$7:$D$456,計算用!$AB$37)))</f>
        <v/>
      </c>
      <c r="S96" s="67">
        <f>IF(計算用!$AC$37="","",IF(計算用!$B$1=1,INDEX(計算用!$F$3:$F$452,計算用!$AC$37),INDEX(振り分け!$B$7:$B$456,計算用!$AC$37)))</f>
        <v/>
      </c>
      <c r="T96" s="68">
        <f>IF(計算用!$AC$37="","",IF(計算用!$B$1=1,INDEX(計算用!$H$3:$H$452,計算用!$AC$37),INDEX(振り分け!$D$7:$D$456,計算用!$AC$37)))</f>
        <v/>
      </c>
    </row>
    <row r="97">
      <c r="A97" s="67">
        <f>IF(計算用!$T$38="","",IF(計算用!$B$1=1,INDEX(計算用!$F$3:$F$452,計算用!$T$38),INDEX(振り分け!$B$7:$B$456,計算用!$T$38)))</f>
        <v/>
      </c>
      <c r="B97" s="68">
        <f>IF(計算用!$T$38="","",IF(計算用!$B$1=1,INDEX(計算用!$H$3:$H$452,計算用!$T$38),INDEX(振り分け!$D$7:$D$456,計算用!$T$38)))</f>
        <v/>
      </c>
      <c r="C97" s="67">
        <f>IF(計算用!$U$38="","",IF(計算用!$B$1=1,INDEX(計算用!$F$3:$F$452,計算用!$U$38),INDEX(振り分け!$B$7:$B$456,計算用!$U$38)))</f>
        <v/>
      </c>
      <c r="D97" s="68">
        <f>IF(計算用!$U$38="","",IF(計算用!$B$1=1,INDEX(計算用!$H$3:$H$452,計算用!$U$38),INDEX(振り分け!$D$7:$D$456,計算用!$U$38)))</f>
        <v/>
      </c>
      <c r="E97" s="67">
        <f>IF(計算用!$V$38="","",IF(計算用!$B$1=1,INDEX(計算用!$F$3:$F$452,計算用!$V$38),INDEX(振り分け!$B$7:$B$456,計算用!$V$38)))</f>
        <v/>
      </c>
      <c r="F97" s="68">
        <f>IF(計算用!$V$38="","",IF(計算用!$B$1=1,INDEX(計算用!$H$3:$H$452,計算用!$V$38),INDEX(振り分け!$D$7:$D$456,計算用!$V$38)))</f>
        <v/>
      </c>
      <c r="G97" s="67">
        <f>IF(計算用!$W$38="","",IF(計算用!$B$1=1,INDEX(計算用!$F$3:$F$452,計算用!$W$38),INDEX(振り分け!$B$7:$B$456,計算用!$W$38)))</f>
        <v/>
      </c>
      <c r="H97" s="68">
        <f>IF(計算用!$W$38="","",IF(計算用!$B$1=1,INDEX(計算用!$H$3:$H$452,計算用!$W$38),INDEX(振り分け!$D$7:$D$456,計算用!$W$38)))</f>
        <v/>
      </c>
      <c r="I97" s="67">
        <f>IF(計算用!$X$38="","",IF(計算用!$B$1=1,INDEX(計算用!$F$3:$F$452,計算用!$X$38),INDEX(振り分け!$B$7:$B$456,計算用!$X$38)))</f>
        <v/>
      </c>
      <c r="J97" s="68">
        <f>IF(計算用!$X$38="","",IF(計算用!$B$1=1,INDEX(計算用!$H$3:$H$452,計算用!$X$38),INDEX(振り分け!$D$7:$D$456,計算用!$X$38)))</f>
        <v/>
      </c>
      <c r="K97" s="67">
        <f>IF(計算用!$Y$38="","",IF(計算用!$B$1=1,INDEX(計算用!$F$3:$F$452,計算用!$Y$38),INDEX(振り分け!$B$7:$B$456,計算用!$Y$38)))</f>
        <v/>
      </c>
      <c r="L97" s="68">
        <f>IF(計算用!$Y$38="","",IF(計算用!$B$1=1,INDEX(計算用!$H$3:$H$452,計算用!$Y$38),INDEX(振り分け!$D$7:$D$456,計算用!$Y$38)))</f>
        <v/>
      </c>
      <c r="M97" s="67">
        <f>IF(計算用!$Z$38="","",IF(計算用!$B$1=1,INDEX(計算用!$F$3:$F$452,計算用!$Z$38),INDEX(振り分け!$B$7:$B$456,計算用!$Z$38)))</f>
        <v/>
      </c>
      <c r="N97" s="68">
        <f>IF(計算用!$Z$38="","",IF(計算用!$B$1=1,INDEX(計算用!$H$3:$H$452,計算用!$Z$38),INDEX(振り分け!$D$7:$D$456,計算用!$Z$38)))</f>
        <v/>
      </c>
      <c r="O97" s="67">
        <f>IF(計算用!$AA$38="","",IF(計算用!$B$1=1,INDEX(計算用!$F$3:$F$452,計算用!$AA$38),INDEX(振り分け!$B$7:$B$456,計算用!$AA$38)))</f>
        <v/>
      </c>
      <c r="P97" s="68">
        <f>IF(計算用!$AA$38="","",IF(計算用!$B$1=1,INDEX(計算用!$H$3:$H$452,計算用!$AA$38),INDEX(振り分け!$D$7:$D$456,計算用!$AA$38)))</f>
        <v/>
      </c>
      <c r="Q97" s="67">
        <f>IF(計算用!$AB$38="","",IF(計算用!$B$1=1,INDEX(計算用!$F$3:$F$452,計算用!$AB$38),INDEX(振り分け!$B$7:$B$456,計算用!$AB$38)))</f>
        <v/>
      </c>
      <c r="R97" s="68">
        <f>IF(計算用!$AB$38="","",IF(計算用!$B$1=1,INDEX(計算用!$H$3:$H$452,計算用!$AB$38),INDEX(振り分け!$D$7:$D$456,計算用!$AB$38)))</f>
        <v/>
      </c>
      <c r="S97" s="67">
        <f>IF(計算用!$AC$38="","",IF(計算用!$B$1=1,INDEX(計算用!$F$3:$F$452,計算用!$AC$38),INDEX(振り分け!$B$7:$B$456,計算用!$AC$38)))</f>
        <v/>
      </c>
      <c r="T97" s="68">
        <f>IF(計算用!$AC$38="","",IF(計算用!$B$1=1,INDEX(計算用!$H$3:$H$452,計算用!$AC$38),INDEX(振り分け!$D$7:$D$456,計算用!$AC$38)))</f>
        <v/>
      </c>
    </row>
    <row r="98">
      <c r="A98" s="67">
        <f>IF(計算用!$T$39="","",IF(計算用!$B$1=1,INDEX(計算用!$F$3:$F$452,計算用!$T$39),INDEX(振り分け!$B$7:$B$456,計算用!$T$39)))</f>
        <v/>
      </c>
      <c r="B98" s="68">
        <f>IF(計算用!$T$39="","",IF(計算用!$B$1=1,INDEX(計算用!$H$3:$H$452,計算用!$T$39),INDEX(振り分け!$D$7:$D$456,計算用!$T$39)))</f>
        <v/>
      </c>
      <c r="C98" s="67">
        <f>IF(計算用!$U$39="","",IF(計算用!$B$1=1,INDEX(計算用!$F$3:$F$452,計算用!$U$39),INDEX(振り分け!$B$7:$B$456,計算用!$U$39)))</f>
        <v/>
      </c>
      <c r="D98" s="68">
        <f>IF(計算用!$U$39="","",IF(計算用!$B$1=1,INDEX(計算用!$H$3:$H$452,計算用!$U$39),INDEX(振り分け!$D$7:$D$456,計算用!$U$39)))</f>
        <v/>
      </c>
      <c r="E98" s="67">
        <f>IF(計算用!$V$39="","",IF(計算用!$B$1=1,INDEX(計算用!$F$3:$F$452,計算用!$V$39),INDEX(振り分け!$B$7:$B$456,計算用!$V$39)))</f>
        <v/>
      </c>
      <c r="F98" s="68">
        <f>IF(計算用!$V$39="","",IF(計算用!$B$1=1,INDEX(計算用!$H$3:$H$452,計算用!$V$39),INDEX(振り分け!$D$7:$D$456,計算用!$V$39)))</f>
        <v/>
      </c>
      <c r="G98" s="67">
        <f>IF(計算用!$W$39="","",IF(計算用!$B$1=1,INDEX(計算用!$F$3:$F$452,計算用!$W$39),INDEX(振り分け!$B$7:$B$456,計算用!$W$39)))</f>
        <v/>
      </c>
      <c r="H98" s="68">
        <f>IF(計算用!$W$39="","",IF(計算用!$B$1=1,INDEX(計算用!$H$3:$H$452,計算用!$W$39),INDEX(振り分け!$D$7:$D$456,計算用!$W$39)))</f>
        <v/>
      </c>
      <c r="I98" s="67">
        <f>IF(計算用!$X$39="","",IF(計算用!$B$1=1,INDEX(計算用!$F$3:$F$452,計算用!$X$39),INDEX(振り分け!$B$7:$B$456,計算用!$X$39)))</f>
        <v/>
      </c>
      <c r="J98" s="68">
        <f>IF(計算用!$X$39="","",IF(計算用!$B$1=1,INDEX(計算用!$H$3:$H$452,計算用!$X$39),INDEX(振り分け!$D$7:$D$456,計算用!$X$39)))</f>
        <v/>
      </c>
      <c r="K98" s="67">
        <f>IF(計算用!$Y$39="","",IF(計算用!$B$1=1,INDEX(計算用!$F$3:$F$452,計算用!$Y$39),INDEX(振り分け!$B$7:$B$456,計算用!$Y$39)))</f>
        <v/>
      </c>
      <c r="L98" s="68">
        <f>IF(計算用!$Y$39="","",IF(計算用!$B$1=1,INDEX(計算用!$H$3:$H$452,計算用!$Y$39),INDEX(振り分け!$D$7:$D$456,計算用!$Y$39)))</f>
        <v/>
      </c>
      <c r="M98" s="67">
        <f>IF(計算用!$Z$39="","",IF(計算用!$B$1=1,INDEX(計算用!$F$3:$F$452,計算用!$Z$39),INDEX(振り分け!$B$7:$B$456,計算用!$Z$39)))</f>
        <v/>
      </c>
      <c r="N98" s="68">
        <f>IF(計算用!$Z$39="","",IF(計算用!$B$1=1,INDEX(計算用!$H$3:$H$452,計算用!$Z$39),INDEX(振り分け!$D$7:$D$456,計算用!$Z$39)))</f>
        <v/>
      </c>
      <c r="O98" s="67">
        <f>IF(計算用!$AA$39="","",IF(計算用!$B$1=1,INDEX(計算用!$F$3:$F$452,計算用!$AA$39),INDEX(振り分け!$B$7:$B$456,計算用!$AA$39)))</f>
        <v/>
      </c>
      <c r="P98" s="68">
        <f>IF(計算用!$AA$39="","",IF(計算用!$B$1=1,INDEX(計算用!$H$3:$H$452,計算用!$AA$39),INDEX(振り分け!$D$7:$D$456,計算用!$AA$39)))</f>
        <v/>
      </c>
      <c r="Q98" s="67">
        <f>IF(計算用!$AB$39="","",IF(計算用!$B$1=1,INDEX(計算用!$F$3:$F$452,計算用!$AB$39),INDEX(振り分け!$B$7:$B$456,計算用!$AB$39)))</f>
        <v/>
      </c>
      <c r="R98" s="68">
        <f>IF(計算用!$AB$39="","",IF(計算用!$B$1=1,INDEX(計算用!$H$3:$H$452,計算用!$AB$39),INDEX(振り分け!$D$7:$D$456,計算用!$AB$39)))</f>
        <v/>
      </c>
      <c r="S98" s="67">
        <f>IF(計算用!$AC$39="","",IF(計算用!$B$1=1,INDEX(計算用!$F$3:$F$452,計算用!$AC$39),INDEX(振り分け!$B$7:$B$456,計算用!$AC$39)))</f>
        <v/>
      </c>
      <c r="T98" s="68">
        <f>IF(計算用!$AC$39="","",IF(計算用!$B$1=1,INDEX(計算用!$H$3:$H$452,計算用!$AC$39),INDEX(振り分け!$D$7:$D$456,計算用!$AC$39)))</f>
        <v/>
      </c>
    </row>
    <row r="99">
      <c r="A99" s="67">
        <f>IF(計算用!$T$40="","",IF(計算用!$B$1=1,INDEX(計算用!$F$3:$F$452,計算用!$T$40),INDEX(振り分け!$B$7:$B$456,計算用!$T$40)))</f>
        <v/>
      </c>
      <c r="B99" s="68">
        <f>IF(計算用!$T$40="","",IF(計算用!$B$1=1,INDEX(計算用!$H$3:$H$452,計算用!$T$40),INDEX(振り分け!$D$7:$D$456,計算用!$T$40)))</f>
        <v/>
      </c>
      <c r="C99" s="67">
        <f>IF(計算用!$U$40="","",IF(計算用!$B$1=1,INDEX(計算用!$F$3:$F$452,計算用!$U$40),INDEX(振り分け!$B$7:$B$456,計算用!$U$40)))</f>
        <v/>
      </c>
      <c r="D99" s="68">
        <f>IF(計算用!$U$40="","",IF(計算用!$B$1=1,INDEX(計算用!$H$3:$H$452,計算用!$U$40),INDEX(振り分け!$D$7:$D$456,計算用!$U$40)))</f>
        <v/>
      </c>
      <c r="E99" s="67">
        <f>IF(計算用!$V$40="","",IF(計算用!$B$1=1,INDEX(計算用!$F$3:$F$452,計算用!$V$40),INDEX(振り分け!$B$7:$B$456,計算用!$V$40)))</f>
        <v/>
      </c>
      <c r="F99" s="68">
        <f>IF(計算用!$V$40="","",IF(計算用!$B$1=1,INDEX(計算用!$H$3:$H$452,計算用!$V$40),INDEX(振り分け!$D$7:$D$456,計算用!$V$40)))</f>
        <v/>
      </c>
      <c r="G99" s="67">
        <f>IF(計算用!$W$40="","",IF(計算用!$B$1=1,INDEX(計算用!$F$3:$F$452,計算用!$W$40),INDEX(振り分け!$B$7:$B$456,計算用!$W$40)))</f>
        <v/>
      </c>
      <c r="H99" s="68">
        <f>IF(計算用!$W$40="","",IF(計算用!$B$1=1,INDEX(計算用!$H$3:$H$452,計算用!$W$40),INDEX(振り分け!$D$7:$D$456,計算用!$W$40)))</f>
        <v/>
      </c>
      <c r="I99" s="67">
        <f>IF(計算用!$X$40="","",IF(計算用!$B$1=1,INDEX(計算用!$F$3:$F$452,計算用!$X$40),INDEX(振り分け!$B$7:$B$456,計算用!$X$40)))</f>
        <v/>
      </c>
      <c r="J99" s="68">
        <f>IF(計算用!$X$40="","",IF(計算用!$B$1=1,INDEX(計算用!$H$3:$H$452,計算用!$X$40),INDEX(振り分け!$D$7:$D$456,計算用!$X$40)))</f>
        <v/>
      </c>
      <c r="K99" s="67">
        <f>IF(計算用!$Y$40="","",IF(計算用!$B$1=1,INDEX(計算用!$F$3:$F$452,計算用!$Y$40),INDEX(振り分け!$B$7:$B$456,計算用!$Y$40)))</f>
        <v/>
      </c>
      <c r="L99" s="68">
        <f>IF(計算用!$Y$40="","",IF(計算用!$B$1=1,INDEX(計算用!$H$3:$H$452,計算用!$Y$40),INDEX(振り分け!$D$7:$D$456,計算用!$Y$40)))</f>
        <v/>
      </c>
      <c r="M99" s="67">
        <f>IF(計算用!$Z$40="","",IF(計算用!$B$1=1,INDEX(計算用!$F$3:$F$452,計算用!$Z$40),INDEX(振り分け!$B$7:$B$456,計算用!$Z$40)))</f>
        <v/>
      </c>
      <c r="N99" s="68">
        <f>IF(計算用!$Z$40="","",IF(計算用!$B$1=1,INDEX(計算用!$H$3:$H$452,計算用!$Z$40),INDEX(振り分け!$D$7:$D$456,計算用!$Z$40)))</f>
        <v/>
      </c>
      <c r="O99" s="67">
        <f>IF(計算用!$AA$40="","",IF(計算用!$B$1=1,INDEX(計算用!$F$3:$F$452,計算用!$AA$40),INDEX(振り分け!$B$7:$B$456,計算用!$AA$40)))</f>
        <v/>
      </c>
      <c r="P99" s="68">
        <f>IF(計算用!$AA$40="","",IF(計算用!$B$1=1,INDEX(計算用!$H$3:$H$452,計算用!$AA$40),INDEX(振り分け!$D$7:$D$456,計算用!$AA$40)))</f>
        <v/>
      </c>
      <c r="Q99" s="67">
        <f>IF(計算用!$AB$40="","",IF(計算用!$B$1=1,INDEX(計算用!$F$3:$F$452,計算用!$AB$40),INDEX(振り分け!$B$7:$B$456,計算用!$AB$40)))</f>
        <v/>
      </c>
      <c r="R99" s="68">
        <f>IF(計算用!$AB$40="","",IF(計算用!$B$1=1,INDEX(計算用!$H$3:$H$452,計算用!$AB$40),INDEX(振り分け!$D$7:$D$456,計算用!$AB$40)))</f>
        <v/>
      </c>
      <c r="S99" s="67">
        <f>IF(計算用!$AC$40="","",IF(計算用!$B$1=1,INDEX(計算用!$F$3:$F$452,計算用!$AC$40),INDEX(振り分け!$B$7:$B$456,計算用!$AC$40)))</f>
        <v/>
      </c>
      <c r="T99" s="68">
        <f>IF(計算用!$AC$40="","",IF(計算用!$B$1=1,INDEX(計算用!$H$3:$H$452,計算用!$AC$40),INDEX(振り分け!$D$7:$D$456,計算用!$AC$40)))</f>
        <v/>
      </c>
    </row>
    <row r="100">
      <c r="A100" s="67">
        <f>IF(計算用!$T$41="","",IF(計算用!$B$1=1,INDEX(計算用!$F$3:$F$452,計算用!$T$41),INDEX(振り分け!$B$7:$B$456,計算用!$T$41)))</f>
        <v/>
      </c>
      <c r="B100" s="68">
        <f>IF(計算用!$T$41="","",IF(計算用!$B$1=1,INDEX(計算用!$H$3:$H$452,計算用!$T$41),INDEX(振り分け!$D$7:$D$456,計算用!$T$41)))</f>
        <v/>
      </c>
      <c r="C100" s="67">
        <f>IF(計算用!$U$41="","",IF(計算用!$B$1=1,INDEX(計算用!$F$3:$F$452,計算用!$U$41),INDEX(振り分け!$B$7:$B$456,計算用!$U$41)))</f>
        <v/>
      </c>
      <c r="D100" s="68">
        <f>IF(計算用!$U$41="","",IF(計算用!$B$1=1,INDEX(計算用!$H$3:$H$452,計算用!$U$41),INDEX(振り分け!$D$7:$D$456,計算用!$U$41)))</f>
        <v/>
      </c>
      <c r="E100" s="67">
        <f>IF(計算用!$V$41="","",IF(計算用!$B$1=1,INDEX(計算用!$F$3:$F$452,計算用!$V$41),INDEX(振り分け!$B$7:$B$456,計算用!$V$41)))</f>
        <v/>
      </c>
      <c r="F100" s="68">
        <f>IF(計算用!$V$41="","",IF(計算用!$B$1=1,INDEX(計算用!$H$3:$H$452,計算用!$V$41),INDEX(振り分け!$D$7:$D$456,計算用!$V$41)))</f>
        <v/>
      </c>
      <c r="G100" s="67">
        <f>IF(計算用!$W$41="","",IF(計算用!$B$1=1,INDEX(計算用!$F$3:$F$452,計算用!$W$41),INDEX(振り分け!$B$7:$B$456,計算用!$W$41)))</f>
        <v/>
      </c>
      <c r="H100" s="68">
        <f>IF(計算用!$W$41="","",IF(計算用!$B$1=1,INDEX(計算用!$H$3:$H$452,計算用!$W$41),INDEX(振り分け!$D$7:$D$456,計算用!$W$41)))</f>
        <v/>
      </c>
      <c r="I100" s="67">
        <f>IF(計算用!$X$41="","",IF(計算用!$B$1=1,INDEX(計算用!$F$3:$F$452,計算用!$X$41),INDEX(振り分け!$B$7:$B$456,計算用!$X$41)))</f>
        <v/>
      </c>
      <c r="J100" s="68">
        <f>IF(計算用!$X$41="","",IF(計算用!$B$1=1,INDEX(計算用!$H$3:$H$452,計算用!$X$41),INDEX(振り分け!$D$7:$D$456,計算用!$X$41)))</f>
        <v/>
      </c>
      <c r="K100" s="67">
        <f>IF(計算用!$Y$41="","",IF(計算用!$B$1=1,INDEX(計算用!$F$3:$F$452,計算用!$Y$41),INDEX(振り分け!$B$7:$B$456,計算用!$Y$41)))</f>
        <v/>
      </c>
      <c r="L100" s="68">
        <f>IF(計算用!$Y$41="","",IF(計算用!$B$1=1,INDEX(計算用!$H$3:$H$452,計算用!$Y$41),INDEX(振り分け!$D$7:$D$456,計算用!$Y$41)))</f>
        <v/>
      </c>
      <c r="M100" s="67">
        <f>IF(計算用!$Z$41="","",IF(計算用!$B$1=1,INDEX(計算用!$F$3:$F$452,計算用!$Z$41),INDEX(振り分け!$B$7:$B$456,計算用!$Z$41)))</f>
        <v/>
      </c>
      <c r="N100" s="68">
        <f>IF(計算用!$Z$41="","",IF(計算用!$B$1=1,INDEX(計算用!$H$3:$H$452,計算用!$Z$41),INDEX(振り分け!$D$7:$D$456,計算用!$Z$41)))</f>
        <v/>
      </c>
      <c r="O100" s="67">
        <f>IF(計算用!$AA$41="","",IF(計算用!$B$1=1,INDEX(計算用!$F$3:$F$452,計算用!$AA$41),INDEX(振り分け!$B$7:$B$456,計算用!$AA$41)))</f>
        <v/>
      </c>
      <c r="P100" s="68">
        <f>IF(計算用!$AA$41="","",IF(計算用!$B$1=1,INDEX(計算用!$H$3:$H$452,計算用!$AA$41),INDEX(振り分け!$D$7:$D$456,計算用!$AA$41)))</f>
        <v/>
      </c>
      <c r="Q100" s="67">
        <f>IF(計算用!$AB$41="","",IF(計算用!$B$1=1,INDEX(計算用!$F$3:$F$452,計算用!$AB$41),INDEX(振り分け!$B$7:$B$456,計算用!$AB$41)))</f>
        <v/>
      </c>
      <c r="R100" s="68">
        <f>IF(計算用!$AB$41="","",IF(計算用!$B$1=1,INDEX(計算用!$H$3:$H$452,計算用!$AB$41),INDEX(振り分け!$D$7:$D$456,計算用!$AB$41)))</f>
        <v/>
      </c>
      <c r="S100" s="67">
        <f>IF(計算用!$AC$41="","",IF(計算用!$B$1=1,INDEX(計算用!$F$3:$F$452,計算用!$AC$41),INDEX(振り分け!$B$7:$B$456,計算用!$AC$41)))</f>
        <v/>
      </c>
      <c r="T100" s="68">
        <f>IF(計算用!$AC$41="","",IF(計算用!$B$1=1,INDEX(計算用!$H$3:$H$452,計算用!$AC$41),INDEX(振り分け!$D$7:$D$456,計算用!$AC$41)))</f>
        <v/>
      </c>
    </row>
    <row r="101">
      <c r="A101" s="67">
        <f>IF(計算用!$T$42="","",IF(計算用!$B$1=1,INDEX(計算用!$F$3:$F$452,計算用!$T$42),INDEX(振り分け!$B$7:$B$456,計算用!$T$42)))</f>
        <v/>
      </c>
      <c r="B101" s="68">
        <f>IF(計算用!$T$42="","",IF(計算用!$B$1=1,INDEX(計算用!$H$3:$H$452,計算用!$T$42),INDEX(振り分け!$D$7:$D$456,計算用!$T$42)))</f>
        <v/>
      </c>
      <c r="C101" s="67">
        <f>IF(計算用!$U$42="","",IF(計算用!$B$1=1,INDEX(計算用!$F$3:$F$452,計算用!$U$42),INDEX(振り分け!$B$7:$B$456,計算用!$U$42)))</f>
        <v/>
      </c>
      <c r="D101" s="68">
        <f>IF(計算用!$U$42="","",IF(計算用!$B$1=1,INDEX(計算用!$H$3:$H$452,計算用!$U$42),INDEX(振り分け!$D$7:$D$456,計算用!$U$42)))</f>
        <v/>
      </c>
      <c r="E101" s="67">
        <f>IF(計算用!$V$42="","",IF(計算用!$B$1=1,INDEX(計算用!$F$3:$F$452,計算用!$V$42),INDEX(振り分け!$B$7:$B$456,計算用!$V$42)))</f>
        <v/>
      </c>
      <c r="F101" s="68">
        <f>IF(計算用!$V$42="","",IF(計算用!$B$1=1,INDEX(計算用!$H$3:$H$452,計算用!$V$42),INDEX(振り分け!$D$7:$D$456,計算用!$V$42)))</f>
        <v/>
      </c>
      <c r="G101" s="67">
        <f>IF(計算用!$W$42="","",IF(計算用!$B$1=1,INDEX(計算用!$F$3:$F$452,計算用!$W$42),INDEX(振り分け!$B$7:$B$456,計算用!$W$42)))</f>
        <v/>
      </c>
      <c r="H101" s="68">
        <f>IF(計算用!$W$42="","",IF(計算用!$B$1=1,INDEX(計算用!$H$3:$H$452,計算用!$W$42),INDEX(振り分け!$D$7:$D$456,計算用!$W$42)))</f>
        <v/>
      </c>
      <c r="I101" s="67">
        <f>IF(計算用!$X$42="","",IF(計算用!$B$1=1,INDEX(計算用!$F$3:$F$452,計算用!$X$42),INDEX(振り分け!$B$7:$B$456,計算用!$X$42)))</f>
        <v/>
      </c>
      <c r="J101" s="68">
        <f>IF(計算用!$X$42="","",IF(計算用!$B$1=1,INDEX(計算用!$H$3:$H$452,計算用!$X$42),INDEX(振り分け!$D$7:$D$456,計算用!$X$42)))</f>
        <v/>
      </c>
      <c r="K101" s="67">
        <f>IF(計算用!$Y$42="","",IF(計算用!$B$1=1,INDEX(計算用!$F$3:$F$452,計算用!$Y$42),INDEX(振り分け!$B$7:$B$456,計算用!$Y$42)))</f>
        <v/>
      </c>
      <c r="L101" s="68">
        <f>IF(計算用!$Y$42="","",IF(計算用!$B$1=1,INDEX(計算用!$H$3:$H$452,計算用!$Y$42),INDEX(振り分け!$D$7:$D$456,計算用!$Y$42)))</f>
        <v/>
      </c>
      <c r="M101" s="67">
        <f>IF(計算用!$Z$42="","",IF(計算用!$B$1=1,INDEX(計算用!$F$3:$F$452,計算用!$Z$42),INDEX(振り分け!$B$7:$B$456,計算用!$Z$42)))</f>
        <v/>
      </c>
      <c r="N101" s="68">
        <f>IF(計算用!$Z$42="","",IF(計算用!$B$1=1,INDEX(計算用!$H$3:$H$452,計算用!$Z$42),INDEX(振り分け!$D$7:$D$456,計算用!$Z$42)))</f>
        <v/>
      </c>
      <c r="O101" s="67">
        <f>IF(計算用!$AA$42="","",IF(計算用!$B$1=1,INDEX(計算用!$F$3:$F$452,計算用!$AA$42),INDEX(振り分け!$B$7:$B$456,計算用!$AA$42)))</f>
        <v/>
      </c>
      <c r="P101" s="68">
        <f>IF(計算用!$AA$42="","",IF(計算用!$B$1=1,INDEX(計算用!$H$3:$H$452,計算用!$AA$42),INDEX(振り分け!$D$7:$D$456,計算用!$AA$42)))</f>
        <v/>
      </c>
      <c r="Q101" s="67">
        <f>IF(計算用!$AB$42="","",IF(計算用!$B$1=1,INDEX(計算用!$F$3:$F$452,計算用!$AB$42),INDEX(振り分け!$B$7:$B$456,計算用!$AB$42)))</f>
        <v/>
      </c>
      <c r="R101" s="68">
        <f>IF(計算用!$AB$42="","",IF(計算用!$B$1=1,INDEX(計算用!$H$3:$H$452,計算用!$AB$42),INDEX(振り分け!$D$7:$D$456,計算用!$AB$42)))</f>
        <v/>
      </c>
      <c r="S101" s="67">
        <f>IF(計算用!$AC$42="","",IF(計算用!$B$1=1,INDEX(計算用!$F$3:$F$452,計算用!$AC$42),INDEX(振り分け!$B$7:$B$456,計算用!$AC$42)))</f>
        <v/>
      </c>
      <c r="T101" s="68">
        <f>IF(計算用!$AC$42="","",IF(計算用!$B$1=1,INDEX(計算用!$H$3:$H$452,計算用!$AC$42),INDEX(振り分け!$D$7:$D$456,計算用!$AC$42)))</f>
        <v/>
      </c>
    </row>
    <row r="102">
      <c r="A102" s="67">
        <f>IF(計算用!$T$43="","",IF(計算用!$B$1=1,INDEX(計算用!$F$3:$F$452,計算用!$T$43),INDEX(振り分け!$B$7:$B$456,計算用!$T$43)))</f>
        <v/>
      </c>
      <c r="B102" s="68">
        <f>IF(計算用!$T$43="","",IF(計算用!$B$1=1,INDEX(計算用!$H$3:$H$452,計算用!$T$43),INDEX(振り分け!$D$7:$D$456,計算用!$T$43)))</f>
        <v/>
      </c>
      <c r="C102" s="67">
        <f>IF(計算用!$U$43="","",IF(計算用!$B$1=1,INDEX(計算用!$F$3:$F$452,計算用!$U$43),INDEX(振り分け!$B$7:$B$456,計算用!$U$43)))</f>
        <v/>
      </c>
      <c r="D102" s="68">
        <f>IF(計算用!$U$43="","",IF(計算用!$B$1=1,INDEX(計算用!$H$3:$H$452,計算用!$U$43),INDEX(振り分け!$D$7:$D$456,計算用!$U$43)))</f>
        <v/>
      </c>
      <c r="E102" s="67">
        <f>IF(計算用!$V$43="","",IF(計算用!$B$1=1,INDEX(計算用!$F$3:$F$452,計算用!$V$43),INDEX(振り分け!$B$7:$B$456,計算用!$V$43)))</f>
        <v/>
      </c>
      <c r="F102" s="68">
        <f>IF(計算用!$V$43="","",IF(計算用!$B$1=1,INDEX(計算用!$H$3:$H$452,計算用!$V$43),INDEX(振り分け!$D$7:$D$456,計算用!$V$43)))</f>
        <v/>
      </c>
      <c r="G102" s="67">
        <f>IF(計算用!$W$43="","",IF(計算用!$B$1=1,INDEX(計算用!$F$3:$F$452,計算用!$W$43),INDEX(振り分け!$B$7:$B$456,計算用!$W$43)))</f>
        <v/>
      </c>
      <c r="H102" s="68">
        <f>IF(計算用!$W$43="","",IF(計算用!$B$1=1,INDEX(計算用!$H$3:$H$452,計算用!$W$43),INDEX(振り分け!$D$7:$D$456,計算用!$W$43)))</f>
        <v/>
      </c>
      <c r="I102" s="67">
        <f>IF(計算用!$X$43="","",IF(計算用!$B$1=1,INDEX(計算用!$F$3:$F$452,計算用!$X$43),INDEX(振り分け!$B$7:$B$456,計算用!$X$43)))</f>
        <v/>
      </c>
      <c r="J102" s="68">
        <f>IF(計算用!$X$43="","",IF(計算用!$B$1=1,INDEX(計算用!$H$3:$H$452,計算用!$X$43),INDEX(振り分け!$D$7:$D$456,計算用!$X$43)))</f>
        <v/>
      </c>
      <c r="K102" s="67">
        <f>IF(計算用!$Y$43="","",IF(計算用!$B$1=1,INDEX(計算用!$F$3:$F$452,計算用!$Y$43),INDEX(振り分け!$B$7:$B$456,計算用!$Y$43)))</f>
        <v/>
      </c>
      <c r="L102" s="68">
        <f>IF(計算用!$Y$43="","",IF(計算用!$B$1=1,INDEX(計算用!$H$3:$H$452,計算用!$Y$43),INDEX(振り分け!$D$7:$D$456,計算用!$Y$43)))</f>
        <v/>
      </c>
      <c r="M102" s="67">
        <f>IF(計算用!$Z$43="","",IF(計算用!$B$1=1,INDEX(計算用!$F$3:$F$452,計算用!$Z$43),INDEX(振り分け!$B$7:$B$456,計算用!$Z$43)))</f>
        <v/>
      </c>
      <c r="N102" s="68">
        <f>IF(計算用!$Z$43="","",IF(計算用!$B$1=1,INDEX(計算用!$H$3:$H$452,計算用!$Z$43),INDEX(振り分け!$D$7:$D$456,計算用!$Z$43)))</f>
        <v/>
      </c>
      <c r="O102" s="67">
        <f>IF(計算用!$AA$43="","",IF(計算用!$B$1=1,INDEX(計算用!$F$3:$F$452,計算用!$AA$43),INDEX(振り分け!$B$7:$B$456,計算用!$AA$43)))</f>
        <v/>
      </c>
      <c r="P102" s="68">
        <f>IF(計算用!$AA$43="","",IF(計算用!$B$1=1,INDEX(計算用!$H$3:$H$452,計算用!$AA$43),INDEX(振り分け!$D$7:$D$456,計算用!$AA$43)))</f>
        <v/>
      </c>
      <c r="Q102" s="67">
        <f>IF(計算用!$AB$43="","",IF(計算用!$B$1=1,INDEX(計算用!$F$3:$F$452,計算用!$AB$43),INDEX(振り分け!$B$7:$B$456,計算用!$AB$43)))</f>
        <v/>
      </c>
      <c r="R102" s="68">
        <f>IF(計算用!$AB$43="","",IF(計算用!$B$1=1,INDEX(計算用!$H$3:$H$452,計算用!$AB$43),INDEX(振り分け!$D$7:$D$456,計算用!$AB$43)))</f>
        <v/>
      </c>
      <c r="S102" s="67">
        <f>IF(計算用!$AC$43="","",IF(計算用!$B$1=1,INDEX(計算用!$F$3:$F$452,計算用!$AC$43),INDEX(振り分け!$B$7:$B$456,計算用!$AC$43)))</f>
        <v/>
      </c>
      <c r="T102" s="68">
        <f>IF(計算用!$AC$43="","",IF(計算用!$B$1=1,INDEX(計算用!$H$3:$H$452,計算用!$AC$43),INDEX(振り分け!$D$7:$D$456,計算用!$AC$43)))</f>
        <v/>
      </c>
    </row>
    <row r="103">
      <c r="A103" s="67">
        <f>IF(計算用!$T$44="","",IF(計算用!$B$1=1,INDEX(計算用!$F$3:$F$452,計算用!$T$44),INDEX(振り分け!$B$7:$B$456,計算用!$T$44)))</f>
        <v/>
      </c>
      <c r="B103" s="68">
        <f>IF(計算用!$T$44="","",IF(計算用!$B$1=1,INDEX(計算用!$H$3:$H$452,計算用!$T$44),INDEX(振り分け!$D$7:$D$456,計算用!$T$44)))</f>
        <v/>
      </c>
      <c r="C103" s="67">
        <f>IF(計算用!$U$44="","",IF(計算用!$B$1=1,INDEX(計算用!$F$3:$F$452,計算用!$U$44),INDEX(振り分け!$B$7:$B$456,計算用!$U$44)))</f>
        <v/>
      </c>
      <c r="D103" s="68">
        <f>IF(計算用!$U$44="","",IF(計算用!$B$1=1,INDEX(計算用!$H$3:$H$452,計算用!$U$44),INDEX(振り分け!$D$7:$D$456,計算用!$U$44)))</f>
        <v/>
      </c>
      <c r="E103" s="67">
        <f>IF(計算用!$V$44="","",IF(計算用!$B$1=1,INDEX(計算用!$F$3:$F$452,計算用!$V$44),INDEX(振り分け!$B$7:$B$456,計算用!$V$44)))</f>
        <v/>
      </c>
      <c r="F103" s="68">
        <f>IF(計算用!$V$44="","",IF(計算用!$B$1=1,INDEX(計算用!$H$3:$H$452,計算用!$V$44),INDEX(振り分け!$D$7:$D$456,計算用!$V$44)))</f>
        <v/>
      </c>
      <c r="G103" s="67">
        <f>IF(計算用!$W$44="","",IF(計算用!$B$1=1,INDEX(計算用!$F$3:$F$452,計算用!$W$44),INDEX(振り分け!$B$7:$B$456,計算用!$W$44)))</f>
        <v/>
      </c>
      <c r="H103" s="68">
        <f>IF(計算用!$W$44="","",IF(計算用!$B$1=1,INDEX(計算用!$H$3:$H$452,計算用!$W$44),INDEX(振り分け!$D$7:$D$456,計算用!$W$44)))</f>
        <v/>
      </c>
      <c r="I103" s="67">
        <f>IF(計算用!$X$44="","",IF(計算用!$B$1=1,INDEX(計算用!$F$3:$F$452,計算用!$X$44),INDEX(振り分け!$B$7:$B$456,計算用!$X$44)))</f>
        <v/>
      </c>
      <c r="J103" s="68">
        <f>IF(計算用!$X$44="","",IF(計算用!$B$1=1,INDEX(計算用!$H$3:$H$452,計算用!$X$44),INDEX(振り分け!$D$7:$D$456,計算用!$X$44)))</f>
        <v/>
      </c>
      <c r="K103" s="67">
        <f>IF(計算用!$Y$44="","",IF(計算用!$B$1=1,INDEX(計算用!$F$3:$F$452,計算用!$Y$44),INDEX(振り分け!$B$7:$B$456,計算用!$Y$44)))</f>
        <v/>
      </c>
      <c r="L103" s="68">
        <f>IF(計算用!$Y$44="","",IF(計算用!$B$1=1,INDEX(計算用!$H$3:$H$452,計算用!$Y$44),INDEX(振り分け!$D$7:$D$456,計算用!$Y$44)))</f>
        <v/>
      </c>
      <c r="M103" s="67">
        <f>IF(計算用!$Z$44="","",IF(計算用!$B$1=1,INDEX(計算用!$F$3:$F$452,計算用!$Z$44),INDEX(振り分け!$B$7:$B$456,計算用!$Z$44)))</f>
        <v/>
      </c>
      <c r="N103" s="68">
        <f>IF(計算用!$Z$44="","",IF(計算用!$B$1=1,INDEX(計算用!$H$3:$H$452,計算用!$Z$44),INDEX(振り分け!$D$7:$D$456,計算用!$Z$44)))</f>
        <v/>
      </c>
      <c r="O103" s="67">
        <f>IF(計算用!$AA$44="","",IF(計算用!$B$1=1,INDEX(計算用!$F$3:$F$452,計算用!$AA$44),INDEX(振り分け!$B$7:$B$456,計算用!$AA$44)))</f>
        <v/>
      </c>
      <c r="P103" s="68">
        <f>IF(計算用!$AA$44="","",IF(計算用!$B$1=1,INDEX(計算用!$H$3:$H$452,計算用!$AA$44),INDEX(振り分け!$D$7:$D$456,計算用!$AA$44)))</f>
        <v/>
      </c>
      <c r="Q103" s="67">
        <f>IF(計算用!$AB$44="","",IF(計算用!$B$1=1,INDEX(計算用!$F$3:$F$452,計算用!$AB$44),INDEX(振り分け!$B$7:$B$456,計算用!$AB$44)))</f>
        <v/>
      </c>
      <c r="R103" s="68">
        <f>IF(計算用!$AB$44="","",IF(計算用!$B$1=1,INDEX(計算用!$H$3:$H$452,計算用!$AB$44),INDEX(振り分け!$D$7:$D$456,計算用!$AB$44)))</f>
        <v/>
      </c>
      <c r="S103" s="67">
        <f>IF(計算用!$AC$44="","",IF(計算用!$B$1=1,INDEX(計算用!$F$3:$F$452,計算用!$AC$44),INDEX(振り分け!$B$7:$B$456,計算用!$AC$44)))</f>
        <v/>
      </c>
      <c r="T103" s="68">
        <f>IF(計算用!$AC$44="","",IF(計算用!$B$1=1,INDEX(計算用!$H$3:$H$452,計算用!$AC$44),INDEX(振り分け!$D$7:$D$456,計算用!$AC$44)))</f>
        <v/>
      </c>
    </row>
    <row r="104">
      <c r="A104" s="67">
        <f>IF(計算用!$T$45="","",IF(計算用!$B$1=1,INDEX(計算用!$F$3:$F$452,計算用!$T$45),INDEX(振り分け!$B$7:$B$456,計算用!$T$45)))</f>
        <v/>
      </c>
      <c r="B104" s="68">
        <f>IF(計算用!$T$45="","",IF(計算用!$B$1=1,INDEX(計算用!$H$3:$H$452,計算用!$T$45),INDEX(振り分け!$D$7:$D$456,計算用!$T$45)))</f>
        <v/>
      </c>
      <c r="C104" s="67">
        <f>IF(計算用!$U$45="","",IF(計算用!$B$1=1,INDEX(計算用!$F$3:$F$452,計算用!$U$45),INDEX(振り分け!$B$7:$B$456,計算用!$U$45)))</f>
        <v/>
      </c>
      <c r="D104" s="68">
        <f>IF(計算用!$U$45="","",IF(計算用!$B$1=1,INDEX(計算用!$H$3:$H$452,計算用!$U$45),INDEX(振り分け!$D$7:$D$456,計算用!$U$45)))</f>
        <v/>
      </c>
      <c r="E104" s="67">
        <f>IF(計算用!$V$45="","",IF(計算用!$B$1=1,INDEX(計算用!$F$3:$F$452,計算用!$V$45),INDEX(振り分け!$B$7:$B$456,計算用!$V$45)))</f>
        <v/>
      </c>
      <c r="F104" s="68">
        <f>IF(計算用!$V$45="","",IF(計算用!$B$1=1,INDEX(計算用!$H$3:$H$452,計算用!$V$45),INDEX(振り分け!$D$7:$D$456,計算用!$V$45)))</f>
        <v/>
      </c>
      <c r="G104" s="67">
        <f>IF(計算用!$W$45="","",IF(計算用!$B$1=1,INDEX(計算用!$F$3:$F$452,計算用!$W$45),INDEX(振り分け!$B$7:$B$456,計算用!$W$45)))</f>
        <v/>
      </c>
      <c r="H104" s="68">
        <f>IF(計算用!$W$45="","",IF(計算用!$B$1=1,INDEX(計算用!$H$3:$H$452,計算用!$W$45),INDEX(振り分け!$D$7:$D$456,計算用!$W$45)))</f>
        <v/>
      </c>
      <c r="I104" s="67">
        <f>IF(計算用!$X$45="","",IF(計算用!$B$1=1,INDEX(計算用!$F$3:$F$452,計算用!$X$45),INDEX(振り分け!$B$7:$B$456,計算用!$X$45)))</f>
        <v/>
      </c>
      <c r="J104" s="68">
        <f>IF(計算用!$X$45="","",IF(計算用!$B$1=1,INDEX(計算用!$H$3:$H$452,計算用!$X$45),INDEX(振り分け!$D$7:$D$456,計算用!$X$45)))</f>
        <v/>
      </c>
      <c r="K104" s="67">
        <f>IF(計算用!$Y$45="","",IF(計算用!$B$1=1,INDEX(計算用!$F$3:$F$452,計算用!$Y$45),INDEX(振り分け!$B$7:$B$456,計算用!$Y$45)))</f>
        <v/>
      </c>
      <c r="L104" s="68">
        <f>IF(計算用!$Y$45="","",IF(計算用!$B$1=1,INDEX(計算用!$H$3:$H$452,計算用!$Y$45),INDEX(振り分け!$D$7:$D$456,計算用!$Y$45)))</f>
        <v/>
      </c>
      <c r="M104" s="67">
        <f>IF(計算用!$Z$45="","",IF(計算用!$B$1=1,INDEX(計算用!$F$3:$F$452,計算用!$Z$45),INDEX(振り分け!$B$7:$B$456,計算用!$Z$45)))</f>
        <v/>
      </c>
      <c r="N104" s="68">
        <f>IF(計算用!$Z$45="","",IF(計算用!$B$1=1,INDEX(計算用!$H$3:$H$452,計算用!$Z$45),INDEX(振り分け!$D$7:$D$456,計算用!$Z$45)))</f>
        <v/>
      </c>
      <c r="O104" s="67">
        <f>IF(計算用!$AA$45="","",IF(計算用!$B$1=1,INDEX(計算用!$F$3:$F$452,計算用!$AA$45),INDEX(振り分け!$B$7:$B$456,計算用!$AA$45)))</f>
        <v/>
      </c>
      <c r="P104" s="68">
        <f>IF(計算用!$AA$45="","",IF(計算用!$B$1=1,INDEX(計算用!$H$3:$H$452,計算用!$AA$45),INDEX(振り分け!$D$7:$D$456,計算用!$AA$45)))</f>
        <v/>
      </c>
      <c r="Q104" s="67">
        <f>IF(計算用!$AB$45="","",IF(計算用!$B$1=1,INDEX(計算用!$F$3:$F$452,計算用!$AB$45),INDEX(振り分け!$B$7:$B$456,計算用!$AB$45)))</f>
        <v/>
      </c>
      <c r="R104" s="68">
        <f>IF(計算用!$AB$45="","",IF(計算用!$B$1=1,INDEX(計算用!$H$3:$H$452,計算用!$AB$45),INDEX(振り分け!$D$7:$D$456,計算用!$AB$45)))</f>
        <v/>
      </c>
      <c r="S104" s="67">
        <f>IF(計算用!$AC$45="","",IF(計算用!$B$1=1,INDEX(計算用!$F$3:$F$452,計算用!$AC$45),INDEX(振り分け!$B$7:$B$456,計算用!$AC$45)))</f>
        <v/>
      </c>
      <c r="T104" s="68">
        <f>IF(計算用!$AC$45="","",IF(計算用!$B$1=1,INDEX(計算用!$H$3:$H$452,計算用!$AC$45),INDEX(振り分け!$D$7:$D$456,計算用!$AC$45)))</f>
        <v/>
      </c>
    </row>
    <row r="105">
      <c r="A105" s="67">
        <f>IF(計算用!$T$46="","",IF(計算用!$B$1=1,INDEX(計算用!$F$3:$F$452,計算用!$T$46),INDEX(振り分け!$B$7:$B$456,計算用!$T$46)))</f>
        <v/>
      </c>
      <c r="B105" s="68">
        <f>IF(計算用!$T$46="","",IF(計算用!$B$1=1,INDEX(計算用!$H$3:$H$452,計算用!$T$46),INDEX(振り分け!$D$7:$D$456,計算用!$T$46)))</f>
        <v/>
      </c>
      <c r="C105" s="67">
        <f>IF(計算用!$U$46="","",IF(計算用!$B$1=1,INDEX(計算用!$F$3:$F$452,計算用!$U$46),INDEX(振り分け!$B$7:$B$456,計算用!$U$46)))</f>
        <v/>
      </c>
      <c r="D105" s="68">
        <f>IF(計算用!$U$46="","",IF(計算用!$B$1=1,INDEX(計算用!$H$3:$H$452,計算用!$U$46),INDEX(振り分け!$D$7:$D$456,計算用!$U$46)))</f>
        <v/>
      </c>
      <c r="E105" s="67">
        <f>IF(計算用!$V$46="","",IF(計算用!$B$1=1,INDEX(計算用!$F$3:$F$452,計算用!$V$46),INDEX(振り分け!$B$7:$B$456,計算用!$V$46)))</f>
        <v/>
      </c>
      <c r="F105" s="68">
        <f>IF(計算用!$V$46="","",IF(計算用!$B$1=1,INDEX(計算用!$H$3:$H$452,計算用!$V$46),INDEX(振り分け!$D$7:$D$456,計算用!$V$46)))</f>
        <v/>
      </c>
      <c r="G105" s="67">
        <f>IF(計算用!$W$46="","",IF(計算用!$B$1=1,INDEX(計算用!$F$3:$F$452,計算用!$W$46),INDEX(振り分け!$B$7:$B$456,計算用!$W$46)))</f>
        <v/>
      </c>
      <c r="H105" s="68">
        <f>IF(計算用!$W$46="","",IF(計算用!$B$1=1,INDEX(計算用!$H$3:$H$452,計算用!$W$46),INDEX(振り分け!$D$7:$D$456,計算用!$W$46)))</f>
        <v/>
      </c>
      <c r="I105" s="67">
        <f>IF(計算用!$X$46="","",IF(計算用!$B$1=1,INDEX(計算用!$F$3:$F$452,計算用!$X$46),INDEX(振り分け!$B$7:$B$456,計算用!$X$46)))</f>
        <v/>
      </c>
      <c r="J105" s="68">
        <f>IF(計算用!$X$46="","",IF(計算用!$B$1=1,INDEX(計算用!$H$3:$H$452,計算用!$X$46),INDEX(振り分け!$D$7:$D$456,計算用!$X$46)))</f>
        <v/>
      </c>
      <c r="K105" s="67">
        <f>IF(計算用!$Y$46="","",IF(計算用!$B$1=1,INDEX(計算用!$F$3:$F$452,計算用!$Y$46),INDEX(振り分け!$B$7:$B$456,計算用!$Y$46)))</f>
        <v/>
      </c>
      <c r="L105" s="68">
        <f>IF(計算用!$Y$46="","",IF(計算用!$B$1=1,INDEX(計算用!$H$3:$H$452,計算用!$Y$46),INDEX(振り分け!$D$7:$D$456,計算用!$Y$46)))</f>
        <v/>
      </c>
      <c r="M105" s="67">
        <f>IF(計算用!$Z$46="","",IF(計算用!$B$1=1,INDEX(計算用!$F$3:$F$452,計算用!$Z$46),INDEX(振り分け!$B$7:$B$456,計算用!$Z$46)))</f>
        <v/>
      </c>
      <c r="N105" s="68">
        <f>IF(計算用!$Z$46="","",IF(計算用!$B$1=1,INDEX(計算用!$H$3:$H$452,計算用!$Z$46),INDEX(振り分け!$D$7:$D$456,計算用!$Z$46)))</f>
        <v/>
      </c>
      <c r="O105" s="67">
        <f>IF(計算用!$AA$46="","",IF(計算用!$B$1=1,INDEX(計算用!$F$3:$F$452,計算用!$AA$46),INDEX(振り分け!$B$7:$B$456,計算用!$AA$46)))</f>
        <v/>
      </c>
      <c r="P105" s="68">
        <f>IF(計算用!$AA$46="","",IF(計算用!$B$1=1,INDEX(計算用!$H$3:$H$452,計算用!$AA$46),INDEX(振り分け!$D$7:$D$456,計算用!$AA$46)))</f>
        <v/>
      </c>
      <c r="Q105" s="67">
        <f>IF(計算用!$AB$46="","",IF(計算用!$B$1=1,INDEX(計算用!$F$3:$F$452,計算用!$AB$46),INDEX(振り分け!$B$7:$B$456,計算用!$AB$46)))</f>
        <v/>
      </c>
      <c r="R105" s="68">
        <f>IF(計算用!$AB$46="","",IF(計算用!$B$1=1,INDEX(計算用!$H$3:$H$452,計算用!$AB$46),INDEX(振り分け!$D$7:$D$456,計算用!$AB$46)))</f>
        <v/>
      </c>
      <c r="S105" s="67">
        <f>IF(計算用!$AC$46="","",IF(計算用!$B$1=1,INDEX(計算用!$F$3:$F$452,計算用!$AC$46),INDEX(振り分け!$B$7:$B$456,計算用!$AC$46)))</f>
        <v/>
      </c>
      <c r="T105" s="68">
        <f>IF(計算用!$AC$46="","",IF(計算用!$B$1=1,INDEX(計算用!$H$3:$H$452,計算用!$AC$46),INDEX(振り分け!$D$7:$D$456,計算用!$AC$46)))</f>
        <v/>
      </c>
    </row>
    <row r="106">
      <c r="A106" s="67">
        <f>IF(計算用!$T$47="","",IF(計算用!$B$1=1,INDEX(計算用!$F$3:$F$452,計算用!$T$47),INDEX(振り分け!$B$7:$B$456,計算用!$T$47)))</f>
        <v/>
      </c>
      <c r="B106" s="68">
        <f>IF(計算用!$T$47="","",IF(計算用!$B$1=1,INDEX(計算用!$H$3:$H$452,計算用!$T$47),INDEX(振り分け!$D$7:$D$456,計算用!$T$47)))</f>
        <v/>
      </c>
      <c r="C106" s="67">
        <f>IF(計算用!$U$47="","",IF(計算用!$B$1=1,INDEX(計算用!$F$3:$F$452,計算用!$U$47),INDEX(振り分け!$B$7:$B$456,計算用!$U$47)))</f>
        <v/>
      </c>
      <c r="D106" s="68">
        <f>IF(計算用!$U$47="","",IF(計算用!$B$1=1,INDEX(計算用!$H$3:$H$452,計算用!$U$47),INDEX(振り分け!$D$7:$D$456,計算用!$U$47)))</f>
        <v/>
      </c>
      <c r="E106" s="67">
        <f>IF(計算用!$V$47="","",IF(計算用!$B$1=1,INDEX(計算用!$F$3:$F$452,計算用!$V$47),INDEX(振り分け!$B$7:$B$456,計算用!$V$47)))</f>
        <v/>
      </c>
      <c r="F106" s="68">
        <f>IF(計算用!$V$47="","",IF(計算用!$B$1=1,INDEX(計算用!$H$3:$H$452,計算用!$V$47),INDEX(振り分け!$D$7:$D$456,計算用!$V$47)))</f>
        <v/>
      </c>
      <c r="G106" s="67">
        <f>IF(計算用!$W$47="","",IF(計算用!$B$1=1,INDEX(計算用!$F$3:$F$452,計算用!$W$47),INDEX(振り分け!$B$7:$B$456,計算用!$W$47)))</f>
        <v/>
      </c>
      <c r="H106" s="68">
        <f>IF(計算用!$W$47="","",IF(計算用!$B$1=1,INDEX(計算用!$H$3:$H$452,計算用!$W$47),INDEX(振り分け!$D$7:$D$456,計算用!$W$47)))</f>
        <v/>
      </c>
      <c r="I106" s="67">
        <f>IF(計算用!$X$47="","",IF(計算用!$B$1=1,INDEX(計算用!$F$3:$F$452,計算用!$X$47),INDEX(振り分け!$B$7:$B$456,計算用!$X$47)))</f>
        <v/>
      </c>
      <c r="J106" s="68">
        <f>IF(計算用!$X$47="","",IF(計算用!$B$1=1,INDEX(計算用!$H$3:$H$452,計算用!$X$47),INDEX(振り分け!$D$7:$D$456,計算用!$X$47)))</f>
        <v/>
      </c>
      <c r="K106" s="67">
        <f>IF(計算用!$Y$47="","",IF(計算用!$B$1=1,INDEX(計算用!$F$3:$F$452,計算用!$Y$47),INDEX(振り分け!$B$7:$B$456,計算用!$Y$47)))</f>
        <v/>
      </c>
      <c r="L106" s="68">
        <f>IF(計算用!$Y$47="","",IF(計算用!$B$1=1,INDEX(計算用!$H$3:$H$452,計算用!$Y$47),INDEX(振り分け!$D$7:$D$456,計算用!$Y$47)))</f>
        <v/>
      </c>
      <c r="M106" s="67">
        <f>IF(計算用!$Z$47="","",IF(計算用!$B$1=1,INDEX(計算用!$F$3:$F$452,計算用!$Z$47),INDEX(振り分け!$B$7:$B$456,計算用!$Z$47)))</f>
        <v/>
      </c>
      <c r="N106" s="68">
        <f>IF(計算用!$Z$47="","",IF(計算用!$B$1=1,INDEX(計算用!$H$3:$H$452,計算用!$Z$47),INDEX(振り分け!$D$7:$D$456,計算用!$Z$47)))</f>
        <v/>
      </c>
      <c r="O106" s="67">
        <f>IF(計算用!$AA$47="","",IF(計算用!$B$1=1,INDEX(計算用!$F$3:$F$452,計算用!$AA$47),INDEX(振り分け!$B$7:$B$456,計算用!$AA$47)))</f>
        <v/>
      </c>
      <c r="P106" s="68">
        <f>IF(計算用!$AA$47="","",IF(計算用!$B$1=1,INDEX(計算用!$H$3:$H$452,計算用!$AA$47),INDEX(振り分け!$D$7:$D$456,計算用!$AA$47)))</f>
        <v/>
      </c>
      <c r="Q106" s="67">
        <f>IF(計算用!$AB$47="","",IF(計算用!$B$1=1,INDEX(計算用!$F$3:$F$452,計算用!$AB$47),INDEX(振り分け!$B$7:$B$456,計算用!$AB$47)))</f>
        <v/>
      </c>
      <c r="R106" s="68">
        <f>IF(計算用!$AB$47="","",IF(計算用!$B$1=1,INDEX(計算用!$H$3:$H$452,計算用!$AB$47),INDEX(振り分け!$D$7:$D$456,計算用!$AB$47)))</f>
        <v/>
      </c>
      <c r="S106" s="67">
        <f>IF(計算用!$AC$47="","",IF(計算用!$B$1=1,INDEX(計算用!$F$3:$F$452,計算用!$AC$47),INDEX(振り分け!$B$7:$B$456,計算用!$AC$47)))</f>
        <v/>
      </c>
      <c r="T106" s="68">
        <f>IF(計算用!$AC$47="","",IF(計算用!$B$1=1,INDEX(計算用!$H$3:$H$452,計算用!$AC$47),INDEX(振り分け!$D$7:$D$456,計算用!$AC$47)))</f>
        <v/>
      </c>
    </row>
    <row r="107">
      <c r="A107" s="67">
        <f>IF(計算用!$T$48="","",IF(計算用!$B$1=1,INDEX(計算用!$F$3:$F$452,計算用!$T$48),INDEX(振り分け!$B$7:$B$456,計算用!$T$48)))</f>
        <v/>
      </c>
      <c r="B107" s="68">
        <f>IF(計算用!$T$48="","",IF(計算用!$B$1=1,INDEX(計算用!$H$3:$H$452,計算用!$T$48),INDEX(振り分け!$D$7:$D$456,計算用!$T$48)))</f>
        <v/>
      </c>
      <c r="C107" s="67">
        <f>IF(計算用!$U$48="","",IF(計算用!$B$1=1,INDEX(計算用!$F$3:$F$452,計算用!$U$48),INDEX(振り分け!$B$7:$B$456,計算用!$U$48)))</f>
        <v/>
      </c>
      <c r="D107" s="68">
        <f>IF(計算用!$U$48="","",IF(計算用!$B$1=1,INDEX(計算用!$H$3:$H$452,計算用!$U$48),INDEX(振り分け!$D$7:$D$456,計算用!$U$48)))</f>
        <v/>
      </c>
      <c r="E107" s="67">
        <f>IF(計算用!$V$48="","",IF(計算用!$B$1=1,INDEX(計算用!$F$3:$F$452,計算用!$V$48),INDEX(振り分け!$B$7:$B$456,計算用!$V$48)))</f>
        <v/>
      </c>
      <c r="F107" s="68">
        <f>IF(計算用!$V$48="","",IF(計算用!$B$1=1,INDEX(計算用!$H$3:$H$452,計算用!$V$48),INDEX(振り分け!$D$7:$D$456,計算用!$V$48)))</f>
        <v/>
      </c>
      <c r="G107" s="67">
        <f>IF(計算用!$W$48="","",IF(計算用!$B$1=1,INDEX(計算用!$F$3:$F$452,計算用!$W$48),INDEX(振り分け!$B$7:$B$456,計算用!$W$48)))</f>
        <v/>
      </c>
      <c r="H107" s="68">
        <f>IF(計算用!$W$48="","",IF(計算用!$B$1=1,INDEX(計算用!$H$3:$H$452,計算用!$W$48),INDEX(振り分け!$D$7:$D$456,計算用!$W$48)))</f>
        <v/>
      </c>
      <c r="I107" s="67">
        <f>IF(計算用!$X$48="","",IF(計算用!$B$1=1,INDEX(計算用!$F$3:$F$452,計算用!$X$48),INDEX(振り分け!$B$7:$B$456,計算用!$X$48)))</f>
        <v/>
      </c>
      <c r="J107" s="68">
        <f>IF(計算用!$X$48="","",IF(計算用!$B$1=1,INDEX(計算用!$H$3:$H$452,計算用!$X$48),INDEX(振り分け!$D$7:$D$456,計算用!$X$48)))</f>
        <v/>
      </c>
      <c r="K107" s="67">
        <f>IF(計算用!$Y$48="","",IF(計算用!$B$1=1,INDEX(計算用!$F$3:$F$452,計算用!$Y$48),INDEX(振り分け!$B$7:$B$456,計算用!$Y$48)))</f>
        <v/>
      </c>
      <c r="L107" s="68">
        <f>IF(計算用!$Y$48="","",IF(計算用!$B$1=1,INDEX(計算用!$H$3:$H$452,計算用!$Y$48),INDEX(振り分け!$D$7:$D$456,計算用!$Y$48)))</f>
        <v/>
      </c>
      <c r="M107" s="67">
        <f>IF(計算用!$Z$48="","",IF(計算用!$B$1=1,INDEX(計算用!$F$3:$F$452,計算用!$Z$48),INDEX(振り分け!$B$7:$B$456,計算用!$Z$48)))</f>
        <v/>
      </c>
      <c r="N107" s="68">
        <f>IF(計算用!$Z$48="","",IF(計算用!$B$1=1,INDEX(計算用!$H$3:$H$452,計算用!$Z$48),INDEX(振り分け!$D$7:$D$456,計算用!$Z$48)))</f>
        <v/>
      </c>
      <c r="O107" s="67">
        <f>IF(計算用!$AA$48="","",IF(計算用!$B$1=1,INDEX(計算用!$F$3:$F$452,計算用!$AA$48),INDEX(振り分け!$B$7:$B$456,計算用!$AA$48)))</f>
        <v/>
      </c>
      <c r="P107" s="68">
        <f>IF(計算用!$AA$48="","",IF(計算用!$B$1=1,INDEX(計算用!$H$3:$H$452,計算用!$AA$48),INDEX(振り分け!$D$7:$D$456,計算用!$AA$48)))</f>
        <v/>
      </c>
      <c r="Q107" s="67">
        <f>IF(計算用!$AB$48="","",IF(計算用!$B$1=1,INDEX(計算用!$F$3:$F$452,計算用!$AB$48),INDEX(振り分け!$B$7:$B$456,計算用!$AB$48)))</f>
        <v/>
      </c>
      <c r="R107" s="68">
        <f>IF(計算用!$AB$48="","",IF(計算用!$B$1=1,INDEX(計算用!$H$3:$H$452,計算用!$AB$48),INDEX(振り分け!$D$7:$D$456,計算用!$AB$48)))</f>
        <v/>
      </c>
      <c r="S107" s="67">
        <f>IF(計算用!$AC$48="","",IF(計算用!$B$1=1,INDEX(計算用!$F$3:$F$452,計算用!$AC$48),INDEX(振り分け!$B$7:$B$456,計算用!$AC$48)))</f>
        <v/>
      </c>
      <c r="T107" s="68">
        <f>IF(計算用!$AC$48="","",IF(計算用!$B$1=1,INDEX(計算用!$H$3:$H$452,計算用!$AC$48),INDEX(振り分け!$D$7:$D$456,計算用!$AC$48)))</f>
        <v/>
      </c>
    </row>
    <row r="108">
      <c r="A108" s="67">
        <f>IF(計算用!$T$49="","",IF(計算用!$B$1=1,INDEX(計算用!$F$3:$F$452,計算用!$T$49),INDEX(振り分け!$B$7:$B$456,計算用!$T$49)))</f>
        <v/>
      </c>
      <c r="B108" s="68">
        <f>IF(計算用!$T$49="","",IF(計算用!$B$1=1,INDEX(計算用!$H$3:$H$452,計算用!$T$49),INDEX(振り分け!$D$7:$D$456,計算用!$T$49)))</f>
        <v/>
      </c>
      <c r="C108" s="67">
        <f>IF(計算用!$U$49="","",IF(計算用!$B$1=1,INDEX(計算用!$F$3:$F$452,計算用!$U$49),INDEX(振り分け!$B$7:$B$456,計算用!$U$49)))</f>
        <v/>
      </c>
      <c r="D108" s="68">
        <f>IF(計算用!$U$49="","",IF(計算用!$B$1=1,INDEX(計算用!$H$3:$H$452,計算用!$U$49),INDEX(振り分け!$D$7:$D$456,計算用!$U$49)))</f>
        <v/>
      </c>
      <c r="E108" s="67">
        <f>IF(計算用!$V$49="","",IF(計算用!$B$1=1,INDEX(計算用!$F$3:$F$452,計算用!$V$49),INDEX(振り分け!$B$7:$B$456,計算用!$V$49)))</f>
        <v/>
      </c>
      <c r="F108" s="68">
        <f>IF(計算用!$V$49="","",IF(計算用!$B$1=1,INDEX(計算用!$H$3:$H$452,計算用!$V$49),INDEX(振り分け!$D$7:$D$456,計算用!$V$49)))</f>
        <v/>
      </c>
      <c r="G108" s="67">
        <f>IF(計算用!$W$49="","",IF(計算用!$B$1=1,INDEX(計算用!$F$3:$F$452,計算用!$W$49),INDEX(振り分け!$B$7:$B$456,計算用!$W$49)))</f>
        <v/>
      </c>
      <c r="H108" s="68">
        <f>IF(計算用!$W$49="","",IF(計算用!$B$1=1,INDEX(計算用!$H$3:$H$452,計算用!$W$49),INDEX(振り分け!$D$7:$D$456,計算用!$W$49)))</f>
        <v/>
      </c>
      <c r="I108" s="67">
        <f>IF(計算用!$X$49="","",IF(計算用!$B$1=1,INDEX(計算用!$F$3:$F$452,計算用!$X$49),INDEX(振り分け!$B$7:$B$456,計算用!$X$49)))</f>
        <v/>
      </c>
      <c r="J108" s="68">
        <f>IF(計算用!$X$49="","",IF(計算用!$B$1=1,INDEX(計算用!$H$3:$H$452,計算用!$X$49),INDEX(振り分け!$D$7:$D$456,計算用!$X$49)))</f>
        <v/>
      </c>
      <c r="K108" s="67">
        <f>IF(計算用!$Y$49="","",IF(計算用!$B$1=1,INDEX(計算用!$F$3:$F$452,計算用!$Y$49),INDEX(振り分け!$B$7:$B$456,計算用!$Y$49)))</f>
        <v/>
      </c>
      <c r="L108" s="68">
        <f>IF(計算用!$Y$49="","",IF(計算用!$B$1=1,INDEX(計算用!$H$3:$H$452,計算用!$Y$49),INDEX(振り分け!$D$7:$D$456,計算用!$Y$49)))</f>
        <v/>
      </c>
      <c r="M108" s="67">
        <f>IF(計算用!$Z$49="","",IF(計算用!$B$1=1,INDEX(計算用!$F$3:$F$452,計算用!$Z$49),INDEX(振り分け!$B$7:$B$456,計算用!$Z$49)))</f>
        <v/>
      </c>
      <c r="N108" s="68">
        <f>IF(計算用!$Z$49="","",IF(計算用!$B$1=1,INDEX(計算用!$H$3:$H$452,計算用!$Z$49),INDEX(振り分け!$D$7:$D$456,計算用!$Z$49)))</f>
        <v/>
      </c>
      <c r="O108" s="67">
        <f>IF(計算用!$AA$49="","",IF(計算用!$B$1=1,INDEX(計算用!$F$3:$F$452,計算用!$AA$49),INDEX(振り分け!$B$7:$B$456,計算用!$AA$49)))</f>
        <v/>
      </c>
      <c r="P108" s="68">
        <f>IF(計算用!$AA$49="","",IF(計算用!$B$1=1,INDEX(計算用!$H$3:$H$452,計算用!$AA$49),INDEX(振り分け!$D$7:$D$456,計算用!$AA$49)))</f>
        <v/>
      </c>
      <c r="Q108" s="67">
        <f>IF(計算用!$AB$49="","",IF(計算用!$B$1=1,INDEX(計算用!$F$3:$F$452,計算用!$AB$49),INDEX(振り分け!$B$7:$B$456,計算用!$AB$49)))</f>
        <v/>
      </c>
      <c r="R108" s="68">
        <f>IF(計算用!$AB$49="","",IF(計算用!$B$1=1,INDEX(計算用!$H$3:$H$452,計算用!$AB$49),INDEX(振り分け!$D$7:$D$456,計算用!$AB$49)))</f>
        <v/>
      </c>
      <c r="S108" s="67">
        <f>IF(計算用!$AC$49="","",IF(計算用!$B$1=1,INDEX(計算用!$F$3:$F$452,計算用!$AC$49),INDEX(振り分け!$B$7:$B$456,計算用!$AC$49)))</f>
        <v/>
      </c>
      <c r="T108" s="68">
        <f>IF(計算用!$AC$49="","",IF(計算用!$B$1=1,INDEX(計算用!$H$3:$H$452,計算用!$AC$49),INDEX(振り分け!$D$7:$D$456,計算用!$AC$49)))</f>
        <v/>
      </c>
    </row>
    <row r="109">
      <c r="A109" s="67">
        <f>IF(計算用!$T$50="","",IF(計算用!$B$1=1,INDEX(計算用!$F$3:$F$452,計算用!$T$50),INDEX(振り分け!$B$7:$B$456,計算用!$T$50)))</f>
        <v/>
      </c>
      <c r="B109" s="68">
        <f>IF(計算用!$T$50="","",IF(計算用!$B$1=1,INDEX(計算用!$H$3:$H$452,計算用!$T$50),INDEX(振り分け!$D$7:$D$456,計算用!$T$50)))</f>
        <v/>
      </c>
      <c r="C109" s="67">
        <f>IF(計算用!$U$50="","",IF(計算用!$B$1=1,INDEX(計算用!$F$3:$F$452,計算用!$U$50),INDEX(振り分け!$B$7:$B$456,計算用!$U$50)))</f>
        <v/>
      </c>
      <c r="D109" s="68">
        <f>IF(計算用!$U$50="","",IF(計算用!$B$1=1,INDEX(計算用!$H$3:$H$452,計算用!$U$50),INDEX(振り分け!$D$7:$D$456,計算用!$U$50)))</f>
        <v/>
      </c>
      <c r="E109" s="67">
        <f>IF(計算用!$V$50="","",IF(計算用!$B$1=1,INDEX(計算用!$F$3:$F$452,計算用!$V$50),INDEX(振り分け!$B$7:$B$456,計算用!$V$50)))</f>
        <v/>
      </c>
      <c r="F109" s="68">
        <f>IF(計算用!$V$50="","",IF(計算用!$B$1=1,INDEX(計算用!$H$3:$H$452,計算用!$V$50),INDEX(振り分け!$D$7:$D$456,計算用!$V$50)))</f>
        <v/>
      </c>
      <c r="G109" s="67">
        <f>IF(計算用!$W$50="","",IF(計算用!$B$1=1,INDEX(計算用!$F$3:$F$452,計算用!$W$50),INDEX(振り分け!$B$7:$B$456,計算用!$W$50)))</f>
        <v/>
      </c>
      <c r="H109" s="68">
        <f>IF(計算用!$W$50="","",IF(計算用!$B$1=1,INDEX(計算用!$H$3:$H$452,計算用!$W$50),INDEX(振り分け!$D$7:$D$456,計算用!$W$50)))</f>
        <v/>
      </c>
      <c r="I109" s="67">
        <f>IF(計算用!$X$50="","",IF(計算用!$B$1=1,INDEX(計算用!$F$3:$F$452,計算用!$X$50),INDEX(振り分け!$B$7:$B$456,計算用!$X$50)))</f>
        <v/>
      </c>
      <c r="J109" s="68">
        <f>IF(計算用!$X$50="","",IF(計算用!$B$1=1,INDEX(計算用!$H$3:$H$452,計算用!$X$50),INDEX(振り分け!$D$7:$D$456,計算用!$X$50)))</f>
        <v/>
      </c>
      <c r="K109" s="67">
        <f>IF(計算用!$Y$50="","",IF(計算用!$B$1=1,INDEX(計算用!$F$3:$F$452,計算用!$Y$50),INDEX(振り分け!$B$7:$B$456,計算用!$Y$50)))</f>
        <v/>
      </c>
      <c r="L109" s="68">
        <f>IF(計算用!$Y$50="","",IF(計算用!$B$1=1,INDEX(計算用!$H$3:$H$452,計算用!$Y$50),INDEX(振り分け!$D$7:$D$456,計算用!$Y$50)))</f>
        <v/>
      </c>
      <c r="M109" s="67">
        <f>IF(計算用!$Z$50="","",IF(計算用!$B$1=1,INDEX(計算用!$F$3:$F$452,計算用!$Z$50),INDEX(振り分け!$B$7:$B$456,計算用!$Z$50)))</f>
        <v/>
      </c>
      <c r="N109" s="68">
        <f>IF(計算用!$Z$50="","",IF(計算用!$B$1=1,INDEX(計算用!$H$3:$H$452,計算用!$Z$50),INDEX(振り分け!$D$7:$D$456,計算用!$Z$50)))</f>
        <v/>
      </c>
      <c r="O109" s="67">
        <f>IF(計算用!$AA$50="","",IF(計算用!$B$1=1,INDEX(計算用!$F$3:$F$452,計算用!$AA$50),INDEX(振り分け!$B$7:$B$456,計算用!$AA$50)))</f>
        <v/>
      </c>
      <c r="P109" s="68">
        <f>IF(計算用!$AA$50="","",IF(計算用!$B$1=1,INDEX(計算用!$H$3:$H$452,計算用!$AA$50),INDEX(振り分け!$D$7:$D$456,計算用!$AA$50)))</f>
        <v/>
      </c>
      <c r="Q109" s="67">
        <f>IF(計算用!$AB$50="","",IF(計算用!$B$1=1,INDEX(計算用!$F$3:$F$452,計算用!$AB$50),INDEX(振り分け!$B$7:$B$456,計算用!$AB$50)))</f>
        <v/>
      </c>
      <c r="R109" s="68">
        <f>IF(計算用!$AB$50="","",IF(計算用!$B$1=1,INDEX(計算用!$H$3:$H$452,計算用!$AB$50),INDEX(振り分け!$D$7:$D$456,計算用!$AB$50)))</f>
        <v/>
      </c>
      <c r="S109" s="67">
        <f>IF(計算用!$AC$50="","",IF(計算用!$B$1=1,INDEX(計算用!$F$3:$F$452,計算用!$AC$50),INDEX(振り分け!$B$7:$B$456,計算用!$AC$50)))</f>
        <v/>
      </c>
      <c r="T109" s="68">
        <f>IF(計算用!$AC$50="","",IF(計算用!$B$1=1,INDEX(計算用!$H$3:$H$452,計算用!$AC$50),INDEX(振り分け!$D$7:$D$456,計算用!$AC$50)))</f>
        <v/>
      </c>
    </row>
    <row r="110">
      <c r="A110" s="67">
        <f>IF(計算用!$T$51="","",IF(計算用!$B$1=1,INDEX(計算用!$F$3:$F$452,計算用!$T$51),INDEX(振り分け!$B$7:$B$456,計算用!$T$51)))</f>
        <v/>
      </c>
      <c r="B110" s="68">
        <f>IF(計算用!$T$51="","",IF(計算用!$B$1=1,INDEX(計算用!$H$3:$H$452,計算用!$T$51),INDEX(振り分け!$D$7:$D$456,計算用!$T$51)))</f>
        <v/>
      </c>
      <c r="C110" s="67">
        <f>IF(計算用!$U$51="","",IF(計算用!$B$1=1,INDEX(計算用!$F$3:$F$452,計算用!$U$51),INDEX(振り分け!$B$7:$B$456,計算用!$U$51)))</f>
        <v/>
      </c>
      <c r="D110" s="68">
        <f>IF(計算用!$U$51="","",IF(計算用!$B$1=1,INDEX(計算用!$H$3:$H$452,計算用!$U$51),INDEX(振り分け!$D$7:$D$456,計算用!$U$51)))</f>
        <v/>
      </c>
      <c r="E110" s="67">
        <f>IF(計算用!$V$51="","",IF(計算用!$B$1=1,INDEX(計算用!$F$3:$F$452,計算用!$V$51),INDEX(振り分け!$B$7:$B$456,計算用!$V$51)))</f>
        <v/>
      </c>
      <c r="F110" s="68">
        <f>IF(計算用!$V$51="","",IF(計算用!$B$1=1,INDEX(計算用!$H$3:$H$452,計算用!$V$51),INDEX(振り分け!$D$7:$D$456,計算用!$V$51)))</f>
        <v/>
      </c>
      <c r="G110" s="67">
        <f>IF(計算用!$W$51="","",IF(計算用!$B$1=1,INDEX(計算用!$F$3:$F$452,計算用!$W$51),INDEX(振り分け!$B$7:$B$456,計算用!$W$51)))</f>
        <v/>
      </c>
      <c r="H110" s="68">
        <f>IF(計算用!$W$51="","",IF(計算用!$B$1=1,INDEX(計算用!$H$3:$H$452,計算用!$W$51),INDEX(振り分け!$D$7:$D$456,計算用!$W$51)))</f>
        <v/>
      </c>
      <c r="I110" s="67">
        <f>IF(計算用!$X$51="","",IF(計算用!$B$1=1,INDEX(計算用!$F$3:$F$452,計算用!$X$51),INDEX(振り分け!$B$7:$B$456,計算用!$X$51)))</f>
        <v/>
      </c>
      <c r="J110" s="68">
        <f>IF(計算用!$X$51="","",IF(計算用!$B$1=1,INDEX(計算用!$H$3:$H$452,計算用!$X$51),INDEX(振り分け!$D$7:$D$456,計算用!$X$51)))</f>
        <v/>
      </c>
      <c r="K110" s="67">
        <f>IF(計算用!$Y$51="","",IF(計算用!$B$1=1,INDEX(計算用!$F$3:$F$452,計算用!$Y$51),INDEX(振り分け!$B$7:$B$456,計算用!$Y$51)))</f>
        <v/>
      </c>
      <c r="L110" s="68">
        <f>IF(計算用!$Y$51="","",IF(計算用!$B$1=1,INDEX(計算用!$H$3:$H$452,計算用!$Y$51),INDEX(振り分け!$D$7:$D$456,計算用!$Y$51)))</f>
        <v/>
      </c>
      <c r="M110" s="67">
        <f>IF(計算用!$Z$51="","",IF(計算用!$B$1=1,INDEX(計算用!$F$3:$F$452,計算用!$Z$51),INDEX(振り分け!$B$7:$B$456,計算用!$Z$51)))</f>
        <v/>
      </c>
      <c r="N110" s="68">
        <f>IF(計算用!$Z$51="","",IF(計算用!$B$1=1,INDEX(計算用!$H$3:$H$452,計算用!$Z$51),INDEX(振り分け!$D$7:$D$456,計算用!$Z$51)))</f>
        <v/>
      </c>
      <c r="O110" s="67">
        <f>IF(計算用!$AA$51="","",IF(計算用!$B$1=1,INDEX(計算用!$F$3:$F$452,計算用!$AA$51),INDEX(振り分け!$B$7:$B$456,計算用!$AA$51)))</f>
        <v/>
      </c>
      <c r="P110" s="68">
        <f>IF(計算用!$AA$51="","",IF(計算用!$B$1=1,INDEX(計算用!$H$3:$H$452,計算用!$AA$51),INDEX(振り分け!$D$7:$D$456,計算用!$AA$51)))</f>
        <v/>
      </c>
      <c r="Q110" s="67">
        <f>IF(計算用!$AB$51="","",IF(計算用!$B$1=1,INDEX(計算用!$F$3:$F$452,計算用!$AB$51),INDEX(振り分け!$B$7:$B$456,計算用!$AB$51)))</f>
        <v/>
      </c>
      <c r="R110" s="68">
        <f>IF(計算用!$AB$51="","",IF(計算用!$B$1=1,INDEX(計算用!$H$3:$H$452,計算用!$AB$51),INDEX(振り分け!$D$7:$D$456,計算用!$AB$51)))</f>
        <v/>
      </c>
      <c r="S110" s="67">
        <f>IF(計算用!$AC$51="","",IF(計算用!$B$1=1,INDEX(計算用!$F$3:$F$452,計算用!$AC$51),INDEX(振り分け!$B$7:$B$456,計算用!$AC$51)))</f>
        <v/>
      </c>
      <c r="T110" s="68">
        <f>IF(計算用!$AC$51="","",IF(計算用!$B$1=1,INDEX(計算用!$H$3:$H$452,計算用!$AC$51),INDEX(振り分け!$D$7:$D$456,計算用!$AC$51)))</f>
        <v/>
      </c>
    </row>
    <row r="111">
      <c r="A111" s="67">
        <f>IF(計算用!$T$52="","",IF(計算用!$B$1=1,INDEX(計算用!$F$3:$F$452,計算用!$T$52),INDEX(振り分け!$B$7:$B$456,計算用!$T$52)))</f>
        <v/>
      </c>
      <c r="B111" s="68">
        <f>IF(計算用!$T$52="","",IF(計算用!$B$1=1,INDEX(計算用!$H$3:$H$452,計算用!$T$52),INDEX(振り分け!$D$7:$D$456,計算用!$T$52)))</f>
        <v/>
      </c>
      <c r="C111" s="67">
        <f>IF(計算用!$U$52="","",IF(計算用!$B$1=1,INDEX(計算用!$F$3:$F$452,計算用!$U$52),INDEX(振り分け!$B$7:$B$456,計算用!$U$52)))</f>
        <v/>
      </c>
      <c r="D111" s="68">
        <f>IF(計算用!$U$52="","",IF(計算用!$B$1=1,INDEX(計算用!$H$3:$H$452,計算用!$U$52),INDEX(振り分け!$D$7:$D$456,計算用!$U$52)))</f>
        <v/>
      </c>
      <c r="E111" s="67">
        <f>IF(計算用!$V$52="","",IF(計算用!$B$1=1,INDEX(計算用!$F$3:$F$452,計算用!$V$52),INDEX(振り分け!$B$7:$B$456,計算用!$V$52)))</f>
        <v/>
      </c>
      <c r="F111" s="68">
        <f>IF(計算用!$V$52="","",IF(計算用!$B$1=1,INDEX(計算用!$H$3:$H$452,計算用!$V$52),INDEX(振り分け!$D$7:$D$456,計算用!$V$52)))</f>
        <v/>
      </c>
      <c r="G111" s="67">
        <f>IF(計算用!$W$52="","",IF(計算用!$B$1=1,INDEX(計算用!$F$3:$F$452,計算用!$W$52),INDEX(振り分け!$B$7:$B$456,計算用!$W$52)))</f>
        <v/>
      </c>
      <c r="H111" s="68">
        <f>IF(計算用!$W$52="","",IF(計算用!$B$1=1,INDEX(計算用!$H$3:$H$452,計算用!$W$52),INDEX(振り分け!$D$7:$D$456,計算用!$W$52)))</f>
        <v/>
      </c>
      <c r="I111" s="67">
        <f>IF(計算用!$X$52="","",IF(計算用!$B$1=1,INDEX(計算用!$F$3:$F$452,計算用!$X$52),INDEX(振り分け!$B$7:$B$456,計算用!$X$52)))</f>
        <v/>
      </c>
      <c r="J111" s="68">
        <f>IF(計算用!$X$52="","",IF(計算用!$B$1=1,INDEX(計算用!$H$3:$H$452,計算用!$X$52),INDEX(振り分け!$D$7:$D$456,計算用!$X$52)))</f>
        <v/>
      </c>
      <c r="K111" s="67">
        <f>IF(計算用!$Y$52="","",IF(計算用!$B$1=1,INDEX(計算用!$F$3:$F$452,計算用!$Y$52),INDEX(振り分け!$B$7:$B$456,計算用!$Y$52)))</f>
        <v/>
      </c>
      <c r="L111" s="68">
        <f>IF(計算用!$Y$52="","",IF(計算用!$B$1=1,INDEX(計算用!$H$3:$H$452,計算用!$Y$52),INDEX(振り分け!$D$7:$D$456,計算用!$Y$52)))</f>
        <v/>
      </c>
      <c r="M111" s="67">
        <f>IF(計算用!$Z$52="","",IF(計算用!$B$1=1,INDEX(計算用!$F$3:$F$452,計算用!$Z$52),INDEX(振り分け!$B$7:$B$456,計算用!$Z$52)))</f>
        <v/>
      </c>
      <c r="N111" s="68">
        <f>IF(計算用!$Z$52="","",IF(計算用!$B$1=1,INDEX(計算用!$H$3:$H$452,計算用!$Z$52),INDEX(振り分け!$D$7:$D$456,計算用!$Z$52)))</f>
        <v/>
      </c>
      <c r="O111" s="67">
        <f>IF(計算用!$AA$52="","",IF(計算用!$B$1=1,INDEX(計算用!$F$3:$F$452,計算用!$AA$52),INDEX(振り分け!$B$7:$B$456,計算用!$AA$52)))</f>
        <v/>
      </c>
      <c r="P111" s="68">
        <f>IF(計算用!$AA$52="","",IF(計算用!$B$1=1,INDEX(計算用!$H$3:$H$452,計算用!$AA$52),INDEX(振り分け!$D$7:$D$456,計算用!$AA$52)))</f>
        <v/>
      </c>
      <c r="Q111" s="67">
        <f>IF(計算用!$AB$52="","",IF(計算用!$B$1=1,INDEX(計算用!$F$3:$F$452,計算用!$AB$52),INDEX(振り分け!$B$7:$B$456,計算用!$AB$52)))</f>
        <v/>
      </c>
      <c r="R111" s="68">
        <f>IF(計算用!$AB$52="","",IF(計算用!$B$1=1,INDEX(計算用!$H$3:$H$452,計算用!$AB$52),INDEX(振り分け!$D$7:$D$456,計算用!$AB$52)))</f>
        <v/>
      </c>
      <c r="S111" s="67">
        <f>IF(計算用!$AC$52="","",IF(計算用!$B$1=1,INDEX(計算用!$F$3:$F$452,計算用!$AC$52),INDEX(振り分け!$B$7:$B$456,計算用!$AC$52)))</f>
        <v/>
      </c>
      <c r="T111" s="68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I60:J60"/>
    <mergeCell ref="Q59:R59"/>
    <mergeCell ref="E58:F58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IF(設定!$P$8="","",設定!$B$3&amp;"　"&amp;設定!$P$8&amp;設定!$B$4&amp;"名簿"&amp;IF(計算用!$B$1=0,"（仮・前年度の組）",""))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IF(設定!$P$8="","","担当："&amp;設定!$S$8&amp;"　　活動場所："&amp;設定!$T$8&amp;"　　人数："&amp;定員チェック!$I$7&amp;"名（"&amp;設定!$B$8&amp;"年"&amp;定員チェック!$J$7&amp;"・"&amp;設定!$B$9&amp;"年"&amp;定員チェック!$K$7&amp;"・"&amp;設定!$B$10&amp;"年"&amp;定員チェック!$L$7&amp;"）")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IF(計算用!$J$3="","",1)</f>
        <v/>
      </c>
      <c r="B5" s="59">
        <f>IF(計算用!$J$3="","",IF(計算用!$B$1=1,INDEX(計算用!$F$3:$F$452,計算用!$J$3),INDEX(振り分け!$B$7:$B$456,計算用!$J$3)))</f>
        <v/>
      </c>
      <c r="C5" s="59">
        <f>IF(計算用!$J$3="","",IF(計算用!$B$1=1,INDEX(計算用!$G$3:$G$452,計算用!$J$3),INDEX(振り分け!$C$7:$C$456,計算用!$J$3)))</f>
        <v/>
      </c>
      <c r="D5" s="70">
        <f>IF(計算用!$J$3="","",IF(計算用!$B$1=1,INDEX(計算用!$H$3:$H$452,計算用!$J$3),INDEX(振り分け!$D$7:$D$456,計算用!$J$3)))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IF(計算用!$J$4="","",2)</f>
        <v/>
      </c>
      <c r="B6" s="59">
        <f>IF(計算用!$J$4="","",IF(計算用!$B$1=1,INDEX(計算用!$F$3:$F$452,計算用!$J$4),INDEX(振り分け!$B$7:$B$456,計算用!$J$4)))</f>
        <v/>
      </c>
      <c r="C6" s="59">
        <f>IF(計算用!$J$4="","",IF(計算用!$B$1=1,INDEX(計算用!$G$3:$G$452,計算用!$J$4),INDEX(振り分け!$C$7:$C$456,計算用!$J$4)))</f>
        <v/>
      </c>
      <c r="D6" s="70">
        <f>IF(計算用!$J$4="","",IF(計算用!$B$1=1,INDEX(計算用!$H$3:$H$452,計算用!$J$4),INDEX(振り分け!$D$7:$D$456,計算用!$J$4)))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IF(計算用!$J$5="","",3)</f>
        <v/>
      </c>
      <c r="B7" s="59">
        <f>IF(計算用!$J$5="","",IF(計算用!$B$1=1,INDEX(計算用!$F$3:$F$452,計算用!$J$5),INDEX(振り分け!$B$7:$B$456,計算用!$J$5)))</f>
        <v/>
      </c>
      <c r="C7" s="59">
        <f>IF(計算用!$J$5="","",IF(計算用!$B$1=1,INDEX(計算用!$G$3:$G$452,計算用!$J$5),INDEX(振り分け!$C$7:$C$456,計算用!$J$5)))</f>
        <v/>
      </c>
      <c r="D7" s="70">
        <f>IF(計算用!$J$5="","",IF(計算用!$B$1=1,INDEX(計算用!$H$3:$H$452,計算用!$J$5),INDEX(振り分け!$D$7:$D$456,計算用!$J$5)))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IF(計算用!$J$6="","",4)</f>
        <v/>
      </c>
      <c r="B8" s="59">
        <f>IF(計算用!$J$6="","",IF(計算用!$B$1=1,INDEX(計算用!$F$3:$F$452,計算用!$J$6),INDEX(振り分け!$B$7:$B$456,計算用!$J$6)))</f>
        <v/>
      </c>
      <c r="C8" s="59">
        <f>IF(計算用!$J$6="","",IF(計算用!$B$1=1,INDEX(計算用!$G$3:$G$452,計算用!$J$6),INDEX(振り分け!$C$7:$C$456,計算用!$J$6)))</f>
        <v/>
      </c>
      <c r="D8" s="70">
        <f>IF(計算用!$J$6="","",IF(計算用!$B$1=1,INDEX(計算用!$H$3:$H$452,計算用!$J$6),INDEX(振り分け!$D$7:$D$456,計算用!$J$6)))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IF(計算用!$J$7="","",5)</f>
        <v/>
      </c>
      <c r="B9" s="59">
        <f>IF(計算用!$J$7="","",IF(計算用!$B$1=1,INDEX(計算用!$F$3:$F$452,計算用!$J$7),INDEX(振り分け!$B$7:$B$456,計算用!$J$7)))</f>
        <v/>
      </c>
      <c r="C9" s="59">
        <f>IF(計算用!$J$7="","",IF(計算用!$B$1=1,INDEX(計算用!$G$3:$G$452,計算用!$J$7),INDEX(振り分け!$C$7:$C$456,計算用!$J$7)))</f>
        <v/>
      </c>
      <c r="D9" s="70">
        <f>IF(計算用!$J$7="","",IF(計算用!$B$1=1,INDEX(計算用!$H$3:$H$452,計算用!$J$7),INDEX(振り分け!$D$7:$D$456,計算用!$J$7)))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IF(計算用!$J$8="","",6)</f>
        <v/>
      </c>
      <c r="B10" s="59">
        <f>IF(計算用!$J$8="","",IF(計算用!$B$1=1,INDEX(計算用!$F$3:$F$452,計算用!$J$8),INDEX(振り分け!$B$7:$B$456,計算用!$J$8)))</f>
        <v/>
      </c>
      <c r="C10" s="59">
        <f>IF(計算用!$J$8="","",IF(計算用!$B$1=1,INDEX(計算用!$G$3:$G$452,計算用!$J$8),INDEX(振り分け!$C$7:$C$456,計算用!$J$8)))</f>
        <v/>
      </c>
      <c r="D10" s="70">
        <f>IF(計算用!$J$8="","",IF(計算用!$B$1=1,INDEX(計算用!$H$3:$H$452,計算用!$J$8),INDEX(振り分け!$D$7:$D$456,計算用!$J$8)))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IF(計算用!$J$9="","",7)</f>
        <v/>
      </c>
      <c r="B11" s="59">
        <f>IF(計算用!$J$9="","",IF(計算用!$B$1=1,INDEX(計算用!$F$3:$F$452,計算用!$J$9),INDEX(振り分け!$B$7:$B$456,計算用!$J$9)))</f>
        <v/>
      </c>
      <c r="C11" s="59">
        <f>IF(計算用!$J$9="","",IF(計算用!$B$1=1,INDEX(計算用!$G$3:$G$452,計算用!$J$9),INDEX(振り分け!$C$7:$C$456,計算用!$J$9)))</f>
        <v/>
      </c>
      <c r="D11" s="70">
        <f>IF(計算用!$J$9="","",IF(計算用!$B$1=1,INDEX(計算用!$H$3:$H$452,計算用!$J$9),INDEX(振り分け!$D$7:$D$456,計算用!$J$9)))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IF(計算用!$J$10="","",8)</f>
        <v/>
      </c>
      <c r="B12" s="59">
        <f>IF(計算用!$J$10="","",IF(計算用!$B$1=1,INDEX(計算用!$F$3:$F$452,計算用!$J$10),INDEX(振り分け!$B$7:$B$456,計算用!$J$10)))</f>
        <v/>
      </c>
      <c r="C12" s="59">
        <f>IF(計算用!$J$10="","",IF(計算用!$B$1=1,INDEX(計算用!$G$3:$G$452,計算用!$J$10),INDEX(振り分け!$C$7:$C$456,計算用!$J$10)))</f>
        <v/>
      </c>
      <c r="D12" s="70">
        <f>IF(計算用!$J$10="","",IF(計算用!$B$1=1,INDEX(計算用!$H$3:$H$452,計算用!$J$10),INDEX(振り分け!$D$7:$D$456,計算用!$J$10)))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IF(計算用!$J$11="","",9)</f>
        <v/>
      </c>
      <c r="B13" s="59">
        <f>IF(計算用!$J$11="","",IF(計算用!$B$1=1,INDEX(計算用!$F$3:$F$452,計算用!$J$11),INDEX(振り分け!$B$7:$B$456,計算用!$J$11)))</f>
        <v/>
      </c>
      <c r="C13" s="59">
        <f>IF(計算用!$J$11="","",IF(計算用!$B$1=1,INDEX(計算用!$G$3:$G$452,計算用!$J$11),INDEX(振り分け!$C$7:$C$456,計算用!$J$11)))</f>
        <v/>
      </c>
      <c r="D13" s="70">
        <f>IF(計算用!$J$11="","",IF(計算用!$B$1=1,INDEX(計算用!$H$3:$H$452,計算用!$J$11),INDEX(振り分け!$D$7:$D$456,計算用!$J$11)))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IF(計算用!$J$12="","",10)</f>
        <v/>
      </c>
      <c r="B14" s="59">
        <f>IF(計算用!$J$12="","",IF(計算用!$B$1=1,INDEX(計算用!$F$3:$F$452,計算用!$J$12),INDEX(振り分け!$B$7:$B$456,計算用!$J$12)))</f>
        <v/>
      </c>
      <c r="C14" s="59">
        <f>IF(計算用!$J$12="","",IF(計算用!$B$1=1,INDEX(計算用!$G$3:$G$452,計算用!$J$12),INDEX(振り分け!$C$7:$C$456,計算用!$J$12)))</f>
        <v/>
      </c>
      <c r="D14" s="70">
        <f>IF(計算用!$J$12="","",IF(計算用!$B$1=1,INDEX(計算用!$H$3:$H$452,計算用!$J$12),INDEX(振り分け!$D$7:$D$456,計算用!$J$12)))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IF(計算用!$J$13="","",11)</f>
        <v/>
      </c>
      <c r="B15" s="59">
        <f>IF(計算用!$J$13="","",IF(計算用!$B$1=1,INDEX(計算用!$F$3:$F$452,計算用!$J$13),INDEX(振り分け!$B$7:$B$456,計算用!$J$13)))</f>
        <v/>
      </c>
      <c r="C15" s="59">
        <f>IF(計算用!$J$13="","",IF(計算用!$B$1=1,INDEX(計算用!$G$3:$G$452,計算用!$J$13),INDEX(振り分け!$C$7:$C$456,計算用!$J$13)))</f>
        <v/>
      </c>
      <c r="D15" s="70">
        <f>IF(計算用!$J$13="","",IF(計算用!$B$1=1,INDEX(計算用!$H$3:$H$452,計算用!$J$13),INDEX(振り分け!$D$7:$D$456,計算用!$J$13)))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IF(計算用!$J$14="","",12)</f>
        <v/>
      </c>
      <c r="B16" s="59">
        <f>IF(計算用!$J$14="","",IF(計算用!$B$1=1,INDEX(計算用!$F$3:$F$452,計算用!$J$14),INDEX(振り分け!$B$7:$B$456,計算用!$J$14)))</f>
        <v/>
      </c>
      <c r="C16" s="59">
        <f>IF(計算用!$J$14="","",IF(計算用!$B$1=1,INDEX(計算用!$G$3:$G$452,計算用!$J$14),INDEX(振り分け!$C$7:$C$456,計算用!$J$14)))</f>
        <v/>
      </c>
      <c r="D16" s="70">
        <f>IF(計算用!$J$14="","",IF(計算用!$B$1=1,INDEX(計算用!$H$3:$H$452,計算用!$J$14),INDEX(振り分け!$D$7:$D$456,計算用!$J$14)))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IF(計算用!$J$15="","",13)</f>
        <v/>
      </c>
      <c r="B17" s="59">
        <f>IF(計算用!$J$15="","",IF(計算用!$B$1=1,INDEX(計算用!$F$3:$F$452,計算用!$J$15),INDEX(振り分け!$B$7:$B$456,計算用!$J$15)))</f>
        <v/>
      </c>
      <c r="C17" s="59">
        <f>IF(計算用!$J$15="","",IF(計算用!$B$1=1,INDEX(計算用!$G$3:$G$452,計算用!$J$15),INDEX(振り分け!$C$7:$C$456,計算用!$J$15)))</f>
        <v/>
      </c>
      <c r="D17" s="70">
        <f>IF(計算用!$J$15="","",IF(計算用!$B$1=1,INDEX(計算用!$H$3:$H$452,計算用!$J$15),INDEX(振り分け!$D$7:$D$456,計算用!$J$15)))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IF(計算用!$J$16="","",14)</f>
        <v/>
      </c>
      <c r="B18" s="59">
        <f>IF(計算用!$J$16="","",IF(計算用!$B$1=1,INDEX(計算用!$F$3:$F$452,計算用!$J$16),INDEX(振り分け!$B$7:$B$456,計算用!$J$16)))</f>
        <v/>
      </c>
      <c r="C18" s="59">
        <f>IF(計算用!$J$16="","",IF(計算用!$B$1=1,INDEX(計算用!$G$3:$G$452,計算用!$J$16),INDEX(振り分け!$C$7:$C$456,計算用!$J$16)))</f>
        <v/>
      </c>
      <c r="D18" s="70">
        <f>IF(計算用!$J$16="","",IF(計算用!$B$1=1,INDEX(計算用!$H$3:$H$452,計算用!$J$16),INDEX(振り分け!$D$7:$D$456,計算用!$J$16)))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IF(計算用!$J$17="","",15)</f>
        <v/>
      </c>
      <c r="B19" s="59">
        <f>IF(計算用!$J$17="","",IF(計算用!$B$1=1,INDEX(計算用!$F$3:$F$452,計算用!$J$17),INDEX(振り分け!$B$7:$B$456,計算用!$J$17)))</f>
        <v/>
      </c>
      <c r="C19" s="59">
        <f>IF(計算用!$J$17="","",IF(計算用!$B$1=1,INDEX(計算用!$G$3:$G$452,計算用!$J$17),INDEX(振り分け!$C$7:$C$456,計算用!$J$17)))</f>
        <v/>
      </c>
      <c r="D19" s="70">
        <f>IF(計算用!$J$17="","",IF(計算用!$B$1=1,INDEX(計算用!$H$3:$H$452,計算用!$J$17),INDEX(振り分け!$D$7:$D$456,計算用!$J$17)))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IF(計算用!$J$18="","",16)</f>
        <v/>
      </c>
      <c r="B20" s="59">
        <f>IF(計算用!$J$18="","",IF(計算用!$B$1=1,INDEX(計算用!$F$3:$F$452,計算用!$J$18),INDEX(振り分け!$B$7:$B$456,計算用!$J$18)))</f>
        <v/>
      </c>
      <c r="C20" s="59">
        <f>IF(計算用!$J$18="","",IF(計算用!$B$1=1,INDEX(計算用!$G$3:$G$452,計算用!$J$18),INDEX(振り分け!$C$7:$C$456,計算用!$J$18)))</f>
        <v/>
      </c>
      <c r="D20" s="70">
        <f>IF(計算用!$J$18="","",IF(計算用!$B$1=1,INDEX(計算用!$H$3:$H$452,計算用!$J$18),INDEX(振り分け!$D$7:$D$456,計算用!$J$18)))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IF(計算用!$J$19="","",17)</f>
        <v/>
      </c>
      <c r="B21" s="59">
        <f>IF(計算用!$J$19="","",IF(計算用!$B$1=1,INDEX(計算用!$F$3:$F$452,計算用!$J$19),INDEX(振り分け!$B$7:$B$456,計算用!$J$19)))</f>
        <v/>
      </c>
      <c r="C21" s="59">
        <f>IF(計算用!$J$19="","",IF(計算用!$B$1=1,INDEX(計算用!$G$3:$G$452,計算用!$J$19),INDEX(振り分け!$C$7:$C$456,計算用!$J$19)))</f>
        <v/>
      </c>
      <c r="D21" s="70">
        <f>IF(計算用!$J$19="","",IF(計算用!$B$1=1,INDEX(計算用!$H$3:$H$452,計算用!$J$19),INDEX(振り分け!$D$7:$D$456,計算用!$J$19)))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IF(計算用!$J$20="","",18)</f>
        <v/>
      </c>
      <c r="B22" s="59">
        <f>IF(計算用!$J$20="","",IF(計算用!$B$1=1,INDEX(計算用!$F$3:$F$452,計算用!$J$20),INDEX(振り分け!$B$7:$B$456,計算用!$J$20)))</f>
        <v/>
      </c>
      <c r="C22" s="59">
        <f>IF(計算用!$J$20="","",IF(計算用!$B$1=1,INDEX(計算用!$G$3:$G$452,計算用!$J$20),INDEX(振り分け!$C$7:$C$456,計算用!$J$20)))</f>
        <v/>
      </c>
      <c r="D22" s="70">
        <f>IF(計算用!$J$20="","",IF(計算用!$B$1=1,INDEX(計算用!$H$3:$H$452,計算用!$J$20),INDEX(振り分け!$D$7:$D$456,計算用!$J$20)))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IF(計算用!$J$21="","",19)</f>
        <v/>
      </c>
      <c r="B23" s="59">
        <f>IF(計算用!$J$21="","",IF(計算用!$B$1=1,INDEX(計算用!$F$3:$F$452,計算用!$J$21),INDEX(振り分け!$B$7:$B$456,計算用!$J$21)))</f>
        <v/>
      </c>
      <c r="C23" s="59">
        <f>IF(計算用!$J$21="","",IF(計算用!$B$1=1,INDEX(計算用!$G$3:$G$452,計算用!$J$21),INDEX(振り分け!$C$7:$C$456,計算用!$J$21)))</f>
        <v/>
      </c>
      <c r="D23" s="70">
        <f>IF(計算用!$J$21="","",IF(計算用!$B$1=1,INDEX(計算用!$H$3:$H$452,計算用!$J$21),INDEX(振り分け!$D$7:$D$456,計算用!$J$21)))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IF(計算用!$J$22="","",20)</f>
        <v/>
      </c>
      <c r="B24" s="59">
        <f>IF(計算用!$J$22="","",IF(計算用!$B$1=1,INDEX(計算用!$F$3:$F$452,計算用!$J$22),INDEX(振り分け!$B$7:$B$456,計算用!$J$22)))</f>
        <v/>
      </c>
      <c r="C24" s="59">
        <f>IF(計算用!$J$22="","",IF(計算用!$B$1=1,INDEX(計算用!$G$3:$G$452,計算用!$J$22),INDEX(振り分け!$C$7:$C$456,計算用!$J$22)))</f>
        <v/>
      </c>
      <c r="D24" s="70">
        <f>IF(計算用!$J$22="","",IF(計算用!$B$1=1,INDEX(計算用!$H$3:$H$452,計算用!$J$22),INDEX(振り分け!$D$7:$D$456,計算用!$J$22)))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IF(計算用!$J$23="","",21)</f>
        <v/>
      </c>
      <c r="B25" s="59">
        <f>IF(計算用!$J$23="","",IF(計算用!$B$1=1,INDEX(計算用!$F$3:$F$452,計算用!$J$23),INDEX(振り分け!$B$7:$B$456,計算用!$J$23)))</f>
        <v/>
      </c>
      <c r="C25" s="59">
        <f>IF(計算用!$J$23="","",IF(計算用!$B$1=1,INDEX(計算用!$G$3:$G$452,計算用!$J$23),INDEX(振り分け!$C$7:$C$456,計算用!$J$23)))</f>
        <v/>
      </c>
      <c r="D25" s="70">
        <f>IF(計算用!$J$23="","",IF(計算用!$B$1=1,INDEX(計算用!$H$3:$H$452,計算用!$J$23),INDEX(振り分け!$D$7:$D$456,計算用!$J$23)))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IF(計算用!$J$24="","",22)</f>
        <v/>
      </c>
      <c r="B26" s="59">
        <f>IF(計算用!$J$24="","",IF(計算用!$B$1=1,INDEX(計算用!$F$3:$F$452,計算用!$J$24),INDEX(振り分け!$B$7:$B$456,計算用!$J$24)))</f>
        <v/>
      </c>
      <c r="C26" s="59">
        <f>IF(計算用!$J$24="","",IF(計算用!$B$1=1,INDEX(計算用!$G$3:$G$452,計算用!$J$24),INDEX(振り分け!$C$7:$C$456,計算用!$J$24)))</f>
        <v/>
      </c>
      <c r="D26" s="70">
        <f>IF(計算用!$J$24="","",IF(計算用!$B$1=1,INDEX(計算用!$H$3:$H$452,計算用!$J$24),INDEX(振り分け!$D$7:$D$456,計算用!$J$24)))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IF(計算用!$J$25="","",23)</f>
        <v/>
      </c>
      <c r="B27" s="59">
        <f>IF(計算用!$J$25="","",IF(計算用!$B$1=1,INDEX(計算用!$F$3:$F$452,計算用!$J$25),INDEX(振り分け!$B$7:$B$456,計算用!$J$25)))</f>
        <v/>
      </c>
      <c r="C27" s="59">
        <f>IF(計算用!$J$25="","",IF(計算用!$B$1=1,INDEX(計算用!$G$3:$G$452,計算用!$J$25),INDEX(振り分け!$C$7:$C$456,計算用!$J$25)))</f>
        <v/>
      </c>
      <c r="D27" s="70">
        <f>IF(計算用!$J$25="","",IF(計算用!$B$1=1,INDEX(計算用!$H$3:$H$452,計算用!$J$25),INDEX(振り分け!$D$7:$D$456,計算用!$J$25)))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IF(計算用!$J$26="","",24)</f>
        <v/>
      </c>
      <c r="B28" s="59">
        <f>IF(計算用!$J$26="","",IF(計算用!$B$1=1,INDEX(計算用!$F$3:$F$452,計算用!$J$26),INDEX(振り分け!$B$7:$B$456,計算用!$J$26)))</f>
        <v/>
      </c>
      <c r="C28" s="59">
        <f>IF(計算用!$J$26="","",IF(計算用!$B$1=1,INDEX(計算用!$G$3:$G$452,計算用!$J$26),INDEX(振り分け!$C$7:$C$456,計算用!$J$26)))</f>
        <v/>
      </c>
      <c r="D28" s="70">
        <f>IF(計算用!$J$26="","",IF(計算用!$B$1=1,INDEX(計算用!$H$3:$H$452,計算用!$J$26),INDEX(振り分け!$D$7:$D$456,計算用!$J$26)))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IF(計算用!$J$27="","",25)</f>
        <v/>
      </c>
      <c r="B29" s="59">
        <f>IF(計算用!$J$27="","",IF(計算用!$B$1=1,INDEX(計算用!$F$3:$F$452,計算用!$J$27),INDEX(振り分け!$B$7:$B$456,計算用!$J$27)))</f>
        <v/>
      </c>
      <c r="C29" s="59">
        <f>IF(計算用!$J$27="","",IF(計算用!$B$1=1,INDEX(計算用!$G$3:$G$452,計算用!$J$27),INDEX(振り分け!$C$7:$C$456,計算用!$J$27)))</f>
        <v/>
      </c>
      <c r="D29" s="70">
        <f>IF(計算用!$J$27="","",IF(計算用!$B$1=1,INDEX(計算用!$H$3:$H$452,計算用!$J$27),INDEX(振り分け!$D$7:$D$456,計算用!$J$27)))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IF(計算用!$J$28="","",26)</f>
        <v/>
      </c>
      <c r="B30" s="59">
        <f>IF(計算用!$J$28="","",IF(計算用!$B$1=1,INDEX(計算用!$F$3:$F$452,計算用!$J$28),INDEX(振り分け!$B$7:$B$456,計算用!$J$28)))</f>
        <v/>
      </c>
      <c r="C30" s="59">
        <f>IF(計算用!$J$28="","",IF(計算用!$B$1=1,INDEX(計算用!$G$3:$G$452,計算用!$J$28),INDEX(振り分け!$C$7:$C$456,計算用!$J$28)))</f>
        <v/>
      </c>
      <c r="D30" s="70">
        <f>IF(計算用!$J$28="","",IF(計算用!$B$1=1,INDEX(計算用!$H$3:$H$452,計算用!$J$28),INDEX(振り分け!$D$7:$D$456,計算用!$J$28)))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IF(計算用!$J$29="","",27)</f>
        <v/>
      </c>
      <c r="B31" s="59">
        <f>IF(計算用!$J$29="","",IF(計算用!$B$1=1,INDEX(計算用!$F$3:$F$452,計算用!$J$29),INDEX(振り分け!$B$7:$B$456,計算用!$J$29)))</f>
        <v/>
      </c>
      <c r="C31" s="59">
        <f>IF(計算用!$J$29="","",IF(計算用!$B$1=1,INDEX(計算用!$G$3:$G$452,計算用!$J$29),INDEX(振り分け!$C$7:$C$456,計算用!$J$29)))</f>
        <v/>
      </c>
      <c r="D31" s="70">
        <f>IF(計算用!$J$29="","",IF(計算用!$B$1=1,INDEX(計算用!$H$3:$H$452,計算用!$J$29),INDEX(振り分け!$D$7:$D$456,計算用!$J$29)))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IF(計算用!$J$30="","",28)</f>
        <v/>
      </c>
      <c r="B32" s="59">
        <f>IF(計算用!$J$30="","",IF(計算用!$B$1=1,INDEX(計算用!$F$3:$F$452,計算用!$J$30),INDEX(振り分け!$B$7:$B$456,計算用!$J$30)))</f>
        <v/>
      </c>
      <c r="C32" s="59">
        <f>IF(計算用!$J$30="","",IF(計算用!$B$1=1,INDEX(計算用!$G$3:$G$452,計算用!$J$30),INDEX(振り分け!$C$7:$C$456,計算用!$J$30)))</f>
        <v/>
      </c>
      <c r="D32" s="70">
        <f>IF(計算用!$J$30="","",IF(計算用!$B$1=1,INDEX(計算用!$H$3:$H$452,計算用!$J$30),INDEX(振り分け!$D$7:$D$456,計算用!$J$30)))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IF(計算用!$J$31="","",29)</f>
        <v/>
      </c>
      <c r="B33" s="59">
        <f>IF(計算用!$J$31="","",IF(計算用!$B$1=1,INDEX(計算用!$F$3:$F$452,計算用!$J$31),INDEX(振り分け!$B$7:$B$456,計算用!$J$31)))</f>
        <v/>
      </c>
      <c r="C33" s="59">
        <f>IF(計算用!$J$31="","",IF(計算用!$B$1=1,INDEX(計算用!$G$3:$G$452,計算用!$J$31),INDEX(振り分け!$C$7:$C$456,計算用!$J$31)))</f>
        <v/>
      </c>
      <c r="D33" s="70">
        <f>IF(計算用!$J$31="","",IF(計算用!$B$1=1,INDEX(計算用!$H$3:$H$452,計算用!$J$31),INDEX(振り分け!$D$7:$D$456,計算用!$J$31)))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IF(計算用!$J$32="","",30)</f>
        <v/>
      </c>
      <c r="B34" s="59">
        <f>IF(計算用!$J$32="","",IF(計算用!$B$1=1,INDEX(計算用!$F$3:$F$452,計算用!$J$32),INDEX(振り分け!$B$7:$B$456,計算用!$J$32)))</f>
        <v/>
      </c>
      <c r="C34" s="59">
        <f>IF(計算用!$J$32="","",IF(計算用!$B$1=1,INDEX(計算用!$G$3:$G$452,計算用!$J$32),INDEX(振り分け!$C$7:$C$456,計算用!$J$32)))</f>
        <v/>
      </c>
      <c r="D34" s="70">
        <f>IF(計算用!$J$32="","",IF(計算用!$B$1=1,INDEX(計算用!$H$3:$H$452,計算用!$J$32),INDEX(振り分け!$D$7:$D$456,計算用!$J$32)))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IF(計算用!$J$33="","",31)</f>
        <v/>
      </c>
      <c r="B35" s="59">
        <f>IF(計算用!$J$33="","",IF(計算用!$B$1=1,INDEX(計算用!$F$3:$F$452,計算用!$J$33),INDEX(振り分け!$B$7:$B$456,計算用!$J$33)))</f>
        <v/>
      </c>
      <c r="C35" s="59">
        <f>IF(計算用!$J$33="","",IF(計算用!$B$1=1,INDEX(計算用!$G$3:$G$452,計算用!$J$33),INDEX(振り分け!$C$7:$C$456,計算用!$J$33)))</f>
        <v/>
      </c>
      <c r="D35" s="70">
        <f>IF(計算用!$J$33="","",IF(計算用!$B$1=1,INDEX(計算用!$H$3:$H$452,計算用!$J$33),INDEX(振り分け!$D$7:$D$456,計算用!$J$33)))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IF(計算用!$J$34="","",32)</f>
        <v/>
      </c>
      <c r="B36" s="59">
        <f>IF(計算用!$J$34="","",IF(計算用!$B$1=1,INDEX(計算用!$F$3:$F$452,計算用!$J$34),INDEX(振り分け!$B$7:$B$456,計算用!$J$34)))</f>
        <v/>
      </c>
      <c r="C36" s="59">
        <f>IF(計算用!$J$34="","",IF(計算用!$B$1=1,INDEX(計算用!$G$3:$G$452,計算用!$J$34),INDEX(振り分け!$C$7:$C$456,計算用!$J$34)))</f>
        <v/>
      </c>
      <c r="D36" s="70">
        <f>IF(計算用!$J$34="","",IF(計算用!$B$1=1,INDEX(計算用!$H$3:$H$452,計算用!$J$34),INDEX(振り分け!$D$7:$D$456,計算用!$J$34)))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IF(計算用!$J$35="","",33)</f>
        <v/>
      </c>
      <c r="B37" s="59">
        <f>IF(計算用!$J$35="","",IF(計算用!$B$1=1,INDEX(計算用!$F$3:$F$452,計算用!$J$35),INDEX(振り分け!$B$7:$B$456,計算用!$J$35)))</f>
        <v/>
      </c>
      <c r="C37" s="59">
        <f>IF(計算用!$J$35="","",IF(計算用!$B$1=1,INDEX(計算用!$G$3:$G$452,計算用!$J$35),INDEX(振り分け!$C$7:$C$456,計算用!$J$35)))</f>
        <v/>
      </c>
      <c r="D37" s="70">
        <f>IF(計算用!$J$35="","",IF(計算用!$B$1=1,INDEX(計算用!$H$3:$H$452,計算用!$J$35),INDEX(振り分け!$D$7:$D$456,計算用!$J$35)))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IF(計算用!$J$36="","",34)</f>
        <v/>
      </c>
      <c r="B38" s="59">
        <f>IF(計算用!$J$36="","",IF(計算用!$B$1=1,INDEX(計算用!$F$3:$F$452,計算用!$J$36),INDEX(振り分け!$B$7:$B$456,計算用!$J$36)))</f>
        <v/>
      </c>
      <c r="C38" s="59">
        <f>IF(計算用!$J$36="","",IF(計算用!$B$1=1,INDEX(計算用!$G$3:$G$452,計算用!$J$36),INDEX(振り分け!$C$7:$C$456,計算用!$J$36)))</f>
        <v/>
      </c>
      <c r="D38" s="70">
        <f>IF(計算用!$J$36="","",IF(計算用!$B$1=1,INDEX(計算用!$H$3:$H$452,計算用!$J$36),INDEX(振り分け!$D$7:$D$456,計算用!$J$36)))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IF(計算用!$J$37="","",35)</f>
        <v/>
      </c>
      <c r="B39" s="59">
        <f>IF(計算用!$J$37="","",IF(計算用!$B$1=1,INDEX(計算用!$F$3:$F$452,計算用!$J$37),INDEX(振り分け!$B$7:$B$456,計算用!$J$37)))</f>
        <v/>
      </c>
      <c r="C39" s="59">
        <f>IF(計算用!$J$37="","",IF(計算用!$B$1=1,INDEX(計算用!$G$3:$G$452,計算用!$J$37),INDEX(振り分け!$C$7:$C$456,計算用!$J$37)))</f>
        <v/>
      </c>
      <c r="D39" s="70">
        <f>IF(計算用!$J$37="","",IF(計算用!$B$1=1,INDEX(計算用!$H$3:$H$452,計算用!$J$37),INDEX(振り分け!$D$7:$D$456,計算用!$J$37)))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IF(計算用!$J$38="","",36)</f>
        <v/>
      </c>
      <c r="B40" s="59">
        <f>IF(計算用!$J$38="","",IF(計算用!$B$1=1,INDEX(計算用!$F$3:$F$452,計算用!$J$38),INDEX(振り分け!$B$7:$B$456,計算用!$J$38)))</f>
        <v/>
      </c>
      <c r="C40" s="59">
        <f>IF(計算用!$J$38="","",IF(計算用!$B$1=1,INDEX(計算用!$G$3:$G$452,計算用!$J$38),INDEX(振り分け!$C$7:$C$456,計算用!$J$38)))</f>
        <v/>
      </c>
      <c r="D40" s="70">
        <f>IF(計算用!$J$38="","",IF(計算用!$B$1=1,INDEX(計算用!$H$3:$H$452,計算用!$J$38),INDEX(振り分け!$D$7:$D$456,計算用!$J$38)))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IF(計算用!$J$39="","",37)</f>
        <v/>
      </c>
      <c r="B41" s="59">
        <f>IF(計算用!$J$39="","",IF(計算用!$B$1=1,INDEX(計算用!$F$3:$F$452,計算用!$J$39),INDEX(振り分け!$B$7:$B$456,計算用!$J$39)))</f>
        <v/>
      </c>
      <c r="C41" s="59">
        <f>IF(計算用!$J$39="","",IF(計算用!$B$1=1,INDEX(計算用!$G$3:$G$452,計算用!$J$39),INDEX(振り分け!$C$7:$C$456,計算用!$J$39)))</f>
        <v/>
      </c>
      <c r="D41" s="70">
        <f>IF(計算用!$J$39="","",IF(計算用!$B$1=1,INDEX(計算用!$H$3:$H$452,計算用!$J$39),INDEX(振り分け!$D$7:$D$456,計算用!$J$39)))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IF(計算用!$J$40="","",38)</f>
        <v/>
      </c>
      <c r="B42" s="59">
        <f>IF(計算用!$J$40="","",IF(計算用!$B$1=1,INDEX(計算用!$F$3:$F$452,計算用!$J$40),INDEX(振り分け!$B$7:$B$456,計算用!$J$40)))</f>
        <v/>
      </c>
      <c r="C42" s="59">
        <f>IF(計算用!$J$40="","",IF(計算用!$B$1=1,INDEX(計算用!$G$3:$G$452,計算用!$J$40),INDEX(振り分け!$C$7:$C$456,計算用!$J$40)))</f>
        <v/>
      </c>
      <c r="D42" s="70">
        <f>IF(計算用!$J$40="","",IF(計算用!$B$1=1,INDEX(計算用!$H$3:$H$452,計算用!$J$40),INDEX(振り分け!$D$7:$D$456,計算用!$J$40)))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IF(計算用!$J$41="","",39)</f>
        <v/>
      </c>
      <c r="B43" s="59">
        <f>IF(計算用!$J$41="","",IF(計算用!$B$1=1,INDEX(計算用!$F$3:$F$452,計算用!$J$41),INDEX(振り分け!$B$7:$B$456,計算用!$J$41)))</f>
        <v/>
      </c>
      <c r="C43" s="59">
        <f>IF(計算用!$J$41="","",IF(計算用!$B$1=1,INDEX(計算用!$G$3:$G$452,計算用!$J$41),INDEX(振り分け!$C$7:$C$456,計算用!$J$41)))</f>
        <v/>
      </c>
      <c r="D43" s="70">
        <f>IF(計算用!$J$41="","",IF(計算用!$B$1=1,INDEX(計算用!$H$3:$H$452,計算用!$J$41),INDEX(振り分け!$D$7:$D$456,計算用!$J$41)))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IF(計算用!$J$42="","",40)</f>
        <v/>
      </c>
      <c r="B44" s="59">
        <f>IF(計算用!$J$42="","",IF(計算用!$B$1=1,INDEX(計算用!$F$3:$F$452,計算用!$J$42),INDEX(振り分け!$B$7:$B$456,計算用!$J$42)))</f>
        <v/>
      </c>
      <c r="C44" s="59">
        <f>IF(計算用!$J$42="","",IF(計算用!$B$1=1,INDEX(計算用!$G$3:$G$452,計算用!$J$42),INDEX(振り分け!$C$7:$C$456,計算用!$J$42)))</f>
        <v/>
      </c>
      <c r="D44" s="70">
        <f>IF(計算用!$J$42="","",IF(計算用!$B$1=1,INDEX(計算用!$H$3:$H$452,計算用!$J$42),INDEX(振り分け!$D$7:$D$456,計算用!$J$42)))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IF(計算用!$J$43="","",41)</f>
        <v/>
      </c>
      <c r="B45" s="59">
        <f>IF(計算用!$J$43="","",IF(計算用!$B$1=1,INDEX(計算用!$F$3:$F$452,計算用!$J$43),INDEX(振り分け!$B$7:$B$456,計算用!$J$43)))</f>
        <v/>
      </c>
      <c r="C45" s="59">
        <f>IF(計算用!$J$43="","",IF(計算用!$B$1=1,INDEX(計算用!$G$3:$G$452,計算用!$J$43),INDEX(振り分け!$C$7:$C$456,計算用!$J$43)))</f>
        <v/>
      </c>
      <c r="D45" s="70">
        <f>IF(計算用!$J$43="","",IF(計算用!$B$1=1,INDEX(計算用!$H$3:$H$452,計算用!$J$43),INDEX(振り分け!$D$7:$D$456,計算用!$J$43)))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IF(計算用!$J$44="","",42)</f>
        <v/>
      </c>
      <c r="B46" s="59">
        <f>IF(計算用!$J$44="","",IF(計算用!$B$1=1,INDEX(計算用!$F$3:$F$452,計算用!$J$44),INDEX(振り分け!$B$7:$B$456,計算用!$J$44)))</f>
        <v/>
      </c>
      <c r="C46" s="59">
        <f>IF(計算用!$J$44="","",IF(計算用!$B$1=1,INDEX(計算用!$G$3:$G$452,計算用!$J$44),INDEX(振り分け!$C$7:$C$456,計算用!$J$44)))</f>
        <v/>
      </c>
      <c r="D46" s="70">
        <f>IF(計算用!$J$44="","",IF(計算用!$B$1=1,INDEX(計算用!$H$3:$H$452,計算用!$J$44),INDEX(振り分け!$D$7:$D$456,計算用!$J$44)))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IF(計算用!$J$45="","",43)</f>
        <v/>
      </c>
      <c r="B47" s="59">
        <f>IF(計算用!$J$45="","",IF(計算用!$B$1=1,INDEX(計算用!$F$3:$F$452,計算用!$J$45),INDEX(振り分け!$B$7:$B$456,計算用!$J$45)))</f>
        <v/>
      </c>
      <c r="C47" s="59">
        <f>IF(計算用!$J$45="","",IF(計算用!$B$1=1,INDEX(計算用!$G$3:$G$452,計算用!$J$45),INDEX(振り分け!$C$7:$C$456,計算用!$J$45)))</f>
        <v/>
      </c>
      <c r="D47" s="70">
        <f>IF(計算用!$J$45="","",IF(計算用!$B$1=1,INDEX(計算用!$H$3:$H$452,計算用!$J$45),INDEX(振り分け!$D$7:$D$456,計算用!$J$45)))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IF(計算用!$J$46="","",44)</f>
        <v/>
      </c>
      <c r="B48" s="59">
        <f>IF(計算用!$J$46="","",IF(計算用!$B$1=1,INDEX(計算用!$F$3:$F$452,計算用!$J$46),INDEX(振り分け!$B$7:$B$456,計算用!$J$46)))</f>
        <v/>
      </c>
      <c r="C48" s="59">
        <f>IF(計算用!$J$46="","",IF(計算用!$B$1=1,INDEX(計算用!$G$3:$G$452,計算用!$J$46),INDEX(振り分け!$C$7:$C$456,計算用!$J$46)))</f>
        <v/>
      </c>
      <c r="D48" s="70">
        <f>IF(計算用!$J$46="","",IF(計算用!$B$1=1,INDEX(計算用!$H$3:$H$452,計算用!$J$46),INDEX(振り分け!$D$7:$D$456,計算用!$J$46)))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IF(計算用!$J$47="","",45)</f>
        <v/>
      </c>
      <c r="B49" s="59">
        <f>IF(計算用!$J$47="","",IF(計算用!$B$1=1,INDEX(計算用!$F$3:$F$452,計算用!$J$47),INDEX(振り分け!$B$7:$B$456,計算用!$J$47)))</f>
        <v/>
      </c>
      <c r="C49" s="59">
        <f>IF(計算用!$J$47="","",IF(計算用!$B$1=1,INDEX(計算用!$G$3:$G$452,計算用!$J$47),INDEX(振り分け!$C$7:$C$456,計算用!$J$47)))</f>
        <v/>
      </c>
      <c r="D49" s="70">
        <f>IF(計算用!$J$47="","",IF(計算用!$B$1=1,INDEX(計算用!$H$3:$H$452,計算用!$J$47),INDEX(振り分け!$D$7:$D$456,計算用!$J$47)))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IF(計算用!$J$48="","",46)</f>
        <v/>
      </c>
      <c r="B50" s="59">
        <f>IF(計算用!$J$48="","",IF(計算用!$B$1=1,INDEX(計算用!$F$3:$F$452,計算用!$J$48),INDEX(振り分け!$B$7:$B$456,計算用!$J$48)))</f>
        <v/>
      </c>
      <c r="C50" s="59">
        <f>IF(計算用!$J$48="","",IF(計算用!$B$1=1,INDEX(計算用!$G$3:$G$452,計算用!$J$48),INDEX(振り分け!$C$7:$C$456,計算用!$J$48)))</f>
        <v/>
      </c>
      <c r="D50" s="70">
        <f>IF(計算用!$J$48="","",IF(計算用!$B$1=1,INDEX(計算用!$H$3:$H$452,計算用!$J$48),INDEX(振り分け!$D$7:$D$456,計算用!$J$48)))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IF(計算用!$J$49="","",47)</f>
        <v/>
      </c>
      <c r="B51" s="59">
        <f>IF(計算用!$J$49="","",IF(計算用!$B$1=1,INDEX(計算用!$F$3:$F$452,計算用!$J$49),INDEX(振り分け!$B$7:$B$456,計算用!$J$49)))</f>
        <v/>
      </c>
      <c r="C51" s="59">
        <f>IF(計算用!$J$49="","",IF(計算用!$B$1=1,INDEX(計算用!$G$3:$G$452,計算用!$J$49),INDEX(振り分け!$C$7:$C$456,計算用!$J$49)))</f>
        <v/>
      </c>
      <c r="D51" s="70">
        <f>IF(計算用!$J$49="","",IF(計算用!$B$1=1,INDEX(計算用!$H$3:$H$452,計算用!$J$49),INDEX(振り分け!$D$7:$D$456,計算用!$J$49)))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IF(計算用!$J$50="","",48)</f>
        <v/>
      </c>
      <c r="B52" s="59">
        <f>IF(計算用!$J$50="","",IF(計算用!$B$1=1,INDEX(計算用!$F$3:$F$452,計算用!$J$50),INDEX(振り分け!$B$7:$B$456,計算用!$J$50)))</f>
        <v/>
      </c>
      <c r="C52" s="59">
        <f>IF(計算用!$J$50="","",IF(計算用!$B$1=1,INDEX(計算用!$G$3:$G$452,計算用!$J$50),INDEX(振り分け!$C$7:$C$456,計算用!$J$50)))</f>
        <v/>
      </c>
      <c r="D52" s="70">
        <f>IF(計算用!$J$50="","",IF(計算用!$B$1=1,INDEX(計算用!$H$3:$H$452,計算用!$J$50),INDEX(振り分け!$D$7:$D$456,計算用!$J$50)))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IF(計算用!$J$51="","",49)</f>
        <v/>
      </c>
      <c r="B53" s="59">
        <f>IF(計算用!$J$51="","",IF(計算用!$B$1=1,INDEX(計算用!$F$3:$F$452,計算用!$J$51),INDEX(振り分け!$B$7:$B$456,計算用!$J$51)))</f>
        <v/>
      </c>
      <c r="C53" s="59">
        <f>IF(計算用!$J$51="","",IF(計算用!$B$1=1,INDEX(計算用!$G$3:$G$452,計算用!$J$51),INDEX(振り分け!$C$7:$C$456,計算用!$J$51)))</f>
        <v/>
      </c>
      <c r="D53" s="70">
        <f>IF(計算用!$J$51="","",IF(計算用!$B$1=1,INDEX(計算用!$H$3:$H$452,計算用!$J$51),INDEX(振り分け!$D$7:$D$456,計算用!$J$51)))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IF(計算用!$J$52="","",50)</f>
        <v/>
      </c>
      <c r="B54" s="59">
        <f>IF(計算用!$J$52="","",IF(計算用!$B$1=1,INDEX(計算用!$F$3:$F$452,計算用!$J$52),INDEX(振り分け!$B$7:$B$456,計算用!$J$52)))</f>
        <v/>
      </c>
      <c r="C54" s="59">
        <f>IF(計算用!$J$52="","",IF(計算用!$B$1=1,INDEX(計算用!$G$3:$G$452,計算用!$J$52),INDEX(振り分け!$C$7:$C$456,計算用!$J$52)))</f>
        <v/>
      </c>
      <c r="D54" s="70">
        <f>IF(計算用!$J$52="","",IF(計算用!$B$1=1,INDEX(計算用!$H$3:$H$452,計算用!$J$52),INDEX(振り分け!$D$7:$D$456,計算用!$J$52)))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IF(設定!$P$9="","",設定!$B$3&amp;"　"&amp;設定!$P$9&amp;設定!$B$4&amp;"名簿"&amp;IF(計算用!$B$1=0,"（仮・前年度の組）",""))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IF(設定!$P$9="","","担当："&amp;設定!$S$9&amp;"　　活動場所："&amp;設定!$T$9&amp;"　　人数："&amp;定員チェック!$I$8&amp;"名（"&amp;設定!$B$8&amp;"年"&amp;定員チェック!$J$8&amp;"・"&amp;設定!$B$9&amp;"年"&amp;定員チェック!$K$8&amp;"・"&amp;設定!$B$10&amp;"年"&amp;定員チェック!$L$8&amp;"）")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IF(計算用!$K$3="","",1)</f>
        <v/>
      </c>
      <c r="B5" s="59">
        <f>IF(計算用!$K$3="","",IF(計算用!$B$1=1,INDEX(計算用!$F$3:$F$452,計算用!$K$3),INDEX(振り分け!$B$7:$B$456,計算用!$K$3)))</f>
        <v/>
      </c>
      <c r="C5" s="59">
        <f>IF(計算用!$K$3="","",IF(計算用!$B$1=1,INDEX(計算用!$G$3:$G$452,計算用!$K$3),INDEX(振り分け!$C$7:$C$456,計算用!$K$3)))</f>
        <v/>
      </c>
      <c r="D5" s="70">
        <f>IF(計算用!$K$3="","",IF(計算用!$B$1=1,INDEX(計算用!$H$3:$H$452,計算用!$K$3),INDEX(振り分け!$D$7:$D$456,計算用!$K$3)))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IF(計算用!$K$4="","",2)</f>
        <v/>
      </c>
      <c r="B6" s="59">
        <f>IF(計算用!$K$4="","",IF(計算用!$B$1=1,INDEX(計算用!$F$3:$F$452,計算用!$K$4),INDEX(振り分け!$B$7:$B$456,計算用!$K$4)))</f>
        <v/>
      </c>
      <c r="C6" s="59">
        <f>IF(計算用!$K$4="","",IF(計算用!$B$1=1,INDEX(計算用!$G$3:$G$452,計算用!$K$4),INDEX(振り分け!$C$7:$C$456,計算用!$K$4)))</f>
        <v/>
      </c>
      <c r="D6" s="70">
        <f>IF(計算用!$K$4="","",IF(計算用!$B$1=1,INDEX(計算用!$H$3:$H$452,計算用!$K$4),INDEX(振り分け!$D$7:$D$456,計算用!$K$4)))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IF(計算用!$K$5="","",3)</f>
        <v/>
      </c>
      <c r="B7" s="59">
        <f>IF(計算用!$K$5="","",IF(計算用!$B$1=1,INDEX(計算用!$F$3:$F$452,計算用!$K$5),INDEX(振り分け!$B$7:$B$456,計算用!$K$5)))</f>
        <v/>
      </c>
      <c r="C7" s="59">
        <f>IF(計算用!$K$5="","",IF(計算用!$B$1=1,INDEX(計算用!$G$3:$G$452,計算用!$K$5),INDEX(振り分け!$C$7:$C$456,計算用!$K$5)))</f>
        <v/>
      </c>
      <c r="D7" s="70">
        <f>IF(計算用!$K$5="","",IF(計算用!$B$1=1,INDEX(計算用!$H$3:$H$452,計算用!$K$5),INDEX(振り分け!$D$7:$D$456,計算用!$K$5)))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IF(計算用!$K$6="","",4)</f>
        <v/>
      </c>
      <c r="B8" s="59">
        <f>IF(計算用!$K$6="","",IF(計算用!$B$1=1,INDEX(計算用!$F$3:$F$452,計算用!$K$6),INDEX(振り分け!$B$7:$B$456,計算用!$K$6)))</f>
        <v/>
      </c>
      <c r="C8" s="59">
        <f>IF(計算用!$K$6="","",IF(計算用!$B$1=1,INDEX(計算用!$G$3:$G$452,計算用!$K$6),INDEX(振り分け!$C$7:$C$456,計算用!$K$6)))</f>
        <v/>
      </c>
      <c r="D8" s="70">
        <f>IF(計算用!$K$6="","",IF(計算用!$B$1=1,INDEX(計算用!$H$3:$H$452,計算用!$K$6),INDEX(振り分け!$D$7:$D$456,計算用!$K$6)))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IF(計算用!$K$7="","",5)</f>
        <v/>
      </c>
      <c r="B9" s="59">
        <f>IF(計算用!$K$7="","",IF(計算用!$B$1=1,INDEX(計算用!$F$3:$F$452,計算用!$K$7),INDEX(振り分け!$B$7:$B$456,計算用!$K$7)))</f>
        <v/>
      </c>
      <c r="C9" s="59">
        <f>IF(計算用!$K$7="","",IF(計算用!$B$1=1,INDEX(計算用!$G$3:$G$452,計算用!$K$7),INDEX(振り分け!$C$7:$C$456,計算用!$K$7)))</f>
        <v/>
      </c>
      <c r="D9" s="70">
        <f>IF(計算用!$K$7="","",IF(計算用!$B$1=1,INDEX(計算用!$H$3:$H$452,計算用!$K$7),INDEX(振り分け!$D$7:$D$456,計算用!$K$7)))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IF(計算用!$K$8="","",6)</f>
        <v/>
      </c>
      <c r="B10" s="59">
        <f>IF(計算用!$K$8="","",IF(計算用!$B$1=1,INDEX(計算用!$F$3:$F$452,計算用!$K$8),INDEX(振り分け!$B$7:$B$456,計算用!$K$8)))</f>
        <v/>
      </c>
      <c r="C10" s="59">
        <f>IF(計算用!$K$8="","",IF(計算用!$B$1=1,INDEX(計算用!$G$3:$G$452,計算用!$K$8),INDEX(振り分け!$C$7:$C$456,計算用!$K$8)))</f>
        <v/>
      </c>
      <c r="D10" s="70">
        <f>IF(計算用!$K$8="","",IF(計算用!$B$1=1,INDEX(計算用!$H$3:$H$452,計算用!$K$8),INDEX(振り分け!$D$7:$D$456,計算用!$K$8)))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IF(計算用!$K$9="","",7)</f>
        <v/>
      </c>
      <c r="B11" s="59">
        <f>IF(計算用!$K$9="","",IF(計算用!$B$1=1,INDEX(計算用!$F$3:$F$452,計算用!$K$9),INDEX(振り分け!$B$7:$B$456,計算用!$K$9)))</f>
        <v/>
      </c>
      <c r="C11" s="59">
        <f>IF(計算用!$K$9="","",IF(計算用!$B$1=1,INDEX(計算用!$G$3:$G$452,計算用!$K$9),INDEX(振り分け!$C$7:$C$456,計算用!$K$9)))</f>
        <v/>
      </c>
      <c r="D11" s="70">
        <f>IF(計算用!$K$9="","",IF(計算用!$B$1=1,INDEX(計算用!$H$3:$H$452,計算用!$K$9),INDEX(振り分け!$D$7:$D$456,計算用!$K$9)))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IF(計算用!$K$10="","",8)</f>
        <v/>
      </c>
      <c r="B12" s="59">
        <f>IF(計算用!$K$10="","",IF(計算用!$B$1=1,INDEX(計算用!$F$3:$F$452,計算用!$K$10),INDEX(振り分け!$B$7:$B$456,計算用!$K$10)))</f>
        <v/>
      </c>
      <c r="C12" s="59">
        <f>IF(計算用!$K$10="","",IF(計算用!$B$1=1,INDEX(計算用!$G$3:$G$452,計算用!$K$10),INDEX(振り分け!$C$7:$C$456,計算用!$K$10)))</f>
        <v/>
      </c>
      <c r="D12" s="70">
        <f>IF(計算用!$K$10="","",IF(計算用!$B$1=1,INDEX(計算用!$H$3:$H$452,計算用!$K$10),INDEX(振り分け!$D$7:$D$456,計算用!$K$10)))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IF(計算用!$K$11="","",9)</f>
        <v/>
      </c>
      <c r="B13" s="59">
        <f>IF(計算用!$K$11="","",IF(計算用!$B$1=1,INDEX(計算用!$F$3:$F$452,計算用!$K$11),INDEX(振り分け!$B$7:$B$456,計算用!$K$11)))</f>
        <v/>
      </c>
      <c r="C13" s="59">
        <f>IF(計算用!$K$11="","",IF(計算用!$B$1=1,INDEX(計算用!$G$3:$G$452,計算用!$K$11),INDEX(振り分け!$C$7:$C$456,計算用!$K$11)))</f>
        <v/>
      </c>
      <c r="D13" s="70">
        <f>IF(計算用!$K$11="","",IF(計算用!$B$1=1,INDEX(計算用!$H$3:$H$452,計算用!$K$11),INDEX(振り分け!$D$7:$D$456,計算用!$K$11)))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IF(計算用!$K$12="","",10)</f>
        <v/>
      </c>
      <c r="B14" s="59">
        <f>IF(計算用!$K$12="","",IF(計算用!$B$1=1,INDEX(計算用!$F$3:$F$452,計算用!$K$12),INDEX(振り分け!$B$7:$B$456,計算用!$K$12)))</f>
        <v/>
      </c>
      <c r="C14" s="59">
        <f>IF(計算用!$K$12="","",IF(計算用!$B$1=1,INDEX(計算用!$G$3:$G$452,計算用!$K$12),INDEX(振り分け!$C$7:$C$456,計算用!$K$12)))</f>
        <v/>
      </c>
      <c r="D14" s="70">
        <f>IF(計算用!$K$12="","",IF(計算用!$B$1=1,INDEX(計算用!$H$3:$H$452,計算用!$K$12),INDEX(振り分け!$D$7:$D$456,計算用!$K$12)))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IF(計算用!$K$13="","",11)</f>
        <v/>
      </c>
      <c r="B15" s="59">
        <f>IF(計算用!$K$13="","",IF(計算用!$B$1=1,INDEX(計算用!$F$3:$F$452,計算用!$K$13),INDEX(振り分け!$B$7:$B$456,計算用!$K$13)))</f>
        <v/>
      </c>
      <c r="C15" s="59">
        <f>IF(計算用!$K$13="","",IF(計算用!$B$1=1,INDEX(計算用!$G$3:$G$452,計算用!$K$13),INDEX(振り分け!$C$7:$C$456,計算用!$K$13)))</f>
        <v/>
      </c>
      <c r="D15" s="70">
        <f>IF(計算用!$K$13="","",IF(計算用!$B$1=1,INDEX(計算用!$H$3:$H$452,計算用!$K$13),INDEX(振り分け!$D$7:$D$456,計算用!$K$13)))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IF(計算用!$K$14="","",12)</f>
        <v/>
      </c>
      <c r="B16" s="59">
        <f>IF(計算用!$K$14="","",IF(計算用!$B$1=1,INDEX(計算用!$F$3:$F$452,計算用!$K$14),INDEX(振り分け!$B$7:$B$456,計算用!$K$14)))</f>
        <v/>
      </c>
      <c r="C16" s="59">
        <f>IF(計算用!$K$14="","",IF(計算用!$B$1=1,INDEX(計算用!$G$3:$G$452,計算用!$K$14),INDEX(振り分け!$C$7:$C$456,計算用!$K$14)))</f>
        <v/>
      </c>
      <c r="D16" s="70">
        <f>IF(計算用!$K$14="","",IF(計算用!$B$1=1,INDEX(計算用!$H$3:$H$452,計算用!$K$14),INDEX(振り分け!$D$7:$D$456,計算用!$K$14)))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IF(計算用!$K$15="","",13)</f>
        <v/>
      </c>
      <c r="B17" s="59">
        <f>IF(計算用!$K$15="","",IF(計算用!$B$1=1,INDEX(計算用!$F$3:$F$452,計算用!$K$15),INDEX(振り分け!$B$7:$B$456,計算用!$K$15)))</f>
        <v/>
      </c>
      <c r="C17" s="59">
        <f>IF(計算用!$K$15="","",IF(計算用!$B$1=1,INDEX(計算用!$G$3:$G$452,計算用!$K$15),INDEX(振り分け!$C$7:$C$456,計算用!$K$15)))</f>
        <v/>
      </c>
      <c r="D17" s="70">
        <f>IF(計算用!$K$15="","",IF(計算用!$B$1=1,INDEX(計算用!$H$3:$H$452,計算用!$K$15),INDEX(振り分け!$D$7:$D$456,計算用!$K$15)))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IF(計算用!$K$16="","",14)</f>
        <v/>
      </c>
      <c r="B18" s="59">
        <f>IF(計算用!$K$16="","",IF(計算用!$B$1=1,INDEX(計算用!$F$3:$F$452,計算用!$K$16),INDEX(振り分け!$B$7:$B$456,計算用!$K$16)))</f>
        <v/>
      </c>
      <c r="C18" s="59">
        <f>IF(計算用!$K$16="","",IF(計算用!$B$1=1,INDEX(計算用!$G$3:$G$452,計算用!$K$16),INDEX(振り分け!$C$7:$C$456,計算用!$K$16)))</f>
        <v/>
      </c>
      <c r="D18" s="70">
        <f>IF(計算用!$K$16="","",IF(計算用!$B$1=1,INDEX(計算用!$H$3:$H$452,計算用!$K$16),INDEX(振り分け!$D$7:$D$456,計算用!$K$16)))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IF(計算用!$K$17="","",15)</f>
        <v/>
      </c>
      <c r="B19" s="59">
        <f>IF(計算用!$K$17="","",IF(計算用!$B$1=1,INDEX(計算用!$F$3:$F$452,計算用!$K$17),INDEX(振り分け!$B$7:$B$456,計算用!$K$17)))</f>
        <v/>
      </c>
      <c r="C19" s="59">
        <f>IF(計算用!$K$17="","",IF(計算用!$B$1=1,INDEX(計算用!$G$3:$G$452,計算用!$K$17),INDEX(振り分け!$C$7:$C$456,計算用!$K$17)))</f>
        <v/>
      </c>
      <c r="D19" s="70">
        <f>IF(計算用!$K$17="","",IF(計算用!$B$1=1,INDEX(計算用!$H$3:$H$452,計算用!$K$17),INDEX(振り分け!$D$7:$D$456,計算用!$K$17)))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IF(計算用!$K$18="","",16)</f>
        <v/>
      </c>
      <c r="B20" s="59">
        <f>IF(計算用!$K$18="","",IF(計算用!$B$1=1,INDEX(計算用!$F$3:$F$452,計算用!$K$18),INDEX(振り分け!$B$7:$B$456,計算用!$K$18)))</f>
        <v/>
      </c>
      <c r="C20" s="59">
        <f>IF(計算用!$K$18="","",IF(計算用!$B$1=1,INDEX(計算用!$G$3:$G$452,計算用!$K$18),INDEX(振り分け!$C$7:$C$456,計算用!$K$18)))</f>
        <v/>
      </c>
      <c r="D20" s="70">
        <f>IF(計算用!$K$18="","",IF(計算用!$B$1=1,INDEX(計算用!$H$3:$H$452,計算用!$K$18),INDEX(振り分け!$D$7:$D$456,計算用!$K$18)))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IF(計算用!$K$19="","",17)</f>
        <v/>
      </c>
      <c r="B21" s="59">
        <f>IF(計算用!$K$19="","",IF(計算用!$B$1=1,INDEX(計算用!$F$3:$F$452,計算用!$K$19),INDEX(振り分け!$B$7:$B$456,計算用!$K$19)))</f>
        <v/>
      </c>
      <c r="C21" s="59">
        <f>IF(計算用!$K$19="","",IF(計算用!$B$1=1,INDEX(計算用!$G$3:$G$452,計算用!$K$19),INDEX(振り分け!$C$7:$C$456,計算用!$K$19)))</f>
        <v/>
      </c>
      <c r="D21" s="70">
        <f>IF(計算用!$K$19="","",IF(計算用!$B$1=1,INDEX(計算用!$H$3:$H$452,計算用!$K$19),INDEX(振り分け!$D$7:$D$456,計算用!$K$19)))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IF(計算用!$K$20="","",18)</f>
        <v/>
      </c>
      <c r="B22" s="59">
        <f>IF(計算用!$K$20="","",IF(計算用!$B$1=1,INDEX(計算用!$F$3:$F$452,計算用!$K$20),INDEX(振り分け!$B$7:$B$456,計算用!$K$20)))</f>
        <v/>
      </c>
      <c r="C22" s="59">
        <f>IF(計算用!$K$20="","",IF(計算用!$B$1=1,INDEX(計算用!$G$3:$G$452,計算用!$K$20),INDEX(振り分け!$C$7:$C$456,計算用!$K$20)))</f>
        <v/>
      </c>
      <c r="D22" s="70">
        <f>IF(計算用!$K$20="","",IF(計算用!$B$1=1,INDEX(計算用!$H$3:$H$452,計算用!$K$20),INDEX(振り分け!$D$7:$D$456,計算用!$K$20)))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IF(計算用!$K$21="","",19)</f>
        <v/>
      </c>
      <c r="B23" s="59">
        <f>IF(計算用!$K$21="","",IF(計算用!$B$1=1,INDEX(計算用!$F$3:$F$452,計算用!$K$21),INDEX(振り分け!$B$7:$B$456,計算用!$K$21)))</f>
        <v/>
      </c>
      <c r="C23" s="59">
        <f>IF(計算用!$K$21="","",IF(計算用!$B$1=1,INDEX(計算用!$G$3:$G$452,計算用!$K$21),INDEX(振り分け!$C$7:$C$456,計算用!$K$21)))</f>
        <v/>
      </c>
      <c r="D23" s="70">
        <f>IF(計算用!$K$21="","",IF(計算用!$B$1=1,INDEX(計算用!$H$3:$H$452,計算用!$K$21),INDEX(振り分け!$D$7:$D$456,計算用!$K$21)))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IF(計算用!$K$22="","",20)</f>
        <v/>
      </c>
      <c r="B24" s="59">
        <f>IF(計算用!$K$22="","",IF(計算用!$B$1=1,INDEX(計算用!$F$3:$F$452,計算用!$K$22),INDEX(振り分け!$B$7:$B$456,計算用!$K$22)))</f>
        <v/>
      </c>
      <c r="C24" s="59">
        <f>IF(計算用!$K$22="","",IF(計算用!$B$1=1,INDEX(計算用!$G$3:$G$452,計算用!$K$22),INDEX(振り分け!$C$7:$C$456,計算用!$K$22)))</f>
        <v/>
      </c>
      <c r="D24" s="70">
        <f>IF(計算用!$K$22="","",IF(計算用!$B$1=1,INDEX(計算用!$H$3:$H$452,計算用!$K$22),INDEX(振り分け!$D$7:$D$456,計算用!$K$22)))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IF(計算用!$K$23="","",21)</f>
        <v/>
      </c>
      <c r="B25" s="59">
        <f>IF(計算用!$K$23="","",IF(計算用!$B$1=1,INDEX(計算用!$F$3:$F$452,計算用!$K$23),INDEX(振り分け!$B$7:$B$456,計算用!$K$23)))</f>
        <v/>
      </c>
      <c r="C25" s="59">
        <f>IF(計算用!$K$23="","",IF(計算用!$B$1=1,INDEX(計算用!$G$3:$G$452,計算用!$K$23),INDEX(振り分け!$C$7:$C$456,計算用!$K$23)))</f>
        <v/>
      </c>
      <c r="D25" s="70">
        <f>IF(計算用!$K$23="","",IF(計算用!$B$1=1,INDEX(計算用!$H$3:$H$452,計算用!$K$23),INDEX(振り分け!$D$7:$D$456,計算用!$K$23)))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IF(計算用!$K$24="","",22)</f>
        <v/>
      </c>
      <c r="B26" s="59">
        <f>IF(計算用!$K$24="","",IF(計算用!$B$1=1,INDEX(計算用!$F$3:$F$452,計算用!$K$24),INDEX(振り分け!$B$7:$B$456,計算用!$K$24)))</f>
        <v/>
      </c>
      <c r="C26" s="59">
        <f>IF(計算用!$K$24="","",IF(計算用!$B$1=1,INDEX(計算用!$G$3:$G$452,計算用!$K$24),INDEX(振り分け!$C$7:$C$456,計算用!$K$24)))</f>
        <v/>
      </c>
      <c r="D26" s="70">
        <f>IF(計算用!$K$24="","",IF(計算用!$B$1=1,INDEX(計算用!$H$3:$H$452,計算用!$K$24),INDEX(振り分け!$D$7:$D$456,計算用!$K$24)))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IF(計算用!$K$25="","",23)</f>
        <v/>
      </c>
      <c r="B27" s="59">
        <f>IF(計算用!$K$25="","",IF(計算用!$B$1=1,INDEX(計算用!$F$3:$F$452,計算用!$K$25),INDEX(振り分け!$B$7:$B$456,計算用!$K$25)))</f>
        <v/>
      </c>
      <c r="C27" s="59">
        <f>IF(計算用!$K$25="","",IF(計算用!$B$1=1,INDEX(計算用!$G$3:$G$452,計算用!$K$25),INDEX(振り分け!$C$7:$C$456,計算用!$K$25)))</f>
        <v/>
      </c>
      <c r="D27" s="70">
        <f>IF(計算用!$K$25="","",IF(計算用!$B$1=1,INDEX(計算用!$H$3:$H$452,計算用!$K$25),INDEX(振り分け!$D$7:$D$456,計算用!$K$25)))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IF(計算用!$K$26="","",24)</f>
        <v/>
      </c>
      <c r="B28" s="59">
        <f>IF(計算用!$K$26="","",IF(計算用!$B$1=1,INDEX(計算用!$F$3:$F$452,計算用!$K$26),INDEX(振り分け!$B$7:$B$456,計算用!$K$26)))</f>
        <v/>
      </c>
      <c r="C28" s="59">
        <f>IF(計算用!$K$26="","",IF(計算用!$B$1=1,INDEX(計算用!$G$3:$G$452,計算用!$K$26),INDEX(振り分け!$C$7:$C$456,計算用!$K$26)))</f>
        <v/>
      </c>
      <c r="D28" s="70">
        <f>IF(計算用!$K$26="","",IF(計算用!$B$1=1,INDEX(計算用!$H$3:$H$452,計算用!$K$26),INDEX(振り分け!$D$7:$D$456,計算用!$K$26)))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IF(計算用!$K$27="","",25)</f>
        <v/>
      </c>
      <c r="B29" s="59">
        <f>IF(計算用!$K$27="","",IF(計算用!$B$1=1,INDEX(計算用!$F$3:$F$452,計算用!$K$27),INDEX(振り分け!$B$7:$B$456,計算用!$K$27)))</f>
        <v/>
      </c>
      <c r="C29" s="59">
        <f>IF(計算用!$K$27="","",IF(計算用!$B$1=1,INDEX(計算用!$G$3:$G$452,計算用!$K$27),INDEX(振り分け!$C$7:$C$456,計算用!$K$27)))</f>
        <v/>
      </c>
      <c r="D29" s="70">
        <f>IF(計算用!$K$27="","",IF(計算用!$B$1=1,INDEX(計算用!$H$3:$H$452,計算用!$K$27),INDEX(振り分け!$D$7:$D$456,計算用!$K$27)))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IF(計算用!$K$28="","",26)</f>
        <v/>
      </c>
      <c r="B30" s="59">
        <f>IF(計算用!$K$28="","",IF(計算用!$B$1=1,INDEX(計算用!$F$3:$F$452,計算用!$K$28),INDEX(振り分け!$B$7:$B$456,計算用!$K$28)))</f>
        <v/>
      </c>
      <c r="C30" s="59">
        <f>IF(計算用!$K$28="","",IF(計算用!$B$1=1,INDEX(計算用!$G$3:$G$452,計算用!$K$28),INDEX(振り分け!$C$7:$C$456,計算用!$K$28)))</f>
        <v/>
      </c>
      <c r="D30" s="70">
        <f>IF(計算用!$K$28="","",IF(計算用!$B$1=1,INDEX(計算用!$H$3:$H$452,計算用!$K$28),INDEX(振り分け!$D$7:$D$456,計算用!$K$28)))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IF(計算用!$K$29="","",27)</f>
        <v/>
      </c>
      <c r="B31" s="59">
        <f>IF(計算用!$K$29="","",IF(計算用!$B$1=1,INDEX(計算用!$F$3:$F$452,計算用!$K$29),INDEX(振り分け!$B$7:$B$456,計算用!$K$29)))</f>
        <v/>
      </c>
      <c r="C31" s="59">
        <f>IF(計算用!$K$29="","",IF(計算用!$B$1=1,INDEX(計算用!$G$3:$G$452,計算用!$K$29),INDEX(振り分け!$C$7:$C$456,計算用!$K$29)))</f>
        <v/>
      </c>
      <c r="D31" s="70">
        <f>IF(計算用!$K$29="","",IF(計算用!$B$1=1,INDEX(計算用!$H$3:$H$452,計算用!$K$29),INDEX(振り分け!$D$7:$D$456,計算用!$K$29)))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IF(計算用!$K$30="","",28)</f>
        <v/>
      </c>
      <c r="B32" s="59">
        <f>IF(計算用!$K$30="","",IF(計算用!$B$1=1,INDEX(計算用!$F$3:$F$452,計算用!$K$30),INDEX(振り分け!$B$7:$B$456,計算用!$K$30)))</f>
        <v/>
      </c>
      <c r="C32" s="59">
        <f>IF(計算用!$K$30="","",IF(計算用!$B$1=1,INDEX(計算用!$G$3:$G$452,計算用!$K$30),INDEX(振り分け!$C$7:$C$456,計算用!$K$30)))</f>
        <v/>
      </c>
      <c r="D32" s="70">
        <f>IF(計算用!$K$30="","",IF(計算用!$B$1=1,INDEX(計算用!$H$3:$H$452,計算用!$K$30),INDEX(振り分け!$D$7:$D$456,計算用!$K$30)))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IF(計算用!$K$31="","",29)</f>
        <v/>
      </c>
      <c r="B33" s="59">
        <f>IF(計算用!$K$31="","",IF(計算用!$B$1=1,INDEX(計算用!$F$3:$F$452,計算用!$K$31),INDEX(振り分け!$B$7:$B$456,計算用!$K$31)))</f>
        <v/>
      </c>
      <c r="C33" s="59">
        <f>IF(計算用!$K$31="","",IF(計算用!$B$1=1,INDEX(計算用!$G$3:$G$452,計算用!$K$31),INDEX(振り分け!$C$7:$C$456,計算用!$K$31)))</f>
        <v/>
      </c>
      <c r="D33" s="70">
        <f>IF(計算用!$K$31="","",IF(計算用!$B$1=1,INDEX(計算用!$H$3:$H$452,計算用!$K$31),INDEX(振り分け!$D$7:$D$456,計算用!$K$31)))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IF(計算用!$K$32="","",30)</f>
        <v/>
      </c>
      <c r="B34" s="59">
        <f>IF(計算用!$K$32="","",IF(計算用!$B$1=1,INDEX(計算用!$F$3:$F$452,計算用!$K$32),INDEX(振り分け!$B$7:$B$456,計算用!$K$32)))</f>
        <v/>
      </c>
      <c r="C34" s="59">
        <f>IF(計算用!$K$32="","",IF(計算用!$B$1=1,INDEX(計算用!$G$3:$G$452,計算用!$K$32),INDEX(振り分け!$C$7:$C$456,計算用!$K$32)))</f>
        <v/>
      </c>
      <c r="D34" s="70">
        <f>IF(計算用!$K$32="","",IF(計算用!$B$1=1,INDEX(計算用!$H$3:$H$452,計算用!$K$32),INDEX(振り分け!$D$7:$D$456,計算用!$K$32)))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IF(計算用!$K$33="","",31)</f>
        <v/>
      </c>
      <c r="B35" s="59">
        <f>IF(計算用!$K$33="","",IF(計算用!$B$1=1,INDEX(計算用!$F$3:$F$452,計算用!$K$33),INDEX(振り分け!$B$7:$B$456,計算用!$K$33)))</f>
        <v/>
      </c>
      <c r="C35" s="59">
        <f>IF(計算用!$K$33="","",IF(計算用!$B$1=1,INDEX(計算用!$G$3:$G$452,計算用!$K$33),INDEX(振り分け!$C$7:$C$456,計算用!$K$33)))</f>
        <v/>
      </c>
      <c r="D35" s="70">
        <f>IF(計算用!$K$33="","",IF(計算用!$B$1=1,INDEX(計算用!$H$3:$H$452,計算用!$K$33),INDEX(振り分け!$D$7:$D$456,計算用!$K$33)))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IF(計算用!$K$34="","",32)</f>
        <v/>
      </c>
      <c r="B36" s="59">
        <f>IF(計算用!$K$34="","",IF(計算用!$B$1=1,INDEX(計算用!$F$3:$F$452,計算用!$K$34),INDEX(振り分け!$B$7:$B$456,計算用!$K$34)))</f>
        <v/>
      </c>
      <c r="C36" s="59">
        <f>IF(計算用!$K$34="","",IF(計算用!$B$1=1,INDEX(計算用!$G$3:$G$452,計算用!$K$34),INDEX(振り分け!$C$7:$C$456,計算用!$K$34)))</f>
        <v/>
      </c>
      <c r="D36" s="70">
        <f>IF(計算用!$K$34="","",IF(計算用!$B$1=1,INDEX(計算用!$H$3:$H$452,計算用!$K$34),INDEX(振り分け!$D$7:$D$456,計算用!$K$34)))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IF(計算用!$K$35="","",33)</f>
        <v/>
      </c>
      <c r="B37" s="59">
        <f>IF(計算用!$K$35="","",IF(計算用!$B$1=1,INDEX(計算用!$F$3:$F$452,計算用!$K$35),INDEX(振り分け!$B$7:$B$456,計算用!$K$35)))</f>
        <v/>
      </c>
      <c r="C37" s="59">
        <f>IF(計算用!$K$35="","",IF(計算用!$B$1=1,INDEX(計算用!$G$3:$G$452,計算用!$K$35),INDEX(振り分け!$C$7:$C$456,計算用!$K$35)))</f>
        <v/>
      </c>
      <c r="D37" s="70">
        <f>IF(計算用!$K$35="","",IF(計算用!$B$1=1,INDEX(計算用!$H$3:$H$452,計算用!$K$35),INDEX(振り分け!$D$7:$D$456,計算用!$K$35)))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IF(計算用!$K$36="","",34)</f>
        <v/>
      </c>
      <c r="B38" s="59">
        <f>IF(計算用!$K$36="","",IF(計算用!$B$1=1,INDEX(計算用!$F$3:$F$452,計算用!$K$36),INDEX(振り分け!$B$7:$B$456,計算用!$K$36)))</f>
        <v/>
      </c>
      <c r="C38" s="59">
        <f>IF(計算用!$K$36="","",IF(計算用!$B$1=1,INDEX(計算用!$G$3:$G$452,計算用!$K$36),INDEX(振り分け!$C$7:$C$456,計算用!$K$36)))</f>
        <v/>
      </c>
      <c r="D38" s="70">
        <f>IF(計算用!$K$36="","",IF(計算用!$B$1=1,INDEX(計算用!$H$3:$H$452,計算用!$K$36),INDEX(振り分け!$D$7:$D$456,計算用!$K$36)))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IF(計算用!$K$37="","",35)</f>
        <v/>
      </c>
      <c r="B39" s="59">
        <f>IF(計算用!$K$37="","",IF(計算用!$B$1=1,INDEX(計算用!$F$3:$F$452,計算用!$K$37),INDEX(振り分け!$B$7:$B$456,計算用!$K$37)))</f>
        <v/>
      </c>
      <c r="C39" s="59">
        <f>IF(計算用!$K$37="","",IF(計算用!$B$1=1,INDEX(計算用!$G$3:$G$452,計算用!$K$37),INDEX(振り分け!$C$7:$C$456,計算用!$K$37)))</f>
        <v/>
      </c>
      <c r="D39" s="70">
        <f>IF(計算用!$K$37="","",IF(計算用!$B$1=1,INDEX(計算用!$H$3:$H$452,計算用!$K$37),INDEX(振り分け!$D$7:$D$456,計算用!$K$37)))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IF(計算用!$K$38="","",36)</f>
        <v/>
      </c>
      <c r="B40" s="59">
        <f>IF(計算用!$K$38="","",IF(計算用!$B$1=1,INDEX(計算用!$F$3:$F$452,計算用!$K$38),INDEX(振り分け!$B$7:$B$456,計算用!$K$38)))</f>
        <v/>
      </c>
      <c r="C40" s="59">
        <f>IF(計算用!$K$38="","",IF(計算用!$B$1=1,INDEX(計算用!$G$3:$G$452,計算用!$K$38),INDEX(振り分け!$C$7:$C$456,計算用!$K$38)))</f>
        <v/>
      </c>
      <c r="D40" s="70">
        <f>IF(計算用!$K$38="","",IF(計算用!$B$1=1,INDEX(計算用!$H$3:$H$452,計算用!$K$38),INDEX(振り分け!$D$7:$D$456,計算用!$K$38)))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IF(計算用!$K$39="","",37)</f>
        <v/>
      </c>
      <c r="B41" s="59">
        <f>IF(計算用!$K$39="","",IF(計算用!$B$1=1,INDEX(計算用!$F$3:$F$452,計算用!$K$39),INDEX(振り分け!$B$7:$B$456,計算用!$K$39)))</f>
        <v/>
      </c>
      <c r="C41" s="59">
        <f>IF(計算用!$K$39="","",IF(計算用!$B$1=1,INDEX(計算用!$G$3:$G$452,計算用!$K$39),INDEX(振り分け!$C$7:$C$456,計算用!$K$39)))</f>
        <v/>
      </c>
      <c r="D41" s="70">
        <f>IF(計算用!$K$39="","",IF(計算用!$B$1=1,INDEX(計算用!$H$3:$H$452,計算用!$K$39),INDEX(振り分け!$D$7:$D$456,計算用!$K$39)))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IF(計算用!$K$40="","",38)</f>
        <v/>
      </c>
      <c r="B42" s="59">
        <f>IF(計算用!$K$40="","",IF(計算用!$B$1=1,INDEX(計算用!$F$3:$F$452,計算用!$K$40),INDEX(振り分け!$B$7:$B$456,計算用!$K$40)))</f>
        <v/>
      </c>
      <c r="C42" s="59">
        <f>IF(計算用!$K$40="","",IF(計算用!$B$1=1,INDEX(計算用!$G$3:$G$452,計算用!$K$40),INDEX(振り分け!$C$7:$C$456,計算用!$K$40)))</f>
        <v/>
      </c>
      <c r="D42" s="70">
        <f>IF(計算用!$K$40="","",IF(計算用!$B$1=1,INDEX(計算用!$H$3:$H$452,計算用!$K$40),INDEX(振り分け!$D$7:$D$456,計算用!$K$40)))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IF(計算用!$K$41="","",39)</f>
        <v/>
      </c>
      <c r="B43" s="59">
        <f>IF(計算用!$K$41="","",IF(計算用!$B$1=1,INDEX(計算用!$F$3:$F$452,計算用!$K$41),INDEX(振り分け!$B$7:$B$456,計算用!$K$41)))</f>
        <v/>
      </c>
      <c r="C43" s="59">
        <f>IF(計算用!$K$41="","",IF(計算用!$B$1=1,INDEX(計算用!$G$3:$G$452,計算用!$K$41),INDEX(振り分け!$C$7:$C$456,計算用!$K$41)))</f>
        <v/>
      </c>
      <c r="D43" s="70">
        <f>IF(計算用!$K$41="","",IF(計算用!$B$1=1,INDEX(計算用!$H$3:$H$452,計算用!$K$41),INDEX(振り分け!$D$7:$D$456,計算用!$K$41)))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IF(計算用!$K$42="","",40)</f>
        <v/>
      </c>
      <c r="B44" s="59">
        <f>IF(計算用!$K$42="","",IF(計算用!$B$1=1,INDEX(計算用!$F$3:$F$452,計算用!$K$42),INDEX(振り分け!$B$7:$B$456,計算用!$K$42)))</f>
        <v/>
      </c>
      <c r="C44" s="59">
        <f>IF(計算用!$K$42="","",IF(計算用!$B$1=1,INDEX(計算用!$G$3:$G$452,計算用!$K$42),INDEX(振り分け!$C$7:$C$456,計算用!$K$42)))</f>
        <v/>
      </c>
      <c r="D44" s="70">
        <f>IF(計算用!$K$42="","",IF(計算用!$B$1=1,INDEX(計算用!$H$3:$H$452,計算用!$K$42),INDEX(振り分け!$D$7:$D$456,計算用!$K$42)))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IF(計算用!$K$43="","",41)</f>
        <v/>
      </c>
      <c r="B45" s="59">
        <f>IF(計算用!$K$43="","",IF(計算用!$B$1=1,INDEX(計算用!$F$3:$F$452,計算用!$K$43),INDEX(振り分け!$B$7:$B$456,計算用!$K$43)))</f>
        <v/>
      </c>
      <c r="C45" s="59">
        <f>IF(計算用!$K$43="","",IF(計算用!$B$1=1,INDEX(計算用!$G$3:$G$452,計算用!$K$43),INDEX(振り分け!$C$7:$C$456,計算用!$K$43)))</f>
        <v/>
      </c>
      <c r="D45" s="70">
        <f>IF(計算用!$K$43="","",IF(計算用!$B$1=1,INDEX(計算用!$H$3:$H$452,計算用!$K$43),INDEX(振り分け!$D$7:$D$456,計算用!$K$43)))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IF(計算用!$K$44="","",42)</f>
        <v/>
      </c>
      <c r="B46" s="59">
        <f>IF(計算用!$K$44="","",IF(計算用!$B$1=1,INDEX(計算用!$F$3:$F$452,計算用!$K$44),INDEX(振り分け!$B$7:$B$456,計算用!$K$44)))</f>
        <v/>
      </c>
      <c r="C46" s="59">
        <f>IF(計算用!$K$44="","",IF(計算用!$B$1=1,INDEX(計算用!$G$3:$G$452,計算用!$K$44),INDEX(振り分け!$C$7:$C$456,計算用!$K$44)))</f>
        <v/>
      </c>
      <c r="D46" s="70">
        <f>IF(計算用!$K$44="","",IF(計算用!$B$1=1,INDEX(計算用!$H$3:$H$452,計算用!$K$44),INDEX(振り分け!$D$7:$D$456,計算用!$K$44)))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IF(計算用!$K$45="","",43)</f>
        <v/>
      </c>
      <c r="B47" s="59">
        <f>IF(計算用!$K$45="","",IF(計算用!$B$1=1,INDEX(計算用!$F$3:$F$452,計算用!$K$45),INDEX(振り分け!$B$7:$B$456,計算用!$K$45)))</f>
        <v/>
      </c>
      <c r="C47" s="59">
        <f>IF(計算用!$K$45="","",IF(計算用!$B$1=1,INDEX(計算用!$G$3:$G$452,計算用!$K$45),INDEX(振り分け!$C$7:$C$456,計算用!$K$45)))</f>
        <v/>
      </c>
      <c r="D47" s="70">
        <f>IF(計算用!$K$45="","",IF(計算用!$B$1=1,INDEX(計算用!$H$3:$H$452,計算用!$K$45),INDEX(振り分け!$D$7:$D$456,計算用!$K$45)))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IF(計算用!$K$46="","",44)</f>
        <v/>
      </c>
      <c r="B48" s="59">
        <f>IF(計算用!$K$46="","",IF(計算用!$B$1=1,INDEX(計算用!$F$3:$F$452,計算用!$K$46),INDEX(振り分け!$B$7:$B$456,計算用!$K$46)))</f>
        <v/>
      </c>
      <c r="C48" s="59">
        <f>IF(計算用!$K$46="","",IF(計算用!$B$1=1,INDEX(計算用!$G$3:$G$452,計算用!$K$46),INDEX(振り分け!$C$7:$C$456,計算用!$K$46)))</f>
        <v/>
      </c>
      <c r="D48" s="70">
        <f>IF(計算用!$K$46="","",IF(計算用!$B$1=1,INDEX(計算用!$H$3:$H$452,計算用!$K$46),INDEX(振り分け!$D$7:$D$456,計算用!$K$46)))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IF(計算用!$K$47="","",45)</f>
        <v/>
      </c>
      <c r="B49" s="59">
        <f>IF(計算用!$K$47="","",IF(計算用!$B$1=1,INDEX(計算用!$F$3:$F$452,計算用!$K$47),INDEX(振り分け!$B$7:$B$456,計算用!$K$47)))</f>
        <v/>
      </c>
      <c r="C49" s="59">
        <f>IF(計算用!$K$47="","",IF(計算用!$B$1=1,INDEX(計算用!$G$3:$G$452,計算用!$K$47),INDEX(振り分け!$C$7:$C$456,計算用!$K$47)))</f>
        <v/>
      </c>
      <c r="D49" s="70">
        <f>IF(計算用!$K$47="","",IF(計算用!$B$1=1,INDEX(計算用!$H$3:$H$452,計算用!$K$47),INDEX(振り分け!$D$7:$D$456,計算用!$K$47)))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IF(計算用!$K$48="","",46)</f>
        <v/>
      </c>
      <c r="B50" s="59">
        <f>IF(計算用!$K$48="","",IF(計算用!$B$1=1,INDEX(計算用!$F$3:$F$452,計算用!$K$48),INDEX(振り分け!$B$7:$B$456,計算用!$K$48)))</f>
        <v/>
      </c>
      <c r="C50" s="59">
        <f>IF(計算用!$K$48="","",IF(計算用!$B$1=1,INDEX(計算用!$G$3:$G$452,計算用!$K$48),INDEX(振り分け!$C$7:$C$456,計算用!$K$48)))</f>
        <v/>
      </c>
      <c r="D50" s="70">
        <f>IF(計算用!$K$48="","",IF(計算用!$B$1=1,INDEX(計算用!$H$3:$H$452,計算用!$K$48),INDEX(振り分け!$D$7:$D$456,計算用!$K$48)))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IF(計算用!$K$49="","",47)</f>
        <v/>
      </c>
      <c r="B51" s="59">
        <f>IF(計算用!$K$49="","",IF(計算用!$B$1=1,INDEX(計算用!$F$3:$F$452,計算用!$K$49),INDEX(振り分け!$B$7:$B$456,計算用!$K$49)))</f>
        <v/>
      </c>
      <c r="C51" s="59">
        <f>IF(計算用!$K$49="","",IF(計算用!$B$1=1,INDEX(計算用!$G$3:$G$452,計算用!$K$49),INDEX(振り分け!$C$7:$C$456,計算用!$K$49)))</f>
        <v/>
      </c>
      <c r="D51" s="70">
        <f>IF(計算用!$K$49="","",IF(計算用!$B$1=1,INDEX(計算用!$H$3:$H$452,計算用!$K$49),INDEX(振り分け!$D$7:$D$456,計算用!$K$49)))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IF(計算用!$K$50="","",48)</f>
        <v/>
      </c>
      <c r="B52" s="59">
        <f>IF(計算用!$K$50="","",IF(計算用!$B$1=1,INDEX(計算用!$F$3:$F$452,計算用!$K$50),INDEX(振り分け!$B$7:$B$456,計算用!$K$50)))</f>
        <v/>
      </c>
      <c r="C52" s="59">
        <f>IF(計算用!$K$50="","",IF(計算用!$B$1=1,INDEX(計算用!$G$3:$G$452,計算用!$K$50),INDEX(振り分け!$C$7:$C$456,計算用!$K$50)))</f>
        <v/>
      </c>
      <c r="D52" s="70">
        <f>IF(計算用!$K$50="","",IF(計算用!$B$1=1,INDEX(計算用!$H$3:$H$452,計算用!$K$50),INDEX(振り分け!$D$7:$D$456,計算用!$K$50)))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IF(計算用!$K$51="","",49)</f>
        <v/>
      </c>
      <c r="B53" s="59">
        <f>IF(計算用!$K$51="","",IF(計算用!$B$1=1,INDEX(計算用!$F$3:$F$452,計算用!$K$51),INDEX(振り分け!$B$7:$B$456,計算用!$K$51)))</f>
        <v/>
      </c>
      <c r="C53" s="59">
        <f>IF(計算用!$K$51="","",IF(計算用!$B$1=1,INDEX(計算用!$G$3:$G$452,計算用!$K$51),INDEX(振り分け!$C$7:$C$456,計算用!$K$51)))</f>
        <v/>
      </c>
      <c r="D53" s="70">
        <f>IF(計算用!$K$51="","",IF(計算用!$B$1=1,INDEX(計算用!$H$3:$H$452,計算用!$K$51),INDEX(振り分け!$D$7:$D$456,計算用!$K$51)))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IF(計算用!$K$52="","",50)</f>
        <v/>
      </c>
      <c r="B54" s="59">
        <f>IF(計算用!$K$52="","",IF(計算用!$B$1=1,INDEX(計算用!$F$3:$F$452,計算用!$K$52),INDEX(振り分け!$B$7:$B$456,計算用!$K$52)))</f>
        <v/>
      </c>
      <c r="C54" s="59">
        <f>IF(計算用!$K$52="","",IF(計算用!$B$1=1,INDEX(計算用!$G$3:$G$452,計算用!$K$52),INDEX(振り分け!$C$7:$C$456,計算用!$K$52)))</f>
        <v/>
      </c>
      <c r="D54" s="70">
        <f>IF(計算用!$K$52="","",IF(計算用!$B$1=1,INDEX(計算用!$H$3:$H$452,計算用!$K$52),INDEX(振り分け!$D$7:$D$456,計算用!$K$52)))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IF(設定!$P$10="","",設定!$B$3&amp;"　"&amp;設定!$P$10&amp;設定!$B$4&amp;"名簿"&amp;IF(計算用!$B$1=0,"（仮・前年度の組）",""))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IF(設定!$P$10="","","担当："&amp;設定!$S$10&amp;"　　活動場所："&amp;設定!$T$10&amp;"　　人数："&amp;定員チェック!$I$9&amp;"名（"&amp;設定!$B$8&amp;"年"&amp;定員チェック!$J$9&amp;"・"&amp;設定!$B$9&amp;"年"&amp;定員チェック!$K$9&amp;"・"&amp;設定!$B$10&amp;"年"&amp;定員チェック!$L$9&amp;"）")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IF(計算用!$L$3="","",1)</f>
        <v/>
      </c>
      <c r="B5" s="59">
        <f>IF(計算用!$L$3="","",IF(計算用!$B$1=1,INDEX(計算用!$F$3:$F$452,計算用!$L$3),INDEX(振り分け!$B$7:$B$456,計算用!$L$3)))</f>
        <v/>
      </c>
      <c r="C5" s="59">
        <f>IF(計算用!$L$3="","",IF(計算用!$B$1=1,INDEX(計算用!$G$3:$G$452,計算用!$L$3),INDEX(振り分け!$C$7:$C$456,計算用!$L$3)))</f>
        <v/>
      </c>
      <c r="D5" s="70">
        <f>IF(計算用!$L$3="","",IF(計算用!$B$1=1,INDEX(計算用!$H$3:$H$452,計算用!$L$3),INDEX(振り分け!$D$7:$D$456,計算用!$L$3)))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IF(計算用!$L$4="","",2)</f>
        <v/>
      </c>
      <c r="B6" s="59">
        <f>IF(計算用!$L$4="","",IF(計算用!$B$1=1,INDEX(計算用!$F$3:$F$452,計算用!$L$4),INDEX(振り分け!$B$7:$B$456,計算用!$L$4)))</f>
        <v/>
      </c>
      <c r="C6" s="59">
        <f>IF(計算用!$L$4="","",IF(計算用!$B$1=1,INDEX(計算用!$G$3:$G$452,計算用!$L$4),INDEX(振り分け!$C$7:$C$456,計算用!$L$4)))</f>
        <v/>
      </c>
      <c r="D6" s="70">
        <f>IF(計算用!$L$4="","",IF(計算用!$B$1=1,INDEX(計算用!$H$3:$H$452,計算用!$L$4),INDEX(振り分け!$D$7:$D$456,計算用!$L$4)))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IF(計算用!$L$5="","",3)</f>
        <v/>
      </c>
      <c r="B7" s="59">
        <f>IF(計算用!$L$5="","",IF(計算用!$B$1=1,INDEX(計算用!$F$3:$F$452,計算用!$L$5),INDEX(振り分け!$B$7:$B$456,計算用!$L$5)))</f>
        <v/>
      </c>
      <c r="C7" s="59">
        <f>IF(計算用!$L$5="","",IF(計算用!$B$1=1,INDEX(計算用!$G$3:$G$452,計算用!$L$5),INDEX(振り分け!$C$7:$C$456,計算用!$L$5)))</f>
        <v/>
      </c>
      <c r="D7" s="70">
        <f>IF(計算用!$L$5="","",IF(計算用!$B$1=1,INDEX(計算用!$H$3:$H$452,計算用!$L$5),INDEX(振り分け!$D$7:$D$456,計算用!$L$5)))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IF(計算用!$L$6="","",4)</f>
        <v/>
      </c>
      <c r="B8" s="59">
        <f>IF(計算用!$L$6="","",IF(計算用!$B$1=1,INDEX(計算用!$F$3:$F$452,計算用!$L$6),INDEX(振り分け!$B$7:$B$456,計算用!$L$6)))</f>
        <v/>
      </c>
      <c r="C8" s="59">
        <f>IF(計算用!$L$6="","",IF(計算用!$B$1=1,INDEX(計算用!$G$3:$G$452,計算用!$L$6),INDEX(振り分け!$C$7:$C$456,計算用!$L$6)))</f>
        <v/>
      </c>
      <c r="D8" s="70">
        <f>IF(計算用!$L$6="","",IF(計算用!$B$1=1,INDEX(計算用!$H$3:$H$452,計算用!$L$6),INDEX(振り分け!$D$7:$D$456,計算用!$L$6)))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IF(計算用!$L$7="","",5)</f>
        <v/>
      </c>
      <c r="B9" s="59">
        <f>IF(計算用!$L$7="","",IF(計算用!$B$1=1,INDEX(計算用!$F$3:$F$452,計算用!$L$7),INDEX(振り分け!$B$7:$B$456,計算用!$L$7)))</f>
        <v/>
      </c>
      <c r="C9" s="59">
        <f>IF(計算用!$L$7="","",IF(計算用!$B$1=1,INDEX(計算用!$G$3:$G$452,計算用!$L$7),INDEX(振り分け!$C$7:$C$456,計算用!$L$7)))</f>
        <v/>
      </c>
      <c r="D9" s="70">
        <f>IF(計算用!$L$7="","",IF(計算用!$B$1=1,INDEX(計算用!$H$3:$H$452,計算用!$L$7),INDEX(振り分け!$D$7:$D$456,計算用!$L$7)))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IF(計算用!$L$8="","",6)</f>
        <v/>
      </c>
      <c r="B10" s="59">
        <f>IF(計算用!$L$8="","",IF(計算用!$B$1=1,INDEX(計算用!$F$3:$F$452,計算用!$L$8),INDEX(振り分け!$B$7:$B$456,計算用!$L$8)))</f>
        <v/>
      </c>
      <c r="C10" s="59">
        <f>IF(計算用!$L$8="","",IF(計算用!$B$1=1,INDEX(計算用!$G$3:$G$452,計算用!$L$8),INDEX(振り分け!$C$7:$C$456,計算用!$L$8)))</f>
        <v/>
      </c>
      <c r="D10" s="70">
        <f>IF(計算用!$L$8="","",IF(計算用!$B$1=1,INDEX(計算用!$H$3:$H$452,計算用!$L$8),INDEX(振り分け!$D$7:$D$456,計算用!$L$8)))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IF(計算用!$L$9="","",7)</f>
        <v/>
      </c>
      <c r="B11" s="59">
        <f>IF(計算用!$L$9="","",IF(計算用!$B$1=1,INDEX(計算用!$F$3:$F$452,計算用!$L$9),INDEX(振り分け!$B$7:$B$456,計算用!$L$9)))</f>
        <v/>
      </c>
      <c r="C11" s="59">
        <f>IF(計算用!$L$9="","",IF(計算用!$B$1=1,INDEX(計算用!$G$3:$G$452,計算用!$L$9),INDEX(振り分け!$C$7:$C$456,計算用!$L$9)))</f>
        <v/>
      </c>
      <c r="D11" s="70">
        <f>IF(計算用!$L$9="","",IF(計算用!$B$1=1,INDEX(計算用!$H$3:$H$452,計算用!$L$9),INDEX(振り分け!$D$7:$D$456,計算用!$L$9)))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IF(計算用!$L$10="","",8)</f>
        <v/>
      </c>
      <c r="B12" s="59">
        <f>IF(計算用!$L$10="","",IF(計算用!$B$1=1,INDEX(計算用!$F$3:$F$452,計算用!$L$10),INDEX(振り分け!$B$7:$B$456,計算用!$L$10)))</f>
        <v/>
      </c>
      <c r="C12" s="59">
        <f>IF(計算用!$L$10="","",IF(計算用!$B$1=1,INDEX(計算用!$G$3:$G$452,計算用!$L$10),INDEX(振り分け!$C$7:$C$456,計算用!$L$10)))</f>
        <v/>
      </c>
      <c r="D12" s="70">
        <f>IF(計算用!$L$10="","",IF(計算用!$B$1=1,INDEX(計算用!$H$3:$H$452,計算用!$L$10),INDEX(振り分け!$D$7:$D$456,計算用!$L$10)))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IF(計算用!$L$11="","",9)</f>
        <v/>
      </c>
      <c r="B13" s="59">
        <f>IF(計算用!$L$11="","",IF(計算用!$B$1=1,INDEX(計算用!$F$3:$F$452,計算用!$L$11),INDEX(振り分け!$B$7:$B$456,計算用!$L$11)))</f>
        <v/>
      </c>
      <c r="C13" s="59">
        <f>IF(計算用!$L$11="","",IF(計算用!$B$1=1,INDEX(計算用!$G$3:$G$452,計算用!$L$11),INDEX(振り分け!$C$7:$C$456,計算用!$L$11)))</f>
        <v/>
      </c>
      <c r="D13" s="70">
        <f>IF(計算用!$L$11="","",IF(計算用!$B$1=1,INDEX(計算用!$H$3:$H$452,計算用!$L$11),INDEX(振り分け!$D$7:$D$456,計算用!$L$11)))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IF(計算用!$L$12="","",10)</f>
        <v/>
      </c>
      <c r="B14" s="59">
        <f>IF(計算用!$L$12="","",IF(計算用!$B$1=1,INDEX(計算用!$F$3:$F$452,計算用!$L$12),INDEX(振り分け!$B$7:$B$456,計算用!$L$12)))</f>
        <v/>
      </c>
      <c r="C14" s="59">
        <f>IF(計算用!$L$12="","",IF(計算用!$B$1=1,INDEX(計算用!$G$3:$G$452,計算用!$L$12),INDEX(振り分け!$C$7:$C$456,計算用!$L$12)))</f>
        <v/>
      </c>
      <c r="D14" s="70">
        <f>IF(計算用!$L$12="","",IF(計算用!$B$1=1,INDEX(計算用!$H$3:$H$452,計算用!$L$12),INDEX(振り分け!$D$7:$D$456,計算用!$L$12)))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IF(計算用!$L$13="","",11)</f>
        <v/>
      </c>
      <c r="B15" s="59">
        <f>IF(計算用!$L$13="","",IF(計算用!$B$1=1,INDEX(計算用!$F$3:$F$452,計算用!$L$13),INDEX(振り分け!$B$7:$B$456,計算用!$L$13)))</f>
        <v/>
      </c>
      <c r="C15" s="59">
        <f>IF(計算用!$L$13="","",IF(計算用!$B$1=1,INDEX(計算用!$G$3:$G$452,計算用!$L$13),INDEX(振り分け!$C$7:$C$456,計算用!$L$13)))</f>
        <v/>
      </c>
      <c r="D15" s="70">
        <f>IF(計算用!$L$13="","",IF(計算用!$B$1=1,INDEX(計算用!$H$3:$H$452,計算用!$L$13),INDEX(振り分け!$D$7:$D$456,計算用!$L$13)))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IF(計算用!$L$14="","",12)</f>
        <v/>
      </c>
      <c r="B16" s="59">
        <f>IF(計算用!$L$14="","",IF(計算用!$B$1=1,INDEX(計算用!$F$3:$F$452,計算用!$L$14),INDEX(振り分け!$B$7:$B$456,計算用!$L$14)))</f>
        <v/>
      </c>
      <c r="C16" s="59">
        <f>IF(計算用!$L$14="","",IF(計算用!$B$1=1,INDEX(計算用!$G$3:$G$452,計算用!$L$14),INDEX(振り分け!$C$7:$C$456,計算用!$L$14)))</f>
        <v/>
      </c>
      <c r="D16" s="70">
        <f>IF(計算用!$L$14="","",IF(計算用!$B$1=1,INDEX(計算用!$H$3:$H$452,計算用!$L$14),INDEX(振り分け!$D$7:$D$456,計算用!$L$14)))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IF(計算用!$L$15="","",13)</f>
        <v/>
      </c>
      <c r="B17" s="59">
        <f>IF(計算用!$L$15="","",IF(計算用!$B$1=1,INDEX(計算用!$F$3:$F$452,計算用!$L$15),INDEX(振り分け!$B$7:$B$456,計算用!$L$15)))</f>
        <v/>
      </c>
      <c r="C17" s="59">
        <f>IF(計算用!$L$15="","",IF(計算用!$B$1=1,INDEX(計算用!$G$3:$G$452,計算用!$L$15),INDEX(振り分け!$C$7:$C$456,計算用!$L$15)))</f>
        <v/>
      </c>
      <c r="D17" s="70">
        <f>IF(計算用!$L$15="","",IF(計算用!$B$1=1,INDEX(計算用!$H$3:$H$452,計算用!$L$15),INDEX(振り分け!$D$7:$D$456,計算用!$L$15)))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IF(計算用!$L$16="","",14)</f>
        <v/>
      </c>
      <c r="B18" s="59">
        <f>IF(計算用!$L$16="","",IF(計算用!$B$1=1,INDEX(計算用!$F$3:$F$452,計算用!$L$16),INDEX(振り分け!$B$7:$B$456,計算用!$L$16)))</f>
        <v/>
      </c>
      <c r="C18" s="59">
        <f>IF(計算用!$L$16="","",IF(計算用!$B$1=1,INDEX(計算用!$G$3:$G$452,計算用!$L$16),INDEX(振り分け!$C$7:$C$456,計算用!$L$16)))</f>
        <v/>
      </c>
      <c r="D18" s="70">
        <f>IF(計算用!$L$16="","",IF(計算用!$B$1=1,INDEX(計算用!$H$3:$H$452,計算用!$L$16),INDEX(振り分け!$D$7:$D$456,計算用!$L$16)))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IF(計算用!$L$17="","",15)</f>
        <v/>
      </c>
      <c r="B19" s="59">
        <f>IF(計算用!$L$17="","",IF(計算用!$B$1=1,INDEX(計算用!$F$3:$F$452,計算用!$L$17),INDEX(振り分け!$B$7:$B$456,計算用!$L$17)))</f>
        <v/>
      </c>
      <c r="C19" s="59">
        <f>IF(計算用!$L$17="","",IF(計算用!$B$1=1,INDEX(計算用!$G$3:$G$452,計算用!$L$17),INDEX(振り分け!$C$7:$C$456,計算用!$L$17)))</f>
        <v/>
      </c>
      <c r="D19" s="70">
        <f>IF(計算用!$L$17="","",IF(計算用!$B$1=1,INDEX(計算用!$H$3:$H$452,計算用!$L$17),INDEX(振り分け!$D$7:$D$456,計算用!$L$17)))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IF(計算用!$L$18="","",16)</f>
        <v/>
      </c>
      <c r="B20" s="59">
        <f>IF(計算用!$L$18="","",IF(計算用!$B$1=1,INDEX(計算用!$F$3:$F$452,計算用!$L$18),INDEX(振り分け!$B$7:$B$456,計算用!$L$18)))</f>
        <v/>
      </c>
      <c r="C20" s="59">
        <f>IF(計算用!$L$18="","",IF(計算用!$B$1=1,INDEX(計算用!$G$3:$G$452,計算用!$L$18),INDEX(振り分け!$C$7:$C$456,計算用!$L$18)))</f>
        <v/>
      </c>
      <c r="D20" s="70">
        <f>IF(計算用!$L$18="","",IF(計算用!$B$1=1,INDEX(計算用!$H$3:$H$452,計算用!$L$18),INDEX(振り分け!$D$7:$D$456,計算用!$L$18)))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IF(計算用!$L$19="","",17)</f>
        <v/>
      </c>
      <c r="B21" s="59">
        <f>IF(計算用!$L$19="","",IF(計算用!$B$1=1,INDEX(計算用!$F$3:$F$452,計算用!$L$19),INDEX(振り分け!$B$7:$B$456,計算用!$L$19)))</f>
        <v/>
      </c>
      <c r="C21" s="59">
        <f>IF(計算用!$L$19="","",IF(計算用!$B$1=1,INDEX(計算用!$G$3:$G$452,計算用!$L$19),INDEX(振り分け!$C$7:$C$456,計算用!$L$19)))</f>
        <v/>
      </c>
      <c r="D21" s="70">
        <f>IF(計算用!$L$19="","",IF(計算用!$B$1=1,INDEX(計算用!$H$3:$H$452,計算用!$L$19),INDEX(振り分け!$D$7:$D$456,計算用!$L$19)))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IF(計算用!$L$20="","",18)</f>
        <v/>
      </c>
      <c r="B22" s="59">
        <f>IF(計算用!$L$20="","",IF(計算用!$B$1=1,INDEX(計算用!$F$3:$F$452,計算用!$L$20),INDEX(振り分け!$B$7:$B$456,計算用!$L$20)))</f>
        <v/>
      </c>
      <c r="C22" s="59">
        <f>IF(計算用!$L$20="","",IF(計算用!$B$1=1,INDEX(計算用!$G$3:$G$452,計算用!$L$20),INDEX(振り分け!$C$7:$C$456,計算用!$L$20)))</f>
        <v/>
      </c>
      <c r="D22" s="70">
        <f>IF(計算用!$L$20="","",IF(計算用!$B$1=1,INDEX(計算用!$H$3:$H$452,計算用!$L$20),INDEX(振り分け!$D$7:$D$456,計算用!$L$20)))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IF(計算用!$L$21="","",19)</f>
        <v/>
      </c>
      <c r="B23" s="59">
        <f>IF(計算用!$L$21="","",IF(計算用!$B$1=1,INDEX(計算用!$F$3:$F$452,計算用!$L$21),INDEX(振り分け!$B$7:$B$456,計算用!$L$21)))</f>
        <v/>
      </c>
      <c r="C23" s="59">
        <f>IF(計算用!$L$21="","",IF(計算用!$B$1=1,INDEX(計算用!$G$3:$G$452,計算用!$L$21),INDEX(振り分け!$C$7:$C$456,計算用!$L$21)))</f>
        <v/>
      </c>
      <c r="D23" s="70">
        <f>IF(計算用!$L$21="","",IF(計算用!$B$1=1,INDEX(計算用!$H$3:$H$452,計算用!$L$21),INDEX(振り分け!$D$7:$D$456,計算用!$L$21)))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IF(計算用!$L$22="","",20)</f>
        <v/>
      </c>
      <c r="B24" s="59">
        <f>IF(計算用!$L$22="","",IF(計算用!$B$1=1,INDEX(計算用!$F$3:$F$452,計算用!$L$22),INDEX(振り分け!$B$7:$B$456,計算用!$L$22)))</f>
        <v/>
      </c>
      <c r="C24" s="59">
        <f>IF(計算用!$L$22="","",IF(計算用!$B$1=1,INDEX(計算用!$G$3:$G$452,計算用!$L$22),INDEX(振り分け!$C$7:$C$456,計算用!$L$22)))</f>
        <v/>
      </c>
      <c r="D24" s="70">
        <f>IF(計算用!$L$22="","",IF(計算用!$B$1=1,INDEX(計算用!$H$3:$H$452,計算用!$L$22),INDEX(振り分け!$D$7:$D$456,計算用!$L$22)))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IF(計算用!$L$23="","",21)</f>
        <v/>
      </c>
      <c r="B25" s="59">
        <f>IF(計算用!$L$23="","",IF(計算用!$B$1=1,INDEX(計算用!$F$3:$F$452,計算用!$L$23),INDEX(振り分け!$B$7:$B$456,計算用!$L$23)))</f>
        <v/>
      </c>
      <c r="C25" s="59">
        <f>IF(計算用!$L$23="","",IF(計算用!$B$1=1,INDEX(計算用!$G$3:$G$452,計算用!$L$23),INDEX(振り分け!$C$7:$C$456,計算用!$L$23)))</f>
        <v/>
      </c>
      <c r="D25" s="70">
        <f>IF(計算用!$L$23="","",IF(計算用!$B$1=1,INDEX(計算用!$H$3:$H$452,計算用!$L$23),INDEX(振り分け!$D$7:$D$456,計算用!$L$23)))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IF(計算用!$L$24="","",22)</f>
        <v/>
      </c>
      <c r="B26" s="59">
        <f>IF(計算用!$L$24="","",IF(計算用!$B$1=1,INDEX(計算用!$F$3:$F$452,計算用!$L$24),INDEX(振り分け!$B$7:$B$456,計算用!$L$24)))</f>
        <v/>
      </c>
      <c r="C26" s="59">
        <f>IF(計算用!$L$24="","",IF(計算用!$B$1=1,INDEX(計算用!$G$3:$G$452,計算用!$L$24),INDEX(振り分け!$C$7:$C$456,計算用!$L$24)))</f>
        <v/>
      </c>
      <c r="D26" s="70">
        <f>IF(計算用!$L$24="","",IF(計算用!$B$1=1,INDEX(計算用!$H$3:$H$452,計算用!$L$24),INDEX(振り分け!$D$7:$D$456,計算用!$L$24)))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IF(計算用!$L$25="","",23)</f>
        <v/>
      </c>
      <c r="B27" s="59">
        <f>IF(計算用!$L$25="","",IF(計算用!$B$1=1,INDEX(計算用!$F$3:$F$452,計算用!$L$25),INDEX(振り分け!$B$7:$B$456,計算用!$L$25)))</f>
        <v/>
      </c>
      <c r="C27" s="59">
        <f>IF(計算用!$L$25="","",IF(計算用!$B$1=1,INDEX(計算用!$G$3:$G$452,計算用!$L$25),INDEX(振り分け!$C$7:$C$456,計算用!$L$25)))</f>
        <v/>
      </c>
      <c r="D27" s="70">
        <f>IF(計算用!$L$25="","",IF(計算用!$B$1=1,INDEX(計算用!$H$3:$H$452,計算用!$L$25),INDEX(振り分け!$D$7:$D$456,計算用!$L$25)))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IF(計算用!$L$26="","",24)</f>
        <v/>
      </c>
      <c r="B28" s="59">
        <f>IF(計算用!$L$26="","",IF(計算用!$B$1=1,INDEX(計算用!$F$3:$F$452,計算用!$L$26),INDEX(振り分け!$B$7:$B$456,計算用!$L$26)))</f>
        <v/>
      </c>
      <c r="C28" s="59">
        <f>IF(計算用!$L$26="","",IF(計算用!$B$1=1,INDEX(計算用!$G$3:$G$452,計算用!$L$26),INDEX(振り分け!$C$7:$C$456,計算用!$L$26)))</f>
        <v/>
      </c>
      <c r="D28" s="70">
        <f>IF(計算用!$L$26="","",IF(計算用!$B$1=1,INDEX(計算用!$H$3:$H$452,計算用!$L$26),INDEX(振り分け!$D$7:$D$456,計算用!$L$26)))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IF(計算用!$L$27="","",25)</f>
        <v/>
      </c>
      <c r="B29" s="59">
        <f>IF(計算用!$L$27="","",IF(計算用!$B$1=1,INDEX(計算用!$F$3:$F$452,計算用!$L$27),INDEX(振り分け!$B$7:$B$456,計算用!$L$27)))</f>
        <v/>
      </c>
      <c r="C29" s="59">
        <f>IF(計算用!$L$27="","",IF(計算用!$B$1=1,INDEX(計算用!$G$3:$G$452,計算用!$L$27),INDEX(振り分け!$C$7:$C$456,計算用!$L$27)))</f>
        <v/>
      </c>
      <c r="D29" s="70">
        <f>IF(計算用!$L$27="","",IF(計算用!$B$1=1,INDEX(計算用!$H$3:$H$452,計算用!$L$27),INDEX(振り分け!$D$7:$D$456,計算用!$L$27)))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IF(計算用!$L$28="","",26)</f>
        <v/>
      </c>
      <c r="B30" s="59">
        <f>IF(計算用!$L$28="","",IF(計算用!$B$1=1,INDEX(計算用!$F$3:$F$452,計算用!$L$28),INDEX(振り分け!$B$7:$B$456,計算用!$L$28)))</f>
        <v/>
      </c>
      <c r="C30" s="59">
        <f>IF(計算用!$L$28="","",IF(計算用!$B$1=1,INDEX(計算用!$G$3:$G$452,計算用!$L$28),INDEX(振り分け!$C$7:$C$456,計算用!$L$28)))</f>
        <v/>
      </c>
      <c r="D30" s="70">
        <f>IF(計算用!$L$28="","",IF(計算用!$B$1=1,INDEX(計算用!$H$3:$H$452,計算用!$L$28),INDEX(振り分け!$D$7:$D$456,計算用!$L$28)))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IF(計算用!$L$29="","",27)</f>
        <v/>
      </c>
      <c r="B31" s="59">
        <f>IF(計算用!$L$29="","",IF(計算用!$B$1=1,INDEX(計算用!$F$3:$F$452,計算用!$L$29),INDEX(振り分け!$B$7:$B$456,計算用!$L$29)))</f>
        <v/>
      </c>
      <c r="C31" s="59">
        <f>IF(計算用!$L$29="","",IF(計算用!$B$1=1,INDEX(計算用!$G$3:$G$452,計算用!$L$29),INDEX(振り分け!$C$7:$C$456,計算用!$L$29)))</f>
        <v/>
      </c>
      <c r="D31" s="70">
        <f>IF(計算用!$L$29="","",IF(計算用!$B$1=1,INDEX(計算用!$H$3:$H$452,計算用!$L$29),INDEX(振り分け!$D$7:$D$456,計算用!$L$29)))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IF(計算用!$L$30="","",28)</f>
        <v/>
      </c>
      <c r="B32" s="59">
        <f>IF(計算用!$L$30="","",IF(計算用!$B$1=1,INDEX(計算用!$F$3:$F$452,計算用!$L$30),INDEX(振り分け!$B$7:$B$456,計算用!$L$30)))</f>
        <v/>
      </c>
      <c r="C32" s="59">
        <f>IF(計算用!$L$30="","",IF(計算用!$B$1=1,INDEX(計算用!$G$3:$G$452,計算用!$L$30),INDEX(振り分け!$C$7:$C$456,計算用!$L$30)))</f>
        <v/>
      </c>
      <c r="D32" s="70">
        <f>IF(計算用!$L$30="","",IF(計算用!$B$1=1,INDEX(計算用!$H$3:$H$452,計算用!$L$30),INDEX(振り分け!$D$7:$D$456,計算用!$L$30)))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IF(計算用!$L$31="","",29)</f>
        <v/>
      </c>
      <c r="B33" s="59">
        <f>IF(計算用!$L$31="","",IF(計算用!$B$1=1,INDEX(計算用!$F$3:$F$452,計算用!$L$31),INDEX(振り分け!$B$7:$B$456,計算用!$L$31)))</f>
        <v/>
      </c>
      <c r="C33" s="59">
        <f>IF(計算用!$L$31="","",IF(計算用!$B$1=1,INDEX(計算用!$G$3:$G$452,計算用!$L$31),INDEX(振り分け!$C$7:$C$456,計算用!$L$31)))</f>
        <v/>
      </c>
      <c r="D33" s="70">
        <f>IF(計算用!$L$31="","",IF(計算用!$B$1=1,INDEX(計算用!$H$3:$H$452,計算用!$L$31),INDEX(振り分け!$D$7:$D$456,計算用!$L$31)))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IF(計算用!$L$32="","",30)</f>
        <v/>
      </c>
      <c r="B34" s="59">
        <f>IF(計算用!$L$32="","",IF(計算用!$B$1=1,INDEX(計算用!$F$3:$F$452,計算用!$L$32),INDEX(振り分け!$B$7:$B$456,計算用!$L$32)))</f>
        <v/>
      </c>
      <c r="C34" s="59">
        <f>IF(計算用!$L$32="","",IF(計算用!$B$1=1,INDEX(計算用!$G$3:$G$452,計算用!$L$32),INDEX(振り分け!$C$7:$C$456,計算用!$L$32)))</f>
        <v/>
      </c>
      <c r="D34" s="70">
        <f>IF(計算用!$L$32="","",IF(計算用!$B$1=1,INDEX(計算用!$H$3:$H$452,計算用!$L$32),INDEX(振り分け!$D$7:$D$456,計算用!$L$32)))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IF(計算用!$L$33="","",31)</f>
        <v/>
      </c>
      <c r="B35" s="59">
        <f>IF(計算用!$L$33="","",IF(計算用!$B$1=1,INDEX(計算用!$F$3:$F$452,計算用!$L$33),INDEX(振り分け!$B$7:$B$456,計算用!$L$33)))</f>
        <v/>
      </c>
      <c r="C35" s="59">
        <f>IF(計算用!$L$33="","",IF(計算用!$B$1=1,INDEX(計算用!$G$3:$G$452,計算用!$L$33),INDEX(振り分け!$C$7:$C$456,計算用!$L$33)))</f>
        <v/>
      </c>
      <c r="D35" s="70">
        <f>IF(計算用!$L$33="","",IF(計算用!$B$1=1,INDEX(計算用!$H$3:$H$452,計算用!$L$33),INDEX(振り分け!$D$7:$D$456,計算用!$L$33)))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IF(計算用!$L$34="","",32)</f>
        <v/>
      </c>
      <c r="B36" s="59">
        <f>IF(計算用!$L$34="","",IF(計算用!$B$1=1,INDEX(計算用!$F$3:$F$452,計算用!$L$34),INDEX(振り分け!$B$7:$B$456,計算用!$L$34)))</f>
        <v/>
      </c>
      <c r="C36" s="59">
        <f>IF(計算用!$L$34="","",IF(計算用!$B$1=1,INDEX(計算用!$G$3:$G$452,計算用!$L$34),INDEX(振り分け!$C$7:$C$456,計算用!$L$34)))</f>
        <v/>
      </c>
      <c r="D36" s="70">
        <f>IF(計算用!$L$34="","",IF(計算用!$B$1=1,INDEX(計算用!$H$3:$H$452,計算用!$L$34),INDEX(振り分け!$D$7:$D$456,計算用!$L$34)))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IF(計算用!$L$35="","",33)</f>
        <v/>
      </c>
      <c r="B37" s="59">
        <f>IF(計算用!$L$35="","",IF(計算用!$B$1=1,INDEX(計算用!$F$3:$F$452,計算用!$L$35),INDEX(振り分け!$B$7:$B$456,計算用!$L$35)))</f>
        <v/>
      </c>
      <c r="C37" s="59">
        <f>IF(計算用!$L$35="","",IF(計算用!$B$1=1,INDEX(計算用!$G$3:$G$452,計算用!$L$35),INDEX(振り分け!$C$7:$C$456,計算用!$L$35)))</f>
        <v/>
      </c>
      <c r="D37" s="70">
        <f>IF(計算用!$L$35="","",IF(計算用!$B$1=1,INDEX(計算用!$H$3:$H$452,計算用!$L$35),INDEX(振り分け!$D$7:$D$456,計算用!$L$35)))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IF(計算用!$L$36="","",34)</f>
        <v/>
      </c>
      <c r="B38" s="59">
        <f>IF(計算用!$L$36="","",IF(計算用!$B$1=1,INDEX(計算用!$F$3:$F$452,計算用!$L$36),INDEX(振り分け!$B$7:$B$456,計算用!$L$36)))</f>
        <v/>
      </c>
      <c r="C38" s="59">
        <f>IF(計算用!$L$36="","",IF(計算用!$B$1=1,INDEX(計算用!$G$3:$G$452,計算用!$L$36),INDEX(振り分け!$C$7:$C$456,計算用!$L$36)))</f>
        <v/>
      </c>
      <c r="D38" s="70">
        <f>IF(計算用!$L$36="","",IF(計算用!$B$1=1,INDEX(計算用!$H$3:$H$452,計算用!$L$36),INDEX(振り分け!$D$7:$D$456,計算用!$L$36)))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IF(計算用!$L$37="","",35)</f>
        <v/>
      </c>
      <c r="B39" s="59">
        <f>IF(計算用!$L$37="","",IF(計算用!$B$1=1,INDEX(計算用!$F$3:$F$452,計算用!$L$37),INDEX(振り分け!$B$7:$B$456,計算用!$L$37)))</f>
        <v/>
      </c>
      <c r="C39" s="59">
        <f>IF(計算用!$L$37="","",IF(計算用!$B$1=1,INDEX(計算用!$G$3:$G$452,計算用!$L$37),INDEX(振り分け!$C$7:$C$456,計算用!$L$37)))</f>
        <v/>
      </c>
      <c r="D39" s="70">
        <f>IF(計算用!$L$37="","",IF(計算用!$B$1=1,INDEX(計算用!$H$3:$H$452,計算用!$L$37),INDEX(振り分け!$D$7:$D$456,計算用!$L$37)))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IF(計算用!$L$38="","",36)</f>
        <v/>
      </c>
      <c r="B40" s="59">
        <f>IF(計算用!$L$38="","",IF(計算用!$B$1=1,INDEX(計算用!$F$3:$F$452,計算用!$L$38),INDEX(振り分け!$B$7:$B$456,計算用!$L$38)))</f>
        <v/>
      </c>
      <c r="C40" s="59">
        <f>IF(計算用!$L$38="","",IF(計算用!$B$1=1,INDEX(計算用!$G$3:$G$452,計算用!$L$38),INDEX(振り分け!$C$7:$C$456,計算用!$L$38)))</f>
        <v/>
      </c>
      <c r="D40" s="70">
        <f>IF(計算用!$L$38="","",IF(計算用!$B$1=1,INDEX(計算用!$H$3:$H$452,計算用!$L$38),INDEX(振り分け!$D$7:$D$456,計算用!$L$38)))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IF(計算用!$L$39="","",37)</f>
        <v/>
      </c>
      <c r="B41" s="59">
        <f>IF(計算用!$L$39="","",IF(計算用!$B$1=1,INDEX(計算用!$F$3:$F$452,計算用!$L$39),INDEX(振り分け!$B$7:$B$456,計算用!$L$39)))</f>
        <v/>
      </c>
      <c r="C41" s="59">
        <f>IF(計算用!$L$39="","",IF(計算用!$B$1=1,INDEX(計算用!$G$3:$G$452,計算用!$L$39),INDEX(振り分け!$C$7:$C$456,計算用!$L$39)))</f>
        <v/>
      </c>
      <c r="D41" s="70">
        <f>IF(計算用!$L$39="","",IF(計算用!$B$1=1,INDEX(計算用!$H$3:$H$452,計算用!$L$39),INDEX(振り分け!$D$7:$D$456,計算用!$L$39)))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IF(計算用!$L$40="","",38)</f>
        <v/>
      </c>
      <c r="B42" s="59">
        <f>IF(計算用!$L$40="","",IF(計算用!$B$1=1,INDEX(計算用!$F$3:$F$452,計算用!$L$40),INDEX(振り分け!$B$7:$B$456,計算用!$L$40)))</f>
        <v/>
      </c>
      <c r="C42" s="59">
        <f>IF(計算用!$L$40="","",IF(計算用!$B$1=1,INDEX(計算用!$G$3:$G$452,計算用!$L$40),INDEX(振り分け!$C$7:$C$456,計算用!$L$40)))</f>
        <v/>
      </c>
      <c r="D42" s="70">
        <f>IF(計算用!$L$40="","",IF(計算用!$B$1=1,INDEX(計算用!$H$3:$H$452,計算用!$L$40),INDEX(振り分け!$D$7:$D$456,計算用!$L$40)))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IF(計算用!$L$41="","",39)</f>
        <v/>
      </c>
      <c r="B43" s="59">
        <f>IF(計算用!$L$41="","",IF(計算用!$B$1=1,INDEX(計算用!$F$3:$F$452,計算用!$L$41),INDEX(振り分け!$B$7:$B$456,計算用!$L$41)))</f>
        <v/>
      </c>
      <c r="C43" s="59">
        <f>IF(計算用!$L$41="","",IF(計算用!$B$1=1,INDEX(計算用!$G$3:$G$452,計算用!$L$41),INDEX(振り分け!$C$7:$C$456,計算用!$L$41)))</f>
        <v/>
      </c>
      <c r="D43" s="70">
        <f>IF(計算用!$L$41="","",IF(計算用!$B$1=1,INDEX(計算用!$H$3:$H$452,計算用!$L$41),INDEX(振り分け!$D$7:$D$456,計算用!$L$41)))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IF(計算用!$L$42="","",40)</f>
        <v/>
      </c>
      <c r="B44" s="59">
        <f>IF(計算用!$L$42="","",IF(計算用!$B$1=1,INDEX(計算用!$F$3:$F$452,計算用!$L$42),INDEX(振り分け!$B$7:$B$456,計算用!$L$42)))</f>
        <v/>
      </c>
      <c r="C44" s="59">
        <f>IF(計算用!$L$42="","",IF(計算用!$B$1=1,INDEX(計算用!$G$3:$G$452,計算用!$L$42),INDEX(振り分け!$C$7:$C$456,計算用!$L$42)))</f>
        <v/>
      </c>
      <c r="D44" s="70">
        <f>IF(計算用!$L$42="","",IF(計算用!$B$1=1,INDEX(計算用!$H$3:$H$452,計算用!$L$42),INDEX(振り分け!$D$7:$D$456,計算用!$L$42)))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IF(計算用!$L$43="","",41)</f>
        <v/>
      </c>
      <c r="B45" s="59">
        <f>IF(計算用!$L$43="","",IF(計算用!$B$1=1,INDEX(計算用!$F$3:$F$452,計算用!$L$43),INDEX(振り分け!$B$7:$B$456,計算用!$L$43)))</f>
        <v/>
      </c>
      <c r="C45" s="59">
        <f>IF(計算用!$L$43="","",IF(計算用!$B$1=1,INDEX(計算用!$G$3:$G$452,計算用!$L$43),INDEX(振り分け!$C$7:$C$456,計算用!$L$43)))</f>
        <v/>
      </c>
      <c r="D45" s="70">
        <f>IF(計算用!$L$43="","",IF(計算用!$B$1=1,INDEX(計算用!$H$3:$H$452,計算用!$L$43),INDEX(振り分け!$D$7:$D$456,計算用!$L$43)))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IF(計算用!$L$44="","",42)</f>
        <v/>
      </c>
      <c r="B46" s="59">
        <f>IF(計算用!$L$44="","",IF(計算用!$B$1=1,INDEX(計算用!$F$3:$F$452,計算用!$L$44),INDEX(振り分け!$B$7:$B$456,計算用!$L$44)))</f>
        <v/>
      </c>
      <c r="C46" s="59">
        <f>IF(計算用!$L$44="","",IF(計算用!$B$1=1,INDEX(計算用!$G$3:$G$452,計算用!$L$44),INDEX(振り分け!$C$7:$C$456,計算用!$L$44)))</f>
        <v/>
      </c>
      <c r="D46" s="70">
        <f>IF(計算用!$L$44="","",IF(計算用!$B$1=1,INDEX(計算用!$H$3:$H$452,計算用!$L$44),INDEX(振り分け!$D$7:$D$456,計算用!$L$44)))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IF(計算用!$L$45="","",43)</f>
        <v/>
      </c>
      <c r="B47" s="59">
        <f>IF(計算用!$L$45="","",IF(計算用!$B$1=1,INDEX(計算用!$F$3:$F$452,計算用!$L$45),INDEX(振り分け!$B$7:$B$456,計算用!$L$45)))</f>
        <v/>
      </c>
      <c r="C47" s="59">
        <f>IF(計算用!$L$45="","",IF(計算用!$B$1=1,INDEX(計算用!$G$3:$G$452,計算用!$L$45),INDEX(振り分け!$C$7:$C$456,計算用!$L$45)))</f>
        <v/>
      </c>
      <c r="D47" s="70">
        <f>IF(計算用!$L$45="","",IF(計算用!$B$1=1,INDEX(計算用!$H$3:$H$452,計算用!$L$45),INDEX(振り分け!$D$7:$D$456,計算用!$L$45)))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IF(計算用!$L$46="","",44)</f>
        <v/>
      </c>
      <c r="B48" s="59">
        <f>IF(計算用!$L$46="","",IF(計算用!$B$1=1,INDEX(計算用!$F$3:$F$452,計算用!$L$46),INDEX(振り分け!$B$7:$B$456,計算用!$L$46)))</f>
        <v/>
      </c>
      <c r="C48" s="59">
        <f>IF(計算用!$L$46="","",IF(計算用!$B$1=1,INDEX(計算用!$G$3:$G$452,計算用!$L$46),INDEX(振り分け!$C$7:$C$456,計算用!$L$46)))</f>
        <v/>
      </c>
      <c r="D48" s="70">
        <f>IF(計算用!$L$46="","",IF(計算用!$B$1=1,INDEX(計算用!$H$3:$H$452,計算用!$L$46),INDEX(振り分け!$D$7:$D$456,計算用!$L$46)))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IF(計算用!$L$47="","",45)</f>
        <v/>
      </c>
      <c r="B49" s="59">
        <f>IF(計算用!$L$47="","",IF(計算用!$B$1=1,INDEX(計算用!$F$3:$F$452,計算用!$L$47),INDEX(振り分け!$B$7:$B$456,計算用!$L$47)))</f>
        <v/>
      </c>
      <c r="C49" s="59">
        <f>IF(計算用!$L$47="","",IF(計算用!$B$1=1,INDEX(計算用!$G$3:$G$452,計算用!$L$47),INDEX(振り分け!$C$7:$C$456,計算用!$L$47)))</f>
        <v/>
      </c>
      <c r="D49" s="70">
        <f>IF(計算用!$L$47="","",IF(計算用!$B$1=1,INDEX(計算用!$H$3:$H$452,計算用!$L$47),INDEX(振り分け!$D$7:$D$456,計算用!$L$47)))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IF(計算用!$L$48="","",46)</f>
        <v/>
      </c>
      <c r="B50" s="59">
        <f>IF(計算用!$L$48="","",IF(計算用!$B$1=1,INDEX(計算用!$F$3:$F$452,計算用!$L$48),INDEX(振り分け!$B$7:$B$456,計算用!$L$48)))</f>
        <v/>
      </c>
      <c r="C50" s="59">
        <f>IF(計算用!$L$48="","",IF(計算用!$B$1=1,INDEX(計算用!$G$3:$G$452,計算用!$L$48),INDEX(振り分け!$C$7:$C$456,計算用!$L$48)))</f>
        <v/>
      </c>
      <c r="D50" s="70">
        <f>IF(計算用!$L$48="","",IF(計算用!$B$1=1,INDEX(計算用!$H$3:$H$452,計算用!$L$48),INDEX(振り分け!$D$7:$D$456,計算用!$L$48)))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IF(計算用!$L$49="","",47)</f>
        <v/>
      </c>
      <c r="B51" s="59">
        <f>IF(計算用!$L$49="","",IF(計算用!$B$1=1,INDEX(計算用!$F$3:$F$452,計算用!$L$49),INDEX(振り分け!$B$7:$B$456,計算用!$L$49)))</f>
        <v/>
      </c>
      <c r="C51" s="59">
        <f>IF(計算用!$L$49="","",IF(計算用!$B$1=1,INDEX(計算用!$G$3:$G$452,計算用!$L$49),INDEX(振り分け!$C$7:$C$456,計算用!$L$49)))</f>
        <v/>
      </c>
      <c r="D51" s="70">
        <f>IF(計算用!$L$49="","",IF(計算用!$B$1=1,INDEX(計算用!$H$3:$H$452,計算用!$L$49),INDEX(振り分け!$D$7:$D$456,計算用!$L$49)))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IF(計算用!$L$50="","",48)</f>
        <v/>
      </c>
      <c r="B52" s="59">
        <f>IF(計算用!$L$50="","",IF(計算用!$B$1=1,INDEX(計算用!$F$3:$F$452,計算用!$L$50),INDEX(振り分け!$B$7:$B$456,計算用!$L$50)))</f>
        <v/>
      </c>
      <c r="C52" s="59">
        <f>IF(計算用!$L$50="","",IF(計算用!$B$1=1,INDEX(計算用!$G$3:$G$452,計算用!$L$50),INDEX(振り分け!$C$7:$C$456,計算用!$L$50)))</f>
        <v/>
      </c>
      <c r="D52" s="70">
        <f>IF(計算用!$L$50="","",IF(計算用!$B$1=1,INDEX(計算用!$H$3:$H$452,計算用!$L$50),INDEX(振り分け!$D$7:$D$456,計算用!$L$50)))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IF(計算用!$L$51="","",49)</f>
        <v/>
      </c>
      <c r="B53" s="59">
        <f>IF(計算用!$L$51="","",IF(計算用!$B$1=1,INDEX(計算用!$F$3:$F$452,計算用!$L$51),INDEX(振り分け!$B$7:$B$456,計算用!$L$51)))</f>
        <v/>
      </c>
      <c r="C53" s="59">
        <f>IF(計算用!$L$51="","",IF(計算用!$B$1=1,INDEX(計算用!$G$3:$G$452,計算用!$L$51),INDEX(振り分け!$C$7:$C$456,計算用!$L$51)))</f>
        <v/>
      </c>
      <c r="D53" s="70">
        <f>IF(計算用!$L$51="","",IF(計算用!$B$1=1,INDEX(計算用!$H$3:$H$452,計算用!$L$51),INDEX(振り分け!$D$7:$D$456,計算用!$L$51)))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IF(計算用!$L$52="","",50)</f>
        <v/>
      </c>
      <c r="B54" s="59">
        <f>IF(計算用!$L$52="","",IF(計算用!$B$1=1,INDEX(計算用!$F$3:$F$452,計算用!$L$52),INDEX(振り分け!$B$7:$B$456,計算用!$L$52)))</f>
        <v/>
      </c>
      <c r="C54" s="59">
        <f>IF(計算用!$L$52="","",IF(計算用!$B$1=1,INDEX(計算用!$G$3:$G$452,計算用!$L$52),INDEX(振り分け!$C$7:$C$456,計算用!$L$52)))</f>
        <v/>
      </c>
      <c r="D54" s="70">
        <f>IF(計算用!$L$52="","",IF(計算用!$B$1=1,INDEX(計算用!$H$3:$H$452,計算用!$L$52),INDEX(振り分け!$D$7:$D$456,計算用!$L$52)))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IF(設定!$P$11="","",設定!$B$3&amp;"　"&amp;設定!$P$11&amp;設定!$B$4&amp;"名簿"&amp;IF(計算用!$B$1=0,"（仮・前年度の組）",""))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IF(設定!$P$11="","","担当："&amp;設定!$S$11&amp;"　　活動場所："&amp;設定!$T$11&amp;"　　人数："&amp;定員チェック!$I$10&amp;"名（"&amp;設定!$B$8&amp;"年"&amp;定員チェック!$J$10&amp;"・"&amp;設定!$B$9&amp;"年"&amp;定員チェック!$K$10&amp;"・"&amp;設定!$B$10&amp;"年"&amp;定員チェック!$L$10&amp;"）")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IF(計算用!$M$3="","",1)</f>
        <v/>
      </c>
      <c r="B5" s="59">
        <f>IF(計算用!$M$3="","",IF(計算用!$B$1=1,INDEX(計算用!$F$3:$F$452,計算用!$M$3),INDEX(振り分け!$B$7:$B$456,計算用!$M$3)))</f>
        <v/>
      </c>
      <c r="C5" s="59">
        <f>IF(計算用!$M$3="","",IF(計算用!$B$1=1,INDEX(計算用!$G$3:$G$452,計算用!$M$3),INDEX(振り分け!$C$7:$C$456,計算用!$M$3)))</f>
        <v/>
      </c>
      <c r="D5" s="70">
        <f>IF(計算用!$M$3="","",IF(計算用!$B$1=1,INDEX(計算用!$H$3:$H$452,計算用!$M$3),INDEX(振り分け!$D$7:$D$456,計算用!$M$3)))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IF(計算用!$M$4="","",2)</f>
        <v/>
      </c>
      <c r="B6" s="59">
        <f>IF(計算用!$M$4="","",IF(計算用!$B$1=1,INDEX(計算用!$F$3:$F$452,計算用!$M$4),INDEX(振り分け!$B$7:$B$456,計算用!$M$4)))</f>
        <v/>
      </c>
      <c r="C6" s="59">
        <f>IF(計算用!$M$4="","",IF(計算用!$B$1=1,INDEX(計算用!$G$3:$G$452,計算用!$M$4),INDEX(振り分け!$C$7:$C$456,計算用!$M$4)))</f>
        <v/>
      </c>
      <c r="D6" s="70">
        <f>IF(計算用!$M$4="","",IF(計算用!$B$1=1,INDEX(計算用!$H$3:$H$452,計算用!$M$4),INDEX(振り分け!$D$7:$D$456,計算用!$M$4)))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IF(計算用!$M$5="","",3)</f>
        <v/>
      </c>
      <c r="B7" s="59">
        <f>IF(計算用!$M$5="","",IF(計算用!$B$1=1,INDEX(計算用!$F$3:$F$452,計算用!$M$5),INDEX(振り分け!$B$7:$B$456,計算用!$M$5)))</f>
        <v/>
      </c>
      <c r="C7" s="59">
        <f>IF(計算用!$M$5="","",IF(計算用!$B$1=1,INDEX(計算用!$G$3:$G$452,計算用!$M$5),INDEX(振り分け!$C$7:$C$456,計算用!$M$5)))</f>
        <v/>
      </c>
      <c r="D7" s="70">
        <f>IF(計算用!$M$5="","",IF(計算用!$B$1=1,INDEX(計算用!$H$3:$H$452,計算用!$M$5),INDEX(振り分け!$D$7:$D$456,計算用!$M$5)))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IF(計算用!$M$6="","",4)</f>
        <v/>
      </c>
      <c r="B8" s="59">
        <f>IF(計算用!$M$6="","",IF(計算用!$B$1=1,INDEX(計算用!$F$3:$F$452,計算用!$M$6),INDEX(振り分け!$B$7:$B$456,計算用!$M$6)))</f>
        <v/>
      </c>
      <c r="C8" s="59">
        <f>IF(計算用!$M$6="","",IF(計算用!$B$1=1,INDEX(計算用!$G$3:$G$452,計算用!$M$6),INDEX(振り分け!$C$7:$C$456,計算用!$M$6)))</f>
        <v/>
      </c>
      <c r="D8" s="70">
        <f>IF(計算用!$M$6="","",IF(計算用!$B$1=1,INDEX(計算用!$H$3:$H$452,計算用!$M$6),INDEX(振り分け!$D$7:$D$456,計算用!$M$6)))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IF(計算用!$M$7="","",5)</f>
        <v/>
      </c>
      <c r="B9" s="59">
        <f>IF(計算用!$M$7="","",IF(計算用!$B$1=1,INDEX(計算用!$F$3:$F$452,計算用!$M$7),INDEX(振り分け!$B$7:$B$456,計算用!$M$7)))</f>
        <v/>
      </c>
      <c r="C9" s="59">
        <f>IF(計算用!$M$7="","",IF(計算用!$B$1=1,INDEX(計算用!$G$3:$G$452,計算用!$M$7),INDEX(振り分け!$C$7:$C$456,計算用!$M$7)))</f>
        <v/>
      </c>
      <c r="D9" s="70">
        <f>IF(計算用!$M$7="","",IF(計算用!$B$1=1,INDEX(計算用!$H$3:$H$452,計算用!$M$7),INDEX(振り分け!$D$7:$D$456,計算用!$M$7)))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IF(計算用!$M$8="","",6)</f>
        <v/>
      </c>
      <c r="B10" s="59">
        <f>IF(計算用!$M$8="","",IF(計算用!$B$1=1,INDEX(計算用!$F$3:$F$452,計算用!$M$8),INDEX(振り分け!$B$7:$B$456,計算用!$M$8)))</f>
        <v/>
      </c>
      <c r="C10" s="59">
        <f>IF(計算用!$M$8="","",IF(計算用!$B$1=1,INDEX(計算用!$G$3:$G$452,計算用!$M$8),INDEX(振り分け!$C$7:$C$456,計算用!$M$8)))</f>
        <v/>
      </c>
      <c r="D10" s="70">
        <f>IF(計算用!$M$8="","",IF(計算用!$B$1=1,INDEX(計算用!$H$3:$H$452,計算用!$M$8),INDEX(振り分け!$D$7:$D$456,計算用!$M$8)))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IF(計算用!$M$9="","",7)</f>
        <v/>
      </c>
      <c r="B11" s="59">
        <f>IF(計算用!$M$9="","",IF(計算用!$B$1=1,INDEX(計算用!$F$3:$F$452,計算用!$M$9),INDEX(振り分け!$B$7:$B$456,計算用!$M$9)))</f>
        <v/>
      </c>
      <c r="C11" s="59">
        <f>IF(計算用!$M$9="","",IF(計算用!$B$1=1,INDEX(計算用!$G$3:$G$452,計算用!$M$9),INDEX(振り分け!$C$7:$C$456,計算用!$M$9)))</f>
        <v/>
      </c>
      <c r="D11" s="70">
        <f>IF(計算用!$M$9="","",IF(計算用!$B$1=1,INDEX(計算用!$H$3:$H$452,計算用!$M$9),INDEX(振り分け!$D$7:$D$456,計算用!$M$9)))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IF(計算用!$M$10="","",8)</f>
        <v/>
      </c>
      <c r="B12" s="59">
        <f>IF(計算用!$M$10="","",IF(計算用!$B$1=1,INDEX(計算用!$F$3:$F$452,計算用!$M$10),INDEX(振り分け!$B$7:$B$456,計算用!$M$10)))</f>
        <v/>
      </c>
      <c r="C12" s="59">
        <f>IF(計算用!$M$10="","",IF(計算用!$B$1=1,INDEX(計算用!$G$3:$G$452,計算用!$M$10),INDEX(振り分け!$C$7:$C$456,計算用!$M$10)))</f>
        <v/>
      </c>
      <c r="D12" s="70">
        <f>IF(計算用!$M$10="","",IF(計算用!$B$1=1,INDEX(計算用!$H$3:$H$452,計算用!$M$10),INDEX(振り分け!$D$7:$D$456,計算用!$M$10)))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IF(計算用!$M$11="","",9)</f>
        <v/>
      </c>
      <c r="B13" s="59">
        <f>IF(計算用!$M$11="","",IF(計算用!$B$1=1,INDEX(計算用!$F$3:$F$452,計算用!$M$11),INDEX(振り分け!$B$7:$B$456,計算用!$M$11)))</f>
        <v/>
      </c>
      <c r="C13" s="59">
        <f>IF(計算用!$M$11="","",IF(計算用!$B$1=1,INDEX(計算用!$G$3:$G$452,計算用!$M$11),INDEX(振り分け!$C$7:$C$456,計算用!$M$11)))</f>
        <v/>
      </c>
      <c r="D13" s="70">
        <f>IF(計算用!$M$11="","",IF(計算用!$B$1=1,INDEX(計算用!$H$3:$H$452,計算用!$M$11),INDEX(振り分け!$D$7:$D$456,計算用!$M$11)))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IF(計算用!$M$12="","",10)</f>
        <v/>
      </c>
      <c r="B14" s="59">
        <f>IF(計算用!$M$12="","",IF(計算用!$B$1=1,INDEX(計算用!$F$3:$F$452,計算用!$M$12),INDEX(振り分け!$B$7:$B$456,計算用!$M$12)))</f>
        <v/>
      </c>
      <c r="C14" s="59">
        <f>IF(計算用!$M$12="","",IF(計算用!$B$1=1,INDEX(計算用!$G$3:$G$452,計算用!$M$12),INDEX(振り分け!$C$7:$C$456,計算用!$M$12)))</f>
        <v/>
      </c>
      <c r="D14" s="70">
        <f>IF(計算用!$M$12="","",IF(計算用!$B$1=1,INDEX(計算用!$H$3:$H$452,計算用!$M$12),INDEX(振り分け!$D$7:$D$456,計算用!$M$12)))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IF(計算用!$M$13="","",11)</f>
        <v/>
      </c>
      <c r="B15" s="59">
        <f>IF(計算用!$M$13="","",IF(計算用!$B$1=1,INDEX(計算用!$F$3:$F$452,計算用!$M$13),INDEX(振り分け!$B$7:$B$456,計算用!$M$13)))</f>
        <v/>
      </c>
      <c r="C15" s="59">
        <f>IF(計算用!$M$13="","",IF(計算用!$B$1=1,INDEX(計算用!$G$3:$G$452,計算用!$M$13),INDEX(振り分け!$C$7:$C$456,計算用!$M$13)))</f>
        <v/>
      </c>
      <c r="D15" s="70">
        <f>IF(計算用!$M$13="","",IF(計算用!$B$1=1,INDEX(計算用!$H$3:$H$452,計算用!$M$13),INDEX(振り分け!$D$7:$D$456,計算用!$M$13)))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IF(計算用!$M$14="","",12)</f>
        <v/>
      </c>
      <c r="B16" s="59">
        <f>IF(計算用!$M$14="","",IF(計算用!$B$1=1,INDEX(計算用!$F$3:$F$452,計算用!$M$14),INDEX(振り分け!$B$7:$B$456,計算用!$M$14)))</f>
        <v/>
      </c>
      <c r="C16" s="59">
        <f>IF(計算用!$M$14="","",IF(計算用!$B$1=1,INDEX(計算用!$G$3:$G$452,計算用!$M$14),INDEX(振り分け!$C$7:$C$456,計算用!$M$14)))</f>
        <v/>
      </c>
      <c r="D16" s="70">
        <f>IF(計算用!$M$14="","",IF(計算用!$B$1=1,INDEX(計算用!$H$3:$H$452,計算用!$M$14),INDEX(振り分け!$D$7:$D$456,計算用!$M$14)))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IF(計算用!$M$15="","",13)</f>
        <v/>
      </c>
      <c r="B17" s="59">
        <f>IF(計算用!$M$15="","",IF(計算用!$B$1=1,INDEX(計算用!$F$3:$F$452,計算用!$M$15),INDEX(振り分け!$B$7:$B$456,計算用!$M$15)))</f>
        <v/>
      </c>
      <c r="C17" s="59">
        <f>IF(計算用!$M$15="","",IF(計算用!$B$1=1,INDEX(計算用!$G$3:$G$452,計算用!$M$15),INDEX(振り分け!$C$7:$C$456,計算用!$M$15)))</f>
        <v/>
      </c>
      <c r="D17" s="70">
        <f>IF(計算用!$M$15="","",IF(計算用!$B$1=1,INDEX(計算用!$H$3:$H$452,計算用!$M$15),INDEX(振り分け!$D$7:$D$456,計算用!$M$15)))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IF(計算用!$M$16="","",14)</f>
        <v/>
      </c>
      <c r="B18" s="59">
        <f>IF(計算用!$M$16="","",IF(計算用!$B$1=1,INDEX(計算用!$F$3:$F$452,計算用!$M$16),INDEX(振り分け!$B$7:$B$456,計算用!$M$16)))</f>
        <v/>
      </c>
      <c r="C18" s="59">
        <f>IF(計算用!$M$16="","",IF(計算用!$B$1=1,INDEX(計算用!$G$3:$G$452,計算用!$M$16),INDEX(振り分け!$C$7:$C$456,計算用!$M$16)))</f>
        <v/>
      </c>
      <c r="D18" s="70">
        <f>IF(計算用!$M$16="","",IF(計算用!$B$1=1,INDEX(計算用!$H$3:$H$452,計算用!$M$16),INDEX(振り分け!$D$7:$D$456,計算用!$M$16)))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IF(計算用!$M$17="","",15)</f>
        <v/>
      </c>
      <c r="B19" s="59">
        <f>IF(計算用!$M$17="","",IF(計算用!$B$1=1,INDEX(計算用!$F$3:$F$452,計算用!$M$17),INDEX(振り分け!$B$7:$B$456,計算用!$M$17)))</f>
        <v/>
      </c>
      <c r="C19" s="59">
        <f>IF(計算用!$M$17="","",IF(計算用!$B$1=1,INDEX(計算用!$G$3:$G$452,計算用!$M$17),INDEX(振り分け!$C$7:$C$456,計算用!$M$17)))</f>
        <v/>
      </c>
      <c r="D19" s="70">
        <f>IF(計算用!$M$17="","",IF(計算用!$B$1=1,INDEX(計算用!$H$3:$H$452,計算用!$M$17),INDEX(振り分け!$D$7:$D$456,計算用!$M$17)))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IF(計算用!$M$18="","",16)</f>
        <v/>
      </c>
      <c r="B20" s="59">
        <f>IF(計算用!$M$18="","",IF(計算用!$B$1=1,INDEX(計算用!$F$3:$F$452,計算用!$M$18),INDEX(振り分け!$B$7:$B$456,計算用!$M$18)))</f>
        <v/>
      </c>
      <c r="C20" s="59">
        <f>IF(計算用!$M$18="","",IF(計算用!$B$1=1,INDEX(計算用!$G$3:$G$452,計算用!$M$18),INDEX(振り分け!$C$7:$C$456,計算用!$M$18)))</f>
        <v/>
      </c>
      <c r="D20" s="70">
        <f>IF(計算用!$M$18="","",IF(計算用!$B$1=1,INDEX(計算用!$H$3:$H$452,計算用!$M$18),INDEX(振り分け!$D$7:$D$456,計算用!$M$18)))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IF(計算用!$M$19="","",17)</f>
        <v/>
      </c>
      <c r="B21" s="59">
        <f>IF(計算用!$M$19="","",IF(計算用!$B$1=1,INDEX(計算用!$F$3:$F$452,計算用!$M$19),INDEX(振り分け!$B$7:$B$456,計算用!$M$19)))</f>
        <v/>
      </c>
      <c r="C21" s="59">
        <f>IF(計算用!$M$19="","",IF(計算用!$B$1=1,INDEX(計算用!$G$3:$G$452,計算用!$M$19),INDEX(振り分け!$C$7:$C$456,計算用!$M$19)))</f>
        <v/>
      </c>
      <c r="D21" s="70">
        <f>IF(計算用!$M$19="","",IF(計算用!$B$1=1,INDEX(計算用!$H$3:$H$452,計算用!$M$19),INDEX(振り分け!$D$7:$D$456,計算用!$M$19)))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IF(計算用!$M$20="","",18)</f>
        <v/>
      </c>
      <c r="B22" s="59">
        <f>IF(計算用!$M$20="","",IF(計算用!$B$1=1,INDEX(計算用!$F$3:$F$452,計算用!$M$20),INDEX(振り分け!$B$7:$B$456,計算用!$M$20)))</f>
        <v/>
      </c>
      <c r="C22" s="59">
        <f>IF(計算用!$M$20="","",IF(計算用!$B$1=1,INDEX(計算用!$G$3:$G$452,計算用!$M$20),INDEX(振り分け!$C$7:$C$456,計算用!$M$20)))</f>
        <v/>
      </c>
      <c r="D22" s="70">
        <f>IF(計算用!$M$20="","",IF(計算用!$B$1=1,INDEX(計算用!$H$3:$H$452,計算用!$M$20),INDEX(振り分け!$D$7:$D$456,計算用!$M$20)))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IF(計算用!$M$21="","",19)</f>
        <v/>
      </c>
      <c r="B23" s="59">
        <f>IF(計算用!$M$21="","",IF(計算用!$B$1=1,INDEX(計算用!$F$3:$F$452,計算用!$M$21),INDEX(振り分け!$B$7:$B$456,計算用!$M$21)))</f>
        <v/>
      </c>
      <c r="C23" s="59">
        <f>IF(計算用!$M$21="","",IF(計算用!$B$1=1,INDEX(計算用!$G$3:$G$452,計算用!$M$21),INDEX(振り分け!$C$7:$C$456,計算用!$M$21)))</f>
        <v/>
      </c>
      <c r="D23" s="70">
        <f>IF(計算用!$M$21="","",IF(計算用!$B$1=1,INDEX(計算用!$H$3:$H$452,計算用!$M$21),INDEX(振り分け!$D$7:$D$456,計算用!$M$21)))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IF(計算用!$M$22="","",20)</f>
        <v/>
      </c>
      <c r="B24" s="59">
        <f>IF(計算用!$M$22="","",IF(計算用!$B$1=1,INDEX(計算用!$F$3:$F$452,計算用!$M$22),INDEX(振り分け!$B$7:$B$456,計算用!$M$22)))</f>
        <v/>
      </c>
      <c r="C24" s="59">
        <f>IF(計算用!$M$22="","",IF(計算用!$B$1=1,INDEX(計算用!$G$3:$G$452,計算用!$M$22),INDEX(振り分け!$C$7:$C$456,計算用!$M$22)))</f>
        <v/>
      </c>
      <c r="D24" s="70">
        <f>IF(計算用!$M$22="","",IF(計算用!$B$1=1,INDEX(計算用!$H$3:$H$452,計算用!$M$22),INDEX(振り分け!$D$7:$D$456,計算用!$M$22)))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IF(計算用!$M$23="","",21)</f>
        <v/>
      </c>
      <c r="B25" s="59">
        <f>IF(計算用!$M$23="","",IF(計算用!$B$1=1,INDEX(計算用!$F$3:$F$452,計算用!$M$23),INDEX(振り分け!$B$7:$B$456,計算用!$M$23)))</f>
        <v/>
      </c>
      <c r="C25" s="59">
        <f>IF(計算用!$M$23="","",IF(計算用!$B$1=1,INDEX(計算用!$G$3:$G$452,計算用!$M$23),INDEX(振り分け!$C$7:$C$456,計算用!$M$23)))</f>
        <v/>
      </c>
      <c r="D25" s="70">
        <f>IF(計算用!$M$23="","",IF(計算用!$B$1=1,INDEX(計算用!$H$3:$H$452,計算用!$M$23),INDEX(振り分け!$D$7:$D$456,計算用!$M$23)))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IF(計算用!$M$24="","",22)</f>
        <v/>
      </c>
      <c r="B26" s="59">
        <f>IF(計算用!$M$24="","",IF(計算用!$B$1=1,INDEX(計算用!$F$3:$F$452,計算用!$M$24),INDEX(振り分け!$B$7:$B$456,計算用!$M$24)))</f>
        <v/>
      </c>
      <c r="C26" s="59">
        <f>IF(計算用!$M$24="","",IF(計算用!$B$1=1,INDEX(計算用!$G$3:$G$452,計算用!$M$24),INDEX(振り分け!$C$7:$C$456,計算用!$M$24)))</f>
        <v/>
      </c>
      <c r="D26" s="70">
        <f>IF(計算用!$M$24="","",IF(計算用!$B$1=1,INDEX(計算用!$H$3:$H$452,計算用!$M$24),INDEX(振り分け!$D$7:$D$456,計算用!$M$24)))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IF(計算用!$M$25="","",23)</f>
        <v/>
      </c>
      <c r="B27" s="59">
        <f>IF(計算用!$M$25="","",IF(計算用!$B$1=1,INDEX(計算用!$F$3:$F$452,計算用!$M$25),INDEX(振り分け!$B$7:$B$456,計算用!$M$25)))</f>
        <v/>
      </c>
      <c r="C27" s="59">
        <f>IF(計算用!$M$25="","",IF(計算用!$B$1=1,INDEX(計算用!$G$3:$G$452,計算用!$M$25),INDEX(振り分け!$C$7:$C$456,計算用!$M$25)))</f>
        <v/>
      </c>
      <c r="D27" s="70">
        <f>IF(計算用!$M$25="","",IF(計算用!$B$1=1,INDEX(計算用!$H$3:$H$452,計算用!$M$25),INDEX(振り分け!$D$7:$D$456,計算用!$M$25)))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IF(計算用!$M$26="","",24)</f>
        <v/>
      </c>
      <c r="B28" s="59">
        <f>IF(計算用!$M$26="","",IF(計算用!$B$1=1,INDEX(計算用!$F$3:$F$452,計算用!$M$26),INDEX(振り分け!$B$7:$B$456,計算用!$M$26)))</f>
        <v/>
      </c>
      <c r="C28" s="59">
        <f>IF(計算用!$M$26="","",IF(計算用!$B$1=1,INDEX(計算用!$G$3:$G$452,計算用!$M$26),INDEX(振り分け!$C$7:$C$456,計算用!$M$26)))</f>
        <v/>
      </c>
      <c r="D28" s="70">
        <f>IF(計算用!$M$26="","",IF(計算用!$B$1=1,INDEX(計算用!$H$3:$H$452,計算用!$M$26),INDEX(振り分け!$D$7:$D$456,計算用!$M$26)))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IF(計算用!$M$27="","",25)</f>
        <v/>
      </c>
      <c r="B29" s="59">
        <f>IF(計算用!$M$27="","",IF(計算用!$B$1=1,INDEX(計算用!$F$3:$F$452,計算用!$M$27),INDEX(振り分け!$B$7:$B$456,計算用!$M$27)))</f>
        <v/>
      </c>
      <c r="C29" s="59">
        <f>IF(計算用!$M$27="","",IF(計算用!$B$1=1,INDEX(計算用!$G$3:$G$452,計算用!$M$27),INDEX(振り分け!$C$7:$C$456,計算用!$M$27)))</f>
        <v/>
      </c>
      <c r="D29" s="70">
        <f>IF(計算用!$M$27="","",IF(計算用!$B$1=1,INDEX(計算用!$H$3:$H$452,計算用!$M$27),INDEX(振り分け!$D$7:$D$456,計算用!$M$27)))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IF(計算用!$M$28="","",26)</f>
        <v/>
      </c>
      <c r="B30" s="59">
        <f>IF(計算用!$M$28="","",IF(計算用!$B$1=1,INDEX(計算用!$F$3:$F$452,計算用!$M$28),INDEX(振り分け!$B$7:$B$456,計算用!$M$28)))</f>
        <v/>
      </c>
      <c r="C30" s="59">
        <f>IF(計算用!$M$28="","",IF(計算用!$B$1=1,INDEX(計算用!$G$3:$G$452,計算用!$M$28),INDEX(振り分け!$C$7:$C$456,計算用!$M$28)))</f>
        <v/>
      </c>
      <c r="D30" s="70">
        <f>IF(計算用!$M$28="","",IF(計算用!$B$1=1,INDEX(計算用!$H$3:$H$452,計算用!$M$28),INDEX(振り分け!$D$7:$D$456,計算用!$M$28)))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IF(計算用!$M$29="","",27)</f>
        <v/>
      </c>
      <c r="B31" s="59">
        <f>IF(計算用!$M$29="","",IF(計算用!$B$1=1,INDEX(計算用!$F$3:$F$452,計算用!$M$29),INDEX(振り分け!$B$7:$B$456,計算用!$M$29)))</f>
        <v/>
      </c>
      <c r="C31" s="59">
        <f>IF(計算用!$M$29="","",IF(計算用!$B$1=1,INDEX(計算用!$G$3:$G$452,計算用!$M$29),INDEX(振り分け!$C$7:$C$456,計算用!$M$29)))</f>
        <v/>
      </c>
      <c r="D31" s="70">
        <f>IF(計算用!$M$29="","",IF(計算用!$B$1=1,INDEX(計算用!$H$3:$H$452,計算用!$M$29),INDEX(振り分け!$D$7:$D$456,計算用!$M$29)))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IF(計算用!$M$30="","",28)</f>
        <v/>
      </c>
      <c r="B32" s="59">
        <f>IF(計算用!$M$30="","",IF(計算用!$B$1=1,INDEX(計算用!$F$3:$F$452,計算用!$M$30),INDEX(振り分け!$B$7:$B$456,計算用!$M$30)))</f>
        <v/>
      </c>
      <c r="C32" s="59">
        <f>IF(計算用!$M$30="","",IF(計算用!$B$1=1,INDEX(計算用!$G$3:$G$452,計算用!$M$30),INDEX(振り分け!$C$7:$C$456,計算用!$M$30)))</f>
        <v/>
      </c>
      <c r="D32" s="70">
        <f>IF(計算用!$M$30="","",IF(計算用!$B$1=1,INDEX(計算用!$H$3:$H$452,計算用!$M$30),INDEX(振り分け!$D$7:$D$456,計算用!$M$30)))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IF(計算用!$M$31="","",29)</f>
        <v/>
      </c>
      <c r="B33" s="59">
        <f>IF(計算用!$M$31="","",IF(計算用!$B$1=1,INDEX(計算用!$F$3:$F$452,計算用!$M$31),INDEX(振り分け!$B$7:$B$456,計算用!$M$31)))</f>
        <v/>
      </c>
      <c r="C33" s="59">
        <f>IF(計算用!$M$31="","",IF(計算用!$B$1=1,INDEX(計算用!$G$3:$G$452,計算用!$M$31),INDEX(振り分け!$C$7:$C$456,計算用!$M$31)))</f>
        <v/>
      </c>
      <c r="D33" s="70">
        <f>IF(計算用!$M$31="","",IF(計算用!$B$1=1,INDEX(計算用!$H$3:$H$452,計算用!$M$31),INDEX(振り分け!$D$7:$D$456,計算用!$M$31)))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IF(計算用!$M$32="","",30)</f>
        <v/>
      </c>
      <c r="B34" s="59">
        <f>IF(計算用!$M$32="","",IF(計算用!$B$1=1,INDEX(計算用!$F$3:$F$452,計算用!$M$32),INDEX(振り分け!$B$7:$B$456,計算用!$M$32)))</f>
        <v/>
      </c>
      <c r="C34" s="59">
        <f>IF(計算用!$M$32="","",IF(計算用!$B$1=1,INDEX(計算用!$G$3:$G$452,計算用!$M$32),INDEX(振り分け!$C$7:$C$456,計算用!$M$32)))</f>
        <v/>
      </c>
      <c r="D34" s="70">
        <f>IF(計算用!$M$32="","",IF(計算用!$B$1=1,INDEX(計算用!$H$3:$H$452,計算用!$M$32),INDEX(振り分け!$D$7:$D$456,計算用!$M$32)))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IF(計算用!$M$33="","",31)</f>
        <v/>
      </c>
      <c r="B35" s="59">
        <f>IF(計算用!$M$33="","",IF(計算用!$B$1=1,INDEX(計算用!$F$3:$F$452,計算用!$M$33),INDEX(振り分け!$B$7:$B$456,計算用!$M$33)))</f>
        <v/>
      </c>
      <c r="C35" s="59">
        <f>IF(計算用!$M$33="","",IF(計算用!$B$1=1,INDEX(計算用!$G$3:$G$452,計算用!$M$33),INDEX(振り分け!$C$7:$C$456,計算用!$M$33)))</f>
        <v/>
      </c>
      <c r="D35" s="70">
        <f>IF(計算用!$M$33="","",IF(計算用!$B$1=1,INDEX(計算用!$H$3:$H$452,計算用!$M$33),INDEX(振り分け!$D$7:$D$456,計算用!$M$33)))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IF(計算用!$M$34="","",32)</f>
        <v/>
      </c>
      <c r="B36" s="59">
        <f>IF(計算用!$M$34="","",IF(計算用!$B$1=1,INDEX(計算用!$F$3:$F$452,計算用!$M$34),INDEX(振り分け!$B$7:$B$456,計算用!$M$34)))</f>
        <v/>
      </c>
      <c r="C36" s="59">
        <f>IF(計算用!$M$34="","",IF(計算用!$B$1=1,INDEX(計算用!$G$3:$G$452,計算用!$M$34),INDEX(振り分け!$C$7:$C$456,計算用!$M$34)))</f>
        <v/>
      </c>
      <c r="D36" s="70">
        <f>IF(計算用!$M$34="","",IF(計算用!$B$1=1,INDEX(計算用!$H$3:$H$452,計算用!$M$34),INDEX(振り分け!$D$7:$D$456,計算用!$M$34)))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IF(計算用!$M$35="","",33)</f>
        <v/>
      </c>
      <c r="B37" s="59">
        <f>IF(計算用!$M$35="","",IF(計算用!$B$1=1,INDEX(計算用!$F$3:$F$452,計算用!$M$35),INDEX(振り分け!$B$7:$B$456,計算用!$M$35)))</f>
        <v/>
      </c>
      <c r="C37" s="59">
        <f>IF(計算用!$M$35="","",IF(計算用!$B$1=1,INDEX(計算用!$G$3:$G$452,計算用!$M$35),INDEX(振り分け!$C$7:$C$456,計算用!$M$35)))</f>
        <v/>
      </c>
      <c r="D37" s="70">
        <f>IF(計算用!$M$35="","",IF(計算用!$B$1=1,INDEX(計算用!$H$3:$H$452,計算用!$M$35),INDEX(振り分け!$D$7:$D$456,計算用!$M$35)))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IF(計算用!$M$36="","",34)</f>
        <v/>
      </c>
      <c r="B38" s="59">
        <f>IF(計算用!$M$36="","",IF(計算用!$B$1=1,INDEX(計算用!$F$3:$F$452,計算用!$M$36),INDEX(振り分け!$B$7:$B$456,計算用!$M$36)))</f>
        <v/>
      </c>
      <c r="C38" s="59">
        <f>IF(計算用!$M$36="","",IF(計算用!$B$1=1,INDEX(計算用!$G$3:$G$452,計算用!$M$36),INDEX(振り分け!$C$7:$C$456,計算用!$M$36)))</f>
        <v/>
      </c>
      <c r="D38" s="70">
        <f>IF(計算用!$M$36="","",IF(計算用!$B$1=1,INDEX(計算用!$H$3:$H$452,計算用!$M$36),INDEX(振り分け!$D$7:$D$456,計算用!$M$36)))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IF(計算用!$M$37="","",35)</f>
        <v/>
      </c>
      <c r="B39" s="59">
        <f>IF(計算用!$M$37="","",IF(計算用!$B$1=1,INDEX(計算用!$F$3:$F$452,計算用!$M$37),INDEX(振り分け!$B$7:$B$456,計算用!$M$37)))</f>
        <v/>
      </c>
      <c r="C39" s="59">
        <f>IF(計算用!$M$37="","",IF(計算用!$B$1=1,INDEX(計算用!$G$3:$G$452,計算用!$M$37),INDEX(振り分け!$C$7:$C$456,計算用!$M$37)))</f>
        <v/>
      </c>
      <c r="D39" s="70">
        <f>IF(計算用!$M$37="","",IF(計算用!$B$1=1,INDEX(計算用!$H$3:$H$452,計算用!$M$37),INDEX(振り分け!$D$7:$D$456,計算用!$M$37)))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IF(計算用!$M$38="","",36)</f>
        <v/>
      </c>
      <c r="B40" s="59">
        <f>IF(計算用!$M$38="","",IF(計算用!$B$1=1,INDEX(計算用!$F$3:$F$452,計算用!$M$38),INDEX(振り分け!$B$7:$B$456,計算用!$M$38)))</f>
        <v/>
      </c>
      <c r="C40" s="59">
        <f>IF(計算用!$M$38="","",IF(計算用!$B$1=1,INDEX(計算用!$G$3:$G$452,計算用!$M$38),INDEX(振り分け!$C$7:$C$456,計算用!$M$38)))</f>
        <v/>
      </c>
      <c r="D40" s="70">
        <f>IF(計算用!$M$38="","",IF(計算用!$B$1=1,INDEX(計算用!$H$3:$H$452,計算用!$M$38),INDEX(振り分け!$D$7:$D$456,計算用!$M$38)))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IF(計算用!$M$39="","",37)</f>
        <v/>
      </c>
      <c r="B41" s="59">
        <f>IF(計算用!$M$39="","",IF(計算用!$B$1=1,INDEX(計算用!$F$3:$F$452,計算用!$M$39),INDEX(振り分け!$B$7:$B$456,計算用!$M$39)))</f>
        <v/>
      </c>
      <c r="C41" s="59">
        <f>IF(計算用!$M$39="","",IF(計算用!$B$1=1,INDEX(計算用!$G$3:$G$452,計算用!$M$39),INDEX(振り分け!$C$7:$C$456,計算用!$M$39)))</f>
        <v/>
      </c>
      <c r="D41" s="70">
        <f>IF(計算用!$M$39="","",IF(計算用!$B$1=1,INDEX(計算用!$H$3:$H$452,計算用!$M$39),INDEX(振り分け!$D$7:$D$456,計算用!$M$39)))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IF(計算用!$M$40="","",38)</f>
        <v/>
      </c>
      <c r="B42" s="59">
        <f>IF(計算用!$M$40="","",IF(計算用!$B$1=1,INDEX(計算用!$F$3:$F$452,計算用!$M$40),INDEX(振り分け!$B$7:$B$456,計算用!$M$40)))</f>
        <v/>
      </c>
      <c r="C42" s="59">
        <f>IF(計算用!$M$40="","",IF(計算用!$B$1=1,INDEX(計算用!$G$3:$G$452,計算用!$M$40),INDEX(振り分け!$C$7:$C$456,計算用!$M$40)))</f>
        <v/>
      </c>
      <c r="D42" s="70">
        <f>IF(計算用!$M$40="","",IF(計算用!$B$1=1,INDEX(計算用!$H$3:$H$452,計算用!$M$40),INDEX(振り分け!$D$7:$D$456,計算用!$M$40)))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IF(計算用!$M$41="","",39)</f>
        <v/>
      </c>
      <c r="B43" s="59">
        <f>IF(計算用!$M$41="","",IF(計算用!$B$1=1,INDEX(計算用!$F$3:$F$452,計算用!$M$41),INDEX(振り分け!$B$7:$B$456,計算用!$M$41)))</f>
        <v/>
      </c>
      <c r="C43" s="59">
        <f>IF(計算用!$M$41="","",IF(計算用!$B$1=1,INDEX(計算用!$G$3:$G$452,計算用!$M$41),INDEX(振り分け!$C$7:$C$456,計算用!$M$41)))</f>
        <v/>
      </c>
      <c r="D43" s="70">
        <f>IF(計算用!$M$41="","",IF(計算用!$B$1=1,INDEX(計算用!$H$3:$H$452,計算用!$M$41),INDEX(振り分け!$D$7:$D$456,計算用!$M$41)))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IF(計算用!$M$42="","",40)</f>
        <v/>
      </c>
      <c r="B44" s="59">
        <f>IF(計算用!$M$42="","",IF(計算用!$B$1=1,INDEX(計算用!$F$3:$F$452,計算用!$M$42),INDEX(振り分け!$B$7:$B$456,計算用!$M$42)))</f>
        <v/>
      </c>
      <c r="C44" s="59">
        <f>IF(計算用!$M$42="","",IF(計算用!$B$1=1,INDEX(計算用!$G$3:$G$452,計算用!$M$42),INDEX(振り分け!$C$7:$C$456,計算用!$M$42)))</f>
        <v/>
      </c>
      <c r="D44" s="70">
        <f>IF(計算用!$M$42="","",IF(計算用!$B$1=1,INDEX(計算用!$H$3:$H$452,計算用!$M$42),INDEX(振り分け!$D$7:$D$456,計算用!$M$42)))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IF(計算用!$M$43="","",41)</f>
        <v/>
      </c>
      <c r="B45" s="59">
        <f>IF(計算用!$M$43="","",IF(計算用!$B$1=1,INDEX(計算用!$F$3:$F$452,計算用!$M$43),INDEX(振り分け!$B$7:$B$456,計算用!$M$43)))</f>
        <v/>
      </c>
      <c r="C45" s="59">
        <f>IF(計算用!$M$43="","",IF(計算用!$B$1=1,INDEX(計算用!$G$3:$G$452,計算用!$M$43),INDEX(振り分け!$C$7:$C$456,計算用!$M$43)))</f>
        <v/>
      </c>
      <c r="D45" s="70">
        <f>IF(計算用!$M$43="","",IF(計算用!$B$1=1,INDEX(計算用!$H$3:$H$452,計算用!$M$43),INDEX(振り分け!$D$7:$D$456,計算用!$M$43)))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IF(計算用!$M$44="","",42)</f>
        <v/>
      </c>
      <c r="B46" s="59">
        <f>IF(計算用!$M$44="","",IF(計算用!$B$1=1,INDEX(計算用!$F$3:$F$452,計算用!$M$44),INDEX(振り分け!$B$7:$B$456,計算用!$M$44)))</f>
        <v/>
      </c>
      <c r="C46" s="59">
        <f>IF(計算用!$M$44="","",IF(計算用!$B$1=1,INDEX(計算用!$G$3:$G$452,計算用!$M$44),INDEX(振り分け!$C$7:$C$456,計算用!$M$44)))</f>
        <v/>
      </c>
      <c r="D46" s="70">
        <f>IF(計算用!$M$44="","",IF(計算用!$B$1=1,INDEX(計算用!$H$3:$H$452,計算用!$M$44),INDEX(振り分け!$D$7:$D$456,計算用!$M$44)))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IF(計算用!$M$45="","",43)</f>
        <v/>
      </c>
      <c r="B47" s="59">
        <f>IF(計算用!$M$45="","",IF(計算用!$B$1=1,INDEX(計算用!$F$3:$F$452,計算用!$M$45),INDEX(振り分け!$B$7:$B$456,計算用!$M$45)))</f>
        <v/>
      </c>
      <c r="C47" s="59">
        <f>IF(計算用!$M$45="","",IF(計算用!$B$1=1,INDEX(計算用!$G$3:$G$452,計算用!$M$45),INDEX(振り分け!$C$7:$C$456,計算用!$M$45)))</f>
        <v/>
      </c>
      <c r="D47" s="70">
        <f>IF(計算用!$M$45="","",IF(計算用!$B$1=1,INDEX(計算用!$H$3:$H$452,計算用!$M$45),INDEX(振り分け!$D$7:$D$456,計算用!$M$45)))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IF(計算用!$M$46="","",44)</f>
        <v/>
      </c>
      <c r="B48" s="59">
        <f>IF(計算用!$M$46="","",IF(計算用!$B$1=1,INDEX(計算用!$F$3:$F$452,計算用!$M$46),INDEX(振り分け!$B$7:$B$456,計算用!$M$46)))</f>
        <v/>
      </c>
      <c r="C48" s="59">
        <f>IF(計算用!$M$46="","",IF(計算用!$B$1=1,INDEX(計算用!$G$3:$G$452,計算用!$M$46),INDEX(振り分け!$C$7:$C$456,計算用!$M$46)))</f>
        <v/>
      </c>
      <c r="D48" s="70">
        <f>IF(計算用!$M$46="","",IF(計算用!$B$1=1,INDEX(計算用!$H$3:$H$452,計算用!$M$46),INDEX(振り分け!$D$7:$D$456,計算用!$M$46)))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IF(計算用!$M$47="","",45)</f>
        <v/>
      </c>
      <c r="B49" s="59">
        <f>IF(計算用!$M$47="","",IF(計算用!$B$1=1,INDEX(計算用!$F$3:$F$452,計算用!$M$47),INDEX(振り分け!$B$7:$B$456,計算用!$M$47)))</f>
        <v/>
      </c>
      <c r="C49" s="59">
        <f>IF(計算用!$M$47="","",IF(計算用!$B$1=1,INDEX(計算用!$G$3:$G$452,計算用!$M$47),INDEX(振り分け!$C$7:$C$456,計算用!$M$47)))</f>
        <v/>
      </c>
      <c r="D49" s="70">
        <f>IF(計算用!$M$47="","",IF(計算用!$B$1=1,INDEX(計算用!$H$3:$H$452,計算用!$M$47),INDEX(振り分け!$D$7:$D$456,計算用!$M$47)))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IF(計算用!$M$48="","",46)</f>
        <v/>
      </c>
      <c r="B50" s="59">
        <f>IF(計算用!$M$48="","",IF(計算用!$B$1=1,INDEX(計算用!$F$3:$F$452,計算用!$M$48),INDEX(振り分け!$B$7:$B$456,計算用!$M$48)))</f>
        <v/>
      </c>
      <c r="C50" s="59">
        <f>IF(計算用!$M$48="","",IF(計算用!$B$1=1,INDEX(計算用!$G$3:$G$452,計算用!$M$48),INDEX(振り分け!$C$7:$C$456,計算用!$M$48)))</f>
        <v/>
      </c>
      <c r="D50" s="70">
        <f>IF(計算用!$M$48="","",IF(計算用!$B$1=1,INDEX(計算用!$H$3:$H$452,計算用!$M$48),INDEX(振り分け!$D$7:$D$456,計算用!$M$48)))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IF(計算用!$M$49="","",47)</f>
        <v/>
      </c>
      <c r="B51" s="59">
        <f>IF(計算用!$M$49="","",IF(計算用!$B$1=1,INDEX(計算用!$F$3:$F$452,計算用!$M$49),INDEX(振り分け!$B$7:$B$456,計算用!$M$49)))</f>
        <v/>
      </c>
      <c r="C51" s="59">
        <f>IF(計算用!$M$49="","",IF(計算用!$B$1=1,INDEX(計算用!$G$3:$G$452,計算用!$M$49),INDEX(振り分け!$C$7:$C$456,計算用!$M$49)))</f>
        <v/>
      </c>
      <c r="D51" s="70">
        <f>IF(計算用!$M$49="","",IF(計算用!$B$1=1,INDEX(計算用!$H$3:$H$452,計算用!$M$49),INDEX(振り分け!$D$7:$D$456,計算用!$M$49)))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IF(計算用!$M$50="","",48)</f>
        <v/>
      </c>
      <c r="B52" s="59">
        <f>IF(計算用!$M$50="","",IF(計算用!$B$1=1,INDEX(計算用!$F$3:$F$452,計算用!$M$50),INDEX(振り分け!$B$7:$B$456,計算用!$M$50)))</f>
        <v/>
      </c>
      <c r="C52" s="59">
        <f>IF(計算用!$M$50="","",IF(計算用!$B$1=1,INDEX(計算用!$G$3:$G$452,計算用!$M$50),INDEX(振り分け!$C$7:$C$456,計算用!$M$50)))</f>
        <v/>
      </c>
      <c r="D52" s="70">
        <f>IF(計算用!$M$50="","",IF(計算用!$B$1=1,INDEX(計算用!$H$3:$H$452,計算用!$M$50),INDEX(振り分け!$D$7:$D$456,計算用!$M$50)))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IF(計算用!$M$51="","",49)</f>
        <v/>
      </c>
      <c r="B53" s="59">
        <f>IF(計算用!$M$51="","",IF(計算用!$B$1=1,INDEX(計算用!$F$3:$F$452,計算用!$M$51),INDEX(振り分け!$B$7:$B$456,計算用!$M$51)))</f>
        <v/>
      </c>
      <c r="C53" s="59">
        <f>IF(計算用!$M$51="","",IF(計算用!$B$1=1,INDEX(計算用!$G$3:$G$452,計算用!$M$51),INDEX(振り分け!$C$7:$C$456,計算用!$M$51)))</f>
        <v/>
      </c>
      <c r="D53" s="70">
        <f>IF(計算用!$M$51="","",IF(計算用!$B$1=1,INDEX(計算用!$H$3:$H$452,計算用!$M$51),INDEX(振り分け!$D$7:$D$456,計算用!$M$51)))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IF(計算用!$M$52="","",50)</f>
        <v/>
      </c>
      <c r="B54" s="59">
        <f>IF(計算用!$M$52="","",IF(計算用!$B$1=1,INDEX(計算用!$F$3:$F$452,計算用!$M$52),INDEX(振り分け!$B$7:$B$456,計算用!$M$52)))</f>
        <v/>
      </c>
      <c r="C54" s="59">
        <f>IF(計算用!$M$52="","",IF(計算用!$B$1=1,INDEX(計算用!$G$3:$G$452,計算用!$M$52),INDEX(振り分け!$C$7:$C$456,計算用!$M$52)))</f>
        <v/>
      </c>
      <c r="D54" s="70">
        <f>IF(計算用!$M$52="","",IF(計算用!$B$1=1,INDEX(計算用!$H$3:$H$452,計算用!$M$52),INDEX(振り分け!$D$7:$D$456,計算用!$M$52)))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IF(設定!$P$12="","",設定!$B$3&amp;"　"&amp;設定!$P$12&amp;設定!$B$4&amp;"名簿"&amp;IF(計算用!$B$1=0,"（仮・前年度の組）",""))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IF(設定!$P$12="","","担当："&amp;設定!$S$12&amp;"　　活動場所："&amp;設定!$T$12&amp;"　　人数："&amp;定員チェック!$I$11&amp;"名（"&amp;設定!$B$8&amp;"年"&amp;定員チェック!$J$11&amp;"・"&amp;設定!$B$9&amp;"年"&amp;定員チェック!$K$11&amp;"・"&amp;設定!$B$10&amp;"年"&amp;定員チェック!$L$11&amp;"）")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IF(計算用!$N$3="","",1)</f>
        <v/>
      </c>
      <c r="B5" s="59">
        <f>IF(計算用!$N$3="","",IF(計算用!$B$1=1,INDEX(計算用!$F$3:$F$452,計算用!$N$3),INDEX(振り分け!$B$7:$B$456,計算用!$N$3)))</f>
        <v/>
      </c>
      <c r="C5" s="59">
        <f>IF(計算用!$N$3="","",IF(計算用!$B$1=1,INDEX(計算用!$G$3:$G$452,計算用!$N$3),INDEX(振り分け!$C$7:$C$456,計算用!$N$3)))</f>
        <v/>
      </c>
      <c r="D5" s="70">
        <f>IF(計算用!$N$3="","",IF(計算用!$B$1=1,INDEX(計算用!$H$3:$H$452,計算用!$N$3),INDEX(振り分け!$D$7:$D$456,計算用!$N$3)))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IF(計算用!$N$4="","",2)</f>
        <v/>
      </c>
      <c r="B6" s="59">
        <f>IF(計算用!$N$4="","",IF(計算用!$B$1=1,INDEX(計算用!$F$3:$F$452,計算用!$N$4),INDEX(振り分け!$B$7:$B$456,計算用!$N$4)))</f>
        <v/>
      </c>
      <c r="C6" s="59">
        <f>IF(計算用!$N$4="","",IF(計算用!$B$1=1,INDEX(計算用!$G$3:$G$452,計算用!$N$4),INDEX(振り分け!$C$7:$C$456,計算用!$N$4)))</f>
        <v/>
      </c>
      <c r="D6" s="70">
        <f>IF(計算用!$N$4="","",IF(計算用!$B$1=1,INDEX(計算用!$H$3:$H$452,計算用!$N$4),INDEX(振り分け!$D$7:$D$456,計算用!$N$4)))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IF(計算用!$N$5="","",3)</f>
        <v/>
      </c>
      <c r="B7" s="59">
        <f>IF(計算用!$N$5="","",IF(計算用!$B$1=1,INDEX(計算用!$F$3:$F$452,計算用!$N$5),INDEX(振り分け!$B$7:$B$456,計算用!$N$5)))</f>
        <v/>
      </c>
      <c r="C7" s="59">
        <f>IF(計算用!$N$5="","",IF(計算用!$B$1=1,INDEX(計算用!$G$3:$G$452,計算用!$N$5),INDEX(振り分け!$C$7:$C$456,計算用!$N$5)))</f>
        <v/>
      </c>
      <c r="D7" s="70">
        <f>IF(計算用!$N$5="","",IF(計算用!$B$1=1,INDEX(計算用!$H$3:$H$452,計算用!$N$5),INDEX(振り分け!$D$7:$D$456,計算用!$N$5)))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IF(計算用!$N$6="","",4)</f>
        <v/>
      </c>
      <c r="B8" s="59">
        <f>IF(計算用!$N$6="","",IF(計算用!$B$1=1,INDEX(計算用!$F$3:$F$452,計算用!$N$6),INDEX(振り分け!$B$7:$B$456,計算用!$N$6)))</f>
        <v/>
      </c>
      <c r="C8" s="59">
        <f>IF(計算用!$N$6="","",IF(計算用!$B$1=1,INDEX(計算用!$G$3:$G$452,計算用!$N$6),INDEX(振り分け!$C$7:$C$456,計算用!$N$6)))</f>
        <v/>
      </c>
      <c r="D8" s="70">
        <f>IF(計算用!$N$6="","",IF(計算用!$B$1=1,INDEX(計算用!$H$3:$H$452,計算用!$N$6),INDEX(振り分け!$D$7:$D$456,計算用!$N$6)))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IF(計算用!$N$7="","",5)</f>
        <v/>
      </c>
      <c r="B9" s="59">
        <f>IF(計算用!$N$7="","",IF(計算用!$B$1=1,INDEX(計算用!$F$3:$F$452,計算用!$N$7),INDEX(振り分け!$B$7:$B$456,計算用!$N$7)))</f>
        <v/>
      </c>
      <c r="C9" s="59">
        <f>IF(計算用!$N$7="","",IF(計算用!$B$1=1,INDEX(計算用!$G$3:$G$452,計算用!$N$7),INDEX(振り分け!$C$7:$C$456,計算用!$N$7)))</f>
        <v/>
      </c>
      <c r="D9" s="70">
        <f>IF(計算用!$N$7="","",IF(計算用!$B$1=1,INDEX(計算用!$H$3:$H$452,計算用!$N$7),INDEX(振り分け!$D$7:$D$456,計算用!$N$7)))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IF(計算用!$N$8="","",6)</f>
        <v/>
      </c>
      <c r="B10" s="59">
        <f>IF(計算用!$N$8="","",IF(計算用!$B$1=1,INDEX(計算用!$F$3:$F$452,計算用!$N$8),INDEX(振り分け!$B$7:$B$456,計算用!$N$8)))</f>
        <v/>
      </c>
      <c r="C10" s="59">
        <f>IF(計算用!$N$8="","",IF(計算用!$B$1=1,INDEX(計算用!$G$3:$G$452,計算用!$N$8),INDEX(振り分け!$C$7:$C$456,計算用!$N$8)))</f>
        <v/>
      </c>
      <c r="D10" s="70">
        <f>IF(計算用!$N$8="","",IF(計算用!$B$1=1,INDEX(計算用!$H$3:$H$452,計算用!$N$8),INDEX(振り分け!$D$7:$D$456,計算用!$N$8)))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IF(計算用!$N$9="","",7)</f>
        <v/>
      </c>
      <c r="B11" s="59">
        <f>IF(計算用!$N$9="","",IF(計算用!$B$1=1,INDEX(計算用!$F$3:$F$452,計算用!$N$9),INDEX(振り分け!$B$7:$B$456,計算用!$N$9)))</f>
        <v/>
      </c>
      <c r="C11" s="59">
        <f>IF(計算用!$N$9="","",IF(計算用!$B$1=1,INDEX(計算用!$G$3:$G$452,計算用!$N$9),INDEX(振り分け!$C$7:$C$456,計算用!$N$9)))</f>
        <v/>
      </c>
      <c r="D11" s="70">
        <f>IF(計算用!$N$9="","",IF(計算用!$B$1=1,INDEX(計算用!$H$3:$H$452,計算用!$N$9),INDEX(振り分け!$D$7:$D$456,計算用!$N$9)))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IF(計算用!$N$10="","",8)</f>
        <v/>
      </c>
      <c r="B12" s="59">
        <f>IF(計算用!$N$10="","",IF(計算用!$B$1=1,INDEX(計算用!$F$3:$F$452,計算用!$N$10),INDEX(振り分け!$B$7:$B$456,計算用!$N$10)))</f>
        <v/>
      </c>
      <c r="C12" s="59">
        <f>IF(計算用!$N$10="","",IF(計算用!$B$1=1,INDEX(計算用!$G$3:$G$452,計算用!$N$10),INDEX(振り分け!$C$7:$C$456,計算用!$N$10)))</f>
        <v/>
      </c>
      <c r="D12" s="70">
        <f>IF(計算用!$N$10="","",IF(計算用!$B$1=1,INDEX(計算用!$H$3:$H$452,計算用!$N$10),INDEX(振り分け!$D$7:$D$456,計算用!$N$10)))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IF(計算用!$N$11="","",9)</f>
        <v/>
      </c>
      <c r="B13" s="59">
        <f>IF(計算用!$N$11="","",IF(計算用!$B$1=1,INDEX(計算用!$F$3:$F$452,計算用!$N$11),INDEX(振り分け!$B$7:$B$456,計算用!$N$11)))</f>
        <v/>
      </c>
      <c r="C13" s="59">
        <f>IF(計算用!$N$11="","",IF(計算用!$B$1=1,INDEX(計算用!$G$3:$G$452,計算用!$N$11),INDEX(振り分け!$C$7:$C$456,計算用!$N$11)))</f>
        <v/>
      </c>
      <c r="D13" s="70">
        <f>IF(計算用!$N$11="","",IF(計算用!$B$1=1,INDEX(計算用!$H$3:$H$452,計算用!$N$11),INDEX(振り分け!$D$7:$D$456,計算用!$N$11)))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IF(計算用!$N$12="","",10)</f>
        <v/>
      </c>
      <c r="B14" s="59">
        <f>IF(計算用!$N$12="","",IF(計算用!$B$1=1,INDEX(計算用!$F$3:$F$452,計算用!$N$12),INDEX(振り分け!$B$7:$B$456,計算用!$N$12)))</f>
        <v/>
      </c>
      <c r="C14" s="59">
        <f>IF(計算用!$N$12="","",IF(計算用!$B$1=1,INDEX(計算用!$G$3:$G$452,計算用!$N$12),INDEX(振り分け!$C$7:$C$456,計算用!$N$12)))</f>
        <v/>
      </c>
      <c r="D14" s="70">
        <f>IF(計算用!$N$12="","",IF(計算用!$B$1=1,INDEX(計算用!$H$3:$H$452,計算用!$N$12),INDEX(振り分け!$D$7:$D$456,計算用!$N$12)))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IF(計算用!$N$13="","",11)</f>
        <v/>
      </c>
      <c r="B15" s="59">
        <f>IF(計算用!$N$13="","",IF(計算用!$B$1=1,INDEX(計算用!$F$3:$F$452,計算用!$N$13),INDEX(振り分け!$B$7:$B$456,計算用!$N$13)))</f>
        <v/>
      </c>
      <c r="C15" s="59">
        <f>IF(計算用!$N$13="","",IF(計算用!$B$1=1,INDEX(計算用!$G$3:$G$452,計算用!$N$13),INDEX(振り分け!$C$7:$C$456,計算用!$N$13)))</f>
        <v/>
      </c>
      <c r="D15" s="70">
        <f>IF(計算用!$N$13="","",IF(計算用!$B$1=1,INDEX(計算用!$H$3:$H$452,計算用!$N$13),INDEX(振り分け!$D$7:$D$456,計算用!$N$13)))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IF(計算用!$N$14="","",12)</f>
        <v/>
      </c>
      <c r="B16" s="59">
        <f>IF(計算用!$N$14="","",IF(計算用!$B$1=1,INDEX(計算用!$F$3:$F$452,計算用!$N$14),INDEX(振り分け!$B$7:$B$456,計算用!$N$14)))</f>
        <v/>
      </c>
      <c r="C16" s="59">
        <f>IF(計算用!$N$14="","",IF(計算用!$B$1=1,INDEX(計算用!$G$3:$G$452,計算用!$N$14),INDEX(振り分け!$C$7:$C$456,計算用!$N$14)))</f>
        <v/>
      </c>
      <c r="D16" s="70">
        <f>IF(計算用!$N$14="","",IF(計算用!$B$1=1,INDEX(計算用!$H$3:$H$452,計算用!$N$14),INDEX(振り分け!$D$7:$D$456,計算用!$N$14)))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IF(計算用!$N$15="","",13)</f>
        <v/>
      </c>
      <c r="B17" s="59">
        <f>IF(計算用!$N$15="","",IF(計算用!$B$1=1,INDEX(計算用!$F$3:$F$452,計算用!$N$15),INDEX(振り分け!$B$7:$B$456,計算用!$N$15)))</f>
        <v/>
      </c>
      <c r="C17" s="59">
        <f>IF(計算用!$N$15="","",IF(計算用!$B$1=1,INDEX(計算用!$G$3:$G$452,計算用!$N$15),INDEX(振り分け!$C$7:$C$456,計算用!$N$15)))</f>
        <v/>
      </c>
      <c r="D17" s="70">
        <f>IF(計算用!$N$15="","",IF(計算用!$B$1=1,INDEX(計算用!$H$3:$H$452,計算用!$N$15),INDEX(振り分け!$D$7:$D$456,計算用!$N$15)))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IF(計算用!$N$16="","",14)</f>
        <v/>
      </c>
      <c r="B18" s="59">
        <f>IF(計算用!$N$16="","",IF(計算用!$B$1=1,INDEX(計算用!$F$3:$F$452,計算用!$N$16),INDEX(振り分け!$B$7:$B$456,計算用!$N$16)))</f>
        <v/>
      </c>
      <c r="C18" s="59">
        <f>IF(計算用!$N$16="","",IF(計算用!$B$1=1,INDEX(計算用!$G$3:$G$452,計算用!$N$16),INDEX(振り分け!$C$7:$C$456,計算用!$N$16)))</f>
        <v/>
      </c>
      <c r="D18" s="70">
        <f>IF(計算用!$N$16="","",IF(計算用!$B$1=1,INDEX(計算用!$H$3:$H$452,計算用!$N$16),INDEX(振り分け!$D$7:$D$456,計算用!$N$16)))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IF(計算用!$N$17="","",15)</f>
        <v/>
      </c>
      <c r="B19" s="59">
        <f>IF(計算用!$N$17="","",IF(計算用!$B$1=1,INDEX(計算用!$F$3:$F$452,計算用!$N$17),INDEX(振り分け!$B$7:$B$456,計算用!$N$17)))</f>
        <v/>
      </c>
      <c r="C19" s="59">
        <f>IF(計算用!$N$17="","",IF(計算用!$B$1=1,INDEX(計算用!$G$3:$G$452,計算用!$N$17),INDEX(振り分け!$C$7:$C$456,計算用!$N$17)))</f>
        <v/>
      </c>
      <c r="D19" s="70">
        <f>IF(計算用!$N$17="","",IF(計算用!$B$1=1,INDEX(計算用!$H$3:$H$452,計算用!$N$17),INDEX(振り分け!$D$7:$D$456,計算用!$N$17)))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IF(計算用!$N$18="","",16)</f>
        <v/>
      </c>
      <c r="B20" s="59">
        <f>IF(計算用!$N$18="","",IF(計算用!$B$1=1,INDEX(計算用!$F$3:$F$452,計算用!$N$18),INDEX(振り分け!$B$7:$B$456,計算用!$N$18)))</f>
        <v/>
      </c>
      <c r="C20" s="59">
        <f>IF(計算用!$N$18="","",IF(計算用!$B$1=1,INDEX(計算用!$G$3:$G$452,計算用!$N$18),INDEX(振り分け!$C$7:$C$456,計算用!$N$18)))</f>
        <v/>
      </c>
      <c r="D20" s="70">
        <f>IF(計算用!$N$18="","",IF(計算用!$B$1=1,INDEX(計算用!$H$3:$H$452,計算用!$N$18),INDEX(振り分け!$D$7:$D$456,計算用!$N$18)))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IF(計算用!$N$19="","",17)</f>
        <v/>
      </c>
      <c r="B21" s="59">
        <f>IF(計算用!$N$19="","",IF(計算用!$B$1=1,INDEX(計算用!$F$3:$F$452,計算用!$N$19),INDEX(振り分け!$B$7:$B$456,計算用!$N$19)))</f>
        <v/>
      </c>
      <c r="C21" s="59">
        <f>IF(計算用!$N$19="","",IF(計算用!$B$1=1,INDEX(計算用!$G$3:$G$452,計算用!$N$19),INDEX(振り分け!$C$7:$C$456,計算用!$N$19)))</f>
        <v/>
      </c>
      <c r="D21" s="70">
        <f>IF(計算用!$N$19="","",IF(計算用!$B$1=1,INDEX(計算用!$H$3:$H$452,計算用!$N$19),INDEX(振り分け!$D$7:$D$456,計算用!$N$19)))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IF(計算用!$N$20="","",18)</f>
        <v/>
      </c>
      <c r="B22" s="59">
        <f>IF(計算用!$N$20="","",IF(計算用!$B$1=1,INDEX(計算用!$F$3:$F$452,計算用!$N$20),INDEX(振り分け!$B$7:$B$456,計算用!$N$20)))</f>
        <v/>
      </c>
      <c r="C22" s="59">
        <f>IF(計算用!$N$20="","",IF(計算用!$B$1=1,INDEX(計算用!$G$3:$G$452,計算用!$N$20),INDEX(振り分け!$C$7:$C$456,計算用!$N$20)))</f>
        <v/>
      </c>
      <c r="D22" s="70">
        <f>IF(計算用!$N$20="","",IF(計算用!$B$1=1,INDEX(計算用!$H$3:$H$452,計算用!$N$20),INDEX(振り分け!$D$7:$D$456,計算用!$N$20)))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IF(計算用!$N$21="","",19)</f>
        <v/>
      </c>
      <c r="B23" s="59">
        <f>IF(計算用!$N$21="","",IF(計算用!$B$1=1,INDEX(計算用!$F$3:$F$452,計算用!$N$21),INDEX(振り分け!$B$7:$B$456,計算用!$N$21)))</f>
        <v/>
      </c>
      <c r="C23" s="59">
        <f>IF(計算用!$N$21="","",IF(計算用!$B$1=1,INDEX(計算用!$G$3:$G$452,計算用!$N$21),INDEX(振り分け!$C$7:$C$456,計算用!$N$21)))</f>
        <v/>
      </c>
      <c r="D23" s="70">
        <f>IF(計算用!$N$21="","",IF(計算用!$B$1=1,INDEX(計算用!$H$3:$H$452,計算用!$N$21),INDEX(振り分け!$D$7:$D$456,計算用!$N$21)))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IF(計算用!$N$22="","",20)</f>
        <v/>
      </c>
      <c r="B24" s="59">
        <f>IF(計算用!$N$22="","",IF(計算用!$B$1=1,INDEX(計算用!$F$3:$F$452,計算用!$N$22),INDEX(振り分け!$B$7:$B$456,計算用!$N$22)))</f>
        <v/>
      </c>
      <c r="C24" s="59">
        <f>IF(計算用!$N$22="","",IF(計算用!$B$1=1,INDEX(計算用!$G$3:$G$452,計算用!$N$22),INDEX(振り分け!$C$7:$C$456,計算用!$N$22)))</f>
        <v/>
      </c>
      <c r="D24" s="70">
        <f>IF(計算用!$N$22="","",IF(計算用!$B$1=1,INDEX(計算用!$H$3:$H$452,計算用!$N$22),INDEX(振り分け!$D$7:$D$456,計算用!$N$22)))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IF(計算用!$N$23="","",21)</f>
        <v/>
      </c>
      <c r="B25" s="59">
        <f>IF(計算用!$N$23="","",IF(計算用!$B$1=1,INDEX(計算用!$F$3:$F$452,計算用!$N$23),INDEX(振り分け!$B$7:$B$456,計算用!$N$23)))</f>
        <v/>
      </c>
      <c r="C25" s="59">
        <f>IF(計算用!$N$23="","",IF(計算用!$B$1=1,INDEX(計算用!$G$3:$G$452,計算用!$N$23),INDEX(振り分け!$C$7:$C$456,計算用!$N$23)))</f>
        <v/>
      </c>
      <c r="D25" s="70">
        <f>IF(計算用!$N$23="","",IF(計算用!$B$1=1,INDEX(計算用!$H$3:$H$452,計算用!$N$23),INDEX(振り分け!$D$7:$D$456,計算用!$N$23)))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IF(計算用!$N$24="","",22)</f>
        <v/>
      </c>
      <c r="B26" s="59">
        <f>IF(計算用!$N$24="","",IF(計算用!$B$1=1,INDEX(計算用!$F$3:$F$452,計算用!$N$24),INDEX(振り分け!$B$7:$B$456,計算用!$N$24)))</f>
        <v/>
      </c>
      <c r="C26" s="59">
        <f>IF(計算用!$N$24="","",IF(計算用!$B$1=1,INDEX(計算用!$G$3:$G$452,計算用!$N$24),INDEX(振り分け!$C$7:$C$456,計算用!$N$24)))</f>
        <v/>
      </c>
      <c r="D26" s="70">
        <f>IF(計算用!$N$24="","",IF(計算用!$B$1=1,INDEX(計算用!$H$3:$H$452,計算用!$N$24),INDEX(振り分け!$D$7:$D$456,計算用!$N$24)))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IF(計算用!$N$25="","",23)</f>
        <v/>
      </c>
      <c r="B27" s="59">
        <f>IF(計算用!$N$25="","",IF(計算用!$B$1=1,INDEX(計算用!$F$3:$F$452,計算用!$N$25),INDEX(振り分け!$B$7:$B$456,計算用!$N$25)))</f>
        <v/>
      </c>
      <c r="C27" s="59">
        <f>IF(計算用!$N$25="","",IF(計算用!$B$1=1,INDEX(計算用!$G$3:$G$452,計算用!$N$25),INDEX(振り分け!$C$7:$C$456,計算用!$N$25)))</f>
        <v/>
      </c>
      <c r="D27" s="70">
        <f>IF(計算用!$N$25="","",IF(計算用!$B$1=1,INDEX(計算用!$H$3:$H$452,計算用!$N$25),INDEX(振り分け!$D$7:$D$456,計算用!$N$25)))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IF(計算用!$N$26="","",24)</f>
        <v/>
      </c>
      <c r="B28" s="59">
        <f>IF(計算用!$N$26="","",IF(計算用!$B$1=1,INDEX(計算用!$F$3:$F$452,計算用!$N$26),INDEX(振り分け!$B$7:$B$456,計算用!$N$26)))</f>
        <v/>
      </c>
      <c r="C28" s="59">
        <f>IF(計算用!$N$26="","",IF(計算用!$B$1=1,INDEX(計算用!$G$3:$G$452,計算用!$N$26),INDEX(振り分け!$C$7:$C$456,計算用!$N$26)))</f>
        <v/>
      </c>
      <c r="D28" s="70">
        <f>IF(計算用!$N$26="","",IF(計算用!$B$1=1,INDEX(計算用!$H$3:$H$452,計算用!$N$26),INDEX(振り分け!$D$7:$D$456,計算用!$N$26)))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IF(計算用!$N$27="","",25)</f>
        <v/>
      </c>
      <c r="B29" s="59">
        <f>IF(計算用!$N$27="","",IF(計算用!$B$1=1,INDEX(計算用!$F$3:$F$452,計算用!$N$27),INDEX(振り分け!$B$7:$B$456,計算用!$N$27)))</f>
        <v/>
      </c>
      <c r="C29" s="59">
        <f>IF(計算用!$N$27="","",IF(計算用!$B$1=1,INDEX(計算用!$G$3:$G$452,計算用!$N$27),INDEX(振り分け!$C$7:$C$456,計算用!$N$27)))</f>
        <v/>
      </c>
      <c r="D29" s="70">
        <f>IF(計算用!$N$27="","",IF(計算用!$B$1=1,INDEX(計算用!$H$3:$H$452,計算用!$N$27),INDEX(振り分け!$D$7:$D$456,計算用!$N$27)))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IF(計算用!$N$28="","",26)</f>
        <v/>
      </c>
      <c r="B30" s="59">
        <f>IF(計算用!$N$28="","",IF(計算用!$B$1=1,INDEX(計算用!$F$3:$F$452,計算用!$N$28),INDEX(振り分け!$B$7:$B$456,計算用!$N$28)))</f>
        <v/>
      </c>
      <c r="C30" s="59">
        <f>IF(計算用!$N$28="","",IF(計算用!$B$1=1,INDEX(計算用!$G$3:$G$452,計算用!$N$28),INDEX(振り分け!$C$7:$C$456,計算用!$N$28)))</f>
        <v/>
      </c>
      <c r="D30" s="70">
        <f>IF(計算用!$N$28="","",IF(計算用!$B$1=1,INDEX(計算用!$H$3:$H$452,計算用!$N$28),INDEX(振り分け!$D$7:$D$456,計算用!$N$28)))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IF(計算用!$N$29="","",27)</f>
        <v/>
      </c>
      <c r="B31" s="59">
        <f>IF(計算用!$N$29="","",IF(計算用!$B$1=1,INDEX(計算用!$F$3:$F$452,計算用!$N$29),INDEX(振り分け!$B$7:$B$456,計算用!$N$29)))</f>
        <v/>
      </c>
      <c r="C31" s="59">
        <f>IF(計算用!$N$29="","",IF(計算用!$B$1=1,INDEX(計算用!$G$3:$G$452,計算用!$N$29),INDEX(振り分け!$C$7:$C$456,計算用!$N$29)))</f>
        <v/>
      </c>
      <c r="D31" s="70">
        <f>IF(計算用!$N$29="","",IF(計算用!$B$1=1,INDEX(計算用!$H$3:$H$452,計算用!$N$29),INDEX(振り分け!$D$7:$D$456,計算用!$N$29)))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IF(計算用!$N$30="","",28)</f>
        <v/>
      </c>
      <c r="B32" s="59">
        <f>IF(計算用!$N$30="","",IF(計算用!$B$1=1,INDEX(計算用!$F$3:$F$452,計算用!$N$30),INDEX(振り分け!$B$7:$B$456,計算用!$N$30)))</f>
        <v/>
      </c>
      <c r="C32" s="59">
        <f>IF(計算用!$N$30="","",IF(計算用!$B$1=1,INDEX(計算用!$G$3:$G$452,計算用!$N$30),INDEX(振り分け!$C$7:$C$456,計算用!$N$30)))</f>
        <v/>
      </c>
      <c r="D32" s="70">
        <f>IF(計算用!$N$30="","",IF(計算用!$B$1=1,INDEX(計算用!$H$3:$H$452,計算用!$N$30),INDEX(振り分け!$D$7:$D$456,計算用!$N$30)))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IF(計算用!$N$31="","",29)</f>
        <v/>
      </c>
      <c r="B33" s="59">
        <f>IF(計算用!$N$31="","",IF(計算用!$B$1=1,INDEX(計算用!$F$3:$F$452,計算用!$N$31),INDEX(振り分け!$B$7:$B$456,計算用!$N$31)))</f>
        <v/>
      </c>
      <c r="C33" s="59">
        <f>IF(計算用!$N$31="","",IF(計算用!$B$1=1,INDEX(計算用!$G$3:$G$452,計算用!$N$31),INDEX(振り分け!$C$7:$C$456,計算用!$N$31)))</f>
        <v/>
      </c>
      <c r="D33" s="70">
        <f>IF(計算用!$N$31="","",IF(計算用!$B$1=1,INDEX(計算用!$H$3:$H$452,計算用!$N$31),INDEX(振り分け!$D$7:$D$456,計算用!$N$31)))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IF(計算用!$N$32="","",30)</f>
        <v/>
      </c>
      <c r="B34" s="59">
        <f>IF(計算用!$N$32="","",IF(計算用!$B$1=1,INDEX(計算用!$F$3:$F$452,計算用!$N$32),INDEX(振り分け!$B$7:$B$456,計算用!$N$32)))</f>
        <v/>
      </c>
      <c r="C34" s="59">
        <f>IF(計算用!$N$32="","",IF(計算用!$B$1=1,INDEX(計算用!$G$3:$G$452,計算用!$N$32),INDEX(振り分け!$C$7:$C$456,計算用!$N$32)))</f>
        <v/>
      </c>
      <c r="D34" s="70">
        <f>IF(計算用!$N$32="","",IF(計算用!$B$1=1,INDEX(計算用!$H$3:$H$452,計算用!$N$32),INDEX(振り分け!$D$7:$D$456,計算用!$N$32)))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IF(計算用!$N$33="","",31)</f>
        <v/>
      </c>
      <c r="B35" s="59">
        <f>IF(計算用!$N$33="","",IF(計算用!$B$1=1,INDEX(計算用!$F$3:$F$452,計算用!$N$33),INDEX(振り分け!$B$7:$B$456,計算用!$N$33)))</f>
        <v/>
      </c>
      <c r="C35" s="59">
        <f>IF(計算用!$N$33="","",IF(計算用!$B$1=1,INDEX(計算用!$G$3:$G$452,計算用!$N$33),INDEX(振り分け!$C$7:$C$456,計算用!$N$33)))</f>
        <v/>
      </c>
      <c r="D35" s="70">
        <f>IF(計算用!$N$33="","",IF(計算用!$B$1=1,INDEX(計算用!$H$3:$H$452,計算用!$N$33),INDEX(振り分け!$D$7:$D$456,計算用!$N$33)))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IF(計算用!$N$34="","",32)</f>
        <v/>
      </c>
      <c r="B36" s="59">
        <f>IF(計算用!$N$34="","",IF(計算用!$B$1=1,INDEX(計算用!$F$3:$F$452,計算用!$N$34),INDEX(振り分け!$B$7:$B$456,計算用!$N$34)))</f>
        <v/>
      </c>
      <c r="C36" s="59">
        <f>IF(計算用!$N$34="","",IF(計算用!$B$1=1,INDEX(計算用!$G$3:$G$452,計算用!$N$34),INDEX(振り分け!$C$7:$C$456,計算用!$N$34)))</f>
        <v/>
      </c>
      <c r="D36" s="70">
        <f>IF(計算用!$N$34="","",IF(計算用!$B$1=1,INDEX(計算用!$H$3:$H$452,計算用!$N$34),INDEX(振り分け!$D$7:$D$456,計算用!$N$34)))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IF(計算用!$N$35="","",33)</f>
        <v/>
      </c>
      <c r="B37" s="59">
        <f>IF(計算用!$N$35="","",IF(計算用!$B$1=1,INDEX(計算用!$F$3:$F$452,計算用!$N$35),INDEX(振り分け!$B$7:$B$456,計算用!$N$35)))</f>
        <v/>
      </c>
      <c r="C37" s="59">
        <f>IF(計算用!$N$35="","",IF(計算用!$B$1=1,INDEX(計算用!$G$3:$G$452,計算用!$N$35),INDEX(振り分け!$C$7:$C$456,計算用!$N$35)))</f>
        <v/>
      </c>
      <c r="D37" s="70">
        <f>IF(計算用!$N$35="","",IF(計算用!$B$1=1,INDEX(計算用!$H$3:$H$452,計算用!$N$35),INDEX(振り分け!$D$7:$D$456,計算用!$N$35)))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IF(計算用!$N$36="","",34)</f>
        <v/>
      </c>
      <c r="B38" s="59">
        <f>IF(計算用!$N$36="","",IF(計算用!$B$1=1,INDEX(計算用!$F$3:$F$452,計算用!$N$36),INDEX(振り分け!$B$7:$B$456,計算用!$N$36)))</f>
        <v/>
      </c>
      <c r="C38" s="59">
        <f>IF(計算用!$N$36="","",IF(計算用!$B$1=1,INDEX(計算用!$G$3:$G$452,計算用!$N$36),INDEX(振り分け!$C$7:$C$456,計算用!$N$36)))</f>
        <v/>
      </c>
      <c r="D38" s="70">
        <f>IF(計算用!$N$36="","",IF(計算用!$B$1=1,INDEX(計算用!$H$3:$H$452,計算用!$N$36),INDEX(振り分け!$D$7:$D$456,計算用!$N$36)))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IF(計算用!$N$37="","",35)</f>
        <v/>
      </c>
      <c r="B39" s="59">
        <f>IF(計算用!$N$37="","",IF(計算用!$B$1=1,INDEX(計算用!$F$3:$F$452,計算用!$N$37),INDEX(振り分け!$B$7:$B$456,計算用!$N$37)))</f>
        <v/>
      </c>
      <c r="C39" s="59">
        <f>IF(計算用!$N$37="","",IF(計算用!$B$1=1,INDEX(計算用!$G$3:$G$452,計算用!$N$37),INDEX(振り分け!$C$7:$C$456,計算用!$N$37)))</f>
        <v/>
      </c>
      <c r="D39" s="70">
        <f>IF(計算用!$N$37="","",IF(計算用!$B$1=1,INDEX(計算用!$H$3:$H$452,計算用!$N$37),INDEX(振り分け!$D$7:$D$456,計算用!$N$37)))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IF(計算用!$N$38="","",36)</f>
        <v/>
      </c>
      <c r="B40" s="59">
        <f>IF(計算用!$N$38="","",IF(計算用!$B$1=1,INDEX(計算用!$F$3:$F$452,計算用!$N$38),INDEX(振り分け!$B$7:$B$456,計算用!$N$38)))</f>
        <v/>
      </c>
      <c r="C40" s="59">
        <f>IF(計算用!$N$38="","",IF(計算用!$B$1=1,INDEX(計算用!$G$3:$G$452,計算用!$N$38),INDEX(振り分け!$C$7:$C$456,計算用!$N$38)))</f>
        <v/>
      </c>
      <c r="D40" s="70">
        <f>IF(計算用!$N$38="","",IF(計算用!$B$1=1,INDEX(計算用!$H$3:$H$452,計算用!$N$38),INDEX(振り分け!$D$7:$D$456,計算用!$N$38)))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IF(計算用!$N$39="","",37)</f>
        <v/>
      </c>
      <c r="B41" s="59">
        <f>IF(計算用!$N$39="","",IF(計算用!$B$1=1,INDEX(計算用!$F$3:$F$452,計算用!$N$39),INDEX(振り分け!$B$7:$B$456,計算用!$N$39)))</f>
        <v/>
      </c>
      <c r="C41" s="59">
        <f>IF(計算用!$N$39="","",IF(計算用!$B$1=1,INDEX(計算用!$G$3:$G$452,計算用!$N$39),INDEX(振り分け!$C$7:$C$456,計算用!$N$39)))</f>
        <v/>
      </c>
      <c r="D41" s="70">
        <f>IF(計算用!$N$39="","",IF(計算用!$B$1=1,INDEX(計算用!$H$3:$H$452,計算用!$N$39),INDEX(振り分け!$D$7:$D$456,計算用!$N$39)))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IF(計算用!$N$40="","",38)</f>
        <v/>
      </c>
      <c r="B42" s="59">
        <f>IF(計算用!$N$40="","",IF(計算用!$B$1=1,INDEX(計算用!$F$3:$F$452,計算用!$N$40),INDEX(振り分け!$B$7:$B$456,計算用!$N$40)))</f>
        <v/>
      </c>
      <c r="C42" s="59">
        <f>IF(計算用!$N$40="","",IF(計算用!$B$1=1,INDEX(計算用!$G$3:$G$452,計算用!$N$40),INDEX(振り分け!$C$7:$C$456,計算用!$N$40)))</f>
        <v/>
      </c>
      <c r="D42" s="70">
        <f>IF(計算用!$N$40="","",IF(計算用!$B$1=1,INDEX(計算用!$H$3:$H$452,計算用!$N$40),INDEX(振り分け!$D$7:$D$456,計算用!$N$40)))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IF(計算用!$N$41="","",39)</f>
        <v/>
      </c>
      <c r="B43" s="59">
        <f>IF(計算用!$N$41="","",IF(計算用!$B$1=1,INDEX(計算用!$F$3:$F$452,計算用!$N$41),INDEX(振り分け!$B$7:$B$456,計算用!$N$41)))</f>
        <v/>
      </c>
      <c r="C43" s="59">
        <f>IF(計算用!$N$41="","",IF(計算用!$B$1=1,INDEX(計算用!$G$3:$G$452,計算用!$N$41),INDEX(振り分け!$C$7:$C$456,計算用!$N$41)))</f>
        <v/>
      </c>
      <c r="D43" s="70">
        <f>IF(計算用!$N$41="","",IF(計算用!$B$1=1,INDEX(計算用!$H$3:$H$452,計算用!$N$41),INDEX(振り分け!$D$7:$D$456,計算用!$N$41)))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IF(計算用!$N$42="","",40)</f>
        <v/>
      </c>
      <c r="B44" s="59">
        <f>IF(計算用!$N$42="","",IF(計算用!$B$1=1,INDEX(計算用!$F$3:$F$452,計算用!$N$42),INDEX(振り分け!$B$7:$B$456,計算用!$N$42)))</f>
        <v/>
      </c>
      <c r="C44" s="59">
        <f>IF(計算用!$N$42="","",IF(計算用!$B$1=1,INDEX(計算用!$G$3:$G$452,計算用!$N$42),INDEX(振り分け!$C$7:$C$456,計算用!$N$42)))</f>
        <v/>
      </c>
      <c r="D44" s="70">
        <f>IF(計算用!$N$42="","",IF(計算用!$B$1=1,INDEX(計算用!$H$3:$H$452,計算用!$N$42),INDEX(振り分け!$D$7:$D$456,計算用!$N$42)))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IF(計算用!$N$43="","",41)</f>
        <v/>
      </c>
      <c r="B45" s="59">
        <f>IF(計算用!$N$43="","",IF(計算用!$B$1=1,INDEX(計算用!$F$3:$F$452,計算用!$N$43),INDEX(振り分け!$B$7:$B$456,計算用!$N$43)))</f>
        <v/>
      </c>
      <c r="C45" s="59">
        <f>IF(計算用!$N$43="","",IF(計算用!$B$1=1,INDEX(計算用!$G$3:$G$452,計算用!$N$43),INDEX(振り分け!$C$7:$C$456,計算用!$N$43)))</f>
        <v/>
      </c>
      <c r="D45" s="70">
        <f>IF(計算用!$N$43="","",IF(計算用!$B$1=1,INDEX(計算用!$H$3:$H$452,計算用!$N$43),INDEX(振り分け!$D$7:$D$456,計算用!$N$43)))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IF(計算用!$N$44="","",42)</f>
        <v/>
      </c>
      <c r="B46" s="59">
        <f>IF(計算用!$N$44="","",IF(計算用!$B$1=1,INDEX(計算用!$F$3:$F$452,計算用!$N$44),INDEX(振り分け!$B$7:$B$456,計算用!$N$44)))</f>
        <v/>
      </c>
      <c r="C46" s="59">
        <f>IF(計算用!$N$44="","",IF(計算用!$B$1=1,INDEX(計算用!$G$3:$G$452,計算用!$N$44),INDEX(振り分け!$C$7:$C$456,計算用!$N$44)))</f>
        <v/>
      </c>
      <c r="D46" s="70">
        <f>IF(計算用!$N$44="","",IF(計算用!$B$1=1,INDEX(計算用!$H$3:$H$452,計算用!$N$44),INDEX(振り分け!$D$7:$D$456,計算用!$N$44)))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IF(計算用!$N$45="","",43)</f>
        <v/>
      </c>
      <c r="B47" s="59">
        <f>IF(計算用!$N$45="","",IF(計算用!$B$1=1,INDEX(計算用!$F$3:$F$452,計算用!$N$45),INDEX(振り分け!$B$7:$B$456,計算用!$N$45)))</f>
        <v/>
      </c>
      <c r="C47" s="59">
        <f>IF(計算用!$N$45="","",IF(計算用!$B$1=1,INDEX(計算用!$G$3:$G$452,計算用!$N$45),INDEX(振り分け!$C$7:$C$456,計算用!$N$45)))</f>
        <v/>
      </c>
      <c r="D47" s="70">
        <f>IF(計算用!$N$45="","",IF(計算用!$B$1=1,INDEX(計算用!$H$3:$H$452,計算用!$N$45),INDEX(振り分け!$D$7:$D$456,計算用!$N$45)))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IF(計算用!$N$46="","",44)</f>
        <v/>
      </c>
      <c r="B48" s="59">
        <f>IF(計算用!$N$46="","",IF(計算用!$B$1=1,INDEX(計算用!$F$3:$F$452,計算用!$N$46),INDEX(振り分け!$B$7:$B$456,計算用!$N$46)))</f>
        <v/>
      </c>
      <c r="C48" s="59">
        <f>IF(計算用!$N$46="","",IF(計算用!$B$1=1,INDEX(計算用!$G$3:$G$452,計算用!$N$46),INDEX(振り分け!$C$7:$C$456,計算用!$N$46)))</f>
        <v/>
      </c>
      <c r="D48" s="70">
        <f>IF(計算用!$N$46="","",IF(計算用!$B$1=1,INDEX(計算用!$H$3:$H$452,計算用!$N$46),INDEX(振り分け!$D$7:$D$456,計算用!$N$46)))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IF(計算用!$N$47="","",45)</f>
        <v/>
      </c>
      <c r="B49" s="59">
        <f>IF(計算用!$N$47="","",IF(計算用!$B$1=1,INDEX(計算用!$F$3:$F$452,計算用!$N$47),INDEX(振り分け!$B$7:$B$456,計算用!$N$47)))</f>
        <v/>
      </c>
      <c r="C49" s="59">
        <f>IF(計算用!$N$47="","",IF(計算用!$B$1=1,INDEX(計算用!$G$3:$G$452,計算用!$N$47),INDEX(振り分け!$C$7:$C$456,計算用!$N$47)))</f>
        <v/>
      </c>
      <c r="D49" s="70">
        <f>IF(計算用!$N$47="","",IF(計算用!$B$1=1,INDEX(計算用!$H$3:$H$452,計算用!$N$47),INDEX(振り分け!$D$7:$D$456,計算用!$N$47)))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IF(計算用!$N$48="","",46)</f>
        <v/>
      </c>
      <c r="B50" s="59">
        <f>IF(計算用!$N$48="","",IF(計算用!$B$1=1,INDEX(計算用!$F$3:$F$452,計算用!$N$48),INDEX(振り分け!$B$7:$B$456,計算用!$N$48)))</f>
        <v/>
      </c>
      <c r="C50" s="59">
        <f>IF(計算用!$N$48="","",IF(計算用!$B$1=1,INDEX(計算用!$G$3:$G$452,計算用!$N$48),INDEX(振り分け!$C$7:$C$456,計算用!$N$48)))</f>
        <v/>
      </c>
      <c r="D50" s="70">
        <f>IF(計算用!$N$48="","",IF(計算用!$B$1=1,INDEX(計算用!$H$3:$H$452,計算用!$N$48),INDEX(振り分け!$D$7:$D$456,計算用!$N$48)))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IF(計算用!$N$49="","",47)</f>
        <v/>
      </c>
      <c r="B51" s="59">
        <f>IF(計算用!$N$49="","",IF(計算用!$B$1=1,INDEX(計算用!$F$3:$F$452,計算用!$N$49),INDEX(振り分け!$B$7:$B$456,計算用!$N$49)))</f>
        <v/>
      </c>
      <c r="C51" s="59">
        <f>IF(計算用!$N$49="","",IF(計算用!$B$1=1,INDEX(計算用!$G$3:$G$452,計算用!$N$49),INDEX(振り分け!$C$7:$C$456,計算用!$N$49)))</f>
        <v/>
      </c>
      <c r="D51" s="70">
        <f>IF(計算用!$N$49="","",IF(計算用!$B$1=1,INDEX(計算用!$H$3:$H$452,計算用!$N$49),INDEX(振り分け!$D$7:$D$456,計算用!$N$49)))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IF(計算用!$N$50="","",48)</f>
        <v/>
      </c>
      <c r="B52" s="59">
        <f>IF(計算用!$N$50="","",IF(計算用!$B$1=1,INDEX(計算用!$F$3:$F$452,計算用!$N$50),INDEX(振り分け!$B$7:$B$456,計算用!$N$50)))</f>
        <v/>
      </c>
      <c r="C52" s="59">
        <f>IF(計算用!$N$50="","",IF(計算用!$B$1=1,INDEX(計算用!$G$3:$G$452,計算用!$N$50),INDEX(振り分け!$C$7:$C$456,計算用!$N$50)))</f>
        <v/>
      </c>
      <c r="D52" s="70">
        <f>IF(計算用!$N$50="","",IF(計算用!$B$1=1,INDEX(計算用!$H$3:$H$452,計算用!$N$50),INDEX(振り分け!$D$7:$D$456,計算用!$N$50)))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IF(計算用!$N$51="","",49)</f>
        <v/>
      </c>
      <c r="B53" s="59">
        <f>IF(計算用!$N$51="","",IF(計算用!$B$1=1,INDEX(計算用!$F$3:$F$452,計算用!$N$51),INDEX(振り分け!$B$7:$B$456,計算用!$N$51)))</f>
        <v/>
      </c>
      <c r="C53" s="59">
        <f>IF(計算用!$N$51="","",IF(計算用!$B$1=1,INDEX(計算用!$G$3:$G$452,計算用!$N$51),INDEX(振り分け!$C$7:$C$456,計算用!$N$51)))</f>
        <v/>
      </c>
      <c r="D53" s="70">
        <f>IF(計算用!$N$51="","",IF(計算用!$B$1=1,INDEX(計算用!$H$3:$H$452,計算用!$N$51),INDEX(振り分け!$D$7:$D$456,計算用!$N$51)))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IF(計算用!$N$52="","",50)</f>
        <v/>
      </c>
      <c r="B54" s="59">
        <f>IF(計算用!$N$52="","",IF(計算用!$B$1=1,INDEX(計算用!$F$3:$F$452,計算用!$N$52),INDEX(振り分け!$B$7:$B$456,計算用!$N$52)))</f>
        <v/>
      </c>
      <c r="C54" s="59">
        <f>IF(計算用!$N$52="","",IF(計算用!$B$1=1,INDEX(計算用!$G$3:$G$452,計算用!$N$52),INDEX(振り分け!$C$7:$C$456,計算用!$N$52)))</f>
        <v/>
      </c>
      <c r="D54" s="70">
        <f>IF(計算用!$N$52="","",IF(計算用!$B$1=1,INDEX(計算用!$H$3:$H$452,計算用!$N$52),INDEX(振り分け!$D$7:$D$456,計算用!$N$52)))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IF(設定!$P$13="","",設定!$B$3&amp;"　"&amp;設定!$P$13&amp;設定!$B$4&amp;"名簿"&amp;IF(計算用!$B$1=0,"（仮・前年度の組）",""))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IF(設定!$P$13="","","担当："&amp;設定!$S$13&amp;"　　活動場所："&amp;設定!$T$13&amp;"　　人数："&amp;定員チェック!$I$12&amp;"名（"&amp;設定!$B$8&amp;"年"&amp;定員チェック!$J$12&amp;"・"&amp;設定!$B$9&amp;"年"&amp;定員チェック!$K$12&amp;"・"&amp;設定!$B$10&amp;"年"&amp;定員チェック!$L$12&amp;"）")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IF(計算用!$O$3="","",1)</f>
        <v/>
      </c>
      <c r="B5" s="59">
        <f>IF(計算用!$O$3="","",IF(計算用!$B$1=1,INDEX(計算用!$F$3:$F$452,計算用!$O$3),INDEX(振り分け!$B$7:$B$456,計算用!$O$3)))</f>
        <v/>
      </c>
      <c r="C5" s="59">
        <f>IF(計算用!$O$3="","",IF(計算用!$B$1=1,INDEX(計算用!$G$3:$G$452,計算用!$O$3),INDEX(振り分け!$C$7:$C$456,計算用!$O$3)))</f>
        <v/>
      </c>
      <c r="D5" s="70">
        <f>IF(計算用!$O$3="","",IF(計算用!$B$1=1,INDEX(計算用!$H$3:$H$452,計算用!$O$3),INDEX(振り分け!$D$7:$D$456,計算用!$O$3)))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IF(計算用!$O$4="","",2)</f>
        <v/>
      </c>
      <c r="B6" s="59">
        <f>IF(計算用!$O$4="","",IF(計算用!$B$1=1,INDEX(計算用!$F$3:$F$452,計算用!$O$4),INDEX(振り分け!$B$7:$B$456,計算用!$O$4)))</f>
        <v/>
      </c>
      <c r="C6" s="59">
        <f>IF(計算用!$O$4="","",IF(計算用!$B$1=1,INDEX(計算用!$G$3:$G$452,計算用!$O$4),INDEX(振り分け!$C$7:$C$456,計算用!$O$4)))</f>
        <v/>
      </c>
      <c r="D6" s="70">
        <f>IF(計算用!$O$4="","",IF(計算用!$B$1=1,INDEX(計算用!$H$3:$H$452,計算用!$O$4),INDEX(振り分け!$D$7:$D$456,計算用!$O$4)))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IF(計算用!$O$5="","",3)</f>
        <v/>
      </c>
      <c r="B7" s="59">
        <f>IF(計算用!$O$5="","",IF(計算用!$B$1=1,INDEX(計算用!$F$3:$F$452,計算用!$O$5),INDEX(振り分け!$B$7:$B$456,計算用!$O$5)))</f>
        <v/>
      </c>
      <c r="C7" s="59">
        <f>IF(計算用!$O$5="","",IF(計算用!$B$1=1,INDEX(計算用!$G$3:$G$452,計算用!$O$5),INDEX(振り分け!$C$7:$C$456,計算用!$O$5)))</f>
        <v/>
      </c>
      <c r="D7" s="70">
        <f>IF(計算用!$O$5="","",IF(計算用!$B$1=1,INDEX(計算用!$H$3:$H$452,計算用!$O$5),INDEX(振り分け!$D$7:$D$456,計算用!$O$5)))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IF(計算用!$O$6="","",4)</f>
        <v/>
      </c>
      <c r="B8" s="59">
        <f>IF(計算用!$O$6="","",IF(計算用!$B$1=1,INDEX(計算用!$F$3:$F$452,計算用!$O$6),INDEX(振り分け!$B$7:$B$456,計算用!$O$6)))</f>
        <v/>
      </c>
      <c r="C8" s="59">
        <f>IF(計算用!$O$6="","",IF(計算用!$B$1=1,INDEX(計算用!$G$3:$G$452,計算用!$O$6),INDEX(振り分け!$C$7:$C$456,計算用!$O$6)))</f>
        <v/>
      </c>
      <c r="D8" s="70">
        <f>IF(計算用!$O$6="","",IF(計算用!$B$1=1,INDEX(計算用!$H$3:$H$452,計算用!$O$6),INDEX(振り分け!$D$7:$D$456,計算用!$O$6)))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IF(計算用!$O$7="","",5)</f>
        <v/>
      </c>
      <c r="B9" s="59">
        <f>IF(計算用!$O$7="","",IF(計算用!$B$1=1,INDEX(計算用!$F$3:$F$452,計算用!$O$7),INDEX(振り分け!$B$7:$B$456,計算用!$O$7)))</f>
        <v/>
      </c>
      <c r="C9" s="59">
        <f>IF(計算用!$O$7="","",IF(計算用!$B$1=1,INDEX(計算用!$G$3:$G$452,計算用!$O$7),INDEX(振り分け!$C$7:$C$456,計算用!$O$7)))</f>
        <v/>
      </c>
      <c r="D9" s="70">
        <f>IF(計算用!$O$7="","",IF(計算用!$B$1=1,INDEX(計算用!$H$3:$H$452,計算用!$O$7),INDEX(振り分け!$D$7:$D$456,計算用!$O$7)))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IF(計算用!$O$8="","",6)</f>
        <v/>
      </c>
      <c r="B10" s="59">
        <f>IF(計算用!$O$8="","",IF(計算用!$B$1=1,INDEX(計算用!$F$3:$F$452,計算用!$O$8),INDEX(振り分け!$B$7:$B$456,計算用!$O$8)))</f>
        <v/>
      </c>
      <c r="C10" s="59">
        <f>IF(計算用!$O$8="","",IF(計算用!$B$1=1,INDEX(計算用!$G$3:$G$452,計算用!$O$8),INDEX(振り分け!$C$7:$C$456,計算用!$O$8)))</f>
        <v/>
      </c>
      <c r="D10" s="70">
        <f>IF(計算用!$O$8="","",IF(計算用!$B$1=1,INDEX(計算用!$H$3:$H$452,計算用!$O$8),INDEX(振り分け!$D$7:$D$456,計算用!$O$8)))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IF(計算用!$O$9="","",7)</f>
        <v/>
      </c>
      <c r="B11" s="59">
        <f>IF(計算用!$O$9="","",IF(計算用!$B$1=1,INDEX(計算用!$F$3:$F$452,計算用!$O$9),INDEX(振り分け!$B$7:$B$456,計算用!$O$9)))</f>
        <v/>
      </c>
      <c r="C11" s="59">
        <f>IF(計算用!$O$9="","",IF(計算用!$B$1=1,INDEX(計算用!$G$3:$G$452,計算用!$O$9),INDEX(振り分け!$C$7:$C$456,計算用!$O$9)))</f>
        <v/>
      </c>
      <c r="D11" s="70">
        <f>IF(計算用!$O$9="","",IF(計算用!$B$1=1,INDEX(計算用!$H$3:$H$452,計算用!$O$9),INDEX(振り分け!$D$7:$D$456,計算用!$O$9)))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IF(計算用!$O$10="","",8)</f>
        <v/>
      </c>
      <c r="B12" s="59">
        <f>IF(計算用!$O$10="","",IF(計算用!$B$1=1,INDEX(計算用!$F$3:$F$452,計算用!$O$10),INDEX(振り分け!$B$7:$B$456,計算用!$O$10)))</f>
        <v/>
      </c>
      <c r="C12" s="59">
        <f>IF(計算用!$O$10="","",IF(計算用!$B$1=1,INDEX(計算用!$G$3:$G$452,計算用!$O$10),INDEX(振り分け!$C$7:$C$456,計算用!$O$10)))</f>
        <v/>
      </c>
      <c r="D12" s="70">
        <f>IF(計算用!$O$10="","",IF(計算用!$B$1=1,INDEX(計算用!$H$3:$H$452,計算用!$O$10),INDEX(振り分け!$D$7:$D$456,計算用!$O$10)))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IF(計算用!$O$11="","",9)</f>
        <v/>
      </c>
      <c r="B13" s="59">
        <f>IF(計算用!$O$11="","",IF(計算用!$B$1=1,INDEX(計算用!$F$3:$F$452,計算用!$O$11),INDEX(振り分け!$B$7:$B$456,計算用!$O$11)))</f>
        <v/>
      </c>
      <c r="C13" s="59">
        <f>IF(計算用!$O$11="","",IF(計算用!$B$1=1,INDEX(計算用!$G$3:$G$452,計算用!$O$11),INDEX(振り分け!$C$7:$C$456,計算用!$O$11)))</f>
        <v/>
      </c>
      <c r="D13" s="70">
        <f>IF(計算用!$O$11="","",IF(計算用!$B$1=1,INDEX(計算用!$H$3:$H$452,計算用!$O$11),INDEX(振り分け!$D$7:$D$456,計算用!$O$11)))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IF(計算用!$O$12="","",10)</f>
        <v/>
      </c>
      <c r="B14" s="59">
        <f>IF(計算用!$O$12="","",IF(計算用!$B$1=1,INDEX(計算用!$F$3:$F$452,計算用!$O$12),INDEX(振り分け!$B$7:$B$456,計算用!$O$12)))</f>
        <v/>
      </c>
      <c r="C14" s="59">
        <f>IF(計算用!$O$12="","",IF(計算用!$B$1=1,INDEX(計算用!$G$3:$G$452,計算用!$O$12),INDEX(振り分け!$C$7:$C$456,計算用!$O$12)))</f>
        <v/>
      </c>
      <c r="D14" s="70">
        <f>IF(計算用!$O$12="","",IF(計算用!$B$1=1,INDEX(計算用!$H$3:$H$452,計算用!$O$12),INDEX(振り分け!$D$7:$D$456,計算用!$O$12)))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IF(計算用!$O$13="","",11)</f>
        <v/>
      </c>
      <c r="B15" s="59">
        <f>IF(計算用!$O$13="","",IF(計算用!$B$1=1,INDEX(計算用!$F$3:$F$452,計算用!$O$13),INDEX(振り分け!$B$7:$B$456,計算用!$O$13)))</f>
        <v/>
      </c>
      <c r="C15" s="59">
        <f>IF(計算用!$O$13="","",IF(計算用!$B$1=1,INDEX(計算用!$G$3:$G$452,計算用!$O$13),INDEX(振り分け!$C$7:$C$456,計算用!$O$13)))</f>
        <v/>
      </c>
      <c r="D15" s="70">
        <f>IF(計算用!$O$13="","",IF(計算用!$B$1=1,INDEX(計算用!$H$3:$H$452,計算用!$O$13),INDEX(振り分け!$D$7:$D$456,計算用!$O$13)))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IF(計算用!$O$14="","",12)</f>
        <v/>
      </c>
      <c r="B16" s="59">
        <f>IF(計算用!$O$14="","",IF(計算用!$B$1=1,INDEX(計算用!$F$3:$F$452,計算用!$O$14),INDEX(振り分け!$B$7:$B$456,計算用!$O$14)))</f>
        <v/>
      </c>
      <c r="C16" s="59">
        <f>IF(計算用!$O$14="","",IF(計算用!$B$1=1,INDEX(計算用!$G$3:$G$452,計算用!$O$14),INDEX(振り分け!$C$7:$C$456,計算用!$O$14)))</f>
        <v/>
      </c>
      <c r="D16" s="70">
        <f>IF(計算用!$O$14="","",IF(計算用!$B$1=1,INDEX(計算用!$H$3:$H$452,計算用!$O$14),INDEX(振り分け!$D$7:$D$456,計算用!$O$14)))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IF(計算用!$O$15="","",13)</f>
        <v/>
      </c>
      <c r="B17" s="59">
        <f>IF(計算用!$O$15="","",IF(計算用!$B$1=1,INDEX(計算用!$F$3:$F$452,計算用!$O$15),INDEX(振り分け!$B$7:$B$456,計算用!$O$15)))</f>
        <v/>
      </c>
      <c r="C17" s="59">
        <f>IF(計算用!$O$15="","",IF(計算用!$B$1=1,INDEX(計算用!$G$3:$G$452,計算用!$O$15),INDEX(振り分け!$C$7:$C$456,計算用!$O$15)))</f>
        <v/>
      </c>
      <c r="D17" s="70">
        <f>IF(計算用!$O$15="","",IF(計算用!$B$1=1,INDEX(計算用!$H$3:$H$452,計算用!$O$15),INDEX(振り分け!$D$7:$D$456,計算用!$O$15)))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IF(計算用!$O$16="","",14)</f>
        <v/>
      </c>
      <c r="B18" s="59">
        <f>IF(計算用!$O$16="","",IF(計算用!$B$1=1,INDEX(計算用!$F$3:$F$452,計算用!$O$16),INDEX(振り分け!$B$7:$B$456,計算用!$O$16)))</f>
        <v/>
      </c>
      <c r="C18" s="59">
        <f>IF(計算用!$O$16="","",IF(計算用!$B$1=1,INDEX(計算用!$G$3:$G$452,計算用!$O$16),INDEX(振り分け!$C$7:$C$456,計算用!$O$16)))</f>
        <v/>
      </c>
      <c r="D18" s="70">
        <f>IF(計算用!$O$16="","",IF(計算用!$B$1=1,INDEX(計算用!$H$3:$H$452,計算用!$O$16),INDEX(振り分け!$D$7:$D$456,計算用!$O$16)))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IF(計算用!$O$17="","",15)</f>
        <v/>
      </c>
      <c r="B19" s="59">
        <f>IF(計算用!$O$17="","",IF(計算用!$B$1=1,INDEX(計算用!$F$3:$F$452,計算用!$O$17),INDEX(振り分け!$B$7:$B$456,計算用!$O$17)))</f>
        <v/>
      </c>
      <c r="C19" s="59">
        <f>IF(計算用!$O$17="","",IF(計算用!$B$1=1,INDEX(計算用!$G$3:$G$452,計算用!$O$17),INDEX(振り分け!$C$7:$C$456,計算用!$O$17)))</f>
        <v/>
      </c>
      <c r="D19" s="70">
        <f>IF(計算用!$O$17="","",IF(計算用!$B$1=1,INDEX(計算用!$H$3:$H$452,計算用!$O$17),INDEX(振り分け!$D$7:$D$456,計算用!$O$17)))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IF(計算用!$O$18="","",16)</f>
        <v/>
      </c>
      <c r="B20" s="59">
        <f>IF(計算用!$O$18="","",IF(計算用!$B$1=1,INDEX(計算用!$F$3:$F$452,計算用!$O$18),INDEX(振り分け!$B$7:$B$456,計算用!$O$18)))</f>
        <v/>
      </c>
      <c r="C20" s="59">
        <f>IF(計算用!$O$18="","",IF(計算用!$B$1=1,INDEX(計算用!$G$3:$G$452,計算用!$O$18),INDEX(振り分け!$C$7:$C$456,計算用!$O$18)))</f>
        <v/>
      </c>
      <c r="D20" s="70">
        <f>IF(計算用!$O$18="","",IF(計算用!$B$1=1,INDEX(計算用!$H$3:$H$452,計算用!$O$18),INDEX(振り分け!$D$7:$D$456,計算用!$O$18)))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IF(計算用!$O$19="","",17)</f>
        <v/>
      </c>
      <c r="B21" s="59">
        <f>IF(計算用!$O$19="","",IF(計算用!$B$1=1,INDEX(計算用!$F$3:$F$452,計算用!$O$19),INDEX(振り分け!$B$7:$B$456,計算用!$O$19)))</f>
        <v/>
      </c>
      <c r="C21" s="59">
        <f>IF(計算用!$O$19="","",IF(計算用!$B$1=1,INDEX(計算用!$G$3:$G$452,計算用!$O$19),INDEX(振り分け!$C$7:$C$456,計算用!$O$19)))</f>
        <v/>
      </c>
      <c r="D21" s="70">
        <f>IF(計算用!$O$19="","",IF(計算用!$B$1=1,INDEX(計算用!$H$3:$H$452,計算用!$O$19),INDEX(振り分け!$D$7:$D$456,計算用!$O$19)))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IF(計算用!$O$20="","",18)</f>
        <v/>
      </c>
      <c r="B22" s="59">
        <f>IF(計算用!$O$20="","",IF(計算用!$B$1=1,INDEX(計算用!$F$3:$F$452,計算用!$O$20),INDEX(振り分け!$B$7:$B$456,計算用!$O$20)))</f>
        <v/>
      </c>
      <c r="C22" s="59">
        <f>IF(計算用!$O$20="","",IF(計算用!$B$1=1,INDEX(計算用!$G$3:$G$452,計算用!$O$20),INDEX(振り分け!$C$7:$C$456,計算用!$O$20)))</f>
        <v/>
      </c>
      <c r="D22" s="70">
        <f>IF(計算用!$O$20="","",IF(計算用!$B$1=1,INDEX(計算用!$H$3:$H$452,計算用!$O$20),INDEX(振り分け!$D$7:$D$456,計算用!$O$20)))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IF(計算用!$O$21="","",19)</f>
        <v/>
      </c>
      <c r="B23" s="59">
        <f>IF(計算用!$O$21="","",IF(計算用!$B$1=1,INDEX(計算用!$F$3:$F$452,計算用!$O$21),INDEX(振り分け!$B$7:$B$456,計算用!$O$21)))</f>
        <v/>
      </c>
      <c r="C23" s="59">
        <f>IF(計算用!$O$21="","",IF(計算用!$B$1=1,INDEX(計算用!$G$3:$G$452,計算用!$O$21),INDEX(振り分け!$C$7:$C$456,計算用!$O$21)))</f>
        <v/>
      </c>
      <c r="D23" s="70">
        <f>IF(計算用!$O$21="","",IF(計算用!$B$1=1,INDEX(計算用!$H$3:$H$452,計算用!$O$21),INDEX(振り分け!$D$7:$D$456,計算用!$O$21)))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IF(計算用!$O$22="","",20)</f>
        <v/>
      </c>
      <c r="B24" s="59">
        <f>IF(計算用!$O$22="","",IF(計算用!$B$1=1,INDEX(計算用!$F$3:$F$452,計算用!$O$22),INDEX(振り分け!$B$7:$B$456,計算用!$O$22)))</f>
        <v/>
      </c>
      <c r="C24" s="59">
        <f>IF(計算用!$O$22="","",IF(計算用!$B$1=1,INDEX(計算用!$G$3:$G$452,計算用!$O$22),INDEX(振り分け!$C$7:$C$456,計算用!$O$22)))</f>
        <v/>
      </c>
      <c r="D24" s="70">
        <f>IF(計算用!$O$22="","",IF(計算用!$B$1=1,INDEX(計算用!$H$3:$H$452,計算用!$O$22),INDEX(振り分け!$D$7:$D$456,計算用!$O$22)))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IF(計算用!$O$23="","",21)</f>
        <v/>
      </c>
      <c r="B25" s="59">
        <f>IF(計算用!$O$23="","",IF(計算用!$B$1=1,INDEX(計算用!$F$3:$F$452,計算用!$O$23),INDEX(振り分け!$B$7:$B$456,計算用!$O$23)))</f>
        <v/>
      </c>
      <c r="C25" s="59">
        <f>IF(計算用!$O$23="","",IF(計算用!$B$1=1,INDEX(計算用!$G$3:$G$452,計算用!$O$23),INDEX(振り分け!$C$7:$C$456,計算用!$O$23)))</f>
        <v/>
      </c>
      <c r="D25" s="70">
        <f>IF(計算用!$O$23="","",IF(計算用!$B$1=1,INDEX(計算用!$H$3:$H$452,計算用!$O$23),INDEX(振り分け!$D$7:$D$456,計算用!$O$23)))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IF(計算用!$O$24="","",22)</f>
        <v/>
      </c>
      <c r="B26" s="59">
        <f>IF(計算用!$O$24="","",IF(計算用!$B$1=1,INDEX(計算用!$F$3:$F$452,計算用!$O$24),INDEX(振り分け!$B$7:$B$456,計算用!$O$24)))</f>
        <v/>
      </c>
      <c r="C26" s="59">
        <f>IF(計算用!$O$24="","",IF(計算用!$B$1=1,INDEX(計算用!$G$3:$G$452,計算用!$O$24),INDEX(振り分け!$C$7:$C$456,計算用!$O$24)))</f>
        <v/>
      </c>
      <c r="D26" s="70">
        <f>IF(計算用!$O$24="","",IF(計算用!$B$1=1,INDEX(計算用!$H$3:$H$452,計算用!$O$24),INDEX(振り分け!$D$7:$D$456,計算用!$O$24)))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IF(計算用!$O$25="","",23)</f>
        <v/>
      </c>
      <c r="B27" s="59">
        <f>IF(計算用!$O$25="","",IF(計算用!$B$1=1,INDEX(計算用!$F$3:$F$452,計算用!$O$25),INDEX(振り分け!$B$7:$B$456,計算用!$O$25)))</f>
        <v/>
      </c>
      <c r="C27" s="59">
        <f>IF(計算用!$O$25="","",IF(計算用!$B$1=1,INDEX(計算用!$G$3:$G$452,計算用!$O$25),INDEX(振り分け!$C$7:$C$456,計算用!$O$25)))</f>
        <v/>
      </c>
      <c r="D27" s="70">
        <f>IF(計算用!$O$25="","",IF(計算用!$B$1=1,INDEX(計算用!$H$3:$H$452,計算用!$O$25),INDEX(振り分け!$D$7:$D$456,計算用!$O$25)))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IF(計算用!$O$26="","",24)</f>
        <v/>
      </c>
      <c r="B28" s="59">
        <f>IF(計算用!$O$26="","",IF(計算用!$B$1=1,INDEX(計算用!$F$3:$F$452,計算用!$O$26),INDEX(振り分け!$B$7:$B$456,計算用!$O$26)))</f>
        <v/>
      </c>
      <c r="C28" s="59">
        <f>IF(計算用!$O$26="","",IF(計算用!$B$1=1,INDEX(計算用!$G$3:$G$452,計算用!$O$26),INDEX(振り分け!$C$7:$C$456,計算用!$O$26)))</f>
        <v/>
      </c>
      <c r="D28" s="70">
        <f>IF(計算用!$O$26="","",IF(計算用!$B$1=1,INDEX(計算用!$H$3:$H$452,計算用!$O$26),INDEX(振り分け!$D$7:$D$456,計算用!$O$26)))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IF(計算用!$O$27="","",25)</f>
        <v/>
      </c>
      <c r="B29" s="59">
        <f>IF(計算用!$O$27="","",IF(計算用!$B$1=1,INDEX(計算用!$F$3:$F$452,計算用!$O$27),INDEX(振り分け!$B$7:$B$456,計算用!$O$27)))</f>
        <v/>
      </c>
      <c r="C29" s="59">
        <f>IF(計算用!$O$27="","",IF(計算用!$B$1=1,INDEX(計算用!$G$3:$G$452,計算用!$O$27),INDEX(振り分け!$C$7:$C$456,計算用!$O$27)))</f>
        <v/>
      </c>
      <c r="D29" s="70">
        <f>IF(計算用!$O$27="","",IF(計算用!$B$1=1,INDEX(計算用!$H$3:$H$452,計算用!$O$27),INDEX(振り分け!$D$7:$D$456,計算用!$O$27)))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IF(計算用!$O$28="","",26)</f>
        <v/>
      </c>
      <c r="B30" s="59">
        <f>IF(計算用!$O$28="","",IF(計算用!$B$1=1,INDEX(計算用!$F$3:$F$452,計算用!$O$28),INDEX(振り分け!$B$7:$B$456,計算用!$O$28)))</f>
        <v/>
      </c>
      <c r="C30" s="59">
        <f>IF(計算用!$O$28="","",IF(計算用!$B$1=1,INDEX(計算用!$G$3:$G$452,計算用!$O$28),INDEX(振り分け!$C$7:$C$456,計算用!$O$28)))</f>
        <v/>
      </c>
      <c r="D30" s="70">
        <f>IF(計算用!$O$28="","",IF(計算用!$B$1=1,INDEX(計算用!$H$3:$H$452,計算用!$O$28),INDEX(振り分け!$D$7:$D$456,計算用!$O$28)))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IF(計算用!$O$29="","",27)</f>
        <v/>
      </c>
      <c r="B31" s="59">
        <f>IF(計算用!$O$29="","",IF(計算用!$B$1=1,INDEX(計算用!$F$3:$F$452,計算用!$O$29),INDEX(振り分け!$B$7:$B$456,計算用!$O$29)))</f>
        <v/>
      </c>
      <c r="C31" s="59">
        <f>IF(計算用!$O$29="","",IF(計算用!$B$1=1,INDEX(計算用!$G$3:$G$452,計算用!$O$29),INDEX(振り分け!$C$7:$C$456,計算用!$O$29)))</f>
        <v/>
      </c>
      <c r="D31" s="70">
        <f>IF(計算用!$O$29="","",IF(計算用!$B$1=1,INDEX(計算用!$H$3:$H$452,計算用!$O$29),INDEX(振り分け!$D$7:$D$456,計算用!$O$29)))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IF(計算用!$O$30="","",28)</f>
        <v/>
      </c>
      <c r="B32" s="59">
        <f>IF(計算用!$O$30="","",IF(計算用!$B$1=1,INDEX(計算用!$F$3:$F$452,計算用!$O$30),INDEX(振り分け!$B$7:$B$456,計算用!$O$30)))</f>
        <v/>
      </c>
      <c r="C32" s="59">
        <f>IF(計算用!$O$30="","",IF(計算用!$B$1=1,INDEX(計算用!$G$3:$G$452,計算用!$O$30),INDEX(振り分け!$C$7:$C$456,計算用!$O$30)))</f>
        <v/>
      </c>
      <c r="D32" s="70">
        <f>IF(計算用!$O$30="","",IF(計算用!$B$1=1,INDEX(計算用!$H$3:$H$452,計算用!$O$30),INDEX(振り分け!$D$7:$D$456,計算用!$O$30)))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IF(計算用!$O$31="","",29)</f>
        <v/>
      </c>
      <c r="B33" s="59">
        <f>IF(計算用!$O$31="","",IF(計算用!$B$1=1,INDEX(計算用!$F$3:$F$452,計算用!$O$31),INDEX(振り分け!$B$7:$B$456,計算用!$O$31)))</f>
        <v/>
      </c>
      <c r="C33" s="59">
        <f>IF(計算用!$O$31="","",IF(計算用!$B$1=1,INDEX(計算用!$G$3:$G$452,計算用!$O$31),INDEX(振り分け!$C$7:$C$456,計算用!$O$31)))</f>
        <v/>
      </c>
      <c r="D33" s="70">
        <f>IF(計算用!$O$31="","",IF(計算用!$B$1=1,INDEX(計算用!$H$3:$H$452,計算用!$O$31),INDEX(振り分け!$D$7:$D$456,計算用!$O$31)))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IF(計算用!$O$32="","",30)</f>
        <v/>
      </c>
      <c r="B34" s="59">
        <f>IF(計算用!$O$32="","",IF(計算用!$B$1=1,INDEX(計算用!$F$3:$F$452,計算用!$O$32),INDEX(振り分け!$B$7:$B$456,計算用!$O$32)))</f>
        <v/>
      </c>
      <c r="C34" s="59">
        <f>IF(計算用!$O$32="","",IF(計算用!$B$1=1,INDEX(計算用!$G$3:$G$452,計算用!$O$32),INDEX(振り分け!$C$7:$C$456,計算用!$O$32)))</f>
        <v/>
      </c>
      <c r="D34" s="70">
        <f>IF(計算用!$O$32="","",IF(計算用!$B$1=1,INDEX(計算用!$H$3:$H$452,計算用!$O$32),INDEX(振り分け!$D$7:$D$456,計算用!$O$32)))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IF(計算用!$O$33="","",31)</f>
        <v/>
      </c>
      <c r="B35" s="59">
        <f>IF(計算用!$O$33="","",IF(計算用!$B$1=1,INDEX(計算用!$F$3:$F$452,計算用!$O$33),INDEX(振り分け!$B$7:$B$456,計算用!$O$33)))</f>
        <v/>
      </c>
      <c r="C35" s="59">
        <f>IF(計算用!$O$33="","",IF(計算用!$B$1=1,INDEX(計算用!$G$3:$G$452,計算用!$O$33),INDEX(振り分け!$C$7:$C$456,計算用!$O$33)))</f>
        <v/>
      </c>
      <c r="D35" s="70">
        <f>IF(計算用!$O$33="","",IF(計算用!$B$1=1,INDEX(計算用!$H$3:$H$452,計算用!$O$33),INDEX(振り分け!$D$7:$D$456,計算用!$O$33)))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IF(計算用!$O$34="","",32)</f>
        <v/>
      </c>
      <c r="B36" s="59">
        <f>IF(計算用!$O$34="","",IF(計算用!$B$1=1,INDEX(計算用!$F$3:$F$452,計算用!$O$34),INDEX(振り分け!$B$7:$B$456,計算用!$O$34)))</f>
        <v/>
      </c>
      <c r="C36" s="59">
        <f>IF(計算用!$O$34="","",IF(計算用!$B$1=1,INDEX(計算用!$G$3:$G$452,計算用!$O$34),INDEX(振り分け!$C$7:$C$456,計算用!$O$34)))</f>
        <v/>
      </c>
      <c r="D36" s="70">
        <f>IF(計算用!$O$34="","",IF(計算用!$B$1=1,INDEX(計算用!$H$3:$H$452,計算用!$O$34),INDEX(振り分け!$D$7:$D$456,計算用!$O$34)))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IF(計算用!$O$35="","",33)</f>
        <v/>
      </c>
      <c r="B37" s="59">
        <f>IF(計算用!$O$35="","",IF(計算用!$B$1=1,INDEX(計算用!$F$3:$F$452,計算用!$O$35),INDEX(振り分け!$B$7:$B$456,計算用!$O$35)))</f>
        <v/>
      </c>
      <c r="C37" s="59">
        <f>IF(計算用!$O$35="","",IF(計算用!$B$1=1,INDEX(計算用!$G$3:$G$452,計算用!$O$35),INDEX(振り分け!$C$7:$C$456,計算用!$O$35)))</f>
        <v/>
      </c>
      <c r="D37" s="70">
        <f>IF(計算用!$O$35="","",IF(計算用!$B$1=1,INDEX(計算用!$H$3:$H$452,計算用!$O$35),INDEX(振り分け!$D$7:$D$456,計算用!$O$35)))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IF(計算用!$O$36="","",34)</f>
        <v/>
      </c>
      <c r="B38" s="59">
        <f>IF(計算用!$O$36="","",IF(計算用!$B$1=1,INDEX(計算用!$F$3:$F$452,計算用!$O$36),INDEX(振り分け!$B$7:$B$456,計算用!$O$36)))</f>
        <v/>
      </c>
      <c r="C38" s="59">
        <f>IF(計算用!$O$36="","",IF(計算用!$B$1=1,INDEX(計算用!$G$3:$G$452,計算用!$O$36),INDEX(振り分け!$C$7:$C$456,計算用!$O$36)))</f>
        <v/>
      </c>
      <c r="D38" s="70">
        <f>IF(計算用!$O$36="","",IF(計算用!$B$1=1,INDEX(計算用!$H$3:$H$452,計算用!$O$36),INDEX(振り分け!$D$7:$D$456,計算用!$O$36)))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IF(計算用!$O$37="","",35)</f>
        <v/>
      </c>
      <c r="B39" s="59">
        <f>IF(計算用!$O$37="","",IF(計算用!$B$1=1,INDEX(計算用!$F$3:$F$452,計算用!$O$37),INDEX(振り分け!$B$7:$B$456,計算用!$O$37)))</f>
        <v/>
      </c>
      <c r="C39" s="59">
        <f>IF(計算用!$O$37="","",IF(計算用!$B$1=1,INDEX(計算用!$G$3:$G$452,計算用!$O$37),INDEX(振り分け!$C$7:$C$456,計算用!$O$37)))</f>
        <v/>
      </c>
      <c r="D39" s="70">
        <f>IF(計算用!$O$37="","",IF(計算用!$B$1=1,INDEX(計算用!$H$3:$H$452,計算用!$O$37),INDEX(振り分け!$D$7:$D$456,計算用!$O$37)))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IF(計算用!$O$38="","",36)</f>
        <v/>
      </c>
      <c r="B40" s="59">
        <f>IF(計算用!$O$38="","",IF(計算用!$B$1=1,INDEX(計算用!$F$3:$F$452,計算用!$O$38),INDEX(振り分け!$B$7:$B$456,計算用!$O$38)))</f>
        <v/>
      </c>
      <c r="C40" s="59">
        <f>IF(計算用!$O$38="","",IF(計算用!$B$1=1,INDEX(計算用!$G$3:$G$452,計算用!$O$38),INDEX(振り分け!$C$7:$C$456,計算用!$O$38)))</f>
        <v/>
      </c>
      <c r="D40" s="70">
        <f>IF(計算用!$O$38="","",IF(計算用!$B$1=1,INDEX(計算用!$H$3:$H$452,計算用!$O$38),INDEX(振り分け!$D$7:$D$456,計算用!$O$38)))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IF(計算用!$O$39="","",37)</f>
        <v/>
      </c>
      <c r="B41" s="59">
        <f>IF(計算用!$O$39="","",IF(計算用!$B$1=1,INDEX(計算用!$F$3:$F$452,計算用!$O$39),INDEX(振り分け!$B$7:$B$456,計算用!$O$39)))</f>
        <v/>
      </c>
      <c r="C41" s="59">
        <f>IF(計算用!$O$39="","",IF(計算用!$B$1=1,INDEX(計算用!$G$3:$G$452,計算用!$O$39),INDEX(振り分け!$C$7:$C$456,計算用!$O$39)))</f>
        <v/>
      </c>
      <c r="D41" s="70">
        <f>IF(計算用!$O$39="","",IF(計算用!$B$1=1,INDEX(計算用!$H$3:$H$452,計算用!$O$39),INDEX(振り分け!$D$7:$D$456,計算用!$O$39)))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IF(計算用!$O$40="","",38)</f>
        <v/>
      </c>
      <c r="B42" s="59">
        <f>IF(計算用!$O$40="","",IF(計算用!$B$1=1,INDEX(計算用!$F$3:$F$452,計算用!$O$40),INDEX(振り分け!$B$7:$B$456,計算用!$O$40)))</f>
        <v/>
      </c>
      <c r="C42" s="59">
        <f>IF(計算用!$O$40="","",IF(計算用!$B$1=1,INDEX(計算用!$G$3:$G$452,計算用!$O$40),INDEX(振り分け!$C$7:$C$456,計算用!$O$40)))</f>
        <v/>
      </c>
      <c r="D42" s="70">
        <f>IF(計算用!$O$40="","",IF(計算用!$B$1=1,INDEX(計算用!$H$3:$H$452,計算用!$O$40),INDEX(振り分け!$D$7:$D$456,計算用!$O$40)))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IF(計算用!$O$41="","",39)</f>
        <v/>
      </c>
      <c r="B43" s="59">
        <f>IF(計算用!$O$41="","",IF(計算用!$B$1=1,INDEX(計算用!$F$3:$F$452,計算用!$O$41),INDEX(振り分け!$B$7:$B$456,計算用!$O$41)))</f>
        <v/>
      </c>
      <c r="C43" s="59">
        <f>IF(計算用!$O$41="","",IF(計算用!$B$1=1,INDEX(計算用!$G$3:$G$452,計算用!$O$41),INDEX(振り分け!$C$7:$C$456,計算用!$O$41)))</f>
        <v/>
      </c>
      <c r="D43" s="70">
        <f>IF(計算用!$O$41="","",IF(計算用!$B$1=1,INDEX(計算用!$H$3:$H$452,計算用!$O$41),INDEX(振り分け!$D$7:$D$456,計算用!$O$41)))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IF(計算用!$O$42="","",40)</f>
        <v/>
      </c>
      <c r="B44" s="59">
        <f>IF(計算用!$O$42="","",IF(計算用!$B$1=1,INDEX(計算用!$F$3:$F$452,計算用!$O$42),INDEX(振り分け!$B$7:$B$456,計算用!$O$42)))</f>
        <v/>
      </c>
      <c r="C44" s="59">
        <f>IF(計算用!$O$42="","",IF(計算用!$B$1=1,INDEX(計算用!$G$3:$G$452,計算用!$O$42),INDEX(振り分け!$C$7:$C$456,計算用!$O$42)))</f>
        <v/>
      </c>
      <c r="D44" s="70">
        <f>IF(計算用!$O$42="","",IF(計算用!$B$1=1,INDEX(計算用!$H$3:$H$452,計算用!$O$42),INDEX(振り分け!$D$7:$D$456,計算用!$O$42)))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IF(計算用!$O$43="","",41)</f>
        <v/>
      </c>
      <c r="B45" s="59">
        <f>IF(計算用!$O$43="","",IF(計算用!$B$1=1,INDEX(計算用!$F$3:$F$452,計算用!$O$43),INDEX(振り分け!$B$7:$B$456,計算用!$O$43)))</f>
        <v/>
      </c>
      <c r="C45" s="59">
        <f>IF(計算用!$O$43="","",IF(計算用!$B$1=1,INDEX(計算用!$G$3:$G$452,計算用!$O$43),INDEX(振り分け!$C$7:$C$456,計算用!$O$43)))</f>
        <v/>
      </c>
      <c r="D45" s="70">
        <f>IF(計算用!$O$43="","",IF(計算用!$B$1=1,INDEX(計算用!$H$3:$H$452,計算用!$O$43),INDEX(振り分け!$D$7:$D$456,計算用!$O$43)))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IF(計算用!$O$44="","",42)</f>
        <v/>
      </c>
      <c r="B46" s="59">
        <f>IF(計算用!$O$44="","",IF(計算用!$B$1=1,INDEX(計算用!$F$3:$F$452,計算用!$O$44),INDEX(振り分け!$B$7:$B$456,計算用!$O$44)))</f>
        <v/>
      </c>
      <c r="C46" s="59">
        <f>IF(計算用!$O$44="","",IF(計算用!$B$1=1,INDEX(計算用!$G$3:$G$452,計算用!$O$44),INDEX(振り分け!$C$7:$C$456,計算用!$O$44)))</f>
        <v/>
      </c>
      <c r="D46" s="70">
        <f>IF(計算用!$O$44="","",IF(計算用!$B$1=1,INDEX(計算用!$H$3:$H$452,計算用!$O$44),INDEX(振り分け!$D$7:$D$456,計算用!$O$44)))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IF(計算用!$O$45="","",43)</f>
        <v/>
      </c>
      <c r="B47" s="59">
        <f>IF(計算用!$O$45="","",IF(計算用!$B$1=1,INDEX(計算用!$F$3:$F$452,計算用!$O$45),INDEX(振り分け!$B$7:$B$456,計算用!$O$45)))</f>
        <v/>
      </c>
      <c r="C47" s="59">
        <f>IF(計算用!$O$45="","",IF(計算用!$B$1=1,INDEX(計算用!$G$3:$G$452,計算用!$O$45),INDEX(振り分け!$C$7:$C$456,計算用!$O$45)))</f>
        <v/>
      </c>
      <c r="D47" s="70">
        <f>IF(計算用!$O$45="","",IF(計算用!$B$1=1,INDEX(計算用!$H$3:$H$452,計算用!$O$45),INDEX(振り分け!$D$7:$D$456,計算用!$O$45)))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IF(計算用!$O$46="","",44)</f>
        <v/>
      </c>
      <c r="B48" s="59">
        <f>IF(計算用!$O$46="","",IF(計算用!$B$1=1,INDEX(計算用!$F$3:$F$452,計算用!$O$46),INDEX(振り分け!$B$7:$B$456,計算用!$O$46)))</f>
        <v/>
      </c>
      <c r="C48" s="59">
        <f>IF(計算用!$O$46="","",IF(計算用!$B$1=1,INDEX(計算用!$G$3:$G$452,計算用!$O$46),INDEX(振り分け!$C$7:$C$456,計算用!$O$46)))</f>
        <v/>
      </c>
      <c r="D48" s="70">
        <f>IF(計算用!$O$46="","",IF(計算用!$B$1=1,INDEX(計算用!$H$3:$H$452,計算用!$O$46),INDEX(振り分け!$D$7:$D$456,計算用!$O$46)))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IF(計算用!$O$47="","",45)</f>
        <v/>
      </c>
      <c r="B49" s="59">
        <f>IF(計算用!$O$47="","",IF(計算用!$B$1=1,INDEX(計算用!$F$3:$F$452,計算用!$O$47),INDEX(振り分け!$B$7:$B$456,計算用!$O$47)))</f>
        <v/>
      </c>
      <c r="C49" s="59">
        <f>IF(計算用!$O$47="","",IF(計算用!$B$1=1,INDEX(計算用!$G$3:$G$452,計算用!$O$47),INDEX(振り分け!$C$7:$C$456,計算用!$O$47)))</f>
        <v/>
      </c>
      <c r="D49" s="70">
        <f>IF(計算用!$O$47="","",IF(計算用!$B$1=1,INDEX(計算用!$H$3:$H$452,計算用!$O$47),INDEX(振り分け!$D$7:$D$456,計算用!$O$47)))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IF(計算用!$O$48="","",46)</f>
        <v/>
      </c>
      <c r="B50" s="59">
        <f>IF(計算用!$O$48="","",IF(計算用!$B$1=1,INDEX(計算用!$F$3:$F$452,計算用!$O$48),INDEX(振り分け!$B$7:$B$456,計算用!$O$48)))</f>
        <v/>
      </c>
      <c r="C50" s="59">
        <f>IF(計算用!$O$48="","",IF(計算用!$B$1=1,INDEX(計算用!$G$3:$G$452,計算用!$O$48),INDEX(振り分け!$C$7:$C$456,計算用!$O$48)))</f>
        <v/>
      </c>
      <c r="D50" s="70">
        <f>IF(計算用!$O$48="","",IF(計算用!$B$1=1,INDEX(計算用!$H$3:$H$452,計算用!$O$48),INDEX(振り分け!$D$7:$D$456,計算用!$O$48)))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IF(計算用!$O$49="","",47)</f>
        <v/>
      </c>
      <c r="B51" s="59">
        <f>IF(計算用!$O$49="","",IF(計算用!$B$1=1,INDEX(計算用!$F$3:$F$452,計算用!$O$49),INDEX(振り分け!$B$7:$B$456,計算用!$O$49)))</f>
        <v/>
      </c>
      <c r="C51" s="59">
        <f>IF(計算用!$O$49="","",IF(計算用!$B$1=1,INDEX(計算用!$G$3:$G$452,計算用!$O$49),INDEX(振り分け!$C$7:$C$456,計算用!$O$49)))</f>
        <v/>
      </c>
      <c r="D51" s="70">
        <f>IF(計算用!$O$49="","",IF(計算用!$B$1=1,INDEX(計算用!$H$3:$H$452,計算用!$O$49),INDEX(振り分け!$D$7:$D$456,計算用!$O$49)))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IF(計算用!$O$50="","",48)</f>
        <v/>
      </c>
      <c r="B52" s="59">
        <f>IF(計算用!$O$50="","",IF(計算用!$B$1=1,INDEX(計算用!$F$3:$F$452,計算用!$O$50),INDEX(振り分け!$B$7:$B$456,計算用!$O$50)))</f>
        <v/>
      </c>
      <c r="C52" s="59">
        <f>IF(計算用!$O$50="","",IF(計算用!$B$1=1,INDEX(計算用!$G$3:$G$452,計算用!$O$50),INDEX(振り分け!$C$7:$C$456,計算用!$O$50)))</f>
        <v/>
      </c>
      <c r="D52" s="70">
        <f>IF(計算用!$O$50="","",IF(計算用!$B$1=1,INDEX(計算用!$H$3:$H$452,計算用!$O$50),INDEX(振り分け!$D$7:$D$456,計算用!$O$50)))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IF(計算用!$O$51="","",49)</f>
        <v/>
      </c>
      <c r="B53" s="59">
        <f>IF(計算用!$O$51="","",IF(計算用!$B$1=1,INDEX(計算用!$F$3:$F$452,計算用!$O$51),INDEX(振り分け!$B$7:$B$456,計算用!$O$51)))</f>
        <v/>
      </c>
      <c r="C53" s="59">
        <f>IF(計算用!$O$51="","",IF(計算用!$B$1=1,INDEX(計算用!$G$3:$G$452,計算用!$O$51),INDEX(振り分け!$C$7:$C$456,計算用!$O$51)))</f>
        <v/>
      </c>
      <c r="D53" s="70">
        <f>IF(計算用!$O$51="","",IF(計算用!$B$1=1,INDEX(計算用!$H$3:$H$452,計算用!$O$51),INDEX(振り分け!$D$7:$D$456,計算用!$O$51)))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IF(計算用!$O$52="","",50)</f>
        <v/>
      </c>
      <c r="B54" s="59">
        <f>IF(計算用!$O$52="","",IF(計算用!$B$1=1,INDEX(計算用!$F$3:$F$452,計算用!$O$52),INDEX(振り分け!$B$7:$B$456,計算用!$O$52)))</f>
        <v/>
      </c>
      <c r="C54" s="59">
        <f>IF(計算用!$O$52="","",IF(計算用!$B$1=1,INDEX(計算用!$G$3:$G$452,計算用!$O$52),INDEX(振り分け!$C$7:$C$456,計算用!$O$52)))</f>
        <v/>
      </c>
      <c r="D54" s="70">
        <f>IF(計算用!$O$52="","",IF(計算用!$B$1=1,INDEX(計算用!$H$3:$H$452,計算用!$O$52),INDEX(振り分け!$D$7:$D$456,計算用!$O$52)))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IF(設定!$P$14="","",設定!$B$3&amp;"　"&amp;設定!$P$14&amp;設定!$B$4&amp;"名簿"&amp;IF(計算用!$B$1=0,"（仮・前年度の組）",""))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IF(設定!$P$14="","","担当："&amp;設定!$S$14&amp;"　　活動場所："&amp;設定!$T$14&amp;"　　人数："&amp;定員チェック!$I$13&amp;"名（"&amp;設定!$B$8&amp;"年"&amp;定員チェック!$J$13&amp;"・"&amp;設定!$B$9&amp;"年"&amp;定員チェック!$K$13&amp;"・"&amp;設定!$B$10&amp;"年"&amp;定員チェック!$L$13&amp;"）")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IF(計算用!$P$3="","",1)</f>
        <v/>
      </c>
      <c r="B5" s="59">
        <f>IF(計算用!$P$3="","",IF(計算用!$B$1=1,INDEX(計算用!$F$3:$F$452,計算用!$P$3),INDEX(振り分け!$B$7:$B$456,計算用!$P$3)))</f>
        <v/>
      </c>
      <c r="C5" s="59">
        <f>IF(計算用!$P$3="","",IF(計算用!$B$1=1,INDEX(計算用!$G$3:$G$452,計算用!$P$3),INDEX(振り分け!$C$7:$C$456,計算用!$P$3)))</f>
        <v/>
      </c>
      <c r="D5" s="70">
        <f>IF(計算用!$P$3="","",IF(計算用!$B$1=1,INDEX(計算用!$H$3:$H$452,計算用!$P$3),INDEX(振り分け!$D$7:$D$456,計算用!$P$3)))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IF(計算用!$P$4="","",2)</f>
        <v/>
      </c>
      <c r="B6" s="59">
        <f>IF(計算用!$P$4="","",IF(計算用!$B$1=1,INDEX(計算用!$F$3:$F$452,計算用!$P$4),INDEX(振り分け!$B$7:$B$456,計算用!$P$4)))</f>
        <v/>
      </c>
      <c r="C6" s="59">
        <f>IF(計算用!$P$4="","",IF(計算用!$B$1=1,INDEX(計算用!$G$3:$G$452,計算用!$P$4),INDEX(振り分け!$C$7:$C$456,計算用!$P$4)))</f>
        <v/>
      </c>
      <c r="D6" s="70">
        <f>IF(計算用!$P$4="","",IF(計算用!$B$1=1,INDEX(計算用!$H$3:$H$452,計算用!$P$4),INDEX(振り分け!$D$7:$D$456,計算用!$P$4)))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IF(計算用!$P$5="","",3)</f>
        <v/>
      </c>
      <c r="B7" s="59">
        <f>IF(計算用!$P$5="","",IF(計算用!$B$1=1,INDEX(計算用!$F$3:$F$452,計算用!$P$5),INDEX(振り分け!$B$7:$B$456,計算用!$P$5)))</f>
        <v/>
      </c>
      <c r="C7" s="59">
        <f>IF(計算用!$P$5="","",IF(計算用!$B$1=1,INDEX(計算用!$G$3:$G$452,計算用!$P$5),INDEX(振り分け!$C$7:$C$456,計算用!$P$5)))</f>
        <v/>
      </c>
      <c r="D7" s="70">
        <f>IF(計算用!$P$5="","",IF(計算用!$B$1=1,INDEX(計算用!$H$3:$H$452,計算用!$P$5),INDEX(振り分け!$D$7:$D$456,計算用!$P$5)))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IF(計算用!$P$6="","",4)</f>
        <v/>
      </c>
      <c r="B8" s="59">
        <f>IF(計算用!$P$6="","",IF(計算用!$B$1=1,INDEX(計算用!$F$3:$F$452,計算用!$P$6),INDEX(振り分け!$B$7:$B$456,計算用!$P$6)))</f>
        <v/>
      </c>
      <c r="C8" s="59">
        <f>IF(計算用!$P$6="","",IF(計算用!$B$1=1,INDEX(計算用!$G$3:$G$452,計算用!$P$6),INDEX(振り分け!$C$7:$C$456,計算用!$P$6)))</f>
        <v/>
      </c>
      <c r="D8" s="70">
        <f>IF(計算用!$P$6="","",IF(計算用!$B$1=1,INDEX(計算用!$H$3:$H$452,計算用!$P$6),INDEX(振り分け!$D$7:$D$456,計算用!$P$6)))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IF(計算用!$P$7="","",5)</f>
        <v/>
      </c>
      <c r="B9" s="59">
        <f>IF(計算用!$P$7="","",IF(計算用!$B$1=1,INDEX(計算用!$F$3:$F$452,計算用!$P$7),INDEX(振り分け!$B$7:$B$456,計算用!$P$7)))</f>
        <v/>
      </c>
      <c r="C9" s="59">
        <f>IF(計算用!$P$7="","",IF(計算用!$B$1=1,INDEX(計算用!$G$3:$G$452,計算用!$P$7),INDEX(振り分け!$C$7:$C$456,計算用!$P$7)))</f>
        <v/>
      </c>
      <c r="D9" s="70">
        <f>IF(計算用!$P$7="","",IF(計算用!$B$1=1,INDEX(計算用!$H$3:$H$452,計算用!$P$7),INDEX(振り分け!$D$7:$D$456,計算用!$P$7)))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IF(計算用!$P$8="","",6)</f>
        <v/>
      </c>
      <c r="B10" s="59">
        <f>IF(計算用!$P$8="","",IF(計算用!$B$1=1,INDEX(計算用!$F$3:$F$452,計算用!$P$8),INDEX(振り分け!$B$7:$B$456,計算用!$P$8)))</f>
        <v/>
      </c>
      <c r="C10" s="59">
        <f>IF(計算用!$P$8="","",IF(計算用!$B$1=1,INDEX(計算用!$G$3:$G$452,計算用!$P$8),INDEX(振り分け!$C$7:$C$456,計算用!$P$8)))</f>
        <v/>
      </c>
      <c r="D10" s="70">
        <f>IF(計算用!$P$8="","",IF(計算用!$B$1=1,INDEX(計算用!$H$3:$H$452,計算用!$P$8),INDEX(振り分け!$D$7:$D$456,計算用!$P$8)))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IF(計算用!$P$9="","",7)</f>
        <v/>
      </c>
      <c r="B11" s="59">
        <f>IF(計算用!$P$9="","",IF(計算用!$B$1=1,INDEX(計算用!$F$3:$F$452,計算用!$P$9),INDEX(振り分け!$B$7:$B$456,計算用!$P$9)))</f>
        <v/>
      </c>
      <c r="C11" s="59">
        <f>IF(計算用!$P$9="","",IF(計算用!$B$1=1,INDEX(計算用!$G$3:$G$452,計算用!$P$9),INDEX(振り分け!$C$7:$C$456,計算用!$P$9)))</f>
        <v/>
      </c>
      <c r="D11" s="70">
        <f>IF(計算用!$P$9="","",IF(計算用!$B$1=1,INDEX(計算用!$H$3:$H$452,計算用!$P$9),INDEX(振り分け!$D$7:$D$456,計算用!$P$9)))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IF(計算用!$P$10="","",8)</f>
        <v/>
      </c>
      <c r="B12" s="59">
        <f>IF(計算用!$P$10="","",IF(計算用!$B$1=1,INDEX(計算用!$F$3:$F$452,計算用!$P$10),INDEX(振り分け!$B$7:$B$456,計算用!$P$10)))</f>
        <v/>
      </c>
      <c r="C12" s="59">
        <f>IF(計算用!$P$10="","",IF(計算用!$B$1=1,INDEX(計算用!$G$3:$G$452,計算用!$P$10),INDEX(振り分け!$C$7:$C$456,計算用!$P$10)))</f>
        <v/>
      </c>
      <c r="D12" s="70">
        <f>IF(計算用!$P$10="","",IF(計算用!$B$1=1,INDEX(計算用!$H$3:$H$452,計算用!$P$10),INDEX(振り分け!$D$7:$D$456,計算用!$P$10)))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IF(計算用!$P$11="","",9)</f>
        <v/>
      </c>
      <c r="B13" s="59">
        <f>IF(計算用!$P$11="","",IF(計算用!$B$1=1,INDEX(計算用!$F$3:$F$452,計算用!$P$11),INDEX(振り分け!$B$7:$B$456,計算用!$P$11)))</f>
        <v/>
      </c>
      <c r="C13" s="59">
        <f>IF(計算用!$P$11="","",IF(計算用!$B$1=1,INDEX(計算用!$G$3:$G$452,計算用!$P$11),INDEX(振り分け!$C$7:$C$456,計算用!$P$11)))</f>
        <v/>
      </c>
      <c r="D13" s="70">
        <f>IF(計算用!$P$11="","",IF(計算用!$B$1=1,INDEX(計算用!$H$3:$H$452,計算用!$P$11),INDEX(振り分け!$D$7:$D$456,計算用!$P$11)))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IF(計算用!$P$12="","",10)</f>
        <v/>
      </c>
      <c r="B14" s="59">
        <f>IF(計算用!$P$12="","",IF(計算用!$B$1=1,INDEX(計算用!$F$3:$F$452,計算用!$P$12),INDEX(振り分け!$B$7:$B$456,計算用!$P$12)))</f>
        <v/>
      </c>
      <c r="C14" s="59">
        <f>IF(計算用!$P$12="","",IF(計算用!$B$1=1,INDEX(計算用!$G$3:$G$452,計算用!$P$12),INDEX(振り分け!$C$7:$C$456,計算用!$P$12)))</f>
        <v/>
      </c>
      <c r="D14" s="70">
        <f>IF(計算用!$P$12="","",IF(計算用!$B$1=1,INDEX(計算用!$H$3:$H$452,計算用!$P$12),INDEX(振り分け!$D$7:$D$456,計算用!$P$12)))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IF(計算用!$P$13="","",11)</f>
        <v/>
      </c>
      <c r="B15" s="59">
        <f>IF(計算用!$P$13="","",IF(計算用!$B$1=1,INDEX(計算用!$F$3:$F$452,計算用!$P$13),INDEX(振り分け!$B$7:$B$456,計算用!$P$13)))</f>
        <v/>
      </c>
      <c r="C15" s="59">
        <f>IF(計算用!$P$13="","",IF(計算用!$B$1=1,INDEX(計算用!$G$3:$G$452,計算用!$P$13),INDEX(振り分け!$C$7:$C$456,計算用!$P$13)))</f>
        <v/>
      </c>
      <c r="D15" s="70">
        <f>IF(計算用!$P$13="","",IF(計算用!$B$1=1,INDEX(計算用!$H$3:$H$452,計算用!$P$13),INDEX(振り分け!$D$7:$D$456,計算用!$P$13)))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IF(計算用!$P$14="","",12)</f>
        <v/>
      </c>
      <c r="B16" s="59">
        <f>IF(計算用!$P$14="","",IF(計算用!$B$1=1,INDEX(計算用!$F$3:$F$452,計算用!$P$14),INDEX(振り分け!$B$7:$B$456,計算用!$P$14)))</f>
        <v/>
      </c>
      <c r="C16" s="59">
        <f>IF(計算用!$P$14="","",IF(計算用!$B$1=1,INDEX(計算用!$G$3:$G$452,計算用!$P$14),INDEX(振り分け!$C$7:$C$456,計算用!$P$14)))</f>
        <v/>
      </c>
      <c r="D16" s="70">
        <f>IF(計算用!$P$14="","",IF(計算用!$B$1=1,INDEX(計算用!$H$3:$H$452,計算用!$P$14),INDEX(振り分け!$D$7:$D$456,計算用!$P$14)))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IF(計算用!$P$15="","",13)</f>
        <v/>
      </c>
      <c r="B17" s="59">
        <f>IF(計算用!$P$15="","",IF(計算用!$B$1=1,INDEX(計算用!$F$3:$F$452,計算用!$P$15),INDEX(振り分け!$B$7:$B$456,計算用!$P$15)))</f>
        <v/>
      </c>
      <c r="C17" s="59">
        <f>IF(計算用!$P$15="","",IF(計算用!$B$1=1,INDEX(計算用!$G$3:$G$452,計算用!$P$15),INDEX(振り分け!$C$7:$C$456,計算用!$P$15)))</f>
        <v/>
      </c>
      <c r="D17" s="70">
        <f>IF(計算用!$P$15="","",IF(計算用!$B$1=1,INDEX(計算用!$H$3:$H$452,計算用!$P$15),INDEX(振り分け!$D$7:$D$456,計算用!$P$15)))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IF(計算用!$P$16="","",14)</f>
        <v/>
      </c>
      <c r="B18" s="59">
        <f>IF(計算用!$P$16="","",IF(計算用!$B$1=1,INDEX(計算用!$F$3:$F$452,計算用!$P$16),INDEX(振り分け!$B$7:$B$456,計算用!$P$16)))</f>
        <v/>
      </c>
      <c r="C18" s="59">
        <f>IF(計算用!$P$16="","",IF(計算用!$B$1=1,INDEX(計算用!$G$3:$G$452,計算用!$P$16),INDEX(振り分け!$C$7:$C$456,計算用!$P$16)))</f>
        <v/>
      </c>
      <c r="D18" s="70">
        <f>IF(計算用!$P$16="","",IF(計算用!$B$1=1,INDEX(計算用!$H$3:$H$452,計算用!$P$16),INDEX(振り分け!$D$7:$D$456,計算用!$P$16)))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IF(計算用!$P$17="","",15)</f>
        <v/>
      </c>
      <c r="B19" s="59">
        <f>IF(計算用!$P$17="","",IF(計算用!$B$1=1,INDEX(計算用!$F$3:$F$452,計算用!$P$17),INDEX(振り分け!$B$7:$B$456,計算用!$P$17)))</f>
        <v/>
      </c>
      <c r="C19" s="59">
        <f>IF(計算用!$P$17="","",IF(計算用!$B$1=1,INDEX(計算用!$G$3:$G$452,計算用!$P$17),INDEX(振り分け!$C$7:$C$456,計算用!$P$17)))</f>
        <v/>
      </c>
      <c r="D19" s="70">
        <f>IF(計算用!$P$17="","",IF(計算用!$B$1=1,INDEX(計算用!$H$3:$H$452,計算用!$P$17),INDEX(振り分け!$D$7:$D$456,計算用!$P$17)))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IF(計算用!$P$18="","",16)</f>
        <v/>
      </c>
      <c r="B20" s="59">
        <f>IF(計算用!$P$18="","",IF(計算用!$B$1=1,INDEX(計算用!$F$3:$F$452,計算用!$P$18),INDEX(振り分け!$B$7:$B$456,計算用!$P$18)))</f>
        <v/>
      </c>
      <c r="C20" s="59">
        <f>IF(計算用!$P$18="","",IF(計算用!$B$1=1,INDEX(計算用!$G$3:$G$452,計算用!$P$18),INDEX(振り分け!$C$7:$C$456,計算用!$P$18)))</f>
        <v/>
      </c>
      <c r="D20" s="70">
        <f>IF(計算用!$P$18="","",IF(計算用!$B$1=1,INDEX(計算用!$H$3:$H$452,計算用!$P$18),INDEX(振り分け!$D$7:$D$456,計算用!$P$18)))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IF(計算用!$P$19="","",17)</f>
        <v/>
      </c>
      <c r="B21" s="59">
        <f>IF(計算用!$P$19="","",IF(計算用!$B$1=1,INDEX(計算用!$F$3:$F$452,計算用!$P$19),INDEX(振り分け!$B$7:$B$456,計算用!$P$19)))</f>
        <v/>
      </c>
      <c r="C21" s="59">
        <f>IF(計算用!$P$19="","",IF(計算用!$B$1=1,INDEX(計算用!$G$3:$G$452,計算用!$P$19),INDEX(振り分け!$C$7:$C$456,計算用!$P$19)))</f>
        <v/>
      </c>
      <c r="D21" s="70">
        <f>IF(計算用!$P$19="","",IF(計算用!$B$1=1,INDEX(計算用!$H$3:$H$452,計算用!$P$19),INDEX(振り分け!$D$7:$D$456,計算用!$P$19)))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IF(計算用!$P$20="","",18)</f>
        <v/>
      </c>
      <c r="B22" s="59">
        <f>IF(計算用!$P$20="","",IF(計算用!$B$1=1,INDEX(計算用!$F$3:$F$452,計算用!$P$20),INDEX(振り分け!$B$7:$B$456,計算用!$P$20)))</f>
        <v/>
      </c>
      <c r="C22" s="59">
        <f>IF(計算用!$P$20="","",IF(計算用!$B$1=1,INDEX(計算用!$G$3:$G$452,計算用!$P$20),INDEX(振り分け!$C$7:$C$456,計算用!$P$20)))</f>
        <v/>
      </c>
      <c r="D22" s="70">
        <f>IF(計算用!$P$20="","",IF(計算用!$B$1=1,INDEX(計算用!$H$3:$H$452,計算用!$P$20),INDEX(振り分け!$D$7:$D$456,計算用!$P$20)))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IF(計算用!$P$21="","",19)</f>
        <v/>
      </c>
      <c r="B23" s="59">
        <f>IF(計算用!$P$21="","",IF(計算用!$B$1=1,INDEX(計算用!$F$3:$F$452,計算用!$P$21),INDEX(振り分け!$B$7:$B$456,計算用!$P$21)))</f>
        <v/>
      </c>
      <c r="C23" s="59">
        <f>IF(計算用!$P$21="","",IF(計算用!$B$1=1,INDEX(計算用!$G$3:$G$452,計算用!$P$21),INDEX(振り分け!$C$7:$C$456,計算用!$P$21)))</f>
        <v/>
      </c>
      <c r="D23" s="70">
        <f>IF(計算用!$P$21="","",IF(計算用!$B$1=1,INDEX(計算用!$H$3:$H$452,計算用!$P$21),INDEX(振り分け!$D$7:$D$456,計算用!$P$21)))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IF(計算用!$P$22="","",20)</f>
        <v/>
      </c>
      <c r="B24" s="59">
        <f>IF(計算用!$P$22="","",IF(計算用!$B$1=1,INDEX(計算用!$F$3:$F$452,計算用!$P$22),INDEX(振り分け!$B$7:$B$456,計算用!$P$22)))</f>
        <v/>
      </c>
      <c r="C24" s="59">
        <f>IF(計算用!$P$22="","",IF(計算用!$B$1=1,INDEX(計算用!$G$3:$G$452,計算用!$P$22),INDEX(振り分け!$C$7:$C$456,計算用!$P$22)))</f>
        <v/>
      </c>
      <c r="D24" s="70">
        <f>IF(計算用!$P$22="","",IF(計算用!$B$1=1,INDEX(計算用!$H$3:$H$452,計算用!$P$22),INDEX(振り分け!$D$7:$D$456,計算用!$P$22)))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IF(計算用!$P$23="","",21)</f>
        <v/>
      </c>
      <c r="B25" s="59">
        <f>IF(計算用!$P$23="","",IF(計算用!$B$1=1,INDEX(計算用!$F$3:$F$452,計算用!$P$23),INDEX(振り分け!$B$7:$B$456,計算用!$P$23)))</f>
        <v/>
      </c>
      <c r="C25" s="59">
        <f>IF(計算用!$P$23="","",IF(計算用!$B$1=1,INDEX(計算用!$G$3:$G$452,計算用!$P$23),INDEX(振り分け!$C$7:$C$456,計算用!$P$23)))</f>
        <v/>
      </c>
      <c r="D25" s="70">
        <f>IF(計算用!$P$23="","",IF(計算用!$B$1=1,INDEX(計算用!$H$3:$H$452,計算用!$P$23),INDEX(振り分け!$D$7:$D$456,計算用!$P$23)))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IF(計算用!$P$24="","",22)</f>
        <v/>
      </c>
      <c r="B26" s="59">
        <f>IF(計算用!$P$24="","",IF(計算用!$B$1=1,INDEX(計算用!$F$3:$F$452,計算用!$P$24),INDEX(振り分け!$B$7:$B$456,計算用!$P$24)))</f>
        <v/>
      </c>
      <c r="C26" s="59">
        <f>IF(計算用!$P$24="","",IF(計算用!$B$1=1,INDEX(計算用!$G$3:$G$452,計算用!$P$24),INDEX(振り分け!$C$7:$C$456,計算用!$P$24)))</f>
        <v/>
      </c>
      <c r="D26" s="70">
        <f>IF(計算用!$P$24="","",IF(計算用!$B$1=1,INDEX(計算用!$H$3:$H$452,計算用!$P$24),INDEX(振り分け!$D$7:$D$456,計算用!$P$24)))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IF(計算用!$P$25="","",23)</f>
        <v/>
      </c>
      <c r="B27" s="59">
        <f>IF(計算用!$P$25="","",IF(計算用!$B$1=1,INDEX(計算用!$F$3:$F$452,計算用!$P$25),INDEX(振り分け!$B$7:$B$456,計算用!$P$25)))</f>
        <v/>
      </c>
      <c r="C27" s="59">
        <f>IF(計算用!$P$25="","",IF(計算用!$B$1=1,INDEX(計算用!$G$3:$G$452,計算用!$P$25),INDEX(振り分け!$C$7:$C$456,計算用!$P$25)))</f>
        <v/>
      </c>
      <c r="D27" s="70">
        <f>IF(計算用!$P$25="","",IF(計算用!$B$1=1,INDEX(計算用!$H$3:$H$452,計算用!$P$25),INDEX(振り分け!$D$7:$D$456,計算用!$P$25)))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IF(計算用!$P$26="","",24)</f>
        <v/>
      </c>
      <c r="B28" s="59">
        <f>IF(計算用!$P$26="","",IF(計算用!$B$1=1,INDEX(計算用!$F$3:$F$452,計算用!$P$26),INDEX(振り分け!$B$7:$B$456,計算用!$P$26)))</f>
        <v/>
      </c>
      <c r="C28" s="59">
        <f>IF(計算用!$P$26="","",IF(計算用!$B$1=1,INDEX(計算用!$G$3:$G$452,計算用!$P$26),INDEX(振り分け!$C$7:$C$456,計算用!$P$26)))</f>
        <v/>
      </c>
      <c r="D28" s="70">
        <f>IF(計算用!$P$26="","",IF(計算用!$B$1=1,INDEX(計算用!$H$3:$H$452,計算用!$P$26),INDEX(振り分け!$D$7:$D$456,計算用!$P$26)))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IF(計算用!$P$27="","",25)</f>
        <v/>
      </c>
      <c r="B29" s="59">
        <f>IF(計算用!$P$27="","",IF(計算用!$B$1=1,INDEX(計算用!$F$3:$F$452,計算用!$P$27),INDEX(振り分け!$B$7:$B$456,計算用!$P$27)))</f>
        <v/>
      </c>
      <c r="C29" s="59">
        <f>IF(計算用!$P$27="","",IF(計算用!$B$1=1,INDEX(計算用!$G$3:$G$452,計算用!$P$27),INDEX(振り分け!$C$7:$C$456,計算用!$P$27)))</f>
        <v/>
      </c>
      <c r="D29" s="70">
        <f>IF(計算用!$P$27="","",IF(計算用!$B$1=1,INDEX(計算用!$H$3:$H$452,計算用!$P$27),INDEX(振り分け!$D$7:$D$456,計算用!$P$27)))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IF(計算用!$P$28="","",26)</f>
        <v/>
      </c>
      <c r="B30" s="59">
        <f>IF(計算用!$P$28="","",IF(計算用!$B$1=1,INDEX(計算用!$F$3:$F$452,計算用!$P$28),INDEX(振り分け!$B$7:$B$456,計算用!$P$28)))</f>
        <v/>
      </c>
      <c r="C30" s="59">
        <f>IF(計算用!$P$28="","",IF(計算用!$B$1=1,INDEX(計算用!$G$3:$G$452,計算用!$P$28),INDEX(振り分け!$C$7:$C$456,計算用!$P$28)))</f>
        <v/>
      </c>
      <c r="D30" s="70">
        <f>IF(計算用!$P$28="","",IF(計算用!$B$1=1,INDEX(計算用!$H$3:$H$452,計算用!$P$28),INDEX(振り分け!$D$7:$D$456,計算用!$P$28)))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IF(計算用!$P$29="","",27)</f>
        <v/>
      </c>
      <c r="B31" s="59">
        <f>IF(計算用!$P$29="","",IF(計算用!$B$1=1,INDEX(計算用!$F$3:$F$452,計算用!$P$29),INDEX(振り分け!$B$7:$B$456,計算用!$P$29)))</f>
        <v/>
      </c>
      <c r="C31" s="59">
        <f>IF(計算用!$P$29="","",IF(計算用!$B$1=1,INDEX(計算用!$G$3:$G$452,計算用!$P$29),INDEX(振り分け!$C$7:$C$456,計算用!$P$29)))</f>
        <v/>
      </c>
      <c r="D31" s="70">
        <f>IF(計算用!$P$29="","",IF(計算用!$B$1=1,INDEX(計算用!$H$3:$H$452,計算用!$P$29),INDEX(振り分け!$D$7:$D$456,計算用!$P$29)))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IF(計算用!$P$30="","",28)</f>
        <v/>
      </c>
      <c r="B32" s="59">
        <f>IF(計算用!$P$30="","",IF(計算用!$B$1=1,INDEX(計算用!$F$3:$F$452,計算用!$P$30),INDEX(振り分け!$B$7:$B$456,計算用!$P$30)))</f>
        <v/>
      </c>
      <c r="C32" s="59">
        <f>IF(計算用!$P$30="","",IF(計算用!$B$1=1,INDEX(計算用!$G$3:$G$452,計算用!$P$30),INDEX(振り分け!$C$7:$C$456,計算用!$P$30)))</f>
        <v/>
      </c>
      <c r="D32" s="70">
        <f>IF(計算用!$P$30="","",IF(計算用!$B$1=1,INDEX(計算用!$H$3:$H$452,計算用!$P$30),INDEX(振り分け!$D$7:$D$456,計算用!$P$30)))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IF(計算用!$P$31="","",29)</f>
        <v/>
      </c>
      <c r="B33" s="59">
        <f>IF(計算用!$P$31="","",IF(計算用!$B$1=1,INDEX(計算用!$F$3:$F$452,計算用!$P$31),INDEX(振り分け!$B$7:$B$456,計算用!$P$31)))</f>
        <v/>
      </c>
      <c r="C33" s="59">
        <f>IF(計算用!$P$31="","",IF(計算用!$B$1=1,INDEX(計算用!$G$3:$G$452,計算用!$P$31),INDEX(振り分け!$C$7:$C$456,計算用!$P$31)))</f>
        <v/>
      </c>
      <c r="D33" s="70">
        <f>IF(計算用!$P$31="","",IF(計算用!$B$1=1,INDEX(計算用!$H$3:$H$452,計算用!$P$31),INDEX(振り分け!$D$7:$D$456,計算用!$P$31)))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IF(計算用!$P$32="","",30)</f>
        <v/>
      </c>
      <c r="B34" s="59">
        <f>IF(計算用!$P$32="","",IF(計算用!$B$1=1,INDEX(計算用!$F$3:$F$452,計算用!$P$32),INDEX(振り分け!$B$7:$B$456,計算用!$P$32)))</f>
        <v/>
      </c>
      <c r="C34" s="59">
        <f>IF(計算用!$P$32="","",IF(計算用!$B$1=1,INDEX(計算用!$G$3:$G$452,計算用!$P$32),INDEX(振り分け!$C$7:$C$456,計算用!$P$32)))</f>
        <v/>
      </c>
      <c r="D34" s="70">
        <f>IF(計算用!$P$32="","",IF(計算用!$B$1=1,INDEX(計算用!$H$3:$H$452,計算用!$P$32),INDEX(振り分け!$D$7:$D$456,計算用!$P$32)))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IF(計算用!$P$33="","",31)</f>
        <v/>
      </c>
      <c r="B35" s="59">
        <f>IF(計算用!$P$33="","",IF(計算用!$B$1=1,INDEX(計算用!$F$3:$F$452,計算用!$P$33),INDEX(振り分け!$B$7:$B$456,計算用!$P$33)))</f>
        <v/>
      </c>
      <c r="C35" s="59">
        <f>IF(計算用!$P$33="","",IF(計算用!$B$1=1,INDEX(計算用!$G$3:$G$452,計算用!$P$33),INDEX(振り分け!$C$7:$C$456,計算用!$P$33)))</f>
        <v/>
      </c>
      <c r="D35" s="70">
        <f>IF(計算用!$P$33="","",IF(計算用!$B$1=1,INDEX(計算用!$H$3:$H$452,計算用!$P$33),INDEX(振り分け!$D$7:$D$456,計算用!$P$33)))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IF(計算用!$P$34="","",32)</f>
        <v/>
      </c>
      <c r="B36" s="59">
        <f>IF(計算用!$P$34="","",IF(計算用!$B$1=1,INDEX(計算用!$F$3:$F$452,計算用!$P$34),INDEX(振り分け!$B$7:$B$456,計算用!$P$34)))</f>
        <v/>
      </c>
      <c r="C36" s="59">
        <f>IF(計算用!$P$34="","",IF(計算用!$B$1=1,INDEX(計算用!$G$3:$G$452,計算用!$P$34),INDEX(振り分け!$C$7:$C$456,計算用!$P$34)))</f>
        <v/>
      </c>
      <c r="D36" s="70">
        <f>IF(計算用!$P$34="","",IF(計算用!$B$1=1,INDEX(計算用!$H$3:$H$452,計算用!$P$34),INDEX(振り分け!$D$7:$D$456,計算用!$P$34)))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IF(計算用!$P$35="","",33)</f>
        <v/>
      </c>
      <c r="B37" s="59">
        <f>IF(計算用!$P$35="","",IF(計算用!$B$1=1,INDEX(計算用!$F$3:$F$452,計算用!$P$35),INDEX(振り分け!$B$7:$B$456,計算用!$P$35)))</f>
        <v/>
      </c>
      <c r="C37" s="59">
        <f>IF(計算用!$P$35="","",IF(計算用!$B$1=1,INDEX(計算用!$G$3:$G$452,計算用!$P$35),INDEX(振り分け!$C$7:$C$456,計算用!$P$35)))</f>
        <v/>
      </c>
      <c r="D37" s="70">
        <f>IF(計算用!$P$35="","",IF(計算用!$B$1=1,INDEX(計算用!$H$3:$H$452,計算用!$P$35),INDEX(振り分け!$D$7:$D$456,計算用!$P$35)))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IF(計算用!$P$36="","",34)</f>
        <v/>
      </c>
      <c r="B38" s="59">
        <f>IF(計算用!$P$36="","",IF(計算用!$B$1=1,INDEX(計算用!$F$3:$F$452,計算用!$P$36),INDEX(振り分け!$B$7:$B$456,計算用!$P$36)))</f>
        <v/>
      </c>
      <c r="C38" s="59">
        <f>IF(計算用!$P$36="","",IF(計算用!$B$1=1,INDEX(計算用!$G$3:$G$452,計算用!$P$36),INDEX(振り分け!$C$7:$C$456,計算用!$P$36)))</f>
        <v/>
      </c>
      <c r="D38" s="70">
        <f>IF(計算用!$P$36="","",IF(計算用!$B$1=1,INDEX(計算用!$H$3:$H$452,計算用!$P$36),INDEX(振り分け!$D$7:$D$456,計算用!$P$36)))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IF(計算用!$P$37="","",35)</f>
        <v/>
      </c>
      <c r="B39" s="59">
        <f>IF(計算用!$P$37="","",IF(計算用!$B$1=1,INDEX(計算用!$F$3:$F$452,計算用!$P$37),INDEX(振り分け!$B$7:$B$456,計算用!$P$37)))</f>
        <v/>
      </c>
      <c r="C39" s="59">
        <f>IF(計算用!$P$37="","",IF(計算用!$B$1=1,INDEX(計算用!$G$3:$G$452,計算用!$P$37),INDEX(振り分け!$C$7:$C$456,計算用!$P$37)))</f>
        <v/>
      </c>
      <c r="D39" s="70">
        <f>IF(計算用!$P$37="","",IF(計算用!$B$1=1,INDEX(計算用!$H$3:$H$452,計算用!$P$37),INDEX(振り分け!$D$7:$D$456,計算用!$P$37)))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IF(計算用!$P$38="","",36)</f>
        <v/>
      </c>
      <c r="B40" s="59">
        <f>IF(計算用!$P$38="","",IF(計算用!$B$1=1,INDEX(計算用!$F$3:$F$452,計算用!$P$38),INDEX(振り分け!$B$7:$B$456,計算用!$P$38)))</f>
        <v/>
      </c>
      <c r="C40" s="59">
        <f>IF(計算用!$P$38="","",IF(計算用!$B$1=1,INDEX(計算用!$G$3:$G$452,計算用!$P$38),INDEX(振り分け!$C$7:$C$456,計算用!$P$38)))</f>
        <v/>
      </c>
      <c r="D40" s="70">
        <f>IF(計算用!$P$38="","",IF(計算用!$B$1=1,INDEX(計算用!$H$3:$H$452,計算用!$P$38),INDEX(振り分け!$D$7:$D$456,計算用!$P$38)))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IF(計算用!$P$39="","",37)</f>
        <v/>
      </c>
      <c r="B41" s="59">
        <f>IF(計算用!$P$39="","",IF(計算用!$B$1=1,INDEX(計算用!$F$3:$F$452,計算用!$P$39),INDEX(振り分け!$B$7:$B$456,計算用!$P$39)))</f>
        <v/>
      </c>
      <c r="C41" s="59">
        <f>IF(計算用!$P$39="","",IF(計算用!$B$1=1,INDEX(計算用!$G$3:$G$452,計算用!$P$39),INDEX(振り分け!$C$7:$C$456,計算用!$P$39)))</f>
        <v/>
      </c>
      <c r="D41" s="70">
        <f>IF(計算用!$P$39="","",IF(計算用!$B$1=1,INDEX(計算用!$H$3:$H$452,計算用!$P$39),INDEX(振り分け!$D$7:$D$456,計算用!$P$39)))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IF(計算用!$P$40="","",38)</f>
        <v/>
      </c>
      <c r="B42" s="59">
        <f>IF(計算用!$P$40="","",IF(計算用!$B$1=1,INDEX(計算用!$F$3:$F$452,計算用!$P$40),INDEX(振り分け!$B$7:$B$456,計算用!$P$40)))</f>
        <v/>
      </c>
      <c r="C42" s="59">
        <f>IF(計算用!$P$40="","",IF(計算用!$B$1=1,INDEX(計算用!$G$3:$G$452,計算用!$P$40),INDEX(振り分け!$C$7:$C$456,計算用!$P$40)))</f>
        <v/>
      </c>
      <c r="D42" s="70">
        <f>IF(計算用!$P$40="","",IF(計算用!$B$1=1,INDEX(計算用!$H$3:$H$452,計算用!$P$40),INDEX(振り分け!$D$7:$D$456,計算用!$P$40)))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IF(計算用!$P$41="","",39)</f>
        <v/>
      </c>
      <c r="B43" s="59">
        <f>IF(計算用!$P$41="","",IF(計算用!$B$1=1,INDEX(計算用!$F$3:$F$452,計算用!$P$41),INDEX(振り分け!$B$7:$B$456,計算用!$P$41)))</f>
        <v/>
      </c>
      <c r="C43" s="59">
        <f>IF(計算用!$P$41="","",IF(計算用!$B$1=1,INDEX(計算用!$G$3:$G$452,計算用!$P$41),INDEX(振り分け!$C$7:$C$456,計算用!$P$41)))</f>
        <v/>
      </c>
      <c r="D43" s="70">
        <f>IF(計算用!$P$41="","",IF(計算用!$B$1=1,INDEX(計算用!$H$3:$H$452,計算用!$P$41),INDEX(振り分け!$D$7:$D$456,計算用!$P$41)))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IF(計算用!$P$42="","",40)</f>
        <v/>
      </c>
      <c r="B44" s="59">
        <f>IF(計算用!$P$42="","",IF(計算用!$B$1=1,INDEX(計算用!$F$3:$F$452,計算用!$P$42),INDEX(振り分け!$B$7:$B$456,計算用!$P$42)))</f>
        <v/>
      </c>
      <c r="C44" s="59">
        <f>IF(計算用!$P$42="","",IF(計算用!$B$1=1,INDEX(計算用!$G$3:$G$452,計算用!$P$42),INDEX(振り分け!$C$7:$C$456,計算用!$P$42)))</f>
        <v/>
      </c>
      <c r="D44" s="70">
        <f>IF(計算用!$P$42="","",IF(計算用!$B$1=1,INDEX(計算用!$H$3:$H$452,計算用!$P$42),INDEX(振り分け!$D$7:$D$456,計算用!$P$42)))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IF(計算用!$P$43="","",41)</f>
        <v/>
      </c>
      <c r="B45" s="59">
        <f>IF(計算用!$P$43="","",IF(計算用!$B$1=1,INDEX(計算用!$F$3:$F$452,計算用!$P$43),INDEX(振り分け!$B$7:$B$456,計算用!$P$43)))</f>
        <v/>
      </c>
      <c r="C45" s="59">
        <f>IF(計算用!$P$43="","",IF(計算用!$B$1=1,INDEX(計算用!$G$3:$G$452,計算用!$P$43),INDEX(振り分け!$C$7:$C$456,計算用!$P$43)))</f>
        <v/>
      </c>
      <c r="D45" s="70">
        <f>IF(計算用!$P$43="","",IF(計算用!$B$1=1,INDEX(計算用!$H$3:$H$452,計算用!$P$43),INDEX(振り分け!$D$7:$D$456,計算用!$P$43)))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IF(計算用!$P$44="","",42)</f>
        <v/>
      </c>
      <c r="B46" s="59">
        <f>IF(計算用!$P$44="","",IF(計算用!$B$1=1,INDEX(計算用!$F$3:$F$452,計算用!$P$44),INDEX(振り分け!$B$7:$B$456,計算用!$P$44)))</f>
        <v/>
      </c>
      <c r="C46" s="59">
        <f>IF(計算用!$P$44="","",IF(計算用!$B$1=1,INDEX(計算用!$G$3:$G$452,計算用!$P$44),INDEX(振り分け!$C$7:$C$456,計算用!$P$44)))</f>
        <v/>
      </c>
      <c r="D46" s="70">
        <f>IF(計算用!$P$44="","",IF(計算用!$B$1=1,INDEX(計算用!$H$3:$H$452,計算用!$P$44),INDEX(振り分け!$D$7:$D$456,計算用!$P$44)))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IF(計算用!$P$45="","",43)</f>
        <v/>
      </c>
      <c r="B47" s="59">
        <f>IF(計算用!$P$45="","",IF(計算用!$B$1=1,INDEX(計算用!$F$3:$F$452,計算用!$P$45),INDEX(振り分け!$B$7:$B$456,計算用!$P$45)))</f>
        <v/>
      </c>
      <c r="C47" s="59">
        <f>IF(計算用!$P$45="","",IF(計算用!$B$1=1,INDEX(計算用!$G$3:$G$452,計算用!$P$45),INDEX(振り分け!$C$7:$C$456,計算用!$P$45)))</f>
        <v/>
      </c>
      <c r="D47" s="70">
        <f>IF(計算用!$P$45="","",IF(計算用!$B$1=1,INDEX(計算用!$H$3:$H$452,計算用!$P$45),INDEX(振り分け!$D$7:$D$456,計算用!$P$45)))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IF(計算用!$P$46="","",44)</f>
        <v/>
      </c>
      <c r="B48" s="59">
        <f>IF(計算用!$P$46="","",IF(計算用!$B$1=1,INDEX(計算用!$F$3:$F$452,計算用!$P$46),INDEX(振り分け!$B$7:$B$456,計算用!$P$46)))</f>
        <v/>
      </c>
      <c r="C48" s="59">
        <f>IF(計算用!$P$46="","",IF(計算用!$B$1=1,INDEX(計算用!$G$3:$G$452,計算用!$P$46),INDEX(振り分け!$C$7:$C$456,計算用!$P$46)))</f>
        <v/>
      </c>
      <c r="D48" s="70">
        <f>IF(計算用!$P$46="","",IF(計算用!$B$1=1,INDEX(計算用!$H$3:$H$452,計算用!$P$46),INDEX(振り分け!$D$7:$D$456,計算用!$P$46)))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IF(計算用!$P$47="","",45)</f>
        <v/>
      </c>
      <c r="B49" s="59">
        <f>IF(計算用!$P$47="","",IF(計算用!$B$1=1,INDEX(計算用!$F$3:$F$452,計算用!$P$47),INDEX(振り分け!$B$7:$B$456,計算用!$P$47)))</f>
        <v/>
      </c>
      <c r="C49" s="59">
        <f>IF(計算用!$P$47="","",IF(計算用!$B$1=1,INDEX(計算用!$G$3:$G$452,計算用!$P$47),INDEX(振り分け!$C$7:$C$456,計算用!$P$47)))</f>
        <v/>
      </c>
      <c r="D49" s="70">
        <f>IF(計算用!$P$47="","",IF(計算用!$B$1=1,INDEX(計算用!$H$3:$H$452,計算用!$P$47),INDEX(振り分け!$D$7:$D$456,計算用!$P$47)))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IF(計算用!$P$48="","",46)</f>
        <v/>
      </c>
      <c r="B50" s="59">
        <f>IF(計算用!$P$48="","",IF(計算用!$B$1=1,INDEX(計算用!$F$3:$F$452,計算用!$P$48),INDEX(振り分け!$B$7:$B$456,計算用!$P$48)))</f>
        <v/>
      </c>
      <c r="C50" s="59">
        <f>IF(計算用!$P$48="","",IF(計算用!$B$1=1,INDEX(計算用!$G$3:$G$452,計算用!$P$48),INDEX(振り分け!$C$7:$C$456,計算用!$P$48)))</f>
        <v/>
      </c>
      <c r="D50" s="70">
        <f>IF(計算用!$P$48="","",IF(計算用!$B$1=1,INDEX(計算用!$H$3:$H$452,計算用!$P$48),INDEX(振り分け!$D$7:$D$456,計算用!$P$48)))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IF(計算用!$P$49="","",47)</f>
        <v/>
      </c>
      <c r="B51" s="59">
        <f>IF(計算用!$P$49="","",IF(計算用!$B$1=1,INDEX(計算用!$F$3:$F$452,計算用!$P$49),INDEX(振り分け!$B$7:$B$456,計算用!$P$49)))</f>
        <v/>
      </c>
      <c r="C51" s="59">
        <f>IF(計算用!$P$49="","",IF(計算用!$B$1=1,INDEX(計算用!$G$3:$G$452,計算用!$P$49),INDEX(振り分け!$C$7:$C$456,計算用!$P$49)))</f>
        <v/>
      </c>
      <c r="D51" s="70">
        <f>IF(計算用!$P$49="","",IF(計算用!$B$1=1,INDEX(計算用!$H$3:$H$452,計算用!$P$49),INDEX(振り分け!$D$7:$D$456,計算用!$P$49)))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IF(計算用!$P$50="","",48)</f>
        <v/>
      </c>
      <c r="B52" s="59">
        <f>IF(計算用!$P$50="","",IF(計算用!$B$1=1,INDEX(計算用!$F$3:$F$452,計算用!$P$50),INDEX(振り分け!$B$7:$B$456,計算用!$P$50)))</f>
        <v/>
      </c>
      <c r="C52" s="59">
        <f>IF(計算用!$P$50="","",IF(計算用!$B$1=1,INDEX(計算用!$G$3:$G$452,計算用!$P$50),INDEX(振り分け!$C$7:$C$456,計算用!$P$50)))</f>
        <v/>
      </c>
      <c r="D52" s="70">
        <f>IF(計算用!$P$50="","",IF(計算用!$B$1=1,INDEX(計算用!$H$3:$H$452,計算用!$P$50),INDEX(振り分け!$D$7:$D$456,計算用!$P$50)))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IF(計算用!$P$51="","",49)</f>
        <v/>
      </c>
      <c r="B53" s="59">
        <f>IF(計算用!$P$51="","",IF(計算用!$B$1=1,INDEX(計算用!$F$3:$F$452,計算用!$P$51),INDEX(振り分け!$B$7:$B$456,計算用!$P$51)))</f>
        <v/>
      </c>
      <c r="C53" s="59">
        <f>IF(計算用!$P$51="","",IF(計算用!$B$1=1,INDEX(計算用!$G$3:$G$452,計算用!$P$51),INDEX(振り分け!$C$7:$C$456,計算用!$P$51)))</f>
        <v/>
      </c>
      <c r="D53" s="70">
        <f>IF(計算用!$P$51="","",IF(計算用!$B$1=1,INDEX(計算用!$H$3:$H$452,計算用!$P$51),INDEX(振り分け!$D$7:$D$456,計算用!$P$51)))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IF(計算用!$P$52="","",50)</f>
        <v/>
      </c>
      <c r="B54" s="59">
        <f>IF(計算用!$P$52="","",IF(計算用!$B$1=1,INDEX(計算用!$F$3:$F$452,計算用!$P$52),INDEX(振り分け!$B$7:$B$456,計算用!$P$52)))</f>
        <v/>
      </c>
      <c r="C54" s="59">
        <f>IF(計算用!$P$52="","",IF(計算用!$B$1=1,INDEX(計算用!$G$3:$G$452,計算用!$P$52),INDEX(振り分け!$C$7:$C$456,計算用!$P$52)))</f>
        <v/>
      </c>
      <c r="D54" s="70">
        <f>IF(計算用!$P$52="","",IF(計算用!$B$1=1,INDEX(計算用!$H$3:$H$452,計算用!$P$52),INDEX(振り分け!$D$7:$D$456,計算用!$P$52)))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IF(設定!$P$15="","",設定!$B$3&amp;"　"&amp;設定!$P$15&amp;設定!$B$4&amp;"名簿"&amp;IF(計算用!$B$1=0,"（仮・前年度の組）",""))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IF(設定!$P$15="","","担当："&amp;設定!$S$15&amp;"　　活動場所："&amp;設定!$T$15&amp;"　　人数："&amp;定員チェック!$I$14&amp;"名（"&amp;設定!$B$8&amp;"年"&amp;定員チェック!$J$14&amp;"・"&amp;設定!$B$9&amp;"年"&amp;定員チェック!$K$14&amp;"・"&amp;設定!$B$10&amp;"年"&amp;定員チェック!$L$14&amp;"）")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IF(計算用!$Q$3="","",1)</f>
        <v/>
      </c>
      <c r="B5" s="59">
        <f>IF(計算用!$Q$3="","",IF(計算用!$B$1=1,INDEX(計算用!$F$3:$F$452,計算用!$Q$3),INDEX(振り分け!$B$7:$B$456,計算用!$Q$3)))</f>
        <v/>
      </c>
      <c r="C5" s="59">
        <f>IF(計算用!$Q$3="","",IF(計算用!$B$1=1,INDEX(計算用!$G$3:$G$452,計算用!$Q$3),INDEX(振り分け!$C$7:$C$456,計算用!$Q$3)))</f>
        <v/>
      </c>
      <c r="D5" s="70">
        <f>IF(計算用!$Q$3="","",IF(計算用!$B$1=1,INDEX(計算用!$H$3:$H$452,計算用!$Q$3),INDEX(振り分け!$D$7:$D$456,計算用!$Q$3)))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IF(計算用!$Q$4="","",2)</f>
        <v/>
      </c>
      <c r="B6" s="59">
        <f>IF(計算用!$Q$4="","",IF(計算用!$B$1=1,INDEX(計算用!$F$3:$F$452,計算用!$Q$4),INDEX(振り分け!$B$7:$B$456,計算用!$Q$4)))</f>
        <v/>
      </c>
      <c r="C6" s="59">
        <f>IF(計算用!$Q$4="","",IF(計算用!$B$1=1,INDEX(計算用!$G$3:$G$452,計算用!$Q$4),INDEX(振り分け!$C$7:$C$456,計算用!$Q$4)))</f>
        <v/>
      </c>
      <c r="D6" s="70">
        <f>IF(計算用!$Q$4="","",IF(計算用!$B$1=1,INDEX(計算用!$H$3:$H$452,計算用!$Q$4),INDEX(振り分け!$D$7:$D$456,計算用!$Q$4)))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IF(計算用!$Q$5="","",3)</f>
        <v/>
      </c>
      <c r="B7" s="59">
        <f>IF(計算用!$Q$5="","",IF(計算用!$B$1=1,INDEX(計算用!$F$3:$F$452,計算用!$Q$5),INDEX(振り分け!$B$7:$B$456,計算用!$Q$5)))</f>
        <v/>
      </c>
      <c r="C7" s="59">
        <f>IF(計算用!$Q$5="","",IF(計算用!$B$1=1,INDEX(計算用!$G$3:$G$452,計算用!$Q$5),INDEX(振り分け!$C$7:$C$456,計算用!$Q$5)))</f>
        <v/>
      </c>
      <c r="D7" s="70">
        <f>IF(計算用!$Q$5="","",IF(計算用!$B$1=1,INDEX(計算用!$H$3:$H$452,計算用!$Q$5),INDEX(振り分け!$D$7:$D$456,計算用!$Q$5)))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IF(計算用!$Q$6="","",4)</f>
        <v/>
      </c>
      <c r="B8" s="59">
        <f>IF(計算用!$Q$6="","",IF(計算用!$B$1=1,INDEX(計算用!$F$3:$F$452,計算用!$Q$6),INDEX(振り分け!$B$7:$B$456,計算用!$Q$6)))</f>
        <v/>
      </c>
      <c r="C8" s="59">
        <f>IF(計算用!$Q$6="","",IF(計算用!$B$1=1,INDEX(計算用!$G$3:$G$452,計算用!$Q$6),INDEX(振り分け!$C$7:$C$456,計算用!$Q$6)))</f>
        <v/>
      </c>
      <c r="D8" s="70">
        <f>IF(計算用!$Q$6="","",IF(計算用!$B$1=1,INDEX(計算用!$H$3:$H$452,計算用!$Q$6),INDEX(振り分け!$D$7:$D$456,計算用!$Q$6)))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IF(計算用!$Q$7="","",5)</f>
        <v/>
      </c>
      <c r="B9" s="59">
        <f>IF(計算用!$Q$7="","",IF(計算用!$B$1=1,INDEX(計算用!$F$3:$F$452,計算用!$Q$7),INDEX(振り分け!$B$7:$B$456,計算用!$Q$7)))</f>
        <v/>
      </c>
      <c r="C9" s="59">
        <f>IF(計算用!$Q$7="","",IF(計算用!$B$1=1,INDEX(計算用!$G$3:$G$452,計算用!$Q$7),INDEX(振り分け!$C$7:$C$456,計算用!$Q$7)))</f>
        <v/>
      </c>
      <c r="D9" s="70">
        <f>IF(計算用!$Q$7="","",IF(計算用!$B$1=1,INDEX(計算用!$H$3:$H$452,計算用!$Q$7),INDEX(振り分け!$D$7:$D$456,計算用!$Q$7)))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IF(計算用!$Q$8="","",6)</f>
        <v/>
      </c>
      <c r="B10" s="59">
        <f>IF(計算用!$Q$8="","",IF(計算用!$B$1=1,INDEX(計算用!$F$3:$F$452,計算用!$Q$8),INDEX(振り分け!$B$7:$B$456,計算用!$Q$8)))</f>
        <v/>
      </c>
      <c r="C10" s="59">
        <f>IF(計算用!$Q$8="","",IF(計算用!$B$1=1,INDEX(計算用!$G$3:$G$452,計算用!$Q$8),INDEX(振り分け!$C$7:$C$456,計算用!$Q$8)))</f>
        <v/>
      </c>
      <c r="D10" s="70">
        <f>IF(計算用!$Q$8="","",IF(計算用!$B$1=1,INDEX(計算用!$H$3:$H$452,計算用!$Q$8),INDEX(振り分け!$D$7:$D$456,計算用!$Q$8)))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IF(計算用!$Q$9="","",7)</f>
        <v/>
      </c>
      <c r="B11" s="59">
        <f>IF(計算用!$Q$9="","",IF(計算用!$B$1=1,INDEX(計算用!$F$3:$F$452,計算用!$Q$9),INDEX(振り分け!$B$7:$B$456,計算用!$Q$9)))</f>
        <v/>
      </c>
      <c r="C11" s="59">
        <f>IF(計算用!$Q$9="","",IF(計算用!$B$1=1,INDEX(計算用!$G$3:$G$452,計算用!$Q$9),INDEX(振り分け!$C$7:$C$456,計算用!$Q$9)))</f>
        <v/>
      </c>
      <c r="D11" s="70">
        <f>IF(計算用!$Q$9="","",IF(計算用!$B$1=1,INDEX(計算用!$H$3:$H$452,計算用!$Q$9),INDEX(振り分け!$D$7:$D$456,計算用!$Q$9)))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IF(計算用!$Q$10="","",8)</f>
        <v/>
      </c>
      <c r="B12" s="59">
        <f>IF(計算用!$Q$10="","",IF(計算用!$B$1=1,INDEX(計算用!$F$3:$F$452,計算用!$Q$10),INDEX(振り分け!$B$7:$B$456,計算用!$Q$10)))</f>
        <v/>
      </c>
      <c r="C12" s="59">
        <f>IF(計算用!$Q$10="","",IF(計算用!$B$1=1,INDEX(計算用!$G$3:$G$452,計算用!$Q$10),INDEX(振り分け!$C$7:$C$456,計算用!$Q$10)))</f>
        <v/>
      </c>
      <c r="D12" s="70">
        <f>IF(計算用!$Q$10="","",IF(計算用!$B$1=1,INDEX(計算用!$H$3:$H$452,計算用!$Q$10),INDEX(振り分け!$D$7:$D$456,計算用!$Q$10)))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IF(計算用!$Q$11="","",9)</f>
        <v/>
      </c>
      <c r="B13" s="59">
        <f>IF(計算用!$Q$11="","",IF(計算用!$B$1=1,INDEX(計算用!$F$3:$F$452,計算用!$Q$11),INDEX(振り分け!$B$7:$B$456,計算用!$Q$11)))</f>
        <v/>
      </c>
      <c r="C13" s="59">
        <f>IF(計算用!$Q$11="","",IF(計算用!$B$1=1,INDEX(計算用!$G$3:$G$452,計算用!$Q$11),INDEX(振り分け!$C$7:$C$456,計算用!$Q$11)))</f>
        <v/>
      </c>
      <c r="D13" s="70">
        <f>IF(計算用!$Q$11="","",IF(計算用!$B$1=1,INDEX(計算用!$H$3:$H$452,計算用!$Q$11),INDEX(振り分け!$D$7:$D$456,計算用!$Q$11)))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IF(計算用!$Q$12="","",10)</f>
        <v/>
      </c>
      <c r="B14" s="59">
        <f>IF(計算用!$Q$12="","",IF(計算用!$B$1=1,INDEX(計算用!$F$3:$F$452,計算用!$Q$12),INDEX(振り分け!$B$7:$B$456,計算用!$Q$12)))</f>
        <v/>
      </c>
      <c r="C14" s="59">
        <f>IF(計算用!$Q$12="","",IF(計算用!$B$1=1,INDEX(計算用!$G$3:$G$452,計算用!$Q$12),INDEX(振り分け!$C$7:$C$456,計算用!$Q$12)))</f>
        <v/>
      </c>
      <c r="D14" s="70">
        <f>IF(計算用!$Q$12="","",IF(計算用!$B$1=1,INDEX(計算用!$H$3:$H$452,計算用!$Q$12),INDEX(振り分け!$D$7:$D$456,計算用!$Q$12)))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IF(計算用!$Q$13="","",11)</f>
        <v/>
      </c>
      <c r="B15" s="59">
        <f>IF(計算用!$Q$13="","",IF(計算用!$B$1=1,INDEX(計算用!$F$3:$F$452,計算用!$Q$13),INDEX(振り分け!$B$7:$B$456,計算用!$Q$13)))</f>
        <v/>
      </c>
      <c r="C15" s="59">
        <f>IF(計算用!$Q$13="","",IF(計算用!$B$1=1,INDEX(計算用!$G$3:$G$452,計算用!$Q$13),INDEX(振り分け!$C$7:$C$456,計算用!$Q$13)))</f>
        <v/>
      </c>
      <c r="D15" s="70">
        <f>IF(計算用!$Q$13="","",IF(計算用!$B$1=1,INDEX(計算用!$H$3:$H$452,計算用!$Q$13),INDEX(振り分け!$D$7:$D$456,計算用!$Q$13)))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IF(計算用!$Q$14="","",12)</f>
        <v/>
      </c>
      <c r="B16" s="59">
        <f>IF(計算用!$Q$14="","",IF(計算用!$B$1=1,INDEX(計算用!$F$3:$F$452,計算用!$Q$14),INDEX(振り分け!$B$7:$B$456,計算用!$Q$14)))</f>
        <v/>
      </c>
      <c r="C16" s="59">
        <f>IF(計算用!$Q$14="","",IF(計算用!$B$1=1,INDEX(計算用!$G$3:$G$452,計算用!$Q$14),INDEX(振り分け!$C$7:$C$456,計算用!$Q$14)))</f>
        <v/>
      </c>
      <c r="D16" s="70">
        <f>IF(計算用!$Q$14="","",IF(計算用!$B$1=1,INDEX(計算用!$H$3:$H$452,計算用!$Q$14),INDEX(振り分け!$D$7:$D$456,計算用!$Q$14)))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IF(計算用!$Q$15="","",13)</f>
        <v/>
      </c>
      <c r="B17" s="59">
        <f>IF(計算用!$Q$15="","",IF(計算用!$B$1=1,INDEX(計算用!$F$3:$F$452,計算用!$Q$15),INDEX(振り分け!$B$7:$B$456,計算用!$Q$15)))</f>
        <v/>
      </c>
      <c r="C17" s="59">
        <f>IF(計算用!$Q$15="","",IF(計算用!$B$1=1,INDEX(計算用!$G$3:$G$452,計算用!$Q$15),INDEX(振り分け!$C$7:$C$456,計算用!$Q$15)))</f>
        <v/>
      </c>
      <c r="D17" s="70">
        <f>IF(計算用!$Q$15="","",IF(計算用!$B$1=1,INDEX(計算用!$H$3:$H$452,計算用!$Q$15),INDEX(振り分け!$D$7:$D$456,計算用!$Q$15)))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IF(計算用!$Q$16="","",14)</f>
        <v/>
      </c>
      <c r="B18" s="59">
        <f>IF(計算用!$Q$16="","",IF(計算用!$B$1=1,INDEX(計算用!$F$3:$F$452,計算用!$Q$16),INDEX(振り分け!$B$7:$B$456,計算用!$Q$16)))</f>
        <v/>
      </c>
      <c r="C18" s="59">
        <f>IF(計算用!$Q$16="","",IF(計算用!$B$1=1,INDEX(計算用!$G$3:$G$452,計算用!$Q$16),INDEX(振り分け!$C$7:$C$456,計算用!$Q$16)))</f>
        <v/>
      </c>
      <c r="D18" s="70">
        <f>IF(計算用!$Q$16="","",IF(計算用!$B$1=1,INDEX(計算用!$H$3:$H$452,計算用!$Q$16),INDEX(振り分け!$D$7:$D$456,計算用!$Q$16)))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IF(計算用!$Q$17="","",15)</f>
        <v/>
      </c>
      <c r="B19" s="59">
        <f>IF(計算用!$Q$17="","",IF(計算用!$B$1=1,INDEX(計算用!$F$3:$F$452,計算用!$Q$17),INDEX(振り分け!$B$7:$B$456,計算用!$Q$17)))</f>
        <v/>
      </c>
      <c r="C19" s="59">
        <f>IF(計算用!$Q$17="","",IF(計算用!$B$1=1,INDEX(計算用!$G$3:$G$452,計算用!$Q$17),INDEX(振り分け!$C$7:$C$456,計算用!$Q$17)))</f>
        <v/>
      </c>
      <c r="D19" s="70">
        <f>IF(計算用!$Q$17="","",IF(計算用!$B$1=1,INDEX(計算用!$H$3:$H$452,計算用!$Q$17),INDEX(振り分け!$D$7:$D$456,計算用!$Q$17)))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IF(計算用!$Q$18="","",16)</f>
        <v/>
      </c>
      <c r="B20" s="59">
        <f>IF(計算用!$Q$18="","",IF(計算用!$B$1=1,INDEX(計算用!$F$3:$F$452,計算用!$Q$18),INDEX(振り分け!$B$7:$B$456,計算用!$Q$18)))</f>
        <v/>
      </c>
      <c r="C20" s="59">
        <f>IF(計算用!$Q$18="","",IF(計算用!$B$1=1,INDEX(計算用!$G$3:$G$452,計算用!$Q$18),INDEX(振り分け!$C$7:$C$456,計算用!$Q$18)))</f>
        <v/>
      </c>
      <c r="D20" s="70">
        <f>IF(計算用!$Q$18="","",IF(計算用!$B$1=1,INDEX(計算用!$H$3:$H$452,計算用!$Q$18),INDEX(振り分け!$D$7:$D$456,計算用!$Q$18)))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IF(計算用!$Q$19="","",17)</f>
        <v/>
      </c>
      <c r="B21" s="59">
        <f>IF(計算用!$Q$19="","",IF(計算用!$B$1=1,INDEX(計算用!$F$3:$F$452,計算用!$Q$19),INDEX(振り分け!$B$7:$B$456,計算用!$Q$19)))</f>
        <v/>
      </c>
      <c r="C21" s="59">
        <f>IF(計算用!$Q$19="","",IF(計算用!$B$1=1,INDEX(計算用!$G$3:$G$452,計算用!$Q$19),INDEX(振り分け!$C$7:$C$456,計算用!$Q$19)))</f>
        <v/>
      </c>
      <c r="D21" s="70">
        <f>IF(計算用!$Q$19="","",IF(計算用!$B$1=1,INDEX(計算用!$H$3:$H$452,計算用!$Q$19),INDEX(振り分け!$D$7:$D$456,計算用!$Q$19)))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IF(計算用!$Q$20="","",18)</f>
        <v/>
      </c>
      <c r="B22" s="59">
        <f>IF(計算用!$Q$20="","",IF(計算用!$B$1=1,INDEX(計算用!$F$3:$F$452,計算用!$Q$20),INDEX(振り分け!$B$7:$B$456,計算用!$Q$20)))</f>
        <v/>
      </c>
      <c r="C22" s="59">
        <f>IF(計算用!$Q$20="","",IF(計算用!$B$1=1,INDEX(計算用!$G$3:$G$452,計算用!$Q$20),INDEX(振り分け!$C$7:$C$456,計算用!$Q$20)))</f>
        <v/>
      </c>
      <c r="D22" s="70">
        <f>IF(計算用!$Q$20="","",IF(計算用!$B$1=1,INDEX(計算用!$H$3:$H$452,計算用!$Q$20),INDEX(振り分け!$D$7:$D$456,計算用!$Q$20)))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IF(計算用!$Q$21="","",19)</f>
        <v/>
      </c>
      <c r="B23" s="59">
        <f>IF(計算用!$Q$21="","",IF(計算用!$B$1=1,INDEX(計算用!$F$3:$F$452,計算用!$Q$21),INDEX(振り分け!$B$7:$B$456,計算用!$Q$21)))</f>
        <v/>
      </c>
      <c r="C23" s="59">
        <f>IF(計算用!$Q$21="","",IF(計算用!$B$1=1,INDEX(計算用!$G$3:$G$452,計算用!$Q$21),INDEX(振り分け!$C$7:$C$456,計算用!$Q$21)))</f>
        <v/>
      </c>
      <c r="D23" s="70">
        <f>IF(計算用!$Q$21="","",IF(計算用!$B$1=1,INDEX(計算用!$H$3:$H$452,計算用!$Q$21),INDEX(振り分け!$D$7:$D$456,計算用!$Q$21)))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IF(計算用!$Q$22="","",20)</f>
        <v/>
      </c>
      <c r="B24" s="59">
        <f>IF(計算用!$Q$22="","",IF(計算用!$B$1=1,INDEX(計算用!$F$3:$F$452,計算用!$Q$22),INDEX(振り分け!$B$7:$B$456,計算用!$Q$22)))</f>
        <v/>
      </c>
      <c r="C24" s="59">
        <f>IF(計算用!$Q$22="","",IF(計算用!$B$1=1,INDEX(計算用!$G$3:$G$452,計算用!$Q$22),INDEX(振り分け!$C$7:$C$456,計算用!$Q$22)))</f>
        <v/>
      </c>
      <c r="D24" s="70">
        <f>IF(計算用!$Q$22="","",IF(計算用!$B$1=1,INDEX(計算用!$H$3:$H$452,計算用!$Q$22),INDEX(振り分け!$D$7:$D$456,計算用!$Q$22)))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IF(計算用!$Q$23="","",21)</f>
        <v/>
      </c>
      <c r="B25" s="59">
        <f>IF(計算用!$Q$23="","",IF(計算用!$B$1=1,INDEX(計算用!$F$3:$F$452,計算用!$Q$23),INDEX(振り分け!$B$7:$B$456,計算用!$Q$23)))</f>
        <v/>
      </c>
      <c r="C25" s="59">
        <f>IF(計算用!$Q$23="","",IF(計算用!$B$1=1,INDEX(計算用!$G$3:$G$452,計算用!$Q$23),INDEX(振り分け!$C$7:$C$456,計算用!$Q$23)))</f>
        <v/>
      </c>
      <c r="D25" s="70">
        <f>IF(計算用!$Q$23="","",IF(計算用!$B$1=1,INDEX(計算用!$H$3:$H$452,計算用!$Q$23),INDEX(振り分け!$D$7:$D$456,計算用!$Q$23)))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IF(計算用!$Q$24="","",22)</f>
        <v/>
      </c>
      <c r="B26" s="59">
        <f>IF(計算用!$Q$24="","",IF(計算用!$B$1=1,INDEX(計算用!$F$3:$F$452,計算用!$Q$24),INDEX(振り分け!$B$7:$B$456,計算用!$Q$24)))</f>
        <v/>
      </c>
      <c r="C26" s="59">
        <f>IF(計算用!$Q$24="","",IF(計算用!$B$1=1,INDEX(計算用!$G$3:$G$452,計算用!$Q$24),INDEX(振り分け!$C$7:$C$456,計算用!$Q$24)))</f>
        <v/>
      </c>
      <c r="D26" s="70">
        <f>IF(計算用!$Q$24="","",IF(計算用!$B$1=1,INDEX(計算用!$H$3:$H$452,計算用!$Q$24),INDEX(振り分け!$D$7:$D$456,計算用!$Q$24)))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IF(計算用!$Q$25="","",23)</f>
        <v/>
      </c>
      <c r="B27" s="59">
        <f>IF(計算用!$Q$25="","",IF(計算用!$B$1=1,INDEX(計算用!$F$3:$F$452,計算用!$Q$25),INDEX(振り分け!$B$7:$B$456,計算用!$Q$25)))</f>
        <v/>
      </c>
      <c r="C27" s="59">
        <f>IF(計算用!$Q$25="","",IF(計算用!$B$1=1,INDEX(計算用!$G$3:$G$452,計算用!$Q$25),INDEX(振り分け!$C$7:$C$456,計算用!$Q$25)))</f>
        <v/>
      </c>
      <c r="D27" s="70">
        <f>IF(計算用!$Q$25="","",IF(計算用!$B$1=1,INDEX(計算用!$H$3:$H$452,計算用!$Q$25),INDEX(振り分け!$D$7:$D$456,計算用!$Q$25)))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IF(計算用!$Q$26="","",24)</f>
        <v/>
      </c>
      <c r="B28" s="59">
        <f>IF(計算用!$Q$26="","",IF(計算用!$B$1=1,INDEX(計算用!$F$3:$F$452,計算用!$Q$26),INDEX(振り分け!$B$7:$B$456,計算用!$Q$26)))</f>
        <v/>
      </c>
      <c r="C28" s="59">
        <f>IF(計算用!$Q$26="","",IF(計算用!$B$1=1,INDEX(計算用!$G$3:$G$452,計算用!$Q$26),INDEX(振り分け!$C$7:$C$456,計算用!$Q$26)))</f>
        <v/>
      </c>
      <c r="D28" s="70">
        <f>IF(計算用!$Q$26="","",IF(計算用!$B$1=1,INDEX(計算用!$H$3:$H$452,計算用!$Q$26),INDEX(振り分け!$D$7:$D$456,計算用!$Q$26)))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IF(計算用!$Q$27="","",25)</f>
        <v/>
      </c>
      <c r="B29" s="59">
        <f>IF(計算用!$Q$27="","",IF(計算用!$B$1=1,INDEX(計算用!$F$3:$F$452,計算用!$Q$27),INDEX(振り分け!$B$7:$B$456,計算用!$Q$27)))</f>
        <v/>
      </c>
      <c r="C29" s="59">
        <f>IF(計算用!$Q$27="","",IF(計算用!$B$1=1,INDEX(計算用!$G$3:$G$452,計算用!$Q$27),INDEX(振り分け!$C$7:$C$456,計算用!$Q$27)))</f>
        <v/>
      </c>
      <c r="D29" s="70">
        <f>IF(計算用!$Q$27="","",IF(計算用!$B$1=1,INDEX(計算用!$H$3:$H$452,計算用!$Q$27),INDEX(振り分け!$D$7:$D$456,計算用!$Q$27)))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IF(計算用!$Q$28="","",26)</f>
        <v/>
      </c>
      <c r="B30" s="59">
        <f>IF(計算用!$Q$28="","",IF(計算用!$B$1=1,INDEX(計算用!$F$3:$F$452,計算用!$Q$28),INDEX(振り分け!$B$7:$B$456,計算用!$Q$28)))</f>
        <v/>
      </c>
      <c r="C30" s="59">
        <f>IF(計算用!$Q$28="","",IF(計算用!$B$1=1,INDEX(計算用!$G$3:$G$452,計算用!$Q$28),INDEX(振り分け!$C$7:$C$456,計算用!$Q$28)))</f>
        <v/>
      </c>
      <c r="D30" s="70">
        <f>IF(計算用!$Q$28="","",IF(計算用!$B$1=1,INDEX(計算用!$H$3:$H$452,計算用!$Q$28),INDEX(振り分け!$D$7:$D$456,計算用!$Q$28)))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IF(計算用!$Q$29="","",27)</f>
        <v/>
      </c>
      <c r="B31" s="59">
        <f>IF(計算用!$Q$29="","",IF(計算用!$B$1=1,INDEX(計算用!$F$3:$F$452,計算用!$Q$29),INDEX(振り分け!$B$7:$B$456,計算用!$Q$29)))</f>
        <v/>
      </c>
      <c r="C31" s="59">
        <f>IF(計算用!$Q$29="","",IF(計算用!$B$1=1,INDEX(計算用!$G$3:$G$452,計算用!$Q$29),INDEX(振り分け!$C$7:$C$456,計算用!$Q$29)))</f>
        <v/>
      </c>
      <c r="D31" s="70">
        <f>IF(計算用!$Q$29="","",IF(計算用!$B$1=1,INDEX(計算用!$H$3:$H$452,計算用!$Q$29),INDEX(振り分け!$D$7:$D$456,計算用!$Q$29)))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IF(計算用!$Q$30="","",28)</f>
        <v/>
      </c>
      <c r="B32" s="59">
        <f>IF(計算用!$Q$30="","",IF(計算用!$B$1=1,INDEX(計算用!$F$3:$F$452,計算用!$Q$30),INDEX(振り分け!$B$7:$B$456,計算用!$Q$30)))</f>
        <v/>
      </c>
      <c r="C32" s="59">
        <f>IF(計算用!$Q$30="","",IF(計算用!$B$1=1,INDEX(計算用!$G$3:$G$452,計算用!$Q$30),INDEX(振り分け!$C$7:$C$456,計算用!$Q$30)))</f>
        <v/>
      </c>
      <c r="D32" s="70">
        <f>IF(計算用!$Q$30="","",IF(計算用!$B$1=1,INDEX(計算用!$H$3:$H$452,計算用!$Q$30),INDEX(振り分け!$D$7:$D$456,計算用!$Q$30)))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IF(計算用!$Q$31="","",29)</f>
        <v/>
      </c>
      <c r="B33" s="59">
        <f>IF(計算用!$Q$31="","",IF(計算用!$B$1=1,INDEX(計算用!$F$3:$F$452,計算用!$Q$31),INDEX(振り分け!$B$7:$B$456,計算用!$Q$31)))</f>
        <v/>
      </c>
      <c r="C33" s="59">
        <f>IF(計算用!$Q$31="","",IF(計算用!$B$1=1,INDEX(計算用!$G$3:$G$452,計算用!$Q$31),INDEX(振り分け!$C$7:$C$456,計算用!$Q$31)))</f>
        <v/>
      </c>
      <c r="D33" s="70">
        <f>IF(計算用!$Q$31="","",IF(計算用!$B$1=1,INDEX(計算用!$H$3:$H$452,計算用!$Q$31),INDEX(振り分け!$D$7:$D$456,計算用!$Q$31)))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IF(計算用!$Q$32="","",30)</f>
        <v/>
      </c>
      <c r="B34" s="59">
        <f>IF(計算用!$Q$32="","",IF(計算用!$B$1=1,INDEX(計算用!$F$3:$F$452,計算用!$Q$32),INDEX(振り分け!$B$7:$B$456,計算用!$Q$32)))</f>
        <v/>
      </c>
      <c r="C34" s="59">
        <f>IF(計算用!$Q$32="","",IF(計算用!$B$1=1,INDEX(計算用!$G$3:$G$452,計算用!$Q$32),INDEX(振り分け!$C$7:$C$456,計算用!$Q$32)))</f>
        <v/>
      </c>
      <c r="D34" s="70">
        <f>IF(計算用!$Q$32="","",IF(計算用!$B$1=1,INDEX(計算用!$H$3:$H$452,計算用!$Q$32),INDEX(振り分け!$D$7:$D$456,計算用!$Q$32)))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IF(計算用!$Q$33="","",31)</f>
        <v/>
      </c>
      <c r="B35" s="59">
        <f>IF(計算用!$Q$33="","",IF(計算用!$B$1=1,INDEX(計算用!$F$3:$F$452,計算用!$Q$33),INDEX(振り分け!$B$7:$B$456,計算用!$Q$33)))</f>
        <v/>
      </c>
      <c r="C35" s="59">
        <f>IF(計算用!$Q$33="","",IF(計算用!$B$1=1,INDEX(計算用!$G$3:$G$452,計算用!$Q$33),INDEX(振り分け!$C$7:$C$456,計算用!$Q$33)))</f>
        <v/>
      </c>
      <c r="D35" s="70">
        <f>IF(計算用!$Q$33="","",IF(計算用!$B$1=1,INDEX(計算用!$H$3:$H$452,計算用!$Q$33),INDEX(振り分け!$D$7:$D$456,計算用!$Q$33)))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IF(計算用!$Q$34="","",32)</f>
        <v/>
      </c>
      <c r="B36" s="59">
        <f>IF(計算用!$Q$34="","",IF(計算用!$B$1=1,INDEX(計算用!$F$3:$F$452,計算用!$Q$34),INDEX(振り分け!$B$7:$B$456,計算用!$Q$34)))</f>
        <v/>
      </c>
      <c r="C36" s="59">
        <f>IF(計算用!$Q$34="","",IF(計算用!$B$1=1,INDEX(計算用!$G$3:$G$452,計算用!$Q$34),INDEX(振り分け!$C$7:$C$456,計算用!$Q$34)))</f>
        <v/>
      </c>
      <c r="D36" s="70">
        <f>IF(計算用!$Q$34="","",IF(計算用!$B$1=1,INDEX(計算用!$H$3:$H$452,計算用!$Q$34),INDEX(振り分け!$D$7:$D$456,計算用!$Q$34)))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IF(計算用!$Q$35="","",33)</f>
        <v/>
      </c>
      <c r="B37" s="59">
        <f>IF(計算用!$Q$35="","",IF(計算用!$B$1=1,INDEX(計算用!$F$3:$F$452,計算用!$Q$35),INDEX(振り分け!$B$7:$B$456,計算用!$Q$35)))</f>
        <v/>
      </c>
      <c r="C37" s="59">
        <f>IF(計算用!$Q$35="","",IF(計算用!$B$1=1,INDEX(計算用!$G$3:$G$452,計算用!$Q$35),INDEX(振り分け!$C$7:$C$456,計算用!$Q$35)))</f>
        <v/>
      </c>
      <c r="D37" s="70">
        <f>IF(計算用!$Q$35="","",IF(計算用!$B$1=1,INDEX(計算用!$H$3:$H$452,計算用!$Q$35),INDEX(振り分け!$D$7:$D$456,計算用!$Q$35)))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IF(計算用!$Q$36="","",34)</f>
        <v/>
      </c>
      <c r="B38" s="59">
        <f>IF(計算用!$Q$36="","",IF(計算用!$B$1=1,INDEX(計算用!$F$3:$F$452,計算用!$Q$36),INDEX(振り分け!$B$7:$B$456,計算用!$Q$36)))</f>
        <v/>
      </c>
      <c r="C38" s="59">
        <f>IF(計算用!$Q$36="","",IF(計算用!$B$1=1,INDEX(計算用!$G$3:$G$452,計算用!$Q$36),INDEX(振り分け!$C$7:$C$456,計算用!$Q$36)))</f>
        <v/>
      </c>
      <c r="D38" s="70">
        <f>IF(計算用!$Q$36="","",IF(計算用!$B$1=1,INDEX(計算用!$H$3:$H$452,計算用!$Q$36),INDEX(振り分け!$D$7:$D$456,計算用!$Q$36)))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IF(計算用!$Q$37="","",35)</f>
        <v/>
      </c>
      <c r="B39" s="59">
        <f>IF(計算用!$Q$37="","",IF(計算用!$B$1=1,INDEX(計算用!$F$3:$F$452,計算用!$Q$37),INDEX(振り分け!$B$7:$B$456,計算用!$Q$37)))</f>
        <v/>
      </c>
      <c r="C39" s="59">
        <f>IF(計算用!$Q$37="","",IF(計算用!$B$1=1,INDEX(計算用!$G$3:$G$452,計算用!$Q$37),INDEX(振り分け!$C$7:$C$456,計算用!$Q$37)))</f>
        <v/>
      </c>
      <c r="D39" s="70">
        <f>IF(計算用!$Q$37="","",IF(計算用!$B$1=1,INDEX(計算用!$H$3:$H$452,計算用!$Q$37),INDEX(振り分け!$D$7:$D$456,計算用!$Q$37)))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IF(計算用!$Q$38="","",36)</f>
        <v/>
      </c>
      <c r="B40" s="59">
        <f>IF(計算用!$Q$38="","",IF(計算用!$B$1=1,INDEX(計算用!$F$3:$F$452,計算用!$Q$38),INDEX(振り分け!$B$7:$B$456,計算用!$Q$38)))</f>
        <v/>
      </c>
      <c r="C40" s="59">
        <f>IF(計算用!$Q$38="","",IF(計算用!$B$1=1,INDEX(計算用!$G$3:$G$452,計算用!$Q$38),INDEX(振り分け!$C$7:$C$456,計算用!$Q$38)))</f>
        <v/>
      </c>
      <c r="D40" s="70">
        <f>IF(計算用!$Q$38="","",IF(計算用!$B$1=1,INDEX(計算用!$H$3:$H$452,計算用!$Q$38),INDEX(振り分け!$D$7:$D$456,計算用!$Q$38)))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IF(計算用!$Q$39="","",37)</f>
        <v/>
      </c>
      <c r="B41" s="59">
        <f>IF(計算用!$Q$39="","",IF(計算用!$B$1=1,INDEX(計算用!$F$3:$F$452,計算用!$Q$39),INDEX(振り分け!$B$7:$B$456,計算用!$Q$39)))</f>
        <v/>
      </c>
      <c r="C41" s="59">
        <f>IF(計算用!$Q$39="","",IF(計算用!$B$1=1,INDEX(計算用!$G$3:$G$452,計算用!$Q$39),INDEX(振り分け!$C$7:$C$456,計算用!$Q$39)))</f>
        <v/>
      </c>
      <c r="D41" s="70">
        <f>IF(計算用!$Q$39="","",IF(計算用!$B$1=1,INDEX(計算用!$H$3:$H$452,計算用!$Q$39),INDEX(振り分け!$D$7:$D$456,計算用!$Q$39)))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IF(計算用!$Q$40="","",38)</f>
        <v/>
      </c>
      <c r="B42" s="59">
        <f>IF(計算用!$Q$40="","",IF(計算用!$B$1=1,INDEX(計算用!$F$3:$F$452,計算用!$Q$40),INDEX(振り分け!$B$7:$B$456,計算用!$Q$40)))</f>
        <v/>
      </c>
      <c r="C42" s="59">
        <f>IF(計算用!$Q$40="","",IF(計算用!$B$1=1,INDEX(計算用!$G$3:$G$452,計算用!$Q$40),INDEX(振り分け!$C$7:$C$456,計算用!$Q$40)))</f>
        <v/>
      </c>
      <c r="D42" s="70">
        <f>IF(計算用!$Q$40="","",IF(計算用!$B$1=1,INDEX(計算用!$H$3:$H$452,計算用!$Q$40),INDEX(振り分け!$D$7:$D$456,計算用!$Q$40)))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IF(計算用!$Q$41="","",39)</f>
        <v/>
      </c>
      <c r="B43" s="59">
        <f>IF(計算用!$Q$41="","",IF(計算用!$B$1=1,INDEX(計算用!$F$3:$F$452,計算用!$Q$41),INDEX(振り分け!$B$7:$B$456,計算用!$Q$41)))</f>
        <v/>
      </c>
      <c r="C43" s="59">
        <f>IF(計算用!$Q$41="","",IF(計算用!$B$1=1,INDEX(計算用!$G$3:$G$452,計算用!$Q$41),INDEX(振り分け!$C$7:$C$456,計算用!$Q$41)))</f>
        <v/>
      </c>
      <c r="D43" s="70">
        <f>IF(計算用!$Q$41="","",IF(計算用!$B$1=1,INDEX(計算用!$H$3:$H$452,計算用!$Q$41),INDEX(振り分け!$D$7:$D$456,計算用!$Q$41)))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IF(計算用!$Q$42="","",40)</f>
        <v/>
      </c>
      <c r="B44" s="59">
        <f>IF(計算用!$Q$42="","",IF(計算用!$B$1=1,INDEX(計算用!$F$3:$F$452,計算用!$Q$42),INDEX(振り分け!$B$7:$B$456,計算用!$Q$42)))</f>
        <v/>
      </c>
      <c r="C44" s="59">
        <f>IF(計算用!$Q$42="","",IF(計算用!$B$1=1,INDEX(計算用!$G$3:$G$452,計算用!$Q$42),INDEX(振り分け!$C$7:$C$456,計算用!$Q$42)))</f>
        <v/>
      </c>
      <c r="D44" s="70">
        <f>IF(計算用!$Q$42="","",IF(計算用!$B$1=1,INDEX(計算用!$H$3:$H$452,計算用!$Q$42),INDEX(振り分け!$D$7:$D$456,計算用!$Q$42)))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IF(計算用!$Q$43="","",41)</f>
        <v/>
      </c>
      <c r="B45" s="59">
        <f>IF(計算用!$Q$43="","",IF(計算用!$B$1=1,INDEX(計算用!$F$3:$F$452,計算用!$Q$43),INDEX(振り分け!$B$7:$B$456,計算用!$Q$43)))</f>
        <v/>
      </c>
      <c r="C45" s="59">
        <f>IF(計算用!$Q$43="","",IF(計算用!$B$1=1,INDEX(計算用!$G$3:$G$452,計算用!$Q$43),INDEX(振り分け!$C$7:$C$456,計算用!$Q$43)))</f>
        <v/>
      </c>
      <c r="D45" s="70">
        <f>IF(計算用!$Q$43="","",IF(計算用!$B$1=1,INDEX(計算用!$H$3:$H$452,計算用!$Q$43),INDEX(振り分け!$D$7:$D$456,計算用!$Q$43)))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IF(計算用!$Q$44="","",42)</f>
        <v/>
      </c>
      <c r="B46" s="59">
        <f>IF(計算用!$Q$44="","",IF(計算用!$B$1=1,INDEX(計算用!$F$3:$F$452,計算用!$Q$44),INDEX(振り分け!$B$7:$B$456,計算用!$Q$44)))</f>
        <v/>
      </c>
      <c r="C46" s="59">
        <f>IF(計算用!$Q$44="","",IF(計算用!$B$1=1,INDEX(計算用!$G$3:$G$452,計算用!$Q$44),INDEX(振り分け!$C$7:$C$456,計算用!$Q$44)))</f>
        <v/>
      </c>
      <c r="D46" s="70">
        <f>IF(計算用!$Q$44="","",IF(計算用!$B$1=1,INDEX(計算用!$H$3:$H$452,計算用!$Q$44),INDEX(振り分け!$D$7:$D$456,計算用!$Q$44)))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IF(計算用!$Q$45="","",43)</f>
        <v/>
      </c>
      <c r="B47" s="59">
        <f>IF(計算用!$Q$45="","",IF(計算用!$B$1=1,INDEX(計算用!$F$3:$F$452,計算用!$Q$45),INDEX(振り分け!$B$7:$B$456,計算用!$Q$45)))</f>
        <v/>
      </c>
      <c r="C47" s="59">
        <f>IF(計算用!$Q$45="","",IF(計算用!$B$1=1,INDEX(計算用!$G$3:$G$452,計算用!$Q$45),INDEX(振り分け!$C$7:$C$456,計算用!$Q$45)))</f>
        <v/>
      </c>
      <c r="D47" s="70">
        <f>IF(計算用!$Q$45="","",IF(計算用!$B$1=1,INDEX(計算用!$H$3:$H$452,計算用!$Q$45),INDEX(振り分け!$D$7:$D$456,計算用!$Q$45)))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IF(計算用!$Q$46="","",44)</f>
        <v/>
      </c>
      <c r="B48" s="59">
        <f>IF(計算用!$Q$46="","",IF(計算用!$B$1=1,INDEX(計算用!$F$3:$F$452,計算用!$Q$46),INDEX(振り分け!$B$7:$B$456,計算用!$Q$46)))</f>
        <v/>
      </c>
      <c r="C48" s="59">
        <f>IF(計算用!$Q$46="","",IF(計算用!$B$1=1,INDEX(計算用!$G$3:$G$452,計算用!$Q$46),INDEX(振り分け!$C$7:$C$456,計算用!$Q$46)))</f>
        <v/>
      </c>
      <c r="D48" s="70">
        <f>IF(計算用!$Q$46="","",IF(計算用!$B$1=1,INDEX(計算用!$H$3:$H$452,計算用!$Q$46),INDEX(振り分け!$D$7:$D$456,計算用!$Q$46)))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IF(計算用!$Q$47="","",45)</f>
        <v/>
      </c>
      <c r="B49" s="59">
        <f>IF(計算用!$Q$47="","",IF(計算用!$B$1=1,INDEX(計算用!$F$3:$F$452,計算用!$Q$47),INDEX(振り分け!$B$7:$B$456,計算用!$Q$47)))</f>
        <v/>
      </c>
      <c r="C49" s="59">
        <f>IF(計算用!$Q$47="","",IF(計算用!$B$1=1,INDEX(計算用!$G$3:$G$452,計算用!$Q$47),INDEX(振り分け!$C$7:$C$456,計算用!$Q$47)))</f>
        <v/>
      </c>
      <c r="D49" s="70">
        <f>IF(計算用!$Q$47="","",IF(計算用!$B$1=1,INDEX(計算用!$H$3:$H$452,計算用!$Q$47),INDEX(振り分け!$D$7:$D$456,計算用!$Q$47)))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IF(計算用!$Q$48="","",46)</f>
        <v/>
      </c>
      <c r="B50" s="59">
        <f>IF(計算用!$Q$48="","",IF(計算用!$B$1=1,INDEX(計算用!$F$3:$F$452,計算用!$Q$48),INDEX(振り分け!$B$7:$B$456,計算用!$Q$48)))</f>
        <v/>
      </c>
      <c r="C50" s="59">
        <f>IF(計算用!$Q$48="","",IF(計算用!$B$1=1,INDEX(計算用!$G$3:$G$452,計算用!$Q$48),INDEX(振り分け!$C$7:$C$456,計算用!$Q$48)))</f>
        <v/>
      </c>
      <c r="D50" s="70">
        <f>IF(計算用!$Q$48="","",IF(計算用!$B$1=1,INDEX(計算用!$H$3:$H$452,計算用!$Q$48),INDEX(振り分け!$D$7:$D$456,計算用!$Q$48)))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IF(計算用!$Q$49="","",47)</f>
        <v/>
      </c>
      <c r="B51" s="59">
        <f>IF(計算用!$Q$49="","",IF(計算用!$B$1=1,INDEX(計算用!$F$3:$F$452,計算用!$Q$49),INDEX(振り分け!$B$7:$B$456,計算用!$Q$49)))</f>
        <v/>
      </c>
      <c r="C51" s="59">
        <f>IF(計算用!$Q$49="","",IF(計算用!$B$1=1,INDEX(計算用!$G$3:$G$452,計算用!$Q$49),INDEX(振り分け!$C$7:$C$456,計算用!$Q$49)))</f>
        <v/>
      </c>
      <c r="D51" s="70">
        <f>IF(計算用!$Q$49="","",IF(計算用!$B$1=1,INDEX(計算用!$H$3:$H$452,計算用!$Q$49),INDEX(振り分け!$D$7:$D$456,計算用!$Q$49)))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IF(計算用!$Q$50="","",48)</f>
        <v/>
      </c>
      <c r="B52" s="59">
        <f>IF(計算用!$Q$50="","",IF(計算用!$B$1=1,INDEX(計算用!$F$3:$F$452,計算用!$Q$50),INDEX(振り分け!$B$7:$B$456,計算用!$Q$50)))</f>
        <v/>
      </c>
      <c r="C52" s="59">
        <f>IF(計算用!$Q$50="","",IF(計算用!$B$1=1,INDEX(計算用!$G$3:$G$452,計算用!$Q$50),INDEX(振り分け!$C$7:$C$456,計算用!$Q$50)))</f>
        <v/>
      </c>
      <c r="D52" s="70">
        <f>IF(計算用!$Q$50="","",IF(計算用!$B$1=1,INDEX(計算用!$H$3:$H$452,計算用!$Q$50),INDEX(振り分け!$D$7:$D$456,計算用!$Q$50)))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IF(計算用!$Q$51="","",49)</f>
        <v/>
      </c>
      <c r="B53" s="59">
        <f>IF(計算用!$Q$51="","",IF(計算用!$B$1=1,INDEX(計算用!$F$3:$F$452,計算用!$Q$51),INDEX(振り分け!$B$7:$B$456,計算用!$Q$51)))</f>
        <v/>
      </c>
      <c r="C53" s="59">
        <f>IF(計算用!$Q$51="","",IF(計算用!$B$1=1,INDEX(計算用!$G$3:$G$452,計算用!$Q$51),INDEX(振り分け!$C$7:$C$456,計算用!$Q$51)))</f>
        <v/>
      </c>
      <c r="D53" s="70">
        <f>IF(計算用!$Q$51="","",IF(計算用!$B$1=1,INDEX(計算用!$H$3:$H$452,計算用!$Q$51),INDEX(振り分け!$D$7:$D$456,計算用!$Q$51)))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IF(計算用!$Q$52="","",50)</f>
        <v/>
      </c>
      <c r="B54" s="59">
        <f>IF(計算用!$Q$52="","",IF(計算用!$B$1=1,INDEX(計算用!$F$3:$F$452,計算用!$Q$52),INDEX(振り分け!$B$7:$B$456,計算用!$Q$52)))</f>
        <v/>
      </c>
      <c r="C54" s="59">
        <f>IF(計算用!$Q$52="","",IF(計算用!$B$1=1,INDEX(計算用!$G$3:$G$452,計算用!$Q$52),INDEX(振り分け!$C$7:$C$456,計算用!$Q$52)))</f>
        <v/>
      </c>
      <c r="D54" s="70">
        <f>IF(計算用!$Q$52="","",IF(計算用!$B$1=1,INDEX(計算用!$H$3:$H$452,計算用!$Q$52),INDEX(振り分け!$D$7:$D$456,計算用!$Q$52)))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IF(設定!$P$16="","",設定!$B$3&amp;"　"&amp;設定!$P$16&amp;設定!$B$4&amp;"名簿"&amp;IF(計算用!$B$1=0,"（仮・前年度の組）",""))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IF(設定!$P$16="","","担当："&amp;設定!$S$16&amp;"　　活動場所："&amp;設定!$T$16&amp;"　　人数："&amp;定員チェック!$I$15&amp;"名（"&amp;設定!$B$8&amp;"年"&amp;定員チェック!$J$15&amp;"・"&amp;設定!$B$9&amp;"年"&amp;定員チェック!$K$15&amp;"・"&amp;設定!$B$10&amp;"年"&amp;定員チェック!$L$15&amp;"）")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IF(計算用!$R$3="","",1)</f>
        <v/>
      </c>
      <c r="B5" s="59">
        <f>IF(計算用!$R$3="","",IF(計算用!$B$1=1,INDEX(計算用!$F$3:$F$452,計算用!$R$3),INDEX(振り分け!$B$7:$B$456,計算用!$R$3)))</f>
        <v/>
      </c>
      <c r="C5" s="59">
        <f>IF(計算用!$R$3="","",IF(計算用!$B$1=1,INDEX(計算用!$G$3:$G$452,計算用!$R$3),INDEX(振り分け!$C$7:$C$456,計算用!$R$3)))</f>
        <v/>
      </c>
      <c r="D5" s="70">
        <f>IF(計算用!$R$3="","",IF(計算用!$B$1=1,INDEX(計算用!$H$3:$H$452,計算用!$R$3),INDEX(振り分け!$D$7:$D$456,計算用!$R$3)))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IF(計算用!$R$4="","",2)</f>
        <v/>
      </c>
      <c r="B6" s="59">
        <f>IF(計算用!$R$4="","",IF(計算用!$B$1=1,INDEX(計算用!$F$3:$F$452,計算用!$R$4),INDEX(振り分け!$B$7:$B$456,計算用!$R$4)))</f>
        <v/>
      </c>
      <c r="C6" s="59">
        <f>IF(計算用!$R$4="","",IF(計算用!$B$1=1,INDEX(計算用!$G$3:$G$452,計算用!$R$4),INDEX(振り分け!$C$7:$C$456,計算用!$R$4)))</f>
        <v/>
      </c>
      <c r="D6" s="70">
        <f>IF(計算用!$R$4="","",IF(計算用!$B$1=1,INDEX(計算用!$H$3:$H$452,計算用!$R$4),INDEX(振り分け!$D$7:$D$456,計算用!$R$4)))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IF(計算用!$R$5="","",3)</f>
        <v/>
      </c>
      <c r="B7" s="59">
        <f>IF(計算用!$R$5="","",IF(計算用!$B$1=1,INDEX(計算用!$F$3:$F$452,計算用!$R$5),INDEX(振り分け!$B$7:$B$456,計算用!$R$5)))</f>
        <v/>
      </c>
      <c r="C7" s="59">
        <f>IF(計算用!$R$5="","",IF(計算用!$B$1=1,INDEX(計算用!$G$3:$G$452,計算用!$R$5),INDEX(振り分け!$C$7:$C$456,計算用!$R$5)))</f>
        <v/>
      </c>
      <c r="D7" s="70">
        <f>IF(計算用!$R$5="","",IF(計算用!$B$1=1,INDEX(計算用!$H$3:$H$452,計算用!$R$5),INDEX(振り分け!$D$7:$D$456,計算用!$R$5)))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IF(計算用!$R$6="","",4)</f>
        <v/>
      </c>
      <c r="B8" s="59">
        <f>IF(計算用!$R$6="","",IF(計算用!$B$1=1,INDEX(計算用!$F$3:$F$452,計算用!$R$6),INDEX(振り分け!$B$7:$B$456,計算用!$R$6)))</f>
        <v/>
      </c>
      <c r="C8" s="59">
        <f>IF(計算用!$R$6="","",IF(計算用!$B$1=1,INDEX(計算用!$G$3:$G$452,計算用!$R$6),INDEX(振り分け!$C$7:$C$456,計算用!$R$6)))</f>
        <v/>
      </c>
      <c r="D8" s="70">
        <f>IF(計算用!$R$6="","",IF(計算用!$B$1=1,INDEX(計算用!$H$3:$H$452,計算用!$R$6),INDEX(振り分け!$D$7:$D$456,計算用!$R$6)))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IF(計算用!$R$7="","",5)</f>
        <v/>
      </c>
      <c r="B9" s="59">
        <f>IF(計算用!$R$7="","",IF(計算用!$B$1=1,INDEX(計算用!$F$3:$F$452,計算用!$R$7),INDEX(振り分け!$B$7:$B$456,計算用!$R$7)))</f>
        <v/>
      </c>
      <c r="C9" s="59">
        <f>IF(計算用!$R$7="","",IF(計算用!$B$1=1,INDEX(計算用!$G$3:$G$452,計算用!$R$7),INDEX(振り分け!$C$7:$C$456,計算用!$R$7)))</f>
        <v/>
      </c>
      <c r="D9" s="70">
        <f>IF(計算用!$R$7="","",IF(計算用!$B$1=1,INDEX(計算用!$H$3:$H$452,計算用!$R$7),INDEX(振り分け!$D$7:$D$456,計算用!$R$7)))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IF(計算用!$R$8="","",6)</f>
        <v/>
      </c>
      <c r="B10" s="59">
        <f>IF(計算用!$R$8="","",IF(計算用!$B$1=1,INDEX(計算用!$F$3:$F$452,計算用!$R$8),INDEX(振り分け!$B$7:$B$456,計算用!$R$8)))</f>
        <v/>
      </c>
      <c r="C10" s="59">
        <f>IF(計算用!$R$8="","",IF(計算用!$B$1=1,INDEX(計算用!$G$3:$G$452,計算用!$R$8),INDEX(振り分け!$C$7:$C$456,計算用!$R$8)))</f>
        <v/>
      </c>
      <c r="D10" s="70">
        <f>IF(計算用!$R$8="","",IF(計算用!$B$1=1,INDEX(計算用!$H$3:$H$452,計算用!$R$8),INDEX(振り分け!$D$7:$D$456,計算用!$R$8)))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IF(計算用!$R$9="","",7)</f>
        <v/>
      </c>
      <c r="B11" s="59">
        <f>IF(計算用!$R$9="","",IF(計算用!$B$1=1,INDEX(計算用!$F$3:$F$452,計算用!$R$9),INDEX(振り分け!$B$7:$B$456,計算用!$R$9)))</f>
        <v/>
      </c>
      <c r="C11" s="59">
        <f>IF(計算用!$R$9="","",IF(計算用!$B$1=1,INDEX(計算用!$G$3:$G$452,計算用!$R$9),INDEX(振り分け!$C$7:$C$456,計算用!$R$9)))</f>
        <v/>
      </c>
      <c r="D11" s="70">
        <f>IF(計算用!$R$9="","",IF(計算用!$B$1=1,INDEX(計算用!$H$3:$H$452,計算用!$R$9),INDEX(振り分け!$D$7:$D$456,計算用!$R$9)))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IF(計算用!$R$10="","",8)</f>
        <v/>
      </c>
      <c r="B12" s="59">
        <f>IF(計算用!$R$10="","",IF(計算用!$B$1=1,INDEX(計算用!$F$3:$F$452,計算用!$R$10),INDEX(振り分け!$B$7:$B$456,計算用!$R$10)))</f>
        <v/>
      </c>
      <c r="C12" s="59">
        <f>IF(計算用!$R$10="","",IF(計算用!$B$1=1,INDEX(計算用!$G$3:$G$452,計算用!$R$10),INDEX(振り分け!$C$7:$C$456,計算用!$R$10)))</f>
        <v/>
      </c>
      <c r="D12" s="70">
        <f>IF(計算用!$R$10="","",IF(計算用!$B$1=1,INDEX(計算用!$H$3:$H$452,計算用!$R$10),INDEX(振り分け!$D$7:$D$456,計算用!$R$10)))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IF(計算用!$R$11="","",9)</f>
        <v/>
      </c>
      <c r="B13" s="59">
        <f>IF(計算用!$R$11="","",IF(計算用!$B$1=1,INDEX(計算用!$F$3:$F$452,計算用!$R$11),INDEX(振り分け!$B$7:$B$456,計算用!$R$11)))</f>
        <v/>
      </c>
      <c r="C13" s="59">
        <f>IF(計算用!$R$11="","",IF(計算用!$B$1=1,INDEX(計算用!$G$3:$G$452,計算用!$R$11),INDEX(振り分け!$C$7:$C$456,計算用!$R$11)))</f>
        <v/>
      </c>
      <c r="D13" s="70">
        <f>IF(計算用!$R$11="","",IF(計算用!$B$1=1,INDEX(計算用!$H$3:$H$452,計算用!$R$11),INDEX(振り分け!$D$7:$D$456,計算用!$R$11)))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IF(計算用!$R$12="","",10)</f>
        <v/>
      </c>
      <c r="B14" s="59">
        <f>IF(計算用!$R$12="","",IF(計算用!$B$1=1,INDEX(計算用!$F$3:$F$452,計算用!$R$12),INDEX(振り分け!$B$7:$B$456,計算用!$R$12)))</f>
        <v/>
      </c>
      <c r="C14" s="59">
        <f>IF(計算用!$R$12="","",IF(計算用!$B$1=1,INDEX(計算用!$G$3:$G$452,計算用!$R$12),INDEX(振り分け!$C$7:$C$456,計算用!$R$12)))</f>
        <v/>
      </c>
      <c r="D14" s="70">
        <f>IF(計算用!$R$12="","",IF(計算用!$B$1=1,INDEX(計算用!$H$3:$H$452,計算用!$R$12),INDEX(振り分け!$D$7:$D$456,計算用!$R$12)))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IF(計算用!$R$13="","",11)</f>
        <v/>
      </c>
      <c r="B15" s="59">
        <f>IF(計算用!$R$13="","",IF(計算用!$B$1=1,INDEX(計算用!$F$3:$F$452,計算用!$R$13),INDEX(振り分け!$B$7:$B$456,計算用!$R$13)))</f>
        <v/>
      </c>
      <c r="C15" s="59">
        <f>IF(計算用!$R$13="","",IF(計算用!$B$1=1,INDEX(計算用!$G$3:$G$452,計算用!$R$13),INDEX(振り分け!$C$7:$C$456,計算用!$R$13)))</f>
        <v/>
      </c>
      <c r="D15" s="70">
        <f>IF(計算用!$R$13="","",IF(計算用!$B$1=1,INDEX(計算用!$H$3:$H$452,計算用!$R$13),INDEX(振り分け!$D$7:$D$456,計算用!$R$13)))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IF(計算用!$R$14="","",12)</f>
        <v/>
      </c>
      <c r="B16" s="59">
        <f>IF(計算用!$R$14="","",IF(計算用!$B$1=1,INDEX(計算用!$F$3:$F$452,計算用!$R$14),INDEX(振り分け!$B$7:$B$456,計算用!$R$14)))</f>
        <v/>
      </c>
      <c r="C16" s="59">
        <f>IF(計算用!$R$14="","",IF(計算用!$B$1=1,INDEX(計算用!$G$3:$G$452,計算用!$R$14),INDEX(振り分け!$C$7:$C$456,計算用!$R$14)))</f>
        <v/>
      </c>
      <c r="D16" s="70">
        <f>IF(計算用!$R$14="","",IF(計算用!$B$1=1,INDEX(計算用!$H$3:$H$452,計算用!$R$14),INDEX(振り分け!$D$7:$D$456,計算用!$R$14)))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IF(計算用!$R$15="","",13)</f>
        <v/>
      </c>
      <c r="B17" s="59">
        <f>IF(計算用!$R$15="","",IF(計算用!$B$1=1,INDEX(計算用!$F$3:$F$452,計算用!$R$15),INDEX(振り分け!$B$7:$B$456,計算用!$R$15)))</f>
        <v/>
      </c>
      <c r="C17" s="59">
        <f>IF(計算用!$R$15="","",IF(計算用!$B$1=1,INDEX(計算用!$G$3:$G$452,計算用!$R$15),INDEX(振り分け!$C$7:$C$456,計算用!$R$15)))</f>
        <v/>
      </c>
      <c r="D17" s="70">
        <f>IF(計算用!$R$15="","",IF(計算用!$B$1=1,INDEX(計算用!$H$3:$H$452,計算用!$R$15),INDEX(振り分け!$D$7:$D$456,計算用!$R$15)))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IF(計算用!$R$16="","",14)</f>
        <v/>
      </c>
      <c r="B18" s="59">
        <f>IF(計算用!$R$16="","",IF(計算用!$B$1=1,INDEX(計算用!$F$3:$F$452,計算用!$R$16),INDEX(振り分け!$B$7:$B$456,計算用!$R$16)))</f>
        <v/>
      </c>
      <c r="C18" s="59">
        <f>IF(計算用!$R$16="","",IF(計算用!$B$1=1,INDEX(計算用!$G$3:$G$452,計算用!$R$16),INDEX(振り分け!$C$7:$C$456,計算用!$R$16)))</f>
        <v/>
      </c>
      <c r="D18" s="70">
        <f>IF(計算用!$R$16="","",IF(計算用!$B$1=1,INDEX(計算用!$H$3:$H$452,計算用!$R$16),INDEX(振り分け!$D$7:$D$456,計算用!$R$16)))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IF(計算用!$R$17="","",15)</f>
        <v/>
      </c>
      <c r="B19" s="59">
        <f>IF(計算用!$R$17="","",IF(計算用!$B$1=1,INDEX(計算用!$F$3:$F$452,計算用!$R$17),INDEX(振り分け!$B$7:$B$456,計算用!$R$17)))</f>
        <v/>
      </c>
      <c r="C19" s="59">
        <f>IF(計算用!$R$17="","",IF(計算用!$B$1=1,INDEX(計算用!$G$3:$G$452,計算用!$R$17),INDEX(振り分け!$C$7:$C$456,計算用!$R$17)))</f>
        <v/>
      </c>
      <c r="D19" s="70">
        <f>IF(計算用!$R$17="","",IF(計算用!$B$1=1,INDEX(計算用!$H$3:$H$452,計算用!$R$17),INDEX(振り分け!$D$7:$D$456,計算用!$R$17)))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IF(計算用!$R$18="","",16)</f>
        <v/>
      </c>
      <c r="B20" s="59">
        <f>IF(計算用!$R$18="","",IF(計算用!$B$1=1,INDEX(計算用!$F$3:$F$452,計算用!$R$18),INDEX(振り分け!$B$7:$B$456,計算用!$R$18)))</f>
        <v/>
      </c>
      <c r="C20" s="59">
        <f>IF(計算用!$R$18="","",IF(計算用!$B$1=1,INDEX(計算用!$G$3:$G$452,計算用!$R$18),INDEX(振り分け!$C$7:$C$456,計算用!$R$18)))</f>
        <v/>
      </c>
      <c r="D20" s="70">
        <f>IF(計算用!$R$18="","",IF(計算用!$B$1=1,INDEX(計算用!$H$3:$H$452,計算用!$R$18),INDEX(振り分け!$D$7:$D$456,計算用!$R$18)))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IF(計算用!$R$19="","",17)</f>
        <v/>
      </c>
      <c r="B21" s="59">
        <f>IF(計算用!$R$19="","",IF(計算用!$B$1=1,INDEX(計算用!$F$3:$F$452,計算用!$R$19),INDEX(振り分け!$B$7:$B$456,計算用!$R$19)))</f>
        <v/>
      </c>
      <c r="C21" s="59">
        <f>IF(計算用!$R$19="","",IF(計算用!$B$1=1,INDEX(計算用!$G$3:$G$452,計算用!$R$19),INDEX(振り分け!$C$7:$C$456,計算用!$R$19)))</f>
        <v/>
      </c>
      <c r="D21" s="70">
        <f>IF(計算用!$R$19="","",IF(計算用!$B$1=1,INDEX(計算用!$H$3:$H$452,計算用!$R$19),INDEX(振り分け!$D$7:$D$456,計算用!$R$19)))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IF(計算用!$R$20="","",18)</f>
        <v/>
      </c>
      <c r="B22" s="59">
        <f>IF(計算用!$R$20="","",IF(計算用!$B$1=1,INDEX(計算用!$F$3:$F$452,計算用!$R$20),INDEX(振り分け!$B$7:$B$456,計算用!$R$20)))</f>
        <v/>
      </c>
      <c r="C22" s="59">
        <f>IF(計算用!$R$20="","",IF(計算用!$B$1=1,INDEX(計算用!$G$3:$G$452,計算用!$R$20),INDEX(振り分け!$C$7:$C$456,計算用!$R$20)))</f>
        <v/>
      </c>
      <c r="D22" s="70">
        <f>IF(計算用!$R$20="","",IF(計算用!$B$1=1,INDEX(計算用!$H$3:$H$452,計算用!$R$20),INDEX(振り分け!$D$7:$D$456,計算用!$R$20)))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IF(計算用!$R$21="","",19)</f>
        <v/>
      </c>
      <c r="B23" s="59">
        <f>IF(計算用!$R$21="","",IF(計算用!$B$1=1,INDEX(計算用!$F$3:$F$452,計算用!$R$21),INDEX(振り分け!$B$7:$B$456,計算用!$R$21)))</f>
        <v/>
      </c>
      <c r="C23" s="59">
        <f>IF(計算用!$R$21="","",IF(計算用!$B$1=1,INDEX(計算用!$G$3:$G$452,計算用!$R$21),INDEX(振り分け!$C$7:$C$456,計算用!$R$21)))</f>
        <v/>
      </c>
      <c r="D23" s="70">
        <f>IF(計算用!$R$21="","",IF(計算用!$B$1=1,INDEX(計算用!$H$3:$H$452,計算用!$R$21),INDEX(振り分け!$D$7:$D$456,計算用!$R$21)))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IF(計算用!$R$22="","",20)</f>
        <v/>
      </c>
      <c r="B24" s="59">
        <f>IF(計算用!$R$22="","",IF(計算用!$B$1=1,INDEX(計算用!$F$3:$F$452,計算用!$R$22),INDEX(振り分け!$B$7:$B$456,計算用!$R$22)))</f>
        <v/>
      </c>
      <c r="C24" s="59">
        <f>IF(計算用!$R$22="","",IF(計算用!$B$1=1,INDEX(計算用!$G$3:$G$452,計算用!$R$22),INDEX(振り分け!$C$7:$C$456,計算用!$R$22)))</f>
        <v/>
      </c>
      <c r="D24" s="70">
        <f>IF(計算用!$R$22="","",IF(計算用!$B$1=1,INDEX(計算用!$H$3:$H$452,計算用!$R$22),INDEX(振り分け!$D$7:$D$456,計算用!$R$22)))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IF(計算用!$R$23="","",21)</f>
        <v/>
      </c>
      <c r="B25" s="59">
        <f>IF(計算用!$R$23="","",IF(計算用!$B$1=1,INDEX(計算用!$F$3:$F$452,計算用!$R$23),INDEX(振り分け!$B$7:$B$456,計算用!$R$23)))</f>
        <v/>
      </c>
      <c r="C25" s="59">
        <f>IF(計算用!$R$23="","",IF(計算用!$B$1=1,INDEX(計算用!$G$3:$G$452,計算用!$R$23),INDEX(振り分け!$C$7:$C$456,計算用!$R$23)))</f>
        <v/>
      </c>
      <c r="D25" s="70">
        <f>IF(計算用!$R$23="","",IF(計算用!$B$1=1,INDEX(計算用!$H$3:$H$452,計算用!$R$23),INDEX(振り分け!$D$7:$D$456,計算用!$R$23)))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IF(計算用!$R$24="","",22)</f>
        <v/>
      </c>
      <c r="B26" s="59">
        <f>IF(計算用!$R$24="","",IF(計算用!$B$1=1,INDEX(計算用!$F$3:$F$452,計算用!$R$24),INDEX(振り分け!$B$7:$B$456,計算用!$R$24)))</f>
        <v/>
      </c>
      <c r="C26" s="59">
        <f>IF(計算用!$R$24="","",IF(計算用!$B$1=1,INDEX(計算用!$G$3:$G$452,計算用!$R$24),INDEX(振り分け!$C$7:$C$456,計算用!$R$24)))</f>
        <v/>
      </c>
      <c r="D26" s="70">
        <f>IF(計算用!$R$24="","",IF(計算用!$B$1=1,INDEX(計算用!$H$3:$H$452,計算用!$R$24),INDEX(振り分け!$D$7:$D$456,計算用!$R$24)))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IF(計算用!$R$25="","",23)</f>
        <v/>
      </c>
      <c r="B27" s="59">
        <f>IF(計算用!$R$25="","",IF(計算用!$B$1=1,INDEX(計算用!$F$3:$F$452,計算用!$R$25),INDEX(振り分け!$B$7:$B$456,計算用!$R$25)))</f>
        <v/>
      </c>
      <c r="C27" s="59">
        <f>IF(計算用!$R$25="","",IF(計算用!$B$1=1,INDEX(計算用!$G$3:$G$452,計算用!$R$25),INDEX(振り分け!$C$7:$C$456,計算用!$R$25)))</f>
        <v/>
      </c>
      <c r="D27" s="70">
        <f>IF(計算用!$R$25="","",IF(計算用!$B$1=1,INDEX(計算用!$H$3:$H$452,計算用!$R$25),INDEX(振り分け!$D$7:$D$456,計算用!$R$25)))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IF(計算用!$R$26="","",24)</f>
        <v/>
      </c>
      <c r="B28" s="59">
        <f>IF(計算用!$R$26="","",IF(計算用!$B$1=1,INDEX(計算用!$F$3:$F$452,計算用!$R$26),INDEX(振り分け!$B$7:$B$456,計算用!$R$26)))</f>
        <v/>
      </c>
      <c r="C28" s="59">
        <f>IF(計算用!$R$26="","",IF(計算用!$B$1=1,INDEX(計算用!$G$3:$G$452,計算用!$R$26),INDEX(振り分け!$C$7:$C$456,計算用!$R$26)))</f>
        <v/>
      </c>
      <c r="D28" s="70">
        <f>IF(計算用!$R$26="","",IF(計算用!$B$1=1,INDEX(計算用!$H$3:$H$452,計算用!$R$26),INDEX(振り分け!$D$7:$D$456,計算用!$R$26)))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IF(計算用!$R$27="","",25)</f>
        <v/>
      </c>
      <c r="B29" s="59">
        <f>IF(計算用!$R$27="","",IF(計算用!$B$1=1,INDEX(計算用!$F$3:$F$452,計算用!$R$27),INDEX(振り分け!$B$7:$B$456,計算用!$R$27)))</f>
        <v/>
      </c>
      <c r="C29" s="59">
        <f>IF(計算用!$R$27="","",IF(計算用!$B$1=1,INDEX(計算用!$G$3:$G$452,計算用!$R$27),INDEX(振り分け!$C$7:$C$456,計算用!$R$27)))</f>
        <v/>
      </c>
      <c r="D29" s="70">
        <f>IF(計算用!$R$27="","",IF(計算用!$B$1=1,INDEX(計算用!$H$3:$H$452,計算用!$R$27),INDEX(振り分け!$D$7:$D$456,計算用!$R$27)))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IF(計算用!$R$28="","",26)</f>
        <v/>
      </c>
      <c r="B30" s="59">
        <f>IF(計算用!$R$28="","",IF(計算用!$B$1=1,INDEX(計算用!$F$3:$F$452,計算用!$R$28),INDEX(振り分け!$B$7:$B$456,計算用!$R$28)))</f>
        <v/>
      </c>
      <c r="C30" s="59">
        <f>IF(計算用!$R$28="","",IF(計算用!$B$1=1,INDEX(計算用!$G$3:$G$452,計算用!$R$28),INDEX(振り分け!$C$7:$C$456,計算用!$R$28)))</f>
        <v/>
      </c>
      <c r="D30" s="70">
        <f>IF(計算用!$R$28="","",IF(計算用!$B$1=1,INDEX(計算用!$H$3:$H$452,計算用!$R$28),INDEX(振り分け!$D$7:$D$456,計算用!$R$28)))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IF(計算用!$R$29="","",27)</f>
        <v/>
      </c>
      <c r="B31" s="59">
        <f>IF(計算用!$R$29="","",IF(計算用!$B$1=1,INDEX(計算用!$F$3:$F$452,計算用!$R$29),INDEX(振り分け!$B$7:$B$456,計算用!$R$29)))</f>
        <v/>
      </c>
      <c r="C31" s="59">
        <f>IF(計算用!$R$29="","",IF(計算用!$B$1=1,INDEX(計算用!$G$3:$G$452,計算用!$R$29),INDEX(振り分け!$C$7:$C$456,計算用!$R$29)))</f>
        <v/>
      </c>
      <c r="D31" s="70">
        <f>IF(計算用!$R$29="","",IF(計算用!$B$1=1,INDEX(計算用!$H$3:$H$452,計算用!$R$29),INDEX(振り分け!$D$7:$D$456,計算用!$R$29)))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IF(計算用!$R$30="","",28)</f>
        <v/>
      </c>
      <c r="B32" s="59">
        <f>IF(計算用!$R$30="","",IF(計算用!$B$1=1,INDEX(計算用!$F$3:$F$452,計算用!$R$30),INDEX(振り分け!$B$7:$B$456,計算用!$R$30)))</f>
        <v/>
      </c>
      <c r="C32" s="59">
        <f>IF(計算用!$R$30="","",IF(計算用!$B$1=1,INDEX(計算用!$G$3:$G$452,計算用!$R$30),INDEX(振り分け!$C$7:$C$456,計算用!$R$30)))</f>
        <v/>
      </c>
      <c r="D32" s="70">
        <f>IF(計算用!$R$30="","",IF(計算用!$B$1=1,INDEX(計算用!$H$3:$H$452,計算用!$R$30),INDEX(振り分け!$D$7:$D$456,計算用!$R$30)))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IF(計算用!$R$31="","",29)</f>
        <v/>
      </c>
      <c r="B33" s="59">
        <f>IF(計算用!$R$31="","",IF(計算用!$B$1=1,INDEX(計算用!$F$3:$F$452,計算用!$R$31),INDEX(振り分け!$B$7:$B$456,計算用!$R$31)))</f>
        <v/>
      </c>
      <c r="C33" s="59">
        <f>IF(計算用!$R$31="","",IF(計算用!$B$1=1,INDEX(計算用!$G$3:$G$452,計算用!$R$31),INDEX(振り分け!$C$7:$C$456,計算用!$R$31)))</f>
        <v/>
      </c>
      <c r="D33" s="70">
        <f>IF(計算用!$R$31="","",IF(計算用!$B$1=1,INDEX(計算用!$H$3:$H$452,計算用!$R$31),INDEX(振り分け!$D$7:$D$456,計算用!$R$31)))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IF(計算用!$R$32="","",30)</f>
        <v/>
      </c>
      <c r="B34" s="59">
        <f>IF(計算用!$R$32="","",IF(計算用!$B$1=1,INDEX(計算用!$F$3:$F$452,計算用!$R$32),INDEX(振り分け!$B$7:$B$456,計算用!$R$32)))</f>
        <v/>
      </c>
      <c r="C34" s="59">
        <f>IF(計算用!$R$32="","",IF(計算用!$B$1=1,INDEX(計算用!$G$3:$G$452,計算用!$R$32),INDEX(振り分け!$C$7:$C$456,計算用!$R$32)))</f>
        <v/>
      </c>
      <c r="D34" s="70">
        <f>IF(計算用!$R$32="","",IF(計算用!$B$1=1,INDEX(計算用!$H$3:$H$452,計算用!$R$32),INDEX(振り分け!$D$7:$D$456,計算用!$R$32)))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IF(計算用!$R$33="","",31)</f>
        <v/>
      </c>
      <c r="B35" s="59">
        <f>IF(計算用!$R$33="","",IF(計算用!$B$1=1,INDEX(計算用!$F$3:$F$452,計算用!$R$33),INDEX(振り分け!$B$7:$B$456,計算用!$R$33)))</f>
        <v/>
      </c>
      <c r="C35" s="59">
        <f>IF(計算用!$R$33="","",IF(計算用!$B$1=1,INDEX(計算用!$G$3:$G$452,計算用!$R$33),INDEX(振り分け!$C$7:$C$456,計算用!$R$33)))</f>
        <v/>
      </c>
      <c r="D35" s="70">
        <f>IF(計算用!$R$33="","",IF(計算用!$B$1=1,INDEX(計算用!$H$3:$H$452,計算用!$R$33),INDEX(振り分け!$D$7:$D$456,計算用!$R$33)))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IF(計算用!$R$34="","",32)</f>
        <v/>
      </c>
      <c r="B36" s="59">
        <f>IF(計算用!$R$34="","",IF(計算用!$B$1=1,INDEX(計算用!$F$3:$F$452,計算用!$R$34),INDEX(振り分け!$B$7:$B$456,計算用!$R$34)))</f>
        <v/>
      </c>
      <c r="C36" s="59">
        <f>IF(計算用!$R$34="","",IF(計算用!$B$1=1,INDEX(計算用!$G$3:$G$452,計算用!$R$34),INDEX(振り分け!$C$7:$C$456,計算用!$R$34)))</f>
        <v/>
      </c>
      <c r="D36" s="70">
        <f>IF(計算用!$R$34="","",IF(計算用!$B$1=1,INDEX(計算用!$H$3:$H$452,計算用!$R$34),INDEX(振り分け!$D$7:$D$456,計算用!$R$34)))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IF(計算用!$R$35="","",33)</f>
        <v/>
      </c>
      <c r="B37" s="59">
        <f>IF(計算用!$R$35="","",IF(計算用!$B$1=1,INDEX(計算用!$F$3:$F$452,計算用!$R$35),INDEX(振り分け!$B$7:$B$456,計算用!$R$35)))</f>
        <v/>
      </c>
      <c r="C37" s="59">
        <f>IF(計算用!$R$35="","",IF(計算用!$B$1=1,INDEX(計算用!$G$3:$G$452,計算用!$R$35),INDEX(振り分け!$C$7:$C$456,計算用!$R$35)))</f>
        <v/>
      </c>
      <c r="D37" s="70">
        <f>IF(計算用!$R$35="","",IF(計算用!$B$1=1,INDEX(計算用!$H$3:$H$452,計算用!$R$35),INDEX(振り分け!$D$7:$D$456,計算用!$R$35)))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IF(計算用!$R$36="","",34)</f>
        <v/>
      </c>
      <c r="B38" s="59">
        <f>IF(計算用!$R$36="","",IF(計算用!$B$1=1,INDEX(計算用!$F$3:$F$452,計算用!$R$36),INDEX(振り分け!$B$7:$B$456,計算用!$R$36)))</f>
        <v/>
      </c>
      <c r="C38" s="59">
        <f>IF(計算用!$R$36="","",IF(計算用!$B$1=1,INDEX(計算用!$G$3:$G$452,計算用!$R$36),INDEX(振り分け!$C$7:$C$456,計算用!$R$36)))</f>
        <v/>
      </c>
      <c r="D38" s="70">
        <f>IF(計算用!$R$36="","",IF(計算用!$B$1=1,INDEX(計算用!$H$3:$H$452,計算用!$R$36),INDEX(振り分け!$D$7:$D$456,計算用!$R$36)))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IF(計算用!$R$37="","",35)</f>
        <v/>
      </c>
      <c r="B39" s="59">
        <f>IF(計算用!$R$37="","",IF(計算用!$B$1=1,INDEX(計算用!$F$3:$F$452,計算用!$R$37),INDEX(振り分け!$B$7:$B$456,計算用!$R$37)))</f>
        <v/>
      </c>
      <c r="C39" s="59">
        <f>IF(計算用!$R$37="","",IF(計算用!$B$1=1,INDEX(計算用!$G$3:$G$452,計算用!$R$37),INDEX(振り分け!$C$7:$C$456,計算用!$R$37)))</f>
        <v/>
      </c>
      <c r="D39" s="70">
        <f>IF(計算用!$R$37="","",IF(計算用!$B$1=1,INDEX(計算用!$H$3:$H$452,計算用!$R$37),INDEX(振り分け!$D$7:$D$456,計算用!$R$37)))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IF(計算用!$R$38="","",36)</f>
        <v/>
      </c>
      <c r="B40" s="59">
        <f>IF(計算用!$R$38="","",IF(計算用!$B$1=1,INDEX(計算用!$F$3:$F$452,計算用!$R$38),INDEX(振り分け!$B$7:$B$456,計算用!$R$38)))</f>
        <v/>
      </c>
      <c r="C40" s="59">
        <f>IF(計算用!$R$38="","",IF(計算用!$B$1=1,INDEX(計算用!$G$3:$G$452,計算用!$R$38),INDEX(振り分け!$C$7:$C$456,計算用!$R$38)))</f>
        <v/>
      </c>
      <c r="D40" s="70">
        <f>IF(計算用!$R$38="","",IF(計算用!$B$1=1,INDEX(計算用!$H$3:$H$452,計算用!$R$38),INDEX(振り分け!$D$7:$D$456,計算用!$R$38)))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IF(計算用!$R$39="","",37)</f>
        <v/>
      </c>
      <c r="B41" s="59">
        <f>IF(計算用!$R$39="","",IF(計算用!$B$1=1,INDEX(計算用!$F$3:$F$452,計算用!$R$39),INDEX(振り分け!$B$7:$B$456,計算用!$R$39)))</f>
        <v/>
      </c>
      <c r="C41" s="59">
        <f>IF(計算用!$R$39="","",IF(計算用!$B$1=1,INDEX(計算用!$G$3:$G$452,計算用!$R$39),INDEX(振り分け!$C$7:$C$456,計算用!$R$39)))</f>
        <v/>
      </c>
      <c r="D41" s="70">
        <f>IF(計算用!$R$39="","",IF(計算用!$B$1=1,INDEX(計算用!$H$3:$H$452,計算用!$R$39),INDEX(振り分け!$D$7:$D$456,計算用!$R$39)))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IF(計算用!$R$40="","",38)</f>
        <v/>
      </c>
      <c r="B42" s="59">
        <f>IF(計算用!$R$40="","",IF(計算用!$B$1=1,INDEX(計算用!$F$3:$F$452,計算用!$R$40),INDEX(振り分け!$B$7:$B$456,計算用!$R$40)))</f>
        <v/>
      </c>
      <c r="C42" s="59">
        <f>IF(計算用!$R$40="","",IF(計算用!$B$1=1,INDEX(計算用!$G$3:$G$452,計算用!$R$40),INDEX(振り分け!$C$7:$C$456,計算用!$R$40)))</f>
        <v/>
      </c>
      <c r="D42" s="70">
        <f>IF(計算用!$R$40="","",IF(計算用!$B$1=1,INDEX(計算用!$H$3:$H$452,計算用!$R$40),INDEX(振り分け!$D$7:$D$456,計算用!$R$40)))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IF(計算用!$R$41="","",39)</f>
        <v/>
      </c>
      <c r="B43" s="59">
        <f>IF(計算用!$R$41="","",IF(計算用!$B$1=1,INDEX(計算用!$F$3:$F$452,計算用!$R$41),INDEX(振り分け!$B$7:$B$456,計算用!$R$41)))</f>
        <v/>
      </c>
      <c r="C43" s="59">
        <f>IF(計算用!$R$41="","",IF(計算用!$B$1=1,INDEX(計算用!$G$3:$G$452,計算用!$R$41),INDEX(振り分け!$C$7:$C$456,計算用!$R$41)))</f>
        <v/>
      </c>
      <c r="D43" s="70">
        <f>IF(計算用!$R$41="","",IF(計算用!$B$1=1,INDEX(計算用!$H$3:$H$452,計算用!$R$41),INDEX(振り分け!$D$7:$D$456,計算用!$R$41)))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IF(計算用!$R$42="","",40)</f>
        <v/>
      </c>
      <c r="B44" s="59">
        <f>IF(計算用!$R$42="","",IF(計算用!$B$1=1,INDEX(計算用!$F$3:$F$452,計算用!$R$42),INDEX(振り分け!$B$7:$B$456,計算用!$R$42)))</f>
        <v/>
      </c>
      <c r="C44" s="59">
        <f>IF(計算用!$R$42="","",IF(計算用!$B$1=1,INDEX(計算用!$G$3:$G$452,計算用!$R$42),INDEX(振り分け!$C$7:$C$456,計算用!$R$42)))</f>
        <v/>
      </c>
      <c r="D44" s="70">
        <f>IF(計算用!$R$42="","",IF(計算用!$B$1=1,INDEX(計算用!$H$3:$H$452,計算用!$R$42),INDEX(振り分け!$D$7:$D$456,計算用!$R$42)))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IF(計算用!$R$43="","",41)</f>
        <v/>
      </c>
      <c r="B45" s="59">
        <f>IF(計算用!$R$43="","",IF(計算用!$B$1=1,INDEX(計算用!$F$3:$F$452,計算用!$R$43),INDEX(振り分け!$B$7:$B$456,計算用!$R$43)))</f>
        <v/>
      </c>
      <c r="C45" s="59">
        <f>IF(計算用!$R$43="","",IF(計算用!$B$1=1,INDEX(計算用!$G$3:$G$452,計算用!$R$43),INDEX(振り分け!$C$7:$C$456,計算用!$R$43)))</f>
        <v/>
      </c>
      <c r="D45" s="70">
        <f>IF(計算用!$R$43="","",IF(計算用!$B$1=1,INDEX(計算用!$H$3:$H$452,計算用!$R$43),INDEX(振り分け!$D$7:$D$456,計算用!$R$43)))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IF(計算用!$R$44="","",42)</f>
        <v/>
      </c>
      <c r="B46" s="59">
        <f>IF(計算用!$R$44="","",IF(計算用!$B$1=1,INDEX(計算用!$F$3:$F$452,計算用!$R$44),INDEX(振り分け!$B$7:$B$456,計算用!$R$44)))</f>
        <v/>
      </c>
      <c r="C46" s="59">
        <f>IF(計算用!$R$44="","",IF(計算用!$B$1=1,INDEX(計算用!$G$3:$G$452,計算用!$R$44),INDEX(振り分け!$C$7:$C$456,計算用!$R$44)))</f>
        <v/>
      </c>
      <c r="D46" s="70">
        <f>IF(計算用!$R$44="","",IF(計算用!$B$1=1,INDEX(計算用!$H$3:$H$452,計算用!$R$44),INDEX(振り分け!$D$7:$D$456,計算用!$R$44)))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IF(計算用!$R$45="","",43)</f>
        <v/>
      </c>
      <c r="B47" s="59">
        <f>IF(計算用!$R$45="","",IF(計算用!$B$1=1,INDEX(計算用!$F$3:$F$452,計算用!$R$45),INDEX(振り分け!$B$7:$B$456,計算用!$R$45)))</f>
        <v/>
      </c>
      <c r="C47" s="59">
        <f>IF(計算用!$R$45="","",IF(計算用!$B$1=1,INDEX(計算用!$G$3:$G$452,計算用!$R$45),INDEX(振り分け!$C$7:$C$456,計算用!$R$45)))</f>
        <v/>
      </c>
      <c r="D47" s="70">
        <f>IF(計算用!$R$45="","",IF(計算用!$B$1=1,INDEX(計算用!$H$3:$H$452,計算用!$R$45),INDEX(振り分け!$D$7:$D$456,計算用!$R$45)))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IF(計算用!$R$46="","",44)</f>
        <v/>
      </c>
      <c r="B48" s="59">
        <f>IF(計算用!$R$46="","",IF(計算用!$B$1=1,INDEX(計算用!$F$3:$F$452,計算用!$R$46),INDEX(振り分け!$B$7:$B$456,計算用!$R$46)))</f>
        <v/>
      </c>
      <c r="C48" s="59">
        <f>IF(計算用!$R$46="","",IF(計算用!$B$1=1,INDEX(計算用!$G$3:$G$452,計算用!$R$46),INDEX(振り分け!$C$7:$C$456,計算用!$R$46)))</f>
        <v/>
      </c>
      <c r="D48" s="70">
        <f>IF(計算用!$R$46="","",IF(計算用!$B$1=1,INDEX(計算用!$H$3:$H$452,計算用!$R$46),INDEX(振り分け!$D$7:$D$456,計算用!$R$46)))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IF(計算用!$R$47="","",45)</f>
        <v/>
      </c>
      <c r="B49" s="59">
        <f>IF(計算用!$R$47="","",IF(計算用!$B$1=1,INDEX(計算用!$F$3:$F$452,計算用!$R$47),INDEX(振り分け!$B$7:$B$456,計算用!$R$47)))</f>
        <v/>
      </c>
      <c r="C49" s="59">
        <f>IF(計算用!$R$47="","",IF(計算用!$B$1=1,INDEX(計算用!$G$3:$G$452,計算用!$R$47),INDEX(振り分け!$C$7:$C$456,計算用!$R$47)))</f>
        <v/>
      </c>
      <c r="D49" s="70">
        <f>IF(計算用!$R$47="","",IF(計算用!$B$1=1,INDEX(計算用!$H$3:$H$452,計算用!$R$47),INDEX(振り分け!$D$7:$D$456,計算用!$R$47)))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IF(計算用!$R$48="","",46)</f>
        <v/>
      </c>
      <c r="B50" s="59">
        <f>IF(計算用!$R$48="","",IF(計算用!$B$1=1,INDEX(計算用!$F$3:$F$452,計算用!$R$48),INDEX(振り分け!$B$7:$B$456,計算用!$R$48)))</f>
        <v/>
      </c>
      <c r="C50" s="59">
        <f>IF(計算用!$R$48="","",IF(計算用!$B$1=1,INDEX(計算用!$G$3:$G$452,計算用!$R$48),INDEX(振り分け!$C$7:$C$456,計算用!$R$48)))</f>
        <v/>
      </c>
      <c r="D50" s="70">
        <f>IF(計算用!$R$48="","",IF(計算用!$B$1=1,INDEX(計算用!$H$3:$H$452,計算用!$R$48),INDEX(振り分け!$D$7:$D$456,計算用!$R$48)))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IF(計算用!$R$49="","",47)</f>
        <v/>
      </c>
      <c r="B51" s="59">
        <f>IF(計算用!$R$49="","",IF(計算用!$B$1=1,INDEX(計算用!$F$3:$F$452,計算用!$R$49),INDEX(振り分け!$B$7:$B$456,計算用!$R$49)))</f>
        <v/>
      </c>
      <c r="C51" s="59">
        <f>IF(計算用!$R$49="","",IF(計算用!$B$1=1,INDEX(計算用!$G$3:$G$452,計算用!$R$49),INDEX(振り分け!$C$7:$C$456,計算用!$R$49)))</f>
        <v/>
      </c>
      <c r="D51" s="70">
        <f>IF(計算用!$R$49="","",IF(計算用!$B$1=1,INDEX(計算用!$H$3:$H$452,計算用!$R$49),INDEX(振り分け!$D$7:$D$456,計算用!$R$49)))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IF(計算用!$R$50="","",48)</f>
        <v/>
      </c>
      <c r="B52" s="59">
        <f>IF(計算用!$R$50="","",IF(計算用!$B$1=1,INDEX(計算用!$F$3:$F$452,計算用!$R$50),INDEX(振り分け!$B$7:$B$456,計算用!$R$50)))</f>
        <v/>
      </c>
      <c r="C52" s="59">
        <f>IF(計算用!$R$50="","",IF(計算用!$B$1=1,INDEX(計算用!$G$3:$G$452,計算用!$R$50),INDEX(振り分け!$C$7:$C$456,計算用!$R$50)))</f>
        <v/>
      </c>
      <c r="D52" s="70">
        <f>IF(計算用!$R$50="","",IF(計算用!$B$1=1,INDEX(計算用!$H$3:$H$452,計算用!$R$50),INDEX(振り分け!$D$7:$D$456,計算用!$R$50)))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IF(計算用!$R$51="","",49)</f>
        <v/>
      </c>
      <c r="B53" s="59">
        <f>IF(計算用!$R$51="","",IF(計算用!$B$1=1,INDEX(計算用!$F$3:$F$452,計算用!$R$51),INDEX(振り分け!$B$7:$B$456,計算用!$R$51)))</f>
        <v/>
      </c>
      <c r="C53" s="59">
        <f>IF(計算用!$R$51="","",IF(計算用!$B$1=1,INDEX(計算用!$G$3:$G$452,計算用!$R$51),INDEX(振り分け!$C$7:$C$456,計算用!$R$51)))</f>
        <v/>
      </c>
      <c r="D53" s="70">
        <f>IF(計算用!$R$51="","",IF(計算用!$B$1=1,INDEX(計算用!$H$3:$H$452,計算用!$R$51),INDEX(振り分け!$D$7:$D$456,計算用!$R$51)))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IF(計算用!$R$52="","",50)</f>
        <v/>
      </c>
      <c r="B54" s="59">
        <f>IF(計算用!$R$52="","",IF(計算用!$B$1=1,INDEX(計算用!$F$3:$F$452,計算用!$R$52),INDEX(振り分け!$B$7:$B$456,計算用!$R$52)))</f>
        <v/>
      </c>
      <c r="C54" s="59">
        <f>IF(計算用!$R$52="","",IF(計算用!$B$1=1,INDEX(計算用!$G$3:$G$452,計算用!$R$52),INDEX(振り分け!$C$7:$C$456,計算用!$R$52)))</f>
        <v/>
      </c>
      <c r="D54" s="70">
        <f>IF(計算用!$R$52="","",IF(計算用!$B$1=1,INDEX(計算用!$H$3:$H$452,計算用!$R$52),INDEX(振り分け!$D$7:$D$456,計算用!$R$52)))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IF(設定!$P$17="","",設定!$B$3&amp;"　"&amp;設定!$P$17&amp;設定!$B$4&amp;"名簿"&amp;IF(計算用!$B$1=0,"（仮・前年度の組）",""))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IF(設定!$P$17="","","担当："&amp;設定!$S$17&amp;"　　活動場所："&amp;設定!$T$17&amp;"　　人数："&amp;定員チェック!$I$16&amp;"名（"&amp;設定!$B$8&amp;"年"&amp;定員チェック!$J$16&amp;"・"&amp;設定!$B$9&amp;"年"&amp;定員チェック!$K$16&amp;"・"&amp;設定!$B$10&amp;"年"&amp;定員チェック!$L$16&amp;"）")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IF(計算用!$S$3="","",1)</f>
        <v/>
      </c>
      <c r="B5" s="59">
        <f>IF(計算用!$S$3="","",IF(計算用!$B$1=1,INDEX(計算用!$F$3:$F$452,計算用!$S$3),INDEX(振り分け!$B$7:$B$456,計算用!$S$3)))</f>
        <v/>
      </c>
      <c r="C5" s="59">
        <f>IF(計算用!$S$3="","",IF(計算用!$B$1=1,INDEX(計算用!$G$3:$G$452,計算用!$S$3),INDEX(振り分け!$C$7:$C$456,計算用!$S$3)))</f>
        <v/>
      </c>
      <c r="D5" s="70">
        <f>IF(計算用!$S$3="","",IF(計算用!$B$1=1,INDEX(計算用!$H$3:$H$452,計算用!$S$3),INDEX(振り分け!$D$7:$D$456,計算用!$S$3)))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IF(計算用!$S$4="","",2)</f>
        <v/>
      </c>
      <c r="B6" s="59">
        <f>IF(計算用!$S$4="","",IF(計算用!$B$1=1,INDEX(計算用!$F$3:$F$452,計算用!$S$4),INDEX(振り分け!$B$7:$B$456,計算用!$S$4)))</f>
        <v/>
      </c>
      <c r="C6" s="59">
        <f>IF(計算用!$S$4="","",IF(計算用!$B$1=1,INDEX(計算用!$G$3:$G$452,計算用!$S$4),INDEX(振り分け!$C$7:$C$456,計算用!$S$4)))</f>
        <v/>
      </c>
      <c r="D6" s="70">
        <f>IF(計算用!$S$4="","",IF(計算用!$B$1=1,INDEX(計算用!$H$3:$H$452,計算用!$S$4),INDEX(振り分け!$D$7:$D$456,計算用!$S$4)))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IF(計算用!$S$5="","",3)</f>
        <v/>
      </c>
      <c r="B7" s="59">
        <f>IF(計算用!$S$5="","",IF(計算用!$B$1=1,INDEX(計算用!$F$3:$F$452,計算用!$S$5),INDEX(振り分け!$B$7:$B$456,計算用!$S$5)))</f>
        <v/>
      </c>
      <c r="C7" s="59">
        <f>IF(計算用!$S$5="","",IF(計算用!$B$1=1,INDEX(計算用!$G$3:$G$452,計算用!$S$5),INDEX(振り分け!$C$7:$C$456,計算用!$S$5)))</f>
        <v/>
      </c>
      <c r="D7" s="70">
        <f>IF(計算用!$S$5="","",IF(計算用!$B$1=1,INDEX(計算用!$H$3:$H$452,計算用!$S$5),INDEX(振り分け!$D$7:$D$456,計算用!$S$5)))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IF(計算用!$S$6="","",4)</f>
        <v/>
      </c>
      <c r="B8" s="59">
        <f>IF(計算用!$S$6="","",IF(計算用!$B$1=1,INDEX(計算用!$F$3:$F$452,計算用!$S$6),INDEX(振り分け!$B$7:$B$456,計算用!$S$6)))</f>
        <v/>
      </c>
      <c r="C8" s="59">
        <f>IF(計算用!$S$6="","",IF(計算用!$B$1=1,INDEX(計算用!$G$3:$G$452,計算用!$S$6),INDEX(振り分け!$C$7:$C$456,計算用!$S$6)))</f>
        <v/>
      </c>
      <c r="D8" s="70">
        <f>IF(計算用!$S$6="","",IF(計算用!$B$1=1,INDEX(計算用!$H$3:$H$452,計算用!$S$6),INDEX(振り分け!$D$7:$D$456,計算用!$S$6)))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IF(計算用!$S$7="","",5)</f>
        <v/>
      </c>
      <c r="B9" s="59">
        <f>IF(計算用!$S$7="","",IF(計算用!$B$1=1,INDEX(計算用!$F$3:$F$452,計算用!$S$7),INDEX(振り分け!$B$7:$B$456,計算用!$S$7)))</f>
        <v/>
      </c>
      <c r="C9" s="59">
        <f>IF(計算用!$S$7="","",IF(計算用!$B$1=1,INDEX(計算用!$G$3:$G$452,計算用!$S$7),INDEX(振り分け!$C$7:$C$456,計算用!$S$7)))</f>
        <v/>
      </c>
      <c r="D9" s="70">
        <f>IF(計算用!$S$7="","",IF(計算用!$B$1=1,INDEX(計算用!$H$3:$H$452,計算用!$S$7),INDEX(振り分け!$D$7:$D$456,計算用!$S$7)))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IF(計算用!$S$8="","",6)</f>
        <v/>
      </c>
      <c r="B10" s="59">
        <f>IF(計算用!$S$8="","",IF(計算用!$B$1=1,INDEX(計算用!$F$3:$F$452,計算用!$S$8),INDEX(振り分け!$B$7:$B$456,計算用!$S$8)))</f>
        <v/>
      </c>
      <c r="C10" s="59">
        <f>IF(計算用!$S$8="","",IF(計算用!$B$1=1,INDEX(計算用!$G$3:$G$452,計算用!$S$8),INDEX(振り分け!$C$7:$C$456,計算用!$S$8)))</f>
        <v/>
      </c>
      <c r="D10" s="70">
        <f>IF(計算用!$S$8="","",IF(計算用!$B$1=1,INDEX(計算用!$H$3:$H$452,計算用!$S$8),INDEX(振り分け!$D$7:$D$456,計算用!$S$8)))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IF(計算用!$S$9="","",7)</f>
        <v/>
      </c>
      <c r="B11" s="59">
        <f>IF(計算用!$S$9="","",IF(計算用!$B$1=1,INDEX(計算用!$F$3:$F$452,計算用!$S$9),INDEX(振り分け!$B$7:$B$456,計算用!$S$9)))</f>
        <v/>
      </c>
      <c r="C11" s="59">
        <f>IF(計算用!$S$9="","",IF(計算用!$B$1=1,INDEX(計算用!$G$3:$G$452,計算用!$S$9),INDEX(振り分け!$C$7:$C$456,計算用!$S$9)))</f>
        <v/>
      </c>
      <c r="D11" s="70">
        <f>IF(計算用!$S$9="","",IF(計算用!$B$1=1,INDEX(計算用!$H$3:$H$452,計算用!$S$9),INDEX(振り分け!$D$7:$D$456,計算用!$S$9)))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IF(計算用!$S$10="","",8)</f>
        <v/>
      </c>
      <c r="B12" s="59">
        <f>IF(計算用!$S$10="","",IF(計算用!$B$1=1,INDEX(計算用!$F$3:$F$452,計算用!$S$10),INDEX(振り分け!$B$7:$B$456,計算用!$S$10)))</f>
        <v/>
      </c>
      <c r="C12" s="59">
        <f>IF(計算用!$S$10="","",IF(計算用!$B$1=1,INDEX(計算用!$G$3:$G$452,計算用!$S$10),INDEX(振り分け!$C$7:$C$456,計算用!$S$10)))</f>
        <v/>
      </c>
      <c r="D12" s="70">
        <f>IF(計算用!$S$10="","",IF(計算用!$B$1=1,INDEX(計算用!$H$3:$H$452,計算用!$S$10),INDEX(振り分け!$D$7:$D$456,計算用!$S$10)))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IF(計算用!$S$11="","",9)</f>
        <v/>
      </c>
      <c r="B13" s="59">
        <f>IF(計算用!$S$11="","",IF(計算用!$B$1=1,INDEX(計算用!$F$3:$F$452,計算用!$S$11),INDEX(振り分け!$B$7:$B$456,計算用!$S$11)))</f>
        <v/>
      </c>
      <c r="C13" s="59">
        <f>IF(計算用!$S$11="","",IF(計算用!$B$1=1,INDEX(計算用!$G$3:$G$452,計算用!$S$11),INDEX(振り分け!$C$7:$C$456,計算用!$S$11)))</f>
        <v/>
      </c>
      <c r="D13" s="70">
        <f>IF(計算用!$S$11="","",IF(計算用!$B$1=1,INDEX(計算用!$H$3:$H$452,計算用!$S$11),INDEX(振り分け!$D$7:$D$456,計算用!$S$11)))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IF(計算用!$S$12="","",10)</f>
        <v/>
      </c>
      <c r="B14" s="59">
        <f>IF(計算用!$S$12="","",IF(計算用!$B$1=1,INDEX(計算用!$F$3:$F$452,計算用!$S$12),INDEX(振り分け!$B$7:$B$456,計算用!$S$12)))</f>
        <v/>
      </c>
      <c r="C14" s="59">
        <f>IF(計算用!$S$12="","",IF(計算用!$B$1=1,INDEX(計算用!$G$3:$G$452,計算用!$S$12),INDEX(振り分け!$C$7:$C$456,計算用!$S$12)))</f>
        <v/>
      </c>
      <c r="D14" s="70">
        <f>IF(計算用!$S$12="","",IF(計算用!$B$1=1,INDEX(計算用!$H$3:$H$452,計算用!$S$12),INDEX(振り分け!$D$7:$D$456,計算用!$S$12)))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IF(計算用!$S$13="","",11)</f>
        <v/>
      </c>
      <c r="B15" s="59">
        <f>IF(計算用!$S$13="","",IF(計算用!$B$1=1,INDEX(計算用!$F$3:$F$452,計算用!$S$13),INDEX(振り分け!$B$7:$B$456,計算用!$S$13)))</f>
        <v/>
      </c>
      <c r="C15" s="59">
        <f>IF(計算用!$S$13="","",IF(計算用!$B$1=1,INDEX(計算用!$G$3:$G$452,計算用!$S$13),INDEX(振り分け!$C$7:$C$456,計算用!$S$13)))</f>
        <v/>
      </c>
      <c r="D15" s="70">
        <f>IF(計算用!$S$13="","",IF(計算用!$B$1=1,INDEX(計算用!$H$3:$H$452,計算用!$S$13),INDEX(振り分け!$D$7:$D$456,計算用!$S$13)))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IF(計算用!$S$14="","",12)</f>
        <v/>
      </c>
      <c r="B16" s="59">
        <f>IF(計算用!$S$14="","",IF(計算用!$B$1=1,INDEX(計算用!$F$3:$F$452,計算用!$S$14),INDEX(振り分け!$B$7:$B$456,計算用!$S$14)))</f>
        <v/>
      </c>
      <c r="C16" s="59">
        <f>IF(計算用!$S$14="","",IF(計算用!$B$1=1,INDEX(計算用!$G$3:$G$452,計算用!$S$14),INDEX(振り分け!$C$7:$C$456,計算用!$S$14)))</f>
        <v/>
      </c>
      <c r="D16" s="70">
        <f>IF(計算用!$S$14="","",IF(計算用!$B$1=1,INDEX(計算用!$H$3:$H$452,計算用!$S$14),INDEX(振り分け!$D$7:$D$456,計算用!$S$14)))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IF(計算用!$S$15="","",13)</f>
        <v/>
      </c>
      <c r="B17" s="59">
        <f>IF(計算用!$S$15="","",IF(計算用!$B$1=1,INDEX(計算用!$F$3:$F$452,計算用!$S$15),INDEX(振り分け!$B$7:$B$456,計算用!$S$15)))</f>
        <v/>
      </c>
      <c r="C17" s="59">
        <f>IF(計算用!$S$15="","",IF(計算用!$B$1=1,INDEX(計算用!$G$3:$G$452,計算用!$S$15),INDEX(振り分け!$C$7:$C$456,計算用!$S$15)))</f>
        <v/>
      </c>
      <c r="D17" s="70">
        <f>IF(計算用!$S$15="","",IF(計算用!$B$1=1,INDEX(計算用!$H$3:$H$452,計算用!$S$15),INDEX(振り分け!$D$7:$D$456,計算用!$S$15)))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IF(計算用!$S$16="","",14)</f>
        <v/>
      </c>
      <c r="B18" s="59">
        <f>IF(計算用!$S$16="","",IF(計算用!$B$1=1,INDEX(計算用!$F$3:$F$452,計算用!$S$16),INDEX(振り分け!$B$7:$B$456,計算用!$S$16)))</f>
        <v/>
      </c>
      <c r="C18" s="59">
        <f>IF(計算用!$S$16="","",IF(計算用!$B$1=1,INDEX(計算用!$G$3:$G$452,計算用!$S$16),INDEX(振り分け!$C$7:$C$456,計算用!$S$16)))</f>
        <v/>
      </c>
      <c r="D18" s="70">
        <f>IF(計算用!$S$16="","",IF(計算用!$B$1=1,INDEX(計算用!$H$3:$H$452,計算用!$S$16),INDEX(振り分け!$D$7:$D$456,計算用!$S$16)))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IF(計算用!$S$17="","",15)</f>
        <v/>
      </c>
      <c r="B19" s="59">
        <f>IF(計算用!$S$17="","",IF(計算用!$B$1=1,INDEX(計算用!$F$3:$F$452,計算用!$S$17),INDEX(振り分け!$B$7:$B$456,計算用!$S$17)))</f>
        <v/>
      </c>
      <c r="C19" s="59">
        <f>IF(計算用!$S$17="","",IF(計算用!$B$1=1,INDEX(計算用!$G$3:$G$452,計算用!$S$17),INDEX(振り分け!$C$7:$C$456,計算用!$S$17)))</f>
        <v/>
      </c>
      <c r="D19" s="70">
        <f>IF(計算用!$S$17="","",IF(計算用!$B$1=1,INDEX(計算用!$H$3:$H$452,計算用!$S$17),INDEX(振り分け!$D$7:$D$456,計算用!$S$17)))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IF(計算用!$S$18="","",16)</f>
        <v/>
      </c>
      <c r="B20" s="59">
        <f>IF(計算用!$S$18="","",IF(計算用!$B$1=1,INDEX(計算用!$F$3:$F$452,計算用!$S$18),INDEX(振り分け!$B$7:$B$456,計算用!$S$18)))</f>
        <v/>
      </c>
      <c r="C20" s="59">
        <f>IF(計算用!$S$18="","",IF(計算用!$B$1=1,INDEX(計算用!$G$3:$G$452,計算用!$S$18),INDEX(振り分け!$C$7:$C$456,計算用!$S$18)))</f>
        <v/>
      </c>
      <c r="D20" s="70">
        <f>IF(計算用!$S$18="","",IF(計算用!$B$1=1,INDEX(計算用!$H$3:$H$452,計算用!$S$18),INDEX(振り分け!$D$7:$D$456,計算用!$S$18)))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IF(計算用!$S$19="","",17)</f>
        <v/>
      </c>
      <c r="B21" s="59">
        <f>IF(計算用!$S$19="","",IF(計算用!$B$1=1,INDEX(計算用!$F$3:$F$452,計算用!$S$19),INDEX(振り分け!$B$7:$B$456,計算用!$S$19)))</f>
        <v/>
      </c>
      <c r="C21" s="59">
        <f>IF(計算用!$S$19="","",IF(計算用!$B$1=1,INDEX(計算用!$G$3:$G$452,計算用!$S$19),INDEX(振り分け!$C$7:$C$456,計算用!$S$19)))</f>
        <v/>
      </c>
      <c r="D21" s="70">
        <f>IF(計算用!$S$19="","",IF(計算用!$B$1=1,INDEX(計算用!$H$3:$H$452,計算用!$S$19),INDEX(振り分け!$D$7:$D$456,計算用!$S$19)))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IF(計算用!$S$20="","",18)</f>
        <v/>
      </c>
      <c r="B22" s="59">
        <f>IF(計算用!$S$20="","",IF(計算用!$B$1=1,INDEX(計算用!$F$3:$F$452,計算用!$S$20),INDEX(振り分け!$B$7:$B$456,計算用!$S$20)))</f>
        <v/>
      </c>
      <c r="C22" s="59">
        <f>IF(計算用!$S$20="","",IF(計算用!$B$1=1,INDEX(計算用!$G$3:$G$452,計算用!$S$20),INDEX(振り分け!$C$7:$C$456,計算用!$S$20)))</f>
        <v/>
      </c>
      <c r="D22" s="70">
        <f>IF(計算用!$S$20="","",IF(計算用!$B$1=1,INDEX(計算用!$H$3:$H$452,計算用!$S$20),INDEX(振り分け!$D$7:$D$456,計算用!$S$20)))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IF(計算用!$S$21="","",19)</f>
        <v/>
      </c>
      <c r="B23" s="59">
        <f>IF(計算用!$S$21="","",IF(計算用!$B$1=1,INDEX(計算用!$F$3:$F$452,計算用!$S$21),INDEX(振り分け!$B$7:$B$456,計算用!$S$21)))</f>
        <v/>
      </c>
      <c r="C23" s="59">
        <f>IF(計算用!$S$21="","",IF(計算用!$B$1=1,INDEX(計算用!$G$3:$G$452,計算用!$S$21),INDEX(振り分け!$C$7:$C$456,計算用!$S$21)))</f>
        <v/>
      </c>
      <c r="D23" s="70">
        <f>IF(計算用!$S$21="","",IF(計算用!$B$1=1,INDEX(計算用!$H$3:$H$452,計算用!$S$21),INDEX(振り分け!$D$7:$D$456,計算用!$S$21)))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IF(計算用!$S$22="","",20)</f>
        <v/>
      </c>
      <c r="B24" s="59">
        <f>IF(計算用!$S$22="","",IF(計算用!$B$1=1,INDEX(計算用!$F$3:$F$452,計算用!$S$22),INDEX(振り分け!$B$7:$B$456,計算用!$S$22)))</f>
        <v/>
      </c>
      <c r="C24" s="59">
        <f>IF(計算用!$S$22="","",IF(計算用!$B$1=1,INDEX(計算用!$G$3:$G$452,計算用!$S$22),INDEX(振り分け!$C$7:$C$456,計算用!$S$22)))</f>
        <v/>
      </c>
      <c r="D24" s="70">
        <f>IF(計算用!$S$22="","",IF(計算用!$B$1=1,INDEX(計算用!$H$3:$H$452,計算用!$S$22),INDEX(振り分け!$D$7:$D$456,計算用!$S$22)))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IF(計算用!$S$23="","",21)</f>
        <v/>
      </c>
      <c r="B25" s="59">
        <f>IF(計算用!$S$23="","",IF(計算用!$B$1=1,INDEX(計算用!$F$3:$F$452,計算用!$S$23),INDEX(振り分け!$B$7:$B$456,計算用!$S$23)))</f>
        <v/>
      </c>
      <c r="C25" s="59">
        <f>IF(計算用!$S$23="","",IF(計算用!$B$1=1,INDEX(計算用!$G$3:$G$452,計算用!$S$23),INDEX(振り分け!$C$7:$C$456,計算用!$S$23)))</f>
        <v/>
      </c>
      <c r="D25" s="70">
        <f>IF(計算用!$S$23="","",IF(計算用!$B$1=1,INDEX(計算用!$H$3:$H$452,計算用!$S$23),INDEX(振り分け!$D$7:$D$456,計算用!$S$23)))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IF(計算用!$S$24="","",22)</f>
        <v/>
      </c>
      <c r="B26" s="59">
        <f>IF(計算用!$S$24="","",IF(計算用!$B$1=1,INDEX(計算用!$F$3:$F$452,計算用!$S$24),INDEX(振り分け!$B$7:$B$456,計算用!$S$24)))</f>
        <v/>
      </c>
      <c r="C26" s="59">
        <f>IF(計算用!$S$24="","",IF(計算用!$B$1=1,INDEX(計算用!$G$3:$G$452,計算用!$S$24),INDEX(振り分け!$C$7:$C$456,計算用!$S$24)))</f>
        <v/>
      </c>
      <c r="D26" s="70">
        <f>IF(計算用!$S$24="","",IF(計算用!$B$1=1,INDEX(計算用!$H$3:$H$452,計算用!$S$24),INDEX(振り分け!$D$7:$D$456,計算用!$S$24)))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IF(計算用!$S$25="","",23)</f>
        <v/>
      </c>
      <c r="B27" s="59">
        <f>IF(計算用!$S$25="","",IF(計算用!$B$1=1,INDEX(計算用!$F$3:$F$452,計算用!$S$25),INDEX(振り分け!$B$7:$B$456,計算用!$S$25)))</f>
        <v/>
      </c>
      <c r="C27" s="59">
        <f>IF(計算用!$S$25="","",IF(計算用!$B$1=1,INDEX(計算用!$G$3:$G$452,計算用!$S$25),INDEX(振り分け!$C$7:$C$456,計算用!$S$25)))</f>
        <v/>
      </c>
      <c r="D27" s="70">
        <f>IF(計算用!$S$25="","",IF(計算用!$B$1=1,INDEX(計算用!$H$3:$H$452,計算用!$S$25),INDEX(振り分け!$D$7:$D$456,計算用!$S$25)))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IF(計算用!$S$26="","",24)</f>
        <v/>
      </c>
      <c r="B28" s="59">
        <f>IF(計算用!$S$26="","",IF(計算用!$B$1=1,INDEX(計算用!$F$3:$F$452,計算用!$S$26),INDEX(振り分け!$B$7:$B$456,計算用!$S$26)))</f>
        <v/>
      </c>
      <c r="C28" s="59">
        <f>IF(計算用!$S$26="","",IF(計算用!$B$1=1,INDEX(計算用!$G$3:$G$452,計算用!$S$26),INDEX(振り分け!$C$7:$C$456,計算用!$S$26)))</f>
        <v/>
      </c>
      <c r="D28" s="70">
        <f>IF(計算用!$S$26="","",IF(計算用!$B$1=1,INDEX(計算用!$H$3:$H$452,計算用!$S$26),INDEX(振り分け!$D$7:$D$456,計算用!$S$26)))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IF(計算用!$S$27="","",25)</f>
        <v/>
      </c>
      <c r="B29" s="59">
        <f>IF(計算用!$S$27="","",IF(計算用!$B$1=1,INDEX(計算用!$F$3:$F$452,計算用!$S$27),INDEX(振り分け!$B$7:$B$456,計算用!$S$27)))</f>
        <v/>
      </c>
      <c r="C29" s="59">
        <f>IF(計算用!$S$27="","",IF(計算用!$B$1=1,INDEX(計算用!$G$3:$G$452,計算用!$S$27),INDEX(振り分け!$C$7:$C$456,計算用!$S$27)))</f>
        <v/>
      </c>
      <c r="D29" s="70">
        <f>IF(計算用!$S$27="","",IF(計算用!$B$1=1,INDEX(計算用!$H$3:$H$452,計算用!$S$27),INDEX(振り分け!$D$7:$D$456,計算用!$S$27)))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IF(計算用!$S$28="","",26)</f>
        <v/>
      </c>
      <c r="B30" s="59">
        <f>IF(計算用!$S$28="","",IF(計算用!$B$1=1,INDEX(計算用!$F$3:$F$452,計算用!$S$28),INDEX(振り分け!$B$7:$B$456,計算用!$S$28)))</f>
        <v/>
      </c>
      <c r="C30" s="59">
        <f>IF(計算用!$S$28="","",IF(計算用!$B$1=1,INDEX(計算用!$G$3:$G$452,計算用!$S$28),INDEX(振り分け!$C$7:$C$456,計算用!$S$28)))</f>
        <v/>
      </c>
      <c r="D30" s="70">
        <f>IF(計算用!$S$28="","",IF(計算用!$B$1=1,INDEX(計算用!$H$3:$H$452,計算用!$S$28),INDEX(振り分け!$D$7:$D$456,計算用!$S$28)))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IF(計算用!$S$29="","",27)</f>
        <v/>
      </c>
      <c r="B31" s="59">
        <f>IF(計算用!$S$29="","",IF(計算用!$B$1=1,INDEX(計算用!$F$3:$F$452,計算用!$S$29),INDEX(振り分け!$B$7:$B$456,計算用!$S$29)))</f>
        <v/>
      </c>
      <c r="C31" s="59">
        <f>IF(計算用!$S$29="","",IF(計算用!$B$1=1,INDEX(計算用!$G$3:$G$452,計算用!$S$29),INDEX(振り分け!$C$7:$C$456,計算用!$S$29)))</f>
        <v/>
      </c>
      <c r="D31" s="70">
        <f>IF(計算用!$S$29="","",IF(計算用!$B$1=1,INDEX(計算用!$H$3:$H$452,計算用!$S$29),INDEX(振り分け!$D$7:$D$456,計算用!$S$29)))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IF(計算用!$S$30="","",28)</f>
        <v/>
      </c>
      <c r="B32" s="59">
        <f>IF(計算用!$S$30="","",IF(計算用!$B$1=1,INDEX(計算用!$F$3:$F$452,計算用!$S$30),INDEX(振り分け!$B$7:$B$456,計算用!$S$30)))</f>
        <v/>
      </c>
      <c r="C32" s="59">
        <f>IF(計算用!$S$30="","",IF(計算用!$B$1=1,INDEX(計算用!$G$3:$G$452,計算用!$S$30),INDEX(振り分け!$C$7:$C$456,計算用!$S$30)))</f>
        <v/>
      </c>
      <c r="D32" s="70">
        <f>IF(計算用!$S$30="","",IF(計算用!$B$1=1,INDEX(計算用!$H$3:$H$452,計算用!$S$30),INDEX(振り分け!$D$7:$D$456,計算用!$S$30)))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IF(計算用!$S$31="","",29)</f>
        <v/>
      </c>
      <c r="B33" s="59">
        <f>IF(計算用!$S$31="","",IF(計算用!$B$1=1,INDEX(計算用!$F$3:$F$452,計算用!$S$31),INDEX(振り分け!$B$7:$B$456,計算用!$S$31)))</f>
        <v/>
      </c>
      <c r="C33" s="59">
        <f>IF(計算用!$S$31="","",IF(計算用!$B$1=1,INDEX(計算用!$G$3:$G$452,計算用!$S$31),INDEX(振り分け!$C$7:$C$456,計算用!$S$31)))</f>
        <v/>
      </c>
      <c r="D33" s="70">
        <f>IF(計算用!$S$31="","",IF(計算用!$B$1=1,INDEX(計算用!$H$3:$H$452,計算用!$S$31),INDEX(振り分け!$D$7:$D$456,計算用!$S$31)))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IF(計算用!$S$32="","",30)</f>
        <v/>
      </c>
      <c r="B34" s="59">
        <f>IF(計算用!$S$32="","",IF(計算用!$B$1=1,INDEX(計算用!$F$3:$F$452,計算用!$S$32),INDEX(振り分け!$B$7:$B$456,計算用!$S$32)))</f>
        <v/>
      </c>
      <c r="C34" s="59">
        <f>IF(計算用!$S$32="","",IF(計算用!$B$1=1,INDEX(計算用!$G$3:$G$452,計算用!$S$32),INDEX(振り分け!$C$7:$C$456,計算用!$S$32)))</f>
        <v/>
      </c>
      <c r="D34" s="70">
        <f>IF(計算用!$S$32="","",IF(計算用!$B$1=1,INDEX(計算用!$H$3:$H$452,計算用!$S$32),INDEX(振り分け!$D$7:$D$456,計算用!$S$32)))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IF(計算用!$S$33="","",31)</f>
        <v/>
      </c>
      <c r="B35" s="59">
        <f>IF(計算用!$S$33="","",IF(計算用!$B$1=1,INDEX(計算用!$F$3:$F$452,計算用!$S$33),INDEX(振り分け!$B$7:$B$456,計算用!$S$33)))</f>
        <v/>
      </c>
      <c r="C35" s="59">
        <f>IF(計算用!$S$33="","",IF(計算用!$B$1=1,INDEX(計算用!$G$3:$G$452,計算用!$S$33),INDEX(振り分け!$C$7:$C$456,計算用!$S$33)))</f>
        <v/>
      </c>
      <c r="D35" s="70">
        <f>IF(計算用!$S$33="","",IF(計算用!$B$1=1,INDEX(計算用!$H$3:$H$452,計算用!$S$33),INDEX(振り分け!$D$7:$D$456,計算用!$S$33)))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IF(計算用!$S$34="","",32)</f>
        <v/>
      </c>
      <c r="B36" s="59">
        <f>IF(計算用!$S$34="","",IF(計算用!$B$1=1,INDEX(計算用!$F$3:$F$452,計算用!$S$34),INDEX(振り分け!$B$7:$B$456,計算用!$S$34)))</f>
        <v/>
      </c>
      <c r="C36" s="59">
        <f>IF(計算用!$S$34="","",IF(計算用!$B$1=1,INDEX(計算用!$G$3:$G$452,計算用!$S$34),INDEX(振り分け!$C$7:$C$456,計算用!$S$34)))</f>
        <v/>
      </c>
      <c r="D36" s="70">
        <f>IF(計算用!$S$34="","",IF(計算用!$B$1=1,INDEX(計算用!$H$3:$H$452,計算用!$S$34),INDEX(振り分け!$D$7:$D$456,計算用!$S$34)))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IF(計算用!$S$35="","",33)</f>
        <v/>
      </c>
      <c r="B37" s="59">
        <f>IF(計算用!$S$35="","",IF(計算用!$B$1=1,INDEX(計算用!$F$3:$F$452,計算用!$S$35),INDEX(振り分け!$B$7:$B$456,計算用!$S$35)))</f>
        <v/>
      </c>
      <c r="C37" s="59">
        <f>IF(計算用!$S$35="","",IF(計算用!$B$1=1,INDEX(計算用!$G$3:$G$452,計算用!$S$35),INDEX(振り分け!$C$7:$C$456,計算用!$S$35)))</f>
        <v/>
      </c>
      <c r="D37" s="70">
        <f>IF(計算用!$S$35="","",IF(計算用!$B$1=1,INDEX(計算用!$H$3:$H$452,計算用!$S$35),INDEX(振り分け!$D$7:$D$456,計算用!$S$35)))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IF(計算用!$S$36="","",34)</f>
        <v/>
      </c>
      <c r="B38" s="59">
        <f>IF(計算用!$S$36="","",IF(計算用!$B$1=1,INDEX(計算用!$F$3:$F$452,計算用!$S$36),INDEX(振り分け!$B$7:$B$456,計算用!$S$36)))</f>
        <v/>
      </c>
      <c r="C38" s="59">
        <f>IF(計算用!$S$36="","",IF(計算用!$B$1=1,INDEX(計算用!$G$3:$G$452,計算用!$S$36),INDEX(振り分け!$C$7:$C$456,計算用!$S$36)))</f>
        <v/>
      </c>
      <c r="D38" s="70">
        <f>IF(計算用!$S$36="","",IF(計算用!$B$1=1,INDEX(計算用!$H$3:$H$452,計算用!$S$36),INDEX(振り分け!$D$7:$D$456,計算用!$S$36)))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IF(計算用!$S$37="","",35)</f>
        <v/>
      </c>
      <c r="B39" s="59">
        <f>IF(計算用!$S$37="","",IF(計算用!$B$1=1,INDEX(計算用!$F$3:$F$452,計算用!$S$37),INDEX(振り分け!$B$7:$B$456,計算用!$S$37)))</f>
        <v/>
      </c>
      <c r="C39" s="59">
        <f>IF(計算用!$S$37="","",IF(計算用!$B$1=1,INDEX(計算用!$G$3:$G$452,計算用!$S$37),INDEX(振り分け!$C$7:$C$456,計算用!$S$37)))</f>
        <v/>
      </c>
      <c r="D39" s="70">
        <f>IF(計算用!$S$37="","",IF(計算用!$B$1=1,INDEX(計算用!$H$3:$H$452,計算用!$S$37),INDEX(振り分け!$D$7:$D$456,計算用!$S$37)))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IF(計算用!$S$38="","",36)</f>
        <v/>
      </c>
      <c r="B40" s="59">
        <f>IF(計算用!$S$38="","",IF(計算用!$B$1=1,INDEX(計算用!$F$3:$F$452,計算用!$S$38),INDEX(振り分け!$B$7:$B$456,計算用!$S$38)))</f>
        <v/>
      </c>
      <c r="C40" s="59">
        <f>IF(計算用!$S$38="","",IF(計算用!$B$1=1,INDEX(計算用!$G$3:$G$452,計算用!$S$38),INDEX(振り分け!$C$7:$C$456,計算用!$S$38)))</f>
        <v/>
      </c>
      <c r="D40" s="70">
        <f>IF(計算用!$S$38="","",IF(計算用!$B$1=1,INDEX(計算用!$H$3:$H$452,計算用!$S$38),INDEX(振り分け!$D$7:$D$456,計算用!$S$38)))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IF(計算用!$S$39="","",37)</f>
        <v/>
      </c>
      <c r="B41" s="59">
        <f>IF(計算用!$S$39="","",IF(計算用!$B$1=1,INDEX(計算用!$F$3:$F$452,計算用!$S$39),INDEX(振り分け!$B$7:$B$456,計算用!$S$39)))</f>
        <v/>
      </c>
      <c r="C41" s="59">
        <f>IF(計算用!$S$39="","",IF(計算用!$B$1=1,INDEX(計算用!$G$3:$G$452,計算用!$S$39),INDEX(振り分け!$C$7:$C$456,計算用!$S$39)))</f>
        <v/>
      </c>
      <c r="D41" s="70">
        <f>IF(計算用!$S$39="","",IF(計算用!$B$1=1,INDEX(計算用!$H$3:$H$452,計算用!$S$39),INDEX(振り分け!$D$7:$D$456,計算用!$S$39)))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IF(計算用!$S$40="","",38)</f>
        <v/>
      </c>
      <c r="B42" s="59">
        <f>IF(計算用!$S$40="","",IF(計算用!$B$1=1,INDEX(計算用!$F$3:$F$452,計算用!$S$40),INDEX(振り分け!$B$7:$B$456,計算用!$S$40)))</f>
        <v/>
      </c>
      <c r="C42" s="59">
        <f>IF(計算用!$S$40="","",IF(計算用!$B$1=1,INDEX(計算用!$G$3:$G$452,計算用!$S$40),INDEX(振り分け!$C$7:$C$456,計算用!$S$40)))</f>
        <v/>
      </c>
      <c r="D42" s="70">
        <f>IF(計算用!$S$40="","",IF(計算用!$B$1=1,INDEX(計算用!$H$3:$H$452,計算用!$S$40),INDEX(振り分け!$D$7:$D$456,計算用!$S$40)))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IF(計算用!$S$41="","",39)</f>
        <v/>
      </c>
      <c r="B43" s="59">
        <f>IF(計算用!$S$41="","",IF(計算用!$B$1=1,INDEX(計算用!$F$3:$F$452,計算用!$S$41),INDEX(振り分け!$B$7:$B$456,計算用!$S$41)))</f>
        <v/>
      </c>
      <c r="C43" s="59">
        <f>IF(計算用!$S$41="","",IF(計算用!$B$1=1,INDEX(計算用!$G$3:$G$452,計算用!$S$41),INDEX(振り分け!$C$7:$C$456,計算用!$S$41)))</f>
        <v/>
      </c>
      <c r="D43" s="70">
        <f>IF(計算用!$S$41="","",IF(計算用!$B$1=1,INDEX(計算用!$H$3:$H$452,計算用!$S$41),INDEX(振り分け!$D$7:$D$456,計算用!$S$41)))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IF(計算用!$S$42="","",40)</f>
        <v/>
      </c>
      <c r="B44" s="59">
        <f>IF(計算用!$S$42="","",IF(計算用!$B$1=1,INDEX(計算用!$F$3:$F$452,計算用!$S$42),INDEX(振り分け!$B$7:$B$456,計算用!$S$42)))</f>
        <v/>
      </c>
      <c r="C44" s="59">
        <f>IF(計算用!$S$42="","",IF(計算用!$B$1=1,INDEX(計算用!$G$3:$G$452,計算用!$S$42),INDEX(振り分け!$C$7:$C$456,計算用!$S$42)))</f>
        <v/>
      </c>
      <c r="D44" s="70">
        <f>IF(計算用!$S$42="","",IF(計算用!$B$1=1,INDEX(計算用!$H$3:$H$452,計算用!$S$42),INDEX(振り分け!$D$7:$D$456,計算用!$S$42)))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IF(計算用!$S$43="","",41)</f>
        <v/>
      </c>
      <c r="B45" s="59">
        <f>IF(計算用!$S$43="","",IF(計算用!$B$1=1,INDEX(計算用!$F$3:$F$452,計算用!$S$43),INDEX(振り分け!$B$7:$B$456,計算用!$S$43)))</f>
        <v/>
      </c>
      <c r="C45" s="59">
        <f>IF(計算用!$S$43="","",IF(計算用!$B$1=1,INDEX(計算用!$G$3:$G$452,計算用!$S$43),INDEX(振り分け!$C$7:$C$456,計算用!$S$43)))</f>
        <v/>
      </c>
      <c r="D45" s="70">
        <f>IF(計算用!$S$43="","",IF(計算用!$B$1=1,INDEX(計算用!$H$3:$H$452,計算用!$S$43),INDEX(振り分け!$D$7:$D$456,計算用!$S$43)))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IF(計算用!$S$44="","",42)</f>
        <v/>
      </c>
      <c r="B46" s="59">
        <f>IF(計算用!$S$44="","",IF(計算用!$B$1=1,INDEX(計算用!$F$3:$F$452,計算用!$S$44),INDEX(振り分け!$B$7:$B$456,計算用!$S$44)))</f>
        <v/>
      </c>
      <c r="C46" s="59">
        <f>IF(計算用!$S$44="","",IF(計算用!$B$1=1,INDEX(計算用!$G$3:$G$452,計算用!$S$44),INDEX(振り分け!$C$7:$C$456,計算用!$S$44)))</f>
        <v/>
      </c>
      <c r="D46" s="70">
        <f>IF(計算用!$S$44="","",IF(計算用!$B$1=1,INDEX(計算用!$H$3:$H$452,計算用!$S$44),INDEX(振り分け!$D$7:$D$456,計算用!$S$44)))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IF(計算用!$S$45="","",43)</f>
        <v/>
      </c>
      <c r="B47" s="59">
        <f>IF(計算用!$S$45="","",IF(計算用!$B$1=1,INDEX(計算用!$F$3:$F$452,計算用!$S$45),INDEX(振り分け!$B$7:$B$456,計算用!$S$45)))</f>
        <v/>
      </c>
      <c r="C47" s="59">
        <f>IF(計算用!$S$45="","",IF(計算用!$B$1=1,INDEX(計算用!$G$3:$G$452,計算用!$S$45),INDEX(振り分け!$C$7:$C$456,計算用!$S$45)))</f>
        <v/>
      </c>
      <c r="D47" s="70">
        <f>IF(計算用!$S$45="","",IF(計算用!$B$1=1,INDEX(計算用!$H$3:$H$452,計算用!$S$45),INDEX(振り分け!$D$7:$D$456,計算用!$S$45)))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IF(計算用!$S$46="","",44)</f>
        <v/>
      </c>
      <c r="B48" s="59">
        <f>IF(計算用!$S$46="","",IF(計算用!$B$1=1,INDEX(計算用!$F$3:$F$452,計算用!$S$46),INDEX(振り分け!$B$7:$B$456,計算用!$S$46)))</f>
        <v/>
      </c>
      <c r="C48" s="59">
        <f>IF(計算用!$S$46="","",IF(計算用!$B$1=1,INDEX(計算用!$G$3:$G$452,計算用!$S$46),INDEX(振り分け!$C$7:$C$456,計算用!$S$46)))</f>
        <v/>
      </c>
      <c r="D48" s="70">
        <f>IF(計算用!$S$46="","",IF(計算用!$B$1=1,INDEX(計算用!$H$3:$H$452,計算用!$S$46),INDEX(振り分け!$D$7:$D$456,計算用!$S$46)))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IF(計算用!$S$47="","",45)</f>
        <v/>
      </c>
      <c r="B49" s="59">
        <f>IF(計算用!$S$47="","",IF(計算用!$B$1=1,INDEX(計算用!$F$3:$F$452,計算用!$S$47),INDEX(振り分け!$B$7:$B$456,計算用!$S$47)))</f>
        <v/>
      </c>
      <c r="C49" s="59">
        <f>IF(計算用!$S$47="","",IF(計算用!$B$1=1,INDEX(計算用!$G$3:$G$452,計算用!$S$47),INDEX(振り分け!$C$7:$C$456,計算用!$S$47)))</f>
        <v/>
      </c>
      <c r="D49" s="70">
        <f>IF(計算用!$S$47="","",IF(計算用!$B$1=1,INDEX(計算用!$H$3:$H$452,計算用!$S$47),INDEX(振り分け!$D$7:$D$456,計算用!$S$47)))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IF(計算用!$S$48="","",46)</f>
        <v/>
      </c>
      <c r="B50" s="59">
        <f>IF(計算用!$S$48="","",IF(計算用!$B$1=1,INDEX(計算用!$F$3:$F$452,計算用!$S$48),INDEX(振り分け!$B$7:$B$456,計算用!$S$48)))</f>
        <v/>
      </c>
      <c r="C50" s="59">
        <f>IF(計算用!$S$48="","",IF(計算用!$B$1=1,INDEX(計算用!$G$3:$G$452,計算用!$S$48),INDEX(振り分け!$C$7:$C$456,計算用!$S$48)))</f>
        <v/>
      </c>
      <c r="D50" s="70">
        <f>IF(計算用!$S$48="","",IF(計算用!$B$1=1,INDEX(計算用!$H$3:$H$452,計算用!$S$48),INDEX(振り分け!$D$7:$D$456,計算用!$S$48)))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IF(計算用!$S$49="","",47)</f>
        <v/>
      </c>
      <c r="B51" s="59">
        <f>IF(計算用!$S$49="","",IF(計算用!$B$1=1,INDEX(計算用!$F$3:$F$452,計算用!$S$49),INDEX(振り分け!$B$7:$B$456,計算用!$S$49)))</f>
        <v/>
      </c>
      <c r="C51" s="59">
        <f>IF(計算用!$S$49="","",IF(計算用!$B$1=1,INDEX(計算用!$G$3:$G$452,計算用!$S$49),INDEX(振り分け!$C$7:$C$456,計算用!$S$49)))</f>
        <v/>
      </c>
      <c r="D51" s="70">
        <f>IF(計算用!$S$49="","",IF(計算用!$B$1=1,INDEX(計算用!$H$3:$H$452,計算用!$S$49),INDEX(振り分け!$D$7:$D$456,計算用!$S$49)))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IF(計算用!$S$50="","",48)</f>
        <v/>
      </c>
      <c r="B52" s="59">
        <f>IF(計算用!$S$50="","",IF(計算用!$B$1=1,INDEX(計算用!$F$3:$F$452,計算用!$S$50),INDEX(振り分け!$B$7:$B$456,計算用!$S$50)))</f>
        <v/>
      </c>
      <c r="C52" s="59">
        <f>IF(計算用!$S$50="","",IF(計算用!$B$1=1,INDEX(計算用!$G$3:$G$452,計算用!$S$50),INDEX(振り分け!$C$7:$C$456,計算用!$S$50)))</f>
        <v/>
      </c>
      <c r="D52" s="70">
        <f>IF(計算用!$S$50="","",IF(計算用!$B$1=1,INDEX(計算用!$H$3:$H$452,計算用!$S$50),INDEX(振り分け!$D$7:$D$456,計算用!$S$50)))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IF(計算用!$S$51="","",49)</f>
        <v/>
      </c>
      <c r="B53" s="59">
        <f>IF(計算用!$S$51="","",IF(計算用!$B$1=1,INDEX(計算用!$F$3:$F$452,計算用!$S$51),INDEX(振り分け!$B$7:$B$456,計算用!$S$51)))</f>
        <v/>
      </c>
      <c r="C53" s="59">
        <f>IF(計算用!$S$51="","",IF(計算用!$B$1=1,INDEX(計算用!$G$3:$G$452,計算用!$S$51),INDEX(振り分け!$C$7:$C$456,計算用!$S$51)))</f>
        <v/>
      </c>
      <c r="D53" s="70">
        <f>IF(計算用!$S$51="","",IF(計算用!$B$1=1,INDEX(計算用!$H$3:$H$452,計算用!$S$51),INDEX(振り分け!$D$7:$D$456,計算用!$S$51)))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IF(計算用!$S$52="","",50)</f>
        <v/>
      </c>
      <c r="B54" s="59">
        <f>IF(計算用!$S$52="","",IF(計算用!$B$1=1,INDEX(計算用!$F$3:$F$452,計算用!$S$52),INDEX(振り分け!$B$7:$B$456,計算用!$S$52)))</f>
        <v/>
      </c>
      <c r="C54" s="59">
        <f>IF(計算用!$S$52="","",IF(計算用!$B$1=1,INDEX(計算用!$G$3:$G$452,計算用!$S$52),INDEX(振り分け!$C$7:$C$456,計算用!$S$52)))</f>
        <v/>
      </c>
      <c r="D54" s="70">
        <f>IF(計算用!$S$52="","",IF(計算用!$B$1=1,INDEX(計算用!$H$3:$H$452,計算用!$S$52),INDEX(振り分け!$D$7:$D$456,計算用!$S$52)))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IF(設定!$P$18="","",設定!$B$3&amp;"　"&amp;設定!$P$18&amp;設定!$B$4&amp;"名簿"&amp;IF(計算用!$B$1=0,"（仮・前年度の組）",""))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IF(設定!$P$18="","","担当："&amp;設定!$S$18&amp;"　　活動場所："&amp;設定!$T$18&amp;"　　人数："&amp;定員チェック!$I$17&amp;"名（"&amp;設定!$B$8&amp;"年"&amp;定員チェック!$J$17&amp;"・"&amp;設定!$B$9&amp;"年"&amp;定員チェック!$K$17&amp;"・"&amp;設定!$B$10&amp;"年"&amp;定員チェック!$L$17&amp;"）")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IF(計算用!$T$3="","",1)</f>
        <v/>
      </c>
      <c r="B5" s="59">
        <f>IF(計算用!$T$3="","",IF(計算用!$B$1=1,INDEX(計算用!$F$3:$F$452,計算用!$T$3),INDEX(振り分け!$B$7:$B$456,計算用!$T$3)))</f>
        <v/>
      </c>
      <c r="C5" s="59">
        <f>IF(計算用!$T$3="","",IF(計算用!$B$1=1,INDEX(計算用!$G$3:$G$452,計算用!$T$3),INDEX(振り分け!$C$7:$C$456,計算用!$T$3)))</f>
        <v/>
      </c>
      <c r="D5" s="70">
        <f>IF(計算用!$T$3="","",IF(計算用!$B$1=1,INDEX(計算用!$H$3:$H$452,計算用!$T$3),INDEX(振り分け!$D$7:$D$456,計算用!$T$3)))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IF(計算用!$T$4="","",2)</f>
        <v/>
      </c>
      <c r="B6" s="59">
        <f>IF(計算用!$T$4="","",IF(計算用!$B$1=1,INDEX(計算用!$F$3:$F$452,計算用!$T$4),INDEX(振り分け!$B$7:$B$456,計算用!$T$4)))</f>
        <v/>
      </c>
      <c r="C6" s="59">
        <f>IF(計算用!$T$4="","",IF(計算用!$B$1=1,INDEX(計算用!$G$3:$G$452,計算用!$T$4),INDEX(振り分け!$C$7:$C$456,計算用!$T$4)))</f>
        <v/>
      </c>
      <c r="D6" s="70">
        <f>IF(計算用!$T$4="","",IF(計算用!$B$1=1,INDEX(計算用!$H$3:$H$452,計算用!$T$4),INDEX(振り分け!$D$7:$D$456,計算用!$T$4)))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IF(計算用!$T$5="","",3)</f>
        <v/>
      </c>
      <c r="B7" s="59">
        <f>IF(計算用!$T$5="","",IF(計算用!$B$1=1,INDEX(計算用!$F$3:$F$452,計算用!$T$5),INDEX(振り分け!$B$7:$B$456,計算用!$T$5)))</f>
        <v/>
      </c>
      <c r="C7" s="59">
        <f>IF(計算用!$T$5="","",IF(計算用!$B$1=1,INDEX(計算用!$G$3:$G$452,計算用!$T$5),INDEX(振り分け!$C$7:$C$456,計算用!$T$5)))</f>
        <v/>
      </c>
      <c r="D7" s="70">
        <f>IF(計算用!$T$5="","",IF(計算用!$B$1=1,INDEX(計算用!$H$3:$H$452,計算用!$T$5),INDEX(振り分け!$D$7:$D$456,計算用!$T$5)))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IF(計算用!$T$6="","",4)</f>
        <v/>
      </c>
      <c r="B8" s="59">
        <f>IF(計算用!$T$6="","",IF(計算用!$B$1=1,INDEX(計算用!$F$3:$F$452,計算用!$T$6),INDEX(振り分け!$B$7:$B$456,計算用!$T$6)))</f>
        <v/>
      </c>
      <c r="C8" s="59">
        <f>IF(計算用!$T$6="","",IF(計算用!$B$1=1,INDEX(計算用!$G$3:$G$452,計算用!$T$6),INDEX(振り分け!$C$7:$C$456,計算用!$T$6)))</f>
        <v/>
      </c>
      <c r="D8" s="70">
        <f>IF(計算用!$T$6="","",IF(計算用!$B$1=1,INDEX(計算用!$H$3:$H$452,計算用!$T$6),INDEX(振り分け!$D$7:$D$456,計算用!$T$6)))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IF(計算用!$T$7="","",5)</f>
        <v/>
      </c>
      <c r="B9" s="59">
        <f>IF(計算用!$T$7="","",IF(計算用!$B$1=1,INDEX(計算用!$F$3:$F$452,計算用!$T$7),INDEX(振り分け!$B$7:$B$456,計算用!$T$7)))</f>
        <v/>
      </c>
      <c r="C9" s="59">
        <f>IF(計算用!$T$7="","",IF(計算用!$B$1=1,INDEX(計算用!$G$3:$G$452,計算用!$T$7),INDEX(振り分け!$C$7:$C$456,計算用!$T$7)))</f>
        <v/>
      </c>
      <c r="D9" s="70">
        <f>IF(計算用!$T$7="","",IF(計算用!$B$1=1,INDEX(計算用!$H$3:$H$452,計算用!$T$7),INDEX(振り分け!$D$7:$D$456,計算用!$T$7)))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IF(計算用!$T$8="","",6)</f>
        <v/>
      </c>
      <c r="B10" s="59">
        <f>IF(計算用!$T$8="","",IF(計算用!$B$1=1,INDEX(計算用!$F$3:$F$452,計算用!$T$8),INDEX(振り分け!$B$7:$B$456,計算用!$T$8)))</f>
        <v/>
      </c>
      <c r="C10" s="59">
        <f>IF(計算用!$T$8="","",IF(計算用!$B$1=1,INDEX(計算用!$G$3:$G$452,計算用!$T$8),INDEX(振り分け!$C$7:$C$456,計算用!$T$8)))</f>
        <v/>
      </c>
      <c r="D10" s="70">
        <f>IF(計算用!$T$8="","",IF(計算用!$B$1=1,INDEX(計算用!$H$3:$H$452,計算用!$T$8),INDEX(振り分け!$D$7:$D$456,計算用!$T$8)))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IF(計算用!$T$9="","",7)</f>
        <v/>
      </c>
      <c r="B11" s="59">
        <f>IF(計算用!$T$9="","",IF(計算用!$B$1=1,INDEX(計算用!$F$3:$F$452,計算用!$T$9),INDEX(振り分け!$B$7:$B$456,計算用!$T$9)))</f>
        <v/>
      </c>
      <c r="C11" s="59">
        <f>IF(計算用!$T$9="","",IF(計算用!$B$1=1,INDEX(計算用!$G$3:$G$452,計算用!$T$9),INDEX(振り分け!$C$7:$C$456,計算用!$T$9)))</f>
        <v/>
      </c>
      <c r="D11" s="70">
        <f>IF(計算用!$T$9="","",IF(計算用!$B$1=1,INDEX(計算用!$H$3:$H$452,計算用!$T$9),INDEX(振り分け!$D$7:$D$456,計算用!$T$9)))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IF(計算用!$T$10="","",8)</f>
        <v/>
      </c>
      <c r="B12" s="59">
        <f>IF(計算用!$T$10="","",IF(計算用!$B$1=1,INDEX(計算用!$F$3:$F$452,計算用!$T$10),INDEX(振り分け!$B$7:$B$456,計算用!$T$10)))</f>
        <v/>
      </c>
      <c r="C12" s="59">
        <f>IF(計算用!$T$10="","",IF(計算用!$B$1=1,INDEX(計算用!$G$3:$G$452,計算用!$T$10),INDEX(振り分け!$C$7:$C$456,計算用!$T$10)))</f>
        <v/>
      </c>
      <c r="D12" s="70">
        <f>IF(計算用!$T$10="","",IF(計算用!$B$1=1,INDEX(計算用!$H$3:$H$452,計算用!$T$10),INDEX(振り分け!$D$7:$D$456,計算用!$T$10)))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IF(計算用!$T$11="","",9)</f>
        <v/>
      </c>
      <c r="B13" s="59">
        <f>IF(計算用!$T$11="","",IF(計算用!$B$1=1,INDEX(計算用!$F$3:$F$452,計算用!$T$11),INDEX(振り分け!$B$7:$B$456,計算用!$T$11)))</f>
        <v/>
      </c>
      <c r="C13" s="59">
        <f>IF(計算用!$T$11="","",IF(計算用!$B$1=1,INDEX(計算用!$G$3:$G$452,計算用!$T$11),INDEX(振り分け!$C$7:$C$456,計算用!$T$11)))</f>
        <v/>
      </c>
      <c r="D13" s="70">
        <f>IF(計算用!$T$11="","",IF(計算用!$B$1=1,INDEX(計算用!$H$3:$H$452,計算用!$T$11),INDEX(振り分け!$D$7:$D$456,計算用!$T$11)))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IF(計算用!$T$12="","",10)</f>
        <v/>
      </c>
      <c r="B14" s="59">
        <f>IF(計算用!$T$12="","",IF(計算用!$B$1=1,INDEX(計算用!$F$3:$F$452,計算用!$T$12),INDEX(振り分け!$B$7:$B$456,計算用!$T$12)))</f>
        <v/>
      </c>
      <c r="C14" s="59">
        <f>IF(計算用!$T$12="","",IF(計算用!$B$1=1,INDEX(計算用!$G$3:$G$452,計算用!$T$12),INDEX(振り分け!$C$7:$C$456,計算用!$T$12)))</f>
        <v/>
      </c>
      <c r="D14" s="70">
        <f>IF(計算用!$T$12="","",IF(計算用!$B$1=1,INDEX(計算用!$H$3:$H$452,計算用!$T$12),INDEX(振り分け!$D$7:$D$456,計算用!$T$12)))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IF(計算用!$T$13="","",11)</f>
        <v/>
      </c>
      <c r="B15" s="59">
        <f>IF(計算用!$T$13="","",IF(計算用!$B$1=1,INDEX(計算用!$F$3:$F$452,計算用!$T$13),INDEX(振り分け!$B$7:$B$456,計算用!$T$13)))</f>
        <v/>
      </c>
      <c r="C15" s="59">
        <f>IF(計算用!$T$13="","",IF(計算用!$B$1=1,INDEX(計算用!$G$3:$G$452,計算用!$T$13),INDEX(振り分け!$C$7:$C$456,計算用!$T$13)))</f>
        <v/>
      </c>
      <c r="D15" s="70">
        <f>IF(計算用!$T$13="","",IF(計算用!$B$1=1,INDEX(計算用!$H$3:$H$452,計算用!$T$13),INDEX(振り分け!$D$7:$D$456,計算用!$T$13)))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IF(計算用!$T$14="","",12)</f>
        <v/>
      </c>
      <c r="B16" s="59">
        <f>IF(計算用!$T$14="","",IF(計算用!$B$1=1,INDEX(計算用!$F$3:$F$452,計算用!$T$14),INDEX(振り分け!$B$7:$B$456,計算用!$T$14)))</f>
        <v/>
      </c>
      <c r="C16" s="59">
        <f>IF(計算用!$T$14="","",IF(計算用!$B$1=1,INDEX(計算用!$G$3:$G$452,計算用!$T$14),INDEX(振り分け!$C$7:$C$456,計算用!$T$14)))</f>
        <v/>
      </c>
      <c r="D16" s="70">
        <f>IF(計算用!$T$14="","",IF(計算用!$B$1=1,INDEX(計算用!$H$3:$H$452,計算用!$T$14),INDEX(振り分け!$D$7:$D$456,計算用!$T$14)))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IF(計算用!$T$15="","",13)</f>
        <v/>
      </c>
      <c r="B17" s="59">
        <f>IF(計算用!$T$15="","",IF(計算用!$B$1=1,INDEX(計算用!$F$3:$F$452,計算用!$T$15),INDEX(振り分け!$B$7:$B$456,計算用!$T$15)))</f>
        <v/>
      </c>
      <c r="C17" s="59">
        <f>IF(計算用!$T$15="","",IF(計算用!$B$1=1,INDEX(計算用!$G$3:$G$452,計算用!$T$15),INDEX(振り分け!$C$7:$C$456,計算用!$T$15)))</f>
        <v/>
      </c>
      <c r="D17" s="70">
        <f>IF(計算用!$T$15="","",IF(計算用!$B$1=1,INDEX(計算用!$H$3:$H$452,計算用!$T$15),INDEX(振り分け!$D$7:$D$456,計算用!$T$15)))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IF(計算用!$T$16="","",14)</f>
        <v/>
      </c>
      <c r="B18" s="59">
        <f>IF(計算用!$T$16="","",IF(計算用!$B$1=1,INDEX(計算用!$F$3:$F$452,計算用!$T$16),INDEX(振り分け!$B$7:$B$456,計算用!$T$16)))</f>
        <v/>
      </c>
      <c r="C18" s="59">
        <f>IF(計算用!$T$16="","",IF(計算用!$B$1=1,INDEX(計算用!$G$3:$G$452,計算用!$T$16),INDEX(振り分け!$C$7:$C$456,計算用!$T$16)))</f>
        <v/>
      </c>
      <c r="D18" s="70">
        <f>IF(計算用!$T$16="","",IF(計算用!$B$1=1,INDEX(計算用!$H$3:$H$452,計算用!$T$16),INDEX(振り分け!$D$7:$D$456,計算用!$T$16)))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IF(計算用!$T$17="","",15)</f>
        <v/>
      </c>
      <c r="B19" s="59">
        <f>IF(計算用!$T$17="","",IF(計算用!$B$1=1,INDEX(計算用!$F$3:$F$452,計算用!$T$17),INDEX(振り分け!$B$7:$B$456,計算用!$T$17)))</f>
        <v/>
      </c>
      <c r="C19" s="59">
        <f>IF(計算用!$T$17="","",IF(計算用!$B$1=1,INDEX(計算用!$G$3:$G$452,計算用!$T$17),INDEX(振り分け!$C$7:$C$456,計算用!$T$17)))</f>
        <v/>
      </c>
      <c r="D19" s="70">
        <f>IF(計算用!$T$17="","",IF(計算用!$B$1=1,INDEX(計算用!$H$3:$H$452,計算用!$T$17),INDEX(振り分け!$D$7:$D$456,計算用!$T$17)))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IF(計算用!$T$18="","",16)</f>
        <v/>
      </c>
      <c r="B20" s="59">
        <f>IF(計算用!$T$18="","",IF(計算用!$B$1=1,INDEX(計算用!$F$3:$F$452,計算用!$T$18),INDEX(振り分け!$B$7:$B$456,計算用!$T$18)))</f>
        <v/>
      </c>
      <c r="C20" s="59">
        <f>IF(計算用!$T$18="","",IF(計算用!$B$1=1,INDEX(計算用!$G$3:$G$452,計算用!$T$18),INDEX(振り分け!$C$7:$C$456,計算用!$T$18)))</f>
        <v/>
      </c>
      <c r="D20" s="70">
        <f>IF(計算用!$T$18="","",IF(計算用!$B$1=1,INDEX(計算用!$H$3:$H$452,計算用!$T$18),INDEX(振り分け!$D$7:$D$456,計算用!$T$18)))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IF(計算用!$T$19="","",17)</f>
        <v/>
      </c>
      <c r="B21" s="59">
        <f>IF(計算用!$T$19="","",IF(計算用!$B$1=1,INDEX(計算用!$F$3:$F$452,計算用!$T$19),INDEX(振り分け!$B$7:$B$456,計算用!$T$19)))</f>
        <v/>
      </c>
      <c r="C21" s="59">
        <f>IF(計算用!$T$19="","",IF(計算用!$B$1=1,INDEX(計算用!$G$3:$G$452,計算用!$T$19),INDEX(振り分け!$C$7:$C$456,計算用!$T$19)))</f>
        <v/>
      </c>
      <c r="D21" s="70">
        <f>IF(計算用!$T$19="","",IF(計算用!$B$1=1,INDEX(計算用!$H$3:$H$452,計算用!$T$19),INDEX(振り分け!$D$7:$D$456,計算用!$T$19)))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IF(計算用!$T$20="","",18)</f>
        <v/>
      </c>
      <c r="B22" s="59">
        <f>IF(計算用!$T$20="","",IF(計算用!$B$1=1,INDEX(計算用!$F$3:$F$452,計算用!$T$20),INDEX(振り分け!$B$7:$B$456,計算用!$T$20)))</f>
        <v/>
      </c>
      <c r="C22" s="59">
        <f>IF(計算用!$T$20="","",IF(計算用!$B$1=1,INDEX(計算用!$G$3:$G$452,計算用!$T$20),INDEX(振り分け!$C$7:$C$456,計算用!$T$20)))</f>
        <v/>
      </c>
      <c r="D22" s="70">
        <f>IF(計算用!$T$20="","",IF(計算用!$B$1=1,INDEX(計算用!$H$3:$H$452,計算用!$T$20),INDEX(振り分け!$D$7:$D$456,計算用!$T$20)))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IF(計算用!$T$21="","",19)</f>
        <v/>
      </c>
      <c r="B23" s="59">
        <f>IF(計算用!$T$21="","",IF(計算用!$B$1=1,INDEX(計算用!$F$3:$F$452,計算用!$T$21),INDEX(振り分け!$B$7:$B$456,計算用!$T$21)))</f>
        <v/>
      </c>
      <c r="C23" s="59">
        <f>IF(計算用!$T$21="","",IF(計算用!$B$1=1,INDEX(計算用!$G$3:$G$452,計算用!$T$21),INDEX(振り分け!$C$7:$C$456,計算用!$T$21)))</f>
        <v/>
      </c>
      <c r="D23" s="70">
        <f>IF(計算用!$T$21="","",IF(計算用!$B$1=1,INDEX(計算用!$H$3:$H$452,計算用!$T$21),INDEX(振り分け!$D$7:$D$456,計算用!$T$21)))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IF(計算用!$T$22="","",20)</f>
        <v/>
      </c>
      <c r="B24" s="59">
        <f>IF(計算用!$T$22="","",IF(計算用!$B$1=1,INDEX(計算用!$F$3:$F$452,計算用!$T$22),INDEX(振り分け!$B$7:$B$456,計算用!$T$22)))</f>
        <v/>
      </c>
      <c r="C24" s="59">
        <f>IF(計算用!$T$22="","",IF(計算用!$B$1=1,INDEX(計算用!$G$3:$G$452,計算用!$T$22),INDEX(振り分け!$C$7:$C$456,計算用!$T$22)))</f>
        <v/>
      </c>
      <c r="D24" s="70">
        <f>IF(計算用!$T$22="","",IF(計算用!$B$1=1,INDEX(計算用!$H$3:$H$452,計算用!$T$22),INDEX(振り分け!$D$7:$D$456,計算用!$T$22)))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IF(計算用!$T$23="","",21)</f>
        <v/>
      </c>
      <c r="B25" s="59">
        <f>IF(計算用!$T$23="","",IF(計算用!$B$1=1,INDEX(計算用!$F$3:$F$452,計算用!$T$23),INDEX(振り分け!$B$7:$B$456,計算用!$T$23)))</f>
        <v/>
      </c>
      <c r="C25" s="59">
        <f>IF(計算用!$T$23="","",IF(計算用!$B$1=1,INDEX(計算用!$G$3:$G$452,計算用!$T$23),INDEX(振り分け!$C$7:$C$456,計算用!$T$23)))</f>
        <v/>
      </c>
      <c r="D25" s="70">
        <f>IF(計算用!$T$23="","",IF(計算用!$B$1=1,INDEX(計算用!$H$3:$H$452,計算用!$T$23),INDEX(振り分け!$D$7:$D$456,計算用!$T$23)))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IF(計算用!$T$24="","",22)</f>
        <v/>
      </c>
      <c r="B26" s="59">
        <f>IF(計算用!$T$24="","",IF(計算用!$B$1=1,INDEX(計算用!$F$3:$F$452,計算用!$T$24),INDEX(振り分け!$B$7:$B$456,計算用!$T$24)))</f>
        <v/>
      </c>
      <c r="C26" s="59">
        <f>IF(計算用!$T$24="","",IF(計算用!$B$1=1,INDEX(計算用!$G$3:$G$452,計算用!$T$24),INDEX(振り分け!$C$7:$C$456,計算用!$T$24)))</f>
        <v/>
      </c>
      <c r="D26" s="70">
        <f>IF(計算用!$T$24="","",IF(計算用!$B$1=1,INDEX(計算用!$H$3:$H$452,計算用!$T$24),INDEX(振り分け!$D$7:$D$456,計算用!$T$24)))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IF(計算用!$T$25="","",23)</f>
        <v/>
      </c>
      <c r="B27" s="59">
        <f>IF(計算用!$T$25="","",IF(計算用!$B$1=1,INDEX(計算用!$F$3:$F$452,計算用!$T$25),INDEX(振り分け!$B$7:$B$456,計算用!$T$25)))</f>
        <v/>
      </c>
      <c r="C27" s="59">
        <f>IF(計算用!$T$25="","",IF(計算用!$B$1=1,INDEX(計算用!$G$3:$G$452,計算用!$T$25),INDEX(振り分け!$C$7:$C$456,計算用!$T$25)))</f>
        <v/>
      </c>
      <c r="D27" s="70">
        <f>IF(計算用!$T$25="","",IF(計算用!$B$1=1,INDEX(計算用!$H$3:$H$452,計算用!$T$25),INDEX(振り分け!$D$7:$D$456,計算用!$T$25)))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IF(計算用!$T$26="","",24)</f>
        <v/>
      </c>
      <c r="B28" s="59">
        <f>IF(計算用!$T$26="","",IF(計算用!$B$1=1,INDEX(計算用!$F$3:$F$452,計算用!$T$26),INDEX(振り分け!$B$7:$B$456,計算用!$T$26)))</f>
        <v/>
      </c>
      <c r="C28" s="59">
        <f>IF(計算用!$T$26="","",IF(計算用!$B$1=1,INDEX(計算用!$G$3:$G$452,計算用!$T$26),INDEX(振り分け!$C$7:$C$456,計算用!$T$26)))</f>
        <v/>
      </c>
      <c r="D28" s="70">
        <f>IF(計算用!$T$26="","",IF(計算用!$B$1=1,INDEX(計算用!$H$3:$H$452,計算用!$T$26),INDEX(振り分け!$D$7:$D$456,計算用!$T$26)))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IF(計算用!$T$27="","",25)</f>
        <v/>
      </c>
      <c r="B29" s="59">
        <f>IF(計算用!$T$27="","",IF(計算用!$B$1=1,INDEX(計算用!$F$3:$F$452,計算用!$T$27),INDEX(振り分け!$B$7:$B$456,計算用!$T$27)))</f>
        <v/>
      </c>
      <c r="C29" s="59">
        <f>IF(計算用!$T$27="","",IF(計算用!$B$1=1,INDEX(計算用!$G$3:$G$452,計算用!$T$27),INDEX(振り分け!$C$7:$C$456,計算用!$T$27)))</f>
        <v/>
      </c>
      <c r="D29" s="70">
        <f>IF(計算用!$T$27="","",IF(計算用!$B$1=1,INDEX(計算用!$H$3:$H$452,計算用!$T$27),INDEX(振り分け!$D$7:$D$456,計算用!$T$27)))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IF(計算用!$T$28="","",26)</f>
        <v/>
      </c>
      <c r="B30" s="59">
        <f>IF(計算用!$T$28="","",IF(計算用!$B$1=1,INDEX(計算用!$F$3:$F$452,計算用!$T$28),INDEX(振り分け!$B$7:$B$456,計算用!$T$28)))</f>
        <v/>
      </c>
      <c r="C30" s="59">
        <f>IF(計算用!$T$28="","",IF(計算用!$B$1=1,INDEX(計算用!$G$3:$G$452,計算用!$T$28),INDEX(振り分け!$C$7:$C$456,計算用!$T$28)))</f>
        <v/>
      </c>
      <c r="D30" s="70">
        <f>IF(計算用!$T$28="","",IF(計算用!$B$1=1,INDEX(計算用!$H$3:$H$452,計算用!$T$28),INDEX(振り分け!$D$7:$D$456,計算用!$T$28)))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IF(計算用!$T$29="","",27)</f>
        <v/>
      </c>
      <c r="B31" s="59">
        <f>IF(計算用!$T$29="","",IF(計算用!$B$1=1,INDEX(計算用!$F$3:$F$452,計算用!$T$29),INDEX(振り分け!$B$7:$B$456,計算用!$T$29)))</f>
        <v/>
      </c>
      <c r="C31" s="59">
        <f>IF(計算用!$T$29="","",IF(計算用!$B$1=1,INDEX(計算用!$G$3:$G$452,計算用!$T$29),INDEX(振り分け!$C$7:$C$456,計算用!$T$29)))</f>
        <v/>
      </c>
      <c r="D31" s="70">
        <f>IF(計算用!$T$29="","",IF(計算用!$B$1=1,INDEX(計算用!$H$3:$H$452,計算用!$T$29),INDEX(振り分け!$D$7:$D$456,計算用!$T$29)))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IF(計算用!$T$30="","",28)</f>
        <v/>
      </c>
      <c r="B32" s="59">
        <f>IF(計算用!$T$30="","",IF(計算用!$B$1=1,INDEX(計算用!$F$3:$F$452,計算用!$T$30),INDEX(振り分け!$B$7:$B$456,計算用!$T$30)))</f>
        <v/>
      </c>
      <c r="C32" s="59">
        <f>IF(計算用!$T$30="","",IF(計算用!$B$1=1,INDEX(計算用!$G$3:$G$452,計算用!$T$30),INDEX(振り分け!$C$7:$C$456,計算用!$T$30)))</f>
        <v/>
      </c>
      <c r="D32" s="70">
        <f>IF(計算用!$T$30="","",IF(計算用!$B$1=1,INDEX(計算用!$H$3:$H$452,計算用!$T$30),INDEX(振り分け!$D$7:$D$456,計算用!$T$30)))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IF(計算用!$T$31="","",29)</f>
        <v/>
      </c>
      <c r="B33" s="59">
        <f>IF(計算用!$T$31="","",IF(計算用!$B$1=1,INDEX(計算用!$F$3:$F$452,計算用!$T$31),INDEX(振り分け!$B$7:$B$456,計算用!$T$31)))</f>
        <v/>
      </c>
      <c r="C33" s="59">
        <f>IF(計算用!$T$31="","",IF(計算用!$B$1=1,INDEX(計算用!$G$3:$G$452,計算用!$T$31),INDEX(振り分け!$C$7:$C$456,計算用!$T$31)))</f>
        <v/>
      </c>
      <c r="D33" s="70">
        <f>IF(計算用!$T$31="","",IF(計算用!$B$1=1,INDEX(計算用!$H$3:$H$452,計算用!$T$31),INDEX(振り分け!$D$7:$D$456,計算用!$T$31)))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IF(計算用!$T$32="","",30)</f>
        <v/>
      </c>
      <c r="B34" s="59">
        <f>IF(計算用!$T$32="","",IF(計算用!$B$1=1,INDEX(計算用!$F$3:$F$452,計算用!$T$32),INDEX(振り分け!$B$7:$B$456,計算用!$T$32)))</f>
        <v/>
      </c>
      <c r="C34" s="59">
        <f>IF(計算用!$T$32="","",IF(計算用!$B$1=1,INDEX(計算用!$G$3:$G$452,計算用!$T$32),INDEX(振り分け!$C$7:$C$456,計算用!$T$32)))</f>
        <v/>
      </c>
      <c r="D34" s="70">
        <f>IF(計算用!$T$32="","",IF(計算用!$B$1=1,INDEX(計算用!$H$3:$H$452,計算用!$T$32),INDEX(振り分け!$D$7:$D$456,計算用!$T$32)))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IF(計算用!$T$33="","",31)</f>
        <v/>
      </c>
      <c r="B35" s="59">
        <f>IF(計算用!$T$33="","",IF(計算用!$B$1=1,INDEX(計算用!$F$3:$F$452,計算用!$T$33),INDEX(振り分け!$B$7:$B$456,計算用!$T$33)))</f>
        <v/>
      </c>
      <c r="C35" s="59">
        <f>IF(計算用!$T$33="","",IF(計算用!$B$1=1,INDEX(計算用!$G$3:$G$452,計算用!$T$33),INDEX(振り分け!$C$7:$C$456,計算用!$T$33)))</f>
        <v/>
      </c>
      <c r="D35" s="70">
        <f>IF(計算用!$T$33="","",IF(計算用!$B$1=1,INDEX(計算用!$H$3:$H$452,計算用!$T$33),INDEX(振り分け!$D$7:$D$456,計算用!$T$33)))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IF(計算用!$T$34="","",32)</f>
        <v/>
      </c>
      <c r="B36" s="59">
        <f>IF(計算用!$T$34="","",IF(計算用!$B$1=1,INDEX(計算用!$F$3:$F$452,計算用!$T$34),INDEX(振り分け!$B$7:$B$456,計算用!$T$34)))</f>
        <v/>
      </c>
      <c r="C36" s="59">
        <f>IF(計算用!$T$34="","",IF(計算用!$B$1=1,INDEX(計算用!$G$3:$G$452,計算用!$T$34),INDEX(振り分け!$C$7:$C$456,計算用!$T$34)))</f>
        <v/>
      </c>
      <c r="D36" s="70">
        <f>IF(計算用!$T$34="","",IF(計算用!$B$1=1,INDEX(計算用!$H$3:$H$452,計算用!$T$34),INDEX(振り分け!$D$7:$D$456,計算用!$T$34)))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IF(計算用!$T$35="","",33)</f>
        <v/>
      </c>
      <c r="B37" s="59">
        <f>IF(計算用!$T$35="","",IF(計算用!$B$1=1,INDEX(計算用!$F$3:$F$452,計算用!$T$35),INDEX(振り分け!$B$7:$B$456,計算用!$T$35)))</f>
        <v/>
      </c>
      <c r="C37" s="59">
        <f>IF(計算用!$T$35="","",IF(計算用!$B$1=1,INDEX(計算用!$G$3:$G$452,計算用!$T$35),INDEX(振り分け!$C$7:$C$456,計算用!$T$35)))</f>
        <v/>
      </c>
      <c r="D37" s="70">
        <f>IF(計算用!$T$35="","",IF(計算用!$B$1=1,INDEX(計算用!$H$3:$H$452,計算用!$T$35),INDEX(振り分け!$D$7:$D$456,計算用!$T$35)))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IF(計算用!$T$36="","",34)</f>
        <v/>
      </c>
      <c r="B38" s="59">
        <f>IF(計算用!$T$36="","",IF(計算用!$B$1=1,INDEX(計算用!$F$3:$F$452,計算用!$T$36),INDEX(振り分け!$B$7:$B$456,計算用!$T$36)))</f>
        <v/>
      </c>
      <c r="C38" s="59">
        <f>IF(計算用!$T$36="","",IF(計算用!$B$1=1,INDEX(計算用!$G$3:$G$452,計算用!$T$36),INDEX(振り分け!$C$7:$C$456,計算用!$T$36)))</f>
        <v/>
      </c>
      <c r="D38" s="70">
        <f>IF(計算用!$T$36="","",IF(計算用!$B$1=1,INDEX(計算用!$H$3:$H$452,計算用!$T$36),INDEX(振り分け!$D$7:$D$456,計算用!$T$36)))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IF(計算用!$T$37="","",35)</f>
        <v/>
      </c>
      <c r="B39" s="59">
        <f>IF(計算用!$T$37="","",IF(計算用!$B$1=1,INDEX(計算用!$F$3:$F$452,計算用!$T$37),INDEX(振り分け!$B$7:$B$456,計算用!$T$37)))</f>
        <v/>
      </c>
      <c r="C39" s="59">
        <f>IF(計算用!$T$37="","",IF(計算用!$B$1=1,INDEX(計算用!$G$3:$G$452,計算用!$T$37),INDEX(振り分け!$C$7:$C$456,計算用!$T$37)))</f>
        <v/>
      </c>
      <c r="D39" s="70">
        <f>IF(計算用!$T$37="","",IF(計算用!$B$1=1,INDEX(計算用!$H$3:$H$452,計算用!$T$37),INDEX(振り分け!$D$7:$D$456,計算用!$T$37)))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IF(計算用!$T$38="","",36)</f>
        <v/>
      </c>
      <c r="B40" s="59">
        <f>IF(計算用!$T$38="","",IF(計算用!$B$1=1,INDEX(計算用!$F$3:$F$452,計算用!$T$38),INDEX(振り分け!$B$7:$B$456,計算用!$T$38)))</f>
        <v/>
      </c>
      <c r="C40" s="59">
        <f>IF(計算用!$T$38="","",IF(計算用!$B$1=1,INDEX(計算用!$G$3:$G$452,計算用!$T$38),INDEX(振り分け!$C$7:$C$456,計算用!$T$38)))</f>
        <v/>
      </c>
      <c r="D40" s="70">
        <f>IF(計算用!$T$38="","",IF(計算用!$B$1=1,INDEX(計算用!$H$3:$H$452,計算用!$T$38),INDEX(振り分け!$D$7:$D$456,計算用!$T$38)))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IF(計算用!$T$39="","",37)</f>
        <v/>
      </c>
      <c r="B41" s="59">
        <f>IF(計算用!$T$39="","",IF(計算用!$B$1=1,INDEX(計算用!$F$3:$F$452,計算用!$T$39),INDEX(振り分け!$B$7:$B$456,計算用!$T$39)))</f>
        <v/>
      </c>
      <c r="C41" s="59">
        <f>IF(計算用!$T$39="","",IF(計算用!$B$1=1,INDEX(計算用!$G$3:$G$452,計算用!$T$39),INDEX(振り分け!$C$7:$C$456,計算用!$T$39)))</f>
        <v/>
      </c>
      <c r="D41" s="70">
        <f>IF(計算用!$T$39="","",IF(計算用!$B$1=1,INDEX(計算用!$H$3:$H$452,計算用!$T$39),INDEX(振り分け!$D$7:$D$456,計算用!$T$39)))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IF(計算用!$T$40="","",38)</f>
        <v/>
      </c>
      <c r="B42" s="59">
        <f>IF(計算用!$T$40="","",IF(計算用!$B$1=1,INDEX(計算用!$F$3:$F$452,計算用!$T$40),INDEX(振り分け!$B$7:$B$456,計算用!$T$40)))</f>
        <v/>
      </c>
      <c r="C42" s="59">
        <f>IF(計算用!$T$40="","",IF(計算用!$B$1=1,INDEX(計算用!$G$3:$G$452,計算用!$T$40),INDEX(振り分け!$C$7:$C$456,計算用!$T$40)))</f>
        <v/>
      </c>
      <c r="D42" s="70">
        <f>IF(計算用!$T$40="","",IF(計算用!$B$1=1,INDEX(計算用!$H$3:$H$452,計算用!$T$40),INDEX(振り分け!$D$7:$D$456,計算用!$T$40)))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IF(計算用!$T$41="","",39)</f>
        <v/>
      </c>
      <c r="B43" s="59">
        <f>IF(計算用!$T$41="","",IF(計算用!$B$1=1,INDEX(計算用!$F$3:$F$452,計算用!$T$41),INDEX(振り分け!$B$7:$B$456,計算用!$T$41)))</f>
        <v/>
      </c>
      <c r="C43" s="59">
        <f>IF(計算用!$T$41="","",IF(計算用!$B$1=1,INDEX(計算用!$G$3:$G$452,計算用!$T$41),INDEX(振り分け!$C$7:$C$456,計算用!$T$41)))</f>
        <v/>
      </c>
      <c r="D43" s="70">
        <f>IF(計算用!$T$41="","",IF(計算用!$B$1=1,INDEX(計算用!$H$3:$H$452,計算用!$T$41),INDEX(振り分け!$D$7:$D$456,計算用!$T$41)))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IF(計算用!$T$42="","",40)</f>
        <v/>
      </c>
      <c r="B44" s="59">
        <f>IF(計算用!$T$42="","",IF(計算用!$B$1=1,INDEX(計算用!$F$3:$F$452,計算用!$T$42),INDEX(振り分け!$B$7:$B$456,計算用!$T$42)))</f>
        <v/>
      </c>
      <c r="C44" s="59">
        <f>IF(計算用!$T$42="","",IF(計算用!$B$1=1,INDEX(計算用!$G$3:$G$452,計算用!$T$42),INDEX(振り分け!$C$7:$C$456,計算用!$T$42)))</f>
        <v/>
      </c>
      <c r="D44" s="70">
        <f>IF(計算用!$T$42="","",IF(計算用!$B$1=1,INDEX(計算用!$H$3:$H$452,計算用!$T$42),INDEX(振り分け!$D$7:$D$456,計算用!$T$42)))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IF(計算用!$T$43="","",41)</f>
        <v/>
      </c>
      <c r="B45" s="59">
        <f>IF(計算用!$T$43="","",IF(計算用!$B$1=1,INDEX(計算用!$F$3:$F$452,計算用!$T$43),INDEX(振り分け!$B$7:$B$456,計算用!$T$43)))</f>
        <v/>
      </c>
      <c r="C45" s="59">
        <f>IF(計算用!$T$43="","",IF(計算用!$B$1=1,INDEX(計算用!$G$3:$G$452,計算用!$T$43),INDEX(振り分け!$C$7:$C$456,計算用!$T$43)))</f>
        <v/>
      </c>
      <c r="D45" s="70">
        <f>IF(計算用!$T$43="","",IF(計算用!$B$1=1,INDEX(計算用!$H$3:$H$452,計算用!$T$43),INDEX(振り分け!$D$7:$D$456,計算用!$T$43)))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IF(計算用!$T$44="","",42)</f>
        <v/>
      </c>
      <c r="B46" s="59">
        <f>IF(計算用!$T$44="","",IF(計算用!$B$1=1,INDEX(計算用!$F$3:$F$452,計算用!$T$44),INDEX(振り分け!$B$7:$B$456,計算用!$T$44)))</f>
        <v/>
      </c>
      <c r="C46" s="59">
        <f>IF(計算用!$T$44="","",IF(計算用!$B$1=1,INDEX(計算用!$G$3:$G$452,計算用!$T$44),INDEX(振り分け!$C$7:$C$456,計算用!$T$44)))</f>
        <v/>
      </c>
      <c r="D46" s="70">
        <f>IF(計算用!$T$44="","",IF(計算用!$B$1=1,INDEX(計算用!$H$3:$H$452,計算用!$T$44),INDEX(振り分け!$D$7:$D$456,計算用!$T$44)))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IF(計算用!$T$45="","",43)</f>
        <v/>
      </c>
      <c r="B47" s="59">
        <f>IF(計算用!$T$45="","",IF(計算用!$B$1=1,INDEX(計算用!$F$3:$F$452,計算用!$T$45),INDEX(振り分け!$B$7:$B$456,計算用!$T$45)))</f>
        <v/>
      </c>
      <c r="C47" s="59">
        <f>IF(計算用!$T$45="","",IF(計算用!$B$1=1,INDEX(計算用!$G$3:$G$452,計算用!$T$45),INDEX(振り分け!$C$7:$C$456,計算用!$T$45)))</f>
        <v/>
      </c>
      <c r="D47" s="70">
        <f>IF(計算用!$T$45="","",IF(計算用!$B$1=1,INDEX(計算用!$H$3:$H$452,計算用!$T$45),INDEX(振り分け!$D$7:$D$456,計算用!$T$45)))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IF(計算用!$T$46="","",44)</f>
        <v/>
      </c>
      <c r="B48" s="59">
        <f>IF(計算用!$T$46="","",IF(計算用!$B$1=1,INDEX(計算用!$F$3:$F$452,計算用!$T$46),INDEX(振り分け!$B$7:$B$456,計算用!$T$46)))</f>
        <v/>
      </c>
      <c r="C48" s="59">
        <f>IF(計算用!$T$46="","",IF(計算用!$B$1=1,INDEX(計算用!$G$3:$G$452,計算用!$T$46),INDEX(振り分け!$C$7:$C$456,計算用!$T$46)))</f>
        <v/>
      </c>
      <c r="D48" s="70">
        <f>IF(計算用!$T$46="","",IF(計算用!$B$1=1,INDEX(計算用!$H$3:$H$452,計算用!$T$46),INDEX(振り分け!$D$7:$D$456,計算用!$T$46)))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IF(計算用!$T$47="","",45)</f>
        <v/>
      </c>
      <c r="B49" s="59">
        <f>IF(計算用!$T$47="","",IF(計算用!$B$1=1,INDEX(計算用!$F$3:$F$452,計算用!$T$47),INDEX(振り分け!$B$7:$B$456,計算用!$T$47)))</f>
        <v/>
      </c>
      <c r="C49" s="59">
        <f>IF(計算用!$T$47="","",IF(計算用!$B$1=1,INDEX(計算用!$G$3:$G$452,計算用!$T$47),INDEX(振り分け!$C$7:$C$456,計算用!$T$47)))</f>
        <v/>
      </c>
      <c r="D49" s="70">
        <f>IF(計算用!$T$47="","",IF(計算用!$B$1=1,INDEX(計算用!$H$3:$H$452,計算用!$T$47),INDEX(振り分け!$D$7:$D$456,計算用!$T$47)))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IF(計算用!$T$48="","",46)</f>
        <v/>
      </c>
      <c r="B50" s="59">
        <f>IF(計算用!$T$48="","",IF(計算用!$B$1=1,INDEX(計算用!$F$3:$F$452,計算用!$T$48),INDEX(振り分け!$B$7:$B$456,計算用!$T$48)))</f>
        <v/>
      </c>
      <c r="C50" s="59">
        <f>IF(計算用!$T$48="","",IF(計算用!$B$1=1,INDEX(計算用!$G$3:$G$452,計算用!$T$48),INDEX(振り分け!$C$7:$C$456,計算用!$T$48)))</f>
        <v/>
      </c>
      <c r="D50" s="70">
        <f>IF(計算用!$T$48="","",IF(計算用!$B$1=1,INDEX(計算用!$H$3:$H$452,計算用!$T$48),INDEX(振り分け!$D$7:$D$456,計算用!$T$48)))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IF(計算用!$T$49="","",47)</f>
        <v/>
      </c>
      <c r="B51" s="59">
        <f>IF(計算用!$T$49="","",IF(計算用!$B$1=1,INDEX(計算用!$F$3:$F$452,計算用!$T$49),INDEX(振り分け!$B$7:$B$456,計算用!$T$49)))</f>
        <v/>
      </c>
      <c r="C51" s="59">
        <f>IF(計算用!$T$49="","",IF(計算用!$B$1=1,INDEX(計算用!$G$3:$G$452,計算用!$T$49),INDEX(振り分け!$C$7:$C$456,計算用!$T$49)))</f>
        <v/>
      </c>
      <c r="D51" s="70">
        <f>IF(計算用!$T$49="","",IF(計算用!$B$1=1,INDEX(計算用!$H$3:$H$452,計算用!$T$49),INDEX(振り分け!$D$7:$D$456,計算用!$T$49)))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IF(計算用!$T$50="","",48)</f>
        <v/>
      </c>
      <c r="B52" s="59">
        <f>IF(計算用!$T$50="","",IF(計算用!$B$1=1,INDEX(計算用!$F$3:$F$452,計算用!$T$50),INDEX(振り分け!$B$7:$B$456,計算用!$T$50)))</f>
        <v/>
      </c>
      <c r="C52" s="59">
        <f>IF(計算用!$T$50="","",IF(計算用!$B$1=1,INDEX(計算用!$G$3:$G$452,計算用!$T$50),INDEX(振り分け!$C$7:$C$456,計算用!$T$50)))</f>
        <v/>
      </c>
      <c r="D52" s="70">
        <f>IF(計算用!$T$50="","",IF(計算用!$B$1=1,INDEX(計算用!$H$3:$H$452,計算用!$T$50),INDEX(振り分け!$D$7:$D$456,計算用!$T$50)))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IF(計算用!$T$51="","",49)</f>
        <v/>
      </c>
      <c r="B53" s="59">
        <f>IF(計算用!$T$51="","",IF(計算用!$B$1=1,INDEX(計算用!$F$3:$F$452,計算用!$T$51),INDEX(振り分け!$B$7:$B$456,計算用!$T$51)))</f>
        <v/>
      </c>
      <c r="C53" s="59">
        <f>IF(計算用!$T$51="","",IF(計算用!$B$1=1,INDEX(計算用!$G$3:$G$452,計算用!$T$51),INDEX(振り分け!$C$7:$C$456,計算用!$T$51)))</f>
        <v/>
      </c>
      <c r="D53" s="70">
        <f>IF(計算用!$T$51="","",IF(計算用!$B$1=1,INDEX(計算用!$H$3:$H$452,計算用!$T$51),INDEX(振り分け!$D$7:$D$456,計算用!$T$51)))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IF(計算用!$T$52="","",50)</f>
        <v/>
      </c>
      <c r="B54" s="59">
        <f>IF(計算用!$T$52="","",IF(計算用!$B$1=1,INDEX(計算用!$F$3:$F$452,計算用!$T$52),INDEX(振り分け!$B$7:$B$456,計算用!$T$52)))</f>
        <v/>
      </c>
      <c r="C54" s="59">
        <f>IF(計算用!$T$52="","",IF(計算用!$B$1=1,INDEX(計算用!$G$3:$G$452,計算用!$T$52),INDEX(振り分け!$C$7:$C$456,計算用!$T$52)))</f>
        <v/>
      </c>
      <c r="D54" s="70">
        <f>IF(計算用!$T$52="","",IF(計算用!$B$1=1,INDEX(計算用!$H$3:$H$452,計算用!$T$52),INDEX(振り分け!$D$7:$D$456,計算用!$T$52)))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IF(設定!$P$19="","",設定!$B$3&amp;"　"&amp;設定!$P$19&amp;設定!$B$4&amp;"名簿"&amp;IF(計算用!$B$1=0,"（仮・前年度の組）",""))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IF(設定!$P$19="","","担当："&amp;設定!$S$19&amp;"　　活動場所："&amp;設定!$T$19&amp;"　　人数："&amp;定員チェック!$I$18&amp;"名（"&amp;設定!$B$8&amp;"年"&amp;定員チェック!$J$18&amp;"・"&amp;設定!$B$9&amp;"年"&amp;定員チェック!$K$18&amp;"・"&amp;設定!$B$10&amp;"年"&amp;定員チェック!$L$18&amp;"）")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IF(計算用!$U$3="","",1)</f>
        <v/>
      </c>
      <c r="B5" s="59">
        <f>IF(計算用!$U$3="","",IF(計算用!$B$1=1,INDEX(計算用!$F$3:$F$452,計算用!$U$3),INDEX(振り分け!$B$7:$B$456,計算用!$U$3)))</f>
        <v/>
      </c>
      <c r="C5" s="59">
        <f>IF(計算用!$U$3="","",IF(計算用!$B$1=1,INDEX(計算用!$G$3:$G$452,計算用!$U$3),INDEX(振り分け!$C$7:$C$456,計算用!$U$3)))</f>
        <v/>
      </c>
      <c r="D5" s="70">
        <f>IF(計算用!$U$3="","",IF(計算用!$B$1=1,INDEX(計算用!$H$3:$H$452,計算用!$U$3),INDEX(振り分け!$D$7:$D$456,計算用!$U$3)))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IF(計算用!$U$4="","",2)</f>
        <v/>
      </c>
      <c r="B6" s="59">
        <f>IF(計算用!$U$4="","",IF(計算用!$B$1=1,INDEX(計算用!$F$3:$F$452,計算用!$U$4),INDEX(振り分け!$B$7:$B$456,計算用!$U$4)))</f>
        <v/>
      </c>
      <c r="C6" s="59">
        <f>IF(計算用!$U$4="","",IF(計算用!$B$1=1,INDEX(計算用!$G$3:$G$452,計算用!$U$4),INDEX(振り分け!$C$7:$C$456,計算用!$U$4)))</f>
        <v/>
      </c>
      <c r="D6" s="70">
        <f>IF(計算用!$U$4="","",IF(計算用!$B$1=1,INDEX(計算用!$H$3:$H$452,計算用!$U$4),INDEX(振り分け!$D$7:$D$456,計算用!$U$4)))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IF(計算用!$U$5="","",3)</f>
        <v/>
      </c>
      <c r="B7" s="59">
        <f>IF(計算用!$U$5="","",IF(計算用!$B$1=1,INDEX(計算用!$F$3:$F$452,計算用!$U$5),INDEX(振り分け!$B$7:$B$456,計算用!$U$5)))</f>
        <v/>
      </c>
      <c r="C7" s="59">
        <f>IF(計算用!$U$5="","",IF(計算用!$B$1=1,INDEX(計算用!$G$3:$G$452,計算用!$U$5),INDEX(振り分け!$C$7:$C$456,計算用!$U$5)))</f>
        <v/>
      </c>
      <c r="D7" s="70">
        <f>IF(計算用!$U$5="","",IF(計算用!$B$1=1,INDEX(計算用!$H$3:$H$452,計算用!$U$5),INDEX(振り分け!$D$7:$D$456,計算用!$U$5)))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IF(計算用!$U$6="","",4)</f>
        <v/>
      </c>
      <c r="B8" s="59">
        <f>IF(計算用!$U$6="","",IF(計算用!$B$1=1,INDEX(計算用!$F$3:$F$452,計算用!$U$6),INDEX(振り分け!$B$7:$B$456,計算用!$U$6)))</f>
        <v/>
      </c>
      <c r="C8" s="59">
        <f>IF(計算用!$U$6="","",IF(計算用!$B$1=1,INDEX(計算用!$G$3:$G$452,計算用!$U$6),INDEX(振り分け!$C$7:$C$456,計算用!$U$6)))</f>
        <v/>
      </c>
      <c r="D8" s="70">
        <f>IF(計算用!$U$6="","",IF(計算用!$B$1=1,INDEX(計算用!$H$3:$H$452,計算用!$U$6),INDEX(振り分け!$D$7:$D$456,計算用!$U$6)))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IF(計算用!$U$7="","",5)</f>
        <v/>
      </c>
      <c r="B9" s="59">
        <f>IF(計算用!$U$7="","",IF(計算用!$B$1=1,INDEX(計算用!$F$3:$F$452,計算用!$U$7),INDEX(振り分け!$B$7:$B$456,計算用!$U$7)))</f>
        <v/>
      </c>
      <c r="C9" s="59">
        <f>IF(計算用!$U$7="","",IF(計算用!$B$1=1,INDEX(計算用!$G$3:$G$452,計算用!$U$7),INDEX(振り分け!$C$7:$C$456,計算用!$U$7)))</f>
        <v/>
      </c>
      <c r="D9" s="70">
        <f>IF(計算用!$U$7="","",IF(計算用!$B$1=1,INDEX(計算用!$H$3:$H$452,計算用!$U$7),INDEX(振り分け!$D$7:$D$456,計算用!$U$7)))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IF(計算用!$U$8="","",6)</f>
        <v/>
      </c>
      <c r="B10" s="59">
        <f>IF(計算用!$U$8="","",IF(計算用!$B$1=1,INDEX(計算用!$F$3:$F$452,計算用!$U$8),INDEX(振り分け!$B$7:$B$456,計算用!$U$8)))</f>
        <v/>
      </c>
      <c r="C10" s="59">
        <f>IF(計算用!$U$8="","",IF(計算用!$B$1=1,INDEX(計算用!$G$3:$G$452,計算用!$U$8),INDEX(振り分け!$C$7:$C$456,計算用!$U$8)))</f>
        <v/>
      </c>
      <c r="D10" s="70">
        <f>IF(計算用!$U$8="","",IF(計算用!$B$1=1,INDEX(計算用!$H$3:$H$452,計算用!$U$8),INDEX(振り分け!$D$7:$D$456,計算用!$U$8)))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IF(計算用!$U$9="","",7)</f>
        <v/>
      </c>
      <c r="B11" s="59">
        <f>IF(計算用!$U$9="","",IF(計算用!$B$1=1,INDEX(計算用!$F$3:$F$452,計算用!$U$9),INDEX(振り分け!$B$7:$B$456,計算用!$U$9)))</f>
        <v/>
      </c>
      <c r="C11" s="59">
        <f>IF(計算用!$U$9="","",IF(計算用!$B$1=1,INDEX(計算用!$G$3:$G$452,計算用!$U$9),INDEX(振り分け!$C$7:$C$456,計算用!$U$9)))</f>
        <v/>
      </c>
      <c r="D11" s="70">
        <f>IF(計算用!$U$9="","",IF(計算用!$B$1=1,INDEX(計算用!$H$3:$H$452,計算用!$U$9),INDEX(振り分け!$D$7:$D$456,計算用!$U$9)))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IF(計算用!$U$10="","",8)</f>
        <v/>
      </c>
      <c r="B12" s="59">
        <f>IF(計算用!$U$10="","",IF(計算用!$B$1=1,INDEX(計算用!$F$3:$F$452,計算用!$U$10),INDEX(振り分け!$B$7:$B$456,計算用!$U$10)))</f>
        <v/>
      </c>
      <c r="C12" s="59">
        <f>IF(計算用!$U$10="","",IF(計算用!$B$1=1,INDEX(計算用!$G$3:$G$452,計算用!$U$10),INDEX(振り分け!$C$7:$C$456,計算用!$U$10)))</f>
        <v/>
      </c>
      <c r="D12" s="70">
        <f>IF(計算用!$U$10="","",IF(計算用!$B$1=1,INDEX(計算用!$H$3:$H$452,計算用!$U$10),INDEX(振り分け!$D$7:$D$456,計算用!$U$10)))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IF(計算用!$U$11="","",9)</f>
        <v/>
      </c>
      <c r="B13" s="59">
        <f>IF(計算用!$U$11="","",IF(計算用!$B$1=1,INDEX(計算用!$F$3:$F$452,計算用!$U$11),INDEX(振り分け!$B$7:$B$456,計算用!$U$11)))</f>
        <v/>
      </c>
      <c r="C13" s="59">
        <f>IF(計算用!$U$11="","",IF(計算用!$B$1=1,INDEX(計算用!$G$3:$G$452,計算用!$U$11),INDEX(振り分け!$C$7:$C$456,計算用!$U$11)))</f>
        <v/>
      </c>
      <c r="D13" s="70">
        <f>IF(計算用!$U$11="","",IF(計算用!$B$1=1,INDEX(計算用!$H$3:$H$452,計算用!$U$11),INDEX(振り分け!$D$7:$D$456,計算用!$U$11)))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IF(計算用!$U$12="","",10)</f>
        <v/>
      </c>
      <c r="B14" s="59">
        <f>IF(計算用!$U$12="","",IF(計算用!$B$1=1,INDEX(計算用!$F$3:$F$452,計算用!$U$12),INDEX(振り分け!$B$7:$B$456,計算用!$U$12)))</f>
        <v/>
      </c>
      <c r="C14" s="59">
        <f>IF(計算用!$U$12="","",IF(計算用!$B$1=1,INDEX(計算用!$G$3:$G$452,計算用!$U$12),INDEX(振り分け!$C$7:$C$456,計算用!$U$12)))</f>
        <v/>
      </c>
      <c r="D14" s="70">
        <f>IF(計算用!$U$12="","",IF(計算用!$B$1=1,INDEX(計算用!$H$3:$H$452,計算用!$U$12),INDEX(振り分け!$D$7:$D$456,計算用!$U$12)))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IF(計算用!$U$13="","",11)</f>
        <v/>
      </c>
      <c r="B15" s="59">
        <f>IF(計算用!$U$13="","",IF(計算用!$B$1=1,INDEX(計算用!$F$3:$F$452,計算用!$U$13),INDEX(振り分け!$B$7:$B$456,計算用!$U$13)))</f>
        <v/>
      </c>
      <c r="C15" s="59">
        <f>IF(計算用!$U$13="","",IF(計算用!$B$1=1,INDEX(計算用!$G$3:$G$452,計算用!$U$13),INDEX(振り分け!$C$7:$C$456,計算用!$U$13)))</f>
        <v/>
      </c>
      <c r="D15" s="70">
        <f>IF(計算用!$U$13="","",IF(計算用!$B$1=1,INDEX(計算用!$H$3:$H$452,計算用!$U$13),INDEX(振り分け!$D$7:$D$456,計算用!$U$13)))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IF(計算用!$U$14="","",12)</f>
        <v/>
      </c>
      <c r="B16" s="59">
        <f>IF(計算用!$U$14="","",IF(計算用!$B$1=1,INDEX(計算用!$F$3:$F$452,計算用!$U$14),INDEX(振り分け!$B$7:$B$456,計算用!$U$14)))</f>
        <v/>
      </c>
      <c r="C16" s="59">
        <f>IF(計算用!$U$14="","",IF(計算用!$B$1=1,INDEX(計算用!$G$3:$G$452,計算用!$U$14),INDEX(振り分け!$C$7:$C$456,計算用!$U$14)))</f>
        <v/>
      </c>
      <c r="D16" s="70">
        <f>IF(計算用!$U$14="","",IF(計算用!$B$1=1,INDEX(計算用!$H$3:$H$452,計算用!$U$14),INDEX(振り分け!$D$7:$D$456,計算用!$U$14)))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IF(計算用!$U$15="","",13)</f>
        <v/>
      </c>
      <c r="B17" s="59">
        <f>IF(計算用!$U$15="","",IF(計算用!$B$1=1,INDEX(計算用!$F$3:$F$452,計算用!$U$15),INDEX(振り分け!$B$7:$B$456,計算用!$U$15)))</f>
        <v/>
      </c>
      <c r="C17" s="59">
        <f>IF(計算用!$U$15="","",IF(計算用!$B$1=1,INDEX(計算用!$G$3:$G$452,計算用!$U$15),INDEX(振り分け!$C$7:$C$456,計算用!$U$15)))</f>
        <v/>
      </c>
      <c r="D17" s="70">
        <f>IF(計算用!$U$15="","",IF(計算用!$B$1=1,INDEX(計算用!$H$3:$H$452,計算用!$U$15),INDEX(振り分け!$D$7:$D$456,計算用!$U$15)))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IF(計算用!$U$16="","",14)</f>
        <v/>
      </c>
      <c r="B18" s="59">
        <f>IF(計算用!$U$16="","",IF(計算用!$B$1=1,INDEX(計算用!$F$3:$F$452,計算用!$U$16),INDEX(振り分け!$B$7:$B$456,計算用!$U$16)))</f>
        <v/>
      </c>
      <c r="C18" s="59">
        <f>IF(計算用!$U$16="","",IF(計算用!$B$1=1,INDEX(計算用!$G$3:$G$452,計算用!$U$16),INDEX(振り分け!$C$7:$C$456,計算用!$U$16)))</f>
        <v/>
      </c>
      <c r="D18" s="70">
        <f>IF(計算用!$U$16="","",IF(計算用!$B$1=1,INDEX(計算用!$H$3:$H$452,計算用!$U$16),INDEX(振り分け!$D$7:$D$456,計算用!$U$16)))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IF(計算用!$U$17="","",15)</f>
        <v/>
      </c>
      <c r="B19" s="59">
        <f>IF(計算用!$U$17="","",IF(計算用!$B$1=1,INDEX(計算用!$F$3:$F$452,計算用!$U$17),INDEX(振り分け!$B$7:$B$456,計算用!$U$17)))</f>
        <v/>
      </c>
      <c r="C19" s="59">
        <f>IF(計算用!$U$17="","",IF(計算用!$B$1=1,INDEX(計算用!$G$3:$G$452,計算用!$U$17),INDEX(振り分け!$C$7:$C$456,計算用!$U$17)))</f>
        <v/>
      </c>
      <c r="D19" s="70">
        <f>IF(計算用!$U$17="","",IF(計算用!$B$1=1,INDEX(計算用!$H$3:$H$452,計算用!$U$17),INDEX(振り分け!$D$7:$D$456,計算用!$U$17)))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IF(計算用!$U$18="","",16)</f>
        <v/>
      </c>
      <c r="B20" s="59">
        <f>IF(計算用!$U$18="","",IF(計算用!$B$1=1,INDEX(計算用!$F$3:$F$452,計算用!$U$18),INDEX(振り分け!$B$7:$B$456,計算用!$U$18)))</f>
        <v/>
      </c>
      <c r="C20" s="59">
        <f>IF(計算用!$U$18="","",IF(計算用!$B$1=1,INDEX(計算用!$G$3:$G$452,計算用!$U$18),INDEX(振り分け!$C$7:$C$456,計算用!$U$18)))</f>
        <v/>
      </c>
      <c r="D20" s="70">
        <f>IF(計算用!$U$18="","",IF(計算用!$B$1=1,INDEX(計算用!$H$3:$H$452,計算用!$U$18),INDEX(振り分け!$D$7:$D$456,計算用!$U$18)))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IF(計算用!$U$19="","",17)</f>
        <v/>
      </c>
      <c r="B21" s="59">
        <f>IF(計算用!$U$19="","",IF(計算用!$B$1=1,INDEX(計算用!$F$3:$F$452,計算用!$U$19),INDEX(振り分け!$B$7:$B$456,計算用!$U$19)))</f>
        <v/>
      </c>
      <c r="C21" s="59">
        <f>IF(計算用!$U$19="","",IF(計算用!$B$1=1,INDEX(計算用!$G$3:$G$452,計算用!$U$19),INDEX(振り分け!$C$7:$C$456,計算用!$U$19)))</f>
        <v/>
      </c>
      <c r="D21" s="70">
        <f>IF(計算用!$U$19="","",IF(計算用!$B$1=1,INDEX(計算用!$H$3:$H$452,計算用!$U$19),INDEX(振り分け!$D$7:$D$456,計算用!$U$19)))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IF(計算用!$U$20="","",18)</f>
        <v/>
      </c>
      <c r="B22" s="59">
        <f>IF(計算用!$U$20="","",IF(計算用!$B$1=1,INDEX(計算用!$F$3:$F$452,計算用!$U$20),INDEX(振り分け!$B$7:$B$456,計算用!$U$20)))</f>
        <v/>
      </c>
      <c r="C22" s="59">
        <f>IF(計算用!$U$20="","",IF(計算用!$B$1=1,INDEX(計算用!$G$3:$G$452,計算用!$U$20),INDEX(振り分け!$C$7:$C$456,計算用!$U$20)))</f>
        <v/>
      </c>
      <c r="D22" s="70">
        <f>IF(計算用!$U$20="","",IF(計算用!$B$1=1,INDEX(計算用!$H$3:$H$452,計算用!$U$20),INDEX(振り分け!$D$7:$D$456,計算用!$U$20)))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IF(計算用!$U$21="","",19)</f>
        <v/>
      </c>
      <c r="B23" s="59">
        <f>IF(計算用!$U$21="","",IF(計算用!$B$1=1,INDEX(計算用!$F$3:$F$452,計算用!$U$21),INDEX(振り分け!$B$7:$B$456,計算用!$U$21)))</f>
        <v/>
      </c>
      <c r="C23" s="59">
        <f>IF(計算用!$U$21="","",IF(計算用!$B$1=1,INDEX(計算用!$G$3:$G$452,計算用!$U$21),INDEX(振り分け!$C$7:$C$456,計算用!$U$21)))</f>
        <v/>
      </c>
      <c r="D23" s="70">
        <f>IF(計算用!$U$21="","",IF(計算用!$B$1=1,INDEX(計算用!$H$3:$H$452,計算用!$U$21),INDEX(振り分け!$D$7:$D$456,計算用!$U$21)))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IF(計算用!$U$22="","",20)</f>
        <v/>
      </c>
      <c r="B24" s="59">
        <f>IF(計算用!$U$22="","",IF(計算用!$B$1=1,INDEX(計算用!$F$3:$F$452,計算用!$U$22),INDEX(振り分け!$B$7:$B$456,計算用!$U$22)))</f>
        <v/>
      </c>
      <c r="C24" s="59">
        <f>IF(計算用!$U$22="","",IF(計算用!$B$1=1,INDEX(計算用!$G$3:$G$452,計算用!$U$22),INDEX(振り分け!$C$7:$C$456,計算用!$U$22)))</f>
        <v/>
      </c>
      <c r="D24" s="70">
        <f>IF(計算用!$U$22="","",IF(計算用!$B$1=1,INDEX(計算用!$H$3:$H$452,計算用!$U$22),INDEX(振り分け!$D$7:$D$456,計算用!$U$22)))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IF(計算用!$U$23="","",21)</f>
        <v/>
      </c>
      <c r="B25" s="59">
        <f>IF(計算用!$U$23="","",IF(計算用!$B$1=1,INDEX(計算用!$F$3:$F$452,計算用!$U$23),INDEX(振り分け!$B$7:$B$456,計算用!$U$23)))</f>
        <v/>
      </c>
      <c r="C25" s="59">
        <f>IF(計算用!$U$23="","",IF(計算用!$B$1=1,INDEX(計算用!$G$3:$G$452,計算用!$U$23),INDEX(振り分け!$C$7:$C$456,計算用!$U$23)))</f>
        <v/>
      </c>
      <c r="D25" s="70">
        <f>IF(計算用!$U$23="","",IF(計算用!$B$1=1,INDEX(計算用!$H$3:$H$452,計算用!$U$23),INDEX(振り分け!$D$7:$D$456,計算用!$U$23)))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IF(計算用!$U$24="","",22)</f>
        <v/>
      </c>
      <c r="B26" s="59">
        <f>IF(計算用!$U$24="","",IF(計算用!$B$1=1,INDEX(計算用!$F$3:$F$452,計算用!$U$24),INDEX(振り分け!$B$7:$B$456,計算用!$U$24)))</f>
        <v/>
      </c>
      <c r="C26" s="59">
        <f>IF(計算用!$U$24="","",IF(計算用!$B$1=1,INDEX(計算用!$G$3:$G$452,計算用!$U$24),INDEX(振り分け!$C$7:$C$456,計算用!$U$24)))</f>
        <v/>
      </c>
      <c r="D26" s="70">
        <f>IF(計算用!$U$24="","",IF(計算用!$B$1=1,INDEX(計算用!$H$3:$H$452,計算用!$U$24),INDEX(振り分け!$D$7:$D$456,計算用!$U$24)))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IF(計算用!$U$25="","",23)</f>
        <v/>
      </c>
      <c r="B27" s="59">
        <f>IF(計算用!$U$25="","",IF(計算用!$B$1=1,INDEX(計算用!$F$3:$F$452,計算用!$U$25),INDEX(振り分け!$B$7:$B$456,計算用!$U$25)))</f>
        <v/>
      </c>
      <c r="C27" s="59">
        <f>IF(計算用!$U$25="","",IF(計算用!$B$1=1,INDEX(計算用!$G$3:$G$452,計算用!$U$25),INDEX(振り分け!$C$7:$C$456,計算用!$U$25)))</f>
        <v/>
      </c>
      <c r="D27" s="70">
        <f>IF(計算用!$U$25="","",IF(計算用!$B$1=1,INDEX(計算用!$H$3:$H$452,計算用!$U$25),INDEX(振り分け!$D$7:$D$456,計算用!$U$25)))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IF(計算用!$U$26="","",24)</f>
        <v/>
      </c>
      <c r="B28" s="59">
        <f>IF(計算用!$U$26="","",IF(計算用!$B$1=1,INDEX(計算用!$F$3:$F$452,計算用!$U$26),INDEX(振り分け!$B$7:$B$456,計算用!$U$26)))</f>
        <v/>
      </c>
      <c r="C28" s="59">
        <f>IF(計算用!$U$26="","",IF(計算用!$B$1=1,INDEX(計算用!$G$3:$G$452,計算用!$U$26),INDEX(振り分け!$C$7:$C$456,計算用!$U$26)))</f>
        <v/>
      </c>
      <c r="D28" s="70">
        <f>IF(計算用!$U$26="","",IF(計算用!$B$1=1,INDEX(計算用!$H$3:$H$452,計算用!$U$26),INDEX(振り分け!$D$7:$D$456,計算用!$U$26)))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IF(計算用!$U$27="","",25)</f>
        <v/>
      </c>
      <c r="B29" s="59">
        <f>IF(計算用!$U$27="","",IF(計算用!$B$1=1,INDEX(計算用!$F$3:$F$452,計算用!$U$27),INDEX(振り分け!$B$7:$B$456,計算用!$U$27)))</f>
        <v/>
      </c>
      <c r="C29" s="59">
        <f>IF(計算用!$U$27="","",IF(計算用!$B$1=1,INDEX(計算用!$G$3:$G$452,計算用!$U$27),INDEX(振り分け!$C$7:$C$456,計算用!$U$27)))</f>
        <v/>
      </c>
      <c r="D29" s="70">
        <f>IF(計算用!$U$27="","",IF(計算用!$B$1=1,INDEX(計算用!$H$3:$H$452,計算用!$U$27),INDEX(振り分け!$D$7:$D$456,計算用!$U$27)))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IF(計算用!$U$28="","",26)</f>
        <v/>
      </c>
      <c r="B30" s="59">
        <f>IF(計算用!$U$28="","",IF(計算用!$B$1=1,INDEX(計算用!$F$3:$F$452,計算用!$U$28),INDEX(振り分け!$B$7:$B$456,計算用!$U$28)))</f>
        <v/>
      </c>
      <c r="C30" s="59">
        <f>IF(計算用!$U$28="","",IF(計算用!$B$1=1,INDEX(計算用!$G$3:$G$452,計算用!$U$28),INDEX(振り分け!$C$7:$C$456,計算用!$U$28)))</f>
        <v/>
      </c>
      <c r="D30" s="70">
        <f>IF(計算用!$U$28="","",IF(計算用!$B$1=1,INDEX(計算用!$H$3:$H$452,計算用!$U$28),INDEX(振り分け!$D$7:$D$456,計算用!$U$28)))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IF(計算用!$U$29="","",27)</f>
        <v/>
      </c>
      <c r="B31" s="59">
        <f>IF(計算用!$U$29="","",IF(計算用!$B$1=1,INDEX(計算用!$F$3:$F$452,計算用!$U$29),INDEX(振り分け!$B$7:$B$456,計算用!$U$29)))</f>
        <v/>
      </c>
      <c r="C31" s="59">
        <f>IF(計算用!$U$29="","",IF(計算用!$B$1=1,INDEX(計算用!$G$3:$G$452,計算用!$U$29),INDEX(振り分け!$C$7:$C$456,計算用!$U$29)))</f>
        <v/>
      </c>
      <c r="D31" s="70">
        <f>IF(計算用!$U$29="","",IF(計算用!$B$1=1,INDEX(計算用!$H$3:$H$452,計算用!$U$29),INDEX(振り分け!$D$7:$D$456,計算用!$U$29)))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IF(計算用!$U$30="","",28)</f>
        <v/>
      </c>
      <c r="B32" s="59">
        <f>IF(計算用!$U$30="","",IF(計算用!$B$1=1,INDEX(計算用!$F$3:$F$452,計算用!$U$30),INDEX(振り分け!$B$7:$B$456,計算用!$U$30)))</f>
        <v/>
      </c>
      <c r="C32" s="59">
        <f>IF(計算用!$U$30="","",IF(計算用!$B$1=1,INDEX(計算用!$G$3:$G$452,計算用!$U$30),INDEX(振り分け!$C$7:$C$456,計算用!$U$30)))</f>
        <v/>
      </c>
      <c r="D32" s="70">
        <f>IF(計算用!$U$30="","",IF(計算用!$B$1=1,INDEX(計算用!$H$3:$H$452,計算用!$U$30),INDEX(振り分け!$D$7:$D$456,計算用!$U$30)))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IF(計算用!$U$31="","",29)</f>
        <v/>
      </c>
      <c r="B33" s="59">
        <f>IF(計算用!$U$31="","",IF(計算用!$B$1=1,INDEX(計算用!$F$3:$F$452,計算用!$U$31),INDEX(振り分け!$B$7:$B$456,計算用!$U$31)))</f>
        <v/>
      </c>
      <c r="C33" s="59">
        <f>IF(計算用!$U$31="","",IF(計算用!$B$1=1,INDEX(計算用!$G$3:$G$452,計算用!$U$31),INDEX(振り分け!$C$7:$C$456,計算用!$U$31)))</f>
        <v/>
      </c>
      <c r="D33" s="70">
        <f>IF(計算用!$U$31="","",IF(計算用!$B$1=1,INDEX(計算用!$H$3:$H$452,計算用!$U$31),INDEX(振り分け!$D$7:$D$456,計算用!$U$31)))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IF(計算用!$U$32="","",30)</f>
        <v/>
      </c>
      <c r="B34" s="59">
        <f>IF(計算用!$U$32="","",IF(計算用!$B$1=1,INDEX(計算用!$F$3:$F$452,計算用!$U$32),INDEX(振り分け!$B$7:$B$456,計算用!$U$32)))</f>
        <v/>
      </c>
      <c r="C34" s="59">
        <f>IF(計算用!$U$32="","",IF(計算用!$B$1=1,INDEX(計算用!$G$3:$G$452,計算用!$U$32),INDEX(振り分け!$C$7:$C$456,計算用!$U$32)))</f>
        <v/>
      </c>
      <c r="D34" s="70">
        <f>IF(計算用!$U$32="","",IF(計算用!$B$1=1,INDEX(計算用!$H$3:$H$452,計算用!$U$32),INDEX(振り分け!$D$7:$D$456,計算用!$U$32)))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IF(計算用!$U$33="","",31)</f>
        <v/>
      </c>
      <c r="B35" s="59">
        <f>IF(計算用!$U$33="","",IF(計算用!$B$1=1,INDEX(計算用!$F$3:$F$452,計算用!$U$33),INDEX(振り分け!$B$7:$B$456,計算用!$U$33)))</f>
        <v/>
      </c>
      <c r="C35" s="59">
        <f>IF(計算用!$U$33="","",IF(計算用!$B$1=1,INDEX(計算用!$G$3:$G$452,計算用!$U$33),INDEX(振り分け!$C$7:$C$456,計算用!$U$33)))</f>
        <v/>
      </c>
      <c r="D35" s="70">
        <f>IF(計算用!$U$33="","",IF(計算用!$B$1=1,INDEX(計算用!$H$3:$H$452,計算用!$U$33),INDEX(振り分け!$D$7:$D$456,計算用!$U$33)))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IF(計算用!$U$34="","",32)</f>
        <v/>
      </c>
      <c r="B36" s="59">
        <f>IF(計算用!$U$34="","",IF(計算用!$B$1=1,INDEX(計算用!$F$3:$F$452,計算用!$U$34),INDEX(振り分け!$B$7:$B$456,計算用!$U$34)))</f>
        <v/>
      </c>
      <c r="C36" s="59">
        <f>IF(計算用!$U$34="","",IF(計算用!$B$1=1,INDEX(計算用!$G$3:$G$452,計算用!$U$34),INDEX(振り分け!$C$7:$C$456,計算用!$U$34)))</f>
        <v/>
      </c>
      <c r="D36" s="70">
        <f>IF(計算用!$U$34="","",IF(計算用!$B$1=1,INDEX(計算用!$H$3:$H$452,計算用!$U$34),INDEX(振り分け!$D$7:$D$456,計算用!$U$34)))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IF(計算用!$U$35="","",33)</f>
        <v/>
      </c>
      <c r="B37" s="59">
        <f>IF(計算用!$U$35="","",IF(計算用!$B$1=1,INDEX(計算用!$F$3:$F$452,計算用!$U$35),INDEX(振り分け!$B$7:$B$456,計算用!$U$35)))</f>
        <v/>
      </c>
      <c r="C37" s="59">
        <f>IF(計算用!$U$35="","",IF(計算用!$B$1=1,INDEX(計算用!$G$3:$G$452,計算用!$U$35),INDEX(振り分け!$C$7:$C$456,計算用!$U$35)))</f>
        <v/>
      </c>
      <c r="D37" s="70">
        <f>IF(計算用!$U$35="","",IF(計算用!$B$1=1,INDEX(計算用!$H$3:$H$452,計算用!$U$35),INDEX(振り分け!$D$7:$D$456,計算用!$U$35)))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IF(計算用!$U$36="","",34)</f>
        <v/>
      </c>
      <c r="B38" s="59">
        <f>IF(計算用!$U$36="","",IF(計算用!$B$1=1,INDEX(計算用!$F$3:$F$452,計算用!$U$36),INDEX(振り分け!$B$7:$B$456,計算用!$U$36)))</f>
        <v/>
      </c>
      <c r="C38" s="59">
        <f>IF(計算用!$U$36="","",IF(計算用!$B$1=1,INDEX(計算用!$G$3:$G$452,計算用!$U$36),INDEX(振り分け!$C$7:$C$456,計算用!$U$36)))</f>
        <v/>
      </c>
      <c r="D38" s="70">
        <f>IF(計算用!$U$36="","",IF(計算用!$B$1=1,INDEX(計算用!$H$3:$H$452,計算用!$U$36),INDEX(振り分け!$D$7:$D$456,計算用!$U$36)))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IF(計算用!$U$37="","",35)</f>
        <v/>
      </c>
      <c r="B39" s="59">
        <f>IF(計算用!$U$37="","",IF(計算用!$B$1=1,INDEX(計算用!$F$3:$F$452,計算用!$U$37),INDEX(振り分け!$B$7:$B$456,計算用!$U$37)))</f>
        <v/>
      </c>
      <c r="C39" s="59">
        <f>IF(計算用!$U$37="","",IF(計算用!$B$1=1,INDEX(計算用!$G$3:$G$452,計算用!$U$37),INDEX(振り分け!$C$7:$C$456,計算用!$U$37)))</f>
        <v/>
      </c>
      <c r="D39" s="70">
        <f>IF(計算用!$U$37="","",IF(計算用!$B$1=1,INDEX(計算用!$H$3:$H$452,計算用!$U$37),INDEX(振り分け!$D$7:$D$456,計算用!$U$37)))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IF(計算用!$U$38="","",36)</f>
        <v/>
      </c>
      <c r="B40" s="59">
        <f>IF(計算用!$U$38="","",IF(計算用!$B$1=1,INDEX(計算用!$F$3:$F$452,計算用!$U$38),INDEX(振り分け!$B$7:$B$456,計算用!$U$38)))</f>
        <v/>
      </c>
      <c r="C40" s="59">
        <f>IF(計算用!$U$38="","",IF(計算用!$B$1=1,INDEX(計算用!$G$3:$G$452,計算用!$U$38),INDEX(振り分け!$C$7:$C$456,計算用!$U$38)))</f>
        <v/>
      </c>
      <c r="D40" s="70">
        <f>IF(計算用!$U$38="","",IF(計算用!$B$1=1,INDEX(計算用!$H$3:$H$452,計算用!$U$38),INDEX(振り分け!$D$7:$D$456,計算用!$U$38)))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IF(計算用!$U$39="","",37)</f>
        <v/>
      </c>
      <c r="B41" s="59">
        <f>IF(計算用!$U$39="","",IF(計算用!$B$1=1,INDEX(計算用!$F$3:$F$452,計算用!$U$39),INDEX(振り分け!$B$7:$B$456,計算用!$U$39)))</f>
        <v/>
      </c>
      <c r="C41" s="59">
        <f>IF(計算用!$U$39="","",IF(計算用!$B$1=1,INDEX(計算用!$G$3:$G$452,計算用!$U$39),INDEX(振り分け!$C$7:$C$456,計算用!$U$39)))</f>
        <v/>
      </c>
      <c r="D41" s="70">
        <f>IF(計算用!$U$39="","",IF(計算用!$B$1=1,INDEX(計算用!$H$3:$H$452,計算用!$U$39),INDEX(振り分け!$D$7:$D$456,計算用!$U$39)))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IF(計算用!$U$40="","",38)</f>
        <v/>
      </c>
      <c r="B42" s="59">
        <f>IF(計算用!$U$40="","",IF(計算用!$B$1=1,INDEX(計算用!$F$3:$F$452,計算用!$U$40),INDEX(振り分け!$B$7:$B$456,計算用!$U$40)))</f>
        <v/>
      </c>
      <c r="C42" s="59">
        <f>IF(計算用!$U$40="","",IF(計算用!$B$1=1,INDEX(計算用!$G$3:$G$452,計算用!$U$40),INDEX(振り分け!$C$7:$C$456,計算用!$U$40)))</f>
        <v/>
      </c>
      <c r="D42" s="70">
        <f>IF(計算用!$U$40="","",IF(計算用!$B$1=1,INDEX(計算用!$H$3:$H$452,計算用!$U$40),INDEX(振り分け!$D$7:$D$456,計算用!$U$40)))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IF(計算用!$U$41="","",39)</f>
        <v/>
      </c>
      <c r="B43" s="59">
        <f>IF(計算用!$U$41="","",IF(計算用!$B$1=1,INDEX(計算用!$F$3:$F$452,計算用!$U$41),INDEX(振り分け!$B$7:$B$456,計算用!$U$41)))</f>
        <v/>
      </c>
      <c r="C43" s="59">
        <f>IF(計算用!$U$41="","",IF(計算用!$B$1=1,INDEX(計算用!$G$3:$G$452,計算用!$U$41),INDEX(振り分け!$C$7:$C$456,計算用!$U$41)))</f>
        <v/>
      </c>
      <c r="D43" s="70">
        <f>IF(計算用!$U$41="","",IF(計算用!$B$1=1,INDEX(計算用!$H$3:$H$452,計算用!$U$41),INDEX(振り分け!$D$7:$D$456,計算用!$U$41)))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IF(計算用!$U$42="","",40)</f>
        <v/>
      </c>
      <c r="B44" s="59">
        <f>IF(計算用!$U$42="","",IF(計算用!$B$1=1,INDEX(計算用!$F$3:$F$452,計算用!$U$42),INDEX(振り分け!$B$7:$B$456,計算用!$U$42)))</f>
        <v/>
      </c>
      <c r="C44" s="59">
        <f>IF(計算用!$U$42="","",IF(計算用!$B$1=1,INDEX(計算用!$G$3:$G$452,計算用!$U$42),INDEX(振り分け!$C$7:$C$456,計算用!$U$42)))</f>
        <v/>
      </c>
      <c r="D44" s="70">
        <f>IF(計算用!$U$42="","",IF(計算用!$B$1=1,INDEX(計算用!$H$3:$H$452,計算用!$U$42),INDEX(振り分け!$D$7:$D$456,計算用!$U$42)))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IF(計算用!$U$43="","",41)</f>
        <v/>
      </c>
      <c r="B45" s="59">
        <f>IF(計算用!$U$43="","",IF(計算用!$B$1=1,INDEX(計算用!$F$3:$F$452,計算用!$U$43),INDEX(振り分け!$B$7:$B$456,計算用!$U$43)))</f>
        <v/>
      </c>
      <c r="C45" s="59">
        <f>IF(計算用!$U$43="","",IF(計算用!$B$1=1,INDEX(計算用!$G$3:$G$452,計算用!$U$43),INDEX(振り分け!$C$7:$C$456,計算用!$U$43)))</f>
        <v/>
      </c>
      <c r="D45" s="70">
        <f>IF(計算用!$U$43="","",IF(計算用!$B$1=1,INDEX(計算用!$H$3:$H$452,計算用!$U$43),INDEX(振り分け!$D$7:$D$456,計算用!$U$43)))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IF(計算用!$U$44="","",42)</f>
        <v/>
      </c>
      <c r="B46" s="59">
        <f>IF(計算用!$U$44="","",IF(計算用!$B$1=1,INDEX(計算用!$F$3:$F$452,計算用!$U$44),INDEX(振り分け!$B$7:$B$456,計算用!$U$44)))</f>
        <v/>
      </c>
      <c r="C46" s="59">
        <f>IF(計算用!$U$44="","",IF(計算用!$B$1=1,INDEX(計算用!$G$3:$G$452,計算用!$U$44),INDEX(振り分け!$C$7:$C$456,計算用!$U$44)))</f>
        <v/>
      </c>
      <c r="D46" s="70">
        <f>IF(計算用!$U$44="","",IF(計算用!$B$1=1,INDEX(計算用!$H$3:$H$452,計算用!$U$44),INDEX(振り分け!$D$7:$D$456,計算用!$U$44)))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IF(計算用!$U$45="","",43)</f>
        <v/>
      </c>
      <c r="B47" s="59">
        <f>IF(計算用!$U$45="","",IF(計算用!$B$1=1,INDEX(計算用!$F$3:$F$452,計算用!$U$45),INDEX(振り分け!$B$7:$B$456,計算用!$U$45)))</f>
        <v/>
      </c>
      <c r="C47" s="59">
        <f>IF(計算用!$U$45="","",IF(計算用!$B$1=1,INDEX(計算用!$G$3:$G$452,計算用!$U$45),INDEX(振り分け!$C$7:$C$456,計算用!$U$45)))</f>
        <v/>
      </c>
      <c r="D47" s="70">
        <f>IF(計算用!$U$45="","",IF(計算用!$B$1=1,INDEX(計算用!$H$3:$H$452,計算用!$U$45),INDEX(振り分け!$D$7:$D$456,計算用!$U$45)))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IF(計算用!$U$46="","",44)</f>
        <v/>
      </c>
      <c r="B48" s="59">
        <f>IF(計算用!$U$46="","",IF(計算用!$B$1=1,INDEX(計算用!$F$3:$F$452,計算用!$U$46),INDEX(振り分け!$B$7:$B$456,計算用!$U$46)))</f>
        <v/>
      </c>
      <c r="C48" s="59">
        <f>IF(計算用!$U$46="","",IF(計算用!$B$1=1,INDEX(計算用!$G$3:$G$452,計算用!$U$46),INDEX(振り分け!$C$7:$C$456,計算用!$U$46)))</f>
        <v/>
      </c>
      <c r="D48" s="70">
        <f>IF(計算用!$U$46="","",IF(計算用!$B$1=1,INDEX(計算用!$H$3:$H$452,計算用!$U$46),INDEX(振り分け!$D$7:$D$456,計算用!$U$46)))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IF(計算用!$U$47="","",45)</f>
        <v/>
      </c>
      <c r="B49" s="59">
        <f>IF(計算用!$U$47="","",IF(計算用!$B$1=1,INDEX(計算用!$F$3:$F$452,計算用!$U$47),INDEX(振り分け!$B$7:$B$456,計算用!$U$47)))</f>
        <v/>
      </c>
      <c r="C49" s="59">
        <f>IF(計算用!$U$47="","",IF(計算用!$B$1=1,INDEX(計算用!$G$3:$G$452,計算用!$U$47),INDEX(振り分け!$C$7:$C$456,計算用!$U$47)))</f>
        <v/>
      </c>
      <c r="D49" s="70">
        <f>IF(計算用!$U$47="","",IF(計算用!$B$1=1,INDEX(計算用!$H$3:$H$452,計算用!$U$47),INDEX(振り分け!$D$7:$D$456,計算用!$U$47)))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IF(計算用!$U$48="","",46)</f>
        <v/>
      </c>
      <c r="B50" s="59">
        <f>IF(計算用!$U$48="","",IF(計算用!$B$1=1,INDEX(計算用!$F$3:$F$452,計算用!$U$48),INDEX(振り分け!$B$7:$B$456,計算用!$U$48)))</f>
        <v/>
      </c>
      <c r="C50" s="59">
        <f>IF(計算用!$U$48="","",IF(計算用!$B$1=1,INDEX(計算用!$G$3:$G$452,計算用!$U$48),INDEX(振り分け!$C$7:$C$456,計算用!$U$48)))</f>
        <v/>
      </c>
      <c r="D50" s="70">
        <f>IF(計算用!$U$48="","",IF(計算用!$B$1=1,INDEX(計算用!$H$3:$H$452,計算用!$U$48),INDEX(振り分け!$D$7:$D$456,計算用!$U$48)))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IF(計算用!$U$49="","",47)</f>
        <v/>
      </c>
      <c r="B51" s="59">
        <f>IF(計算用!$U$49="","",IF(計算用!$B$1=1,INDEX(計算用!$F$3:$F$452,計算用!$U$49),INDEX(振り分け!$B$7:$B$456,計算用!$U$49)))</f>
        <v/>
      </c>
      <c r="C51" s="59">
        <f>IF(計算用!$U$49="","",IF(計算用!$B$1=1,INDEX(計算用!$G$3:$G$452,計算用!$U$49),INDEX(振り分け!$C$7:$C$456,計算用!$U$49)))</f>
        <v/>
      </c>
      <c r="D51" s="70">
        <f>IF(計算用!$U$49="","",IF(計算用!$B$1=1,INDEX(計算用!$H$3:$H$452,計算用!$U$49),INDEX(振り分け!$D$7:$D$456,計算用!$U$49)))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IF(計算用!$U$50="","",48)</f>
        <v/>
      </c>
      <c r="B52" s="59">
        <f>IF(計算用!$U$50="","",IF(計算用!$B$1=1,INDEX(計算用!$F$3:$F$452,計算用!$U$50),INDEX(振り分け!$B$7:$B$456,計算用!$U$50)))</f>
        <v/>
      </c>
      <c r="C52" s="59">
        <f>IF(計算用!$U$50="","",IF(計算用!$B$1=1,INDEX(計算用!$G$3:$G$452,計算用!$U$50),INDEX(振り分け!$C$7:$C$456,計算用!$U$50)))</f>
        <v/>
      </c>
      <c r="D52" s="70">
        <f>IF(計算用!$U$50="","",IF(計算用!$B$1=1,INDEX(計算用!$H$3:$H$452,計算用!$U$50),INDEX(振り分け!$D$7:$D$456,計算用!$U$50)))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IF(計算用!$U$51="","",49)</f>
        <v/>
      </c>
      <c r="B53" s="59">
        <f>IF(計算用!$U$51="","",IF(計算用!$B$1=1,INDEX(計算用!$F$3:$F$452,計算用!$U$51),INDEX(振り分け!$B$7:$B$456,計算用!$U$51)))</f>
        <v/>
      </c>
      <c r="C53" s="59">
        <f>IF(計算用!$U$51="","",IF(計算用!$B$1=1,INDEX(計算用!$G$3:$G$452,計算用!$U$51),INDEX(振り分け!$C$7:$C$456,計算用!$U$51)))</f>
        <v/>
      </c>
      <c r="D53" s="70">
        <f>IF(計算用!$U$51="","",IF(計算用!$B$1=1,INDEX(計算用!$H$3:$H$452,計算用!$U$51),INDEX(振り分け!$D$7:$D$456,計算用!$U$51)))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IF(計算用!$U$52="","",50)</f>
        <v/>
      </c>
      <c r="B54" s="59">
        <f>IF(計算用!$U$52="","",IF(計算用!$B$1=1,INDEX(計算用!$F$3:$F$452,計算用!$U$52),INDEX(振り分け!$B$7:$B$456,計算用!$U$52)))</f>
        <v/>
      </c>
      <c r="C54" s="59">
        <f>IF(計算用!$U$52="","",IF(計算用!$B$1=1,INDEX(計算用!$G$3:$G$452,計算用!$U$52),INDEX(振り分け!$C$7:$C$456,計算用!$U$52)))</f>
        <v/>
      </c>
      <c r="D54" s="70">
        <f>IF(計算用!$U$52="","",IF(計算用!$B$1=1,INDEX(計算用!$H$3:$H$452,計算用!$U$52),INDEX(振り分け!$D$7:$D$456,計算用!$U$52)))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IF(設定!$P$20="","",設定!$B$3&amp;"　"&amp;設定!$P$20&amp;設定!$B$4&amp;"名簿"&amp;IF(計算用!$B$1=0,"（仮・前年度の組）",""))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IF(設定!$P$20="","","担当："&amp;設定!$S$20&amp;"　　活動場所："&amp;設定!$T$20&amp;"　　人数："&amp;定員チェック!$I$19&amp;"名（"&amp;設定!$B$8&amp;"年"&amp;定員チェック!$J$19&amp;"・"&amp;設定!$B$9&amp;"年"&amp;定員チェック!$K$19&amp;"・"&amp;設定!$B$10&amp;"年"&amp;定員チェック!$L$19&amp;"）")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IF(計算用!$V$3="","",1)</f>
        <v/>
      </c>
      <c r="B5" s="59">
        <f>IF(計算用!$V$3="","",IF(計算用!$B$1=1,INDEX(計算用!$F$3:$F$452,計算用!$V$3),INDEX(振り分け!$B$7:$B$456,計算用!$V$3)))</f>
        <v/>
      </c>
      <c r="C5" s="59">
        <f>IF(計算用!$V$3="","",IF(計算用!$B$1=1,INDEX(計算用!$G$3:$G$452,計算用!$V$3),INDEX(振り分け!$C$7:$C$456,計算用!$V$3)))</f>
        <v/>
      </c>
      <c r="D5" s="70">
        <f>IF(計算用!$V$3="","",IF(計算用!$B$1=1,INDEX(計算用!$H$3:$H$452,計算用!$V$3),INDEX(振り分け!$D$7:$D$456,計算用!$V$3)))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IF(計算用!$V$4="","",2)</f>
        <v/>
      </c>
      <c r="B6" s="59">
        <f>IF(計算用!$V$4="","",IF(計算用!$B$1=1,INDEX(計算用!$F$3:$F$452,計算用!$V$4),INDEX(振り分け!$B$7:$B$456,計算用!$V$4)))</f>
        <v/>
      </c>
      <c r="C6" s="59">
        <f>IF(計算用!$V$4="","",IF(計算用!$B$1=1,INDEX(計算用!$G$3:$G$452,計算用!$V$4),INDEX(振り分け!$C$7:$C$456,計算用!$V$4)))</f>
        <v/>
      </c>
      <c r="D6" s="70">
        <f>IF(計算用!$V$4="","",IF(計算用!$B$1=1,INDEX(計算用!$H$3:$H$452,計算用!$V$4),INDEX(振り分け!$D$7:$D$456,計算用!$V$4)))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IF(計算用!$V$5="","",3)</f>
        <v/>
      </c>
      <c r="B7" s="59">
        <f>IF(計算用!$V$5="","",IF(計算用!$B$1=1,INDEX(計算用!$F$3:$F$452,計算用!$V$5),INDEX(振り分け!$B$7:$B$456,計算用!$V$5)))</f>
        <v/>
      </c>
      <c r="C7" s="59">
        <f>IF(計算用!$V$5="","",IF(計算用!$B$1=1,INDEX(計算用!$G$3:$G$452,計算用!$V$5),INDEX(振り分け!$C$7:$C$456,計算用!$V$5)))</f>
        <v/>
      </c>
      <c r="D7" s="70">
        <f>IF(計算用!$V$5="","",IF(計算用!$B$1=1,INDEX(計算用!$H$3:$H$452,計算用!$V$5),INDEX(振り分け!$D$7:$D$456,計算用!$V$5)))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IF(計算用!$V$6="","",4)</f>
        <v/>
      </c>
      <c r="B8" s="59">
        <f>IF(計算用!$V$6="","",IF(計算用!$B$1=1,INDEX(計算用!$F$3:$F$452,計算用!$V$6),INDEX(振り分け!$B$7:$B$456,計算用!$V$6)))</f>
        <v/>
      </c>
      <c r="C8" s="59">
        <f>IF(計算用!$V$6="","",IF(計算用!$B$1=1,INDEX(計算用!$G$3:$G$452,計算用!$V$6),INDEX(振り分け!$C$7:$C$456,計算用!$V$6)))</f>
        <v/>
      </c>
      <c r="D8" s="70">
        <f>IF(計算用!$V$6="","",IF(計算用!$B$1=1,INDEX(計算用!$H$3:$H$452,計算用!$V$6),INDEX(振り分け!$D$7:$D$456,計算用!$V$6)))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IF(計算用!$V$7="","",5)</f>
        <v/>
      </c>
      <c r="B9" s="59">
        <f>IF(計算用!$V$7="","",IF(計算用!$B$1=1,INDEX(計算用!$F$3:$F$452,計算用!$V$7),INDEX(振り分け!$B$7:$B$456,計算用!$V$7)))</f>
        <v/>
      </c>
      <c r="C9" s="59">
        <f>IF(計算用!$V$7="","",IF(計算用!$B$1=1,INDEX(計算用!$G$3:$G$452,計算用!$V$7),INDEX(振り分け!$C$7:$C$456,計算用!$V$7)))</f>
        <v/>
      </c>
      <c r="D9" s="70">
        <f>IF(計算用!$V$7="","",IF(計算用!$B$1=1,INDEX(計算用!$H$3:$H$452,計算用!$V$7),INDEX(振り分け!$D$7:$D$456,計算用!$V$7)))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IF(計算用!$V$8="","",6)</f>
        <v/>
      </c>
      <c r="B10" s="59">
        <f>IF(計算用!$V$8="","",IF(計算用!$B$1=1,INDEX(計算用!$F$3:$F$452,計算用!$V$8),INDEX(振り分け!$B$7:$B$456,計算用!$V$8)))</f>
        <v/>
      </c>
      <c r="C10" s="59">
        <f>IF(計算用!$V$8="","",IF(計算用!$B$1=1,INDEX(計算用!$G$3:$G$452,計算用!$V$8),INDEX(振り分け!$C$7:$C$456,計算用!$V$8)))</f>
        <v/>
      </c>
      <c r="D10" s="70">
        <f>IF(計算用!$V$8="","",IF(計算用!$B$1=1,INDEX(計算用!$H$3:$H$452,計算用!$V$8),INDEX(振り分け!$D$7:$D$456,計算用!$V$8)))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IF(計算用!$V$9="","",7)</f>
        <v/>
      </c>
      <c r="B11" s="59">
        <f>IF(計算用!$V$9="","",IF(計算用!$B$1=1,INDEX(計算用!$F$3:$F$452,計算用!$V$9),INDEX(振り分け!$B$7:$B$456,計算用!$V$9)))</f>
        <v/>
      </c>
      <c r="C11" s="59">
        <f>IF(計算用!$V$9="","",IF(計算用!$B$1=1,INDEX(計算用!$G$3:$G$452,計算用!$V$9),INDEX(振り分け!$C$7:$C$456,計算用!$V$9)))</f>
        <v/>
      </c>
      <c r="D11" s="70">
        <f>IF(計算用!$V$9="","",IF(計算用!$B$1=1,INDEX(計算用!$H$3:$H$452,計算用!$V$9),INDEX(振り分け!$D$7:$D$456,計算用!$V$9)))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IF(計算用!$V$10="","",8)</f>
        <v/>
      </c>
      <c r="B12" s="59">
        <f>IF(計算用!$V$10="","",IF(計算用!$B$1=1,INDEX(計算用!$F$3:$F$452,計算用!$V$10),INDEX(振り分け!$B$7:$B$456,計算用!$V$10)))</f>
        <v/>
      </c>
      <c r="C12" s="59">
        <f>IF(計算用!$V$10="","",IF(計算用!$B$1=1,INDEX(計算用!$G$3:$G$452,計算用!$V$10),INDEX(振り分け!$C$7:$C$456,計算用!$V$10)))</f>
        <v/>
      </c>
      <c r="D12" s="70">
        <f>IF(計算用!$V$10="","",IF(計算用!$B$1=1,INDEX(計算用!$H$3:$H$452,計算用!$V$10),INDEX(振り分け!$D$7:$D$456,計算用!$V$10)))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IF(計算用!$V$11="","",9)</f>
        <v/>
      </c>
      <c r="B13" s="59">
        <f>IF(計算用!$V$11="","",IF(計算用!$B$1=1,INDEX(計算用!$F$3:$F$452,計算用!$V$11),INDEX(振り分け!$B$7:$B$456,計算用!$V$11)))</f>
        <v/>
      </c>
      <c r="C13" s="59">
        <f>IF(計算用!$V$11="","",IF(計算用!$B$1=1,INDEX(計算用!$G$3:$G$452,計算用!$V$11),INDEX(振り分け!$C$7:$C$456,計算用!$V$11)))</f>
        <v/>
      </c>
      <c r="D13" s="70">
        <f>IF(計算用!$V$11="","",IF(計算用!$B$1=1,INDEX(計算用!$H$3:$H$452,計算用!$V$11),INDEX(振り分け!$D$7:$D$456,計算用!$V$11)))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IF(計算用!$V$12="","",10)</f>
        <v/>
      </c>
      <c r="B14" s="59">
        <f>IF(計算用!$V$12="","",IF(計算用!$B$1=1,INDEX(計算用!$F$3:$F$452,計算用!$V$12),INDEX(振り分け!$B$7:$B$456,計算用!$V$12)))</f>
        <v/>
      </c>
      <c r="C14" s="59">
        <f>IF(計算用!$V$12="","",IF(計算用!$B$1=1,INDEX(計算用!$G$3:$G$452,計算用!$V$12),INDEX(振り分け!$C$7:$C$456,計算用!$V$12)))</f>
        <v/>
      </c>
      <c r="D14" s="70">
        <f>IF(計算用!$V$12="","",IF(計算用!$B$1=1,INDEX(計算用!$H$3:$H$452,計算用!$V$12),INDEX(振り分け!$D$7:$D$456,計算用!$V$12)))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IF(計算用!$V$13="","",11)</f>
        <v/>
      </c>
      <c r="B15" s="59">
        <f>IF(計算用!$V$13="","",IF(計算用!$B$1=1,INDEX(計算用!$F$3:$F$452,計算用!$V$13),INDEX(振り分け!$B$7:$B$456,計算用!$V$13)))</f>
        <v/>
      </c>
      <c r="C15" s="59">
        <f>IF(計算用!$V$13="","",IF(計算用!$B$1=1,INDEX(計算用!$G$3:$G$452,計算用!$V$13),INDEX(振り分け!$C$7:$C$456,計算用!$V$13)))</f>
        <v/>
      </c>
      <c r="D15" s="70">
        <f>IF(計算用!$V$13="","",IF(計算用!$B$1=1,INDEX(計算用!$H$3:$H$452,計算用!$V$13),INDEX(振り分け!$D$7:$D$456,計算用!$V$13)))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IF(計算用!$V$14="","",12)</f>
        <v/>
      </c>
      <c r="B16" s="59">
        <f>IF(計算用!$V$14="","",IF(計算用!$B$1=1,INDEX(計算用!$F$3:$F$452,計算用!$V$14),INDEX(振り分け!$B$7:$B$456,計算用!$V$14)))</f>
        <v/>
      </c>
      <c r="C16" s="59">
        <f>IF(計算用!$V$14="","",IF(計算用!$B$1=1,INDEX(計算用!$G$3:$G$452,計算用!$V$14),INDEX(振り分け!$C$7:$C$456,計算用!$V$14)))</f>
        <v/>
      </c>
      <c r="D16" s="70">
        <f>IF(計算用!$V$14="","",IF(計算用!$B$1=1,INDEX(計算用!$H$3:$H$452,計算用!$V$14),INDEX(振り分け!$D$7:$D$456,計算用!$V$14)))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IF(計算用!$V$15="","",13)</f>
        <v/>
      </c>
      <c r="B17" s="59">
        <f>IF(計算用!$V$15="","",IF(計算用!$B$1=1,INDEX(計算用!$F$3:$F$452,計算用!$V$15),INDEX(振り分け!$B$7:$B$456,計算用!$V$15)))</f>
        <v/>
      </c>
      <c r="C17" s="59">
        <f>IF(計算用!$V$15="","",IF(計算用!$B$1=1,INDEX(計算用!$G$3:$G$452,計算用!$V$15),INDEX(振り分け!$C$7:$C$456,計算用!$V$15)))</f>
        <v/>
      </c>
      <c r="D17" s="70">
        <f>IF(計算用!$V$15="","",IF(計算用!$B$1=1,INDEX(計算用!$H$3:$H$452,計算用!$V$15),INDEX(振り分け!$D$7:$D$456,計算用!$V$15)))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IF(計算用!$V$16="","",14)</f>
        <v/>
      </c>
      <c r="B18" s="59">
        <f>IF(計算用!$V$16="","",IF(計算用!$B$1=1,INDEX(計算用!$F$3:$F$452,計算用!$V$16),INDEX(振り分け!$B$7:$B$456,計算用!$V$16)))</f>
        <v/>
      </c>
      <c r="C18" s="59">
        <f>IF(計算用!$V$16="","",IF(計算用!$B$1=1,INDEX(計算用!$G$3:$G$452,計算用!$V$16),INDEX(振り分け!$C$7:$C$456,計算用!$V$16)))</f>
        <v/>
      </c>
      <c r="D18" s="70">
        <f>IF(計算用!$V$16="","",IF(計算用!$B$1=1,INDEX(計算用!$H$3:$H$452,計算用!$V$16),INDEX(振り分け!$D$7:$D$456,計算用!$V$16)))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IF(計算用!$V$17="","",15)</f>
        <v/>
      </c>
      <c r="B19" s="59">
        <f>IF(計算用!$V$17="","",IF(計算用!$B$1=1,INDEX(計算用!$F$3:$F$452,計算用!$V$17),INDEX(振り分け!$B$7:$B$456,計算用!$V$17)))</f>
        <v/>
      </c>
      <c r="C19" s="59">
        <f>IF(計算用!$V$17="","",IF(計算用!$B$1=1,INDEX(計算用!$G$3:$G$452,計算用!$V$17),INDEX(振り分け!$C$7:$C$456,計算用!$V$17)))</f>
        <v/>
      </c>
      <c r="D19" s="70">
        <f>IF(計算用!$V$17="","",IF(計算用!$B$1=1,INDEX(計算用!$H$3:$H$452,計算用!$V$17),INDEX(振り分け!$D$7:$D$456,計算用!$V$17)))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IF(計算用!$V$18="","",16)</f>
        <v/>
      </c>
      <c r="B20" s="59">
        <f>IF(計算用!$V$18="","",IF(計算用!$B$1=1,INDEX(計算用!$F$3:$F$452,計算用!$V$18),INDEX(振り分け!$B$7:$B$456,計算用!$V$18)))</f>
        <v/>
      </c>
      <c r="C20" s="59">
        <f>IF(計算用!$V$18="","",IF(計算用!$B$1=1,INDEX(計算用!$G$3:$G$452,計算用!$V$18),INDEX(振り分け!$C$7:$C$456,計算用!$V$18)))</f>
        <v/>
      </c>
      <c r="D20" s="70">
        <f>IF(計算用!$V$18="","",IF(計算用!$B$1=1,INDEX(計算用!$H$3:$H$452,計算用!$V$18),INDEX(振り分け!$D$7:$D$456,計算用!$V$18)))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IF(計算用!$V$19="","",17)</f>
        <v/>
      </c>
      <c r="B21" s="59">
        <f>IF(計算用!$V$19="","",IF(計算用!$B$1=1,INDEX(計算用!$F$3:$F$452,計算用!$V$19),INDEX(振り分け!$B$7:$B$456,計算用!$V$19)))</f>
        <v/>
      </c>
      <c r="C21" s="59">
        <f>IF(計算用!$V$19="","",IF(計算用!$B$1=1,INDEX(計算用!$G$3:$G$452,計算用!$V$19),INDEX(振り分け!$C$7:$C$456,計算用!$V$19)))</f>
        <v/>
      </c>
      <c r="D21" s="70">
        <f>IF(計算用!$V$19="","",IF(計算用!$B$1=1,INDEX(計算用!$H$3:$H$452,計算用!$V$19),INDEX(振り分け!$D$7:$D$456,計算用!$V$19)))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IF(計算用!$V$20="","",18)</f>
        <v/>
      </c>
      <c r="B22" s="59">
        <f>IF(計算用!$V$20="","",IF(計算用!$B$1=1,INDEX(計算用!$F$3:$F$452,計算用!$V$20),INDEX(振り分け!$B$7:$B$456,計算用!$V$20)))</f>
        <v/>
      </c>
      <c r="C22" s="59">
        <f>IF(計算用!$V$20="","",IF(計算用!$B$1=1,INDEX(計算用!$G$3:$G$452,計算用!$V$20),INDEX(振り分け!$C$7:$C$456,計算用!$V$20)))</f>
        <v/>
      </c>
      <c r="D22" s="70">
        <f>IF(計算用!$V$20="","",IF(計算用!$B$1=1,INDEX(計算用!$H$3:$H$452,計算用!$V$20),INDEX(振り分け!$D$7:$D$456,計算用!$V$20)))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IF(計算用!$V$21="","",19)</f>
        <v/>
      </c>
      <c r="B23" s="59">
        <f>IF(計算用!$V$21="","",IF(計算用!$B$1=1,INDEX(計算用!$F$3:$F$452,計算用!$V$21),INDEX(振り分け!$B$7:$B$456,計算用!$V$21)))</f>
        <v/>
      </c>
      <c r="C23" s="59">
        <f>IF(計算用!$V$21="","",IF(計算用!$B$1=1,INDEX(計算用!$G$3:$G$452,計算用!$V$21),INDEX(振り分け!$C$7:$C$456,計算用!$V$21)))</f>
        <v/>
      </c>
      <c r="D23" s="70">
        <f>IF(計算用!$V$21="","",IF(計算用!$B$1=1,INDEX(計算用!$H$3:$H$452,計算用!$V$21),INDEX(振り分け!$D$7:$D$456,計算用!$V$21)))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IF(計算用!$V$22="","",20)</f>
        <v/>
      </c>
      <c r="B24" s="59">
        <f>IF(計算用!$V$22="","",IF(計算用!$B$1=1,INDEX(計算用!$F$3:$F$452,計算用!$V$22),INDEX(振り分け!$B$7:$B$456,計算用!$V$22)))</f>
        <v/>
      </c>
      <c r="C24" s="59">
        <f>IF(計算用!$V$22="","",IF(計算用!$B$1=1,INDEX(計算用!$G$3:$G$452,計算用!$V$22),INDEX(振り分け!$C$7:$C$456,計算用!$V$22)))</f>
        <v/>
      </c>
      <c r="D24" s="70">
        <f>IF(計算用!$V$22="","",IF(計算用!$B$1=1,INDEX(計算用!$H$3:$H$452,計算用!$V$22),INDEX(振り分け!$D$7:$D$456,計算用!$V$22)))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IF(計算用!$V$23="","",21)</f>
        <v/>
      </c>
      <c r="B25" s="59">
        <f>IF(計算用!$V$23="","",IF(計算用!$B$1=1,INDEX(計算用!$F$3:$F$452,計算用!$V$23),INDEX(振り分け!$B$7:$B$456,計算用!$V$23)))</f>
        <v/>
      </c>
      <c r="C25" s="59">
        <f>IF(計算用!$V$23="","",IF(計算用!$B$1=1,INDEX(計算用!$G$3:$G$452,計算用!$V$23),INDEX(振り分け!$C$7:$C$456,計算用!$V$23)))</f>
        <v/>
      </c>
      <c r="D25" s="70">
        <f>IF(計算用!$V$23="","",IF(計算用!$B$1=1,INDEX(計算用!$H$3:$H$452,計算用!$V$23),INDEX(振り分け!$D$7:$D$456,計算用!$V$23)))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IF(計算用!$V$24="","",22)</f>
        <v/>
      </c>
      <c r="B26" s="59">
        <f>IF(計算用!$V$24="","",IF(計算用!$B$1=1,INDEX(計算用!$F$3:$F$452,計算用!$V$24),INDEX(振り分け!$B$7:$B$456,計算用!$V$24)))</f>
        <v/>
      </c>
      <c r="C26" s="59">
        <f>IF(計算用!$V$24="","",IF(計算用!$B$1=1,INDEX(計算用!$G$3:$G$452,計算用!$V$24),INDEX(振り分け!$C$7:$C$456,計算用!$V$24)))</f>
        <v/>
      </c>
      <c r="D26" s="70">
        <f>IF(計算用!$V$24="","",IF(計算用!$B$1=1,INDEX(計算用!$H$3:$H$452,計算用!$V$24),INDEX(振り分け!$D$7:$D$456,計算用!$V$24)))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IF(計算用!$V$25="","",23)</f>
        <v/>
      </c>
      <c r="B27" s="59">
        <f>IF(計算用!$V$25="","",IF(計算用!$B$1=1,INDEX(計算用!$F$3:$F$452,計算用!$V$25),INDEX(振り分け!$B$7:$B$456,計算用!$V$25)))</f>
        <v/>
      </c>
      <c r="C27" s="59">
        <f>IF(計算用!$V$25="","",IF(計算用!$B$1=1,INDEX(計算用!$G$3:$G$452,計算用!$V$25),INDEX(振り分け!$C$7:$C$456,計算用!$V$25)))</f>
        <v/>
      </c>
      <c r="D27" s="70">
        <f>IF(計算用!$V$25="","",IF(計算用!$B$1=1,INDEX(計算用!$H$3:$H$452,計算用!$V$25),INDEX(振り分け!$D$7:$D$456,計算用!$V$25)))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IF(計算用!$V$26="","",24)</f>
        <v/>
      </c>
      <c r="B28" s="59">
        <f>IF(計算用!$V$26="","",IF(計算用!$B$1=1,INDEX(計算用!$F$3:$F$452,計算用!$V$26),INDEX(振り分け!$B$7:$B$456,計算用!$V$26)))</f>
        <v/>
      </c>
      <c r="C28" s="59">
        <f>IF(計算用!$V$26="","",IF(計算用!$B$1=1,INDEX(計算用!$G$3:$G$452,計算用!$V$26),INDEX(振り分け!$C$7:$C$456,計算用!$V$26)))</f>
        <v/>
      </c>
      <c r="D28" s="70">
        <f>IF(計算用!$V$26="","",IF(計算用!$B$1=1,INDEX(計算用!$H$3:$H$452,計算用!$V$26),INDEX(振り分け!$D$7:$D$456,計算用!$V$26)))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IF(計算用!$V$27="","",25)</f>
        <v/>
      </c>
      <c r="B29" s="59">
        <f>IF(計算用!$V$27="","",IF(計算用!$B$1=1,INDEX(計算用!$F$3:$F$452,計算用!$V$27),INDEX(振り分け!$B$7:$B$456,計算用!$V$27)))</f>
        <v/>
      </c>
      <c r="C29" s="59">
        <f>IF(計算用!$V$27="","",IF(計算用!$B$1=1,INDEX(計算用!$G$3:$G$452,計算用!$V$27),INDEX(振り分け!$C$7:$C$456,計算用!$V$27)))</f>
        <v/>
      </c>
      <c r="D29" s="70">
        <f>IF(計算用!$V$27="","",IF(計算用!$B$1=1,INDEX(計算用!$H$3:$H$452,計算用!$V$27),INDEX(振り分け!$D$7:$D$456,計算用!$V$27)))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IF(計算用!$V$28="","",26)</f>
        <v/>
      </c>
      <c r="B30" s="59">
        <f>IF(計算用!$V$28="","",IF(計算用!$B$1=1,INDEX(計算用!$F$3:$F$452,計算用!$V$28),INDEX(振り分け!$B$7:$B$456,計算用!$V$28)))</f>
        <v/>
      </c>
      <c r="C30" s="59">
        <f>IF(計算用!$V$28="","",IF(計算用!$B$1=1,INDEX(計算用!$G$3:$G$452,計算用!$V$28),INDEX(振り分け!$C$7:$C$456,計算用!$V$28)))</f>
        <v/>
      </c>
      <c r="D30" s="70">
        <f>IF(計算用!$V$28="","",IF(計算用!$B$1=1,INDEX(計算用!$H$3:$H$452,計算用!$V$28),INDEX(振り分け!$D$7:$D$456,計算用!$V$28)))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IF(計算用!$V$29="","",27)</f>
        <v/>
      </c>
      <c r="B31" s="59">
        <f>IF(計算用!$V$29="","",IF(計算用!$B$1=1,INDEX(計算用!$F$3:$F$452,計算用!$V$29),INDEX(振り分け!$B$7:$B$456,計算用!$V$29)))</f>
        <v/>
      </c>
      <c r="C31" s="59">
        <f>IF(計算用!$V$29="","",IF(計算用!$B$1=1,INDEX(計算用!$G$3:$G$452,計算用!$V$29),INDEX(振り分け!$C$7:$C$456,計算用!$V$29)))</f>
        <v/>
      </c>
      <c r="D31" s="70">
        <f>IF(計算用!$V$29="","",IF(計算用!$B$1=1,INDEX(計算用!$H$3:$H$452,計算用!$V$29),INDEX(振り分け!$D$7:$D$456,計算用!$V$29)))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IF(計算用!$V$30="","",28)</f>
        <v/>
      </c>
      <c r="B32" s="59">
        <f>IF(計算用!$V$30="","",IF(計算用!$B$1=1,INDEX(計算用!$F$3:$F$452,計算用!$V$30),INDEX(振り分け!$B$7:$B$456,計算用!$V$30)))</f>
        <v/>
      </c>
      <c r="C32" s="59">
        <f>IF(計算用!$V$30="","",IF(計算用!$B$1=1,INDEX(計算用!$G$3:$G$452,計算用!$V$30),INDEX(振り分け!$C$7:$C$456,計算用!$V$30)))</f>
        <v/>
      </c>
      <c r="D32" s="70">
        <f>IF(計算用!$V$30="","",IF(計算用!$B$1=1,INDEX(計算用!$H$3:$H$452,計算用!$V$30),INDEX(振り分け!$D$7:$D$456,計算用!$V$30)))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IF(計算用!$V$31="","",29)</f>
        <v/>
      </c>
      <c r="B33" s="59">
        <f>IF(計算用!$V$31="","",IF(計算用!$B$1=1,INDEX(計算用!$F$3:$F$452,計算用!$V$31),INDEX(振り分け!$B$7:$B$456,計算用!$V$31)))</f>
        <v/>
      </c>
      <c r="C33" s="59">
        <f>IF(計算用!$V$31="","",IF(計算用!$B$1=1,INDEX(計算用!$G$3:$G$452,計算用!$V$31),INDEX(振り分け!$C$7:$C$456,計算用!$V$31)))</f>
        <v/>
      </c>
      <c r="D33" s="70">
        <f>IF(計算用!$V$31="","",IF(計算用!$B$1=1,INDEX(計算用!$H$3:$H$452,計算用!$V$31),INDEX(振り分け!$D$7:$D$456,計算用!$V$31)))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IF(計算用!$V$32="","",30)</f>
        <v/>
      </c>
      <c r="B34" s="59">
        <f>IF(計算用!$V$32="","",IF(計算用!$B$1=1,INDEX(計算用!$F$3:$F$452,計算用!$V$32),INDEX(振り分け!$B$7:$B$456,計算用!$V$32)))</f>
        <v/>
      </c>
      <c r="C34" s="59">
        <f>IF(計算用!$V$32="","",IF(計算用!$B$1=1,INDEX(計算用!$G$3:$G$452,計算用!$V$32),INDEX(振り分け!$C$7:$C$456,計算用!$V$32)))</f>
        <v/>
      </c>
      <c r="D34" s="70">
        <f>IF(計算用!$V$32="","",IF(計算用!$B$1=1,INDEX(計算用!$H$3:$H$452,計算用!$V$32),INDEX(振り分け!$D$7:$D$456,計算用!$V$32)))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IF(計算用!$V$33="","",31)</f>
        <v/>
      </c>
      <c r="B35" s="59">
        <f>IF(計算用!$V$33="","",IF(計算用!$B$1=1,INDEX(計算用!$F$3:$F$452,計算用!$V$33),INDEX(振り分け!$B$7:$B$456,計算用!$V$33)))</f>
        <v/>
      </c>
      <c r="C35" s="59">
        <f>IF(計算用!$V$33="","",IF(計算用!$B$1=1,INDEX(計算用!$G$3:$G$452,計算用!$V$33),INDEX(振り分け!$C$7:$C$456,計算用!$V$33)))</f>
        <v/>
      </c>
      <c r="D35" s="70">
        <f>IF(計算用!$V$33="","",IF(計算用!$B$1=1,INDEX(計算用!$H$3:$H$452,計算用!$V$33),INDEX(振り分け!$D$7:$D$456,計算用!$V$33)))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IF(計算用!$V$34="","",32)</f>
        <v/>
      </c>
      <c r="B36" s="59">
        <f>IF(計算用!$V$34="","",IF(計算用!$B$1=1,INDEX(計算用!$F$3:$F$452,計算用!$V$34),INDEX(振り分け!$B$7:$B$456,計算用!$V$34)))</f>
        <v/>
      </c>
      <c r="C36" s="59">
        <f>IF(計算用!$V$34="","",IF(計算用!$B$1=1,INDEX(計算用!$G$3:$G$452,計算用!$V$34),INDEX(振り分け!$C$7:$C$456,計算用!$V$34)))</f>
        <v/>
      </c>
      <c r="D36" s="70">
        <f>IF(計算用!$V$34="","",IF(計算用!$B$1=1,INDEX(計算用!$H$3:$H$452,計算用!$V$34),INDEX(振り分け!$D$7:$D$456,計算用!$V$34)))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IF(計算用!$V$35="","",33)</f>
        <v/>
      </c>
      <c r="B37" s="59">
        <f>IF(計算用!$V$35="","",IF(計算用!$B$1=1,INDEX(計算用!$F$3:$F$452,計算用!$V$35),INDEX(振り分け!$B$7:$B$456,計算用!$V$35)))</f>
        <v/>
      </c>
      <c r="C37" s="59">
        <f>IF(計算用!$V$35="","",IF(計算用!$B$1=1,INDEX(計算用!$G$3:$G$452,計算用!$V$35),INDEX(振り分け!$C$7:$C$456,計算用!$V$35)))</f>
        <v/>
      </c>
      <c r="D37" s="70">
        <f>IF(計算用!$V$35="","",IF(計算用!$B$1=1,INDEX(計算用!$H$3:$H$452,計算用!$V$35),INDEX(振り分け!$D$7:$D$456,計算用!$V$35)))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IF(計算用!$V$36="","",34)</f>
        <v/>
      </c>
      <c r="B38" s="59">
        <f>IF(計算用!$V$36="","",IF(計算用!$B$1=1,INDEX(計算用!$F$3:$F$452,計算用!$V$36),INDEX(振り分け!$B$7:$B$456,計算用!$V$36)))</f>
        <v/>
      </c>
      <c r="C38" s="59">
        <f>IF(計算用!$V$36="","",IF(計算用!$B$1=1,INDEX(計算用!$G$3:$G$452,計算用!$V$36),INDEX(振り分け!$C$7:$C$456,計算用!$V$36)))</f>
        <v/>
      </c>
      <c r="D38" s="70">
        <f>IF(計算用!$V$36="","",IF(計算用!$B$1=1,INDEX(計算用!$H$3:$H$452,計算用!$V$36),INDEX(振り分け!$D$7:$D$456,計算用!$V$36)))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IF(計算用!$V$37="","",35)</f>
        <v/>
      </c>
      <c r="B39" s="59">
        <f>IF(計算用!$V$37="","",IF(計算用!$B$1=1,INDEX(計算用!$F$3:$F$452,計算用!$V$37),INDEX(振り分け!$B$7:$B$456,計算用!$V$37)))</f>
        <v/>
      </c>
      <c r="C39" s="59">
        <f>IF(計算用!$V$37="","",IF(計算用!$B$1=1,INDEX(計算用!$G$3:$G$452,計算用!$V$37),INDEX(振り分け!$C$7:$C$456,計算用!$V$37)))</f>
        <v/>
      </c>
      <c r="D39" s="70">
        <f>IF(計算用!$V$37="","",IF(計算用!$B$1=1,INDEX(計算用!$H$3:$H$452,計算用!$V$37),INDEX(振り分け!$D$7:$D$456,計算用!$V$37)))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IF(計算用!$V$38="","",36)</f>
        <v/>
      </c>
      <c r="B40" s="59">
        <f>IF(計算用!$V$38="","",IF(計算用!$B$1=1,INDEX(計算用!$F$3:$F$452,計算用!$V$38),INDEX(振り分け!$B$7:$B$456,計算用!$V$38)))</f>
        <v/>
      </c>
      <c r="C40" s="59">
        <f>IF(計算用!$V$38="","",IF(計算用!$B$1=1,INDEX(計算用!$G$3:$G$452,計算用!$V$38),INDEX(振り分け!$C$7:$C$456,計算用!$V$38)))</f>
        <v/>
      </c>
      <c r="D40" s="70">
        <f>IF(計算用!$V$38="","",IF(計算用!$B$1=1,INDEX(計算用!$H$3:$H$452,計算用!$V$38),INDEX(振り分け!$D$7:$D$456,計算用!$V$38)))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IF(計算用!$V$39="","",37)</f>
        <v/>
      </c>
      <c r="B41" s="59">
        <f>IF(計算用!$V$39="","",IF(計算用!$B$1=1,INDEX(計算用!$F$3:$F$452,計算用!$V$39),INDEX(振り分け!$B$7:$B$456,計算用!$V$39)))</f>
        <v/>
      </c>
      <c r="C41" s="59">
        <f>IF(計算用!$V$39="","",IF(計算用!$B$1=1,INDEX(計算用!$G$3:$G$452,計算用!$V$39),INDEX(振り分け!$C$7:$C$456,計算用!$V$39)))</f>
        <v/>
      </c>
      <c r="D41" s="70">
        <f>IF(計算用!$V$39="","",IF(計算用!$B$1=1,INDEX(計算用!$H$3:$H$452,計算用!$V$39),INDEX(振り分け!$D$7:$D$456,計算用!$V$39)))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IF(計算用!$V$40="","",38)</f>
        <v/>
      </c>
      <c r="B42" s="59">
        <f>IF(計算用!$V$40="","",IF(計算用!$B$1=1,INDEX(計算用!$F$3:$F$452,計算用!$V$40),INDEX(振り分け!$B$7:$B$456,計算用!$V$40)))</f>
        <v/>
      </c>
      <c r="C42" s="59">
        <f>IF(計算用!$V$40="","",IF(計算用!$B$1=1,INDEX(計算用!$G$3:$G$452,計算用!$V$40),INDEX(振り分け!$C$7:$C$456,計算用!$V$40)))</f>
        <v/>
      </c>
      <c r="D42" s="70">
        <f>IF(計算用!$V$40="","",IF(計算用!$B$1=1,INDEX(計算用!$H$3:$H$452,計算用!$V$40),INDEX(振り分け!$D$7:$D$456,計算用!$V$40)))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IF(計算用!$V$41="","",39)</f>
        <v/>
      </c>
      <c r="B43" s="59">
        <f>IF(計算用!$V$41="","",IF(計算用!$B$1=1,INDEX(計算用!$F$3:$F$452,計算用!$V$41),INDEX(振り分け!$B$7:$B$456,計算用!$V$41)))</f>
        <v/>
      </c>
      <c r="C43" s="59">
        <f>IF(計算用!$V$41="","",IF(計算用!$B$1=1,INDEX(計算用!$G$3:$G$452,計算用!$V$41),INDEX(振り分け!$C$7:$C$456,計算用!$V$41)))</f>
        <v/>
      </c>
      <c r="D43" s="70">
        <f>IF(計算用!$V$41="","",IF(計算用!$B$1=1,INDEX(計算用!$H$3:$H$452,計算用!$V$41),INDEX(振り分け!$D$7:$D$456,計算用!$V$41)))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IF(計算用!$V$42="","",40)</f>
        <v/>
      </c>
      <c r="B44" s="59">
        <f>IF(計算用!$V$42="","",IF(計算用!$B$1=1,INDEX(計算用!$F$3:$F$452,計算用!$V$42),INDEX(振り分け!$B$7:$B$456,計算用!$V$42)))</f>
        <v/>
      </c>
      <c r="C44" s="59">
        <f>IF(計算用!$V$42="","",IF(計算用!$B$1=1,INDEX(計算用!$G$3:$G$452,計算用!$V$42),INDEX(振り分け!$C$7:$C$456,計算用!$V$42)))</f>
        <v/>
      </c>
      <c r="D44" s="70">
        <f>IF(計算用!$V$42="","",IF(計算用!$B$1=1,INDEX(計算用!$H$3:$H$452,計算用!$V$42),INDEX(振り分け!$D$7:$D$456,計算用!$V$42)))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IF(計算用!$V$43="","",41)</f>
        <v/>
      </c>
      <c r="B45" s="59">
        <f>IF(計算用!$V$43="","",IF(計算用!$B$1=1,INDEX(計算用!$F$3:$F$452,計算用!$V$43),INDEX(振り分け!$B$7:$B$456,計算用!$V$43)))</f>
        <v/>
      </c>
      <c r="C45" s="59">
        <f>IF(計算用!$V$43="","",IF(計算用!$B$1=1,INDEX(計算用!$G$3:$G$452,計算用!$V$43),INDEX(振り分け!$C$7:$C$456,計算用!$V$43)))</f>
        <v/>
      </c>
      <c r="D45" s="70">
        <f>IF(計算用!$V$43="","",IF(計算用!$B$1=1,INDEX(計算用!$H$3:$H$452,計算用!$V$43),INDEX(振り分け!$D$7:$D$456,計算用!$V$43)))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IF(計算用!$V$44="","",42)</f>
        <v/>
      </c>
      <c r="B46" s="59">
        <f>IF(計算用!$V$44="","",IF(計算用!$B$1=1,INDEX(計算用!$F$3:$F$452,計算用!$V$44),INDEX(振り分け!$B$7:$B$456,計算用!$V$44)))</f>
        <v/>
      </c>
      <c r="C46" s="59">
        <f>IF(計算用!$V$44="","",IF(計算用!$B$1=1,INDEX(計算用!$G$3:$G$452,計算用!$V$44),INDEX(振り分け!$C$7:$C$456,計算用!$V$44)))</f>
        <v/>
      </c>
      <c r="D46" s="70">
        <f>IF(計算用!$V$44="","",IF(計算用!$B$1=1,INDEX(計算用!$H$3:$H$452,計算用!$V$44),INDEX(振り分け!$D$7:$D$456,計算用!$V$44)))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IF(計算用!$V$45="","",43)</f>
        <v/>
      </c>
      <c r="B47" s="59">
        <f>IF(計算用!$V$45="","",IF(計算用!$B$1=1,INDEX(計算用!$F$3:$F$452,計算用!$V$45),INDEX(振り分け!$B$7:$B$456,計算用!$V$45)))</f>
        <v/>
      </c>
      <c r="C47" s="59">
        <f>IF(計算用!$V$45="","",IF(計算用!$B$1=1,INDEX(計算用!$G$3:$G$452,計算用!$V$45),INDEX(振り分け!$C$7:$C$456,計算用!$V$45)))</f>
        <v/>
      </c>
      <c r="D47" s="70">
        <f>IF(計算用!$V$45="","",IF(計算用!$B$1=1,INDEX(計算用!$H$3:$H$452,計算用!$V$45),INDEX(振り分け!$D$7:$D$456,計算用!$V$45)))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IF(計算用!$V$46="","",44)</f>
        <v/>
      </c>
      <c r="B48" s="59">
        <f>IF(計算用!$V$46="","",IF(計算用!$B$1=1,INDEX(計算用!$F$3:$F$452,計算用!$V$46),INDEX(振り分け!$B$7:$B$456,計算用!$V$46)))</f>
        <v/>
      </c>
      <c r="C48" s="59">
        <f>IF(計算用!$V$46="","",IF(計算用!$B$1=1,INDEX(計算用!$G$3:$G$452,計算用!$V$46),INDEX(振り分け!$C$7:$C$456,計算用!$V$46)))</f>
        <v/>
      </c>
      <c r="D48" s="70">
        <f>IF(計算用!$V$46="","",IF(計算用!$B$1=1,INDEX(計算用!$H$3:$H$452,計算用!$V$46),INDEX(振り分け!$D$7:$D$456,計算用!$V$46)))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IF(計算用!$V$47="","",45)</f>
        <v/>
      </c>
      <c r="B49" s="59">
        <f>IF(計算用!$V$47="","",IF(計算用!$B$1=1,INDEX(計算用!$F$3:$F$452,計算用!$V$47),INDEX(振り分け!$B$7:$B$456,計算用!$V$47)))</f>
        <v/>
      </c>
      <c r="C49" s="59">
        <f>IF(計算用!$V$47="","",IF(計算用!$B$1=1,INDEX(計算用!$G$3:$G$452,計算用!$V$47),INDEX(振り分け!$C$7:$C$456,計算用!$V$47)))</f>
        <v/>
      </c>
      <c r="D49" s="70">
        <f>IF(計算用!$V$47="","",IF(計算用!$B$1=1,INDEX(計算用!$H$3:$H$452,計算用!$V$47),INDEX(振り分け!$D$7:$D$456,計算用!$V$47)))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IF(計算用!$V$48="","",46)</f>
        <v/>
      </c>
      <c r="B50" s="59">
        <f>IF(計算用!$V$48="","",IF(計算用!$B$1=1,INDEX(計算用!$F$3:$F$452,計算用!$V$48),INDEX(振り分け!$B$7:$B$456,計算用!$V$48)))</f>
        <v/>
      </c>
      <c r="C50" s="59">
        <f>IF(計算用!$V$48="","",IF(計算用!$B$1=1,INDEX(計算用!$G$3:$G$452,計算用!$V$48),INDEX(振り分け!$C$7:$C$456,計算用!$V$48)))</f>
        <v/>
      </c>
      <c r="D50" s="70">
        <f>IF(計算用!$V$48="","",IF(計算用!$B$1=1,INDEX(計算用!$H$3:$H$452,計算用!$V$48),INDEX(振り分け!$D$7:$D$456,計算用!$V$48)))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IF(計算用!$V$49="","",47)</f>
        <v/>
      </c>
      <c r="B51" s="59">
        <f>IF(計算用!$V$49="","",IF(計算用!$B$1=1,INDEX(計算用!$F$3:$F$452,計算用!$V$49),INDEX(振り分け!$B$7:$B$456,計算用!$V$49)))</f>
        <v/>
      </c>
      <c r="C51" s="59">
        <f>IF(計算用!$V$49="","",IF(計算用!$B$1=1,INDEX(計算用!$G$3:$G$452,計算用!$V$49),INDEX(振り分け!$C$7:$C$456,計算用!$V$49)))</f>
        <v/>
      </c>
      <c r="D51" s="70">
        <f>IF(計算用!$V$49="","",IF(計算用!$B$1=1,INDEX(計算用!$H$3:$H$452,計算用!$V$49),INDEX(振り分け!$D$7:$D$456,計算用!$V$49)))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IF(計算用!$V$50="","",48)</f>
        <v/>
      </c>
      <c r="B52" s="59">
        <f>IF(計算用!$V$50="","",IF(計算用!$B$1=1,INDEX(計算用!$F$3:$F$452,計算用!$V$50),INDEX(振り分け!$B$7:$B$456,計算用!$V$50)))</f>
        <v/>
      </c>
      <c r="C52" s="59">
        <f>IF(計算用!$V$50="","",IF(計算用!$B$1=1,INDEX(計算用!$G$3:$G$452,計算用!$V$50),INDEX(振り分け!$C$7:$C$456,計算用!$V$50)))</f>
        <v/>
      </c>
      <c r="D52" s="70">
        <f>IF(計算用!$V$50="","",IF(計算用!$B$1=1,INDEX(計算用!$H$3:$H$452,計算用!$V$50),INDEX(振り分け!$D$7:$D$456,計算用!$V$50)))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IF(計算用!$V$51="","",49)</f>
        <v/>
      </c>
      <c r="B53" s="59">
        <f>IF(計算用!$V$51="","",IF(計算用!$B$1=1,INDEX(計算用!$F$3:$F$452,計算用!$V$51),INDEX(振り分け!$B$7:$B$456,計算用!$V$51)))</f>
        <v/>
      </c>
      <c r="C53" s="59">
        <f>IF(計算用!$V$51="","",IF(計算用!$B$1=1,INDEX(計算用!$G$3:$G$452,計算用!$V$51),INDEX(振り分け!$C$7:$C$456,計算用!$V$51)))</f>
        <v/>
      </c>
      <c r="D53" s="70">
        <f>IF(計算用!$V$51="","",IF(計算用!$B$1=1,INDEX(計算用!$H$3:$H$452,計算用!$V$51),INDEX(振り分け!$D$7:$D$456,計算用!$V$51)))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IF(計算用!$V$52="","",50)</f>
        <v/>
      </c>
      <c r="B54" s="59">
        <f>IF(計算用!$V$52="","",IF(計算用!$B$1=1,INDEX(計算用!$F$3:$F$452,計算用!$V$52),INDEX(振り分け!$B$7:$B$456,計算用!$V$52)))</f>
        <v/>
      </c>
      <c r="C54" s="59">
        <f>IF(計算用!$V$52="","",IF(計算用!$B$1=1,INDEX(計算用!$G$3:$G$452,計算用!$V$52),INDEX(振り分け!$C$7:$C$456,計算用!$V$52)))</f>
        <v/>
      </c>
      <c r="D54" s="70">
        <f>IF(計算用!$V$52="","",IF(計算用!$B$1=1,INDEX(計算用!$H$3:$H$452,計算用!$V$52),INDEX(振り分け!$D$7:$D$456,計算用!$V$52)))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IF(設定!$P$21="","",設定!$B$3&amp;"　"&amp;設定!$P$21&amp;設定!$B$4&amp;"名簿"&amp;IF(計算用!$B$1=0,"（仮・前年度の組）",""))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IF(設定!$P$21="","","担当："&amp;設定!$S$21&amp;"　　活動場所："&amp;設定!$T$21&amp;"　　人数："&amp;定員チェック!$I$20&amp;"名（"&amp;設定!$B$8&amp;"年"&amp;定員チェック!$J$20&amp;"・"&amp;設定!$B$9&amp;"年"&amp;定員チェック!$K$20&amp;"・"&amp;設定!$B$10&amp;"年"&amp;定員チェック!$L$20&amp;"）")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IF(計算用!$W$3="","",1)</f>
        <v/>
      </c>
      <c r="B5" s="59">
        <f>IF(計算用!$W$3="","",IF(計算用!$B$1=1,INDEX(計算用!$F$3:$F$452,計算用!$W$3),INDEX(振り分け!$B$7:$B$456,計算用!$W$3)))</f>
        <v/>
      </c>
      <c r="C5" s="59">
        <f>IF(計算用!$W$3="","",IF(計算用!$B$1=1,INDEX(計算用!$G$3:$G$452,計算用!$W$3),INDEX(振り分け!$C$7:$C$456,計算用!$W$3)))</f>
        <v/>
      </c>
      <c r="D5" s="70">
        <f>IF(計算用!$W$3="","",IF(計算用!$B$1=1,INDEX(計算用!$H$3:$H$452,計算用!$W$3),INDEX(振り分け!$D$7:$D$456,計算用!$W$3)))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IF(計算用!$W$4="","",2)</f>
        <v/>
      </c>
      <c r="B6" s="59">
        <f>IF(計算用!$W$4="","",IF(計算用!$B$1=1,INDEX(計算用!$F$3:$F$452,計算用!$W$4),INDEX(振り分け!$B$7:$B$456,計算用!$W$4)))</f>
        <v/>
      </c>
      <c r="C6" s="59">
        <f>IF(計算用!$W$4="","",IF(計算用!$B$1=1,INDEX(計算用!$G$3:$G$452,計算用!$W$4),INDEX(振り分け!$C$7:$C$456,計算用!$W$4)))</f>
        <v/>
      </c>
      <c r="D6" s="70">
        <f>IF(計算用!$W$4="","",IF(計算用!$B$1=1,INDEX(計算用!$H$3:$H$452,計算用!$W$4),INDEX(振り分け!$D$7:$D$456,計算用!$W$4)))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IF(計算用!$W$5="","",3)</f>
        <v/>
      </c>
      <c r="B7" s="59">
        <f>IF(計算用!$W$5="","",IF(計算用!$B$1=1,INDEX(計算用!$F$3:$F$452,計算用!$W$5),INDEX(振り分け!$B$7:$B$456,計算用!$W$5)))</f>
        <v/>
      </c>
      <c r="C7" s="59">
        <f>IF(計算用!$W$5="","",IF(計算用!$B$1=1,INDEX(計算用!$G$3:$G$452,計算用!$W$5),INDEX(振り分け!$C$7:$C$456,計算用!$W$5)))</f>
        <v/>
      </c>
      <c r="D7" s="70">
        <f>IF(計算用!$W$5="","",IF(計算用!$B$1=1,INDEX(計算用!$H$3:$H$452,計算用!$W$5),INDEX(振り分け!$D$7:$D$456,計算用!$W$5)))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IF(計算用!$W$6="","",4)</f>
        <v/>
      </c>
      <c r="B8" s="59">
        <f>IF(計算用!$W$6="","",IF(計算用!$B$1=1,INDEX(計算用!$F$3:$F$452,計算用!$W$6),INDEX(振り分け!$B$7:$B$456,計算用!$W$6)))</f>
        <v/>
      </c>
      <c r="C8" s="59">
        <f>IF(計算用!$W$6="","",IF(計算用!$B$1=1,INDEX(計算用!$G$3:$G$452,計算用!$W$6),INDEX(振り分け!$C$7:$C$456,計算用!$W$6)))</f>
        <v/>
      </c>
      <c r="D8" s="70">
        <f>IF(計算用!$W$6="","",IF(計算用!$B$1=1,INDEX(計算用!$H$3:$H$452,計算用!$W$6),INDEX(振り分け!$D$7:$D$456,計算用!$W$6)))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IF(計算用!$W$7="","",5)</f>
        <v/>
      </c>
      <c r="B9" s="59">
        <f>IF(計算用!$W$7="","",IF(計算用!$B$1=1,INDEX(計算用!$F$3:$F$452,計算用!$W$7),INDEX(振り分け!$B$7:$B$456,計算用!$W$7)))</f>
        <v/>
      </c>
      <c r="C9" s="59">
        <f>IF(計算用!$W$7="","",IF(計算用!$B$1=1,INDEX(計算用!$G$3:$G$452,計算用!$W$7),INDEX(振り分け!$C$7:$C$456,計算用!$W$7)))</f>
        <v/>
      </c>
      <c r="D9" s="70">
        <f>IF(計算用!$W$7="","",IF(計算用!$B$1=1,INDEX(計算用!$H$3:$H$452,計算用!$W$7),INDEX(振り分け!$D$7:$D$456,計算用!$W$7)))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IF(計算用!$W$8="","",6)</f>
        <v/>
      </c>
      <c r="B10" s="59">
        <f>IF(計算用!$W$8="","",IF(計算用!$B$1=1,INDEX(計算用!$F$3:$F$452,計算用!$W$8),INDEX(振り分け!$B$7:$B$456,計算用!$W$8)))</f>
        <v/>
      </c>
      <c r="C10" s="59">
        <f>IF(計算用!$W$8="","",IF(計算用!$B$1=1,INDEX(計算用!$G$3:$G$452,計算用!$W$8),INDEX(振り分け!$C$7:$C$456,計算用!$W$8)))</f>
        <v/>
      </c>
      <c r="D10" s="70">
        <f>IF(計算用!$W$8="","",IF(計算用!$B$1=1,INDEX(計算用!$H$3:$H$452,計算用!$W$8),INDEX(振り分け!$D$7:$D$456,計算用!$W$8)))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IF(計算用!$W$9="","",7)</f>
        <v/>
      </c>
      <c r="B11" s="59">
        <f>IF(計算用!$W$9="","",IF(計算用!$B$1=1,INDEX(計算用!$F$3:$F$452,計算用!$W$9),INDEX(振り分け!$B$7:$B$456,計算用!$W$9)))</f>
        <v/>
      </c>
      <c r="C11" s="59">
        <f>IF(計算用!$W$9="","",IF(計算用!$B$1=1,INDEX(計算用!$G$3:$G$452,計算用!$W$9),INDEX(振り分け!$C$7:$C$456,計算用!$W$9)))</f>
        <v/>
      </c>
      <c r="D11" s="70">
        <f>IF(計算用!$W$9="","",IF(計算用!$B$1=1,INDEX(計算用!$H$3:$H$452,計算用!$W$9),INDEX(振り分け!$D$7:$D$456,計算用!$W$9)))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IF(計算用!$W$10="","",8)</f>
        <v/>
      </c>
      <c r="B12" s="59">
        <f>IF(計算用!$W$10="","",IF(計算用!$B$1=1,INDEX(計算用!$F$3:$F$452,計算用!$W$10),INDEX(振り分け!$B$7:$B$456,計算用!$W$10)))</f>
        <v/>
      </c>
      <c r="C12" s="59">
        <f>IF(計算用!$W$10="","",IF(計算用!$B$1=1,INDEX(計算用!$G$3:$G$452,計算用!$W$10),INDEX(振り分け!$C$7:$C$456,計算用!$W$10)))</f>
        <v/>
      </c>
      <c r="D12" s="70">
        <f>IF(計算用!$W$10="","",IF(計算用!$B$1=1,INDEX(計算用!$H$3:$H$452,計算用!$W$10),INDEX(振り分け!$D$7:$D$456,計算用!$W$10)))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IF(計算用!$W$11="","",9)</f>
        <v/>
      </c>
      <c r="B13" s="59">
        <f>IF(計算用!$W$11="","",IF(計算用!$B$1=1,INDEX(計算用!$F$3:$F$452,計算用!$W$11),INDEX(振り分け!$B$7:$B$456,計算用!$W$11)))</f>
        <v/>
      </c>
      <c r="C13" s="59">
        <f>IF(計算用!$W$11="","",IF(計算用!$B$1=1,INDEX(計算用!$G$3:$G$452,計算用!$W$11),INDEX(振り分け!$C$7:$C$456,計算用!$W$11)))</f>
        <v/>
      </c>
      <c r="D13" s="70">
        <f>IF(計算用!$W$11="","",IF(計算用!$B$1=1,INDEX(計算用!$H$3:$H$452,計算用!$W$11),INDEX(振り分け!$D$7:$D$456,計算用!$W$11)))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IF(計算用!$W$12="","",10)</f>
        <v/>
      </c>
      <c r="B14" s="59">
        <f>IF(計算用!$W$12="","",IF(計算用!$B$1=1,INDEX(計算用!$F$3:$F$452,計算用!$W$12),INDEX(振り分け!$B$7:$B$456,計算用!$W$12)))</f>
        <v/>
      </c>
      <c r="C14" s="59">
        <f>IF(計算用!$W$12="","",IF(計算用!$B$1=1,INDEX(計算用!$G$3:$G$452,計算用!$W$12),INDEX(振り分け!$C$7:$C$456,計算用!$W$12)))</f>
        <v/>
      </c>
      <c r="D14" s="70">
        <f>IF(計算用!$W$12="","",IF(計算用!$B$1=1,INDEX(計算用!$H$3:$H$452,計算用!$W$12),INDEX(振り分け!$D$7:$D$456,計算用!$W$12)))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IF(計算用!$W$13="","",11)</f>
        <v/>
      </c>
      <c r="B15" s="59">
        <f>IF(計算用!$W$13="","",IF(計算用!$B$1=1,INDEX(計算用!$F$3:$F$452,計算用!$W$13),INDEX(振り分け!$B$7:$B$456,計算用!$W$13)))</f>
        <v/>
      </c>
      <c r="C15" s="59">
        <f>IF(計算用!$W$13="","",IF(計算用!$B$1=1,INDEX(計算用!$G$3:$G$452,計算用!$W$13),INDEX(振り分け!$C$7:$C$456,計算用!$W$13)))</f>
        <v/>
      </c>
      <c r="D15" s="70">
        <f>IF(計算用!$W$13="","",IF(計算用!$B$1=1,INDEX(計算用!$H$3:$H$452,計算用!$W$13),INDEX(振り分け!$D$7:$D$456,計算用!$W$13)))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IF(計算用!$W$14="","",12)</f>
        <v/>
      </c>
      <c r="B16" s="59">
        <f>IF(計算用!$W$14="","",IF(計算用!$B$1=1,INDEX(計算用!$F$3:$F$452,計算用!$W$14),INDEX(振り分け!$B$7:$B$456,計算用!$W$14)))</f>
        <v/>
      </c>
      <c r="C16" s="59">
        <f>IF(計算用!$W$14="","",IF(計算用!$B$1=1,INDEX(計算用!$G$3:$G$452,計算用!$W$14),INDEX(振り分け!$C$7:$C$456,計算用!$W$14)))</f>
        <v/>
      </c>
      <c r="D16" s="70">
        <f>IF(計算用!$W$14="","",IF(計算用!$B$1=1,INDEX(計算用!$H$3:$H$452,計算用!$W$14),INDEX(振り分け!$D$7:$D$456,計算用!$W$14)))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IF(計算用!$W$15="","",13)</f>
        <v/>
      </c>
      <c r="B17" s="59">
        <f>IF(計算用!$W$15="","",IF(計算用!$B$1=1,INDEX(計算用!$F$3:$F$452,計算用!$W$15),INDEX(振り分け!$B$7:$B$456,計算用!$W$15)))</f>
        <v/>
      </c>
      <c r="C17" s="59">
        <f>IF(計算用!$W$15="","",IF(計算用!$B$1=1,INDEX(計算用!$G$3:$G$452,計算用!$W$15),INDEX(振り分け!$C$7:$C$456,計算用!$W$15)))</f>
        <v/>
      </c>
      <c r="D17" s="70">
        <f>IF(計算用!$W$15="","",IF(計算用!$B$1=1,INDEX(計算用!$H$3:$H$452,計算用!$W$15),INDEX(振り分け!$D$7:$D$456,計算用!$W$15)))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IF(計算用!$W$16="","",14)</f>
        <v/>
      </c>
      <c r="B18" s="59">
        <f>IF(計算用!$W$16="","",IF(計算用!$B$1=1,INDEX(計算用!$F$3:$F$452,計算用!$W$16),INDEX(振り分け!$B$7:$B$456,計算用!$W$16)))</f>
        <v/>
      </c>
      <c r="C18" s="59">
        <f>IF(計算用!$W$16="","",IF(計算用!$B$1=1,INDEX(計算用!$G$3:$G$452,計算用!$W$16),INDEX(振り分け!$C$7:$C$456,計算用!$W$16)))</f>
        <v/>
      </c>
      <c r="D18" s="70">
        <f>IF(計算用!$W$16="","",IF(計算用!$B$1=1,INDEX(計算用!$H$3:$H$452,計算用!$W$16),INDEX(振り分け!$D$7:$D$456,計算用!$W$16)))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IF(計算用!$W$17="","",15)</f>
        <v/>
      </c>
      <c r="B19" s="59">
        <f>IF(計算用!$W$17="","",IF(計算用!$B$1=1,INDEX(計算用!$F$3:$F$452,計算用!$W$17),INDEX(振り分け!$B$7:$B$456,計算用!$W$17)))</f>
        <v/>
      </c>
      <c r="C19" s="59">
        <f>IF(計算用!$W$17="","",IF(計算用!$B$1=1,INDEX(計算用!$G$3:$G$452,計算用!$W$17),INDEX(振り分け!$C$7:$C$456,計算用!$W$17)))</f>
        <v/>
      </c>
      <c r="D19" s="70">
        <f>IF(計算用!$W$17="","",IF(計算用!$B$1=1,INDEX(計算用!$H$3:$H$452,計算用!$W$17),INDEX(振り分け!$D$7:$D$456,計算用!$W$17)))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IF(計算用!$W$18="","",16)</f>
        <v/>
      </c>
      <c r="B20" s="59">
        <f>IF(計算用!$W$18="","",IF(計算用!$B$1=1,INDEX(計算用!$F$3:$F$452,計算用!$W$18),INDEX(振り分け!$B$7:$B$456,計算用!$W$18)))</f>
        <v/>
      </c>
      <c r="C20" s="59">
        <f>IF(計算用!$W$18="","",IF(計算用!$B$1=1,INDEX(計算用!$G$3:$G$452,計算用!$W$18),INDEX(振り分け!$C$7:$C$456,計算用!$W$18)))</f>
        <v/>
      </c>
      <c r="D20" s="70">
        <f>IF(計算用!$W$18="","",IF(計算用!$B$1=1,INDEX(計算用!$H$3:$H$452,計算用!$W$18),INDEX(振り分け!$D$7:$D$456,計算用!$W$18)))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IF(計算用!$W$19="","",17)</f>
        <v/>
      </c>
      <c r="B21" s="59">
        <f>IF(計算用!$W$19="","",IF(計算用!$B$1=1,INDEX(計算用!$F$3:$F$452,計算用!$W$19),INDEX(振り分け!$B$7:$B$456,計算用!$W$19)))</f>
        <v/>
      </c>
      <c r="C21" s="59">
        <f>IF(計算用!$W$19="","",IF(計算用!$B$1=1,INDEX(計算用!$G$3:$G$452,計算用!$W$19),INDEX(振り分け!$C$7:$C$456,計算用!$W$19)))</f>
        <v/>
      </c>
      <c r="D21" s="70">
        <f>IF(計算用!$W$19="","",IF(計算用!$B$1=1,INDEX(計算用!$H$3:$H$452,計算用!$W$19),INDEX(振り分け!$D$7:$D$456,計算用!$W$19)))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IF(計算用!$W$20="","",18)</f>
        <v/>
      </c>
      <c r="B22" s="59">
        <f>IF(計算用!$W$20="","",IF(計算用!$B$1=1,INDEX(計算用!$F$3:$F$452,計算用!$W$20),INDEX(振り分け!$B$7:$B$456,計算用!$W$20)))</f>
        <v/>
      </c>
      <c r="C22" s="59">
        <f>IF(計算用!$W$20="","",IF(計算用!$B$1=1,INDEX(計算用!$G$3:$G$452,計算用!$W$20),INDEX(振り分け!$C$7:$C$456,計算用!$W$20)))</f>
        <v/>
      </c>
      <c r="D22" s="70">
        <f>IF(計算用!$W$20="","",IF(計算用!$B$1=1,INDEX(計算用!$H$3:$H$452,計算用!$W$20),INDEX(振り分け!$D$7:$D$456,計算用!$W$20)))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IF(計算用!$W$21="","",19)</f>
        <v/>
      </c>
      <c r="B23" s="59">
        <f>IF(計算用!$W$21="","",IF(計算用!$B$1=1,INDEX(計算用!$F$3:$F$452,計算用!$W$21),INDEX(振り分け!$B$7:$B$456,計算用!$W$21)))</f>
        <v/>
      </c>
      <c r="C23" s="59">
        <f>IF(計算用!$W$21="","",IF(計算用!$B$1=1,INDEX(計算用!$G$3:$G$452,計算用!$W$21),INDEX(振り分け!$C$7:$C$456,計算用!$W$21)))</f>
        <v/>
      </c>
      <c r="D23" s="70">
        <f>IF(計算用!$W$21="","",IF(計算用!$B$1=1,INDEX(計算用!$H$3:$H$452,計算用!$W$21),INDEX(振り分け!$D$7:$D$456,計算用!$W$21)))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IF(計算用!$W$22="","",20)</f>
        <v/>
      </c>
      <c r="B24" s="59">
        <f>IF(計算用!$W$22="","",IF(計算用!$B$1=1,INDEX(計算用!$F$3:$F$452,計算用!$W$22),INDEX(振り分け!$B$7:$B$456,計算用!$W$22)))</f>
        <v/>
      </c>
      <c r="C24" s="59">
        <f>IF(計算用!$W$22="","",IF(計算用!$B$1=1,INDEX(計算用!$G$3:$G$452,計算用!$W$22),INDEX(振り分け!$C$7:$C$456,計算用!$W$22)))</f>
        <v/>
      </c>
      <c r="D24" s="70">
        <f>IF(計算用!$W$22="","",IF(計算用!$B$1=1,INDEX(計算用!$H$3:$H$452,計算用!$W$22),INDEX(振り分け!$D$7:$D$456,計算用!$W$22)))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IF(計算用!$W$23="","",21)</f>
        <v/>
      </c>
      <c r="B25" s="59">
        <f>IF(計算用!$W$23="","",IF(計算用!$B$1=1,INDEX(計算用!$F$3:$F$452,計算用!$W$23),INDEX(振り分け!$B$7:$B$456,計算用!$W$23)))</f>
        <v/>
      </c>
      <c r="C25" s="59">
        <f>IF(計算用!$W$23="","",IF(計算用!$B$1=1,INDEX(計算用!$G$3:$G$452,計算用!$W$23),INDEX(振り分け!$C$7:$C$456,計算用!$W$23)))</f>
        <v/>
      </c>
      <c r="D25" s="70">
        <f>IF(計算用!$W$23="","",IF(計算用!$B$1=1,INDEX(計算用!$H$3:$H$452,計算用!$W$23),INDEX(振り分け!$D$7:$D$456,計算用!$W$23)))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IF(計算用!$W$24="","",22)</f>
        <v/>
      </c>
      <c r="B26" s="59">
        <f>IF(計算用!$W$24="","",IF(計算用!$B$1=1,INDEX(計算用!$F$3:$F$452,計算用!$W$24),INDEX(振り分け!$B$7:$B$456,計算用!$W$24)))</f>
        <v/>
      </c>
      <c r="C26" s="59">
        <f>IF(計算用!$W$24="","",IF(計算用!$B$1=1,INDEX(計算用!$G$3:$G$452,計算用!$W$24),INDEX(振り分け!$C$7:$C$456,計算用!$W$24)))</f>
        <v/>
      </c>
      <c r="D26" s="70">
        <f>IF(計算用!$W$24="","",IF(計算用!$B$1=1,INDEX(計算用!$H$3:$H$452,計算用!$W$24),INDEX(振り分け!$D$7:$D$456,計算用!$W$24)))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IF(計算用!$W$25="","",23)</f>
        <v/>
      </c>
      <c r="B27" s="59">
        <f>IF(計算用!$W$25="","",IF(計算用!$B$1=1,INDEX(計算用!$F$3:$F$452,計算用!$W$25),INDEX(振り分け!$B$7:$B$456,計算用!$W$25)))</f>
        <v/>
      </c>
      <c r="C27" s="59">
        <f>IF(計算用!$W$25="","",IF(計算用!$B$1=1,INDEX(計算用!$G$3:$G$452,計算用!$W$25),INDEX(振り分け!$C$7:$C$456,計算用!$W$25)))</f>
        <v/>
      </c>
      <c r="D27" s="70">
        <f>IF(計算用!$W$25="","",IF(計算用!$B$1=1,INDEX(計算用!$H$3:$H$452,計算用!$W$25),INDEX(振り分け!$D$7:$D$456,計算用!$W$25)))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IF(計算用!$W$26="","",24)</f>
        <v/>
      </c>
      <c r="B28" s="59">
        <f>IF(計算用!$W$26="","",IF(計算用!$B$1=1,INDEX(計算用!$F$3:$F$452,計算用!$W$26),INDEX(振り分け!$B$7:$B$456,計算用!$W$26)))</f>
        <v/>
      </c>
      <c r="C28" s="59">
        <f>IF(計算用!$W$26="","",IF(計算用!$B$1=1,INDEX(計算用!$G$3:$G$452,計算用!$W$26),INDEX(振り分け!$C$7:$C$456,計算用!$W$26)))</f>
        <v/>
      </c>
      <c r="D28" s="70">
        <f>IF(計算用!$W$26="","",IF(計算用!$B$1=1,INDEX(計算用!$H$3:$H$452,計算用!$W$26),INDEX(振り分け!$D$7:$D$456,計算用!$W$26)))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IF(計算用!$W$27="","",25)</f>
        <v/>
      </c>
      <c r="B29" s="59">
        <f>IF(計算用!$W$27="","",IF(計算用!$B$1=1,INDEX(計算用!$F$3:$F$452,計算用!$W$27),INDEX(振り分け!$B$7:$B$456,計算用!$W$27)))</f>
        <v/>
      </c>
      <c r="C29" s="59">
        <f>IF(計算用!$W$27="","",IF(計算用!$B$1=1,INDEX(計算用!$G$3:$G$452,計算用!$W$27),INDEX(振り分け!$C$7:$C$456,計算用!$W$27)))</f>
        <v/>
      </c>
      <c r="D29" s="70">
        <f>IF(計算用!$W$27="","",IF(計算用!$B$1=1,INDEX(計算用!$H$3:$H$452,計算用!$W$27),INDEX(振り分け!$D$7:$D$456,計算用!$W$27)))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IF(計算用!$W$28="","",26)</f>
        <v/>
      </c>
      <c r="B30" s="59">
        <f>IF(計算用!$W$28="","",IF(計算用!$B$1=1,INDEX(計算用!$F$3:$F$452,計算用!$W$28),INDEX(振り分け!$B$7:$B$456,計算用!$W$28)))</f>
        <v/>
      </c>
      <c r="C30" s="59">
        <f>IF(計算用!$W$28="","",IF(計算用!$B$1=1,INDEX(計算用!$G$3:$G$452,計算用!$W$28),INDEX(振り分け!$C$7:$C$456,計算用!$W$28)))</f>
        <v/>
      </c>
      <c r="D30" s="70">
        <f>IF(計算用!$W$28="","",IF(計算用!$B$1=1,INDEX(計算用!$H$3:$H$452,計算用!$W$28),INDEX(振り分け!$D$7:$D$456,計算用!$W$28)))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IF(計算用!$W$29="","",27)</f>
        <v/>
      </c>
      <c r="B31" s="59">
        <f>IF(計算用!$W$29="","",IF(計算用!$B$1=1,INDEX(計算用!$F$3:$F$452,計算用!$W$29),INDEX(振り分け!$B$7:$B$456,計算用!$W$29)))</f>
        <v/>
      </c>
      <c r="C31" s="59">
        <f>IF(計算用!$W$29="","",IF(計算用!$B$1=1,INDEX(計算用!$G$3:$G$452,計算用!$W$29),INDEX(振り分け!$C$7:$C$456,計算用!$W$29)))</f>
        <v/>
      </c>
      <c r="D31" s="70">
        <f>IF(計算用!$W$29="","",IF(計算用!$B$1=1,INDEX(計算用!$H$3:$H$452,計算用!$W$29),INDEX(振り分け!$D$7:$D$456,計算用!$W$29)))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IF(計算用!$W$30="","",28)</f>
        <v/>
      </c>
      <c r="B32" s="59">
        <f>IF(計算用!$W$30="","",IF(計算用!$B$1=1,INDEX(計算用!$F$3:$F$452,計算用!$W$30),INDEX(振り分け!$B$7:$B$456,計算用!$W$30)))</f>
        <v/>
      </c>
      <c r="C32" s="59">
        <f>IF(計算用!$W$30="","",IF(計算用!$B$1=1,INDEX(計算用!$G$3:$G$452,計算用!$W$30),INDEX(振り分け!$C$7:$C$456,計算用!$W$30)))</f>
        <v/>
      </c>
      <c r="D32" s="70">
        <f>IF(計算用!$W$30="","",IF(計算用!$B$1=1,INDEX(計算用!$H$3:$H$452,計算用!$W$30),INDEX(振り分け!$D$7:$D$456,計算用!$W$30)))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IF(計算用!$W$31="","",29)</f>
        <v/>
      </c>
      <c r="B33" s="59">
        <f>IF(計算用!$W$31="","",IF(計算用!$B$1=1,INDEX(計算用!$F$3:$F$452,計算用!$W$31),INDEX(振り分け!$B$7:$B$456,計算用!$W$31)))</f>
        <v/>
      </c>
      <c r="C33" s="59">
        <f>IF(計算用!$W$31="","",IF(計算用!$B$1=1,INDEX(計算用!$G$3:$G$452,計算用!$W$31),INDEX(振り分け!$C$7:$C$456,計算用!$W$31)))</f>
        <v/>
      </c>
      <c r="D33" s="70">
        <f>IF(計算用!$W$31="","",IF(計算用!$B$1=1,INDEX(計算用!$H$3:$H$452,計算用!$W$31),INDEX(振り分け!$D$7:$D$456,計算用!$W$31)))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IF(計算用!$W$32="","",30)</f>
        <v/>
      </c>
      <c r="B34" s="59">
        <f>IF(計算用!$W$32="","",IF(計算用!$B$1=1,INDEX(計算用!$F$3:$F$452,計算用!$W$32),INDEX(振り分け!$B$7:$B$456,計算用!$W$32)))</f>
        <v/>
      </c>
      <c r="C34" s="59">
        <f>IF(計算用!$W$32="","",IF(計算用!$B$1=1,INDEX(計算用!$G$3:$G$452,計算用!$W$32),INDEX(振り分け!$C$7:$C$456,計算用!$W$32)))</f>
        <v/>
      </c>
      <c r="D34" s="70">
        <f>IF(計算用!$W$32="","",IF(計算用!$B$1=1,INDEX(計算用!$H$3:$H$452,計算用!$W$32),INDEX(振り分け!$D$7:$D$456,計算用!$W$32)))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IF(計算用!$W$33="","",31)</f>
        <v/>
      </c>
      <c r="B35" s="59">
        <f>IF(計算用!$W$33="","",IF(計算用!$B$1=1,INDEX(計算用!$F$3:$F$452,計算用!$W$33),INDEX(振り分け!$B$7:$B$456,計算用!$W$33)))</f>
        <v/>
      </c>
      <c r="C35" s="59">
        <f>IF(計算用!$W$33="","",IF(計算用!$B$1=1,INDEX(計算用!$G$3:$G$452,計算用!$W$33),INDEX(振り分け!$C$7:$C$456,計算用!$W$33)))</f>
        <v/>
      </c>
      <c r="D35" s="70">
        <f>IF(計算用!$W$33="","",IF(計算用!$B$1=1,INDEX(計算用!$H$3:$H$452,計算用!$W$33),INDEX(振り分け!$D$7:$D$456,計算用!$W$33)))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IF(計算用!$W$34="","",32)</f>
        <v/>
      </c>
      <c r="B36" s="59">
        <f>IF(計算用!$W$34="","",IF(計算用!$B$1=1,INDEX(計算用!$F$3:$F$452,計算用!$W$34),INDEX(振り分け!$B$7:$B$456,計算用!$W$34)))</f>
        <v/>
      </c>
      <c r="C36" s="59">
        <f>IF(計算用!$W$34="","",IF(計算用!$B$1=1,INDEX(計算用!$G$3:$G$452,計算用!$W$34),INDEX(振り分け!$C$7:$C$456,計算用!$W$34)))</f>
        <v/>
      </c>
      <c r="D36" s="70">
        <f>IF(計算用!$W$34="","",IF(計算用!$B$1=1,INDEX(計算用!$H$3:$H$452,計算用!$W$34),INDEX(振り分け!$D$7:$D$456,計算用!$W$34)))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IF(計算用!$W$35="","",33)</f>
        <v/>
      </c>
      <c r="B37" s="59">
        <f>IF(計算用!$W$35="","",IF(計算用!$B$1=1,INDEX(計算用!$F$3:$F$452,計算用!$W$35),INDEX(振り分け!$B$7:$B$456,計算用!$W$35)))</f>
        <v/>
      </c>
      <c r="C37" s="59">
        <f>IF(計算用!$W$35="","",IF(計算用!$B$1=1,INDEX(計算用!$G$3:$G$452,計算用!$W$35),INDEX(振り分け!$C$7:$C$456,計算用!$W$35)))</f>
        <v/>
      </c>
      <c r="D37" s="70">
        <f>IF(計算用!$W$35="","",IF(計算用!$B$1=1,INDEX(計算用!$H$3:$H$452,計算用!$W$35),INDEX(振り分け!$D$7:$D$456,計算用!$W$35)))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IF(計算用!$W$36="","",34)</f>
        <v/>
      </c>
      <c r="B38" s="59">
        <f>IF(計算用!$W$36="","",IF(計算用!$B$1=1,INDEX(計算用!$F$3:$F$452,計算用!$W$36),INDEX(振り分け!$B$7:$B$456,計算用!$W$36)))</f>
        <v/>
      </c>
      <c r="C38" s="59">
        <f>IF(計算用!$W$36="","",IF(計算用!$B$1=1,INDEX(計算用!$G$3:$G$452,計算用!$W$36),INDEX(振り分け!$C$7:$C$456,計算用!$W$36)))</f>
        <v/>
      </c>
      <c r="D38" s="70">
        <f>IF(計算用!$W$36="","",IF(計算用!$B$1=1,INDEX(計算用!$H$3:$H$452,計算用!$W$36),INDEX(振り分け!$D$7:$D$456,計算用!$W$36)))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IF(計算用!$W$37="","",35)</f>
        <v/>
      </c>
      <c r="B39" s="59">
        <f>IF(計算用!$W$37="","",IF(計算用!$B$1=1,INDEX(計算用!$F$3:$F$452,計算用!$W$37),INDEX(振り分け!$B$7:$B$456,計算用!$W$37)))</f>
        <v/>
      </c>
      <c r="C39" s="59">
        <f>IF(計算用!$W$37="","",IF(計算用!$B$1=1,INDEX(計算用!$G$3:$G$452,計算用!$W$37),INDEX(振り分け!$C$7:$C$456,計算用!$W$37)))</f>
        <v/>
      </c>
      <c r="D39" s="70">
        <f>IF(計算用!$W$37="","",IF(計算用!$B$1=1,INDEX(計算用!$H$3:$H$452,計算用!$W$37),INDEX(振り分け!$D$7:$D$456,計算用!$W$37)))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IF(計算用!$W$38="","",36)</f>
        <v/>
      </c>
      <c r="B40" s="59">
        <f>IF(計算用!$W$38="","",IF(計算用!$B$1=1,INDEX(計算用!$F$3:$F$452,計算用!$W$38),INDEX(振り分け!$B$7:$B$456,計算用!$W$38)))</f>
        <v/>
      </c>
      <c r="C40" s="59">
        <f>IF(計算用!$W$38="","",IF(計算用!$B$1=1,INDEX(計算用!$G$3:$G$452,計算用!$W$38),INDEX(振り分け!$C$7:$C$456,計算用!$W$38)))</f>
        <v/>
      </c>
      <c r="D40" s="70">
        <f>IF(計算用!$W$38="","",IF(計算用!$B$1=1,INDEX(計算用!$H$3:$H$452,計算用!$W$38),INDEX(振り分け!$D$7:$D$456,計算用!$W$38)))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IF(計算用!$W$39="","",37)</f>
        <v/>
      </c>
      <c r="B41" s="59">
        <f>IF(計算用!$W$39="","",IF(計算用!$B$1=1,INDEX(計算用!$F$3:$F$452,計算用!$W$39),INDEX(振り分け!$B$7:$B$456,計算用!$W$39)))</f>
        <v/>
      </c>
      <c r="C41" s="59">
        <f>IF(計算用!$W$39="","",IF(計算用!$B$1=1,INDEX(計算用!$G$3:$G$452,計算用!$W$39),INDEX(振り分け!$C$7:$C$456,計算用!$W$39)))</f>
        <v/>
      </c>
      <c r="D41" s="70">
        <f>IF(計算用!$W$39="","",IF(計算用!$B$1=1,INDEX(計算用!$H$3:$H$452,計算用!$W$39),INDEX(振り分け!$D$7:$D$456,計算用!$W$39)))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IF(計算用!$W$40="","",38)</f>
        <v/>
      </c>
      <c r="B42" s="59">
        <f>IF(計算用!$W$40="","",IF(計算用!$B$1=1,INDEX(計算用!$F$3:$F$452,計算用!$W$40),INDEX(振り分け!$B$7:$B$456,計算用!$W$40)))</f>
        <v/>
      </c>
      <c r="C42" s="59">
        <f>IF(計算用!$W$40="","",IF(計算用!$B$1=1,INDEX(計算用!$G$3:$G$452,計算用!$W$40),INDEX(振り分け!$C$7:$C$456,計算用!$W$40)))</f>
        <v/>
      </c>
      <c r="D42" s="70">
        <f>IF(計算用!$W$40="","",IF(計算用!$B$1=1,INDEX(計算用!$H$3:$H$452,計算用!$W$40),INDEX(振り分け!$D$7:$D$456,計算用!$W$40)))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IF(計算用!$W$41="","",39)</f>
        <v/>
      </c>
      <c r="B43" s="59">
        <f>IF(計算用!$W$41="","",IF(計算用!$B$1=1,INDEX(計算用!$F$3:$F$452,計算用!$W$41),INDEX(振り分け!$B$7:$B$456,計算用!$W$41)))</f>
        <v/>
      </c>
      <c r="C43" s="59">
        <f>IF(計算用!$W$41="","",IF(計算用!$B$1=1,INDEX(計算用!$G$3:$G$452,計算用!$W$41),INDEX(振り分け!$C$7:$C$456,計算用!$W$41)))</f>
        <v/>
      </c>
      <c r="D43" s="70">
        <f>IF(計算用!$W$41="","",IF(計算用!$B$1=1,INDEX(計算用!$H$3:$H$452,計算用!$W$41),INDEX(振り分け!$D$7:$D$456,計算用!$W$41)))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IF(計算用!$W$42="","",40)</f>
        <v/>
      </c>
      <c r="B44" s="59">
        <f>IF(計算用!$W$42="","",IF(計算用!$B$1=1,INDEX(計算用!$F$3:$F$452,計算用!$W$42),INDEX(振り分け!$B$7:$B$456,計算用!$W$42)))</f>
        <v/>
      </c>
      <c r="C44" s="59">
        <f>IF(計算用!$W$42="","",IF(計算用!$B$1=1,INDEX(計算用!$G$3:$G$452,計算用!$W$42),INDEX(振り分け!$C$7:$C$456,計算用!$W$42)))</f>
        <v/>
      </c>
      <c r="D44" s="70">
        <f>IF(計算用!$W$42="","",IF(計算用!$B$1=1,INDEX(計算用!$H$3:$H$452,計算用!$W$42),INDEX(振り分け!$D$7:$D$456,計算用!$W$42)))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IF(計算用!$W$43="","",41)</f>
        <v/>
      </c>
      <c r="B45" s="59">
        <f>IF(計算用!$W$43="","",IF(計算用!$B$1=1,INDEX(計算用!$F$3:$F$452,計算用!$W$43),INDEX(振り分け!$B$7:$B$456,計算用!$W$43)))</f>
        <v/>
      </c>
      <c r="C45" s="59">
        <f>IF(計算用!$W$43="","",IF(計算用!$B$1=1,INDEX(計算用!$G$3:$G$452,計算用!$W$43),INDEX(振り分け!$C$7:$C$456,計算用!$W$43)))</f>
        <v/>
      </c>
      <c r="D45" s="70">
        <f>IF(計算用!$W$43="","",IF(計算用!$B$1=1,INDEX(計算用!$H$3:$H$452,計算用!$W$43),INDEX(振り分け!$D$7:$D$456,計算用!$W$43)))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IF(計算用!$W$44="","",42)</f>
        <v/>
      </c>
      <c r="B46" s="59">
        <f>IF(計算用!$W$44="","",IF(計算用!$B$1=1,INDEX(計算用!$F$3:$F$452,計算用!$W$44),INDEX(振り分け!$B$7:$B$456,計算用!$W$44)))</f>
        <v/>
      </c>
      <c r="C46" s="59">
        <f>IF(計算用!$W$44="","",IF(計算用!$B$1=1,INDEX(計算用!$G$3:$G$452,計算用!$W$44),INDEX(振り分け!$C$7:$C$456,計算用!$W$44)))</f>
        <v/>
      </c>
      <c r="D46" s="70">
        <f>IF(計算用!$W$44="","",IF(計算用!$B$1=1,INDEX(計算用!$H$3:$H$452,計算用!$W$44),INDEX(振り分け!$D$7:$D$456,計算用!$W$44)))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IF(計算用!$W$45="","",43)</f>
        <v/>
      </c>
      <c r="B47" s="59">
        <f>IF(計算用!$W$45="","",IF(計算用!$B$1=1,INDEX(計算用!$F$3:$F$452,計算用!$W$45),INDEX(振り分け!$B$7:$B$456,計算用!$W$45)))</f>
        <v/>
      </c>
      <c r="C47" s="59">
        <f>IF(計算用!$W$45="","",IF(計算用!$B$1=1,INDEX(計算用!$G$3:$G$452,計算用!$W$45),INDEX(振り分け!$C$7:$C$456,計算用!$W$45)))</f>
        <v/>
      </c>
      <c r="D47" s="70">
        <f>IF(計算用!$W$45="","",IF(計算用!$B$1=1,INDEX(計算用!$H$3:$H$452,計算用!$W$45),INDEX(振り分け!$D$7:$D$456,計算用!$W$45)))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IF(計算用!$W$46="","",44)</f>
        <v/>
      </c>
      <c r="B48" s="59">
        <f>IF(計算用!$W$46="","",IF(計算用!$B$1=1,INDEX(計算用!$F$3:$F$452,計算用!$W$46),INDEX(振り分け!$B$7:$B$456,計算用!$W$46)))</f>
        <v/>
      </c>
      <c r="C48" s="59">
        <f>IF(計算用!$W$46="","",IF(計算用!$B$1=1,INDEX(計算用!$G$3:$G$452,計算用!$W$46),INDEX(振り分け!$C$7:$C$456,計算用!$W$46)))</f>
        <v/>
      </c>
      <c r="D48" s="70">
        <f>IF(計算用!$W$46="","",IF(計算用!$B$1=1,INDEX(計算用!$H$3:$H$452,計算用!$W$46),INDEX(振り分け!$D$7:$D$456,計算用!$W$46)))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IF(計算用!$W$47="","",45)</f>
        <v/>
      </c>
      <c r="B49" s="59">
        <f>IF(計算用!$W$47="","",IF(計算用!$B$1=1,INDEX(計算用!$F$3:$F$452,計算用!$W$47),INDEX(振り分け!$B$7:$B$456,計算用!$W$47)))</f>
        <v/>
      </c>
      <c r="C49" s="59">
        <f>IF(計算用!$W$47="","",IF(計算用!$B$1=1,INDEX(計算用!$G$3:$G$452,計算用!$W$47),INDEX(振り分け!$C$7:$C$456,計算用!$W$47)))</f>
        <v/>
      </c>
      <c r="D49" s="70">
        <f>IF(計算用!$W$47="","",IF(計算用!$B$1=1,INDEX(計算用!$H$3:$H$452,計算用!$W$47),INDEX(振り分け!$D$7:$D$456,計算用!$W$47)))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IF(計算用!$W$48="","",46)</f>
        <v/>
      </c>
      <c r="B50" s="59">
        <f>IF(計算用!$W$48="","",IF(計算用!$B$1=1,INDEX(計算用!$F$3:$F$452,計算用!$W$48),INDEX(振り分け!$B$7:$B$456,計算用!$W$48)))</f>
        <v/>
      </c>
      <c r="C50" s="59">
        <f>IF(計算用!$W$48="","",IF(計算用!$B$1=1,INDEX(計算用!$G$3:$G$452,計算用!$W$48),INDEX(振り分け!$C$7:$C$456,計算用!$W$48)))</f>
        <v/>
      </c>
      <c r="D50" s="70">
        <f>IF(計算用!$W$48="","",IF(計算用!$B$1=1,INDEX(計算用!$H$3:$H$452,計算用!$W$48),INDEX(振り分け!$D$7:$D$456,計算用!$W$48)))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IF(計算用!$W$49="","",47)</f>
        <v/>
      </c>
      <c r="B51" s="59">
        <f>IF(計算用!$W$49="","",IF(計算用!$B$1=1,INDEX(計算用!$F$3:$F$452,計算用!$W$49),INDEX(振り分け!$B$7:$B$456,計算用!$W$49)))</f>
        <v/>
      </c>
      <c r="C51" s="59">
        <f>IF(計算用!$W$49="","",IF(計算用!$B$1=1,INDEX(計算用!$G$3:$G$452,計算用!$W$49),INDEX(振り分け!$C$7:$C$456,計算用!$W$49)))</f>
        <v/>
      </c>
      <c r="D51" s="70">
        <f>IF(計算用!$W$49="","",IF(計算用!$B$1=1,INDEX(計算用!$H$3:$H$452,計算用!$W$49),INDEX(振り分け!$D$7:$D$456,計算用!$W$49)))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IF(計算用!$W$50="","",48)</f>
        <v/>
      </c>
      <c r="B52" s="59">
        <f>IF(計算用!$W$50="","",IF(計算用!$B$1=1,INDEX(計算用!$F$3:$F$452,計算用!$W$50),INDEX(振り分け!$B$7:$B$456,計算用!$W$50)))</f>
        <v/>
      </c>
      <c r="C52" s="59">
        <f>IF(計算用!$W$50="","",IF(計算用!$B$1=1,INDEX(計算用!$G$3:$G$452,計算用!$W$50),INDEX(振り分け!$C$7:$C$456,計算用!$W$50)))</f>
        <v/>
      </c>
      <c r="D52" s="70">
        <f>IF(計算用!$W$50="","",IF(計算用!$B$1=1,INDEX(計算用!$H$3:$H$452,計算用!$W$50),INDEX(振り分け!$D$7:$D$456,計算用!$W$50)))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IF(計算用!$W$51="","",49)</f>
        <v/>
      </c>
      <c r="B53" s="59">
        <f>IF(計算用!$W$51="","",IF(計算用!$B$1=1,INDEX(計算用!$F$3:$F$452,計算用!$W$51),INDEX(振り分け!$B$7:$B$456,計算用!$W$51)))</f>
        <v/>
      </c>
      <c r="C53" s="59">
        <f>IF(計算用!$W$51="","",IF(計算用!$B$1=1,INDEX(計算用!$G$3:$G$452,計算用!$W$51),INDEX(振り分け!$C$7:$C$456,計算用!$W$51)))</f>
        <v/>
      </c>
      <c r="D53" s="70">
        <f>IF(計算用!$W$51="","",IF(計算用!$B$1=1,INDEX(計算用!$H$3:$H$452,計算用!$W$51),INDEX(振り分け!$D$7:$D$456,計算用!$W$51)))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IF(計算用!$W$52="","",50)</f>
        <v/>
      </c>
      <c r="B54" s="59">
        <f>IF(計算用!$W$52="","",IF(計算用!$B$1=1,INDEX(計算用!$F$3:$F$452,計算用!$W$52),INDEX(振り分け!$B$7:$B$456,計算用!$W$52)))</f>
        <v/>
      </c>
      <c r="C54" s="59">
        <f>IF(計算用!$W$52="","",IF(計算用!$B$1=1,INDEX(計算用!$G$3:$G$452,計算用!$W$52),INDEX(振り分け!$C$7:$C$456,計算用!$W$52)))</f>
        <v/>
      </c>
      <c r="D54" s="70">
        <f>IF(計算用!$W$52="","",IF(計算用!$B$1=1,INDEX(計算用!$H$3:$H$452,計算用!$W$52),INDEX(振り分け!$D$7:$D$456,計算用!$W$52)))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IF(設定!$P$22="","",設定!$B$3&amp;"　"&amp;設定!$P$22&amp;設定!$B$4&amp;"名簿"&amp;IF(計算用!$B$1=0,"（仮・前年度の組）",""))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IF(設定!$P$22="","","担当："&amp;設定!$S$22&amp;"　　活動場所："&amp;設定!$T$22&amp;"　　人数："&amp;定員チェック!$I$21&amp;"名（"&amp;設定!$B$8&amp;"年"&amp;定員チェック!$J$21&amp;"・"&amp;設定!$B$9&amp;"年"&amp;定員チェック!$K$21&amp;"・"&amp;設定!$B$10&amp;"年"&amp;定員チェック!$L$21&amp;"）")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IF(計算用!$X$3="","",1)</f>
        <v/>
      </c>
      <c r="B5" s="59">
        <f>IF(計算用!$X$3="","",IF(計算用!$B$1=1,INDEX(計算用!$F$3:$F$452,計算用!$X$3),INDEX(振り分け!$B$7:$B$456,計算用!$X$3)))</f>
        <v/>
      </c>
      <c r="C5" s="59">
        <f>IF(計算用!$X$3="","",IF(計算用!$B$1=1,INDEX(計算用!$G$3:$G$452,計算用!$X$3),INDEX(振り分け!$C$7:$C$456,計算用!$X$3)))</f>
        <v/>
      </c>
      <c r="D5" s="70">
        <f>IF(計算用!$X$3="","",IF(計算用!$B$1=1,INDEX(計算用!$H$3:$H$452,計算用!$X$3),INDEX(振り分け!$D$7:$D$456,計算用!$X$3)))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IF(計算用!$X$4="","",2)</f>
        <v/>
      </c>
      <c r="B6" s="59">
        <f>IF(計算用!$X$4="","",IF(計算用!$B$1=1,INDEX(計算用!$F$3:$F$452,計算用!$X$4),INDEX(振り分け!$B$7:$B$456,計算用!$X$4)))</f>
        <v/>
      </c>
      <c r="C6" s="59">
        <f>IF(計算用!$X$4="","",IF(計算用!$B$1=1,INDEX(計算用!$G$3:$G$452,計算用!$X$4),INDEX(振り分け!$C$7:$C$456,計算用!$X$4)))</f>
        <v/>
      </c>
      <c r="D6" s="70">
        <f>IF(計算用!$X$4="","",IF(計算用!$B$1=1,INDEX(計算用!$H$3:$H$452,計算用!$X$4),INDEX(振り分け!$D$7:$D$456,計算用!$X$4)))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IF(計算用!$X$5="","",3)</f>
        <v/>
      </c>
      <c r="B7" s="59">
        <f>IF(計算用!$X$5="","",IF(計算用!$B$1=1,INDEX(計算用!$F$3:$F$452,計算用!$X$5),INDEX(振り分け!$B$7:$B$456,計算用!$X$5)))</f>
        <v/>
      </c>
      <c r="C7" s="59">
        <f>IF(計算用!$X$5="","",IF(計算用!$B$1=1,INDEX(計算用!$G$3:$G$452,計算用!$X$5),INDEX(振り分け!$C$7:$C$456,計算用!$X$5)))</f>
        <v/>
      </c>
      <c r="D7" s="70">
        <f>IF(計算用!$X$5="","",IF(計算用!$B$1=1,INDEX(計算用!$H$3:$H$452,計算用!$X$5),INDEX(振り分け!$D$7:$D$456,計算用!$X$5)))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IF(計算用!$X$6="","",4)</f>
        <v/>
      </c>
      <c r="B8" s="59">
        <f>IF(計算用!$X$6="","",IF(計算用!$B$1=1,INDEX(計算用!$F$3:$F$452,計算用!$X$6),INDEX(振り分け!$B$7:$B$456,計算用!$X$6)))</f>
        <v/>
      </c>
      <c r="C8" s="59">
        <f>IF(計算用!$X$6="","",IF(計算用!$B$1=1,INDEX(計算用!$G$3:$G$452,計算用!$X$6),INDEX(振り分け!$C$7:$C$456,計算用!$X$6)))</f>
        <v/>
      </c>
      <c r="D8" s="70">
        <f>IF(計算用!$X$6="","",IF(計算用!$B$1=1,INDEX(計算用!$H$3:$H$452,計算用!$X$6),INDEX(振り分け!$D$7:$D$456,計算用!$X$6)))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IF(計算用!$X$7="","",5)</f>
        <v/>
      </c>
      <c r="B9" s="59">
        <f>IF(計算用!$X$7="","",IF(計算用!$B$1=1,INDEX(計算用!$F$3:$F$452,計算用!$X$7),INDEX(振り分け!$B$7:$B$456,計算用!$X$7)))</f>
        <v/>
      </c>
      <c r="C9" s="59">
        <f>IF(計算用!$X$7="","",IF(計算用!$B$1=1,INDEX(計算用!$G$3:$G$452,計算用!$X$7),INDEX(振り分け!$C$7:$C$456,計算用!$X$7)))</f>
        <v/>
      </c>
      <c r="D9" s="70">
        <f>IF(計算用!$X$7="","",IF(計算用!$B$1=1,INDEX(計算用!$H$3:$H$452,計算用!$X$7),INDEX(振り分け!$D$7:$D$456,計算用!$X$7)))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IF(計算用!$X$8="","",6)</f>
        <v/>
      </c>
      <c r="B10" s="59">
        <f>IF(計算用!$X$8="","",IF(計算用!$B$1=1,INDEX(計算用!$F$3:$F$452,計算用!$X$8),INDEX(振り分け!$B$7:$B$456,計算用!$X$8)))</f>
        <v/>
      </c>
      <c r="C10" s="59">
        <f>IF(計算用!$X$8="","",IF(計算用!$B$1=1,INDEX(計算用!$G$3:$G$452,計算用!$X$8),INDEX(振り分け!$C$7:$C$456,計算用!$X$8)))</f>
        <v/>
      </c>
      <c r="D10" s="70">
        <f>IF(計算用!$X$8="","",IF(計算用!$B$1=1,INDEX(計算用!$H$3:$H$452,計算用!$X$8),INDEX(振り分け!$D$7:$D$456,計算用!$X$8)))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IF(計算用!$X$9="","",7)</f>
        <v/>
      </c>
      <c r="B11" s="59">
        <f>IF(計算用!$X$9="","",IF(計算用!$B$1=1,INDEX(計算用!$F$3:$F$452,計算用!$X$9),INDEX(振り分け!$B$7:$B$456,計算用!$X$9)))</f>
        <v/>
      </c>
      <c r="C11" s="59">
        <f>IF(計算用!$X$9="","",IF(計算用!$B$1=1,INDEX(計算用!$G$3:$G$452,計算用!$X$9),INDEX(振り分け!$C$7:$C$456,計算用!$X$9)))</f>
        <v/>
      </c>
      <c r="D11" s="70">
        <f>IF(計算用!$X$9="","",IF(計算用!$B$1=1,INDEX(計算用!$H$3:$H$452,計算用!$X$9),INDEX(振り分け!$D$7:$D$456,計算用!$X$9)))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IF(計算用!$X$10="","",8)</f>
        <v/>
      </c>
      <c r="B12" s="59">
        <f>IF(計算用!$X$10="","",IF(計算用!$B$1=1,INDEX(計算用!$F$3:$F$452,計算用!$X$10),INDEX(振り分け!$B$7:$B$456,計算用!$X$10)))</f>
        <v/>
      </c>
      <c r="C12" s="59">
        <f>IF(計算用!$X$10="","",IF(計算用!$B$1=1,INDEX(計算用!$G$3:$G$452,計算用!$X$10),INDEX(振り分け!$C$7:$C$456,計算用!$X$10)))</f>
        <v/>
      </c>
      <c r="D12" s="70">
        <f>IF(計算用!$X$10="","",IF(計算用!$B$1=1,INDEX(計算用!$H$3:$H$452,計算用!$X$10),INDEX(振り分け!$D$7:$D$456,計算用!$X$10)))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IF(計算用!$X$11="","",9)</f>
        <v/>
      </c>
      <c r="B13" s="59">
        <f>IF(計算用!$X$11="","",IF(計算用!$B$1=1,INDEX(計算用!$F$3:$F$452,計算用!$X$11),INDEX(振り分け!$B$7:$B$456,計算用!$X$11)))</f>
        <v/>
      </c>
      <c r="C13" s="59">
        <f>IF(計算用!$X$11="","",IF(計算用!$B$1=1,INDEX(計算用!$G$3:$G$452,計算用!$X$11),INDEX(振り分け!$C$7:$C$456,計算用!$X$11)))</f>
        <v/>
      </c>
      <c r="D13" s="70">
        <f>IF(計算用!$X$11="","",IF(計算用!$B$1=1,INDEX(計算用!$H$3:$H$452,計算用!$X$11),INDEX(振り分け!$D$7:$D$456,計算用!$X$11)))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IF(計算用!$X$12="","",10)</f>
        <v/>
      </c>
      <c r="B14" s="59">
        <f>IF(計算用!$X$12="","",IF(計算用!$B$1=1,INDEX(計算用!$F$3:$F$452,計算用!$X$12),INDEX(振り分け!$B$7:$B$456,計算用!$X$12)))</f>
        <v/>
      </c>
      <c r="C14" s="59">
        <f>IF(計算用!$X$12="","",IF(計算用!$B$1=1,INDEX(計算用!$G$3:$G$452,計算用!$X$12),INDEX(振り分け!$C$7:$C$456,計算用!$X$12)))</f>
        <v/>
      </c>
      <c r="D14" s="70">
        <f>IF(計算用!$X$12="","",IF(計算用!$B$1=1,INDEX(計算用!$H$3:$H$452,計算用!$X$12),INDEX(振り分け!$D$7:$D$456,計算用!$X$12)))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IF(計算用!$X$13="","",11)</f>
        <v/>
      </c>
      <c r="B15" s="59">
        <f>IF(計算用!$X$13="","",IF(計算用!$B$1=1,INDEX(計算用!$F$3:$F$452,計算用!$X$13),INDEX(振り分け!$B$7:$B$456,計算用!$X$13)))</f>
        <v/>
      </c>
      <c r="C15" s="59">
        <f>IF(計算用!$X$13="","",IF(計算用!$B$1=1,INDEX(計算用!$G$3:$G$452,計算用!$X$13),INDEX(振り分け!$C$7:$C$456,計算用!$X$13)))</f>
        <v/>
      </c>
      <c r="D15" s="70">
        <f>IF(計算用!$X$13="","",IF(計算用!$B$1=1,INDEX(計算用!$H$3:$H$452,計算用!$X$13),INDEX(振り分け!$D$7:$D$456,計算用!$X$13)))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IF(計算用!$X$14="","",12)</f>
        <v/>
      </c>
      <c r="B16" s="59">
        <f>IF(計算用!$X$14="","",IF(計算用!$B$1=1,INDEX(計算用!$F$3:$F$452,計算用!$X$14),INDEX(振り分け!$B$7:$B$456,計算用!$X$14)))</f>
        <v/>
      </c>
      <c r="C16" s="59">
        <f>IF(計算用!$X$14="","",IF(計算用!$B$1=1,INDEX(計算用!$G$3:$G$452,計算用!$X$14),INDEX(振り分け!$C$7:$C$456,計算用!$X$14)))</f>
        <v/>
      </c>
      <c r="D16" s="70">
        <f>IF(計算用!$X$14="","",IF(計算用!$B$1=1,INDEX(計算用!$H$3:$H$452,計算用!$X$14),INDEX(振り分け!$D$7:$D$456,計算用!$X$14)))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IF(計算用!$X$15="","",13)</f>
        <v/>
      </c>
      <c r="B17" s="59">
        <f>IF(計算用!$X$15="","",IF(計算用!$B$1=1,INDEX(計算用!$F$3:$F$452,計算用!$X$15),INDEX(振り分け!$B$7:$B$456,計算用!$X$15)))</f>
        <v/>
      </c>
      <c r="C17" s="59">
        <f>IF(計算用!$X$15="","",IF(計算用!$B$1=1,INDEX(計算用!$G$3:$G$452,計算用!$X$15),INDEX(振り分け!$C$7:$C$456,計算用!$X$15)))</f>
        <v/>
      </c>
      <c r="D17" s="70">
        <f>IF(計算用!$X$15="","",IF(計算用!$B$1=1,INDEX(計算用!$H$3:$H$452,計算用!$X$15),INDEX(振り分け!$D$7:$D$456,計算用!$X$15)))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IF(計算用!$X$16="","",14)</f>
        <v/>
      </c>
      <c r="B18" s="59">
        <f>IF(計算用!$X$16="","",IF(計算用!$B$1=1,INDEX(計算用!$F$3:$F$452,計算用!$X$16),INDEX(振り分け!$B$7:$B$456,計算用!$X$16)))</f>
        <v/>
      </c>
      <c r="C18" s="59">
        <f>IF(計算用!$X$16="","",IF(計算用!$B$1=1,INDEX(計算用!$G$3:$G$452,計算用!$X$16),INDEX(振り分け!$C$7:$C$456,計算用!$X$16)))</f>
        <v/>
      </c>
      <c r="D18" s="70">
        <f>IF(計算用!$X$16="","",IF(計算用!$B$1=1,INDEX(計算用!$H$3:$H$452,計算用!$X$16),INDEX(振り分け!$D$7:$D$456,計算用!$X$16)))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IF(計算用!$X$17="","",15)</f>
        <v/>
      </c>
      <c r="B19" s="59">
        <f>IF(計算用!$X$17="","",IF(計算用!$B$1=1,INDEX(計算用!$F$3:$F$452,計算用!$X$17),INDEX(振り分け!$B$7:$B$456,計算用!$X$17)))</f>
        <v/>
      </c>
      <c r="C19" s="59">
        <f>IF(計算用!$X$17="","",IF(計算用!$B$1=1,INDEX(計算用!$G$3:$G$452,計算用!$X$17),INDEX(振り分け!$C$7:$C$456,計算用!$X$17)))</f>
        <v/>
      </c>
      <c r="D19" s="70">
        <f>IF(計算用!$X$17="","",IF(計算用!$B$1=1,INDEX(計算用!$H$3:$H$452,計算用!$X$17),INDEX(振り分け!$D$7:$D$456,計算用!$X$17)))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IF(計算用!$X$18="","",16)</f>
        <v/>
      </c>
      <c r="B20" s="59">
        <f>IF(計算用!$X$18="","",IF(計算用!$B$1=1,INDEX(計算用!$F$3:$F$452,計算用!$X$18),INDEX(振り分け!$B$7:$B$456,計算用!$X$18)))</f>
        <v/>
      </c>
      <c r="C20" s="59">
        <f>IF(計算用!$X$18="","",IF(計算用!$B$1=1,INDEX(計算用!$G$3:$G$452,計算用!$X$18),INDEX(振り分け!$C$7:$C$456,計算用!$X$18)))</f>
        <v/>
      </c>
      <c r="D20" s="70">
        <f>IF(計算用!$X$18="","",IF(計算用!$B$1=1,INDEX(計算用!$H$3:$H$452,計算用!$X$18),INDEX(振り分け!$D$7:$D$456,計算用!$X$18)))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IF(計算用!$X$19="","",17)</f>
        <v/>
      </c>
      <c r="B21" s="59">
        <f>IF(計算用!$X$19="","",IF(計算用!$B$1=1,INDEX(計算用!$F$3:$F$452,計算用!$X$19),INDEX(振り分け!$B$7:$B$456,計算用!$X$19)))</f>
        <v/>
      </c>
      <c r="C21" s="59">
        <f>IF(計算用!$X$19="","",IF(計算用!$B$1=1,INDEX(計算用!$G$3:$G$452,計算用!$X$19),INDEX(振り分け!$C$7:$C$456,計算用!$X$19)))</f>
        <v/>
      </c>
      <c r="D21" s="70">
        <f>IF(計算用!$X$19="","",IF(計算用!$B$1=1,INDEX(計算用!$H$3:$H$452,計算用!$X$19),INDEX(振り分け!$D$7:$D$456,計算用!$X$19)))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IF(計算用!$X$20="","",18)</f>
        <v/>
      </c>
      <c r="B22" s="59">
        <f>IF(計算用!$X$20="","",IF(計算用!$B$1=1,INDEX(計算用!$F$3:$F$452,計算用!$X$20),INDEX(振り分け!$B$7:$B$456,計算用!$X$20)))</f>
        <v/>
      </c>
      <c r="C22" s="59">
        <f>IF(計算用!$X$20="","",IF(計算用!$B$1=1,INDEX(計算用!$G$3:$G$452,計算用!$X$20),INDEX(振り分け!$C$7:$C$456,計算用!$X$20)))</f>
        <v/>
      </c>
      <c r="D22" s="70">
        <f>IF(計算用!$X$20="","",IF(計算用!$B$1=1,INDEX(計算用!$H$3:$H$452,計算用!$X$20),INDEX(振り分け!$D$7:$D$456,計算用!$X$20)))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IF(計算用!$X$21="","",19)</f>
        <v/>
      </c>
      <c r="B23" s="59">
        <f>IF(計算用!$X$21="","",IF(計算用!$B$1=1,INDEX(計算用!$F$3:$F$452,計算用!$X$21),INDEX(振り分け!$B$7:$B$456,計算用!$X$21)))</f>
        <v/>
      </c>
      <c r="C23" s="59">
        <f>IF(計算用!$X$21="","",IF(計算用!$B$1=1,INDEX(計算用!$G$3:$G$452,計算用!$X$21),INDEX(振り分け!$C$7:$C$456,計算用!$X$21)))</f>
        <v/>
      </c>
      <c r="D23" s="70">
        <f>IF(計算用!$X$21="","",IF(計算用!$B$1=1,INDEX(計算用!$H$3:$H$452,計算用!$X$21),INDEX(振り分け!$D$7:$D$456,計算用!$X$21)))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IF(計算用!$X$22="","",20)</f>
        <v/>
      </c>
      <c r="B24" s="59">
        <f>IF(計算用!$X$22="","",IF(計算用!$B$1=1,INDEX(計算用!$F$3:$F$452,計算用!$X$22),INDEX(振り分け!$B$7:$B$456,計算用!$X$22)))</f>
        <v/>
      </c>
      <c r="C24" s="59">
        <f>IF(計算用!$X$22="","",IF(計算用!$B$1=1,INDEX(計算用!$G$3:$G$452,計算用!$X$22),INDEX(振り分け!$C$7:$C$456,計算用!$X$22)))</f>
        <v/>
      </c>
      <c r="D24" s="70">
        <f>IF(計算用!$X$22="","",IF(計算用!$B$1=1,INDEX(計算用!$H$3:$H$452,計算用!$X$22),INDEX(振り分け!$D$7:$D$456,計算用!$X$22)))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IF(計算用!$X$23="","",21)</f>
        <v/>
      </c>
      <c r="B25" s="59">
        <f>IF(計算用!$X$23="","",IF(計算用!$B$1=1,INDEX(計算用!$F$3:$F$452,計算用!$X$23),INDEX(振り分け!$B$7:$B$456,計算用!$X$23)))</f>
        <v/>
      </c>
      <c r="C25" s="59">
        <f>IF(計算用!$X$23="","",IF(計算用!$B$1=1,INDEX(計算用!$G$3:$G$452,計算用!$X$23),INDEX(振り分け!$C$7:$C$456,計算用!$X$23)))</f>
        <v/>
      </c>
      <c r="D25" s="70">
        <f>IF(計算用!$X$23="","",IF(計算用!$B$1=1,INDEX(計算用!$H$3:$H$452,計算用!$X$23),INDEX(振り分け!$D$7:$D$456,計算用!$X$23)))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IF(計算用!$X$24="","",22)</f>
        <v/>
      </c>
      <c r="B26" s="59">
        <f>IF(計算用!$X$24="","",IF(計算用!$B$1=1,INDEX(計算用!$F$3:$F$452,計算用!$X$24),INDEX(振り分け!$B$7:$B$456,計算用!$X$24)))</f>
        <v/>
      </c>
      <c r="C26" s="59">
        <f>IF(計算用!$X$24="","",IF(計算用!$B$1=1,INDEX(計算用!$G$3:$G$452,計算用!$X$24),INDEX(振り分け!$C$7:$C$456,計算用!$X$24)))</f>
        <v/>
      </c>
      <c r="D26" s="70">
        <f>IF(計算用!$X$24="","",IF(計算用!$B$1=1,INDEX(計算用!$H$3:$H$452,計算用!$X$24),INDEX(振り分け!$D$7:$D$456,計算用!$X$24)))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IF(計算用!$X$25="","",23)</f>
        <v/>
      </c>
      <c r="B27" s="59">
        <f>IF(計算用!$X$25="","",IF(計算用!$B$1=1,INDEX(計算用!$F$3:$F$452,計算用!$X$25),INDEX(振り分け!$B$7:$B$456,計算用!$X$25)))</f>
        <v/>
      </c>
      <c r="C27" s="59">
        <f>IF(計算用!$X$25="","",IF(計算用!$B$1=1,INDEX(計算用!$G$3:$G$452,計算用!$X$25),INDEX(振り分け!$C$7:$C$456,計算用!$X$25)))</f>
        <v/>
      </c>
      <c r="D27" s="70">
        <f>IF(計算用!$X$25="","",IF(計算用!$B$1=1,INDEX(計算用!$H$3:$H$452,計算用!$X$25),INDEX(振り分け!$D$7:$D$456,計算用!$X$25)))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IF(計算用!$X$26="","",24)</f>
        <v/>
      </c>
      <c r="B28" s="59">
        <f>IF(計算用!$X$26="","",IF(計算用!$B$1=1,INDEX(計算用!$F$3:$F$452,計算用!$X$26),INDEX(振り分け!$B$7:$B$456,計算用!$X$26)))</f>
        <v/>
      </c>
      <c r="C28" s="59">
        <f>IF(計算用!$X$26="","",IF(計算用!$B$1=1,INDEX(計算用!$G$3:$G$452,計算用!$X$26),INDEX(振り分け!$C$7:$C$456,計算用!$X$26)))</f>
        <v/>
      </c>
      <c r="D28" s="70">
        <f>IF(計算用!$X$26="","",IF(計算用!$B$1=1,INDEX(計算用!$H$3:$H$452,計算用!$X$26),INDEX(振り分け!$D$7:$D$456,計算用!$X$26)))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IF(計算用!$X$27="","",25)</f>
        <v/>
      </c>
      <c r="B29" s="59">
        <f>IF(計算用!$X$27="","",IF(計算用!$B$1=1,INDEX(計算用!$F$3:$F$452,計算用!$X$27),INDEX(振り分け!$B$7:$B$456,計算用!$X$27)))</f>
        <v/>
      </c>
      <c r="C29" s="59">
        <f>IF(計算用!$X$27="","",IF(計算用!$B$1=1,INDEX(計算用!$G$3:$G$452,計算用!$X$27),INDEX(振り分け!$C$7:$C$456,計算用!$X$27)))</f>
        <v/>
      </c>
      <c r="D29" s="70">
        <f>IF(計算用!$X$27="","",IF(計算用!$B$1=1,INDEX(計算用!$H$3:$H$452,計算用!$X$27),INDEX(振り分け!$D$7:$D$456,計算用!$X$27)))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IF(計算用!$X$28="","",26)</f>
        <v/>
      </c>
      <c r="B30" s="59">
        <f>IF(計算用!$X$28="","",IF(計算用!$B$1=1,INDEX(計算用!$F$3:$F$452,計算用!$X$28),INDEX(振り分け!$B$7:$B$456,計算用!$X$28)))</f>
        <v/>
      </c>
      <c r="C30" s="59">
        <f>IF(計算用!$X$28="","",IF(計算用!$B$1=1,INDEX(計算用!$G$3:$G$452,計算用!$X$28),INDEX(振り分け!$C$7:$C$456,計算用!$X$28)))</f>
        <v/>
      </c>
      <c r="D30" s="70">
        <f>IF(計算用!$X$28="","",IF(計算用!$B$1=1,INDEX(計算用!$H$3:$H$452,計算用!$X$28),INDEX(振り分け!$D$7:$D$456,計算用!$X$28)))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IF(計算用!$X$29="","",27)</f>
        <v/>
      </c>
      <c r="B31" s="59">
        <f>IF(計算用!$X$29="","",IF(計算用!$B$1=1,INDEX(計算用!$F$3:$F$452,計算用!$X$29),INDEX(振り分け!$B$7:$B$456,計算用!$X$29)))</f>
        <v/>
      </c>
      <c r="C31" s="59">
        <f>IF(計算用!$X$29="","",IF(計算用!$B$1=1,INDEX(計算用!$G$3:$G$452,計算用!$X$29),INDEX(振り分け!$C$7:$C$456,計算用!$X$29)))</f>
        <v/>
      </c>
      <c r="D31" s="70">
        <f>IF(計算用!$X$29="","",IF(計算用!$B$1=1,INDEX(計算用!$H$3:$H$452,計算用!$X$29),INDEX(振り分け!$D$7:$D$456,計算用!$X$29)))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IF(計算用!$X$30="","",28)</f>
        <v/>
      </c>
      <c r="B32" s="59">
        <f>IF(計算用!$X$30="","",IF(計算用!$B$1=1,INDEX(計算用!$F$3:$F$452,計算用!$X$30),INDEX(振り分け!$B$7:$B$456,計算用!$X$30)))</f>
        <v/>
      </c>
      <c r="C32" s="59">
        <f>IF(計算用!$X$30="","",IF(計算用!$B$1=1,INDEX(計算用!$G$3:$G$452,計算用!$X$30),INDEX(振り分け!$C$7:$C$456,計算用!$X$30)))</f>
        <v/>
      </c>
      <c r="D32" s="70">
        <f>IF(計算用!$X$30="","",IF(計算用!$B$1=1,INDEX(計算用!$H$3:$H$452,計算用!$X$30),INDEX(振り分け!$D$7:$D$456,計算用!$X$30)))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IF(計算用!$X$31="","",29)</f>
        <v/>
      </c>
      <c r="B33" s="59">
        <f>IF(計算用!$X$31="","",IF(計算用!$B$1=1,INDEX(計算用!$F$3:$F$452,計算用!$X$31),INDEX(振り分け!$B$7:$B$456,計算用!$X$31)))</f>
        <v/>
      </c>
      <c r="C33" s="59">
        <f>IF(計算用!$X$31="","",IF(計算用!$B$1=1,INDEX(計算用!$G$3:$G$452,計算用!$X$31),INDEX(振り分け!$C$7:$C$456,計算用!$X$31)))</f>
        <v/>
      </c>
      <c r="D33" s="70">
        <f>IF(計算用!$X$31="","",IF(計算用!$B$1=1,INDEX(計算用!$H$3:$H$452,計算用!$X$31),INDEX(振り分け!$D$7:$D$456,計算用!$X$31)))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IF(計算用!$X$32="","",30)</f>
        <v/>
      </c>
      <c r="B34" s="59">
        <f>IF(計算用!$X$32="","",IF(計算用!$B$1=1,INDEX(計算用!$F$3:$F$452,計算用!$X$32),INDEX(振り分け!$B$7:$B$456,計算用!$X$32)))</f>
        <v/>
      </c>
      <c r="C34" s="59">
        <f>IF(計算用!$X$32="","",IF(計算用!$B$1=1,INDEX(計算用!$G$3:$G$452,計算用!$X$32),INDEX(振り分け!$C$7:$C$456,計算用!$X$32)))</f>
        <v/>
      </c>
      <c r="D34" s="70">
        <f>IF(計算用!$X$32="","",IF(計算用!$B$1=1,INDEX(計算用!$H$3:$H$452,計算用!$X$32),INDEX(振り分け!$D$7:$D$456,計算用!$X$32)))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IF(計算用!$X$33="","",31)</f>
        <v/>
      </c>
      <c r="B35" s="59">
        <f>IF(計算用!$X$33="","",IF(計算用!$B$1=1,INDEX(計算用!$F$3:$F$452,計算用!$X$33),INDEX(振り分け!$B$7:$B$456,計算用!$X$33)))</f>
        <v/>
      </c>
      <c r="C35" s="59">
        <f>IF(計算用!$X$33="","",IF(計算用!$B$1=1,INDEX(計算用!$G$3:$G$452,計算用!$X$33),INDEX(振り分け!$C$7:$C$456,計算用!$X$33)))</f>
        <v/>
      </c>
      <c r="D35" s="70">
        <f>IF(計算用!$X$33="","",IF(計算用!$B$1=1,INDEX(計算用!$H$3:$H$452,計算用!$X$33),INDEX(振り分け!$D$7:$D$456,計算用!$X$33)))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IF(計算用!$X$34="","",32)</f>
        <v/>
      </c>
      <c r="B36" s="59">
        <f>IF(計算用!$X$34="","",IF(計算用!$B$1=1,INDEX(計算用!$F$3:$F$452,計算用!$X$34),INDEX(振り分け!$B$7:$B$456,計算用!$X$34)))</f>
        <v/>
      </c>
      <c r="C36" s="59">
        <f>IF(計算用!$X$34="","",IF(計算用!$B$1=1,INDEX(計算用!$G$3:$G$452,計算用!$X$34),INDEX(振り分け!$C$7:$C$456,計算用!$X$34)))</f>
        <v/>
      </c>
      <c r="D36" s="70">
        <f>IF(計算用!$X$34="","",IF(計算用!$B$1=1,INDEX(計算用!$H$3:$H$452,計算用!$X$34),INDEX(振り分け!$D$7:$D$456,計算用!$X$34)))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IF(計算用!$X$35="","",33)</f>
        <v/>
      </c>
      <c r="B37" s="59">
        <f>IF(計算用!$X$35="","",IF(計算用!$B$1=1,INDEX(計算用!$F$3:$F$452,計算用!$X$35),INDEX(振り分け!$B$7:$B$456,計算用!$X$35)))</f>
        <v/>
      </c>
      <c r="C37" s="59">
        <f>IF(計算用!$X$35="","",IF(計算用!$B$1=1,INDEX(計算用!$G$3:$G$452,計算用!$X$35),INDEX(振り分け!$C$7:$C$456,計算用!$X$35)))</f>
        <v/>
      </c>
      <c r="D37" s="70">
        <f>IF(計算用!$X$35="","",IF(計算用!$B$1=1,INDEX(計算用!$H$3:$H$452,計算用!$X$35),INDEX(振り分け!$D$7:$D$456,計算用!$X$35)))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IF(計算用!$X$36="","",34)</f>
        <v/>
      </c>
      <c r="B38" s="59">
        <f>IF(計算用!$X$36="","",IF(計算用!$B$1=1,INDEX(計算用!$F$3:$F$452,計算用!$X$36),INDEX(振り分け!$B$7:$B$456,計算用!$X$36)))</f>
        <v/>
      </c>
      <c r="C38" s="59">
        <f>IF(計算用!$X$36="","",IF(計算用!$B$1=1,INDEX(計算用!$G$3:$G$452,計算用!$X$36),INDEX(振り分け!$C$7:$C$456,計算用!$X$36)))</f>
        <v/>
      </c>
      <c r="D38" s="70">
        <f>IF(計算用!$X$36="","",IF(計算用!$B$1=1,INDEX(計算用!$H$3:$H$452,計算用!$X$36),INDEX(振り分け!$D$7:$D$456,計算用!$X$36)))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IF(計算用!$X$37="","",35)</f>
        <v/>
      </c>
      <c r="B39" s="59">
        <f>IF(計算用!$X$37="","",IF(計算用!$B$1=1,INDEX(計算用!$F$3:$F$452,計算用!$X$37),INDEX(振り分け!$B$7:$B$456,計算用!$X$37)))</f>
        <v/>
      </c>
      <c r="C39" s="59">
        <f>IF(計算用!$X$37="","",IF(計算用!$B$1=1,INDEX(計算用!$G$3:$G$452,計算用!$X$37),INDEX(振り分け!$C$7:$C$456,計算用!$X$37)))</f>
        <v/>
      </c>
      <c r="D39" s="70">
        <f>IF(計算用!$X$37="","",IF(計算用!$B$1=1,INDEX(計算用!$H$3:$H$452,計算用!$X$37),INDEX(振り分け!$D$7:$D$456,計算用!$X$37)))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IF(計算用!$X$38="","",36)</f>
        <v/>
      </c>
      <c r="B40" s="59">
        <f>IF(計算用!$X$38="","",IF(計算用!$B$1=1,INDEX(計算用!$F$3:$F$452,計算用!$X$38),INDEX(振り分け!$B$7:$B$456,計算用!$X$38)))</f>
        <v/>
      </c>
      <c r="C40" s="59">
        <f>IF(計算用!$X$38="","",IF(計算用!$B$1=1,INDEX(計算用!$G$3:$G$452,計算用!$X$38),INDEX(振り分け!$C$7:$C$456,計算用!$X$38)))</f>
        <v/>
      </c>
      <c r="D40" s="70">
        <f>IF(計算用!$X$38="","",IF(計算用!$B$1=1,INDEX(計算用!$H$3:$H$452,計算用!$X$38),INDEX(振り分け!$D$7:$D$456,計算用!$X$38)))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IF(計算用!$X$39="","",37)</f>
        <v/>
      </c>
      <c r="B41" s="59">
        <f>IF(計算用!$X$39="","",IF(計算用!$B$1=1,INDEX(計算用!$F$3:$F$452,計算用!$X$39),INDEX(振り分け!$B$7:$B$456,計算用!$X$39)))</f>
        <v/>
      </c>
      <c r="C41" s="59">
        <f>IF(計算用!$X$39="","",IF(計算用!$B$1=1,INDEX(計算用!$G$3:$G$452,計算用!$X$39),INDEX(振り分け!$C$7:$C$456,計算用!$X$39)))</f>
        <v/>
      </c>
      <c r="D41" s="70">
        <f>IF(計算用!$X$39="","",IF(計算用!$B$1=1,INDEX(計算用!$H$3:$H$452,計算用!$X$39),INDEX(振り分け!$D$7:$D$456,計算用!$X$39)))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IF(計算用!$X$40="","",38)</f>
        <v/>
      </c>
      <c r="B42" s="59">
        <f>IF(計算用!$X$40="","",IF(計算用!$B$1=1,INDEX(計算用!$F$3:$F$452,計算用!$X$40),INDEX(振り分け!$B$7:$B$456,計算用!$X$40)))</f>
        <v/>
      </c>
      <c r="C42" s="59">
        <f>IF(計算用!$X$40="","",IF(計算用!$B$1=1,INDEX(計算用!$G$3:$G$452,計算用!$X$40),INDEX(振り分け!$C$7:$C$456,計算用!$X$40)))</f>
        <v/>
      </c>
      <c r="D42" s="70">
        <f>IF(計算用!$X$40="","",IF(計算用!$B$1=1,INDEX(計算用!$H$3:$H$452,計算用!$X$40),INDEX(振り分け!$D$7:$D$456,計算用!$X$40)))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IF(計算用!$X$41="","",39)</f>
        <v/>
      </c>
      <c r="B43" s="59">
        <f>IF(計算用!$X$41="","",IF(計算用!$B$1=1,INDEX(計算用!$F$3:$F$452,計算用!$X$41),INDEX(振り分け!$B$7:$B$456,計算用!$X$41)))</f>
        <v/>
      </c>
      <c r="C43" s="59">
        <f>IF(計算用!$X$41="","",IF(計算用!$B$1=1,INDEX(計算用!$G$3:$G$452,計算用!$X$41),INDEX(振り分け!$C$7:$C$456,計算用!$X$41)))</f>
        <v/>
      </c>
      <c r="D43" s="70">
        <f>IF(計算用!$X$41="","",IF(計算用!$B$1=1,INDEX(計算用!$H$3:$H$452,計算用!$X$41),INDEX(振り分け!$D$7:$D$456,計算用!$X$41)))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IF(計算用!$X$42="","",40)</f>
        <v/>
      </c>
      <c r="B44" s="59">
        <f>IF(計算用!$X$42="","",IF(計算用!$B$1=1,INDEX(計算用!$F$3:$F$452,計算用!$X$42),INDEX(振り分け!$B$7:$B$456,計算用!$X$42)))</f>
        <v/>
      </c>
      <c r="C44" s="59">
        <f>IF(計算用!$X$42="","",IF(計算用!$B$1=1,INDEX(計算用!$G$3:$G$452,計算用!$X$42),INDEX(振り分け!$C$7:$C$456,計算用!$X$42)))</f>
        <v/>
      </c>
      <c r="D44" s="70">
        <f>IF(計算用!$X$42="","",IF(計算用!$B$1=1,INDEX(計算用!$H$3:$H$452,計算用!$X$42),INDEX(振り分け!$D$7:$D$456,計算用!$X$42)))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IF(計算用!$X$43="","",41)</f>
        <v/>
      </c>
      <c r="B45" s="59">
        <f>IF(計算用!$X$43="","",IF(計算用!$B$1=1,INDEX(計算用!$F$3:$F$452,計算用!$X$43),INDEX(振り分け!$B$7:$B$456,計算用!$X$43)))</f>
        <v/>
      </c>
      <c r="C45" s="59">
        <f>IF(計算用!$X$43="","",IF(計算用!$B$1=1,INDEX(計算用!$G$3:$G$452,計算用!$X$43),INDEX(振り分け!$C$7:$C$456,計算用!$X$43)))</f>
        <v/>
      </c>
      <c r="D45" s="70">
        <f>IF(計算用!$X$43="","",IF(計算用!$B$1=1,INDEX(計算用!$H$3:$H$452,計算用!$X$43),INDEX(振り分け!$D$7:$D$456,計算用!$X$43)))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IF(計算用!$X$44="","",42)</f>
        <v/>
      </c>
      <c r="B46" s="59">
        <f>IF(計算用!$X$44="","",IF(計算用!$B$1=1,INDEX(計算用!$F$3:$F$452,計算用!$X$44),INDEX(振り分け!$B$7:$B$456,計算用!$X$44)))</f>
        <v/>
      </c>
      <c r="C46" s="59">
        <f>IF(計算用!$X$44="","",IF(計算用!$B$1=1,INDEX(計算用!$G$3:$G$452,計算用!$X$44),INDEX(振り分け!$C$7:$C$456,計算用!$X$44)))</f>
        <v/>
      </c>
      <c r="D46" s="70">
        <f>IF(計算用!$X$44="","",IF(計算用!$B$1=1,INDEX(計算用!$H$3:$H$452,計算用!$X$44),INDEX(振り分け!$D$7:$D$456,計算用!$X$44)))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IF(計算用!$X$45="","",43)</f>
        <v/>
      </c>
      <c r="B47" s="59">
        <f>IF(計算用!$X$45="","",IF(計算用!$B$1=1,INDEX(計算用!$F$3:$F$452,計算用!$X$45),INDEX(振り分け!$B$7:$B$456,計算用!$X$45)))</f>
        <v/>
      </c>
      <c r="C47" s="59">
        <f>IF(計算用!$X$45="","",IF(計算用!$B$1=1,INDEX(計算用!$G$3:$G$452,計算用!$X$45),INDEX(振り分け!$C$7:$C$456,計算用!$X$45)))</f>
        <v/>
      </c>
      <c r="D47" s="70">
        <f>IF(計算用!$X$45="","",IF(計算用!$B$1=1,INDEX(計算用!$H$3:$H$452,計算用!$X$45),INDEX(振り分け!$D$7:$D$456,計算用!$X$45)))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IF(計算用!$X$46="","",44)</f>
        <v/>
      </c>
      <c r="B48" s="59">
        <f>IF(計算用!$X$46="","",IF(計算用!$B$1=1,INDEX(計算用!$F$3:$F$452,計算用!$X$46),INDEX(振り分け!$B$7:$B$456,計算用!$X$46)))</f>
        <v/>
      </c>
      <c r="C48" s="59">
        <f>IF(計算用!$X$46="","",IF(計算用!$B$1=1,INDEX(計算用!$G$3:$G$452,計算用!$X$46),INDEX(振り分け!$C$7:$C$456,計算用!$X$46)))</f>
        <v/>
      </c>
      <c r="D48" s="70">
        <f>IF(計算用!$X$46="","",IF(計算用!$B$1=1,INDEX(計算用!$H$3:$H$452,計算用!$X$46),INDEX(振り分け!$D$7:$D$456,計算用!$X$46)))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IF(計算用!$X$47="","",45)</f>
        <v/>
      </c>
      <c r="B49" s="59">
        <f>IF(計算用!$X$47="","",IF(計算用!$B$1=1,INDEX(計算用!$F$3:$F$452,計算用!$X$47),INDEX(振り分け!$B$7:$B$456,計算用!$X$47)))</f>
        <v/>
      </c>
      <c r="C49" s="59">
        <f>IF(計算用!$X$47="","",IF(計算用!$B$1=1,INDEX(計算用!$G$3:$G$452,計算用!$X$47),INDEX(振り分け!$C$7:$C$456,計算用!$X$47)))</f>
        <v/>
      </c>
      <c r="D49" s="70">
        <f>IF(計算用!$X$47="","",IF(計算用!$B$1=1,INDEX(計算用!$H$3:$H$452,計算用!$X$47),INDEX(振り分け!$D$7:$D$456,計算用!$X$47)))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IF(計算用!$X$48="","",46)</f>
        <v/>
      </c>
      <c r="B50" s="59">
        <f>IF(計算用!$X$48="","",IF(計算用!$B$1=1,INDEX(計算用!$F$3:$F$452,計算用!$X$48),INDEX(振り分け!$B$7:$B$456,計算用!$X$48)))</f>
        <v/>
      </c>
      <c r="C50" s="59">
        <f>IF(計算用!$X$48="","",IF(計算用!$B$1=1,INDEX(計算用!$G$3:$G$452,計算用!$X$48),INDEX(振り分け!$C$7:$C$456,計算用!$X$48)))</f>
        <v/>
      </c>
      <c r="D50" s="70">
        <f>IF(計算用!$X$48="","",IF(計算用!$B$1=1,INDEX(計算用!$H$3:$H$452,計算用!$X$48),INDEX(振り分け!$D$7:$D$456,計算用!$X$48)))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IF(計算用!$X$49="","",47)</f>
        <v/>
      </c>
      <c r="B51" s="59">
        <f>IF(計算用!$X$49="","",IF(計算用!$B$1=1,INDEX(計算用!$F$3:$F$452,計算用!$X$49),INDEX(振り分け!$B$7:$B$456,計算用!$X$49)))</f>
        <v/>
      </c>
      <c r="C51" s="59">
        <f>IF(計算用!$X$49="","",IF(計算用!$B$1=1,INDEX(計算用!$G$3:$G$452,計算用!$X$49),INDEX(振り分け!$C$7:$C$456,計算用!$X$49)))</f>
        <v/>
      </c>
      <c r="D51" s="70">
        <f>IF(計算用!$X$49="","",IF(計算用!$B$1=1,INDEX(計算用!$H$3:$H$452,計算用!$X$49),INDEX(振り分け!$D$7:$D$456,計算用!$X$49)))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IF(計算用!$X$50="","",48)</f>
        <v/>
      </c>
      <c r="B52" s="59">
        <f>IF(計算用!$X$50="","",IF(計算用!$B$1=1,INDEX(計算用!$F$3:$F$452,計算用!$X$50),INDEX(振り分け!$B$7:$B$456,計算用!$X$50)))</f>
        <v/>
      </c>
      <c r="C52" s="59">
        <f>IF(計算用!$X$50="","",IF(計算用!$B$1=1,INDEX(計算用!$G$3:$G$452,計算用!$X$50),INDEX(振り分け!$C$7:$C$456,計算用!$X$50)))</f>
        <v/>
      </c>
      <c r="D52" s="70">
        <f>IF(計算用!$X$50="","",IF(計算用!$B$1=1,INDEX(計算用!$H$3:$H$452,計算用!$X$50),INDEX(振り分け!$D$7:$D$456,計算用!$X$50)))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IF(計算用!$X$51="","",49)</f>
        <v/>
      </c>
      <c r="B53" s="59">
        <f>IF(計算用!$X$51="","",IF(計算用!$B$1=1,INDEX(計算用!$F$3:$F$452,計算用!$X$51),INDEX(振り分け!$B$7:$B$456,計算用!$X$51)))</f>
        <v/>
      </c>
      <c r="C53" s="59">
        <f>IF(計算用!$X$51="","",IF(計算用!$B$1=1,INDEX(計算用!$G$3:$G$452,計算用!$X$51),INDEX(振り分け!$C$7:$C$456,計算用!$X$51)))</f>
        <v/>
      </c>
      <c r="D53" s="70">
        <f>IF(計算用!$X$51="","",IF(計算用!$B$1=1,INDEX(計算用!$H$3:$H$452,計算用!$X$51),INDEX(振り分け!$D$7:$D$456,計算用!$X$51)))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IF(計算用!$X$52="","",50)</f>
        <v/>
      </c>
      <c r="B54" s="59">
        <f>IF(計算用!$X$52="","",IF(計算用!$B$1=1,INDEX(計算用!$F$3:$F$452,計算用!$X$52),INDEX(振り分け!$B$7:$B$456,計算用!$X$52)))</f>
        <v/>
      </c>
      <c r="C54" s="59">
        <f>IF(計算用!$X$52="","",IF(計算用!$B$1=1,INDEX(計算用!$G$3:$G$452,計算用!$X$52),INDEX(振り分け!$C$7:$C$456,計算用!$X$52)))</f>
        <v/>
      </c>
      <c r="D54" s="70">
        <f>IF(計算用!$X$52="","",IF(計算用!$B$1=1,INDEX(計算用!$H$3:$H$452,計算用!$X$52),INDEX(振り分け!$D$7:$D$456,計算用!$X$52)))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IF(設定!$P$23="","",設定!$B$3&amp;"　"&amp;設定!$P$23&amp;設定!$B$4&amp;"名簿"&amp;IF(計算用!$B$1=0,"（仮・前年度の組）",""))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IF(設定!$P$23="","","担当："&amp;設定!$S$23&amp;"　　活動場所："&amp;設定!$T$23&amp;"　　人数："&amp;定員チェック!$I$22&amp;"名（"&amp;設定!$B$8&amp;"年"&amp;定員チェック!$J$22&amp;"・"&amp;設定!$B$9&amp;"年"&amp;定員チェック!$K$22&amp;"・"&amp;設定!$B$10&amp;"年"&amp;定員チェック!$L$22&amp;"）")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IF(計算用!$Y$3="","",1)</f>
        <v/>
      </c>
      <c r="B5" s="59">
        <f>IF(計算用!$Y$3="","",IF(計算用!$B$1=1,INDEX(計算用!$F$3:$F$452,計算用!$Y$3),INDEX(振り分け!$B$7:$B$456,計算用!$Y$3)))</f>
        <v/>
      </c>
      <c r="C5" s="59">
        <f>IF(計算用!$Y$3="","",IF(計算用!$B$1=1,INDEX(計算用!$G$3:$G$452,計算用!$Y$3),INDEX(振り分け!$C$7:$C$456,計算用!$Y$3)))</f>
        <v/>
      </c>
      <c r="D5" s="70">
        <f>IF(計算用!$Y$3="","",IF(計算用!$B$1=1,INDEX(計算用!$H$3:$H$452,計算用!$Y$3),INDEX(振り分け!$D$7:$D$456,計算用!$Y$3)))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IF(計算用!$Y$4="","",2)</f>
        <v/>
      </c>
      <c r="B6" s="59">
        <f>IF(計算用!$Y$4="","",IF(計算用!$B$1=1,INDEX(計算用!$F$3:$F$452,計算用!$Y$4),INDEX(振り分け!$B$7:$B$456,計算用!$Y$4)))</f>
        <v/>
      </c>
      <c r="C6" s="59">
        <f>IF(計算用!$Y$4="","",IF(計算用!$B$1=1,INDEX(計算用!$G$3:$G$452,計算用!$Y$4),INDEX(振り分け!$C$7:$C$456,計算用!$Y$4)))</f>
        <v/>
      </c>
      <c r="D6" s="70">
        <f>IF(計算用!$Y$4="","",IF(計算用!$B$1=1,INDEX(計算用!$H$3:$H$452,計算用!$Y$4),INDEX(振り分け!$D$7:$D$456,計算用!$Y$4)))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IF(計算用!$Y$5="","",3)</f>
        <v/>
      </c>
      <c r="B7" s="59">
        <f>IF(計算用!$Y$5="","",IF(計算用!$B$1=1,INDEX(計算用!$F$3:$F$452,計算用!$Y$5),INDEX(振り分け!$B$7:$B$456,計算用!$Y$5)))</f>
        <v/>
      </c>
      <c r="C7" s="59">
        <f>IF(計算用!$Y$5="","",IF(計算用!$B$1=1,INDEX(計算用!$G$3:$G$452,計算用!$Y$5),INDEX(振り分け!$C$7:$C$456,計算用!$Y$5)))</f>
        <v/>
      </c>
      <c r="D7" s="70">
        <f>IF(計算用!$Y$5="","",IF(計算用!$B$1=1,INDEX(計算用!$H$3:$H$452,計算用!$Y$5),INDEX(振り分け!$D$7:$D$456,計算用!$Y$5)))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IF(計算用!$Y$6="","",4)</f>
        <v/>
      </c>
      <c r="B8" s="59">
        <f>IF(計算用!$Y$6="","",IF(計算用!$B$1=1,INDEX(計算用!$F$3:$F$452,計算用!$Y$6),INDEX(振り分け!$B$7:$B$456,計算用!$Y$6)))</f>
        <v/>
      </c>
      <c r="C8" s="59">
        <f>IF(計算用!$Y$6="","",IF(計算用!$B$1=1,INDEX(計算用!$G$3:$G$452,計算用!$Y$6),INDEX(振り分け!$C$7:$C$456,計算用!$Y$6)))</f>
        <v/>
      </c>
      <c r="D8" s="70">
        <f>IF(計算用!$Y$6="","",IF(計算用!$B$1=1,INDEX(計算用!$H$3:$H$452,計算用!$Y$6),INDEX(振り分け!$D$7:$D$456,計算用!$Y$6)))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IF(計算用!$Y$7="","",5)</f>
        <v/>
      </c>
      <c r="B9" s="59">
        <f>IF(計算用!$Y$7="","",IF(計算用!$B$1=1,INDEX(計算用!$F$3:$F$452,計算用!$Y$7),INDEX(振り分け!$B$7:$B$456,計算用!$Y$7)))</f>
        <v/>
      </c>
      <c r="C9" s="59">
        <f>IF(計算用!$Y$7="","",IF(計算用!$B$1=1,INDEX(計算用!$G$3:$G$452,計算用!$Y$7),INDEX(振り分け!$C$7:$C$456,計算用!$Y$7)))</f>
        <v/>
      </c>
      <c r="D9" s="70">
        <f>IF(計算用!$Y$7="","",IF(計算用!$B$1=1,INDEX(計算用!$H$3:$H$452,計算用!$Y$7),INDEX(振り分け!$D$7:$D$456,計算用!$Y$7)))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IF(計算用!$Y$8="","",6)</f>
        <v/>
      </c>
      <c r="B10" s="59">
        <f>IF(計算用!$Y$8="","",IF(計算用!$B$1=1,INDEX(計算用!$F$3:$F$452,計算用!$Y$8),INDEX(振り分け!$B$7:$B$456,計算用!$Y$8)))</f>
        <v/>
      </c>
      <c r="C10" s="59">
        <f>IF(計算用!$Y$8="","",IF(計算用!$B$1=1,INDEX(計算用!$G$3:$G$452,計算用!$Y$8),INDEX(振り分け!$C$7:$C$456,計算用!$Y$8)))</f>
        <v/>
      </c>
      <c r="D10" s="70">
        <f>IF(計算用!$Y$8="","",IF(計算用!$B$1=1,INDEX(計算用!$H$3:$H$452,計算用!$Y$8),INDEX(振り分け!$D$7:$D$456,計算用!$Y$8)))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IF(計算用!$Y$9="","",7)</f>
        <v/>
      </c>
      <c r="B11" s="59">
        <f>IF(計算用!$Y$9="","",IF(計算用!$B$1=1,INDEX(計算用!$F$3:$F$452,計算用!$Y$9),INDEX(振り分け!$B$7:$B$456,計算用!$Y$9)))</f>
        <v/>
      </c>
      <c r="C11" s="59">
        <f>IF(計算用!$Y$9="","",IF(計算用!$B$1=1,INDEX(計算用!$G$3:$G$452,計算用!$Y$9),INDEX(振り分け!$C$7:$C$456,計算用!$Y$9)))</f>
        <v/>
      </c>
      <c r="D11" s="70">
        <f>IF(計算用!$Y$9="","",IF(計算用!$B$1=1,INDEX(計算用!$H$3:$H$452,計算用!$Y$9),INDEX(振り分け!$D$7:$D$456,計算用!$Y$9)))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IF(計算用!$Y$10="","",8)</f>
        <v/>
      </c>
      <c r="B12" s="59">
        <f>IF(計算用!$Y$10="","",IF(計算用!$B$1=1,INDEX(計算用!$F$3:$F$452,計算用!$Y$10),INDEX(振り分け!$B$7:$B$456,計算用!$Y$10)))</f>
        <v/>
      </c>
      <c r="C12" s="59">
        <f>IF(計算用!$Y$10="","",IF(計算用!$B$1=1,INDEX(計算用!$G$3:$G$452,計算用!$Y$10),INDEX(振り分け!$C$7:$C$456,計算用!$Y$10)))</f>
        <v/>
      </c>
      <c r="D12" s="70">
        <f>IF(計算用!$Y$10="","",IF(計算用!$B$1=1,INDEX(計算用!$H$3:$H$452,計算用!$Y$10),INDEX(振り分け!$D$7:$D$456,計算用!$Y$10)))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IF(計算用!$Y$11="","",9)</f>
        <v/>
      </c>
      <c r="B13" s="59">
        <f>IF(計算用!$Y$11="","",IF(計算用!$B$1=1,INDEX(計算用!$F$3:$F$452,計算用!$Y$11),INDEX(振り分け!$B$7:$B$456,計算用!$Y$11)))</f>
        <v/>
      </c>
      <c r="C13" s="59">
        <f>IF(計算用!$Y$11="","",IF(計算用!$B$1=1,INDEX(計算用!$G$3:$G$452,計算用!$Y$11),INDEX(振り分け!$C$7:$C$456,計算用!$Y$11)))</f>
        <v/>
      </c>
      <c r="D13" s="70">
        <f>IF(計算用!$Y$11="","",IF(計算用!$B$1=1,INDEX(計算用!$H$3:$H$452,計算用!$Y$11),INDEX(振り分け!$D$7:$D$456,計算用!$Y$11)))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IF(計算用!$Y$12="","",10)</f>
        <v/>
      </c>
      <c r="B14" s="59">
        <f>IF(計算用!$Y$12="","",IF(計算用!$B$1=1,INDEX(計算用!$F$3:$F$452,計算用!$Y$12),INDEX(振り分け!$B$7:$B$456,計算用!$Y$12)))</f>
        <v/>
      </c>
      <c r="C14" s="59">
        <f>IF(計算用!$Y$12="","",IF(計算用!$B$1=1,INDEX(計算用!$G$3:$G$452,計算用!$Y$12),INDEX(振り分け!$C$7:$C$456,計算用!$Y$12)))</f>
        <v/>
      </c>
      <c r="D14" s="70">
        <f>IF(計算用!$Y$12="","",IF(計算用!$B$1=1,INDEX(計算用!$H$3:$H$452,計算用!$Y$12),INDEX(振り分け!$D$7:$D$456,計算用!$Y$12)))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IF(計算用!$Y$13="","",11)</f>
        <v/>
      </c>
      <c r="B15" s="59">
        <f>IF(計算用!$Y$13="","",IF(計算用!$B$1=1,INDEX(計算用!$F$3:$F$452,計算用!$Y$13),INDEX(振り分け!$B$7:$B$456,計算用!$Y$13)))</f>
        <v/>
      </c>
      <c r="C15" s="59">
        <f>IF(計算用!$Y$13="","",IF(計算用!$B$1=1,INDEX(計算用!$G$3:$G$452,計算用!$Y$13),INDEX(振り分け!$C$7:$C$456,計算用!$Y$13)))</f>
        <v/>
      </c>
      <c r="D15" s="70">
        <f>IF(計算用!$Y$13="","",IF(計算用!$B$1=1,INDEX(計算用!$H$3:$H$452,計算用!$Y$13),INDEX(振り分け!$D$7:$D$456,計算用!$Y$13)))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IF(計算用!$Y$14="","",12)</f>
        <v/>
      </c>
      <c r="B16" s="59">
        <f>IF(計算用!$Y$14="","",IF(計算用!$B$1=1,INDEX(計算用!$F$3:$F$452,計算用!$Y$14),INDEX(振り分け!$B$7:$B$456,計算用!$Y$14)))</f>
        <v/>
      </c>
      <c r="C16" s="59">
        <f>IF(計算用!$Y$14="","",IF(計算用!$B$1=1,INDEX(計算用!$G$3:$G$452,計算用!$Y$14),INDEX(振り分け!$C$7:$C$456,計算用!$Y$14)))</f>
        <v/>
      </c>
      <c r="D16" s="70">
        <f>IF(計算用!$Y$14="","",IF(計算用!$B$1=1,INDEX(計算用!$H$3:$H$452,計算用!$Y$14),INDEX(振り分け!$D$7:$D$456,計算用!$Y$14)))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IF(計算用!$Y$15="","",13)</f>
        <v/>
      </c>
      <c r="B17" s="59">
        <f>IF(計算用!$Y$15="","",IF(計算用!$B$1=1,INDEX(計算用!$F$3:$F$452,計算用!$Y$15),INDEX(振り分け!$B$7:$B$456,計算用!$Y$15)))</f>
        <v/>
      </c>
      <c r="C17" s="59">
        <f>IF(計算用!$Y$15="","",IF(計算用!$B$1=1,INDEX(計算用!$G$3:$G$452,計算用!$Y$15),INDEX(振り分け!$C$7:$C$456,計算用!$Y$15)))</f>
        <v/>
      </c>
      <c r="D17" s="70">
        <f>IF(計算用!$Y$15="","",IF(計算用!$B$1=1,INDEX(計算用!$H$3:$H$452,計算用!$Y$15),INDEX(振り分け!$D$7:$D$456,計算用!$Y$15)))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IF(計算用!$Y$16="","",14)</f>
        <v/>
      </c>
      <c r="B18" s="59">
        <f>IF(計算用!$Y$16="","",IF(計算用!$B$1=1,INDEX(計算用!$F$3:$F$452,計算用!$Y$16),INDEX(振り分け!$B$7:$B$456,計算用!$Y$16)))</f>
        <v/>
      </c>
      <c r="C18" s="59">
        <f>IF(計算用!$Y$16="","",IF(計算用!$B$1=1,INDEX(計算用!$G$3:$G$452,計算用!$Y$16),INDEX(振り分け!$C$7:$C$456,計算用!$Y$16)))</f>
        <v/>
      </c>
      <c r="D18" s="70">
        <f>IF(計算用!$Y$16="","",IF(計算用!$B$1=1,INDEX(計算用!$H$3:$H$452,計算用!$Y$16),INDEX(振り分け!$D$7:$D$456,計算用!$Y$16)))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IF(計算用!$Y$17="","",15)</f>
        <v/>
      </c>
      <c r="B19" s="59">
        <f>IF(計算用!$Y$17="","",IF(計算用!$B$1=1,INDEX(計算用!$F$3:$F$452,計算用!$Y$17),INDEX(振り分け!$B$7:$B$456,計算用!$Y$17)))</f>
        <v/>
      </c>
      <c r="C19" s="59">
        <f>IF(計算用!$Y$17="","",IF(計算用!$B$1=1,INDEX(計算用!$G$3:$G$452,計算用!$Y$17),INDEX(振り分け!$C$7:$C$456,計算用!$Y$17)))</f>
        <v/>
      </c>
      <c r="D19" s="70">
        <f>IF(計算用!$Y$17="","",IF(計算用!$B$1=1,INDEX(計算用!$H$3:$H$452,計算用!$Y$17),INDEX(振り分け!$D$7:$D$456,計算用!$Y$17)))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IF(計算用!$Y$18="","",16)</f>
        <v/>
      </c>
      <c r="B20" s="59">
        <f>IF(計算用!$Y$18="","",IF(計算用!$B$1=1,INDEX(計算用!$F$3:$F$452,計算用!$Y$18),INDEX(振り分け!$B$7:$B$456,計算用!$Y$18)))</f>
        <v/>
      </c>
      <c r="C20" s="59">
        <f>IF(計算用!$Y$18="","",IF(計算用!$B$1=1,INDEX(計算用!$G$3:$G$452,計算用!$Y$18),INDEX(振り分け!$C$7:$C$456,計算用!$Y$18)))</f>
        <v/>
      </c>
      <c r="D20" s="70">
        <f>IF(計算用!$Y$18="","",IF(計算用!$B$1=1,INDEX(計算用!$H$3:$H$452,計算用!$Y$18),INDEX(振り分け!$D$7:$D$456,計算用!$Y$18)))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IF(計算用!$Y$19="","",17)</f>
        <v/>
      </c>
      <c r="B21" s="59">
        <f>IF(計算用!$Y$19="","",IF(計算用!$B$1=1,INDEX(計算用!$F$3:$F$452,計算用!$Y$19),INDEX(振り分け!$B$7:$B$456,計算用!$Y$19)))</f>
        <v/>
      </c>
      <c r="C21" s="59">
        <f>IF(計算用!$Y$19="","",IF(計算用!$B$1=1,INDEX(計算用!$G$3:$G$452,計算用!$Y$19),INDEX(振り分け!$C$7:$C$456,計算用!$Y$19)))</f>
        <v/>
      </c>
      <c r="D21" s="70">
        <f>IF(計算用!$Y$19="","",IF(計算用!$B$1=1,INDEX(計算用!$H$3:$H$452,計算用!$Y$19),INDEX(振り分け!$D$7:$D$456,計算用!$Y$19)))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IF(計算用!$Y$20="","",18)</f>
        <v/>
      </c>
      <c r="B22" s="59">
        <f>IF(計算用!$Y$20="","",IF(計算用!$B$1=1,INDEX(計算用!$F$3:$F$452,計算用!$Y$20),INDEX(振り分け!$B$7:$B$456,計算用!$Y$20)))</f>
        <v/>
      </c>
      <c r="C22" s="59">
        <f>IF(計算用!$Y$20="","",IF(計算用!$B$1=1,INDEX(計算用!$G$3:$G$452,計算用!$Y$20),INDEX(振り分け!$C$7:$C$456,計算用!$Y$20)))</f>
        <v/>
      </c>
      <c r="D22" s="70">
        <f>IF(計算用!$Y$20="","",IF(計算用!$B$1=1,INDEX(計算用!$H$3:$H$452,計算用!$Y$20),INDEX(振り分け!$D$7:$D$456,計算用!$Y$20)))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IF(計算用!$Y$21="","",19)</f>
        <v/>
      </c>
      <c r="B23" s="59">
        <f>IF(計算用!$Y$21="","",IF(計算用!$B$1=1,INDEX(計算用!$F$3:$F$452,計算用!$Y$21),INDEX(振り分け!$B$7:$B$456,計算用!$Y$21)))</f>
        <v/>
      </c>
      <c r="C23" s="59">
        <f>IF(計算用!$Y$21="","",IF(計算用!$B$1=1,INDEX(計算用!$G$3:$G$452,計算用!$Y$21),INDEX(振り分け!$C$7:$C$456,計算用!$Y$21)))</f>
        <v/>
      </c>
      <c r="D23" s="70">
        <f>IF(計算用!$Y$21="","",IF(計算用!$B$1=1,INDEX(計算用!$H$3:$H$452,計算用!$Y$21),INDEX(振り分け!$D$7:$D$456,計算用!$Y$21)))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IF(計算用!$Y$22="","",20)</f>
        <v/>
      </c>
      <c r="B24" s="59">
        <f>IF(計算用!$Y$22="","",IF(計算用!$B$1=1,INDEX(計算用!$F$3:$F$452,計算用!$Y$22),INDEX(振り分け!$B$7:$B$456,計算用!$Y$22)))</f>
        <v/>
      </c>
      <c r="C24" s="59">
        <f>IF(計算用!$Y$22="","",IF(計算用!$B$1=1,INDEX(計算用!$G$3:$G$452,計算用!$Y$22),INDEX(振り分け!$C$7:$C$456,計算用!$Y$22)))</f>
        <v/>
      </c>
      <c r="D24" s="70">
        <f>IF(計算用!$Y$22="","",IF(計算用!$B$1=1,INDEX(計算用!$H$3:$H$452,計算用!$Y$22),INDEX(振り分け!$D$7:$D$456,計算用!$Y$22)))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IF(計算用!$Y$23="","",21)</f>
        <v/>
      </c>
      <c r="B25" s="59">
        <f>IF(計算用!$Y$23="","",IF(計算用!$B$1=1,INDEX(計算用!$F$3:$F$452,計算用!$Y$23),INDEX(振り分け!$B$7:$B$456,計算用!$Y$23)))</f>
        <v/>
      </c>
      <c r="C25" s="59">
        <f>IF(計算用!$Y$23="","",IF(計算用!$B$1=1,INDEX(計算用!$G$3:$G$452,計算用!$Y$23),INDEX(振り分け!$C$7:$C$456,計算用!$Y$23)))</f>
        <v/>
      </c>
      <c r="D25" s="70">
        <f>IF(計算用!$Y$23="","",IF(計算用!$B$1=1,INDEX(計算用!$H$3:$H$452,計算用!$Y$23),INDEX(振り分け!$D$7:$D$456,計算用!$Y$23)))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IF(計算用!$Y$24="","",22)</f>
        <v/>
      </c>
      <c r="B26" s="59">
        <f>IF(計算用!$Y$24="","",IF(計算用!$B$1=1,INDEX(計算用!$F$3:$F$452,計算用!$Y$24),INDEX(振り分け!$B$7:$B$456,計算用!$Y$24)))</f>
        <v/>
      </c>
      <c r="C26" s="59">
        <f>IF(計算用!$Y$24="","",IF(計算用!$B$1=1,INDEX(計算用!$G$3:$G$452,計算用!$Y$24),INDEX(振り分け!$C$7:$C$456,計算用!$Y$24)))</f>
        <v/>
      </c>
      <c r="D26" s="70">
        <f>IF(計算用!$Y$24="","",IF(計算用!$B$1=1,INDEX(計算用!$H$3:$H$452,計算用!$Y$24),INDEX(振り分け!$D$7:$D$456,計算用!$Y$24)))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IF(計算用!$Y$25="","",23)</f>
        <v/>
      </c>
      <c r="B27" s="59">
        <f>IF(計算用!$Y$25="","",IF(計算用!$B$1=1,INDEX(計算用!$F$3:$F$452,計算用!$Y$25),INDEX(振り分け!$B$7:$B$456,計算用!$Y$25)))</f>
        <v/>
      </c>
      <c r="C27" s="59">
        <f>IF(計算用!$Y$25="","",IF(計算用!$B$1=1,INDEX(計算用!$G$3:$G$452,計算用!$Y$25),INDEX(振り分け!$C$7:$C$456,計算用!$Y$25)))</f>
        <v/>
      </c>
      <c r="D27" s="70">
        <f>IF(計算用!$Y$25="","",IF(計算用!$B$1=1,INDEX(計算用!$H$3:$H$452,計算用!$Y$25),INDEX(振り分け!$D$7:$D$456,計算用!$Y$25)))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IF(計算用!$Y$26="","",24)</f>
        <v/>
      </c>
      <c r="B28" s="59">
        <f>IF(計算用!$Y$26="","",IF(計算用!$B$1=1,INDEX(計算用!$F$3:$F$452,計算用!$Y$26),INDEX(振り分け!$B$7:$B$456,計算用!$Y$26)))</f>
        <v/>
      </c>
      <c r="C28" s="59">
        <f>IF(計算用!$Y$26="","",IF(計算用!$B$1=1,INDEX(計算用!$G$3:$G$452,計算用!$Y$26),INDEX(振り分け!$C$7:$C$456,計算用!$Y$26)))</f>
        <v/>
      </c>
      <c r="D28" s="70">
        <f>IF(計算用!$Y$26="","",IF(計算用!$B$1=1,INDEX(計算用!$H$3:$H$452,計算用!$Y$26),INDEX(振り分け!$D$7:$D$456,計算用!$Y$26)))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IF(計算用!$Y$27="","",25)</f>
        <v/>
      </c>
      <c r="B29" s="59">
        <f>IF(計算用!$Y$27="","",IF(計算用!$B$1=1,INDEX(計算用!$F$3:$F$452,計算用!$Y$27),INDEX(振り分け!$B$7:$B$456,計算用!$Y$27)))</f>
        <v/>
      </c>
      <c r="C29" s="59">
        <f>IF(計算用!$Y$27="","",IF(計算用!$B$1=1,INDEX(計算用!$G$3:$G$452,計算用!$Y$27),INDEX(振り分け!$C$7:$C$456,計算用!$Y$27)))</f>
        <v/>
      </c>
      <c r="D29" s="70">
        <f>IF(計算用!$Y$27="","",IF(計算用!$B$1=1,INDEX(計算用!$H$3:$H$452,計算用!$Y$27),INDEX(振り分け!$D$7:$D$456,計算用!$Y$27)))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IF(計算用!$Y$28="","",26)</f>
        <v/>
      </c>
      <c r="B30" s="59">
        <f>IF(計算用!$Y$28="","",IF(計算用!$B$1=1,INDEX(計算用!$F$3:$F$452,計算用!$Y$28),INDEX(振り分け!$B$7:$B$456,計算用!$Y$28)))</f>
        <v/>
      </c>
      <c r="C30" s="59">
        <f>IF(計算用!$Y$28="","",IF(計算用!$B$1=1,INDEX(計算用!$G$3:$G$452,計算用!$Y$28),INDEX(振り分け!$C$7:$C$456,計算用!$Y$28)))</f>
        <v/>
      </c>
      <c r="D30" s="70">
        <f>IF(計算用!$Y$28="","",IF(計算用!$B$1=1,INDEX(計算用!$H$3:$H$452,計算用!$Y$28),INDEX(振り分け!$D$7:$D$456,計算用!$Y$28)))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IF(計算用!$Y$29="","",27)</f>
        <v/>
      </c>
      <c r="B31" s="59">
        <f>IF(計算用!$Y$29="","",IF(計算用!$B$1=1,INDEX(計算用!$F$3:$F$452,計算用!$Y$29),INDEX(振り分け!$B$7:$B$456,計算用!$Y$29)))</f>
        <v/>
      </c>
      <c r="C31" s="59">
        <f>IF(計算用!$Y$29="","",IF(計算用!$B$1=1,INDEX(計算用!$G$3:$G$452,計算用!$Y$29),INDEX(振り分け!$C$7:$C$456,計算用!$Y$29)))</f>
        <v/>
      </c>
      <c r="D31" s="70">
        <f>IF(計算用!$Y$29="","",IF(計算用!$B$1=1,INDEX(計算用!$H$3:$H$452,計算用!$Y$29),INDEX(振り分け!$D$7:$D$456,計算用!$Y$29)))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IF(計算用!$Y$30="","",28)</f>
        <v/>
      </c>
      <c r="B32" s="59">
        <f>IF(計算用!$Y$30="","",IF(計算用!$B$1=1,INDEX(計算用!$F$3:$F$452,計算用!$Y$30),INDEX(振り分け!$B$7:$B$456,計算用!$Y$30)))</f>
        <v/>
      </c>
      <c r="C32" s="59">
        <f>IF(計算用!$Y$30="","",IF(計算用!$B$1=1,INDEX(計算用!$G$3:$G$452,計算用!$Y$30),INDEX(振り分け!$C$7:$C$456,計算用!$Y$30)))</f>
        <v/>
      </c>
      <c r="D32" s="70">
        <f>IF(計算用!$Y$30="","",IF(計算用!$B$1=1,INDEX(計算用!$H$3:$H$452,計算用!$Y$30),INDEX(振り分け!$D$7:$D$456,計算用!$Y$30)))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IF(計算用!$Y$31="","",29)</f>
        <v/>
      </c>
      <c r="B33" s="59">
        <f>IF(計算用!$Y$31="","",IF(計算用!$B$1=1,INDEX(計算用!$F$3:$F$452,計算用!$Y$31),INDEX(振り分け!$B$7:$B$456,計算用!$Y$31)))</f>
        <v/>
      </c>
      <c r="C33" s="59">
        <f>IF(計算用!$Y$31="","",IF(計算用!$B$1=1,INDEX(計算用!$G$3:$G$452,計算用!$Y$31),INDEX(振り分け!$C$7:$C$456,計算用!$Y$31)))</f>
        <v/>
      </c>
      <c r="D33" s="70">
        <f>IF(計算用!$Y$31="","",IF(計算用!$B$1=1,INDEX(計算用!$H$3:$H$452,計算用!$Y$31),INDEX(振り分け!$D$7:$D$456,計算用!$Y$31)))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IF(計算用!$Y$32="","",30)</f>
        <v/>
      </c>
      <c r="B34" s="59">
        <f>IF(計算用!$Y$32="","",IF(計算用!$B$1=1,INDEX(計算用!$F$3:$F$452,計算用!$Y$32),INDEX(振り分け!$B$7:$B$456,計算用!$Y$32)))</f>
        <v/>
      </c>
      <c r="C34" s="59">
        <f>IF(計算用!$Y$32="","",IF(計算用!$B$1=1,INDEX(計算用!$G$3:$G$452,計算用!$Y$32),INDEX(振り分け!$C$7:$C$456,計算用!$Y$32)))</f>
        <v/>
      </c>
      <c r="D34" s="70">
        <f>IF(計算用!$Y$32="","",IF(計算用!$B$1=1,INDEX(計算用!$H$3:$H$452,計算用!$Y$32),INDEX(振り分け!$D$7:$D$456,計算用!$Y$32)))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IF(計算用!$Y$33="","",31)</f>
        <v/>
      </c>
      <c r="B35" s="59">
        <f>IF(計算用!$Y$33="","",IF(計算用!$B$1=1,INDEX(計算用!$F$3:$F$452,計算用!$Y$33),INDEX(振り分け!$B$7:$B$456,計算用!$Y$33)))</f>
        <v/>
      </c>
      <c r="C35" s="59">
        <f>IF(計算用!$Y$33="","",IF(計算用!$B$1=1,INDEX(計算用!$G$3:$G$452,計算用!$Y$33),INDEX(振り分け!$C$7:$C$456,計算用!$Y$33)))</f>
        <v/>
      </c>
      <c r="D35" s="70">
        <f>IF(計算用!$Y$33="","",IF(計算用!$B$1=1,INDEX(計算用!$H$3:$H$452,計算用!$Y$33),INDEX(振り分け!$D$7:$D$456,計算用!$Y$33)))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IF(計算用!$Y$34="","",32)</f>
        <v/>
      </c>
      <c r="B36" s="59">
        <f>IF(計算用!$Y$34="","",IF(計算用!$B$1=1,INDEX(計算用!$F$3:$F$452,計算用!$Y$34),INDEX(振り分け!$B$7:$B$456,計算用!$Y$34)))</f>
        <v/>
      </c>
      <c r="C36" s="59">
        <f>IF(計算用!$Y$34="","",IF(計算用!$B$1=1,INDEX(計算用!$G$3:$G$452,計算用!$Y$34),INDEX(振り分け!$C$7:$C$456,計算用!$Y$34)))</f>
        <v/>
      </c>
      <c r="D36" s="70">
        <f>IF(計算用!$Y$34="","",IF(計算用!$B$1=1,INDEX(計算用!$H$3:$H$452,計算用!$Y$34),INDEX(振り分け!$D$7:$D$456,計算用!$Y$34)))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IF(計算用!$Y$35="","",33)</f>
        <v/>
      </c>
      <c r="B37" s="59">
        <f>IF(計算用!$Y$35="","",IF(計算用!$B$1=1,INDEX(計算用!$F$3:$F$452,計算用!$Y$35),INDEX(振り分け!$B$7:$B$456,計算用!$Y$35)))</f>
        <v/>
      </c>
      <c r="C37" s="59">
        <f>IF(計算用!$Y$35="","",IF(計算用!$B$1=1,INDEX(計算用!$G$3:$G$452,計算用!$Y$35),INDEX(振り分け!$C$7:$C$456,計算用!$Y$35)))</f>
        <v/>
      </c>
      <c r="D37" s="70">
        <f>IF(計算用!$Y$35="","",IF(計算用!$B$1=1,INDEX(計算用!$H$3:$H$452,計算用!$Y$35),INDEX(振り分け!$D$7:$D$456,計算用!$Y$35)))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IF(計算用!$Y$36="","",34)</f>
        <v/>
      </c>
      <c r="B38" s="59">
        <f>IF(計算用!$Y$36="","",IF(計算用!$B$1=1,INDEX(計算用!$F$3:$F$452,計算用!$Y$36),INDEX(振り分け!$B$7:$B$456,計算用!$Y$36)))</f>
        <v/>
      </c>
      <c r="C38" s="59">
        <f>IF(計算用!$Y$36="","",IF(計算用!$B$1=1,INDEX(計算用!$G$3:$G$452,計算用!$Y$36),INDEX(振り分け!$C$7:$C$456,計算用!$Y$36)))</f>
        <v/>
      </c>
      <c r="D38" s="70">
        <f>IF(計算用!$Y$36="","",IF(計算用!$B$1=1,INDEX(計算用!$H$3:$H$452,計算用!$Y$36),INDEX(振り分け!$D$7:$D$456,計算用!$Y$36)))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IF(計算用!$Y$37="","",35)</f>
        <v/>
      </c>
      <c r="B39" s="59">
        <f>IF(計算用!$Y$37="","",IF(計算用!$B$1=1,INDEX(計算用!$F$3:$F$452,計算用!$Y$37),INDEX(振り分け!$B$7:$B$456,計算用!$Y$37)))</f>
        <v/>
      </c>
      <c r="C39" s="59">
        <f>IF(計算用!$Y$37="","",IF(計算用!$B$1=1,INDEX(計算用!$G$3:$G$452,計算用!$Y$37),INDEX(振り分け!$C$7:$C$456,計算用!$Y$37)))</f>
        <v/>
      </c>
      <c r="D39" s="70">
        <f>IF(計算用!$Y$37="","",IF(計算用!$B$1=1,INDEX(計算用!$H$3:$H$452,計算用!$Y$37),INDEX(振り分け!$D$7:$D$456,計算用!$Y$37)))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IF(計算用!$Y$38="","",36)</f>
        <v/>
      </c>
      <c r="B40" s="59">
        <f>IF(計算用!$Y$38="","",IF(計算用!$B$1=1,INDEX(計算用!$F$3:$F$452,計算用!$Y$38),INDEX(振り分け!$B$7:$B$456,計算用!$Y$38)))</f>
        <v/>
      </c>
      <c r="C40" s="59">
        <f>IF(計算用!$Y$38="","",IF(計算用!$B$1=1,INDEX(計算用!$G$3:$G$452,計算用!$Y$38),INDEX(振り分け!$C$7:$C$456,計算用!$Y$38)))</f>
        <v/>
      </c>
      <c r="D40" s="70">
        <f>IF(計算用!$Y$38="","",IF(計算用!$B$1=1,INDEX(計算用!$H$3:$H$452,計算用!$Y$38),INDEX(振り分け!$D$7:$D$456,計算用!$Y$38)))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IF(計算用!$Y$39="","",37)</f>
        <v/>
      </c>
      <c r="B41" s="59">
        <f>IF(計算用!$Y$39="","",IF(計算用!$B$1=1,INDEX(計算用!$F$3:$F$452,計算用!$Y$39),INDEX(振り分け!$B$7:$B$456,計算用!$Y$39)))</f>
        <v/>
      </c>
      <c r="C41" s="59">
        <f>IF(計算用!$Y$39="","",IF(計算用!$B$1=1,INDEX(計算用!$G$3:$G$452,計算用!$Y$39),INDEX(振り分け!$C$7:$C$456,計算用!$Y$39)))</f>
        <v/>
      </c>
      <c r="D41" s="70">
        <f>IF(計算用!$Y$39="","",IF(計算用!$B$1=1,INDEX(計算用!$H$3:$H$452,計算用!$Y$39),INDEX(振り分け!$D$7:$D$456,計算用!$Y$39)))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IF(計算用!$Y$40="","",38)</f>
        <v/>
      </c>
      <c r="B42" s="59">
        <f>IF(計算用!$Y$40="","",IF(計算用!$B$1=1,INDEX(計算用!$F$3:$F$452,計算用!$Y$40),INDEX(振り分け!$B$7:$B$456,計算用!$Y$40)))</f>
        <v/>
      </c>
      <c r="C42" s="59">
        <f>IF(計算用!$Y$40="","",IF(計算用!$B$1=1,INDEX(計算用!$G$3:$G$452,計算用!$Y$40),INDEX(振り分け!$C$7:$C$456,計算用!$Y$40)))</f>
        <v/>
      </c>
      <c r="D42" s="70">
        <f>IF(計算用!$Y$40="","",IF(計算用!$B$1=1,INDEX(計算用!$H$3:$H$452,計算用!$Y$40),INDEX(振り分け!$D$7:$D$456,計算用!$Y$40)))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IF(計算用!$Y$41="","",39)</f>
        <v/>
      </c>
      <c r="B43" s="59">
        <f>IF(計算用!$Y$41="","",IF(計算用!$B$1=1,INDEX(計算用!$F$3:$F$452,計算用!$Y$41),INDEX(振り分け!$B$7:$B$456,計算用!$Y$41)))</f>
        <v/>
      </c>
      <c r="C43" s="59">
        <f>IF(計算用!$Y$41="","",IF(計算用!$B$1=1,INDEX(計算用!$G$3:$G$452,計算用!$Y$41),INDEX(振り分け!$C$7:$C$456,計算用!$Y$41)))</f>
        <v/>
      </c>
      <c r="D43" s="70">
        <f>IF(計算用!$Y$41="","",IF(計算用!$B$1=1,INDEX(計算用!$H$3:$H$452,計算用!$Y$41),INDEX(振り分け!$D$7:$D$456,計算用!$Y$41)))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IF(計算用!$Y$42="","",40)</f>
        <v/>
      </c>
      <c r="B44" s="59">
        <f>IF(計算用!$Y$42="","",IF(計算用!$B$1=1,INDEX(計算用!$F$3:$F$452,計算用!$Y$42),INDEX(振り分け!$B$7:$B$456,計算用!$Y$42)))</f>
        <v/>
      </c>
      <c r="C44" s="59">
        <f>IF(計算用!$Y$42="","",IF(計算用!$B$1=1,INDEX(計算用!$G$3:$G$452,計算用!$Y$42),INDEX(振り分け!$C$7:$C$456,計算用!$Y$42)))</f>
        <v/>
      </c>
      <c r="D44" s="70">
        <f>IF(計算用!$Y$42="","",IF(計算用!$B$1=1,INDEX(計算用!$H$3:$H$452,計算用!$Y$42),INDEX(振り分け!$D$7:$D$456,計算用!$Y$42)))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IF(計算用!$Y$43="","",41)</f>
        <v/>
      </c>
      <c r="B45" s="59">
        <f>IF(計算用!$Y$43="","",IF(計算用!$B$1=1,INDEX(計算用!$F$3:$F$452,計算用!$Y$43),INDEX(振り分け!$B$7:$B$456,計算用!$Y$43)))</f>
        <v/>
      </c>
      <c r="C45" s="59">
        <f>IF(計算用!$Y$43="","",IF(計算用!$B$1=1,INDEX(計算用!$G$3:$G$452,計算用!$Y$43),INDEX(振り分け!$C$7:$C$456,計算用!$Y$43)))</f>
        <v/>
      </c>
      <c r="D45" s="70">
        <f>IF(計算用!$Y$43="","",IF(計算用!$B$1=1,INDEX(計算用!$H$3:$H$452,計算用!$Y$43),INDEX(振り分け!$D$7:$D$456,計算用!$Y$43)))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IF(計算用!$Y$44="","",42)</f>
        <v/>
      </c>
      <c r="B46" s="59">
        <f>IF(計算用!$Y$44="","",IF(計算用!$B$1=1,INDEX(計算用!$F$3:$F$452,計算用!$Y$44),INDEX(振り分け!$B$7:$B$456,計算用!$Y$44)))</f>
        <v/>
      </c>
      <c r="C46" s="59">
        <f>IF(計算用!$Y$44="","",IF(計算用!$B$1=1,INDEX(計算用!$G$3:$G$452,計算用!$Y$44),INDEX(振り分け!$C$7:$C$456,計算用!$Y$44)))</f>
        <v/>
      </c>
      <c r="D46" s="70">
        <f>IF(計算用!$Y$44="","",IF(計算用!$B$1=1,INDEX(計算用!$H$3:$H$452,計算用!$Y$44),INDEX(振り分け!$D$7:$D$456,計算用!$Y$44)))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IF(計算用!$Y$45="","",43)</f>
        <v/>
      </c>
      <c r="B47" s="59">
        <f>IF(計算用!$Y$45="","",IF(計算用!$B$1=1,INDEX(計算用!$F$3:$F$452,計算用!$Y$45),INDEX(振り分け!$B$7:$B$456,計算用!$Y$45)))</f>
        <v/>
      </c>
      <c r="C47" s="59">
        <f>IF(計算用!$Y$45="","",IF(計算用!$B$1=1,INDEX(計算用!$G$3:$G$452,計算用!$Y$45),INDEX(振り分け!$C$7:$C$456,計算用!$Y$45)))</f>
        <v/>
      </c>
      <c r="D47" s="70">
        <f>IF(計算用!$Y$45="","",IF(計算用!$B$1=1,INDEX(計算用!$H$3:$H$452,計算用!$Y$45),INDEX(振り分け!$D$7:$D$456,計算用!$Y$45)))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IF(計算用!$Y$46="","",44)</f>
        <v/>
      </c>
      <c r="B48" s="59">
        <f>IF(計算用!$Y$46="","",IF(計算用!$B$1=1,INDEX(計算用!$F$3:$F$452,計算用!$Y$46),INDEX(振り分け!$B$7:$B$456,計算用!$Y$46)))</f>
        <v/>
      </c>
      <c r="C48" s="59">
        <f>IF(計算用!$Y$46="","",IF(計算用!$B$1=1,INDEX(計算用!$G$3:$G$452,計算用!$Y$46),INDEX(振り分け!$C$7:$C$456,計算用!$Y$46)))</f>
        <v/>
      </c>
      <c r="D48" s="70">
        <f>IF(計算用!$Y$46="","",IF(計算用!$B$1=1,INDEX(計算用!$H$3:$H$452,計算用!$Y$46),INDEX(振り分け!$D$7:$D$456,計算用!$Y$46)))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IF(計算用!$Y$47="","",45)</f>
        <v/>
      </c>
      <c r="B49" s="59">
        <f>IF(計算用!$Y$47="","",IF(計算用!$B$1=1,INDEX(計算用!$F$3:$F$452,計算用!$Y$47),INDEX(振り分け!$B$7:$B$456,計算用!$Y$47)))</f>
        <v/>
      </c>
      <c r="C49" s="59">
        <f>IF(計算用!$Y$47="","",IF(計算用!$B$1=1,INDEX(計算用!$G$3:$G$452,計算用!$Y$47),INDEX(振り分け!$C$7:$C$456,計算用!$Y$47)))</f>
        <v/>
      </c>
      <c r="D49" s="70">
        <f>IF(計算用!$Y$47="","",IF(計算用!$B$1=1,INDEX(計算用!$H$3:$H$452,計算用!$Y$47),INDEX(振り分け!$D$7:$D$456,計算用!$Y$47)))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IF(計算用!$Y$48="","",46)</f>
        <v/>
      </c>
      <c r="B50" s="59">
        <f>IF(計算用!$Y$48="","",IF(計算用!$B$1=1,INDEX(計算用!$F$3:$F$452,計算用!$Y$48),INDEX(振り分け!$B$7:$B$456,計算用!$Y$48)))</f>
        <v/>
      </c>
      <c r="C50" s="59">
        <f>IF(計算用!$Y$48="","",IF(計算用!$B$1=1,INDEX(計算用!$G$3:$G$452,計算用!$Y$48),INDEX(振り分け!$C$7:$C$456,計算用!$Y$48)))</f>
        <v/>
      </c>
      <c r="D50" s="70">
        <f>IF(計算用!$Y$48="","",IF(計算用!$B$1=1,INDEX(計算用!$H$3:$H$452,計算用!$Y$48),INDEX(振り分け!$D$7:$D$456,計算用!$Y$48)))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IF(計算用!$Y$49="","",47)</f>
        <v/>
      </c>
      <c r="B51" s="59">
        <f>IF(計算用!$Y$49="","",IF(計算用!$B$1=1,INDEX(計算用!$F$3:$F$452,計算用!$Y$49),INDEX(振り分け!$B$7:$B$456,計算用!$Y$49)))</f>
        <v/>
      </c>
      <c r="C51" s="59">
        <f>IF(計算用!$Y$49="","",IF(計算用!$B$1=1,INDEX(計算用!$G$3:$G$452,計算用!$Y$49),INDEX(振り分け!$C$7:$C$456,計算用!$Y$49)))</f>
        <v/>
      </c>
      <c r="D51" s="70">
        <f>IF(計算用!$Y$49="","",IF(計算用!$B$1=1,INDEX(計算用!$H$3:$H$452,計算用!$Y$49),INDEX(振り分け!$D$7:$D$456,計算用!$Y$49)))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IF(計算用!$Y$50="","",48)</f>
        <v/>
      </c>
      <c r="B52" s="59">
        <f>IF(計算用!$Y$50="","",IF(計算用!$B$1=1,INDEX(計算用!$F$3:$F$452,計算用!$Y$50),INDEX(振り分け!$B$7:$B$456,計算用!$Y$50)))</f>
        <v/>
      </c>
      <c r="C52" s="59">
        <f>IF(計算用!$Y$50="","",IF(計算用!$B$1=1,INDEX(計算用!$G$3:$G$452,計算用!$Y$50),INDEX(振り分け!$C$7:$C$456,計算用!$Y$50)))</f>
        <v/>
      </c>
      <c r="D52" s="70">
        <f>IF(計算用!$Y$50="","",IF(計算用!$B$1=1,INDEX(計算用!$H$3:$H$452,計算用!$Y$50),INDEX(振り分け!$D$7:$D$456,計算用!$Y$50)))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IF(計算用!$Y$51="","",49)</f>
        <v/>
      </c>
      <c r="B53" s="59">
        <f>IF(計算用!$Y$51="","",IF(計算用!$B$1=1,INDEX(計算用!$F$3:$F$452,計算用!$Y$51),INDEX(振り分け!$B$7:$B$456,計算用!$Y$51)))</f>
        <v/>
      </c>
      <c r="C53" s="59">
        <f>IF(計算用!$Y$51="","",IF(計算用!$B$1=1,INDEX(計算用!$G$3:$G$452,計算用!$Y$51),INDEX(振り分け!$C$7:$C$456,計算用!$Y$51)))</f>
        <v/>
      </c>
      <c r="D53" s="70">
        <f>IF(計算用!$Y$51="","",IF(計算用!$B$1=1,INDEX(計算用!$H$3:$H$452,計算用!$Y$51),INDEX(振り分け!$D$7:$D$456,計算用!$Y$51)))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IF(計算用!$Y$52="","",50)</f>
        <v/>
      </c>
      <c r="B54" s="59">
        <f>IF(計算用!$Y$52="","",IF(計算用!$B$1=1,INDEX(計算用!$F$3:$F$452,計算用!$Y$52),INDEX(振り分け!$B$7:$B$456,計算用!$Y$52)))</f>
        <v/>
      </c>
      <c r="C54" s="59">
        <f>IF(計算用!$Y$52="","",IF(計算用!$B$1=1,INDEX(計算用!$G$3:$G$452,計算用!$Y$52),INDEX(振り分け!$C$7:$C$456,計算用!$Y$52)))</f>
        <v/>
      </c>
      <c r="D54" s="70">
        <f>IF(計算用!$Y$52="","",IF(計算用!$B$1=1,INDEX(計算用!$H$3:$H$452,計算用!$Y$52),INDEX(振り分け!$D$7:$D$456,計算用!$Y$52)))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IF(設定!$P$24="","",設定!$B$3&amp;"　"&amp;設定!$P$24&amp;設定!$B$4&amp;"名簿"&amp;IF(計算用!$B$1=0,"（仮・前年度の組）",""))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IF(設定!$P$24="","","担当："&amp;設定!$S$24&amp;"　　活動場所："&amp;設定!$T$24&amp;"　　人数："&amp;定員チェック!$I$23&amp;"名（"&amp;設定!$B$8&amp;"年"&amp;定員チェック!$J$23&amp;"・"&amp;設定!$B$9&amp;"年"&amp;定員チェック!$K$23&amp;"・"&amp;設定!$B$10&amp;"年"&amp;定員チェック!$L$23&amp;"）")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IF(計算用!$Z$3="","",1)</f>
        <v/>
      </c>
      <c r="B5" s="59">
        <f>IF(計算用!$Z$3="","",IF(計算用!$B$1=1,INDEX(計算用!$F$3:$F$452,計算用!$Z$3),INDEX(振り分け!$B$7:$B$456,計算用!$Z$3)))</f>
        <v/>
      </c>
      <c r="C5" s="59">
        <f>IF(計算用!$Z$3="","",IF(計算用!$B$1=1,INDEX(計算用!$G$3:$G$452,計算用!$Z$3),INDEX(振り分け!$C$7:$C$456,計算用!$Z$3)))</f>
        <v/>
      </c>
      <c r="D5" s="70">
        <f>IF(計算用!$Z$3="","",IF(計算用!$B$1=1,INDEX(計算用!$H$3:$H$452,計算用!$Z$3),INDEX(振り分け!$D$7:$D$456,計算用!$Z$3)))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IF(計算用!$Z$4="","",2)</f>
        <v/>
      </c>
      <c r="B6" s="59">
        <f>IF(計算用!$Z$4="","",IF(計算用!$B$1=1,INDEX(計算用!$F$3:$F$452,計算用!$Z$4),INDEX(振り分け!$B$7:$B$456,計算用!$Z$4)))</f>
        <v/>
      </c>
      <c r="C6" s="59">
        <f>IF(計算用!$Z$4="","",IF(計算用!$B$1=1,INDEX(計算用!$G$3:$G$452,計算用!$Z$4),INDEX(振り分け!$C$7:$C$456,計算用!$Z$4)))</f>
        <v/>
      </c>
      <c r="D6" s="70">
        <f>IF(計算用!$Z$4="","",IF(計算用!$B$1=1,INDEX(計算用!$H$3:$H$452,計算用!$Z$4),INDEX(振り分け!$D$7:$D$456,計算用!$Z$4)))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IF(計算用!$Z$5="","",3)</f>
        <v/>
      </c>
      <c r="B7" s="59">
        <f>IF(計算用!$Z$5="","",IF(計算用!$B$1=1,INDEX(計算用!$F$3:$F$452,計算用!$Z$5),INDEX(振り分け!$B$7:$B$456,計算用!$Z$5)))</f>
        <v/>
      </c>
      <c r="C7" s="59">
        <f>IF(計算用!$Z$5="","",IF(計算用!$B$1=1,INDEX(計算用!$G$3:$G$452,計算用!$Z$5),INDEX(振り分け!$C$7:$C$456,計算用!$Z$5)))</f>
        <v/>
      </c>
      <c r="D7" s="70">
        <f>IF(計算用!$Z$5="","",IF(計算用!$B$1=1,INDEX(計算用!$H$3:$H$452,計算用!$Z$5),INDEX(振り分け!$D$7:$D$456,計算用!$Z$5)))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IF(計算用!$Z$6="","",4)</f>
        <v/>
      </c>
      <c r="B8" s="59">
        <f>IF(計算用!$Z$6="","",IF(計算用!$B$1=1,INDEX(計算用!$F$3:$F$452,計算用!$Z$6),INDEX(振り分け!$B$7:$B$456,計算用!$Z$6)))</f>
        <v/>
      </c>
      <c r="C8" s="59">
        <f>IF(計算用!$Z$6="","",IF(計算用!$B$1=1,INDEX(計算用!$G$3:$G$452,計算用!$Z$6),INDEX(振り分け!$C$7:$C$456,計算用!$Z$6)))</f>
        <v/>
      </c>
      <c r="D8" s="70">
        <f>IF(計算用!$Z$6="","",IF(計算用!$B$1=1,INDEX(計算用!$H$3:$H$452,計算用!$Z$6),INDEX(振り分け!$D$7:$D$456,計算用!$Z$6)))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IF(計算用!$Z$7="","",5)</f>
        <v/>
      </c>
      <c r="B9" s="59">
        <f>IF(計算用!$Z$7="","",IF(計算用!$B$1=1,INDEX(計算用!$F$3:$F$452,計算用!$Z$7),INDEX(振り分け!$B$7:$B$456,計算用!$Z$7)))</f>
        <v/>
      </c>
      <c r="C9" s="59">
        <f>IF(計算用!$Z$7="","",IF(計算用!$B$1=1,INDEX(計算用!$G$3:$G$452,計算用!$Z$7),INDEX(振り分け!$C$7:$C$456,計算用!$Z$7)))</f>
        <v/>
      </c>
      <c r="D9" s="70">
        <f>IF(計算用!$Z$7="","",IF(計算用!$B$1=1,INDEX(計算用!$H$3:$H$452,計算用!$Z$7),INDEX(振り分け!$D$7:$D$456,計算用!$Z$7)))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IF(計算用!$Z$8="","",6)</f>
        <v/>
      </c>
      <c r="B10" s="59">
        <f>IF(計算用!$Z$8="","",IF(計算用!$B$1=1,INDEX(計算用!$F$3:$F$452,計算用!$Z$8),INDEX(振り分け!$B$7:$B$456,計算用!$Z$8)))</f>
        <v/>
      </c>
      <c r="C10" s="59">
        <f>IF(計算用!$Z$8="","",IF(計算用!$B$1=1,INDEX(計算用!$G$3:$G$452,計算用!$Z$8),INDEX(振り分け!$C$7:$C$456,計算用!$Z$8)))</f>
        <v/>
      </c>
      <c r="D10" s="70">
        <f>IF(計算用!$Z$8="","",IF(計算用!$B$1=1,INDEX(計算用!$H$3:$H$452,計算用!$Z$8),INDEX(振り分け!$D$7:$D$456,計算用!$Z$8)))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IF(計算用!$Z$9="","",7)</f>
        <v/>
      </c>
      <c r="B11" s="59">
        <f>IF(計算用!$Z$9="","",IF(計算用!$B$1=1,INDEX(計算用!$F$3:$F$452,計算用!$Z$9),INDEX(振り分け!$B$7:$B$456,計算用!$Z$9)))</f>
        <v/>
      </c>
      <c r="C11" s="59">
        <f>IF(計算用!$Z$9="","",IF(計算用!$B$1=1,INDEX(計算用!$G$3:$G$452,計算用!$Z$9),INDEX(振り分け!$C$7:$C$456,計算用!$Z$9)))</f>
        <v/>
      </c>
      <c r="D11" s="70">
        <f>IF(計算用!$Z$9="","",IF(計算用!$B$1=1,INDEX(計算用!$H$3:$H$452,計算用!$Z$9),INDEX(振り分け!$D$7:$D$456,計算用!$Z$9)))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IF(計算用!$Z$10="","",8)</f>
        <v/>
      </c>
      <c r="B12" s="59">
        <f>IF(計算用!$Z$10="","",IF(計算用!$B$1=1,INDEX(計算用!$F$3:$F$452,計算用!$Z$10),INDEX(振り分け!$B$7:$B$456,計算用!$Z$10)))</f>
        <v/>
      </c>
      <c r="C12" s="59">
        <f>IF(計算用!$Z$10="","",IF(計算用!$B$1=1,INDEX(計算用!$G$3:$G$452,計算用!$Z$10),INDEX(振り分け!$C$7:$C$456,計算用!$Z$10)))</f>
        <v/>
      </c>
      <c r="D12" s="70">
        <f>IF(計算用!$Z$10="","",IF(計算用!$B$1=1,INDEX(計算用!$H$3:$H$452,計算用!$Z$10),INDEX(振り分け!$D$7:$D$456,計算用!$Z$10)))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IF(計算用!$Z$11="","",9)</f>
        <v/>
      </c>
      <c r="B13" s="59">
        <f>IF(計算用!$Z$11="","",IF(計算用!$B$1=1,INDEX(計算用!$F$3:$F$452,計算用!$Z$11),INDEX(振り分け!$B$7:$B$456,計算用!$Z$11)))</f>
        <v/>
      </c>
      <c r="C13" s="59">
        <f>IF(計算用!$Z$11="","",IF(計算用!$B$1=1,INDEX(計算用!$G$3:$G$452,計算用!$Z$11),INDEX(振り分け!$C$7:$C$456,計算用!$Z$11)))</f>
        <v/>
      </c>
      <c r="D13" s="70">
        <f>IF(計算用!$Z$11="","",IF(計算用!$B$1=1,INDEX(計算用!$H$3:$H$452,計算用!$Z$11),INDEX(振り分け!$D$7:$D$456,計算用!$Z$11)))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IF(計算用!$Z$12="","",10)</f>
        <v/>
      </c>
      <c r="B14" s="59">
        <f>IF(計算用!$Z$12="","",IF(計算用!$B$1=1,INDEX(計算用!$F$3:$F$452,計算用!$Z$12),INDEX(振り分け!$B$7:$B$456,計算用!$Z$12)))</f>
        <v/>
      </c>
      <c r="C14" s="59">
        <f>IF(計算用!$Z$12="","",IF(計算用!$B$1=1,INDEX(計算用!$G$3:$G$452,計算用!$Z$12),INDEX(振り分け!$C$7:$C$456,計算用!$Z$12)))</f>
        <v/>
      </c>
      <c r="D14" s="70">
        <f>IF(計算用!$Z$12="","",IF(計算用!$B$1=1,INDEX(計算用!$H$3:$H$452,計算用!$Z$12),INDEX(振り分け!$D$7:$D$456,計算用!$Z$12)))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IF(計算用!$Z$13="","",11)</f>
        <v/>
      </c>
      <c r="B15" s="59">
        <f>IF(計算用!$Z$13="","",IF(計算用!$B$1=1,INDEX(計算用!$F$3:$F$452,計算用!$Z$13),INDEX(振り分け!$B$7:$B$456,計算用!$Z$13)))</f>
        <v/>
      </c>
      <c r="C15" s="59">
        <f>IF(計算用!$Z$13="","",IF(計算用!$B$1=1,INDEX(計算用!$G$3:$G$452,計算用!$Z$13),INDEX(振り分け!$C$7:$C$456,計算用!$Z$13)))</f>
        <v/>
      </c>
      <c r="D15" s="70">
        <f>IF(計算用!$Z$13="","",IF(計算用!$B$1=1,INDEX(計算用!$H$3:$H$452,計算用!$Z$13),INDEX(振り分け!$D$7:$D$456,計算用!$Z$13)))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IF(計算用!$Z$14="","",12)</f>
        <v/>
      </c>
      <c r="B16" s="59">
        <f>IF(計算用!$Z$14="","",IF(計算用!$B$1=1,INDEX(計算用!$F$3:$F$452,計算用!$Z$14),INDEX(振り分け!$B$7:$B$456,計算用!$Z$14)))</f>
        <v/>
      </c>
      <c r="C16" s="59">
        <f>IF(計算用!$Z$14="","",IF(計算用!$B$1=1,INDEX(計算用!$G$3:$G$452,計算用!$Z$14),INDEX(振り分け!$C$7:$C$456,計算用!$Z$14)))</f>
        <v/>
      </c>
      <c r="D16" s="70">
        <f>IF(計算用!$Z$14="","",IF(計算用!$B$1=1,INDEX(計算用!$H$3:$H$452,計算用!$Z$14),INDEX(振り分け!$D$7:$D$456,計算用!$Z$14)))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IF(計算用!$Z$15="","",13)</f>
        <v/>
      </c>
      <c r="B17" s="59">
        <f>IF(計算用!$Z$15="","",IF(計算用!$B$1=1,INDEX(計算用!$F$3:$F$452,計算用!$Z$15),INDEX(振り分け!$B$7:$B$456,計算用!$Z$15)))</f>
        <v/>
      </c>
      <c r="C17" s="59">
        <f>IF(計算用!$Z$15="","",IF(計算用!$B$1=1,INDEX(計算用!$G$3:$G$452,計算用!$Z$15),INDEX(振り分け!$C$7:$C$456,計算用!$Z$15)))</f>
        <v/>
      </c>
      <c r="D17" s="70">
        <f>IF(計算用!$Z$15="","",IF(計算用!$B$1=1,INDEX(計算用!$H$3:$H$452,計算用!$Z$15),INDEX(振り分け!$D$7:$D$456,計算用!$Z$15)))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IF(計算用!$Z$16="","",14)</f>
        <v/>
      </c>
      <c r="B18" s="59">
        <f>IF(計算用!$Z$16="","",IF(計算用!$B$1=1,INDEX(計算用!$F$3:$F$452,計算用!$Z$16),INDEX(振り分け!$B$7:$B$456,計算用!$Z$16)))</f>
        <v/>
      </c>
      <c r="C18" s="59">
        <f>IF(計算用!$Z$16="","",IF(計算用!$B$1=1,INDEX(計算用!$G$3:$G$452,計算用!$Z$16),INDEX(振り分け!$C$7:$C$456,計算用!$Z$16)))</f>
        <v/>
      </c>
      <c r="D18" s="70">
        <f>IF(計算用!$Z$16="","",IF(計算用!$B$1=1,INDEX(計算用!$H$3:$H$452,計算用!$Z$16),INDEX(振り分け!$D$7:$D$456,計算用!$Z$16)))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IF(計算用!$Z$17="","",15)</f>
        <v/>
      </c>
      <c r="B19" s="59">
        <f>IF(計算用!$Z$17="","",IF(計算用!$B$1=1,INDEX(計算用!$F$3:$F$452,計算用!$Z$17),INDEX(振り分け!$B$7:$B$456,計算用!$Z$17)))</f>
        <v/>
      </c>
      <c r="C19" s="59">
        <f>IF(計算用!$Z$17="","",IF(計算用!$B$1=1,INDEX(計算用!$G$3:$G$452,計算用!$Z$17),INDEX(振り分け!$C$7:$C$456,計算用!$Z$17)))</f>
        <v/>
      </c>
      <c r="D19" s="70">
        <f>IF(計算用!$Z$17="","",IF(計算用!$B$1=1,INDEX(計算用!$H$3:$H$452,計算用!$Z$17),INDEX(振り分け!$D$7:$D$456,計算用!$Z$17)))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IF(計算用!$Z$18="","",16)</f>
        <v/>
      </c>
      <c r="B20" s="59">
        <f>IF(計算用!$Z$18="","",IF(計算用!$B$1=1,INDEX(計算用!$F$3:$F$452,計算用!$Z$18),INDEX(振り分け!$B$7:$B$456,計算用!$Z$18)))</f>
        <v/>
      </c>
      <c r="C20" s="59">
        <f>IF(計算用!$Z$18="","",IF(計算用!$B$1=1,INDEX(計算用!$G$3:$G$452,計算用!$Z$18),INDEX(振り分け!$C$7:$C$456,計算用!$Z$18)))</f>
        <v/>
      </c>
      <c r="D20" s="70">
        <f>IF(計算用!$Z$18="","",IF(計算用!$B$1=1,INDEX(計算用!$H$3:$H$452,計算用!$Z$18),INDEX(振り分け!$D$7:$D$456,計算用!$Z$18)))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IF(計算用!$Z$19="","",17)</f>
        <v/>
      </c>
      <c r="B21" s="59">
        <f>IF(計算用!$Z$19="","",IF(計算用!$B$1=1,INDEX(計算用!$F$3:$F$452,計算用!$Z$19),INDEX(振り分け!$B$7:$B$456,計算用!$Z$19)))</f>
        <v/>
      </c>
      <c r="C21" s="59">
        <f>IF(計算用!$Z$19="","",IF(計算用!$B$1=1,INDEX(計算用!$G$3:$G$452,計算用!$Z$19),INDEX(振り分け!$C$7:$C$456,計算用!$Z$19)))</f>
        <v/>
      </c>
      <c r="D21" s="70">
        <f>IF(計算用!$Z$19="","",IF(計算用!$B$1=1,INDEX(計算用!$H$3:$H$452,計算用!$Z$19),INDEX(振り分け!$D$7:$D$456,計算用!$Z$19)))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IF(計算用!$Z$20="","",18)</f>
        <v/>
      </c>
      <c r="B22" s="59">
        <f>IF(計算用!$Z$20="","",IF(計算用!$B$1=1,INDEX(計算用!$F$3:$F$452,計算用!$Z$20),INDEX(振り分け!$B$7:$B$456,計算用!$Z$20)))</f>
        <v/>
      </c>
      <c r="C22" s="59">
        <f>IF(計算用!$Z$20="","",IF(計算用!$B$1=1,INDEX(計算用!$G$3:$G$452,計算用!$Z$20),INDEX(振り分け!$C$7:$C$456,計算用!$Z$20)))</f>
        <v/>
      </c>
      <c r="D22" s="70">
        <f>IF(計算用!$Z$20="","",IF(計算用!$B$1=1,INDEX(計算用!$H$3:$H$452,計算用!$Z$20),INDEX(振り分け!$D$7:$D$456,計算用!$Z$20)))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IF(計算用!$Z$21="","",19)</f>
        <v/>
      </c>
      <c r="B23" s="59">
        <f>IF(計算用!$Z$21="","",IF(計算用!$B$1=1,INDEX(計算用!$F$3:$F$452,計算用!$Z$21),INDEX(振り分け!$B$7:$B$456,計算用!$Z$21)))</f>
        <v/>
      </c>
      <c r="C23" s="59">
        <f>IF(計算用!$Z$21="","",IF(計算用!$B$1=1,INDEX(計算用!$G$3:$G$452,計算用!$Z$21),INDEX(振り分け!$C$7:$C$456,計算用!$Z$21)))</f>
        <v/>
      </c>
      <c r="D23" s="70">
        <f>IF(計算用!$Z$21="","",IF(計算用!$B$1=1,INDEX(計算用!$H$3:$H$452,計算用!$Z$21),INDEX(振り分け!$D$7:$D$456,計算用!$Z$21)))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IF(計算用!$Z$22="","",20)</f>
        <v/>
      </c>
      <c r="B24" s="59">
        <f>IF(計算用!$Z$22="","",IF(計算用!$B$1=1,INDEX(計算用!$F$3:$F$452,計算用!$Z$22),INDEX(振り分け!$B$7:$B$456,計算用!$Z$22)))</f>
        <v/>
      </c>
      <c r="C24" s="59">
        <f>IF(計算用!$Z$22="","",IF(計算用!$B$1=1,INDEX(計算用!$G$3:$G$452,計算用!$Z$22),INDEX(振り分け!$C$7:$C$456,計算用!$Z$22)))</f>
        <v/>
      </c>
      <c r="D24" s="70">
        <f>IF(計算用!$Z$22="","",IF(計算用!$B$1=1,INDEX(計算用!$H$3:$H$452,計算用!$Z$22),INDEX(振り分け!$D$7:$D$456,計算用!$Z$22)))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IF(計算用!$Z$23="","",21)</f>
        <v/>
      </c>
      <c r="B25" s="59">
        <f>IF(計算用!$Z$23="","",IF(計算用!$B$1=1,INDEX(計算用!$F$3:$F$452,計算用!$Z$23),INDEX(振り分け!$B$7:$B$456,計算用!$Z$23)))</f>
        <v/>
      </c>
      <c r="C25" s="59">
        <f>IF(計算用!$Z$23="","",IF(計算用!$B$1=1,INDEX(計算用!$G$3:$G$452,計算用!$Z$23),INDEX(振り分け!$C$7:$C$456,計算用!$Z$23)))</f>
        <v/>
      </c>
      <c r="D25" s="70">
        <f>IF(計算用!$Z$23="","",IF(計算用!$B$1=1,INDEX(計算用!$H$3:$H$452,計算用!$Z$23),INDEX(振り分け!$D$7:$D$456,計算用!$Z$23)))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IF(計算用!$Z$24="","",22)</f>
        <v/>
      </c>
      <c r="B26" s="59">
        <f>IF(計算用!$Z$24="","",IF(計算用!$B$1=1,INDEX(計算用!$F$3:$F$452,計算用!$Z$24),INDEX(振り分け!$B$7:$B$456,計算用!$Z$24)))</f>
        <v/>
      </c>
      <c r="C26" s="59">
        <f>IF(計算用!$Z$24="","",IF(計算用!$B$1=1,INDEX(計算用!$G$3:$G$452,計算用!$Z$24),INDEX(振り分け!$C$7:$C$456,計算用!$Z$24)))</f>
        <v/>
      </c>
      <c r="D26" s="70">
        <f>IF(計算用!$Z$24="","",IF(計算用!$B$1=1,INDEX(計算用!$H$3:$H$452,計算用!$Z$24),INDEX(振り分け!$D$7:$D$456,計算用!$Z$24)))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IF(計算用!$Z$25="","",23)</f>
        <v/>
      </c>
      <c r="B27" s="59">
        <f>IF(計算用!$Z$25="","",IF(計算用!$B$1=1,INDEX(計算用!$F$3:$F$452,計算用!$Z$25),INDEX(振り分け!$B$7:$B$456,計算用!$Z$25)))</f>
        <v/>
      </c>
      <c r="C27" s="59">
        <f>IF(計算用!$Z$25="","",IF(計算用!$B$1=1,INDEX(計算用!$G$3:$G$452,計算用!$Z$25),INDEX(振り分け!$C$7:$C$456,計算用!$Z$25)))</f>
        <v/>
      </c>
      <c r="D27" s="70">
        <f>IF(計算用!$Z$25="","",IF(計算用!$B$1=1,INDEX(計算用!$H$3:$H$452,計算用!$Z$25),INDEX(振り分け!$D$7:$D$456,計算用!$Z$25)))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IF(計算用!$Z$26="","",24)</f>
        <v/>
      </c>
      <c r="B28" s="59">
        <f>IF(計算用!$Z$26="","",IF(計算用!$B$1=1,INDEX(計算用!$F$3:$F$452,計算用!$Z$26),INDEX(振り分け!$B$7:$B$456,計算用!$Z$26)))</f>
        <v/>
      </c>
      <c r="C28" s="59">
        <f>IF(計算用!$Z$26="","",IF(計算用!$B$1=1,INDEX(計算用!$G$3:$G$452,計算用!$Z$26),INDEX(振り分け!$C$7:$C$456,計算用!$Z$26)))</f>
        <v/>
      </c>
      <c r="D28" s="70">
        <f>IF(計算用!$Z$26="","",IF(計算用!$B$1=1,INDEX(計算用!$H$3:$H$452,計算用!$Z$26),INDEX(振り分け!$D$7:$D$456,計算用!$Z$26)))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IF(計算用!$Z$27="","",25)</f>
        <v/>
      </c>
      <c r="B29" s="59">
        <f>IF(計算用!$Z$27="","",IF(計算用!$B$1=1,INDEX(計算用!$F$3:$F$452,計算用!$Z$27),INDEX(振り分け!$B$7:$B$456,計算用!$Z$27)))</f>
        <v/>
      </c>
      <c r="C29" s="59">
        <f>IF(計算用!$Z$27="","",IF(計算用!$B$1=1,INDEX(計算用!$G$3:$G$452,計算用!$Z$27),INDEX(振り分け!$C$7:$C$456,計算用!$Z$27)))</f>
        <v/>
      </c>
      <c r="D29" s="70">
        <f>IF(計算用!$Z$27="","",IF(計算用!$B$1=1,INDEX(計算用!$H$3:$H$452,計算用!$Z$27),INDEX(振り分け!$D$7:$D$456,計算用!$Z$27)))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IF(計算用!$Z$28="","",26)</f>
        <v/>
      </c>
      <c r="B30" s="59">
        <f>IF(計算用!$Z$28="","",IF(計算用!$B$1=1,INDEX(計算用!$F$3:$F$452,計算用!$Z$28),INDEX(振り分け!$B$7:$B$456,計算用!$Z$28)))</f>
        <v/>
      </c>
      <c r="C30" s="59">
        <f>IF(計算用!$Z$28="","",IF(計算用!$B$1=1,INDEX(計算用!$G$3:$G$452,計算用!$Z$28),INDEX(振り分け!$C$7:$C$456,計算用!$Z$28)))</f>
        <v/>
      </c>
      <c r="D30" s="70">
        <f>IF(計算用!$Z$28="","",IF(計算用!$B$1=1,INDEX(計算用!$H$3:$H$452,計算用!$Z$28),INDEX(振り分け!$D$7:$D$456,計算用!$Z$28)))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IF(計算用!$Z$29="","",27)</f>
        <v/>
      </c>
      <c r="B31" s="59">
        <f>IF(計算用!$Z$29="","",IF(計算用!$B$1=1,INDEX(計算用!$F$3:$F$452,計算用!$Z$29),INDEX(振り分け!$B$7:$B$456,計算用!$Z$29)))</f>
        <v/>
      </c>
      <c r="C31" s="59">
        <f>IF(計算用!$Z$29="","",IF(計算用!$B$1=1,INDEX(計算用!$G$3:$G$452,計算用!$Z$29),INDEX(振り分け!$C$7:$C$456,計算用!$Z$29)))</f>
        <v/>
      </c>
      <c r="D31" s="70">
        <f>IF(計算用!$Z$29="","",IF(計算用!$B$1=1,INDEX(計算用!$H$3:$H$452,計算用!$Z$29),INDEX(振り分け!$D$7:$D$456,計算用!$Z$29)))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IF(計算用!$Z$30="","",28)</f>
        <v/>
      </c>
      <c r="B32" s="59">
        <f>IF(計算用!$Z$30="","",IF(計算用!$B$1=1,INDEX(計算用!$F$3:$F$452,計算用!$Z$30),INDEX(振り分け!$B$7:$B$456,計算用!$Z$30)))</f>
        <v/>
      </c>
      <c r="C32" s="59">
        <f>IF(計算用!$Z$30="","",IF(計算用!$B$1=1,INDEX(計算用!$G$3:$G$452,計算用!$Z$30),INDEX(振り分け!$C$7:$C$456,計算用!$Z$30)))</f>
        <v/>
      </c>
      <c r="D32" s="70">
        <f>IF(計算用!$Z$30="","",IF(計算用!$B$1=1,INDEX(計算用!$H$3:$H$452,計算用!$Z$30),INDEX(振り分け!$D$7:$D$456,計算用!$Z$30)))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IF(計算用!$Z$31="","",29)</f>
        <v/>
      </c>
      <c r="B33" s="59">
        <f>IF(計算用!$Z$31="","",IF(計算用!$B$1=1,INDEX(計算用!$F$3:$F$452,計算用!$Z$31),INDEX(振り分け!$B$7:$B$456,計算用!$Z$31)))</f>
        <v/>
      </c>
      <c r="C33" s="59">
        <f>IF(計算用!$Z$31="","",IF(計算用!$B$1=1,INDEX(計算用!$G$3:$G$452,計算用!$Z$31),INDEX(振り分け!$C$7:$C$456,計算用!$Z$31)))</f>
        <v/>
      </c>
      <c r="D33" s="70">
        <f>IF(計算用!$Z$31="","",IF(計算用!$B$1=1,INDEX(計算用!$H$3:$H$452,計算用!$Z$31),INDEX(振り分け!$D$7:$D$456,計算用!$Z$31)))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IF(計算用!$Z$32="","",30)</f>
        <v/>
      </c>
      <c r="B34" s="59">
        <f>IF(計算用!$Z$32="","",IF(計算用!$B$1=1,INDEX(計算用!$F$3:$F$452,計算用!$Z$32),INDEX(振り分け!$B$7:$B$456,計算用!$Z$32)))</f>
        <v/>
      </c>
      <c r="C34" s="59">
        <f>IF(計算用!$Z$32="","",IF(計算用!$B$1=1,INDEX(計算用!$G$3:$G$452,計算用!$Z$32),INDEX(振り分け!$C$7:$C$456,計算用!$Z$32)))</f>
        <v/>
      </c>
      <c r="D34" s="70">
        <f>IF(計算用!$Z$32="","",IF(計算用!$B$1=1,INDEX(計算用!$H$3:$H$452,計算用!$Z$32),INDEX(振り分け!$D$7:$D$456,計算用!$Z$32)))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IF(計算用!$Z$33="","",31)</f>
        <v/>
      </c>
      <c r="B35" s="59">
        <f>IF(計算用!$Z$33="","",IF(計算用!$B$1=1,INDEX(計算用!$F$3:$F$452,計算用!$Z$33),INDEX(振り分け!$B$7:$B$456,計算用!$Z$33)))</f>
        <v/>
      </c>
      <c r="C35" s="59">
        <f>IF(計算用!$Z$33="","",IF(計算用!$B$1=1,INDEX(計算用!$G$3:$G$452,計算用!$Z$33),INDEX(振り分け!$C$7:$C$456,計算用!$Z$33)))</f>
        <v/>
      </c>
      <c r="D35" s="70">
        <f>IF(計算用!$Z$33="","",IF(計算用!$B$1=1,INDEX(計算用!$H$3:$H$452,計算用!$Z$33),INDEX(振り分け!$D$7:$D$456,計算用!$Z$33)))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IF(計算用!$Z$34="","",32)</f>
        <v/>
      </c>
      <c r="B36" s="59">
        <f>IF(計算用!$Z$34="","",IF(計算用!$B$1=1,INDEX(計算用!$F$3:$F$452,計算用!$Z$34),INDEX(振り分け!$B$7:$B$456,計算用!$Z$34)))</f>
        <v/>
      </c>
      <c r="C36" s="59">
        <f>IF(計算用!$Z$34="","",IF(計算用!$B$1=1,INDEX(計算用!$G$3:$G$452,計算用!$Z$34),INDEX(振り分け!$C$7:$C$456,計算用!$Z$34)))</f>
        <v/>
      </c>
      <c r="D36" s="70">
        <f>IF(計算用!$Z$34="","",IF(計算用!$B$1=1,INDEX(計算用!$H$3:$H$452,計算用!$Z$34),INDEX(振り分け!$D$7:$D$456,計算用!$Z$34)))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IF(計算用!$Z$35="","",33)</f>
        <v/>
      </c>
      <c r="B37" s="59">
        <f>IF(計算用!$Z$35="","",IF(計算用!$B$1=1,INDEX(計算用!$F$3:$F$452,計算用!$Z$35),INDEX(振り分け!$B$7:$B$456,計算用!$Z$35)))</f>
        <v/>
      </c>
      <c r="C37" s="59">
        <f>IF(計算用!$Z$35="","",IF(計算用!$B$1=1,INDEX(計算用!$G$3:$G$452,計算用!$Z$35),INDEX(振り分け!$C$7:$C$456,計算用!$Z$35)))</f>
        <v/>
      </c>
      <c r="D37" s="70">
        <f>IF(計算用!$Z$35="","",IF(計算用!$B$1=1,INDEX(計算用!$H$3:$H$452,計算用!$Z$35),INDEX(振り分け!$D$7:$D$456,計算用!$Z$35)))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IF(計算用!$Z$36="","",34)</f>
        <v/>
      </c>
      <c r="B38" s="59">
        <f>IF(計算用!$Z$36="","",IF(計算用!$B$1=1,INDEX(計算用!$F$3:$F$452,計算用!$Z$36),INDEX(振り分け!$B$7:$B$456,計算用!$Z$36)))</f>
        <v/>
      </c>
      <c r="C38" s="59">
        <f>IF(計算用!$Z$36="","",IF(計算用!$B$1=1,INDEX(計算用!$G$3:$G$452,計算用!$Z$36),INDEX(振り分け!$C$7:$C$456,計算用!$Z$36)))</f>
        <v/>
      </c>
      <c r="D38" s="70">
        <f>IF(計算用!$Z$36="","",IF(計算用!$B$1=1,INDEX(計算用!$H$3:$H$452,計算用!$Z$36),INDEX(振り分け!$D$7:$D$456,計算用!$Z$36)))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IF(計算用!$Z$37="","",35)</f>
        <v/>
      </c>
      <c r="B39" s="59">
        <f>IF(計算用!$Z$37="","",IF(計算用!$B$1=1,INDEX(計算用!$F$3:$F$452,計算用!$Z$37),INDEX(振り分け!$B$7:$B$456,計算用!$Z$37)))</f>
        <v/>
      </c>
      <c r="C39" s="59">
        <f>IF(計算用!$Z$37="","",IF(計算用!$B$1=1,INDEX(計算用!$G$3:$G$452,計算用!$Z$37),INDEX(振り分け!$C$7:$C$456,計算用!$Z$37)))</f>
        <v/>
      </c>
      <c r="D39" s="70">
        <f>IF(計算用!$Z$37="","",IF(計算用!$B$1=1,INDEX(計算用!$H$3:$H$452,計算用!$Z$37),INDEX(振り分け!$D$7:$D$456,計算用!$Z$37)))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IF(計算用!$Z$38="","",36)</f>
        <v/>
      </c>
      <c r="B40" s="59">
        <f>IF(計算用!$Z$38="","",IF(計算用!$B$1=1,INDEX(計算用!$F$3:$F$452,計算用!$Z$38),INDEX(振り分け!$B$7:$B$456,計算用!$Z$38)))</f>
        <v/>
      </c>
      <c r="C40" s="59">
        <f>IF(計算用!$Z$38="","",IF(計算用!$B$1=1,INDEX(計算用!$G$3:$G$452,計算用!$Z$38),INDEX(振り分け!$C$7:$C$456,計算用!$Z$38)))</f>
        <v/>
      </c>
      <c r="D40" s="70">
        <f>IF(計算用!$Z$38="","",IF(計算用!$B$1=1,INDEX(計算用!$H$3:$H$452,計算用!$Z$38),INDEX(振り分け!$D$7:$D$456,計算用!$Z$38)))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IF(計算用!$Z$39="","",37)</f>
        <v/>
      </c>
      <c r="B41" s="59">
        <f>IF(計算用!$Z$39="","",IF(計算用!$B$1=1,INDEX(計算用!$F$3:$F$452,計算用!$Z$39),INDEX(振り分け!$B$7:$B$456,計算用!$Z$39)))</f>
        <v/>
      </c>
      <c r="C41" s="59">
        <f>IF(計算用!$Z$39="","",IF(計算用!$B$1=1,INDEX(計算用!$G$3:$G$452,計算用!$Z$39),INDEX(振り分け!$C$7:$C$456,計算用!$Z$39)))</f>
        <v/>
      </c>
      <c r="D41" s="70">
        <f>IF(計算用!$Z$39="","",IF(計算用!$B$1=1,INDEX(計算用!$H$3:$H$452,計算用!$Z$39),INDEX(振り分け!$D$7:$D$456,計算用!$Z$39)))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IF(計算用!$Z$40="","",38)</f>
        <v/>
      </c>
      <c r="B42" s="59">
        <f>IF(計算用!$Z$40="","",IF(計算用!$B$1=1,INDEX(計算用!$F$3:$F$452,計算用!$Z$40),INDEX(振り分け!$B$7:$B$456,計算用!$Z$40)))</f>
        <v/>
      </c>
      <c r="C42" s="59">
        <f>IF(計算用!$Z$40="","",IF(計算用!$B$1=1,INDEX(計算用!$G$3:$G$452,計算用!$Z$40),INDEX(振り分け!$C$7:$C$456,計算用!$Z$40)))</f>
        <v/>
      </c>
      <c r="D42" s="70">
        <f>IF(計算用!$Z$40="","",IF(計算用!$B$1=1,INDEX(計算用!$H$3:$H$452,計算用!$Z$40),INDEX(振り分け!$D$7:$D$456,計算用!$Z$40)))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IF(計算用!$Z$41="","",39)</f>
        <v/>
      </c>
      <c r="B43" s="59">
        <f>IF(計算用!$Z$41="","",IF(計算用!$B$1=1,INDEX(計算用!$F$3:$F$452,計算用!$Z$41),INDEX(振り分け!$B$7:$B$456,計算用!$Z$41)))</f>
        <v/>
      </c>
      <c r="C43" s="59">
        <f>IF(計算用!$Z$41="","",IF(計算用!$B$1=1,INDEX(計算用!$G$3:$G$452,計算用!$Z$41),INDEX(振り分け!$C$7:$C$456,計算用!$Z$41)))</f>
        <v/>
      </c>
      <c r="D43" s="70">
        <f>IF(計算用!$Z$41="","",IF(計算用!$B$1=1,INDEX(計算用!$H$3:$H$452,計算用!$Z$41),INDEX(振り分け!$D$7:$D$456,計算用!$Z$41)))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IF(計算用!$Z$42="","",40)</f>
        <v/>
      </c>
      <c r="B44" s="59">
        <f>IF(計算用!$Z$42="","",IF(計算用!$B$1=1,INDEX(計算用!$F$3:$F$452,計算用!$Z$42),INDEX(振り分け!$B$7:$B$456,計算用!$Z$42)))</f>
        <v/>
      </c>
      <c r="C44" s="59">
        <f>IF(計算用!$Z$42="","",IF(計算用!$B$1=1,INDEX(計算用!$G$3:$G$452,計算用!$Z$42),INDEX(振り分け!$C$7:$C$456,計算用!$Z$42)))</f>
        <v/>
      </c>
      <c r="D44" s="70">
        <f>IF(計算用!$Z$42="","",IF(計算用!$B$1=1,INDEX(計算用!$H$3:$H$452,計算用!$Z$42),INDEX(振り分け!$D$7:$D$456,計算用!$Z$42)))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IF(計算用!$Z$43="","",41)</f>
        <v/>
      </c>
      <c r="B45" s="59">
        <f>IF(計算用!$Z$43="","",IF(計算用!$B$1=1,INDEX(計算用!$F$3:$F$452,計算用!$Z$43),INDEX(振り分け!$B$7:$B$456,計算用!$Z$43)))</f>
        <v/>
      </c>
      <c r="C45" s="59">
        <f>IF(計算用!$Z$43="","",IF(計算用!$B$1=1,INDEX(計算用!$G$3:$G$452,計算用!$Z$43),INDEX(振り分け!$C$7:$C$456,計算用!$Z$43)))</f>
        <v/>
      </c>
      <c r="D45" s="70">
        <f>IF(計算用!$Z$43="","",IF(計算用!$B$1=1,INDEX(計算用!$H$3:$H$452,計算用!$Z$43),INDEX(振り分け!$D$7:$D$456,計算用!$Z$43)))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IF(計算用!$Z$44="","",42)</f>
        <v/>
      </c>
      <c r="B46" s="59">
        <f>IF(計算用!$Z$44="","",IF(計算用!$B$1=1,INDEX(計算用!$F$3:$F$452,計算用!$Z$44),INDEX(振り分け!$B$7:$B$456,計算用!$Z$44)))</f>
        <v/>
      </c>
      <c r="C46" s="59">
        <f>IF(計算用!$Z$44="","",IF(計算用!$B$1=1,INDEX(計算用!$G$3:$G$452,計算用!$Z$44),INDEX(振り分け!$C$7:$C$456,計算用!$Z$44)))</f>
        <v/>
      </c>
      <c r="D46" s="70">
        <f>IF(計算用!$Z$44="","",IF(計算用!$B$1=1,INDEX(計算用!$H$3:$H$452,計算用!$Z$44),INDEX(振り分け!$D$7:$D$456,計算用!$Z$44)))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IF(計算用!$Z$45="","",43)</f>
        <v/>
      </c>
      <c r="B47" s="59">
        <f>IF(計算用!$Z$45="","",IF(計算用!$B$1=1,INDEX(計算用!$F$3:$F$452,計算用!$Z$45),INDEX(振り分け!$B$7:$B$456,計算用!$Z$45)))</f>
        <v/>
      </c>
      <c r="C47" s="59">
        <f>IF(計算用!$Z$45="","",IF(計算用!$B$1=1,INDEX(計算用!$G$3:$G$452,計算用!$Z$45),INDEX(振り分け!$C$7:$C$456,計算用!$Z$45)))</f>
        <v/>
      </c>
      <c r="D47" s="70">
        <f>IF(計算用!$Z$45="","",IF(計算用!$B$1=1,INDEX(計算用!$H$3:$H$452,計算用!$Z$45),INDEX(振り分け!$D$7:$D$456,計算用!$Z$45)))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IF(計算用!$Z$46="","",44)</f>
        <v/>
      </c>
      <c r="B48" s="59">
        <f>IF(計算用!$Z$46="","",IF(計算用!$B$1=1,INDEX(計算用!$F$3:$F$452,計算用!$Z$46),INDEX(振り分け!$B$7:$B$456,計算用!$Z$46)))</f>
        <v/>
      </c>
      <c r="C48" s="59">
        <f>IF(計算用!$Z$46="","",IF(計算用!$B$1=1,INDEX(計算用!$G$3:$G$452,計算用!$Z$46),INDEX(振り分け!$C$7:$C$456,計算用!$Z$46)))</f>
        <v/>
      </c>
      <c r="D48" s="70">
        <f>IF(計算用!$Z$46="","",IF(計算用!$B$1=1,INDEX(計算用!$H$3:$H$452,計算用!$Z$46),INDEX(振り分け!$D$7:$D$456,計算用!$Z$46)))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IF(計算用!$Z$47="","",45)</f>
        <v/>
      </c>
      <c r="B49" s="59">
        <f>IF(計算用!$Z$47="","",IF(計算用!$B$1=1,INDEX(計算用!$F$3:$F$452,計算用!$Z$47),INDEX(振り分け!$B$7:$B$456,計算用!$Z$47)))</f>
        <v/>
      </c>
      <c r="C49" s="59">
        <f>IF(計算用!$Z$47="","",IF(計算用!$B$1=1,INDEX(計算用!$G$3:$G$452,計算用!$Z$47),INDEX(振り分け!$C$7:$C$456,計算用!$Z$47)))</f>
        <v/>
      </c>
      <c r="D49" s="70">
        <f>IF(計算用!$Z$47="","",IF(計算用!$B$1=1,INDEX(計算用!$H$3:$H$452,計算用!$Z$47),INDEX(振り分け!$D$7:$D$456,計算用!$Z$47)))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IF(計算用!$Z$48="","",46)</f>
        <v/>
      </c>
      <c r="B50" s="59">
        <f>IF(計算用!$Z$48="","",IF(計算用!$B$1=1,INDEX(計算用!$F$3:$F$452,計算用!$Z$48),INDEX(振り分け!$B$7:$B$456,計算用!$Z$48)))</f>
        <v/>
      </c>
      <c r="C50" s="59">
        <f>IF(計算用!$Z$48="","",IF(計算用!$B$1=1,INDEX(計算用!$G$3:$G$452,計算用!$Z$48),INDEX(振り分け!$C$7:$C$456,計算用!$Z$48)))</f>
        <v/>
      </c>
      <c r="D50" s="70">
        <f>IF(計算用!$Z$48="","",IF(計算用!$B$1=1,INDEX(計算用!$H$3:$H$452,計算用!$Z$48),INDEX(振り分け!$D$7:$D$456,計算用!$Z$48)))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IF(計算用!$Z$49="","",47)</f>
        <v/>
      </c>
      <c r="B51" s="59">
        <f>IF(計算用!$Z$49="","",IF(計算用!$B$1=1,INDEX(計算用!$F$3:$F$452,計算用!$Z$49),INDEX(振り分け!$B$7:$B$456,計算用!$Z$49)))</f>
        <v/>
      </c>
      <c r="C51" s="59">
        <f>IF(計算用!$Z$49="","",IF(計算用!$B$1=1,INDEX(計算用!$G$3:$G$452,計算用!$Z$49),INDEX(振り分け!$C$7:$C$456,計算用!$Z$49)))</f>
        <v/>
      </c>
      <c r="D51" s="70">
        <f>IF(計算用!$Z$49="","",IF(計算用!$B$1=1,INDEX(計算用!$H$3:$H$452,計算用!$Z$49),INDEX(振り分け!$D$7:$D$456,計算用!$Z$49)))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IF(計算用!$Z$50="","",48)</f>
        <v/>
      </c>
      <c r="B52" s="59">
        <f>IF(計算用!$Z$50="","",IF(計算用!$B$1=1,INDEX(計算用!$F$3:$F$452,計算用!$Z$50),INDEX(振り分け!$B$7:$B$456,計算用!$Z$50)))</f>
        <v/>
      </c>
      <c r="C52" s="59">
        <f>IF(計算用!$Z$50="","",IF(計算用!$B$1=1,INDEX(計算用!$G$3:$G$452,計算用!$Z$50),INDEX(振り分け!$C$7:$C$456,計算用!$Z$50)))</f>
        <v/>
      </c>
      <c r="D52" s="70">
        <f>IF(計算用!$Z$50="","",IF(計算用!$B$1=1,INDEX(計算用!$H$3:$H$452,計算用!$Z$50),INDEX(振り分け!$D$7:$D$456,計算用!$Z$50)))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IF(計算用!$Z$51="","",49)</f>
        <v/>
      </c>
      <c r="B53" s="59">
        <f>IF(計算用!$Z$51="","",IF(計算用!$B$1=1,INDEX(計算用!$F$3:$F$452,計算用!$Z$51),INDEX(振り分け!$B$7:$B$456,計算用!$Z$51)))</f>
        <v/>
      </c>
      <c r="C53" s="59">
        <f>IF(計算用!$Z$51="","",IF(計算用!$B$1=1,INDEX(計算用!$G$3:$G$452,計算用!$Z$51),INDEX(振り分け!$C$7:$C$456,計算用!$Z$51)))</f>
        <v/>
      </c>
      <c r="D53" s="70">
        <f>IF(計算用!$Z$51="","",IF(計算用!$B$1=1,INDEX(計算用!$H$3:$H$452,計算用!$Z$51),INDEX(振り分け!$D$7:$D$456,計算用!$Z$51)))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IF(計算用!$Z$52="","",50)</f>
        <v/>
      </c>
      <c r="B54" s="59">
        <f>IF(計算用!$Z$52="","",IF(計算用!$B$1=1,INDEX(計算用!$F$3:$F$452,計算用!$Z$52),INDEX(振り分け!$B$7:$B$456,計算用!$Z$52)))</f>
        <v/>
      </c>
      <c r="C54" s="59">
        <f>IF(計算用!$Z$52="","",IF(計算用!$B$1=1,INDEX(計算用!$G$3:$G$452,計算用!$Z$52),INDEX(振り分け!$C$7:$C$456,計算用!$Z$52)))</f>
        <v/>
      </c>
      <c r="D54" s="70">
        <f>IF(計算用!$Z$52="","",IF(計算用!$B$1=1,INDEX(計算用!$H$3:$H$452,計算用!$Z$52),INDEX(振り分け!$D$7:$D$456,計算用!$Z$52)))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IF(設定!$P$25="","",設定!$B$3&amp;"　"&amp;設定!$P$25&amp;設定!$B$4&amp;"名簿"&amp;IF(計算用!$B$1=0,"（仮・前年度の組）",""))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IF(設定!$P$25="","","担当："&amp;設定!$S$25&amp;"　　活動場所："&amp;設定!$T$25&amp;"　　人数："&amp;定員チェック!$I$24&amp;"名（"&amp;設定!$B$8&amp;"年"&amp;定員チェック!$J$24&amp;"・"&amp;設定!$B$9&amp;"年"&amp;定員チェック!$K$24&amp;"・"&amp;設定!$B$10&amp;"年"&amp;定員チェック!$L$24&amp;"）")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IF(計算用!$AA$3="","",1)</f>
        <v/>
      </c>
      <c r="B5" s="59">
        <f>IF(計算用!$AA$3="","",IF(計算用!$B$1=1,INDEX(計算用!$F$3:$F$452,計算用!$AA$3),INDEX(振り分け!$B$7:$B$456,計算用!$AA$3)))</f>
        <v/>
      </c>
      <c r="C5" s="59">
        <f>IF(計算用!$AA$3="","",IF(計算用!$B$1=1,INDEX(計算用!$G$3:$G$452,計算用!$AA$3),INDEX(振り分け!$C$7:$C$456,計算用!$AA$3)))</f>
        <v/>
      </c>
      <c r="D5" s="70">
        <f>IF(計算用!$AA$3="","",IF(計算用!$B$1=1,INDEX(計算用!$H$3:$H$452,計算用!$AA$3),INDEX(振り分け!$D$7:$D$456,計算用!$AA$3)))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IF(計算用!$AA$4="","",2)</f>
        <v/>
      </c>
      <c r="B6" s="59">
        <f>IF(計算用!$AA$4="","",IF(計算用!$B$1=1,INDEX(計算用!$F$3:$F$452,計算用!$AA$4),INDEX(振り分け!$B$7:$B$456,計算用!$AA$4)))</f>
        <v/>
      </c>
      <c r="C6" s="59">
        <f>IF(計算用!$AA$4="","",IF(計算用!$B$1=1,INDEX(計算用!$G$3:$G$452,計算用!$AA$4),INDEX(振り分け!$C$7:$C$456,計算用!$AA$4)))</f>
        <v/>
      </c>
      <c r="D6" s="70">
        <f>IF(計算用!$AA$4="","",IF(計算用!$B$1=1,INDEX(計算用!$H$3:$H$452,計算用!$AA$4),INDEX(振り分け!$D$7:$D$456,計算用!$AA$4)))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IF(計算用!$AA$5="","",3)</f>
        <v/>
      </c>
      <c r="B7" s="59">
        <f>IF(計算用!$AA$5="","",IF(計算用!$B$1=1,INDEX(計算用!$F$3:$F$452,計算用!$AA$5),INDEX(振り分け!$B$7:$B$456,計算用!$AA$5)))</f>
        <v/>
      </c>
      <c r="C7" s="59">
        <f>IF(計算用!$AA$5="","",IF(計算用!$B$1=1,INDEX(計算用!$G$3:$G$452,計算用!$AA$5),INDEX(振り分け!$C$7:$C$456,計算用!$AA$5)))</f>
        <v/>
      </c>
      <c r="D7" s="70">
        <f>IF(計算用!$AA$5="","",IF(計算用!$B$1=1,INDEX(計算用!$H$3:$H$452,計算用!$AA$5),INDEX(振り分け!$D$7:$D$456,計算用!$AA$5)))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IF(計算用!$AA$6="","",4)</f>
        <v/>
      </c>
      <c r="B8" s="59">
        <f>IF(計算用!$AA$6="","",IF(計算用!$B$1=1,INDEX(計算用!$F$3:$F$452,計算用!$AA$6),INDEX(振り分け!$B$7:$B$456,計算用!$AA$6)))</f>
        <v/>
      </c>
      <c r="C8" s="59">
        <f>IF(計算用!$AA$6="","",IF(計算用!$B$1=1,INDEX(計算用!$G$3:$G$452,計算用!$AA$6),INDEX(振り分け!$C$7:$C$456,計算用!$AA$6)))</f>
        <v/>
      </c>
      <c r="D8" s="70">
        <f>IF(計算用!$AA$6="","",IF(計算用!$B$1=1,INDEX(計算用!$H$3:$H$452,計算用!$AA$6),INDEX(振り分け!$D$7:$D$456,計算用!$AA$6)))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IF(計算用!$AA$7="","",5)</f>
        <v/>
      </c>
      <c r="B9" s="59">
        <f>IF(計算用!$AA$7="","",IF(計算用!$B$1=1,INDEX(計算用!$F$3:$F$452,計算用!$AA$7),INDEX(振り分け!$B$7:$B$456,計算用!$AA$7)))</f>
        <v/>
      </c>
      <c r="C9" s="59">
        <f>IF(計算用!$AA$7="","",IF(計算用!$B$1=1,INDEX(計算用!$G$3:$G$452,計算用!$AA$7),INDEX(振り分け!$C$7:$C$456,計算用!$AA$7)))</f>
        <v/>
      </c>
      <c r="D9" s="70">
        <f>IF(計算用!$AA$7="","",IF(計算用!$B$1=1,INDEX(計算用!$H$3:$H$452,計算用!$AA$7),INDEX(振り分け!$D$7:$D$456,計算用!$AA$7)))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IF(計算用!$AA$8="","",6)</f>
        <v/>
      </c>
      <c r="B10" s="59">
        <f>IF(計算用!$AA$8="","",IF(計算用!$B$1=1,INDEX(計算用!$F$3:$F$452,計算用!$AA$8),INDEX(振り分け!$B$7:$B$456,計算用!$AA$8)))</f>
        <v/>
      </c>
      <c r="C10" s="59">
        <f>IF(計算用!$AA$8="","",IF(計算用!$B$1=1,INDEX(計算用!$G$3:$G$452,計算用!$AA$8),INDEX(振り分け!$C$7:$C$456,計算用!$AA$8)))</f>
        <v/>
      </c>
      <c r="D10" s="70">
        <f>IF(計算用!$AA$8="","",IF(計算用!$B$1=1,INDEX(計算用!$H$3:$H$452,計算用!$AA$8),INDEX(振り分け!$D$7:$D$456,計算用!$AA$8)))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IF(計算用!$AA$9="","",7)</f>
        <v/>
      </c>
      <c r="B11" s="59">
        <f>IF(計算用!$AA$9="","",IF(計算用!$B$1=1,INDEX(計算用!$F$3:$F$452,計算用!$AA$9),INDEX(振り分け!$B$7:$B$456,計算用!$AA$9)))</f>
        <v/>
      </c>
      <c r="C11" s="59">
        <f>IF(計算用!$AA$9="","",IF(計算用!$B$1=1,INDEX(計算用!$G$3:$G$452,計算用!$AA$9),INDEX(振り分け!$C$7:$C$456,計算用!$AA$9)))</f>
        <v/>
      </c>
      <c r="D11" s="70">
        <f>IF(計算用!$AA$9="","",IF(計算用!$B$1=1,INDEX(計算用!$H$3:$H$452,計算用!$AA$9),INDEX(振り分け!$D$7:$D$456,計算用!$AA$9)))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IF(計算用!$AA$10="","",8)</f>
        <v/>
      </c>
      <c r="B12" s="59">
        <f>IF(計算用!$AA$10="","",IF(計算用!$B$1=1,INDEX(計算用!$F$3:$F$452,計算用!$AA$10),INDEX(振り分け!$B$7:$B$456,計算用!$AA$10)))</f>
        <v/>
      </c>
      <c r="C12" s="59">
        <f>IF(計算用!$AA$10="","",IF(計算用!$B$1=1,INDEX(計算用!$G$3:$G$452,計算用!$AA$10),INDEX(振り分け!$C$7:$C$456,計算用!$AA$10)))</f>
        <v/>
      </c>
      <c r="D12" s="70">
        <f>IF(計算用!$AA$10="","",IF(計算用!$B$1=1,INDEX(計算用!$H$3:$H$452,計算用!$AA$10),INDEX(振り分け!$D$7:$D$456,計算用!$AA$10)))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IF(計算用!$AA$11="","",9)</f>
        <v/>
      </c>
      <c r="B13" s="59">
        <f>IF(計算用!$AA$11="","",IF(計算用!$B$1=1,INDEX(計算用!$F$3:$F$452,計算用!$AA$11),INDEX(振り分け!$B$7:$B$456,計算用!$AA$11)))</f>
        <v/>
      </c>
      <c r="C13" s="59">
        <f>IF(計算用!$AA$11="","",IF(計算用!$B$1=1,INDEX(計算用!$G$3:$G$452,計算用!$AA$11),INDEX(振り分け!$C$7:$C$456,計算用!$AA$11)))</f>
        <v/>
      </c>
      <c r="D13" s="70">
        <f>IF(計算用!$AA$11="","",IF(計算用!$B$1=1,INDEX(計算用!$H$3:$H$452,計算用!$AA$11),INDEX(振り分け!$D$7:$D$456,計算用!$AA$11)))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IF(計算用!$AA$12="","",10)</f>
        <v/>
      </c>
      <c r="B14" s="59">
        <f>IF(計算用!$AA$12="","",IF(計算用!$B$1=1,INDEX(計算用!$F$3:$F$452,計算用!$AA$12),INDEX(振り分け!$B$7:$B$456,計算用!$AA$12)))</f>
        <v/>
      </c>
      <c r="C14" s="59">
        <f>IF(計算用!$AA$12="","",IF(計算用!$B$1=1,INDEX(計算用!$G$3:$G$452,計算用!$AA$12),INDEX(振り分け!$C$7:$C$456,計算用!$AA$12)))</f>
        <v/>
      </c>
      <c r="D14" s="70">
        <f>IF(計算用!$AA$12="","",IF(計算用!$B$1=1,INDEX(計算用!$H$3:$H$452,計算用!$AA$12),INDEX(振り分け!$D$7:$D$456,計算用!$AA$12)))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IF(計算用!$AA$13="","",11)</f>
        <v/>
      </c>
      <c r="B15" s="59">
        <f>IF(計算用!$AA$13="","",IF(計算用!$B$1=1,INDEX(計算用!$F$3:$F$452,計算用!$AA$13),INDEX(振り分け!$B$7:$B$456,計算用!$AA$13)))</f>
        <v/>
      </c>
      <c r="C15" s="59">
        <f>IF(計算用!$AA$13="","",IF(計算用!$B$1=1,INDEX(計算用!$G$3:$G$452,計算用!$AA$13),INDEX(振り分け!$C$7:$C$456,計算用!$AA$13)))</f>
        <v/>
      </c>
      <c r="D15" s="70">
        <f>IF(計算用!$AA$13="","",IF(計算用!$B$1=1,INDEX(計算用!$H$3:$H$452,計算用!$AA$13),INDEX(振り分け!$D$7:$D$456,計算用!$AA$13)))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IF(計算用!$AA$14="","",12)</f>
        <v/>
      </c>
      <c r="B16" s="59">
        <f>IF(計算用!$AA$14="","",IF(計算用!$B$1=1,INDEX(計算用!$F$3:$F$452,計算用!$AA$14),INDEX(振り分け!$B$7:$B$456,計算用!$AA$14)))</f>
        <v/>
      </c>
      <c r="C16" s="59">
        <f>IF(計算用!$AA$14="","",IF(計算用!$B$1=1,INDEX(計算用!$G$3:$G$452,計算用!$AA$14),INDEX(振り分け!$C$7:$C$456,計算用!$AA$14)))</f>
        <v/>
      </c>
      <c r="D16" s="70">
        <f>IF(計算用!$AA$14="","",IF(計算用!$B$1=1,INDEX(計算用!$H$3:$H$452,計算用!$AA$14),INDEX(振り分け!$D$7:$D$456,計算用!$AA$14)))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IF(計算用!$AA$15="","",13)</f>
        <v/>
      </c>
      <c r="B17" s="59">
        <f>IF(計算用!$AA$15="","",IF(計算用!$B$1=1,INDEX(計算用!$F$3:$F$452,計算用!$AA$15),INDEX(振り分け!$B$7:$B$456,計算用!$AA$15)))</f>
        <v/>
      </c>
      <c r="C17" s="59">
        <f>IF(計算用!$AA$15="","",IF(計算用!$B$1=1,INDEX(計算用!$G$3:$G$452,計算用!$AA$15),INDEX(振り分け!$C$7:$C$456,計算用!$AA$15)))</f>
        <v/>
      </c>
      <c r="D17" s="70">
        <f>IF(計算用!$AA$15="","",IF(計算用!$B$1=1,INDEX(計算用!$H$3:$H$452,計算用!$AA$15),INDEX(振り分け!$D$7:$D$456,計算用!$AA$15)))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IF(計算用!$AA$16="","",14)</f>
        <v/>
      </c>
      <c r="B18" s="59">
        <f>IF(計算用!$AA$16="","",IF(計算用!$B$1=1,INDEX(計算用!$F$3:$F$452,計算用!$AA$16),INDEX(振り分け!$B$7:$B$456,計算用!$AA$16)))</f>
        <v/>
      </c>
      <c r="C18" s="59">
        <f>IF(計算用!$AA$16="","",IF(計算用!$B$1=1,INDEX(計算用!$G$3:$G$452,計算用!$AA$16),INDEX(振り分け!$C$7:$C$456,計算用!$AA$16)))</f>
        <v/>
      </c>
      <c r="D18" s="70">
        <f>IF(計算用!$AA$16="","",IF(計算用!$B$1=1,INDEX(計算用!$H$3:$H$452,計算用!$AA$16),INDEX(振り分け!$D$7:$D$456,計算用!$AA$16)))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IF(計算用!$AA$17="","",15)</f>
        <v/>
      </c>
      <c r="B19" s="59">
        <f>IF(計算用!$AA$17="","",IF(計算用!$B$1=1,INDEX(計算用!$F$3:$F$452,計算用!$AA$17),INDEX(振り分け!$B$7:$B$456,計算用!$AA$17)))</f>
        <v/>
      </c>
      <c r="C19" s="59">
        <f>IF(計算用!$AA$17="","",IF(計算用!$B$1=1,INDEX(計算用!$G$3:$G$452,計算用!$AA$17),INDEX(振り分け!$C$7:$C$456,計算用!$AA$17)))</f>
        <v/>
      </c>
      <c r="D19" s="70">
        <f>IF(計算用!$AA$17="","",IF(計算用!$B$1=1,INDEX(計算用!$H$3:$H$452,計算用!$AA$17),INDEX(振り分け!$D$7:$D$456,計算用!$AA$17)))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IF(計算用!$AA$18="","",16)</f>
        <v/>
      </c>
      <c r="B20" s="59">
        <f>IF(計算用!$AA$18="","",IF(計算用!$B$1=1,INDEX(計算用!$F$3:$F$452,計算用!$AA$18),INDEX(振り分け!$B$7:$B$456,計算用!$AA$18)))</f>
        <v/>
      </c>
      <c r="C20" s="59">
        <f>IF(計算用!$AA$18="","",IF(計算用!$B$1=1,INDEX(計算用!$G$3:$G$452,計算用!$AA$18),INDEX(振り分け!$C$7:$C$456,計算用!$AA$18)))</f>
        <v/>
      </c>
      <c r="D20" s="70">
        <f>IF(計算用!$AA$18="","",IF(計算用!$B$1=1,INDEX(計算用!$H$3:$H$452,計算用!$AA$18),INDEX(振り分け!$D$7:$D$456,計算用!$AA$18)))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IF(計算用!$AA$19="","",17)</f>
        <v/>
      </c>
      <c r="B21" s="59">
        <f>IF(計算用!$AA$19="","",IF(計算用!$B$1=1,INDEX(計算用!$F$3:$F$452,計算用!$AA$19),INDEX(振り分け!$B$7:$B$456,計算用!$AA$19)))</f>
        <v/>
      </c>
      <c r="C21" s="59">
        <f>IF(計算用!$AA$19="","",IF(計算用!$B$1=1,INDEX(計算用!$G$3:$G$452,計算用!$AA$19),INDEX(振り分け!$C$7:$C$456,計算用!$AA$19)))</f>
        <v/>
      </c>
      <c r="D21" s="70">
        <f>IF(計算用!$AA$19="","",IF(計算用!$B$1=1,INDEX(計算用!$H$3:$H$452,計算用!$AA$19),INDEX(振り分け!$D$7:$D$456,計算用!$AA$19)))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IF(計算用!$AA$20="","",18)</f>
        <v/>
      </c>
      <c r="B22" s="59">
        <f>IF(計算用!$AA$20="","",IF(計算用!$B$1=1,INDEX(計算用!$F$3:$F$452,計算用!$AA$20),INDEX(振り分け!$B$7:$B$456,計算用!$AA$20)))</f>
        <v/>
      </c>
      <c r="C22" s="59">
        <f>IF(計算用!$AA$20="","",IF(計算用!$B$1=1,INDEX(計算用!$G$3:$G$452,計算用!$AA$20),INDEX(振り分け!$C$7:$C$456,計算用!$AA$20)))</f>
        <v/>
      </c>
      <c r="D22" s="70">
        <f>IF(計算用!$AA$20="","",IF(計算用!$B$1=1,INDEX(計算用!$H$3:$H$452,計算用!$AA$20),INDEX(振り分け!$D$7:$D$456,計算用!$AA$20)))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IF(計算用!$AA$21="","",19)</f>
        <v/>
      </c>
      <c r="B23" s="59">
        <f>IF(計算用!$AA$21="","",IF(計算用!$B$1=1,INDEX(計算用!$F$3:$F$452,計算用!$AA$21),INDEX(振り分け!$B$7:$B$456,計算用!$AA$21)))</f>
        <v/>
      </c>
      <c r="C23" s="59">
        <f>IF(計算用!$AA$21="","",IF(計算用!$B$1=1,INDEX(計算用!$G$3:$G$452,計算用!$AA$21),INDEX(振り分け!$C$7:$C$456,計算用!$AA$21)))</f>
        <v/>
      </c>
      <c r="D23" s="70">
        <f>IF(計算用!$AA$21="","",IF(計算用!$B$1=1,INDEX(計算用!$H$3:$H$452,計算用!$AA$21),INDEX(振り分け!$D$7:$D$456,計算用!$AA$21)))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IF(計算用!$AA$22="","",20)</f>
        <v/>
      </c>
      <c r="B24" s="59">
        <f>IF(計算用!$AA$22="","",IF(計算用!$B$1=1,INDEX(計算用!$F$3:$F$452,計算用!$AA$22),INDEX(振り分け!$B$7:$B$456,計算用!$AA$22)))</f>
        <v/>
      </c>
      <c r="C24" s="59">
        <f>IF(計算用!$AA$22="","",IF(計算用!$B$1=1,INDEX(計算用!$G$3:$G$452,計算用!$AA$22),INDEX(振り分け!$C$7:$C$456,計算用!$AA$22)))</f>
        <v/>
      </c>
      <c r="D24" s="70">
        <f>IF(計算用!$AA$22="","",IF(計算用!$B$1=1,INDEX(計算用!$H$3:$H$452,計算用!$AA$22),INDEX(振り分け!$D$7:$D$456,計算用!$AA$22)))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IF(計算用!$AA$23="","",21)</f>
        <v/>
      </c>
      <c r="B25" s="59">
        <f>IF(計算用!$AA$23="","",IF(計算用!$B$1=1,INDEX(計算用!$F$3:$F$452,計算用!$AA$23),INDEX(振り分け!$B$7:$B$456,計算用!$AA$23)))</f>
        <v/>
      </c>
      <c r="C25" s="59">
        <f>IF(計算用!$AA$23="","",IF(計算用!$B$1=1,INDEX(計算用!$G$3:$G$452,計算用!$AA$23),INDEX(振り分け!$C$7:$C$456,計算用!$AA$23)))</f>
        <v/>
      </c>
      <c r="D25" s="70">
        <f>IF(計算用!$AA$23="","",IF(計算用!$B$1=1,INDEX(計算用!$H$3:$H$452,計算用!$AA$23),INDEX(振り分け!$D$7:$D$456,計算用!$AA$23)))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IF(計算用!$AA$24="","",22)</f>
        <v/>
      </c>
      <c r="B26" s="59">
        <f>IF(計算用!$AA$24="","",IF(計算用!$B$1=1,INDEX(計算用!$F$3:$F$452,計算用!$AA$24),INDEX(振り分け!$B$7:$B$456,計算用!$AA$24)))</f>
        <v/>
      </c>
      <c r="C26" s="59">
        <f>IF(計算用!$AA$24="","",IF(計算用!$B$1=1,INDEX(計算用!$G$3:$G$452,計算用!$AA$24),INDEX(振り分け!$C$7:$C$456,計算用!$AA$24)))</f>
        <v/>
      </c>
      <c r="D26" s="70">
        <f>IF(計算用!$AA$24="","",IF(計算用!$B$1=1,INDEX(計算用!$H$3:$H$452,計算用!$AA$24),INDEX(振り分け!$D$7:$D$456,計算用!$AA$24)))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IF(計算用!$AA$25="","",23)</f>
        <v/>
      </c>
      <c r="B27" s="59">
        <f>IF(計算用!$AA$25="","",IF(計算用!$B$1=1,INDEX(計算用!$F$3:$F$452,計算用!$AA$25),INDEX(振り分け!$B$7:$B$456,計算用!$AA$25)))</f>
        <v/>
      </c>
      <c r="C27" s="59">
        <f>IF(計算用!$AA$25="","",IF(計算用!$B$1=1,INDEX(計算用!$G$3:$G$452,計算用!$AA$25),INDEX(振り分け!$C$7:$C$456,計算用!$AA$25)))</f>
        <v/>
      </c>
      <c r="D27" s="70">
        <f>IF(計算用!$AA$25="","",IF(計算用!$B$1=1,INDEX(計算用!$H$3:$H$452,計算用!$AA$25),INDEX(振り分け!$D$7:$D$456,計算用!$AA$25)))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IF(計算用!$AA$26="","",24)</f>
        <v/>
      </c>
      <c r="B28" s="59">
        <f>IF(計算用!$AA$26="","",IF(計算用!$B$1=1,INDEX(計算用!$F$3:$F$452,計算用!$AA$26),INDEX(振り分け!$B$7:$B$456,計算用!$AA$26)))</f>
        <v/>
      </c>
      <c r="C28" s="59">
        <f>IF(計算用!$AA$26="","",IF(計算用!$B$1=1,INDEX(計算用!$G$3:$G$452,計算用!$AA$26),INDEX(振り分け!$C$7:$C$456,計算用!$AA$26)))</f>
        <v/>
      </c>
      <c r="D28" s="70">
        <f>IF(計算用!$AA$26="","",IF(計算用!$B$1=1,INDEX(計算用!$H$3:$H$452,計算用!$AA$26),INDEX(振り分け!$D$7:$D$456,計算用!$AA$26)))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IF(計算用!$AA$27="","",25)</f>
        <v/>
      </c>
      <c r="B29" s="59">
        <f>IF(計算用!$AA$27="","",IF(計算用!$B$1=1,INDEX(計算用!$F$3:$F$452,計算用!$AA$27),INDEX(振り分け!$B$7:$B$456,計算用!$AA$27)))</f>
        <v/>
      </c>
      <c r="C29" s="59">
        <f>IF(計算用!$AA$27="","",IF(計算用!$B$1=1,INDEX(計算用!$G$3:$G$452,計算用!$AA$27),INDEX(振り分け!$C$7:$C$456,計算用!$AA$27)))</f>
        <v/>
      </c>
      <c r="D29" s="70">
        <f>IF(計算用!$AA$27="","",IF(計算用!$B$1=1,INDEX(計算用!$H$3:$H$452,計算用!$AA$27),INDEX(振り分け!$D$7:$D$456,計算用!$AA$27)))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IF(計算用!$AA$28="","",26)</f>
        <v/>
      </c>
      <c r="B30" s="59">
        <f>IF(計算用!$AA$28="","",IF(計算用!$B$1=1,INDEX(計算用!$F$3:$F$452,計算用!$AA$28),INDEX(振り分け!$B$7:$B$456,計算用!$AA$28)))</f>
        <v/>
      </c>
      <c r="C30" s="59">
        <f>IF(計算用!$AA$28="","",IF(計算用!$B$1=1,INDEX(計算用!$G$3:$G$452,計算用!$AA$28),INDEX(振り分け!$C$7:$C$456,計算用!$AA$28)))</f>
        <v/>
      </c>
      <c r="D30" s="70">
        <f>IF(計算用!$AA$28="","",IF(計算用!$B$1=1,INDEX(計算用!$H$3:$H$452,計算用!$AA$28),INDEX(振り分け!$D$7:$D$456,計算用!$AA$28)))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IF(計算用!$AA$29="","",27)</f>
        <v/>
      </c>
      <c r="B31" s="59">
        <f>IF(計算用!$AA$29="","",IF(計算用!$B$1=1,INDEX(計算用!$F$3:$F$452,計算用!$AA$29),INDEX(振り分け!$B$7:$B$456,計算用!$AA$29)))</f>
        <v/>
      </c>
      <c r="C31" s="59">
        <f>IF(計算用!$AA$29="","",IF(計算用!$B$1=1,INDEX(計算用!$G$3:$G$452,計算用!$AA$29),INDEX(振り分け!$C$7:$C$456,計算用!$AA$29)))</f>
        <v/>
      </c>
      <c r="D31" s="70">
        <f>IF(計算用!$AA$29="","",IF(計算用!$B$1=1,INDEX(計算用!$H$3:$H$452,計算用!$AA$29),INDEX(振り分け!$D$7:$D$456,計算用!$AA$29)))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IF(計算用!$AA$30="","",28)</f>
        <v/>
      </c>
      <c r="B32" s="59">
        <f>IF(計算用!$AA$30="","",IF(計算用!$B$1=1,INDEX(計算用!$F$3:$F$452,計算用!$AA$30),INDEX(振り分け!$B$7:$B$456,計算用!$AA$30)))</f>
        <v/>
      </c>
      <c r="C32" s="59">
        <f>IF(計算用!$AA$30="","",IF(計算用!$B$1=1,INDEX(計算用!$G$3:$G$452,計算用!$AA$30),INDEX(振り分け!$C$7:$C$456,計算用!$AA$30)))</f>
        <v/>
      </c>
      <c r="D32" s="70">
        <f>IF(計算用!$AA$30="","",IF(計算用!$B$1=1,INDEX(計算用!$H$3:$H$452,計算用!$AA$30),INDEX(振り分け!$D$7:$D$456,計算用!$AA$30)))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IF(計算用!$AA$31="","",29)</f>
        <v/>
      </c>
      <c r="B33" s="59">
        <f>IF(計算用!$AA$31="","",IF(計算用!$B$1=1,INDEX(計算用!$F$3:$F$452,計算用!$AA$31),INDEX(振り分け!$B$7:$B$456,計算用!$AA$31)))</f>
        <v/>
      </c>
      <c r="C33" s="59">
        <f>IF(計算用!$AA$31="","",IF(計算用!$B$1=1,INDEX(計算用!$G$3:$G$452,計算用!$AA$31),INDEX(振り分け!$C$7:$C$456,計算用!$AA$31)))</f>
        <v/>
      </c>
      <c r="D33" s="70">
        <f>IF(計算用!$AA$31="","",IF(計算用!$B$1=1,INDEX(計算用!$H$3:$H$452,計算用!$AA$31),INDEX(振り分け!$D$7:$D$456,計算用!$AA$31)))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IF(計算用!$AA$32="","",30)</f>
        <v/>
      </c>
      <c r="B34" s="59">
        <f>IF(計算用!$AA$32="","",IF(計算用!$B$1=1,INDEX(計算用!$F$3:$F$452,計算用!$AA$32),INDEX(振り分け!$B$7:$B$456,計算用!$AA$32)))</f>
        <v/>
      </c>
      <c r="C34" s="59">
        <f>IF(計算用!$AA$32="","",IF(計算用!$B$1=1,INDEX(計算用!$G$3:$G$452,計算用!$AA$32),INDEX(振り分け!$C$7:$C$456,計算用!$AA$32)))</f>
        <v/>
      </c>
      <c r="D34" s="70">
        <f>IF(計算用!$AA$32="","",IF(計算用!$B$1=1,INDEX(計算用!$H$3:$H$452,計算用!$AA$32),INDEX(振り分け!$D$7:$D$456,計算用!$AA$32)))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IF(計算用!$AA$33="","",31)</f>
        <v/>
      </c>
      <c r="B35" s="59">
        <f>IF(計算用!$AA$33="","",IF(計算用!$B$1=1,INDEX(計算用!$F$3:$F$452,計算用!$AA$33),INDEX(振り分け!$B$7:$B$456,計算用!$AA$33)))</f>
        <v/>
      </c>
      <c r="C35" s="59">
        <f>IF(計算用!$AA$33="","",IF(計算用!$B$1=1,INDEX(計算用!$G$3:$G$452,計算用!$AA$33),INDEX(振り分け!$C$7:$C$456,計算用!$AA$33)))</f>
        <v/>
      </c>
      <c r="D35" s="70">
        <f>IF(計算用!$AA$33="","",IF(計算用!$B$1=1,INDEX(計算用!$H$3:$H$452,計算用!$AA$33),INDEX(振り分け!$D$7:$D$456,計算用!$AA$33)))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IF(計算用!$AA$34="","",32)</f>
        <v/>
      </c>
      <c r="B36" s="59">
        <f>IF(計算用!$AA$34="","",IF(計算用!$B$1=1,INDEX(計算用!$F$3:$F$452,計算用!$AA$34),INDEX(振り分け!$B$7:$B$456,計算用!$AA$34)))</f>
        <v/>
      </c>
      <c r="C36" s="59">
        <f>IF(計算用!$AA$34="","",IF(計算用!$B$1=1,INDEX(計算用!$G$3:$G$452,計算用!$AA$34),INDEX(振り分け!$C$7:$C$456,計算用!$AA$34)))</f>
        <v/>
      </c>
      <c r="D36" s="70">
        <f>IF(計算用!$AA$34="","",IF(計算用!$B$1=1,INDEX(計算用!$H$3:$H$452,計算用!$AA$34),INDEX(振り分け!$D$7:$D$456,計算用!$AA$34)))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IF(計算用!$AA$35="","",33)</f>
        <v/>
      </c>
      <c r="B37" s="59">
        <f>IF(計算用!$AA$35="","",IF(計算用!$B$1=1,INDEX(計算用!$F$3:$F$452,計算用!$AA$35),INDEX(振り分け!$B$7:$B$456,計算用!$AA$35)))</f>
        <v/>
      </c>
      <c r="C37" s="59">
        <f>IF(計算用!$AA$35="","",IF(計算用!$B$1=1,INDEX(計算用!$G$3:$G$452,計算用!$AA$35),INDEX(振り分け!$C$7:$C$456,計算用!$AA$35)))</f>
        <v/>
      </c>
      <c r="D37" s="70">
        <f>IF(計算用!$AA$35="","",IF(計算用!$B$1=1,INDEX(計算用!$H$3:$H$452,計算用!$AA$35),INDEX(振り分け!$D$7:$D$456,計算用!$AA$35)))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IF(計算用!$AA$36="","",34)</f>
        <v/>
      </c>
      <c r="B38" s="59">
        <f>IF(計算用!$AA$36="","",IF(計算用!$B$1=1,INDEX(計算用!$F$3:$F$452,計算用!$AA$36),INDEX(振り分け!$B$7:$B$456,計算用!$AA$36)))</f>
        <v/>
      </c>
      <c r="C38" s="59">
        <f>IF(計算用!$AA$36="","",IF(計算用!$B$1=1,INDEX(計算用!$G$3:$G$452,計算用!$AA$36),INDEX(振り分け!$C$7:$C$456,計算用!$AA$36)))</f>
        <v/>
      </c>
      <c r="D38" s="70">
        <f>IF(計算用!$AA$36="","",IF(計算用!$B$1=1,INDEX(計算用!$H$3:$H$452,計算用!$AA$36),INDEX(振り分け!$D$7:$D$456,計算用!$AA$36)))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IF(計算用!$AA$37="","",35)</f>
        <v/>
      </c>
      <c r="B39" s="59">
        <f>IF(計算用!$AA$37="","",IF(計算用!$B$1=1,INDEX(計算用!$F$3:$F$452,計算用!$AA$37),INDEX(振り分け!$B$7:$B$456,計算用!$AA$37)))</f>
        <v/>
      </c>
      <c r="C39" s="59">
        <f>IF(計算用!$AA$37="","",IF(計算用!$B$1=1,INDEX(計算用!$G$3:$G$452,計算用!$AA$37),INDEX(振り分け!$C$7:$C$456,計算用!$AA$37)))</f>
        <v/>
      </c>
      <c r="D39" s="70">
        <f>IF(計算用!$AA$37="","",IF(計算用!$B$1=1,INDEX(計算用!$H$3:$H$452,計算用!$AA$37),INDEX(振り分け!$D$7:$D$456,計算用!$AA$37)))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IF(計算用!$AA$38="","",36)</f>
        <v/>
      </c>
      <c r="B40" s="59">
        <f>IF(計算用!$AA$38="","",IF(計算用!$B$1=1,INDEX(計算用!$F$3:$F$452,計算用!$AA$38),INDEX(振り分け!$B$7:$B$456,計算用!$AA$38)))</f>
        <v/>
      </c>
      <c r="C40" s="59">
        <f>IF(計算用!$AA$38="","",IF(計算用!$B$1=1,INDEX(計算用!$G$3:$G$452,計算用!$AA$38),INDEX(振り分け!$C$7:$C$456,計算用!$AA$38)))</f>
        <v/>
      </c>
      <c r="D40" s="70">
        <f>IF(計算用!$AA$38="","",IF(計算用!$B$1=1,INDEX(計算用!$H$3:$H$452,計算用!$AA$38),INDEX(振り分け!$D$7:$D$456,計算用!$AA$38)))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IF(計算用!$AA$39="","",37)</f>
        <v/>
      </c>
      <c r="B41" s="59">
        <f>IF(計算用!$AA$39="","",IF(計算用!$B$1=1,INDEX(計算用!$F$3:$F$452,計算用!$AA$39),INDEX(振り分け!$B$7:$B$456,計算用!$AA$39)))</f>
        <v/>
      </c>
      <c r="C41" s="59">
        <f>IF(計算用!$AA$39="","",IF(計算用!$B$1=1,INDEX(計算用!$G$3:$G$452,計算用!$AA$39),INDEX(振り分け!$C$7:$C$456,計算用!$AA$39)))</f>
        <v/>
      </c>
      <c r="D41" s="70">
        <f>IF(計算用!$AA$39="","",IF(計算用!$B$1=1,INDEX(計算用!$H$3:$H$452,計算用!$AA$39),INDEX(振り分け!$D$7:$D$456,計算用!$AA$39)))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IF(計算用!$AA$40="","",38)</f>
        <v/>
      </c>
      <c r="B42" s="59">
        <f>IF(計算用!$AA$40="","",IF(計算用!$B$1=1,INDEX(計算用!$F$3:$F$452,計算用!$AA$40),INDEX(振り分け!$B$7:$B$456,計算用!$AA$40)))</f>
        <v/>
      </c>
      <c r="C42" s="59">
        <f>IF(計算用!$AA$40="","",IF(計算用!$B$1=1,INDEX(計算用!$G$3:$G$452,計算用!$AA$40),INDEX(振り分け!$C$7:$C$456,計算用!$AA$40)))</f>
        <v/>
      </c>
      <c r="D42" s="70">
        <f>IF(計算用!$AA$40="","",IF(計算用!$B$1=1,INDEX(計算用!$H$3:$H$452,計算用!$AA$40),INDEX(振り分け!$D$7:$D$456,計算用!$AA$40)))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IF(計算用!$AA$41="","",39)</f>
        <v/>
      </c>
      <c r="B43" s="59">
        <f>IF(計算用!$AA$41="","",IF(計算用!$B$1=1,INDEX(計算用!$F$3:$F$452,計算用!$AA$41),INDEX(振り分け!$B$7:$B$456,計算用!$AA$41)))</f>
        <v/>
      </c>
      <c r="C43" s="59">
        <f>IF(計算用!$AA$41="","",IF(計算用!$B$1=1,INDEX(計算用!$G$3:$G$452,計算用!$AA$41),INDEX(振り分け!$C$7:$C$456,計算用!$AA$41)))</f>
        <v/>
      </c>
      <c r="D43" s="70">
        <f>IF(計算用!$AA$41="","",IF(計算用!$B$1=1,INDEX(計算用!$H$3:$H$452,計算用!$AA$41),INDEX(振り分け!$D$7:$D$456,計算用!$AA$41)))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IF(計算用!$AA$42="","",40)</f>
        <v/>
      </c>
      <c r="B44" s="59">
        <f>IF(計算用!$AA$42="","",IF(計算用!$B$1=1,INDEX(計算用!$F$3:$F$452,計算用!$AA$42),INDEX(振り分け!$B$7:$B$456,計算用!$AA$42)))</f>
        <v/>
      </c>
      <c r="C44" s="59">
        <f>IF(計算用!$AA$42="","",IF(計算用!$B$1=1,INDEX(計算用!$G$3:$G$452,計算用!$AA$42),INDEX(振り分け!$C$7:$C$456,計算用!$AA$42)))</f>
        <v/>
      </c>
      <c r="D44" s="70">
        <f>IF(計算用!$AA$42="","",IF(計算用!$B$1=1,INDEX(計算用!$H$3:$H$452,計算用!$AA$42),INDEX(振り分け!$D$7:$D$456,計算用!$AA$42)))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IF(計算用!$AA$43="","",41)</f>
        <v/>
      </c>
      <c r="B45" s="59">
        <f>IF(計算用!$AA$43="","",IF(計算用!$B$1=1,INDEX(計算用!$F$3:$F$452,計算用!$AA$43),INDEX(振り分け!$B$7:$B$456,計算用!$AA$43)))</f>
        <v/>
      </c>
      <c r="C45" s="59">
        <f>IF(計算用!$AA$43="","",IF(計算用!$B$1=1,INDEX(計算用!$G$3:$G$452,計算用!$AA$43),INDEX(振り分け!$C$7:$C$456,計算用!$AA$43)))</f>
        <v/>
      </c>
      <c r="D45" s="70">
        <f>IF(計算用!$AA$43="","",IF(計算用!$B$1=1,INDEX(計算用!$H$3:$H$452,計算用!$AA$43),INDEX(振り分け!$D$7:$D$456,計算用!$AA$43)))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IF(計算用!$AA$44="","",42)</f>
        <v/>
      </c>
      <c r="B46" s="59">
        <f>IF(計算用!$AA$44="","",IF(計算用!$B$1=1,INDEX(計算用!$F$3:$F$452,計算用!$AA$44),INDEX(振り分け!$B$7:$B$456,計算用!$AA$44)))</f>
        <v/>
      </c>
      <c r="C46" s="59">
        <f>IF(計算用!$AA$44="","",IF(計算用!$B$1=1,INDEX(計算用!$G$3:$G$452,計算用!$AA$44),INDEX(振り分け!$C$7:$C$456,計算用!$AA$44)))</f>
        <v/>
      </c>
      <c r="D46" s="70">
        <f>IF(計算用!$AA$44="","",IF(計算用!$B$1=1,INDEX(計算用!$H$3:$H$452,計算用!$AA$44),INDEX(振り分け!$D$7:$D$456,計算用!$AA$44)))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IF(計算用!$AA$45="","",43)</f>
        <v/>
      </c>
      <c r="B47" s="59">
        <f>IF(計算用!$AA$45="","",IF(計算用!$B$1=1,INDEX(計算用!$F$3:$F$452,計算用!$AA$45),INDEX(振り分け!$B$7:$B$456,計算用!$AA$45)))</f>
        <v/>
      </c>
      <c r="C47" s="59">
        <f>IF(計算用!$AA$45="","",IF(計算用!$B$1=1,INDEX(計算用!$G$3:$G$452,計算用!$AA$45),INDEX(振り分け!$C$7:$C$456,計算用!$AA$45)))</f>
        <v/>
      </c>
      <c r="D47" s="70">
        <f>IF(計算用!$AA$45="","",IF(計算用!$B$1=1,INDEX(計算用!$H$3:$H$452,計算用!$AA$45),INDEX(振り分け!$D$7:$D$456,計算用!$AA$45)))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IF(計算用!$AA$46="","",44)</f>
        <v/>
      </c>
      <c r="B48" s="59">
        <f>IF(計算用!$AA$46="","",IF(計算用!$B$1=1,INDEX(計算用!$F$3:$F$452,計算用!$AA$46),INDEX(振り分け!$B$7:$B$456,計算用!$AA$46)))</f>
        <v/>
      </c>
      <c r="C48" s="59">
        <f>IF(計算用!$AA$46="","",IF(計算用!$B$1=1,INDEX(計算用!$G$3:$G$452,計算用!$AA$46),INDEX(振り分け!$C$7:$C$456,計算用!$AA$46)))</f>
        <v/>
      </c>
      <c r="D48" s="70">
        <f>IF(計算用!$AA$46="","",IF(計算用!$B$1=1,INDEX(計算用!$H$3:$H$452,計算用!$AA$46),INDEX(振り分け!$D$7:$D$456,計算用!$AA$46)))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IF(計算用!$AA$47="","",45)</f>
        <v/>
      </c>
      <c r="B49" s="59">
        <f>IF(計算用!$AA$47="","",IF(計算用!$B$1=1,INDEX(計算用!$F$3:$F$452,計算用!$AA$47),INDEX(振り分け!$B$7:$B$456,計算用!$AA$47)))</f>
        <v/>
      </c>
      <c r="C49" s="59">
        <f>IF(計算用!$AA$47="","",IF(計算用!$B$1=1,INDEX(計算用!$G$3:$G$452,計算用!$AA$47),INDEX(振り分け!$C$7:$C$456,計算用!$AA$47)))</f>
        <v/>
      </c>
      <c r="D49" s="70">
        <f>IF(計算用!$AA$47="","",IF(計算用!$B$1=1,INDEX(計算用!$H$3:$H$452,計算用!$AA$47),INDEX(振り分け!$D$7:$D$456,計算用!$AA$47)))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IF(計算用!$AA$48="","",46)</f>
        <v/>
      </c>
      <c r="B50" s="59">
        <f>IF(計算用!$AA$48="","",IF(計算用!$B$1=1,INDEX(計算用!$F$3:$F$452,計算用!$AA$48),INDEX(振り分け!$B$7:$B$456,計算用!$AA$48)))</f>
        <v/>
      </c>
      <c r="C50" s="59">
        <f>IF(計算用!$AA$48="","",IF(計算用!$B$1=1,INDEX(計算用!$G$3:$G$452,計算用!$AA$48),INDEX(振り分け!$C$7:$C$456,計算用!$AA$48)))</f>
        <v/>
      </c>
      <c r="D50" s="70">
        <f>IF(計算用!$AA$48="","",IF(計算用!$B$1=1,INDEX(計算用!$H$3:$H$452,計算用!$AA$48),INDEX(振り分け!$D$7:$D$456,計算用!$AA$48)))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IF(計算用!$AA$49="","",47)</f>
        <v/>
      </c>
      <c r="B51" s="59">
        <f>IF(計算用!$AA$49="","",IF(計算用!$B$1=1,INDEX(計算用!$F$3:$F$452,計算用!$AA$49),INDEX(振り分け!$B$7:$B$456,計算用!$AA$49)))</f>
        <v/>
      </c>
      <c r="C51" s="59">
        <f>IF(計算用!$AA$49="","",IF(計算用!$B$1=1,INDEX(計算用!$G$3:$G$452,計算用!$AA$49),INDEX(振り分け!$C$7:$C$456,計算用!$AA$49)))</f>
        <v/>
      </c>
      <c r="D51" s="70">
        <f>IF(計算用!$AA$49="","",IF(計算用!$B$1=1,INDEX(計算用!$H$3:$H$452,計算用!$AA$49),INDEX(振り分け!$D$7:$D$456,計算用!$AA$49)))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IF(計算用!$AA$50="","",48)</f>
        <v/>
      </c>
      <c r="B52" s="59">
        <f>IF(計算用!$AA$50="","",IF(計算用!$B$1=1,INDEX(計算用!$F$3:$F$452,計算用!$AA$50),INDEX(振り分け!$B$7:$B$456,計算用!$AA$50)))</f>
        <v/>
      </c>
      <c r="C52" s="59">
        <f>IF(計算用!$AA$50="","",IF(計算用!$B$1=1,INDEX(計算用!$G$3:$G$452,計算用!$AA$50),INDEX(振り分け!$C$7:$C$456,計算用!$AA$50)))</f>
        <v/>
      </c>
      <c r="D52" s="70">
        <f>IF(計算用!$AA$50="","",IF(計算用!$B$1=1,INDEX(計算用!$H$3:$H$452,計算用!$AA$50),INDEX(振り分け!$D$7:$D$456,計算用!$AA$50)))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IF(計算用!$AA$51="","",49)</f>
        <v/>
      </c>
      <c r="B53" s="59">
        <f>IF(計算用!$AA$51="","",IF(計算用!$B$1=1,INDEX(計算用!$F$3:$F$452,計算用!$AA$51),INDEX(振り分け!$B$7:$B$456,計算用!$AA$51)))</f>
        <v/>
      </c>
      <c r="C53" s="59">
        <f>IF(計算用!$AA$51="","",IF(計算用!$B$1=1,INDEX(計算用!$G$3:$G$452,計算用!$AA$51),INDEX(振り分け!$C$7:$C$456,計算用!$AA$51)))</f>
        <v/>
      </c>
      <c r="D53" s="70">
        <f>IF(計算用!$AA$51="","",IF(計算用!$B$1=1,INDEX(計算用!$H$3:$H$452,計算用!$AA$51),INDEX(振り分け!$D$7:$D$456,計算用!$AA$51)))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IF(計算用!$AA$52="","",50)</f>
        <v/>
      </c>
      <c r="B54" s="59">
        <f>IF(計算用!$AA$52="","",IF(計算用!$B$1=1,INDEX(計算用!$F$3:$F$452,計算用!$AA$52),INDEX(振り分け!$B$7:$B$456,計算用!$AA$52)))</f>
        <v/>
      </c>
      <c r="C54" s="59">
        <f>IF(計算用!$AA$52="","",IF(計算用!$B$1=1,INDEX(計算用!$G$3:$G$452,計算用!$AA$52),INDEX(振り分け!$C$7:$C$456,計算用!$AA$52)))</f>
        <v/>
      </c>
      <c r="D54" s="70">
        <f>IF(計算用!$AA$52="","",IF(計算用!$B$1=1,INDEX(計算用!$H$3:$H$452,計算用!$AA$52),INDEX(振り分け!$D$7:$D$456,計算用!$AA$52)))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IF(設定!$P$26="","",設定!$B$3&amp;"　"&amp;設定!$P$26&amp;設定!$B$4&amp;"名簿"&amp;IF(計算用!$B$1=0,"（仮・前年度の組）",""))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IF(設定!$P$26="","","担当："&amp;設定!$S$26&amp;"　　活動場所："&amp;設定!$T$26&amp;"　　人数："&amp;定員チェック!$I$25&amp;"名（"&amp;設定!$B$8&amp;"年"&amp;定員チェック!$J$25&amp;"・"&amp;設定!$B$9&amp;"年"&amp;定員チェック!$K$25&amp;"・"&amp;設定!$B$10&amp;"年"&amp;定員チェック!$L$25&amp;"）")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IF(計算用!$AB$3="","",1)</f>
        <v/>
      </c>
      <c r="B5" s="59">
        <f>IF(計算用!$AB$3="","",IF(計算用!$B$1=1,INDEX(計算用!$F$3:$F$452,計算用!$AB$3),INDEX(振り分け!$B$7:$B$456,計算用!$AB$3)))</f>
        <v/>
      </c>
      <c r="C5" s="59">
        <f>IF(計算用!$AB$3="","",IF(計算用!$B$1=1,INDEX(計算用!$G$3:$G$452,計算用!$AB$3),INDEX(振り分け!$C$7:$C$456,計算用!$AB$3)))</f>
        <v/>
      </c>
      <c r="D5" s="70">
        <f>IF(計算用!$AB$3="","",IF(計算用!$B$1=1,INDEX(計算用!$H$3:$H$452,計算用!$AB$3),INDEX(振り分け!$D$7:$D$456,計算用!$AB$3)))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IF(計算用!$AB$4="","",2)</f>
        <v/>
      </c>
      <c r="B6" s="59">
        <f>IF(計算用!$AB$4="","",IF(計算用!$B$1=1,INDEX(計算用!$F$3:$F$452,計算用!$AB$4),INDEX(振り分け!$B$7:$B$456,計算用!$AB$4)))</f>
        <v/>
      </c>
      <c r="C6" s="59">
        <f>IF(計算用!$AB$4="","",IF(計算用!$B$1=1,INDEX(計算用!$G$3:$G$452,計算用!$AB$4),INDEX(振り分け!$C$7:$C$456,計算用!$AB$4)))</f>
        <v/>
      </c>
      <c r="D6" s="70">
        <f>IF(計算用!$AB$4="","",IF(計算用!$B$1=1,INDEX(計算用!$H$3:$H$452,計算用!$AB$4),INDEX(振り分け!$D$7:$D$456,計算用!$AB$4)))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IF(計算用!$AB$5="","",3)</f>
        <v/>
      </c>
      <c r="B7" s="59">
        <f>IF(計算用!$AB$5="","",IF(計算用!$B$1=1,INDEX(計算用!$F$3:$F$452,計算用!$AB$5),INDEX(振り分け!$B$7:$B$456,計算用!$AB$5)))</f>
        <v/>
      </c>
      <c r="C7" s="59">
        <f>IF(計算用!$AB$5="","",IF(計算用!$B$1=1,INDEX(計算用!$G$3:$G$452,計算用!$AB$5),INDEX(振り分け!$C$7:$C$456,計算用!$AB$5)))</f>
        <v/>
      </c>
      <c r="D7" s="70">
        <f>IF(計算用!$AB$5="","",IF(計算用!$B$1=1,INDEX(計算用!$H$3:$H$452,計算用!$AB$5),INDEX(振り分け!$D$7:$D$456,計算用!$AB$5)))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IF(計算用!$AB$6="","",4)</f>
        <v/>
      </c>
      <c r="B8" s="59">
        <f>IF(計算用!$AB$6="","",IF(計算用!$B$1=1,INDEX(計算用!$F$3:$F$452,計算用!$AB$6),INDEX(振り分け!$B$7:$B$456,計算用!$AB$6)))</f>
        <v/>
      </c>
      <c r="C8" s="59">
        <f>IF(計算用!$AB$6="","",IF(計算用!$B$1=1,INDEX(計算用!$G$3:$G$452,計算用!$AB$6),INDEX(振り分け!$C$7:$C$456,計算用!$AB$6)))</f>
        <v/>
      </c>
      <c r="D8" s="70">
        <f>IF(計算用!$AB$6="","",IF(計算用!$B$1=1,INDEX(計算用!$H$3:$H$452,計算用!$AB$6),INDEX(振り分け!$D$7:$D$456,計算用!$AB$6)))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IF(計算用!$AB$7="","",5)</f>
        <v/>
      </c>
      <c r="B9" s="59">
        <f>IF(計算用!$AB$7="","",IF(計算用!$B$1=1,INDEX(計算用!$F$3:$F$452,計算用!$AB$7),INDEX(振り分け!$B$7:$B$456,計算用!$AB$7)))</f>
        <v/>
      </c>
      <c r="C9" s="59">
        <f>IF(計算用!$AB$7="","",IF(計算用!$B$1=1,INDEX(計算用!$G$3:$G$452,計算用!$AB$7),INDEX(振り分け!$C$7:$C$456,計算用!$AB$7)))</f>
        <v/>
      </c>
      <c r="D9" s="70">
        <f>IF(計算用!$AB$7="","",IF(計算用!$B$1=1,INDEX(計算用!$H$3:$H$452,計算用!$AB$7),INDEX(振り分け!$D$7:$D$456,計算用!$AB$7)))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IF(計算用!$AB$8="","",6)</f>
        <v/>
      </c>
      <c r="B10" s="59">
        <f>IF(計算用!$AB$8="","",IF(計算用!$B$1=1,INDEX(計算用!$F$3:$F$452,計算用!$AB$8),INDEX(振り分け!$B$7:$B$456,計算用!$AB$8)))</f>
        <v/>
      </c>
      <c r="C10" s="59">
        <f>IF(計算用!$AB$8="","",IF(計算用!$B$1=1,INDEX(計算用!$G$3:$G$452,計算用!$AB$8),INDEX(振り分け!$C$7:$C$456,計算用!$AB$8)))</f>
        <v/>
      </c>
      <c r="D10" s="70">
        <f>IF(計算用!$AB$8="","",IF(計算用!$B$1=1,INDEX(計算用!$H$3:$H$452,計算用!$AB$8),INDEX(振り分け!$D$7:$D$456,計算用!$AB$8)))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IF(計算用!$AB$9="","",7)</f>
        <v/>
      </c>
      <c r="B11" s="59">
        <f>IF(計算用!$AB$9="","",IF(計算用!$B$1=1,INDEX(計算用!$F$3:$F$452,計算用!$AB$9),INDEX(振り分け!$B$7:$B$456,計算用!$AB$9)))</f>
        <v/>
      </c>
      <c r="C11" s="59">
        <f>IF(計算用!$AB$9="","",IF(計算用!$B$1=1,INDEX(計算用!$G$3:$G$452,計算用!$AB$9),INDEX(振り分け!$C$7:$C$456,計算用!$AB$9)))</f>
        <v/>
      </c>
      <c r="D11" s="70">
        <f>IF(計算用!$AB$9="","",IF(計算用!$B$1=1,INDEX(計算用!$H$3:$H$452,計算用!$AB$9),INDEX(振り分け!$D$7:$D$456,計算用!$AB$9)))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IF(計算用!$AB$10="","",8)</f>
        <v/>
      </c>
      <c r="B12" s="59">
        <f>IF(計算用!$AB$10="","",IF(計算用!$B$1=1,INDEX(計算用!$F$3:$F$452,計算用!$AB$10),INDEX(振り分け!$B$7:$B$456,計算用!$AB$10)))</f>
        <v/>
      </c>
      <c r="C12" s="59">
        <f>IF(計算用!$AB$10="","",IF(計算用!$B$1=1,INDEX(計算用!$G$3:$G$452,計算用!$AB$10),INDEX(振り分け!$C$7:$C$456,計算用!$AB$10)))</f>
        <v/>
      </c>
      <c r="D12" s="70">
        <f>IF(計算用!$AB$10="","",IF(計算用!$B$1=1,INDEX(計算用!$H$3:$H$452,計算用!$AB$10),INDEX(振り分け!$D$7:$D$456,計算用!$AB$10)))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IF(計算用!$AB$11="","",9)</f>
        <v/>
      </c>
      <c r="B13" s="59">
        <f>IF(計算用!$AB$11="","",IF(計算用!$B$1=1,INDEX(計算用!$F$3:$F$452,計算用!$AB$11),INDEX(振り分け!$B$7:$B$456,計算用!$AB$11)))</f>
        <v/>
      </c>
      <c r="C13" s="59">
        <f>IF(計算用!$AB$11="","",IF(計算用!$B$1=1,INDEX(計算用!$G$3:$G$452,計算用!$AB$11),INDEX(振り分け!$C$7:$C$456,計算用!$AB$11)))</f>
        <v/>
      </c>
      <c r="D13" s="70">
        <f>IF(計算用!$AB$11="","",IF(計算用!$B$1=1,INDEX(計算用!$H$3:$H$452,計算用!$AB$11),INDEX(振り分け!$D$7:$D$456,計算用!$AB$11)))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IF(計算用!$AB$12="","",10)</f>
        <v/>
      </c>
      <c r="B14" s="59">
        <f>IF(計算用!$AB$12="","",IF(計算用!$B$1=1,INDEX(計算用!$F$3:$F$452,計算用!$AB$12),INDEX(振り分け!$B$7:$B$456,計算用!$AB$12)))</f>
        <v/>
      </c>
      <c r="C14" s="59">
        <f>IF(計算用!$AB$12="","",IF(計算用!$B$1=1,INDEX(計算用!$G$3:$G$452,計算用!$AB$12),INDEX(振り分け!$C$7:$C$456,計算用!$AB$12)))</f>
        <v/>
      </c>
      <c r="D14" s="70">
        <f>IF(計算用!$AB$12="","",IF(計算用!$B$1=1,INDEX(計算用!$H$3:$H$452,計算用!$AB$12),INDEX(振り分け!$D$7:$D$456,計算用!$AB$12)))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IF(計算用!$AB$13="","",11)</f>
        <v/>
      </c>
      <c r="B15" s="59">
        <f>IF(計算用!$AB$13="","",IF(計算用!$B$1=1,INDEX(計算用!$F$3:$F$452,計算用!$AB$13),INDEX(振り分け!$B$7:$B$456,計算用!$AB$13)))</f>
        <v/>
      </c>
      <c r="C15" s="59">
        <f>IF(計算用!$AB$13="","",IF(計算用!$B$1=1,INDEX(計算用!$G$3:$G$452,計算用!$AB$13),INDEX(振り分け!$C$7:$C$456,計算用!$AB$13)))</f>
        <v/>
      </c>
      <c r="D15" s="70">
        <f>IF(計算用!$AB$13="","",IF(計算用!$B$1=1,INDEX(計算用!$H$3:$H$452,計算用!$AB$13),INDEX(振り分け!$D$7:$D$456,計算用!$AB$13)))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IF(計算用!$AB$14="","",12)</f>
        <v/>
      </c>
      <c r="B16" s="59">
        <f>IF(計算用!$AB$14="","",IF(計算用!$B$1=1,INDEX(計算用!$F$3:$F$452,計算用!$AB$14),INDEX(振り分け!$B$7:$B$456,計算用!$AB$14)))</f>
        <v/>
      </c>
      <c r="C16" s="59">
        <f>IF(計算用!$AB$14="","",IF(計算用!$B$1=1,INDEX(計算用!$G$3:$G$452,計算用!$AB$14),INDEX(振り分け!$C$7:$C$456,計算用!$AB$14)))</f>
        <v/>
      </c>
      <c r="D16" s="70">
        <f>IF(計算用!$AB$14="","",IF(計算用!$B$1=1,INDEX(計算用!$H$3:$H$452,計算用!$AB$14),INDEX(振り分け!$D$7:$D$456,計算用!$AB$14)))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IF(計算用!$AB$15="","",13)</f>
        <v/>
      </c>
      <c r="B17" s="59">
        <f>IF(計算用!$AB$15="","",IF(計算用!$B$1=1,INDEX(計算用!$F$3:$F$452,計算用!$AB$15),INDEX(振り分け!$B$7:$B$456,計算用!$AB$15)))</f>
        <v/>
      </c>
      <c r="C17" s="59">
        <f>IF(計算用!$AB$15="","",IF(計算用!$B$1=1,INDEX(計算用!$G$3:$G$452,計算用!$AB$15),INDEX(振り分け!$C$7:$C$456,計算用!$AB$15)))</f>
        <v/>
      </c>
      <c r="D17" s="70">
        <f>IF(計算用!$AB$15="","",IF(計算用!$B$1=1,INDEX(計算用!$H$3:$H$452,計算用!$AB$15),INDEX(振り分け!$D$7:$D$456,計算用!$AB$15)))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IF(計算用!$AB$16="","",14)</f>
        <v/>
      </c>
      <c r="B18" s="59">
        <f>IF(計算用!$AB$16="","",IF(計算用!$B$1=1,INDEX(計算用!$F$3:$F$452,計算用!$AB$16),INDEX(振り分け!$B$7:$B$456,計算用!$AB$16)))</f>
        <v/>
      </c>
      <c r="C18" s="59">
        <f>IF(計算用!$AB$16="","",IF(計算用!$B$1=1,INDEX(計算用!$G$3:$G$452,計算用!$AB$16),INDEX(振り分け!$C$7:$C$456,計算用!$AB$16)))</f>
        <v/>
      </c>
      <c r="D18" s="70">
        <f>IF(計算用!$AB$16="","",IF(計算用!$B$1=1,INDEX(計算用!$H$3:$H$452,計算用!$AB$16),INDEX(振り分け!$D$7:$D$456,計算用!$AB$16)))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IF(計算用!$AB$17="","",15)</f>
        <v/>
      </c>
      <c r="B19" s="59">
        <f>IF(計算用!$AB$17="","",IF(計算用!$B$1=1,INDEX(計算用!$F$3:$F$452,計算用!$AB$17),INDEX(振り分け!$B$7:$B$456,計算用!$AB$17)))</f>
        <v/>
      </c>
      <c r="C19" s="59">
        <f>IF(計算用!$AB$17="","",IF(計算用!$B$1=1,INDEX(計算用!$G$3:$G$452,計算用!$AB$17),INDEX(振り分け!$C$7:$C$456,計算用!$AB$17)))</f>
        <v/>
      </c>
      <c r="D19" s="70">
        <f>IF(計算用!$AB$17="","",IF(計算用!$B$1=1,INDEX(計算用!$H$3:$H$452,計算用!$AB$17),INDEX(振り分け!$D$7:$D$456,計算用!$AB$17)))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IF(計算用!$AB$18="","",16)</f>
        <v/>
      </c>
      <c r="B20" s="59">
        <f>IF(計算用!$AB$18="","",IF(計算用!$B$1=1,INDEX(計算用!$F$3:$F$452,計算用!$AB$18),INDEX(振り分け!$B$7:$B$456,計算用!$AB$18)))</f>
        <v/>
      </c>
      <c r="C20" s="59">
        <f>IF(計算用!$AB$18="","",IF(計算用!$B$1=1,INDEX(計算用!$G$3:$G$452,計算用!$AB$18),INDEX(振り分け!$C$7:$C$456,計算用!$AB$18)))</f>
        <v/>
      </c>
      <c r="D20" s="70">
        <f>IF(計算用!$AB$18="","",IF(計算用!$B$1=1,INDEX(計算用!$H$3:$H$452,計算用!$AB$18),INDEX(振り分け!$D$7:$D$456,計算用!$AB$18)))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IF(計算用!$AB$19="","",17)</f>
        <v/>
      </c>
      <c r="B21" s="59">
        <f>IF(計算用!$AB$19="","",IF(計算用!$B$1=1,INDEX(計算用!$F$3:$F$452,計算用!$AB$19),INDEX(振り分け!$B$7:$B$456,計算用!$AB$19)))</f>
        <v/>
      </c>
      <c r="C21" s="59">
        <f>IF(計算用!$AB$19="","",IF(計算用!$B$1=1,INDEX(計算用!$G$3:$G$452,計算用!$AB$19),INDEX(振り分け!$C$7:$C$456,計算用!$AB$19)))</f>
        <v/>
      </c>
      <c r="D21" s="70">
        <f>IF(計算用!$AB$19="","",IF(計算用!$B$1=1,INDEX(計算用!$H$3:$H$452,計算用!$AB$19),INDEX(振り分け!$D$7:$D$456,計算用!$AB$19)))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IF(計算用!$AB$20="","",18)</f>
        <v/>
      </c>
      <c r="B22" s="59">
        <f>IF(計算用!$AB$20="","",IF(計算用!$B$1=1,INDEX(計算用!$F$3:$F$452,計算用!$AB$20),INDEX(振り分け!$B$7:$B$456,計算用!$AB$20)))</f>
        <v/>
      </c>
      <c r="C22" s="59">
        <f>IF(計算用!$AB$20="","",IF(計算用!$B$1=1,INDEX(計算用!$G$3:$G$452,計算用!$AB$20),INDEX(振り分け!$C$7:$C$456,計算用!$AB$20)))</f>
        <v/>
      </c>
      <c r="D22" s="70">
        <f>IF(計算用!$AB$20="","",IF(計算用!$B$1=1,INDEX(計算用!$H$3:$H$452,計算用!$AB$20),INDEX(振り分け!$D$7:$D$456,計算用!$AB$20)))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IF(計算用!$AB$21="","",19)</f>
        <v/>
      </c>
      <c r="B23" s="59">
        <f>IF(計算用!$AB$21="","",IF(計算用!$B$1=1,INDEX(計算用!$F$3:$F$452,計算用!$AB$21),INDEX(振り分け!$B$7:$B$456,計算用!$AB$21)))</f>
        <v/>
      </c>
      <c r="C23" s="59">
        <f>IF(計算用!$AB$21="","",IF(計算用!$B$1=1,INDEX(計算用!$G$3:$G$452,計算用!$AB$21),INDEX(振り分け!$C$7:$C$456,計算用!$AB$21)))</f>
        <v/>
      </c>
      <c r="D23" s="70">
        <f>IF(計算用!$AB$21="","",IF(計算用!$B$1=1,INDEX(計算用!$H$3:$H$452,計算用!$AB$21),INDEX(振り分け!$D$7:$D$456,計算用!$AB$21)))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IF(計算用!$AB$22="","",20)</f>
        <v/>
      </c>
      <c r="B24" s="59">
        <f>IF(計算用!$AB$22="","",IF(計算用!$B$1=1,INDEX(計算用!$F$3:$F$452,計算用!$AB$22),INDEX(振り分け!$B$7:$B$456,計算用!$AB$22)))</f>
        <v/>
      </c>
      <c r="C24" s="59">
        <f>IF(計算用!$AB$22="","",IF(計算用!$B$1=1,INDEX(計算用!$G$3:$G$452,計算用!$AB$22),INDEX(振り分け!$C$7:$C$456,計算用!$AB$22)))</f>
        <v/>
      </c>
      <c r="D24" s="70">
        <f>IF(計算用!$AB$22="","",IF(計算用!$B$1=1,INDEX(計算用!$H$3:$H$452,計算用!$AB$22),INDEX(振り分け!$D$7:$D$456,計算用!$AB$22)))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IF(計算用!$AB$23="","",21)</f>
        <v/>
      </c>
      <c r="B25" s="59">
        <f>IF(計算用!$AB$23="","",IF(計算用!$B$1=1,INDEX(計算用!$F$3:$F$452,計算用!$AB$23),INDEX(振り分け!$B$7:$B$456,計算用!$AB$23)))</f>
        <v/>
      </c>
      <c r="C25" s="59">
        <f>IF(計算用!$AB$23="","",IF(計算用!$B$1=1,INDEX(計算用!$G$3:$G$452,計算用!$AB$23),INDEX(振り分け!$C$7:$C$456,計算用!$AB$23)))</f>
        <v/>
      </c>
      <c r="D25" s="70">
        <f>IF(計算用!$AB$23="","",IF(計算用!$B$1=1,INDEX(計算用!$H$3:$H$452,計算用!$AB$23),INDEX(振り分け!$D$7:$D$456,計算用!$AB$23)))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IF(計算用!$AB$24="","",22)</f>
        <v/>
      </c>
      <c r="B26" s="59">
        <f>IF(計算用!$AB$24="","",IF(計算用!$B$1=1,INDEX(計算用!$F$3:$F$452,計算用!$AB$24),INDEX(振り分け!$B$7:$B$456,計算用!$AB$24)))</f>
        <v/>
      </c>
      <c r="C26" s="59">
        <f>IF(計算用!$AB$24="","",IF(計算用!$B$1=1,INDEX(計算用!$G$3:$G$452,計算用!$AB$24),INDEX(振り分け!$C$7:$C$456,計算用!$AB$24)))</f>
        <v/>
      </c>
      <c r="D26" s="70">
        <f>IF(計算用!$AB$24="","",IF(計算用!$B$1=1,INDEX(計算用!$H$3:$H$452,計算用!$AB$24),INDEX(振り分け!$D$7:$D$456,計算用!$AB$24)))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IF(計算用!$AB$25="","",23)</f>
        <v/>
      </c>
      <c r="B27" s="59">
        <f>IF(計算用!$AB$25="","",IF(計算用!$B$1=1,INDEX(計算用!$F$3:$F$452,計算用!$AB$25),INDEX(振り分け!$B$7:$B$456,計算用!$AB$25)))</f>
        <v/>
      </c>
      <c r="C27" s="59">
        <f>IF(計算用!$AB$25="","",IF(計算用!$B$1=1,INDEX(計算用!$G$3:$G$452,計算用!$AB$25),INDEX(振り分け!$C$7:$C$456,計算用!$AB$25)))</f>
        <v/>
      </c>
      <c r="D27" s="70">
        <f>IF(計算用!$AB$25="","",IF(計算用!$B$1=1,INDEX(計算用!$H$3:$H$452,計算用!$AB$25),INDEX(振り分け!$D$7:$D$456,計算用!$AB$25)))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IF(計算用!$AB$26="","",24)</f>
        <v/>
      </c>
      <c r="B28" s="59">
        <f>IF(計算用!$AB$26="","",IF(計算用!$B$1=1,INDEX(計算用!$F$3:$F$452,計算用!$AB$26),INDEX(振り分け!$B$7:$B$456,計算用!$AB$26)))</f>
        <v/>
      </c>
      <c r="C28" s="59">
        <f>IF(計算用!$AB$26="","",IF(計算用!$B$1=1,INDEX(計算用!$G$3:$G$452,計算用!$AB$26),INDEX(振り分け!$C$7:$C$456,計算用!$AB$26)))</f>
        <v/>
      </c>
      <c r="D28" s="70">
        <f>IF(計算用!$AB$26="","",IF(計算用!$B$1=1,INDEX(計算用!$H$3:$H$452,計算用!$AB$26),INDEX(振り分け!$D$7:$D$456,計算用!$AB$26)))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IF(計算用!$AB$27="","",25)</f>
        <v/>
      </c>
      <c r="B29" s="59">
        <f>IF(計算用!$AB$27="","",IF(計算用!$B$1=1,INDEX(計算用!$F$3:$F$452,計算用!$AB$27),INDEX(振り分け!$B$7:$B$456,計算用!$AB$27)))</f>
        <v/>
      </c>
      <c r="C29" s="59">
        <f>IF(計算用!$AB$27="","",IF(計算用!$B$1=1,INDEX(計算用!$G$3:$G$452,計算用!$AB$27),INDEX(振り分け!$C$7:$C$456,計算用!$AB$27)))</f>
        <v/>
      </c>
      <c r="D29" s="70">
        <f>IF(計算用!$AB$27="","",IF(計算用!$B$1=1,INDEX(計算用!$H$3:$H$452,計算用!$AB$27),INDEX(振り分け!$D$7:$D$456,計算用!$AB$27)))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IF(計算用!$AB$28="","",26)</f>
        <v/>
      </c>
      <c r="B30" s="59">
        <f>IF(計算用!$AB$28="","",IF(計算用!$B$1=1,INDEX(計算用!$F$3:$F$452,計算用!$AB$28),INDEX(振り分け!$B$7:$B$456,計算用!$AB$28)))</f>
        <v/>
      </c>
      <c r="C30" s="59">
        <f>IF(計算用!$AB$28="","",IF(計算用!$B$1=1,INDEX(計算用!$G$3:$G$452,計算用!$AB$28),INDEX(振り分け!$C$7:$C$456,計算用!$AB$28)))</f>
        <v/>
      </c>
      <c r="D30" s="70">
        <f>IF(計算用!$AB$28="","",IF(計算用!$B$1=1,INDEX(計算用!$H$3:$H$452,計算用!$AB$28),INDEX(振り分け!$D$7:$D$456,計算用!$AB$28)))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IF(計算用!$AB$29="","",27)</f>
        <v/>
      </c>
      <c r="B31" s="59">
        <f>IF(計算用!$AB$29="","",IF(計算用!$B$1=1,INDEX(計算用!$F$3:$F$452,計算用!$AB$29),INDEX(振り分け!$B$7:$B$456,計算用!$AB$29)))</f>
        <v/>
      </c>
      <c r="C31" s="59">
        <f>IF(計算用!$AB$29="","",IF(計算用!$B$1=1,INDEX(計算用!$G$3:$G$452,計算用!$AB$29),INDEX(振り分け!$C$7:$C$456,計算用!$AB$29)))</f>
        <v/>
      </c>
      <c r="D31" s="70">
        <f>IF(計算用!$AB$29="","",IF(計算用!$B$1=1,INDEX(計算用!$H$3:$H$452,計算用!$AB$29),INDEX(振り分け!$D$7:$D$456,計算用!$AB$29)))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IF(計算用!$AB$30="","",28)</f>
        <v/>
      </c>
      <c r="B32" s="59">
        <f>IF(計算用!$AB$30="","",IF(計算用!$B$1=1,INDEX(計算用!$F$3:$F$452,計算用!$AB$30),INDEX(振り分け!$B$7:$B$456,計算用!$AB$30)))</f>
        <v/>
      </c>
      <c r="C32" s="59">
        <f>IF(計算用!$AB$30="","",IF(計算用!$B$1=1,INDEX(計算用!$G$3:$G$452,計算用!$AB$30),INDEX(振り分け!$C$7:$C$456,計算用!$AB$30)))</f>
        <v/>
      </c>
      <c r="D32" s="70">
        <f>IF(計算用!$AB$30="","",IF(計算用!$B$1=1,INDEX(計算用!$H$3:$H$452,計算用!$AB$30),INDEX(振り分け!$D$7:$D$456,計算用!$AB$30)))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IF(計算用!$AB$31="","",29)</f>
        <v/>
      </c>
      <c r="B33" s="59">
        <f>IF(計算用!$AB$31="","",IF(計算用!$B$1=1,INDEX(計算用!$F$3:$F$452,計算用!$AB$31),INDEX(振り分け!$B$7:$B$456,計算用!$AB$31)))</f>
        <v/>
      </c>
      <c r="C33" s="59">
        <f>IF(計算用!$AB$31="","",IF(計算用!$B$1=1,INDEX(計算用!$G$3:$G$452,計算用!$AB$31),INDEX(振り分け!$C$7:$C$456,計算用!$AB$31)))</f>
        <v/>
      </c>
      <c r="D33" s="70">
        <f>IF(計算用!$AB$31="","",IF(計算用!$B$1=1,INDEX(計算用!$H$3:$H$452,計算用!$AB$31),INDEX(振り分け!$D$7:$D$456,計算用!$AB$31)))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IF(計算用!$AB$32="","",30)</f>
        <v/>
      </c>
      <c r="B34" s="59">
        <f>IF(計算用!$AB$32="","",IF(計算用!$B$1=1,INDEX(計算用!$F$3:$F$452,計算用!$AB$32),INDEX(振り分け!$B$7:$B$456,計算用!$AB$32)))</f>
        <v/>
      </c>
      <c r="C34" s="59">
        <f>IF(計算用!$AB$32="","",IF(計算用!$B$1=1,INDEX(計算用!$G$3:$G$452,計算用!$AB$32),INDEX(振り分け!$C$7:$C$456,計算用!$AB$32)))</f>
        <v/>
      </c>
      <c r="D34" s="70">
        <f>IF(計算用!$AB$32="","",IF(計算用!$B$1=1,INDEX(計算用!$H$3:$H$452,計算用!$AB$32),INDEX(振り分け!$D$7:$D$456,計算用!$AB$32)))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IF(計算用!$AB$33="","",31)</f>
        <v/>
      </c>
      <c r="B35" s="59">
        <f>IF(計算用!$AB$33="","",IF(計算用!$B$1=1,INDEX(計算用!$F$3:$F$452,計算用!$AB$33),INDEX(振り分け!$B$7:$B$456,計算用!$AB$33)))</f>
        <v/>
      </c>
      <c r="C35" s="59">
        <f>IF(計算用!$AB$33="","",IF(計算用!$B$1=1,INDEX(計算用!$G$3:$G$452,計算用!$AB$33),INDEX(振り分け!$C$7:$C$456,計算用!$AB$33)))</f>
        <v/>
      </c>
      <c r="D35" s="70">
        <f>IF(計算用!$AB$33="","",IF(計算用!$B$1=1,INDEX(計算用!$H$3:$H$452,計算用!$AB$33),INDEX(振り分け!$D$7:$D$456,計算用!$AB$33)))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IF(計算用!$AB$34="","",32)</f>
        <v/>
      </c>
      <c r="B36" s="59">
        <f>IF(計算用!$AB$34="","",IF(計算用!$B$1=1,INDEX(計算用!$F$3:$F$452,計算用!$AB$34),INDEX(振り分け!$B$7:$B$456,計算用!$AB$34)))</f>
        <v/>
      </c>
      <c r="C36" s="59">
        <f>IF(計算用!$AB$34="","",IF(計算用!$B$1=1,INDEX(計算用!$G$3:$G$452,計算用!$AB$34),INDEX(振り分け!$C$7:$C$456,計算用!$AB$34)))</f>
        <v/>
      </c>
      <c r="D36" s="70">
        <f>IF(計算用!$AB$34="","",IF(計算用!$B$1=1,INDEX(計算用!$H$3:$H$452,計算用!$AB$34),INDEX(振り分け!$D$7:$D$456,計算用!$AB$34)))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IF(計算用!$AB$35="","",33)</f>
        <v/>
      </c>
      <c r="B37" s="59">
        <f>IF(計算用!$AB$35="","",IF(計算用!$B$1=1,INDEX(計算用!$F$3:$F$452,計算用!$AB$35),INDEX(振り分け!$B$7:$B$456,計算用!$AB$35)))</f>
        <v/>
      </c>
      <c r="C37" s="59">
        <f>IF(計算用!$AB$35="","",IF(計算用!$B$1=1,INDEX(計算用!$G$3:$G$452,計算用!$AB$35),INDEX(振り分け!$C$7:$C$456,計算用!$AB$35)))</f>
        <v/>
      </c>
      <c r="D37" s="70">
        <f>IF(計算用!$AB$35="","",IF(計算用!$B$1=1,INDEX(計算用!$H$3:$H$452,計算用!$AB$35),INDEX(振り分け!$D$7:$D$456,計算用!$AB$35)))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IF(計算用!$AB$36="","",34)</f>
        <v/>
      </c>
      <c r="B38" s="59">
        <f>IF(計算用!$AB$36="","",IF(計算用!$B$1=1,INDEX(計算用!$F$3:$F$452,計算用!$AB$36),INDEX(振り分け!$B$7:$B$456,計算用!$AB$36)))</f>
        <v/>
      </c>
      <c r="C38" s="59">
        <f>IF(計算用!$AB$36="","",IF(計算用!$B$1=1,INDEX(計算用!$G$3:$G$452,計算用!$AB$36),INDEX(振り分け!$C$7:$C$456,計算用!$AB$36)))</f>
        <v/>
      </c>
      <c r="D38" s="70">
        <f>IF(計算用!$AB$36="","",IF(計算用!$B$1=1,INDEX(計算用!$H$3:$H$452,計算用!$AB$36),INDEX(振り分け!$D$7:$D$456,計算用!$AB$36)))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IF(計算用!$AB$37="","",35)</f>
        <v/>
      </c>
      <c r="B39" s="59">
        <f>IF(計算用!$AB$37="","",IF(計算用!$B$1=1,INDEX(計算用!$F$3:$F$452,計算用!$AB$37),INDEX(振り分け!$B$7:$B$456,計算用!$AB$37)))</f>
        <v/>
      </c>
      <c r="C39" s="59">
        <f>IF(計算用!$AB$37="","",IF(計算用!$B$1=1,INDEX(計算用!$G$3:$G$452,計算用!$AB$37),INDEX(振り分け!$C$7:$C$456,計算用!$AB$37)))</f>
        <v/>
      </c>
      <c r="D39" s="70">
        <f>IF(計算用!$AB$37="","",IF(計算用!$B$1=1,INDEX(計算用!$H$3:$H$452,計算用!$AB$37),INDEX(振り分け!$D$7:$D$456,計算用!$AB$37)))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IF(計算用!$AB$38="","",36)</f>
        <v/>
      </c>
      <c r="B40" s="59">
        <f>IF(計算用!$AB$38="","",IF(計算用!$B$1=1,INDEX(計算用!$F$3:$F$452,計算用!$AB$38),INDEX(振り分け!$B$7:$B$456,計算用!$AB$38)))</f>
        <v/>
      </c>
      <c r="C40" s="59">
        <f>IF(計算用!$AB$38="","",IF(計算用!$B$1=1,INDEX(計算用!$G$3:$G$452,計算用!$AB$38),INDEX(振り分け!$C$7:$C$456,計算用!$AB$38)))</f>
        <v/>
      </c>
      <c r="D40" s="70">
        <f>IF(計算用!$AB$38="","",IF(計算用!$B$1=1,INDEX(計算用!$H$3:$H$452,計算用!$AB$38),INDEX(振り分け!$D$7:$D$456,計算用!$AB$38)))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IF(計算用!$AB$39="","",37)</f>
        <v/>
      </c>
      <c r="B41" s="59">
        <f>IF(計算用!$AB$39="","",IF(計算用!$B$1=1,INDEX(計算用!$F$3:$F$452,計算用!$AB$39),INDEX(振り分け!$B$7:$B$456,計算用!$AB$39)))</f>
        <v/>
      </c>
      <c r="C41" s="59">
        <f>IF(計算用!$AB$39="","",IF(計算用!$B$1=1,INDEX(計算用!$G$3:$G$452,計算用!$AB$39),INDEX(振り分け!$C$7:$C$456,計算用!$AB$39)))</f>
        <v/>
      </c>
      <c r="D41" s="70">
        <f>IF(計算用!$AB$39="","",IF(計算用!$B$1=1,INDEX(計算用!$H$3:$H$452,計算用!$AB$39),INDEX(振り分け!$D$7:$D$456,計算用!$AB$39)))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IF(計算用!$AB$40="","",38)</f>
        <v/>
      </c>
      <c r="B42" s="59">
        <f>IF(計算用!$AB$40="","",IF(計算用!$B$1=1,INDEX(計算用!$F$3:$F$452,計算用!$AB$40),INDEX(振り分け!$B$7:$B$456,計算用!$AB$40)))</f>
        <v/>
      </c>
      <c r="C42" s="59">
        <f>IF(計算用!$AB$40="","",IF(計算用!$B$1=1,INDEX(計算用!$G$3:$G$452,計算用!$AB$40),INDEX(振り分け!$C$7:$C$456,計算用!$AB$40)))</f>
        <v/>
      </c>
      <c r="D42" s="70">
        <f>IF(計算用!$AB$40="","",IF(計算用!$B$1=1,INDEX(計算用!$H$3:$H$452,計算用!$AB$40),INDEX(振り分け!$D$7:$D$456,計算用!$AB$40)))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IF(計算用!$AB$41="","",39)</f>
        <v/>
      </c>
      <c r="B43" s="59">
        <f>IF(計算用!$AB$41="","",IF(計算用!$B$1=1,INDEX(計算用!$F$3:$F$452,計算用!$AB$41),INDEX(振り分け!$B$7:$B$456,計算用!$AB$41)))</f>
        <v/>
      </c>
      <c r="C43" s="59">
        <f>IF(計算用!$AB$41="","",IF(計算用!$B$1=1,INDEX(計算用!$G$3:$G$452,計算用!$AB$41),INDEX(振り分け!$C$7:$C$456,計算用!$AB$41)))</f>
        <v/>
      </c>
      <c r="D43" s="70">
        <f>IF(計算用!$AB$41="","",IF(計算用!$B$1=1,INDEX(計算用!$H$3:$H$452,計算用!$AB$41),INDEX(振り分け!$D$7:$D$456,計算用!$AB$41)))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IF(計算用!$AB$42="","",40)</f>
        <v/>
      </c>
      <c r="B44" s="59">
        <f>IF(計算用!$AB$42="","",IF(計算用!$B$1=1,INDEX(計算用!$F$3:$F$452,計算用!$AB$42),INDEX(振り分け!$B$7:$B$456,計算用!$AB$42)))</f>
        <v/>
      </c>
      <c r="C44" s="59">
        <f>IF(計算用!$AB$42="","",IF(計算用!$B$1=1,INDEX(計算用!$G$3:$G$452,計算用!$AB$42),INDEX(振り分け!$C$7:$C$456,計算用!$AB$42)))</f>
        <v/>
      </c>
      <c r="D44" s="70">
        <f>IF(計算用!$AB$42="","",IF(計算用!$B$1=1,INDEX(計算用!$H$3:$H$452,計算用!$AB$42),INDEX(振り分け!$D$7:$D$456,計算用!$AB$42)))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IF(計算用!$AB$43="","",41)</f>
        <v/>
      </c>
      <c r="B45" s="59">
        <f>IF(計算用!$AB$43="","",IF(計算用!$B$1=1,INDEX(計算用!$F$3:$F$452,計算用!$AB$43),INDEX(振り分け!$B$7:$B$456,計算用!$AB$43)))</f>
        <v/>
      </c>
      <c r="C45" s="59">
        <f>IF(計算用!$AB$43="","",IF(計算用!$B$1=1,INDEX(計算用!$G$3:$G$452,計算用!$AB$43),INDEX(振り分け!$C$7:$C$456,計算用!$AB$43)))</f>
        <v/>
      </c>
      <c r="D45" s="70">
        <f>IF(計算用!$AB$43="","",IF(計算用!$B$1=1,INDEX(計算用!$H$3:$H$452,計算用!$AB$43),INDEX(振り分け!$D$7:$D$456,計算用!$AB$43)))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IF(計算用!$AB$44="","",42)</f>
        <v/>
      </c>
      <c r="B46" s="59">
        <f>IF(計算用!$AB$44="","",IF(計算用!$B$1=1,INDEX(計算用!$F$3:$F$452,計算用!$AB$44),INDEX(振り分け!$B$7:$B$456,計算用!$AB$44)))</f>
        <v/>
      </c>
      <c r="C46" s="59">
        <f>IF(計算用!$AB$44="","",IF(計算用!$B$1=1,INDEX(計算用!$G$3:$G$452,計算用!$AB$44),INDEX(振り分け!$C$7:$C$456,計算用!$AB$44)))</f>
        <v/>
      </c>
      <c r="D46" s="70">
        <f>IF(計算用!$AB$44="","",IF(計算用!$B$1=1,INDEX(計算用!$H$3:$H$452,計算用!$AB$44),INDEX(振り分け!$D$7:$D$456,計算用!$AB$44)))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IF(計算用!$AB$45="","",43)</f>
        <v/>
      </c>
      <c r="B47" s="59">
        <f>IF(計算用!$AB$45="","",IF(計算用!$B$1=1,INDEX(計算用!$F$3:$F$452,計算用!$AB$45),INDEX(振り分け!$B$7:$B$456,計算用!$AB$45)))</f>
        <v/>
      </c>
      <c r="C47" s="59">
        <f>IF(計算用!$AB$45="","",IF(計算用!$B$1=1,INDEX(計算用!$G$3:$G$452,計算用!$AB$45),INDEX(振り分け!$C$7:$C$456,計算用!$AB$45)))</f>
        <v/>
      </c>
      <c r="D47" s="70">
        <f>IF(計算用!$AB$45="","",IF(計算用!$B$1=1,INDEX(計算用!$H$3:$H$452,計算用!$AB$45),INDEX(振り分け!$D$7:$D$456,計算用!$AB$45)))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IF(計算用!$AB$46="","",44)</f>
        <v/>
      </c>
      <c r="B48" s="59">
        <f>IF(計算用!$AB$46="","",IF(計算用!$B$1=1,INDEX(計算用!$F$3:$F$452,計算用!$AB$46),INDEX(振り分け!$B$7:$B$456,計算用!$AB$46)))</f>
        <v/>
      </c>
      <c r="C48" s="59">
        <f>IF(計算用!$AB$46="","",IF(計算用!$B$1=1,INDEX(計算用!$G$3:$G$452,計算用!$AB$46),INDEX(振り分け!$C$7:$C$456,計算用!$AB$46)))</f>
        <v/>
      </c>
      <c r="D48" s="70">
        <f>IF(計算用!$AB$46="","",IF(計算用!$B$1=1,INDEX(計算用!$H$3:$H$452,計算用!$AB$46),INDEX(振り分け!$D$7:$D$456,計算用!$AB$46)))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IF(計算用!$AB$47="","",45)</f>
        <v/>
      </c>
      <c r="B49" s="59">
        <f>IF(計算用!$AB$47="","",IF(計算用!$B$1=1,INDEX(計算用!$F$3:$F$452,計算用!$AB$47),INDEX(振り分け!$B$7:$B$456,計算用!$AB$47)))</f>
        <v/>
      </c>
      <c r="C49" s="59">
        <f>IF(計算用!$AB$47="","",IF(計算用!$B$1=1,INDEX(計算用!$G$3:$G$452,計算用!$AB$47),INDEX(振り分け!$C$7:$C$456,計算用!$AB$47)))</f>
        <v/>
      </c>
      <c r="D49" s="70">
        <f>IF(計算用!$AB$47="","",IF(計算用!$B$1=1,INDEX(計算用!$H$3:$H$452,計算用!$AB$47),INDEX(振り分け!$D$7:$D$456,計算用!$AB$47)))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IF(計算用!$AB$48="","",46)</f>
        <v/>
      </c>
      <c r="B50" s="59">
        <f>IF(計算用!$AB$48="","",IF(計算用!$B$1=1,INDEX(計算用!$F$3:$F$452,計算用!$AB$48),INDEX(振り分け!$B$7:$B$456,計算用!$AB$48)))</f>
        <v/>
      </c>
      <c r="C50" s="59">
        <f>IF(計算用!$AB$48="","",IF(計算用!$B$1=1,INDEX(計算用!$G$3:$G$452,計算用!$AB$48),INDEX(振り分け!$C$7:$C$456,計算用!$AB$48)))</f>
        <v/>
      </c>
      <c r="D50" s="70">
        <f>IF(計算用!$AB$48="","",IF(計算用!$B$1=1,INDEX(計算用!$H$3:$H$452,計算用!$AB$48),INDEX(振り分け!$D$7:$D$456,計算用!$AB$48)))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IF(計算用!$AB$49="","",47)</f>
        <v/>
      </c>
      <c r="B51" s="59">
        <f>IF(計算用!$AB$49="","",IF(計算用!$B$1=1,INDEX(計算用!$F$3:$F$452,計算用!$AB$49),INDEX(振り分け!$B$7:$B$456,計算用!$AB$49)))</f>
        <v/>
      </c>
      <c r="C51" s="59">
        <f>IF(計算用!$AB$49="","",IF(計算用!$B$1=1,INDEX(計算用!$G$3:$G$452,計算用!$AB$49),INDEX(振り分け!$C$7:$C$456,計算用!$AB$49)))</f>
        <v/>
      </c>
      <c r="D51" s="70">
        <f>IF(計算用!$AB$49="","",IF(計算用!$B$1=1,INDEX(計算用!$H$3:$H$452,計算用!$AB$49),INDEX(振り分け!$D$7:$D$456,計算用!$AB$49)))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IF(計算用!$AB$50="","",48)</f>
        <v/>
      </c>
      <c r="B52" s="59">
        <f>IF(計算用!$AB$50="","",IF(計算用!$B$1=1,INDEX(計算用!$F$3:$F$452,計算用!$AB$50),INDEX(振り分け!$B$7:$B$456,計算用!$AB$50)))</f>
        <v/>
      </c>
      <c r="C52" s="59">
        <f>IF(計算用!$AB$50="","",IF(計算用!$B$1=1,INDEX(計算用!$G$3:$G$452,計算用!$AB$50),INDEX(振り分け!$C$7:$C$456,計算用!$AB$50)))</f>
        <v/>
      </c>
      <c r="D52" s="70">
        <f>IF(計算用!$AB$50="","",IF(計算用!$B$1=1,INDEX(計算用!$H$3:$H$452,計算用!$AB$50),INDEX(振り分け!$D$7:$D$456,計算用!$AB$50)))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IF(計算用!$AB$51="","",49)</f>
        <v/>
      </c>
      <c r="B53" s="59">
        <f>IF(計算用!$AB$51="","",IF(計算用!$B$1=1,INDEX(計算用!$F$3:$F$452,計算用!$AB$51),INDEX(振り分け!$B$7:$B$456,計算用!$AB$51)))</f>
        <v/>
      </c>
      <c r="C53" s="59">
        <f>IF(計算用!$AB$51="","",IF(計算用!$B$1=1,INDEX(計算用!$G$3:$G$452,計算用!$AB$51),INDEX(振り分け!$C$7:$C$456,計算用!$AB$51)))</f>
        <v/>
      </c>
      <c r="D53" s="70">
        <f>IF(計算用!$AB$51="","",IF(計算用!$B$1=1,INDEX(計算用!$H$3:$H$452,計算用!$AB$51),INDEX(振り分け!$D$7:$D$456,計算用!$AB$51)))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IF(計算用!$AB$52="","",50)</f>
        <v/>
      </c>
      <c r="B54" s="59">
        <f>IF(計算用!$AB$52="","",IF(計算用!$B$1=1,INDEX(計算用!$F$3:$F$452,計算用!$AB$52),INDEX(振り分け!$B$7:$B$456,計算用!$AB$52)))</f>
        <v/>
      </c>
      <c r="C54" s="59">
        <f>IF(計算用!$AB$52="","",IF(計算用!$B$1=1,INDEX(計算用!$G$3:$G$452,計算用!$AB$52),INDEX(振り分け!$C$7:$C$456,計算用!$AB$52)))</f>
        <v/>
      </c>
      <c r="D54" s="70">
        <f>IF(計算用!$AB$52="","",IF(計算用!$B$1=1,INDEX(計算用!$H$3:$H$452,計算用!$AB$52),INDEX(振り分け!$D$7:$D$456,計算用!$AB$52)))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9">
        <f>IF(設定!$P$27="","",設定!$B$3&amp;"　"&amp;設定!$P$27&amp;設定!$B$4&amp;"名簿"&amp;IF(計算用!$B$1=0,"（仮・前年度の組）",""))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50">
        <f>IF(設定!$P$27="","","担当："&amp;設定!$S$27&amp;"　　活動場所："&amp;設定!$T$27&amp;"　　人数："&amp;定員チェック!$I$26&amp;"名（"&amp;設定!$B$8&amp;"年"&amp;定員チェック!$J$26&amp;"・"&amp;設定!$B$9&amp;"年"&amp;定員チェック!$K$26&amp;"・"&amp;設定!$B$10&amp;"年"&amp;定員チェック!$L$26&amp;"）")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9">
        <f>IF(計算用!$AC$3="","",1)</f>
        <v/>
      </c>
      <c r="B5" s="59">
        <f>IF(計算用!$AC$3="","",IF(計算用!$B$1=1,INDEX(計算用!$F$3:$F$452,計算用!$AC$3),INDEX(振り分け!$B$7:$B$456,計算用!$AC$3)))</f>
        <v/>
      </c>
      <c r="C5" s="59">
        <f>IF(計算用!$AC$3="","",IF(計算用!$B$1=1,INDEX(計算用!$G$3:$G$452,計算用!$AC$3),INDEX(振り分け!$C$7:$C$456,計算用!$AC$3)))</f>
        <v/>
      </c>
      <c r="D5" s="70">
        <f>IF(計算用!$AC$3="","",IF(計算用!$B$1=1,INDEX(計算用!$H$3:$H$452,計算用!$AC$3),INDEX(振り分け!$D$7:$D$456,計算用!$AC$3)))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9">
        <f>IF(計算用!$AC$4="","",2)</f>
        <v/>
      </c>
      <c r="B6" s="59">
        <f>IF(計算用!$AC$4="","",IF(計算用!$B$1=1,INDEX(計算用!$F$3:$F$452,計算用!$AC$4),INDEX(振り分け!$B$7:$B$456,計算用!$AC$4)))</f>
        <v/>
      </c>
      <c r="C6" s="59">
        <f>IF(計算用!$AC$4="","",IF(計算用!$B$1=1,INDEX(計算用!$G$3:$G$452,計算用!$AC$4),INDEX(振り分け!$C$7:$C$456,計算用!$AC$4)))</f>
        <v/>
      </c>
      <c r="D6" s="70">
        <f>IF(計算用!$AC$4="","",IF(計算用!$B$1=1,INDEX(計算用!$H$3:$H$452,計算用!$AC$4),INDEX(振り分け!$D$7:$D$456,計算用!$AC$4)))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9">
        <f>IF(計算用!$AC$5="","",3)</f>
        <v/>
      </c>
      <c r="B7" s="59">
        <f>IF(計算用!$AC$5="","",IF(計算用!$B$1=1,INDEX(計算用!$F$3:$F$452,計算用!$AC$5),INDEX(振り分け!$B$7:$B$456,計算用!$AC$5)))</f>
        <v/>
      </c>
      <c r="C7" s="59">
        <f>IF(計算用!$AC$5="","",IF(計算用!$B$1=1,INDEX(計算用!$G$3:$G$452,計算用!$AC$5),INDEX(振り分け!$C$7:$C$456,計算用!$AC$5)))</f>
        <v/>
      </c>
      <c r="D7" s="70">
        <f>IF(計算用!$AC$5="","",IF(計算用!$B$1=1,INDEX(計算用!$H$3:$H$452,計算用!$AC$5),INDEX(振り分け!$D$7:$D$456,計算用!$AC$5)))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9">
        <f>IF(計算用!$AC$6="","",4)</f>
        <v/>
      </c>
      <c r="B8" s="59">
        <f>IF(計算用!$AC$6="","",IF(計算用!$B$1=1,INDEX(計算用!$F$3:$F$452,計算用!$AC$6),INDEX(振り分け!$B$7:$B$456,計算用!$AC$6)))</f>
        <v/>
      </c>
      <c r="C8" s="59">
        <f>IF(計算用!$AC$6="","",IF(計算用!$B$1=1,INDEX(計算用!$G$3:$G$452,計算用!$AC$6),INDEX(振り分け!$C$7:$C$456,計算用!$AC$6)))</f>
        <v/>
      </c>
      <c r="D8" s="70">
        <f>IF(計算用!$AC$6="","",IF(計算用!$B$1=1,INDEX(計算用!$H$3:$H$452,計算用!$AC$6),INDEX(振り分け!$D$7:$D$456,計算用!$AC$6)))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9">
        <f>IF(計算用!$AC$7="","",5)</f>
        <v/>
      </c>
      <c r="B9" s="59">
        <f>IF(計算用!$AC$7="","",IF(計算用!$B$1=1,INDEX(計算用!$F$3:$F$452,計算用!$AC$7),INDEX(振り分け!$B$7:$B$456,計算用!$AC$7)))</f>
        <v/>
      </c>
      <c r="C9" s="59">
        <f>IF(計算用!$AC$7="","",IF(計算用!$B$1=1,INDEX(計算用!$G$3:$G$452,計算用!$AC$7),INDEX(振り分け!$C$7:$C$456,計算用!$AC$7)))</f>
        <v/>
      </c>
      <c r="D9" s="70">
        <f>IF(計算用!$AC$7="","",IF(計算用!$B$1=1,INDEX(計算用!$H$3:$H$452,計算用!$AC$7),INDEX(振り分け!$D$7:$D$456,計算用!$AC$7)))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9">
        <f>IF(計算用!$AC$8="","",6)</f>
        <v/>
      </c>
      <c r="B10" s="59">
        <f>IF(計算用!$AC$8="","",IF(計算用!$B$1=1,INDEX(計算用!$F$3:$F$452,計算用!$AC$8),INDEX(振り分け!$B$7:$B$456,計算用!$AC$8)))</f>
        <v/>
      </c>
      <c r="C10" s="59">
        <f>IF(計算用!$AC$8="","",IF(計算用!$B$1=1,INDEX(計算用!$G$3:$G$452,計算用!$AC$8),INDEX(振り分け!$C$7:$C$456,計算用!$AC$8)))</f>
        <v/>
      </c>
      <c r="D10" s="70">
        <f>IF(計算用!$AC$8="","",IF(計算用!$B$1=1,INDEX(計算用!$H$3:$H$452,計算用!$AC$8),INDEX(振り分け!$D$7:$D$456,計算用!$AC$8)))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9">
        <f>IF(計算用!$AC$9="","",7)</f>
        <v/>
      </c>
      <c r="B11" s="59">
        <f>IF(計算用!$AC$9="","",IF(計算用!$B$1=1,INDEX(計算用!$F$3:$F$452,計算用!$AC$9),INDEX(振り分け!$B$7:$B$456,計算用!$AC$9)))</f>
        <v/>
      </c>
      <c r="C11" s="59">
        <f>IF(計算用!$AC$9="","",IF(計算用!$B$1=1,INDEX(計算用!$G$3:$G$452,計算用!$AC$9),INDEX(振り分け!$C$7:$C$456,計算用!$AC$9)))</f>
        <v/>
      </c>
      <c r="D11" s="70">
        <f>IF(計算用!$AC$9="","",IF(計算用!$B$1=1,INDEX(計算用!$H$3:$H$452,計算用!$AC$9),INDEX(振り分け!$D$7:$D$456,計算用!$AC$9)))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9">
        <f>IF(計算用!$AC$10="","",8)</f>
        <v/>
      </c>
      <c r="B12" s="59">
        <f>IF(計算用!$AC$10="","",IF(計算用!$B$1=1,INDEX(計算用!$F$3:$F$452,計算用!$AC$10),INDEX(振り分け!$B$7:$B$456,計算用!$AC$10)))</f>
        <v/>
      </c>
      <c r="C12" s="59">
        <f>IF(計算用!$AC$10="","",IF(計算用!$B$1=1,INDEX(計算用!$G$3:$G$452,計算用!$AC$10),INDEX(振り分け!$C$7:$C$456,計算用!$AC$10)))</f>
        <v/>
      </c>
      <c r="D12" s="70">
        <f>IF(計算用!$AC$10="","",IF(計算用!$B$1=1,INDEX(計算用!$H$3:$H$452,計算用!$AC$10),INDEX(振り分け!$D$7:$D$456,計算用!$AC$10)))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9">
        <f>IF(計算用!$AC$11="","",9)</f>
        <v/>
      </c>
      <c r="B13" s="59">
        <f>IF(計算用!$AC$11="","",IF(計算用!$B$1=1,INDEX(計算用!$F$3:$F$452,計算用!$AC$11),INDEX(振り分け!$B$7:$B$456,計算用!$AC$11)))</f>
        <v/>
      </c>
      <c r="C13" s="59">
        <f>IF(計算用!$AC$11="","",IF(計算用!$B$1=1,INDEX(計算用!$G$3:$G$452,計算用!$AC$11),INDEX(振り分け!$C$7:$C$456,計算用!$AC$11)))</f>
        <v/>
      </c>
      <c r="D13" s="70">
        <f>IF(計算用!$AC$11="","",IF(計算用!$B$1=1,INDEX(計算用!$H$3:$H$452,計算用!$AC$11),INDEX(振り分け!$D$7:$D$456,計算用!$AC$11)))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9">
        <f>IF(計算用!$AC$12="","",10)</f>
        <v/>
      </c>
      <c r="B14" s="59">
        <f>IF(計算用!$AC$12="","",IF(計算用!$B$1=1,INDEX(計算用!$F$3:$F$452,計算用!$AC$12),INDEX(振り分け!$B$7:$B$456,計算用!$AC$12)))</f>
        <v/>
      </c>
      <c r="C14" s="59">
        <f>IF(計算用!$AC$12="","",IF(計算用!$B$1=1,INDEX(計算用!$G$3:$G$452,計算用!$AC$12),INDEX(振り分け!$C$7:$C$456,計算用!$AC$12)))</f>
        <v/>
      </c>
      <c r="D14" s="70">
        <f>IF(計算用!$AC$12="","",IF(計算用!$B$1=1,INDEX(計算用!$H$3:$H$452,計算用!$AC$12),INDEX(振り分け!$D$7:$D$456,計算用!$AC$12)))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9">
        <f>IF(計算用!$AC$13="","",11)</f>
        <v/>
      </c>
      <c r="B15" s="59">
        <f>IF(計算用!$AC$13="","",IF(計算用!$B$1=1,INDEX(計算用!$F$3:$F$452,計算用!$AC$13),INDEX(振り分け!$B$7:$B$456,計算用!$AC$13)))</f>
        <v/>
      </c>
      <c r="C15" s="59">
        <f>IF(計算用!$AC$13="","",IF(計算用!$B$1=1,INDEX(計算用!$G$3:$G$452,計算用!$AC$13),INDEX(振り分け!$C$7:$C$456,計算用!$AC$13)))</f>
        <v/>
      </c>
      <c r="D15" s="70">
        <f>IF(計算用!$AC$13="","",IF(計算用!$B$1=1,INDEX(計算用!$H$3:$H$452,計算用!$AC$13),INDEX(振り分け!$D$7:$D$456,計算用!$AC$13)))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9">
        <f>IF(計算用!$AC$14="","",12)</f>
        <v/>
      </c>
      <c r="B16" s="59">
        <f>IF(計算用!$AC$14="","",IF(計算用!$B$1=1,INDEX(計算用!$F$3:$F$452,計算用!$AC$14),INDEX(振り分け!$B$7:$B$456,計算用!$AC$14)))</f>
        <v/>
      </c>
      <c r="C16" s="59">
        <f>IF(計算用!$AC$14="","",IF(計算用!$B$1=1,INDEX(計算用!$G$3:$G$452,計算用!$AC$14),INDEX(振り分け!$C$7:$C$456,計算用!$AC$14)))</f>
        <v/>
      </c>
      <c r="D16" s="70">
        <f>IF(計算用!$AC$14="","",IF(計算用!$B$1=1,INDEX(計算用!$H$3:$H$452,計算用!$AC$14),INDEX(振り分け!$D$7:$D$456,計算用!$AC$14)))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9">
        <f>IF(計算用!$AC$15="","",13)</f>
        <v/>
      </c>
      <c r="B17" s="59">
        <f>IF(計算用!$AC$15="","",IF(計算用!$B$1=1,INDEX(計算用!$F$3:$F$452,計算用!$AC$15),INDEX(振り分け!$B$7:$B$456,計算用!$AC$15)))</f>
        <v/>
      </c>
      <c r="C17" s="59">
        <f>IF(計算用!$AC$15="","",IF(計算用!$B$1=1,INDEX(計算用!$G$3:$G$452,計算用!$AC$15),INDEX(振り分け!$C$7:$C$456,計算用!$AC$15)))</f>
        <v/>
      </c>
      <c r="D17" s="70">
        <f>IF(計算用!$AC$15="","",IF(計算用!$B$1=1,INDEX(計算用!$H$3:$H$452,計算用!$AC$15),INDEX(振り分け!$D$7:$D$456,計算用!$AC$15)))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9">
        <f>IF(計算用!$AC$16="","",14)</f>
        <v/>
      </c>
      <c r="B18" s="59">
        <f>IF(計算用!$AC$16="","",IF(計算用!$B$1=1,INDEX(計算用!$F$3:$F$452,計算用!$AC$16),INDEX(振り分け!$B$7:$B$456,計算用!$AC$16)))</f>
        <v/>
      </c>
      <c r="C18" s="59">
        <f>IF(計算用!$AC$16="","",IF(計算用!$B$1=1,INDEX(計算用!$G$3:$G$452,計算用!$AC$16),INDEX(振り分け!$C$7:$C$456,計算用!$AC$16)))</f>
        <v/>
      </c>
      <c r="D18" s="70">
        <f>IF(計算用!$AC$16="","",IF(計算用!$B$1=1,INDEX(計算用!$H$3:$H$452,計算用!$AC$16),INDEX(振り分け!$D$7:$D$456,計算用!$AC$16)))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9">
        <f>IF(計算用!$AC$17="","",15)</f>
        <v/>
      </c>
      <c r="B19" s="59">
        <f>IF(計算用!$AC$17="","",IF(計算用!$B$1=1,INDEX(計算用!$F$3:$F$452,計算用!$AC$17),INDEX(振り分け!$B$7:$B$456,計算用!$AC$17)))</f>
        <v/>
      </c>
      <c r="C19" s="59">
        <f>IF(計算用!$AC$17="","",IF(計算用!$B$1=1,INDEX(計算用!$G$3:$G$452,計算用!$AC$17),INDEX(振り分け!$C$7:$C$456,計算用!$AC$17)))</f>
        <v/>
      </c>
      <c r="D19" s="70">
        <f>IF(計算用!$AC$17="","",IF(計算用!$B$1=1,INDEX(計算用!$H$3:$H$452,計算用!$AC$17),INDEX(振り分け!$D$7:$D$456,計算用!$AC$17)))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9">
        <f>IF(計算用!$AC$18="","",16)</f>
        <v/>
      </c>
      <c r="B20" s="59">
        <f>IF(計算用!$AC$18="","",IF(計算用!$B$1=1,INDEX(計算用!$F$3:$F$452,計算用!$AC$18),INDEX(振り分け!$B$7:$B$456,計算用!$AC$18)))</f>
        <v/>
      </c>
      <c r="C20" s="59">
        <f>IF(計算用!$AC$18="","",IF(計算用!$B$1=1,INDEX(計算用!$G$3:$G$452,計算用!$AC$18),INDEX(振り分け!$C$7:$C$456,計算用!$AC$18)))</f>
        <v/>
      </c>
      <c r="D20" s="70">
        <f>IF(計算用!$AC$18="","",IF(計算用!$B$1=1,INDEX(計算用!$H$3:$H$452,計算用!$AC$18),INDEX(振り分け!$D$7:$D$456,計算用!$AC$18)))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9">
        <f>IF(計算用!$AC$19="","",17)</f>
        <v/>
      </c>
      <c r="B21" s="59">
        <f>IF(計算用!$AC$19="","",IF(計算用!$B$1=1,INDEX(計算用!$F$3:$F$452,計算用!$AC$19),INDEX(振り分け!$B$7:$B$456,計算用!$AC$19)))</f>
        <v/>
      </c>
      <c r="C21" s="59">
        <f>IF(計算用!$AC$19="","",IF(計算用!$B$1=1,INDEX(計算用!$G$3:$G$452,計算用!$AC$19),INDEX(振り分け!$C$7:$C$456,計算用!$AC$19)))</f>
        <v/>
      </c>
      <c r="D21" s="70">
        <f>IF(計算用!$AC$19="","",IF(計算用!$B$1=1,INDEX(計算用!$H$3:$H$452,計算用!$AC$19),INDEX(振り分け!$D$7:$D$456,計算用!$AC$19)))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9">
        <f>IF(計算用!$AC$20="","",18)</f>
        <v/>
      </c>
      <c r="B22" s="59">
        <f>IF(計算用!$AC$20="","",IF(計算用!$B$1=1,INDEX(計算用!$F$3:$F$452,計算用!$AC$20),INDEX(振り分け!$B$7:$B$456,計算用!$AC$20)))</f>
        <v/>
      </c>
      <c r="C22" s="59">
        <f>IF(計算用!$AC$20="","",IF(計算用!$B$1=1,INDEX(計算用!$G$3:$G$452,計算用!$AC$20),INDEX(振り分け!$C$7:$C$456,計算用!$AC$20)))</f>
        <v/>
      </c>
      <c r="D22" s="70">
        <f>IF(計算用!$AC$20="","",IF(計算用!$B$1=1,INDEX(計算用!$H$3:$H$452,計算用!$AC$20),INDEX(振り分け!$D$7:$D$456,計算用!$AC$20)))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9">
        <f>IF(計算用!$AC$21="","",19)</f>
        <v/>
      </c>
      <c r="B23" s="59">
        <f>IF(計算用!$AC$21="","",IF(計算用!$B$1=1,INDEX(計算用!$F$3:$F$452,計算用!$AC$21),INDEX(振り分け!$B$7:$B$456,計算用!$AC$21)))</f>
        <v/>
      </c>
      <c r="C23" s="59">
        <f>IF(計算用!$AC$21="","",IF(計算用!$B$1=1,INDEX(計算用!$G$3:$G$452,計算用!$AC$21),INDEX(振り分け!$C$7:$C$456,計算用!$AC$21)))</f>
        <v/>
      </c>
      <c r="D23" s="70">
        <f>IF(計算用!$AC$21="","",IF(計算用!$B$1=1,INDEX(計算用!$H$3:$H$452,計算用!$AC$21),INDEX(振り分け!$D$7:$D$456,計算用!$AC$21)))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9">
        <f>IF(計算用!$AC$22="","",20)</f>
        <v/>
      </c>
      <c r="B24" s="59">
        <f>IF(計算用!$AC$22="","",IF(計算用!$B$1=1,INDEX(計算用!$F$3:$F$452,計算用!$AC$22),INDEX(振り分け!$B$7:$B$456,計算用!$AC$22)))</f>
        <v/>
      </c>
      <c r="C24" s="59">
        <f>IF(計算用!$AC$22="","",IF(計算用!$B$1=1,INDEX(計算用!$G$3:$G$452,計算用!$AC$22),INDEX(振り分け!$C$7:$C$456,計算用!$AC$22)))</f>
        <v/>
      </c>
      <c r="D24" s="70">
        <f>IF(計算用!$AC$22="","",IF(計算用!$B$1=1,INDEX(計算用!$H$3:$H$452,計算用!$AC$22),INDEX(振り分け!$D$7:$D$456,計算用!$AC$22)))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9">
        <f>IF(計算用!$AC$23="","",21)</f>
        <v/>
      </c>
      <c r="B25" s="59">
        <f>IF(計算用!$AC$23="","",IF(計算用!$B$1=1,INDEX(計算用!$F$3:$F$452,計算用!$AC$23),INDEX(振り分け!$B$7:$B$456,計算用!$AC$23)))</f>
        <v/>
      </c>
      <c r="C25" s="59">
        <f>IF(計算用!$AC$23="","",IF(計算用!$B$1=1,INDEX(計算用!$G$3:$G$452,計算用!$AC$23),INDEX(振り分け!$C$7:$C$456,計算用!$AC$23)))</f>
        <v/>
      </c>
      <c r="D25" s="70">
        <f>IF(計算用!$AC$23="","",IF(計算用!$B$1=1,INDEX(計算用!$H$3:$H$452,計算用!$AC$23),INDEX(振り分け!$D$7:$D$456,計算用!$AC$23)))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9">
        <f>IF(計算用!$AC$24="","",22)</f>
        <v/>
      </c>
      <c r="B26" s="59">
        <f>IF(計算用!$AC$24="","",IF(計算用!$B$1=1,INDEX(計算用!$F$3:$F$452,計算用!$AC$24),INDEX(振り分け!$B$7:$B$456,計算用!$AC$24)))</f>
        <v/>
      </c>
      <c r="C26" s="59">
        <f>IF(計算用!$AC$24="","",IF(計算用!$B$1=1,INDEX(計算用!$G$3:$G$452,計算用!$AC$24),INDEX(振り分け!$C$7:$C$456,計算用!$AC$24)))</f>
        <v/>
      </c>
      <c r="D26" s="70">
        <f>IF(計算用!$AC$24="","",IF(計算用!$B$1=1,INDEX(計算用!$H$3:$H$452,計算用!$AC$24),INDEX(振り分け!$D$7:$D$456,計算用!$AC$24)))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9">
        <f>IF(計算用!$AC$25="","",23)</f>
        <v/>
      </c>
      <c r="B27" s="59">
        <f>IF(計算用!$AC$25="","",IF(計算用!$B$1=1,INDEX(計算用!$F$3:$F$452,計算用!$AC$25),INDEX(振り分け!$B$7:$B$456,計算用!$AC$25)))</f>
        <v/>
      </c>
      <c r="C27" s="59">
        <f>IF(計算用!$AC$25="","",IF(計算用!$B$1=1,INDEX(計算用!$G$3:$G$452,計算用!$AC$25),INDEX(振り分け!$C$7:$C$456,計算用!$AC$25)))</f>
        <v/>
      </c>
      <c r="D27" s="70">
        <f>IF(計算用!$AC$25="","",IF(計算用!$B$1=1,INDEX(計算用!$H$3:$H$452,計算用!$AC$25),INDEX(振り分け!$D$7:$D$456,計算用!$AC$25)))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9">
        <f>IF(計算用!$AC$26="","",24)</f>
        <v/>
      </c>
      <c r="B28" s="59">
        <f>IF(計算用!$AC$26="","",IF(計算用!$B$1=1,INDEX(計算用!$F$3:$F$452,計算用!$AC$26),INDEX(振り分け!$B$7:$B$456,計算用!$AC$26)))</f>
        <v/>
      </c>
      <c r="C28" s="59">
        <f>IF(計算用!$AC$26="","",IF(計算用!$B$1=1,INDEX(計算用!$G$3:$G$452,計算用!$AC$26),INDEX(振り分け!$C$7:$C$456,計算用!$AC$26)))</f>
        <v/>
      </c>
      <c r="D28" s="70">
        <f>IF(計算用!$AC$26="","",IF(計算用!$B$1=1,INDEX(計算用!$H$3:$H$452,計算用!$AC$26),INDEX(振り分け!$D$7:$D$456,計算用!$AC$26)))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9">
        <f>IF(計算用!$AC$27="","",25)</f>
        <v/>
      </c>
      <c r="B29" s="59">
        <f>IF(計算用!$AC$27="","",IF(計算用!$B$1=1,INDEX(計算用!$F$3:$F$452,計算用!$AC$27),INDEX(振り分け!$B$7:$B$456,計算用!$AC$27)))</f>
        <v/>
      </c>
      <c r="C29" s="59">
        <f>IF(計算用!$AC$27="","",IF(計算用!$B$1=1,INDEX(計算用!$G$3:$G$452,計算用!$AC$27),INDEX(振り分け!$C$7:$C$456,計算用!$AC$27)))</f>
        <v/>
      </c>
      <c r="D29" s="70">
        <f>IF(計算用!$AC$27="","",IF(計算用!$B$1=1,INDEX(計算用!$H$3:$H$452,計算用!$AC$27),INDEX(振り分け!$D$7:$D$456,計算用!$AC$27)))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9">
        <f>IF(計算用!$AC$28="","",26)</f>
        <v/>
      </c>
      <c r="B30" s="59">
        <f>IF(計算用!$AC$28="","",IF(計算用!$B$1=1,INDEX(計算用!$F$3:$F$452,計算用!$AC$28),INDEX(振り分け!$B$7:$B$456,計算用!$AC$28)))</f>
        <v/>
      </c>
      <c r="C30" s="59">
        <f>IF(計算用!$AC$28="","",IF(計算用!$B$1=1,INDEX(計算用!$G$3:$G$452,計算用!$AC$28),INDEX(振り分け!$C$7:$C$456,計算用!$AC$28)))</f>
        <v/>
      </c>
      <c r="D30" s="70">
        <f>IF(計算用!$AC$28="","",IF(計算用!$B$1=1,INDEX(計算用!$H$3:$H$452,計算用!$AC$28),INDEX(振り分け!$D$7:$D$456,計算用!$AC$28)))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9">
        <f>IF(計算用!$AC$29="","",27)</f>
        <v/>
      </c>
      <c r="B31" s="59">
        <f>IF(計算用!$AC$29="","",IF(計算用!$B$1=1,INDEX(計算用!$F$3:$F$452,計算用!$AC$29),INDEX(振り分け!$B$7:$B$456,計算用!$AC$29)))</f>
        <v/>
      </c>
      <c r="C31" s="59">
        <f>IF(計算用!$AC$29="","",IF(計算用!$B$1=1,INDEX(計算用!$G$3:$G$452,計算用!$AC$29),INDEX(振り分け!$C$7:$C$456,計算用!$AC$29)))</f>
        <v/>
      </c>
      <c r="D31" s="70">
        <f>IF(計算用!$AC$29="","",IF(計算用!$B$1=1,INDEX(計算用!$H$3:$H$452,計算用!$AC$29),INDEX(振り分け!$D$7:$D$456,計算用!$AC$29)))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9">
        <f>IF(計算用!$AC$30="","",28)</f>
        <v/>
      </c>
      <c r="B32" s="59">
        <f>IF(計算用!$AC$30="","",IF(計算用!$B$1=1,INDEX(計算用!$F$3:$F$452,計算用!$AC$30),INDEX(振り分け!$B$7:$B$456,計算用!$AC$30)))</f>
        <v/>
      </c>
      <c r="C32" s="59">
        <f>IF(計算用!$AC$30="","",IF(計算用!$B$1=1,INDEX(計算用!$G$3:$G$452,計算用!$AC$30),INDEX(振り分け!$C$7:$C$456,計算用!$AC$30)))</f>
        <v/>
      </c>
      <c r="D32" s="70">
        <f>IF(計算用!$AC$30="","",IF(計算用!$B$1=1,INDEX(計算用!$H$3:$H$452,計算用!$AC$30),INDEX(振り分け!$D$7:$D$456,計算用!$AC$30)))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9">
        <f>IF(計算用!$AC$31="","",29)</f>
        <v/>
      </c>
      <c r="B33" s="59">
        <f>IF(計算用!$AC$31="","",IF(計算用!$B$1=1,INDEX(計算用!$F$3:$F$452,計算用!$AC$31),INDEX(振り分け!$B$7:$B$456,計算用!$AC$31)))</f>
        <v/>
      </c>
      <c r="C33" s="59">
        <f>IF(計算用!$AC$31="","",IF(計算用!$B$1=1,INDEX(計算用!$G$3:$G$452,計算用!$AC$31),INDEX(振り分け!$C$7:$C$456,計算用!$AC$31)))</f>
        <v/>
      </c>
      <c r="D33" s="70">
        <f>IF(計算用!$AC$31="","",IF(計算用!$B$1=1,INDEX(計算用!$H$3:$H$452,計算用!$AC$31),INDEX(振り分け!$D$7:$D$456,計算用!$AC$31)))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9">
        <f>IF(計算用!$AC$32="","",30)</f>
        <v/>
      </c>
      <c r="B34" s="59">
        <f>IF(計算用!$AC$32="","",IF(計算用!$B$1=1,INDEX(計算用!$F$3:$F$452,計算用!$AC$32),INDEX(振り分け!$B$7:$B$456,計算用!$AC$32)))</f>
        <v/>
      </c>
      <c r="C34" s="59">
        <f>IF(計算用!$AC$32="","",IF(計算用!$B$1=1,INDEX(計算用!$G$3:$G$452,計算用!$AC$32),INDEX(振り分け!$C$7:$C$456,計算用!$AC$32)))</f>
        <v/>
      </c>
      <c r="D34" s="70">
        <f>IF(計算用!$AC$32="","",IF(計算用!$B$1=1,INDEX(計算用!$H$3:$H$452,計算用!$AC$32),INDEX(振り分け!$D$7:$D$456,計算用!$AC$32)))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9">
        <f>IF(計算用!$AC$33="","",31)</f>
        <v/>
      </c>
      <c r="B35" s="59">
        <f>IF(計算用!$AC$33="","",IF(計算用!$B$1=1,INDEX(計算用!$F$3:$F$452,計算用!$AC$33),INDEX(振り分け!$B$7:$B$456,計算用!$AC$33)))</f>
        <v/>
      </c>
      <c r="C35" s="59">
        <f>IF(計算用!$AC$33="","",IF(計算用!$B$1=1,INDEX(計算用!$G$3:$G$452,計算用!$AC$33),INDEX(振り分け!$C$7:$C$456,計算用!$AC$33)))</f>
        <v/>
      </c>
      <c r="D35" s="70">
        <f>IF(計算用!$AC$33="","",IF(計算用!$B$1=1,INDEX(計算用!$H$3:$H$452,計算用!$AC$33),INDEX(振り分け!$D$7:$D$456,計算用!$AC$33)))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9">
        <f>IF(計算用!$AC$34="","",32)</f>
        <v/>
      </c>
      <c r="B36" s="59">
        <f>IF(計算用!$AC$34="","",IF(計算用!$B$1=1,INDEX(計算用!$F$3:$F$452,計算用!$AC$34),INDEX(振り分け!$B$7:$B$456,計算用!$AC$34)))</f>
        <v/>
      </c>
      <c r="C36" s="59">
        <f>IF(計算用!$AC$34="","",IF(計算用!$B$1=1,INDEX(計算用!$G$3:$G$452,計算用!$AC$34),INDEX(振り分け!$C$7:$C$456,計算用!$AC$34)))</f>
        <v/>
      </c>
      <c r="D36" s="70">
        <f>IF(計算用!$AC$34="","",IF(計算用!$B$1=1,INDEX(計算用!$H$3:$H$452,計算用!$AC$34),INDEX(振り分け!$D$7:$D$456,計算用!$AC$34)))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9">
        <f>IF(計算用!$AC$35="","",33)</f>
        <v/>
      </c>
      <c r="B37" s="59">
        <f>IF(計算用!$AC$35="","",IF(計算用!$B$1=1,INDEX(計算用!$F$3:$F$452,計算用!$AC$35),INDEX(振り分け!$B$7:$B$456,計算用!$AC$35)))</f>
        <v/>
      </c>
      <c r="C37" s="59">
        <f>IF(計算用!$AC$35="","",IF(計算用!$B$1=1,INDEX(計算用!$G$3:$G$452,計算用!$AC$35),INDEX(振り分け!$C$7:$C$456,計算用!$AC$35)))</f>
        <v/>
      </c>
      <c r="D37" s="70">
        <f>IF(計算用!$AC$35="","",IF(計算用!$B$1=1,INDEX(計算用!$H$3:$H$452,計算用!$AC$35),INDEX(振り分け!$D$7:$D$456,計算用!$AC$35)))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9">
        <f>IF(計算用!$AC$36="","",34)</f>
        <v/>
      </c>
      <c r="B38" s="59">
        <f>IF(計算用!$AC$36="","",IF(計算用!$B$1=1,INDEX(計算用!$F$3:$F$452,計算用!$AC$36),INDEX(振り分け!$B$7:$B$456,計算用!$AC$36)))</f>
        <v/>
      </c>
      <c r="C38" s="59">
        <f>IF(計算用!$AC$36="","",IF(計算用!$B$1=1,INDEX(計算用!$G$3:$G$452,計算用!$AC$36),INDEX(振り分け!$C$7:$C$456,計算用!$AC$36)))</f>
        <v/>
      </c>
      <c r="D38" s="70">
        <f>IF(計算用!$AC$36="","",IF(計算用!$B$1=1,INDEX(計算用!$H$3:$H$452,計算用!$AC$36),INDEX(振り分け!$D$7:$D$456,計算用!$AC$36)))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9">
        <f>IF(計算用!$AC$37="","",35)</f>
        <v/>
      </c>
      <c r="B39" s="59">
        <f>IF(計算用!$AC$37="","",IF(計算用!$B$1=1,INDEX(計算用!$F$3:$F$452,計算用!$AC$37),INDEX(振り分け!$B$7:$B$456,計算用!$AC$37)))</f>
        <v/>
      </c>
      <c r="C39" s="59">
        <f>IF(計算用!$AC$37="","",IF(計算用!$B$1=1,INDEX(計算用!$G$3:$G$452,計算用!$AC$37),INDEX(振り分け!$C$7:$C$456,計算用!$AC$37)))</f>
        <v/>
      </c>
      <c r="D39" s="70">
        <f>IF(計算用!$AC$37="","",IF(計算用!$B$1=1,INDEX(計算用!$H$3:$H$452,計算用!$AC$37),INDEX(振り分け!$D$7:$D$456,計算用!$AC$37)))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9">
        <f>IF(計算用!$AC$38="","",36)</f>
        <v/>
      </c>
      <c r="B40" s="59">
        <f>IF(計算用!$AC$38="","",IF(計算用!$B$1=1,INDEX(計算用!$F$3:$F$452,計算用!$AC$38),INDEX(振り分け!$B$7:$B$456,計算用!$AC$38)))</f>
        <v/>
      </c>
      <c r="C40" s="59">
        <f>IF(計算用!$AC$38="","",IF(計算用!$B$1=1,INDEX(計算用!$G$3:$G$452,計算用!$AC$38),INDEX(振り分け!$C$7:$C$456,計算用!$AC$38)))</f>
        <v/>
      </c>
      <c r="D40" s="70">
        <f>IF(計算用!$AC$38="","",IF(計算用!$B$1=1,INDEX(計算用!$H$3:$H$452,計算用!$AC$38),INDEX(振り分け!$D$7:$D$456,計算用!$AC$38)))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9">
        <f>IF(計算用!$AC$39="","",37)</f>
        <v/>
      </c>
      <c r="B41" s="59">
        <f>IF(計算用!$AC$39="","",IF(計算用!$B$1=1,INDEX(計算用!$F$3:$F$452,計算用!$AC$39),INDEX(振り分け!$B$7:$B$456,計算用!$AC$39)))</f>
        <v/>
      </c>
      <c r="C41" s="59">
        <f>IF(計算用!$AC$39="","",IF(計算用!$B$1=1,INDEX(計算用!$G$3:$G$452,計算用!$AC$39),INDEX(振り分け!$C$7:$C$456,計算用!$AC$39)))</f>
        <v/>
      </c>
      <c r="D41" s="70">
        <f>IF(計算用!$AC$39="","",IF(計算用!$B$1=1,INDEX(計算用!$H$3:$H$452,計算用!$AC$39),INDEX(振り分け!$D$7:$D$456,計算用!$AC$39)))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9">
        <f>IF(計算用!$AC$40="","",38)</f>
        <v/>
      </c>
      <c r="B42" s="59">
        <f>IF(計算用!$AC$40="","",IF(計算用!$B$1=1,INDEX(計算用!$F$3:$F$452,計算用!$AC$40),INDEX(振り分け!$B$7:$B$456,計算用!$AC$40)))</f>
        <v/>
      </c>
      <c r="C42" s="59">
        <f>IF(計算用!$AC$40="","",IF(計算用!$B$1=1,INDEX(計算用!$G$3:$G$452,計算用!$AC$40),INDEX(振り分け!$C$7:$C$456,計算用!$AC$40)))</f>
        <v/>
      </c>
      <c r="D42" s="70">
        <f>IF(計算用!$AC$40="","",IF(計算用!$B$1=1,INDEX(計算用!$H$3:$H$452,計算用!$AC$40),INDEX(振り分け!$D$7:$D$456,計算用!$AC$40)))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9">
        <f>IF(計算用!$AC$41="","",39)</f>
        <v/>
      </c>
      <c r="B43" s="59">
        <f>IF(計算用!$AC$41="","",IF(計算用!$B$1=1,INDEX(計算用!$F$3:$F$452,計算用!$AC$41),INDEX(振り分け!$B$7:$B$456,計算用!$AC$41)))</f>
        <v/>
      </c>
      <c r="C43" s="59">
        <f>IF(計算用!$AC$41="","",IF(計算用!$B$1=1,INDEX(計算用!$G$3:$G$452,計算用!$AC$41),INDEX(振り分け!$C$7:$C$456,計算用!$AC$41)))</f>
        <v/>
      </c>
      <c r="D43" s="70">
        <f>IF(計算用!$AC$41="","",IF(計算用!$B$1=1,INDEX(計算用!$H$3:$H$452,計算用!$AC$41),INDEX(振り分け!$D$7:$D$456,計算用!$AC$41)))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9">
        <f>IF(計算用!$AC$42="","",40)</f>
        <v/>
      </c>
      <c r="B44" s="59">
        <f>IF(計算用!$AC$42="","",IF(計算用!$B$1=1,INDEX(計算用!$F$3:$F$452,計算用!$AC$42),INDEX(振り分け!$B$7:$B$456,計算用!$AC$42)))</f>
        <v/>
      </c>
      <c r="C44" s="59">
        <f>IF(計算用!$AC$42="","",IF(計算用!$B$1=1,INDEX(計算用!$G$3:$G$452,計算用!$AC$42),INDEX(振り分け!$C$7:$C$456,計算用!$AC$42)))</f>
        <v/>
      </c>
      <c r="D44" s="70">
        <f>IF(計算用!$AC$42="","",IF(計算用!$B$1=1,INDEX(計算用!$H$3:$H$452,計算用!$AC$42),INDEX(振り分け!$D$7:$D$456,計算用!$AC$42)))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9">
        <f>IF(計算用!$AC$43="","",41)</f>
        <v/>
      </c>
      <c r="B45" s="59">
        <f>IF(計算用!$AC$43="","",IF(計算用!$B$1=1,INDEX(計算用!$F$3:$F$452,計算用!$AC$43),INDEX(振り分け!$B$7:$B$456,計算用!$AC$43)))</f>
        <v/>
      </c>
      <c r="C45" s="59">
        <f>IF(計算用!$AC$43="","",IF(計算用!$B$1=1,INDEX(計算用!$G$3:$G$452,計算用!$AC$43),INDEX(振り分け!$C$7:$C$456,計算用!$AC$43)))</f>
        <v/>
      </c>
      <c r="D45" s="70">
        <f>IF(計算用!$AC$43="","",IF(計算用!$B$1=1,INDEX(計算用!$H$3:$H$452,計算用!$AC$43),INDEX(振り分け!$D$7:$D$456,計算用!$AC$43)))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9">
        <f>IF(計算用!$AC$44="","",42)</f>
        <v/>
      </c>
      <c r="B46" s="59">
        <f>IF(計算用!$AC$44="","",IF(計算用!$B$1=1,INDEX(計算用!$F$3:$F$452,計算用!$AC$44),INDEX(振り分け!$B$7:$B$456,計算用!$AC$44)))</f>
        <v/>
      </c>
      <c r="C46" s="59">
        <f>IF(計算用!$AC$44="","",IF(計算用!$B$1=1,INDEX(計算用!$G$3:$G$452,計算用!$AC$44),INDEX(振り分け!$C$7:$C$456,計算用!$AC$44)))</f>
        <v/>
      </c>
      <c r="D46" s="70">
        <f>IF(計算用!$AC$44="","",IF(計算用!$B$1=1,INDEX(計算用!$H$3:$H$452,計算用!$AC$44),INDEX(振り分け!$D$7:$D$456,計算用!$AC$44)))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9">
        <f>IF(計算用!$AC$45="","",43)</f>
        <v/>
      </c>
      <c r="B47" s="59">
        <f>IF(計算用!$AC$45="","",IF(計算用!$B$1=1,INDEX(計算用!$F$3:$F$452,計算用!$AC$45),INDEX(振り分け!$B$7:$B$456,計算用!$AC$45)))</f>
        <v/>
      </c>
      <c r="C47" s="59">
        <f>IF(計算用!$AC$45="","",IF(計算用!$B$1=1,INDEX(計算用!$G$3:$G$452,計算用!$AC$45),INDEX(振り分け!$C$7:$C$456,計算用!$AC$45)))</f>
        <v/>
      </c>
      <c r="D47" s="70">
        <f>IF(計算用!$AC$45="","",IF(計算用!$B$1=1,INDEX(計算用!$H$3:$H$452,計算用!$AC$45),INDEX(振り分け!$D$7:$D$456,計算用!$AC$45)))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9">
        <f>IF(計算用!$AC$46="","",44)</f>
        <v/>
      </c>
      <c r="B48" s="59">
        <f>IF(計算用!$AC$46="","",IF(計算用!$B$1=1,INDEX(計算用!$F$3:$F$452,計算用!$AC$46),INDEX(振り分け!$B$7:$B$456,計算用!$AC$46)))</f>
        <v/>
      </c>
      <c r="C48" s="59">
        <f>IF(計算用!$AC$46="","",IF(計算用!$B$1=1,INDEX(計算用!$G$3:$G$452,計算用!$AC$46),INDEX(振り分け!$C$7:$C$456,計算用!$AC$46)))</f>
        <v/>
      </c>
      <c r="D48" s="70">
        <f>IF(計算用!$AC$46="","",IF(計算用!$B$1=1,INDEX(計算用!$H$3:$H$452,計算用!$AC$46),INDEX(振り分け!$D$7:$D$456,計算用!$AC$46)))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9">
        <f>IF(計算用!$AC$47="","",45)</f>
        <v/>
      </c>
      <c r="B49" s="59">
        <f>IF(計算用!$AC$47="","",IF(計算用!$B$1=1,INDEX(計算用!$F$3:$F$452,計算用!$AC$47),INDEX(振り分け!$B$7:$B$456,計算用!$AC$47)))</f>
        <v/>
      </c>
      <c r="C49" s="59">
        <f>IF(計算用!$AC$47="","",IF(計算用!$B$1=1,INDEX(計算用!$G$3:$G$452,計算用!$AC$47),INDEX(振り分け!$C$7:$C$456,計算用!$AC$47)))</f>
        <v/>
      </c>
      <c r="D49" s="70">
        <f>IF(計算用!$AC$47="","",IF(計算用!$B$1=1,INDEX(計算用!$H$3:$H$452,計算用!$AC$47),INDEX(振り分け!$D$7:$D$456,計算用!$AC$47)))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9">
        <f>IF(計算用!$AC$48="","",46)</f>
        <v/>
      </c>
      <c r="B50" s="59">
        <f>IF(計算用!$AC$48="","",IF(計算用!$B$1=1,INDEX(計算用!$F$3:$F$452,計算用!$AC$48),INDEX(振り分け!$B$7:$B$456,計算用!$AC$48)))</f>
        <v/>
      </c>
      <c r="C50" s="59">
        <f>IF(計算用!$AC$48="","",IF(計算用!$B$1=1,INDEX(計算用!$G$3:$G$452,計算用!$AC$48),INDEX(振り分け!$C$7:$C$456,計算用!$AC$48)))</f>
        <v/>
      </c>
      <c r="D50" s="70">
        <f>IF(計算用!$AC$48="","",IF(計算用!$B$1=1,INDEX(計算用!$H$3:$H$452,計算用!$AC$48),INDEX(振り分け!$D$7:$D$456,計算用!$AC$48)))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9">
        <f>IF(計算用!$AC$49="","",47)</f>
        <v/>
      </c>
      <c r="B51" s="59">
        <f>IF(計算用!$AC$49="","",IF(計算用!$B$1=1,INDEX(計算用!$F$3:$F$452,計算用!$AC$49),INDEX(振り分け!$B$7:$B$456,計算用!$AC$49)))</f>
        <v/>
      </c>
      <c r="C51" s="59">
        <f>IF(計算用!$AC$49="","",IF(計算用!$B$1=1,INDEX(計算用!$G$3:$G$452,計算用!$AC$49),INDEX(振り分け!$C$7:$C$456,計算用!$AC$49)))</f>
        <v/>
      </c>
      <c r="D51" s="70">
        <f>IF(計算用!$AC$49="","",IF(計算用!$B$1=1,INDEX(計算用!$H$3:$H$452,計算用!$AC$49),INDEX(振り分け!$D$7:$D$456,計算用!$AC$49)))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9">
        <f>IF(計算用!$AC$50="","",48)</f>
        <v/>
      </c>
      <c r="B52" s="59">
        <f>IF(計算用!$AC$50="","",IF(計算用!$B$1=1,INDEX(計算用!$F$3:$F$452,計算用!$AC$50),INDEX(振り分け!$B$7:$B$456,計算用!$AC$50)))</f>
        <v/>
      </c>
      <c r="C52" s="59">
        <f>IF(計算用!$AC$50="","",IF(計算用!$B$1=1,INDEX(計算用!$G$3:$G$452,計算用!$AC$50),INDEX(振り分け!$C$7:$C$456,計算用!$AC$50)))</f>
        <v/>
      </c>
      <c r="D52" s="70">
        <f>IF(計算用!$AC$50="","",IF(計算用!$B$1=1,INDEX(計算用!$H$3:$H$452,計算用!$AC$50),INDEX(振り分け!$D$7:$D$456,計算用!$AC$50)))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9">
        <f>IF(計算用!$AC$51="","",49)</f>
        <v/>
      </c>
      <c r="B53" s="59">
        <f>IF(計算用!$AC$51="","",IF(計算用!$B$1=1,INDEX(計算用!$F$3:$F$452,計算用!$AC$51),INDEX(振り分け!$B$7:$B$456,計算用!$AC$51)))</f>
        <v/>
      </c>
      <c r="C53" s="59">
        <f>IF(計算用!$AC$51="","",IF(計算用!$B$1=1,INDEX(計算用!$G$3:$G$452,計算用!$AC$51),INDEX(振り分け!$C$7:$C$456,計算用!$AC$51)))</f>
        <v/>
      </c>
      <c r="D53" s="70">
        <f>IF(計算用!$AC$51="","",IF(計算用!$B$1=1,INDEX(計算用!$H$3:$H$452,計算用!$AC$51),INDEX(振り分け!$D$7:$D$456,計算用!$AC$51)))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9">
        <f>IF(計算用!$AC$52="","",50)</f>
        <v/>
      </c>
      <c r="B54" s="59">
        <f>IF(計算用!$AC$52="","",IF(計算用!$B$1=1,INDEX(計算用!$F$3:$F$452,計算用!$AC$52),INDEX(振り分け!$B$7:$B$456,計算用!$AC$52)))</f>
        <v/>
      </c>
      <c r="C54" s="59">
        <f>IF(計算用!$AC$52="","",IF(計算用!$B$1=1,INDEX(計算用!$G$3:$G$452,計算用!$AC$52),INDEX(振り分け!$C$7:$C$456,計算用!$AC$52)))</f>
        <v/>
      </c>
      <c r="D54" s="70">
        <f>IF(計算用!$AC$52="","",IF(計算用!$B$1=1,INDEX(計算用!$H$3:$H$452,計算用!$AC$52),INDEX(振り分け!$D$7:$D$456,計算用!$AC$52)))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新年度モード</t>
        </is>
      </c>
      <c r="B1" s="71">
        <f>IF(COUNTIF(新年度名簿!$D$3:$D$452,"?*")&gt;0,1,0)</f>
        <v/>
      </c>
    </row>
    <row r="2">
      <c r="A2" s="71" t="inlineStr">
        <is>
          <t>新名簿行</t>
        </is>
      </c>
      <c r="B2" s="71" t="inlineStr">
        <is>
          <t>クラブ</t>
        </is>
      </c>
      <c r="C2" s="71" t="inlineStr">
        <is>
          <t>No</t>
        </is>
      </c>
      <c r="D2" s="71" t="inlineStr">
        <is>
          <t>順</t>
        </is>
      </c>
      <c r="E2" s="71" t="inlineStr">
        <is>
          <t>キー</t>
        </is>
      </c>
      <c r="F2" s="71" t="inlineStr">
        <is>
          <t>組</t>
        </is>
      </c>
      <c r="G2" s="71" t="inlineStr">
        <is>
          <t>番号</t>
        </is>
      </c>
      <c r="H2" s="71" t="inlineStr">
        <is>
          <t>名前</t>
        </is>
      </c>
      <c r="J2" s="71" t="n">
        <v>1</v>
      </c>
      <c r="K2" s="71" t="n">
        <v>2</v>
      </c>
      <c r="L2" s="71" t="n">
        <v>3</v>
      </c>
      <c r="M2" s="71" t="n">
        <v>4</v>
      </c>
      <c r="N2" s="71" t="n">
        <v>5</v>
      </c>
      <c r="O2" s="71" t="n">
        <v>6</v>
      </c>
      <c r="P2" s="71" t="n">
        <v>7</v>
      </c>
      <c r="Q2" s="71" t="n">
        <v>8</v>
      </c>
      <c r="R2" s="71" t="n">
        <v>9</v>
      </c>
      <c r="S2" s="71" t="n">
        <v>10</v>
      </c>
      <c r="T2" s="71" t="n">
        <v>11</v>
      </c>
      <c r="U2" s="71" t="n">
        <v>12</v>
      </c>
      <c r="V2" s="71" t="n">
        <v>13</v>
      </c>
      <c r="W2" s="71" t="n">
        <v>14</v>
      </c>
      <c r="X2" s="71" t="n">
        <v>15</v>
      </c>
      <c r="Y2" s="71" t="n">
        <v>16</v>
      </c>
      <c r="Z2" s="71" t="n">
        <v>17</v>
      </c>
      <c r="AA2" s="71" t="n">
        <v>18</v>
      </c>
      <c r="AB2" s="71" t="n">
        <v>19</v>
      </c>
      <c r="AC2" s="71" t="n">
        <v>20</v>
      </c>
    </row>
    <row r="3">
      <c r="A3" s="18">
        <f>IFERROR(MATCH(SMALL(新年度名簿!$J$3:$J$452,1),新年度名簿!$J$3:$J$452,0),"")</f>
        <v/>
      </c>
      <c r="B3" s="18">
        <f>IF(A3="","",INDEX(新年度名簿!$G$3:$G$452,A3))</f>
        <v/>
      </c>
      <c r="C3" s="18">
        <f>IF(A3="","",IFERROR(MATCH(B3,設定!$P$8:$P$27,0),""))</f>
        <v/>
      </c>
      <c r="D3" s="18">
        <f>IF(C3="","",COUNTIF($C$3:C3,C3))</f>
        <v/>
      </c>
      <c r="E3" s="18">
        <f>IF(C3="","",C3*1000+D3)</f>
        <v/>
      </c>
      <c r="F3" s="18">
        <f>IF(A3="","",INDEX(新年度名簿!$K$3:$K$452,A3))</f>
        <v/>
      </c>
      <c r="G3" s="18">
        <f>IF(A3="","",INDEX(新年度名簿!$C$3:$C$452,A3))</f>
        <v/>
      </c>
      <c r="H3" s="18">
        <f>IF(A3="","",INDEX(新年度名簿!$D$3:$D$452,A3))</f>
        <v/>
      </c>
      <c r="J3" s="18">
        <f>IF($B$1=1,IFERROR(MATCH(1001,$E$3:$E$452,0),""),IFERROR(MATCH(1001,振り分け!$W$7:$W$456,0),""))</f>
        <v/>
      </c>
      <c r="K3" s="18">
        <f>IF($B$1=1,IFERROR(MATCH(2001,$E$3:$E$452,0),""),IFERROR(MATCH(2001,振り分け!$W$7:$W$456,0),""))</f>
        <v/>
      </c>
      <c r="L3" s="18">
        <f>IF($B$1=1,IFERROR(MATCH(3001,$E$3:$E$452,0),""),IFERROR(MATCH(3001,振り分け!$W$7:$W$456,0),""))</f>
        <v/>
      </c>
      <c r="M3" s="18">
        <f>IF($B$1=1,IFERROR(MATCH(4001,$E$3:$E$452,0),""),IFERROR(MATCH(4001,振り分け!$W$7:$W$456,0),""))</f>
        <v/>
      </c>
      <c r="N3" s="18">
        <f>IF($B$1=1,IFERROR(MATCH(5001,$E$3:$E$452,0),""),IFERROR(MATCH(5001,振り分け!$W$7:$W$456,0),""))</f>
        <v/>
      </c>
      <c r="O3" s="18">
        <f>IF($B$1=1,IFERROR(MATCH(6001,$E$3:$E$452,0),""),IFERROR(MATCH(6001,振り分け!$W$7:$W$456,0),""))</f>
        <v/>
      </c>
      <c r="P3" s="18">
        <f>IF($B$1=1,IFERROR(MATCH(7001,$E$3:$E$452,0),""),IFERROR(MATCH(7001,振り分け!$W$7:$W$456,0),""))</f>
        <v/>
      </c>
      <c r="Q3" s="18">
        <f>IF($B$1=1,IFERROR(MATCH(8001,$E$3:$E$452,0),""),IFERROR(MATCH(8001,振り分け!$W$7:$W$456,0),""))</f>
        <v/>
      </c>
      <c r="R3" s="18">
        <f>IF($B$1=1,IFERROR(MATCH(9001,$E$3:$E$452,0),""),IFERROR(MATCH(9001,振り分け!$W$7:$W$456,0),""))</f>
        <v/>
      </c>
      <c r="S3" s="18">
        <f>IF($B$1=1,IFERROR(MATCH(10001,$E$3:$E$452,0),""),IFERROR(MATCH(10001,振り分け!$W$7:$W$456,0),""))</f>
        <v/>
      </c>
      <c r="T3" s="18">
        <f>IF($B$1=1,IFERROR(MATCH(11001,$E$3:$E$452,0),""),IFERROR(MATCH(11001,振り分け!$W$7:$W$456,0),""))</f>
        <v/>
      </c>
      <c r="U3" s="18">
        <f>IF($B$1=1,IFERROR(MATCH(12001,$E$3:$E$452,0),""),IFERROR(MATCH(12001,振り分け!$W$7:$W$456,0),""))</f>
        <v/>
      </c>
      <c r="V3" s="18">
        <f>IF($B$1=1,IFERROR(MATCH(13001,$E$3:$E$452,0),""),IFERROR(MATCH(13001,振り分け!$W$7:$W$456,0),""))</f>
        <v/>
      </c>
      <c r="W3" s="18">
        <f>IF($B$1=1,IFERROR(MATCH(14001,$E$3:$E$452,0),""),IFERROR(MATCH(14001,振り分け!$W$7:$W$456,0),""))</f>
        <v/>
      </c>
      <c r="X3" s="18">
        <f>IF($B$1=1,IFERROR(MATCH(15001,$E$3:$E$452,0),""),IFERROR(MATCH(15001,振り分け!$W$7:$W$456,0),""))</f>
        <v/>
      </c>
      <c r="Y3" s="18">
        <f>IF($B$1=1,IFERROR(MATCH(16001,$E$3:$E$452,0),""),IFERROR(MATCH(16001,振り分け!$W$7:$W$456,0),""))</f>
        <v/>
      </c>
      <c r="Z3" s="18">
        <f>IF($B$1=1,IFERROR(MATCH(17001,$E$3:$E$452,0),""),IFERROR(MATCH(17001,振り分け!$W$7:$W$456,0),""))</f>
        <v/>
      </c>
      <c r="AA3" s="18">
        <f>IF($B$1=1,IFERROR(MATCH(18001,$E$3:$E$452,0),""),IFERROR(MATCH(18001,振り分け!$W$7:$W$456,0),""))</f>
        <v/>
      </c>
      <c r="AB3" s="18">
        <f>IF($B$1=1,IFERROR(MATCH(19001,$E$3:$E$452,0),""),IFERROR(MATCH(19001,振り分け!$W$7:$W$456,0),""))</f>
        <v/>
      </c>
      <c r="AC3" s="18">
        <f>IF($B$1=1,IFERROR(MATCH(20001,$E$3:$E$452,0),""),IFERROR(MATCH(20001,振り分け!$W$7:$W$456,0),""))</f>
        <v/>
      </c>
    </row>
    <row r="4">
      <c r="A4" s="18">
        <f>IFERROR(MATCH(SMALL(新年度名簿!$J$3:$J$452,2),新年度名簿!$J$3:$J$452,0),"")</f>
        <v/>
      </c>
      <c r="B4" s="18">
        <f>IF(A4="","",INDEX(新年度名簿!$G$3:$G$452,A4))</f>
        <v/>
      </c>
      <c r="C4" s="18">
        <f>IF(A4="","",IFERROR(MATCH(B4,設定!$P$8:$P$27,0),""))</f>
        <v/>
      </c>
      <c r="D4" s="18">
        <f>IF(C4="","",COUNTIF($C$3:C4,C4))</f>
        <v/>
      </c>
      <c r="E4" s="18">
        <f>IF(C4="","",C4*1000+D4)</f>
        <v/>
      </c>
      <c r="F4" s="18">
        <f>IF(A4="","",INDEX(新年度名簿!$K$3:$K$452,A4))</f>
        <v/>
      </c>
      <c r="G4" s="18">
        <f>IF(A4="","",INDEX(新年度名簿!$C$3:$C$452,A4))</f>
        <v/>
      </c>
      <c r="H4" s="18">
        <f>IF(A4="","",INDEX(新年度名簿!$D$3:$D$452,A4))</f>
        <v/>
      </c>
      <c r="J4" s="18">
        <f>IF($B$1=1,IFERROR(MATCH(1002,$E$3:$E$452,0),""),IFERROR(MATCH(1002,振り分け!$W$7:$W$456,0),""))</f>
        <v/>
      </c>
      <c r="K4" s="18">
        <f>IF($B$1=1,IFERROR(MATCH(2002,$E$3:$E$452,0),""),IFERROR(MATCH(2002,振り分け!$W$7:$W$456,0),""))</f>
        <v/>
      </c>
      <c r="L4" s="18">
        <f>IF($B$1=1,IFERROR(MATCH(3002,$E$3:$E$452,0),""),IFERROR(MATCH(3002,振り分け!$W$7:$W$456,0),""))</f>
        <v/>
      </c>
      <c r="M4" s="18">
        <f>IF($B$1=1,IFERROR(MATCH(4002,$E$3:$E$452,0),""),IFERROR(MATCH(4002,振り分け!$W$7:$W$456,0),""))</f>
        <v/>
      </c>
      <c r="N4" s="18">
        <f>IF($B$1=1,IFERROR(MATCH(5002,$E$3:$E$452,0),""),IFERROR(MATCH(5002,振り分け!$W$7:$W$456,0),""))</f>
        <v/>
      </c>
      <c r="O4" s="18">
        <f>IF($B$1=1,IFERROR(MATCH(6002,$E$3:$E$452,0),""),IFERROR(MATCH(6002,振り分け!$W$7:$W$456,0),""))</f>
        <v/>
      </c>
      <c r="P4" s="18">
        <f>IF($B$1=1,IFERROR(MATCH(7002,$E$3:$E$452,0),""),IFERROR(MATCH(7002,振り分け!$W$7:$W$456,0),""))</f>
        <v/>
      </c>
      <c r="Q4" s="18">
        <f>IF($B$1=1,IFERROR(MATCH(8002,$E$3:$E$452,0),""),IFERROR(MATCH(8002,振り分け!$W$7:$W$456,0),""))</f>
        <v/>
      </c>
      <c r="R4" s="18">
        <f>IF($B$1=1,IFERROR(MATCH(9002,$E$3:$E$452,0),""),IFERROR(MATCH(9002,振り分け!$W$7:$W$456,0),""))</f>
        <v/>
      </c>
      <c r="S4" s="18">
        <f>IF($B$1=1,IFERROR(MATCH(10002,$E$3:$E$452,0),""),IFERROR(MATCH(10002,振り分け!$W$7:$W$456,0),""))</f>
        <v/>
      </c>
      <c r="T4" s="18">
        <f>IF($B$1=1,IFERROR(MATCH(11002,$E$3:$E$452,0),""),IFERROR(MATCH(11002,振り分け!$W$7:$W$456,0),""))</f>
        <v/>
      </c>
      <c r="U4" s="18">
        <f>IF($B$1=1,IFERROR(MATCH(12002,$E$3:$E$452,0),""),IFERROR(MATCH(12002,振り分け!$W$7:$W$456,0),""))</f>
        <v/>
      </c>
      <c r="V4" s="18">
        <f>IF($B$1=1,IFERROR(MATCH(13002,$E$3:$E$452,0),""),IFERROR(MATCH(13002,振り分け!$W$7:$W$456,0),""))</f>
        <v/>
      </c>
      <c r="W4" s="18">
        <f>IF($B$1=1,IFERROR(MATCH(14002,$E$3:$E$452,0),""),IFERROR(MATCH(14002,振り分け!$W$7:$W$456,0),""))</f>
        <v/>
      </c>
      <c r="X4" s="18">
        <f>IF($B$1=1,IFERROR(MATCH(15002,$E$3:$E$452,0),""),IFERROR(MATCH(15002,振り分け!$W$7:$W$456,0),""))</f>
        <v/>
      </c>
      <c r="Y4" s="18">
        <f>IF($B$1=1,IFERROR(MATCH(16002,$E$3:$E$452,0),""),IFERROR(MATCH(16002,振り分け!$W$7:$W$456,0),""))</f>
        <v/>
      </c>
      <c r="Z4" s="18">
        <f>IF($B$1=1,IFERROR(MATCH(17002,$E$3:$E$452,0),""),IFERROR(MATCH(17002,振り分け!$W$7:$W$456,0),""))</f>
        <v/>
      </c>
      <c r="AA4" s="18">
        <f>IF($B$1=1,IFERROR(MATCH(18002,$E$3:$E$452,0),""),IFERROR(MATCH(18002,振り分け!$W$7:$W$456,0),""))</f>
        <v/>
      </c>
      <c r="AB4" s="18">
        <f>IF($B$1=1,IFERROR(MATCH(19002,$E$3:$E$452,0),""),IFERROR(MATCH(19002,振り分け!$W$7:$W$456,0),""))</f>
        <v/>
      </c>
      <c r="AC4" s="18">
        <f>IF($B$1=1,IFERROR(MATCH(20002,$E$3:$E$452,0),""),IFERROR(MATCH(20002,振り分け!$W$7:$W$456,0),""))</f>
        <v/>
      </c>
    </row>
    <row r="5">
      <c r="A5" s="18">
        <f>IFERROR(MATCH(SMALL(新年度名簿!$J$3:$J$452,3),新年度名簿!$J$3:$J$452,0),"")</f>
        <v/>
      </c>
      <c r="B5" s="18">
        <f>IF(A5="","",INDEX(新年度名簿!$G$3:$G$452,A5))</f>
        <v/>
      </c>
      <c r="C5" s="18">
        <f>IF(A5="","",IFERROR(MATCH(B5,設定!$P$8:$P$27,0),""))</f>
        <v/>
      </c>
      <c r="D5" s="18">
        <f>IF(C5="","",COUNTIF($C$3:C5,C5))</f>
        <v/>
      </c>
      <c r="E5" s="18">
        <f>IF(C5="","",C5*1000+D5)</f>
        <v/>
      </c>
      <c r="F5" s="18">
        <f>IF(A5="","",INDEX(新年度名簿!$K$3:$K$452,A5))</f>
        <v/>
      </c>
      <c r="G5" s="18">
        <f>IF(A5="","",INDEX(新年度名簿!$C$3:$C$452,A5))</f>
        <v/>
      </c>
      <c r="H5" s="18">
        <f>IF(A5="","",INDEX(新年度名簿!$D$3:$D$452,A5))</f>
        <v/>
      </c>
      <c r="J5" s="18">
        <f>IF($B$1=1,IFERROR(MATCH(1003,$E$3:$E$452,0),""),IFERROR(MATCH(1003,振り分け!$W$7:$W$456,0),""))</f>
        <v/>
      </c>
      <c r="K5" s="18">
        <f>IF($B$1=1,IFERROR(MATCH(2003,$E$3:$E$452,0),""),IFERROR(MATCH(2003,振り分け!$W$7:$W$456,0),""))</f>
        <v/>
      </c>
      <c r="L5" s="18">
        <f>IF($B$1=1,IFERROR(MATCH(3003,$E$3:$E$452,0),""),IFERROR(MATCH(3003,振り分け!$W$7:$W$456,0),""))</f>
        <v/>
      </c>
      <c r="M5" s="18">
        <f>IF($B$1=1,IFERROR(MATCH(4003,$E$3:$E$452,0),""),IFERROR(MATCH(4003,振り分け!$W$7:$W$456,0),""))</f>
        <v/>
      </c>
      <c r="N5" s="18">
        <f>IF($B$1=1,IFERROR(MATCH(5003,$E$3:$E$452,0),""),IFERROR(MATCH(5003,振り分け!$W$7:$W$456,0),""))</f>
        <v/>
      </c>
      <c r="O5" s="18">
        <f>IF($B$1=1,IFERROR(MATCH(6003,$E$3:$E$452,0),""),IFERROR(MATCH(6003,振り分け!$W$7:$W$456,0),""))</f>
        <v/>
      </c>
      <c r="P5" s="18">
        <f>IF($B$1=1,IFERROR(MATCH(7003,$E$3:$E$452,0),""),IFERROR(MATCH(7003,振り分け!$W$7:$W$456,0),""))</f>
        <v/>
      </c>
      <c r="Q5" s="18">
        <f>IF($B$1=1,IFERROR(MATCH(8003,$E$3:$E$452,0),""),IFERROR(MATCH(8003,振り分け!$W$7:$W$456,0),""))</f>
        <v/>
      </c>
      <c r="R5" s="18">
        <f>IF($B$1=1,IFERROR(MATCH(9003,$E$3:$E$452,0),""),IFERROR(MATCH(9003,振り分け!$W$7:$W$456,0),""))</f>
        <v/>
      </c>
      <c r="S5" s="18">
        <f>IF($B$1=1,IFERROR(MATCH(10003,$E$3:$E$452,0),""),IFERROR(MATCH(10003,振り分け!$W$7:$W$456,0),""))</f>
        <v/>
      </c>
      <c r="T5" s="18">
        <f>IF($B$1=1,IFERROR(MATCH(11003,$E$3:$E$452,0),""),IFERROR(MATCH(11003,振り分け!$W$7:$W$456,0),""))</f>
        <v/>
      </c>
      <c r="U5" s="18">
        <f>IF($B$1=1,IFERROR(MATCH(12003,$E$3:$E$452,0),""),IFERROR(MATCH(12003,振り分け!$W$7:$W$456,0),""))</f>
        <v/>
      </c>
      <c r="V5" s="18">
        <f>IF($B$1=1,IFERROR(MATCH(13003,$E$3:$E$452,0),""),IFERROR(MATCH(13003,振り分け!$W$7:$W$456,0),""))</f>
        <v/>
      </c>
      <c r="W5" s="18">
        <f>IF($B$1=1,IFERROR(MATCH(14003,$E$3:$E$452,0),""),IFERROR(MATCH(14003,振り分け!$W$7:$W$456,0),""))</f>
        <v/>
      </c>
      <c r="X5" s="18">
        <f>IF($B$1=1,IFERROR(MATCH(15003,$E$3:$E$452,0),""),IFERROR(MATCH(15003,振り分け!$W$7:$W$456,0),""))</f>
        <v/>
      </c>
      <c r="Y5" s="18">
        <f>IF($B$1=1,IFERROR(MATCH(16003,$E$3:$E$452,0),""),IFERROR(MATCH(16003,振り分け!$W$7:$W$456,0),""))</f>
        <v/>
      </c>
      <c r="Z5" s="18">
        <f>IF($B$1=1,IFERROR(MATCH(17003,$E$3:$E$452,0),""),IFERROR(MATCH(17003,振り分け!$W$7:$W$456,0),""))</f>
        <v/>
      </c>
      <c r="AA5" s="18">
        <f>IF($B$1=1,IFERROR(MATCH(18003,$E$3:$E$452,0),""),IFERROR(MATCH(18003,振り分け!$W$7:$W$456,0),""))</f>
        <v/>
      </c>
      <c r="AB5" s="18">
        <f>IF($B$1=1,IFERROR(MATCH(19003,$E$3:$E$452,0),""),IFERROR(MATCH(19003,振り分け!$W$7:$W$456,0),""))</f>
        <v/>
      </c>
      <c r="AC5" s="18">
        <f>IF($B$1=1,IFERROR(MATCH(20003,$E$3:$E$452,0),""),IFERROR(MATCH(20003,振り分け!$W$7:$W$456,0),""))</f>
        <v/>
      </c>
    </row>
    <row r="6">
      <c r="A6" s="18">
        <f>IFERROR(MATCH(SMALL(新年度名簿!$J$3:$J$452,4),新年度名簿!$J$3:$J$452,0),"")</f>
        <v/>
      </c>
      <c r="B6" s="18">
        <f>IF(A6="","",INDEX(新年度名簿!$G$3:$G$452,A6))</f>
        <v/>
      </c>
      <c r="C6" s="18">
        <f>IF(A6="","",IFERROR(MATCH(B6,設定!$P$8:$P$27,0),""))</f>
        <v/>
      </c>
      <c r="D6" s="18">
        <f>IF(C6="","",COUNTIF($C$3:C6,C6))</f>
        <v/>
      </c>
      <c r="E6" s="18">
        <f>IF(C6="","",C6*1000+D6)</f>
        <v/>
      </c>
      <c r="F6" s="18">
        <f>IF(A6="","",INDEX(新年度名簿!$K$3:$K$452,A6))</f>
        <v/>
      </c>
      <c r="G6" s="18">
        <f>IF(A6="","",INDEX(新年度名簿!$C$3:$C$452,A6))</f>
        <v/>
      </c>
      <c r="H6" s="18">
        <f>IF(A6="","",INDEX(新年度名簿!$D$3:$D$452,A6))</f>
        <v/>
      </c>
      <c r="J6" s="18">
        <f>IF($B$1=1,IFERROR(MATCH(1004,$E$3:$E$452,0),""),IFERROR(MATCH(1004,振り分け!$W$7:$W$456,0),""))</f>
        <v/>
      </c>
      <c r="K6" s="18">
        <f>IF($B$1=1,IFERROR(MATCH(2004,$E$3:$E$452,0),""),IFERROR(MATCH(2004,振り分け!$W$7:$W$456,0),""))</f>
        <v/>
      </c>
      <c r="L6" s="18">
        <f>IF($B$1=1,IFERROR(MATCH(3004,$E$3:$E$452,0),""),IFERROR(MATCH(3004,振り分け!$W$7:$W$456,0),""))</f>
        <v/>
      </c>
      <c r="M6" s="18">
        <f>IF($B$1=1,IFERROR(MATCH(4004,$E$3:$E$452,0),""),IFERROR(MATCH(4004,振り分け!$W$7:$W$456,0),""))</f>
        <v/>
      </c>
      <c r="N6" s="18">
        <f>IF($B$1=1,IFERROR(MATCH(5004,$E$3:$E$452,0),""),IFERROR(MATCH(5004,振り分け!$W$7:$W$456,0),""))</f>
        <v/>
      </c>
      <c r="O6" s="18">
        <f>IF($B$1=1,IFERROR(MATCH(6004,$E$3:$E$452,0),""),IFERROR(MATCH(6004,振り分け!$W$7:$W$456,0),""))</f>
        <v/>
      </c>
      <c r="P6" s="18">
        <f>IF($B$1=1,IFERROR(MATCH(7004,$E$3:$E$452,0),""),IFERROR(MATCH(7004,振り分け!$W$7:$W$456,0),""))</f>
        <v/>
      </c>
      <c r="Q6" s="18">
        <f>IF($B$1=1,IFERROR(MATCH(8004,$E$3:$E$452,0),""),IFERROR(MATCH(8004,振り分け!$W$7:$W$456,0),""))</f>
        <v/>
      </c>
      <c r="R6" s="18">
        <f>IF($B$1=1,IFERROR(MATCH(9004,$E$3:$E$452,0),""),IFERROR(MATCH(9004,振り分け!$W$7:$W$456,0),""))</f>
        <v/>
      </c>
      <c r="S6" s="18">
        <f>IF($B$1=1,IFERROR(MATCH(10004,$E$3:$E$452,0),""),IFERROR(MATCH(10004,振り分け!$W$7:$W$456,0),""))</f>
        <v/>
      </c>
      <c r="T6" s="18">
        <f>IF($B$1=1,IFERROR(MATCH(11004,$E$3:$E$452,0),""),IFERROR(MATCH(11004,振り分け!$W$7:$W$456,0),""))</f>
        <v/>
      </c>
      <c r="U6" s="18">
        <f>IF($B$1=1,IFERROR(MATCH(12004,$E$3:$E$452,0),""),IFERROR(MATCH(12004,振り分け!$W$7:$W$456,0),""))</f>
        <v/>
      </c>
      <c r="V6" s="18">
        <f>IF($B$1=1,IFERROR(MATCH(13004,$E$3:$E$452,0),""),IFERROR(MATCH(13004,振り分け!$W$7:$W$456,0),""))</f>
        <v/>
      </c>
      <c r="W6" s="18">
        <f>IF($B$1=1,IFERROR(MATCH(14004,$E$3:$E$452,0),""),IFERROR(MATCH(14004,振り分け!$W$7:$W$456,0),""))</f>
        <v/>
      </c>
      <c r="X6" s="18">
        <f>IF($B$1=1,IFERROR(MATCH(15004,$E$3:$E$452,0),""),IFERROR(MATCH(15004,振り分け!$W$7:$W$456,0),""))</f>
        <v/>
      </c>
      <c r="Y6" s="18">
        <f>IF($B$1=1,IFERROR(MATCH(16004,$E$3:$E$452,0),""),IFERROR(MATCH(16004,振り分け!$W$7:$W$456,0),""))</f>
        <v/>
      </c>
      <c r="Z6" s="18">
        <f>IF($B$1=1,IFERROR(MATCH(17004,$E$3:$E$452,0),""),IFERROR(MATCH(17004,振り分け!$W$7:$W$456,0),""))</f>
        <v/>
      </c>
      <c r="AA6" s="18">
        <f>IF($B$1=1,IFERROR(MATCH(18004,$E$3:$E$452,0),""),IFERROR(MATCH(18004,振り分け!$W$7:$W$456,0),""))</f>
        <v/>
      </c>
      <c r="AB6" s="18">
        <f>IF($B$1=1,IFERROR(MATCH(19004,$E$3:$E$452,0),""),IFERROR(MATCH(19004,振り分け!$W$7:$W$456,0),""))</f>
        <v/>
      </c>
      <c r="AC6" s="18">
        <f>IF($B$1=1,IFERROR(MATCH(20004,$E$3:$E$452,0),""),IFERROR(MATCH(20004,振り分け!$W$7:$W$456,0),""))</f>
        <v/>
      </c>
    </row>
    <row r="7">
      <c r="A7" s="18">
        <f>IFERROR(MATCH(SMALL(新年度名簿!$J$3:$J$452,5),新年度名簿!$J$3:$J$452,0),"")</f>
        <v/>
      </c>
      <c r="B7" s="18">
        <f>IF(A7="","",INDEX(新年度名簿!$G$3:$G$452,A7))</f>
        <v/>
      </c>
      <c r="C7" s="18">
        <f>IF(A7="","",IFERROR(MATCH(B7,設定!$P$8:$P$27,0),""))</f>
        <v/>
      </c>
      <c r="D7" s="18">
        <f>IF(C7="","",COUNTIF($C$3:C7,C7))</f>
        <v/>
      </c>
      <c r="E7" s="18">
        <f>IF(C7="","",C7*1000+D7)</f>
        <v/>
      </c>
      <c r="F7" s="18">
        <f>IF(A7="","",INDEX(新年度名簿!$K$3:$K$452,A7))</f>
        <v/>
      </c>
      <c r="G7" s="18">
        <f>IF(A7="","",INDEX(新年度名簿!$C$3:$C$452,A7))</f>
        <v/>
      </c>
      <c r="H7" s="18">
        <f>IF(A7="","",INDEX(新年度名簿!$D$3:$D$452,A7))</f>
        <v/>
      </c>
      <c r="J7" s="18">
        <f>IF($B$1=1,IFERROR(MATCH(1005,$E$3:$E$452,0),""),IFERROR(MATCH(1005,振り分け!$W$7:$W$456,0),""))</f>
        <v/>
      </c>
      <c r="K7" s="18">
        <f>IF($B$1=1,IFERROR(MATCH(2005,$E$3:$E$452,0),""),IFERROR(MATCH(2005,振り分け!$W$7:$W$456,0),""))</f>
        <v/>
      </c>
      <c r="L7" s="18">
        <f>IF($B$1=1,IFERROR(MATCH(3005,$E$3:$E$452,0),""),IFERROR(MATCH(3005,振り分け!$W$7:$W$456,0),""))</f>
        <v/>
      </c>
      <c r="M7" s="18">
        <f>IF($B$1=1,IFERROR(MATCH(4005,$E$3:$E$452,0),""),IFERROR(MATCH(4005,振り分け!$W$7:$W$456,0),""))</f>
        <v/>
      </c>
      <c r="N7" s="18">
        <f>IF($B$1=1,IFERROR(MATCH(5005,$E$3:$E$452,0),""),IFERROR(MATCH(5005,振り分け!$W$7:$W$456,0),""))</f>
        <v/>
      </c>
      <c r="O7" s="18">
        <f>IF($B$1=1,IFERROR(MATCH(6005,$E$3:$E$452,0),""),IFERROR(MATCH(6005,振り分け!$W$7:$W$456,0),""))</f>
        <v/>
      </c>
      <c r="P7" s="18">
        <f>IF($B$1=1,IFERROR(MATCH(7005,$E$3:$E$452,0),""),IFERROR(MATCH(7005,振り分け!$W$7:$W$456,0),""))</f>
        <v/>
      </c>
      <c r="Q7" s="18">
        <f>IF($B$1=1,IFERROR(MATCH(8005,$E$3:$E$452,0),""),IFERROR(MATCH(8005,振り分け!$W$7:$W$456,0),""))</f>
        <v/>
      </c>
      <c r="R7" s="18">
        <f>IF($B$1=1,IFERROR(MATCH(9005,$E$3:$E$452,0),""),IFERROR(MATCH(9005,振り分け!$W$7:$W$456,0),""))</f>
        <v/>
      </c>
      <c r="S7" s="18">
        <f>IF($B$1=1,IFERROR(MATCH(10005,$E$3:$E$452,0),""),IFERROR(MATCH(10005,振り分け!$W$7:$W$456,0),""))</f>
        <v/>
      </c>
      <c r="T7" s="18">
        <f>IF($B$1=1,IFERROR(MATCH(11005,$E$3:$E$452,0),""),IFERROR(MATCH(11005,振り分け!$W$7:$W$456,0),""))</f>
        <v/>
      </c>
      <c r="U7" s="18">
        <f>IF($B$1=1,IFERROR(MATCH(12005,$E$3:$E$452,0),""),IFERROR(MATCH(12005,振り分け!$W$7:$W$456,0),""))</f>
        <v/>
      </c>
      <c r="V7" s="18">
        <f>IF($B$1=1,IFERROR(MATCH(13005,$E$3:$E$452,0),""),IFERROR(MATCH(13005,振り分け!$W$7:$W$456,0),""))</f>
        <v/>
      </c>
      <c r="W7" s="18">
        <f>IF($B$1=1,IFERROR(MATCH(14005,$E$3:$E$452,0),""),IFERROR(MATCH(14005,振り分け!$W$7:$W$456,0),""))</f>
        <v/>
      </c>
      <c r="X7" s="18">
        <f>IF($B$1=1,IFERROR(MATCH(15005,$E$3:$E$452,0),""),IFERROR(MATCH(15005,振り分け!$W$7:$W$456,0),""))</f>
        <v/>
      </c>
      <c r="Y7" s="18">
        <f>IF($B$1=1,IFERROR(MATCH(16005,$E$3:$E$452,0),""),IFERROR(MATCH(16005,振り分け!$W$7:$W$456,0),""))</f>
        <v/>
      </c>
      <c r="Z7" s="18">
        <f>IF($B$1=1,IFERROR(MATCH(17005,$E$3:$E$452,0),""),IFERROR(MATCH(17005,振り分け!$W$7:$W$456,0),""))</f>
        <v/>
      </c>
      <c r="AA7" s="18">
        <f>IF($B$1=1,IFERROR(MATCH(18005,$E$3:$E$452,0),""),IFERROR(MATCH(18005,振り分け!$W$7:$W$456,0),""))</f>
        <v/>
      </c>
      <c r="AB7" s="18">
        <f>IF($B$1=1,IFERROR(MATCH(19005,$E$3:$E$452,0),""),IFERROR(MATCH(19005,振り分け!$W$7:$W$456,0),""))</f>
        <v/>
      </c>
      <c r="AC7" s="18">
        <f>IF($B$1=1,IFERROR(MATCH(20005,$E$3:$E$452,0),""),IFERROR(MATCH(20005,振り分け!$W$7:$W$456,0),""))</f>
        <v/>
      </c>
    </row>
    <row r="8">
      <c r="A8" s="18">
        <f>IFERROR(MATCH(SMALL(新年度名簿!$J$3:$J$452,6),新年度名簿!$J$3:$J$452,0),"")</f>
        <v/>
      </c>
      <c r="B8" s="18">
        <f>IF(A8="","",INDEX(新年度名簿!$G$3:$G$452,A8))</f>
        <v/>
      </c>
      <c r="C8" s="18">
        <f>IF(A8="","",IFERROR(MATCH(B8,設定!$P$8:$P$27,0),""))</f>
        <v/>
      </c>
      <c r="D8" s="18">
        <f>IF(C8="","",COUNTIF($C$3:C8,C8))</f>
        <v/>
      </c>
      <c r="E8" s="18">
        <f>IF(C8="","",C8*1000+D8)</f>
        <v/>
      </c>
      <c r="F8" s="18">
        <f>IF(A8="","",INDEX(新年度名簿!$K$3:$K$452,A8))</f>
        <v/>
      </c>
      <c r="G8" s="18">
        <f>IF(A8="","",INDEX(新年度名簿!$C$3:$C$452,A8))</f>
        <v/>
      </c>
      <c r="H8" s="18">
        <f>IF(A8="","",INDEX(新年度名簿!$D$3:$D$452,A8))</f>
        <v/>
      </c>
      <c r="J8" s="18">
        <f>IF($B$1=1,IFERROR(MATCH(1006,$E$3:$E$452,0),""),IFERROR(MATCH(1006,振り分け!$W$7:$W$456,0),""))</f>
        <v/>
      </c>
      <c r="K8" s="18">
        <f>IF($B$1=1,IFERROR(MATCH(2006,$E$3:$E$452,0),""),IFERROR(MATCH(2006,振り分け!$W$7:$W$456,0),""))</f>
        <v/>
      </c>
      <c r="L8" s="18">
        <f>IF($B$1=1,IFERROR(MATCH(3006,$E$3:$E$452,0),""),IFERROR(MATCH(3006,振り分け!$W$7:$W$456,0),""))</f>
        <v/>
      </c>
      <c r="M8" s="18">
        <f>IF($B$1=1,IFERROR(MATCH(4006,$E$3:$E$452,0),""),IFERROR(MATCH(4006,振り分け!$W$7:$W$456,0),""))</f>
        <v/>
      </c>
      <c r="N8" s="18">
        <f>IF($B$1=1,IFERROR(MATCH(5006,$E$3:$E$452,0),""),IFERROR(MATCH(5006,振り分け!$W$7:$W$456,0),""))</f>
        <v/>
      </c>
      <c r="O8" s="18">
        <f>IF($B$1=1,IFERROR(MATCH(6006,$E$3:$E$452,0),""),IFERROR(MATCH(6006,振り分け!$W$7:$W$456,0),""))</f>
        <v/>
      </c>
      <c r="P8" s="18">
        <f>IF($B$1=1,IFERROR(MATCH(7006,$E$3:$E$452,0),""),IFERROR(MATCH(7006,振り分け!$W$7:$W$456,0),""))</f>
        <v/>
      </c>
      <c r="Q8" s="18">
        <f>IF($B$1=1,IFERROR(MATCH(8006,$E$3:$E$452,0),""),IFERROR(MATCH(8006,振り分け!$W$7:$W$456,0),""))</f>
        <v/>
      </c>
      <c r="R8" s="18">
        <f>IF($B$1=1,IFERROR(MATCH(9006,$E$3:$E$452,0),""),IFERROR(MATCH(9006,振り分け!$W$7:$W$456,0),""))</f>
        <v/>
      </c>
      <c r="S8" s="18">
        <f>IF($B$1=1,IFERROR(MATCH(10006,$E$3:$E$452,0),""),IFERROR(MATCH(10006,振り分け!$W$7:$W$456,0),""))</f>
        <v/>
      </c>
      <c r="T8" s="18">
        <f>IF($B$1=1,IFERROR(MATCH(11006,$E$3:$E$452,0),""),IFERROR(MATCH(11006,振り分け!$W$7:$W$456,0),""))</f>
        <v/>
      </c>
      <c r="U8" s="18">
        <f>IF($B$1=1,IFERROR(MATCH(12006,$E$3:$E$452,0),""),IFERROR(MATCH(12006,振り分け!$W$7:$W$456,0),""))</f>
        <v/>
      </c>
      <c r="V8" s="18">
        <f>IF($B$1=1,IFERROR(MATCH(13006,$E$3:$E$452,0),""),IFERROR(MATCH(13006,振り分け!$W$7:$W$456,0),""))</f>
        <v/>
      </c>
      <c r="W8" s="18">
        <f>IF($B$1=1,IFERROR(MATCH(14006,$E$3:$E$452,0),""),IFERROR(MATCH(14006,振り分け!$W$7:$W$456,0),""))</f>
        <v/>
      </c>
      <c r="X8" s="18">
        <f>IF($B$1=1,IFERROR(MATCH(15006,$E$3:$E$452,0),""),IFERROR(MATCH(15006,振り分け!$W$7:$W$456,0),""))</f>
        <v/>
      </c>
      <c r="Y8" s="18">
        <f>IF($B$1=1,IFERROR(MATCH(16006,$E$3:$E$452,0),""),IFERROR(MATCH(16006,振り分け!$W$7:$W$456,0),""))</f>
        <v/>
      </c>
      <c r="Z8" s="18">
        <f>IF($B$1=1,IFERROR(MATCH(17006,$E$3:$E$452,0),""),IFERROR(MATCH(17006,振り分け!$W$7:$W$456,0),""))</f>
        <v/>
      </c>
      <c r="AA8" s="18">
        <f>IF($B$1=1,IFERROR(MATCH(18006,$E$3:$E$452,0),""),IFERROR(MATCH(18006,振り分け!$W$7:$W$456,0),""))</f>
        <v/>
      </c>
      <c r="AB8" s="18">
        <f>IF($B$1=1,IFERROR(MATCH(19006,$E$3:$E$452,0),""),IFERROR(MATCH(19006,振り分け!$W$7:$W$456,0),""))</f>
        <v/>
      </c>
      <c r="AC8" s="18">
        <f>IF($B$1=1,IFERROR(MATCH(20006,$E$3:$E$452,0),""),IFERROR(MATCH(20006,振り分け!$W$7:$W$456,0),""))</f>
        <v/>
      </c>
    </row>
    <row r="9">
      <c r="A9" s="18">
        <f>IFERROR(MATCH(SMALL(新年度名簿!$J$3:$J$452,7),新年度名簿!$J$3:$J$452,0),"")</f>
        <v/>
      </c>
      <c r="B9" s="18">
        <f>IF(A9="","",INDEX(新年度名簿!$G$3:$G$452,A9))</f>
        <v/>
      </c>
      <c r="C9" s="18">
        <f>IF(A9="","",IFERROR(MATCH(B9,設定!$P$8:$P$27,0),""))</f>
        <v/>
      </c>
      <c r="D9" s="18">
        <f>IF(C9="","",COUNTIF($C$3:C9,C9))</f>
        <v/>
      </c>
      <c r="E9" s="18">
        <f>IF(C9="","",C9*1000+D9)</f>
        <v/>
      </c>
      <c r="F9" s="18">
        <f>IF(A9="","",INDEX(新年度名簿!$K$3:$K$452,A9))</f>
        <v/>
      </c>
      <c r="G9" s="18">
        <f>IF(A9="","",INDEX(新年度名簿!$C$3:$C$452,A9))</f>
        <v/>
      </c>
      <c r="H9" s="18">
        <f>IF(A9="","",INDEX(新年度名簿!$D$3:$D$452,A9))</f>
        <v/>
      </c>
      <c r="J9" s="18">
        <f>IF($B$1=1,IFERROR(MATCH(1007,$E$3:$E$452,0),""),IFERROR(MATCH(1007,振り分け!$W$7:$W$456,0),""))</f>
        <v/>
      </c>
      <c r="K9" s="18">
        <f>IF($B$1=1,IFERROR(MATCH(2007,$E$3:$E$452,0),""),IFERROR(MATCH(2007,振り分け!$W$7:$W$456,0),""))</f>
        <v/>
      </c>
      <c r="L9" s="18">
        <f>IF($B$1=1,IFERROR(MATCH(3007,$E$3:$E$452,0),""),IFERROR(MATCH(3007,振り分け!$W$7:$W$456,0),""))</f>
        <v/>
      </c>
      <c r="M9" s="18">
        <f>IF($B$1=1,IFERROR(MATCH(4007,$E$3:$E$452,0),""),IFERROR(MATCH(4007,振り分け!$W$7:$W$456,0),""))</f>
        <v/>
      </c>
      <c r="N9" s="18">
        <f>IF($B$1=1,IFERROR(MATCH(5007,$E$3:$E$452,0),""),IFERROR(MATCH(5007,振り分け!$W$7:$W$456,0),""))</f>
        <v/>
      </c>
      <c r="O9" s="18">
        <f>IF($B$1=1,IFERROR(MATCH(6007,$E$3:$E$452,0),""),IFERROR(MATCH(6007,振り分け!$W$7:$W$456,0),""))</f>
        <v/>
      </c>
      <c r="P9" s="18">
        <f>IF($B$1=1,IFERROR(MATCH(7007,$E$3:$E$452,0),""),IFERROR(MATCH(7007,振り分け!$W$7:$W$456,0),""))</f>
        <v/>
      </c>
      <c r="Q9" s="18">
        <f>IF($B$1=1,IFERROR(MATCH(8007,$E$3:$E$452,0),""),IFERROR(MATCH(8007,振り分け!$W$7:$W$456,0),""))</f>
        <v/>
      </c>
      <c r="R9" s="18">
        <f>IF($B$1=1,IFERROR(MATCH(9007,$E$3:$E$452,0),""),IFERROR(MATCH(9007,振り分け!$W$7:$W$456,0),""))</f>
        <v/>
      </c>
      <c r="S9" s="18">
        <f>IF($B$1=1,IFERROR(MATCH(10007,$E$3:$E$452,0),""),IFERROR(MATCH(10007,振り分け!$W$7:$W$456,0),""))</f>
        <v/>
      </c>
      <c r="T9" s="18">
        <f>IF($B$1=1,IFERROR(MATCH(11007,$E$3:$E$452,0),""),IFERROR(MATCH(11007,振り分け!$W$7:$W$456,0),""))</f>
        <v/>
      </c>
      <c r="U9" s="18">
        <f>IF($B$1=1,IFERROR(MATCH(12007,$E$3:$E$452,0),""),IFERROR(MATCH(12007,振り分け!$W$7:$W$456,0),""))</f>
        <v/>
      </c>
      <c r="V9" s="18">
        <f>IF($B$1=1,IFERROR(MATCH(13007,$E$3:$E$452,0),""),IFERROR(MATCH(13007,振り分け!$W$7:$W$456,0),""))</f>
        <v/>
      </c>
      <c r="W9" s="18">
        <f>IF($B$1=1,IFERROR(MATCH(14007,$E$3:$E$452,0),""),IFERROR(MATCH(14007,振り分け!$W$7:$W$456,0),""))</f>
        <v/>
      </c>
      <c r="X9" s="18">
        <f>IF($B$1=1,IFERROR(MATCH(15007,$E$3:$E$452,0),""),IFERROR(MATCH(15007,振り分け!$W$7:$W$456,0),""))</f>
        <v/>
      </c>
      <c r="Y9" s="18">
        <f>IF($B$1=1,IFERROR(MATCH(16007,$E$3:$E$452,0),""),IFERROR(MATCH(16007,振り分け!$W$7:$W$456,0),""))</f>
        <v/>
      </c>
      <c r="Z9" s="18">
        <f>IF($B$1=1,IFERROR(MATCH(17007,$E$3:$E$452,0),""),IFERROR(MATCH(17007,振り分け!$W$7:$W$456,0),""))</f>
        <v/>
      </c>
      <c r="AA9" s="18">
        <f>IF($B$1=1,IFERROR(MATCH(18007,$E$3:$E$452,0),""),IFERROR(MATCH(18007,振り分け!$W$7:$W$456,0),""))</f>
        <v/>
      </c>
      <c r="AB9" s="18">
        <f>IF($B$1=1,IFERROR(MATCH(19007,$E$3:$E$452,0),""),IFERROR(MATCH(19007,振り分け!$W$7:$W$456,0),""))</f>
        <v/>
      </c>
      <c r="AC9" s="18">
        <f>IF($B$1=1,IFERROR(MATCH(20007,$E$3:$E$452,0),""),IFERROR(MATCH(20007,振り分け!$W$7:$W$456,0),""))</f>
        <v/>
      </c>
    </row>
    <row r="10">
      <c r="A10" s="18">
        <f>IFERROR(MATCH(SMALL(新年度名簿!$J$3:$J$452,8),新年度名簿!$J$3:$J$452,0),"")</f>
        <v/>
      </c>
      <c r="B10" s="18">
        <f>IF(A10="","",INDEX(新年度名簿!$G$3:$G$452,A10))</f>
        <v/>
      </c>
      <c r="C10" s="18">
        <f>IF(A10="","",IFERROR(MATCH(B10,設定!$P$8:$P$27,0),""))</f>
        <v/>
      </c>
      <c r="D10" s="18">
        <f>IF(C10="","",COUNTIF($C$3:C10,C10))</f>
        <v/>
      </c>
      <c r="E10" s="18">
        <f>IF(C10="","",C10*1000+D10)</f>
        <v/>
      </c>
      <c r="F10" s="18">
        <f>IF(A10="","",INDEX(新年度名簿!$K$3:$K$452,A10))</f>
        <v/>
      </c>
      <c r="G10" s="18">
        <f>IF(A10="","",INDEX(新年度名簿!$C$3:$C$452,A10))</f>
        <v/>
      </c>
      <c r="H10" s="18">
        <f>IF(A10="","",INDEX(新年度名簿!$D$3:$D$452,A10))</f>
        <v/>
      </c>
      <c r="J10" s="18">
        <f>IF($B$1=1,IFERROR(MATCH(1008,$E$3:$E$452,0),""),IFERROR(MATCH(1008,振り分け!$W$7:$W$456,0),""))</f>
        <v/>
      </c>
      <c r="K10" s="18">
        <f>IF($B$1=1,IFERROR(MATCH(2008,$E$3:$E$452,0),""),IFERROR(MATCH(2008,振り分け!$W$7:$W$456,0),""))</f>
        <v/>
      </c>
      <c r="L10" s="18">
        <f>IF($B$1=1,IFERROR(MATCH(3008,$E$3:$E$452,0),""),IFERROR(MATCH(3008,振り分け!$W$7:$W$456,0),""))</f>
        <v/>
      </c>
      <c r="M10" s="18">
        <f>IF($B$1=1,IFERROR(MATCH(4008,$E$3:$E$452,0),""),IFERROR(MATCH(4008,振り分け!$W$7:$W$456,0),""))</f>
        <v/>
      </c>
      <c r="N10" s="18">
        <f>IF($B$1=1,IFERROR(MATCH(5008,$E$3:$E$452,0),""),IFERROR(MATCH(5008,振り分け!$W$7:$W$456,0),""))</f>
        <v/>
      </c>
      <c r="O10" s="18">
        <f>IF($B$1=1,IFERROR(MATCH(6008,$E$3:$E$452,0),""),IFERROR(MATCH(6008,振り分け!$W$7:$W$456,0),""))</f>
        <v/>
      </c>
      <c r="P10" s="18">
        <f>IF($B$1=1,IFERROR(MATCH(7008,$E$3:$E$452,0),""),IFERROR(MATCH(7008,振り分け!$W$7:$W$456,0),""))</f>
        <v/>
      </c>
      <c r="Q10" s="18">
        <f>IF($B$1=1,IFERROR(MATCH(8008,$E$3:$E$452,0),""),IFERROR(MATCH(8008,振り分け!$W$7:$W$456,0),""))</f>
        <v/>
      </c>
      <c r="R10" s="18">
        <f>IF($B$1=1,IFERROR(MATCH(9008,$E$3:$E$452,0),""),IFERROR(MATCH(9008,振り分け!$W$7:$W$456,0),""))</f>
        <v/>
      </c>
      <c r="S10" s="18">
        <f>IF($B$1=1,IFERROR(MATCH(10008,$E$3:$E$452,0),""),IFERROR(MATCH(10008,振り分け!$W$7:$W$456,0),""))</f>
        <v/>
      </c>
      <c r="T10" s="18">
        <f>IF($B$1=1,IFERROR(MATCH(11008,$E$3:$E$452,0),""),IFERROR(MATCH(11008,振り分け!$W$7:$W$456,0),""))</f>
        <v/>
      </c>
      <c r="U10" s="18">
        <f>IF($B$1=1,IFERROR(MATCH(12008,$E$3:$E$452,0),""),IFERROR(MATCH(12008,振り分け!$W$7:$W$456,0),""))</f>
        <v/>
      </c>
      <c r="V10" s="18">
        <f>IF($B$1=1,IFERROR(MATCH(13008,$E$3:$E$452,0),""),IFERROR(MATCH(13008,振り分け!$W$7:$W$456,0),""))</f>
        <v/>
      </c>
      <c r="W10" s="18">
        <f>IF($B$1=1,IFERROR(MATCH(14008,$E$3:$E$452,0),""),IFERROR(MATCH(14008,振り分け!$W$7:$W$456,0),""))</f>
        <v/>
      </c>
      <c r="X10" s="18">
        <f>IF($B$1=1,IFERROR(MATCH(15008,$E$3:$E$452,0),""),IFERROR(MATCH(15008,振り分け!$W$7:$W$456,0),""))</f>
        <v/>
      </c>
      <c r="Y10" s="18">
        <f>IF($B$1=1,IFERROR(MATCH(16008,$E$3:$E$452,0),""),IFERROR(MATCH(16008,振り分け!$W$7:$W$456,0),""))</f>
        <v/>
      </c>
      <c r="Z10" s="18">
        <f>IF($B$1=1,IFERROR(MATCH(17008,$E$3:$E$452,0),""),IFERROR(MATCH(17008,振り分け!$W$7:$W$456,0),""))</f>
        <v/>
      </c>
      <c r="AA10" s="18">
        <f>IF($B$1=1,IFERROR(MATCH(18008,$E$3:$E$452,0),""),IFERROR(MATCH(18008,振り分け!$W$7:$W$456,0),""))</f>
        <v/>
      </c>
      <c r="AB10" s="18">
        <f>IF($B$1=1,IFERROR(MATCH(19008,$E$3:$E$452,0),""),IFERROR(MATCH(19008,振り分け!$W$7:$W$456,0),""))</f>
        <v/>
      </c>
      <c r="AC10" s="18">
        <f>IF($B$1=1,IFERROR(MATCH(20008,$E$3:$E$452,0),""),IFERROR(MATCH(20008,振り分け!$W$7:$W$456,0),""))</f>
        <v/>
      </c>
    </row>
    <row r="11">
      <c r="A11" s="18">
        <f>IFERROR(MATCH(SMALL(新年度名簿!$J$3:$J$452,9),新年度名簿!$J$3:$J$452,0),"")</f>
        <v/>
      </c>
      <c r="B11" s="18">
        <f>IF(A11="","",INDEX(新年度名簿!$G$3:$G$452,A11))</f>
        <v/>
      </c>
      <c r="C11" s="18">
        <f>IF(A11="","",IFERROR(MATCH(B11,設定!$P$8:$P$27,0),""))</f>
        <v/>
      </c>
      <c r="D11" s="18">
        <f>IF(C11="","",COUNTIF($C$3:C11,C11))</f>
        <v/>
      </c>
      <c r="E11" s="18">
        <f>IF(C11="","",C11*1000+D11)</f>
        <v/>
      </c>
      <c r="F11" s="18">
        <f>IF(A11="","",INDEX(新年度名簿!$K$3:$K$452,A11))</f>
        <v/>
      </c>
      <c r="G11" s="18">
        <f>IF(A11="","",INDEX(新年度名簿!$C$3:$C$452,A11))</f>
        <v/>
      </c>
      <c r="H11" s="18">
        <f>IF(A11="","",INDEX(新年度名簿!$D$3:$D$452,A11))</f>
        <v/>
      </c>
      <c r="J11" s="18">
        <f>IF($B$1=1,IFERROR(MATCH(1009,$E$3:$E$452,0),""),IFERROR(MATCH(1009,振り分け!$W$7:$W$456,0),""))</f>
        <v/>
      </c>
      <c r="K11" s="18">
        <f>IF($B$1=1,IFERROR(MATCH(2009,$E$3:$E$452,0),""),IFERROR(MATCH(2009,振り分け!$W$7:$W$456,0),""))</f>
        <v/>
      </c>
      <c r="L11" s="18">
        <f>IF($B$1=1,IFERROR(MATCH(3009,$E$3:$E$452,0),""),IFERROR(MATCH(3009,振り分け!$W$7:$W$456,0),""))</f>
        <v/>
      </c>
      <c r="M11" s="18">
        <f>IF($B$1=1,IFERROR(MATCH(4009,$E$3:$E$452,0),""),IFERROR(MATCH(4009,振り分け!$W$7:$W$456,0),""))</f>
        <v/>
      </c>
      <c r="N11" s="18">
        <f>IF($B$1=1,IFERROR(MATCH(5009,$E$3:$E$452,0),""),IFERROR(MATCH(5009,振り分け!$W$7:$W$456,0),""))</f>
        <v/>
      </c>
      <c r="O11" s="18">
        <f>IF($B$1=1,IFERROR(MATCH(6009,$E$3:$E$452,0),""),IFERROR(MATCH(6009,振り分け!$W$7:$W$456,0),""))</f>
        <v/>
      </c>
      <c r="P11" s="18">
        <f>IF($B$1=1,IFERROR(MATCH(7009,$E$3:$E$452,0),""),IFERROR(MATCH(7009,振り分け!$W$7:$W$456,0),""))</f>
        <v/>
      </c>
      <c r="Q11" s="18">
        <f>IF($B$1=1,IFERROR(MATCH(8009,$E$3:$E$452,0),""),IFERROR(MATCH(8009,振り分け!$W$7:$W$456,0),""))</f>
        <v/>
      </c>
      <c r="R11" s="18">
        <f>IF($B$1=1,IFERROR(MATCH(9009,$E$3:$E$452,0),""),IFERROR(MATCH(9009,振り分け!$W$7:$W$456,0),""))</f>
        <v/>
      </c>
      <c r="S11" s="18">
        <f>IF($B$1=1,IFERROR(MATCH(10009,$E$3:$E$452,0),""),IFERROR(MATCH(10009,振り分け!$W$7:$W$456,0),""))</f>
        <v/>
      </c>
      <c r="T11" s="18">
        <f>IF($B$1=1,IFERROR(MATCH(11009,$E$3:$E$452,0),""),IFERROR(MATCH(11009,振り分け!$W$7:$W$456,0),""))</f>
        <v/>
      </c>
      <c r="U11" s="18">
        <f>IF($B$1=1,IFERROR(MATCH(12009,$E$3:$E$452,0),""),IFERROR(MATCH(12009,振り分け!$W$7:$W$456,0),""))</f>
        <v/>
      </c>
      <c r="V11" s="18">
        <f>IF($B$1=1,IFERROR(MATCH(13009,$E$3:$E$452,0),""),IFERROR(MATCH(13009,振り分け!$W$7:$W$456,0),""))</f>
        <v/>
      </c>
      <c r="W11" s="18">
        <f>IF($B$1=1,IFERROR(MATCH(14009,$E$3:$E$452,0),""),IFERROR(MATCH(14009,振り分け!$W$7:$W$456,0),""))</f>
        <v/>
      </c>
      <c r="X11" s="18">
        <f>IF($B$1=1,IFERROR(MATCH(15009,$E$3:$E$452,0),""),IFERROR(MATCH(15009,振り分け!$W$7:$W$456,0),""))</f>
        <v/>
      </c>
      <c r="Y11" s="18">
        <f>IF($B$1=1,IFERROR(MATCH(16009,$E$3:$E$452,0),""),IFERROR(MATCH(16009,振り分け!$W$7:$W$456,0),""))</f>
        <v/>
      </c>
      <c r="Z11" s="18">
        <f>IF($B$1=1,IFERROR(MATCH(17009,$E$3:$E$452,0),""),IFERROR(MATCH(17009,振り分け!$W$7:$W$456,0),""))</f>
        <v/>
      </c>
      <c r="AA11" s="18">
        <f>IF($B$1=1,IFERROR(MATCH(18009,$E$3:$E$452,0),""),IFERROR(MATCH(18009,振り分け!$W$7:$W$456,0),""))</f>
        <v/>
      </c>
      <c r="AB11" s="18">
        <f>IF($B$1=1,IFERROR(MATCH(19009,$E$3:$E$452,0),""),IFERROR(MATCH(19009,振り分け!$W$7:$W$456,0),""))</f>
        <v/>
      </c>
      <c r="AC11" s="18">
        <f>IF($B$1=1,IFERROR(MATCH(20009,$E$3:$E$452,0),""),IFERROR(MATCH(20009,振り分け!$W$7:$W$456,0),""))</f>
        <v/>
      </c>
    </row>
    <row r="12">
      <c r="A12" s="18">
        <f>IFERROR(MATCH(SMALL(新年度名簿!$J$3:$J$452,10),新年度名簿!$J$3:$J$452,0),"")</f>
        <v/>
      </c>
      <c r="B12" s="18">
        <f>IF(A12="","",INDEX(新年度名簿!$G$3:$G$452,A12))</f>
        <v/>
      </c>
      <c r="C12" s="18">
        <f>IF(A12="","",IFERROR(MATCH(B12,設定!$P$8:$P$27,0),""))</f>
        <v/>
      </c>
      <c r="D12" s="18">
        <f>IF(C12="","",COUNTIF($C$3:C12,C12))</f>
        <v/>
      </c>
      <c r="E12" s="18">
        <f>IF(C12="","",C12*1000+D12)</f>
        <v/>
      </c>
      <c r="F12" s="18">
        <f>IF(A12="","",INDEX(新年度名簿!$K$3:$K$452,A12))</f>
        <v/>
      </c>
      <c r="G12" s="18">
        <f>IF(A12="","",INDEX(新年度名簿!$C$3:$C$452,A12))</f>
        <v/>
      </c>
      <c r="H12" s="18">
        <f>IF(A12="","",INDEX(新年度名簿!$D$3:$D$452,A12))</f>
        <v/>
      </c>
      <c r="J12" s="18">
        <f>IF($B$1=1,IFERROR(MATCH(1010,$E$3:$E$452,0),""),IFERROR(MATCH(1010,振り分け!$W$7:$W$456,0),""))</f>
        <v/>
      </c>
      <c r="K12" s="18">
        <f>IF($B$1=1,IFERROR(MATCH(2010,$E$3:$E$452,0),""),IFERROR(MATCH(2010,振り分け!$W$7:$W$456,0),""))</f>
        <v/>
      </c>
      <c r="L12" s="18">
        <f>IF($B$1=1,IFERROR(MATCH(3010,$E$3:$E$452,0),""),IFERROR(MATCH(3010,振り分け!$W$7:$W$456,0),""))</f>
        <v/>
      </c>
      <c r="M12" s="18">
        <f>IF($B$1=1,IFERROR(MATCH(4010,$E$3:$E$452,0),""),IFERROR(MATCH(4010,振り分け!$W$7:$W$456,0),""))</f>
        <v/>
      </c>
      <c r="N12" s="18">
        <f>IF($B$1=1,IFERROR(MATCH(5010,$E$3:$E$452,0),""),IFERROR(MATCH(5010,振り分け!$W$7:$W$456,0),""))</f>
        <v/>
      </c>
      <c r="O12" s="18">
        <f>IF($B$1=1,IFERROR(MATCH(6010,$E$3:$E$452,0),""),IFERROR(MATCH(6010,振り分け!$W$7:$W$456,0),""))</f>
        <v/>
      </c>
      <c r="P12" s="18">
        <f>IF($B$1=1,IFERROR(MATCH(7010,$E$3:$E$452,0),""),IFERROR(MATCH(7010,振り分け!$W$7:$W$456,0),""))</f>
        <v/>
      </c>
      <c r="Q12" s="18">
        <f>IF($B$1=1,IFERROR(MATCH(8010,$E$3:$E$452,0),""),IFERROR(MATCH(8010,振り分け!$W$7:$W$456,0),""))</f>
        <v/>
      </c>
      <c r="R12" s="18">
        <f>IF($B$1=1,IFERROR(MATCH(9010,$E$3:$E$452,0),""),IFERROR(MATCH(9010,振り分け!$W$7:$W$456,0),""))</f>
        <v/>
      </c>
      <c r="S12" s="18">
        <f>IF($B$1=1,IFERROR(MATCH(10010,$E$3:$E$452,0),""),IFERROR(MATCH(10010,振り分け!$W$7:$W$456,0),""))</f>
        <v/>
      </c>
      <c r="T12" s="18">
        <f>IF($B$1=1,IFERROR(MATCH(11010,$E$3:$E$452,0),""),IFERROR(MATCH(11010,振り分け!$W$7:$W$456,0),""))</f>
        <v/>
      </c>
      <c r="U12" s="18">
        <f>IF($B$1=1,IFERROR(MATCH(12010,$E$3:$E$452,0),""),IFERROR(MATCH(12010,振り分け!$W$7:$W$456,0),""))</f>
        <v/>
      </c>
      <c r="V12" s="18">
        <f>IF($B$1=1,IFERROR(MATCH(13010,$E$3:$E$452,0),""),IFERROR(MATCH(13010,振り分け!$W$7:$W$456,0),""))</f>
        <v/>
      </c>
      <c r="W12" s="18">
        <f>IF($B$1=1,IFERROR(MATCH(14010,$E$3:$E$452,0),""),IFERROR(MATCH(14010,振り分け!$W$7:$W$456,0),""))</f>
        <v/>
      </c>
      <c r="X12" s="18">
        <f>IF($B$1=1,IFERROR(MATCH(15010,$E$3:$E$452,0),""),IFERROR(MATCH(15010,振り分け!$W$7:$W$456,0),""))</f>
        <v/>
      </c>
      <c r="Y12" s="18">
        <f>IF($B$1=1,IFERROR(MATCH(16010,$E$3:$E$452,0),""),IFERROR(MATCH(16010,振り分け!$W$7:$W$456,0),""))</f>
        <v/>
      </c>
      <c r="Z12" s="18">
        <f>IF($B$1=1,IFERROR(MATCH(17010,$E$3:$E$452,0),""),IFERROR(MATCH(17010,振り分け!$W$7:$W$456,0),""))</f>
        <v/>
      </c>
      <c r="AA12" s="18">
        <f>IF($B$1=1,IFERROR(MATCH(18010,$E$3:$E$452,0),""),IFERROR(MATCH(18010,振り分け!$W$7:$W$456,0),""))</f>
        <v/>
      </c>
      <c r="AB12" s="18">
        <f>IF($B$1=1,IFERROR(MATCH(19010,$E$3:$E$452,0),""),IFERROR(MATCH(19010,振り分け!$W$7:$W$456,0),""))</f>
        <v/>
      </c>
      <c r="AC12" s="18">
        <f>IF($B$1=1,IFERROR(MATCH(20010,$E$3:$E$452,0),""),IFERROR(MATCH(20010,振り分け!$W$7:$W$456,0),""))</f>
        <v/>
      </c>
    </row>
    <row r="13">
      <c r="A13" s="18">
        <f>IFERROR(MATCH(SMALL(新年度名簿!$J$3:$J$452,11),新年度名簿!$J$3:$J$452,0),"")</f>
        <v/>
      </c>
      <c r="B13" s="18">
        <f>IF(A13="","",INDEX(新年度名簿!$G$3:$G$452,A13))</f>
        <v/>
      </c>
      <c r="C13" s="18">
        <f>IF(A13="","",IFERROR(MATCH(B13,設定!$P$8:$P$27,0),""))</f>
        <v/>
      </c>
      <c r="D13" s="18">
        <f>IF(C13="","",COUNTIF($C$3:C13,C13))</f>
        <v/>
      </c>
      <c r="E13" s="18">
        <f>IF(C13="","",C13*1000+D13)</f>
        <v/>
      </c>
      <c r="F13" s="18">
        <f>IF(A13="","",INDEX(新年度名簿!$K$3:$K$452,A13))</f>
        <v/>
      </c>
      <c r="G13" s="18">
        <f>IF(A13="","",INDEX(新年度名簿!$C$3:$C$452,A13))</f>
        <v/>
      </c>
      <c r="H13" s="18">
        <f>IF(A13="","",INDEX(新年度名簿!$D$3:$D$452,A13))</f>
        <v/>
      </c>
      <c r="J13" s="18">
        <f>IF($B$1=1,IFERROR(MATCH(1011,$E$3:$E$452,0),""),IFERROR(MATCH(1011,振り分け!$W$7:$W$456,0),""))</f>
        <v/>
      </c>
      <c r="K13" s="18">
        <f>IF($B$1=1,IFERROR(MATCH(2011,$E$3:$E$452,0),""),IFERROR(MATCH(2011,振り分け!$W$7:$W$456,0),""))</f>
        <v/>
      </c>
      <c r="L13" s="18">
        <f>IF($B$1=1,IFERROR(MATCH(3011,$E$3:$E$452,0),""),IFERROR(MATCH(3011,振り分け!$W$7:$W$456,0),""))</f>
        <v/>
      </c>
      <c r="M13" s="18">
        <f>IF($B$1=1,IFERROR(MATCH(4011,$E$3:$E$452,0),""),IFERROR(MATCH(4011,振り分け!$W$7:$W$456,0),""))</f>
        <v/>
      </c>
      <c r="N13" s="18">
        <f>IF($B$1=1,IFERROR(MATCH(5011,$E$3:$E$452,0),""),IFERROR(MATCH(5011,振り分け!$W$7:$W$456,0),""))</f>
        <v/>
      </c>
      <c r="O13" s="18">
        <f>IF($B$1=1,IFERROR(MATCH(6011,$E$3:$E$452,0),""),IFERROR(MATCH(6011,振り分け!$W$7:$W$456,0),""))</f>
        <v/>
      </c>
      <c r="P13" s="18">
        <f>IF($B$1=1,IFERROR(MATCH(7011,$E$3:$E$452,0),""),IFERROR(MATCH(7011,振り分け!$W$7:$W$456,0),""))</f>
        <v/>
      </c>
      <c r="Q13" s="18">
        <f>IF($B$1=1,IFERROR(MATCH(8011,$E$3:$E$452,0),""),IFERROR(MATCH(8011,振り分け!$W$7:$W$456,0),""))</f>
        <v/>
      </c>
      <c r="R13" s="18">
        <f>IF($B$1=1,IFERROR(MATCH(9011,$E$3:$E$452,0),""),IFERROR(MATCH(9011,振り分け!$W$7:$W$456,0),""))</f>
        <v/>
      </c>
      <c r="S13" s="18">
        <f>IF($B$1=1,IFERROR(MATCH(10011,$E$3:$E$452,0),""),IFERROR(MATCH(10011,振り分け!$W$7:$W$456,0),""))</f>
        <v/>
      </c>
      <c r="T13" s="18">
        <f>IF($B$1=1,IFERROR(MATCH(11011,$E$3:$E$452,0),""),IFERROR(MATCH(11011,振り分け!$W$7:$W$456,0),""))</f>
        <v/>
      </c>
      <c r="U13" s="18">
        <f>IF($B$1=1,IFERROR(MATCH(12011,$E$3:$E$452,0),""),IFERROR(MATCH(12011,振り分け!$W$7:$W$456,0),""))</f>
        <v/>
      </c>
      <c r="V13" s="18">
        <f>IF($B$1=1,IFERROR(MATCH(13011,$E$3:$E$452,0),""),IFERROR(MATCH(13011,振り分け!$W$7:$W$456,0),""))</f>
        <v/>
      </c>
      <c r="W13" s="18">
        <f>IF($B$1=1,IFERROR(MATCH(14011,$E$3:$E$452,0),""),IFERROR(MATCH(14011,振り分け!$W$7:$W$456,0),""))</f>
        <v/>
      </c>
      <c r="X13" s="18">
        <f>IF($B$1=1,IFERROR(MATCH(15011,$E$3:$E$452,0),""),IFERROR(MATCH(15011,振り分け!$W$7:$W$456,0),""))</f>
        <v/>
      </c>
      <c r="Y13" s="18">
        <f>IF($B$1=1,IFERROR(MATCH(16011,$E$3:$E$452,0),""),IFERROR(MATCH(16011,振り分け!$W$7:$W$456,0),""))</f>
        <v/>
      </c>
      <c r="Z13" s="18">
        <f>IF($B$1=1,IFERROR(MATCH(17011,$E$3:$E$452,0),""),IFERROR(MATCH(17011,振り分け!$W$7:$W$456,0),""))</f>
        <v/>
      </c>
      <c r="AA13" s="18">
        <f>IF($B$1=1,IFERROR(MATCH(18011,$E$3:$E$452,0),""),IFERROR(MATCH(18011,振り分け!$W$7:$W$456,0),""))</f>
        <v/>
      </c>
      <c r="AB13" s="18">
        <f>IF($B$1=1,IFERROR(MATCH(19011,$E$3:$E$452,0),""),IFERROR(MATCH(19011,振り分け!$W$7:$W$456,0),""))</f>
        <v/>
      </c>
      <c r="AC13" s="18">
        <f>IF($B$1=1,IFERROR(MATCH(20011,$E$3:$E$452,0),""),IFERROR(MATCH(20011,振り分け!$W$7:$W$456,0),""))</f>
        <v/>
      </c>
    </row>
    <row r="14">
      <c r="A14" s="18">
        <f>IFERROR(MATCH(SMALL(新年度名簿!$J$3:$J$452,12),新年度名簿!$J$3:$J$452,0),"")</f>
        <v/>
      </c>
      <c r="B14" s="18">
        <f>IF(A14="","",INDEX(新年度名簿!$G$3:$G$452,A14))</f>
        <v/>
      </c>
      <c r="C14" s="18">
        <f>IF(A14="","",IFERROR(MATCH(B14,設定!$P$8:$P$27,0),""))</f>
        <v/>
      </c>
      <c r="D14" s="18">
        <f>IF(C14="","",COUNTIF($C$3:C14,C14))</f>
        <v/>
      </c>
      <c r="E14" s="18">
        <f>IF(C14="","",C14*1000+D14)</f>
        <v/>
      </c>
      <c r="F14" s="18">
        <f>IF(A14="","",INDEX(新年度名簿!$K$3:$K$452,A14))</f>
        <v/>
      </c>
      <c r="G14" s="18">
        <f>IF(A14="","",INDEX(新年度名簿!$C$3:$C$452,A14))</f>
        <v/>
      </c>
      <c r="H14" s="18">
        <f>IF(A14="","",INDEX(新年度名簿!$D$3:$D$452,A14))</f>
        <v/>
      </c>
      <c r="J14" s="18">
        <f>IF($B$1=1,IFERROR(MATCH(1012,$E$3:$E$452,0),""),IFERROR(MATCH(1012,振り分け!$W$7:$W$456,0),""))</f>
        <v/>
      </c>
      <c r="K14" s="18">
        <f>IF($B$1=1,IFERROR(MATCH(2012,$E$3:$E$452,0),""),IFERROR(MATCH(2012,振り分け!$W$7:$W$456,0),""))</f>
        <v/>
      </c>
      <c r="L14" s="18">
        <f>IF($B$1=1,IFERROR(MATCH(3012,$E$3:$E$452,0),""),IFERROR(MATCH(3012,振り分け!$W$7:$W$456,0),""))</f>
        <v/>
      </c>
      <c r="M14" s="18">
        <f>IF($B$1=1,IFERROR(MATCH(4012,$E$3:$E$452,0),""),IFERROR(MATCH(4012,振り分け!$W$7:$W$456,0),""))</f>
        <v/>
      </c>
      <c r="N14" s="18">
        <f>IF($B$1=1,IFERROR(MATCH(5012,$E$3:$E$452,0),""),IFERROR(MATCH(5012,振り分け!$W$7:$W$456,0),""))</f>
        <v/>
      </c>
      <c r="O14" s="18">
        <f>IF($B$1=1,IFERROR(MATCH(6012,$E$3:$E$452,0),""),IFERROR(MATCH(6012,振り分け!$W$7:$W$456,0),""))</f>
        <v/>
      </c>
      <c r="P14" s="18">
        <f>IF($B$1=1,IFERROR(MATCH(7012,$E$3:$E$452,0),""),IFERROR(MATCH(7012,振り分け!$W$7:$W$456,0),""))</f>
        <v/>
      </c>
      <c r="Q14" s="18">
        <f>IF($B$1=1,IFERROR(MATCH(8012,$E$3:$E$452,0),""),IFERROR(MATCH(8012,振り分け!$W$7:$W$456,0),""))</f>
        <v/>
      </c>
      <c r="R14" s="18">
        <f>IF($B$1=1,IFERROR(MATCH(9012,$E$3:$E$452,0),""),IFERROR(MATCH(9012,振り分け!$W$7:$W$456,0),""))</f>
        <v/>
      </c>
      <c r="S14" s="18">
        <f>IF($B$1=1,IFERROR(MATCH(10012,$E$3:$E$452,0),""),IFERROR(MATCH(10012,振り分け!$W$7:$W$456,0),""))</f>
        <v/>
      </c>
      <c r="T14" s="18">
        <f>IF($B$1=1,IFERROR(MATCH(11012,$E$3:$E$452,0),""),IFERROR(MATCH(11012,振り分け!$W$7:$W$456,0),""))</f>
        <v/>
      </c>
      <c r="U14" s="18">
        <f>IF($B$1=1,IFERROR(MATCH(12012,$E$3:$E$452,0),""),IFERROR(MATCH(12012,振り分け!$W$7:$W$456,0),""))</f>
        <v/>
      </c>
      <c r="V14" s="18">
        <f>IF($B$1=1,IFERROR(MATCH(13012,$E$3:$E$452,0),""),IFERROR(MATCH(13012,振り分け!$W$7:$W$456,0),""))</f>
        <v/>
      </c>
      <c r="W14" s="18">
        <f>IF($B$1=1,IFERROR(MATCH(14012,$E$3:$E$452,0),""),IFERROR(MATCH(14012,振り分け!$W$7:$W$456,0),""))</f>
        <v/>
      </c>
      <c r="X14" s="18">
        <f>IF($B$1=1,IFERROR(MATCH(15012,$E$3:$E$452,0),""),IFERROR(MATCH(15012,振り分け!$W$7:$W$456,0),""))</f>
        <v/>
      </c>
      <c r="Y14" s="18">
        <f>IF($B$1=1,IFERROR(MATCH(16012,$E$3:$E$452,0),""),IFERROR(MATCH(16012,振り分け!$W$7:$W$456,0),""))</f>
        <v/>
      </c>
      <c r="Z14" s="18">
        <f>IF($B$1=1,IFERROR(MATCH(17012,$E$3:$E$452,0),""),IFERROR(MATCH(17012,振り分け!$W$7:$W$456,0),""))</f>
        <v/>
      </c>
      <c r="AA14" s="18">
        <f>IF($B$1=1,IFERROR(MATCH(18012,$E$3:$E$452,0),""),IFERROR(MATCH(18012,振り分け!$W$7:$W$456,0),""))</f>
        <v/>
      </c>
      <c r="AB14" s="18">
        <f>IF($B$1=1,IFERROR(MATCH(19012,$E$3:$E$452,0),""),IFERROR(MATCH(19012,振り分け!$W$7:$W$456,0),""))</f>
        <v/>
      </c>
      <c r="AC14" s="18">
        <f>IF($B$1=1,IFERROR(MATCH(20012,$E$3:$E$452,0),""),IFERROR(MATCH(20012,振り分け!$W$7:$W$456,0),""))</f>
        <v/>
      </c>
    </row>
    <row r="15">
      <c r="A15" s="18">
        <f>IFERROR(MATCH(SMALL(新年度名簿!$J$3:$J$452,13),新年度名簿!$J$3:$J$452,0),"")</f>
        <v/>
      </c>
      <c r="B15" s="18">
        <f>IF(A15="","",INDEX(新年度名簿!$G$3:$G$452,A15))</f>
        <v/>
      </c>
      <c r="C15" s="18">
        <f>IF(A15="","",IFERROR(MATCH(B15,設定!$P$8:$P$27,0),""))</f>
        <v/>
      </c>
      <c r="D15" s="18">
        <f>IF(C15="","",COUNTIF($C$3:C15,C15))</f>
        <v/>
      </c>
      <c r="E15" s="18">
        <f>IF(C15="","",C15*1000+D15)</f>
        <v/>
      </c>
      <c r="F15" s="18">
        <f>IF(A15="","",INDEX(新年度名簿!$K$3:$K$452,A15))</f>
        <v/>
      </c>
      <c r="G15" s="18">
        <f>IF(A15="","",INDEX(新年度名簿!$C$3:$C$452,A15))</f>
        <v/>
      </c>
      <c r="H15" s="18">
        <f>IF(A15="","",INDEX(新年度名簿!$D$3:$D$452,A15))</f>
        <v/>
      </c>
      <c r="J15" s="18">
        <f>IF($B$1=1,IFERROR(MATCH(1013,$E$3:$E$452,0),""),IFERROR(MATCH(1013,振り分け!$W$7:$W$456,0),""))</f>
        <v/>
      </c>
      <c r="K15" s="18">
        <f>IF($B$1=1,IFERROR(MATCH(2013,$E$3:$E$452,0),""),IFERROR(MATCH(2013,振り分け!$W$7:$W$456,0),""))</f>
        <v/>
      </c>
      <c r="L15" s="18">
        <f>IF($B$1=1,IFERROR(MATCH(3013,$E$3:$E$452,0),""),IFERROR(MATCH(3013,振り分け!$W$7:$W$456,0),""))</f>
        <v/>
      </c>
      <c r="M15" s="18">
        <f>IF($B$1=1,IFERROR(MATCH(4013,$E$3:$E$452,0),""),IFERROR(MATCH(4013,振り分け!$W$7:$W$456,0),""))</f>
        <v/>
      </c>
      <c r="N15" s="18">
        <f>IF($B$1=1,IFERROR(MATCH(5013,$E$3:$E$452,0),""),IFERROR(MATCH(5013,振り分け!$W$7:$W$456,0),""))</f>
        <v/>
      </c>
      <c r="O15" s="18">
        <f>IF($B$1=1,IFERROR(MATCH(6013,$E$3:$E$452,0),""),IFERROR(MATCH(6013,振り分け!$W$7:$W$456,0),""))</f>
        <v/>
      </c>
      <c r="P15" s="18">
        <f>IF($B$1=1,IFERROR(MATCH(7013,$E$3:$E$452,0),""),IFERROR(MATCH(7013,振り分け!$W$7:$W$456,0),""))</f>
        <v/>
      </c>
      <c r="Q15" s="18">
        <f>IF($B$1=1,IFERROR(MATCH(8013,$E$3:$E$452,0),""),IFERROR(MATCH(8013,振り分け!$W$7:$W$456,0),""))</f>
        <v/>
      </c>
      <c r="R15" s="18">
        <f>IF($B$1=1,IFERROR(MATCH(9013,$E$3:$E$452,0),""),IFERROR(MATCH(9013,振り分け!$W$7:$W$456,0),""))</f>
        <v/>
      </c>
      <c r="S15" s="18">
        <f>IF($B$1=1,IFERROR(MATCH(10013,$E$3:$E$452,0),""),IFERROR(MATCH(10013,振り分け!$W$7:$W$456,0),""))</f>
        <v/>
      </c>
      <c r="T15" s="18">
        <f>IF($B$1=1,IFERROR(MATCH(11013,$E$3:$E$452,0),""),IFERROR(MATCH(11013,振り分け!$W$7:$W$456,0),""))</f>
        <v/>
      </c>
      <c r="U15" s="18">
        <f>IF($B$1=1,IFERROR(MATCH(12013,$E$3:$E$452,0),""),IFERROR(MATCH(12013,振り分け!$W$7:$W$456,0),""))</f>
        <v/>
      </c>
      <c r="V15" s="18">
        <f>IF($B$1=1,IFERROR(MATCH(13013,$E$3:$E$452,0),""),IFERROR(MATCH(13013,振り分け!$W$7:$W$456,0),""))</f>
        <v/>
      </c>
      <c r="W15" s="18">
        <f>IF($B$1=1,IFERROR(MATCH(14013,$E$3:$E$452,0),""),IFERROR(MATCH(14013,振り分け!$W$7:$W$456,0),""))</f>
        <v/>
      </c>
      <c r="X15" s="18">
        <f>IF($B$1=1,IFERROR(MATCH(15013,$E$3:$E$452,0),""),IFERROR(MATCH(15013,振り分け!$W$7:$W$456,0),""))</f>
        <v/>
      </c>
      <c r="Y15" s="18">
        <f>IF($B$1=1,IFERROR(MATCH(16013,$E$3:$E$452,0),""),IFERROR(MATCH(16013,振り分け!$W$7:$W$456,0),""))</f>
        <v/>
      </c>
      <c r="Z15" s="18">
        <f>IF($B$1=1,IFERROR(MATCH(17013,$E$3:$E$452,0),""),IFERROR(MATCH(17013,振り分け!$W$7:$W$456,0),""))</f>
        <v/>
      </c>
      <c r="AA15" s="18">
        <f>IF($B$1=1,IFERROR(MATCH(18013,$E$3:$E$452,0),""),IFERROR(MATCH(18013,振り分け!$W$7:$W$456,0),""))</f>
        <v/>
      </c>
      <c r="AB15" s="18">
        <f>IF($B$1=1,IFERROR(MATCH(19013,$E$3:$E$452,0),""),IFERROR(MATCH(19013,振り分け!$W$7:$W$456,0),""))</f>
        <v/>
      </c>
      <c r="AC15" s="18">
        <f>IF($B$1=1,IFERROR(MATCH(20013,$E$3:$E$452,0),""),IFERROR(MATCH(20013,振り分け!$W$7:$W$456,0),""))</f>
        <v/>
      </c>
    </row>
    <row r="16">
      <c r="A16" s="18">
        <f>IFERROR(MATCH(SMALL(新年度名簿!$J$3:$J$452,14),新年度名簿!$J$3:$J$452,0),"")</f>
        <v/>
      </c>
      <c r="B16" s="18">
        <f>IF(A16="","",INDEX(新年度名簿!$G$3:$G$452,A16))</f>
        <v/>
      </c>
      <c r="C16" s="18">
        <f>IF(A16="","",IFERROR(MATCH(B16,設定!$P$8:$P$27,0),""))</f>
        <v/>
      </c>
      <c r="D16" s="18">
        <f>IF(C16="","",COUNTIF($C$3:C16,C16))</f>
        <v/>
      </c>
      <c r="E16" s="18">
        <f>IF(C16="","",C16*1000+D16)</f>
        <v/>
      </c>
      <c r="F16" s="18">
        <f>IF(A16="","",INDEX(新年度名簿!$K$3:$K$452,A16))</f>
        <v/>
      </c>
      <c r="G16" s="18">
        <f>IF(A16="","",INDEX(新年度名簿!$C$3:$C$452,A16))</f>
        <v/>
      </c>
      <c r="H16" s="18">
        <f>IF(A16="","",INDEX(新年度名簿!$D$3:$D$452,A16))</f>
        <v/>
      </c>
      <c r="J16" s="18">
        <f>IF($B$1=1,IFERROR(MATCH(1014,$E$3:$E$452,0),""),IFERROR(MATCH(1014,振り分け!$W$7:$W$456,0),""))</f>
        <v/>
      </c>
      <c r="K16" s="18">
        <f>IF($B$1=1,IFERROR(MATCH(2014,$E$3:$E$452,0),""),IFERROR(MATCH(2014,振り分け!$W$7:$W$456,0),""))</f>
        <v/>
      </c>
      <c r="L16" s="18">
        <f>IF($B$1=1,IFERROR(MATCH(3014,$E$3:$E$452,0),""),IFERROR(MATCH(3014,振り分け!$W$7:$W$456,0),""))</f>
        <v/>
      </c>
      <c r="M16" s="18">
        <f>IF($B$1=1,IFERROR(MATCH(4014,$E$3:$E$452,0),""),IFERROR(MATCH(4014,振り分け!$W$7:$W$456,0),""))</f>
        <v/>
      </c>
      <c r="N16" s="18">
        <f>IF($B$1=1,IFERROR(MATCH(5014,$E$3:$E$452,0),""),IFERROR(MATCH(5014,振り分け!$W$7:$W$456,0),""))</f>
        <v/>
      </c>
      <c r="O16" s="18">
        <f>IF($B$1=1,IFERROR(MATCH(6014,$E$3:$E$452,0),""),IFERROR(MATCH(6014,振り分け!$W$7:$W$456,0),""))</f>
        <v/>
      </c>
      <c r="P16" s="18">
        <f>IF($B$1=1,IFERROR(MATCH(7014,$E$3:$E$452,0),""),IFERROR(MATCH(7014,振り分け!$W$7:$W$456,0),""))</f>
        <v/>
      </c>
      <c r="Q16" s="18">
        <f>IF($B$1=1,IFERROR(MATCH(8014,$E$3:$E$452,0),""),IFERROR(MATCH(8014,振り分け!$W$7:$W$456,0),""))</f>
        <v/>
      </c>
      <c r="R16" s="18">
        <f>IF($B$1=1,IFERROR(MATCH(9014,$E$3:$E$452,0),""),IFERROR(MATCH(9014,振り分け!$W$7:$W$456,0),""))</f>
        <v/>
      </c>
      <c r="S16" s="18">
        <f>IF($B$1=1,IFERROR(MATCH(10014,$E$3:$E$452,0),""),IFERROR(MATCH(10014,振り分け!$W$7:$W$456,0),""))</f>
        <v/>
      </c>
      <c r="T16" s="18">
        <f>IF($B$1=1,IFERROR(MATCH(11014,$E$3:$E$452,0),""),IFERROR(MATCH(11014,振り分け!$W$7:$W$456,0),""))</f>
        <v/>
      </c>
      <c r="U16" s="18">
        <f>IF($B$1=1,IFERROR(MATCH(12014,$E$3:$E$452,0),""),IFERROR(MATCH(12014,振り分け!$W$7:$W$456,0),""))</f>
        <v/>
      </c>
      <c r="V16" s="18">
        <f>IF($B$1=1,IFERROR(MATCH(13014,$E$3:$E$452,0),""),IFERROR(MATCH(13014,振り分け!$W$7:$W$456,0),""))</f>
        <v/>
      </c>
      <c r="W16" s="18">
        <f>IF($B$1=1,IFERROR(MATCH(14014,$E$3:$E$452,0),""),IFERROR(MATCH(14014,振り分け!$W$7:$W$456,0),""))</f>
        <v/>
      </c>
      <c r="X16" s="18">
        <f>IF($B$1=1,IFERROR(MATCH(15014,$E$3:$E$452,0),""),IFERROR(MATCH(15014,振り分け!$W$7:$W$456,0),""))</f>
        <v/>
      </c>
      <c r="Y16" s="18">
        <f>IF($B$1=1,IFERROR(MATCH(16014,$E$3:$E$452,0),""),IFERROR(MATCH(16014,振り分け!$W$7:$W$456,0),""))</f>
        <v/>
      </c>
      <c r="Z16" s="18">
        <f>IF($B$1=1,IFERROR(MATCH(17014,$E$3:$E$452,0),""),IFERROR(MATCH(17014,振り分け!$W$7:$W$456,0),""))</f>
        <v/>
      </c>
      <c r="AA16" s="18">
        <f>IF($B$1=1,IFERROR(MATCH(18014,$E$3:$E$452,0),""),IFERROR(MATCH(18014,振り分け!$W$7:$W$456,0),""))</f>
        <v/>
      </c>
      <c r="AB16" s="18">
        <f>IF($B$1=1,IFERROR(MATCH(19014,$E$3:$E$452,0),""),IFERROR(MATCH(19014,振り分け!$W$7:$W$456,0),""))</f>
        <v/>
      </c>
      <c r="AC16" s="18">
        <f>IF($B$1=1,IFERROR(MATCH(20014,$E$3:$E$452,0),""),IFERROR(MATCH(20014,振り分け!$W$7:$W$456,0),""))</f>
        <v/>
      </c>
    </row>
    <row r="17">
      <c r="A17" s="18">
        <f>IFERROR(MATCH(SMALL(新年度名簿!$J$3:$J$452,15),新年度名簿!$J$3:$J$452,0),"")</f>
        <v/>
      </c>
      <c r="B17" s="18">
        <f>IF(A17="","",INDEX(新年度名簿!$G$3:$G$452,A17))</f>
        <v/>
      </c>
      <c r="C17" s="18">
        <f>IF(A17="","",IFERROR(MATCH(B17,設定!$P$8:$P$27,0),""))</f>
        <v/>
      </c>
      <c r="D17" s="18">
        <f>IF(C17="","",COUNTIF($C$3:C17,C17))</f>
        <v/>
      </c>
      <c r="E17" s="18">
        <f>IF(C17="","",C17*1000+D17)</f>
        <v/>
      </c>
      <c r="F17" s="18">
        <f>IF(A17="","",INDEX(新年度名簿!$K$3:$K$452,A17))</f>
        <v/>
      </c>
      <c r="G17" s="18">
        <f>IF(A17="","",INDEX(新年度名簿!$C$3:$C$452,A17))</f>
        <v/>
      </c>
      <c r="H17" s="18">
        <f>IF(A17="","",INDEX(新年度名簿!$D$3:$D$452,A17))</f>
        <v/>
      </c>
      <c r="J17" s="18">
        <f>IF($B$1=1,IFERROR(MATCH(1015,$E$3:$E$452,0),""),IFERROR(MATCH(1015,振り分け!$W$7:$W$456,0),""))</f>
        <v/>
      </c>
      <c r="K17" s="18">
        <f>IF($B$1=1,IFERROR(MATCH(2015,$E$3:$E$452,0),""),IFERROR(MATCH(2015,振り分け!$W$7:$W$456,0),""))</f>
        <v/>
      </c>
      <c r="L17" s="18">
        <f>IF($B$1=1,IFERROR(MATCH(3015,$E$3:$E$452,0),""),IFERROR(MATCH(3015,振り分け!$W$7:$W$456,0),""))</f>
        <v/>
      </c>
      <c r="M17" s="18">
        <f>IF($B$1=1,IFERROR(MATCH(4015,$E$3:$E$452,0),""),IFERROR(MATCH(4015,振り分け!$W$7:$W$456,0),""))</f>
        <v/>
      </c>
      <c r="N17" s="18">
        <f>IF($B$1=1,IFERROR(MATCH(5015,$E$3:$E$452,0),""),IFERROR(MATCH(5015,振り分け!$W$7:$W$456,0),""))</f>
        <v/>
      </c>
      <c r="O17" s="18">
        <f>IF($B$1=1,IFERROR(MATCH(6015,$E$3:$E$452,0),""),IFERROR(MATCH(6015,振り分け!$W$7:$W$456,0),""))</f>
        <v/>
      </c>
      <c r="P17" s="18">
        <f>IF($B$1=1,IFERROR(MATCH(7015,$E$3:$E$452,0),""),IFERROR(MATCH(7015,振り分け!$W$7:$W$456,0),""))</f>
        <v/>
      </c>
      <c r="Q17" s="18">
        <f>IF($B$1=1,IFERROR(MATCH(8015,$E$3:$E$452,0),""),IFERROR(MATCH(8015,振り分け!$W$7:$W$456,0),""))</f>
        <v/>
      </c>
      <c r="R17" s="18">
        <f>IF($B$1=1,IFERROR(MATCH(9015,$E$3:$E$452,0),""),IFERROR(MATCH(9015,振り分け!$W$7:$W$456,0),""))</f>
        <v/>
      </c>
      <c r="S17" s="18">
        <f>IF($B$1=1,IFERROR(MATCH(10015,$E$3:$E$452,0),""),IFERROR(MATCH(10015,振り分け!$W$7:$W$456,0),""))</f>
        <v/>
      </c>
      <c r="T17" s="18">
        <f>IF($B$1=1,IFERROR(MATCH(11015,$E$3:$E$452,0),""),IFERROR(MATCH(11015,振り分け!$W$7:$W$456,0),""))</f>
        <v/>
      </c>
      <c r="U17" s="18">
        <f>IF($B$1=1,IFERROR(MATCH(12015,$E$3:$E$452,0),""),IFERROR(MATCH(12015,振り分け!$W$7:$W$456,0),""))</f>
        <v/>
      </c>
      <c r="V17" s="18">
        <f>IF($B$1=1,IFERROR(MATCH(13015,$E$3:$E$452,0),""),IFERROR(MATCH(13015,振り分け!$W$7:$W$456,0),""))</f>
        <v/>
      </c>
      <c r="W17" s="18">
        <f>IF($B$1=1,IFERROR(MATCH(14015,$E$3:$E$452,0),""),IFERROR(MATCH(14015,振り分け!$W$7:$W$456,0),""))</f>
        <v/>
      </c>
      <c r="X17" s="18">
        <f>IF($B$1=1,IFERROR(MATCH(15015,$E$3:$E$452,0),""),IFERROR(MATCH(15015,振り分け!$W$7:$W$456,0),""))</f>
        <v/>
      </c>
      <c r="Y17" s="18">
        <f>IF($B$1=1,IFERROR(MATCH(16015,$E$3:$E$452,0),""),IFERROR(MATCH(16015,振り分け!$W$7:$W$456,0),""))</f>
        <v/>
      </c>
      <c r="Z17" s="18">
        <f>IF($B$1=1,IFERROR(MATCH(17015,$E$3:$E$452,0),""),IFERROR(MATCH(17015,振り分け!$W$7:$W$456,0),""))</f>
        <v/>
      </c>
      <c r="AA17" s="18">
        <f>IF($B$1=1,IFERROR(MATCH(18015,$E$3:$E$452,0),""),IFERROR(MATCH(18015,振り分け!$W$7:$W$456,0),""))</f>
        <v/>
      </c>
      <c r="AB17" s="18">
        <f>IF($B$1=1,IFERROR(MATCH(19015,$E$3:$E$452,0),""),IFERROR(MATCH(19015,振り分け!$W$7:$W$456,0),""))</f>
        <v/>
      </c>
      <c r="AC17" s="18">
        <f>IF($B$1=1,IFERROR(MATCH(20015,$E$3:$E$452,0),""),IFERROR(MATCH(20015,振り分け!$W$7:$W$456,0),""))</f>
        <v/>
      </c>
    </row>
    <row r="18">
      <c r="A18" s="18">
        <f>IFERROR(MATCH(SMALL(新年度名簿!$J$3:$J$452,16),新年度名簿!$J$3:$J$452,0),"")</f>
        <v/>
      </c>
      <c r="B18" s="18">
        <f>IF(A18="","",INDEX(新年度名簿!$G$3:$G$452,A18))</f>
        <v/>
      </c>
      <c r="C18" s="18">
        <f>IF(A18="","",IFERROR(MATCH(B18,設定!$P$8:$P$27,0),""))</f>
        <v/>
      </c>
      <c r="D18" s="18">
        <f>IF(C18="","",COUNTIF($C$3:C18,C18))</f>
        <v/>
      </c>
      <c r="E18" s="18">
        <f>IF(C18="","",C18*1000+D18)</f>
        <v/>
      </c>
      <c r="F18" s="18">
        <f>IF(A18="","",INDEX(新年度名簿!$K$3:$K$452,A18))</f>
        <v/>
      </c>
      <c r="G18" s="18">
        <f>IF(A18="","",INDEX(新年度名簿!$C$3:$C$452,A18))</f>
        <v/>
      </c>
      <c r="H18" s="18">
        <f>IF(A18="","",INDEX(新年度名簿!$D$3:$D$452,A18))</f>
        <v/>
      </c>
      <c r="J18" s="18">
        <f>IF($B$1=1,IFERROR(MATCH(1016,$E$3:$E$452,0),""),IFERROR(MATCH(1016,振り分け!$W$7:$W$456,0),""))</f>
        <v/>
      </c>
      <c r="K18" s="18">
        <f>IF($B$1=1,IFERROR(MATCH(2016,$E$3:$E$452,0),""),IFERROR(MATCH(2016,振り分け!$W$7:$W$456,0),""))</f>
        <v/>
      </c>
      <c r="L18" s="18">
        <f>IF($B$1=1,IFERROR(MATCH(3016,$E$3:$E$452,0),""),IFERROR(MATCH(3016,振り分け!$W$7:$W$456,0),""))</f>
        <v/>
      </c>
      <c r="M18" s="18">
        <f>IF($B$1=1,IFERROR(MATCH(4016,$E$3:$E$452,0),""),IFERROR(MATCH(4016,振り分け!$W$7:$W$456,0),""))</f>
        <v/>
      </c>
      <c r="N18" s="18">
        <f>IF($B$1=1,IFERROR(MATCH(5016,$E$3:$E$452,0),""),IFERROR(MATCH(5016,振り分け!$W$7:$W$456,0),""))</f>
        <v/>
      </c>
      <c r="O18" s="18">
        <f>IF($B$1=1,IFERROR(MATCH(6016,$E$3:$E$452,0),""),IFERROR(MATCH(6016,振り分け!$W$7:$W$456,0),""))</f>
        <v/>
      </c>
      <c r="P18" s="18">
        <f>IF($B$1=1,IFERROR(MATCH(7016,$E$3:$E$452,0),""),IFERROR(MATCH(7016,振り分け!$W$7:$W$456,0),""))</f>
        <v/>
      </c>
      <c r="Q18" s="18">
        <f>IF($B$1=1,IFERROR(MATCH(8016,$E$3:$E$452,0),""),IFERROR(MATCH(8016,振り分け!$W$7:$W$456,0),""))</f>
        <v/>
      </c>
      <c r="R18" s="18">
        <f>IF($B$1=1,IFERROR(MATCH(9016,$E$3:$E$452,0),""),IFERROR(MATCH(9016,振り分け!$W$7:$W$456,0),""))</f>
        <v/>
      </c>
      <c r="S18" s="18">
        <f>IF($B$1=1,IFERROR(MATCH(10016,$E$3:$E$452,0),""),IFERROR(MATCH(10016,振り分け!$W$7:$W$456,0),""))</f>
        <v/>
      </c>
      <c r="T18" s="18">
        <f>IF($B$1=1,IFERROR(MATCH(11016,$E$3:$E$452,0),""),IFERROR(MATCH(11016,振り分け!$W$7:$W$456,0),""))</f>
        <v/>
      </c>
      <c r="U18" s="18">
        <f>IF($B$1=1,IFERROR(MATCH(12016,$E$3:$E$452,0),""),IFERROR(MATCH(12016,振り分け!$W$7:$W$456,0),""))</f>
        <v/>
      </c>
      <c r="V18" s="18">
        <f>IF($B$1=1,IFERROR(MATCH(13016,$E$3:$E$452,0),""),IFERROR(MATCH(13016,振り分け!$W$7:$W$456,0),""))</f>
        <v/>
      </c>
      <c r="W18" s="18">
        <f>IF($B$1=1,IFERROR(MATCH(14016,$E$3:$E$452,0),""),IFERROR(MATCH(14016,振り分け!$W$7:$W$456,0),""))</f>
        <v/>
      </c>
      <c r="X18" s="18">
        <f>IF($B$1=1,IFERROR(MATCH(15016,$E$3:$E$452,0),""),IFERROR(MATCH(15016,振り分け!$W$7:$W$456,0),""))</f>
        <v/>
      </c>
      <c r="Y18" s="18">
        <f>IF($B$1=1,IFERROR(MATCH(16016,$E$3:$E$452,0),""),IFERROR(MATCH(16016,振り分け!$W$7:$W$456,0),""))</f>
        <v/>
      </c>
      <c r="Z18" s="18">
        <f>IF($B$1=1,IFERROR(MATCH(17016,$E$3:$E$452,0),""),IFERROR(MATCH(17016,振り分け!$W$7:$W$456,0),""))</f>
        <v/>
      </c>
      <c r="AA18" s="18">
        <f>IF($B$1=1,IFERROR(MATCH(18016,$E$3:$E$452,0),""),IFERROR(MATCH(18016,振り分け!$W$7:$W$456,0),""))</f>
        <v/>
      </c>
      <c r="AB18" s="18">
        <f>IF($B$1=1,IFERROR(MATCH(19016,$E$3:$E$452,0),""),IFERROR(MATCH(19016,振り分け!$W$7:$W$456,0),""))</f>
        <v/>
      </c>
      <c r="AC18" s="18">
        <f>IF($B$1=1,IFERROR(MATCH(20016,$E$3:$E$452,0),""),IFERROR(MATCH(20016,振り分け!$W$7:$W$456,0),""))</f>
        <v/>
      </c>
    </row>
    <row r="19">
      <c r="A19" s="18">
        <f>IFERROR(MATCH(SMALL(新年度名簿!$J$3:$J$452,17),新年度名簿!$J$3:$J$452,0),"")</f>
        <v/>
      </c>
      <c r="B19" s="18">
        <f>IF(A19="","",INDEX(新年度名簿!$G$3:$G$452,A19))</f>
        <v/>
      </c>
      <c r="C19" s="18">
        <f>IF(A19="","",IFERROR(MATCH(B19,設定!$P$8:$P$27,0),""))</f>
        <v/>
      </c>
      <c r="D19" s="18">
        <f>IF(C19="","",COUNTIF($C$3:C19,C19))</f>
        <v/>
      </c>
      <c r="E19" s="18">
        <f>IF(C19="","",C19*1000+D19)</f>
        <v/>
      </c>
      <c r="F19" s="18">
        <f>IF(A19="","",INDEX(新年度名簿!$K$3:$K$452,A19))</f>
        <v/>
      </c>
      <c r="G19" s="18">
        <f>IF(A19="","",INDEX(新年度名簿!$C$3:$C$452,A19))</f>
        <v/>
      </c>
      <c r="H19" s="18">
        <f>IF(A19="","",INDEX(新年度名簿!$D$3:$D$452,A19))</f>
        <v/>
      </c>
      <c r="J19" s="18">
        <f>IF($B$1=1,IFERROR(MATCH(1017,$E$3:$E$452,0),""),IFERROR(MATCH(1017,振り分け!$W$7:$W$456,0),""))</f>
        <v/>
      </c>
      <c r="K19" s="18">
        <f>IF($B$1=1,IFERROR(MATCH(2017,$E$3:$E$452,0),""),IFERROR(MATCH(2017,振り分け!$W$7:$W$456,0),""))</f>
        <v/>
      </c>
      <c r="L19" s="18">
        <f>IF($B$1=1,IFERROR(MATCH(3017,$E$3:$E$452,0),""),IFERROR(MATCH(3017,振り分け!$W$7:$W$456,0),""))</f>
        <v/>
      </c>
      <c r="M19" s="18">
        <f>IF($B$1=1,IFERROR(MATCH(4017,$E$3:$E$452,0),""),IFERROR(MATCH(4017,振り分け!$W$7:$W$456,0),""))</f>
        <v/>
      </c>
      <c r="N19" s="18">
        <f>IF($B$1=1,IFERROR(MATCH(5017,$E$3:$E$452,0),""),IFERROR(MATCH(5017,振り分け!$W$7:$W$456,0),""))</f>
        <v/>
      </c>
      <c r="O19" s="18">
        <f>IF($B$1=1,IFERROR(MATCH(6017,$E$3:$E$452,0),""),IFERROR(MATCH(6017,振り分け!$W$7:$W$456,0),""))</f>
        <v/>
      </c>
      <c r="P19" s="18">
        <f>IF($B$1=1,IFERROR(MATCH(7017,$E$3:$E$452,0),""),IFERROR(MATCH(7017,振り分け!$W$7:$W$456,0),""))</f>
        <v/>
      </c>
      <c r="Q19" s="18">
        <f>IF($B$1=1,IFERROR(MATCH(8017,$E$3:$E$452,0),""),IFERROR(MATCH(8017,振り分け!$W$7:$W$456,0),""))</f>
        <v/>
      </c>
      <c r="R19" s="18">
        <f>IF($B$1=1,IFERROR(MATCH(9017,$E$3:$E$452,0),""),IFERROR(MATCH(9017,振り分け!$W$7:$W$456,0),""))</f>
        <v/>
      </c>
      <c r="S19" s="18">
        <f>IF($B$1=1,IFERROR(MATCH(10017,$E$3:$E$452,0),""),IFERROR(MATCH(10017,振り分け!$W$7:$W$456,0),""))</f>
        <v/>
      </c>
      <c r="T19" s="18">
        <f>IF($B$1=1,IFERROR(MATCH(11017,$E$3:$E$452,0),""),IFERROR(MATCH(11017,振り分け!$W$7:$W$456,0),""))</f>
        <v/>
      </c>
      <c r="U19" s="18">
        <f>IF($B$1=1,IFERROR(MATCH(12017,$E$3:$E$452,0),""),IFERROR(MATCH(12017,振り分け!$W$7:$W$456,0),""))</f>
        <v/>
      </c>
      <c r="V19" s="18">
        <f>IF($B$1=1,IFERROR(MATCH(13017,$E$3:$E$452,0),""),IFERROR(MATCH(13017,振り分け!$W$7:$W$456,0),""))</f>
        <v/>
      </c>
      <c r="W19" s="18">
        <f>IF($B$1=1,IFERROR(MATCH(14017,$E$3:$E$452,0),""),IFERROR(MATCH(14017,振り分け!$W$7:$W$456,0),""))</f>
        <v/>
      </c>
      <c r="X19" s="18">
        <f>IF($B$1=1,IFERROR(MATCH(15017,$E$3:$E$452,0),""),IFERROR(MATCH(15017,振り分け!$W$7:$W$456,0),""))</f>
        <v/>
      </c>
      <c r="Y19" s="18">
        <f>IF($B$1=1,IFERROR(MATCH(16017,$E$3:$E$452,0),""),IFERROR(MATCH(16017,振り分け!$W$7:$W$456,0),""))</f>
        <v/>
      </c>
      <c r="Z19" s="18">
        <f>IF($B$1=1,IFERROR(MATCH(17017,$E$3:$E$452,0),""),IFERROR(MATCH(17017,振り分け!$W$7:$W$456,0),""))</f>
        <v/>
      </c>
      <c r="AA19" s="18">
        <f>IF($B$1=1,IFERROR(MATCH(18017,$E$3:$E$452,0),""),IFERROR(MATCH(18017,振り分け!$W$7:$W$456,0),""))</f>
        <v/>
      </c>
      <c r="AB19" s="18">
        <f>IF($B$1=1,IFERROR(MATCH(19017,$E$3:$E$452,0),""),IFERROR(MATCH(19017,振り分け!$W$7:$W$456,0),""))</f>
        <v/>
      </c>
      <c r="AC19" s="18">
        <f>IF($B$1=1,IFERROR(MATCH(20017,$E$3:$E$452,0),""),IFERROR(MATCH(20017,振り分け!$W$7:$W$456,0),""))</f>
        <v/>
      </c>
    </row>
    <row r="20">
      <c r="A20" s="18">
        <f>IFERROR(MATCH(SMALL(新年度名簿!$J$3:$J$452,18),新年度名簿!$J$3:$J$452,0),"")</f>
        <v/>
      </c>
      <c r="B20" s="18">
        <f>IF(A20="","",INDEX(新年度名簿!$G$3:$G$452,A20))</f>
        <v/>
      </c>
      <c r="C20" s="18">
        <f>IF(A20="","",IFERROR(MATCH(B20,設定!$P$8:$P$27,0),""))</f>
        <v/>
      </c>
      <c r="D20" s="18">
        <f>IF(C20="","",COUNTIF($C$3:C20,C20))</f>
        <v/>
      </c>
      <c r="E20" s="18">
        <f>IF(C20="","",C20*1000+D20)</f>
        <v/>
      </c>
      <c r="F20" s="18">
        <f>IF(A20="","",INDEX(新年度名簿!$K$3:$K$452,A20))</f>
        <v/>
      </c>
      <c r="G20" s="18">
        <f>IF(A20="","",INDEX(新年度名簿!$C$3:$C$452,A20))</f>
        <v/>
      </c>
      <c r="H20" s="18">
        <f>IF(A20="","",INDEX(新年度名簿!$D$3:$D$452,A20))</f>
        <v/>
      </c>
      <c r="J20" s="18">
        <f>IF($B$1=1,IFERROR(MATCH(1018,$E$3:$E$452,0),""),IFERROR(MATCH(1018,振り分け!$W$7:$W$456,0),""))</f>
        <v/>
      </c>
      <c r="K20" s="18">
        <f>IF($B$1=1,IFERROR(MATCH(2018,$E$3:$E$452,0),""),IFERROR(MATCH(2018,振り分け!$W$7:$W$456,0),""))</f>
        <v/>
      </c>
      <c r="L20" s="18">
        <f>IF($B$1=1,IFERROR(MATCH(3018,$E$3:$E$452,0),""),IFERROR(MATCH(3018,振り分け!$W$7:$W$456,0),""))</f>
        <v/>
      </c>
      <c r="M20" s="18">
        <f>IF($B$1=1,IFERROR(MATCH(4018,$E$3:$E$452,0),""),IFERROR(MATCH(4018,振り分け!$W$7:$W$456,0),""))</f>
        <v/>
      </c>
      <c r="N20" s="18">
        <f>IF($B$1=1,IFERROR(MATCH(5018,$E$3:$E$452,0),""),IFERROR(MATCH(5018,振り分け!$W$7:$W$456,0),""))</f>
        <v/>
      </c>
      <c r="O20" s="18">
        <f>IF($B$1=1,IFERROR(MATCH(6018,$E$3:$E$452,0),""),IFERROR(MATCH(6018,振り分け!$W$7:$W$456,0),""))</f>
        <v/>
      </c>
      <c r="P20" s="18">
        <f>IF($B$1=1,IFERROR(MATCH(7018,$E$3:$E$452,0),""),IFERROR(MATCH(7018,振り分け!$W$7:$W$456,0),""))</f>
        <v/>
      </c>
      <c r="Q20" s="18">
        <f>IF($B$1=1,IFERROR(MATCH(8018,$E$3:$E$452,0),""),IFERROR(MATCH(8018,振り分け!$W$7:$W$456,0),""))</f>
        <v/>
      </c>
      <c r="R20" s="18">
        <f>IF($B$1=1,IFERROR(MATCH(9018,$E$3:$E$452,0),""),IFERROR(MATCH(9018,振り分け!$W$7:$W$456,0),""))</f>
        <v/>
      </c>
      <c r="S20" s="18">
        <f>IF($B$1=1,IFERROR(MATCH(10018,$E$3:$E$452,0),""),IFERROR(MATCH(10018,振り分け!$W$7:$W$456,0),""))</f>
        <v/>
      </c>
      <c r="T20" s="18">
        <f>IF($B$1=1,IFERROR(MATCH(11018,$E$3:$E$452,0),""),IFERROR(MATCH(11018,振り分け!$W$7:$W$456,0),""))</f>
        <v/>
      </c>
      <c r="U20" s="18">
        <f>IF($B$1=1,IFERROR(MATCH(12018,$E$3:$E$452,0),""),IFERROR(MATCH(12018,振り分け!$W$7:$W$456,0),""))</f>
        <v/>
      </c>
      <c r="V20" s="18">
        <f>IF($B$1=1,IFERROR(MATCH(13018,$E$3:$E$452,0),""),IFERROR(MATCH(13018,振り分け!$W$7:$W$456,0),""))</f>
        <v/>
      </c>
      <c r="W20" s="18">
        <f>IF($B$1=1,IFERROR(MATCH(14018,$E$3:$E$452,0),""),IFERROR(MATCH(14018,振り分け!$W$7:$W$456,0),""))</f>
        <v/>
      </c>
      <c r="X20" s="18">
        <f>IF($B$1=1,IFERROR(MATCH(15018,$E$3:$E$452,0),""),IFERROR(MATCH(15018,振り分け!$W$7:$W$456,0),""))</f>
        <v/>
      </c>
      <c r="Y20" s="18">
        <f>IF($B$1=1,IFERROR(MATCH(16018,$E$3:$E$452,0),""),IFERROR(MATCH(16018,振り分け!$W$7:$W$456,0),""))</f>
        <v/>
      </c>
      <c r="Z20" s="18">
        <f>IF($B$1=1,IFERROR(MATCH(17018,$E$3:$E$452,0),""),IFERROR(MATCH(17018,振り分け!$W$7:$W$456,0),""))</f>
        <v/>
      </c>
      <c r="AA20" s="18">
        <f>IF($B$1=1,IFERROR(MATCH(18018,$E$3:$E$452,0),""),IFERROR(MATCH(18018,振り分け!$W$7:$W$456,0),""))</f>
        <v/>
      </c>
      <c r="AB20" s="18">
        <f>IF($B$1=1,IFERROR(MATCH(19018,$E$3:$E$452,0),""),IFERROR(MATCH(19018,振り分け!$W$7:$W$456,0),""))</f>
        <v/>
      </c>
      <c r="AC20" s="18">
        <f>IF($B$1=1,IFERROR(MATCH(20018,$E$3:$E$452,0),""),IFERROR(MATCH(20018,振り分け!$W$7:$W$456,0),""))</f>
        <v/>
      </c>
    </row>
    <row r="21">
      <c r="A21" s="18">
        <f>IFERROR(MATCH(SMALL(新年度名簿!$J$3:$J$452,19),新年度名簿!$J$3:$J$452,0),"")</f>
        <v/>
      </c>
      <c r="B21" s="18">
        <f>IF(A21="","",INDEX(新年度名簿!$G$3:$G$452,A21))</f>
        <v/>
      </c>
      <c r="C21" s="18">
        <f>IF(A21="","",IFERROR(MATCH(B21,設定!$P$8:$P$27,0),""))</f>
        <v/>
      </c>
      <c r="D21" s="18">
        <f>IF(C21="","",COUNTIF($C$3:C21,C21))</f>
        <v/>
      </c>
      <c r="E21" s="18">
        <f>IF(C21="","",C21*1000+D21)</f>
        <v/>
      </c>
      <c r="F21" s="18">
        <f>IF(A21="","",INDEX(新年度名簿!$K$3:$K$452,A21))</f>
        <v/>
      </c>
      <c r="G21" s="18">
        <f>IF(A21="","",INDEX(新年度名簿!$C$3:$C$452,A21))</f>
        <v/>
      </c>
      <c r="H21" s="18">
        <f>IF(A21="","",INDEX(新年度名簿!$D$3:$D$452,A21))</f>
        <v/>
      </c>
      <c r="J21" s="18">
        <f>IF($B$1=1,IFERROR(MATCH(1019,$E$3:$E$452,0),""),IFERROR(MATCH(1019,振り分け!$W$7:$W$456,0),""))</f>
        <v/>
      </c>
      <c r="K21" s="18">
        <f>IF($B$1=1,IFERROR(MATCH(2019,$E$3:$E$452,0),""),IFERROR(MATCH(2019,振り分け!$W$7:$W$456,0),""))</f>
        <v/>
      </c>
      <c r="L21" s="18">
        <f>IF($B$1=1,IFERROR(MATCH(3019,$E$3:$E$452,0),""),IFERROR(MATCH(3019,振り分け!$W$7:$W$456,0),""))</f>
        <v/>
      </c>
      <c r="M21" s="18">
        <f>IF($B$1=1,IFERROR(MATCH(4019,$E$3:$E$452,0),""),IFERROR(MATCH(4019,振り分け!$W$7:$W$456,0),""))</f>
        <v/>
      </c>
      <c r="N21" s="18">
        <f>IF($B$1=1,IFERROR(MATCH(5019,$E$3:$E$452,0),""),IFERROR(MATCH(5019,振り分け!$W$7:$W$456,0),""))</f>
        <v/>
      </c>
      <c r="O21" s="18">
        <f>IF($B$1=1,IFERROR(MATCH(6019,$E$3:$E$452,0),""),IFERROR(MATCH(6019,振り分け!$W$7:$W$456,0),""))</f>
        <v/>
      </c>
      <c r="P21" s="18">
        <f>IF($B$1=1,IFERROR(MATCH(7019,$E$3:$E$452,0),""),IFERROR(MATCH(7019,振り分け!$W$7:$W$456,0),""))</f>
        <v/>
      </c>
      <c r="Q21" s="18">
        <f>IF($B$1=1,IFERROR(MATCH(8019,$E$3:$E$452,0),""),IFERROR(MATCH(8019,振り分け!$W$7:$W$456,0),""))</f>
        <v/>
      </c>
      <c r="R21" s="18">
        <f>IF($B$1=1,IFERROR(MATCH(9019,$E$3:$E$452,0),""),IFERROR(MATCH(9019,振り分け!$W$7:$W$456,0),""))</f>
        <v/>
      </c>
      <c r="S21" s="18">
        <f>IF($B$1=1,IFERROR(MATCH(10019,$E$3:$E$452,0),""),IFERROR(MATCH(10019,振り分け!$W$7:$W$456,0),""))</f>
        <v/>
      </c>
      <c r="T21" s="18">
        <f>IF($B$1=1,IFERROR(MATCH(11019,$E$3:$E$452,0),""),IFERROR(MATCH(11019,振り分け!$W$7:$W$456,0),""))</f>
        <v/>
      </c>
      <c r="U21" s="18">
        <f>IF($B$1=1,IFERROR(MATCH(12019,$E$3:$E$452,0),""),IFERROR(MATCH(12019,振り分け!$W$7:$W$456,0),""))</f>
        <v/>
      </c>
      <c r="V21" s="18">
        <f>IF($B$1=1,IFERROR(MATCH(13019,$E$3:$E$452,0),""),IFERROR(MATCH(13019,振り分け!$W$7:$W$456,0),""))</f>
        <v/>
      </c>
      <c r="W21" s="18">
        <f>IF($B$1=1,IFERROR(MATCH(14019,$E$3:$E$452,0),""),IFERROR(MATCH(14019,振り分け!$W$7:$W$456,0),""))</f>
        <v/>
      </c>
      <c r="X21" s="18">
        <f>IF($B$1=1,IFERROR(MATCH(15019,$E$3:$E$452,0),""),IFERROR(MATCH(15019,振り分け!$W$7:$W$456,0),""))</f>
        <v/>
      </c>
      <c r="Y21" s="18">
        <f>IF($B$1=1,IFERROR(MATCH(16019,$E$3:$E$452,0),""),IFERROR(MATCH(16019,振り分け!$W$7:$W$456,0),""))</f>
        <v/>
      </c>
      <c r="Z21" s="18">
        <f>IF($B$1=1,IFERROR(MATCH(17019,$E$3:$E$452,0),""),IFERROR(MATCH(17019,振り分け!$W$7:$W$456,0),""))</f>
        <v/>
      </c>
      <c r="AA21" s="18">
        <f>IF($B$1=1,IFERROR(MATCH(18019,$E$3:$E$452,0),""),IFERROR(MATCH(18019,振り分け!$W$7:$W$456,0),""))</f>
        <v/>
      </c>
      <c r="AB21" s="18">
        <f>IF($B$1=1,IFERROR(MATCH(19019,$E$3:$E$452,0),""),IFERROR(MATCH(19019,振り分け!$W$7:$W$456,0),""))</f>
        <v/>
      </c>
      <c r="AC21" s="18">
        <f>IF($B$1=1,IFERROR(MATCH(20019,$E$3:$E$452,0),""),IFERROR(MATCH(20019,振り分け!$W$7:$W$456,0),""))</f>
        <v/>
      </c>
    </row>
    <row r="22">
      <c r="A22" s="18">
        <f>IFERROR(MATCH(SMALL(新年度名簿!$J$3:$J$452,20),新年度名簿!$J$3:$J$452,0),"")</f>
        <v/>
      </c>
      <c r="B22" s="18">
        <f>IF(A22="","",INDEX(新年度名簿!$G$3:$G$452,A22))</f>
        <v/>
      </c>
      <c r="C22" s="18">
        <f>IF(A22="","",IFERROR(MATCH(B22,設定!$P$8:$P$27,0),""))</f>
        <v/>
      </c>
      <c r="D22" s="18">
        <f>IF(C22="","",COUNTIF($C$3:C22,C22))</f>
        <v/>
      </c>
      <c r="E22" s="18">
        <f>IF(C22="","",C22*1000+D22)</f>
        <v/>
      </c>
      <c r="F22" s="18">
        <f>IF(A22="","",INDEX(新年度名簿!$K$3:$K$452,A22))</f>
        <v/>
      </c>
      <c r="G22" s="18">
        <f>IF(A22="","",INDEX(新年度名簿!$C$3:$C$452,A22))</f>
        <v/>
      </c>
      <c r="H22" s="18">
        <f>IF(A22="","",INDEX(新年度名簿!$D$3:$D$452,A22))</f>
        <v/>
      </c>
      <c r="J22" s="18">
        <f>IF($B$1=1,IFERROR(MATCH(1020,$E$3:$E$452,0),""),IFERROR(MATCH(1020,振り分け!$W$7:$W$456,0),""))</f>
        <v/>
      </c>
      <c r="K22" s="18">
        <f>IF($B$1=1,IFERROR(MATCH(2020,$E$3:$E$452,0),""),IFERROR(MATCH(2020,振り分け!$W$7:$W$456,0),""))</f>
        <v/>
      </c>
      <c r="L22" s="18">
        <f>IF($B$1=1,IFERROR(MATCH(3020,$E$3:$E$452,0),""),IFERROR(MATCH(3020,振り分け!$W$7:$W$456,0),""))</f>
        <v/>
      </c>
      <c r="M22" s="18">
        <f>IF($B$1=1,IFERROR(MATCH(4020,$E$3:$E$452,0),""),IFERROR(MATCH(4020,振り分け!$W$7:$W$456,0),""))</f>
        <v/>
      </c>
      <c r="N22" s="18">
        <f>IF($B$1=1,IFERROR(MATCH(5020,$E$3:$E$452,0),""),IFERROR(MATCH(5020,振り分け!$W$7:$W$456,0),""))</f>
        <v/>
      </c>
      <c r="O22" s="18">
        <f>IF($B$1=1,IFERROR(MATCH(6020,$E$3:$E$452,0),""),IFERROR(MATCH(6020,振り分け!$W$7:$W$456,0),""))</f>
        <v/>
      </c>
      <c r="P22" s="18">
        <f>IF($B$1=1,IFERROR(MATCH(7020,$E$3:$E$452,0),""),IFERROR(MATCH(7020,振り分け!$W$7:$W$456,0),""))</f>
        <v/>
      </c>
      <c r="Q22" s="18">
        <f>IF($B$1=1,IFERROR(MATCH(8020,$E$3:$E$452,0),""),IFERROR(MATCH(8020,振り分け!$W$7:$W$456,0),""))</f>
        <v/>
      </c>
      <c r="R22" s="18">
        <f>IF($B$1=1,IFERROR(MATCH(9020,$E$3:$E$452,0),""),IFERROR(MATCH(9020,振り分け!$W$7:$W$456,0),""))</f>
        <v/>
      </c>
      <c r="S22" s="18">
        <f>IF($B$1=1,IFERROR(MATCH(10020,$E$3:$E$452,0),""),IFERROR(MATCH(10020,振り分け!$W$7:$W$456,0),""))</f>
        <v/>
      </c>
      <c r="T22" s="18">
        <f>IF($B$1=1,IFERROR(MATCH(11020,$E$3:$E$452,0),""),IFERROR(MATCH(11020,振り分け!$W$7:$W$456,0),""))</f>
        <v/>
      </c>
      <c r="U22" s="18">
        <f>IF($B$1=1,IFERROR(MATCH(12020,$E$3:$E$452,0),""),IFERROR(MATCH(12020,振り分け!$W$7:$W$456,0),""))</f>
        <v/>
      </c>
      <c r="V22" s="18">
        <f>IF($B$1=1,IFERROR(MATCH(13020,$E$3:$E$452,0),""),IFERROR(MATCH(13020,振り分け!$W$7:$W$456,0),""))</f>
        <v/>
      </c>
      <c r="W22" s="18">
        <f>IF($B$1=1,IFERROR(MATCH(14020,$E$3:$E$452,0),""),IFERROR(MATCH(14020,振り分け!$W$7:$W$456,0),""))</f>
        <v/>
      </c>
      <c r="X22" s="18">
        <f>IF($B$1=1,IFERROR(MATCH(15020,$E$3:$E$452,0),""),IFERROR(MATCH(15020,振り分け!$W$7:$W$456,0),""))</f>
        <v/>
      </c>
      <c r="Y22" s="18">
        <f>IF($B$1=1,IFERROR(MATCH(16020,$E$3:$E$452,0),""),IFERROR(MATCH(16020,振り分け!$W$7:$W$456,0),""))</f>
        <v/>
      </c>
      <c r="Z22" s="18">
        <f>IF($B$1=1,IFERROR(MATCH(17020,$E$3:$E$452,0),""),IFERROR(MATCH(17020,振り分け!$W$7:$W$456,0),""))</f>
        <v/>
      </c>
      <c r="AA22" s="18">
        <f>IF($B$1=1,IFERROR(MATCH(18020,$E$3:$E$452,0),""),IFERROR(MATCH(18020,振り分け!$W$7:$W$456,0),""))</f>
        <v/>
      </c>
      <c r="AB22" s="18">
        <f>IF($B$1=1,IFERROR(MATCH(19020,$E$3:$E$452,0),""),IFERROR(MATCH(19020,振り分け!$W$7:$W$456,0),""))</f>
        <v/>
      </c>
      <c r="AC22" s="18">
        <f>IF($B$1=1,IFERROR(MATCH(20020,$E$3:$E$452,0),""),IFERROR(MATCH(20020,振り分け!$W$7:$W$456,0),""))</f>
        <v/>
      </c>
    </row>
    <row r="23">
      <c r="A23" s="18">
        <f>IFERROR(MATCH(SMALL(新年度名簿!$J$3:$J$452,21),新年度名簿!$J$3:$J$452,0),"")</f>
        <v/>
      </c>
      <c r="B23" s="18">
        <f>IF(A23="","",INDEX(新年度名簿!$G$3:$G$452,A23))</f>
        <v/>
      </c>
      <c r="C23" s="18">
        <f>IF(A23="","",IFERROR(MATCH(B23,設定!$P$8:$P$27,0),""))</f>
        <v/>
      </c>
      <c r="D23" s="18">
        <f>IF(C23="","",COUNTIF($C$3:C23,C23))</f>
        <v/>
      </c>
      <c r="E23" s="18">
        <f>IF(C23="","",C23*1000+D23)</f>
        <v/>
      </c>
      <c r="F23" s="18">
        <f>IF(A23="","",INDEX(新年度名簿!$K$3:$K$452,A23))</f>
        <v/>
      </c>
      <c r="G23" s="18">
        <f>IF(A23="","",INDEX(新年度名簿!$C$3:$C$452,A23))</f>
        <v/>
      </c>
      <c r="H23" s="18">
        <f>IF(A23="","",INDEX(新年度名簿!$D$3:$D$452,A23))</f>
        <v/>
      </c>
      <c r="J23" s="18">
        <f>IF($B$1=1,IFERROR(MATCH(1021,$E$3:$E$452,0),""),IFERROR(MATCH(1021,振り分け!$W$7:$W$456,0),""))</f>
        <v/>
      </c>
      <c r="K23" s="18">
        <f>IF($B$1=1,IFERROR(MATCH(2021,$E$3:$E$452,0),""),IFERROR(MATCH(2021,振り分け!$W$7:$W$456,0),""))</f>
        <v/>
      </c>
      <c r="L23" s="18">
        <f>IF($B$1=1,IFERROR(MATCH(3021,$E$3:$E$452,0),""),IFERROR(MATCH(3021,振り分け!$W$7:$W$456,0),""))</f>
        <v/>
      </c>
      <c r="M23" s="18">
        <f>IF($B$1=1,IFERROR(MATCH(4021,$E$3:$E$452,0),""),IFERROR(MATCH(4021,振り分け!$W$7:$W$456,0),""))</f>
        <v/>
      </c>
      <c r="N23" s="18">
        <f>IF($B$1=1,IFERROR(MATCH(5021,$E$3:$E$452,0),""),IFERROR(MATCH(5021,振り分け!$W$7:$W$456,0),""))</f>
        <v/>
      </c>
      <c r="O23" s="18">
        <f>IF($B$1=1,IFERROR(MATCH(6021,$E$3:$E$452,0),""),IFERROR(MATCH(6021,振り分け!$W$7:$W$456,0),""))</f>
        <v/>
      </c>
      <c r="P23" s="18">
        <f>IF($B$1=1,IFERROR(MATCH(7021,$E$3:$E$452,0),""),IFERROR(MATCH(7021,振り分け!$W$7:$W$456,0),""))</f>
        <v/>
      </c>
      <c r="Q23" s="18">
        <f>IF($B$1=1,IFERROR(MATCH(8021,$E$3:$E$452,0),""),IFERROR(MATCH(8021,振り分け!$W$7:$W$456,0),""))</f>
        <v/>
      </c>
      <c r="R23" s="18">
        <f>IF($B$1=1,IFERROR(MATCH(9021,$E$3:$E$452,0),""),IFERROR(MATCH(9021,振り分け!$W$7:$W$456,0),""))</f>
        <v/>
      </c>
      <c r="S23" s="18">
        <f>IF($B$1=1,IFERROR(MATCH(10021,$E$3:$E$452,0),""),IFERROR(MATCH(10021,振り分け!$W$7:$W$456,0),""))</f>
        <v/>
      </c>
      <c r="T23" s="18">
        <f>IF($B$1=1,IFERROR(MATCH(11021,$E$3:$E$452,0),""),IFERROR(MATCH(11021,振り分け!$W$7:$W$456,0),""))</f>
        <v/>
      </c>
      <c r="U23" s="18">
        <f>IF($B$1=1,IFERROR(MATCH(12021,$E$3:$E$452,0),""),IFERROR(MATCH(12021,振り分け!$W$7:$W$456,0),""))</f>
        <v/>
      </c>
      <c r="V23" s="18">
        <f>IF($B$1=1,IFERROR(MATCH(13021,$E$3:$E$452,0),""),IFERROR(MATCH(13021,振り分け!$W$7:$W$456,0),""))</f>
        <v/>
      </c>
      <c r="W23" s="18">
        <f>IF($B$1=1,IFERROR(MATCH(14021,$E$3:$E$452,0),""),IFERROR(MATCH(14021,振り分け!$W$7:$W$456,0),""))</f>
        <v/>
      </c>
      <c r="X23" s="18">
        <f>IF($B$1=1,IFERROR(MATCH(15021,$E$3:$E$452,0),""),IFERROR(MATCH(15021,振り分け!$W$7:$W$456,0),""))</f>
        <v/>
      </c>
      <c r="Y23" s="18">
        <f>IF($B$1=1,IFERROR(MATCH(16021,$E$3:$E$452,0),""),IFERROR(MATCH(16021,振り分け!$W$7:$W$456,0),""))</f>
        <v/>
      </c>
      <c r="Z23" s="18">
        <f>IF($B$1=1,IFERROR(MATCH(17021,$E$3:$E$452,0),""),IFERROR(MATCH(17021,振り分け!$W$7:$W$456,0),""))</f>
        <v/>
      </c>
      <c r="AA23" s="18">
        <f>IF($B$1=1,IFERROR(MATCH(18021,$E$3:$E$452,0),""),IFERROR(MATCH(18021,振り分け!$W$7:$W$456,0),""))</f>
        <v/>
      </c>
      <c r="AB23" s="18">
        <f>IF($B$1=1,IFERROR(MATCH(19021,$E$3:$E$452,0),""),IFERROR(MATCH(19021,振り分け!$W$7:$W$456,0),""))</f>
        <v/>
      </c>
      <c r="AC23" s="18">
        <f>IF($B$1=1,IFERROR(MATCH(20021,$E$3:$E$452,0),""),IFERROR(MATCH(20021,振り分け!$W$7:$W$456,0),""))</f>
        <v/>
      </c>
    </row>
    <row r="24">
      <c r="A24" s="18">
        <f>IFERROR(MATCH(SMALL(新年度名簿!$J$3:$J$452,22),新年度名簿!$J$3:$J$452,0),"")</f>
        <v/>
      </c>
      <c r="B24" s="18">
        <f>IF(A24="","",INDEX(新年度名簿!$G$3:$G$452,A24))</f>
        <v/>
      </c>
      <c r="C24" s="18">
        <f>IF(A24="","",IFERROR(MATCH(B24,設定!$P$8:$P$27,0),""))</f>
        <v/>
      </c>
      <c r="D24" s="18">
        <f>IF(C24="","",COUNTIF($C$3:C24,C24))</f>
        <v/>
      </c>
      <c r="E24" s="18">
        <f>IF(C24="","",C24*1000+D24)</f>
        <v/>
      </c>
      <c r="F24" s="18">
        <f>IF(A24="","",INDEX(新年度名簿!$K$3:$K$452,A24))</f>
        <v/>
      </c>
      <c r="G24" s="18">
        <f>IF(A24="","",INDEX(新年度名簿!$C$3:$C$452,A24))</f>
        <v/>
      </c>
      <c r="H24" s="18">
        <f>IF(A24="","",INDEX(新年度名簿!$D$3:$D$452,A24))</f>
        <v/>
      </c>
      <c r="J24" s="18">
        <f>IF($B$1=1,IFERROR(MATCH(1022,$E$3:$E$452,0),""),IFERROR(MATCH(1022,振り分け!$W$7:$W$456,0),""))</f>
        <v/>
      </c>
      <c r="K24" s="18">
        <f>IF($B$1=1,IFERROR(MATCH(2022,$E$3:$E$452,0),""),IFERROR(MATCH(2022,振り分け!$W$7:$W$456,0),""))</f>
        <v/>
      </c>
      <c r="L24" s="18">
        <f>IF($B$1=1,IFERROR(MATCH(3022,$E$3:$E$452,0),""),IFERROR(MATCH(3022,振り分け!$W$7:$W$456,0),""))</f>
        <v/>
      </c>
      <c r="M24" s="18">
        <f>IF($B$1=1,IFERROR(MATCH(4022,$E$3:$E$452,0),""),IFERROR(MATCH(4022,振り分け!$W$7:$W$456,0),""))</f>
        <v/>
      </c>
      <c r="N24" s="18">
        <f>IF($B$1=1,IFERROR(MATCH(5022,$E$3:$E$452,0),""),IFERROR(MATCH(5022,振り分け!$W$7:$W$456,0),""))</f>
        <v/>
      </c>
      <c r="O24" s="18">
        <f>IF($B$1=1,IFERROR(MATCH(6022,$E$3:$E$452,0),""),IFERROR(MATCH(6022,振り分け!$W$7:$W$456,0),""))</f>
        <v/>
      </c>
      <c r="P24" s="18">
        <f>IF($B$1=1,IFERROR(MATCH(7022,$E$3:$E$452,0),""),IFERROR(MATCH(7022,振り分け!$W$7:$W$456,0),""))</f>
        <v/>
      </c>
      <c r="Q24" s="18">
        <f>IF($B$1=1,IFERROR(MATCH(8022,$E$3:$E$452,0),""),IFERROR(MATCH(8022,振り分け!$W$7:$W$456,0),""))</f>
        <v/>
      </c>
      <c r="R24" s="18">
        <f>IF($B$1=1,IFERROR(MATCH(9022,$E$3:$E$452,0),""),IFERROR(MATCH(9022,振り分け!$W$7:$W$456,0),""))</f>
        <v/>
      </c>
      <c r="S24" s="18">
        <f>IF($B$1=1,IFERROR(MATCH(10022,$E$3:$E$452,0),""),IFERROR(MATCH(10022,振り分け!$W$7:$W$456,0),""))</f>
        <v/>
      </c>
      <c r="T24" s="18">
        <f>IF($B$1=1,IFERROR(MATCH(11022,$E$3:$E$452,0),""),IFERROR(MATCH(11022,振り分け!$W$7:$W$456,0),""))</f>
        <v/>
      </c>
      <c r="U24" s="18">
        <f>IF($B$1=1,IFERROR(MATCH(12022,$E$3:$E$452,0),""),IFERROR(MATCH(12022,振り分け!$W$7:$W$456,0),""))</f>
        <v/>
      </c>
      <c r="V24" s="18">
        <f>IF($B$1=1,IFERROR(MATCH(13022,$E$3:$E$452,0),""),IFERROR(MATCH(13022,振り分け!$W$7:$W$456,0),""))</f>
        <v/>
      </c>
      <c r="W24" s="18">
        <f>IF($B$1=1,IFERROR(MATCH(14022,$E$3:$E$452,0),""),IFERROR(MATCH(14022,振り分け!$W$7:$W$456,0),""))</f>
        <v/>
      </c>
      <c r="X24" s="18">
        <f>IF($B$1=1,IFERROR(MATCH(15022,$E$3:$E$452,0),""),IFERROR(MATCH(15022,振り分け!$W$7:$W$456,0),""))</f>
        <v/>
      </c>
      <c r="Y24" s="18">
        <f>IF($B$1=1,IFERROR(MATCH(16022,$E$3:$E$452,0),""),IFERROR(MATCH(16022,振り分け!$W$7:$W$456,0),""))</f>
        <v/>
      </c>
      <c r="Z24" s="18">
        <f>IF($B$1=1,IFERROR(MATCH(17022,$E$3:$E$452,0),""),IFERROR(MATCH(17022,振り分け!$W$7:$W$456,0),""))</f>
        <v/>
      </c>
      <c r="AA24" s="18">
        <f>IF($B$1=1,IFERROR(MATCH(18022,$E$3:$E$452,0),""),IFERROR(MATCH(18022,振り分け!$W$7:$W$456,0),""))</f>
        <v/>
      </c>
      <c r="AB24" s="18">
        <f>IF($B$1=1,IFERROR(MATCH(19022,$E$3:$E$452,0),""),IFERROR(MATCH(19022,振り分け!$W$7:$W$456,0),""))</f>
        <v/>
      </c>
      <c r="AC24" s="18">
        <f>IF($B$1=1,IFERROR(MATCH(20022,$E$3:$E$452,0),""),IFERROR(MATCH(20022,振り分け!$W$7:$W$456,0),""))</f>
        <v/>
      </c>
    </row>
    <row r="25">
      <c r="A25" s="18">
        <f>IFERROR(MATCH(SMALL(新年度名簿!$J$3:$J$452,23),新年度名簿!$J$3:$J$452,0),"")</f>
        <v/>
      </c>
      <c r="B25" s="18">
        <f>IF(A25="","",INDEX(新年度名簿!$G$3:$G$452,A25))</f>
        <v/>
      </c>
      <c r="C25" s="18">
        <f>IF(A25="","",IFERROR(MATCH(B25,設定!$P$8:$P$27,0),""))</f>
        <v/>
      </c>
      <c r="D25" s="18">
        <f>IF(C25="","",COUNTIF($C$3:C25,C25))</f>
        <v/>
      </c>
      <c r="E25" s="18">
        <f>IF(C25="","",C25*1000+D25)</f>
        <v/>
      </c>
      <c r="F25" s="18">
        <f>IF(A25="","",INDEX(新年度名簿!$K$3:$K$452,A25))</f>
        <v/>
      </c>
      <c r="G25" s="18">
        <f>IF(A25="","",INDEX(新年度名簿!$C$3:$C$452,A25))</f>
        <v/>
      </c>
      <c r="H25" s="18">
        <f>IF(A25="","",INDEX(新年度名簿!$D$3:$D$452,A25))</f>
        <v/>
      </c>
      <c r="J25" s="18">
        <f>IF($B$1=1,IFERROR(MATCH(1023,$E$3:$E$452,0),""),IFERROR(MATCH(1023,振り分け!$W$7:$W$456,0),""))</f>
        <v/>
      </c>
      <c r="K25" s="18">
        <f>IF($B$1=1,IFERROR(MATCH(2023,$E$3:$E$452,0),""),IFERROR(MATCH(2023,振り分け!$W$7:$W$456,0),""))</f>
        <v/>
      </c>
      <c r="L25" s="18">
        <f>IF($B$1=1,IFERROR(MATCH(3023,$E$3:$E$452,0),""),IFERROR(MATCH(3023,振り分け!$W$7:$W$456,0),""))</f>
        <v/>
      </c>
      <c r="M25" s="18">
        <f>IF($B$1=1,IFERROR(MATCH(4023,$E$3:$E$452,0),""),IFERROR(MATCH(4023,振り分け!$W$7:$W$456,0),""))</f>
        <v/>
      </c>
      <c r="N25" s="18">
        <f>IF($B$1=1,IFERROR(MATCH(5023,$E$3:$E$452,0),""),IFERROR(MATCH(5023,振り分け!$W$7:$W$456,0),""))</f>
        <v/>
      </c>
      <c r="O25" s="18">
        <f>IF($B$1=1,IFERROR(MATCH(6023,$E$3:$E$452,0),""),IFERROR(MATCH(6023,振り分け!$W$7:$W$456,0),""))</f>
        <v/>
      </c>
      <c r="P25" s="18">
        <f>IF($B$1=1,IFERROR(MATCH(7023,$E$3:$E$452,0),""),IFERROR(MATCH(7023,振り分け!$W$7:$W$456,0),""))</f>
        <v/>
      </c>
      <c r="Q25" s="18">
        <f>IF($B$1=1,IFERROR(MATCH(8023,$E$3:$E$452,0),""),IFERROR(MATCH(8023,振り分け!$W$7:$W$456,0),""))</f>
        <v/>
      </c>
      <c r="R25" s="18">
        <f>IF($B$1=1,IFERROR(MATCH(9023,$E$3:$E$452,0),""),IFERROR(MATCH(9023,振り分け!$W$7:$W$456,0),""))</f>
        <v/>
      </c>
      <c r="S25" s="18">
        <f>IF($B$1=1,IFERROR(MATCH(10023,$E$3:$E$452,0),""),IFERROR(MATCH(10023,振り分け!$W$7:$W$456,0),""))</f>
        <v/>
      </c>
      <c r="T25" s="18">
        <f>IF($B$1=1,IFERROR(MATCH(11023,$E$3:$E$452,0),""),IFERROR(MATCH(11023,振り分け!$W$7:$W$456,0),""))</f>
        <v/>
      </c>
      <c r="U25" s="18">
        <f>IF($B$1=1,IFERROR(MATCH(12023,$E$3:$E$452,0),""),IFERROR(MATCH(12023,振り分け!$W$7:$W$456,0),""))</f>
        <v/>
      </c>
      <c r="V25" s="18">
        <f>IF($B$1=1,IFERROR(MATCH(13023,$E$3:$E$452,0),""),IFERROR(MATCH(13023,振り分け!$W$7:$W$456,0),""))</f>
        <v/>
      </c>
      <c r="W25" s="18">
        <f>IF($B$1=1,IFERROR(MATCH(14023,$E$3:$E$452,0),""),IFERROR(MATCH(14023,振り分け!$W$7:$W$456,0),""))</f>
        <v/>
      </c>
      <c r="X25" s="18">
        <f>IF($B$1=1,IFERROR(MATCH(15023,$E$3:$E$452,0),""),IFERROR(MATCH(15023,振り分け!$W$7:$W$456,0),""))</f>
        <v/>
      </c>
      <c r="Y25" s="18">
        <f>IF($B$1=1,IFERROR(MATCH(16023,$E$3:$E$452,0),""),IFERROR(MATCH(16023,振り分け!$W$7:$W$456,0),""))</f>
        <v/>
      </c>
      <c r="Z25" s="18">
        <f>IF($B$1=1,IFERROR(MATCH(17023,$E$3:$E$452,0),""),IFERROR(MATCH(17023,振り分け!$W$7:$W$456,0),""))</f>
        <v/>
      </c>
      <c r="AA25" s="18">
        <f>IF($B$1=1,IFERROR(MATCH(18023,$E$3:$E$452,0),""),IFERROR(MATCH(18023,振り分け!$W$7:$W$456,0),""))</f>
        <v/>
      </c>
      <c r="AB25" s="18">
        <f>IF($B$1=1,IFERROR(MATCH(19023,$E$3:$E$452,0),""),IFERROR(MATCH(19023,振り分け!$W$7:$W$456,0),""))</f>
        <v/>
      </c>
      <c r="AC25" s="18">
        <f>IF($B$1=1,IFERROR(MATCH(20023,$E$3:$E$452,0),""),IFERROR(MATCH(20023,振り分け!$W$7:$W$456,0),""))</f>
        <v/>
      </c>
    </row>
    <row r="26">
      <c r="A26" s="18">
        <f>IFERROR(MATCH(SMALL(新年度名簿!$J$3:$J$452,24),新年度名簿!$J$3:$J$452,0),"")</f>
        <v/>
      </c>
      <c r="B26" s="18">
        <f>IF(A26="","",INDEX(新年度名簿!$G$3:$G$452,A26))</f>
        <v/>
      </c>
      <c r="C26" s="18">
        <f>IF(A26="","",IFERROR(MATCH(B26,設定!$P$8:$P$27,0),""))</f>
        <v/>
      </c>
      <c r="D26" s="18">
        <f>IF(C26="","",COUNTIF($C$3:C26,C26))</f>
        <v/>
      </c>
      <c r="E26" s="18">
        <f>IF(C26="","",C26*1000+D26)</f>
        <v/>
      </c>
      <c r="F26" s="18">
        <f>IF(A26="","",INDEX(新年度名簿!$K$3:$K$452,A26))</f>
        <v/>
      </c>
      <c r="G26" s="18">
        <f>IF(A26="","",INDEX(新年度名簿!$C$3:$C$452,A26))</f>
        <v/>
      </c>
      <c r="H26" s="18">
        <f>IF(A26="","",INDEX(新年度名簿!$D$3:$D$452,A26))</f>
        <v/>
      </c>
      <c r="J26" s="18">
        <f>IF($B$1=1,IFERROR(MATCH(1024,$E$3:$E$452,0),""),IFERROR(MATCH(1024,振り分け!$W$7:$W$456,0),""))</f>
        <v/>
      </c>
      <c r="K26" s="18">
        <f>IF($B$1=1,IFERROR(MATCH(2024,$E$3:$E$452,0),""),IFERROR(MATCH(2024,振り分け!$W$7:$W$456,0),""))</f>
        <v/>
      </c>
      <c r="L26" s="18">
        <f>IF($B$1=1,IFERROR(MATCH(3024,$E$3:$E$452,0),""),IFERROR(MATCH(3024,振り分け!$W$7:$W$456,0),""))</f>
        <v/>
      </c>
      <c r="M26" s="18">
        <f>IF($B$1=1,IFERROR(MATCH(4024,$E$3:$E$452,0),""),IFERROR(MATCH(4024,振り分け!$W$7:$W$456,0),""))</f>
        <v/>
      </c>
      <c r="N26" s="18">
        <f>IF($B$1=1,IFERROR(MATCH(5024,$E$3:$E$452,0),""),IFERROR(MATCH(5024,振り分け!$W$7:$W$456,0),""))</f>
        <v/>
      </c>
      <c r="O26" s="18">
        <f>IF($B$1=1,IFERROR(MATCH(6024,$E$3:$E$452,0),""),IFERROR(MATCH(6024,振り分け!$W$7:$W$456,0),""))</f>
        <v/>
      </c>
      <c r="P26" s="18">
        <f>IF($B$1=1,IFERROR(MATCH(7024,$E$3:$E$452,0),""),IFERROR(MATCH(7024,振り分け!$W$7:$W$456,0),""))</f>
        <v/>
      </c>
      <c r="Q26" s="18">
        <f>IF($B$1=1,IFERROR(MATCH(8024,$E$3:$E$452,0),""),IFERROR(MATCH(8024,振り分け!$W$7:$W$456,0),""))</f>
        <v/>
      </c>
      <c r="R26" s="18">
        <f>IF($B$1=1,IFERROR(MATCH(9024,$E$3:$E$452,0),""),IFERROR(MATCH(9024,振り分け!$W$7:$W$456,0),""))</f>
        <v/>
      </c>
      <c r="S26" s="18">
        <f>IF($B$1=1,IFERROR(MATCH(10024,$E$3:$E$452,0),""),IFERROR(MATCH(10024,振り分け!$W$7:$W$456,0),""))</f>
        <v/>
      </c>
      <c r="T26" s="18">
        <f>IF($B$1=1,IFERROR(MATCH(11024,$E$3:$E$452,0),""),IFERROR(MATCH(11024,振り分け!$W$7:$W$456,0),""))</f>
        <v/>
      </c>
      <c r="U26" s="18">
        <f>IF($B$1=1,IFERROR(MATCH(12024,$E$3:$E$452,0),""),IFERROR(MATCH(12024,振り分け!$W$7:$W$456,0),""))</f>
        <v/>
      </c>
      <c r="V26" s="18">
        <f>IF($B$1=1,IFERROR(MATCH(13024,$E$3:$E$452,0),""),IFERROR(MATCH(13024,振り分け!$W$7:$W$456,0),""))</f>
        <v/>
      </c>
      <c r="W26" s="18">
        <f>IF($B$1=1,IFERROR(MATCH(14024,$E$3:$E$452,0),""),IFERROR(MATCH(14024,振り分け!$W$7:$W$456,0),""))</f>
        <v/>
      </c>
      <c r="X26" s="18">
        <f>IF($B$1=1,IFERROR(MATCH(15024,$E$3:$E$452,0),""),IFERROR(MATCH(15024,振り分け!$W$7:$W$456,0),""))</f>
        <v/>
      </c>
      <c r="Y26" s="18">
        <f>IF($B$1=1,IFERROR(MATCH(16024,$E$3:$E$452,0),""),IFERROR(MATCH(16024,振り分け!$W$7:$W$456,0),""))</f>
        <v/>
      </c>
      <c r="Z26" s="18">
        <f>IF($B$1=1,IFERROR(MATCH(17024,$E$3:$E$452,0),""),IFERROR(MATCH(17024,振り分け!$W$7:$W$456,0),""))</f>
        <v/>
      </c>
      <c r="AA26" s="18">
        <f>IF($B$1=1,IFERROR(MATCH(18024,$E$3:$E$452,0),""),IFERROR(MATCH(18024,振り分け!$W$7:$W$456,0),""))</f>
        <v/>
      </c>
      <c r="AB26" s="18">
        <f>IF($B$1=1,IFERROR(MATCH(19024,$E$3:$E$452,0),""),IFERROR(MATCH(19024,振り分け!$W$7:$W$456,0),""))</f>
        <v/>
      </c>
      <c r="AC26" s="18">
        <f>IF($B$1=1,IFERROR(MATCH(20024,$E$3:$E$452,0),""),IFERROR(MATCH(20024,振り分け!$W$7:$W$456,0),""))</f>
        <v/>
      </c>
    </row>
    <row r="27">
      <c r="A27" s="18">
        <f>IFERROR(MATCH(SMALL(新年度名簿!$J$3:$J$452,25),新年度名簿!$J$3:$J$452,0),"")</f>
        <v/>
      </c>
      <c r="B27" s="18">
        <f>IF(A27="","",INDEX(新年度名簿!$G$3:$G$452,A27))</f>
        <v/>
      </c>
      <c r="C27" s="18">
        <f>IF(A27="","",IFERROR(MATCH(B27,設定!$P$8:$P$27,0),""))</f>
        <v/>
      </c>
      <c r="D27" s="18">
        <f>IF(C27="","",COUNTIF($C$3:C27,C27))</f>
        <v/>
      </c>
      <c r="E27" s="18">
        <f>IF(C27="","",C27*1000+D27)</f>
        <v/>
      </c>
      <c r="F27" s="18">
        <f>IF(A27="","",INDEX(新年度名簿!$K$3:$K$452,A27))</f>
        <v/>
      </c>
      <c r="G27" s="18">
        <f>IF(A27="","",INDEX(新年度名簿!$C$3:$C$452,A27))</f>
        <v/>
      </c>
      <c r="H27" s="18">
        <f>IF(A27="","",INDEX(新年度名簿!$D$3:$D$452,A27))</f>
        <v/>
      </c>
      <c r="J27" s="18">
        <f>IF($B$1=1,IFERROR(MATCH(1025,$E$3:$E$452,0),""),IFERROR(MATCH(1025,振り分け!$W$7:$W$456,0),""))</f>
        <v/>
      </c>
      <c r="K27" s="18">
        <f>IF($B$1=1,IFERROR(MATCH(2025,$E$3:$E$452,0),""),IFERROR(MATCH(2025,振り分け!$W$7:$W$456,0),""))</f>
        <v/>
      </c>
      <c r="L27" s="18">
        <f>IF($B$1=1,IFERROR(MATCH(3025,$E$3:$E$452,0),""),IFERROR(MATCH(3025,振り分け!$W$7:$W$456,0),""))</f>
        <v/>
      </c>
      <c r="M27" s="18">
        <f>IF($B$1=1,IFERROR(MATCH(4025,$E$3:$E$452,0),""),IFERROR(MATCH(4025,振り分け!$W$7:$W$456,0),""))</f>
        <v/>
      </c>
      <c r="N27" s="18">
        <f>IF($B$1=1,IFERROR(MATCH(5025,$E$3:$E$452,0),""),IFERROR(MATCH(5025,振り分け!$W$7:$W$456,0),""))</f>
        <v/>
      </c>
      <c r="O27" s="18">
        <f>IF($B$1=1,IFERROR(MATCH(6025,$E$3:$E$452,0),""),IFERROR(MATCH(6025,振り分け!$W$7:$W$456,0),""))</f>
        <v/>
      </c>
      <c r="P27" s="18">
        <f>IF($B$1=1,IFERROR(MATCH(7025,$E$3:$E$452,0),""),IFERROR(MATCH(7025,振り分け!$W$7:$W$456,0),""))</f>
        <v/>
      </c>
      <c r="Q27" s="18">
        <f>IF($B$1=1,IFERROR(MATCH(8025,$E$3:$E$452,0),""),IFERROR(MATCH(8025,振り分け!$W$7:$W$456,0),""))</f>
        <v/>
      </c>
      <c r="R27" s="18">
        <f>IF($B$1=1,IFERROR(MATCH(9025,$E$3:$E$452,0),""),IFERROR(MATCH(9025,振り分け!$W$7:$W$456,0),""))</f>
        <v/>
      </c>
      <c r="S27" s="18">
        <f>IF($B$1=1,IFERROR(MATCH(10025,$E$3:$E$452,0),""),IFERROR(MATCH(10025,振り分け!$W$7:$W$456,0),""))</f>
        <v/>
      </c>
      <c r="T27" s="18">
        <f>IF($B$1=1,IFERROR(MATCH(11025,$E$3:$E$452,0),""),IFERROR(MATCH(11025,振り分け!$W$7:$W$456,0),""))</f>
        <v/>
      </c>
      <c r="U27" s="18">
        <f>IF($B$1=1,IFERROR(MATCH(12025,$E$3:$E$452,0),""),IFERROR(MATCH(12025,振り分け!$W$7:$W$456,0),""))</f>
        <v/>
      </c>
      <c r="V27" s="18">
        <f>IF($B$1=1,IFERROR(MATCH(13025,$E$3:$E$452,0),""),IFERROR(MATCH(13025,振り分け!$W$7:$W$456,0),""))</f>
        <v/>
      </c>
      <c r="W27" s="18">
        <f>IF($B$1=1,IFERROR(MATCH(14025,$E$3:$E$452,0),""),IFERROR(MATCH(14025,振り分け!$W$7:$W$456,0),""))</f>
        <v/>
      </c>
      <c r="X27" s="18">
        <f>IF($B$1=1,IFERROR(MATCH(15025,$E$3:$E$452,0),""),IFERROR(MATCH(15025,振り分け!$W$7:$W$456,0),""))</f>
        <v/>
      </c>
      <c r="Y27" s="18">
        <f>IF($B$1=1,IFERROR(MATCH(16025,$E$3:$E$452,0),""),IFERROR(MATCH(16025,振り分け!$W$7:$W$456,0),""))</f>
        <v/>
      </c>
      <c r="Z27" s="18">
        <f>IF($B$1=1,IFERROR(MATCH(17025,$E$3:$E$452,0),""),IFERROR(MATCH(17025,振り分け!$W$7:$W$456,0),""))</f>
        <v/>
      </c>
      <c r="AA27" s="18">
        <f>IF($B$1=1,IFERROR(MATCH(18025,$E$3:$E$452,0),""),IFERROR(MATCH(18025,振り分け!$W$7:$W$456,0),""))</f>
        <v/>
      </c>
      <c r="AB27" s="18">
        <f>IF($B$1=1,IFERROR(MATCH(19025,$E$3:$E$452,0),""),IFERROR(MATCH(19025,振り分け!$W$7:$W$456,0),""))</f>
        <v/>
      </c>
      <c r="AC27" s="18">
        <f>IF($B$1=1,IFERROR(MATCH(20025,$E$3:$E$452,0),""),IFERROR(MATCH(20025,振り分け!$W$7:$W$456,0),""))</f>
        <v/>
      </c>
    </row>
    <row r="28">
      <c r="A28" s="18">
        <f>IFERROR(MATCH(SMALL(新年度名簿!$J$3:$J$452,26),新年度名簿!$J$3:$J$452,0),"")</f>
        <v/>
      </c>
      <c r="B28" s="18">
        <f>IF(A28="","",INDEX(新年度名簿!$G$3:$G$452,A28))</f>
        <v/>
      </c>
      <c r="C28" s="18">
        <f>IF(A28="","",IFERROR(MATCH(B28,設定!$P$8:$P$27,0),""))</f>
        <v/>
      </c>
      <c r="D28" s="18">
        <f>IF(C28="","",COUNTIF($C$3:C28,C28))</f>
        <v/>
      </c>
      <c r="E28" s="18">
        <f>IF(C28="","",C28*1000+D28)</f>
        <v/>
      </c>
      <c r="F28" s="18">
        <f>IF(A28="","",INDEX(新年度名簿!$K$3:$K$452,A28))</f>
        <v/>
      </c>
      <c r="G28" s="18">
        <f>IF(A28="","",INDEX(新年度名簿!$C$3:$C$452,A28))</f>
        <v/>
      </c>
      <c r="H28" s="18">
        <f>IF(A28="","",INDEX(新年度名簿!$D$3:$D$452,A28))</f>
        <v/>
      </c>
      <c r="J28" s="18">
        <f>IF($B$1=1,IFERROR(MATCH(1026,$E$3:$E$452,0),""),IFERROR(MATCH(1026,振り分け!$W$7:$W$456,0),""))</f>
        <v/>
      </c>
      <c r="K28" s="18">
        <f>IF($B$1=1,IFERROR(MATCH(2026,$E$3:$E$452,0),""),IFERROR(MATCH(2026,振り分け!$W$7:$W$456,0),""))</f>
        <v/>
      </c>
      <c r="L28" s="18">
        <f>IF($B$1=1,IFERROR(MATCH(3026,$E$3:$E$452,0),""),IFERROR(MATCH(3026,振り分け!$W$7:$W$456,0),""))</f>
        <v/>
      </c>
      <c r="M28" s="18">
        <f>IF($B$1=1,IFERROR(MATCH(4026,$E$3:$E$452,0),""),IFERROR(MATCH(4026,振り分け!$W$7:$W$456,0),""))</f>
        <v/>
      </c>
      <c r="N28" s="18">
        <f>IF($B$1=1,IFERROR(MATCH(5026,$E$3:$E$452,0),""),IFERROR(MATCH(5026,振り分け!$W$7:$W$456,0),""))</f>
        <v/>
      </c>
      <c r="O28" s="18">
        <f>IF($B$1=1,IFERROR(MATCH(6026,$E$3:$E$452,0),""),IFERROR(MATCH(6026,振り分け!$W$7:$W$456,0),""))</f>
        <v/>
      </c>
      <c r="P28" s="18">
        <f>IF($B$1=1,IFERROR(MATCH(7026,$E$3:$E$452,0),""),IFERROR(MATCH(7026,振り分け!$W$7:$W$456,0),""))</f>
        <v/>
      </c>
      <c r="Q28" s="18">
        <f>IF($B$1=1,IFERROR(MATCH(8026,$E$3:$E$452,0),""),IFERROR(MATCH(8026,振り分け!$W$7:$W$456,0),""))</f>
        <v/>
      </c>
      <c r="R28" s="18">
        <f>IF($B$1=1,IFERROR(MATCH(9026,$E$3:$E$452,0),""),IFERROR(MATCH(9026,振り分け!$W$7:$W$456,0),""))</f>
        <v/>
      </c>
      <c r="S28" s="18">
        <f>IF($B$1=1,IFERROR(MATCH(10026,$E$3:$E$452,0),""),IFERROR(MATCH(10026,振り分け!$W$7:$W$456,0),""))</f>
        <v/>
      </c>
      <c r="T28" s="18">
        <f>IF($B$1=1,IFERROR(MATCH(11026,$E$3:$E$452,0),""),IFERROR(MATCH(11026,振り分け!$W$7:$W$456,0),""))</f>
        <v/>
      </c>
      <c r="U28" s="18">
        <f>IF($B$1=1,IFERROR(MATCH(12026,$E$3:$E$452,0),""),IFERROR(MATCH(12026,振り分け!$W$7:$W$456,0),""))</f>
        <v/>
      </c>
      <c r="V28" s="18">
        <f>IF($B$1=1,IFERROR(MATCH(13026,$E$3:$E$452,0),""),IFERROR(MATCH(13026,振り分け!$W$7:$W$456,0),""))</f>
        <v/>
      </c>
      <c r="W28" s="18">
        <f>IF($B$1=1,IFERROR(MATCH(14026,$E$3:$E$452,0),""),IFERROR(MATCH(14026,振り分け!$W$7:$W$456,0),""))</f>
        <v/>
      </c>
      <c r="X28" s="18">
        <f>IF($B$1=1,IFERROR(MATCH(15026,$E$3:$E$452,0),""),IFERROR(MATCH(15026,振り分け!$W$7:$W$456,0),""))</f>
        <v/>
      </c>
      <c r="Y28" s="18">
        <f>IF($B$1=1,IFERROR(MATCH(16026,$E$3:$E$452,0),""),IFERROR(MATCH(16026,振り分け!$W$7:$W$456,0),""))</f>
        <v/>
      </c>
      <c r="Z28" s="18">
        <f>IF($B$1=1,IFERROR(MATCH(17026,$E$3:$E$452,0),""),IFERROR(MATCH(17026,振り分け!$W$7:$W$456,0),""))</f>
        <v/>
      </c>
      <c r="AA28" s="18">
        <f>IF($B$1=1,IFERROR(MATCH(18026,$E$3:$E$452,0),""),IFERROR(MATCH(18026,振り分け!$W$7:$W$456,0),""))</f>
        <v/>
      </c>
      <c r="AB28" s="18">
        <f>IF($B$1=1,IFERROR(MATCH(19026,$E$3:$E$452,0),""),IFERROR(MATCH(19026,振り分け!$W$7:$W$456,0),""))</f>
        <v/>
      </c>
      <c r="AC28" s="18">
        <f>IF($B$1=1,IFERROR(MATCH(20026,$E$3:$E$452,0),""),IFERROR(MATCH(20026,振り分け!$W$7:$W$456,0),""))</f>
        <v/>
      </c>
    </row>
    <row r="29">
      <c r="A29" s="18">
        <f>IFERROR(MATCH(SMALL(新年度名簿!$J$3:$J$452,27),新年度名簿!$J$3:$J$452,0),"")</f>
        <v/>
      </c>
      <c r="B29" s="18">
        <f>IF(A29="","",INDEX(新年度名簿!$G$3:$G$452,A29))</f>
        <v/>
      </c>
      <c r="C29" s="18">
        <f>IF(A29="","",IFERROR(MATCH(B29,設定!$P$8:$P$27,0),""))</f>
        <v/>
      </c>
      <c r="D29" s="18">
        <f>IF(C29="","",COUNTIF($C$3:C29,C29))</f>
        <v/>
      </c>
      <c r="E29" s="18">
        <f>IF(C29="","",C29*1000+D29)</f>
        <v/>
      </c>
      <c r="F29" s="18">
        <f>IF(A29="","",INDEX(新年度名簿!$K$3:$K$452,A29))</f>
        <v/>
      </c>
      <c r="G29" s="18">
        <f>IF(A29="","",INDEX(新年度名簿!$C$3:$C$452,A29))</f>
        <v/>
      </c>
      <c r="H29" s="18">
        <f>IF(A29="","",INDEX(新年度名簿!$D$3:$D$452,A29))</f>
        <v/>
      </c>
      <c r="J29" s="18">
        <f>IF($B$1=1,IFERROR(MATCH(1027,$E$3:$E$452,0),""),IFERROR(MATCH(1027,振り分け!$W$7:$W$456,0),""))</f>
        <v/>
      </c>
      <c r="K29" s="18">
        <f>IF($B$1=1,IFERROR(MATCH(2027,$E$3:$E$452,0),""),IFERROR(MATCH(2027,振り分け!$W$7:$W$456,0),""))</f>
        <v/>
      </c>
      <c r="L29" s="18">
        <f>IF($B$1=1,IFERROR(MATCH(3027,$E$3:$E$452,0),""),IFERROR(MATCH(3027,振り分け!$W$7:$W$456,0),""))</f>
        <v/>
      </c>
      <c r="M29" s="18">
        <f>IF($B$1=1,IFERROR(MATCH(4027,$E$3:$E$452,0),""),IFERROR(MATCH(4027,振り分け!$W$7:$W$456,0),""))</f>
        <v/>
      </c>
      <c r="N29" s="18">
        <f>IF($B$1=1,IFERROR(MATCH(5027,$E$3:$E$452,0),""),IFERROR(MATCH(5027,振り分け!$W$7:$W$456,0),""))</f>
        <v/>
      </c>
      <c r="O29" s="18">
        <f>IF($B$1=1,IFERROR(MATCH(6027,$E$3:$E$452,0),""),IFERROR(MATCH(6027,振り分け!$W$7:$W$456,0),""))</f>
        <v/>
      </c>
      <c r="P29" s="18">
        <f>IF($B$1=1,IFERROR(MATCH(7027,$E$3:$E$452,0),""),IFERROR(MATCH(7027,振り分け!$W$7:$W$456,0),""))</f>
        <v/>
      </c>
      <c r="Q29" s="18">
        <f>IF($B$1=1,IFERROR(MATCH(8027,$E$3:$E$452,0),""),IFERROR(MATCH(8027,振り分け!$W$7:$W$456,0),""))</f>
        <v/>
      </c>
      <c r="R29" s="18">
        <f>IF($B$1=1,IFERROR(MATCH(9027,$E$3:$E$452,0),""),IFERROR(MATCH(9027,振り分け!$W$7:$W$456,0),""))</f>
        <v/>
      </c>
      <c r="S29" s="18">
        <f>IF($B$1=1,IFERROR(MATCH(10027,$E$3:$E$452,0),""),IFERROR(MATCH(10027,振り分け!$W$7:$W$456,0),""))</f>
        <v/>
      </c>
      <c r="T29" s="18">
        <f>IF($B$1=1,IFERROR(MATCH(11027,$E$3:$E$452,0),""),IFERROR(MATCH(11027,振り分け!$W$7:$W$456,0),""))</f>
        <v/>
      </c>
      <c r="U29" s="18">
        <f>IF($B$1=1,IFERROR(MATCH(12027,$E$3:$E$452,0),""),IFERROR(MATCH(12027,振り分け!$W$7:$W$456,0),""))</f>
        <v/>
      </c>
      <c r="V29" s="18">
        <f>IF($B$1=1,IFERROR(MATCH(13027,$E$3:$E$452,0),""),IFERROR(MATCH(13027,振り分け!$W$7:$W$456,0),""))</f>
        <v/>
      </c>
      <c r="W29" s="18">
        <f>IF($B$1=1,IFERROR(MATCH(14027,$E$3:$E$452,0),""),IFERROR(MATCH(14027,振り分け!$W$7:$W$456,0),""))</f>
        <v/>
      </c>
      <c r="X29" s="18">
        <f>IF($B$1=1,IFERROR(MATCH(15027,$E$3:$E$452,0),""),IFERROR(MATCH(15027,振り分け!$W$7:$W$456,0),""))</f>
        <v/>
      </c>
      <c r="Y29" s="18">
        <f>IF($B$1=1,IFERROR(MATCH(16027,$E$3:$E$452,0),""),IFERROR(MATCH(16027,振り分け!$W$7:$W$456,0),""))</f>
        <v/>
      </c>
      <c r="Z29" s="18">
        <f>IF($B$1=1,IFERROR(MATCH(17027,$E$3:$E$452,0),""),IFERROR(MATCH(17027,振り分け!$W$7:$W$456,0),""))</f>
        <v/>
      </c>
      <c r="AA29" s="18">
        <f>IF($B$1=1,IFERROR(MATCH(18027,$E$3:$E$452,0),""),IFERROR(MATCH(18027,振り分け!$W$7:$W$456,0),""))</f>
        <v/>
      </c>
      <c r="AB29" s="18">
        <f>IF($B$1=1,IFERROR(MATCH(19027,$E$3:$E$452,0),""),IFERROR(MATCH(19027,振り分け!$W$7:$W$456,0),""))</f>
        <v/>
      </c>
      <c r="AC29" s="18">
        <f>IF($B$1=1,IFERROR(MATCH(20027,$E$3:$E$452,0),""),IFERROR(MATCH(20027,振り分け!$W$7:$W$456,0),""))</f>
        <v/>
      </c>
    </row>
    <row r="30">
      <c r="A30" s="18">
        <f>IFERROR(MATCH(SMALL(新年度名簿!$J$3:$J$452,28),新年度名簿!$J$3:$J$452,0),"")</f>
        <v/>
      </c>
      <c r="B30" s="18">
        <f>IF(A30="","",INDEX(新年度名簿!$G$3:$G$452,A30))</f>
        <v/>
      </c>
      <c r="C30" s="18">
        <f>IF(A30="","",IFERROR(MATCH(B30,設定!$P$8:$P$27,0),""))</f>
        <v/>
      </c>
      <c r="D30" s="18">
        <f>IF(C30="","",COUNTIF($C$3:C30,C30))</f>
        <v/>
      </c>
      <c r="E30" s="18">
        <f>IF(C30="","",C30*1000+D30)</f>
        <v/>
      </c>
      <c r="F30" s="18">
        <f>IF(A30="","",INDEX(新年度名簿!$K$3:$K$452,A30))</f>
        <v/>
      </c>
      <c r="G30" s="18">
        <f>IF(A30="","",INDEX(新年度名簿!$C$3:$C$452,A30))</f>
        <v/>
      </c>
      <c r="H30" s="18">
        <f>IF(A30="","",INDEX(新年度名簿!$D$3:$D$452,A30))</f>
        <v/>
      </c>
      <c r="J30" s="18">
        <f>IF($B$1=1,IFERROR(MATCH(1028,$E$3:$E$452,0),""),IFERROR(MATCH(1028,振り分け!$W$7:$W$456,0),""))</f>
        <v/>
      </c>
      <c r="K30" s="18">
        <f>IF($B$1=1,IFERROR(MATCH(2028,$E$3:$E$452,0),""),IFERROR(MATCH(2028,振り分け!$W$7:$W$456,0),""))</f>
        <v/>
      </c>
      <c r="L30" s="18">
        <f>IF($B$1=1,IFERROR(MATCH(3028,$E$3:$E$452,0),""),IFERROR(MATCH(3028,振り分け!$W$7:$W$456,0),""))</f>
        <v/>
      </c>
      <c r="M30" s="18">
        <f>IF($B$1=1,IFERROR(MATCH(4028,$E$3:$E$452,0),""),IFERROR(MATCH(4028,振り分け!$W$7:$W$456,0),""))</f>
        <v/>
      </c>
      <c r="N30" s="18">
        <f>IF($B$1=1,IFERROR(MATCH(5028,$E$3:$E$452,0),""),IFERROR(MATCH(5028,振り分け!$W$7:$W$456,0),""))</f>
        <v/>
      </c>
      <c r="O30" s="18">
        <f>IF($B$1=1,IFERROR(MATCH(6028,$E$3:$E$452,0),""),IFERROR(MATCH(6028,振り分け!$W$7:$W$456,0),""))</f>
        <v/>
      </c>
      <c r="P30" s="18">
        <f>IF($B$1=1,IFERROR(MATCH(7028,$E$3:$E$452,0),""),IFERROR(MATCH(7028,振り分け!$W$7:$W$456,0),""))</f>
        <v/>
      </c>
      <c r="Q30" s="18">
        <f>IF($B$1=1,IFERROR(MATCH(8028,$E$3:$E$452,0),""),IFERROR(MATCH(8028,振り分け!$W$7:$W$456,0),""))</f>
        <v/>
      </c>
      <c r="R30" s="18">
        <f>IF($B$1=1,IFERROR(MATCH(9028,$E$3:$E$452,0),""),IFERROR(MATCH(9028,振り分け!$W$7:$W$456,0),""))</f>
        <v/>
      </c>
      <c r="S30" s="18">
        <f>IF($B$1=1,IFERROR(MATCH(10028,$E$3:$E$452,0),""),IFERROR(MATCH(10028,振り分け!$W$7:$W$456,0),""))</f>
        <v/>
      </c>
      <c r="T30" s="18">
        <f>IF($B$1=1,IFERROR(MATCH(11028,$E$3:$E$452,0),""),IFERROR(MATCH(11028,振り分け!$W$7:$W$456,0),""))</f>
        <v/>
      </c>
      <c r="U30" s="18">
        <f>IF($B$1=1,IFERROR(MATCH(12028,$E$3:$E$452,0),""),IFERROR(MATCH(12028,振り分け!$W$7:$W$456,0),""))</f>
        <v/>
      </c>
      <c r="V30" s="18">
        <f>IF($B$1=1,IFERROR(MATCH(13028,$E$3:$E$452,0),""),IFERROR(MATCH(13028,振り分け!$W$7:$W$456,0),""))</f>
        <v/>
      </c>
      <c r="W30" s="18">
        <f>IF($B$1=1,IFERROR(MATCH(14028,$E$3:$E$452,0),""),IFERROR(MATCH(14028,振り分け!$W$7:$W$456,0),""))</f>
        <v/>
      </c>
      <c r="X30" s="18">
        <f>IF($B$1=1,IFERROR(MATCH(15028,$E$3:$E$452,0),""),IFERROR(MATCH(15028,振り分け!$W$7:$W$456,0),""))</f>
        <v/>
      </c>
      <c r="Y30" s="18">
        <f>IF($B$1=1,IFERROR(MATCH(16028,$E$3:$E$452,0),""),IFERROR(MATCH(16028,振り分け!$W$7:$W$456,0),""))</f>
        <v/>
      </c>
      <c r="Z30" s="18">
        <f>IF($B$1=1,IFERROR(MATCH(17028,$E$3:$E$452,0),""),IFERROR(MATCH(17028,振り分け!$W$7:$W$456,0),""))</f>
        <v/>
      </c>
      <c r="AA30" s="18">
        <f>IF($B$1=1,IFERROR(MATCH(18028,$E$3:$E$452,0),""),IFERROR(MATCH(18028,振り分け!$W$7:$W$456,0),""))</f>
        <v/>
      </c>
      <c r="AB30" s="18">
        <f>IF($B$1=1,IFERROR(MATCH(19028,$E$3:$E$452,0),""),IFERROR(MATCH(19028,振り分け!$W$7:$W$456,0),""))</f>
        <v/>
      </c>
      <c r="AC30" s="18">
        <f>IF($B$1=1,IFERROR(MATCH(20028,$E$3:$E$452,0),""),IFERROR(MATCH(20028,振り分け!$W$7:$W$456,0),""))</f>
        <v/>
      </c>
    </row>
    <row r="31">
      <c r="A31" s="18">
        <f>IFERROR(MATCH(SMALL(新年度名簿!$J$3:$J$452,29),新年度名簿!$J$3:$J$452,0),"")</f>
        <v/>
      </c>
      <c r="B31" s="18">
        <f>IF(A31="","",INDEX(新年度名簿!$G$3:$G$452,A31))</f>
        <v/>
      </c>
      <c r="C31" s="18">
        <f>IF(A31="","",IFERROR(MATCH(B31,設定!$P$8:$P$27,0),""))</f>
        <v/>
      </c>
      <c r="D31" s="18">
        <f>IF(C31="","",COUNTIF($C$3:C31,C31))</f>
        <v/>
      </c>
      <c r="E31" s="18">
        <f>IF(C31="","",C31*1000+D31)</f>
        <v/>
      </c>
      <c r="F31" s="18">
        <f>IF(A31="","",INDEX(新年度名簿!$K$3:$K$452,A31))</f>
        <v/>
      </c>
      <c r="G31" s="18">
        <f>IF(A31="","",INDEX(新年度名簿!$C$3:$C$452,A31))</f>
        <v/>
      </c>
      <c r="H31" s="18">
        <f>IF(A31="","",INDEX(新年度名簿!$D$3:$D$452,A31))</f>
        <v/>
      </c>
      <c r="J31" s="18">
        <f>IF($B$1=1,IFERROR(MATCH(1029,$E$3:$E$452,0),""),IFERROR(MATCH(1029,振り分け!$W$7:$W$456,0),""))</f>
        <v/>
      </c>
      <c r="K31" s="18">
        <f>IF($B$1=1,IFERROR(MATCH(2029,$E$3:$E$452,0),""),IFERROR(MATCH(2029,振り分け!$W$7:$W$456,0),""))</f>
        <v/>
      </c>
      <c r="L31" s="18">
        <f>IF($B$1=1,IFERROR(MATCH(3029,$E$3:$E$452,0),""),IFERROR(MATCH(3029,振り分け!$W$7:$W$456,0),""))</f>
        <v/>
      </c>
      <c r="M31" s="18">
        <f>IF($B$1=1,IFERROR(MATCH(4029,$E$3:$E$452,0),""),IFERROR(MATCH(4029,振り分け!$W$7:$W$456,0),""))</f>
        <v/>
      </c>
      <c r="N31" s="18">
        <f>IF($B$1=1,IFERROR(MATCH(5029,$E$3:$E$452,0),""),IFERROR(MATCH(5029,振り分け!$W$7:$W$456,0),""))</f>
        <v/>
      </c>
      <c r="O31" s="18">
        <f>IF($B$1=1,IFERROR(MATCH(6029,$E$3:$E$452,0),""),IFERROR(MATCH(6029,振り分け!$W$7:$W$456,0),""))</f>
        <v/>
      </c>
      <c r="P31" s="18">
        <f>IF($B$1=1,IFERROR(MATCH(7029,$E$3:$E$452,0),""),IFERROR(MATCH(7029,振り分け!$W$7:$W$456,0),""))</f>
        <v/>
      </c>
      <c r="Q31" s="18">
        <f>IF($B$1=1,IFERROR(MATCH(8029,$E$3:$E$452,0),""),IFERROR(MATCH(8029,振り分け!$W$7:$W$456,0),""))</f>
        <v/>
      </c>
      <c r="R31" s="18">
        <f>IF($B$1=1,IFERROR(MATCH(9029,$E$3:$E$452,0),""),IFERROR(MATCH(9029,振り分け!$W$7:$W$456,0),""))</f>
        <v/>
      </c>
      <c r="S31" s="18">
        <f>IF($B$1=1,IFERROR(MATCH(10029,$E$3:$E$452,0),""),IFERROR(MATCH(10029,振り分け!$W$7:$W$456,0),""))</f>
        <v/>
      </c>
      <c r="T31" s="18">
        <f>IF($B$1=1,IFERROR(MATCH(11029,$E$3:$E$452,0),""),IFERROR(MATCH(11029,振り分け!$W$7:$W$456,0),""))</f>
        <v/>
      </c>
      <c r="U31" s="18">
        <f>IF($B$1=1,IFERROR(MATCH(12029,$E$3:$E$452,0),""),IFERROR(MATCH(12029,振り分け!$W$7:$W$456,0),""))</f>
        <v/>
      </c>
      <c r="V31" s="18">
        <f>IF($B$1=1,IFERROR(MATCH(13029,$E$3:$E$452,0),""),IFERROR(MATCH(13029,振り分け!$W$7:$W$456,0),""))</f>
        <v/>
      </c>
      <c r="W31" s="18">
        <f>IF($B$1=1,IFERROR(MATCH(14029,$E$3:$E$452,0),""),IFERROR(MATCH(14029,振り分け!$W$7:$W$456,0),""))</f>
        <v/>
      </c>
      <c r="X31" s="18">
        <f>IF($B$1=1,IFERROR(MATCH(15029,$E$3:$E$452,0),""),IFERROR(MATCH(15029,振り分け!$W$7:$W$456,0),""))</f>
        <v/>
      </c>
      <c r="Y31" s="18">
        <f>IF($B$1=1,IFERROR(MATCH(16029,$E$3:$E$452,0),""),IFERROR(MATCH(16029,振り分け!$W$7:$W$456,0),""))</f>
        <v/>
      </c>
      <c r="Z31" s="18">
        <f>IF($B$1=1,IFERROR(MATCH(17029,$E$3:$E$452,0),""),IFERROR(MATCH(17029,振り分け!$W$7:$W$456,0),""))</f>
        <v/>
      </c>
      <c r="AA31" s="18">
        <f>IF($B$1=1,IFERROR(MATCH(18029,$E$3:$E$452,0),""),IFERROR(MATCH(18029,振り分け!$W$7:$W$456,0),""))</f>
        <v/>
      </c>
      <c r="AB31" s="18">
        <f>IF($B$1=1,IFERROR(MATCH(19029,$E$3:$E$452,0),""),IFERROR(MATCH(19029,振り分け!$W$7:$W$456,0),""))</f>
        <v/>
      </c>
      <c r="AC31" s="18">
        <f>IF($B$1=1,IFERROR(MATCH(20029,$E$3:$E$452,0),""),IFERROR(MATCH(20029,振り分け!$W$7:$W$456,0),""))</f>
        <v/>
      </c>
    </row>
    <row r="32">
      <c r="A32" s="18">
        <f>IFERROR(MATCH(SMALL(新年度名簿!$J$3:$J$452,30),新年度名簿!$J$3:$J$452,0),"")</f>
        <v/>
      </c>
      <c r="B32" s="18">
        <f>IF(A32="","",INDEX(新年度名簿!$G$3:$G$452,A32))</f>
        <v/>
      </c>
      <c r="C32" s="18">
        <f>IF(A32="","",IFERROR(MATCH(B32,設定!$P$8:$P$27,0),""))</f>
        <v/>
      </c>
      <c r="D32" s="18">
        <f>IF(C32="","",COUNTIF($C$3:C32,C32))</f>
        <v/>
      </c>
      <c r="E32" s="18">
        <f>IF(C32="","",C32*1000+D32)</f>
        <v/>
      </c>
      <c r="F32" s="18">
        <f>IF(A32="","",INDEX(新年度名簿!$K$3:$K$452,A32))</f>
        <v/>
      </c>
      <c r="G32" s="18">
        <f>IF(A32="","",INDEX(新年度名簿!$C$3:$C$452,A32))</f>
        <v/>
      </c>
      <c r="H32" s="18">
        <f>IF(A32="","",INDEX(新年度名簿!$D$3:$D$452,A32))</f>
        <v/>
      </c>
      <c r="J32" s="18">
        <f>IF($B$1=1,IFERROR(MATCH(1030,$E$3:$E$452,0),""),IFERROR(MATCH(1030,振り分け!$W$7:$W$456,0),""))</f>
        <v/>
      </c>
      <c r="K32" s="18">
        <f>IF($B$1=1,IFERROR(MATCH(2030,$E$3:$E$452,0),""),IFERROR(MATCH(2030,振り分け!$W$7:$W$456,0),""))</f>
        <v/>
      </c>
      <c r="L32" s="18">
        <f>IF($B$1=1,IFERROR(MATCH(3030,$E$3:$E$452,0),""),IFERROR(MATCH(3030,振り分け!$W$7:$W$456,0),""))</f>
        <v/>
      </c>
      <c r="M32" s="18">
        <f>IF($B$1=1,IFERROR(MATCH(4030,$E$3:$E$452,0),""),IFERROR(MATCH(4030,振り分け!$W$7:$W$456,0),""))</f>
        <v/>
      </c>
      <c r="N32" s="18">
        <f>IF($B$1=1,IFERROR(MATCH(5030,$E$3:$E$452,0),""),IFERROR(MATCH(5030,振り分け!$W$7:$W$456,0),""))</f>
        <v/>
      </c>
      <c r="O32" s="18">
        <f>IF($B$1=1,IFERROR(MATCH(6030,$E$3:$E$452,0),""),IFERROR(MATCH(6030,振り分け!$W$7:$W$456,0),""))</f>
        <v/>
      </c>
      <c r="P32" s="18">
        <f>IF($B$1=1,IFERROR(MATCH(7030,$E$3:$E$452,0),""),IFERROR(MATCH(7030,振り分け!$W$7:$W$456,0),""))</f>
        <v/>
      </c>
      <c r="Q32" s="18">
        <f>IF($B$1=1,IFERROR(MATCH(8030,$E$3:$E$452,0),""),IFERROR(MATCH(8030,振り分け!$W$7:$W$456,0),""))</f>
        <v/>
      </c>
      <c r="R32" s="18">
        <f>IF($B$1=1,IFERROR(MATCH(9030,$E$3:$E$452,0),""),IFERROR(MATCH(9030,振り分け!$W$7:$W$456,0),""))</f>
        <v/>
      </c>
      <c r="S32" s="18">
        <f>IF($B$1=1,IFERROR(MATCH(10030,$E$3:$E$452,0),""),IFERROR(MATCH(10030,振り分け!$W$7:$W$456,0),""))</f>
        <v/>
      </c>
      <c r="T32" s="18">
        <f>IF($B$1=1,IFERROR(MATCH(11030,$E$3:$E$452,0),""),IFERROR(MATCH(11030,振り分け!$W$7:$W$456,0),""))</f>
        <v/>
      </c>
      <c r="U32" s="18">
        <f>IF($B$1=1,IFERROR(MATCH(12030,$E$3:$E$452,0),""),IFERROR(MATCH(12030,振り分け!$W$7:$W$456,0),""))</f>
        <v/>
      </c>
      <c r="V32" s="18">
        <f>IF($B$1=1,IFERROR(MATCH(13030,$E$3:$E$452,0),""),IFERROR(MATCH(13030,振り分け!$W$7:$W$456,0),""))</f>
        <v/>
      </c>
      <c r="W32" s="18">
        <f>IF($B$1=1,IFERROR(MATCH(14030,$E$3:$E$452,0),""),IFERROR(MATCH(14030,振り分け!$W$7:$W$456,0),""))</f>
        <v/>
      </c>
      <c r="X32" s="18">
        <f>IF($B$1=1,IFERROR(MATCH(15030,$E$3:$E$452,0),""),IFERROR(MATCH(15030,振り分け!$W$7:$W$456,0),""))</f>
        <v/>
      </c>
      <c r="Y32" s="18">
        <f>IF($B$1=1,IFERROR(MATCH(16030,$E$3:$E$452,0),""),IFERROR(MATCH(16030,振り分け!$W$7:$W$456,0),""))</f>
        <v/>
      </c>
      <c r="Z32" s="18">
        <f>IF($B$1=1,IFERROR(MATCH(17030,$E$3:$E$452,0),""),IFERROR(MATCH(17030,振り分け!$W$7:$W$456,0),""))</f>
        <v/>
      </c>
      <c r="AA32" s="18">
        <f>IF($B$1=1,IFERROR(MATCH(18030,$E$3:$E$452,0),""),IFERROR(MATCH(18030,振り分け!$W$7:$W$456,0),""))</f>
        <v/>
      </c>
      <c r="AB32" s="18">
        <f>IF($B$1=1,IFERROR(MATCH(19030,$E$3:$E$452,0),""),IFERROR(MATCH(19030,振り分け!$W$7:$W$456,0),""))</f>
        <v/>
      </c>
      <c r="AC32" s="18">
        <f>IF($B$1=1,IFERROR(MATCH(20030,$E$3:$E$452,0),""),IFERROR(MATCH(20030,振り分け!$W$7:$W$456,0),""))</f>
        <v/>
      </c>
    </row>
    <row r="33">
      <c r="A33" s="18">
        <f>IFERROR(MATCH(SMALL(新年度名簿!$J$3:$J$452,31),新年度名簿!$J$3:$J$452,0),"")</f>
        <v/>
      </c>
      <c r="B33" s="18">
        <f>IF(A33="","",INDEX(新年度名簿!$G$3:$G$452,A33))</f>
        <v/>
      </c>
      <c r="C33" s="18">
        <f>IF(A33="","",IFERROR(MATCH(B33,設定!$P$8:$P$27,0),""))</f>
        <v/>
      </c>
      <c r="D33" s="18">
        <f>IF(C33="","",COUNTIF($C$3:C33,C33))</f>
        <v/>
      </c>
      <c r="E33" s="18">
        <f>IF(C33="","",C33*1000+D33)</f>
        <v/>
      </c>
      <c r="F33" s="18">
        <f>IF(A33="","",INDEX(新年度名簿!$K$3:$K$452,A33))</f>
        <v/>
      </c>
      <c r="G33" s="18">
        <f>IF(A33="","",INDEX(新年度名簿!$C$3:$C$452,A33))</f>
        <v/>
      </c>
      <c r="H33" s="18">
        <f>IF(A33="","",INDEX(新年度名簿!$D$3:$D$452,A33))</f>
        <v/>
      </c>
      <c r="J33" s="18">
        <f>IF($B$1=1,IFERROR(MATCH(1031,$E$3:$E$452,0),""),IFERROR(MATCH(1031,振り分け!$W$7:$W$456,0),""))</f>
        <v/>
      </c>
      <c r="K33" s="18">
        <f>IF($B$1=1,IFERROR(MATCH(2031,$E$3:$E$452,0),""),IFERROR(MATCH(2031,振り分け!$W$7:$W$456,0),""))</f>
        <v/>
      </c>
      <c r="L33" s="18">
        <f>IF($B$1=1,IFERROR(MATCH(3031,$E$3:$E$452,0),""),IFERROR(MATCH(3031,振り分け!$W$7:$W$456,0),""))</f>
        <v/>
      </c>
      <c r="M33" s="18">
        <f>IF($B$1=1,IFERROR(MATCH(4031,$E$3:$E$452,0),""),IFERROR(MATCH(4031,振り分け!$W$7:$W$456,0),""))</f>
        <v/>
      </c>
      <c r="N33" s="18">
        <f>IF($B$1=1,IFERROR(MATCH(5031,$E$3:$E$452,0),""),IFERROR(MATCH(5031,振り分け!$W$7:$W$456,0),""))</f>
        <v/>
      </c>
      <c r="O33" s="18">
        <f>IF($B$1=1,IFERROR(MATCH(6031,$E$3:$E$452,0),""),IFERROR(MATCH(6031,振り分け!$W$7:$W$456,0),""))</f>
        <v/>
      </c>
      <c r="P33" s="18">
        <f>IF($B$1=1,IFERROR(MATCH(7031,$E$3:$E$452,0),""),IFERROR(MATCH(7031,振り分け!$W$7:$W$456,0),""))</f>
        <v/>
      </c>
      <c r="Q33" s="18">
        <f>IF($B$1=1,IFERROR(MATCH(8031,$E$3:$E$452,0),""),IFERROR(MATCH(8031,振り分け!$W$7:$W$456,0),""))</f>
        <v/>
      </c>
      <c r="R33" s="18">
        <f>IF($B$1=1,IFERROR(MATCH(9031,$E$3:$E$452,0),""),IFERROR(MATCH(9031,振り分け!$W$7:$W$456,0),""))</f>
        <v/>
      </c>
      <c r="S33" s="18">
        <f>IF($B$1=1,IFERROR(MATCH(10031,$E$3:$E$452,0),""),IFERROR(MATCH(10031,振り分け!$W$7:$W$456,0),""))</f>
        <v/>
      </c>
      <c r="T33" s="18">
        <f>IF($B$1=1,IFERROR(MATCH(11031,$E$3:$E$452,0),""),IFERROR(MATCH(11031,振り分け!$W$7:$W$456,0),""))</f>
        <v/>
      </c>
      <c r="U33" s="18">
        <f>IF($B$1=1,IFERROR(MATCH(12031,$E$3:$E$452,0),""),IFERROR(MATCH(12031,振り分け!$W$7:$W$456,0),""))</f>
        <v/>
      </c>
      <c r="V33" s="18">
        <f>IF($B$1=1,IFERROR(MATCH(13031,$E$3:$E$452,0),""),IFERROR(MATCH(13031,振り分け!$W$7:$W$456,0),""))</f>
        <v/>
      </c>
      <c r="W33" s="18">
        <f>IF($B$1=1,IFERROR(MATCH(14031,$E$3:$E$452,0),""),IFERROR(MATCH(14031,振り分け!$W$7:$W$456,0),""))</f>
        <v/>
      </c>
      <c r="X33" s="18">
        <f>IF($B$1=1,IFERROR(MATCH(15031,$E$3:$E$452,0),""),IFERROR(MATCH(15031,振り分け!$W$7:$W$456,0),""))</f>
        <v/>
      </c>
      <c r="Y33" s="18">
        <f>IF($B$1=1,IFERROR(MATCH(16031,$E$3:$E$452,0),""),IFERROR(MATCH(16031,振り分け!$W$7:$W$456,0),""))</f>
        <v/>
      </c>
      <c r="Z33" s="18">
        <f>IF($B$1=1,IFERROR(MATCH(17031,$E$3:$E$452,0),""),IFERROR(MATCH(17031,振り分け!$W$7:$W$456,0),""))</f>
        <v/>
      </c>
      <c r="AA33" s="18">
        <f>IF($B$1=1,IFERROR(MATCH(18031,$E$3:$E$452,0),""),IFERROR(MATCH(18031,振り分け!$W$7:$W$456,0),""))</f>
        <v/>
      </c>
      <c r="AB33" s="18">
        <f>IF($B$1=1,IFERROR(MATCH(19031,$E$3:$E$452,0),""),IFERROR(MATCH(19031,振り分け!$W$7:$W$456,0),""))</f>
        <v/>
      </c>
      <c r="AC33" s="18">
        <f>IF($B$1=1,IFERROR(MATCH(20031,$E$3:$E$452,0),""),IFERROR(MATCH(20031,振り分け!$W$7:$W$456,0),""))</f>
        <v/>
      </c>
    </row>
    <row r="34">
      <c r="A34" s="18">
        <f>IFERROR(MATCH(SMALL(新年度名簿!$J$3:$J$452,32),新年度名簿!$J$3:$J$452,0),"")</f>
        <v/>
      </c>
      <c r="B34" s="18">
        <f>IF(A34="","",INDEX(新年度名簿!$G$3:$G$452,A34))</f>
        <v/>
      </c>
      <c r="C34" s="18">
        <f>IF(A34="","",IFERROR(MATCH(B34,設定!$P$8:$P$27,0),""))</f>
        <v/>
      </c>
      <c r="D34" s="18">
        <f>IF(C34="","",COUNTIF($C$3:C34,C34))</f>
        <v/>
      </c>
      <c r="E34" s="18">
        <f>IF(C34="","",C34*1000+D34)</f>
        <v/>
      </c>
      <c r="F34" s="18">
        <f>IF(A34="","",INDEX(新年度名簿!$K$3:$K$452,A34))</f>
        <v/>
      </c>
      <c r="G34" s="18">
        <f>IF(A34="","",INDEX(新年度名簿!$C$3:$C$452,A34))</f>
        <v/>
      </c>
      <c r="H34" s="18">
        <f>IF(A34="","",INDEX(新年度名簿!$D$3:$D$452,A34))</f>
        <v/>
      </c>
      <c r="J34" s="18">
        <f>IF($B$1=1,IFERROR(MATCH(1032,$E$3:$E$452,0),""),IFERROR(MATCH(1032,振り分け!$W$7:$W$456,0),""))</f>
        <v/>
      </c>
      <c r="K34" s="18">
        <f>IF($B$1=1,IFERROR(MATCH(2032,$E$3:$E$452,0),""),IFERROR(MATCH(2032,振り分け!$W$7:$W$456,0),""))</f>
        <v/>
      </c>
      <c r="L34" s="18">
        <f>IF($B$1=1,IFERROR(MATCH(3032,$E$3:$E$452,0),""),IFERROR(MATCH(3032,振り分け!$W$7:$W$456,0),""))</f>
        <v/>
      </c>
      <c r="M34" s="18">
        <f>IF($B$1=1,IFERROR(MATCH(4032,$E$3:$E$452,0),""),IFERROR(MATCH(4032,振り分け!$W$7:$W$456,0),""))</f>
        <v/>
      </c>
      <c r="N34" s="18">
        <f>IF($B$1=1,IFERROR(MATCH(5032,$E$3:$E$452,0),""),IFERROR(MATCH(5032,振り分け!$W$7:$W$456,0),""))</f>
        <v/>
      </c>
      <c r="O34" s="18">
        <f>IF($B$1=1,IFERROR(MATCH(6032,$E$3:$E$452,0),""),IFERROR(MATCH(6032,振り分け!$W$7:$W$456,0),""))</f>
        <v/>
      </c>
      <c r="P34" s="18">
        <f>IF($B$1=1,IFERROR(MATCH(7032,$E$3:$E$452,0),""),IFERROR(MATCH(7032,振り分け!$W$7:$W$456,0),""))</f>
        <v/>
      </c>
      <c r="Q34" s="18">
        <f>IF($B$1=1,IFERROR(MATCH(8032,$E$3:$E$452,0),""),IFERROR(MATCH(8032,振り分け!$W$7:$W$456,0),""))</f>
        <v/>
      </c>
      <c r="R34" s="18">
        <f>IF($B$1=1,IFERROR(MATCH(9032,$E$3:$E$452,0),""),IFERROR(MATCH(9032,振り分け!$W$7:$W$456,0),""))</f>
        <v/>
      </c>
      <c r="S34" s="18">
        <f>IF($B$1=1,IFERROR(MATCH(10032,$E$3:$E$452,0),""),IFERROR(MATCH(10032,振り分け!$W$7:$W$456,0),""))</f>
        <v/>
      </c>
      <c r="T34" s="18">
        <f>IF($B$1=1,IFERROR(MATCH(11032,$E$3:$E$452,0),""),IFERROR(MATCH(11032,振り分け!$W$7:$W$456,0),""))</f>
        <v/>
      </c>
      <c r="U34" s="18">
        <f>IF($B$1=1,IFERROR(MATCH(12032,$E$3:$E$452,0),""),IFERROR(MATCH(12032,振り分け!$W$7:$W$456,0),""))</f>
        <v/>
      </c>
      <c r="V34" s="18">
        <f>IF($B$1=1,IFERROR(MATCH(13032,$E$3:$E$452,0),""),IFERROR(MATCH(13032,振り分け!$W$7:$W$456,0),""))</f>
        <v/>
      </c>
      <c r="W34" s="18">
        <f>IF($B$1=1,IFERROR(MATCH(14032,$E$3:$E$452,0),""),IFERROR(MATCH(14032,振り分け!$W$7:$W$456,0),""))</f>
        <v/>
      </c>
      <c r="X34" s="18">
        <f>IF($B$1=1,IFERROR(MATCH(15032,$E$3:$E$452,0),""),IFERROR(MATCH(15032,振り分け!$W$7:$W$456,0),""))</f>
        <v/>
      </c>
      <c r="Y34" s="18">
        <f>IF($B$1=1,IFERROR(MATCH(16032,$E$3:$E$452,0),""),IFERROR(MATCH(16032,振り分け!$W$7:$W$456,0),""))</f>
        <v/>
      </c>
      <c r="Z34" s="18">
        <f>IF($B$1=1,IFERROR(MATCH(17032,$E$3:$E$452,0),""),IFERROR(MATCH(17032,振り分け!$W$7:$W$456,0),""))</f>
        <v/>
      </c>
      <c r="AA34" s="18">
        <f>IF($B$1=1,IFERROR(MATCH(18032,$E$3:$E$452,0),""),IFERROR(MATCH(18032,振り分け!$W$7:$W$456,0),""))</f>
        <v/>
      </c>
      <c r="AB34" s="18">
        <f>IF($B$1=1,IFERROR(MATCH(19032,$E$3:$E$452,0),""),IFERROR(MATCH(19032,振り分け!$W$7:$W$456,0),""))</f>
        <v/>
      </c>
      <c r="AC34" s="18">
        <f>IF($B$1=1,IFERROR(MATCH(20032,$E$3:$E$452,0),""),IFERROR(MATCH(20032,振り分け!$W$7:$W$456,0),""))</f>
        <v/>
      </c>
    </row>
    <row r="35">
      <c r="A35" s="18">
        <f>IFERROR(MATCH(SMALL(新年度名簿!$J$3:$J$452,33),新年度名簿!$J$3:$J$452,0),"")</f>
        <v/>
      </c>
      <c r="B35" s="18">
        <f>IF(A35="","",INDEX(新年度名簿!$G$3:$G$452,A35))</f>
        <v/>
      </c>
      <c r="C35" s="18">
        <f>IF(A35="","",IFERROR(MATCH(B35,設定!$P$8:$P$27,0),""))</f>
        <v/>
      </c>
      <c r="D35" s="18">
        <f>IF(C35="","",COUNTIF($C$3:C35,C35))</f>
        <v/>
      </c>
      <c r="E35" s="18">
        <f>IF(C35="","",C35*1000+D35)</f>
        <v/>
      </c>
      <c r="F35" s="18">
        <f>IF(A35="","",INDEX(新年度名簿!$K$3:$K$452,A35))</f>
        <v/>
      </c>
      <c r="G35" s="18">
        <f>IF(A35="","",INDEX(新年度名簿!$C$3:$C$452,A35))</f>
        <v/>
      </c>
      <c r="H35" s="18">
        <f>IF(A35="","",INDEX(新年度名簿!$D$3:$D$452,A35))</f>
        <v/>
      </c>
      <c r="J35" s="18">
        <f>IF($B$1=1,IFERROR(MATCH(1033,$E$3:$E$452,0),""),IFERROR(MATCH(1033,振り分け!$W$7:$W$456,0),""))</f>
        <v/>
      </c>
      <c r="K35" s="18">
        <f>IF($B$1=1,IFERROR(MATCH(2033,$E$3:$E$452,0),""),IFERROR(MATCH(2033,振り分け!$W$7:$W$456,0),""))</f>
        <v/>
      </c>
      <c r="L35" s="18">
        <f>IF($B$1=1,IFERROR(MATCH(3033,$E$3:$E$452,0),""),IFERROR(MATCH(3033,振り分け!$W$7:$W$456,0),""))</f>
        <v/>
      </c>
      <c r="M35" s="18">
        <f>IF($B$1=1,IFERROR(MATCH(4033,$E$3:$E$452,0),""),IFERROR(MATCH(4033,振り分け!$W$7:$W$456,0),""))</f>
        <v/>
      </c>
      <c r="N35" s="18">
        <f>IF($B$1=1,IFERROR(MATCH(5033,$E$3:$E$452,0),""),IFERROR(MATCH(5033,振り分け!$W$7:$W$456,0),""))</f>
        <v/>
      </c>
      <c r="O35" s="18">
        <f>IF($B$1=1,IFERROR(MATCH(6033,$E$3:$E$452,0),""),IFERROR(MATCH(6033,振り分け!$W$7:$W$456,0),""))</f>
        <v/>
      </c>
      <c r="P35" s="18">
        <f>IF($B$1=1,IFERROR(MATCH(7033,$E$3:$E$452,0),""),IFERROR(MATCH(7033,振り分け!$W$7:$W$456,0),""))</f>
        <v/>
      </c>
      <c r="Q35" s="18">
        <f>IF($B$1=1,IFERROR(MATCH(8033,$E$3:$E$452,0),""),IFERROR(MATCH(8033,振り分け!$W$7:$W$456,0),""))</f>
        <v/>
      </c>
      <c r="R35" s="18">
        <f>IF($B$1=1,IFERROR(MATCH(9033,$E$3:$E$452,0),""),IFERROR(MATCH(9033,振り分け!$W$7:$W$456,0),""))</f>
        <v/>
      </c>
      <c r="S35" s="18">
        <f>IF($B$1=1,IFERROR(MATCH(10033,$E$3:$E$452,0),""),IFERROR(MATCH(10033,振り分け!$W$7:$W$456,0),""))</f>
        <v/>
      </c>
      <c r="T35" s="18">
        <f>IF($B$1=1,IFERROR(MATCH(11033,$E$3:$E$452,0),""),IFERROR(MATCH(11033,振り分け!$W$7:$W$456,0),""))</f>
        <v/>
      </c>
      <c r="U35" s="18">
        <f>IF($B$1=1,IFERROR(MATCH(12033,$E$3:$E$452,0),""),IFERROR(MATCH(12033,振り分け!$W$7:$W$456,0),""))</f>
        <v/>
      </c>
      <c r="V35" s="18">
        <f>IF($B$1=1,IFERROR(MATCH(13033,$E$3:$E$452,0),""),IFERROR(MATCH(13033,振り分け!$W$7:$W$456,0),""))</f>
        <v/>
      </c>
      <c r="W35" s="18">
        <f>IF($B$1=1,IFERROR(MATCH(14033,$E$3:$E$452,0),""),IFERROR(MATCH(14033,振り分け!$W$7:$W$456,0),""))</f>
        <v/>
      </c>
      <c r="X35" s="18">
        <f>IF($B$1=1,IFERROR(MATCH(15033,$E$3:$E$452,0),""),IFERROR(MATCH(15033,振り分け!$W$7:$W$456,0),""))</f>
        <v/>
      </c>
      <c r="Y35" s="18">
        <f>IF($B$1=1,IFERROR(MATCH(16033,$E$3:$E$452,0),""),IFERROR(MATCH(16033,振り分け!$W$7:$W$456,0),""))</f>
        <v/>
      </c>
      <c r="Z35" s="18">
        <f>IF($B$1=1,IFERROR(MATCH(17033,$E$3:$E$452,0),""),IFERROR(MATCH(17033,振り分け!$W$7:$W$456,0),""))</f>
        <v/>
      </c>
      <c r="AA35" s="18">
        <f>IF($B$1=1,IFERROR(MATCH(18033,$E$3:$E$452,0),""),IFERROR(MATCH(18033,振り分け!$W$7:$W$456,0),""))</f>
        <v/>
      </c>
      <c r="AB35" s="18">
        <f>IF($B$1=1,IFERROR(MATCH(19033,$E$3:$E$452,0),""),IFERROR(MATCH(19033,振り分け!$W$7:$W$456,0),""))</f>
        <v/>
      </c>
      <c r="AC35" s="18">
        <f>IF($B$1=1,IFERROR(MATCH(20033,$E$3:$E$452,0),""),IFERROR(MATCH(20033,振り分け!$W$7:$W$456,0),""))</f>
        <v/>
      </c>
    </row>
    <row r="36">
      <c r="A36" s="18">
        <f>IFERROR(MATCH(SMALL(新年度名簿!$J$3:$J$452,34),新年度名簿!$J$3:$J$452,0),"")</f>
        <v/>
      </c>
      <c r="B36" s="18">
        <f>IF(A36="","",INDEX(新年度名簿!$G$3:$G$452,A36))</f>
        <v/>
      </c>
      <c r="C36" s="18">
        <f>IF(A36="","",IFERROR(MATCH(B36,設定!$P$8:$P$27,0),""))</f>
        <v/>
      </c>
      <c r="D36" s="18">
        <f>IF(C36="","",COUNTIF($C$3:C36,C36))</f>
        <v/>
      </c>
      <c r="E36" s="18">
        <f>IF(C36="","",C36*1000+D36)</f>
        <v/>
      </c>
      <c r="F36" s="18">
        <f>IF(A36="","",INDEX(新年度名簿!$K$3:$K$452,A36))</f>
        <v/>
      </c>
      <c r="G36" s="18">
        <f>IF(A36="","",INDEX(新年度名簿!$C$3:$C$452,A36))</f>
        <v/>
      </c>
      <c r="H36" s="18">
        <f>IF(A36="","",INDEX(新年度名簿!$D$3:$D$452,A36))</f>
        <v/>
      </c>
      <c r="J36" s="18">
        <f>IF($B$1=1,IFERROR(MATCH(1034,$E$3:$E$452,0),""),IFERROR(MATCH(1034,振り分け!$W$7:$W$456,0),""))</f>
        <v/>
      </c>
      <c r="K36" s="18">
        <f>IF($B$1=1,IFERROR(MATCH(2034,$E$3:$E$452,0),""),IFERROR(MATCH(2034,振り分け!$W$7:$W$456,0),""))</f>
        <v/>
      </c>
      <c r="L36" s="18">
        <f>IF($B$1=1,IFERROR(MATCH(3034,$E$3:$E$452,0),""),IFERROR(MATCH(3034,振り分け!$W$7:$W$456,0),""))</f>
        <v/>
      </c>
      <c r="M36" s="18">
        <f>IF($B$1=1,IFERROR(MATCH(4034,$E$3:$E$452,0),""),IFERROR(MATCH(4034,振り分け!$W$7:$W$456,0),""))</f>
        <v/>
      </c>
      <c r="N36" s="18">
        <f>IF($B$1=1,IFERROR(MATCH(5034,$E$3:$E$452,0),""),IFERROR(MATCH(5034,振り分け!$W$7:$W$456,0),""))</f>
        <v/>
      </c>
      <c r="O36" s="18">
        <f>IF($B$1=1,IFERROR(MATCH(6034,$E$3:$E$452,0),""),IFERROR(MATCH(6034,振り分け!$W$7:$W$456,0),""))</f>
        <v/>
      </c>
      <c r="P36" s="18">
        <f>IF($B$1=1,IFERROR(MATCH(7034,$E$3:$E$452,0),""),IFERROR(MATCH(7034,振り分け!$W$7:$W$456,0),""))</f>
        <v/>
      </c>
      <c r="Q36" s="18">
        <f>IF($B$1=1,IFERROR(MATCH(8034,$E$3:$E$452,0),""),IFERROR(MATCH(8034,振り分け!$W$7:$W$456,0),""))</f>
        <v/>
      </c>
      <c r="R36" s="18">
        <f>IF($B$1=1,IFERROR(MATCH(9034,$E$3:$E$452,0),""),IFERROR(MATCH(9034,振り分け!$W$7:$W$456,0),""))</f>
        <v/>
      </c>
      <c r="S36" s="18">
        <f>IF($B$1=1,IFERROR(MATCH(10034,$E$3:$E$452,0),""),IFERROR(MATCH(10034,振り分け!$W$7:$W$456,0),""))</f>
        <v/>
      </c>
      <c r="T36" s="18">
        <f>IF($B$1=1,IFERROR(MATCH(11034,$E$3:$E$452,0),""),IFERROR(MATCH(11034,振り分け!$W$7:$W$456,0),""))</f>
        <v/>
      </c>
      <c r="U36" s="18">
        <f>IF($B$1=1,IFERROR(MATCH(12034,$E$3:$E$452,0),""),IFERROR(MATCH(12034,振り分け!$W$7:$W$456,0),""))</f>
        <v/>
      </c>
      <c r="V36" s="18">
        <f>IF($B$1=1,IFERROR(MATCH(13034,$E$3:$E$452,0),""),IFERROR(MATCH(13034,振り分け!$W$7:$W$456,0),""))</f>
        <v/>
      </c>
      <c r="W36" s="18">
        <f>IF($B$1=1,IFERROR(MATCH(14034,$E$3:$E$452,0),""),IFERROR(MATCH(14034,振り分け!$W$7:$W$456,0),""))</f>
        <v/>
      </c>
      <c r="X36" s="18">
        <f>IF($B$1=1,IFERROR(MATCH(15034,$E$3:$E$452,0),""),IFERROR(MATCH(15034,振り分け!$W$7:$W$456,0),""))</f>
        <v/>
      </c>
      <c r="Y36" s="18">
        <f>IF($B$1=1,IFERROR(MATCH(16034,$E$3:$E$452,0),""),IFERROR(MATCH(16034,振り分け!$W$7:$W$456,0),""))</f>
        <v/>
      </c>
      <c r="Z36" s="18">
        <f>IF($B$1=1,IFERROR(MATCH(17034,$E$3:$E$452,0),""),IFERROR(MATCH(17034,振り分け!$W$7:$W$456,0),""))</f>
        <v/>
      </c>
      <c r="AA36" s="18">
        <f>IF($B$1=1,IFERROR(MATCH(18034,$E$3:$E$452,0),""),IFERROR(MATCH(18034,振り分け!$W$7:$W$456,0),""))</f>
        <v/>
      </c>
      <c r="AB36" s="18">
        <f>IF($B$1=1,IFERROR(MATCH(19034,$E$3:$E$452,0),""),IFERROR(MATCH(19034,振り分け!$W$7:$W$456,0),""))</f>
        <v/>
      </c>
      <c r="AC36" s="18">
        <f>IF($B$1=1,IFERROR(MATCH(20034,$E$3:$E$452,0),""),IFERROR(MATCH(20034,振り分け!$W$7:$W$456,0),""))</f>
        <v/>
      </c>
    </row>
    <row r="37">
      <c r="A37" s="18">
        <f>IFERROR(MATCH(SMALL(新年度名簿!$J$3:$J$452,35),新年度名簿!$J$3:$J$452,0),"")</f>
        <v/>
      </c>
      <c r="B37" s="18">
        <f>IF(A37="","",INDEX(新年度名簿!$G$3:$G$452,A37))</f>
        <v/>
      </c>
      <c r="C37" s="18">
        <f>IF(A37="","",IFERROR(MATCH(B37,設定!$P$8:$P$27,0),""))</f>
        <v/>
      </c>
      <c r="D37" s="18">
        <f>IF(C37="","",COUNTIF($C$3:C37,C37))</f>
        <v/>
      </c>
      <c r="E37" s="18">
        <f>IF(C37="","",C37*1000+D37)</f>
        <v/>
      </c>
      <c r="F37" s="18">
        <f>IF(A37="","",INDEX(新年度名簿!$K$3:$K$452,A37))</f>
        <v/>
      </c>
      <c r="G37" s="18">
        <f>IF(A37="","",INDEX(新年度名簿!$C$3:$C$452,A37))</f>
        <v/>
      </c>
      <c r="H37" s="18">
        <f>IF(A37="","",INDEX(新年度名簿!$D$3:$D$452,A37))</f>
        <v/>
      </c>
      <c r="J37" s="18">
        <f>IF($B$1=1,IFERROR(MATCH(1035,$E$3:$E$452,0),""),IFERROR(MATCH(1035,振り分け!$W$7:$W$456,0),""))</f>
        <v/>
      </c>
      <c r="K37" s="18">
        <f>IF($B$1=1,IFERROR(MATCH(2035,$E$3:$E$452,0),""),IFERROR(MATCH(2035,振り分け!$W$7:$W$456,0),""))</f>
        <v/>
      </c>
      <c r="L37" s="18">
        <f>IF($B$1=1,IFERROR(MATCH(3035,$E$3:$E$452,0),""),IFERROR(MATCH(3035,振り分け!$W$7:$W$456,0),""))</f>
        <v/>
      </c>
      <c r="M37" s="18">
        <f>IF($B$1=1,IFERROR(MATCH(4035,$E$3:$E$452,0),""),IFERROR(MATCH(4035,振り分け!$W$7:$W$456,0),""))</f>
        <v/>
      </c>
      <c r="N37" s="18">
        <f>IF($B$1=1,IFERROR(MATCH(5035,$E$3:$E$452,0),""),IFERROR(MATCH(5035,振り分け!$W$7:$W$456,0),""))</f>
        <v/>
      </c>
      <c r="O37" s="18">
        <f>IF($B$1=1,IFERROR(MATCH(6035,$E$3:$E$452,0),""),IFERROR(MATCH(6035,振り分け!$W$7:$W$456,0),""))</f>
        <v/>
      </c>
      <c r="P37" s="18">
        <f>IF($B$1=1,IFERROR(MATCH(7035,$E$3:$E$452,0),""),IFERROR(MATCH(7035,振り分け!$W$7:$W$456,0),""))</f>
        <v/>
      </c>
      <c r="Q37" s="18">
        <f>IF($B$1=1,IFERROR(MATCH(8035,$E$3:$E$452,0),""),IFERROR(MATCH(8035,振り分け!$W$7:$W$456,0),""))</f>
        <v/>
      </c>
      <c r="R37" s="18">
        <f>IF($B$1=1,IFERROR(MATCH(9035,$E$3:$E$452,0),""),IFERROR(MATCH(9035,振り分け!$W$7:$W$456,0),""))</f>
        <v/>
      </c>
      <c r="S37" s="18">
        <f>IF($B$1=1,IFERROR(MATCH(10035,$E$3:$E$452,0),""),IFERROR(MATCH(10035,振り分け!$W$7:$W$456,0),""))</f>
        <v/>
      </c>
      <c r="T37" s="18">
        <f>IF($B$1=1,IFERROR(MATCH(11035,$E$3:$E$452,0),""),IFERROR(MATCH(11035,振り分け!$W$7:$W$456,0),""))</f>
        <v/>
      </c>
      <c r="U37" s="18">
        <f>IF($B$1=1,IFERROR(MATCH(12035,$E$3:$E$452,0),""),IFERROR(MATCH(12035,振り分け!$W$7:$W$456,0),""))</f>
        <v/>
      </c>
      <c r="V37" s="18">
        <f>IF($B$1=1,IFERROR(MATCH(13035,$E$3:$E$452,0),""),IFERROR(MATCH(13035,振り分け!$W$7:$W$456,0),""))</f>
        <v/>
      </c>
      <c r="W37" s="18">
        <f>IF($B$1=1,IFERROR(MATCH(14035,$E$3:$E$452,0),""),IFERROR(MATCH(14035,振り分け!$W$7:$W$456,0),""))</f>
        <v/>
      </c>
      <c r="X37" s="18">
        <f>IF($B$1=1,IFERROR(MATCH(15035,$E$3:$E$452,0),""),IFERROR(MATCH(15035,振り分け!$W$7:$W$456,0),""))</f>
        <v/>
      </c>
      <c r="Y37" s="18">
        <f>IF($B$1=1,IFERROR(MATCH(16035,$E$3:$E$452,0),""),IFERROR(MATCH(16035,振り分け!$W$7:$W$456,0),""))</f>
        <v/>
      </c>
      <c r="Z37" s="18">
        <f>IF($B$1=1,IFERROR(MATCH(17035,$E$3:$E$452,0),""),IFERROR(MATCH(17035,振り分け!$W$7:$W$456,0),""))</f>
        <v/>
      </c>
      <c r="AA37" s="18">
        <f>IF($B$1=1,IFERROR(MATCH(18035,$E$3:$E$452,0),""),IFERROR(MATCH(18035,振り分け!$W$7:$W$456,0),""))</f>
        <v/>
      </c>
      <c r="AB37" s="18">
        <f>IF($B$1=1,IFERROR(MATCH(19035,$E$3:$E$452,0),""),IFERROR(MATCH(19035,振り分け!$W$7:$W$456,0),""))</f>
        <v/>
      </c>
      <c r="AC37" s="18">
        <f>IF($B$1=1,IFERROR(MATCH(20035,$E$3:$E$452,0),""),IFERROR(MATCH(20035,振り分け!$W$7:$W$456,0),""))</f>
        <v/>
      </c>
    </row>
    <row r="38">
      <c r="A38" s="18">
        <f>IFERROR(MATCH(SMALL(新年度名簿!$J$3:$J$452,36),新年度名簿!$J$3:$J$452,0),"")</f>
        <v/>
      </c>
      <c r="B38" s="18">
        <f>IF(A38="","",INDEX(新年度名簿!$G$3:$G$452,A38))</f>
        <v/>
      </c>
      <c r="C38" s="18">
        <f>IF(A38="","",IFERROR(MATCH(B38,設定!$P$8:$P$27,0),""))</f>
        <v/>
      </c>
      <c r="D38" s="18">
        <f>IF(C38="","",COUNTIF($C$3:C38,C38))</f>
        <v/>
      </c>
      <c r="E38" s="18">
        <f>IF(C38="","",C38*1000+D38)</f>
        <v/>
      </c>
      <c r="F38" s="18">
        <f>IF(A38="","",INDEX(新年度名簿!$K$3:$K$452,A38))</f>
        <v/>
      </c>
      <c r="G38" s="18">
        <f>IF(A38="","",INDEX(新年度名簿!$C$3:$C$452,A38))</f>
        <v/>
      </c>
      <c r="H38" s="18">
        <f>IF(A38="","",INDEX(新年度名簿!$D$3:$D$452,A38))</f>
        <v/>
      </c>
      <c r="J38" s="18">
        <f>IF($B$1=1,IFERROR(MATCH(1036,$E$3:$E$452,0),""),IFERROR(MATCH(1036,振り分け!$W$7:$W$456,0),""))</f>
        <v/>
      </c>
      <c r="K38" s="18">
        <f>IF($B$1=1,IFERROR(MATCH(2036,$E$3:$E$452,0),""),IFERROR(MATCH(2036,振り分け!$W$7:$W$456,0),""))</f>
        <v/>
      </c>
      <c r="L38" s="18">
        <f>IF($B$1=1,IFERROR(MATCH(3036,$E$3:$E$452,0),""),IFERROR(MATCH(3036,振り分け!$W$7:$W$456,0),""))</f>
        <v/>
      </c>
      <c r="M38" s="18">
        <f>IF($B$1=1,IFERROR(MATCH(4036,$E$3:$E$452,0),""),IFERROR(MATCH(4036,振り分け!$W$7:$W$456,0),""))</f>
        <v/>
      </c>
      <c r="N38" s="18">
        <f>IF($B$1=1,IFERROR(MATCH(5036,$E$3:$E$452,0),""),IFERROR(MATCH(5036,振り分け!$W$7:$W$456,0),""))</f>
        <v/>
      </c>
      <c r="O38" s="18">
        <f>IF($B$1=1,IFERROR(MATCH(6036,$E$3:$E$452,0),""),IFERROR(MATCH(6036,振り分け!$W$7:$W$456,0),""))</f>
        <v/>
      </c>
      <c r="P38" s="18">
        <f>IF($B$1=1,IFERROR(MATCH(7036,$E$3:$E$452,0),""),IFERROR(MATCH(7036,振り分け!$W$7:$W$456,0),""))</f>
        <v/>
      </c>
      <c r="Q38" s="18">
        <f>IF($B$1=1,IFERROR(MATCH(8036,$E$3:$E$452,0),""),IFERROR(MATCH(8036,振り分け!$W$7:$W$456,0),""))</f>
        <v/>
      </c>
      <c r="R38" s="18">
        <f>IF($B$1=1,IFERROR(MATCH(9036,$E$3:$E$452,0),""),IFERROR(MATCH(9036,振り分け!$W$7:$W$456,0),""))</f>
        <v/>
      </c>
      <c r="S38" s="18">
        <f>IF($B$1=1,IFERROR(MATCH(10036,$E$3:$E$452,0),""),IFERROR(MATCH(10036,振り分け!$W$7:$W$456,0),""))</f>
        <v/>
      </c>
      <c r="T38" s="18">
        <f>IF($B$1=1,IFERROR(MATCH(11036,$E$3:$E$452,0),""),IFERROR(MATCH(11036,振り分け!$W$7:$W$456,0),""))</f>
        <v/>
      </c>
      <c r="U38" s="18">
        <f>IF($B$1=1,IFERROR(MATCH(12036,$E$3:$E$452,0),""),IFERROR(MATCH(12036,振り分け!$W$7:$W$456,0),""))</f>
        <v/>
      </c>
      <c r="V38" s="18">
        <f>IF($B$1=1,IFERROR(MATCH(13036,$E$3:$E$452,0),""),IFERROR(MATCH(13036,振り分け!$W$7:$W$456,0),""))</f>
        <v/>
      </c>
      <c r="W38" s="18">
        <f>IF($B$1=1,IFERROR(MATCH(14036,$E$3:$E$452,0),""),IFERROR(MATCH(14036,振り分け!$W$7:$W$456,0),""))</f>
        <v/>
      </c>
      <c r="X38" s="18">
        <f>IF($B$1=1,IFERROR(MATCH(15036,$E$3:$E$452,0),""),IFERROR(MATCH(15036,振り分け!$W$7:$W$456,0),""))</f>
        <v/>
      </c>
      <c r="Y38" s="18">
        <f>IF($B$1=1,IFERROR(MATCH(16036,$E$3:$E$452,0),""),IFERROR(MATCH(16036,振り分け!$W$7:$W$456,0),""))</f>
        <v/>
      </c>
      <c r="Z38" s="18">
        <f>IF($B$1=1,IFERROR(MATCH(17036,$E$3:$E$452,0),""),IFERROR(MATCH(17036,振り分け!$W$7:$W$456,0),""))</f>
        <v/>
      </c>
      <c r="AA38" s="18">
        <f>IF($B$1=1,IFERROR(MATCH(18036,$E$3:$E$452,0),""),IFERROR(MATCH(18036,振り分け!$W$7:$W$456,0),""))</f>
        <v/>
      </c>
      <c r="AB38" s="18">
        <f>IF($B$1=1,IFERROR(MATCH(19036,$E$3:$E$452,0),""),IFERROR(MATCH(19036,振り分け!$W$7:$W$456,0),""))</f>
        <v/>
      </c>
      <c r="AC38" s="18">
        <f>IF($B$1=1,IFERROR(MATCH(20036,$E$3:$E$452,0),""),IFERROR(MATCH(20036,振り分け!$W$7:$W$456,0),""))</f>
        <v/>
      </c>
    </row>
    <row r="39">
      <c r="A39" s="18">
        <f>IFERROR(MATCH(SMALL(新年度名簿!$J$3:$J$452,37),新年度名簿!$J$3:$J$452,0),"")</f>
        <v/>
      </c>
      <c r="B39" s="18">
        <f>IF(A39="","",INDEX(新年度名簿!$G$3:$G$452,A39))</f>
        <v/>
      </c>
      <c r="C39" s="18">
        <f>IF(A39="","",IFERROR(MATCH(B39,設定!$P$8:$P$27,0),""))</f>
        <v/>
      </c>
      <c r="D39" s="18">
        <f>IF(C39="","",COUNTIF($C$3:C39,C39))</f>
        <v/>
      </c>
      <c r="E39" s="18">
        <f>IF(C39="","",C39*1000+D39)</f>
        <v/>
      </c>
      <c r="F39" s="18">
        <f>IF(A39="","",INDEX(新年度名簿!$K$3:$K$452,A39))</f>
        <v/>
      </c>
      <c r="G39" s="18">
        <f>IF(A39="","",INDEX(新年度名簿!$C$3:$C$452,A39))</f>
        <v/>
      </c>
      <c r="H39" s="18">
        <f>IF(A39="","",INDEX(新年度名簿!$D$3:$D$452,A39))</f>
        <v/>
      </c>
      <c r="J39" s="18">
        <f>IF($B$1=1,IFERROR(MATCH(1037,$E$3:$E$452,0),""),IFERROR(MATCH(1037,振り分け!$W$7:$W$456,0),""))</f>
        <v/>
      </c>
      <c r="K39" s="18">
        <f>IF($B$1=1,IFERROR(MATCH(2037,$E$3:$E$452,0),""),IFERROR(MATCH(2037,振り分け!$W$7:$W$456,0),""))</f>
        <v/>
      </c>
      <c r="L39" s="18">
        <f>IF($B$1=1,IFERROR(MATCH(3037,$E$3:$E$452,0),""),IFERROR(MATCH(3037,振り分け!$W$7:$W$456,0),""))</f>
        <v/>
      </c>
      <c r="M39" s="18">
        <f>IF($B$1=1,IFERROR(MATCH(4037,$E$3:$E$452,0),""),IFERROR(MATCH(4037,振り分け!$W$7:$W$456,0),""))</f>
        <v/>
      </c>
      <c r="N39" s="18">
        <f>IF($B$1=1,IFERROR(MATCH(5037,$E$3:$E$452,0),""),IFERROR(MATCH(5037,振り分け!$W$7:$W$456,0),""))</f>
        <v/>
      </c>
      <c r="O39" s="18">
        <f>IF($B$1=1,IFERROR(MATCH(6037,$E$3:$E$452,0),""),IFERROR(MATCH(6037,振り分け!$W$7:$W$456,0),""))</f>
        <v/>
      </c>
      <c r="P39" s="18">
        <f>IF($B$1=1,IFERROR(MATCH(7037,$E$3:$E$452,0),""),IFERROR(MATCH(7037,振り分け!$W$7:$W$456,0),""))</f>
        <v/>
      </c>
      <c r="Q39" s="18">
        <f>IF($B$1=1,IFERROR(MATCH(8037,$E$3:$E$452,0),""),IFERROR(MATCH(8037,振り分け!$W$7:$W$456,0),""))</f>
        <v/>
      </c>
      <c r="R39" s="18">
        <f>IF($B$1=1,IFERROR(MATCH(9037,$E$3:$E$452,0),""),IFERROR(MATCH(9037,振り分け!$W$7:$W$456,0),""))</f>
        <v/>
      </c>
      <c r="S39" s="18">
        <f>IF($B$1=1,IFERROR(MATCH(10037,$E$3:$E$452,0),""),IFERROR(MATCH(10037,振り分け!$W$7:$W$456,0),""))</f>
        <v/>
      </c>
      <c r="T39" s="18">
        <f>IF($B$1=1,IFERROR(MATCH(11037,$E$3:$E$452,0),""),IFERROR(MATCH(11037,振り分け!$W$7:$W$456,0),""))</f>
        <v/>
      </c>
      <c r="U39" s="18">
        <f>IF($B$1=1,IFERROR(MATCH(12037,$E$3:$E$452,0),""),IFERROR(MATCH(12037,振り分け!$W$7:$W$456,0),""))</f>
        <v/>
      </c>
      <c r="V39" s="18">
        <f>IF($B$1=1,IFERROR(MATCH(13037,$E$3:$E$452,0),""),IFERROR(MATCH(13037,振り分け!$W$7:$W$456,0),""))</f>
        <v/>
      </c>
      <c r="W39" s="18">
        <f>IF($B$1=1,IFERROR(MATCH(14037,$E$3:$E$452,0),""),IFERROR(MATCH(14037,振り分け!$W$7:$W$456,0),""))</f>
        <v/>
      </c>
      <c r="X39" s="18">
        <f>IF($B$1=1,IFERROR(MATCH(15037,$E$3:$E$452,0),""),IFERROR(MATCH(15037,振り分け!$W$7:$W$456,0),""))</f>
        <v/>
      </c>
      <c r="Y39" s="18">
        <f>IF($B$1=1,IFERROR(MATCH(16037,$E$3:$E$452,0),""),IFERROR(MATCH(16037,振り分け!$W$7:$W$456,0),""))</f>
        <v/>
      </c>
      <c r="Z39" s="18">
        <f>IF($B$1=1,IFERROR(MATCH(17037,$E$3:$E$452,0),""),IFERROR(MATCH(17037,振り分け!$W$7:$W$456,0),""))</f>
        <v/>
      </c>
      <c r="AA39" s="18">
        <f>IF($B$1=1,IFERROR(MATCH(18037,$E$3:$E$452,0),""),IFERROR(MATCH(18037,振り分け!$W$7:$W$456,0),""))</f>
        <v/>
      </c>
      <c r="AB39" s="18">
        <f>IF($B$1=1,IFERROR(MATCH(19037,$E$3:$E$452,0),""),IFERROR(MATCH(19037,振り分け!$W$7:$W$456,0),""))</f>
        <v/>
      </c>
      <c r="AC39" s="18">
        <f>IF($B$1=1,IFERROR(MATCH(20037,$E$3:$E$452,0),""),IFERROR(MATCH(20037,振り分け!$W$7:$W$456,0),""))</f>
        <v/>
      </c>
    </row>
    <row r="40">
      <c r="A40" s="18">
        <f>IFERROR(MATCH(SMALL(新年度名簿!$J$3:$J$452,38),新年度名簿!$J$3:$J$452,0),"")</f>
        <v/>
      </c>
      <c r="B40" s="18">
        <f>IF(A40="","",INDEX(新年度名簿!$G$3:$G$452,A40))</f>
        <v/>
      </c>
      <c r="C40" s="18">
        <f>IF(A40="","",IFERROR(MATCH(B40,設定!$P$8:$P$27,0),""))</f>
        <v/>
      </c>
      <c r="D40" s="18">
        <f>IF(C40="","",COUNTIF($C$3:C40,C40))</f>
        <v/>
      </c>
      <c r="E40" s="18">
        <f>IF(C40="","",C40*1000+D40)</f>
        <v/>
      </c>
      <c r="F40" s="18">
        <f>IF(A40="","",INDEX(新年度名簿!$K$3:$K$452,A40))</f>
        <v/>
      </c>
      <c r="G40" s="18">
        <f>IF(A40="","",INDEX(新年度名簿!$C$3:$C$452,A40))</f>
        <v/>
      </c>
      <c r="H40" s="18">
        <f>IF(A40="","",INDEX(新年度名簿!$D$3:$D$452,A40))</f>
        <v/>
      </c>
      <c r="J40" s="18">
        <f>IF($B$1=1,IFERROR(MATCH(1038,$E$3:$E$452,0),""),IFERROR(MATCH(1038,振り分け!$W$7:$W$456,0),""))</f>
        <v/>
      </c>
      <c r="K40" s="18">
        <f>IF($B$1=1,IFERROR(MATCH(2038,$E$3:$E$452,0),""),IFERROR(MATCH(2038,振り分け!$W$7:$W$456,0),""))</f>
        <v/>
      </c>
      <c r="L40" s="18">
        <f>IF($B$1=1,IFERROR(MATCH(3038,$E$3:$E$452,0),""),IFERROR(MATCH(3038,振り分け!$W$7:$W$456,0),""))</f>
        <v/>
      </c>
      <c r="M40" s="18">
        <f>IF($B$1=1,IFERROR(MATCH(4038,$E$3:$E$452,0),""),IFERROR(MATCH(4038,振り分け!$W$7:$W$456,0),""))</f>
        <v/>
      </c>
      <c r="N40" s="18">
        <f>IF($B$1=1,IFERROR(MATCH(5038,$E$3:$E$452,0),""),IFERROR(MATCH(5038,振り分け!$W$7:$W$456,0),""))</f>
        <v/>
      </c>
      <c r="O40" s="18">
        <f>IF($B$1=1,IFERROR(MATCH(6038,$E$3:$E$452,0),""),IFERROR(MATCH(6038,振り分け!$W$7:$W$456,0),""))</f>
        <v/>
      </c>
      <c r="P40" s="18">
        <f>IF($B$1=1,IFERROR(MATCH(7038,$E$3:$E$452,0),""),IFERROR(MATCH(7038,振り分け!$W$7:$W$456,0),""))</f>
        <v/>
      </c>
      <c r="Q40" s="18">
        <f>IF($B$1=1,IFERROR(MATCH(8038,$E$3:$E$452,0),""),IFERROR(MATCH(8038,振り分け!$W$7:$W$456,0),""))</f>
        <v/>
      </c>
      <c r="R40" s="18">
        <f>IF($B$1=1,IFERROR(MATCH(9038,$E$3:$E$452,0),""),IFERROR(MATCH(9038,振り分け!$W$7:$W$456,0),""))</f>
        <v/>
      </c>
      <c r="S40" s="18">
        <f>IF($B$1=1,IFERROR(MATCH(10038,$E$3:$E$452,0),""),IFERROR(MATCH(10038,振り分け!$W$7:$W$456,0),""))</f>
        <v/>
      </c>
      <c r="T40" s="18">
        <f>IF($B$1=1,IFERROR(MATCH(11038,$E$3:$E$452,0),""),IFERROR(MATCH(11038,振り分け!$W$7:$W$456,0),""))</f>
        <v/>
      </c>
      <c r="U40" s="18">
        <f>IF($B$1=1,IFERROR(MATCH(12038,$E$3:$E$452,0),""),IFERROR(MATCH(12038,振り分け!$W$7:$W$456,0),""))</f>
        <v/>
      </c>
      <c r="V40" s="18">
        <f>IF($B$1=1,IFERROR(MATCH(13038,$E$3:$E$452,0),""),IFERROR(MATCH(13038,振り分け!$W$7:$W$456,0),""))</f>
        <v/>
      </c>
      <c r="W40" s="18">
        <f>IF($B$1=1,IFERROR(MATCH(14038,$E$3:$E$452,0),""),IFERROR(MATCH(14038,振り分け!$W$7:$W$456,0),""))</f>
        <v/>
      </c>
      <c r="X40" s="18">
        <f>IF($B$1=1,IFERROR(MATCH(15038,$E$3:$E$452,0),""),IFERROR(MATCH(15038,振り分け!$W$7:$W$456,0),""))</f>
        <v/>
      </c>
      <c r="Y40" s="18">
        <f>IF($B$1=1,IFERROR(MATCH(16038,$E$3:$E$452,0),""),IFERROR(MATCH(16038,振り分け!$W$7:$W$456,0),""))</f>
        <v/>
      </c>
      <c r="Z40" s="18">
        <f>IF($B$1=1,IFERROR(MATCH(17038,$E$3:$E$452,0),""),IFERROR(MATCH(17038,振り分け!$W$7:$W$456,0),""))</f>
        <v/>
      </c>
      <c r="AA40" s="18">
        <f>IF($B$1=1,IFERROR(MATCH(18038,$E$3:$E$452,0),""),IFERROR(MATCH(18038,振り分け!$W$7:$W$456,0),""))</f>
        <v/>
      </c>
      <c r="AB40" s="18">
        <f>IF($B$1=1,IFERROR(MATCH(19038,$E$3:$E$452,0),""),IFERROR(MATCH(19038,振り分け!$W$7:$W$456,0),""))</f>
        <v/>
      </c>
      <c r="AC40" s="18">
        <f>IF($B$1=1,IFERROR(MATCH(20038,$E$3:$E$452,0),""),IFERROR(MATCH(20038,振り分け!$W$7:$W$456,0),""))</f>
        <v/>
      </c>
    </row>
    <row r="41">
      <c r="A41" s="18">
        <f>IFERROR(MATCH(SMALL(新年度名簿!$J$3:$J$452,39),新年度名簿!$J$3:$J$452,0),"")</f>
        <v/>
      </c>
      <c r="B41" s="18">
        <f>IF(A41="","",INDEX(新年度名簿!$G$3:$G$452,A41))</f>
        <v/>
      </c>
      <c r="C41" s="18">
        <f>IF(A41="","",IFERROR(MATCH(B41,設定!$P$8:$P$27,0),""))</f>
        <v/>
      </c>
      <c r="D41" s="18">
        <f>IF(C41="","",COUNTIF($C$3:C41,C41))</f>
        <v/>
      </c>
      <c r="E41" s="18">
        <f>IF(C41="","",C41*1000+D41)</f>
        <v/>
      </c>
      <c r="F41" s="18">
        <f>IF(A41="","",INDEX(新年度名簿!$K$3:$K$452,A41))</f>
        <v/>
      </c>
      <c r="G41" s="18">
        <f>IF(A41="","",INDEX(新年度名簿!$C$3:$C$452,A41))</f>
        <v/>
      </c>
      <c r="H41" s="18">
        <f>IF(A41="","",INDEX(新年度名簿!$D$3:$D$452,A41))</f>
        <v/>
      </c>
      <c r="J41" s="18">
        <f>IF($B$1=1,IFERROR(MATCH(1039,$E$3:$E$452,0),""),IFERROR(MATCH(1039,振り分け!$W$7:$W$456,0),""))</f>
        <v/>
      </c>
      <c r="K41" s="18">
        <f>IF($B$1=1,IFERROR(MATCH(2039,$E$3:$E$452,0),""),IFERROR(MATCH(2039,振り分け!$W$7:$W$456,0),""))</f>
        <v/>
      </c>
      <c r="L41" s="18">
        <f>IF($B$1=1,IFERROR(MATCH(3039,$E$3:$E$452,0),""),IFERROR(MATCH(3039,振り分け!$W$7:$W$456,0),""))</f>
        <v/>
      </c>
      <c r="M41" s="18">
        <f>IF($B$1=1,IFERROR(MATCH(4039,$E$3:$E$452,0),""),IFERROR(MATCH(4039,振り分け!$W$7:$W$456,0),""))</f>
        <v/>
      </c>
      <c r="N41" s="18">
        <f>IF($B$1=1,IFERROR(MATCH(5039,$E$3:$E$452,0),""),IFERROR(MATCH(5039,振り分け!$W$7:$W$456,0),""))</f>
        <v/>
      </c>
      <c r="O41" s="18">
        <f>IF($B$1=1,IFERROR(MATCH(6039,$E$3:$E$452,0),""),IFERROR(MATCH(6039,振り分け!$W$7:$W$456,0),""))</f>
        <v/>
      </c>
      <c r="P41" s="18">
        <f>IF($B$1=1,IFERROR(MATCH(7039,$E$3:$E$452,0),""),IFERROR(MATCH(7039,振り分け!$W$7:$W$456,0),""))</f>
        <v/>
      </c>
      <c r="Q41" s="18">
        <f>IF($B$1=1,IFERROR(MATCH(8039,$E$3:$E$452,0),""),IFERROR(MATCH(8039,振り分け!$W$7:$W$456,0),""))</f>
        <v/>
      </c>
      <c r="R41" s="18">
        <f>IF($B$1=1,IFERROR(MATCH(9039,$E$3:$E$452,0),""),IFERROR(MATCH(9039,振り分け!$W$7:$W$456,0),""))</f>
        <v/>
      </c>
      <c r="S41" s="18">
        <f>IF($B$1=1,IFERROR(MATCH(10039,$E$3:$E$452,0),""),IFERROR(MATCH(10039,振り分け!$W$7:$W$456,0),""))</f>
        <v/>
      </c>
      <c r="T41" s="18">
        <f>IF($B$1=1,IFERROR(MATCH(11039,$E$3:$E$452,0),""),IFERROR(MATCH(11039,振り分け!$W$7:$W$456,0),""))</f>
        <v/>
      </c>
      <c r="U41" s="18">
        <f>IF($B$1=1,IFERROR(MATCH(12039,$E$3:$E$452,0),""),IFERROR(MATCH(12039,振り分け!$W$7:$W$456,0),""))</f>
        <v/>
      </c>
      <c r="V41" s="18">
        <f>IF($B$1=1,IFERROR(MATCH(13039,$E$3:$E$452,0),""),IFERROR(MATCH(13039,振り分け!$W$7:$W$456,0),""))</f>
        <v/>
      </c>
      <c r="W41" s="18">
        <f>IF($B$1=1,IFERROR(MATCH(14039,$E$3:$E$452,0),""),IFERROR(MATCH(14039,振り分け!$W$7:$W$456,0),""))</f>
        <v/>
      </c>
      <c r="X41" s="18">
        <f>IF($B$1=1,IFERROR(MATCH(15039,$E$3:$E$452,0),""),IFERROR(MATCH(15039,振り分け!$W$7:$W$456,0),""))</f>
        <v/>
      </c>
      <c r="Y41" s="18">
        <f>IF($B$1=1,IFERROR(MATCH(16039,$E$3:$E$452,0),""),IFERROR(MATCH(16039,振り分け!$W$7:$W$456,0),""))</f>
        <v/>
      </c>
      <c r="Z41" s="18">
        <f>IF($B$1=1,IFERROR(MATCH(17039,$E$3:$E$452,0),""),IFERROR(MATCH(17039,振り分け!$W$7:$W$456,0),""))</f>
        <v/>
      </c>
      <c r="AA41" s="18">
        <f>IF($B$1=1,IFERROR(MATCH(18039,$E$3:$E$452,0),""),IFERROR(MATCH(18039,振り分け!$W$7:$W$456,0),""))</f>
        <v/>
      </c>
      <c r="AB41" s="18">
        <f>IF($B$1=1,IFERROR(MATCH(19039,$E$3:$E$452,0),""),IFERROR(MATCH(19039,振り分け!$W$7:$W$456,0),""))</f>
        <v/>
      </c>
      <c r="AC41" s="18">
        <f>IF($B$1=1,IFERROR(MATCH(20039,$E$3:$E$452,0),""),IFERROR(MATCH(20039,振り分け!$W$7:$W$456,0),""))</f>
        <v/>
      </c>
    </row>
    <row r="42">
      <c r="A42" s="18">
        <f>IFERROR(MATCH(SMALL(新年度名簿!$J$3:$J$452,40),新年度名簿!$J$3:$J$452,0),"")</f>
        <v/>
      </c>
      <c r="B42" s="18">
        <f>IF(A42="","",INDEX(新年度名簿!$G$3:$G$452,A42))</f>
        <v/>
      </c>
      <c r="C42" s="18">
        <f>IF(A42="","",IFERROR(MATCH(B42,設定!$P$8:$P$27,0),""))</f>
        <v/>
      </c>
      <c r="D42" s="18">
        <f>IF(C42="","",COUNTIF($C$3:C42,C42))</f>
        <v/>
      </c>
      <c r="E42" s="18">
        <f>IF(C42="","",C42*1000+D42)</f>
        <v/>
      </c>
      <c r="F42" s="18">
        <f>IF(A42="","",INDEX(新年度名簿!$K$3:$K$452,A42))</f>
        <v/>
      </c>
      <c r="G42" s="18">
        <f>IF(A42="","",INDEX(新年度名簿!$C$3:$C$452,A42))</f>
        <v/>
      </c>
      <c r="H42" s="18">
        <f>IF(A42="","",INDEX(新年度名簿!$D$3:$D$452,A42))</f>
        <v/>
      </c>
      <c r="J42" s="18">
        <f>IF($B$1=1,IFERROR(MATCH(1040,$E$3:$E$452,0),""),IFERROR(MATCH(1040,振り分け!$W$7:$W$456,0),""))</f>
        <v/>
      </c>
      <c r="K42" s="18">
        <f>IF($B$1=1,IFERROR(MATCH(2040,$E$3:$E$452,0),""),IFERROR(MATCH(2040,振り分け!$W$7:$W$456,0),""))</f>
        <v/>
      </c>
      <c r="L42" s="18">
        <f>IF($B$1=1,IFERROR(MATCH(3040,$E$3:$E$452,0),""),IFERROR(MATCH(3040,振り分け!$W$7:$W$456,0),""))</f>
        <v/>
      </c>
      <c r="M42" s="18">
        <f>IF($B$1=1,IFERROR(MATCH(4040,$E$3:$E$452,0),""),IFERROR(MATCH(4040,振り分け!$W$7:$W$456,0),""))</f>
        <v/>
      </c>
      <c r="N42" s="18">
        <f>IF($B$1=1,IFERROR(MATCH(5040,$E$3:$E$452,0),""),IFERROR(MATCH(5040,振り分け!$W$7:$W$456,0),""))</f>
        <v/>
      </c>
      <c r="O42" s="18">
        <f>IF($B$1=1,IFERROR(MATCH(6040,$E$3:$E$452,0),""),IFERROR(MATCH(6040,振り分け!$W$7:$W$456,0),""))</f>
        <v/>
      </c>
      <c r="P42" s="18">
        <f>IF($B$1=1,IFERROR(MATCH(7040,$E$3:$E$452,0),""),IFERROR(MATCH(7040,振り分け!$W$7:$W$456,0),""))</f>
        <v/>
      </c>
      <c r="Q42" s="18">
        <f>IF($B$1=1,IFERROR(MATCH(8040,$E$3:$E$452,0),""),IFERROR(MATCH(8040,振り分け!$W$7:$W$456,0),""))</f>
        <v/>
      </c>
      <c r="R42" s="18">
        <f>IF($B$1=1,IFERROR(MATCH(9040,$E$3:$E$452,0),""),IFERROR(MATCH(9040,振り分け!$W$7:$W$456,0),""))</f>
        <v/>
      </c>
      <c r="S42" s="18">
        <f>IF($B$1=1,IFERROR(MATCH(10040,$E$3:$E$452,0),""),IFERROR(MATCH(10040,振り分け!$W$7:$W$456,0),""))</f>
        <v/>
      </c>
      <c r="T42" s="18">
        <f>IF($B$1=1,IFERROR(MATCH(11040,$E$3:$E$452,0),""),IFERROR(MATCH(11040,振り分け!$W$7:$W$456,0),""))</f>
        <v/>
      </c>
      <c r="U42" s="18">
        <f>IF($B$1=1,IFERROR(MATCH(12040,$E$3:$E$452,0),""),IFERROR(MATCH(12040,振り分け!$W$7:$W$456,0),""))</f>
        <v/>
      </c>
      <c r="V42" s="18">
        <f>IF($B$1=1,IFERROR(MATCH(13040,$E$3:$E$452,0),""),IFERROR(MATCH(13040,振り分け!$W$7:$W$456,0),""))</f>
        <v/>
      </c>
      <c r="W42" s="18">
        <f>IF($B$1=1,IFERROR(MATCH(14040,$E$3:$E$452,0),""),IFERROR(MATCH(14040,振り分け!$W$7:$W$456,0),""))</f>
        <v/>
      </c>
      <c r="X42" s="18">
        <f>IF($B$1=1,IFERROR(MATCH(15040,$E$3:$E$452,0),""),IFERROR(MATCH(15040,振り分け!$W$7:$W$456,0),""))</f>
        <v/>
      </c>
      <c r="Y42" s="18">
        <f>IF($B$1=1,IFERROR(MATCH(16040,$E$3:$E$452,0),""),IFERROR(MATCH(16040,振り分け!$W$7:$W$456,0),""))</f>
        <v/>
      </c>
      <c r="Z42" s="18">
        <f>IF($B$1=1,IFERROR(MATCH(17040,$E$3:$E$452,0),""),IFERROR(MATCH(17040,振り分け!$W$7:$W$456,0),""))</f>
        <v/>
      </c>
      <c r="AA42" s="18">
        <f>IF($B$1=1,IFERROR(MATCH(18040,$E$3:$E$452,0),""),IFERROR(MATCH(18040,振り分け!$W$7:$W$456,0),""))</f>
        <v/>
      </c>
      <c r="AB42" s="18">
        <f>IF($B$1=1,IFERROR(MATCH(19040,$E$3:$E$452,0),""),IFERROR(MATCH(19040,振り分け!$W$7:$W$456,0),""))</f>
        <v/>
      </c>
      <c r="AC42" s="18">
        <f>IF($B$1=1,IFERROR(MATCH(20040,$E$3:$E$452,0),""),IFERROR(MATCH(20040,振り分け!$W$7:$W$456,0),""))</f>
        <v/>
      </c>
    </row>
    <row r="43">
      <c r="A43" s="18">
        <f>IFERROR(MATCH(SMALL(新年度名簿!$J$3:$J$452,41),新年度名簿!$J$3:$J$452,0),"")</f>
        <v/>
      </c>
      <c r="B43" s="18">
        <f>IF(A43="","",INDEX(新年度名簿!$G$3:$G$452,A43))</f>
        <v/>
      </c>
      <c r="C43" s="18">
        <f>IF(A43="","",IFERROR(MATCH(B43,設定!$P$8:$P$27,0),""))</f>
        <v/>
      </c>
      <c r="D43" s="18">
        <f>IF(C43="","",COUNTIF($C$3:C43,C43))</f>
        <v/>
      </c>
      <c r="E43" s="18">
        <f>IF(C43="","",C43*1000+D43)</f>
        <v/>
      </c>
      <c r="F43" s="18">
        <f>IF(A43="","",INDEX(新年度名簿!$K$3:$K$452,A43))</f>
        <v/>
      </c>
      <c r="G43" s="18">
        <f>IF(A43="","",INDEX(新年度名簿!$C$3:$C$452,A43))</f>
        <v/>
      </c>
      <c r="H43" s="18">
        <f>IF(A43="","",INDEX(新年度名簿!$D$3:$D$452,A43))</f>
        <v/>
      </c>
      <c r="J43" s="18">
        <f>IF($B$1=1,IFERROR(MATCH(1041,$E$3:$E$452,0),""),IFERROR(MATCH(1041,振り分け!$W$7:$W$456,0),""))</f>
        <v/>
      </c>
      <c r="K43" s="18">
        <f>IF($B$1=1,IFERROR(MATCH(2041,$E$3:$E$452,0),""),IFERROR(MATCH(2041,振り分け!$W$7:$W$456,0),""))</f>
        <v/>
      </c>
      <c r="L43" s="18">
        <f>IF($B$1=1,IFERROR(MATCH(3041,$E$3:$E$452,0),""),IFERROR(MATCH(3041,振り分け!$W$7:$W$456,0),""))</f>
        <v/>
      </c>
      <c r="M43" s="18">
        <f>IF($B$1=1,IFERROR(MATCH(4041,$E$3:$E$452,0),""),IFERROR(MATCH(4041,振り分け!$W$7:$W$456,0),""))</f>
        <v/>
      </c>
      <c r="N43" s="18">
        <f>IF($B$1=1,IFERROR(MATCH(5041,$E$3:$E$452,0),""),IFERROR(MATCH(5041,振り分け!$W$7:$W$456,0),""))</f>
        <v/>
      </c>
      <c r="O43" s="18">
        <f>IF($B$1=1,IFERROR(MATCH(6041,$E$3:$E$452,0),""),IFERROR(MATCH(6041,振り分け!$W$7:$W$456,0),""))</f>
        <v/>
      </c>
      <c r="P43" s="18">
        <f>IF($B$1=1,IFERROR(MATCH(7041,$E$3:$E$452,0),""),IFERROR(MATCH(7041,振り分け!$W$7:$W$456,0),""))</f>
        <v/>
      </c>
      <c r="Q43" s="18">
        <f>IF($B$1=1,IFERROR(MATCH(8041,$E$3:$E$452,0),""),IFERROR(MATCH(8041,振り分け!$W$7:$W$456,0),""))</f>
        <v/>
      </c>
      <c r="R43" s="18">
        <f>IF($B$1=1,IFERROR(MATCH(9041,$E$3:$E$452,0),""),IFERROR(MATCH(9041,振り分け!$W$7:$W$456,0),""))</f>
        <v/>
      </c>
      <c r="S43" s="18">
        <f>IF($B$1=1,IFERROR(MATCH(10041,$E$3:$E$452,0),""),IFERROR(MATCH(10041,振り分け!$W$7:$W$456,0),""))</f>
        <v/>
      </c>
      <c r="T43" s="18">
        <f>IF($B$1=1,IFERROR(MATCH(11041,$E$3:$E$452,0),""),IFERROR(MATCH(11041,振り分け!$W$7:$W$456,0),""))</f>
        <v/>
      </c>
      <c r="U43" s="18">
        <f>IF($B$1=1,IFERROR(MATCH(12041,$E$3:$E$452,0),""),IFERROR(MATCH(12041,振り分け!$W$7:$W$456,0),""))</f>
        <v/>
      </c>
      <c r="V43" s="18">
        <f>IF($B$1=1,IFERROR(MATCH(13041,$E$3:$E$452,0),""),IFERROR(MATCH(13041,振り分け!$W$7:$W$456,0),""))</f>
        <v/>
      </c>
      <c r="W43" s="18">
        <f>IF($B$1=1,IFERROR(MATCH(14041,$E$3:$E$452,0),""),IFERROR(MATCH(14041,振り分け!$W$7:$W$456,0),""))</f>
        <v/>
      </c>
      <c r="X43" s="18">
        <f>IF($B$1=1,IFERROR(MATCH(15041,$E$3:$E$452,0),""),IFERROR(MATCH(15041,振り分け!$W$7:$W$456,0),""))</f>
        <v/>
      </c>
      <c r="Y43" s="18">
        <f>IF($B$1=1,IFERROR(MATCH(16041,$E$3:$E$452,0),""),IFERROR(MATCH(16041,振り分け!$W$7:$W$456,0),""))</f>
        <v/>
      </c>
      <c r="Z43" s="18">
        <f>IF($B$1=1,IFERROR(MATCH(17041,$E$3:$E$452,0),""),IFERROR(MATCH(17041,振り分け!$W$7:$W$456,0),""))</f>
        <v/>
      </c>
      <c r="AA43" s="18">
        <f>IF($B$1=1,IFERROR(MATCH(18041,$E$3:$E$452,0),""),IFERROR(MATCH(18041,振り分け!$W$7:$W$456,0),""))</f>
        <v/>
      </c>
      <c r="AB43" s="18">
        <f>IF($B$1=1,IFERROR(MATCH(19041,$E$3:$E$452,0),""),IFERROR(MATCH(19041,振り分け!$W$7:$W$456,0),""))</f>
        <v/>
      </c>
      <c r="AC43" s="18">
        <f>IF($B$1=1,IFERROR(MATCH(20041,$E$3:$E$452,0),""),IFERROR(MATCH(20041,振り分け!$W$7:$W$456,0),""))</f>
        <v/>
      </c>
    </row>
    <row r="44">
      <c r="A44" s="18">
        <f>IFERROR(MATCH(SMALL(新年度名簿!$J$3:$J$452,42),新年度名簿!$J$3:$J$452,0),"")</f>
        <v/>
      </c>
      <c r="B44" s="18">
        <f>IF(A44="","",INDEX(新年度名簿!$G$3:$G$452,A44))</f>
        <v/>
      </c>
      <c r="C44" s="18">
        <f>IF(A44="","",IFERROR(MATCH(B44,設定!$P$8:$P$27,0),""))</f>
        <v/>
      </c>
      <c r="D44" s="18">
        <f>IF(C44="","",COUNTIF($C$3:C44,C44))</f>
        <v/>
      </c>
      <c r="E44" s="18">
        <f>IF(C44="","",C44*1000+D44)</f>
        <v/>
      </c>
      <c r="F44" s="18">
        <f>IF(A44="","",INDEX(新年度名簿!$K$3:$K$452,A44))</f>
        <v/>
      </c>
      <c r="G44" s="18">
        <f>IF(A44="","",INDEX(新年度名簿!$C$3:$C$452,A44))</f>
        <v/>
      </c>
      <c r="H44" s="18">
        <f>IF(A44="","",INDEX(新年度名簿!$D$3:$D$452,A44))</f>
        <v/>
      </c>
      <c r="J44" s="18">
        <f>IF($B$1=1,IFERROR(MATCH(1042,$E$3:$E$452,0),""),IFERROR(MATCH(1042,振り分け!$W$7:$W$456,0),""))</f>
        <v/>
      </c>
      <c r="K44" s="18">
        <f>IF($B$1=1,IFERROR(MATCH(2042,$E$3:$E$452,0),""),IFERROR(MATCH(2042,振り分け!$W$7:$W$456,0),""))</f>
        <v/>
      </c>
      <c r="L44" s="18">
        <f>IF($B$1=1,IFERROR(MATCH(3042,$E$3:$E$452,0),""),IFERROR(MATCH(3042,振り分け!$W$7:$W$456,0),""))</f>
        <v/>
      </c>
      <c r="M44" s="18">
        <f>IF($B$1=1,IFERROR(MATCH(4042,$E$3:$E$452,0),""),IFERROR(MATCH(4042,振り分け!$W$7:$W$456,0),""))</f>
        <v/>
      </c>
      <c r="N44" s="18">
        <f>IF($B$1=1,IFERROR(MATCH(5042,$E$3:$E$452,0),""),IFERROR(MATCH(5042,振り分け!$W$7:$W$456,0),""))</f>
        <v/>
      </c>
      <c r="O44" s="18">
        <f>IF($B$1=1,IFERROR(MATCH(6042,$E$3:$E$452,0),""),IFERROR(MATCH(6042,振り分け!$W$7:$W$456,0),""))</f>
        <v/>
      </c>
      <c r="P44" s="18">
        <f>IF($B$1=1,IFERROR(MATCH(7042,$E$3:$E$452,0),""),IFERROR(MATCH(7042,振り分け!$W$7:$W$456,0),""))</f>
        <v/>
      </c>
      <c r="Q44" s="18">
        <f>IF($B$1=1,IFERROR(MATCH(8042,$E$3:$E$452,0),""),IFERROR(MATCH(8042,振り分け!$W$7:$W$456,0),""))</f>
        <v/>
      </c>
      <c r="R44" s="18">
        <f>IF($B$1=1,IFERROR(MATCH(9042,$E$3:$E$452,0),""),IFERROR(MATCH(9042,振り分け!$W$7:$W$456,0),""))</f>
        <v/>
      </c>
      <c r="S44" s="18">
        <f>IF($B$1=1,IFERROR(MATCH(10042,$E$3:$E$452,0),""),IFERROR(MATCH(10042,振り分け!$W$7:$W$456,0),""))</f>
        <v/>
      </c>
      <c r="T44" s="18">
        <f>IF($B$1=1,IFERROR(MATCH(11042,$E$3:$E$452,0),""),IFERROR(MATCH(11042,振り分け!$W$7:$W$456,0),""))</f>
        <v/>
      </c>
      <c r="U44" s="18">
        <f>IF($B$1=1,IFERROR(MATCH(12042,$E$3:$E$452,0),""),IFERROR(MATCH(12042,振り分け!$W$7:$W$456,0),""))</f>
        <v/>
      </c>
      <c r="V44" s="18">
        <f>IF($B$1=1,IFERROR(MATCH(13042,$E$3:$E$452,0),""),IFERROR(MATCH(13042,振り分け!$W$7:$W$456,0),""))</f>
        <v/>
      </c>
      <c r="W44" s="18">
        <f>IF($B$1=1,IFERROR(MATCH(14042,$E$3:$E$452,0),""),IFERROR(MATCH(14042,振り分け!$W$7:$W$456,0),""))</f>
        <v/>
      </c>
      <c r="X44" s="18">
        <f>IF($B$1=1,IFERROR(MATCH(15042,$E$3:$E$452,0),""),IFERROR(MATCH(15042,振り分け!$W$7:$W$456,0),""))</f>
        <v/>
      </c>
      <c r="Y44" s="18">
        <f>IF($B$1=1,IFERROR(MATCH(16042,$E$3:$E$452,0),""),IFERROR(MATCH(16042,振り分け!$W$7:$W$456,0),""))</f>
        <v/>
      </c>
      <c r="Z44" s="18">
        <f>IF($B$1=1,IFERROR(MATCH(17042,$E$3:$E$452,0),""),IFERROR(MATCH(17042,振り分け!$W$7:$W$456,0),""))</f>
        <v/>
      </c>
      <c r="AA44" s="18">
        <f>IF($B$1=1,IFERROR(MATCH(18042,$E$3:$E$452,0),""),IFERROR(MATCH(18042,振り分け!$W$7:$W$456,0),""))</f>
        <v/>
      </c>
      <c r="AB44" s="18">
        <f>IF($B$1=1,IFERROR(MATCH(19042,$E$3:$E$452,0),""),IFERROR(MATCH(19042,振り分け!$W$7:$W$456,0),""))</f>
        <v/>
      </c>
      <c r="AC44" s="18">
        <f>IF($B$1=1,IFERROR(MATCH(20042,$E$3:$E$452,0),""),IFERROR(MATCH(20042,振り分け!$W$7:$W$456,0),""))</f>
        <v/>
      </c>
    </row>
    <row r="45">
      <c r="A45" s="18">
        <f>IFERROR(MATCH(SMALL(新年度名簿!$J$3:$J$452,43),新年度名簿!$J$3:$J$452,0),"")</f>
        <v/>
      </c>
      <c r="B45" s="18">
        <f>IF(A45="","",INDEX(新年度名簿!$G$3:$G$452,A45))</f>
        <v/>
      </c>
      <c r="C45" s="18">
        <f>IF(A45="","",IFERROR(MATCH(B45,設定!$P$8:$P$27,0),""))</f>
        <v/>
      </c>
      <c r="D45" s="18">
        <f>IF(C45="","",COUNTIF($C$3:C45,C45))</f>
        <v/>
      </c>
      <c r="E45" s="18">
        <f>IF(C45="","",C45*1000+D45)</f>
        <v/>
      </c>
      <c r="F45" s="18">
        <f>IF(A45="","",INDEX(新年度名簿!$K$3:$K$452,A45))</f>
        <v/>
      </c>
      <c r="G45" s="18">
        <f>IF(A45="","",INDEX(新年度名簿!$C$3:$C$452,A45))</f>
        <v/>
      </c>
      <c r="H45" s="18">
        <f>IF(A45="","",INDEX(新年度名簿!$D$3:$D$452,A45))</f>
        <v/>
      </c>
      <c r="J45" s="18">
        <f>IF($B$1=1,IFERROR(MATCH(1043,$E$3:$E$452,0),""),IFERROR(MATCH(1043,振り分け!$W$7:$W$456,0),""))</f>
        <v/>
      </c>
      <c r="K45" s="18">
        <f>IF($B$1=1,IFERROR(MATCH(2043,$E$3:$E$452,0),""),IFERROR(MATCH(2043,振り分け!$W$7:$W$456,0),""))</f>
        <v/>
      </c>
      <c r="L45" s="18">
        <f>IF($B$1=1,IFERROR(MATCH(3043,$E$3:$E$452,0),""),IFERROR(MATCH(3043,振り分け!$W$7:$W$456,0),""))</f>
        <v/>
      </c>
      <c r="M45" s="18">
        <f>IF($B$1=1,IFERROR(MATCH(4043,$E$3:$E$452,0),""),IFERROR(MATCH(4043,振り分け!$W$7:$W$456,0),""))</f>
        <v/>
      </c>
      <c r="N45" s="18">
        <f>IF($B$1=1,IFERROR(MATCH(5043,$E$3:$E$452,0),""),IFERROR(MATCH(5043,振り分け!$W$7:$W$456,0),""))</f>
        <v/>
      </c>
      <c r="O45" s="18">
        <f>IF($B$1=1,IFERROR(MATCH(6043,$E$3:$E$452,0),""),IFERROR(MATCH(6043,振り分け!$W$7:$W$456,0),""))</f>
        <v/>
      </c>
      <c r="P45" s="18">
        <f>IF($B$1=1,IFERROR(MATCH(7043,$E$3:$E$452,0),""),IFERROR(MATCH(7043,振り分け!$W$7:$W$456,0),""))</f>
        <v/>
      </c>
      <c r="Q45" s="18">
        <f>IF($B$1=1,IFERROR(MATCH(8043,$E$3:$E$452,0),""),IFERROR(MATCH(8043,振り分け!$W$7:$W$456,0),""))</f>
        <v/>
      </c>
      <c r="R45" s="18">
        <f>IF($B$1=1,IFERROR(MATCH(9043,$E$3:$E$452,0),""),IFERROR(MATCH(9043,振り分け!$W$7:$W$456,0),""))</f>
        <v/>
      </c>
      <c r="S45" s="18">
        <f>IF($B$1=1,IFERROR(MATCH(10043,$E$3:$E$452,0),""),IFERROR(MATCH(10043,振り分け!$W$7:$W$456,0),""))</f>
        <v/>
      </c>
      <c r="T45" s="18">
        <f>IF($B$1=1,IFERROR(MATCH(11043,$E$3:$E$452,0),""),IFERROR(MATCH(11043,振り分け!$W$7:$W$456,0),""))</f>
        <v/>
      </c>
      <c r="U45" s="18">
        <f>IF($B$1=1,IFERROR(MATCH(12043,$E$3:$E$452,0),""),IFERROR(MATCH(12043,振り分け!$W$7:$W$456,0),""))</f>
        <v/>
      </c>
      <c r="V45" s="18">
        <f>IF($B$1=1,IFERROR(MATCH(13043,$E$3:$E$452,0),""),IFERROR(MATCH(13043,振り分け!$W$7:$W$456,0),""))</f>
        <v/>
      </c>
      <c r="W45" s="18">
        <f>IF($B$1=1,IFERROR(MATCH(14043,$E$3:$E$452,0),""),IFERROR(MATCH(14043,振り分け!$W$7:$W$456,0),""))</f>
        <v/>
      </c>
      <c r="X45" s="18">
        <f>IF($B$1=1,IFERROR(MATCH(15043,$E$3:$E$452,0),""),IFERROR(MATCH(15043,振り分け!$W$7:$W$456,0),""))</f>
        <v/>
      </c>
      <c r="Y45" s="18">
        <f>IF($B$1=1,IFERROR(MATCH(16043,$E$3:$E$452,0),""),IFERROR(MATCH(16043,振り分け!$W$7:$W$456,0),""))</f>
        <v/>
      </c>
      <c r="Z45" s="18">
        <f>IF($B$1=1,IFERROR(MATCH(17043,$E$3:$E$452,0),""),IFERROR(MATCH(17043,振り分け!$W$7:$W$456,0),""))</f>
        <v/>
      </c>
      <c r="AA45" s="18">
        <f>IF($B$1=1,IFERROR(MATCH(18043,$E$3:$E$452,0),""),IFERROR(MATCH(18043,振り分け!$W$7:$W$456,0),""))</f>
        <v/>
      </c>
      <c r="AB45" s="18">
        <f>IF($B$1=1,IFERROR(MATCH(19043,$E$3:$E$452,0),""),IFERROR(MATCH(19043,振り分け!$W$7:$W$456,0),""))</f>
        <v/>
      </c>
      <c r="AC45" s="18">
        <f>IF($B$1=1,IFERROR(MATCH(20043,$E$3:$E$452,0),""),IFERROR(MATCH(20043,振り分け!$W$7:$W$456,0),""))</f>
        <v/>
      </c>
    </row>
    <row r="46">
      <c r="A46" s="18">
        <f>IFERROR(MATCH(SMALL(新年度名簿!$J$3:$J$452,44),新年度名簿!$J$3:$J$452,0),"")</f>
        <v/>
      </c>
      <c r="B46" s="18">
        <f>IF(A46="","",INDEX(新年度名簿!$G$3:$G$452,A46))</f>
        <v/>
      </c>
      <c r="C46" s="18">
        <f>IF(A46="","",IFERROR(MATCH(B46,設定!$P$8:$P$27,0),""))</f>
        <v/>
      </c>
      <c r="D46" s="18">
        <f>IF(C46="","",COUNTIF($C$3:C46,C46))</f>
        <v/>
      </c>
      <c r="E46" s="18">
        <f>IF(C46="","",C46*1000+D46)</f>
        <v/>
      </c>
      <c r="F46" s="18">
        <f>IF(A46="","",INDEX(新年度名簿!$K$3:$K$452,A46))</f>
        <v/>
      </c>
      <c r="G46" s="18">
        <f>IF(A46="","",INDEX(新年度名簿!$C$3:$C$452,A46))</f>
        <v/>
      </c>
      <c r="H46" s="18">
        <f>IF(A46="","",INDEX(新年度名簿!$D$3:$D$452,A46))</f>
        <v/>
      </c>
      <c r="J46" s="18">
        <f>IF($B$1=1,IFERROR(MATCH(1044,$E$3:$E$452,0),""),IFERROR(MATCH(1044,振り分け!$W$7:$W$456,0),""))</f>
        <v/>
      </c>
      <c r="K46" s="18">
        <f>IF($B$1=1,IFERROR(MATCH(2044,$E$3:$E$452,0),""),IFERROR(MATCH(2044,振り分け!$W$7:$W$456,0),""))</f>
        <v/>
      </c>
      <c r="L46" s="18">
        <f>IF($B$1=1,IFERROR(MATCH(3044,$E$3:$E$452,0),""),IFERROR(MATCH(3044,振り分け!$W$7:$W$456,0),""))</f>
        <v/>
      </c>
      <c r="M46" s="18">
        <f>IF($B$1=1,IFERROR(MATCH(4044,$E$3:$E$452,0),""),IFERROR(MATCH(4044,振り分け!$W$7:$W$456,0),""))</f>
        <v/>
      </c>
      <c r="N46" s="18">
        <f>IF($B$1=1,IFERROR(MATCH(5044,$E$3:$E$452,0),""),IFERROR(MATCH(5044,振り分け!$W$7:$W$456,0),""))</f>
        <v/>
      </c>
      <c r="O46" s="18">
        <f>IF($B$1=1,IFERROR(MATCH(6044,$E$3:$E$452,0),""),IFERROR(MATCH(6044,振り分け!$W$7:$W$456,0),""))</f>
        <v/>
      </c>
      <c r="P46" s="18">
        <f>IF($B$1=1,IFERROR(MATCH(7044,$E$3:$E$452,0),""),IFERROR(MATCH(7044,振り分け!$W$7:$W$456,0),""))</f>
        <v/>
      </c>
      <c r="Q46" s="18">
        <f>IF($B$1=1,IFERROR(MATCH(8044,$E$3:$E$452,0),""),IFERROR(MATCH(8044,振り分け!$W$7:$W$456,0),""))</f>
        <v/>
      </c>
      <c r="R46" s="18">
        <f>IF($B$1=1,IFERROR(MATCH(9044,$E$3:$E$452,0),""),IFERROR(MATCH(9044,振り分け!$W$7:$W$456,0),""))</f>
        <v/>
      </c>
      <c r="S46" s="18">
        <f>IF($B$1=1,IFERROR(MATCH(10044,$E$3:$E$452,0),""),IFERROR(MATCH(10044,振り分け!$W$7:$W$456,0),""))</f>
        <v/>
      </c>
      <c r="T46" s="18">
        <f>IF($B$1=1,IFERROR(MATCH(11044,$E$3:$E$452,0),""),IFERROR(MATCH(11044,振り分け!$W$7:$W$456,0),""))</f>
        <v/>
      </c>
      <c r="U46" s="18">
        <f>IF($B$1=1,IFERROR(MATCH(12044,$E$3:$E$452,0),""),IFERROR(MATCH(12044,振り分け!$W$7:$W$456,0),""))</f>
        <v/>
      </c>
      <c r="V46" s="18">
        <f>IF($B$1=1,IFERROR(MATCH(13044,$E$3:$E$452,0),""),IFERROR(MATCH(13044,振り分け!$W$7:$W$456,0),""))</f>
        <v/>
      </c>
      <c r="W46" s="18">
        <f>IF($B$1=1,IFERROR(MATCH(14044,$E$3:$E$452,0),""),IFERROR(MATCH(14044,振り分け!$W$7:$W$456,0),""))</f>
        <v/>
      </c>
      <c r="X46" s="18">
        <f>IF($B$1=1,IFERROR(MATCH(15044,$E$3:$E$452,0),""),IFERROR(MATCH(15044,振り分け!$W$7:$W$456,0),""))</f>
        <v/>
      </c>
      <c r="Y46" s="18">
        <f>IF($B$1=1,IFERROR(MATCH(16044,$E$3:$E$452,0),""),IFERROR(MATCH(16044,振り分け!$W$7:$W$456,0),""))</f>
        <v/>
      </c>
      <c r="Z46" s="18">
        <f>IF($B$1=1,IFERROR(MATCH(17044,$E$3:$E$452,0),""),IFERROR(MATCH(17044,振り分け!$W$7:$W$456,0),""))</f>
        <v/>
      </c>
      <c r="AA46" s="18">
        <f>IF($B$1=1,IFERROR(MATCH(18044,$E$3:$E$452,0),""),IFERROR(MATCH(18044,振り分け!$W$7:$W$456,0),""))</f>
        <v/>
      </c>
      <c r="AB46" s="18">
        <f>IF($B$1=1,IFERROR(MATCH(19044,$E$3:$E$452,0),""),IFERROR(MATCH(19044,振り分け!$W$7:$W$456,0),""))</f>
        <v/>
      </c>
      <c r="AC46" s="18">
        <f>IF($B$1=1,IFERROR(MATCH(20044,$E$3:$E$452,0),""),IFERROR(MATCH(20044,振り分け!$W$7:$W$456,0),""))</f>
        <v/>
      </c>
    </row>
    <row r="47">
      <c r="A47" s="18">
        <f>IFERROR(MATCH(SMALL(新年度名簿!$J$3:$J$452,45),新年度名簿!$J$3:$J$452,0),"")</f>
        <v/>
      </c>
      <c r="B47" s="18">
        <f>IF(A47="","",INDEX(新年度名簿!$G$3:$G$452,A47))</f>
        <v/>
      </c>
      <c r="C47" s="18">
        <f>IF(A47="","",IFERROR(MATCH(B47,設定!$P$8:$P$27,0),""))</f>
        <v/>
      </c>
      <c r="D47" s="18">
        <f>IF(C47="","",COUNTIF($C$3:C47,C47))</f>
        <v/>
      </c>
      <c r="E47" s="18">
        <f>IF(C47="","",C47*1000+D47)</f>
        <v/>
      </c>
      <c r="F47" s="18">
        <f>IF(A47="","",INDEX(新年度名簿!$K$3:$K$452,A47))</f>
        <v/>
      </c>
      <c r="G47" s="18">
        <f>IF(A47="","",INDEX(新年度名簿!$C$3:$C$452,A47))</f>
        <v/>
      </c>
      <c r="H47" s="18">
        <f>IF(A47="","",INDEX(新年度名簿!$D$3:$D$452,A47))</f>
        <v/>
      </c>
      <c r="J47" s="18">
        <f>IF($B$1=1,IFERROR(MATCH(1045,$E$3:$E$452,0),""),IFERROR(MATCH(1045,振り分け!$W$7:$W$456,0),""))</f>
        <v/>
      </c>
      <c r="K47" s="18">
        <f>IF($B$1=1,IFERROR(MATCH(2045,$E$3:$E$452,0),""),IFERROR(MATCH(2045,振り分け!$W$7:$W$456,0),""))</f>
        <v/>
      </c>
      <c r="L47" s="18">
        <f>IF($B$1=1,IFERROR(MATCH(3045,$E$3:$E$452,0),""),IFERROR(MATCH(3045,振り分け!$W$7:$W$456,0),""))</f>
        <v/>
      </c>
      <c r="M47" s="18">
        <f>IF($B$1=1,IFERROR(MATCH(4045,$E$3:$E$452,0),""),IFERROR(MATCH(4045,振り分け!$W$7:$W$456,0),""))</f>
        <v/>
      </c>
      <c r="N47" s="18">
        <f>IF($B$1=1,IFERROR(MATCH(5045,$E$3:$E$452,0),""),IFERROR(MATCH(5045,振り分け!$W$7:$W$456,0),""))</f>
        <v/>
      </c>
      <c r="O47" s="18">
        <f>IF($B$1=1,IFERROR(MATCH(6045,$E$3:$E$452,0),""),IFERROR(MATCH(6045,振り分け!$W$7:$W$456,0),""))</f>
        <v/>
      </c>
      <c r="P47" s="18">
        <f>IF($B$1=1,IFERROR(MATCH(7045,$E$3:$E$452,0),""),IFERROR(MATCH(7045,振り分け!$W$7:$W$456,0),""))</f>
        <v/>
      </c>
      <c r="Q47" s="18">
        <f>IF($B$1=1,IFERROR(MATCH(8045,$E$3:$E$452,0),""),IFERROR(MATCH(8045,振り分け!$W$7:$W$456,0),""))</f>
        <v/>
      </c>
      <c r="R47" s="18">
        <f>IF($B$1=1,IFERROR(MATCH(9045,$E$3:$E$452,0),""),IFERROR(MATCH(9045,振り分け!$W$7:$W$456,0),""))</f>
        <v/>
      </c>
      <c r="S47" s="18">
        <f>IF($B$1=1,IFERROR(MATCH(10045,$E$3:$E$452,0),""),IFERROR(MATCH(10045,振り分け!$W$7:$W$456,0),""))</f>
        <v/>
      </c>
      <c r="T47" s="18">
        <f>IF($B$1=1,IFERROR(MATCH(11045,$E$3:$E$452,0),""),IFERROR(MATCH(11045,振り分け!$W$7:$W$456,0),""))</f>
        <v/>
      </c>
      <c r="U47" s="18">
        <f>IF($B$1=1,IFERROR(MATCH(12045,$E$3:$E$452,0),""),IFERROR(MATCH(12045,振り分け!$W$7:$W$456,0),""))</f>
        <v/>
      </c>
      <c r="V47" s="18">
        <f>IF($B$1=1,IFERROR(MATCH(13045,$E$3:$E$452,0),""),IFERROR(MATCH(13045,振り分け!$W$7:$W$456,0),""))</f>
        <v/>
      </c>
      <c r="W47" s="18">
        <f>IF($B$1=1,IFERROR(MATCH(14045,$E$3:$E$452,0),""),IFERROR(MATCH(14045,振り分け!$W$7:$W$456,0),""))</f>
        <v/>
      </c>
      <c r="X47" s="18">
        <f>IF($B$1=1,IFERROR(MATCH(15045,$E$3:$E$452,0),""),IFERROR(MATCH(15045,振り分け!$W$7:$W$456,0),""))</f>
        <v/>
      </c>
      <c r="Y47" s="18">
        <f>IF($B$1=1,IFERROR(MATCH(16045,$E$3:$E$452,0),""),IFERROR(MATCH(16045,振り分け!$W$7:$W$456,0),""))</f>
        <v/>
      </c>
      <c r="Z47" s="18">
        <f>IF($B$1=1,IFERROR(MATCH(17045,$E$3:$E$452,0),""),IFERROR(MATCH(17045,振り分け!$W$7:$W$456,0),""))</f>
        <v/>
      </c>
      <c r="AA47" s="18">
        <f>IF($B$1=1,IFERROR(MATCH(18045,$E$3:$E$452,0),""),IFERROR(MATCH(18045,振り分け!$W$7:$W$456,0),""))</f>
        <v/>
      </c>
      <c r="AB47" s="18">
        <f>IF($B$1=1,IFERROR(MATCH(19045,$E$3:$E$452,0),""),IFERROR(MATCH(19045,振り分け!$W$7:$W$456,0),""))</f>
        <v/>
      </c>
      <c r="AC47" s="18">
        <f>IF($B$1=1,IFERROR(MATCH(20045,$E$3:$E$452,0),""),IFERROR(MATCH(20045,振り分け!$W$7:$W$456,0),""))</f>
        <v/>
      </c>
    </row>
    <row r="48">
      <c r="A48" s="18">
        <f>IFERROR(MATCH(SMALL(新年度名簿!$J$3:$J$452,46),新年度名簿!$J$3:$J$452,0),"")</f>
        <v/>
      </c>
      <c r="B48" s="18">
        <f>IF(A48="","",INDEX(新年度名簿!$G$3:$G$452,A48))</f>
        <v/>
      </c>
      <c r="C48" s="18">
        <f>IF(A48="","",IFERROR(MATCH(B48,設定!$P$8:$P$27,0),""))</f>
        <v/>
      </c>
      <c r="D48" s="18">
        <f>IF(C48="","",COUNTIF($C$3:C48,C48))</f>
        <v/>
      </c>
      <c r="E48" s="18">
        <f>IF(C48="","",C48*1000+D48)</f>
        <v/>
      </c>
      <c r="F48" s="18">
        <f>IF(A48="","",INDEX(新年度名簿!$K$3:$K$452,A48))</f>
        <v/>
      </c>
      <c r="G48" s="18">
        <f>IF(A48="","",INDEX(新年度名簿!$C$3:$C$452,A48))</f>
        <v/>
      </c>
      <c r="H48" s="18">
        <f>IF(A48="","",INDEX(新年度名簿!$D$3:$D$452,A48))</f>
        <v/>
      </c>
      <c r="J48" s="18">
        <f>IF($B$1=1,IFERROR(MATCH(1046,$E$3:$E$452,0),""),IFERROR(MATCH(1046,振り分け!$W$7:$W$456,0),""))</f>
        <v/>
      </c>
      <c r="K48" s="18">
        <f>IF($B$1=1,IFERROR(MATCH(2046,$E$3:$E$452,0),""),IFERROR(MATCH(2046,振り分け!$W$7:$W$456,0),""))</f>
        <v/>
      </c>
      <c r="L48" s="18">
        <f>IF($B$1=1,IFERROR(MATCH(3046,$E$3:$E$452,0),""),IFERROR(MATCH(3046,振り分け!$W$7:$W$456,0),""))</f>
        <v/>
      </c>
      <c r="M48" s="18">
        <f>IF($B$1=1,IFERROR(MATCH(4046,$E$3:$E$452,0),""),IFERROR(MATCH(4046,振り分け!$W$7:$W$456,0),""))</f>
        <v/>
      </c>
      <c r="N48" s="18">
        <f>IF($B$1=1,IFERROR(MATCH(5046,$E$3:$E$452,0),""),IFERROR(MATCH(5046,振り分け!$W$7:$W$456,0),""))</f>
        <v/>
      </c>
      <c r="O48" s="18">
        <f>IF($B$1=1,IFERROR(MATCH(6046,$E$3:$E$452,0),""),IFERROR(MATCH(6046,振り分け!$W$7:$W$456,0),""))</f>
        <v/>
      </c>
      <c r="P48" s="18">
        <f>IF($B$1=1,IFERROR(MATCH(7046,$E$3:$E$452,0),""),IFERROR(MATCH(7046,振り分け!$W$7:$W$456,0),""))</f>
        <v/>
      </c>
      <c r="Q48" s="18">
        <f>IF($B$1=1,IFERROR(MATCH(8046,$E$3:$E$452,0),""),IFERROR(MATCH(8046,振り分け!$W$7:$W$456,0),""))</f>
        <v/>
      </c>
      <c r="R48" s="18">
        <f>IF($B$1=1,IFERROR(MATCH(9046,$E$3:$E$452,0),""),IFERROR(MATCH(9046,振り分け!$W$7:$W$456,0),""))</f>
        <v/>
      </c>
      <c r="S48" s="18">
        <f>IF($B$1=1,IFERROR(MATCH(10046,$E$3:$E$452,0),""),IFERROR(MATCH(10046,振り分け!$W$7:$W$456,0),""))</f>
        <v/>
      </c>
      <c r="T48" s="18">
        <f>IF($B$1=1,IFERROR(MATCH(11046,$E$3:$E$452,0),""),IFERROR(MATCH(11046,振り分け!$W$7:$W$456,0),""))</f>
        <v/>
      </c>
      <c r="U48" s="18">
        <f>IF($B$1=1,IFERROR(MATCH(12046,$E$3:$E$452,0),""),IFERROR(MATCH(12046,振り分け!$W$7:$W$456,0),""))</f>
        <v/>
      </c>
      <c r="V48" s="18">
        <f>IF($B$1=1,IFERROR(MATCH(13046,$E$3:$E$452,0),""),IFERROR(MATCH(13046,振り分け!$W$7:$W$456,0),""))</f>
        <v/>
      </c>
      <c r="W48" s="18">
        <f>IF($B$1=1,IFERROR(MATCH(14046,$E$3:$E$452,0),""),IFERROR(MATCH(14046,振り分け!$W$7:$W$456,0),""))</f>
        <v/>
      </c>
      <c r="X48" s="18">
        <f>IF($B$1=1,IFERROR(MATCH(15046,$E$3:$E$452,0),""),IFERROR(MATCH(15046,振り分け!$W$7:$W$456,0),""))</f>
        <v/>
      </c>
      <c r="Y48" s="18">
        <f>IF($B$1=1,IFERROR(MATCH(16046,$E$3:$E$452,0),""),IFERROR(MATCH(16046,振り分け!$W$7:$W$456,0),""))</f>
        <v/>
      </c>
      <c r="Z48" s="18">
        <f>IF($B$1=1,IFERROR(MATCH(17046,$E$3:$E$452,0),""),IFERROR(MATCH(17046,振り分け!$W$7:$W$456,0),""))</f>
        <v/>
      </c>
      <c r="AA48" s="18">
        <f>IF($B$1=1,IFERROR(MATCH(18046,$E$3:$E$452,0),""),IFERROR(MATCH(18046,振り分け!$W$7:$W$456,0),""))</f>
        <v/>
      </c>
      <c r="AB48" s="18">
        <f>IF($B$1=1,IFERROR(MATCH(19046,$E$3:$E$452,0),""),IFERROR(MATCH(19046,振り分け!$W$7:$W$456,0),""))</f>
        <v/>
      </c>
      <c r="AC48" s="18">
        <f>IF($B$1=1,IFERROR(MATCH(20046,$E$3:$E$452,0),""),IFERROR(MATCH(20046,振り分け!$W$7:$W$456,0),""))</f>
        <v/>
      </c>
    </row>
    <row r="49">
      <c r="A49" s="18">
        <f>IFERROR(MATCH(SMALL(新年度名簿!$J$3:$J$452,47),新年度名簿!$J$3:$J$452,0),"")</f>
        <v/>
      </c>
      <c r="B49" s="18">
        <f>IF(A49="","",INDEX(新年度名簿!$G$3:$G$452,A49))</f>
        <v/>
      </c>
      <c r="C49" s="18">
        <f>IF(A49="","",IFERROR(MATCH(B49,設定!$P$8:$P$27,0),""))</f>
        <v/>
      </c>
      <c r="D49" s="18">
        <f>IF(C49="","",COUNTIF($C$3:C49,C49))</f>
        <v/>
      </c>
      <c r="E49" s="18">
        <f>IF(C49="","",C49*1000+D49)</f>
        <v/>
      </c>
      <c r="F49" s="18">
        <f>IF(A49="","",INDEX(新年度名簿!$K$3:$K$452,A49))</f>
        <v/>
      </c>
      <c r="G49" s="18">
        <f>IF(A49="","",INDEX(新年度名簿!$C$3:$C$452,A49))</f>
        <v/>
      </c>
      <c r="H49" s="18">
        <f>IF(A49="","",INDEX(新年度名簿!$D$3:$D$452,A49))</f>
        <v/>
      </c>
      <c r="J49" s="18">
        <f>IF($B$1=1,IFERROR(MATCH(1047,$E$3:$E$452,0),""),IFERROR(MATCH(1047,振り分け!$W$7:$W$456,0),""))</f>
        <v/>
      </c>
      <c r="K49" s="18">
        <f>IF($B$1=1,IFERROR(MATCH(2047,$E$3:$E$452,0),""),IFERROR(MATCH(2047,振り分け!$W$7:$W$456,0),""))</f>
        <v/>
      </c>
      <c r="L49" s="18">
        <f>IF($B$1=1,IFERROR(MATCH(3047,$E$3:$E$452,0),""),IFERROR(MATCH(3047,振り分け!$W$7:$W$456,0),""))</f>
        <v/>
      </c>
      <c r="M49" s="18">
        <f>IF($B$1=1,IFERROR(MATCH(4047,$E$3:$E$452,0),""),IFERROR(MATCH(4047,振り分け!$W$7:$W$456,0),""))</f>
        <v/>
      </c>
      <c r="N49" s="18">
        <f>IF($B$1=1,IFERROR(MATCH(5047,$E$3:$E$452,0),""),IFERROR(MATCH(5047,振り分け!$W$7:$W$456,0),""))</f>
        <v/>
      </c>
      <c r="O49" s="18">
        <f>IF($B$1=1,IFERROR(MATCH(6047,$E$3:$E$452,0),""),IFERROR(MATCH(6047,振り分け!$W$7:$W$456,0),""))</f>
        <v/>
      </c>
      <c r="P49" s="18">
        <f>IF($B$1=1,IFERROR(MATCH(7047,$E$3:$E$452,0),""),IFERROR(MATCH(7047,振り分け!$W$7:$W$456,0),""))</f>
        <v/>
      </c>
      <c r="Q49" s="18">
        <f>IF($B$1=1,IFERROR(MATCH(8047,$E$3:$E$452,0),""),IFERROR(MATCH(8047,振り分け!$W$7:$W$456,0),""))</f>
        <v/>
      </c>
      <c r="R49" s="18">
        <f>IF($B$1=1,IFERROR(MATCH(9047,$E$3:$E$452,0),""),IFERROR(MATCH(9047,振り分け!$W$7:$W$456,0),""))</f>
        <v/>
      </c>
      <c r="S49" s="18">
        <f>IF($B$1=1,IFERROR(MATCH(10047,$E$3:$E$452,0),""),IFERROR(MATCH(10047,振り分け!$W$7:$W$456,0),""))</f>
        <v/>
      </c>
      <c r="T49" s="18">
        <f>IF($B$1=1,IFERROR(MATCH(11047,$E$3:$E$452,0),""),IFERROR(MATCH(11047,振り分け!$W$7:$W$456,0),""))</f>
        <v/>
      </c>
      <c r="U49" s="18">
        <f>IF($B$1=1,IFERROR(MATCH(12047,$E$3:$E$452,0),""),IFERROR(MATCH(12047,振り分け!$W$7:$W$456,0),""))</f>
        <v/>
      </c>
      <c r="V49" s="18">
        <f>IF($B$1=1,IFERROR(MATCH(13047,$E$3:$E$452,0),""),IFERROR(MATCH(13047,振り分け!$W$7:$W$456,0),""))</f>
        <v/>
      </c>
      <c r="W49" s="18">
        <f>IF($B$1=1,IFERROR(MATCH(14047,$E$3:$E$452,0),""),IFERROR(MATCH(14047,振り分け!$W$7:$W$456,0),""))</f>
        <v/>
      </c>
      <c r="X49" s="18">
        <f>IF($B$1=1,IFERROR(MATCH(15047,$E$3:$E$452,0),""),IFERROR(MATCH(15047,振り分け!$W$7:$W$456,0),""))</f>
        <v/>
      </c>
      <c r="Y49" s="18">
        <f>IF($B$1=1,IFERROR(MATCH(16047,$E$3:$E$452,0),""),IFERROR(MATCH(16047,振り分け!$W$7:$W$456,0),""))</f>
        <v/>
      </c>
      <c r="Z49" s="18">
        <f>IF($B$1=1,IFERROR(MATCH(17047,$E$3:$E$452,0),""),IFERROR(MATCH(17047,振り分け!$W$7:$W$456,0),""))</f>
        <v/>
      </c>
      <c r="AA49" s="18">
        <f>IF($B$1=1,IFERROR(MATCH(18047,$E$3:$E$452,0),""),IFERROR(MATCH(18047,振り分け!$W$7:$W$456,0),""))</f>
        <v/>
      </c>
      <c r="AB49" s="18">
        <f>IF($B$1=1,IFERROR(MATCH(19047,$E$3:$E$452,0),""),IFERROR(MATCH(19047,振り分け!$W$7:$W$456,0),""))</f>
        <v/>
      </c>
      <c r="AC49" s="18">
        <f>IF($B$1=1,IFERROR(MATCH(20047,$E$3:$E$452,0),""),IFERROR(MATCH(20047,振り分け!$W$7:$W$456,0),""))</f>
        <v/>
      </c>
    </row>
    <row r="50">
      <c r="A50" s="18">
        <f>IFERROR(MATCH(SMALL(新年度名簿!$J$3:$J$452,48),新年度名簿!$J$3:$J$452,0),"")</f>
        <v/>
      </c>
      <c r="B50" s="18">
        <f>IF(A50="","",INDEX(新年度名簿!$G$3:$G$452,A50))</f>
        <v/>
      </c>
      <c r="C50" s="18">
        <f>IF(A50="","",IFERROR(MATCH(B50,設定!$P$8:$P$27,0),""))</f>
        <v/>
      </c>
      <c r="D50" s="18">
        <f>IF(C50="","",COUNTIF($C$3:C50,C50))</f>
        <v/>
      </c>
      <c r="E50" s="18">
        <f>IF(C50="","",C50*1000+D50)</f>
        <v/>
      </c>
      <c r="F50" s="18">
        <f>IF(A50="","",INDEX(新年度名簿!$K$3:$K$452,A50))</f>
        <v/>
      </c>
      <c r="G50" s="18">
        <f>IF(A50="","",INDEX(新年度名簿!$C$3:$C$452,A50))</f>
        <v/>
      </c>
      <c r="H50" s="18">
        <f>IF(A50="","",INDEX(新年度名簿!$D$3:$D$452,A50))</f>
        <v/>
      </c>
      <c r="J50" s="18">
        <f>IF($B$1=1,IFERROR(MATCH(1048,$E$3:$E$452,0),""),IFERROR(MATCH(1048,振り分け!$W$7:$W$456,0),""))</f>
        <v/>
      </c>
      <c r="K50" s="18">
        <f>IF($B$1=1,IFERROR(MATCH(2048,$E$3:$E$452,0),""),IFERROR(MATCH(2048,振り分け!$W$7:$W$456,0),""))</f>
        <v/>
      </c>
      <c r="L50" s="18">
        <f>IF($B$1=1,IFERROR(MATCH(3048,$E$3:$E$452,0),""),IFERROR(MATCH(3048,振り分け!$W$7:$W$456,0),""))</f>
        <v/>
      </c>
      <c r="M50" s="18">
        <f>IF($B$1=1,IFERROR(MATCH(4048,$E$3:$E$452,0),""),IFERROR(MATCH(4048,振り分け!$W$7:$W$456,0),""))</f>
        <v/>
      </c>
      <c r="N50" s="18">
        <f>IF($B$1=1,IFERROR(MATCH(5048,$E$3:$E$452,0),""),IFERROR(MATCH(5048,振り分け!$W$7:$W$456,0),""))</f>
        <v/>
      </c>
      <c r="O50" s="18">
        <f>IF($B$1=1,IFERROR(MATCH(6048,$E$3:$E$452,0),""),IFERROR(MATCH(6048,振り分け!$W$7:$W$456,0),""))</f>
        <v/>
      </c>
      <c r="P50" s="18">
        <f>IF($B$1=1,IFERROR(MATCH(7048,$E$3:$E$452,0),""),IFERROR(MATCH(7048,振り分け!$W$7:$W$456,0),""))</f>
        <v/>
      </c>
      <c r="Q50" s="18">
        <f>IF($B$1=1,IFERROR(MATCH(8048,$E$3:$E$452,0),""),IFERROR(MATCH(8048,振り分け!$W$7:$W$456,0),""))</f>
        <v/>
      </c>
      <c r="R50" s="18">
        <f>IF($B$1=1,IFERROR(MATCH(9048,$E$3:$E$452,0),""),IFERROR(MATCH(9048,振り分け!$W$7:$W$456,0),""))</f>
        <v/>
      </c>
      <c r="S50" s="18">
        <f>IF($B$1=1,IFERROR(MATCH(10048,$E$3:$E$452,0),""),IFERROR(MATCH(10048,振り分け!$W$7:$W$456,0),""))</f>
        <v/>
      </c>
      <c r="T50" s="18">
        <f>IF($B$1=1,IFERROR(MATCH(11048,$E$3:$E$452,0),""),IFERROR(MATCH(11048,振り分け!$W$7:$W$456,0),""))</f>
        <v/>
      </c>
      <c r="U50" s="18">
        <f>IF($B$1=1,IFERROR(MATCH(12048,$E$3:$E$452,0),""),IFERROR(MATCH(12048,振り分け!$W$7:$W$456,0),""))</f>
        <v/>
      </c>
      <c r="V50" s="18">
        <f>IF($B$1=1,IFERROR(MATCH(13048,$E$3:$E$452,0),""),IFERROR(MATCH(13048,振り分け!$W$7:$W$456,0),""))</f>
        <v/>
      </c>
      <c r="W50" s="18">
        <f>IF($B$1=1,IFERROR(MATCH(14048,$E$3:$E$452,0),""),IFERROR(MATCH(14048,振り分け!$W$7:$W$456,0),""))</f>
        <v/>
      </c>
      <c r="X50" s="18">
        <f>IF($B$1=1,IFERROR(MATCH(15048,$E$3:$E$452,0),""),IFERROR(MATCH(15048,振り分け!$W$7:$W$456,0),""))</f>
        <v/>
      </c>
      <c r="Y50" s="18">
        <f>IF($B$1=1,IFERROR(MATCH(16048,$E$3:$E$452,0),""),IFERROR(MATCH(16048,振り分け!$W$7:$W$456,0),""))</f>
        <v/>
      </c>
      <c r="Z50" s="18">
        <f>IF($B$1=1,IFERROR(MATCH(17048,$E$3:$E$452,0),""),IFERROR(MATCH(17048,振り分け!$W$7:$W$456,0),""))</f>
        <v/>
      </c>
      <c r="AA50" s="18">
        <f>IF($B$1=1,IFERROR(MATCH(18048,$E$3:$E$452,0),""),IFERROR(MATCH(18048,振り分け!$W$7:$W$456,0),""))</f>
        <v/>
      </c>
      <c r="AB50" s="18">
        <f>IF($B$1=1,IFERROR(MATCH(19048,$E$3:$E$452,0),""),IFERROR(MATCH(19048,振り分け!$W$7:$W$456,0),""))</f>
        <v/>
      </c>
      <c r="AC50" s="18">
        <f>IF($B$1=1,IFERROR(MATCH(20048,$E$3:$E$452,0),""),IFERROR(MATCH(20048,振り分け!$W$7:$W$456,0),""))</f>
        <v/>
      </c>
    </row>
    <row r="51">
      <c r="A51" s="18">
        <f>IFERROR(MATCH(SMALL(新年度名簿!$J$3:$J$452,49),新年度名簿!$J$3:$J$452,0),"")</f>
        <v/>
      </c>
      <c r="B51" s="18">
        <f>IF(A51="","",INDEX(新年度名簿!$G$3:$G$452,A51))</f>
        <v/>
      </c>
      <c r="C51" s="18">
        <f>IF(A51="","",IFERROR(MATCH(B51,設定!$P$8:$P$27,0),""))</f>
        <v/>
      </c>
      <c r="D51" s="18">
        <f>IF(C51="","",COUNTIF($C$3:C51,C51))</f>
        <v/>
      </c>
      <c r="E51" s="18">
        <f>IF(C51="","",C51*1000+D51)</f>
        <v/>
      </c>
      <c r="F51" s="18">
        <f>IF(A51="","",INDEX(新年度名簿!$K$3:$K$452,A51))</f>
        <v/>
      </c>
      <c r="G51" s="18">
        <f>IF(A51="","",INDEX(新年度名簿!$C$3:$C$452,A51))</f>
        <v/>
      </c>
      <c r="H51" s="18">
        <f>IF(A51="","",INDEX(新年度名簿!$D$3:$D$452,A51))</f>
        <v/>
      </c>
      <c r="J51" s="18">
        <f>IF($B$1=1,IFERROR(MATCH(1049,$E$3:$E$452,0),""),IFERROR(MATCH(1049,振り分け!$W$7:$W$456,0),""))</f>
        <v/>
      </c>
      <c r="K51" s="18">
        <f>IF($B$1=1,IFERROR(MATCH(2049,$E$3:$E$452,0),""),IFERROR(MATCH(2049,振り分け!$W$7:$W$456,0),""))</f>
        <v/>
      </c>
      <c r="L51" s="18">
        <f>IF($B$1=1,IFERROR(MATCH(3049,$E$3:$E$452,0),""),IFERROR(MATCH(3049,振り分け!$W$7:$W$456,0),""))</f>
        <v/>
      </c>
      <c r="M51" s="18">
        <f>IF($B$1=1,IFERROR(MATCH(4049,$E$3:$E$452,0),""),IFERROR(MATCH(4049,振り分け!$W$7:$W$456,0),""))</f>
        <v/>
      </c>
      <c r="N51" s="18">
        <f>IF($B$1=1,IFERROR(MATCH(5049,$E$3:$E$452,0),""),IFERROR(MATCH(5049,振り分け!$W$7:$W$456,0),""))</f>
        <v/>
      </c>
      <c r="O51" s="18">
        <f>IF($B$1=1,IFERROR(MATCH(6049,$E$3:$E$452,0),""),IFERROR(MATCH(6049,振り分け!$W$7:$W$456,0),""))</f>
        <v/>
      </c>
      <c r="P51" s="18">
        <f>IF($B$1=1,IFERROR(MATCH(7049,$E$3:$E$452,0),""),IFERROR(MATCH(7049,振り分け!$W$7:$W$456,0),""))</f>
        <v/>
      </c>
      <c r="Q51" s="18">
        <f>IF($B$1=1,IFERROR(MATCH(8049,$E$3:$E$452,0),""),IFERROR(MATCH(8049,振り分け!$W$7:$W$456,0),""))</f>
        <v/>
      </c>
      <c r="R51" s="18">
        <f>IF($B$1=1,IFERROR(MATCH(9049,$E$3:$E$452,0),""),IFERROR(MATCH(9049,振り分け!$W$7:$W$456,0),""))</f>
        <v/>
      </c>
      <c r="S51" s="18">
        <f>IF($B$1=1,IFERROR(MATCH(10049,$E$3:$E$452,0),""),IFERROR(MATCH(10049,振り分け!$W$7:$W$456,0),""))</f>
        <v/>
      </c>
      <c r="T51" s="18">
        <f>IF($B$1=1,IFERROR(MATCH(11049,$E$3:$E$452,0),""),IFERROR(MATCH(11049,振り分け!$W$7:$W$456,0),""))</f>
        <v/>
      </c>
      <c r="U51" s="18">
        <f>IF($B$1=1,IFERROR(MATCH(12049,$E$3:$E$452,0),""),IFERROR(MATCH(12049,振り分け!$W$7:$W$456,0),""))</f>
        <v/>
      </c>
      <c r="V51" s="18">
        <f>IF($B$1=1,IFERROR(MATCH(13049,$E$3:$E$452,0),""),IFERROR(MATCH(13049,振り分け!$W$7:$W$456,0),""))</f>
        <v/>
      </c>
      <c r="W51" s="18">
        <f>IF($B$1=1,IFERROR(MATCH(14049,$E$3:$E$452,0),""),IFERROR(MATCH(14049,振り分け!$W$7:$W$456,0),""))</f>
        <v/>
      </c>
      <c r="X51" s="18">
        <f>IF($B$1=1,IFERROR(MATCH(15049,$E$3:$E$452,0),""),IFERROR(MATCH(15049,振り分け!$W$7:$W$456,0),""))</f>
        <v/>
      </c>
      <c r="Y51" s="18">
        <f>IF($B$1=1,IFERROR(MATCH(16049,$E$3:$E$452,0),""),IFERROR(MATCH(16049,振り分け!$W$7:$W$456,0),""))</f>
        <v/>
      </c>
      <c r="Z51" s="18">
        <f>IF($B$1=1,IFERROR(MATCH(17049,$E$3:$E$452,0),""),IFERROR(MATCH(17049,振り分け!$W$7:$W$456,0),""))</f>
        <v/>
      </c>
      <c r="AA51" s="18">
        <f>IF($B$1=1,IFERROR(MATCH(18049,$E$3:$E$452,0),""),IFERROR(MATCH(18049,振り分け!$W$7:$W$456,0),""))</f>
        <v/>
      </c>
      <c r="AB51" s="18">
        <f>IF($B$1=1,IFERROR(MATCH(19049,$E$3:$E$452,0),""),IFERROR(MATCH(19049,振り分け!$W$7:$W$456,0),""))</f>
        <v/>
      </c>
      <c r="AC51" s="18">
        <f>IF($B$1=1,IFERROR(MATCH(20049,$E$3:$E$452,0),""),IFERROR(MATCH(20049,振り分け!$W$7:$W$456,0),""))</f>
        <v/>
      </c>
    </row>
    <row r="52">
      <c r="A52" s="18">
        <f>IFERROR(MATCH(SMALL(新年度名簿!$J$3:$J$452,50),新年度名簿!$J$3:$J$452,0),"")</f>
        <v/>
      </c>
      <c r="B52" s="18">
        <f>IF(A52="","",INDEX(新年度名簿!$G$3:$G$452,A52))</f>
        <v/>
      </c>
      <c r="C52" s="18">
        <f>IF(A52="","",IFERROR(MATCH(B52,設定!$P$8:$P$27,0),""))</f>
        <v/>
      </c>
      <c r="D52" s="18">
        <f>IF(C52="","",COUNTIF($C$3:C52,C52))</f>
        <v/>
      </c>
      <c r="E52" s="18">
        <f>IF(C52="","",C52*1000+D52)</f>
        <v/>
      </c>
      <c r="F52" s="18">
        <f>IF(A52="","",INDEX(新年度名簿!$K$3:$K$452,A52))</f>
        <v/>
      </c>
      <c r="G52" s="18">
        <f>IF(A52="","",INDEX(新年度名簿!$C$3:$C$452,A52))</f>
        <v/>
      </c>
      <c r="H52" s="18">
        <f>IF(A52="","",INDEX(新年度名簿!$D$3:$D$452,A52))</f>
        <v/>
      </c>
      <c r="J52" s="18">
        <f>IF($B$1=1,IFERROR(MATCH(1050,$E$3:$E$452,0),""),IFERROR(MATCH(1050,振り分け!$W$7:$W$456,0),""))</f>
        <v/>
      </c>
      <c r="K52" s="18">
        <f>IF($B$1=1,IFERROR(MATCH(2050,$E$3:$E$452,0),""),IFERROR(MATCH(2050,振り分け!$W$7:$W$456,0),""))</f>
        <v/>
      </c>
      <c r="L52" s="18">
        <f>IF($B$1=1,IFERROR(MATCH(3050,$E$3:$E$452,0),""),IFERROR(MATCH(3050,振り分け!$W$7:$W$456,0),""))</f>
        <v/>
      </c>
      <c r="M52" s="18">
        <f>IF($B$1=1,IFERROR(MATCH(4050,$E$3:$E$452,0),""),IFERROR(MATCH(4050,振り分け!$W$7:$W$456,0),""))</f>
        <v/>
      </c>
      <c r="N52" s="18">
        <f>IF($B$1=1,IFERROR(MATCH(5050,$E$3:$E$452,0),""),IFERROR(MATCH(5050,振り分け!$W$7:$W$456,0),""))</f>
        <v/>
      </c>
      <c r="O52" s="18">
        <f>IF($B$1=1,IFERROR(MATCH(6050,$E$3:$E$452,0),""),IFERROR(MATCH(6050,振り分け!$W$7:$W$456,0),""))</f>
        <v/>
      </c>
      <c r="P52" s="18">
        <f>IF($B$1=1,IFERROR(MATCH(7050,$E$3:$E$452,0),""),IFERROR(MATCH(7050,振り分け!$W$7:$W$456,0),""))</f>
        <v/>
      </c>
      <c r="Q52" s="18">
        <f>IF($B$1=1,IFERROR(MATCH(8050,$E$3:$E$452,0),""),IFERROR(MATCH(8050,振り分け!$W$7:$W$456,0),""))</f>
        <v/>
      </c>
      <c r="R52" s="18">
        <f>IF($B$1=1,IFERROR(MATCH(9050,$E$3:$E$452,0),""),IFERROR(MATCH(9050,振り分け!$W$7:$W$456,0),""))</f>
        <v/>
      </c>
      <c r="S52" s="18">
        <f>IF($B$1=1,IFERROR(MATCH(10050,$E$3:$E$452,0),""),IFERROR(MATCH(10050,振り分け!$W$7:$W$456,0),""))</f>
        <v/>
      </c>
      <c r="T52" s="18">
        <f>IF($B$1=1,IFERROR(MATCH(11050,$E$3:$E$452,0),""),IFERROR(MATCH(11050,振り分け!$W$7:$W$456,0),""))</f>
        <v/>
      </c>
      <c r="U52" s="18">
        <f>IF($B$1=1,IFERROR(MATCH(12050,$E$3:$E$452,0),""),IFERROR(MATCH(12050,振り分け!$W$7:$W$456,0),""))</f>
        <v/>
      </c>
      <c r="V52" s="18">
        <f>IF($B$1=1,IFERROR(MATCH(13050,$E$3:$E$452,0),""),IFERROR(MATCH(13050,振り分け!$W$7:$W$456,0),""))</f>
        <v/>
      </c>
      <c r="W52" s="18">
        <f>IF($B$1=1,IFERROR(MATCH(14050,$E$3:$E$452,0),""),IFERROR(MATCH(14050,振り分け!$W$7:$W$456,0),""))</f>
        <v/>
      </c>
      <c r="X52" s="18">
        <f>IF($B$1=1,IFERROR(MATCH(15050,$E$3:$E$452,0),""),IFERROR(MATCH(15050,振り分け!$W$7:$W$456,0),""))</f>
        <v/>
      </c>
      <c r="Y52" s="18">
        <f>IF($B$1=1,IFERROR(MATCH(16050,$E$3:$E$452,0),""),IFERROR(MATCH(16050,振り分け!$W$7:$W$456,0),""))</f>
        <v/>
      </c>
      <c r="Z52" s="18">
        <f>IF($B$1=1,IFERROR(MATCH(17050,$E$3:$E$452,0),""),IFERROR(MATCH(17050,振り分け!$W$7:$W$456,0),""))</f>
        <v/>
      </c>
      <c r="AA52" s="18">
        <f>IF($B$1=1,IFERROR(MATCH(18050,$E$3:$E$452,0),""),IFERROR(MATCH(18050,振り分け!$W$7:$W$456,0),""))</f>
        <v/>
      </c>
      <c r="AB52" s="18">
        <f>IF($B$1=1,IFERROR(MATCH(19050,$E$3:$E$452,0),""),IFERROR(MATCH(19050,振り分け!$W$7:$W$456,0),""))</f>
        <v/>
      </c>
      <c r="AC52" s="18">
        <f>IF($B$1=1,IFERROR(MATCH(20050,$E$3:$E$452,0),""),IFERROR(MATCH(20050,振り分け!$W$7:$W$456,0),""))</f>
        <v/>
      </c>
    </row>
    <row r="53">
      <c r="A53" s="18">
        <f>IFERROR(MATCH(SMALL(新年度名簿!$J$3:$J$452,51),新年度名簿!$J$3:$J$452,0),"")</f>
        <v/>
      </c>
      <c r="B53" s="18">
        <f>IF(A53="","",INDEX(新年度名簿!$G$3:$G$452,A53))</f>
        <v/>
      </c>
      <c r="C53" s="18">
        <f>IF(A53="","",IFERROR(MATCH(B53,設定!$P$8:$P$27,0),""))</f>
        <v/>
      </c>
      <c r="D53" s="18">
        <f>IF(C53="","",COUNTIF($C$3:C53,C53))</f>
        <v/>
      </c>
      <c r="E53" s="18">
        <f>IF(C53="","",C53*1000+D53)</f>
        <v/>
      </c>
      <c r="F53" s="18">
        <f>IF(A53="","",INDEX(新年度名簿!$K$3:$K$452,A53))</f>
        <v/>
      </c>
      <c r="G53" s="18">
        <f>IF(A53="","",INDEX(新年度名簿!$C$3:$C$452,A53))</f>
        <v/>
      </c>
      <c r="H53" s="18">
        <f>IF(A53="","",INDEX(新年度名簿!$D$3:$D$452,A53))</f>
        <v/>
      </c>
    </row>
    <row r="54">
      <c r="A54" s="18">
        <f>IFERROR(MATCH(SMALL(新年度名簿!$J$3:$J$452,52),新年度名簿!$J$3:$J$452,0),"")</f>
        <v/>
      </c>
      <c r="B54" s="18">
        <f>IF(A54="","",INDEX(新年度名簿!$G$3:$G$452,A54))</f>
        <v/>
      </c>
      <c r="C54" s="18">
        <f>IF(A54="","",IFERROR(MATCH(B54,設定!$P$8:$P$27,0),""))</f>
        <v/>
      </c>
      <c r="D54" s="18">
        <f>IF(C54="","",COUNTIF($C$3:C54,C54))</f>
        <v/>
      </c>
      <c r="E54" s="18">
        <f>IF(C54="","",C54*1000+D54)</f>
        <v/>
      </c>
      <c r="F54" s="18">
        <f>IF(A54="","",INDEX(新年度名簿!$K$3:$K$452,A54))</f>
        <v/>
      </c>
      <c r="G54" s="18">
        <f>IF(A54="","",INDEX(新年度名簿!$C$3:$C$452,A54))</f>
        <v/>
      </c>
      <c r="H54" s="18">
        <f>IF(A54="","",INDEX(新年度名簿!$D$3:$D$452,A54))</f>
        <v/>
      </c>
    </row>
    <row r="55">
      <c r="A55" s="18">
        <f>IFERROR(MATCH(SMALL(新年度名簿!$J$3:$J$452,53),新年度名簿!$J$3:$J$452,0),"")</f>
        <v/>
      </c>
      <c r="B55" s="18">
        <f>IF(A55="","",INDEX(新年度名簿!$G$3:$G$452,A55))</f>
        <v/>
      </c>
      <c r="C55" s="18">
        <f>IF(A55="","",IFERROR(MATCH(B55,設定!$P$8:$P$27,0),""))</f>
        <v/>
      </c>
      <c r="D55" s="18">
        <f>IF(C55="","",COUNTIF($C$3:C55,C55))</f>
        <v/>
      </c>
      <c r="E55" s="18">
        <f>IF(C55="","",C55*1000+D55)</f>
        <v/>
      </c>
      <c r="F55" s="18">
        <f>IF(A55="","",INDEX(新年度名簿!$K$3:$K$452,A55))</f>
        <v/>
      </c>
      <c r="G55" s="18">
        <f>IF(A55="","",INDEX(新年度名簿!$C$3:$C$452,A55))</f>
        <v/>
      </c>
      <c r="H55" s="18">
        <f>IF(A55="","",INDEX(新年度名簿!$D$3:$D$452,A55))</f>
        <v/>
      </c>
    </row>
    <row r="56">
      <c r="A56" s="18">
        <f>IFERROR(MATCH(SMALL(新年度名簿!$J$3:$J$452,54),新年度名簿!$J$3:$J$452,0),"")</f>
        <v/>
      </c>
      <c r="B56" s="18">
        <f>IF(A56="","",INDEX(新年度名簿!$G$3:$G$452,A56))</f>
        <v/>
      </c>
      <c r="C56" s="18">
        <f>IF(A56="","",IFERROR(MATCH(B56,設定!$P$8:$P$27,0),""))</f>
        <v/>
      </c>
      <c r="D56" s="18">
        <f>IF(C56="","",COUNTIF($C$3:C56,C56))</f>
        <v/>
      </c>
      <c r="E56" s="18">
        <f>IF(C56="","",C56*1000+D56)</f>
        <v/>
      </c>
      <c r="F56" s="18">
        <f>IF(A56="","",INDEX(新年度名簿!$K$3:$K$452,A56))</f>
        <v/>
      </c>
      <c r="G56" s="18">
        <f>IF(A56="","",INDEX(新年度名簿!$C$3:$C$452,A56))</f>
        <v/>
      </c>
      <c r="H56" s="18">
        <f>IF(A56="","",INDEX(新年度名簿!$D$3:$D$452,A56))</f>
        <v/>
      </c>
    </row>
    <row r="57">
      <c r="A57" s="18">
        <f>IFERROR(MATCH(SMALL(新年度名簿!$J$3:$J$452,55),新年度名簿!$J$3:$J$452,0),"")</f>
        <v/>
      </c>
      <c r="B57" s="18">
        <f>IF(A57="","",INDEX(新年度名簿!$G$3:$G$452,A57))</f>
        <v/>
      </c>
      <c r="C57" s="18">
        <f>IF(A57="","",IFERROR(MATCH(B57,設定!$P$8:$P$27,0),""))</f>
        <v/>
      </c>
      <c r="D57" s="18">
        <f>IF(C57="","",COUNTIF($C$3:C57,C57))</f>
        <v/>
      </c>
      <c r="E57" s="18">
        <f>IF(C57="","",C57*1000+D57)</f>
        <v/>
      </c>
      <c r="F57" s="18">
        <f>IF(A57="","",INDEX(新年度名簿!$K$3:$K$452,A57))</f>
        <v/>
      </c>
      <c r="G57" s="18">
        <f>IF(A57="","",INDEX(新年度名簿!$C$3:$C$452,A57))</f>
        <v/>
      </c>
      <c r="H57" s="18">
        <f>IF(A57="","",INDEX(新年度名簿!$D$3:$D$452,A57))</f>
        <v/>
      </c>
    </row>
    <row r="58">
      <c r="A58" s="18">
        <f>IFERROR(MATCH(SMALL(新年度名簿!$J$3:$J$452,56),新年度名簿!$J$3:$J$452,0),"")</f>
        <v/>
      </c>
      <c r="B58" s="18">
        <f>IF(A58="","",INDEX(新年度名簿!$G$3:$G$452,A58))</f>
        <v/>
      </c>
      <c r="C58" s="18">
        <f>IF(A58="","",IFERROR(MATCH(B58,設定!$P$8:$P$27,0),""))</f>
        <v/>
      </c>
      <c r="D58" s="18">
        <f>IF(C58="","",COUNTIF($C$3:C58,C58))</f>
        <v/>
      </c>
      <c r="E58" s="18">
        <f>IF(C58="","",C58*1000+D58)</f>
        <v/>
      </c>
      <c r="F58" s="18">
        <f>IF(A58="","",INDEX(新年度名簿!$K$3:$K$452,A58))</f>
        <v/>
      </c>
      <c r="G58" s="18">
        <f>IF(A58="","",INDEX(新年度名簿!$C$3:$C$452,A58))</f>
        <v/>
      </c>
      <c r="H58" s="18">
        <f>IF(A58="","",INDEX(新年度名簿!$D$3:$D$452,A58))</f>
        <v/>
      </c>
    </row>
    <row r="59">
      <c r="A59" s="18">
        <f>IFERROR(MATCH(SMALL(新年度名簿!$J$3:$J$452,57),新年度名簿!$J$3:$J$452,0),"")</f>
        <v/>
      </c>
      <c r="B59" s="18">
        <f>IF(A59="","",INDEX(新年度名簿!$G$3:$G$452,A59))</f>
        <v/>
      </c>
      <c r="C59" s="18">
        <f>IF(A59="","",IFERROR(MATCH(B59,設定!$P$8:$P$27,0),""))</f>
        <v/>
      </c>
      <c r="D59" s="18">
        <f>IF(C59="","",COUNTIF($C$3:C59,C59))</f>
        <v/>
      </c>
      <c r="E59" s="18">
        <f>IF(C59="","",C59*1000+D59)</f>
        <v/>
      </c>
      <c r="F59" s="18">
        <f>IF(A59="","",INDEX(新年度名簿!$K$3:$K$452,A59))</f>
        <v/>
      </c>
      <c r="G59" s="18">
        <f>IF(A59="","",INDEX(新年度名簿!$C$3:$C$452,A59))</f>
        <v/>
      </c>
      <c r="H59" s="18">
        <f>IF(A59="","",INDEX(新年度名簿!$D$3:$D$452,A59))</f>
        <v/>
      </c>
    </row>
    <row r="60">
      <c r="A60" s="18">
        <f>IFERROR(MATCH(SMALL(新年度名簿!$J$3:$J$452,58),新年度名簿!$J$3:$J$452,0),"")</f>
        <v/>
      </c>
      <c r="B60" s="18">
        <f>IF(A60="","",INDEX(新年度名簿!$G$3:$G$452,A60))</f>
        <v/>
      </c>
      <c r="C60" s="18">
        <f>IF(A60="","",IFERROR(MATCH(B60,設定!$P$8:$P$27,0),""))</f>
        <v/>
      </c>
      <c r="D60" s="18">
        <f>IF(C60="","",COUNTIF($C$3:C60,C60))</f>
        <v/>
      </c>
      <c r="E60" s="18">
        <f>IF(C60="","",C60*1000+D60)</f>
        <v/>
      </c>
      <c r="F60" s="18">
        <f>IF(A60="","",INDEX(新年度名簿!$K$3:$K$452,A60))</f>
        <v/>
      </c>
      <c r="G60" s="18">
        <f>IF(A60="","",INDEX(新年度名簿!$C$3:$C$452,A60))</f>
        <v/>
      </c>
      <c r="H60" s="18">
        <f>IF(A60="","",INDEX(新年度名簿!$D$3:$D$452,A60))</f>
        <v/>
      </c>
    </row>
    <row r="61">
      <c r="A61" s="18">
        <f>IFERROR(MATCH(SMALL(新年度名簿!$J$3:$J$452,59),新年度名簿!$J$3:$J$452,0),"")</f>
        <v/>
      </c>
      <c r="B61" s="18">
        <f>IF(A61="","",INDEX(新年度名簿!$G$3:$G$452,A61))</f>
        <v/>
      </c>
      <c r="C61" s="18">
        <f>IF(A61="","",IFERROR(MATCH(B61,設定!$P$8:$P$27,0),""))</f>
        <v/>
      </c>
      <c r="D61" s="18">
        <f>IF(C61="","",COUNTIF($C$3:C61,C61))</f>
        <v/>
      </c>
      <c r="E61" s="18">
        <f>IF(C61="","",C61*1000+D61)</f>
        <v/>
      </c>
      <c r="F61" s="18">
        <f>IF(A61="","",INDEX(新年度名簿!$K$3:$K$452,A61))</f>
        <v/>
      </c>
      <c r="G61" s="18">
        <f>IF(A61="","",INDEX(新年度名簿!$C$3:$C$452,A61))</f>
        <v/>
      </c>
      <c r="H61" s="18">
        <f>IF(A61="","",INDEX(新年度名簿!$D$3:$D$452,A61))</f>
        <v/>
      </c>
    </row>
    <row r="62">
      <c r="A62" s="18">
        <f>IFERROR(MATCH(SMALL(新年度名簿!$J$3:$J$452,60),新年度名簿!$J$3:$J$452,0),"")</f>
        <v/>
      </c>
      <c r="B62" s="18">
        <f>IF(A62="","",INDEX(新年度名簿!$G$3:$G$452,A62))</f>
        <v/>
      </c>
      <c r="C62" s="18">
        <f>IF(A62="","",IFERROR(MATCH(B62,設定!$P$8:$P$27,0),""))</f>
        <v/>
      </c>
      <c r="D62" s="18">
        <f>IF(C62="","",COUNTIF($C$3:C62,C62))</f>
        <v/>
      </c>
      <c r="E62" s="18">
        <f>IF(C62="","",C62*1000+D62)</f>
        <v/>
      </c>
      <c r="F62" s="18">
        <f>IF(A62="","",INDEX(新年度名簿!$K$3:$K$452,A62))</f>
        <v/>
      </c>
      <c r="G62" s="18">
        <f>IF(A62="","",INDEX(新年度名簿!$C$3:$C$452,A62))</f>
        <v/>
      </c>
      <c r="H62" s="18">
        <f>IF(A62="","",INDEX(新年度名簿!$D$3:$D$452,A62))</f>
        <v/>
      </c>
    </row>
    <row r="63">
      <c r="A63" s="18">
        <f>IFERROR(MATCH(SMALL(新年度名簿!$J$3:$J$452,61),新年度名簿!$J$3:$J$452,0),"")</f>
        <v/>
      </c>
      <c r="B63" s="18">
        <f>IF(A63="","",INDEX(新年度名簿!$G$3:$G$452,A63))</f>
        <v/>
      </c>
      <c r="C63" s="18">
        <f>IF(A63="","",IFERROR(MATCH(B63,設定!$P$8:$P$27,0),""))</f>
        <v/>
      </c>
      <c r="D63" s="18">
        <f>IF(C63="","",COUNTIF($C$3:C63,C63))</f>
        <v/>
      </c>
      <c r="E63" s="18">
        <f>IF(C63="","",C63*1000+D63)</f>
        <v/>
      </c>
      <c r="F63" s="18">
        <f>IF(A63="","",INDEX(新年度名簿!$K$3:$K$452,A63))</f>
        <v/>
      </c>
      <c r="G63" s="18">
        <f>IF(A63="","",INDEX(新年度名簿!$C$3:$C$452,A63))</f>
        <v/>
      </c>
      <c r="H63" s="18">
        <f>IF(A63="","",INDEX(新年度名簿!$D$3:$D$452,A63))</f>
        <v/>
      </c>
    </row>
    <row r="64">
      <c r="A64" s="18">
        <f>IFERROR(MATCH(SMALL(新年度名簿!$J$3:$J$452,62),新年度名簿!$J$3:$J$452,0),"")</f>
        <v/>
      </c>
      <c r="B64" s="18">
        <f>IF(A64="","",INDEX(新年度名簿!$G$3:$G$452,A64))</f>
        <v/>
      </c>
      <c r="C64" s="18">
        <f>IF(A64="","",IFERROR(MATCH(B64,設定!$P$8:$P$27,0),""))</f>
        <v/>
      </c>
      <c r="D64" s="18">
        <f>IF(C64="","",COUNTIF($C$3:C64,C64))</f>
        <v/>
      </c>
      <c r="E64" s="18">
        <f>IF(C64="","",C64*1000+D64)</f>
        <v/>
      </c>
      <c r="F64" s="18">
        <f>IF(A64="","",INDEX(新年度名簿!$K$3:$K$452,A64))</f>
        <v/>
      </c>
      <c r="G64" s="18">
        <f>IF(A64="","",INDEX(新年度名簿!$C$3:$C$452,A64))</f>
        <v/>
      </c>
      <c r="H64" s="18">
        <f>IF(A64="","",INDEX(新年度名簿!$D$3:$D$452,A64))</f>
        <v/>
      </c>
    </row>
    <row r="65">
      <c r="A65" s="18">
        <f>IFERROR(MATCH(SMALL(新年度名簿!$J$3:$J$452,63),新年度名簿!$J$3:$J$452,0),"")</f>
        <v/>
      </c>
      <c r="B65" s="18">
        <f>IF(A65="","",INDEX(新年度名簿!$G$3:$G$452,A65))</f>
        <v/>
      </c>
      <c r="C65" s="18">
        <f>IF(A65="","",IFERROR(MATCH(B65,設定!$P$8:$P$27,0),""))</f>
        <v/>
      </c>
      <c r="D65" s="18">
        <f>IF(C65="","",COUNTIF($C$3:C65,C65))</f>
        <v/>
      </c>
      <c r="E65" s="18">
        <f>IF(C65="","",C65*1000+D65)</f>
        <v/>
      </c>
      <c r="F65" s="18">
        <f>IF(A65="","",INDEX(新年度名簿!$K$3:$K$452,A65))</f>
        <v/>
      </c>
      <c r="G65" s="18">
        <f>IF(A65="","",INDEX(新年度名簿!$C$3:$C$452,A65))</f>
        <v/>
      </c>
      <c r="H65" s="18">
        <f>IF(A65="","",INDEX(新年度名簿!$D$3:$D$452,A65))</f>
        <v/>
      </c>
    </row>
    <row r="66">
      <c r="A66" s="18">
        <f>IFERROR(MATCH(SMALL(新年度名簿!$J$3:$J$452,64),新年度名簿!$J$3:$J$452,0),"")</f>
        <v/>
      </c>
      <c r="B66" s="18">
        <f>IF(A66="","",INDEX(新年度名簿!$G$3:$G$452,A66))</f>
        <v/>
      </c>
      <c r="C66" s="18">
        <f>IF(A66="","",IFERROR(MATCH(B66,設定!$P$8:$P$27,0),""))</f>
        <v/>
      </c>
      <c r="D66" s="18">
        <f>IF(C66="","",COUNTIF($C$3:C66,C66))</f>
        <v/>
      </c>
      <c r="E66" s="18">
        <f>IF(C66="","",C66*1000+D66)</f>
        <v/>
      </c>
      <c r="F66" s="18">
        <f>IF(A66="","",INDEX(新年度名簿!$K$3:$K$452,A66))</f>
        <v/>
      </c>
      <c r="G66" s="18">
        <f>IF(A66="","",INDEX(新年度名簿!$C$3:$C$452,A66))</f>
        <v/>
      </c>
      <c r="H66" s="18">
        <f>IF(A66="","",INDEX(新年度名簿!$D$3:$D$452,A66))</f>
        <v/>
      </c>
    </row>
    <row r="67">
      <c r="A67" s="18">
        <f>IFERROR(MATCH(SMALL(新年度名簿!$J$3:$J$452,65),新年度名簿!$J$3:$J$452,0),"")</f>
        <v/>
      </c>
      <c r="B67" s="18">
        <f>IF(A67="","",INDEX(新年度名簿!$G$3:$G$452,A67))</f>
        <v/>
      </c>
      <c r="C67" s="18">
        <f>IF(A67="","",IFERROR(MATCH(B67,設定!$P$8:$P$27,0),""))</f>
        <v/>
      </c>
      <c r="D67" s="18">
        <f>IF(C67="","",COUNTIF($C$3:C67,C67))</f>
        <v/>
      </c>
      <c r="E67" s="18">
        <f>IF(C67="","",C67*1000+D67)</f>
        <v/>
      </c>
      <c r="F67" s="18">
        <f>IF(A67="","",INDEX(新年度名簿!$K$3:$K$452,A67))</f>
        <v/>
      </c>
      <c r="G67" s="18">
        <f>IF(A67="","",INDEX(新年度名簿!$C$3:$C$452,A67))</f>
        <v/>
      </c>
      <c r="H67" s="18">
        <f>IF(A67="","",INDEX(新年度名簿!$D$3:$D$452,A67))</f>
        <v/>
      </c>
    </row>
    <row r="68">
      <c r="A68" s="18">
        <f>IFERROR(MATCH(SMALL(新年度名簿!$J$3:$J$452,66),新年度名簿!$J$3:$J$452,0),"")</f>
        <v/>
      </c>
      <c r="B68" s="18">
        <f>IF(A68="","",INDEX(新年度名簿!$G$3:$G$452,A68))</f>
        <v/>
      </c>
      <c r="C68" s="18">
        <f>IF(A68="","",IFERROR(MATCH(B68,設定!$P$8:$P$27,0),""))</f>
        <v/>
      </c>
      <c r="D68" s="18">
        <f>IF(C68="","",COUNTIF($C$3:C68,C68))</f>
        <v/>
      </c>
      <c r="E68" s="18">
        <f>IF(C68="","",C68*1000+D68)</f>
        <v/>
      </c>
      <c r="F68" s="18">
        <f>IF(A68="","",INDEX(新年度名簿!$K$3:$K$452,A68))</f>
        <v/>
      </c>
      <c r="G68" s="18">
        <f>IF(A68="","",INDEX(新年度名簿!$C$3:$C$452,A68))</f>
        <v/>
      </c>
      <c r="H68" s="18">
        <f>IF(A68="","",INDEX(新年度名簿!$D$3:$D$452,A68))</f>
        <v/>
      </c>
    </row>
    <row r="69">
      <c r="A69" s="18">
        <f>IFERROR(MATCH(SMALL(新年度名簿!$J$3:$J$452,67),新年度名簿!$J$3:$J$452,0),"")</f>
        <v/>
      </c>
      <c r="B69" s="18">
        <f>IF(A69="","",INDEX(新年度名簿!$G$3:$G$452,A69))</f>
        <v/>
      </c>
      <c r="C69" s="18">
        <f>IF(A69="","",IFERROR(MATCH(B69,設定!$P$8:$P$27,0),""))</f>
        <v/>
      </c>
      <c r="D69" s="18">
        <f>IF(C69="","",COUNTIF($C$3:C69,C69))</f>
        <v/>
      </c>
      <c r="E69" s="18">
        <f>IF(C69="","",C69*1000+D69)</f>
        <v/>
      </c>
      <c r="F69" s="18">
        <f>IF(A69="","",INDEX(新年度名簿!$K$3:$K$452,A69))</f>
        <v/>
      </c>
      <c r="G69" s="18">
        <f>IF(A69="","",INDEX(新年度名簿!$C$3:$C$452,A69))</f>
        <v/>
      </c>
      <c r="H69" s="18">
        <f>IF(A69="","",INDEX(新年度名簿!$D$3:$D$452,A69))</f>
        <v/>
      </c>
    </row>
    <row r="70">
      <c r="A70" s="18">
        <f>IFERROR(MATCH(SMALL(新年度名簿!$J$3:$J$452,68),新年度名簿!$J$3:$J$452,0),"")</f>
        <v/>
      </c>
      <c r="B70" s="18">
        <f>IF(A70="","",INDEX(新年度名簿!$G$3:$G$452,A70))</f>
        <v/>
      </c>
      <c r="C70" s="18">
        <f>IF(A70="","",IFERROR(MATCH(B70,設定!$P$8:$P$27,0),""))</f>
        <v/>
      </c>
      <c r="D70" s="18">
        <f>IF(C70="","",COUNTIF($C$3:C70,C70))</f>
        <v/>
      </c>
      <c r="E70" s="18">
        <f>IF(C70="","",C70*1000+D70)</f>
        <v/>
      </c>
      <c r="F70" s="18">
        <f>IF(A70="","",INDEX(新年度名簿!$K$3:$K$452,A70))</f>
        <v/>
      </c>
      <c r="G70" s="18">
        <f>IF(A70="","",INDEX(新年度名簿!$C$3:$C$452,A70))</f>
        <v/>
      </c>
      <c r="H70" s="18">
        <f>IF(A70="","",INDEX(新年度名簿!$D$3:$D$452,A70))</f>
        <v/>
      </c>
    </row>
    <row r="71">
      <c r="A71" s="18">
        <f>IFERROR(MATCH(SMALL(新年度名簿!$J$3:$J$452,69),新年度名簿!$J$3:$J$452,0),"")</f>
        <v/>
      </c>
      <c r="B71" s="18">
        <f>IF(A71="","",INDEX(新年度名簿!$G$3:$G$452,A71))</f>
        <v/>
      </c>
      <c r="C71" s="18">
        <f>IF(A71="","",IFERROR(MATCH(B71,設定!$P$8:$P$27,0),""))</f>
        <v/>
      </c>
      <c r="D71" s="18">
        <f>IF(C71="","",COUNTIF($C$3:C71,C71))</f>
        <v/>
      </c>
      <c r="E71" s="18">
        <f>IF(C71="","",C71*1000+D71)</f>
        <v/>
      </c>
      <c r="F71" s="18">
        <f>IF(A71="","",INDEX(新年度名簿!$K$3:$K$452,A71))</f>
        <v/>
      </c>
      <c r="G71" s="18">
        <f>IF(A71="","",INDEX(新年度名簿!$C$3:$C$452,A71))</f>
        <v/>
      </c>
      <c r="H71" s="18">
        <f>IF(A71="","",INDEX(新年度名簿!$D$3:$D$452,A71))</f>
        <v/>
      </c>
    </row>
    <row r="72">
      <c r="A72" s="18">
        <f>IFERROR(MATCH(SMALL(新年度名簿!$J$3:$J$452,70),新年度名簿!$J$3:$J$452,0),"")</f>
        <v/>
      </c>
      <c r="B72" s="18">
        <f>IF(A72="","",INDEX(新年度名簿!$G$3:$G$452,A72))</f>
        <v/>
      </c>
      <c r="C72" s="18">
        <f>IF(A72="","",IFERROR(MATCH(B72,設定!$P$8:$P$27,0),""))</f>
        <v/>
      </c>
      <c r="D72" s="18">
        <f>IF(C72="","",COUNTIF($C$3:C72,C72))</f>
        <v/>
      </c>
      <c r="E72" s="18">
        <f>IF(C72="","",C72*1000+D72)</f>
        <v/>
      </c>
      <c r="F72" s="18">
        <f>IF(A72="","",INDEX(新年度名簿!$K$3:$K$452,A72))</f>
        <v/>
      </c>
      <c r="G72" s="18">
        <f>IF(A72="","",INDEX(新年度名簿!$C$3:$C$452,A72))</f>
        <v/>
      </c>
      <c r="H72" s="18">
        <f>IF(A72="","",INDEX(新年度名簿!$D$3:$D$452,A72))</f>
        <v/>
      </c>
    </row>
    <row r="73">
      <c r="A73" s="18">
        <f>IFERROR(MATCH(SMALL(新年度名簿!$J$3:$J$452,71),新年度名簿!$J$3:$J$452,0),"")</f>
        <v/>
      </c>
      <c r="B73" s="18">
        <f>IF(A73="","",INDEX(新年度名簿!$G$3:$G$452,A73))</f>
        <v/>
      </c>
      <c r="C73" s="18">
        <f>IF(A73="","",IFERROR(MATCH(B73,設定!$P$8:$P$27,0),""))</f>
        <v/>
      </c>
      <c r="D73" s="18">
        <f>IF(C73="","",COUNTIF($C$3:C73,C73))</f>
        <v/>
      </c>
      <c r="E73" s="18">
        <f>IF(C73="","",C73*1000+D73)</f>
        <v/>
      </c>
      <c r="F73" s="18">
        <f>IF(A73="","",INDEX(新年度名簿!$K$3:$K$452,A73))</f>
        <v/>
      </c>
      <c r="G73" s="18">
        <f>IF(A73="","",INDEX(新年度名簿!$C$3:$C$452,A73))</f>
        <v/>
      </c>
      <c r="H73" s="18">
        <f>IF(A73="","",INDEX(新年度名簿!$D$3:$D$452,A73))</f>
        <v/>
      </c>
    </row>
    <row r="74">
      <c r="A74" s="18">
        <f>IFERROR(MATCH(SMALL(新年度名簿!$J$3:$J$452,72),新年度名簿!$J$3:$J$452,0),"")</f>
        <v/>
      </c>
      <c r="B74" s="18">
        <f>IF(A74="","",INDEX(新年度名簿!$G$3:$G$452,A74))</f>
        <v/>
      </c>
      <c r="C74" s="18">
        <f>IF(A74="","",IFERROR(MATCH(B74,設定!$P$8:$P$27,0),""))</f>
        <v/>
      </c>
      <c r="D74" s="18">
        <f>IF(C74="","",COUNTIF($C$3:C74,C74))</f>
        <v/>
      </c>
      <c r="E74" s="18">
        <f>IF(C74="","",C74*1000+D74)</f>
        <v/>
      </c>
      <c r="F74" s="18">
        <f>IF(A74="","",INDEX(新年度名簿!$K$3:$K$452,A74))</f>
        <v/>
      </c>
      <c r="G74" s="18">
        <f>IF(A74="","",INDEX(新年度名簿!$C$3:$C$452,A74))</f>
        <v/>
      </c>
      <c r="H74" s="18">
        <f>IF(A74="","",INDEX(新年度名簿!$D$3:$D$452,A74))</f>
        <v/>
      </c>
    </row>
    <row r="75">
      <c r="A75" s="18">
        <f>IFERROR(MATCH(SMALL(新年度名簿!$J$3:$J$452,73),新年度名簿!$J$3:$J$452,0),"")</f>
        <v/>
      </c>
      <c r="B75" s="18">
        <f>IF(A75="","",INDEX(新年度名簿!$G$3:$G$452,A75))</f>
        <v/>
      </c>
      <c r="C75" s="18">
        <f>IF(A75="","",IFERROR(MATCH(B75,設定!$P$8:$P$27,0),""))</f>
        <v/>
      </c>
      <c r="D75" s="18">
        <f>IF(C75="","",COUNTIF($C$3:C75,C75))</f>
        <v/>
      </c>
      <c r="E75" s="18">
        <f>IF(C75="","",C75*1000+D75)</f>
        <v/>
      </c>
      <c r="F75" s="18">
        <f>IF(A75="","",INDEX(新年度名簿!$K$3:$K$452,A75))</f>
        <v/>
      </c>
      <c r="G75" s="18">
        <f>IF(A75="","",INDEX(新年度名簿!$C$3:$C$452,A75))</f>
        <v/>
      </c>
      <c r="H75" s="18">
        <f>IF(A75="","",INDEX(新年度名簿!$D$3:$D$452,A75))</f>
        <v/>
      </c>
    </row>
    <row r="76">
      <c r="A76" s="18">
        <f>IFERROR(MATCH(SMALL(新年度名簿!$J$3:$J$452,74),新年度名簿!$J$3:$J$452,0),"")</f>
        <v/>
      </c>
      <c r="B76" s="18">
        <f>IF(A76="","",INDEX(新年度名簿!$G$3:$G$452,A76))</f>
        <v/>
      </c>
      <c r="C76" s="18">
        <f>IF(A76="","",IFERROR(MATCH(B76,設定!$P$8:$P$27,0),""))</f>
        <v/>
      </c>
      <c r="D76" s="18">
        <f>IF(C76="","",COUNTIF($C$3:C76,C76))</f>
        <v/>
      </c>
      <c r="E76" s="18">
        <f>IF(C76="","",C76*1000+D76)</f>
        <v/>
      </c>
      <c r="F76" s="18">
        <f>IF(A76="","",INDEX(新年度名簿!$K$3:$K$452,A76))</f>
        <v/>
      </c>
      <c r="G76" s="18">
        <f>IF(A76="","",INDEX(新年度名簿!$C$3:$C$452,A76))</f>
        <v/>
      </c>
      <c r="H76" s="18">
        <f>IF(A76="","",INDEX(新年度名簿!$D$3:$D$452,A76))</f>
        <v/>
      </c>
    </row>
    <row r="77">
      <c r="A77" s="18">
        <f>IFERROR(MATCH(SMALL(新年度名簿!$J$3:$J$452,75),新年度名簿!$J$3:$J$452,0),"")</f>
        <v/>
      </c>
      <c r="B77" s="18">
        <f>IF(A77="","",INDEX(新年度名簿!$G$3:$G$452,A77))</f>
        <v/>
      </c>
      <c r="C77" s="18">
        <f>IF(A77="","",IFERROR(MATCH(B77,設定!$P$8:$P$27,0),""))</f>
        <v/>
      </c>
      <c r="D77" s="18">
        <f>IF(C77="","",COUNTIF($C$3:C77,C77))</f>
        <v/>
      </c>
      <c r="E77" s="18">
        <f>IF(C77="","",C77*1000+D77)</f>
        <v/>
      </c>
      <c r="F77" s="18">
        <f>IF(A77="","",INDEX(新年度名簿!$K$3:$K$452,A77))</f>
        <v/>
      </c>
      <c r="G77" s="18">
        <f>IF(A77="","",INDEX(新年度名簿!$C$3:$C$452,A77))</f>
        <v/>
      </c>
      <c r="H77" s="18">
        <f>IF(A77="","",INDEX(新年度名簿!$D$3:$D$452,A77))</f>
        <v/>
      </c>
    </row>
    <row r="78">
      <c r="A78" s="18">
        <f>IFERROR(MATCH(SMALL(新年度名簿!$J$3:$J$452,76),新年度名簿!$J$3:$J$452,0),"")</f>
        <v/>
      </c>
      <c r="B78" s="18">
        <f>IF(A78="","",INDEX(新年度名簿!$G$3:$G$452,A78))</f>
        <v/>
      </c>
      <c r="C78" s="18">
        <f>IF(A78="","",IFERROR(MATCH(B78,設定!$P$8:$P$27,0),""))</f>
        <v/>
      </c>
      <c r="D78" s="18">
        <f>IF(C78="","",COUNTIF($C$3:C78,C78))</f>
        <v/>
      </c>
      <c r="E78" s="18">
        <f>IF(C78="","",C78*1000+D78)</f>
        <v/>
      </c>
      <c r="F78" s="18">
        <f>IF(A78="","",INDEX(新年度名簿!$K$3:$K$452,A78))</f>
        <v/>
      </c>
      <c r="G78" s="18">
        <f>IF(A78="","",INDEX(新年度名簿!$C$3:$C$452,A78))</f>
        <v/>
      </c>
      <c r="H78" s="18">
        <f>IF(A78="","",INDEX(新年度名簿!$D$3:$D$452,A78))</f>
        <v/>
      </c>
    </row>
    <row r="79">
      <c r="A79" s="18">
        <f>IFERROR(MATCH(SMALL(新年度名簿!$J$3:$J$452,77),新年度名簿!$J$3:$J$452,0),"")</f>
        <v/>
      </c>
      <c r="B79" s="18">
        <f>IF(A79="","",INDEX(新年度名簿!$G$3:$G$452,A79))</f>
        <v/>
      </c>
      <c r="C79" s="18">
        <f>IF(A79="","",IFERROR(MATCH(B79,設定!$P$8:$P$27,0),""))</f>
        <v/>
      </c>
      <c r="D79" s="18">
        <f>IF(C79="","",COUNTIF($C$3:C79,C79))</f>
        <v/>
      </c>
      <c r="E79" s="18">
        <f>IF(C79="","",C79*1000+D79)</f>
        <v/>
      </c>
      <c r="F79" s="18">
        <f>IF(A79="","",INDEX(新年度名簿!$K$3:$K$452,A79))</f>
        <v/>
      </c>
      <c r="G79" s="18">
        <f>IF(A79="","",INDEX(新年度名簿!$C$3:$C$452,A79))</f>
        <v/>
      </c>
      <c r="H79" s="18">
        <f>IF(A79="","",INDEX(新年度名簿!$D$3:$D$452,A79))</f>
        <v/>
      </c>
    </row>
    <row r="80">
      <c r="A80" s="18">
        <f>IFERROR(MATCH(SMALL(新年度名簿!$J$3:$J$452,78),新年度名簿!$J$3:$J$452,0),"")</f>
        <v/>
      </c>
      <c r="B80" s="18">
        <f>IF(A80="","",INDEX(新年度名簿!$G$3:$G$452,A80))</f>
        <v/>
      </c>
      <c r="C80" s="18">
        <f>IF(A80="","",IFERROR(MATCH(B80,設定!$P$8:$P$27,0),""))</f>
        <v/>
      </c>
      <c r="D80" s="18">
        <f>IF(C80="","",COUNTIF($C$3:C80,C80))</f>
        <v/>
      </c>
      <c r="E80" s="18">
        <f>IF(C80="","",C80*1000+D80)</f>
        <v/>
      </c>
      <c r="F80" s="18">
        <f>IF(A80="","",INDEX(新年度名簿!$K$3:$K$452,A80))</f>
        <v/>
      </c>
      <c r="G80" s="18">
        <f>IF(A80="","",INDEX(新年度名簿!$C$3:$C$452,A80))</f>
        <v/>
      </c>
      <c r="H80" s="18">
        <f>IF(A80="","",INDEX(新年度名簿!$D$3:$D$452,A80))</f>
        <v/>
      </c>
    </row>
    <row r="81">
      <c r="A81" s="18">
        <f>IFERROR(MATCH(SMALL(新年度名簿!$J$3:$J$452,79),新年度名簿!$J$3:$J$452,0),"")</f>
        <v/>
      </c>
      <c r="B81" s="18">
        <f>IF(A81="","",INDEX(新年度名簿!$G$3:$G$452,A81))</f>
        <v/>
      </c>
      <c r="C81" s="18">
        <f>IF(A81="","",IFERROR(MATCH(B81,設定!$P$8:$P$27,0),""))</f>
        <v/>
      </c>
      <c r="D81" s="18">
        <f>IF(C81="","",COUNTIF($C$3:C81,C81))</f>
        <v/>
      </c>
      <c r="E81" s="18">
        <f>IF(C81="","",C81*1000+D81)</f>
        <v/>
      </c>
      <c r="F81" s="18">
        <f>IF(A81="","",INDEX(新年度名簿!$K$3:$K$452,A81))</f>
        <v/>
      </c>
      <c r="G81" s="18">
        <f>IF(A81="","",INDEX(新年度名簿!$C$3:$C$452,A81))</f>
        <v/>
      </c>
      <c r="H81" s="18">
        <f>IF(A81="","",INDEX(新年度名簿!$D$3:$D$452,A81))</f>
        <v/>
      </c>
    </row>
    <row r="82">
      <c r="A82" s="18">
        <f>IFERROR(MATCH(SMALL(新年度名簿!$J$3:$J$452,80),新年度名簿!$J$3:$J$452,0),"")</f>
        <v/>
      </c>
      <c r="B82" s="18">
        <f>IF(A82="","",INDEX(新年度名簿!$G$3:$G$452,A82))</f>
        <v/>
      </c>
      <c r="C82" s="18">
        <f>IF(A82="","",IFERROR(MATCH(B82,設定!$P$8:$P$27,0),""))</f>
        <v/>
      </c>
      <c r="D82" s="18">
        <f>IF(C82="","",COUNTIF($C$3:C82,C82))</f>
        <v/>
      </c>
      <c r="E82" s="18">
        <f>IF(C82="","",C82*1000+D82)</f>
        <v/>
      </c>
      <c r="F82" s="18">
        <f>IF(A82="","",INDEX(新年度名簿!$K$3:$K$452,A82))</f>
        <v/>
      </c>
      <c r="G82" s="18">
        <f>IF(A82="","",INDEX(新年度名簿!$C$3:$C$452,A82))</f>
        <v/>
      </c>
      <c r="H82" s="18">
        <f>IF(A82="","",INDEX(新年度名簿!$D$3:$D$452,A82))</f>
        <v/>
      </c>
    </row>
    <row r="83">
      <c r="A83" s="18">
        <f>IFERROR(MATCH(SMALL(新年度名簿!$J$3:$J$452,81),新年度名簿!$J$3:$J$452,0),"")</f>
        <v/>
      </c>
      <c r="B83" s="18">
        <f>IF(A83="","",INDEX(新年度名簿!$G$3:$G$452,A83))</f>
        <v/>
      </c>
      <c r="C83" s="18">
        <f>IF(A83="","",IFERROR(MATCH(B83,設定!$P$8:$P$27,0),""))</f>
        <v/>
      </c>
      <c r="D83" s="18">
        <f>IF(C83="","",COUNTIF($C$3:C83,C83))</f>
        <v/>
      </c>
      <c r="E83" s="18">
        <f>IF(C83="","",C83*1000+D83)</f>
        <v/>
      </c>
      <c r="F83" s="18">
        <f>IF(A83="","",INDEX(新年度名簿!$K$3:$K$452,A83))</f>
        <v/>
      </c>
      <c r="G83" s="18">
        <f>IF(A83="","",INDEX(新年度名簿!$C$3:$C$452,A83))</f>
        <v/>
      </c>
      <c r="H83" s="18">
        <f>IF(A83="","",INDEX(新年度名簿!$D$3:$D$452,A83))</f>
        <v/>
      </c>
    </row>
    <row r="84">
      <c r="A84" s="18">
        <f>IFERROR(MATCH(SMALL(新年度名簿!$J$3:$J$452,82),新年度名簿!$J$3:$J$452,0),"")</f>
        <v/>
      </c>
      <c r="B84" s="18">
        <f>IF(A84="","",INDEX(新年度名簿!$G$3:$G$452,A84))</f>
        <v/>
      </c>
      <c r="C84" s="18">
        <f>IF(A84="","",IFERROR(MATCH(B84,設定!$P$8:$P$27,0),""))</f>
        <v/>
      </c>
      <c r="D84" s="18">
        <f>IF(C84="","",COUNTIF($C$3:C84,C84))</f>
        <v/>
      </c>
      <c r="E84" s="18">
        <f>IF(C84="","",C84*1000+D84)</f>
        <v/>
      </c>
      <c r="F84" s="18">
        <f>IF(A84="","",INDEX(新年度名簿!$K$3:$K$452,A84))</f>
        <v/>
      </c>
      <c r="G84" s="18">
        <f>IF(A84="","",INDEX(新年度名簿!$C$3:$C$452,A84))</f>
        <v/>
      </c>
      <c r="H84" s="18">
        <f>IF(A84="","",INDEX(新年度名簿!$D$3:$D$452,A84))</f>
        <v/>
      </c>
    </row>
    <row r="85">
      <c r="A85" s="18">
        <f>IFERROR(MATCH(SMALL(新年度名簿!$J$3:$J$452,83),新年度名簿!$J$3:$J$452,0),"")</f>
        <v/>
      </c>
      <c r="B85" s="18">
        <f>IF(A85="","",INDEX(新年度名簿!$G$3:$G$452,A85))</f>
        <v/>
      </c>
      <c r="C85" s="18">
        <f>IF(A85="","",IFERROR(MATCH(B85,設定!$P$8:$P$27,0),""))</f>
        <v/>
      </c>
      <c r="D85" s="18">
        <f>IF(C85="","",COUNTIF($C$3:C85,C85))</f>
        <v/>
      </c>
      <c r="E85" s="18">
        <f>IF(C85="","",C85*1000+D85)</f>
        <v/>
      </c>
      <c r="F85" s="18">
        <f>IF(A85="","",INDEX(新年度名簿!$K$3:$K$452,A85))</f>
        <v/>
      </c>
      <c r="G85" s="18">
        <f>IF(A85="","",INDEX(新年度名簿!$C$3:$C$452,A85))</f>
        <v/>
      </c>
      <c r="H85" s="18">
        <f>IF(A85="","",INDEX(新年度名簿!$D$3:$D$452,A85))</f>
        <v/>
      </c>
    </row>
    <row r="86">
      <c r="A86" s="18">
        <f>IFERROR(MATCH(SMALL(新年度名簿!$J$3:$J$452,84),新年度名簿!$J$3:$J$452,0),"")</f>
        <v/>
      </c>
      <c r="B86" s="18">
        <f>IF(A86="","",INDEX(新年度名簿!$G$3:$G$452,A86))</f>
        <v/>
      </c>
      <c r="C86" s="18">
        <f>IF(A86="","",IFERROR(MATCH(B86,設定!$P$8:$P$27,0),""))</f>
        <v/>
      </c>
      <c r="D86" s="18">
        <f>IF(C86="","",COUNTIF($C$3:C86,C86))</f>
        <v/>
      </c>
      <c r="E86" s="18">
        <f>IF(C86="","",C86*1000+D86)</f>
        <v/>
      </c>
      <c r="F86" s="18">
        <f>IF(A86="","",INDEX(新年度名簿!$K$3:$K$452,A86))</f>
        <v/>
      </c>
      <c r="G86" s="18">
        <f>IF(A86="","",INDEX(新年度名簿!$C$3:$C$452,A86))</f>
        <v/>
      </c>
      <c r="H86" s="18">
        <f>IF(A86="","",INDEX(新年度名簿!$D$3:$D$452,A86))</f>
        <v/>
      </c>
    </row>
    <row r="87">
      <c r="A87" s="18">
        <f>IFERROR(MATCH(SMALL(新年度名簿!$J$3:$J$452,85),新年度名簿!$J$3:$J$452,0),"")</f>
        <v/>
      </c>
      <c r="B87" s="18">
        <f>IF(A87="","",INDEX(新年度名簿!$G$3:$G$452,A87))</f>
        <v/>
      </c>
      <c r="C87" s="18">
        <f>IF(A87="","",IFERROR(MATCH(B87,設定!$P$8:$P$27,0),""))</f>
        <v/>
      </c>
      <c r="D87" s="18">
        <f>IF(C87="","",COUNTIF($C$3:C87,C87))</f>
        <v/>
      </c>
      <c r="E87" s="18">
        <f>IF(C87="","",C87*1000+D87)</f>
        <v/>
      </c>
      <c r="F87" s="18">
        <f>IF(A87="","",INDEX(新年度名簿!$K$3:$K$452,A87))</f>
        <v/>
      </c>
      <c r="G87" s="18">
        <f>IF(A87="","",INDEX(新年度名簿!$C$3:$C$452,A87))</f>
        <v/>
      </c>
      <c r="H87" s="18">
        <f>IF(A87="","",INDEX(新年度名簿!$D$3:$D$452,A87))</f>
        <v/>
      </c>
    </row>
    <row r="88">
      <c r="A88" s="18">
        <f>IFERROR(MATCH(SMALL(新年度名簿!$J$3:$J$452,86),新年度名簿!$J$3:$J$452,0),"")</f>
        <v/>
      </c>
      <c r="B88" s="18">
        <f>IF(A88="","",INDEX(新年度名簿!$G$3:$G$452,A88))</f>
        <v/>
      </c>
      <c r="C88" s="18">
        <f>IF(A88="","",IFERROR(MATCH(B88,設定!$P$8:$P$27,0),""))</f>
        <v/>
      </c>
      <c r="D88" s="18">
        <f>IF(C88="","",COUNTIF($C$3:C88,C88))</f>
        <v/>
      </c>
      <c r="E88" s="18">
        <f>IF(C88="","",C88*1000+D88)</f>
        <v/>
      </c>
      <c r="F88" s="18">
        <f>IF(A88="","",INDEX(新年度名簿!$K$3:$K$452,A88))</f>
        <v/>
      </c>
      <c r="G88" s="18">
        <f>IF(A88="","",INDEX(新年度名簿!$C$3:$C$452,A88))</f>
        <v/>
      </c>
      <c r="H88" s="18">
        <f>IF(A88="","",INDEX(新年度名簿!$D$3:$D$452,A88))</f>
        <v/>
      </c>
    </row>
    <row r="89">
      <c r="A89" s="18">
        <f>IFERROR(MATCH(SMALL(新年度名簿!$J$3:$J$452,87),新年度名簿!$J$3:$J$452,0),"")</f>
        <v/>
      </c>
      <c r="B89" s="18">
        <f>IF(A89="","",INDEX(新年度名簿!$G$3:$G$452,A89))</f>
        <v/>
      </c>
      <c r="C89" s="18">
        <f>IF(A89="","",IFERROR(MATCH(B89,設定!$P$8:$P$27,0),""))</f>
        <v/>
      </c>
      <c r="D89" s="18">
        <f>IF(C89="","",COUNTIF($C$3:C89,C89))</f>
        <v/>
      </c>
      <c r="E89" s="18">
        <f>IF(C89="","",C89*1000+D89)</f>
        <v/>
      </c>
      <c r="F89" s="18">
        <f>IF(A89="","",INDEX(新年度名簿!$K$3:$K$452,A89))</f>
        <v/>
      </c>
      <c r="G89" s="18">
        <f>IF(A89="","",INDEX(新年度名簿!$C$3:$C$452,A89))</f>
        <v/>
      </c>
      <c r="H89" s="18">
        <f>IF(A89="","",INDEX(新年度名簿!$D$3:$D$452,A89))</f>
        <v/>
      </c>
    </row>
    <row r="90">
      <c r="A90" s="18">
        <f>IFERROR(MATCH(SMALL(新年度名簿!$J$3:$J$452,88),新年度名簿!$J$3:$J$452,0),"")</f>
        <v/>
      </c>
      <c r="B90" s="18">
        <f>IF(A90="","",INDEX(新年度名簿!$G$3:$G$452,A90))</f>
        <v/>
      </c>
      <c r="C90" s="18">
        <f>IF(A90="","",IFERROR(MATCH(B90,設定!$P$8:$P$27,0),""))</f>
        <v/>
      </c>
      <c r="D90" s="18">
        <f>IF(C90="","",COUNTIF($C$3:C90,C90))</f>
        <v/>
      </c>
      <c r="E90" s="18">
        <f>IF(C90="","",C90*1000+D90)</f>
        <v/>
      </c>
      <c r="F90" s="18">
        <f>IF(A90="","",INDEX(新年度名簿!$K$3:$K$452,A90))</f>
        <v/>
      </c>
      <c r="G90" s="18">
        <f>IF(A90="","",INDEX(新年度名簿!$C$3:$C$452,A90))</f>
        <v/>
      </c>
      <c r="H90" s="18">
        <f>IF(A90="","",INDEX(新年度名簿!$D$3:$D$452,A90))</f>
        <v/>
      </c>
    </row>
    <row r="91">
      <c r="A91" s="18">
        <f>IFERROR(MATCH(SMALL(新年度名簿!$J$3:$J$452,89),新年度名簿!$J$3:$J$452,0),"")</f>
        <v/>
      </c>
      <c r="B91" s="18">
        <f>IF(A91="","",INDEX(新年度名簿!$G$3:$G$452,A91))</f>
        <v/>
      </c>
      <c r="C91" s="18">
        <f>IF(A91="","",IFERROR(MATCH(B91,設定!$P$8:$P$27,0),""))</f>
        <v/>
      </c>
      <c r="D91" s="18">
        <f>IF(C91="","",COUNTIF($C$3:C91,C91))</f>
        <v/>
      </c>
      <c r="E91" s="18">
        <f>IF(C91="","",C91*1000+D91)</f>
        <v/>
      </c>
      <c r="F91" s="18">
        <f>IF(A91="","",INDEX(新年度名簿!$K$3:$K$452,A91))</f>
        <v/>
      </c>
      <c r="G91" s="18">
        <f>IF(A91="","",INDEX(新年度名簿!$C$3:$C$452,A91))</f>
        <v/>
      </c>
      <c r="H91" s="18">
        <f>IF(A91="","",INDEX(新年度名簿!$D$3:$D$452,A91))</f>
        <v/>
      </c>
    </row>
    <row r="92">
      <c r="A92" s="18">
        <f>IFERROR(MATCH(SMALL(新年度名簿!$J$3:$J$452,90),新年度名簿!$J$3:$J$452,0),"")</f>
        <v/>
      </c>
      <c r="B92" s="18">
        <f>IF(A92="","",INDEX(新年度名簿!$G$3:$G$452,A92))</f>
        <v/>
      </c>
      <c r="C92" s="18">
        <f>IF(A92="","",IFERROR(MATCH(B92,設定!$P$8:$P$27,0),""))</f>
        <v/>
      </c>
      <c r="D92" s="18">
        <f>IF(C92="","",COUNTIF($C$3:C92,C92))</f>
        <v/>
      </c>
      <c r="E92" s="18">
        <f>IF(C92="","",C92*1000+D92)</f>
        <v/>
      </c>
      <c r="F92" s="18">
        <f>IF(A92="","",INDEX(新年度名簿!$K$3:$K$452,A92))</f>
        <v/>
      </c>
      <c r="G92" s="18">
        <f>IF(A92="","",INDEX(新年度名簿!$C$3:$C$452,A92))</f>
        <v/>
      </c>
      <c r="H92" s="18">
        <f>IF(A92="","",INDEX(新年度名簿!$D$3:$D$452,A92))</f>
        <v/>
      </c>
    </row>
    <row r="93">
      <c r="A93" s="18">
        <f>IFERROR(MATCH(SMALL(新年度名簿!$J$3:$J$452,91),新年度名簿!$J$3:$J$452,0),"")</f>
        <v/>
      </c>
      <c r="B93" s="18">
        <f>IF(A93="","",INDEX(新年度名簿!$G$3:$G$452,A93))</f>
        <v/>
      </c>
      <c r="C93" s="18">
        <f>IF(A93="","",IFERROR(MATCH(B93,設定!$P$8:$P$27,0),""))</f>
        <v/>
      </c>
      <c r="D93" s="18">
        <f>IF(C93="","",COUNTIF($C$3:C93,C93))</f>
        <v/>
      </c>
      <c r="E93" s="18">
        <f>IF(C93="","",C93*1000+D93)</f>
        <v/>
      </c>
      <c r="F93" s="18">
        <f>IF(A93="","",INDEX(新年度名簿!$K$3:$K$452,A93))</f>
        <v/>
      </c>
      <c r="G93" s="18">
        <f>IF(A93="","",INDEX(新年度名簿!$C$3:$C$452,A93))</f>
        <v/>
      </c>
      <c r="H93" s="18">
        <f>IF(A93="","",INDEX(新年度名簿!$D$3:$D$452,A93))</f>
        <v/>
      </c>
    </row>
    <row r="94">
      <c r="A94" s="18">
        <f>IFERROR(MATCH(SMALL(新年度名簿!$J$3:$J$452,92),新年度名簿!$J$3:$J$452,0),"")</f>
        <v/>
      </c>
      <c r="B94" s="18">
        <f>IF(A94="","",INDEX(新年度名簿!$G$3:$G$452,A94))</f>
        <v/>
      </c>
      <c r="C94" s="18">
        <f>IF(A94="","",IFERROR(MATCH(B94,設定!$P$8:$P$27,0),""))</f>
        <v/>
      </c>
      <c r="D94" s="18">
        <f>IF(C94="","",COUNTIF($C$3:C94,C94))</f>
        <v/>
      </c>
      <c r="E94" s="18">
        <f>IF(C94="","",C94*1000+D94)</f>
        <v/>
      </c>
      <c r="F94" s="18">
        <f>IF(A94="","",INDEX(新年度名簿!$K$3:$K$452,A94))</f>
        <v/>
      </c>
      <c r="G94" s="18">
        <f>IF(A94="","",INDEX(新年度名簿!$C$3:$C$452,A94))</f>
        <v/>
      </c>
      <c r="H94" s="18">
        <f>IF(A94="","",INDEX(新年度名簿!$D$3:$D$452,A94))</f>
        <v/>
      </c>
    </row>
    <row r="95">
      <c r="A95" s="18">
        <f>IFERROR(MATCH(SMALL(新年度名簿!$J$3:$J$452,93),新年度名簿!$J$3:$J$452,0),"")</f>
        <v/>
      </c>
      <c r="B95" s="18">
        <f>IF(A95="","",INDEX(新年度名簿!$G$3:$G$452,A95))</f>
        <v/>
      </c>
      <c r="C95" s="18">
        <f>IF(A95="","",IFERROR(MATCH(B95,設定!$P$8:$P$27,0),""))</f>
        <v/>
      </c>
      <c r="D95" s="18">
        <f>IF(C95="","",COUNTIF($C$3:C95,C95))</f>
        <v/>
      </c>
      <c r="E95" s="18">
        <f>IF(C95="","",C95*1000+D95)</f>
        <v/>
      </c>
      <c r="F95" s="18">
        <f>IF(A95="","",INDEX(新年度名簿!$K$3:$K$452,A95))</f>
        <v/>
      </c>
      <c r="G95" s="18">
        <f>IF(A95="","",INDEX(新年度名簿!$C$3:$C$452,A95))</f>
        <v/>
      </c>
      <c r="H95" s="18">
        <f>IF(A95="","",INDEX(新年度名簿!$D$3:$D$452,A95))</f>
        <v/>
      </c>
    </row>
    <row r="96">
      <c r="A96" s="18">
        <f>IFERROR(MATCH(SMALL(新年度名簿!$J$3:$J$452,94),新年度名簿!$J$3:$J$452,0),"")</f>
        <v/>
      </c>
      <c r="B96" s="18">
        <f>IF(A96="","",INDEX(新年度名簿!$G$3:$G$452,A96))</f>
        <v/>
      </c>
      <c r="C96" s="18">
        <f>IF(A96="","",IFERROR(MATCH(B96,設定!$P$8:$P$27,0),""))</f>
        <v/>
      </c>
      <c r="D96" s="18">
        <f>IF(C96="","",COUNTIF($C$3:C96,C96))</f>
        <v/>
      </c>
      <c r="E96" s="18">
        <f>IF(C96="","",C96*1000+D96)</f>
        <v/>
      </c>
      <c r="F96" s="18">
        <f>IF(A96="","",INDEX(新年度名簿!$K$3:$K$452,A96))</f>
        <v/>
      </c>
      <c r="G96" s="18">
        <f>IF(A96="","",INDEX(新年度名簿!$C$3:$C$452,A96))</f>
        <v/>
      </c>
      <c r="H96" s="18">
        <f>IF(A96="","",INDEX(新年度名簿!$D$3:$D$452,A96))</f>
        <v/>
      </c>
    </row>
    <row r="97">
      <c r="A97" s="18">
        <f>IFERROR(MATCH(SMALL(新年度名簿!$J$3:$J$452,95),新年度名簿!$J$3:$J$452,0),"")</f>
        <v/>
      </c>
      <c r="B97" s="18">
        <f>IF(A97="","",INDEX(新年度名簿!$G$3:$G$452,A97))</f>
        <v/>
      </c>
      <c r="C97" s="18">
        <f>IF(A97="","",IFERROR(MATCH(B97,設定!$P$8:$P$27,0),""))</f>
        <v/>
      </c>
      <c r="D97" s="18">
        <f>IF(C97="","",COUNTIF($C$3:C97,C97))</f>
        <v/>
      </c>
      <c r="E97" s="18">
        <f>IF(C97="","",C97*1000+D97)</f>
        <v/>
      </c>
      <c r="F97" s="18">
        <f>IF(A97="","",INDEX(新年度名簿!$K$3:$K$452,A97))</f>
        <v/>
      </c>
      <c r="G97" s="18">
        <f>IF(A97="","",INDEX(新年度名簿!$C$3:$C$452,A97))</f>
        <v/>
      </c>
      <c r="H97" s="18">
        <f>IF(A97="","",INDEX(新年度名簿!$D$3:$D$452,A97))</f>
        <v/>
      </c>
    </row>
    <row r="98">
      <c r="A98" s="18">
        <f>IFERROR(MATCH(SMALL(新年度名簿!$J$3:$J$452,96),新年度名簿!$J$3:$J$452,0),"")</f>
        <v/>
      </c>
      <c r="B98" s="18">
        <f>IF(A98="","",INDEX(新年度名簿!$G$3:$G$452,A98))</f>
        <v/>
      </c>
      <c r="C98" s="18">
        <f>IF(A98="","",IFERROR(MATCH(B98,設定!$P$8:$P$27,0),""))</f>
        <v/>
      </c>
      <c r="D98" s="18">
        <f>IF(C98="","",COUNTIF($C$3:C98,C98))</f>
        <v/>
      </c>
      <c r="E98" s="18">
        <f>IF(C98="","",C98*1000+D98)</f>
        <v/>
      </c>
      <c r="F98" s="18">
        <f>IF(A98="","",INDEX(新年度名簿!$K$3:$K$452,A98))</f>
        <v/>
      </c>
      <c r="G98" s="18">
        <f>IF(A98="","",INDEX(新年度名簿!$C$3:$C$452,A98))</f>
        <v/>
      </c>
      <c r="H98" s="18">
        <f>IF(A98="","",INDEX(新年度名簿!$D$3:$D$452,A98))</f>
        <v/>
      </c>
    </row>
    <row r="99">
      <c r="A99" s="18">
        <f>IFERROR(MATCH(SMALL(新年度名簿!$J$3:$J$452,97),新年度名簿!$J$3:$J$452,0),"")</f>
        <v/>
      </c>
      <c r="B99" s="18">
        <f>IF(A99="","",INDEX(新年度名簿!$G$3:$G$452,A99))</f>
        <v/>
      </c>
      <c r="C99" s="18">
        <f>IF(A99="","",IFERROR(MATCH(B99,設定!$P$8:$P$27,0),""))</f>
        <v/>
      </c>
      <c r="D99" s="18">
        <f>IF(C99="","",COUNTIF($C$3:C99,C99))</f>
        <v/>
      </c>
      <c r="E99" s="18">
        <f>IF(C99="","",C99*1000+D99)</f>
        <v/>
      </c>
      <c r="F99" s="18">
        <f>IF(A99="","",INDEX(新年度名簿!$K$3:$K$452,A99))</f>
        <v/>
      </c>
      <c r="G99" s="18">
        <f>IF(A99="","",INDEX(新年度名簿!$C$3:$C$452,A99))</f>
        <v/>
      </c>
      <c r="H99" s="18">
        <f>IF(A99="","",INDEX(新年度名簿!$D$3:$D$452,A99))</f>
        <v/>
      </c>
    </row>
    <row r="100">
      <c r="A100" s="18">
        <f>IFERROR(MATCH(SMALL(新年度名簿!$J$3:$J$452,98),新年度名簿!$J$3:$J$452,0),"")</f>
        <v/>
      </c>
      <c r="B100" s="18">
        <f>IF(A100="","",INDEX(新年度名簿!$G$3:$G$452,A100))</f>
        <v/>
      </c>
      <c r="C100" s="18">
        <f>IF(A100="","",IFERROR(MATCH(B100,設定!$P$8:$P$27,0),""))</f>
        <v/>
      </c>
      <c r="D100" s="18">
        <f>IF(C100="","",COUNTIF($C$3:C100,C100))</f>
        <v/>
      </c>
      <c r="E100" s="18">
        <f>IF(C100="","",C100*1000+D100)</f>
        <v/>
      </c>
      <c r="F100" s="18">
        <f>IF(A100="","",INDEX(新年度名簿!$K$3:$K$452,A100))</f>
        <v/>
      </c>
      <c r="G100" s="18">
        <f>IF(A100="","",INDEX(新年度名簿!$C$3:$C$452,A100))</f>
        <v/>
      </c>
      <c r="H100" s="18">
        <f>IF(A100="","",INDEX(新年度名簿!$D$3:$D$452,A100))</f>
        <v/>
      </c>
    </row>
    <row r="101">
      <c r="A101" s="18">
        <f>IFERROR(MATCH(SMALL(新年度名簿!$J$3:$J$452,99),新年度名簿!$J$3:$J$452,0),"")</f>
        <v/>
      </c>
      <c r="B101" s="18">
        <f>IF(A101="","",INDEX(新年度名簿!$G$3:$G$452,A101))</f>
        <v/>
      </c>
      <c r="C101" s="18">
        <f>IF(A101="","",IFERROR(MATCH(B101,設定!$P$8:$P$27,0),""))</f>
        <v/>
      </c>
      <c r="D101" s="18">
        <f>IF(C101="","",COUNTIF($C$3:C101,C101))</f>
        <v/>
      </c>
      <c r="E101" s="18">
        <f>IF(C101="","",C101*1000+D101)</f>
        <v/>
      </c>
      <c r="F101" s="18">
        <f>IF(A101="","",INDEX(新年度名簿!$K$3:$K$452,A101))</f>
        <v/>
      </c>
      <c r="G101" s="18">
        <f>IF(A101="","",INDEX(新年度名簿!$C$3:$C$452,A101))</f>
        <v/>
      </c>
      <c r="H101" s="18">
        <f>IF(A101="","",INDEX(新年度名簿!$D$3:$D$452,A101))</f>
        <v/>
      </c>
    </row>
    <row r="102">
      <c r="A102" s="18">
        <f>IFERROR(MATCH(SMALL(新年度名簿!$J$3:$J$452,100),新年度名簿!$J$3:$J$452,0),"")</f>
        <v/>
      </c>
      <c r="B102" s="18">
        <f>IF(A102="","",INDEX(新年度名簿!$G$3:$G$452,A102))</f>
        <v/>
      </c>
      <c r="C102" s="18">
        <f>IF(A102="","",IFERROR(MATCH(B102,設定!$P$8:$P$27,0),""))</f>
        <v/>
      </c>
      <c r="D102" s="18">
        <f>IF(C102="","",COUNTIF($C$3:C102,C102))</f>
        <v/>
      </c>
      <c r="E102" s="18">
        <f>IF(C102="","",C102*1000+D102)</f>
        <v/>
      </c>
      <c r="F102" s="18">
        <f>IF(A102="","",INDEX(新年度名簿!$K$3:$K$452,A102))</f>
        <v/>
      </c>
      <c r="G102" s="18">
        <f>IF(A102="","",INDEX(新年度名簿!$C$3:$C$452,A102))</f>
        <v/>
      </c>
      <c r="H102" s="18">
        <f>IF(A102="","",INDEX(新年度名簿!$D$3:$D$452,A102))</f>
        <v/>
      </c>
    </row>
    <row r="103">
      <c r="A103" s="18">
        <f>IFERROR(MATCH(SMALL(新年度名簿!$J$3:$J$452,101),新年度名簿!$J$3:$J$452,0),"")</f>
        <v/>
      </c>
      <c r="B103" s="18">
        <f>IF(A103="","",INDEX(新年度名簿!$G$3:$G$452,A103))</f>
        <v/>
      </c>
      <c r="C103" s="18">
        <f>IF(A103="","",IFERROR(MATCH(B103,設定!$P$8:$P$27,0),""))</f>
        <v/>
      </c>
      <c r="D103" s="18">
        <f>IF(C103="","",COUNTIF($C$3:C103,C103))</f>
        <v/>
      </c>
      <c r="E103" s="18">
        <f>IF(C103="","",C103*1000+D103)</f>
        <v/>
      </c>
      <c r="F103" s="18">
        <f>IF(A103="","",INDEX(新年度名簿!$K$3:$K$452,A103))</f>
        <v/>
      </c>
      <c r="G103" s="18">
        <f>IF(A103="","",INDEX(新年度名簿!$C$3:$C$452,A103))</f>
        <v/>
      </c>
      <c r="H103" s="18">
        <f>IF(A103="","",INDEX(新年度名簿!$D$3:$D$452,A103))</f>
        <v/>
      </c>
    </row>
    <row r="104">
      <c r="A104" s="18">
        <f>IFERROR(MATCH(SMALL(新年度名簿!$J$3:$J$452,102),新年度名簿!$J$3:$J$452,0),"")</f>
        <v/>
      </c>
      <c r="B104" s="18">
        <f>IF(A104="","",INDEX(新年度名簿!$G$3:$G$452,A104))</f>
        <v/>
      </c>
      <c r="C104" s="18">
        <f>IF(A104="","",IFERROR(MATCH(B104,設定!$P$8:$P$27,0),""))</f>
        <v/>
      </c>
      <c r="D104" s="18">
        <f>IF(C104="","",COUNTIF($C$3:C104,C104))</f>
        <v/>
      </c>
      <c r="E104" s="18">
        <f>IF(C104="","",C104*1000+D104)</f>
        <v/>
      </c>
      <c r="F104" s="18">
        <f>IF(A104="","",INDEX(新年度名簿!$K$3:$K$452,A104))</f>
        <v/>
      </c>
      <c r="G104" s="18">
        <f>IF(A104="","",INDEX(新年度名簿!$C$3:$C$452,A104))</f>
        <v/>
      </c>
      <c r="H104" s="18">
        <f>IF(A104="","",INDEX(新年度名簿!$D$3:$D$452,A104))</f>
        <v/>
      </c>
    </row>
    <row r="105">
      <c r="A105" s="18">
        <f>IFERROR(MATCH(SMALL(新年度名簿!$J$3:$J$452,103),新年度名簿!$J$3:$J$452,0),"")</f>
        <v/>
      </c>
      <c r="B105" s="18">
        <f>IF(A105="","",INDEX(新年度名簿!$G$3:$G$452,A105))</f>
        <v/>
      </c>
      <c r="C105" s="18">
        <f>IF(A105="","",IFERROR(MATCH(B105,設定!$P$8:$P$27,0),""))</f>
        <v/>
      </c>
      <c r="D105" s="18">
        <f>IF(C105="","",COUNTIF($C$3:C105,C105))</f>
        <v/>
      </c>
      <c r="E105" s="18">
        <f>IF(C105="","",C105*1000+D105)</f>
        <v/>
      </c>
      <c r="F105" s="18">
        <f>IF(A105="","",INDEX(新年度名簿!$K$3:$K$452,A105))</f>
        <v/>
      </c>
      <c r="G105" s="18">
        <f>IF(A105="","",INDEX(新年度名簿!$C$3:$C$452,A105))</f>
        <v/>
      </c>
      <c r="H105" s="18">
        <f>IF(A105="","",INDEX(新年度名簿!$D$3:$D$452,A105))</f>
        <v/>
      </c>
    </row>
    <row r="106">
      <c r="A106" s="18">
        <f>IFERROR(MATCH(SMALL(新年度名簿!$J$3:$J$452,104),新年度名簿!$J$3:$J$452,0),"")</f>
        <v/>
      </c>
      <c r="B106" s="18">
        <f>IF(A106="","",INDEX(新年度名簿!$G$3:$G$452,A106))</f>
        <v/>
      </c>
      <c r="C106" s="18">
        <f>IF(A106="","",IFERROR(MATCH(B106,設定!$P$8:$P$27,0),""))</f>
        <v/>
      </c>
      <c r="D106" s="18">
        <f>IF(C106="","",COUNTIF($C$3:C106,C106))</f>
        <v/>
      </c>
      <c r="E106" s="18">
        <f>IF(C106="","",C106*1000+D106)</f>
        <v/>
      </c>
      <c r="F106" s="18">
        <f>IF(A106="","",INDEX(新年度名簿!$K$3:$K$452,A106))</f>
        <v/>
      </c>
      <c r="G106" s="18">
        <f>IF(A106="","",INDEX(新年度名簿!$C$3:$C$452,A106))</f>
        <v/>
      </c>
      <c r="H106" s="18">
        <f>IF(A106="","",INDEX(新年度名簿!$D$3:$D$452,A106))</f>
        <v/>
      </c>
    </row>
    <row r="107">
      <c r="A107" s="18">
        <f>IFERROR(MATCH(SMALL(新年度名簿!$J$3:$J$452,105),新年度名簿!$J$3:$J$452,0),"")</f>
        <v/>
      </c>
      <c r="B107" s="18">
        <f>IF(A107="","",INDEX(新年度名簿!$G$3:$G$452,A107))</f>
        <v/>
      </c>
      <c r="C107" s="18">
        <f>IF(A107="","",IFERROR(MATCH(B107,設定!$P$8:$P$27,0),""))</f>
        <v/>
      </c>
      <c r="D107" s="18">
        <f>IF(C107="","",COUNTIF($C$3:C107,C107))</f>
        <v/>
      </c>
      <c r="E107" s="18">
        <f>IF(C107="","",C107*1000+D107)</f>
        <v/>
      </c>
      <c r="F107" s="18">
        <f>IF(A107="","",INDEX(新年度名簿!$K$3:$K$452,A107))</f>
        <v/>
      </c>
      <c r="G107" s="18">
        <f>IF(A107="","",INDEX(新年度名簿!$C$3:$C$452,A107))</f>
        <v/>
      </c>
      <c r="H107" s="18">
        <f>IF(A107="","",INDEX(新年度名簿!$D$3:$D$452,A107))</f>
        <v/>
      </c>
    </row>
    <row r="108">
      <c r="A108" s="18">
        <f>IFERROR(MATCH(SMALL(新年度名簿!$J$3:$J$452,106),新年度名簿!$J$3:$J$452,0),"")</f>
        <v/>
      </c>
      <c r="B108" s="18">
        <f>IF(A108="","",INDEX(新年度名簿!$G$3:$G$452,A108))</f>
        <v/>
      </c>
      <c r="C108" s="18">
        <f>IF(A108="","",IFERROR(MATCH(B108,設定!$P$8:$P$27,0),""))</f>
        <v/>
      </c>
      <c r="D108" s="18">
        <f>IF(C108="","",COUNTIF($C$3:C108,C108))</f>
        <v/>
      </c>
      <c r="E108" s="18">
        <f>IF(C108="","",C108*1000+D108)</f>
        <v/>
      </c>
      <c r="F108" s="18">
        <f>IF(A108="","",INDEX(新年度名簿!$K$3:$K$452,A108))</f>
        <v/>
      </c>
      <c r="G108" s="18">
        <f>IF(A108="","",INDEX(新年度名簿!$C$3:$C$452,A108))</f>
        <v/>
      </c>
      <c r="H108" s="18">
        <f>IF(A108="","",INDEX(新年度名簿!$D$3:$D$452,A108))</f>
        <v/>
      </c>
    </row>
    <row r="109">
      <c r="A109" s="18">
        <f>IFERROR(MATCH(SMALL(新年度名簿!$J$3:$J$452,107),新年度名簿!$J$3:$J$452,0),"")</f>
        <v/>
      </c>
      <c r="B109" s="18">
        <f>IF(A109="","",INDEX(新年度名簿!$G$3:$G$452,A109))</f>
        <v/>
      </c>
      <c r="C109" s="18">
        <f>IF(A109="","",IFERROR(MATCH(B109,設定!$P$8:$P$27,0),""))</f>
        <v/>
      </c>
      <c r="D109" s="18">
        <f>IF(C109="","",COUNTIF($C$3:C109,C109))</f>
        <v/>
      </c>
      <c r="E109" s="18">
        <f>IF(C109="","",C109*1000+D109)</f>
        <v/>
      </c>
      <c r="F109" s="18">
        <f>IF(A109="","",INDEX(新年度名簿!$K$3:$K$452,A109))</f>
        <v/>
      </c>
      <c r="G109" s="18">
        <f>IF(A109="","",INDEX(新年度名簿!$C$3:$C$452,A109))</f>
        <v/>
      </c>
      <c r="H109" s="18">
        <f>IF(A109="","",INDEX(新年度名簿!$D$3:$D$452,A109))</f>
        <v/>
      </c>
    </row>
    <row r="110">
      <c r="A110" s="18">
        <f>IFERROR(MATCH(SMALL(新年度名簿!$J$3:$J$452,108),新年度名簿!$J$3:$J$452,0),"")</f>
        <v/>
      </c>
      <c r="B110" s="18">
        <f>IF(A110="","",INDEX(新年度名簿!$G$3:$G$452,A110))</f>
        <v/>
      </c>
      <c r="C110" s="18">
        <f>IF(A110="","",IFERROR(MATCH(B110,設定!$P$8:$P$27,0),""))</f>
        <v/>
      </c>
      <c r="D110" s="18">
        <f>IF(C110="","",COUNTIF($C$3:C110,C110))</f>
        <v/>
      </c>
      <c r="E110" s="18">
        <f>IF(C110="","",C110*1000+D110)</f>
        <v/>
      </c>
      <c r="F110" s="18">
        <f>IF(A110="","",INDEX(新年度名簿!$K$3:$K$452,A110))</f>
        <v/>
      </c>
      <c r="G110" s="18">
        <f>IF(A110="","",INDEX(新年度名簿!$C$3:$C$452,A110))</f>
        <v/>
      </c>
      <c r="H110" s="18">
        <f>IF(A110="","",INDEX(新年度名簿!$D$3:$D$452,A110))</f>
        <v/>
      </c>
    </row>
    <row r="111">
      <c r="A111" s="18">
        <f>IFERROR(MATCH(SMALL(新年度名簿!$J$3:$J$452,109),新年度名簿!$J$3:$J$452,0),"")</f>
        <v/>
      </c>
      <c r="B111" s="18">
        <f>IF(A111="","",INDEX(新年度名簿!$G$3:$G$452,A111))</f>
        <v/>
      </c>
      <c r="C111" s="18">
        <f>IF(A111="","",IFERROR(MATCH(B111,設定!$P$8:$P$27,0),""))</f>
        <v/>
      </c>
      <c r="D111" s="18">
        <f>IF(C111="","",COUNTIF($C$3:C111,C111))</f>
        <v/>
      </c>
      <c r="E111" s="18">
        <f>IF(C111="","",C111*1000+D111)</f>
        <v/>
      </c>
      <c r="F111" s="18">
        <f>IF(A111="","",INDEX(新年度名簿!$K$3:$K$452,A111))</f>
        <v/>
      </c>
      <c r="G111" s="18">
        <f>IF(A111="","",INDEX(新年度名簿!$C$3:$C$452,A111))</f>
        <v/>
      </c>
      <c r="H111" s="18">
        <f>IF(A111="","",INDEX(新年度名簿!$D$3:$D$452,A111))</f>
        <v/>
      </c>
    </row>
    <row r="112">
      <c r="A112" s="18">
        <f>IFERROR(MATCH(SMALL(新年度名簿!$J$3:$J$452,110),新年度名簿!$J$3:$J$452,0),"")</f>
        <v/>
      </c>
      <c r="B112" s="18">
        <f>IF(A112="","",INDEX(新年度名簿!$G$3:$G$452,A112))</f>
        <v/>
      </c>
      <c r="C112" s="18">
        <f>IF(A112="","",IFERROR(MATCH(B112,設定!$P$8:$P$27,0),""))</f>
        <v/>
      </c>
      <c r="D112" s="18">
        <f>IF(C112="","",COUNTIF($C$3:C112,C112))</f>
        <v/>
      </c>
      <c r="E112" s="18">
        <f>IF(C112="","",C112*1000+D112)</f>
        <v/>
      </c>
      <c r="F112" s="18">
        <f>IF(A112="","",INDEX(新年度名簿!$K$3:$K$452,A112))</f>
        <v/>
      </c>
      <c r="G112" s="18">
        <f>IF(A112="","",INDEX(新年度名簿!$C$3:$C$452,A112))</f>
        <v/>
      </c>
      <c r="H112" s="18">
        <f>IF(A112="","",INDEX(新年度名簿!$D$3:$D$452,A112))</f>
        <v/>
      </c>
    </row>
    <row r="113">
      <c r="A113" s="18">
        <f>IFERROR(MATCH(SMALL(新年度名簿!$J$3:$J$452,111),新年度名簿!$J$3:$J$452,0),"")</f>
        <v/>
      </c>
      <c r="B113" s="18">
        <f>IF(A113="","",INDEX(新年度名簿!$G$3:$G$452,A113))</f>
        <v/>
      </c>
      <c r="C113" s="18">
        <f>IF(A113="","",IFERROR(MATCH(B113,設定!$P$8:$P$27,0),""))</f>
        <v/>
      </c>
      <c r="D113" s="18">
        <f>IF(C113="","",COUNTIF($C$3:C113,C113))</f>
        <v/>
      </c>
      <c r="E113" s="18">
        <f>IF(C113="","",C113*1000+D113)</f>
        <v/>
      </c>
      <c r="F113" s="18">
        <f>IF(A113="","",INDEX(新年度名簿!$K$3:$K$452,A113))</f>
        <v/>
      </c>
      <c r="G113" s="18">
        <f>IF(A113="","",INDEX(新年度名簿!$C$3:$C$452,A113))</f>
        <v/>
      </c>
      <c r="H113" s="18">
        <f>IF(A113="","",INDEX(新年度名簿!$D$3:$D$452,A113))</f>
        <v/>
      </c>
    </row>
    <row r="114">
      <c r="A114" s="18">
        <f>IFERROR(MATCH(SMALL(新年度名簿!$J$3:$J$452,112),新年度名簿!$J$3:$J$452,0),"")</f>
        <v/>
      </c>
      <c r="B114" s="18">
        <f>IF(A114="","",INDEX(新年度名簿!$G$3:$G$452,A114))</f>
        <v/>
      </c>
      <c r="C114" s="18">
        <f>IF(A114="","",IFERROR(MATCH(B114,設定!$P$8:$P$27,0),""))</f>
        <v/>
      </c>
      <c r="D114" s="18">
        <f>IF(C114="","",COUNTIF($C$3:C114,C114))</f>
        <v/>
      </c>
      <c r="E114" s="18">
        <f>IF(C114="","",C114*1000+D114)</f>
        <v/>
      </c>
      <c r="F114" s="18">
        <f>IF(A114="","",INDEX(新年度名簿!$K$3:$K$452,A114))</f>
        <v/>
      </c>
      <c r="G114" s="18">
        <f>IF(A114="","",INDEX(新年度名簿!$C$3:$C$452,A114))</f>
        <v/>
      </c>
      <c r="H114" s="18">
        <f>IF(A114="","",INDEX(新年度名簿!$D$3:$D$452,A114))</f>
        <v/>
      </c>
    </row>
    <row r="115">
      <c r="A115" s="18">
        <f>IFERROR(MATCH(SMALL(新年度名簿!$J$3:$J$452,113),新年度名簿!$J$3:$J$452,0),"")</f>
        <v/>
      </c>
      <c r="B115" s="18">
        <f>IF(A115="","",INDEX(新年度名簿!$G$3:$G$452,A115))</f>
        <v/>
      </c>
      <c r="C115" s="18">
        <f>IF(A115="","",IFERROR(MATCH(B115,設定!$P$8:$P$27,0),""))</f>
        <v/>
      </c>
      <c r="D115" s="18">
        <f>IF(C115="","",COUNTIF($C$3:C115,C115))</f>
        <v/>
      </c>
      <c r="E115" s="18">
        <f>IF(C115="","",C115*1000+D115)</f>
        <v/>
      </c>
      <c r="F115" s="18">
        <f>IF(A115="","",INDEX(新年度名簿!$K$3:$K$452,A115))</f>
        <v/>
      </c>
      <c r="G115" s="18">
        <f>IF(A115="","",INDEX(新年度名簿!$C$3:$C$452,A115))</f>
        <v/>
      </c>
      <c r="H115" s="18">
        <f>IF(A115="","",INDEX(新年度名簿!$D$3:$D$452,A115))</f>
        <v/>
      </c>
    </row>
    <row r="116">
      <c r="A116" s="18">
        <f>IFERROR(MATCH(SMALL(新年度名簿!$J$3:$J$452,114),新年度名簿!$J$3:$J$452,0),"")</f>
        <v/>
      </c>
      <c r="B116" s="18">
        <f>IF(A116="","",INDEX(新年度名簿!$G$3:$G$452,A116))</f>
        <v/>
      </c>
      <c r="C116" s="18">
        <f>IF(A116="","",IFERROR(MATCH(B116,設定!$P$8:$P$27,0),""))</f>
        <v/>
      </c>
      <c r="D116" s="18">
        <f>IF(C116="","",COUNTIF($C$3:C116,C116))</f>
        <v/>
      </c>
      <c r="E116" s="18">
        <f>IF(C116="","",C116*1000+D116)</f>
        <v/>
      </c>
      <c r="F116" s="18">
        <f>IF(A116="","",INDEX(新年度名簿!$K$3:$K$452,A116))</f>
        <v/>
      </c>
      <c r="G116" s="18">
        <f>IF(A116="","",INDEX(新年度名簿!$C$3:$C$452,A116))</f>
        <v/>
      </c>
      <c r="H116" s="18">
        <f>IF(A116="","",INDEX(新年度名簿!$D$3:$D$452,A116))</f>
        <v/>
      </c>
    </row>
    <row r="117">
      <c r="A117" s="18">
        <f>IFERROR(MATCH(SMALL(新年度名簿!$J$3:$J$452,115),新年度名簿!$J$3:$J$452,0),"")</f>
        <v/>
      </c>
      <c r="B117" s="18">
        <f>IF(A117="","",INDEX(新年度名簿!$G$3:$G$452,A117))</f>
        <v/>
      </c>
      <c r="C117" s="18">
        <f>IF(A117="","",IFERROR(MATCH(B117,設定!$P$8:$P$27,0),""))</f>
        <v/>
      </c>
      <c r="D117" s="18">
        <f>IF(C117="","",COUNTIF($C$3:C117,C117))</f>
        <v/>
      </c>
      <c r="E117" s="18">
        <f>IF(C117="","",C117*1000+D117)</f>
        <v/>
      </c>
      <c r="F117" s="18">
        <f>IF(A117="","",INDEX(新年度名簿!$K$3:$K$452,A117))</f>
        <v/>
      </c>
      <c r="G117" s="18">
        <f>IF(A117="","",INDEX(新年度名簿!$C$3:$C$452,A117))</f>
        <v/>
      </c>
      <c r="H117" s="18">
        <f>IF(A117="","",INDEX(新年度名簿!$D$3:$D$452,A117))</f>
        <v/>
      </c>
    </row>
    <row r="118">
      <c r="A118" s="18">
        <f>IFERROR(MATCH(SMALL(新年度名簿!$J$3:$J$452,116),新年度名簿!$J$3:$J$452,0),"")</f>
        <v/>
      </c>
      <c r="B118" s="18">
        <f>IF(A118="","",INDEX(新年度名簿!$G$3:$G$452,A118))</f>
        <v/>
      </c>
      <c r="C118" s="18">
        <f>IF(A118="","",IFERROR(MATCH(B118,設定!$P$8:$P$27,0),""))</f>
        <v/>
      </c>
      <c r="D118" s="18">
        <f>IF(C118="","",COUNTIF($C$3:C118,C118))</f>
        <v/>
      </c>
      <c r="E118" s="18">
        <f>IF(C118="","",C118*1000+D118)</f>
        <v/>
      </c>
      <c r="F118" s="18">
        <f>IF(A118="","",INDEX(新年度名簿!$K$3:$K$452,A118))</f>
        <v/>
      </c>
      <c r="G118" s="18">
        <f>IF(A118="","",INDEX(新年度名簿!$C$3:$C$452,A118))</f>
        <v/>
      </c>
      <c r="H118" s="18">
        <f>IF(A118="","",INDEX(新年度名簿!$D$3:$D$452,A118))</f>
        <v/>
      </c>
    </row>
    <row r="119">
      <c r="A119" s="18">
        <f>IFERROR(MATCH(SMALL(新年度名簿!$J$3:$J$452,117),新年度名簿!$J$3:$J$452,0),"")</f>
        <v/>
      </c>
      <c r="B119" s="18">
        <f>IF(A119="","",INDEX(新年度名簿!$G$3:$G$452,A119))</f>
        <v/>
      </c>
      <c r="C119" s="18">
        <f>IF(A119="","",IFERROR(MATCH(B119,設定!$P$8:$P$27,0),""))</f>
        <v/>
      </c>
      <c r="D119" s="18">
        <f>IF(C119="","",COUNTIF($C$3:C119,C119))</f>
        <v/>
      </c>
      <c r="E119" s="18">
        <f>IF(C119="","",C119*1000+D119)</f>
        <v/>
      </c>
      <c r="F119" s="18">
        <f>IF(A119="","",INDEX(新年度名簿!$K$3:$K$452,A119))</f>
        <v/>
      </c>
      <c r="G119" s="18">
        <f>IF(A119="","",INDEX(新年度名簿!$C$3:$C$452,A119))</f>
        <v/>
      </c>
      <c r="H119" s="18">
        <f>IF(A119="","",INDEX(新年度名簿!$D$3:$D$452,A119))</f>
        <v/>
      </c>
    </row>
    <row r="120">
      <c r="A120" s="18">
        <f>IFERROR(MATCH(SMALL(新年度名簿!$J$3:$J$452,118),新年度名簿!$J$3:$J$452,0),"")</f>
        <v/>
      </c>
      <c r="B120" s="18">
        <f>IF(A120="","",INDEX(新年度名簿!$G$3:$G$452,A120))</f>
        <v/>
      </c>
      <c r="C120" s="18">
        <f>IF(A120="","",IFERROR(MATCH(B120,設定!$P$8:$P$27,0),""))</f>
        <v/>
      </c>
      <c r="D120" s="18">
        <f>IF(C120="","",COUNTIF($C$3:C120,C120))</f>
        <v/>
      </c>
      <c r="E120" s="18">
        <f>IF(C120="","",C120*1000+D120)</f>
        <v/>
      </c>
      <c r="F120" s="18">
        <f>IF(A120="","",INDEX(新年度名簿!$K$3:$K$452,A120))</f>
        <v/>
      </c>
      <c r="G120" s="18">
        <f>IF(A120="","",INDEX(新年度名簿!$C$3:$C$452,A120))</f>
        <v/>
      </c>
      <c r="H120" s="18">
        <f>IF(A120="","",INDEX(新年度名簿!$D$3:$D$452,A120))</f>
        <v/>
      </c>
    </row>
    <row r="121">
      <c r="A121" s="18">
        <f>IFERROR(MATCH(SMALL(新年度名簿!$J$3:$J$452,119),新年度名簿!$J$3:$J$452,0),"")</f>
        <v/>
      </c>
      <c r="B121" s="18">
        <f>IF(A121="","",INDEX(新年度名簿!$G$3:$G$452,A121))</f>
        <v/>
      </c>
      <c r="C121" s="18">
        <f>IF(A121="","",IFERROR(MATCH(B121,設定!$P$8:$P$27,0),""))</f>
        <v/>
      </c>
      <c r="D121" s="18">
        <f>IF(C121="","",COUNTIF($C$3:C121,C121))</f>
        <v/>
      </c>
      <c r="E121" s="18">
        <f>IF(C121="","",C121*1000+D121)</f>
        <v/>
      </c>
      <c r="F121" s="18">
        <f>IF(A121="","",INDEX(新年度名簿!$K$3:$K$452,A121))</f>
        <v/>
      </c>
      <c r="G121" s="18">
        <f>IF(A121="","",INDEX(新年度名簿!$C$3:$C$452,A121))</f>
        <v/>
      </c>
      <c r="H121" s="18">
        <f>IF(A121="","",INDEX(新年度名簿!$D$3:$D$452,A121))</f>
        <v/>
      </c>
    </row>
    <row r="122">
      <c r="A122" s="18">
        <f>IFERROR(MATCH(SMALL(新年度名簿!$J$3:$J$452,120),新年度名簿!$J$3:$J$452,0),"")</f>
        <v/>
      </c>
      <c r="B122" s="18">
        <f>IF(A122="","",INDEX(新年度名簿!$G$3:$G$452,A122))</f>
        <v/>
      </c>
      <c r="C122" s="18">
        <f>IF(A122="","",IFERROR(MATCH(B122,設定!$P$8:$P$27,0),""))</f>
        <v/>
      </c>
      <c r="D122" s="18">
        <f>IF(C122="","",COUNTIF($C$3:C122,C122))</f>
        <v/>
      </c>
      <c r="E122" s="18">
        <f>IF(C122="","",C122*1000+D122)</f>
        <v/>
      </c>
      <c r="F122" s="18">
        <f>IF(A122="","",INDEX(新年度名簿!$K$3:$K$452,A122))</f>
        <v/>
      </c>
      <c r="G122" s="18">
        <f>IF(A122="","",INDEX(新年度名簿!$C$3:$C$452,A122))</f>
        <v/>
      </c>
      <c r="H122" s="18">
        <f>IF(A122="","",INDEX(新年度名簿!$D$3:$D$452,A122))</f>
        <v/>
      </c>
    </row>
    <row r="123">
      <c r="A123" s="18">
        <f>IFERROR(MATCH(SMALL(新年度名簿!$J$3:$J$452,121),新年度名簿!$J$3:$J$452,0),"")</f>
        <v/>
      </c>
      <c r="B123" s="18">
        <f>IF(A123="","",INDEX(新年度名簿!$G$3:$G$452,A123))</f>
        <v/>
      </c>
      <c r="C123" s="18">
        <f>IF(A123="","",IFERROR(MATCH(B123,設定!$P$8:$P$27,0),""))</f>
        <v/>
      </c>
      <c r="D123" s="18">
        <f>IF(C123="","",COUNTIF($C$3:C123,C123))</f>
        <v/>
      </c>
      <c r="E123" s="18">
        <f>IF(C123="","",C123*1000+D123)</f>
        <v/>
      </c>
      <c r="F123" s="18">
        <f>IF(A123="","",INDEX(新年度名簿!$K$3:$K$452,A123))</f>
        <v/>
      </c>
      <c r="G123" s="18">
        <f>IF(A123="","",INDEX(新年度名簿!$C$3:$C$452,A123))</f>
        <v/>
      </c>
      <c r="H123" s="18">
        <f>IF(A123="","",INDEX(新年度名簿!$D$3:$D$452,A123))</f>
        <v/>
      </c>
    </row>
    <row r="124">
      <c r="A124" s="18">
        <f>IFERROR(MATCH(SMALL(新年度名簿!$J$3:$J$452,122),新年度名簿!$J$3:$J$452,0),"")</f>
        <v/>
      </c>
      <c r="B124" s="18">
        <f>IF(A124="","",INDEX(新年度名簿!$G$3:$G$452,A124))</f>
        <v/>
      </c>
      <c r="C124" s="18">
        <f>IF(A124="","",IFERROR(MATCH(B124,設定!$P$8:$P$27,0),""))</f>
        <v/>
      </c>
      <c r="D124" s="18">
        <f>IF(C124="","",COUNTIF($C$3:C124,C124))</f>
        <v/>
      </c>
      <c r="E124" s="18">
        <f>IF(C124="","",C124*1000+D124)</f>
        <v/>
      </c>
      <c r="F124" s="18">
        <f>IF(A124="","",INDEX(新年度名簿!$K$3:$K$452,A124))</f>
        <v/>
      </c>
      <c r="G124" s="18">
        <f>IF(A124="","",INDEX(新年度名簿!$C$3:$C$452,A124))</f>
        <v/>
      </c>
      <c r="H124" s="18">
        <f>IF(A124="","",INDEX(新年度名簿!$D$3:$D$452,A124))</f>
        <v/>
      </c>
    </row>
    <row r="125">
      <c r="A125" s="18">
        <f>IFERROR(MATCH(SMALL(新年度名簿!$J$3:$J$452,123),新年度名簿!$J$3:$J$452,0),"")</f>
        <v/>
      </c>
      <c r="B125" s="18">
        <f>IF(A125="","",INDEX(新年度名簿!$G$3:$G$452,A125))</f>
        <v/>
      </c>
      <c r="C125" s="18">
        <f>IF(A125="","",IFERROR(MATCH(B125,設定!$P$8:$P$27,0),""))</f>
        <v/>
      </c>
      <c r="D125" s="18">
        <f>IF(C125="","",COUNTIF($C$3:C125,C125))</f>
        <v/>
      </c>
      <c r="E125" s="18">
        <f>IF(C125="","",C125*1000+D125)</f>
        <v/>
      </c>
      <c r="F125" s="18">
        <f>IF(A125="","",INDEX(新年度名簿!$K$3:$K$452,A125))</f>
        <v/>
      </c>
      <c r="G125" s="18">
        <f>IF(A125="","",INDEX(新年度名簿!$C$3:$C$452,A125))</f>
        <v/>
      </c>
      <c r="H125" s="18">
        <f>IF(A125="","",INDEX(新年度名簿!$D$3:$D$452,A125))</f>
        <v/>
      </c>
    </row>
    <row r="126">
      <c r="A126" s="18">
        <f>IFERROR(MATCH(SMALL(新年度名簿!$J$3:$J$452,124),新年度名簿!$J$3:$J$452,0),"")</f>
        <v/>
      </c>
      <c r="B126" s="18">
        <f>IF(A126="","",INDEX(新年度名簿!$G$3:$G$452,A126))</f>
        <v/>
      </c>
      <c r="C126" s="18">
        <f>IF(A126="","",IFERROR(MATCH(B126,設定!$P$8:$P$27,0),""))</f>
        <v/>
      </c>
      <c r="D126" s="18">
        <f>IF(C126="","",COUNTIF($C$3:C126,C126))</f>
        <v/>
      </c>
      <c r="E126" s="18">
        <f>IF(C126="","",C126*1000+D126)</f>
        <v/>
      </c>
      <c r="F126" s="18">
        <f>IF(A126="","",INDEX(新年度名簿!$K$3:$K$452,A126))</f>
        <v/>
      </c>
      <c r="G126" s="18">
        <f>IF(A126="","",INDEX(新年度名簿!$C$3:$C$452,A126))</f>
        <v/>
      </c>
      <c r="H126" s="18">
        <f>IF(A126="","",INDEX(新年度名簿!$D$3:$D$452,A126))</f>
        <v/>
      </c>
    </row>
    <row r="127">
      <c r="A127" s="18">
        <f>IFERROR(MATCH(SMALL(新年度名簿!$J$3:$J$452,125),新年度名簿!$J$3:$J$452,0),"")</f>
        <v/>
      </c>
      <c r="B127" s="18">
        <f>IF(A127="","",INDEX(新年度名簿!$G$3:$G$452,A127))</f>
        <v/>
      </c>
      <c r="C127" s="18">
        <f>IF(A127="","",IFERROR(MATCH(B127,設定!$P$8:$P$27,0),""))</f>
        <v/>
      </c>
      <c r="D127" s="18">
        <f>IF(C127="","",COUNTIF($C$3:C127,C127))</f>
        <v/>
      </c>
      <c r="E127" s="18">
        <f>IF(C127="","",C127*1000+D127)</f>
        <v/>
      </c>
      <c r="F127" s="18">
        <f>IF(A127="","",INDEX(新年度名簿!$K$3:$K$452,A127))</f>
        <v/>
      </c>
      <c r="G127" s="18">
        <f>IF(A127="","",INDEX(新年度名簿!$C$3:$C$452,A127))</f>
        <v/>
      </c>
      <c r="H127" s="18">
        <f>IF(A127="","",INDEX(新年度名簿!$D$3:$D$452,A127))</f>
        <v/>
      </c>
    </row>
    <row r="128">
      <c r="A128" s="18">
        <f>IFERROR(MATCH(SMALL(新年度名簿!$J$3:$J$452,126),新年度名簿!$J$3:$J$452,0),"")</f>
        <v/>
      </c>
      <c r="B128" s="18">
        <f>IF(A128="","",INDEX(新年度名簿!$G$3:$G$452,A128))</f>
        <v/>
      </c>
      <c r="C128" s="18">
        <f>IF(A128="","",IFERROR(MATCH(B128,設定!$P$8:$P$27,0),""))</f>
        <v/>
      </c>
      <c r="D128" s="18">
        <f>IF(C128="","",COUNTIF($C$3:C128,C128))</f>
        <v/>
      </c>
      <c r="E128" s="18">
        <f>IF(C128="","",C128*1000+D128)</f>
        <v/>
      </c>
      <c r="F128" s="18">
        <f>IF(A128="","",INDEX(新年度名簿!$K$3:$K$452,A128))</f>
        <v/>
      </c>
      <c r="G128" s="18">
        <f>IF(A128="","",INDEX(新年度名簿!$C$3:$C$452,A128))</f>
        <v/>
      </c>
      <c r="H128" s="18">
        <f>IF(A128="","",INDEX(新年度名簿!$D$3:$D$452,A128))</f>
        <v/>
      </c>
    </row>
    <row r="129">
      <c r="A129" s="18">
        <f>IFERROR(MATCH(SMALL(新年度名簿!$J$3:$J$452,127),新年度名簿!$J$3:$J$452,0),"")</f>
        <v/>
      </c>
      <c r="B129" s="18">
        <f>IF(A129="","",INDEX(新年度名簿!$G$3:$G$452,A129))</f>
        <v/>
      </c>
      <c r="C129" s="18">
        <f>IF(A129="","",IFERROR(MATCH(B129,設定!$P$8:$P$27,0),""))</f>
        <v/>
      </c>
      <c r="D129" s="18">
        <f>IF(C129="","",COUNTIF($C$3:C129,C129))</f>
        <v/>
      </c>
      <c r="E129" s="18">
        <f>IF(C129="","",C129*1000+D129)</f>
        <v/>
      </c>
      <c r="F129" s="18">
        <f>IF(A129="","",INDEX(新年度名簿!$K$3:$K$452,A129))</f>
        <v/>
      </c>
      <c r="G129" s="18">
        <f>IF(A129="","",INDEX(新年度名簿!$C$3:$C$452,A129))</f>
        <v/>
      </c>
      <c r="H129" s="18">
        <f>IF(A129="","",INDEX(新年度名簿!$D$3:$D$452,A129))</f>
        <v/>
      </c>
    </row>
    <row r="130">
      <c r="A130" s="18">
        <f>IFERROR(MATCH(SMALL(新年度名簿!$J$3:$J$452,128),新年度名簿!$J$3:$J$452,0),"")</f>
        <v/>
      </c>
      <c r="B130" s="18">
        <f>IF(A130="","",INDEX(新年度名簿!$G$3:$G$452,A130))</f>
        <v/>
      </c>
      <c r="C130" s="18">
        <f>IF(A130="","",IFERROR(MATCH(B130,設定!$P$8:$P$27,0),""))</f>
        <v/>
      </c>
      <c r="D130" s="18">
        <f>IF(C130="","",COUNTIF($C$3:C130,C130))</f>
        <v/>
      </c>
      <c r="E130" s="18">
        <f>IF(C130="","",C130*1000+D130)</f>
        <v/>
      </c>
      <c r="F130" s="18">
        <f>IF(A130="","",INDEX(新年度名簿!$K$3:$K$452,A130))</f>
        <v/>
      </c>
      <c r="G130" s="18">
        <f>IF(A130="","",INDEX(新年度名簿!$C$3:$C$452,A130))</f>
        <v/>
      </c>
      <c r="H130" s="18">
        <f>IF(A130="","",INDEX(新年度名簿!$D$3:$D$452,A130))</f>
        <v/>
      </c>
    </row>
    <row r="131">
      <c r="A131" s="18">
        <f>IFERROR(MATCH(SMALL(新年度名簿!$J$3:$J$452,129),新年度名簿!$J$3:$J$452,0),"")</f>
        <v/>
      </c>
      <c r="B131" s="18">
        <f>IF(A131="","",INDEX(新年度名簿!$G$3:$G$452,A131))</f>
        <v/>
      </c>
      <c r="C131" s="18">
        <f>IF(A131="","",IFERROR(MATCH(B131,設定!$P$8:$P$27,0),""))</f>
        <v/>
      </c>
      <c r="D131" s="18">
        <f>IF(C131="","",COUNTIF($C$3:C131,C131))</f>
        <v/>
      </c>
      <c r="E131" s="18">
        <f>IF(C131="","",C131*1000+D131)</f>
        <v/>
      </c>
      <c r="F131" s="18">
        <f>IF(A131="","",INDEX(新年度名簿!$K$3:$K$452,A131))</f>
        <v/>
      </c>
      <c r="G131" s="18">
        <f>IF(A131="","",INDEX(新年度名簿!$C$3:$C$452,A131))</f>
        <v/>
      </c>
      <c r="H131" s="18">
        <f>IF(A131="","",INDEX(新年度名簿!$D$3:$D$452,A131))</f>
        <v/>
      </c>
    </row>
    <row r="132">
      <c r="A132" s="18">
        <f>IFERROR(MATCH(SMALL(新年度名簿!$J$3:$J$452,130),新年度名簿!$J$3:$J$452,0),"")</f>
        <v/>
      </c>
      <c r="B132" s="18">
        <f>IF(A132="","",INDEX(新年度名簿!$G$3:$G$452,A132))</f>
        <v/>
      </c>
      <c r="C132" s="18">
        <f>IF(A132="","",IFERROR(MATCH(B132,設定!$P$8:$P$27,0),""))</f>
        <v/>
      </c>
      <c r="D132" s="18">
        <f>IF(C132="","",COUNTIF($C$3:C132,C132))</f>
        <v/>
      </c>
      <c r="E132" s="18">
        <f>IF(C132="","",C132*1000+D132)</f>
        <v/>
      </c>
      <c r="F132" s="18">
        <f>IF(A132="","",INDEX(新年度名簿!$K$3:$K$452,A132))</f>
        <v/>
      </c>
      <c r="G132" s="18">
        <f>IF(A132="","",INDEX(新年度名簿!$C$3:$C$452,A132))</f>
        <v/>
      </c>
      <c r="H132" s="18">
        <f>IF(A132="","",INDEX(新年度名簿!$D$3:$D$452,A132))</f>
        <v/>
      </c>
    </row>
    <row r="133">
      <c r="A133" s="18">
        <f>IFERROR(MATCH(SMALL(新年度名簿!$J$3:$J$452,131),新年度名簿!$J$3:$J$452,0),"")</f>
        <v/>
      </c>
      <c r="B133" s="18">
        <f>IF(A133="","",INDEX(新年度名簿!$G$3:$G$452,A133))</f>
        <v/>
      </c>
      <c r="C133" s="18">
        <f>IF(A133="","",IFERROR(MATCH(B133,設定!$P$8:$P$27,0),""))</f>
        <v/>
      </c>
      <c r="D133" s="18">
        <f>IF(C133="","",COUNTIF($C$3:C133,C133))</f>
        <v/>
      </c>
      <c r="E133" s="18">
        <f>IF(C133="","",C133*1000+D133)</f>
        <v/>
      </c>
      <c r="F133" s="18">
        <f>IF(A133="","",INDEX(新年度名簿!$K$3:$K$452,A133))</f>
        <v/>
      </c>
      <c r="G133" s="18">
        <f>IF(A133="","",INDEX(新年度名簿!$C$3:$C$452,A133))</f>
        <v/>
      </c>
      <c r="H133" s="18">
        <f>IF(A133="","",INDEX(新年度名簿!$D$3:$D$452,A133))</f>
        <v/>
      </c>
    </row>
    <row r="134">
      <c r="A134" s="18">
        <f>IFERROR(MATCH(SMALL(新年度名簿!$J$3:$J$452,132),新年度名簿!$J$3:$J$452,0),"")</f>
        <v/>
      </c>
      <c r="B134" s="18">
        <f>IF(A134="","",INDEX(新年度名簿!$G$3:$G$452,A134))</f>
        <v/>
      </c>
      <c r="C134" s="18">
        <f>IF(A134="","",IFERROR(MATCH(B134,設定!$P$8:$P$27,0),""))</f>
        <v/>
      </c>
      <c r="D134" s="18">
        <f>IF(C134="","",COUNTIF($C$3:C134,C134))</f>
        <v/>
      </c>
      <c r="E134" s="18">
        <f>IF(C134="","",C134*1000+D134)</f>
        <v/>
      </c>
      <c r="F134" s="18">
        <f>IF(A134="","",INDEX(新年度名簿!$K$3:$K$452,A134))</f>
        <v/>
      </c>
      <c r="G134" s="18">
        <f>IF(A134="","",INDEX(新年度名簿!$C$3:$C$452,A134))</f>
        <v/>
      </c>
      <c r="H134" s="18">
        <f>IF(A134="","",INDEX(新年度名簿!$D$3:$D$452,A134))</f>
        <v/>
      </c>
    </row>
    <row r="135">
      <c r="A135" s="18">
        <f>IFERROR(MATCH(SMALL(新年度名簿!$J$3:$J$452,133),新年度名簿!$J$3:$J$452,0),"")</f>
        <v/>
      </c>
      <c r="B135" s="18">
        <f>IF(A135="","",INDEX(新年度名簿!$G$3:$G$452,A135))</f>
        <v/>
      </c>
      <c r="C135" s="18">
        <f>IF(A135="","",IFERROR(MATCH(B135,設定!$P$8:$P$27,0),""))</f>
        <v/>
      </c>
      <c r="D135" s="18">
        <f>IF(C135="","",COUNTIF($C$3:C135,C135))</f>
        <v/>
      </c>
      <c r="E135" s="18">
        <f>IF(C135="","",C135*1000+D135)</f>
        <v/>
      </c>
      <c r="F135" s="18">
        <f>IF(A135="","",INDEX(新年度名簿!$K$3:$K$452,A135))</f>
        <v/>
      </c>
      <c r="G135" s="18">
        <f>IF(A135="","",INDEX(新年度名簿!$C$3:$C$452,A135))</f>
        <v/>
      </c>
      <c r="H135" s="18">
        <f>IF(A135="","",INDEX(新年度名簿!$D$3:$D$452,A135))</f>
        <v/>
      </c>
    </row>
    <row r="136">
      <c r="A136" s="18">
        <f>IFERROR(MATCH(SMALL(新年度名簿!$J$3:$J$452,134),新年度名簿!$J$3:$J$452,0),"")</f>
        <v/>
      </c>
      <c r="B136" s="18">
        <f>IF(A136="","",INDEX(新年度名簿!$G$3:$G$452,A136))</f>
        <v/>
      </c>
      <c r="C136" s="18">
        <f>IF(A136="","",IFERROR(MATCH(B136,設定!$P$8:$P$27,0),""))</f>
        <v/>
      </c>
      <c r="D136" s="18">
        <f>IF(C136="","",COUNTIF($C$3:C136,C136))</f>
        <v/>
      </c>
      <c r="E136" s="18">
        <f>IF(C136="","",C136*1000+D136)</f>
        <v/>
      </c>
      <c r="F136" s="18">
        <f>IF(A136="","",INDEX(新年度名簿!$K$3:$K$452,A136))</f>
        <v/>
      </c>
      <c r="G136" s="18">
        <f>IF(A136="","",INDEX(新年度名簿!$C$3:$C$452,A136))</f>
        <v/>
      </c>
      <c r="H136" s="18">
        <f>IF(A136="","",INDEX(新年度名簿!$D$3:$D$452,A136))</f>
        <v/>
      </c>
    </row>
    <row r="137">
      <c r="A137" s="18">
        <f>IFERROR(MATCH(SMALL(新年度名簿!$J$3:$J$452,135),新年度名簿!$J$3:$J$452,0),"")</f>
        <v/>
      </c>
      <c r="B137" s="18">
        <f>IF(A137="","",INDEX(新年度名簿!$G$3:$G$452,A137))</f>
        <v/>
      </c>
      <c r="C137" s="18">
        <f>IF(A137="","",IFERROR(MATCH(B137,設定!$P$8:$P$27,0),""))</f>
        <v/>
      </c>
      <c r="D137" s="18">
        <f>IF(C137="","",COUNTIF($C$3:C137,C137))</f>
        <v/>
      </c>
      <c r="E137" s="18">
        <f>IF(C137="","",C137*1000+D137)</f>
        <v/>
      </c>
      <c r="F137" s="18">
        <f>IF(A137="","",INDEX(新年度名簿!$K$3:$K$452,A137))</f>
        <v/>
      </c>
      <c r="G137" s="18">
        <f>IF(A137="","",INDEX(新年度名簿!$C$3:$C$452,A137))</f>
        <v/>
      </c>
      <c r="H137" s="18">
        <f>IF(A137="","",INDEX(新年度名簿!$D$3:$D$452,A137))</f>
        <v/>
      </c>
    </row>
    <row r="138">
      <c r="A138" s="18">
        <f>IFERROR(MATCH(SMALL(新年度名簿!$J$3:$J$452,136),新年度名簿!$J$3:$J$452,0),"")</f>
        <v/>
      </c>
      <c r="B138" s="18">
        <f>IF(A138="","",INDEX(新年度名簿!$G$3:$G$452,A138))</f>
        <v/>
      </c>
      <c r="C138" s="18">
        <f>IF(A138="","",IFERROR(MATCH(B138,設定!$P$8:$P$27,0),""))</f>
        <v/>
      </c>
      <c r="D138" s="18">
        <f>IF(C138="","",COUNTIF($C$3:C138,C138))</f>
        <v/>
      </c>
      <c r="E138" s="18">
        <f>IF(C138="","",C138*1000+D138)</f>
        <v/>
      </c>
      <c r="F138" s="18">
        <f>IF(A138="","",INDEX(新年度名簿!$K$3:$K$452,A138))</f>
        <v/>
      </c>
      <c r="G138" s="18">
        <f>IF(A138="","",INDEX(新年度名簿!$C$3:$C$452,A138))</f>
        <v/>
      </c>
      <c r="H138" s="18">
        <f>IF(A138="","",INDEX(新年度名簿!$D$3:$D$452,A138))</f>
        <v/>
      </c>
    </row>
    <row r="139">
      <c r="A139" s="18">
        <f>IFERROR(MATCH(SMALL(新年度名簿!$J$3:$J$452,137),新年度名簿!$J$3:$J$452,0),"")</f>
        <v/>
      </c>
      <c r="B139" s="18">
        <f>IF(A139="","",INDEX(新年度名簿!$G$3:$G$452,A139))</f>
        <v/>
      </c>
      <c r="C139" s="18">
        <f>IF(A139="","",IFERROR(MATCH(B139,設定!$P$8:$P$27,0),""))</f>
        <v/>
      </c>
      <c r="D139" s="18">
        <f>IF(C139="","",COUNTIF($C$3:C139,C139))</f>
        <v/>
      </c>
      <c r="E139" s="18">
        <f>IF(C139="","",C139*1000+D139)</f>
        <v/>
      </c>
      <c r="F139" s="18">
        <f>IF(A139="","",INDEX(新年度名簿!$K$3:$K$452,A139))</f>
        <v/>
      </c>
      <c r="G139" s="18">
        <f>IF(A139="","",INDEX(新年度名簿!$C$3:$C$452,A139))</f>
        <v/>
      </c>
      <c r="H139" s="18">
        <f>IF(A139="","",INDEX(新年度名簿!$D$3:$D$452,A139))</f>
        <v/>
      </c>
    </row>
    <row r="140">
      <c r="A140" s="18">
        <f>IFERROR(MATCH(SMALL(新年度名簿!$J$3:$J$452,138),新年度名簿!$J$3:$J$452,0),"")</f>
        <v/>
      </c>
      <c r="B140" s="18">
        <f>IF(A140="","",INDEX(新年度名簿!$G$3:$G$452,A140))</f>
        <v/>
      </c>
      <c r="C140" s="18">
        <f>IF(A140="","",IFERROR(MATCH(B140,設定!$P$8:$P$27,0),""))</f>
        <v/>
      </c>
      <c r="D140" s="18">
        <f>IF(C140="","",COUNTIF($C$3:C140,C140))</f>
        <v/>
      </c>
      <c r="E140" s="18">
        <f>IF(C140="","",C140*1000+D140)</f>
        <v/>
      </c>
      <c r="F140" s="18">
        <f>IF(A140="","",INDEX(新年度名簿!$K$3:$K$452,A140))</f>
        <v/>
      </c>
      <c r="G140" s="18">
        <f>IF(A140="","",INDEX(新年度名簿!$C$3:$C$452,A140))</f>
        <v/>
      </c>
      <c r="H140" s="18">
        <f>IF(A140="","",INDEX(新年度名簿!$D$3:$D$452,A140))</f>
        <v/>
      </c>
    </row>
    <row r="141">
      <c r="A141" s="18">
        <f>IFERROR(MATCH(SMALL(新年度名簿!$J$3:$J$452,139),新年度名簿!$J$3:$J$452,0),"")</f>
        <v/>
      </c>
      <c r="B141" s="18">
        <f>IF(A141="","",INDEX(新年度名簿!$G$3:$G$452,A141))</f>
        <v/>
      </c>
      <c r="C141" s="18">
        <f>IF(A141="","",IFERROR(MATCH(B141,設定!$P$8:$P$27,0),""))</f>
        <v/>
      </c>
      <c r="D141" s="18">
        <f>IF(C141="","",COUNTIF($C$3:C141,C141))</f>
        <v/>
      </c>
      <c r="E141" s="18">
        <f>IF(C141="","",C141*1000+D141)</f>
        <v/>
      </c>
      <c r="F141" s="18">
        <f>IF(A141="","",INDEX(新年度名簿!$K$3:$K$452,A141))</f>
        <v/>
      </c>
      <c r="G141" s="18">
        <f>IF(A141="","",INDEX(新年度名簿!$C$3:$C$452,A141))</f>
        <v/>
      </c>
      <c r="H141" s="18">
        <f>IF(A141="","",INDEX(新年度名簿!$D$3:$D$452,A141))</f>
        <v/>
      </c>
    </row>
    <row r="142">
      <c r="A142" s="18">
        <f>IFERROR(MATCH(SMALL(新年度名簿!$J$3:$J$452,140),新年度名簿!$J$3:$J$452,0),"")</f>
        <v/>
      </c>
      <c r="B142" s="18">
        <f>IF(A142="","",INDEX(新年度名簿!$G$3:$G$452,A142))</f>
        <v/>
      </c>
      <c r="C142" s="18">
        <f>IF(A142="","",IFERROR(MATCH(B142,設定!$P$8:$P$27,0),""))</f>
        <v/>
      </c>
      <c r="D142" s="18">
        <f>IF(C142="","",COUNTIF($C$3:C142,C142))</f>
        <v/>
      </c>
      <c r="E142" s="18">
        <f>IF(C142="","",C142*1000+D142)</f>
        <v/>
      </c>
      <c r="F142" s="18">
        <f>IF(A142="","",INDEX(新年度名簿!$K$3:$K$452,A142))</f>
        <v/>
      </c>
      <c r="G142" s="18">
        <f>IF(A142="","",INDEX(新年度名簿!$C$3:$C$452,A142))</f>
        <v/>
      </c>
      <c r="H142" s="18">
        <f>IF(A142="","",INDEX(新年度名簿!$D$3:$D$452,A142))</f>
        <v/>
      </c>
    </row>
    <row r="143">
      <c r="A143" s="18">
        <f>IFERROR(MATCH(SMALL(新年度名簿!$J$3:$J$452,141),新年度名簿!$J$3:$J$452,0),"")</f>
        <v/>
      </c>
      <c r="B143" s="18">
        <f>IF(A143="","",INDEX(新年度名簿!$G$3:$G$452,A143))</f>
        <v/>
      </c>
      <c r="C143" s="18">
        <f>IF(A143="","",IFERROR(MATCH(B143,設定!$P$8:$P$27,0),""))</f>
        <v/>
      </c>
      <c r="D143" s="18">
        <f>IF(C143="","",COUNTIF($C$3:C143,C143))</f>
        <v/>
      </c>
      <c r="E143" s="18">
        <f>IF(C143="","",C143*1000+D143)</f>
        <v/>
      </c>
      <c r="F143" s="18">
        <f>IF(A143="","",INDEX(新年度名簿!$K$3:$K$452,A143))</f>
        <v/>
      </c>
      <c r="G143" s="18">
        <f>IF(A143="","",INDEX(新年度名簿!$C$3:$C$452,A143))</f>
        <v/>
      </c>
      <c r="H143" s="18">
        <f>IF(A143="","",INDEX(新年度名簿!$D$3:$D$452,A143))</f>
        <v/>
      </c>
    </row>
    <row r="144">
      <c r="A144" s="18">
        <f>IFERROR(MATCH(SMALL(新年度名簿!$J$3:$J$452,142),新年度名簿!$J$3:$J$452,0),"")</f>
        <v/>
      </c>
      <c r="B144" s="18">
        <f>IF(A144="","",INDEX(新年度名簿!$G$3:$G$452,A144))</f>
        <v/>
      </c>
      <c r="C144" s="18">
        <f>IF(A144="","",IFERROR(MATCH(B144,設定!$P$8:$P$27,0),""))</f>
        <v/>
      </c>
      <c r="D144" s="18">
        <f>IF(C144="","",COUNTIF($C$3:C144,C144))</f>
        <v/>
      </c>
      <c r="E144" s="18">
        <f>IF(C144="","",C144*1000+D144)</f>
        <v/>
      </c>
      <c r="F144" s="18">
        <f>IF(A144="","",INDEX(新年度名簿!$K$3:$K$452,A144))</f>
        <v/>
      </c>
      <c r="G144" s="18">
        <f>IF(A144="","",INDEX(新年度名簿!$C$3:$C$452,A144))</f>
        <v/>
      </c>
      <c r="H144" s="18">
        <f>IF(A144="","",INDEX(新年度名簿!$D$3:$D$452,A144))</f>
        <v/>
      </c>
    </row>
    <row r="145">
      <c r="A145" s="18">
        <f>IFERROR(MATCH(SMALL(新年度名簿!$J$3:$J$452,143),新年度名簿!$J$3:$J$452,0),"")</f>
        <v/>
      </c>
      <c r="B145" s="18">
        <f>IF(A145="","",INDEX(新年度名簿!$G$3:$G$452,A145))</f>
        <v/>
      </c>
      <c r="C145" s="18">
        <f>IF(A145="","",IFERROR(MATCH(B145,設定!$P$8:$P$27,0),""))</f>
        <v/>
      </c>
      <c r="D145" s="18">
        <f>IF(C145="","",COUNTIF($C$3:C145,C145))</f>
        <v/>
      </c>
      <c r="E145" s="18">
        <f>IF(C145="","",C145*1000+D145)</f>
        <v/>
      </c>
      <c r="F145" s="18">
        <f>IF(A145="","",INDEX(新年度名簿!$K$3:$K$452,A145))</f>
        <v/>
      </c>
      <c r="G145" s="18">
        <f>IF(A145="","",INDEX(新年度名簿!$C$3:$C$452,A145))</f>
        <v/>
      </c>
      <c r="H145" s="18">
        <f>IF(A145="","",INDEX(新年度名簿!$D$3:$D$452,A145))</f>
        <v/>
      </c>
    </row>
    <row r="146">
      <c r="A146" s="18">
        <f>IFERROR(MATCH(SMALL(新年度名簿!$J$3:$J$452,144),新年度名簿!$J$3:$J$452,0),"")</f>
        <v/>
      </c>
      <c r="B146" s="18">
        <f>IF(A146="","",INDEX(新年度名簿!$G$3:$G$452,A146))</f>
        <v/>
      </c>
      <c r="C146" s="18">
        <f>IF(A146="","",IFERROR(MATCH(B146,設定!$P$8:$P$27,0),""))</f>
        <v/>
      </c>
      <c r="D146" s="18">
        <f>IF(C146="","",COUNTIF($C$3:C146,C146))</f>
        <v/>
      </c>
      <c r="E146" s="18">
        <f>IF(C146="","",C146*1000+D146)</f>
        <v/>
      </c>
      <c r="F146" s="18">
        <f>IF(A146="","",INDEX(新年度名簿!$K$3:$K$452,A146))</f>
        <v/>
      </c>
      <c r="G146" s="18">
        <f>IF(A146="","",INDEX(新年度名簿!$C$3:$C$452,A146))</f>
        <v/>
      </c>
      <c r="H146" s="18">
        <f>IF(A146="","",INDEX(新年度名簿!$D$3:$D$452,A146))</f>
        <v/>
      </c>
    </row>
    <row r="147">
      <c r="A147" s="18">
        <f>IFERROR(MATCH(SMALL(新年度名簿!$J$3:$J$452,145),新年度名簿!$J$3:$J$452,0),"")</f>
        <v/>
      </c>
      <c r="B147" s="18">
        <f>IF(A147="","",INDEX(新年度名簿!$G$3:$G$452,A147))</f>
        <v/>
      </c>
      <c r="C147" s="18">
        <f>IF(A147="","",IFERROR(MATCH(B147,設定!$P$8:$P$27,0),""))</f>
        <v/>
      </c>
      <c r="D147" s="18">
        <f>IF(C147="","",COUNTIF($C$3:C147,C147))</f>
        <v/>
      </c>
      <c r="E147" s="18">
        <f>IF(C147="","",C147*1000+D147)</f>
        <v/>
      </c>
      <c r="F147" s="18">
        <f>IF(A147="","",INDEX(新年度名簿!$K$3:$K$452,A147))</f>
        <v/>
      </c>
      <c r="G147" s="18">
        <f>IF(A147="","",INDEX(新年度名簿!$C$3:$C$452,A147))</f>
        <v/>
      </c>
      <c r="H147" s="18">
        <f>IF(A147="","",INDEX(新年度名簿!$D$3:$D$452,A147))</f>
        <v/>
      </c>
    </row>
    <row r="148">
      <c r="A148" s="18">
        <f>IFERROR(MATCH(SMALL(新年度名簿!$J$3:$J$452,146),新年度名簿!$J$3:$J$452,0),"")</f>
        <v/>
      </c>
      <c r="B148" s="18">
        <f>IF(A148="","",INDEX(新年度名簿!$G$3:$G$452,A148))</f>
        <v/>
      </c>
      <c r="C148" s="18">
        <f>IF(A148="","",IFERROR(MATCH(B148,設定!$P$8:$P$27,0),""))</f>
        <v/>
      </c>
      <c r="D148" s="18">
        <f>IF(C148="","",COUNTIF($C$3:C148,C148))</f>
        <v/>
      </c>
      <c r="E148" s="18">
        <f>IF(C148="","",C148*1000+D148)</f>
        <v/>
      </c>
      <c r="F148" s="18">
        <f>IF(A148="","",INDEX(新年度名簿!$K$3:$K$452,A148))</f>
        <v/>
      </c>
      <c r="G148" s="18">
        <f>IF(A148="","",INDEX(新年度名簿!$C$3:$C$452,A148))</f>
        <v/>
      </c>
      <c r="H148" s="18">
        <f>IF(A148="","",INDEX(新年度名簿!$D$3:$D$452,A148))</f>
        <v/>
      </c>
    </row>
    <row r="149">
      <c r="A149" s="18">
        <f>IFERROR(MATCH(SMALL(新年度名簿!$J$3:$J$452,147),新年度名簿!$J$3:$J$452,0),"")</f>
        <v/>
      </c>
      <c r="B149" s="18">
        <f>IF(A149="","",INDEX(新年度名簿!$G$3:$G$452,A149))</f>
        <v/>
      </c>
      <c r="C149" s="18">
        <f>IF(A149="","",IFERROR(MATCH(B149,設定!$P$8:$P$27,0),""))</f>
        <v/>
      </c>
      <c r="D149" s="18">
        <f>IF(C149="","",COUNTIF($C$3:C149,C149))</f>
        <v/>
      </c>
      <c r="E149" s="18">
        <f>IF(C149="","",C149*1000+D149)</f>
        <v/>
      </c>
      <c r="F149" s="18">
        <f>IF(A149="","",INDEX(新年度名簿!$K$3:$K$452,A149))</f>
        <v/>
      </c>
      <c r="G149" s="18">
        <f>IF(A149="","",INDEX(新年度名簿!$C$3:$C$452,A149))</f>
        <v/>
      </c>
      <c r="H149" s="18">
        <f>IF(A149="","",INDEX(新年度名簿!$D$3:$D$452,A149))</f>
        <v/>
      </c>
    </row>
    <row r="150">
      <c r="A150" s="18">
        <f>IFERROR(MATCH(SMALL(新年度名簿!$J$3:$J$452,148),新年度名簿!$J$3:$J$452,0),"")</f>
        <v/>
      </c>
      <c r="B150" s="18">
        <f>IF(A150="","",INDEX(新年度名簿!$G$3:$G$452,A150))</f>
        <v/>
      </c>
      <c r="C150" s="18">
        <f>IF(A150="","",IFERROR(MATCH(B150,設定!$P$8:$P$27,0),""))</f>
        <v/>
      </c>
      <c r="D150" s="18">
        <f>IF(C150="","",COUNTIF($C$3:C150,C150))</f>
        <v/>
      </c>
      <c r="E150" s="18">
        <f>IF(C150="","",C150*1000+D150)</f>
        <v/>
      </c>
      <c r="F150" s="18">
        <f>IF(A150="","",INDEX(新年度名簿!$K$3:$K$452,A150))</f>
        <v/>
      </c>
      <c r="G150" s="18">
        <f>IF(A150="","",INDEX(新年度名簿!$C$3:$C$452,A150))</f>
        <v/>
      </c>
      <c r="H150" s="18">
        <f>IF(A150="","",INDEX(新年度名簿!$D$3:$D$452,A150))</f>
        <v/>
      </c>
    </row>
    <row r="151">
      <c r="A151" s="18">
        <f>IFERROR(MATCH(SMALL(新年度名簿!$J$3:$J$452,149),新年度名簿!$J$3:$J$452,0),"")</f>
        <v/>
      </c>
      <c r="B151" s="18">
        <f>IF(A151="","",INDEX(新年度名簿!$G$3:$G$452,A151))</f>
        <v/>
      </c>
      <c r="C151" s="18">
        <f>IF(A151="","",IFERROR(MATCH(B151,設定!$P$8:$P$27,0),""))</f>
        <v/>
      </c>
      <c r="D151" s="18">
        <f>IF(C151="","",COUNTIF($C$3:C151,C151))</f>
        <v/>
      </c>
      <c r="E151" s="18">
        <f>IF(C151="","",C151*1000+D151)</f>
        <v/>
      </c>
      <c r="F151" s="18">
        <f>IF(A151="","",INDEX(新年度名簿!$K$3:$K$452,A151))</f>
        <v/>
      </c>
      <c r="G151" s="18">
        <f>IF(A151="","",INDEX(新年度名簿!$C$3:$C$452,A151))</f>
        <v/>
      </c>
      <c r="H151" s="18">
        <f>IF(A151="","",INDEX(新年度名簿!$D$3:$D$452,A151))</f>
        <v/>
      </c>
    </row>
    <row r="152">
      <c r="A152" s="18">
        <f>IFERROR(MATCH(SMALL(新年度名簿!$J$3:$J$452,150),新年度名簿!$J$3:$J$452,0),"")</f>
        <v/>
      </c>
      <c r="B152" s="18">
        <f>IF(A152="","",INDEX(新年度名簿!$G$3:$G$452,A152))</f>
        <v/>
      </c>
      <c r="C152" s="18">
        <f>IF(A152="","",IFERROR(MATCH(B152,設定!$P$8:$P$27,0),""))</f>
        <v/>
      </c>
      <c r="D152" s="18">
        <f>IF(C152="","",COUNTIF($C$3:C152,C152))</f>
        <v/>
      </c>
      <c r="E152" s="18">
        <f>IF(C152="","",C152*1000+D152)</f>
        <v/>
      </c>
      <c r="F152" s="18">
        <f>IF(A152="","",INDEX(新年度名簿!$K$3:$K$452,A152))</f>
        <v/>
      </c>
      <c r="G152" s="18">
        <f>IF(A152="","",INDEX(新年度名簿!$C$3:$C$452,A152))</f>
        <v/>
      </c>
      <c r="H152" s="18">
        <f>IF(A152="","",INDEX(新年度名簿!$D$3:$D$452,A152))</f>
        <v/>
      </c>
    </row>
    <row r="153">
      <c r="A153" s="18">
        <f>IFERROR(MATCH(SMALL(新年度名簿!$J$3:$J$452,151),新年度名簿!$J$3:$J$452,0),"")</f>
        <v/>
      </c>
      <c r="B153" s="18">
        <f>IF(A153="","",INDEX(新年度名簿!$G$3:$G$452,A153))</f>
        <v/>
      </c>
      <c r="C153" s="18">
        <f>IF(A153="","",IFERROR(MATCH(B153,設定!$P$8:$P$27,0),""))</f>
        <v/>
      </c>
      <c r="D153" s="18">
        <f>IF(C153="","",COUNTIF($C$3:C153,C153))</f>
        <v/>
      </c>
      <c r="E153" s="18">
        <f>IF(C153="","",C153*1000+D153)</f>
        <v/>
      </c>
      <c r="F153" s="18">
        <f>IF(A153="","",INDEX(新年度名簿!$K$3:$K$452,A153))</f>
        <v/>
      </c>
      <c r="G153" s="18">
        <f>IF(A153="","",INDEX(新年度名簿!$C$3:$C$452,A153))</f>
        <v/>
      </c>
      <c r="H153" s="18">
        <f>IF(A153="","",INDEX(新年度名簿!$D$3:$D$452,A153))</f>
        <v/>
      </c>
    </row>
    <row r="154">
      <c r="A154" s="18">
        <f>IFERROR(MATCH(SMALL(新年度名簿!$J$3:$J$452,152),新年度名簿!$J$3:$J$452,0),"")</f>
        <v/>
      </c>
      <c r="B154" s="18">
        <f>IF(A154="","",INDEX(新年度名簿!$G$3:$G$452,A154))</f>
        <v/>
      </c>
      <c r="C154" s="18">
        <f>IF(A154="","",IFERROR(MATCH(B154,設定!$P$8:$P$27,0),""))</f>
        <v/>
      </c>
      <c r="D154" s="18">
        <f>IF(C154="","",COUNTIF($C$3:C154,C154))</f>
        <v/>
      </c>
      <c r="E154" s="18">
        <f>IF(C154="","",C154*1000+D154)</f>
        <v/>
      </c>
      <c r="F154" s="18">
        <f>IF(A154="","",INDEX(新年度名簿!$K$3:$K$452,A154))</f>
        <v/>
      </c>
      <c r="G154" s="18">
        <f>IF(A154="","",INDEX(新年度名簿!$C$3:$C$452,A154))</f>
        <v/>
      </c>
      <c r="H154" s="18">
        <f>IF(A154="","",INDEX(新年度名簿!$D$3:$D$452,A154))</f>
        <v/>
      </c>
    </row>
    <row r="155">
      <c r="A155" s="18">
        <f>IFERROR(MATCH(SMALL(新年度名簿!$J$3:$J$452,153),新年度名簿!$J$3:$J$452,0),"")</f>
        <v/>
      </c>
      <c r="B155" s="18">
        <f>IF(A155="","",INDEX(新年度名簿!$G$3:$G$452,A155))</f>
        <v/>
      </c>
      <c r="C155" s="18">
        <f>IF(A155="","",IFERROR(MATCH(B155,設定!$P$8:$P$27,0),""))</f>
        <v/>
      </c>
      <c r="D155" s="18">
        <f>IF(C155="","",COUNTIF($C$3:C155,C155))</f>
        <v/>
      </c>
      <c r="E155" s="18">
        <f>IF(C155="","",C155*1000+D155)</f>
        <v/>
      </c>
      <c r="F155" s="18">
        <f>IF(A155="","",INDEX(新年度名簿!$K$3:$K$452,A155))</f>
        <v/>
      </c>
      <c r="G155" s="18">
        <f>IF(A155="","",INDEX(新年度名簿!$C$3:$C$452,A155))</f>
        <v/>
      </c>
      <c r="H155" s="18">
        <f>IF(A155="","",INDEX(新年度名簿!$D$3:$D$452,A155))</f>
        <v/>
      </c>
    </row>
    <row r="156">
      <c r="A156" s="18">
        <f>IFERROR(MATCH(SMALL(新年度名簿!$J$3:$J$452,154),新年度名簿!$J$3:$J$452,0),"")</f>
        <v/>
      </c>
      <c r="B156" s="18">
        <f>IF(A156="","",INDEX(新年度名簿!$G$3:$G$452,A156))</f>
        <v/>
      </c>
      <c r="C156" s="18">
        <f>IF(A156="","",IFERROR(MATCH(B156,設定!$P$8:$P$27,0),""))</f>
        <v/>
      </c>
      <c r="D156" s="18">
        <f>IF(C156="","",COUNTIF($C$3:C156,C156))</f>
        <v/>
      </c>
      <c r="E156" s="18">
        <f>IF(C156="","",C156*1000+D156)</f>
        <v/>
      </c>
      <c r="F156" s="18">
        <f>IF(A156="","",INDEX(新年度名簿!$K$3:$K$452,A156))</f>
        <v/>
      </c>
      <c r="G156" s="18">
        <f>IF(A156="","",INDEX(新年度名簿!$C$3:$C$452,A156))</f>
        <v/>
      </c>
      <c r="H156" s="18">
        <f>IF(A156="","",INDEX(新年度名簿!$D$3:$D$452,A156))</f>
        <v/>
      </c>
    </row>
    <row r="157">
      <c r="A157" s="18">
        <f>IFERROR(MATCH(SMALL(新年度名簿!$J$3:$J$452,155),新年度名簿!$J$3:$J$452,0),"")</f>
        <v/>
      </c>
      <c r="B157" s="18">
        <f>IF(A157="","",INDEX(新年度名簿!$G$3:$G$452,A157))</f>
        <v/>
      </c>
      <c r="C157" s="18">
        <f>IF(A157="","",IFERROR(MATCH(B157,設定!$P$8:$P$27,0),""))</f>
        <v/>
      </c>
      <c r="D157" s="18">
        <f>IF(C157="","",COUNTIF($C$3:C157,C157))</f>
        <v/>
      </c>
      <c r="E157" s="18">
        <f>IF(C157="","",C157*1000+D157)</f>
        <v/>
      </c>
      <c r="F157" s="18">
        <f>IF(A157="","",INDEX(新年度名簿!$K$3:$K$452,A157))</f>
        <v/>
      </c>
      <c r="G157" s="18">
        <f>IF(A157="","",INDEX(新年度名簿!$C$3:$C$452,A157))</f>
        <v/>
      </c>
      <c r="H157" s="18">
        <f>IF(A157="","",INDEX(新年度名簿!$D$3:$D$452,A157))</f>
        <v/>
      </c>
    </row>
    <row r="158">
      <c r="A158" s="18">
        <f>IFERROR(MATCH(SMALL(新年度名簿!$J$3:$J$452,156),新年度名簿!$J$3:$J$452,0),"")</f>
        <v/>
      </c>
      <c r="B158" s="18">
        <f>IF(A158="","",INDEX(新年度名簿!$G$3:$G$452,A158))</f>
        <v/>
      </c>
      <c r="C158" s="18">
        <f>IF(A158="","",IFERROR(MATCH(B158,設定!$P$8:$P$27,0),""))</f>
        <v/>
      </c>
      <c r="D158" s="18">
        <f>IF(C158="","",COUNTIF($C$3:C158,C158))</f>
        <v/>
      </c>
      <c r="E158" s="18">
        <f>IF(C158="","",C158*1000+D158)</f>
        <v/>
      </c>
      <c r="F158" s="18">
        <f>IF(A158="","",INDEX(新年度名簿!$K$3:$K$452,A158))</f>
        <v/>
      </c>
      <c r="G158" s="18">
        <f>IF(A158="","",INDEX(新年度名簿!$C$3:$C$452,A158))</f>
        <v/>
      </c>
      <c r="H158" s="18">
        <f>IF(A158="","",INDEX(新年度名簿!$D$3:$D$452,A158))</f>
        <v/>
      </c>
    </row>
    <row r="159">
      <c r="A159" s="18">
        <f>IFERROR(MATCH(SMALL(新年度名簿!$J$3:$J$452,157),新年度名簿!$J$3:$J$452,0),"")</f>
        <v/>
      </c>
      <c r="B159" s="18">
        <f>IF(A159="","",INDEX(新年度名簿!$G$3:$G$452,A159))</f>
        <v/>
      </c>
      <c r="C159" s="18">
        <f>IF(A159="","",IFERROR(MATCH(B159,設定!$P$8:$P$27,0),""))</f>
        <v/>
      </c>
      <c r="D159" s="18">
        <f>IF(C159="","",COUNTIF($C$3:C159,C159))</f>
        <v/>
      </c>
      <c r="E159" s="18">
        <f>IF(C159="","",C159*1000+D159)</f>
        <v/>
      </c>
      <c r="F159" s="18">
        <f>IF(A159="","",INDEX(新年度名簿!$K$3:$K$452,A159))</f>
        <v/>
      </c>
      <c r="G159" s="18">
        <f>IF(A159="","",INDEX(新年度名簿!$C$3:$C$452,A159))</f>
        <v/>
      </c>
      <c r="H159" s="18">
        <f>IF(A159="","",INDEX(新年度名簿!$D$3:$D$452,A159))</f>
        <v/>
      </c>
    </row>
    <row r="160">
      <c r="A160" s="18">
        <f>IFERROR(MATCH(SMALL(新年度名簿!$J$3:$J$452,158),新年度名簿!$J$3:$J$452,0),"")</f>
        <v/>
      </c>
      <c r="B160" s="18">
        <f>IF(A160="","",INDEX(新年度名簿!$G$3:$G$452,A160))</f>
        <v/>
      </c>
      <c r="C160" s="18">
        <f>IF(A160="","",IFERROR(MATCH(B160,設定!$P$8:$P$27,0),""))</f>
        <v/>
      </c>
      <c r="D160" s="18">
        <f>IF(C160="","",COUNTIF($C$3:C160,C160))</f>
        <v/>
      </c>
      <c r="E160" s="18">
        <f>IF(C160="","",C160*1000+D160)</f>
        <v/>
      </c>
      <c r="F160" s="18">
        <f>IF(A160="","",INDEX(新年度名簿!$K$3:$K$452,A160))</f>
        <v/>
      </c>
      <c r="G160" s="18">
        <f>IF(A160="","",INDEX(新年度名簿!$C$3:$C$452,A160))</f>
        <v/>
      </c>
      <c r="H160" s="18">
        <f>IF(A160="","",INDEX(新年度名簿!$D$3:$D$452,A160))</f>
        <v/>
      </c>
    </row>
    <row r="161">
      <c r="A161" s="18">
        <f>IFERROR(MATCH(SMALL(新年度名簿!$J$3:$J$452,159),新年度名簿!$J$3:$J$452,0),"")</f>
        <v/>
      </c>
      <c r="B161" s="18">
        <f>IF(A161="","",INDEX(新年度名簿!$G$3:$G$452,A161))</f>
        <v/>
      </c>
      <c r="C161" s="18">
        <f>IF(A161="","",IFERROR(MATCH(B161,設定!$P$8:$P$27,0),""))</f>
        <v/>
      </c>
      <c r="D161" s="18">
        <f>IF(C161="","",COUNTIF($C$3:C161,C161))</f>
        <v/>
      </c>
      <c r="E161" s="18">
        <f>IF(C161="","",C161*1000+D161)</f>
        <v/>
      </c>
      <c r="F161" s="18">
        <f>IF(A161="","",INDEX(新年度名簿!$K$3:$K$452,A161))</f>
        <v/>
      </c>
      <c r="G161" s="18">
        <f>IF(A161="","",INDEX(新年度名簿!$C$3:$C$452,A161))</f>
        <v/>
      </c>
      <c r="H161" s="18">
        <f>IF(A161="","",INDEX(新年度名簿!$D$3:$D$452,A161))</f>
        <v/>
      </c>
    </row>
    <row r="162">
      <c r="A162" s="18">
        <f>IFERROR(MATCH(SMALL(新年度名簿!$J$3:$J$452,160),新年度名簿!$J$3:$J$452,0),"")</f>
        <v/>
      </c>
      <c r="B162" s="18">
        <f>IF(A162="","",INDEX(新年度名簿!$G$3:$G$452,A162))</f>
        <v/>
      </c>
      <c r="C162" s="18">
        <f>IF(A162="","",IFERROR(MATCH(B162,設定!$P$8:$P$27,0),""))</f>
        <v/>
      </c>
      <c r="D162" s="18">
        <f>IF(C162="","",COUNTIF($C$3:C162,C162))</f>
        <v/>
      </c>
      <c r="E162" s="18">
        <f>IF(C162="","",C162*1000+D162)</f>
        <v/>
      </c>
      <c r="F162" s="18">
        <f>IF(A162="","",INDEX(新年度名簿!$K$3:$K$452,A162))</f>
        <v/>
      </c>
      <c r="G162" s="18">
        <f>IF(A162="","",INDEX(新年度名簿!$C$3:$C$452,A162))</f>
        <v/>
      </c>
      <c r="H162" s="18">
        <f>IF(A162="","",INDEX(新年度名簿!$D$3:$D$452,A162))</f>
        <v/>
      </c>
    </row>
    <row r="163">
      <c r="A163" s="18">
        <f>IFERROR(MATCH(SMALL(新年度名簿!$J$3:$J$452,161),新年度名簿!$J$3:$J$452,0),"")</f>
        <v/>
      </c>
      <c r="B163" s="18">
        <f>IF(A163="","",INDEX(新年度名簿!$G$3:$G$452,A163))</f>
        <v/>
      </c>
      <c r="C163" s="18">
        <f>IF(A163="","",IFERROR(MATCH(B163,設定!$P$8:$P$27,0),""))</f>
        <v/>
      </c>
      <c r="D163" s="18">
        <f>IF(C163="","",COUNTIF($C$3:C163,C163))</f>
        <v/>
      </c>
      <c r="E163" s="18">
        <f>IF(C163="","",C163*1000+D163)</f>
        <v/>
      </c>
      <c r="F163" s="18">
        <f>IF(A163="","",INDEX(新年度名簿!$K$3:$K$452,A163))</f>
        <v/>
      </c>
      <c r="G163" s="18">
        <f>IF(A163="","",INDEX(新年度名簿!$C$3:$C$452,A163))</f>
        <v/>
      </c>
      <c r="H163" s="18">
        <f>IF(A163="","",INDEX(新年度名簿!$D$3:$D$452,A163))</f>
        <v/>
      </c>
    </row>
    <row r="164">
      <c r="A164" s="18">
        <f>IFERROR(MATCH(SMALL(新年度名簿!$J$3:$J$452,162),新年度名簿!$J$3:$J$452,0),"")</f>
        <v/>
      </c>
      <c r="B164" s="18">
        <f>IF(A164="","",INDEX(新年度名簿!$G$3:$G$452,A164))</f>
        <v/>
      </c>
      <c r="C164" s="18">
        <f>IF(A164="","",IFERROR(MATCH(B164,設定!$P$8:$P$27,0),""))</f>
        <v/>
      </c>
      <c r="D164" s="18">
        <f>IF(C164="","",COUNTIF($C$3:C164,C164))</f>
        <v/>
      </c>
      <c r="E164" s="18">
        <f>IF(C164="","",C164*1000+D164)</f>
        <v/>
      </c>
      <c r="F164" s="18">
        <f>IF(A164="","",INDEX(新年度名簿!$K$3:$K$452,A164))</f>
        <v/>
      </c>
      <c r="G164" s="18">
        <f>IF(A164="","",INDEX(新年度名簿!$C$3:$C$452,A164))</f>
        <v/>
      </c>
      <c r="H164" s="18">
        <f>IF(A164="","",INDEX(新年度名簿!$D$3:$D$452,A164))</f>
        <v/>
      </c>
    </row>
    <row r="165">
      <c r="A165" s="18">
        <f>IFERROR(MATCH(SMALL(新年度名簿!$J$3:$J$452,163),新年度名簿!$J$3:$J$452,0),"")</f>
        <v/>
      </c>
      <c r="B165" s="18">
        <f>IF(A165="","",INDEX(新年度名簿!$G$3:$G$452,A165))</f>
        <v/>
      </c>
      <c r="C165" s="18">
        <f>IF(A165="","",IFERROR(MATCH(B165,設定!$P$8:$P$27,0),""))</f>
        <v/>
      </c>
      <c r="D165" s="18">
        <f>IF(C165="","",COUNTIF($C$3:C165,C165))</f>
        <v/>
      </c>
      <c r="E165" s="18">
        <f>IF(C165="","",C165*1000+D165)</f>
        <v/>
      </c>
      <c r="F165" s="18">
        <f>IF(A165="","",INDEX(新年度名簿!$K$3:$K$452,A165))</f>
        <v/>
      </c>
      <c r="G165" s="18">
        <f>IF(A165="","",INDEX(新年度名簿!$C$3:$C$452,A165))</f>
        <v/>
      </c>
      <c r="H165" s="18">
        <f>IF(A165="","",INDEX(新年度名簿!$D$3:$D$452,A165))</f>
        <v/>
      </c>
    </row>
    <row r="166">
      <c r="A166" s="18">
        <f>IFERROR(MATCH(SMALL(新年度名簿!$J$3:$J$452,164),新年度名簿!$J$3:$J$452,0),"")</f>
        <v/>
      </c>
      <c r="B166" s="18">
        <f>IF(A166="","",INDEX(新年度名簿!$G$3:$G$452,A166))</f>
        <v/>
      </c>
      <c r="C166" s="18">
        <f>IF(A166="","",IFERROR(MATCH(B166,設定!$P$8:$P$27,0),""))</f>
        <v/>
      </c>
      <c r="D166" s="18">
        <f>IF(C166="","",COUNTIF($C$3:C166,C166))</f>
        <v/>
      </c>
      <c r="E166" s="18">
        <f>IF(C166="","",C166*1000+D166)</f>
        <v/>
      </c>
      <c r="F166" s="18">
        <f>IF(A166="","",INDEX(新年度名簿!$K$3:$K$452,A166))</f>
        <v/>
      </c>
      <c r="G166" s="18">
        <f>IF(A166="","",INDEX(新年度名簿!$C$3:$C$452,A166))</f>
        <v/>
      </c>
      <c r="H166" s="18">
        <f>IF(A166="","",INDEX(新年度名簿!$D$3:$D$452,A166))</f>
        <v/>
      </c>
    </row>
    <row r="167">
      <c r="A167" s="18">
        <f>IFERROR(MATCH(SMALL(新年度名簿!$J$3:$J$452,165),新年度名簿!$J$3:$J$452,0),"")</f>
        <v/>
      </c>
      <c r="B167" s="18">
        <f>IF(A167="","",INDEX(新年度名簿!$G$3:$G$452,A167))</f>
        <v/>
      </c>
      <c r="C167" s="18">
        <f>IF(A167="","",IFERROR(MATCH(B167,設定!$P$8:$P$27,0),""))</f>
        <v/>
      </c>
      <c r="D167" s="18">
        <f>IF(C167="","",COUNTIF($C$3:C167,C167))</f>
        <v/>
      </c>
      <c r="E167" s="18">
        <f>IF(C167="","",C167*1000+D167)</f>
        <v/>
      </c>
      <c r="F167" s="18">
        <f>IF(A167="","",INDEX(新年度名簿!$K$3:$K$452,A167))</f>
        <v/>
      </c>
      <c r="G167" s="18">
        <f>IF(A167="","",INDEX(新年度名簿!$C$3:$C$452,A167))</f>
        <v/>
      </c>
      <c r="H167" s="18">
        <f>IF(A167="","",INDEX(新年度名簿!$D$3:$D$452,A167))</f>
        <v/>
      </c>
    </row>
    <row r="168">
      <c r="A168" s="18">
        <f>IFERROR(MATCH(SMALL(新年度名簿!$J$3:$J$452,166),新年度名簿!$J$3:$J$452,0),"")</f>
        <v/>
      </c>
      <c r="B168" s="18">
        <f>IF(A168="","",INDEX(新年度名簿!$G$3:$G$452,A168))</f>
        <v/>
      </c>
      <c r="C168" s="18">
        <f>IF(A168="","",IFERROR(MATCH(B168,設定!$P$8:$P$27,0),""))</f>
        <v/>
      </c>
      <c r="D168" s="18">
        <f>IF(C168="","",COUNTIF($C$3:C168,C168))</f>
        <v/>
      </c>
      <c r="E168" s="18">
        <f>IF(C168="","",C168*1000+D168)</f>
        <v/>
      </c>
      <c r="F168" s="18">
        <f>IF(A168="","",INDEX(新年度名簿!$K$3:$K$452,A168))</f>
        <v/>
      </c>
      <c r="G168" s="18">
        <f>IF(A168="","",INDEX(新年度名簿!$C$3:$C$452,A168))</f>
        <v/>
      </c>
      <c r="H168" s="18">
        <f>IF(A168="","",INDEX(新年度名簿!$D$3:$D$452,A168))</f>
        <v/>
      </c>
    </row>
    <row r="169">
      <c r="A169" s="18">
        <f>IFERROR(MATCH(SMALL(新年度名簿!$J$3:$J$452,167),新年度名簿!$J$3:$J$452,0),"")</f>
        <v/>
      </c>
      <c r="B169" s="18">
        <f>IF(A169="","",INDEX(新年度名簿!$G$3:$G$452,A169))</f>
        <v/>
      </c>
      <c r="C169" s="18">
        <f>IF(A169="","",IFERROR(MATCH(B169,設定!$P$8:$P$27,0),""))</f>
        <v/>
      </c>
      <c r="D169" s="18">
        <f>IF(C169="","",COUNTIF($C$3:C169,C169))</f>
        <v/>
      </c>
      <c r="E169" s="18">
        <f>IF(C169="","",C169*1000+D169)</f>
        <v/>
      </c>
      <c r="F169" s="18">
        <f>IF(A169="","",INDEX(新年度名簿!$K$3:$K$452,A169))</f>
        <v/>
      </c>
      <c r="G169" s="18">
        <f>IF(A169="","",INDEX(新年度名簿!$C$3:$C$452,A169))</f>
        <v/>
      </c>
      <c r="H169" s="18">
        <f>IF(A169="","",INDEX(新年度名簿!$D$3:$D$452,A169))</f>
        <v/>
      </c>
    </row>
    <row r="170">
      <c r="A170" s="18">
        <f>IFERROR(MATCH(SMALL(新年度名簿!$J$3:$J$452,168),新年度名簿!$J$3:$J$452,0),"")</f>
        <v/>
      </c>
      <c r="B170" s="18">
        <f>IF(A170="","",INDEX(新年度名簿!$G$3:$G$452,A170))</f>
        <v/>
      </c>
      <c r="C170" s="18">
        <f>IF(A170="","",IFERROR(MATCH(B170,設定!$P$8:$P$27,0),""))</f>
        <v/>
      </c>
      <c r="D170" s="18">
        <f>IF(C170="","",COUNTIF($C$3:C170,C170))</f>
        <v/>
      </c>
      <c r="E170" s="18">
        <f>IF(C170="","",C170*1000+D170)</f>
        <v/>
      </c>
      <c r="F170" s="18">
        <f>IF(A170="","",INDEX(新年度名簿!$K$3:$K$452,A170))</f>
        <v/>
      </c>
      <c r="G170" s="18">
        <f>IF(A170="","",INDEX(新年度名簿!$C$3:$C$452,A170))</f>
        <v/>
      </c>
      <c r="H170" s="18">
        <f>IF(A170="","",INDEX(新年度名簿!$D$3:$D$452,A170))</f>
        <v/>
      </c>
    </row>
    <row r="171">
      <c r="A171" s="18">
        <f>IFERROR(MATCH(SMALL(新年度名簿!$J$3:$J$452,169),新年度名簿!$J$3:$J$452,0),"")</f>
        <v/>
      </c>
      <c r="B171" s="18">
        <f>IF(A171="","",INDEX(新年度名簿!$G$3:$G$452,A171))</f>
        <v/>
      </c>
      <c r="C171" s="18">
        <f>IF(A171="","",IFERROR(MATCH(B171,設定!$P$8:$P$27,0),""))</f>
        <v/>
      </c>
      <c r="D171" s="18">
        <f>IF(C171="","",COUNTIF($C$3:C171,C171))</f>
        <v/>
      </c>
      <c r="E171" s="18">
        <f>IF(C171="","",C171*1000+D171)</f>
        <v/>
      </c>
      <c r="F171" s="18">
        <f>IF(A171="","",INDEX(新年度名簿!$K$3:$K$452,A171))</f>
        <v/>
      </c>
      <c r="G171" s="18">
        <f>IF(A171="","",INDEX(新年度名簿!$C$3:$C$452,A171))</f>
        <v/>
      </c>
      <c r="H171" s="18">
        <f>IF(A171="","",INDEX(新年度名簿!$D$3:$D$452,A171))</f>
        <v/>
      </c>
    </row>
    <row r="172">
      <c r="A172" s="18">
        <f>IFERROR(MATCH(SMALL(新年度名簿!$J$3:$J$452,170),新年度名簿!$J$3:$J$452,0),"")</f>
        <v/>
      </c>
      <c r="B172" s="18">
        <f>IF(A172="","",INDEX(新年度名簿!$G$3:$G$452,A172))</f>
        <v/>
      </c>
      <c r="C172" s="18">
        <f>IF(A172="","",IFERROR(MATCH(B172,設定!$P$8:$P$27,0),""))</f>
        <v/>
      </c>
      <c r="D172" s="18">
        <f>IF(C172="","",COUNTIF($C$3:C172,C172))</f>
        <v/>
      </c>
      <c r="E172" s="18">
        <f>IF(C172="","",C172*1000+D172)</f>
        <v/>
      </c>
      <c r="F172" s="18">
        <f>IF(A172="","",INDEX(新年度名簿!$K$3:$K$452,A172))</f>
        <v/>
      </c>
      <c r="G172" s="18">
        <f>IF(A172="","",INDEX(新年度名簿!$C$3:$C$452,A172))</f>
        <v/>
      </c>
      <c r="H172" s="18">
        <f>IF(A172="","",INDEX(新年度名簿!$D$3:$D$452,A172))</f>
        <v/>
      </c>
    </row>
    <row r="173">
      <c r="A173" s="18">
        <f>IFERROR(MATCH(SMALL(新年度名簿!$J$3:$J$452,171),新年度名簿!$J$3:$J$452,0),"")</f>
        <v/>
      </c>
      <c r="B173" s="18">
        <f>IF(A173="","",INDEX(新年度名簿!$G$3:$G$452,A173))</f>
        <v/>
      </c>
      <c r="C173" s="18">
        <f>IF(A173="","",IFERROR(MATCH(B173,設定!$P$8:$P$27,0),""))</f>
        <v/>
      </c>
      <c r="D173" s="18">
        <f>IF(C173="","",COUNTIF($C$3:C173,C173))</f>
        <v/>
      </c>
      <c r="E173" s="18">
        <f>IF(C173="","",C173*1000+D173)</f>
        <v/>
      </c>
      <c r="F173" s="18">
        <f>IF(A173="","",INDEX(新年度名簿!$K$3:$K$452,A173))</f>
        <v/>
      </c>
      <c r="G173" s="18">
        <f>IF(A173="","",INDEX(新年度名簿!$C$3:$C$452,A173))</f>
        <v/>
      </c>
      <c r="H173" s="18">
        <f>IF(A173="","",INDEX(新年度名簿!$D$3:$D$452,A173))</f>
        <v/>
      </c>
    </row>
    <row r="174">
      <c r="A174" s="18">
        <f>IFERROR(MATCH(SMALL(新年度名簿!$J$3:$J$452,172),新年度名簿!$J$3:$J$452,0),"")</f>
        <v/>
      </c>
      <c r="B174" s="18">
        <f>IF(A174="","",INDEX(新年度名簿!$G$3:$G$452,A174))</f>
        <v/>
      </c>
      <c r="C174" s="18">
        <f>IF(A174="","",IFERROR(MATCH(B174,設定!$P$8:$P$27,0),""))</f>
        <v/>
      </c>
      <c r="D174" s="18">
        <f>IF(C174="","",COUNTIF($C$3:C174,C174))</f>
        <v/>
      </c>
      <c r="E174" s="18">
        <f>IF(C174="","",C174*1000+D174)</f>
        <v/>
      </c>
      <c r="F174" s="18">
        <f>IF(A174="","",INDEX(新年度名簿!$K$3:$K$452,A174))</f>
        <v/>
      </c>
      <c r="G174" s="18">
        <f>IF(A174="","",INDEX(新年度名簿!$C$3:$C$452,A174))</f>
        <v/>
      </c>
      <c r="H174" s="18">
        <f>IF(A174="","",INDEX(新年度名簿!$D$3:$D$452,A174))</f>
        <v/>
      </c>
    </row>
    <row r="175">
      <c r="A175" s="18">
        <f>IFERROR(MATCH(SMALL(新年度名簿!$J$3:$J$452,173),新年度名簿!$J$3:$J$452,0),"")</f>
        <v/>
      </c>
      <c r="B175" s="18">
        <f>IF(A175="","",INDEX(新年度名簿!$G$3:$G$452,A175))</f>
        <v/>
      </c>
      <c r="C175" s="18">
        <f>IF(A175="","",IFERROR(MATCH(B175,設定!$P$8:$P$27,0),""))</f>
        <v/>
      </c>
      <c r="D175" s="18">
        <f>IF(C175="","",COUNTIF($C$3:C175,C175))</f>
        <v/>
      </c>
      <c r="E175" s="18">
        <f>IF(C175="","",C175*1000+D175)</f>
        <v/>
      </c>
      <c r="F175" s="18">
        <f>IF(A175="","",INDEX(新年度名簿!$K$3:$K$452,A175))</f>
        <v/>
      </c>
      <c r="G175" s="18">
        <f>IF(A175="","",INDEX(新年度名簿!$C$3:$C$452,A175))</f>
        <v/>
      </c>
      <c r="H175" s="18">
        <f>IF(A175="","",INDEX(新年度名簿!$D$3:$D$452,A175))</f>
        <v/>
      </c>
    </row>
    <row r="176">
      <c r="A176" s="18">
        <f>IFERROR(MATCH(SMALL(新年度名簿!$J$3:$J$452,174),新年度名簿!$J$3:$J$452,0),"")</f>
        <v/>
      </c>
      <c r="B176" s="18">
        <f>IF(A176="","",INDEX(新年度名簿!$G$3:$G$452,A176))</f>
        <v/>
      </c>
      <c r="C176" s="18">
        <f>IF(A176="","",IFERROR(MATCH(B176,設定!$P$8:$P$27,0),""))</f>
        <v/>
      </c>
      <c r="D176" s="18">
        <f>IF(C176="","",COUNTIF($C$3:C176,C176))</f>
        <v/>
      </c>
      <c r="E176" s="18">
        <f>IF(C176="","",C176*1000+D176)</f>
        <v/>
      </c>
      <c r="F176" s="18">
        <f>IF(A176="","",INDEX(新年度名簿!$K$3:$K$452,A176))</f>
        <v/>
      </c>
      <c r="G176" s="18">
        <f>IF(A176="","",INDEX(新年度名簿!$C$3:$C$452,A176))</f>
        <v/>
      </c>
      <c r="H176" s="18">
        <f>IF(A176="","",INDEX(新年度名簿!$D$3:$D$452,A176))</f>
        <v/>
      </c>
    </row>
    <row r="177">
      <c r="A177" s="18">
        <f>IFERROR(MATCH(SMALL(新年度名簿!$J$3:$J$452,175),新年度名簿!$J$3:$J$452,0),"")</f>
        <v/>
      </c>
      <c r="B177" s="18">
        <f>IF(A177="","",INDEX(新年度名簿!$G$3:$G$452,A177))</f>
        <v/>
      </c>
      <c r="C177" s="18">
        <f>IF(A177="","",IFERROR(MATCH(B177,設定!$P$8:$P$27,0),""))</f>
        <v/>
      </c>
      <c r="D177" s="18">
        <f>IF(C177="","",COUNTIF($C$3:C177,C177))</f>
        <v/>
      </c>
      <c r="E177" s="18">
        <f>IF(C177="","",C177*1000+D177)</f>
        <v/>
      </c>
      <c r="F177" s="18">
        <f>IF(A177="","",INDEX(新年度名簿!$K$3:$K$452,A177))</f>
        <v/>
      </c>
      <c r="G177" s="18">
        <f>IF(A177="","",INDEX(新年度名簿!$C$3:$C$452,A177))</f>
        <v/>
      </c>
      <c r="H177" s="18">
        <f>IF(A177="","",INDEX(新年度名簿!$D$3:$D$452,A177))</f>
        <v/>
      </c>
    </row>
    <row r="178">
      <c r="A178" s="18">
        <f>IFERROR(MATCH(SMALL(新年度名簿!$J$3:$J$452,176),新年度名簿!$J$3:$J$452,0),"")</f>
        <v/>
      </c>
      <c r="B178" s="18">
        <f>IF(A178="","",INDEX(新年度名簿!$G$3:$G$452,A178))</f>
        <v/>
      </c>
      <c r="C178" s="18">
        <f>IF(A178="","",IFERROR(MATCH(B178,設定!$P$8:$P$27,0),""))</f>
        <v/>
      </c>
      <c r="D178" s="18">
        <f>IF(C178="","",COUNTIF($C$3:C178,C178))</f>
        <v/>
      </c>
      <c r="E178" s="18">
        <f>IF(C178="","",C178*1000+D178)</f>
        <v/>
      </c>
      <c r="F178" s="18">
        <f>IF(A178="","",INDEX(新年度名簿!$K$3:$K$452,A178))</f>
        <v/>
      </c>
      <c r="G178" s="18">
        <f>IF(A178="","",INDEX(新年度名簿!$C$3:$C$452,A178))</f>
        <v/>
      </c>
      <c r="H178" s="18">
        <f>IF(A178="","",INDEX(新年度名簿!$D$3:$D$452,A178))</f>
        <v/>
      </c>
    </row>
    <row r="179">
      <c r="A179" s="18">
        <f>IFERROR(MATCH(SMALL(新年度名簿!$J$3:$J$452,177),新年度名簿!$J$3:$J$452,0),"")</f>
        <v/>
      </c>
      <c r="B179" s="18">
        <f>IF(A179="","",INDEX(新年度名簿!$G$3:$G$452,A179))</f>
        <v/>
      </c>
      <c r="C179" s="18">
        <f>IF(A179="","",IFERROR(MATCH(B179,設定!$P$8:$P$27,0),""))</f>
        <v/>
      </c>
      <c r="D179" s="18">
        <f>IF(C179="","",COUNTIF($C$3:C179,C179))</f>
        <v/>
      </c>
      <c r="E179" s="18">
        <f>IF(C179="","",C179*1000+D179)</f>
        <v/>
      </c>
      <c r="F179" s="18">
        <f>IF(A179="","",INDEX(新年度名簿!$K$3:$K$452,A179))</f>
        <v/>
      </c>
      <c r="G179" s="18">
        <f>IF(A179="","",INDEX(新年度名簿!$C$3:$C$452,A179))</f>
        <v/>
      </c>
      <c r="H179" s="18">
        <f>IF(A179="","",INDEX(新年度名簿!$D$3:$D$452,A179))</f>
        <v/>
      </c>
    </row>
    <row r="180">
      <c r="A180" s="18">
        <f>IFERROR(MATCH(SMALL(新年度名簿!$J$3:$J$452,178),新年度名簿!$J$3:$J$452,0),"")</f>
        <v/>
      </c>
      <c r="B180" s="18">
        <f>IF(A180="","",INDEX(新年度名簿!$G$3:$G$452,A180))</f>
        <v/>
      </c>
      <c r="C180" s="18">
        <f>IF(A180="","",IFERROR(MATCH(B180,設定!$P$8:$P$27,0),""))</f>
        <v/>
      </c>
      <c r="D180" s="18">
        <f>IF(C180="","",COUNTIF($C$3:C180,C180))</f>
        <v/>
      </c>
      <c r="E180" s="18">
        <f>IF(C180="","",C180*1000+D180)</f>
        <v/>
      </c>
      <c r="F180" s="18">
        <f>IF(A180="","",INDEX(新年度名簿!$K$3:$K$452,A180))</f>
        <v/>
      </c>
      <c r="G180" s="18">
        <f>IF(A180="","",INDEX(新年度名簿!$C$3:$C$452,A180))</f>
        <v/>
      </c>
      <c r="H180" s="18">
        <f>IF(A180="","",INDEX(新年度名簿!$D$3:$D$452,A180))</f>
        <v/>
      </c>
    </row>
    <row r="181">
      <c r="A181" s="18">
        <f>IFERROR(MATCH(SMALL(新年度名簿!$J$3:$J$452,179),新年度名簿!$J$3:$J$452,0),"")</f>
        <v/>
      </c>
      <c r="B181" s="18">
        <f>IF(A181="","",INDEX(新年度名簿!$G$3:$G$452,A181))</f>
        <v/>
      </c>
      <c r="C181" s="18">
        <f>IF(A181="","",IFERROR(MATCH(B181,設定!$P$8:$P$27,0),""))</f>
        <v/>
      </c>
      <c r="D181" s="18">
        <f>IF(C181="","",COUNTIF($C$3:C181,C181))</f>
        <v/>
      </c>
      <c r="E181" s="18">
        <f>IF(C181="","",C181*1000+D181)</f>
        <v/>
      </c>
      <c r="F181" s="18">
        <f>IF(A181="","",INDEX(新年度名簿!$K$3:$K$452,A181))</f>
        <v/>
      </c>
      <c r="G181" s="18">
        <f>IF(A181="","",INDEX(新年度名簿!$C$3:$C$452,A181))</f>
        <v/>
      </c>
      <c r="H181" s="18">
        <f>IF(A181="","",INDEX(新年度名簿!$D$3:$D$452,A181))</f>
        <v/>
      </c>
    </row>
    <row r="182">
      <c r="A182" s="18">
        <f>IFERROR(MATCH(SMALL(新年度名簿!$J$3:$J$452,180),新年度名簿!$J$3:$J$452,0),"")</f>
        <v/>
      </c>
      <c r="B182" s="18">
        <f>IF(A182="","",INDEX(新年度名簿!$G$3:$G$452,A182))</f>
        <v/>
      </c>
      <c r="C182" s="18">
        <f>IF(A182="","",IFERROR(MATCH(B182,設定!$P$8:$P$27,0),""))</f>
        <v/>
      </c>
      <c r="D182" s="18">
        <f>IF(C182="","",COUNTIF($C$3:C182,C182))</f>
        <v/>
      </c>
      <c r="E182" s="18">
        <f>IF(C182="","",C182*1000+D182)</f>
        <v/>
      </c>
      <c r="F182" s="18">
        <f>IF(A182="","",INDEX(新年度名簿!$K$3:$K$452,A182))</f>
        <v/>
      </c>
      <c r="G182" s="18">
        <f>IF(A182="","",INDEX(新年度名簿!$C$3:$C$452,A182))</f>
        <v/>
      </c>
      <c r="H182" s="18">
        <f>IF(A182="","",INDEX(新年度名簿!$D$3:$D$452,A182))</f>
        <v/>
      </c>
    </row>
    <row r="183">
      <c r="A183" s="18">
        <f>IFERROR(MATCH(SMALL(新年度名簿!$J$3:$J$452,181),新年度名簿!$J$3:$J$452,0),"")</f>
        <v/>
      </c>
      <c r="B183" s="18">
        <f>IF(A183="","",INDEX(新年度名簿!$G$3:$G$452,A183))</f>
        <v/>
      </c>
      <c r="C183" s="18">
        <f>IF(A183="","",IFERROR(MATCH(B183,設定!$P$8:$P$27,0),""))</f>
        <v/>
      </c>
      <c r="D183" s="18">
        <f>IF(C183="","",COUNTIF($C$3:C183,C183))</f>
        <v/>
      </c>
      <c r="E183" s="18">
        <f>IF(C183="","",C183*1000+D183)</f>
        <v/>
      </c>
      <c r="F183" s="18">
        <f>IF(A183="","",INDEX(新年度名簿!$K$3:$K$452,A183))</f>
        <v/>
      </c>
      <c r="G183" s="18">
        <f>IF(A183="","",INDEX(新年度名簿!$C$3:$C$452,A183))</f>
        <v/>
      </c>
      <c r="H183" s="18">
        <f>IF(A183="","",INDEX(新年度名簿!$D$3:$D$452,A183))</f>
        <v/>
      </c>
    </row>
    <row r="184">
      <c r="A184" s="18">
        <f>IFERROR(MATCH(SMALL(新年度名簿!$J$3:$J$452,182),新年度名簿!$J$3:$J$452,0),"")</f>
        <v/>
      </c>
      <c r="B184" s="18">
        <f>IF(A184="","",INDEX(新年度名簿!$G$3:$G$452,A184))</f>
        <v/>
      </c>
      <c r="C184" s="18">
        <f>IF(A184="","",IFERROR(MATCH(B184,設定!$P$8:$P$27,0),""))</f>
        <v/>
      </c>
      <c r="D184" s="18">
        <f>IF(C184="","",COUNTIF($C$3:C184,C184))</f>
        <v/>
      </c>
      <c r="E184" s="18">
        <f>IF(C184="","",C184*1000+D184)</f>
        <v/>
      </c>
      <c r="F184" s="18">
        <f>IF(A184="","",INDEX(新年度名簿!$K$3:$K$452,A184))</f>
        <v/>
      </c>
      <c r="G184" s="18">
        <f>IF(A184="","",INDEX(新年度名簿!$C$3:$C$452,A184))</f>
        <v/>
      </c>
      <c r="H184" s="18">
        <f>IF(A184="","",INDEX(新年度名簿!$D$3:$D$452,A184))</f>
        <v/>
      </c>
    </row>
    <row r="185">
      <c r="A185" s="18">
        <f>IFERROR(MATCH(SMALL(新年度名簿!$J$3:$J$452,183),新年度名簿!$J$3:$J$452,0),"")</f>
        <v/>
      </c>
      <c r="B185" s="18">
        <f>IF(A185="","",INDEX(新年度名簿!$G$3:$G$452,A185))</f>
        <v/>
      </c>
      <c r="C185" s="18">
        <f>IF(A185="","",IFERROR(MATCH(B185,設定!$P$8:$P$27,0),""))</f>
        <v/>
      </c>
      <c r="D185" s="18">
        <f>IF(C185="","",COUNTIF($C$3:C185,C185))</f>
        <v/>
      </c>
      <c r="E185" s="18">
        <f>IF(C185="","",C185*1000+D185)</f>
        <v/>
      </c>
      <c r="F185" s="18">
        <f>IF(A185="","",INDEX(新年度名簿!$K$3:$K$452,A185))</f>
        <v/>
      </c>
      <c r="G185" s="18">
        <f>IF(A185="","",INDEX(新年度名簿!$C$3:$C$452,A185))</f>
        <v/>
      </c>
      <c r="H185" s="18">
        <f>IF(A185="","",INDEX(新年度名簿!$D$3:$D$452,A185))</f>
        <v/>
      </c>
    </row>
    <row r="186">
      <c r="A186" s="18">
        <f>IFERROR(MATCH(SMALL(新年度名簿!$J$3:$J$452,184),新年度名簿!$J$3:$J$452,0),"")</f>
        <v/>
      </c>
      <c r="B186" s="18">
        <f>IF(A186="","",INDEX(新年度名簿!$G$3:$G$452,A186))</f>
        <v/>
      </c>
      <c r="C186" s="18">
        <f>IF(A186="","",IFERROR(MATCH(B186,設定!$P$8:$P$27,0),""))</f>
        <v/>
      </c>
      <c r="D186" s="18">
        <f>IF(C186="","",COUNTIF($C$3:C186,C186))</f>
        <v/>
      </c>
      <c r="E186" s="18">
        <f>IF(C186="","",C186*1000+D186)</f>
        <v/>
      </c>
      <c r="F186" s="18">
        <f>IF(A186="","",INDEX(新年度名簿!$K$3:$K$452,A186))</f>
        <v/>
      </c>
      <c r="G186" s="18">
        <f>IF(A186="","",INDEX(新年度名簿!$C$3:$C$452,A186))</f>
        <v/>
      </c>
      <c r="H186" s="18">
        <f>IF(A186="","",INDEX(新年度名簿!$D$3:$D$452,A186))</f>
        <v/>
      </c>
    </row>
    <row r="187">
      <c r="A187" s="18">
        <f>IFERROR(MATCH(SMALL(新年度名簿!$J$3:$J$452,185),新年度名簿!$J$3:$J$452,0),"")</f>
        <v/>
      </c>
      <c r="B187" s="18">
        <f>IF(A187="","",INDEX(新年度名簿!$G$3:$G$452,A187))</f>
        <v/>
      </c>
      <c r="C187" s="18">
        <f>IF(A187="","",IFERROR(MATCH(B187,設定!$P$8:$P$27,0),""))</f>
        <v/>
      </c>
      <c r="D187" s="18">
        <f>IF(C187="","",COUNTIF($C$3:C187,C187))</f>
        <v/>
      </c>
      <c r="E187" s="18">
        <f>IF(C187="","",C187*1000+D187)</f>
        <v/>
      </c>
      <c r="F187" s="18">
        <f>IF(A187="","",INDEX(新年度名簿!$K$3:$K$452,A187))</f>
        <v/>
      </c>
      <c r="G187" s="18">
        <f>IF(A187="","",INDEX(新年度名簿!$C$3:$C$452,A187))</f>
        <v/>
      </c>
      <c r="H187" s="18">
        <f>IF(A187="","",INDEX(新年度名簿!$D$3:$D$452,A187))</f>
        <v/>
      </c>
    </row>
    <row r="188">
      <c r="A188" s="18">
        <f>IFERROR(MATCH(SMALL(新年度名簿!$J$3:$J$452,186),新年度名簿!$J$3:$J$452,0),"")</f>
        <v/>
      </c>
      <c r="B188" s="18">
        <f>IF(A188="","",INDEX(新年度名簿!$G$3:$G$452,A188))</f>
        <v/>
      </c>
      <c r="C188" s="18">
        <f>IF(A188="","",IFERROR(MATCH(B188,設定!$P$8:$P$27,0),""))</f>
        <v/>
      </c>
      <c r="D188" s="18">
        <f>IF(C188="","",COUNTIF($C$3:C188,C188))</f>
        <v/>
      </c>
      <c r="E188" s="18">
        <f>IF(C188="","",C188*1000+D188)</f>
        <v/>
      </c>
      <c r="F188" s="18">
        <f>IF(A188="","",INDEX(新年度名簿!$K$3:$K$452,A188))</f>
        <v/>
      </c>
      <c r="G188" s="18">
        <f>IF(A188="","",INDEX(新年度名簿!$C$3:$C$452,A188))</f>
        <v/>
      </c>
      <c r="H188" s="18">
        <f>IF(A188="","",INDEX(新年度名簿!$D$3:$D$452,A188))</f>
        <v/>
      </c>
    </row>
    <row r="189">
      <c r="A189" s="18">
        <f>IFERROR(MATCH(SMALL(新年度名簿!$J$3:$J$452,187),新年度名簿!$J$3:$J$452,0),"")</f>
        <v/>
      </c>
      <c r="B189" s="18">
        <f>IF(A189="","",INDEX(新年度名簿!$G$3:$G$452,A189))</f>
        <v/>
      </c>
      <c r="C189" s="18">
        <f>IF(A189="","",IFERROR(MATCH(B189,設定!$P$8:$P$27,0),""))</f>
        <v/>
      </c>
      <c r="D189" s="18">
        <f>IF(C189="","",COUNTIF($C$3:C189,C189))</f>
        <v/>
      </c>
      <c r="E189" s="18">
        <f>IF(C189="","",C189*1000+D189)</f>
        <v/>
      </c>
      <c r="F189" s="18">
        <f>IF(A189="","",INDEX(新年度名簿!$K$3:$K$452,A189))</f>
        <v/>
      </c>
      <c r="G189" s="18">
        <f>IF(A189="","",INDEX(新年度名簿!$C$3:$C$452,A189))</f>
        <v/>
      </c>
      <c r="H189" s="18">
        <f>IF(A189="","",INDEX(新年度名簿!$D$3:$D$452,A189))</f>
        <v/>
      </c>
    </row>
    <row r="190">
      <c r="A190" s="18">
        <f>IFERROR(MATCH(SMALL(新年度名簿!$J$3:$J$452,188),新年度名簿!$J$3:$J$452,0),"")</f>
        <v/>
      </c>
      <c r="B190" s="18">
        <f>IF(A190="","",INDEX(新年度名簿!$G$3:$G$452,A190))</f>
        <v/>
      </c>
      <c r="C190" s="18">
        <f>IF(A190="","",IFERROR(MATCH(B190,設定!$P$8:$P$27,0),""))</f>
        <v/>
      </c>
      <c r="D190" s="18">
        <f>IF(C190="","",COUNTIF($C$3:C190,C190))</f>
        <v/>
      </c>
      <c r="E190" s="18">
        <f>IF(C190="","",C190*1000+D190)</f>
        <v/>
      </c>
      <c r="F190" s="18">
        <f>IF(A190="","",INDEX(新年度名簿!$K$3:$K$452,A190))</f>
        <v/>
      </c>
      <c r="G190" s="18">
        <f>IF(A190="","",INDEX(新年度名簿!$C$3:$C$452,A190))</f>
        <v/>
      </c>
      <c r="H190" s="18">
        <f>IF(A190="","",INDEX(新年度名簿!$D$3:$D$452,A190))</f>
        <v/>
      </c>
    </row>
    <row r="191">
      <c r="A191" s="18">
        <f>IFERROR(MATCH(SMALL(新年度名簿!$J$3:$J$452,189),新年度名簿!$J$3:$J$452,0),"")</f>
        <v/>
      </c>
      <c r="B191" s="18">
        <f>IF(A191="","",INDEX(新年度名簿!$G$3:$G$452,A191))</f>
        <v/>
      </c>
      <c r="C191" s="18">
        <f>IF(A191="","",IFERROR(MATCH(B191,設定!$P$8:$P$27,0),""))</f>
        <v/>
      </c>
      <c r="D191" s="18">
        <f>IF(C191="","",COUNTIF($C$3:C191,C191))</f>
        <v/>
      </c>
      <c r="E191" s="18">
        <f>IF(C191="","",C191*1000+D191)</f>
        <v/>
      </c>
      <c r="F191" s="18">
        <f>IF(A191="","",INDEX(新年度名簿!$K$3:$K$452,A191))</f>
        <v/>
      </c>
      <c r="G191" s="18">
        <f>IF(A191="","",INDEX(新年度名簿!$C$3:$C$452,A191))</f>
        <v/>
      </c>
      <c r="H191" s="18">
        <f>IF(A191="","",INDEX(新年度名簿!$D$3:$D$452,A191))</f>
        <v/>
      </c>
    </row>
    <row r="192">
      <c r="A192" s="18">
        <f>IFERROR(MATCH(SMALL(新年度名簿!$J$3:$J$452,190),新年度名簿!$J$3:$J$452,0),"")</f>
        <v/>
      </c>
      <c r="B192" s="18">
        <f>IF(A192="","",INDEX(新年度名簿!$G$3:$G$452,A192))</f>
        <v/>
      </c>
      <c r="C192" s="18">
        <f>IF(A192="","",IFERROR(MATCH(B192,設定!$P$8:$P$27,0),""))</f>
        <v/>
      </c>
      <c r="D192" s="18">
        <f>IF(C192="","",COUNTIF($C$3:C192,C192))</f>
        <v/>
      </c>
      <c r="E192" s="18">
        <f>IF(C192="","",C192*1000+D192)</f>
        <v/>
      </c>
      <c r="F192" s="18">
        <f>IF(A192="","",INDEX(新年度名簿!$K$3:$K$452,A192))</f>
        <v/>
      </c>
      <c r="G192" s="18">
        <f>IF(A192="","",INDEX(新年度名簿!$C$3:$C$452,A192))</f>
        <v/>
      </c>
      <c r="H192" s="18">
        <f>IF(A192="","",INDEX(新年度名簿!$D$3:$D$452,A192))</f>
        <v/>
      </c>
    </row>
    <row r="193">
      <c r="A193" s="18">
        <f>IFERROR(MATCH(SMALL(新年度名簿!$J$3:$J$452,191),新年度名簿!$J$3:$J$452,0),"")</f>
        <v/>
      </c>
      <c r="B193" s="18">
        <f>IF(A193="","",INDEX(新年度名簿!$G$3:$G$452,A193))</f>
        <v/>
      </c>
      <c r="C193" s="18">
        <f>IF(A193="","",IFERROR(MATCH(B193,設定!$P$8:$P$27,0),""))</f>
        <v/>
      </c>
      <c r="D193" s="18">
        <f>IF(C193="","",COUNTIF($C$3:C193,C193))</f>
        <v/>
      </c>
      <c r="E193" s="18">
        <f>IF(C193="","",C193*1000+D193)</f>
        <v/>
      </c>
      <c r="F193" s="18">
        <f>IF(A193="","",INDEX(新年度名簿!$K$3:$K$452,A193))</f>
        <v/>
      </c>
      <c r="G193" s="18">
        <f>IF(A193="","",INDEX(新年度名簿!$C$3:$C$452,A193))</f>
        <v/>
      </c>
      <c r="H193" s="18">
        <f>IF(A193="","",INDEX(新年度名簿!$D$3:$D$452,A193))</f>
        <v/>
      </c>
    </row>
    <row r="194">
      <c r="A194" s="18">
        <f>IFERROR(MATCH(SMALL(新年度名簿!$J$3:$J$452,192),新年度名簿!$J$3:$J$452,0),"")</f>
        <v/>
      </c>
      <c r="B194" s="18">
        <f>IF(A194="","",INDEX(新年度名簿!$G$3:$G$452,A194))</f>
        <v/>
      </c>
      <c r="C194" s="18">
        <f>IF(A194="","",IFERROR(MATCH(B194,設定!$P$8:$P$27,0),""))</f>
        <v/>
      </c>
      <c r="D194" s="18">
        <f>IF(C194="","",COUNTIF($C$3:C194,C194))</f>
        <v/>
      </c>
      <c r="E194" s="18">
        <f>IF(C194="","",C194*1000+D194)</f>
        <v/>
      </c>
      <c r="F194" s="18">
        <f>IF(A194="","",INDEX(新年度名簿!$K$3:$K$452,A194))</f>
        <v/>
      </c>
      <c r="G194" s="18">
        <f>IF(A194="","",INDEX(新年度名簿!$C$3:$C$452,A194))</f>
        <v/>
      </c>
      <c r="H194" s="18">
        <f>IF(A194="","",INDEX(新年度名簿!$D$3:$D$452,A194))</f>
        <v/>
      </c>
    </row>
    <row r="195">
      <c r="A195" s="18">
        <f>IFERROR(MATCH(SMALL(新年度名簿!$J$3:$J$452,193),新年度名簿!$J$3:$J$452,0),"")</f>
        <v/>
      </c>
      <c r="B195" s="18">
        <f>IF(A195="","",INDEX(新年度名簿!$G$3:$G$452,A195))</f>
        <v/>
      </c>
      <c r="C195" s="18">
        <f>IF(A195="","",IFERROR(MATCH(B195,設定!$P$8:$P$27,0),""))</f>
        <v/>
      </c>
      <c r="D195" s="18">
        <f>IF(C195="","",COUNTIF($C$3:C195,C195))</f>
        <v/>
      </c>
      <c r="E195" s="18">
        <f>IF(C195="","",C195*1000+D195)</f>
        <v/>
      </c>
      <c r="F195" s="18">
        <f>IF(A195="","",INDEX(新年度名簿!$K$3:$K$452,A195))</f>
        <v/>
      </c>
      <c r="G195" s="18">
        <f>IF(A195="","",INDEX(新年度名簿!$C$3:$C$452,A195))</f>
        <v/>
      </c>
      <c r="H195" s="18">
        <f>IF(A195="","",INDEX(新年度名簿!$D$3:$D$452,A195))</f>
        <v/>
      </c>
    </row>
    <row r="196">
      <c r="A196" s="18">
        <f>IFERROR(MATCH(SMALL(新年度名簿!$J$3:$J$452,194),新年度名簿!$J$3:$J$452,0),"")</f>
        <v/>
      </c>
      <c r="B196" s="18">
        <f>IF(A196="","",INDEX(新年度名簿!$G$3:$G$452,A196))</f>
        <v/>
      </c>
      <c r="C196" s="18">
        <f>IF(A196="","",IFERROR(MATCH(B196,設定!$P$8:$P$27,0),""))</f>
        <v/>
      </c>
      <c r="D196" s="18">
        <f>IF(C196="","",COUNTIF($C$3:C196,C196))</f>
        <v/>
      </c>
      <c r="E196" s="18">
        <f>IF(C196="","",C196*1000+D196)</f>
        <v/>
      </c>
      <c r="F196" s="18">
        <f>IF(A196="","",INDEX(新年度名簿!$K$3:$K$452,A196))</f>
        <v/>
      </c>
      <c r="G196" s="18">
        <f>IF(A196="","",INDEX(新年度名簿!$C$3:$C$452,A196))</f>
        <v/>
      </c>
      <c r="H196" s="18">
        <f>IF(A196="","",INDEX(新年度名簿!$D$3:$D$452,A196))</f>
        <v/>
      </c>
    </row>
    <row r="197">
      <c r="A197" s="18">
        <f>IFERROR(MATCH(SMALL(新年度名簿!$J$3:$J$452,195),新年度名簿!$J$3:$J$452,0),"")</f>
        <v/>
      </c>
      <c r="B197" s="18">
        <f>IF(A197="","",INDEX(新年度名簿!$G$3:$G$452,A197))</f>
        <v/>
      </c>
      <c r="C197" s="18">
        <f>IF(A197="","",IFERROR(MATCH(B197,設定!$P$8:$P$27,0),""))</f>
        <v/>
      </c>
      <c r="D197" s="18">
        <f>IF(C197="","",COUNTIF($C$3:C197,C197))</f>
        <v/>
      </c>
      <c r="E197" s="18">
        <f>IF(C197="","",C197*1000+D197)</f>
        <v/>
      </c>
      <c r="F197" s="18">
        <f>IF(A197="","",INDEX(新年度名簿!$K$3:$K$452,A197))</f>
        <v/>
      </c>
      <c r="G197" s="18">
        <f>IF(A197="","",INDEX(新年度名簿!$C$3:$C$452,A197))</f>
        <v/>
      </c>
      <c r="H197" s="18">
        <f>IF(A197="","",INDEX(新年度名簿!$D$3:$D$452,A197))</f>
        <v/>
      </c>
    </row>
    <row r="198">
      <c r="A198" s="18">
        <f>IFERROR(MATCH(SMALL(新年度名簿!$J$3:$J$452,196),新年度名簿!$J$3:$J$452,0),"")</f>
        <v/>
      </c>
      <c r="B198" s="18">
        <f>IF(A198="","",INDEX(新年度名簿!$G$3:$G$452,A198))</f>
        <v/>
      </c>
      <c r="C198" s="18">
        <f>IF(A198="","",IFERROR(MATCH(B198,設定!$P$8:$P$27,0),""))</f>
        <v/>
      </c>
      <c r="D198" s="18">
        <f>IF(C198="","",COUNTIF($C$3:C198,C198))</f>
        <v/>
      </c>
      <c r="E198" s="18">
        <f>IF(C198="","",C198*1000+D198)</f>
        <v/>
      </c>
      <c r="F198" s="18">
        <f>IF(A198="","",INDEX(新年度名簿!$K$3:$K$452,A198))</f>
        <v/>
      </c>
      <c r="G198" s="18">
        <f>IF(A198="","",INDEX(新年度名簿!$C$3:$C$452,A198))</f>
        <v/>
      </c>
      <c r="H198" s="18">
        <f>IF(A198="","",INDEX(新年度名簿!$D$3:$D$452,A198))</f>
        <v/>
      </c>
    </row>
    <row r="199">
      <c r="A199" s="18">
        <f>IFERROR(MATCH(SMALL(新年度名簿!$J$3:$J$452,197),新年度名簿!$J$3:$J$452,0),"")</f>
        <v/>
      </c>
      <c r="B199" s="18">
        <f>IF(A199="","",INDEX(新年度名簿!$G$3:$G$452,A199))</f>
        <v/>
      </c>
      <c r="C199" s="18">
        <f>IF(A199="","",IFERROR(MATCH(B199,設定!$P$8:$P$27,0),""))</f>
        <v/>
      </c>
      <c r="D199" s="18">
        <f>IF(C199="","",COUNTIF($C$3:C199,C199))</f>
        <v/>
      </c>
      <c r="E199" s="18">
        <f>IF(C199="","",C199*1000+D199)</f>
        <v/>
      </c>
      <c r="F199" s="18">
        <f>IF(A199="","",INDEX(新年度名簿!$K$3:$K$452,A199))</f>
        <v/>
      </c>
      <c r="G199" s="18">
        <f>IF(A199="","",INDEX(新年度名簿!$C$3:$C$452,A199))</f>
        <v/>
      </c>
      <c r="H199" s="18">
        <f>IF(A199="","",INDEX(新年度名簿!$D$3:$D$452,A199))</f>
        <v/>
      </c>
    </row>
    <row r="200">
      <c r="A200" s="18">
        <f>IFERROR(MATCH(SMALL(新年度名簿!$J$3:$J$452,198),新年度名簿!$J$3:$J$452,0),"")</f>
        <v/>
      </c>
      <c r="B200" s="18">
        <f>IF(A200="","",INDEX(新年度名簿!$G$3:$G$452,A200))</f>
        <v/>
      </c>
      <c r="C200" s="18">
        <f>IF(A200="","",IFERROR(MATCH(B200,設定!$P$8:$P$27,0),""))</f>
        <v/>
      </c>
      <c r="D200" s="18">
        <f>IF(C200="","",COUNTIF($C$3:C200,C200))</f>
        <v/>
      </c>
      <c r="E200" s="18">
        <f>IF(C200="","",C200*1000+D200)</f>
        <v/>
      </c>
      <c r="F200" s="18">
        <f>IF(A200="","",INDEX(新年度名簿!$K$3:$K$452,A200))</f>
        <v/>
      </c>
      <c r="G200" s="18">
        <f>IF(A200="","",INDEX(新年度名簿!$C$3:$C$452,A200))</f>
        <v/>
      </c>
      <c r="H200" s="18">
        <f>IF(A200="","",INDEX(新年度名簿!$D$3:$D$452,A200))</f>
        <v/>
      </c>
    </row>
    <row r="201">
      <c r="A201" s="18">
        <f>IFERROR(MATCH(SMALL(新年度名簿!$J$3:$J$452,199),新年度名簿!$J$3:$J$452,0),"")</f>
        <v/>
      </c>
      <c r="B201" s="18">
        <f>IF(A201="","",INDEX(新年度名簿!$G$3:$G$452,A201))</f>
        <v/>
      </c>
      <c r="C201" s="18">
        <f>IF(A201="","",IFERROR(MATCH(B201,設定!$P$8:$P$27,0),""))</f>
        <v/>
      </c>
      <c r="D201" s="18">
        <f>IF(C201="","",COUNTIF($C$3:C201,C201))</f>
        <v/>
      </c>
      <c r="E201" s="18">
        <f>IF(C201="","",C201*1000+D201)</f>
        <v/>
      </c>
      <c r="F201" s="18">
        <f>IF(A201="","",INDEX(新年度名簿!$K$3:$K$452,A201))</f>
        <v/>
      </c>
      <c r="G201" s="18">
        <f>IF(A201="","",INDEX(新年度名簿!$C$3:$C$452,A201))</f>
        <v/>
      </c>
      <c r="H201" s="18">
        <f>IF(A201="","",INDEX(新年度名簿!$D$3:$D$452,A201))</f>
        <v/>
      </c>
    </row>
    <row r="202">
      <c r="A202" s="18">
        <f>IFERROR(MATCH(SMALL(新年度名簿!$J$3:$J$452,200),新年度名簿!$J$3:$J$452,0),"")</f>
        <v/>
      </c>
      <c r="B202" s="18">
        <f>IF(A202="","",INDEX(新年度名簿!$G$3:$G$452,A202))</f>
        <v/>
      </c>
      <c r="C202" s="18">
        <f>IF(A202="","",IFERROR(MATCH(B202,設定!$P$8:$P$27,0),""))</f>
        <v/>
      </c>
      <c r="D202" s="18">
        <f>IF(C202="","",COUNTIF($C$3:C202,C202))</f>
        <v/>
      </c>
      <c r="E202" s="18">
        <f>IF(C202="","",C202*1000+D202)</f>
        <v/>
      </c>
      <c r="F202" s="18">
        <f>IF(A202="","",INDEX(新年度名簿!$K$3:$K$452,A202))</f>
        <v/>
      </c>
      <c r="G202" s="18">
        <f>IF(A202="","",INDEX(新年度名簿!$C$3:$C$452,A202))</f>
        <v/>
      </c>
      <c r="H202" s="18">
        <f>IF(A202="","",INDEX(新年度名簿!$D$3:$D$452,A202))</f>
        <v/>
      </c>
    </row>
    <row r="203">
      <c r="A203" s="18">
        <f>IFERROR(MATCH(SMALL(新年度名簿!$J$3:$J$452,201),新年度名簿!$J$3:$J$452,0),"")</f>
        <v/>
      </c>
      <c r="B203" s="18">
        <f>IF(A203="","",INDEX(新年度名簿!$G$3:$G$452,A203))</f>
        <v/>
      </c>
      <c r="C203" s="18">
        <f>IF(A203="","",IFERROR(MATCH(B203,設定!$P$8:$P$27,0),""))</f>
        <v/>
      </c>
      <c r="D203" s="18">
        <f>IF(C203="","",COUNTIF($C$3:C203,C203))</f>
        <v/>
      </c>
      <c r="E203" s="18">
        <f>IF(C203="","",C203*1000+D203)</f>
        <v/>
      </c>
      <c r="F203" s="18">
        <f>IF(A203="","",INDEX(新年度名簿!$K$3:$K$452,A203))</f>
        <v/>
      </c>
      <c r="G203" s="18">
        <f>IF(A203="","",INDEX(新年度名簿!$C$3:$C$452,A203))</f>
        <v/>
      </c>
      <c r="H203" s="18">
        <f>IF(A203="","",INDEX(新年度名簿!$D$3:$D$452,A203))</f>
        <v/>
      </c>
    </row>
    <row r="204">
      <c r="A204" s="18">
        <f>IFERROR(MATCH(SMALL(新年度名簿!$J$3:$J$452,202),新年度名簿!$J$3:$J$452,0),"")</f>
        <v/>
      </c>
      <c r="B204" s="18">
        <f>IF(A204="","",INDEX(新年度名簿!$G$3:$G$452,A204))</f>
        <v/>
      </c>
      <c r="C204" s="18">
        <f>IF(A204="","",IFERROR(MATCH(B204,設定!$P$8:$P$27,0),""))</f>
        <v/>
      </c>
      <c r="D204" s="18">
        <f>IF(C204="","",COUNTIF($C$3:C204,C204))</f>
        <v/>
      </c>
      <c r="E204" s="18">
        <f>IF(C204="","",C204*1000+D204)</f>
        <v/>
      </c>
      <c r="F204" s="18">
        <f>IF(A204="","",INDEX(新年度名簿!$K$3:$K$452,A204))</f>
        <v/>
      </c>
      <c r="G204" s="18">
        <f>IF(A204="","",INDEX(新年度名簿!$C$3:$C$452,A204))</f>
        <v/>
      </c>
      <c r="H204" s="18">
        <f>IF(A204="","",INDEX(新年度名簿!$D$3:$D$452,A204))</f>
        <v/>
      </c>
    </row>
    <row r="205">
      <c r="A205" s="18">
        <f>IFERROR(MATCH(SMALL(新年度名簿!$J$3:$J$452,203),新年度名簿!$J$3:$J$452,0),"")</f>
        <v/>
      </c>
      <c r="B205" s="18">
        <f>IF(A205="","",INDEX(新年度名簿!$G$3:$G$452,A205))</f>
        <v/>
      </c>
      <c r="C205" s="18">
        <f>IF(A205="","",IFERROR(MATCH(B205,設定!$P$8:$P$27,0),""))</f>
        <v/>
      </c>
      <c r="D205" s="18">
        <f>IF(C205="","",COUNTIF($C$3:C205,C205))</f>
        <v/>
      </c>
      <c r="E205" s="18">
        <f>IF(C205="","",C205*1000+D205)</f>
        <v/>
      </c>
      <c r="F205" s="18">
        <f>IF(A205="","",INDEX(新年度名簿!$K$3:$K$452,A205))</f>
        <v/>
      </c>
      <c r="G205" s="18">
        <f>IF(A205="","",INDEX(新年度名簿!$C$3:$C$452,A205))</f>
        <v/>
      </c>
      <c r="H205" s="18">
        <f>IF(A205="","",INDEX(新年度名簿!$D$3:$D$452,A205))</f>
        <v/>
      </c>
    </row>
    <row r="206">
      <c r="A206" s="18">
        <f>IFERROR(MATCH(SMALL(新年度名簿!$J$3:$J$452,204),新年度名簿!$J$3:$J$452,0),"")</f>
        <v/>
      </c>
      <c r="B206" s="18">
        <f>IF(A206="","",INDEX(新年度名簿!$G$3:$G$452,A206))</f>
        <v/>
      </c>
      <c r="C206" s="18">
        <f>IF(A206="","",IFERROR(MATCH(B206,設定!$P$8:$P$27,0),""))</f>
        <v/>
      </c>
      <c r="D206" s="18">
        <f>IF(C206="","",COUNTIF($C$3:C206,C206))</f>
        <v/>
      </c>
      <c r="E206" s="18">
        <f>IF(C206="","",C206*1000+D206)</f>
        <v/>
      </c>
      <c r="F206" s="18">
        <f>IF(A206="","",INDEX(新年度名簿!$K$3:$K$452,A206))</f>
        <v/>
      </c>
      <c r="G206" s="18">
        <f>IF(A206="","",INDEX(新年度名簿!$C$3:$C$452,A206))</f>
        <v/>
      </c>
      <c r="H206" s="18">
        <f>IF(A206="","",INDEX(新年度名簿!$D$3:$D$452,A206))</f>
        <v/>
      </c>
    </row>
    <row r="207">
      <c r="A207" s="18">
        <f>IFERROR(MATCH(SMALL(新年度名簿!$J$3:$J$452,205),新年度名簿!$J$3:$J$452,0),"")</f>
        <v/>
      </c>
      <c r="B207" s="18">
        <f>IF(A207="","",INDEX(新年度名簿!$G$3:$G$452,A207))</f>
        <v/>
      </c>
      <c r="C207" s="18">
        <f>IF(A207="","",IFERROR(MATCH(B207,設定!$P$8:$P$27,0),""))</f>
        <v/>
      </c>
      <c r="D207" s="18">
        <f>IF(C207="","",COUNTIF($C$3:C207,C207))</f>
        <v/>
      </c>
      <c r="E207" s="18">
        <f>IF(C207="","",C207*1000+D207)</f>
        <v/>
      </c>
      <c r="F207" s="18">
        <f>IF(A207="","",INDEX(新年度名簿!$K$3:$K$452,A207))</f>
        <v/>
      </c>
      <c r="G207" s="18">
        <f>IF(A207="","",INDEX(新年度名簿!$C$3:$C$452,A207))</f>
        <v/>
      </c>
      <c r="H207" s="18">
        <f>IF(A207="","",INDEX(新年度名簿!$D$3:$D$452,A207))</f>
        <v/>
      </c>
    </row>
    <row r="208">
      <c r="A208" s="18">
        <f>IFERROR(MATCH(SMALL(新年度名簿!$J$3:$J$452,206),新年度名簿!$J$3:$J$452,0),"")</f>
        <v/>
      </c>
      <c r="B208" s="18">
        <f>IF(A208="","",INDEX(新年度名簿!$G$3:$G$452,A208))</f>
        <v/>
      </c>
      <c r="C208" s="18">
        <f>IF(A208="","",IFERROR(MATCH(B208,設定!$P$8:$P$27,0),""))</f>
        <v/>
      </c>
      <c r="D208" s="18">
        <f>IF(C208="","",COUNTIF($C$3:C208,C208))</f>
        <v/>
      </c>
      <c r="E208" s="18">
        <f>IF(C208="","",C208*1000+D208)</f>
        <v/>
      </c>
      <c r="F208" s="18">
        <f>IF(A208="","",INDEX(新年度名簿!$K$3:$K$452,A208))</f>
        <v/>
      </c>
      <c r="G208" s="18">
        <f>IF(A208="","",INDEX(新年度名簿!$C$3:$C$452,A208))</f>
        <v/>
      </c>
      <c r="H208" s="18">
        <f>IF(A208="","",INDEX(新年度名簿!$D$3:$D$452,A208))</f>
        <v/>
      </c>
    </row>
    <row r="209">
      <c r="A209" s="18">
        <f>IFERROR(MATCH(SMALL(新年度名簿!$J$3:$J$452,207),新年度名簿!$J$3:$J$452,0),"")</f>
        <v/>
      </c>
      <c r="B209" s="18">
        <f>IF(A209="","",INDEX(新年度名簿!$G$3:$G$452,A209))</f>
        <v/>
      </c>
      <c r="C209" s="18">
        <f>IF(A209="","",IFERROR(MATCH(B209,設定!$P$8:$P$27,0),""))</f>
        <v/>
      </c>
      <c r="D209" s="18">
        <f>IF(C209="","",COUNTIF($C$3:C209,C209))</f>
        <v/>
      </c>
      <c r="E209" s="18">
        <f>IF(C209="","",C209*1000+D209)</f>
        <v/>
      </c>
      <c r="F209" s="18">
        <f>IF(A209="","",INDEX(新年度名簿!$K$3:$K$452,A209))</f>
        <v/>
      </c>
      <c r="G209" s="18">
        <f>IF(A209="","",INDEX(新年度名簿!$C$3:$C$452,A209))</f>
        <v/>
      </c>
      <c r="H209" s="18">
        <f>IF(A209="","",INDEX(新年度名簿!$D$3:$D$452,A209))</f>
        <v/>
      </c>
    </row>
    <row r="210">
      <c r="A210" s="18">
        <f>IFERROR(MATCH(SMALL(新年度名簿!$J$3:$J$452,208),新年度名簿!$J$3:$J$452,0),"")</f>
        <v/>
      </c>
      <c r="B210" s="18">
        <f>IF(A210="","",INDEX(新年度名簿!$G$3:$G$452,A210))</f>
        <v/>
      </c>
      <c r="C210" s="18">
        <f>IF(A210="","",IFERROR(MATCH(B210,設定!$P$8:$P$27,0),""))</f>
        <v/>
      </c>
      <c r="D210" s="18">
        <f>IF(C210="","",COUNTIF($C$3:C210,C210))</f>
        <v/>
      </c>
      <c r="E210" s="18">
        <f>IF(C210="","",C210*1000+D210)</f>
        <v/>
      </c>
      <c r="F210" s="18">
        <f>IF(A210="","",INDEX(新年度名簿!$K$3:$K$452,A210))</f>
        <v/>
      </c>
      <c r="G210" s="18">
        <f>IF(A210="","",INDEX(新年度名簿!$C$3:$C$452,A210))</f>
        <v/>
      </c>
      <c r="H210" s="18">
        <f>IF(A210="","",INDEX(新年度名簿!$D$3:$D$452,A210))</f>
        <v/>
      </c>
    </row>
    <row r="211">
      <c r="A211" s="18">
        <f>IFERROR(MATCH(SMALL(新年度名簿!$J$3:$J$452,209),新年度名簿!$J$3:$J$452,0),"")</f>
        <v/>
      </c>
      <c r="B211" s="18">
        <f>IF(A211="","",INDEX(新年度名簿!$G$3:$G$452,A211))</f>
        <v/>
      </c>
      <c r="C211" s="18">
        <f>IF(A211="","",IFERROR(MATCH(B211,設定!$P$8:$P$27,0),""))</f>
        <v/>
      </c>
      <c r="D211" s="18">
        <f>IF(C211="","",COUNTIF($C$3:C211,C211))</f>
        <v/>
      </c>
      <c r="E211" s="18">
        <f>IF(C211="","",C211*1000+D211)</f>
        <v/>
      </c>
      <c r="F211" s="18">
        <f>IF(A211="","",INDEX(新年度名簿!$K$3:$K$452,A211))</f>
        <v/>
      </c>
      <c r="G211" s="18">
        <f>IF(A211="","",INDEX(新年度名簿!$C$3:$C$452,A211))</f>
        <v/>
      </c>
      <c r="H211" s="18">
        <f>IF(A211="","",INDEX(新年度名簿!$D$3:$D$452,A211))</f>
        <v/>
      </c>
    </row>
    <row r="212">
      <c r="A212" s="18">
        <f>IFERROR(MATCH(SMALL(新年度名簿!$J$3:$J$452,210),新年度名簿!$J$3:$J$452,0),"")</f>
        <v/>
      </c>
      <c r="B212" s="18">
        <f>IF(A212="","",INDEX(新年度名簿!$G$3:$G$452,A212))</f>
        <v/>
      </c>
      <c r="C212" s="18">
        <f>IF(A212="","",IFERROR(MATCH(B212,設定!$P$8:$P$27,0),""))</f>
        <v/>
      </c>
      <c r="D212" s="18">
        <f>IF(C212="","",COUNTIF($C$3:C212,C212))</f>
        <v/>
      </c>
      <c r="E212" s="18">
        <f>IF(C212="","",C212*1000+D212)</f>
        <v/>
      </c>
      <c r="F212" s="18">
        <f>IF(A212="","",INDEX(新年度名簿!$K$3:$K$452,A212))</f>
        <v/>
      </c>
      <c r="G212" s="18">
        <f>IF(A212="","",INDEX(新年度名簿!$C$3:$C$452,A212))</f>
        <v/>
      </c>
      <c r="H212" s="18">
        <f>IF(A212="","",INDEX(新年度名簿!$D$3:$D$452,A212))</f>
        <v/>
      </c>
    </row>
    <row r="213">
      <c r="A213" s="18">
        <f>IFERROR(MATCH(SMALL(新年度名簿!$J$3:$J$452,211),新年度名簿!$J$3:$J$452,0),"")</f>
        <v/>
      </c>
      <c r="B213" s="18">
        <f>IF(A213="","",INDEX(新年度名簿!$G$3:$G$452,A213))</f>
        <v/>
      </c>
      <c r="C213" s="18">
        <f>IF(A213="","",IFERROR(MATCH(B213,設定!$P$8:$P$27,0),""))</f>
        <v/>
      </c>
      <c r="D213" s="18">
        <f>IF(C213="","",COUNTIF($C$3:C213,C213))</f>
        <v/>
      </c>
      <c r="E213" s="18">
        <f>IF(C213="","",C213*1000+D213)</f>
        <v/>
      </c>
      <c r="F213" s="18">
        <f>IF(A213="","",INDEX(新年度名簿!$K$3:$K$452,A213))</f>
        <v/>
      </c>
      <c r="G213" s="18">
        <f>IF(A213="","",INDEX(新年度名簿!$C$3:$C$452,A213))</f>
        <v/>
      </c>
      <c r="H213" s="18">
        <f>IF(A213="","",INDEX(新年度名簿!$D$3:$D$452,A213))</f>
        <v/>
      </c>
    </row>
    <row r="214">
      <c r="A214" s="18">
        <f>IFERROR(MATCH(SMALL(新年度名簿!$J$3:$J$452,212),新年度名簿!$J$3:$J$452,0),"")</f>
        <v/>
      </c>
      <c r="B214" s="18">
        <f>IF(A214="","",INDEX(新年度名簿!$G$3:$G$452,A214))</f>
        <v/>
      </c>
      <c r="C214" s="18">
        <f>IF(A214="","",IFERROR(MATCH(B214,設定!$P$8:$P$27,0),""))</f>
        <v/>
      </c>
      <c r="D214" s="18">
        <f>IF(C214="","",COUNTIF($C$3:C214,C214))</f>
        <v/>
      </c>
      <c r="E214" s="18">
        <f>IF(C214="","",C214*1000+D214)</f>
        <v/>
      </c>
      <c r="F214" s="18">
        <f>IF(A214="","",INDEX(新年度名簿!$K$3:$K$452,A214))</f>
        <v/>
      </c>
      <c r="G214" s="18">
        <f>IF(A214="","",INDEX(新年度名簿!$C$3:$C$452,A214))</f>
        <v/>
      </c>
      <c r="H214" s="18">
        <f>IF(A214="","",INDEX(新年度名簿!$D$3:$D$452,A214))</f>
        <v/>
      </c>
    </row>
    <row r="215">
      <c r="A215" s="18">
        <f>IFERROR(MATCH(SMALL(新年度名簿!$J$3:$J$452,213),新年度名簿!$J$3:$J$452,0),"")</f>
        <v/>
      </c>
      <c r="B215" s="18">
        <f>IF(A215="","",INDEX(新年度名簿!$G$3:$G$452,A215))</f>
        <v/>
      </c>
      <c r="C215" s="18">
        <f>IF(A215="","",IFERROR(MATCH(B215,設定!$P$8:$P$27,0),""))</f>
        <v/>
      </c>
      <c r="D215" s="18">
        <f>IF(C215="","",COUNTIF($C$3:C215,C215))</f>
        <v/>
      </c>
      <c r="E215" s="18">
        <f>IF(C215="","",C215*1000+D215)</f>
        <v/>
      </c>
      <c r="F215" s="18">
        <f>IF(A215="","",INDEX(新年度名簿!$K$3:$K$452,A215))</f>
        <v/>
      </c>
      <c r="G215" s="18">
        <f>IF(A215="","",INDEX(新年度名簿!$C$3:$C$452,A215))</f>
        <v/>
      </c>
      <c r="H215" s="18">
        <f>IF(A215="","",INDEX(新年度名簿!$D$3:$D$452,A215))</f>
        <v/>
      </c>
    </row>
    <row r="216">
      <c r="A216" s="18">
        <f>IFERROR(MATCH(SMALL(新年度名簿!$J$3:$J$452,214),新年度名簿!$J$3:$J$452,0),"")</f>
        <v/>
      </c>
      <c r="B216" s="18">
        <f>IF(A216="","",INDEX(新年度名簿!$G$3:$G$452,A216))</f>
        <v/>
      </c>
      <c r="C216" s="18">
        <f>IF(A216="","",IFERROR(MATCH(B216,設定!$P$8:$P$27,0),""))</f>
        <v/>
      </c>
      <c r="D216" s="18">
        <f>IF(C216="","",COUNTIF($C$3:C216,C216))</f>
        <v/>
      </c>
      <c r="E216" s="18">
        <f>IF(C216="","",C216*1000+D216)</f>
        <v/>
      </c>
      <c r="F216" s="18">
        <f>IF(A216="","",INDEX(新年度名簿!$K$3:$K$452,A216))</f>
        <v/>
      </c>
      <c r="G216" s="18">
        <f>IF(A216="","",INDEX(新年度名簿!$C$3:$C$452,A216))</f>
        <v/>
      </c>
      <c r="H216" s="18">
        <f>IF(A216="","",INDEX(新年度名簿!$D$3:$D$452,A216))</f>
        <v/>
      </c>
    </row>
    <row r="217">
      <c r="A217" s="18">
        <f>IFERROR(MATCH(SMALL(新年度名簿!$J$3:$J$452,215),新年度名簿!$J$3:$J$452,0),"")</f>
        <v/>
      </c>
      <c r="B217" s="18">
        <f>IF(A217="","",INDEX(新年度名簿!$G$3:$G$452,A217))</f>
        <v/>
      </c>
      <c r="C217" s="18">
        <f>IF(A217="","",IFERROR(MATCH(B217,設定!$P$8:$P$27,0),""))</f>
        <v/>
      </c>
      <c r="D217" s="18">
        <f>IF(C217="","",COUNTIF($C$3:C217,C217))</f>
        <v/>
      </c>
      <c r="E217" s="18">
        <f>IF(C217="","",C217*1000+D217)</f>
        <v/>
      </c>
      <c r="F217" s="18">
        <f>IF(A217="","",INDEX(新年度名簿!$K$3:$K$452,A217))</f>
        <v/>
      </c>
      <c r="G217" s="18">
        <f>IF(A217="","",INDEX(新年度名簿!$C$3:$C$452,A217))</f>
        <v/>
      </c>
      <c r="H217" s="18">
        <f>IF(A217="","",INDEX(新年度名簿!$D$3:$D$452,A217))</f>
        <v/>
      </c>
    </row>
    <row r="218">
      <c r="A218" s="18">
        <f>IFERROR(MATCH(SMALL(新年度名簿!$J$3:$J$452,216),新年度名簿!$J$3:$J$452,0),"")</f>
        <v/>
      </c>
      <c r="B218" s="18">
        <f>IF(A218="","",INDEX(新年度名簿!$G$3:$G$452,A218))</f>
        <v/>
      </c>
      <c r="C218" s="18">
        <f>IF(A218="","",IFERROR(MATCH(B218,設定!$P$8:$P$27,0),""))</f>
        <v/>
      </c>
      <c r="D218" s="18">
        <f>IF(C218="","",COUNTIF($C$3:C218,C218))</f>
        <v/>
      </c>
      <c r="E218" s="18">
        <f>IF(C218="","",C218*1000+D218)</f>
        <v/>
      </c>
      <c r="F218" s="18">
        <f>IF(A218="","",INDEX(新年度名簿!$K$3:$K$452,A218))</f>
        <v/>
      </c>
      <c r="G218" s="18">
        <f>IF(A218="","",INDEX(新年度名簿!$C$3:$C$452,A218))</f>
        <v/>
      </c>
      <c r="H218" s="18">
        <f>IF(A218="","",INDEX(新年度名簿!$D$3:$D$452,A218))</f>
        <v/>
      </c>
    </row>
    <row r="219">
      <c r="A219" s="18">
        <f>IFERROR(MATCH(SMALL(新年度名簿!$J$3:$J$452,217),新年度名簿!$J$3:$J$452,0),"")</f>
        <v/>
      </c>
      <c r="B219" s="18">
        <f>IF(A219="","",INDEX(新年度名簿!$G$3:$G$452,A219))</f>
        <v/>
      </c>
      <c r="C219" s="18">
        <f>IF(A219="","",IFERROR(MATCH(B219,設定!$P$8:$P$27,0),""))</f>
        <v/>
      </c>
      <c r="D219" s="18">
        <f>IF(C219="","",COUNTIF($C$3:C219,C219))</f>
        <v/>
      </c>
      <c r="E219" s="18">
        <f>IF(C219="","",C219*1000+D219)</f>
        <v/>
      </c>
      <c r="F219" s="18">
        <f>IF(A219="","",INDEX(新年度名簿!$K$3:$K$452,A219))</f>
        <v/>
      </c>
      <c r="G219" s="18">
        <f>IF(A219="","",INDEX(新年度名簿!$C$3:$C$452,A219))</f>
        <v/>
      </c>
      <c r="H219" s="18">
        <f>IF(A219="","",INDEX(新年度名簿!$D$3:$D$452,A219))</f>
        <v/>
      </c>
    </row>
    <row r="220">
      <c r="A220" s="18">
        <f>IFERROR(MATCH(SMALL(新年度名簿!$J$3:$J$452,218),新年度名簿!$J$3:$J$452,0),"")</f>
        <v/>
      </c>
      <c r="B220" s="18">
        <f>IF(A220="","",INDEX(新年度名簿!$G$3:$G$452,A220))</f>
        <v/>
      </c>
      <c r="C220" s="18">
        <f>IF(A220="","",IFERROR(MATCH(B220,設定!$P$8:$P$27,0),""))</f>
        <v/>
      </c>
      <c r="D220" s="18">
        <f>IF(C220="","",COUNTIF($C$3:C220,C220))</f>
        <v/>
      </c>
      <c r="E220" s="18">
        <f>IF(C220="","",C220*1000+D220)</f>
        <v/>
      </c>
      <c r="F220" s="18">
        <f>IF(A220="","",INDEX(新年度名簿!$K$3:$K$452,A220))</f>
        <v/>
      </c>
      <c r="G220" s="18">
        <f>IF(A220="","",INDEX(新年度名簿!$C$3:$C$452,A220))</f>
        <v/>
      </c>
      <c r="H220" s="18">
        <f>IF(A220="","",INDEX(新年度名簿!$D$3:$D$452,A220))</f>
        <v/>
      </c>
    </row>
    <row r="221">
      <c r="A221" s="18">
        <f>IFERROR(MATCH(SMALL(新年度名簿!$J$3:$J$452,219),新年度名簿!$J$3:$J$452,0),"")</f>
        <v/>
      </c>
      <c r="B221" s="18">
        <f>IF(A221="","",INDEX(新年度名簿!$G$3:$G$452,A221))</f>
        <v/>
      </c>
      <c r="C221" s="18">
        <f>IF(A221="","",IFERROR(MATCH(B221,設定!$P$8:$P$27,0),""))</f>
        <v/>
      </c>
      <c r="D221" s="18">
        <f>IF(C221="","",COUNTIF($C$3:C221,C221))</f>
        <v/>
      </c>
      <c r="E221" s="18">
        <f>IF(C221="","",C221*1000+D221)</f>
        <v/>
      </c>
      <c r="F221" s="18">
        <f>IF(A221="","",INDEX(新年度名簿!$K$3:$K$452,A221))</f>
        <v/>
      </c>
      <c r="G221" s="18">
        <f>IF(A221="","",INDEX(新年度名簿!$C$3:$C$452,A221))</f>
        <v/>
      </c>
      <c r="H221" s="18">
        <f>IF(A221="","",INDEX(新年度名簿!$D$3:$D$452,A221))</f>
        <v/>
      </c>
    </row>
    <row r="222">
      <c r="A222" s="18">
        <f>IFERROR(MATCH(SMALL(新年度名簿!$J$3:$J$452,220),新年度名簿!$J$3:$J$452,0),"")</f>
        <v/>
      </c>
      <c r="B222" s="18">
        <f>IF(A222="","",INDEX(新年度名簿!$G$3:$G$452,A222))</f>
        <v/>
      </c>
      <c r="C222" s="18">
        <f>IF(A222="","",IFERROR(MATCH(B222,設定!$P$8:$P$27,0),""))</f>
        <v/>
      </c>
      <c r="D222" s="18">
        <f>IF(C222="","",COUNTIF($C$3:C222,C222))</f>
        <v/>
      </c>
      <c r="E222" s="18">
        <f>IF(C222="","",C222*1000+D222)</f>
        <v/>
      </c>
      <c r="F222" s="18">
        <f>IF(A222="","",INDEX(新年度名簿!$K$3:$K$452,A222))</f>
        <v/>
      </c>
      <c r="G222" s="18">
        <f>IF(A222="","",INDEX(新年度名簿!$C$3:$C$452,A222))</f>
        <v/>
      </c>
      <c r="H222" s="18">
        <f>IF(A222="","",INDEX(新年度名簿!$D$3:$D$452,A222))</f>
        <v/>
      </c>
    </row>
    <row r="223">
      <c r="A223" s="18">
        <f>IFERROR(MATCH(SMALL(新年度名簿!$J$3:$J$452,221),新年度名簿!$J$3:$J$452,0),"")</f>
        <v/>
      </c>
      <c r="B223" s="18">
        <f>IF(A223="","",INDEX(新年度名簿!$G$3:$G$452,A223))</f>
        <v/>
      </c>
      <c r="C223" s="18">
        <f>IF(A223="","",IFERROR(MATCH(B223,設定!$P$8:$P$27,0),""))</f>
        <v/>
      </c>
      <c r="D223" s="18">
        <f>IF(C223="","",COUNTIF($C$3:C223,C223))</f>
        <v/>
      </c>
      <c r="E223" s="18">
        <f>IF(C223="","",C223*1000+D223)</f>
        <v/>
      </c>
      <c r="F223" s="18">
        <f>IF(A223="","",INDEX(新年度名簿!$K$3:$K$452,A223))</f>
        <v/>
      </c>
      <c r="G223" s="18">
        <f>IF(A223="","",INDEX(新年度名簿!$C$3:$C$452,A223))</f>
        <v/>
      </c>
      <c r="H223" s="18">
        <f>IF(A223="","",INDEX(新年度名簿!$D$3:$D$452,A223))</f>
        <v/>
      </c>
    </row>
    <row r="224">
      <c r="A224" s="18">
        <f>IFERROR(MATCH(SMALL(新年度名簿!$J$3:$J$452,222),新年度名簿!$J$3:$J$452,0),"")</f>
        <v/>
      </c>
      <c r="B224" s="18">
        <f>IF(A224="","",INDEX(新年度名簿!$G$3:$G$452,A224))</f>
        <v/>
      </c>
      <c r="C224" s="18">
        <f>IF(A224="","",IFERROR(MATCH(B224,設定!$P$8:$P$27,0),""))</f>
        <v/>
      </c>
      <c r="D224" s="18">
        <f>IF(C224="","",COUNTIF($C$3:C224,C224))</f>
        <v/>
      </c>
      <c r="E224" s="18">
        <f>IF(C224="","",C224*1000+D224)</f>
        <v/>
      </c>
      <c r="F224" s="18">
        <f>IF(A224="","",INDEX(新年度名簿!$K$3:$K$452,A224))</f>
        <v/>
      </c>
      <c r="G224" s="18">
        <f>IF(A224="","",INDEX(新年度名簿!$C$3:$C$452,A224))</f>
        <v/>
      </c>
      <c r="H224" s="18">
        <f>IF(A224="","",INDEX(新年度名簿!$D$3:$D$452,A224))</f>
        <v/>
      </c>
    </row>
    <row r="225">
      <c r="A225" s="18">
        <f>IFERROR(MATCH(SMALL(新年度名簿!$J$3:$J$452,223),新年度名簿!$J$3:$J$452,0),"")</f>
        <v/>
      </c>
      <c r="B225" s="18">
        <f>IF(A225="","",INDEX(新年度名簿!$G$3:$G$452,A225))</f>
        <v/>
      </c>
      <c r="C225" s="18">
        <f>IF(A225="","",IFERROR(MATCH(B225,設定!$P$8:$P$27,0),""))</f>
        <v/>
      </c>
      <c r="D225" s="18">
        <f>IF(C225="","",COUNTIF($C$3:C225,C225))</f>
        <v/>
      </c>
      <c r="E225" s="18">
        <f>IF(C225="","",C225*1000+D225)</f>
        <v/>
      </c>
      <c r="F225" s="18">
        <f>IF(A225="","",INDEX(新年度名簿!$K$3:$K$452,A225))</f>
        <v/>
      </c>
      <c r="G225" s="18">
        <f>IF(A225="","",INDEX(新年度名簿!$C$3:$C$452,A225))</f>
        <v/>
      </c>
      <c r="H225" s="18">
        <f>IF(A225="","",INDEX(新年度名簿!$D$3:$D$452,A225))</f>
        <v/>
      </c>
    </row>
    <row r="226">
      <c r="A226" s="18">
        <f>IFERROR(MATCH(SMALL(新年度名簿!$J$3:$J$452,224),新年度名簿!$J$3:$J$452,0),"")</f>
        <v/>
      </c>
      <c r="B226" s="18">
        <f>IF(A226="","",INDEX(新年度名簿!$G$3:$G$452,A226))</f>
        <v/>
      </c>
      <c r="C226" s="18">
        <f>IF(A226="","",IFERROR(MATCH(B226,設定!$P$8:$P$27,0),""))</f>
        <v/>
      </c>
      <c r="D226" s="18">
        <f>IF(C226="","",COUNTIF($C$3:C226,C226))</f>
        <v/>
      </c>
      <c r="E226" s="18">
        <f>IF(C226="","",C226*1000+D226)</f>
        <v/>
      </c>
      <c r="F226" s="18">
        <f>IF(A226="","",INDEX(新年度名簿!$K$3:$K$452,A226))</f>
        <v/>
      </c>
      <c r="G226" s="18">
        <f>IF(A226="","",INDEX(新年度名簿!$C$3:$C$452,A226))</f>
        <v/>
      </c>
      <c r="H226" s="18">
        <f>IF(A226="","",INDEX(新年度名簿!$D$3:$D$452,A226))</f>
        <v/>
      </c>
    </row>
    <row r="227">
      <c r="A227" s="18">
        <f>IFERROR(MATCH(SMALL(新年度名簿!$J$3:$J$452,225),新年度名簿!$J$3:$J$452,0),"")</f>
        <v/>
      </c>
      <c r="B227" s="18">
        <f>IF(A227="","",INDEX(新年度名簿!$G$3:$G$452,A227))</f>
        <v/>
      </c>
      <c r="C227" s="18">
        <f>IF(A227="","",IFERROR(MATCH(B227,設定!$P$8:$P$27,0),""))</f>
        <v/>
      </c>
      <c r="D227" s="18">
        <f>IF(C227="","",COUNTIF($C$3:C227,C227))</f>
        <v/>
      </c>
      <c r="E227" s="18">
        <f>IF(C227="","",C227*1000+D227)</f>
        <v/>
      </c>
      <c r="F227" s="18">
        <f>IF(A227="","",INDEX(新年度名簿!$K$3:$K$452,A227))</f>
        <v/>
      </c>
      <c r="G227" s="18">
        <f>IF(A227="","",INDEX(新年度名簿!$C$3:$C$452,A227))</f>
        <v/>
      </c>
      <c r="H227" s="18">
        <f>IF(A227="","",INDEX(新年度名簿!$D$3:$D$452,A227))</f>
        <v/>
      </c>
    </row>
    <row r="228">
      <c r="A228" s="18">
        <f>IFERROR(MATCH(SMALL(新年度名簿!$J$3:$J$452,226),新年度名簿!$J$3:$J$452,0),"")</f>
        <v/>
      </c>
      <c r="B228" s="18">
        <f>IF(A228="","",INDEX(新年度名簿!$G$3:$G$452,A228))</f>
        <v/>
      </c>
      <c r="C228" s="18">
        <f>IF(A228="","",IFERROR(MATCH(B228,設定!$P$8:$P$27,0),""))</f>
        <v/>
      </c>
      <c r="D228" s="18">
        <f>IF(C228="","",COUNTIF($C$3:C228,C228))</f>
        <v/>
      </c>
      <c r="E228" s="18">
        <f>IF(C228="","",C228*1000+D228)</f>
        <v/>
      </c>
      <c r="F228" s="18">
        <f>IF(A228="","",INDEX(新年度名簿!$K$3:$K$452,A228))</f>
        <v/>
      </c>
      <c r="G228" s="18">
        <f>IF(A228="","",INDEX(新年度名簿!$C$3:$C$452,A228))</f>
        <v/>
      </c>
      <c r="H228" s="18">
        <f>IF(A228="","",INDEX(新年度名簿!$D$3:$D$452,A228))</f>
        <v/>
      </c>
    </row>
    <row r="229">
      <c r="A229" s="18">
        <f>IFERROR(MATCH(SMALL(新年度名簿!$J$3:$J$452,227),新年度名簿!$J$3:$J$452,0),"")</f>
        <v/>
      </c>
      <c r="B229" s="18">
        <f>IF(A229="","",INDEX(新年度名簿!$G$3:$G$452,A229))</f>
        <v/>
      </c>
      <c r="C229" s="18">
        <f>IF(A229="","",IFERROR(MATCH(B229,設定!$P$8:$P$27,0),""))</f>
        <v/>
      </c>
      <c r="D229" s="18">
        <f>IF(C229="","",COUNTIF($C$3:C229,C229))</f>
        <v/>
      </c>
      <c r="E229" s="18">
        <f>IF(C229="","",C229*1000+D229)</f>
        <v/>
      </c>
      <c r="F229" s="18">
        <f>IF(A229="","",INDEX(新年度名簿!$K$3:$K$452,A229))</f>
        <v/>
      </c>
      <c r="G229" s="18">
        <f>IF(A229="","",INDEX(新年度名簿!$C$3:$C$452,A229))</f>
        <v/>
      </c>
      <c r="H229" s="18">
        <f>IF(A229="","",INDEX(新年度名簿!$D$3:$D$452,A229))</f>
        <v/>
      </c>
    </row>
    <row r="230">
      <c r="A230" s="18">
        <f>IFERROR(MATCH(SMALL(新年度名簿!$J$3:$J$452,228),新年度名簿!$J$3:$J$452,0),"")</f>
        <v/>
      </c>
      <c r="B230" s="18">
        <f>IF(A230="","",INDEX(新年度名簿!$G$3:$G$452,A230))</f>
        <v/>
      </c>
      <c r="C230" s="18">
        <f>IF(A230="","",IFERROR(MATCH(B230,設定!$P$8:$P$27,0),""))</f>
        <v/>
      </c>
      <c r="D230" s="18">
        <f>IF(C230="","",COUNTIF($C$3:C230,C230))</f>
        <v/>
      </c>
      <c r="E230" s="18">
        <f>IF(C230="","",C230*1000+D230)</f>
        <v/>
      </c>
      <c r="F230" s="18">
        <f>IF(A230="","",INDEX(新年度名簿!$K$3:$K$452,A230))</f>
        <v/>
      </c>
      <c r="G230" s="18">
        <f>IF(A230="","",INDEX(新年度名簿!$C$3:$C$452,A230))</f>
        <v/>
      </c>
      <c r="H230" s="18">
        <f>IF(A230="","",INDEX(新年度名簿!$D$3:$D$452,A230))</f>
        <v/>
      </c>
    </row>
    <row r="231">
      <c r="A231" s="18">
        <f>IFERROR(MATCH(SMALL(新年度名簿!$J$3:$J$452,229),新年度名簿!$J$3:$J$452,0),"")</f>
        <v/>
      </c>
      <c r="B231" s="18">
        <f>IF(A231="","",INDEX(新年度名簿!$G$3:$G$452,A231))</f>
        <v/>
      </c>
      <c r="C231" s="18">
        <f>IF(A231="","",IFERROR(MATCH(B231,設定!$P$8:$P$27,0),""))</f>
        <v/>
      </c>
      <c r="D231" s="18">
        <f>IF(C231="","",COUNTIF($C$3:C231,C231))</f>
        <v/>
      </c>
      <c r="E231" s="18">
        <f>IF(C231="","",C231*1000+D231)</f>
        <v/>
      </c>
      <c r="F231" s="18">
        <f>IF(A231="","",INDEX(新年度名簿!$K$3:$K$452,A231))</f>
        <v/>
      </c>
      <c r="G231" s="18">
        <f>IF(A231="","",INDEX(新年度名簿!$C$3:$C$452,A231))</f>
        <v/>
      </c>
      <c r="H231" s="18">
        <f>IF(A231="","",INDEX(新年度名簿!$D$3:$D$452,A231))</f>
        <v/>
      </c>
    </row>
    <row r="232">
      <c r="A232" s="18">
        <f>IFERROR(MATCH(SMALL(新年度名簿!$J$3:$J$452,230),新年度名簿!$J$3:$J$452,0),"")</f>
        <v/>
      </c>
      <c r="B232" s="18">
        <f>IF(A232="","",INDEX(新年度名簿!$G$3:$G$452,A232))</f>
        <v/>
      </c>
      <c r="C232" s="18">
        <f>IF(A232="","",IFERROR(MATCH(B232,設定!$P$8:$P$27,0),""))</f>
        <v/>
      </c>
      <c r="D232" s="18">
        <f>IF(C232="","",COUNTIF($C$3:C232,C232))</f>
        <v/>
      </c>
      <c r="E232" s="18">
        <f>IF(C232="","",C232*1000+D232)</f>
        <v/>
      </c>
      <c r="F232" s="18">
        <f>IF(A232="","",INDEX(新年度名簿!$K$3:$K$452,A232))</f>
        <v/>
      </c>
      <c r="G232" s="18">
        <f>IF(A232="","",INDEX(新年度名簿!$C$3:$C$452,A232))</f>
        <v/>
      </c>
      <c r="H232" s="18">
        <f>IF(A232="","",INDEX(新年度名簿!$D$3:$D$452,A232))</f>
        <v/>
      </c>
    </row>
    <row r="233">
      <c r="A233" s="18">
        <f>IFERROR(MATCH(SMALL(新年度名簿!$J$3:$J$452,231),新年度名簿!$J$3:$J$452,0),"")</f>
        <v/>
      </c>
      <c r="B233" s="18">
        <f>IF(A233="","",INDEX(新年度名簿!$G$3:$G$452,A233))</f>
        <v/>
      </c>
      <c r="C233" s="18">
        <f>IF(A233="","",IFERROR(MATCH(B233,設定!$P$8:$P$27,0),""))</f>
        <v/>
      </c>
      <c r="D233" s="18">
        <f>IF(C233="","",COUNTIF($C$3:C233,C233))</f>
        <v/>
      </c>
      <c r="E233" s="18">
        <f>IF(C233="","",C233*1000+D233)</f>
        <v/>
      </c>
      <c r="F233" s="18">
        <f>IF(A233="","",INDEX(新年度名簿!$K$3:$K$452,A233))</f>
        <v/>
      </c>
      <c r="G233" s="18">
        <f>IF(A233="","",INDEX(新年度名簿!$C$3:$C$452,A233))</f>
        <v/>
      </c>
      <c r="H233" s="18">
        <f>IF(A233="","",INDEX(新年度名簿!$D$3:$D$452,A233))</f>
        <v/>
      </c>
    </row>
    <row r="234">
      <c r="A234" s="18">
        <f>IFERROR(MATCH(SMALL(新年度名簿!$J$3:$J$452,232),新年度名簿!$J$3:$J$452,0),"")</f>
        <v/>
      </c>
      <c r="B234" s="18">
        <f>IF(A234="","",INDEX(新年度名簿!$G$3:$G$452,A234))</f>
        <v/>
      </c>
      <c r="C234" s="18">
        <f>IF(A234="","",IFERROR(MATCH(B234,設定!$P$8:$P$27,0),""))</f>
        <v/>
      </c>
      <c r="D234" s="18">
        <f>IF(C234="","",COUNTIF($C$3:C234,C234))</f>
        <v/>
      </c>
      <c r="E234" s="18">
        <f>IF(C234="","",C234*1000+D234)</f>
        <v/>
      </c>
      <c r="F234" s="18">
        <f>IF(A234="","",INDEX(新年度名簿!$K$3:$K$452,A234))</f>
        <v/>
      </c>
      <c r="G234" s="18">
        <f>IF(A234="","",INDEX(新年度名簿!$C$3:$C$452,A234))</f>
        <v/>
      </c>
      <c r="H234" s="18">
        <f>IF(A234="","",INDEX(新年度名簿!$D$3:$D$452,A234))</f>
        <v/>
      </c>
    </row>
    <row r="235">
      <c r="A235" s="18">
        <f>IFERROR(MATCH(SMALL(新年度名簿!$J$3:$J$452,233),新年度名簿!$J$3:$J$452,0),"")</f>
        <v/>
      </c>
      <c r="B235" s="18">
        <f>IF(A235="","",INDEX(新年度名簿!$G$3:$G$452,A235))</f>
        <v/>
      </c>
      <c r="C235" s="18">
        <f>IF(A235="","",IFERROR(MATCH(B235,設定!$P$8:$P$27,0),""))</f>
        <v/>
      </c>
      <c r="D235" s="18">
        <f>IF(C235="","",COUNTIF($C$3:C235,C235))</f>
        <v/>
      </c>
      <c r="E235" s="18">
        <f>IF(C235="","",C235*1000+D235)</f>
        <v/>
      </c>
      <c r="F235" s="18">
        <f>IF(A235="","",INDEX(新年度名簿!$K$3:$K$452,A235))</f>
        <v/>
      </c>
      <c r="G235" s="18">
        <f>IF(A235="","",INDEX(新年度名簿!$C$3:$C$452,A235))</f>
        <v/>
      </c>
      <c r="H235" s="18">
        <f>IF(A235="","",INDEX(新年度名簿!$D$3:$D$452,A235))</f>
        <v/>
      </c>
    </row>
    <row r="236">
      <c r="A236" s="18">
        <f>IFERROR(MATCH(SMALL(新年度名簿!$J$3:$J$452,234),新年度名簿!$J$3:$J$452,0),"")</f>
        <v/>
      </c>
      <c r="B236" s="18">
        <f>IF(A236="","",INDEX(新年度名簿!$G$3:$G$452,A236))</f>
        <v/>
      </c>
      <c r="C236" s="18">
        <f>IF(A236="","",IFERROR(MATCH(B236,設定!$P$8:$P$27,0),""))</f>
        <v/>
      </c>
      <c r="D236" s="18">
        <f>IF(C236="","",COUNTIF($C$3:C236,C236))</f>
        <v/>
      </c>
      <c r="E236" s="18">
        <f>IF(C236="","",C236*1000+D236)</f>
        <v/>
      </c>
      <c r="F236" s="18">
        <f>IF(A236="","",INDEX(新年度名簿!$K$3:$K$452,A236))</f>
        <v/>
      </c>
      <c r="G236" s="18">
        <f>IF(A236="","",INDEX(新年度名簿!$C$3:$C$452,A236))</f>
        <v/>
      </c>
      <c r="H236" s="18">
        <f>IF(A236="","",INDEX(新年度名簿!$D$3:$D$452,A236))</f>
        <v/>
      </c>
    </row>
    <row r="237">
      <c r="A237" s="18">
        <f>IFERROR(MATCH(SMALL(新年度名簿!$J$3:$J$452,235),新年度名簿!$J$3:$J$452,0),"")</f>
        <v/>
      </c>
      <c r="B237" s="18">
        <f>IF(A237="","",INDEX(新年度名簿!$G$3:$G$452,A237))</f>
        <v/>
      </c>
      <c r="C237" s="18">
        <f>IF(A237="","",IFERROR(MATCH(B237,設定!$P$8:$P$27,0),""))</f>
        <v/>
      </c>
      <c r="D237" s="18">
        <f>IF(C237="","",COUNTIF($C$3:C237,C237))</f>
        <v/>
      </c>
      <c r="E237" s="18">
        <f>IF(C237="","",C237*1000+D237)</f>
        <v/>
      </c>
      <c r="F237" s="18">
        <f>IF(A237="","",INDEX(新年度名簿!$K$3:$K$452,A237))</f>
        <v/>
      </c>
      <c r="G237" s="18">
        <f>IF(A237="","",INDEX(新年度名簿!$C$3:$C$452,A237))</f>
        <v/>
      </c>
      <c r="H237" s="18">
        <f>IF(A237="","",INDEX(新年度名簿!$D$3:$D$452,A237))</f>
        <v/>
      </c>
    </row>
    <row r="238">
      <c r="A238" s="18">
        <f>IFERROR(MATCH(SMALL(新年度名簿!$J$3:$J$452,236),新年度名簿!$J$3:$J$452,0),"")</f>
        <v/>
      </c>
      <c r="B238" s="18">
        <f>IF(A238="","",INDEX(新年度名簿!$G$3:$G$452,A238))</f>
        <v/>
      </c>
      <c r="C238" s="18">
        <f>IF(A238="","",IFERROR(MATCH(B238,設定!$P$8:$P$27,0),""))</f>
        <v/>
      </c>
      <c r="D238" s="18">
        <f>IF(C238="","",COUNTIF($C$3:C238,C238))</f>
        <v/>
      </c>
      <c r="E238" s="18">
        <f>IF(C238="","",C238*1000+D238)</f>
        <v/>
      </c>
      <c r="F238" s="18">
        <f>IF(A238="","",INDEX(新年度名簿!$K$3:$K$452,A238))</f>
        <v/>
      </c>
      <c r="G238" s="18">
        <f>IF(A238="","",INDEX(新年度名簿!$C$3:$C$452,A238))</f>
        <v/>
      </c>
      <c r="H238" s="18">
        <f>IF(A238="","",INDEX(新年度名簿!$D$3:$D$452,A238))</f>
        <v/>
      </c>
    </row>
    <row r="239">
      <c r="A239" s="18">
        <f>IFERROR(MATCH(SMALL(新年度名簿!$J$3:$J$452,237),新年度名簿!$J$3:$J$452,0),"")</f>
        <v/>
      </c>
      <c r="B239" s="18">
        <f>IF(A239="","",INDEX(新年度名簿!$G$3:$G$452,A239))</f>
        <v/>
      </c>
      <c r="C239" s="18">
        <f>IF(A239="","",IFERROR(MATCH(B239,設定!$P$8:$P$27,0),""))</f>
        <v/>
      </c>
      <c r="D239" s="18">
        <f>IF(C239="","",COUNTIF($C$3:C239,C239))</f>
        <v/>
      </c>
      <c r="E239" s="18">
        <f>IF(C239="","",C239*1000+D239)</f>
        <v/>
      </c>
      <c r="F239" s="18">
        <f>IF(A239="","",INDEX(新年度名簿!$K$3:$K$452,A239))</f>
        <v/>
      </c>
      <c r="G239" s="18">
        <f>IF(A239="","",INDEX(新年度名簿!$C$3:$C$452,A239))</f>
        <v/>
      </c>
      <c r="H239" s="18">
        <f>IF(A239="","",INDEX(新年度名簿!$D$3:$D$452,A239))</f>
        <v/>
      </c>
    </row>
    <row r="240">
      <c r="A240" s="18">
        <f>IFERROR(MATCH(SMALL(新年度名簿!$J$3:$J$452,238),新年度名簿!$J$3:$J$452,0),"")</f>
        <v/>
      </c>
      <c r="B240" s="18">
        <f>IF(A240="","",INDEX(新年度名簿!$G$3:$G$452,A240))</f>
        <v/>
      </c>
      <c r="C240" s="18">
        <f>IF(A240="","",IFERROR(MATCH(B240,設定!$P$8:$P$27,0),""))</f>
        <v/>
      </c>
      <c r="D240" s="18">
        <f>IF(C240="","",COUNTIF($C$3:C240,C240))</f>
        <v/>
      </c>
      <c r="E240" s="18">
        <f>IF(C240="","",C240*1000+D240)</f>
        <v/>
      </c>
      <c r="F240" s="18">
        <f>IF(A240="","",INDEX(新年度名簿!$K$3:$K$452,A240))</f>
        <v/>
      </c>
      <c r="G240" s="18">
        <f>IF(A240="","",INDEX(新年度名簿!$C$3:$C$452,A240))</f>
        <v/>
      </c>
      <c r="H240" s="18">
        <f>IF(A240="","",INDEX(新年度名簿!$D$3:$D$452,A240))</f>
        <v/>
      </c>
    </row>
    <row r="241">
      <c r="A241" s="18">
        <f>IFERROR(MATCH(SMALL(新年度名簿!$J$3:$J$452,239),新年度名簿!$J$3:$J$452,0),"")</f>
        <v/>
      </c>
      <c r="B241" s="18">
        <f>IF(A241="","",INDEX(新年度名簿!$G$3:$G$452,A241))</f>
        <v/>
      </c>
      <c r="C241" s="18">
        <f>IF(A241="","",IFERROR(MATCH(B241,設定!$P$8:$P$27,0),""))</f>
        <v/>
      </c>
      <c r="D241" s="18">
        <f>IF(C241="","",COUNTIF($C$3:C241,C241))</f>
        <v/>
      </c>
      <c r="E241" s="18">
        <f>IF(C241="","",C241*1000+D241)</f>
        <v/>
      </c>
      <c r="F241" s="18">
        <f>IF(A241="","",INDEX(新年度名簿!$K$3:$K$452,A241))</f>
        <v/>
      </c>
      <c r="G241" s="18">
        <f>IF(A241="","",INDEX(新年度名簿!$C$3:$C$452,A241))</f>
        <v/>
      </c>
      <c r="H241" s="18">
        <f>IF(A241="","",INDEX(新年度名簿!$D$3:$D$452,A241))</f>
        <v/>
      </c>
    </row>
    <row r="242">
      <c r="A242" s="18">
        <f>IFERROR(MATCH(SMALL(新年度名簿!$J$3:$J$452,240),新年度名簿!$J$3:$J$452,0),"")</f>
        <v/>
      </c>
      <c r="B242" s="18">
        <f>IF(A242="","",INDEX(新年度名簿!$G$3:$G$452,A242))</f>
        <v/>
      </c>
      <c r="C242" s="18">
        <f>IF(A242="","",IFERROR(MATCH(B242,設定!$P$8:$P$27,0),""))</f>
        <v/>
      </c>
      <c r="D242" s="18">
        <f>IF(C242="","",COUNTIF($C$3:C242,C242))</f>
        <v/>
      </c>
      <c r="E242" s="18">
        <f>IF(C242="","",C242*1000+D242)</f>
        <v/>
      </c>
      <c r="F242" s="18">
        <f>IF(A242="","",INDEX(新年度名簿!$K$3:$K$452,A242))</f>
        <v/>
      </c>
      <c r="G242" s="18">
        <f>IF(A242="","",INDEX(新年度名簿!$C$3:$C$452,A242))</f>
        <v/>
      </c>
      <c r="H242" s="18">
        <f>IF(A242="","",INDEX(新年度名簿!$D$3:$D$452,A242))</f>
        <v/>
      </c>
    </row>
    <row r="243">
      <c r="A243" s="18">
        <f>IFERROR(MATCH(SMALL(新年度名簿!$J$3:$J$452,241),新年度名簿!$J$3:$J$452,0),"")</f>
        <v/>
      </c>
      <c r="B243" s="18">
        <f>IF(A243="","",INDEX(新年度名簿!$G$3:$G$452,A243))</f>
        <v/>
      </c>
      <c r="C243" s="18">
        <f>IF(A243="","",IFERROR(MATCH(B243,設定!$P$8:$P$27,0),""))</f>
        <v/>
      </c>
      <c r="D243" s="18">
        <f>IF(C243="","",COUNTIF($C$3:C243,C243))</f>
        <v/>
      </c>
      <c r="E243" s="18">
        <f>IF(C243="","",C243*1000+D243)</f>
        <v/>
      </c>
      <c r="F243" s="18">
        <f>IF(A243="","",INDEX(新年度名簿!$K$3:$K$452,A243))</f>
        <v/>
      </c>
      <c r="G243" s="18">
        <f>IF(A243="","",INDEX(新年度名簿!$C$3:$C$452,A243))</f>
        <v/>
      </c>
      <c r="H243" s="18">
        <f>IF(A243="","",INDEX(新年度名簿!$D$3:$D$452,A243))</f>
        <v/>
      </c>
    </row>
    <row r="244">
      <c r="A244" s="18">
        <f>IFERROR(MATCH(SMALL(新年度名簿!$J$3:$J$452,242),新年度名簿!$J$3:$J$452,0),"")</f>
        <v/>
      </c>
      <c r="B244" s="18">
        <f>IF(A244="","",INDEX(新年度名簿!$G$3:$G$452,A244))</f>
        <v/>
      </c>
      <c r="C244" s="18">
        <f>IF(A244="","",IFERROR(MATCH(B244,設定!$P$8:$P$27,0),""))</f>
        <v/>
      </c>
      <c r="D244" s="18">
        <f>IF(C244="","",COUNTIF($C$3:C244,C244))</f>
        <v/>
      </c>
      <c r="E244" s="18">
        <f>IF(C244="","",C244*1000+D244)</f>
        <v/>
      </c>
      <c r="F244" s="18">
        <f>IF(A244="","",INDEX(新年度名簿!$K$3:$K$452,A244))</f>
        <v/>
      </c>
      <c r="G244" s="18">
        <f>IF(A244="","",INDEX(新年度名簿!$C$3:$C$452,A244))</f>
        <v/>
      </c>
      <c r="H244" s="18">
        <f>IF(A244="","",INDEX(新年度名簿!$D$3:$D$452,A244))</f>
        <v/>
      </c>
    </row>
    <row r="245">
      <c r="A245" s="18">
        <f>IFERROR(MATCH(SMALL(新年度名簿!$J$3:$J$452,243),新年度名簿!$J$3:$J$452,0),"")</f>
        <v/>
      </c>
      <c r="B245" s="18">
        <f>IF(A245="","",INDEX(新年度名簿!$G$3:$G$452,A245))</f>
        <v/>
      </c>
      <c r="C245" s="18">
        <f>IF(A245="","",IFERROR(MATCH(B245,設定!$P$8:$P$27,0),""))</f>
        <v/>
      </c>
      <c r="D245" s="18">
        <f>IF(C245="","",COUNTIF($C$3:C245,C245))</f>
        <v/>
      </c>
      <c r="E245" s="18">
        <f>IF(C245="","",C245*1000+D245)</f>
        <v/>
      </c>
      <c r="F245" s="18">
        <f>IF(A245="","",INDEX(新年度名簿!$K$3:$K$452,A245))</f>
        <v/>
      </c>
      <c r="G245" s="18">
        <f>IF(A245="","",INDEX(新年度名簿!$C$3:$C$452,A245))</f>
        <v/>
      </c>
      <c r="H245" s="18">
        <f>IF(A245="","",INDEX(新年度名簿!$D$3:$D$452,A245))</f>
        <v/>
      </c>
    </row>
    <row r="246">
      <c r="A246" s="18">
        <f>IFERROR(MATCH(SMALL(新年度名簿!$J$3:$J$452,244),新年度名簿!$J$3:$J$452,0),"")</f>
        <v/>
      </c>
      <c r="B246" s="18">
        <f>IF(A246="","",INDEX(新年度名簿!$G$3:$G$452,A246))</f>
        <v/>
      </c>
      <c r="C246" s="18">
        <f>IF(A246="","",IFERROR(MATCH(B246,設定!$P$8:$P$27,0),""))</f>
        <v/>
      </c>
      <c r="D246" s="18">
        <f>IF(C246="","",COUNTIF($C$3:C246,C246))</f>
        <v/>
      </c>
      <c r="E246" s="18">
        <f>IF(C246="","",C246*1000+D246)</f>
        <v/>
      </c>
      <c r="F246" s="18">
        <f>IF(A246="","",INDEX(新年度名簿!$K$3:$K$452,A246))</f>
        <v/>
      </c>
      <c r="G246" s="18">
        <f>IF(A246="","",INDEX(新年度名簿!$C$3:$C$452,A246))</f>
        <v/>
      </c>
      <c r="H246" s="18">
        <f>IF(A246="","",INDEX(新年度名簿!$D$3:$D$452,A246))</f>
        <v/>
      </c>
    </row>
    <row r="247">
      <c r="A247" s="18">
        <f>IFERROR(MATCH(SMALL(新年度名簿!$J$3:$J$452,245),新年度名簿!$J$3:$J$452,0),"")</f>
        <v/>
      </c>
      <c r="B247" s="18">
        <f>IF(A247="","",INDEX(新年度名簿!$G$3:$G$452,A247))</f>
        <v/>
      </c>
      <c r="C247" s="18">
        <f>IF(A247="","",IFERROR(MATCH(B247,設定!$P$8:$P$27,0),""))</f>
        <v/>
      </c>
      <c r="D247" s="18">
        <f>IF(C247="","",COUNTIF($C$3:C247,C247))</f>
        <v/>
      </c>
      <c r="E247" s="18">
        <f>IF(C247="","",C247*1000+D247)</f>
        <v/>
      </c>
      <c r="F247" s="18">
        <f>IF(A247="","",INDEX(新年度名簿!$K$3:$K$452,A247))</f>
        <v/>
      </c>
      <c r="G247" s="18">
        <f>IF(A247="","",INDEX(新年度名簿!$C$3:$C$452,A247))</f>
        <v/>
      </c>
      <c r="H247" s="18">
        <f>IF(A247="","",INDEX(新年度名簿!$D$3:$D$452,A247))</f>
        <v/>
      </c>
    </row>
    <row r="248">
      <c r="A248" s="18">
        <f>IFERROR(MATCH(SMALL(新年度名簿!$J$3:$J$452,246),新年度名簿!$J$3:$J$452,0),"")</f>
        <v/>
      </c>
      <c r="B248" s="18">
        <f>IF(A248="","",INDEX(新年度名簿!$G$3:$G$452,A248))</f>
        <v/>
      </c>
      <c r="C248" s="18">
        <f>IF(A248="","",IFERROR(MATCH(B248,設定!$P$8:$P$27,0),""))</f>
        <v/>
      </c>
      <c r="D248" s="18">
        <f>IF(C248="","",COUNTIF($C$3:C248,C248))</f>
        <v/>
      </c>
      <c r="E248" s="18">
        <f>IF(C248="","",C248*1000+D248)</f>
        <v/>
      </c>
      <c r="F248" s="18">
        <f>IF(A248="","",INDEX(新年度名簿!$K$3:$K$452,A248))</f>
        <v/>
      </c>
      <c r="G248" s="18">
        <f>IF(A248="","",INDEX(新年度名簿!$C$3:$C$452,A248))</f>
        <v/>
      </c>
      <c r="H248" s="18">
        <f>IF(A248="","",INDEX(新年度名簿!$D$3:$D$452,A248))</f>
        <v/>
      </c>
    </row>
    <row r="249">
      <c r="A249" s="18">
        <f>IFERROR(MATCH(SMALL(新年度名簿!$J$3:$J$452,247),新年度名簿!$J$3:$J$452,0),"")</f>
        <v/>
      </c>
      <c r="B249" s="18">
        <f>IF(A249="","",INDEX(新年度名簿!$G$3:$G$452,A249))</f>
        <v/>
      </c>
      <c r="C249" s="18">
        <f>IF(A249="","",IFERROR(MATCH(B249,設定!$P$8:$P$27,0),""))</f>
        <v/>
      </c>
      <c r="D249" s="18">
        <f>IF(C249="","",COUNTIF($C$3:C249,C249))</f>
        <v/>
      </c>
      <c r="E249" s="18">
        <f>IF(C249="","",C249*1000+D249)</f>
        <v/>
      </c>
      <c r="F249" s="18">
        <f>IF(A249="","",INDEX(新年度名簿!$K$3:$K$452,A249))</f>
        <v/>
      </c>
      <c r="G249" s="18">
        <f>IF(A249="","",INDEX(新年度名簿!$C$3:$C$452,A249))</f>
        <v/>
      </c>
      <c r="H249" s="18">
        <f>IF(A249="","",INDEX(新年度名簿!$D$3:$D$452,A249))</f>
        <v/>
      </c>
    </row>
    <row r="250">
      <c r="A250" s="18">
        <f>IFERROR(MATCH(SMALL(新年度名簿!$J$3:$J$452,248),新年度名簿!$J$3:$J$452,0),"")</f>
        <v/>
      </c>
      <c r="B250" s="18">
        <f>IF(A250="","",INDEX(新年度名簿!$G$3:$G$452,A250))</f>
        <v/>
      </c>
      <c r="C250" s="18">
        <f>IF(A250="","",IFERROR(MATCH(B250,設定!$P$8:$P$27,0),""))</f>
        <v/>
      </c>
      <c r="D250" s="18">
        <f>IF(C250="","",COUNTIF($C$3:C250,C250))</f>
        <v/>
      </c>
      <c r="E250" s="18">
        <f>IF(C250="","",C250*1000+D250)</f>
        <v/>
      </c>
      <c r="F250" s="18">
        <f>IF(A250="","",INDEX(新年度名簿!$K$3:$K$452,A250))</f>
        <v/>
      </c>
      <c r="G250" s="18">
        <f>IF(A250="","",INDEX(新年度名簿!$C$3:$C$452,A250))</f>
        <v/>
      </c>
      <c r="H250" s="18">
        <f>IF(A250="","",INDEX(新年度名簿!$D$3:$D$452,A250))</f>
        <v/>
      </c>
    </row>
    <row r="251">
      <c r="A251" s="18">
        <f>IFERROR(MATCH(SMALL(新年度名簿!$J$3:$J$452,249),新年度名簿!$J$3:$J$452,0),"")</f>
        <v/>
      </c>
      <c r="B251" s="18">
        <f>IF(A251="","",INDEX(新年度名簿!$G$3:$G$452,A251))</f>
        <v/>
      </c>
      <c r="C251" s="18">
        <f>IF(A251="","",IFERROR(MATCH(B251,設定!$P$8:$P$27,0),""))</f>
        <v/>
      </c>
      <c r="D251" s="18">
        <f>IF(C251="","",COUNTIF($C$3:C251,C251))</f>
        <v/>
      </c>
      <c r="E251" s="18">
        <f>IF(C251="","",C251*1000+D251)</f>
        <v/>
      </c>
      <c r="F251" s="18">
        <f>IF(A251="","",INDEX(新年度名簿!$K$3:$K$452,A251))</f>
        <v/>
      </c>
      <c r="G251" s="18">
        <f>IF(A251="","",INDEX(新年度名簿!$C$3:$C$452,A251))</f>
        <v/>
      </c>
      <c r="H251" s="18">
        <f>IF(A251="","",INDEX(新年度名簿!$D$3:$D$452,A251))</f>
        <v/>
      </c>
    </row>
    <row r="252">
      <c r="A252" s="18">
        <f>IFERROR(MATCH(SMALL(新年度名簿!$J$3:$J$452,250),新年度名簿!$J$3:$J$452,0),"")</f>
        <v/>
      </c>
      <c r="B252" s="18">
        <f>IF(A252="","",INDEX(新年度名簿!$G$3:$G$452,A252))</f>
        <v/>
      </c>
      <c r="C252" s="18">
        <f>IF(A252="","",IFERROR(MATCH(B252,設定!$P$8:$P$27,0),""))</f>
        <v/>
      </c>
      <c r="D252" s="18">
        <f>IF(C252="","",COUNTIF($C$3:C252,C252))</f>
        <v/>
      </c>
      <c r="E252" s="18">
        <f>IF(C252="","",C252*1000+D252)</f>
        <v/>
      </c>
      <c r="F252" s="18">
        <f>IF(A252="","",INDEX(新年度名簿!$K$3:$K$452,A252))</f>
        <v/>
      </c>
      <c r="G252" s="18">
        <f>IF(A252="","",INDEX(新年度名簿!$C$3:$C$452,A252))</f>
        <v/>
      </c>
      <c r="H252" s="18">
        <f>IF(A252="","",INDEX(新年度名簿!$D$3:$D$452,A252))</f>
        <v/>
      </c>
    </row>
    <row r="253">
      <c r="A253" s="18">
        <f>IFERROR(MATCH(SMALL(新年度名簿!$J$3:$J$452,251),新年度名簿!$J$3:$J$452,0),"")</f>
        <v/>
      </c>
      <c r="B253" s="18">
        <f>IF(A253="","",INDEX(新年度名簿!$G$3:$G$452,A253))</f>
        <v/>
      </c>
      <c r="C253" s="18">
        <f>IF(A253="","",IFERROR(MATCH(B253,設定!$P$8:$P$27,0),""))</f>
        <v/>
      </c>
      <c r="D253" s="18">
        <f>IF(C253="","",COUNTIF($C$3:C253,C253))</f>
        <v/>
      </c>
      <c r="E253" s="18">
        <f>IF(C253="","",C253*1000+D253)</f>
        <v/>
      </c>
      <c r="F253" s="18">
        <f>IF(A253="","",INDEX(新年度名簿!$K$3:$K$452,A253))</f>
        <v/>
      </c>
      <c r="G253" s="18">
        <f>IF(A253="","",INDEX(新年度名簿!$C$3:$C$452,A253))</f>
        <v/>
      </c>
      <c r="H253" s="18">
        <f>IF(A253="","",INDEX(新年度名簿!$D$3:$D$452,A253))</f>
        <v/>
      </c>
    </row>
    <row r="254">
      <c r="A254" s="18">
        <f>IFERROR(MATCH(SMALL(新年度名簿!$J$3:$J$452,252),新年度名簿!$J$3:$J$452,0),"")</f>
        <v/>
      </c>
      <c r="B254" s="18">
        <f>IF(A254="","",INDEX(新年度名簿!$G$3:$G$452,A254))</f>
        <v/>
      </c>
      <c r="C254" s="18">
        <f>IF(A254="","",IFERROR(MATCH(B254,設定!$P$8:$P$27,0),""))</f>
        <v/>
      </c>
      <c r="D254" s="18">
        <f>IF(C254="","",COUNTIF($C$3:C254,C254))</f>
        <v/>
      </c>
      <c r="E254" s="18">
        <f>IF(C254="","",C254*1000+D254)</f>
        <v/>
      </c>
      <c r="F254" s="18">
        <f>IF(A254="","",INDEX(新年度名簿!$K$3:$K$452,A254))</f>
        <v/>
      </c>
      <c r="G254" s="18">
        <f>IF(A254="","",INDEX(新年度名簿!$C$3:$C$452,A254))</f>
        <v/>
      </c>
      <c r="H254" s="18">
        <f>IF(A254="","",INDEX(新年度名簿!$D$3:$D$452,A254))</f>
        <v/>
      </c>
    </row>
    <row r="255">
      <c r="A255" s="18">
        <f>IFERROR(MATCH(SMALL(新年度名簿!$J$3:$J$452,253),新年度名簿!$J$3:$J$452,0),"")</f>
        <v/>
      </c>
      <c r="B255" s="18">
        <f>IF(A255="","",INDEX(新年度名簿!$G$3:$G$452,A255))</f>
        <v/>
      </c>
      <c r="C255" s="18">
        <f>IF(A255="","",IFERROR(MATCH(B255,設定!$P$8:$P$27,0),""))</f>
        <v/>
      </c>
      <c r="D255" s="18">
        <f>IF(C255="","",COUNTIF($C$3:C255,C255))</f>
        <v/>
      </c>
      <c r="E255" s="18">
        <f>IF(C255="","",C255*1000+D255)</f>
        <v/>
      </c>
      <c r="F255" s="18">
        <f>IF(A255="","",INDEX(新年度名簿!$K$3:$K$452,A255))</f>
        <v/>
      </c>
      <c r="G255" s="18">
        <f>IF(A255="","",INDEX(新年度名簿!$C$3:$C$452,A255))</f>
        <v/>
      </c>
      <c r="H255" s="18">
        <f>IF(A255="","",INDEX(新年度名簿!$D$3:$D$452,A255))</f>
        <v/>
      </c>
    </row>
    <row r="256">
      <c r="A256" s="18">
        <f>IFERROR(MATCH(SMALL(新年度名簿!$J$3:$J$452,254),新年度名簿!$J$3:$J$452,0),"")</f>
        <v/>
      </c>
      <c r="B256" s="18">
        <f>IF(A256="","",INDEX(新年度名簿!$G$3:$G$452,A256))</f>
        <v/>
      </c>
      <c r="C256" s="18">
        <f>IF(A256="","",IFERROR(MATCH(B256,設定!$P$8:$P$27,0),""))</f>
        <v/>
      </c>
      <c r="D256" s="18">
        <f>IF(C256="","",COUNTIF($C$3:C256,C256))</f>
        <v/>
      </c>
      <c r="E256" s="18">
        <f>IF(C256="","",C256*1000+D256)</f>
        <v/>
      </c>
      <c r="F256" s="18">
        <f>IF(A256="","",INDEX(新年度名簿!$K$3:$K$452,A256))</f>
        <v/>
      </c>
      <c r="G256" s="18">
        <f>IF(A256="","",INDEX(新年度名簿!$C$3:$C$452,A256))</f>
        <v/>
      </c>
      <c r="H256" s="18">
        <f>IF(A256="","",INDEX(新年度名簿!$D$3:$D$452,A256))</f>
        <v/>
      </c>
    </row>
    <row r="257">
      <c r="A257" s="18">
        <f>IFERROR(MATCH(SMALL(新年度名簿!$J$3:$J$452,255),新年度名簿!$J$3:$J$452,0),"")</f>
        <v/>
      </c>
      <c r="B257" s="18">
        <f>IF(A257="","",INDEX(新年度名簿!$G$3:$G$452,A257))</f>
        <v/>
      </c>
      <c r="C257" s="18">
        <f>IF(A257="","",IFERROR(MATCH(B257,設定!$P$8:$P$27,0),""))</f>
        <v/>
      </c>
      <c r="D257" s="18">
        <f>IF(C257="","",COUNTIF($C$3:C257,C257))</f>
        <v/>
      </c>
      <c r="E257" s="18">
        <f>IF(C257="","",C257*1000+D257)</f>
        <v/>
      </c>
      <c r="F257" s="18">
        <f>IF(A257="","",INDEX(新年度名簿!$K$3:$K$452,A257))</f>
        <v/>
      </c>
      <c r="G257" s="18">
        <f>IF(A257="","",INDEX(新年度名簿!$C$3:$C$452,A257))</f>
        <v/>
      </c>
      <c r="H257" s="18">
        <f>IF(A257="","",INDEX(新年度名簿!$D$3:$D$452,A257))</f>
        <v/>
      </c>
    </row>
    <row r="258">
      <c r="A258" s="18">
        <f>IFERROR(MATCH(SMALL(新年度名簿!$J$3:$J$452,256),新年度名簿!$J$3:$J$452,0),"")</f>
        <v/>
      </c>
      <c r="B258" s="18">
        <f>IF(A258="","",INDEX(新年度名簿!$G$3:$G$452,A258))</f>
        <v/>
      </c>
      <c r="C258" s="18">
        <f>IF(A258="","",IFERROR(MATCH(B258,設定!$P$8:$P$27,0),""))</f>
        <v/>
      </c>
      <c r="D258" s="18">
        <f>IF(C258="","",COUNTIF($C$3:C258,C258))</f>
        <v/>
      </c>
      <c r="E258" s="18">
        <f>IF(C258="","",C258*1000+D258)</f>
        <v/>
      </c>
      <c r="F258" s="18">
        <f>IF(A258="","",INDEX(新年度名簿!$K$3:$K$452,A258))</f>
        <v/>
      </c>
      <c r="G258" s="18">
        <f>IF(A258="","",INDEX(新年度名簿!$C$3:$C$452,A258))</f>
        <v/>
      </c>
      <c r="H258" s="18">
        <f>IF(A258="","",INDEX(新年度名簿!$D$3:$D$452,A258))</f>
        <v/>
      </c>
    </row>
    <row r="259">
      <c r="A259" s="18">
        <f>IFERROR(MATCH(SMALL(新年度名簿!$J$3:$J$452,257),新年度名簿!$J$3:$J$452,0),"")</f>
        <v/>
      </c>
      <c r="B259" s="18">
        <f>IF(A259="","",INDEX(新年度名簿!$G$3:$G$452,A259))</f>
        <v/>
      </c>
      <c r="C259" s="18">
        <f>IF(A259="","",IFERROR(MATCH(B259,設定!$P$8:$P$27,0),""))</f>
        <v/>
      </c>
      <c r="D259" s="18">
        <f>IF(C259="","",COUNTIF($C$3:C259,C259))</f>
        <v/>
      </c>
      <c r="E259" s="18">
        <f>IF(C259="","",C259*1000+D259)</f>
        <v/>
      </c>
      <c r="F259" s="18">
        <f>IF(A259="","",INDEX(新年度名簿!$K$3:$K$452,A259))</f>
        <v/>
      </c>
      <c r="G259" s="18">
        <f>IF(A259="","",INDEX(新年度名簿!$C$3:$C$452,A259))</f>
        <v/>
      </c>
      <c r="H259" s="18">
        <f>IF(A259="","",INDEX(新年度名簿!$D$3:$D$452,A259))</f>
        <v/>
      </c>
    </row>
    <row r="260">
      <c r="A260" s="18">
        <f>IFERROR(MATCH(SMALL(新年度名簿!$J$3:$J$452,258),新年度名簿!$J$3:$J$452,0),"")</f>
        <v/>
      </c>
      <c r="B260" s="18">
        <f>IF(A260="","",INDEX(新年度名簿!$G$3:$G$452,A260))</f>
        <v/>
      </c>
      <c r="C260" s="18">
        <f>IF(A260="","",IFERROR(MATCH(B260,設定!$P$8:$P$27,0),""))</f>
        <v/>
      </c>
      <c r="D260" s="18">
        <f>IF(C260="","",COUNTIF($C$3:C260,C260))</f>
        <v/>
      </c>
      <c r="E260" s="18">
        <f>IF(C260="","",C260*1000+D260)</f>
        <v/>
      </c>
      <c r="F260" s="18">
        <f>IF(A260="","",INDEX(新年度名簿!$K$3:$K$452,A260))</f>
        <v/>
      </c>
      <c r="G260" s="18">
        <f>IF(A260="","",INDEX(新年度名簿!$C$3:$C$452,A260))</f>
        <v/>
      </c>
      <c r="H260" s="18">
        <f>IF(A260="","",INDEX(新年度名簿!$D$3:$D$452,A260))</f>
        <v/>
      </c>
    </row>
    <row r="261">
      <c r="A261" s="18">
        <f>IFERROR(MATCH(SMALL(新年度名簿!$J$3:$J$452,259),新年度名簿!$J$3:$J$452,0),"")</f>
        <v/>
      </c>
      <c r="B261" s="18">
        <f>IF(A261="","",INDEX(新年度名簿!$G$3:$G$452,A261))</f>
        <v/>
      </c>
      <c r="C261" s="18">
        <f>IF(A261="","",IFERROR(MATCH(B261,設定!$P$8:$P$27,0),""))</f>
        <v/>
      </c>
      <c r="D261" s="18">
        <f>IF(C261="","",COUNTIF($C$3:C261,C261))</f>
        <v/>
      </c>
      <c r="E261" s="18">
        <f>IF(C261="","",C261*1000+D261)</f>
        <v/>
      </c>
      <c r="F261" s="18">
        <f>IF(A261="","",INDEX(新年度名簿!$K$3:$K$452,A261))</f>
        <v/>
      </c>
      <c r="G261" s="18">
        <f>IF(A261="","",INDEX(新年度名簿!$C$3:$C$452,A261))</f>
        <v/>
      </c>
      <c r="H261" s="18">
        <f>IF(A261="","",INDEX(新年度名簿!$D$3:$D$452,A261))</f>
        <v/>
      </c>
    </row>
    <row r="262">
      <c r="A262" s="18">
        <f>IFERROR(MATCH(SMALL(新年度名簿!$J$3:$J$452,260),新年度名簿!$J$3:$J$452,0),"")</f>
        <v/>
      </c>
      <c r="B262" s="18">
        <f>IF(A262="","",INDEX(新年度名簿!$G$3:$G$452,A262))</f>
        <v/>
      </c>
      <c r="C262" s="18">
        <f>IF(A262="","",IFERROR(MATCH(B262,設定!$P$8:$P$27,0),""))</f>
        <v/>
      </c>
      <c r="D262" s="18">
        <f>IF(C262="","",COUNTIF($C$3:C262,C262))</f>
        <v/>
      </c>
      <c r="E262" s="18">
        <f>IF(C262="","",C262*1000+D262)</f>
        <v/>
      </c>
      <c r="F262" s="18">
        <f>IF(A262="","",INDEX(新年度名簿!$K$3:$K$452,A262))</f>
        <v/>
      </c>
      <c r="G262" s="18">
        <f>IF(A262="","",INDEX(新年度名簿!$C$3:$C$452,A262))</f>
        <v/>
      </c>
      <c r="H262" s="18">
        <f>IF(A262="","",INDEX(新年度名簿!$D$3:$D$452,A262))</f>
        <v/>
      </c>
    </row>
    <row r="263">
      <c r="A263" s="18">
        <f>IFERROR(MATCH(SMALL(新年度名簿!$J$3:$J$452,261),新年度名簿!$J$3:$J$452,0),"")</f>
        <v/>
      </c>
      <c r="B263" s="18">
        <f>IF(A263="","",INDEX(新年度名簿!$G$3:$G$452,A263))</f>
        <v/>
      </c>
      <c r="C263" s="18">
        <f>IF(A263="","",IFERROR(MATCH(B263,設定!$P$8:$P$27,0),""))</f>
        <v/>
      </c>
      <c r="D263" s="18">
        <f>IF(C263="","",COUNTIF($C$3:C263,C263))</f>
        <v/>
      </c>
      <c r="E263" s="18">
        <f>IF(C263="","",C263*1000+D263)</f>
        <v/>
      </c>
      <c r="F263" s="18">
        <f>IF(A263="","",INDEX(新年度名簿!$K$3:$K$452,A263))</f>
        <v/>
      </c>
      <c r="G263" s="18">
        <f>IF(A263="","",INDEX(新年度名簿!$C$3:$C$452,A263))</f>
        <v/>
      </c>
      <c r="H263" s="18">
        <f>IF(A263="","",INDEX(新年度名簿!$D$3:$D$452,A263))</f>
        <v/>
      </c>
    </row>
    <row r="264">
      <c r="A264" s="18">
        <f>IFERROR(MATCH(SMALL(新年度名簿!$J$3:$J$452,262),新年度名簿!$J$3:$J$452,0),"")</f>
        <v/>
      </c>
      <c r="B264" s="18">
        <f>IF(A264="","",INDEX(新年度名簿!$G$3:$G$452,A264))</f>
        <v/>
      </c>
      <c r="C264" s="18">
        <f>IF(A264="","",IFERROR(MATCH(B264,設定!$P$8:$P$27,0),""))</f>
        <v/>
      </c>
      <c r="D264" s="18">
        <f>IF(C264="","",COUNTIF($C$3:C264,C264))</f>
        <v/>
      </c>
      <c r="E264" s="18">
        <f>IF(C264="","",C264*1000+D264)</f>
        <v/>
      </c>
      <c r="F264" s="18">
        <f>IF(A264="","",INDEX(新年度名簿!$K$3:$K$452,A264))</f>
        <v/>
      </c>
      <c r="G264" s="18">
        <f>IF(A264="","",INDEX(新年度名簿!$C$3:$C$452,A264))</f>
        <v/>
      </c>
      <c r="H264" s="18">
        <f>IF(A264="","",INDEX(新年度名簿!$D$3:$D$452,A264))</f>
        <v/>
      </c>
    </row>
    <row r="265">
      <c r="A265" s="18">
        <f>IFERROR(MATCH(SMALL(新年度名簿!$J$3:$J$452,263),新年度名簿!$J$3:$J$452,0),"")</f>
        <v/>
      </c>
      <c r="B265" s="18">
        <f>IF(A265="","",INDEX(新年度名簿!$G$3:$G$452,A265))</f>
        <v/>
      </c>
      <c r="C265" s="18">
        <f>IF(A265="","",IFERROR(MATCH(B265,設定!$P$8:$P$27,0),""))</f>
        <v/>
      </c>
      <c r="D265" s="18">
        <f>IF(C265="","",COUNTIF($C$3:C265,C265))</f>
        <v/>
      </c>
      <c r="E265" s="18">
        <f>IF(C265="","",C265*1000+D265)</f>
        <v/>
      </c>
      <c r="F265" s="18">
        <f>IF(A265="","",INDEX(新年度名簿!$K$3:$K$452,A265))</f>
        <v/>
      </c>
      <c r="G265" s="18">
        <f>IF(A265="","",INDEX(新年度名簿!$C$3:$C$452,A265))</f>
        <v/>
      </c>
      <c r="H265" s="18">
        <f>IF(A265="","",INDEX(新年度名簿!$D$3:$D$452,A265))</f>
        <v/>
      </c>
    </row>
    <row r="266">
      <c r="A266" s="18">
        <f>IFERROR(MATCH(SMALL(新年度名簿!$J$3:$J$452,264),新年度名簿!$J$3:$J$452,0),"")</f>
        <v/>
      </c>
      <c r="B266" s="18">
        <f>IF(A266="","",INDEX(新年度名簿!$G$3:$G$452,A266))</f>
        <v/>
      </c>
      <c r="C266" s="18">
        <f>IF(A266="","",IFERROR(MATCH(B266,設定!$P$8:$P$27,0),""))</f>
        <v/>
      </c>
      <c r="D266" s="18">
        <f>IF(C266="","",COUNTIF($C$3:C266,C266))</f>
        <v/>
      </c>
      <c r="E266" s="18">
        <f>IF(C266="","",C266*1000+D266)</f>
        <v/>
      </c>
      <c r="F266" s="18">
        <f>IF(A266="","",INDEX(新年度名簿!$K$3:$K$452,A266))</f>
        <v/>
      </c>
      <c r="G266" s="18">
        <f>IF(A266="","",INDEX(新年度名簿!$C$3:$C$452,A266))</f>
        <v/>
      </c>
      <c r="H266" s="18">
        <f>IF(A266="","",INDEX(新年度名簿!$D$3:$D$452,A266))</f>
        <v/>
      </c>
    </row>
    <row r="267">
      <c r="A267" s="18">
        <f>IFERROR(MATCH(SMALL(新年度名簿!$J$3:$J$452,265),新年度名簿!$J$3:$J$452,0),"")</f>
        <v/>
      </c>
      <c r="B267" s="18">
        <f>IF(A267="","",INDEX(新年度名簿!$G$3:$G$452,A267))</f>
        <v/>
      </c>
      <c r="C267" s="18">
        <f>IF(A267="","",IFERROR(MATCH(B267,設定!$P$8:$P$27,0),""))</f>
        <v/>
      </c>
      <c r="D267" s="18">
        <f>IF(C267="","",COUNTIF($C$3:C267,C267))</f>
        <v/>
      </c>
      <c r="E267" s="18">
        <f>IF(C267="","",C267*1000+D267)</f>
        <v/>
      </c>
      <c r="F267" s="18">
        <f>IF(A267="","",INDEX(新年度名簿!$K$3:$K$452,A267))</f>
        <v/>
      </c>
      <c r="G267" s="18">
        <f>IF(A267="","",INDEX(新年度名簿!$C$3:$C$452,A267))</f>
        <v/>
      </c>
      <c r="H267" s="18">
        <f>IF(A267="","",INDEX(新年度名簿!$D$3:$D$452,A267))</f>
        <v/>
      </c>
    </row>
    <row r="268">
      <c r="A268" s="18">
        <f>IFERROR(MATCH(SMALL(新年度名簿!$J$3:$J$452,266),新年度名簿!$J$3:$J$452,0),"")</f>
        <v/>
      </c>
      <c r="B268" s="18">
        <f>IF(A268="","",INDEX(新年度名簿!$G$3:$G$452,A268))</f>
        <v/>
      </c>
      <c r="C268" s="18">
        <f>IF(A268="","",IFERROR(MATCH(B268,設定!$P$8:$P$27,0),""))</f>
        <v/>
      </c>
      <c r="D268" s="18">
        <f>IF(C268="","",COUNTIF($C$3:C268,C268))</f>
        <v/>
      </c>
      <c r="E268" s="18">
        <f>IF(C268="","",C268*1000+D268)</f>
        <v/>
      </c>
      <c r="F268" s="18">
        <f>IF(A268="","",INDEX(新年度名簿!$K$3:$K$452,A268))</f>
        <v/>
      </c>
      <c r="G268" s="18">
        <f>IF(A268="","",INDEX(新年度名簿!$C$3:$C$452,A268))</f>
        <v/>
      </c>
      <c r="H268" s="18">
        <f>IF(A268="","",INDEX(新年度名簿!$D$3:$D$452,A268))</f>
        <v/>
      </c>
    </row>
    <row r="269">
      <c r="A269" s="18">
        <f>IFERROR(MATCH(SMALL(新年度名簿!$J$3:$J$452,267),新年度名簿!$J$3:$J$452,0),"")</f>
        <v/>
      </c>
      <c r="B269" s="18">
        <f>IF(A269="","",INDEX(新年度名簿!$G$3:$G$452,A269))</f>
        <v/>
      </c>
      <c r="C269" s="18">
        <f>IF(A269="","",IFERROR(MATCH(B269,設定!$P$8:$P$27,0),""))</f>
        <v/>
      </c>
      <c r="D269" s="18">
        <f>IF(C269="","",COUNTIF($C$3:C269,C269))</f>
        <v/>
      </c>
      <c r="E269" s="18">
        <f>IF(C269="","",C269*1000+D269)</f>
        <v/>
      </c>
      <c r="F269" s="18">
        <f>IF(A269="","",INDEX(新年度名簿!$K$3:$K$452,A269))</f>
        <v/>
      </c>
      <c r="G269" s="18">
        <f>IF(A269="","",INDEX(新年度名簿!$C$3:$C$452,A269))</f>
        <v/>
      </c>
      <c r="H269" s="18">
        <f>IF(A269="","",INDEX(新年度名簿!$D$3:$D$452,A269))</f>
        <v/>
      </c>
    </row>
    <row r="270">
      <c r="A270" s="18">
        <f>IFERROR(MATCH(SMALL(新年度名簿!$J$3:$J$452,268),新年度名簿!$J$3:$J$452,0),"")</f>
        <v/>
      </c>
      <c r="B270" s="18">
        <f>IF(A270="","",INDEX(新年度名簿!$G$3:$G$452,A270))</f>
        <v/>
      </c>
      <c r="C270" s="18">
        <f>IF(A270="","",IFERROR(MATCH(B270,設定!$P$8:$P$27,0),""))</f>
        <v/>
      </c>
      <c r="D270" s="18">
        <f>IF(C270="","",COUNTIF($C$3:C270,C270))</f>
        <v/>
      </c>
      <c r="E270" s="18">
        <f>IF(C270="","",C270*1000+D270)</f>
        <v/>
      </c>
      <c r="F270" s="18">
        <f>IF(A270="","",INDEX(新年度名簿!$K$3:$K$452,A270))</f>
        <v/>
      </c>
      <c r="G270" s="18">
        <f>IF(A270="","",INDEX(新年度名簿!$C$3:$C$452,A270))</f>
        <v/>
      </c>
      <c r="H270" s="18">
        <f>IF(A270="","",INDEX(新年度名簿!$D$3:$D$452,A270))</f>
        <v/>
      </c>
    </row>
    <row r="271">
      <c r="A271" s="18">
        <f>IFERROR(MATCH(SMALL(新年度名簿!$J$3:$J$452,269),新年度名簿!$J$3:$J$452,0),"")</f>
        <v/>
      </c>
      <c r="B271" s="18">
        <f>IF(A271="","",INDEX(新年度名簿!$G$3:$G$452,A271))</f>
        <v/>
      </c>
      <c r="C271" s="18">
        <f>IF(A271="","",IFERROR(MATCH(B271,設定!$P$8:$P$27,0),""))</f>
        <v/>
      </c>
      <c r="D271" s="18">
        <f>IF(C271="","",COUNTIF($C$3:C271,C271))</f>
        <v/>
      </c>
      <c r="E271" s="18">
        <f>IF(C271="","",C271*1000+D271)</f>
        <v/>
      </c>
      <c r="F271" s="18">
        <f>IF(A271="","",INDEX(新年度名簿!$K$3:$K$452,A271))</f>
        <v/>
      </c>
      <c r="G271" s="18">
        <f>IF(A271="","",INDEX(新年度名簿!$C$3:$C$452,A271))</f>
        <v/>
      </c>
      <c r="H271" s="18">
        <f>IF(A271="","",INDEX(新年度名簿!$D$3:$D$452,A271))</f>
        <v/>
      </c>
    </row>
    <row r="272">
      <c r="A272" s="18">
        <f>IFERROR(MATCH(SMALL(新年度名簿!$J$3:$J$452,270),新年度名簿!$J$3:$J$452,0),"")</f>
        <v/>
      </c>
      <c r="B272" s="18">
        <f>IF(A272="","",INDEX(新年度名簿!$G$3:$G$452,A272))</f>
        <v/>
      </c>
      <c r="C272" s="18">
        <f>IF(A272="","",IFERROR(MATCH(B272,設定!$P$8:$P$27,0),""))</f>
        <v/>
      </c>
      <c r="D272" s="18">
        <f>IF(C272="","",COUNTIF($C$3:C272,C272))</f>
        <v/>
      </c>
      <c r="E272" s="18">
        <f>IF(C272="","",C272*1000+D272)</f>
        <v/>
      </c>
      <c r="F272" s="18">
        <f>IF(A272="","",INDEX(新年度名簿!$K$3:$K$452,A272))</f>
        <v/>
      </c>
      <c r="G272" s="18">
        <f>IF(A272="","",INDEX(新年度名簿!$C$3:$C$452,A272))</f>
        <v/>
      </c>
      <c r="H272" s="18">
        <f>IF(A272="","",INDEX(新年度名簿!$D$3:$D$452,A272))</f>
        <v/>
      </c>
    </row>
    <row r="273">
      <c r="A273" s="18">
        <f>IFERROR(MATCH(SMALL(新年度名簿!$J$3:$J$452,271),新年度名簿!$J$3:$J$452,0),"")</f>
        <v/>
      </c>
      <c r="B273" s="18">
        <f>IF(A273="","",INDEX(新年度名簿!$G$3:$G$452,A273))</f>
        <v/>
      </c>
      <c r="C273" s="18">
        <f>IF(A273="","",IFERROR(MATCH(B273,設定!$P$8:$P$27,0),""))</f>
        <v/>
      </c>
      <c r="D273" s="18">
        <f>IF(C273="","",COUNTIF($C$3:C273,C273))</f>
        <v/>
      </c>
      <c r="E273" s="18">
        <f>IF(C273="","",C273*1000+D273)</f>
        <v/>
      </c>
      <c r="F273" s="18">
        <f>IF(A273="","",INDEX(新年度名簿!$K$3:$K$452,A273))</f>
        <v/>
      </c>
      <c r="G273" s="18">
        <f>IF(A273="","",INDEX(新年度名簿!$C$3:$C$452,A273))</f>
        <v/>
      </c>
      <c r="H273" s="18">
        <f>IF(A273="","",INDEX(新年度名簿!$D$3:$D$452,A273))</f>
        <v/>
      </c>
    </row>
    <row r="274">
      <c r="A274" s="18">
        <f>IFERROR(MATCH(SMALL(新年度名簿!$J$3:$J$452,272),新年度名簿!$J$3:$J$452,0),"")</f>
        <v/>
      </c>
      <c r="B274" s="18">
        <f>IF(A274="","",INDEX(新年度名簿!$G$3:$G$452,A274))</f>
        <v/>
      </c>
      <c r="C274" s="18">
        <f>IF(A274="","",IFERROR(MATCH(B274,設定!$P$8:$P$27,0),""))</f>
        <v/>
      </c>
      <c r="D274" s="18">
        <f>IF(C274="","",COUNTIF($C$3:C274,C274))</f>
        <v/>
      </c>
      <c r="E274" s="18">
        <f>IF(C274="","",C274*1000+D274)</f>
        <v/>
      </c>
      <c r="F274" s="18">
        <f>IF(A274="","",INDEX(新年度名簿!$K$3:$K$452,A274))</f>
        <v/>
      </c>
      <c r="G274" s="18">
        <f>IF(A274="","",INDEX(新年度名簿!$C$3:$C$452,A274))</f>
        <v/>
      </c>
      <c r="H274" s="18">
        <f>IF(A274="","",INDEX(新年度名簿!$D$3:$D$452,A274))</f>
        <v/>
      </c>
    </row>
    <row r="275">
      <c r="A275" s="18">
        <f>IFERROR(MATCH(SMALL(新年度名簿!$J$3:$J$452,273),新年度名簿!$J$3:$J$452,0),"")</f>
        <v/>
      </c>
      <c r="B275" s="18">
        <f>IF(A275="","",INDEX(新年度名簿!$G$3:$G$452,A275))</f>
        <v/>
      </c>
      <c r="C275" s="18">
        <f>IF(A275="","",IFERROR(MATCH(B275,設定!$P$8:$P$27,0),""))</f>
        <v/>
      </c>
      <c r="D275" s="18">
        <f>IF(C275="","",COUNTIF($C$3:C275,C275))</f>
        <v/>
      </c>
      <c r="E275" s="18">
        <f>IF(C275="","",C275*1000+D275)</f>
        <v/>
      </c>
      <c r="F275" s="18">
        <f>IF(A275="","",INDEX(新年度名簿!$K$3:$K$452,A275))</f>
        <v/>
      </c>
      <c r="G275" s="18">
        <f>IF(A275="","",INDEX(新年度名簿!$C$3:$C$452,A275))</f>
        <v/>
      </c>
      <c r="H275" s="18">
        <f>IF(A275="","",INDEX(新年度名簿!$D$3:$D$452,A275))</f>
        <v/>
      </c>
    </row>
    <row r="276">
      <c r="A276" s="18">
        <f>IFERROR(MATCH(SMALL(新年度名簿!$J$3:$J$452,274),新年度名簿!$J$3:$J$452,0),"")</f>
        <v/>
      </c>
      <c r="B276" s="18">
        <f>IF(A276="","",INDEX(新年度名簿!$G$3:$G$452,A276))</f>
        <v/>
      </c>
      <c r="C276" s="18">
        <f>IF(A276="","",IFERROR(MATCH(B276,設定!$P$8:$P$27,0),""))</f>
        <v/>
      </c>
      <c r="D276" s="18">
        <f>IF(C276="","",COUNTIF($C$3:C276,C276))</f>
        <v/>
      </c>
      <c r="E276" s="18">
        <f>IF(C276="","",C276*1000+D276)</f>
        <v/>
      </c>
      <c r="F276" s="18">
        <f>IF(A276="","",INDEX(新年度名簿!$K$3:$K$452,A276))</f>
        <v/>
      </c>
      <c r="G276" s="18">
        <f>IF(A276="","",INDEX(新年度名簿!$C$3:$C$452,A276))</f>
        <v/>
      </c>
      <c r="H276" s="18">
        <f>IF(A276="","",INDEX(新年度名簿!$D$3:$D$452,A276))</f>
        <v/>
      </c>
    </row>
    <row r="277">
      <c r="A277" s="18">
        <f>IFERROR(MATCH(SMALL(新年度名簿!$J$3:$J$452,275),新年度名簿!$J$3:$J$452,0),"")</f>
        <v/>
      </c>
      <c r="B277" s="18">
        <f>IF(A277="","",INDEX(新年度名簿!$G$3:$G$452,A277))</f>
        <v/>
      </c>
      <c r="C277" s="18">
        <f>IF(A277="","",IFERROR(MATCH(B277,設定!$P$8:$P$27,0),""))</f>
        <v/>
      </c>
      <c r="D277" s="18">
        <f>IF(C277="","",COUNTIF($C$3:C277,C277))</f>
        <v/>
      </c>
      <c r="E277" s="18">
        <f>IF(C277="","",C277*1000+D277)</f>
        <v/>
      </c>
      <c r="F277" s="18">
        <f>IF(A277="","",INDEX(新年度名簿!$K$3:$K$452,A277))</f>
        <v/>
      </c>
      <c r="G277" s="18">
        <f>IF(A277="","",INDEX(新年度名簿!$C$3:$C$452,A277))</f>
        <v/>
      </c>
      <c r="H277" s="18">
        <f>IF(A277="","",INDEX(新年度名簿!$D$3:$D$452,A277))</f>
        <v/>
      </c>
    </row>
    <row r="278">
      <c r="A278" s="18">
        <f>IFERROR(MATCH(SMALL(新年度名簿!$J$3:$J$452,276),新年度名簿!$J$3:$J$452,0),"")</f>
        <v/>
      </c>
      <c r="B278" s="18">
        <f>IF(A278="","",INDEX(新年度名簿!$G$3:$G$452,A278))</f>
        <v/>
      </c>
      <c r="C278" s="18">
        <f>IF(A278="","",IFERROR(MATCH(B278,設定!$P$8:$P$27,0),""))</f>
        <v/>
      </c>
      <c r="D278" s="18">
        <f>IF(C278="","",COUNTIF($C$3:C278,C278))</f>
        <v/>
      </c>
      <c r="E278" s="18">
        <f>IF(C278="","",C278*1000+D278)</f>
        <v/>
      </c>
      <c r="F278" s="18">
        <f>IF(A278="","",INDEX(新年度名簿!$K$3:$K$452,A278))</f>
        <v/>
      </c>
      <c r="G278" s="18">
        <f>IF(A278="","",INDEX(新年度名簿!$C$3:$C$452,A278))</f>
        <v/>
      </c>
      <c r="H278" s="18">
        <f>IF(A278="","",INDEX(新年度名簿!$D$3:$D$452,A278))</f>
        <v/>
      </c>
    </row>
    <row r="279">
      <c r="A279" s="18">
        <f>IFERROR(MATCH(SMALL(新年度名簿!$J$3:$J$452,277),新年度名簿!$J$3:$J$452,0),"")</f>
        <v/>
      </c>
      <c r="B279" s="18">
        <f>IF(A279="","",INDEX(新年度名簿!$G$3:$G$452,A279))</f>
        <v/>
      </c>
      <c r="C279" s="18">
        <f>IF(A279="","",IFERROR(MATCH(B279,設定!$P$8:$P$27,0),""))</f>
        <v/>
      </c>
      <c r="D279" s="18">
        <f>IF(C279="","",COUNTIF($C$3:C279,C279))</f>
        <v/>
      </c>
      <c r="E279" s="18">
        <f>IF(C279="","",C279*1000+D279)</f>
        <v/>
      </c>
      <c r="F279" s="18">
        <f>IF(A279="","",INDEX(新年度名簿!$K$3:$K$452,A279))</f>
        <v/>
      </c>
      <c r="G279" s="18">
        <f>IF(A279="","",INDEX(新年度名簿!$C$3:$C$452,A279))</f>
        <v/>
      </c>
      <c r="H279" s="18">
        <f>IF(A279="","",INDEX(新年度名簿!$D$3:$D$452,A279))</f>
        <v/>
      </c>
    </row>
    <row r="280">
      <c r="A280" s="18">
        <f>IFERROR(MATCH(SMALL(新年度名簿!$J$3:$J$452,278),新年度名簿!$J$3:$J$452,0),"")</f>
        <v/>
      </c>
      <c r="B280" s="18">
        <f>IF(A280="","",INDEX(新年度名簿!$G$3:$G$452,A280))</f>
        <v/>
      </c>
      <c r="C280" s="18">
        <f>IF(A280="","",IFERROR(MATCH(B280,設定!$P$8:$P$27,0),""))</f>
        <v/>
      </c>
      <c r="D280" s="18">
        <f>IF(C280="","",COUNTIF($C$3:C280,C280))</f>
        <v/>
      </c>
      <c r="E280" s="18">
        <f>IF(C280="","",C280*1000+D280)</f>
        <v/>
      </c>
      <c r="F280" s="18">
        <f>IF(A280="","",INDEX(新年度名簿!$K$3:$K$452,A280))</f>
        <v/>
      </c>
      <c r="G280" s="18">
        <f>IF(A280="","",INDEX(新年度名簿!$C$3:$C$452,A280))</f>
        <v/>
      </c>
      <c r="H280" s="18">
        <f>IF(A280="","",INDEX(新年度名簿!$D$3:$D$452,A280))</f>
        <v/>
      </c>
    </row>
    <row r="281">
      <c r="A281" s="18">
        <f>IFERROR(MATCH(SMALL(新年度名簿!$J$3:$J$452,279),新年度名簿!$J$3:$J$452,0),"")</f>
        <v/>
      </c>
      <c r="B281" s="18">
        <f>IF(A281="","",INDEX(新年度名簿!$G$3:$G$452,A281))</f>
        <v/>
      </c>
      <c r="C281" s="18">
        <f>IF(A281="","",IFERROR(MATCH(B281,設定!$P$8:$P$27,0),""))</f>
        <v/>
      </c>
      <c r="D281" s="18">
        <f>IF(C281="","",COUNTIF($C$3:C281,C281))</f>
        <v/>
      </c>
      <c r="E281" s="18">
        <f>IF(C281="","",C281*1000+D281)</f>
        <v/>
      </c>
      <c r="F281" s="18">
        <f>IF(A281="","",INDEX(新年度名簿!$K$3:$K$452,A281))</f>
        <v/>
      </c>
      <c r="G281" s="18">
        <f>IF(A281="","",INDEX(新年度名簿!$C$3:$C$452,A281))</f>
        <v/>
      </c>
      <c r="H281" s="18">
        <f>IF(A281="","",INDEX(新年度名簿!$D$3:$D$452,A281))</f>
        <v/>
      </c>
    </row>
    <row r="282">
      <c r="A282" s="18">
        <f>IFERROR(MATCH(SMALL(新年度名簿!$J$3:$J$452,280),新年度名簿!$J$3:$J$452,0),"")</f>
        <v/>
      </c>
      <c r="B282" s="18">
        <f>IF(A282="","",INDEX(新年度名簿!$G$3:$G$452,A282))</f>
        <v/>
      </c>
      <c r="C282" s="18">
        <f>IF(A282="","",IFERROR(MATCH(B282,設定!$P$8:$P$27,0),""))</f>
        <v/>
      </c>
      <c r="D282" s="18">
        <f>IF(C282="","",COUNTIF($C$3:C282,C282))</f>
        <v/>
      </c>
      <c r="E282" s="18">
        <f>IF(C282="","",C282*1000+D282)</f>
        <v/>
      </c>
      <c r="F282" s="18">
        <f>IF(A282="","",INDEX(新年度名簿!$K$3:$K$452,A282))</f>
        <v/>
      </c>
      <c r="G282" s="18">
        <f>IF(A282="","",INDEX(新年度名簿!$C$3:$C$452,A282))</f>
        <v/>
      </c>
      <c r="H282" s="18">
        <f>IF(A282="","",INDEX(新年度名簿!$D$3:$D$452,A282))</f>
        <v/>
      </c>
    </row>
    <row r="283">
      <c r="A283" s="18">
        <f>IFERROR(MATCH(SMALL(新年度名簿!$J$3:$J$452,281),新年度名簿!$J$3:$J$452,0),"")</f>
        <v/>
      </c>
      <c r="B283" s="18">
        <f>IF(A283="","",INDEX(新年度名簿!$G$3:$G$452,A283))</f>
        <v/>
      </c>
      <c r="C283" s="18">
        <f>IF(A283="","",IFERROR(MATCH(B283,設定!$P$8:$P$27,0),""))</f>
        <v/>
      </c>
      <c r="D283" s="18">
        <f>IF(C283="","",COUNTIF($C$3:C283,C283))</f>
        <v/>
      </c>
      <c r="E283" s="18">
        <f>IF(C283="","",C283*1000+D283)</f>
        <v/>
      </c>
      <c r="F283" s="18">
        <f>IF(A283="","",INDEX(新年度名簿!$K$3:$K$452,A283))</f>
        <v/>
      </c>
      <c r="G283" s="18">
        <f>IF(A283="","",INDEX(新年度名簿!$C$3:$C$452,A283))</f>
        <v/>
      </c>
      <c r="H283" s="18">
        <f>IF(A283="","",INDEX(新年度名簿!$D$3:$D$452,A283))</f>
        <v/>
      </c>
    </row>
    <row r="284">
      <c r="A284" s="18">
        <f>IFERROR(MATCH(SMALL(新年度名簿!$J$3:$J$452,282),新年度名簿!$J$3:$J$452,0),"")</f>
        <v/>
      </c>
      <c r="B284" s="18">
        <f>IF(A284="","",INDEX(新年度名簿!$G$3:$G$452,A284))</f>
        <v/>
      </c>
      <c r="C284" s="18">
        <f>IF(A284="","",IFERROR(MATCH(B284,設定!$P$8:$P$27,0),""))</f>
        <v/>
      </c>
      <c r="D284" s="18">
        <f>IF(C284="","",COUNTIF($C$3:C284,C284))</f>
        <v/>
      </c>
      <c r="E284" s="18">
        <f>IF(C284="","",C284*1000+D284)</f>
        <v/>
      </c>
      <c r="F284" s="18">
        <f>IF(A284="","",INDEX(新年度名簿!$K$3:$K$452,A284))</f>
        <v/>
      </c>
      <c r="G284" s="18">
        <f>IF(A284="","",INDEX(新年度名簿!$C$3:$C$452,A284))</f>
        <v/>
      </c>
      <c r="H284" s="18">
        <f>IF(A284="","",INDEX(新年度名簿!$D$3:$D$452,A284))</f>
        <v/>
      </c>
    </row>
    <row r="285">
      <c r="A285" s="18">
        <f>IFERROR(MATCH(SMALL(新年度名簿!$J$3:$J$452,283),新年度名簿!$J$3:$J$452,0),"")</f>
        <v/>
      </c>
      <c r="B285" s="18">
        <f>IF(A285="","",INDEX(新年度名簿!$G$3:$G$452,A285))</f>
        <v/>
      </c>
      <c r="C285" s="18">
        <f>IF(A285="","",IFERROR(MATCH(B285,設定!$P$8:$P$27,0),""))</f>
        <v/>
      </c>
      <c r="D285" s="18">
        <f>IF(C285="","",COUNTIF($C$3:C285,C285))</f>
        <v/>
      </c>
      <c r="E285" s="18">
        <f>IF(C285="","",C285*1000+D285)</f>
        <v/>
      </c>
      <c r="F285" s="18">
        <f>IF(A285="","",INDEX(新年度名簿!$K$3:$K$452,A285))</f>
        <v/>
      </c>
      <c r="G285" s="18">
        <f>IF(A285="","",INDEX(新年度名簿!$C$3:$C$452,A285))</f>
        <v/>
      </c>
      <c r="H285" s="18">
        <f>IF(A285="","",INDEX(新年度名簿!$D$3:$D$452,A285))</f>
        <v/>
      </c>
    </row>
    <row r="286">
      <c r="A286" s="18">
        <f>IFERROR(MATCH(SMALL(新年度名簿!$J$3:$J$452,284),新年度名簿!$J$3:$J$452,0),"")</f>
        <v/>
      </c>
      <c r="B286" s="18">
        <f>IF(A286="","",INDEX(新年度名簿!$G$3:$G$452,A286))</f>
        <v/>
      </c>
      <c r="C286" s="18">
        <f>IF(A286="","",IFERROR(MATCH(B286,設定!$P$8:$P$27,0),""))</f>
        <v/>
      </c>
      <c r="D286" s="18">
        <f>IF(C286="","",COUNTIF($C$3:C286,C286))</f>
        <v/>
      </c>
      <c r="E286" s="18">
        <f>IF(C286="","",C286*1000+D286)</f>
        <v/>
      </c>
      <c r="F286" s="18">
        <f>IF(A286="","",INDEX(新年度名簿!$K$3:$K$452,A286))</f>
        <v/>
      </c>
      <c r="G286" s="18">
        <f>IF(A286="","",INDEX(新年度名簿!$C$3:$C$452,A286))</f>
        <v/>
      </c>
      <c r="H286" s="18">
        <f>IF(A286="","",INDEX(新年度名簿!$D$3:$D$452,A286))</f>
        <v/>
      </c>
    </row>
    <row r="287">
      <c r="A287" s="18">
        <f>IFERROR(MATCH(SMALL(新年度名簿!$J$3:$J$452,285),新年度名簿!$J$3:$J$452,0),"")</f>
        <v/>
      </c>
      <c r="B287" s="18">
        <f>IF(A287="","",INDEX(新年度名簿!$G$3:$G$452,A287))</f>
        <v/>
      </c>
      <c r="C287" s="18">
        <f>IF(A287="","",IFERROR(MATCH(B287,設定!$P$8:$P$27,0),""))</f>
        <v/>
      </c>
      <c r="D287" s="18">
        <f>IF(C287="","",COUNTIF($C$3:C287,C287))</f>
        <v/>
      </c>
      <c r="E287" s="18">
        <f>IF(C287="","",C287*1000+D287)</f>
        <v/>
      </c>
      <c r="F287" s="18">
        <f>IF(A287="","",INDEX(新年度名簿!$K$3:$K$452,A287))</f>
        <v/>
      </c>
      <c r="G287" s="18">
        <f>IF(A287="","",INDEX(新年度名簿!$C$3:$C$452,A287))</f>
        <v/>
      </c>
      <c r="H287" s="18">
        <f>IF(A287="","",INDEX(新年度名簿!$D$3:$D$452,A287))</f>
        <v/>
      </c>
    </row>
    <row r="288">
      <c r="A288" s="18">
        <f>IFERROR(MATCH(SMALL(新年度名簿!$J$3:$J$452,286),新年度名簿!$J$3:$J$452,0),"")</f>
        <v/>
      </c>
      <c r="B288" s="18">
        <f>IF(A288="","",INDEX(新年度名簿!$G$3:$G$452,A288))</f>
        <v/>
      </c>
      <c r="C288" s="18">
        <f>IF(A288="","",IFERROR(MATCH(B288,設定!$P$8:$P$27,0),""))</f>
        <v/>
      </c>
      <c r="D288" s="18">
        <f>IF(C288="","",COUNTIF($C$3:C288,C288))</f>
        <v/>
      </c>
      <c r="E288" s="18">
        <f>IF(C288="","",C288*1000+D288)</f>
        <v/>
      </c>
      <c r="F288" s="18">
        <f>IF(A288="","",INDEX(新年度名簿!$K$3:$K$452,A288))</f>
        <v/>
      </c>
      <c r="G288" s="18">
        <f>IF(A288="","",INDEX(新年度名簿!$C$3:$C$452,A288))</f>
        <v/>
      </c>
      <c r="H288" s="18">
        <f>IF(A288="","",INDEX(新年度名簿!$D$3:$D$452,A288))</f>
        <v/>
      </c>
    </row>
    <row r="289">
      <c r="A289" s="18">
        <f>IFERROR(MATCH(SMALL(新年度名簿!$J$3:$J$452,287),新年度名簿!$J$3:$J$452,0),"")</f>
        <v/>
      </c>
      <c r="B289" s="18">
        <f>IF(A289="","",INDEX(新年度名簿!$G$3:$G$452,A289))</f>
        <v/>
      </c>
      <c r="C289" s="18">
        <f>IF(A289="","",IFERROR(MATCH(B289,設定!$P$8:$P$27,0),""))</f>
        <v/>
      </c>
      <c r="D289" s="18">
        <f>IF(C289="","",COUNTIF($C$3:C289,C289))</f>
        <v/>
      </c>
      <c r="E289" s="18">
        <f>IF(C289="","",C289*1000+D289)</f>
        <v/>
      </c>
      <c r="F289" s="18">
        <f>IF(A289="","",INDEX(新年度名簿!$K$3:$K$452,A289))</f>
        <v/>
      </c>
      <c r="G289" s="18">
        <f>IF(A289="","",INDEX(新年度名簿!$C$3:$C$452,A289))</f>
        <v/>
      </c>
      <c r="H289" s="18">
        <f>IF(A289="","",INDEX(新年度名簿!$D$3:$D$452,A289))</f>
        <v/>
      </c>
    </row>
    <row r="290">
      <c r="A290" s="18">
        <f>IFERROR(MATCH(SMALL(新年度名簿!$J$3:$J$452,288),新年度名簿!$J$3:$J$452,0),"")</f>
        <v/>
      </c>
      <c r="B290" s="18">
        <f>IF(A290="","",INDEX(新年度名簿!$G$3:$G$452,A290))</f>
        <v/>
      </c>
      <c r="C290" s="18">
        <f>IF(A290="","",IFERROR(MATCH(B290,設定!$P$8:$P$27,0),""))</f>
        <v/>
      </c>
      <c r="D290" s="18">
        <f>IF(C290="","",COUNTIF($C$3:C290,C290))</f>
        <v/>
      </c>
      <c r="E290" s="18">
        <f>IF(C290="","",C290*1000+D290)</f>
        <v/>
      </c>
      <c r="F290" s="18">
        <f>IF(A290="","",INDEX(新年度名簿!$K$3:$K$452,A290))</f>
        <v/>
      </c>
      <c r="G290" s="18">
        <f>IF(A290="","",INDEX(新年度名簿!$C$3:$C$452,A290))</f>
        <v/>
      </c>
      <c r="H290" s="18">
        <f>IF(A290="","",INDEX(新年度名簿!$D$3:$D$452,A290))</f>
        <v/>
      </c>
    </row>
    <row r="291">
      <c r="A291" s="18">
        <f>IFERROR(MATCH(SMALL(新年度名簿!$J$3:$J$452,289),新年度名簿!$J$3:$J$452,0),"")</f>
        <v/>
      </c>
      <c r="B291" s="18">
        <f>IF(A291="","",INDEX(新年度名簿!$G$3:$G$452,A291))</f>
        <v/>
      </c>
      <c r="C291" s="18">
        <f>IF(A291="","",IFERROR(MATCH(B291,設定!$P$8:$P$27,0),""))</f>
        <v/>
      </c>
      <c r="D291" s="18">
        <f>IF(C291="","",COUNTIF($C$3:C291,C291))</f>
        <v/>
      </c>
      <c r="E291" s="18">
        <f>IF(C291="","",C291*1000+D291)</f>
        <v/>
      </c>
      <c r="F291" s="18">
        <f>IF(A291="","",INDEX(新年度名簿!$K$3:$K$452,A291))</f>
        <v/>
      </c>
      <c r="G291" s="18">
        <f>IF(A291="","",INDEX(新年度名簿!$C$3:$C$452,A291))</f>
        <v/>
      </c>
      <c r="H291" s="18">
        <f>IF(A291="","",INDEX(新年度名簿!$D$3:$D$452,A291))</f>
        <v/>
      </c>
    </row>
    <row r="292">
      <c r="A292" s="18">
        <f>IFERROR(MATCH(SMALL(新年度名簿!$J$3:$J$452,290),新年度名簿!$J$3:$J$452,0),"")</f>
        <v/>
      </c>
      <c r="B292" s="18">
        <f>IF(A292="","",INDEX(新年度名簿!$G$3:$G$452,A292))</f>
        <v/>
      </c>
      <c r="C292" s="18">
        <f>IF(A292="","",IFERROR(MATCH(B292,設定!$P$8:$P$27,0),""))</f>
        <v/>
      </c>
      <c r="D292" s="18">
        <f>IF(C292="","",COUNTIF($C$3:C292,C292))</f>
        <v/>
      </c>
      <c r="E292" s="18">
        <f>IF(C292="","",C292*1000+D292)</f>
        <v/>
      </c>
      <c r="F292" s="18">
        <f>IF(A292="","",INDEX(新年度名簿!$K$3:$K$452,A292))</f>
        <v/>
      </c>
      <c r="G292" s="18">
        <f>IF(A292="","",INDEX(新年度名簿!$C$3:$C$452,A292))</f>
        <v/>
      </c>
      <c r="H292" s="18">
        <f>IF(A292="","",INDEX(新年度名簿!$D$3:$D$452,A292))</f>
        <v/>
      </c>
    </row>
    <row r="293">
      <c r="A293" s="18">
        <f>IFERROR(MATCH(SMALL(新年度名簿!$J$3:$J$452,291),新年度名簿!$J$3:$J$452,0),"")</f>
        <v/>
      </c>
      <c r="B293" s="18">
        <f>IF(A293="","",INDEX(新年度名簿!$G$3:$G$452,A293))</f>
        <v/>
      </c>
      <c r="C293" s="18">
        <f>IF(A293="","",IFERROR(MATCH(B293,設定!$P$8:$P$27,0),""))</f>
        <v/>
      </c>
      <c r="D293" s="18">
        <f>IF(C293="","",COUNTIF($C$3:C293,C293))</f>
        <v/>
      </c>
      <c r="E293" s="18">
        <f>IF(C293="","",C293*1000+D293)</f>
        <v/>
      </c>
      <c r="F293" s="18">
        <f>IF(A293="","",INDEX(新年度名簿!$K$3:$K$452,A293))</f>
        <v/>
      </c>
      <c r="G293" s="18">
        <f>IF(A293="","",INDEX(新年度名簿!$C$3:$C$452,A293))</f>
        <v/>
      </c>
      <c r="H293" s="18">
        <f>IF(A293="","",INDEX(新年度名簿!$D$3:$D$452,A293))</f>
        <v/>
      </c>
    </row>
    <row r="294">
      <c r="A294" s="18">
        <f>IFERROR(MATCH(SMALL(新年度名簿!$J$3:$J$452,292),新年度名簿!$J$3:$J$452,0),"")</f>
        <v/>
      </c>
      <c r="B294" s="18">
        <f>IF(A294="","",INDEX(新年度名簿!$G$3:$G$452,A294))</f>
        <v/>
      </c>
      <c r="C294" s="18">
        <f>IF(A294="","",IFERROR(MATCH(B294,設定!$P$8:$P$27,0),""))</f>
        <v/>
      </c>
      <c r="D294" s="18">
        <f>IF(C294="","",COUNTIF($C$3:C294,C294))</f>
        <v/>
      </c>
      <c r="E294" s="18">
        <f>IF(C294="","",C294*1000+D294)</f>
        <v/>
      </c>
      <c r="F294" s="18">
        <f>IF(A294="","",INDEX(新年度名簿!$K$3:$K$452,A294))</f>
        <v/>
      </c>
      <c r="G294" s="18">
        <f>IF(A294="","",INDEX(新年度名簿!$C$3:$C$452,A294))</f>
        <v/>
      </c>
      <c r="H294" s="18">
        <f>IF(A294="","",INDEX(新年度名簿!$D$3:$D$452,A294))</f>
        <v/>
      </c>
    </row>
    <row r="295">
      <c r="A295" s="18">
        <f>IFERROR(MATCH(SMALL(新年度名簿!$J$3:$J$452,293),新年度名簿!$J$3:$J$452,0),"")</f>
        <v/>
      </c>
      <c r="B295" s="18">
        <f>IF(A295="","",INDEX(新年度名簿!$G$3:$G$452,A295))</f>
        <v/>
      </c>
      <c r="C295" s="18">
        <f>IF(A295="","",IFERROR(MATCH(B295,設定!$P$8:$P$27,0),""))</f>
        <v/>
      </c>
      <c r="D295" s="18">
        <f>IF(C295="","",COUNTIF($C$3:C295,C295))</f>
        <v/>
      </c>
      <c r="E295" s="18">
        <f>IF(C295="","",C295*1000+D295)</f>
        <v/>
      </c>
      <c r="F295" s="18">
        <f>IF(A295="","",INDEX(新年度名簿!$K$3:$K$452,A295))</f>
        <v/>
      </c>
      <c r="G295" s="18">
        <f>IF(A295="","",INDEX(新年度名簿!$C$3:$C$452,A295))</f>
        <v/>
      </c>
      <c r="H295" s="18">
        <f>IF(A295="","",INDEX(新年度名簿!$D$3:$D$452,A295))</f>
        <v/>
      </c>
    </row>
    <row r="296">
      <c r="A296" s="18">
        <f>IFERROR(MATCH(SMALL(新年度名簿!$J$3:$J$452,294),新年度名簿!$J$3:$J$452,0),"")</f>
        <v/>
      </c>
      <c r="B296" s="18">
        <f>IF(A296="","",INDEX(新年度名簿!$G$3:$G$452,A296))</f>
        <v/>
      </c>
      <c r="C296" s="18">
        <f>IF(A296="","",IFERROR(MATCH(B296,設定!$P$8:$P$27,0),""))</f>
        <v/>
      </c>
      <c r="D296" s="18">
        <f>IF(C296="","",COUNTIF($C$3:C296,C296))</f>
        <v/>
      </c>
      <c r="E296" s="18">
        <f>IF(C296="","",C296*1000+D296)</f>
        <v/>
      </c>
      <c r="F296" s="18">
        <f>IF(A296="","",INDEX(新年度名簿!$K$3:$K$452,A296))</f>
        <v/>
      </c>
      <c r="G296" s="18">
        <f>IF(A296="","",INDEX(新年度名簿!$C$3:$C$452,A296))</f>
        <v/>
      </c>
      <c r="H296" s="18">
        <f>IF(A296="","",INDEX(新年度名簿!$D$3:$D$452,A296))</f>
        <v/>
      </c>
    </row>
    <row r="297">
      <c r="A297" s="18">
        <f>IFERROR(MATCH(SMALL(新年度名簿!$J$3:$J$452,295),新年度名簿!$J$3:$J$452,0),"")</f>
        <v/>
      </c>
      <c r="B297" s="18">
        <f>IF(A297="","",INDEX(新年度名簿!$G$3:$G$452,A297))</f>
        <v/>
      </c>
      <c r="C297" s="18">
        <f>IF(A297="","",IFERROR(MATCH(B297,設定!$P$8:$P$27,0),""))</f>
        <v/>
      </c>
      <c r="D297" s="18">
        <f>IF(C297="","",COUNTIF($C$3:C297,C297))</f>
        <v/>
      </c>
      <c r="E297" s="18">
        <f>IF(C297="","",C297*1000+D297)</f>
        <v/>
      </c>
      <c r="F297" s="18">
        <f>IF(A297="","",INDEX(新年度名簿!$K$3:$K$452,A297))</f>
        <v/>
      </c>
      <c r="G297" s="18">
        <f>IF(A297="","",INDEX(新年度名簿!$C$3:$C$452,A297))</f>
        <v/>
      </c>
      <c r="H297" s="18">
        <f>IF(A297="","",INDEX(新年度名簿!$D$3:$D$452,A297))</f>
        <v/>
      </c>
    </row>
    <row r="298">
      <c r="A298" s="18">
        <f>IFERROR(MATCH(SMALL(新年度名簿!$J$3:$J$452,296),新年度名簿!$J$3:$J$452,0),"")</f>
        <v/>
      </c>
      <c r="B298" s="18">
        <f>IF(A298="","",INDEX(新年度名簿!$G$3:$G$452,A298))</f>
        <v/>
      </c>
      <c r="C298" s="18">
        <f>IF(A298="","",IFERROR(MATCH(B298,設定!$P$8:$P$27,0),""))</f>
        <v/>
      </c>
      <c r="D298" s="18">
        <f>IF(C298="","",COUNTIF($C$3:C298,C298))</f>
        <v/>
      </c>
      <c r="E298" s="18">
        <f>IF(C298="","",C298*1000+D298)</f>
        <v/>
      </c>
      <c r="F298" s="18">
        <f>IF(A298="","",INDEX(新年度名簿!$K$3:$K$452,A298))</f>
        <v/>
      </c>
      <c r="G298" s="18">
        <f>IF(A298="","",INDEX(新年度名簿!$C$3:$C$452,A298))</f>
        <v/>
      </c>
      <c r="H298" s="18">
        <f>IF(A298="","",INDEX(新年度名簿!$D$3:$D$452,A298))</f>
        <v/>
      </c>
    </row>
    <row r="299">
      <c r="A299" s="18">
        <f>IFERROR(MATCH(SMALL(新年度名簿!$J$3:$J$452,297),新年度名簿!$J$3:$J$452,0),"")</f>
        <v/>
      </c>
      <c r="B299" s="18">
        <f>IF(A299="","",INDEX(新年度名簿!$G$3:$G$452,A299))</f>
        <v/>
      </c>
      <c r="C299" s="18">
        <f>IF(A299="","",IFERROR(MATCH(B299,設定!$P$8:$P$27,0),""))</f>
        <v/>
      </c>
      <c r="D299" s="18">
        <f>IF(C299="","",COUNTIF($C$3:C299,C299))</f>
        <v/>
      </c>
      <c r="E299" s="18">
        <f>IF(C299="","",C299*1000+D299)</f>
        <v/>
      </c>
      <c r="F299" s="18">
        <f>IF(A299="","",INDEX(新年度名簿!$K$3:$K$452,A299))</f>
        <v/>
      </c>
      <c r="G299" s="18">
        <f>IF(A299="","",INDEX(新年度名簿!$C$3:$C$452,A299))</f>
        <v/>
      </c>
      <c r="H299" s="18">
        <f>IF(A299="","",INDEX(新年度名簿!$D$3:$D$452,A299))</f>
        <v/>
      </c>
    </row>
    <row r="300">
      <c r="A300" s="18">
        <f>IFERROR(MATCH(SMALL(新年度名簿!$J$3:$J$452,298),新年度名簿!$J$3:$J$452,0),"")</f>
        <v/>
      </c>
      <c r="B300" s="18">
        <f>IF(A300="","",INDEX(新年度名簿!$G$3:$G$452,A300))</f>
        <v/>
      </c>
      <c r="C300" s="18">
        <f>IF(A300="","",IFERROR(MATCH(B300,設定!$P$8:$P$27,0),""))</f>
        <v/>
      </c>
      <c r="D300" s="18">
        <f>IF(C300="","",COUNTIF($C$3:C300,C300))</f>
        <v/>
      </c>
      <c r="E300" s="18">
        <f>IF(C300="","",C300*1000+D300)</f>
        <v/>
      </c>
      <c r="F300" s="18">
        <f>IF(A300="","",INDEX(新年度名簿!$K$3:$K$452,A300))</f>
        <v/>
      </c>
      <c r="G300" s="18">
        <f>IF(A300="","",INDEX(新年度名簿!$C$3:$C$452,A300))</f>
        <v/>
      </c>
      <c r="H300" s="18">
        <f>IF(A300="","",INDEX(新年度名簿!$D$3:$D$452,A300))</f>
        <v/>
      </c>
    </row>
    <row r="301">
      <c r="A301" s="18">
        <f>IFERROR(MATCH(SMALL(新年度名簿!$J$3:$J$452,299),新年度名簿!$J$3:$J$452,0),"")</f>
        <v/>
      </c>
      <c r="B301" s="18">
        <f>IF(A301="","",INDEX(新年度名簿!$G$3:$G$452,A301))</f>
        <v/>
      </c>
      <c r="C301" s="18">
        <f>IF(A301="","",IFERROR(MATCH(B301,設定!$P$8:$P$27,0),""))</f>
        <v/>
      </c>
      <c r="D301" s="18">
        <f>IF(C301="","",COUNTIF($C$3:C301,C301))</f>
        <v/>
      </c>
      <c r="E301" s="18">
        <f>IF(C301="","",C301*1000+D301)</f>
        <v/>
      </c>
      <c r="F301" s="18">
        <f>IF(A301="","",INDEX(新年度名簿!$K$3:$K$452,A301))</f>
        <v/>
      </c>
      <c r="G301" s="18">
        <f>IF(A301="","",INDEX(新年度名簿!$C$3:$C$452,A301))</f>
        <v/>
      </c>
      <c r="H301" s="18">
        <f>IF(A301="","",INDEX(新年度名簿!$D$3:$D$452,A301))</f>
        <v/>
      </c>
    </row>
    <row r="302">
      <c r="A302" s="18">
        <f>IFERROR(MATCH(SMALL(新年度名簿!$J$3:$J$452,300),新年度名簿!$J$3:$J$452,0),"")</f>
        <v/>
      </c>
      <c r="B302" s="18">
        <f>IF(A302="","",INDEX(新年度名簿!$G$3:$G$452,A302))</f>
        <v/>
      </c>
      <c r="C302" s="18">
        <f>IF(A302="","",IFERROR(MATCH(B302,設定!$P$8:$P$27,0),""))</f>
        <v/>
      </c>
      <c r="D302" s="18">
        <f>IF(C302="","",COUNTIF($C$3:C302,C302))</f>
        <v/>
      </c>
      <c r="E302" s="18">
        <f>IF(C302="","",C302*1000+D302)</f>
        <v/>
      </c>
      <c r="F302" s="18">
        <f>IF(A302="","",INDEX(新年度名簿!$K$3:$K$452,A302))</f>
        <v/>
      </c>
      <c r="G302" s="18">
        <f>IF(A302="","",INDEX(新年度名簿!$C$3:$C$452,A302))</f>
        <v/>
      </c>
      <c r="H302" s="18">
        <f>IF(A302="","",INDEX(新年度名簿!$D$3:$D$452,A302))</f>
        <v/>
      </c>
    </row>
    <row r="303">
      <c r="A303" s="18">
        <f>IFERROR(MATCH(SMALL(新年度名簿!$J$3:$J$452,301),新年度名簿!$J$3:$J$452,0),"")</f>
        <v/>
      </c>
      <c r="B303" s="18">
        <f>IF(A303="","",INDEX(新年度名簿!$G$3:$G$452,A303))</f>
        <v/>
      </c>
      <c r="C303" s="18">
        <f>IF(A303="","",IFERROR(MATCH(B303,設定!$P$8:$P$27,0),""))</f>
        <v/>
      </c>
      <c r="D303" s="18">
        <f>IF(C303="","",COUNTIF($C$3:C303,C303))</f>
        <v/>
      </c>
      <c r="E303" s="18">
        <f>IF(C303="","",C303*1000+D303)</f>
        <v/>
      </c>
      <c r="F303" s="18">
        <f>IF(A303="","",INDEX(新年度名簿!$K$3:$K$452,A303))</f>
        <v/>
      </c>
      <c r="G303" s="18">
        <f>IF(A303="","",INDEX(新年度名簿!$C$3:$C$452,A303))</f>
        <v/>
      </c>
      <c r="H303" s="18">
        <f>IF(A303="","",INDEX(新年度名簿!$D$3:$D$452,A303))</f>
        <v/>
      </c>
    </row>
    <row r="304">
      <c r="A304" s="18">
        <f>IFERROR(MATCH(SMALL(新年度名簿!$J$3:$J$452,302),新年度名簿!$J$3:$J$452,0),"")</f>
        <v/>
      </c>
      <c r="B304" s="18">
        <f>IF(A304="","",INDEX(新年度名簿!$G$3:$G$452,A304))</f>
        <v/>
      </c>
      <c r="C304" s="18">
        <f>IF(A304="","",IFERROR(MATCH(B304,設定!$P$8:$P$27,0),""))</f>
        <v/>
      </c>
      <c r="D304" s="18">
        <f>IF(C304="","",COUNTIF($C$3:C304,C304))</f>
        <v/>
      </c>
      <c r="E304" s="18">
        <f>IF(C304="","",C304*1000+D304)</f>
        <v/>
      </c>
      <c r="F304" s="18">
        <f>IF(A304="","",INDEX(新年度名簿!$K$3:$K$452,A304))</f>
        <v/>
      </c>
      <c r="G304" s="18">
        <f>IF(A304="","",INDEX(新年度名簿!$C$3:$C$452,A304))</f>
        <v/>
      </c>
      <c r="H304" s="18">
        <f>IF(A304="","",INDEX(新年度名簿!$D$3:$D$452,A304))</f>
        <v/>
      </c>
    </row>
    <row r="305">
      <c r="A305" s="18">
        <f>IFERROR(MATCH(SMALL(新年度名簿!$J$3:$J$452,303),新年度名簿!$J$3:$J$452,0),"")</f>
        <v/>
      </c>
      <c r="B305" s="18">
        <f>IF(A305="","",INDEX(新年度名簿!$G$3:$G$452,A305))</f>
        <v/>
      </c>
      <c r="C305" s="18">
        <f>IF(A305="","",IFERROR(MATCH(B305,設定!$P$8:$P$27,0),""))</f>
        <v/>
      </c>
      <c r="D305" s="18">
        <f>IF(C305="","",COUNTIF($C$3:C305,C305))</f>
        <v/>
      </c>
      <c r="E305" s="18">
        <f>IF(C305="","",C305*1000+D305)</f>
        <v/>
      </c>
      <c r="F305" s="18">
        <f>IF(A305="","",INDEX(新年度名簿!$K$3:$K$452,A305))</f>
        <v/>
      </c>
      <c r="G305" s="18">
        <f>IF(A305="","",INDEX(新年度名簿!$C$3:$C$452,A305))</f>
        <v/>
      </c>
      <c r="H305" s="18">
        <f>IF(A305="","",INDEX(新年度名簿!$D$3:$D$452,A305))</f>
        <v/>
      </c>
    </row>
    <row r="306">
      <c r="A306" s="18">
        <f>IFERROR(MATCH(SMALL(新年度名簿!$J$3:$J$452,304),新年度名簿!$J$3:$J$452,0),"")</f>
        <v/>
      </c>
      <c r="B306" s="18">
        <f>IF(A306="","",INDEX(新年度名簿!$G$3:$G$452,A306))</f>
        <v/>
      </c>
      <c r="C306" s="18">
        <f>IF(A306="","",IFERROR(MATCH(B306,設定!$P$8:$P$27,0),""))</f>
        <v/>
      </c>
      <c r="D306" s="18">
        <f>IF(C306="","",COUNTIF($C$3:C306,C306))</f>
        <v/>
      </c>
      <c r="E306" s="18">
        <f>IF(C306="","",C306*1000+D306)</f>
        <v/>
      </c>
      <c r="F306" s="18">
        <f>IF(A306="","",INDEX(新年度名簿!$K$3:$K$452,A306))</f>
        <v/>
      </c>
      <c r="G306" s="18">
        <f>IF(A306="","",INDEX(新年度名簿!$C$3:$C$452,A306))</f>
        <v/>
      </c>
      <c r="H306" s="18">
        <f>IF(A306="","",INDEX(新年度名簿!$D$3:$D$452,A306))</f>
        <v/>
      </c>
    </row>
    <row r="307">
      <c r="A307" s="18">
        <f>IFERROR(MATCH(SMALL(新年度名簿!$J$3:$J$452,305),新年度名簿!$J$3:$J$452,0),"")</f>
        <v/>
      </c>
      <c r="B307" s="18">
        <f>IF(A307="","",INDEX(新年度名簿!$G$3:$G$452,A307))</f>
        <v/>
      </c>
      <c r="C307" s="18">
        <f>IF(A307="","",IFERROR(MATCH(B307,設定!$P$8:$P$27,0),""))</f>
        <v/>
      </c>
      <c r="D307" s="18">
        <f>IF(C307="","",COUNTIF($C$3:C307,C307))</f>
        <v/>
      </c>
      <c r="E307" s="18">
        <f>IF(C307="","",C307*1000+D307)</f>
        <v/>
      </c>
      <c r="F307" s="18">
        <f>IF(A307="","",INDEX(新年度名簿!$K$3:$K$452,A307))</f>
        <v/>
      </c>
      <c r="G307" s="18">
        <f>IF(A307="","",INDEX(新年度名簿!$C$3:$C$452,A307))</f>
        <v/>
      </c>
      <c r="H307" s="18">
        <f>IF(A307="","",INDEX(新年度名簿!$D$3:$D$452,A307))</f>
        <v/>
      </c>
    </row>
    <row r="308">
      <c r="A308" s="18">
        <f>IFERROR(MATCH(SMALL(新年度名簿!$J$3:$J$452,306),新年度名簿!$J$3:$J$452,0),"")</f>
        <v/>
      </c>
      <c r="B308" s="18">
        <f>IF(A308="","",INDEX(新年度名簿!$G$3:$G$452,A308))</f>
        <v/>
      </c>
      <c r="C308" s="18">
        <f>IF(A308="","",IFERROR(MATCH(B308,設定!$P$8:$P$27,0),""))</f>
        <v/>
      </c>
      <c r="D308" s="18">
        <f>IF(C308="","",COUNTIF($C$3:C308,C308))</f>
        <v/>
      </c>
      <c r="E308" s="18">
        <f>IF(C308="","",C308*1000+D308)</f>
        <v/>
      </c>
      <c r="F308" s="18">
        <f>IF(A308="","",INDEX(新年度名簿!$K$3:$K$452,A308))</f>
        <v/>
      </c>
      <c r="G308" s="18">
        <f>IF(A308="","",INDEX(新年度名簿!$C$3:$C$452,A308))</f>
        <v/>
      </c>
      <c r="H308" s="18">
        <f>IF(A308="","",INDEX(新年度名簿!$D$3:$D$452,A308))</f>
        <v/>
      </c>
    </row>
    <row r="309">
      <c r="A309" s="18">
        <f>IFERROR(MATCH(SMALL(新年度名簿!$J$3:$J$452,307),新年度名簿!$J$3:$J$452,0),"")</f>
        <v/>
      </c>
      <c r="B309" s="18">
        <f>IF(A309="","",INDEX(新年度名簿!$G$3:$G$452,A309))</f>
        <v/>
      </c>
      <c r="C309" s="18">
        <f>IF(A309="","",IFERROR(MATCH(B309,設定!$P$8:$P$27,0),""))</f>
        <v/>
      </c>
      <c r="D309" s="18">
        <f>IF(C309="","",COUNTIF($C$3:C309,C309))</f>
        <v/>
      </c>
      <c r="E309" s="18">
        <f>IF(C309="","",C309*1000+D309)</f>
        <v/>
      </c>
      <c r="F309" s="18">
        <f>IF(A309="","",INDEX(新年度名簿!$K$3:$K$452,A309))</f>
        <v/>
      </c>
      <c r="G309" s="18">
        <f>IF(A309="","",INDEX(新年度名簿!$C$3:$C$452,A309))</f>
        <v/>
      </c>
      <c r="H309" s="18">
        <f>IF(A309="","",INDEX(新年度名簿!$D$3:$D$452,A309))</f>
        <v/>
      </c>
    </row>
    <row r="310">
      <c r="A310" s="18">
        <f>IFERROR(MATCH(SMALL(新年度名簿!$J$3:$J$452,308),新年度名簿!$J$3:$J$452,0),"")</f>
        <v/>
      </c>
      <c r="B310" s="18">
        <f>IF(A310="","",INDEX(新年度名簿!$G$3:$G$452,A310))</f>
        <v/>
      </c>
      <c r="C310" s="18">
        <f>IF(A310="","",IFERROR(MATCH(B310,設定!$P$8:$P$27,0),""))</f>
        <v/>
      </c>
      <c r="D310" s="18">
        <f>IF(C310="","",COUNTIF($C$3:C310,C310))</f>
        <v/>
      </c>
      <c r="E310" s="18">
        <f>IF(C310="","",C310*1000+D310)</f>
        <v/>
      </c>
      <c r="F310" s="18">
        <f>IF(A310="","",INDEX(新年度名簿!$K$3:$K$452,A310))</f>
        <v/>
      </c>
      <c r="G310" s="18">
        <f>IF(A310="","",INDEX(新年度名簿!$C$3:$C$452,A310))</f>
        <v/>
      </c>
      <c r="H310" s="18">
        <f>IF(A310="","",INDEX(新年度名簿!$D$3:$D$452,A310))</f>
        <v/>
      </c>
    </row>
    <row r="311">
      <c r="A311" s="18">
        <f>IFERROR(MATCH(SMALL(新年度名簿!$J$3:$J$452,309),新年度名簿!$J$3:$J$452,0),"")</f>
        <v/>
      </c>
      <c r="B311" s="18">
        <f>IF(A311="","",INDEX(新年度名簿!$G$3:$G$452,A311))</f>
        <v/>
      </c>
      <c r="C311" s="18">
        <f>IF(A311="","",IFERROR(MATCH(B311,設定!$P$8:$P$27,0),""))</f>
        <v/>
      </c>
      <c r="D311" s="18">
        <f>IF(C311="","",COUNTIF($C$3:C311,C311))</f>
        <v/>
      </c>
      <c r="E311" s="18">
        <f>IF(C311="","",C311*1000+D311)</f>
        <v/>
      </c>
      <c r="F311" s="18">
        <f>IF(A311="","",INDEX(新年度名簿!$K$3:$K$452,A311))</f>
        <v/>
      </c>
      <c r="G311" s="18">
        <f>IF(A311="","",INDEX(新年度名簿!$C$3:$C$452,A311))</f>
        <v/>
      </c>
      <c r="H311" s="18">
        <f>IF(A311="","",INDEX(新年度名簿!$D$3:$D$452,A311))</f>
        <v/>
      </c>
    </row>
    <row r="312">
      <c r="A312" s="18">
        <f>IFERROR(MATCH(SMALL(新年度名簿!$J$3:$J$452,310),新年度名簿!$J$3:$J$452,0),"")</f>
        <v/>
      </c>
      <c r="B312" s="18">
        <f>IF(A312="","",INDEX(新年度名簿!$G$3:$G$452,A312))</f>
        <v/>
      </c>
      <c r="C312" s="18">
        <f>IF(A312="","",IFERROR(MATCH(B312,設定!$P$8:$P$27,0),""))</f>
        <v/>
      </c>
      <c r="D312" s="18">
        <f>IF(C312="","",COUNTIF($C$3:C312,C312))</f>
        <v/>
      </c>
      <c r="E312" s="18">
        <f>IF(C312="","",C312*1000+D312)</f>
        <v/>
      </c>
      <c r="F312" s="18">
        <f>IF(A312="","",INDEX(新年度名簿!$K$3:$K$452,A312))</f>
        <v/>
      </c>
      <c r="G312" s="18">
        <f>IF(A312="","",INDEX(新年度名簿!$C$3:$C$452,A312))</f>
        <v/>
      </c>
      <c r="H312" s="18">
        <f>IF(A312="","",INDEX(新年度名簿!$D$3:$D$452,A312))</f>
        <v/>
      </c>
    </row>
    <row r="313">
      <c r="A313" s="18">
        <f>IFERROR(MATCH(SMALL(新年度名簿!$J$3:$J$452,311),新年度名簿!$J$3:$J$452,0),"")</f>
        <v/>
      </c>
      <c r="B313" s="18">
        <f>IF(A313="","",INDEX(新年度名簿!$G$3:$G$452,A313))</f>
        <v/>
      </c>
      <c r="C313" s="18">
        <f>IF(A313="","",IFERROR(MATCH(B313,設定!$P$8:$P$27,0),""))</f>
        <v/>
      </c>
      <c r="D313" s="18">
        <f>IF(C313="","",COUNTIF($C$3:C313,C313))</f>
        <v/>
      </c>
      <c r="E313" s="18">
        <f>IF(C313="","",C313*1000+D313)</f>
        <v/>
      </c>
      <c r="F313" s="18">
        <f>IF(A313="","",INDEX(新年度名簿!$K$3:$K$452,A313))</f>
        <v/>
      </c>
      <c r="G313" s="18">
        <f>IF(A313="","",INDEX(新年度名簿!$C$3:$C$452,A313))</f>
        <v/>
      </c>
      <c r="H313" s="18">
        <f>IF(A313="","",INDEX(新年度名簿!$D$3:$D$452,A313))</f>
        <v/>
      </c>
    </row>
    <row r="314">
      <c r="A314" s="18">
        <f>IFERROR(MATCH(SMALL(新年度名簿!$J$3:$J$452,312),新年度名簿!$J$3:$J$452,0),"")</f>
        <v/>
      </c>
      <c r="B314" s="18">
        <f>IF(A314="","",INDEX(新年度名簿!$G$3:$G$452,A314))</f>
        <v/>
      </c>
      <c r="C314" s="18">
        <f>IF(A314="","",IFERROR(MATCH(B314,設定!$P$8:$P$27,0),""))</f>
        <v/>
      </c>
      <c r="D314" s="18">
        <f>IF(C314="","",COUNTIF($C$3:C314,C314))</f>
        <v/>
      </c>
      <c r="E314" s="18">
        <f>IF(C314="","",C314*1000+D314)</f>
        <v/>
      </c>
      <c r="F314" s="18">
        <f>IF(A314="","",INDEX(新年度名簿!$K$3:$K$452,A314))</f>
        <v/>
      </c>
      <c r="G314" s="18">
        <f>IF(A314="","",INDEX(新年度名簿!$C$3:$C$452,A314))</f>
        <v/>
      </c>
      <c r="H314" s="18">
        <f>IF(A314="","",INDEX(新年度名簿!$D$3:$D$452,A314))</f>
        <v/>
      </c>
    </row>
    <row r="315">
      <c r="A315" s="18">
        <f>IFERROR(MATCH(SMALL(新年度名簿!$J$3:$J$452,313),新年度名簿!$J$3:$J$452,0),"")</f>
        <v/>
      </c>
      <c r="B315" s="18">
        <f>IF(A315="","",INDEX(新年度名簿!$G$3:$G$452,A315))</f>
        <v/>
      </c>
      <c r="C315" s="18">
        <f>IF(A315="","",IFERROR(MATCH(B315,設定!$P$8:$P$27,0),""))</f>
        <v/>
      </c>
      <c r="D315" s="18">
        <f>IF(C315="","",COUNTIF($C$3:C315,C315))</f>
        <v/>
      </c>
      <c r="E315" s="18">
        <f>IF(C315="","",C315*1000+D315)</f>
        <v/>
      </c>
      <c r="F315" s="18">
        <f>IF(A315="","",INDEX(新年度名簿!$K$3:$K$452,A315))</f>
        <v/>
      </c>
      <c r="G315" s="18">
        <f>IF(A315="","",INDEX(新年度名簿!$C$3:$C$452,A315))</f>
        <v/>
      </c>
      <c r="H315" s="18">
        <f>IF(A315="","",INDEX(新年度名簿!$D$3:$D$452,A315))</f>
        <v/>
      </c>
    </row>
    <row r="316">
      <c r="A316" s="18">
        <f>IFERROR(MATCH(SMALL(新年度名簿!$J$3:$J$452,314),新年度名簿!$J$3:$J$452,0),"")</f>
        <v/>
      </c>
      <c r="B316" s="18">
        <f>IF(A316="","",INDEX(新年度名簿!$G$3:$G$452,A316))</f>
        <v/>
      </c>
      <c r="C316" s="18">
        <f>IF(A316="","",IFERROR(MATCH(B316,設定!$P$8:$P$27,0),""))</f>
        <v/>
      </c>
      <c r="D316" s="18">
        <f>IF(C316="","",COUNTIF($C$3:C316,C316))</f>
        <v/>
      </c>
      <c r="E316" s="18">
        <f>IF(C316="","",C316*1000+D316)</f>
        <v/>
      </c>
      <c r="F316" s="18">
        <f>IF(A316="","",INDEX(新年度名簿!$K$3:$K$452,A316))</f>
        <v/>
      </c>
      <c r="G316" s="18">
        <f>IF(A316="","",INDEX(新年度名簿!$C$3:$C$452,A316))</f>
        <v/>
      </c>
      <c r="H316" s="18">
        <f>IF(A316="","",INDEX(新年度名簿!$D$3:$D$452,A316))</f>
        <v/>
      </c>
    </row>
    <row r="317">
      <c r="A317" s="18">
        <f>IFERROR(MATCH(SMALL(新年度名簿!$J$3:$J$452,315),新年度名簿!$J$3:$J$452,0),"")</f>
        <v/>
      </c>
      <c r="B317" s="18">
        <f>IF(A317="","",INDEX(新年度名簿!$G$3:$G$452,A317))</f>
        <v/>
      </c>
      <c r="C317" s="18">
        <f>IF(A317="","",IFERROR(MATCH(B317,設定!$P$8:$P$27,0),""))</f>
        <v/>
      </c>
      <c r="D317" s="18">
        <f>IF(C317="","",COUNTIF($C$3:C317,C317))</f>
        <v/>
      </c>
      <c r="E317" s="18">
        <f>IF(C317="","",C317*1000+D317)</f>
        <v/>
      </c>
      <c r="F317" s="18">
        <f>IF(A317="","",INDEX(新年度名簿!$K$3:$K$452,A317))</f>
        <v/>
      </c>
      <c r="G317" s="18">
        <f>IF(A317="","",INDEX(新年度名簿!$C$3:$C$452,A317))</f>
        <v/>
      </c>
      <c r="H317" s="18">
        <f>IF(A317="","",INDEX(新年度名簿!$D$3:$D$452,A317))</f>
        <v/>
      </c>
    </row>
    <row r="318">
      <c r="A318" s="18">
        <f>IFERROR(MATCH(SMALL(新年度名簿!$J$3:$J$452,316),新年度名簿!$J$3:$J$452,0),"")</f>
        <v/>
      </c>
      <c r="B318" s="18">
        <f>IF(A318="","",INDEX(新年度名簿!$G$3:$G$452,A318))</f>
        <v/>
      </c>
      <c r="C318" s="18">
        <f>IF(A318="","",IFERROR(MATCH(B318,設定!$P$8:$P$27,0),""))</f>
        <v/>
      </c>
      <c r="D318" s="18">
        <f>IF(C318="","",COUNTIF($C$3:C318,C318))</f>
        <v/>
      </c>
      <c r="E318" s="18">
        <f>IF(C318="","",C318*1000+D318)</f>
        <v/>
      </c>
      <c r="F318" s="18">
        <f>IF(A318="","",INDEX(新年度名簿!$K$3:$K$452,A318))</f>
        <v/>
      </c>
      <c r="G318" s="18">
        <f>IF(A318="","",INDEX(新年度名簿!$C$3:$C$452,A318))</f>
        <v/>
      </c>
      <c r="H318" s="18">
        <f>IF(A318="","",INDEX(新年度名簿!$D$3:$D$452,A318))</f>
        <v/>
      </c>
    </row>
    <row r="319">
      <c r="A319" s="18">
        <f>IFERROR(MATCH(SMALL(新年度名簿!$J$3:$J$452,317),新年度名簿!$J$3:$J$452,0),"")</f>
        <v/>
      </c>
      <c r="B319" s="18">
        <f>IF(A319="","",INDEX(新年度名簿!$G$3:$G$452,A319))</f>
        <v/>
      </c>
      <c r="C319" s="18">
        <f>IF(A319="","",IFERROR(MATCH(B319,設定!$P$8:$P$27,0),""))</f>
        <v/>
      </c>
      <c r="D319" s="18">
        <f>IF(C319="","",COUNTIF($C$3:C319,C319))</f>
        <v/>
      </c>
      <c r="E319" s="18">
        <f>IF(C319="","",C319*1000+D319)</f>
        <v/>
      </c>
      <c r="F319" s="18">
        <f>IF(A319="","",INDEX(新年度名簿!$K$3:$K$452,A319))</f>
        <v/>
      </c>
      <c r="G319" s="18">
        <f>IF(A319="","",INDEX(新年度名簿!$C$3:$C$452,A319))</f>
        <v/>
      </c>
      <c r="H319" s="18">
        <f>IF(A319="","",INDEX(新年度名簿!$D$3:$D$452,A319))</f>
        <v/>
      </c>
    </row>
    <row r="320">
      <c r="A320" s="18">
        <f>IFERROR(MATCH(SMALL(新年度名簿!$J$3:$J$452,318),新年度名簿!$J$3:$J$452,0),"")</f>
        <v/>
      </c>
      <c r="B320" s="18">
        <f>IF(A320="","",INDEX(新年度名簿!$G$3:$G$452,A320))</f>
        <v/>
      </c>
      <c r="C320" s="18">
        <f>IF(A320="","",IFERROR(MATCH(B320,設定!$P$8:$P$27,0),""))</f>
        <v/>
      </c>
      <c r="D320" s="18">
        <f>IF(C320="","",COUNTIF($C$3:C320,C320))</f>
        <v/>
      </c>
      <c r="E320" s="18">
        <f>IF(C320="","",C320*1000+D320)</f>
        <v/>
      </c>
      <c r="F320" s="18">
        <f>IF(A320="","",INDEX(新年度名簿!$K$3:$K$452,A320))</f>
        <v/>
      </c>
      <c r="G320" s="18">
        <f>IF(A320="","",INDEX(新年度名簿!$C$3:$C$452,A320))</f>
        <v/>
      </c>
      <c r="H320" s="18">
        <f>IF(A320="","",INDEX(新年度名簿!$D$3:$D$452,A320))</f>
        <v/>
      </c>
    </row>
    <row r="321">
      <c r="A321" s="18">
        <f>IFERROR(MATCH(SMALL(新年度名簿!$J$3:$J$452,319),新年度名簿!$J$3:$J$452,0),"")</f>
        <v/>
      </c>
      <c r="B321" s="18">
        <f>IF(A321="","",INDEX(新年度名簿!$G$3:$G$452,A321))</f>
        <v/>
      </c>
      <c r="C321" s="18">
        <f>IF(A321="","",IFERROR(MATCH(B321,設定!$P$8:$P$27,0),""))</f>
        <v/>
      </c>
      <c r="D321" s="18">
        <f>IF(C321="","",COUNTIF($C$3:C321,C321))</f>
        <v/>
      </c>
      <c r="E321" s="18">
        <f>IF(C321="","",C321*1000+D321)</f>
        <v/>
      </c>
      <c r="F321" s="18">
        <f>IF(A321="","",INDEX(新年度名簿!$K$3:$K$452,A321))</f>
        <v/>
      </c>
      <c r="G321" s="18">
        <f>IF(A321="","",INDEX(新年度名簿!$C$3:$C$452,A321))</f>
        <v/>
      </c>
      <c r="H321" s="18">
        <f>IF(A321="","",INDEX(新年度名簿!$D$3:$D$452,A321))</f>
        <v/>
      </c>
    </row>
    <row r="322">
      <c r="A322" s="18">
        <f>IFERROR(MATCH(SMALL(新年度名簿!$J$3:$J$452,320),新年度名簿!$J$3:$J$452,0),"")</f>
        <v/>
      </c>
      <c r="B322" s="18">
        <f>IF(A322="","",INDEX(新年度名簿!$G$3:$G$452,A322))</f>
        <v/>
      </c>
      <c r="C322" s="18">
        <f>IF(A322="","",IFERROR(MATCH(B322,設定!$P$8:$P$27,0),""))</f>
        <v/>
      </c>
      <c r="D322" s="18">
        <f>IF(C322="","",COUNTIF($C$3:C322,C322))</f>
        <v/>
      </c>
      <c r="E322" s="18">
        <f>IF(C322="","",C322*1000+D322)</f>
        <v/>
      </c>
      <c r="F322" s="18">
        <f>IF(A322="","",INDEX(新年度名簿!$K$3:$K$452,A322))</f>
        <v/>
      </c>
      <c r="G322" s="18">
        <f>IF(A322="","",INDEX(新年度名簿!$C$3:$C$452,A322))</f>
        <v/>
      </c>
      <c r="H322" s="18">
        <f>IF(A322="","",INDEX(新年度名簿!$D$3:$D$452,A322))</f>
        <v/>
      </c>
    </row>
    <row r="323">
      <c r="A323" s="18">
        <f>IFERROR(MATCH(SMALL(新年度名簿!$J$3:$J$452,321),新年度名簿!$J$3:$J$452,0),"")</f>
        <v/>
      </c>
      <c r="B323" s="18">
        <f>IF(A323="","",INDEX(新年度名簿!$G$3:$G$452,A323))</f>
        <v/>
      </c>
      <c r="C323" s="18">
        <f>IF(A323="","",IFERROR(MATCH(B323,設定!$P$8:$P$27,0),""))</f>
        <v/>
      </c>
      <c r="D323" s="18">
        <f>IF(C323="","",COUNTIF($C$3:C323,C323))</f>
        <v/>
      </c>
      <c r="E323" s="18">
        <f>IF(C323="","",C323*1000+D323)</f>
        <v/>
      </c>
      <c r="F323" s="18">
        <f>IF(A323="","",INDEX(新年度名簿!$K$3:$K$452,A323))</f>
        <v/>
      </c>
      <c r="G323" s="18">
        <f>IF(A323="","",INDEX(新年度名簿!$C$3:$C$452,A323))</f>
        <v/>
      </c>
      <c r="H323" s="18">
        <f>IF(A323="","",INDEX(新年度名簿!$D$3:$D$452,A323))</f>
        <v/>
      </c>
    </row>
    <row r="324">
      <c r="A324" s="18">
        <f>IFERROR(MATCH(SMALL(新年度名簿!$J$3:$J$452,322),新年度名簿!$J$3:$J$452,0),"")</f>
        <v/>
      </c>
      <c r="B324" s="18">
        <f>IF(A324="","",INDEX(新年度名簿!$G$3:$G$452,A324))</f>
        <v/>
      </c>
      <c r="C324" s="18">
        <f>IF(A324="","",IFERROR(MATCH(B324,設定!$P$8:$P$27,0),""))</f>
        <v/>
      </c>
      <c r="D324" s="18">
        <f>IF(C324="","",COUNTIF($C$3:C324,C324))</f>
        <v/>
      </c>
      <c r="E324" s="18">
        <f>IF(C324="","",C324*1000+D324)</f>
        <v/>
      </c>
      <c r="F324" s="18">
        <f>IF(A324="","",INDEX(新年度名簿!$K$3:$K$452,A324))</f>
        <v/>
      </c>
      <c r="G324" s="18">
        <f>IF(A324="","",INDEX(新年度名簿!$C$3:$C$452,A324))</f>
        <v/>
      </c>
      <c r="H324" s="18">
        <f>IF(A324="","",INDEX(新年度名簿!$D$3:$D$452,A324))</f>
        <v/>
      </c>
    </row>
    <row r="325">
      <c r="A325" s="18">
        <f>IFERROR(MATCH(SMALL(新年度名簿!$J$3:$J$452,323),新年度名簿!$J$3:$J$452,0),"")</f>
        <v/>
      </c>
      <c r="B325" s="18">
        <f>IF(A325="","",INDEX(新年度名簿!$G$3:$G$452,A325))</f>
        <v/>
      </c>
      <c r="C325" s="18">
        <f>IF(A325="","",IFERROR(MATCH(B325,設定!$P$8:$P$27,0),""))</f>
        <v/>
      </c>
      <c r="D325" s="18">
        <f>IF(C325="","",COUNTIF($C$3:C325,C325))</f>
        <v/>
      </c>
      <c r="E325" s="18">
        <f>IF(C325="","",C325*1000+D325)</f>
        <v/>
      </c>
      <c r="F325" s="18">
        <f>IF(A325="","",INDEX(新年度名簿!$K$3:$K$452,A325))</f>
        <v/>
      </c>
      <c r="G325" s="18">
        <f>IF(A325="","",INDEX(新年度名簿!$C$3:$C$452,A325))</f>
        <v/>
      </c>
      <c r="H325" s="18">
        <f>IF(A325="","",INDEX(新年度名簿!$D$3:$D$452,A325))</f>
        <v/>
      </c>
    </row>
    <row r="326">
      <c r="A326" s="18">
        <f>IFERROR(MATCH(SMALL(新年度名簿!$J$3:$J$452,324),新年度名簿!$J$3:$J$452,0),"")</f>
        <v/>
      </c>
      <c r="B326" s="18">
        <f>IF(A326="","",INDEX(新年度名簿!$G$3:$G$452,A326))</f>
        <v/>
      </c>
      <c r="C326" s="18">
        <f>IF(A326="","",IFERROR(MATCH(B326,設定!$P$8:$P$27,0),""))</f>
        <v/>
      </c>
      <c r="D326" s="18">
        <f>IF(C326="","",COUNTIF($C$3:C326,C326))</f>
        <v/>
      </c>
      <c r="E326" s="18">
        <f>IF(C326="","",C326*1000+D326)</f>
        <v/>
      </c>
      <c r="F326" s="18">
        <f>IF(A326="","",INDEX(新年度名簿!$K$3:$K$452,A326))</f>
        <v/>
      </c>
      <c r="G326" s="18">
        <f>IF(A326="","",INDEX(新年度名簿!$C$3:$C$452,A326))</f>
        <v/>
      </c>
      <c r="H326" s="18">
        <f>IF(A326="","",INDEX(新年度名簿!$D$3:$D$452,A326))</f>
        <v/>
      </c>
    </row>
    <row r="327">
      <c r="A327" s="18">
        <f>IFERROR(MATCH(SMALL(新年度名簿!$J$3:$J$452,325),新年度名簿!$J$3:$J$452,0),"")</f>
        <v/>
      </c>
      <c r="B327" s="18">
        <f>IF(A327="","",INDEX(新年度名簿!$G$3:$G$452,A327))</f>
        <v/>
      </c>
      <c r="C327" s="18">
        <f>IF(A327="","",IFERROR(MATCH(B327,設定!$P$8:$P$27,0),""))</f>
        <v/>
      </c>
      <c r="D327" s="18">
        <f>IF(C327="","",COUNTIF($C$3:C327,C327))</f>
        <v/>
      </c>
      <c r="E327" s="18">
        <f>IF(C327="","",C327*1000+D327)</f>
        <v/>
      </c>
      <c r="F327" s="18">
        <f>IF(A327="","",INDEX(新年度名簿!$K$3:$K$452,A327))</f>
        <v/>
      </c>
      <c r="G327" s="18">
        <f>IF(A327="","",INDEX(新年度名簿!$C$3:$C$452,A327))</f>
        <v/>
      </c>
      <c r="H327" s="18">
        <f>IF(A327="","",INDEX(新年度名簿!$D$3:$D$452,A327))</f>
        <v/>
      </c>
    </row>
    <row r="328">
      <c r="A328" s="18">
        <f>IFERROR(MATCH(SMALL(新年度名簿!$J$3:$J$452,326),新年度名簿!$J$3:$J$452,0),"")</f>
        <v/>
      </c>
      <c r="B328" s="18">
        <f>IF(A328="","",INDEX(新年度名簿!$G$3:$G$452,A328))</f>
        <v/>
      </c>
      <c r="C328" s="18">
        <f>IF(A328="","",IFERROR(MATCH(B328,設定!$P$8:$P$27,0),""))</f>
        <v/>
      </c>
      <c r="D328" s="18">
        <f>IF(C328="","",COUNTIF($C$3:C328,C328))</f>
        <v/>
      </c>
      <c r="E328" s="18">
        <f>IF(C328="","",C328*1000+D328)</f>
        <v/>
      </c>
      <c r="F328" s="18">
        <f>IF(A328="","",INDEX(新年度名簿!$K$3:$K$452,A328))</f>
        <v/>
      </c>
      <c r="G328" s="18">
        <f>IF(A328="","",INDEX(新年度名簿!$C$3:$C$452,A328))</f>
        <v/>
      </c>
      <c r="H328" s="18">
        <f>IF(A328="","",INDEX(新年度名簿!$D$3:$D$452,A328))</f>
        <v/>
      </c>
    </row>
    <row r="329">
      <c r="A329" s="18">
        <f>IFERROR(MATCH(SMALL(新年度名簿!$J$3:$J$452,327),新年度名簿!$J$3:$J$452,0),"")</f>
        <v/>
      </c>
      <c r="B329" s="18">
        <f>IF(A329="","",INDEX(新年度名簿!$G$3:$G$452,A329))</f>
        <v/>
      </c>
      <c r="C329" s="18">
        <f>IF(A329="","",IFERROR(MATCH(B329,設定!$P$8:$P$27,0),""))</f>
        <v/>
      </c>
      <c r="D329" s="18">
        <f>IF(C329="","",COUNTIF($C$3:C329,C329))</f>
        <v/>
      </c>
      <c r="E329" s="18">
        <f>IF(C329="","",C329*1000+D329)</f>
        <v/>
      </c>
      <c r="F329" s="18">
        <f>IF(A329="","",INDEX(新年度名簿!$K$3:$K$452,A329))</f>
        <v/>
      </c>
      <c r="G329" s="18">
        <f>IF(A329="","",INDEX(新年度名簿!$C$3:$C$452,A329))</f>
        <v/>
      </c>
      <c r="H329" s="18">
        <f>IF(A329="","",INDEX(新年度名簿!$D$3:$D$452,A329))</f>
        <v/>
      </c>
    </row>
    <row r="330">
      <c r="A330" s="18">
        <f>IFERROR(MATCH(SMALL(新年度名簿!$J$3:$J$452,328),新年度名簿!$J$3:$J$452,0),"")</f>
        <v/>
      </c>
      <c r="B330" s="18">
        <f>IF(A330="","",INDEX(新年度名簿!$G$3:$G$452,A330))</f>
        <v/>
      </c>
      <c r="C330" s="18">
        <f>IF(A330="","",IFERROR(MATCH(B330,設定!$P$8:$P$27,0),""))</f>
        <v/>
      </c>
      <c r="D330" s="18">
        <f>IF(C330="","",COUNTIF($C$3:C330,C330))</f>
        <v/>
      </c>
      <c r="E330" s="18">
        <f>IF(C330="","",C330*1000+D330)</f>
        <v/>
      </c>
      <c r="F330" s="18">
        <f>IF(A330="","",INDEX(新年度名簿!$K$3:$K$452,A330))</f>
        <v/>
      </c>
      <c r="G330" s="18">
        <f>IF(A330="","",INDEX(新年度名簿!$C$3:$C$452,A330))</f>
        <v/>
      </c>
      <c r="H330" s="18">
        <f>IF(A330="","",INDEX(新年度名簿!$D$3:$D$452,A330))</f>
        <v/>
      </c>
    </row>
    <row r="331">
      <c r="A331" s="18">
        <f>IFERROR(MATCH(SMALL(新年度名簿!$J$3:$J$452,329),新年度名簿!$J$3:$J$452,0),"")</f>
        <v/>
      </c>
      <c r="B331" s="18">
        <f>IF(A331="","",INDEX(新年度名簿!$G$3:$G$452,A331))</f>
        <v/>
      </c>
      <c r="C331" s="18">
        <f>IF(A331="","",IFERROR(MATCH(B331,設定!$P$8:$P$27,0),""))</f>
        <v/>
      </c>
      <c r="D331" s="18">
        <f>IF(C331="","",COUNTIF($C$3:C331,C331))</f>
        <v/>
      </c>
      <c r="E331" s="18">
        <f>IF(C331="","",C331*1000+D331)</f>
        <v/>
      </c>
      <c r="F331" s="18">
        <f>IF(A331="","",INDEX(新年度名簿!$K$3:$K$452,A331))</f>
        <v/>
      </c>
      <c r="G331" s="18">
        <f>IF(A331="","",INDEX(新年度名簿!$C$3:$C$452,A331))</f>
        <v/>
      </c>
      <c r="H331" s="18">
        <f>IF(A331="","",INDEX(新年度名簿!$D$3:$D$452,A331))</f>
        <v/>
      </c>
    </row>
    <row r="332">
      <c r="A332" s="18">
        <f>IFERROR(MATCH(SMALL(新年度名簿!$J$3:$J$452,330),新年度名簿!$J$3:$J$452,0),"")</f>
        <v/>
      </c>
      <c r="B332" s="18">
        <f>IF(A332="","",INDEX(新年度名簿!$G$3:$G$452,A332))</f>
        <v/>
      </c>
      <c r="C332" s="18">
        <f>IF(A332="","",IFERROR(MATCH(B332,設定!$P$8:$P$27,0),""))</f>
        <v/>
      </c>
      <c r="D332" s="18">
        <f>IF(C332="","",COUNTIF($C$3:C332,C332))</f>
        <v/>
      </c>
      <c r="E332" s="18">
        <f>IF(C332="","",C332*1000+D332)</f>
        <v/>
      </c>
      <c r="F332" s="18">
        <f>IF(A332="","",INDEX(新年度名簿!$K$3:$K$452,A332))</f>
        <v/>
      </c>
      <c r="G332" s="18">
        <f>IF(A332="","",INDEX(新年度名簿!$C$3:$C$452,A332))</f>
        <v/>
      </c>
      <c r="H332" s="18">
        <f>IF(A332="","",INDEX(新年度名簿!$D$3:$D$452,A332))</f>
        <v/>
      </c>
    </row>
    <row r="333">
      <c r="A333" s="18">
        <f>IFERROR(MATCH(SMALL(新年度名簿!$J$3:$J$452,331),新年度名簿!$J$3:$J$452,0),"")</f>
        <v/>
      </c>
      <c r="B333" s="18">
        <f>IF(A333="","",INDEX(新年度名簿!$G$3:$G$452,A333))</f>
        <v/>
      </c>
      <c r="C333" s="18">
        <f>IF(A333="","",IFERROR(MATCH(B333,設定!$P$8:$P$27,0),""))</f>
        <v/>
      </c>
      <c r="D333" s="18">
        <f>IF(C333="","",COUNTIF($C$3:C333,C333))</f>
        <v/>
      </c>
      <c r="E333" s="18">
        <f>IF(C333="","",C333*1000+D333)</f>
        <v/>
      </c>
      <c r="F333" s="18">
        <f>IF(A333="","",INDEX(新年度名簿!$K$3:$K$452,A333))</f>
        <v/>
      </c>
      <c r="G333" s="18">
        <f>IF(A333="","",INDEX(新年度名簿!$C$3:$C$452,A333))</f>
        <v/>
      </c>
      <c r="H333" s="18">
        <f>IF(A333="","",INDEX(新年度名簿!$D$3:$D$452,A333))</f>
        <v/>
      </c>
    </row>
    <row r="334">
      <c r="A334" s="18">
        <f>IFERROR(MATCH(SMALL(新年度名簿!$J$3:$J$452,332),新年度名簿!$J$3:$J$452,0),"")</f>
        <v/>
      </c>
      <c r="B334" s="18">
        <f>IF(A334="","",INDEX(新年度名簿!$G$3:$G$452,A334))</f>
        <v/>
      </c>
      <c r="C334" s="18">
        <f>IF(A334="","",IFERROR(MATCH(B334,設定!$P$8:$P$27,0),""))</f>
        <v/>
      </c>
      <c r="D334" s="18">
        <f>IF(C334="","",COUNTIF($C$3:C334,C334))</f>
        <v/>
      </c>
      <c r="E334" s="18">
        <f>IF(C334="","",C334*1000+D334)</f>
        <v/>
      </c>
      <c r="F334" s="18">
        <f>IF(A334="","",INDEX(新年度名簿!$K$3:$K$452,A334))</f>
        <v/>
      </c>
      <c r="G334" s="18">
        <f>IF(A334="","",INDEX(新年度名簿!$C$3:$C$452,A334))</f>
        <v/>
      </c>
      <c r="H334" s="18">
        <f>IF(A334="","",INDEX(新年度名簿!$D$3:$D$452,A334))</f>
        <v/>
      </c>
    </row>
    <row r="335">
      <c r="A335" s="18">
        <f>IFERROR(MATCH(SMALL(新年度名簿!$J$3:$J$452,333),新年度名簿!$J$3:$J$452,0),"")</f>
        <v/>
      </c>
      <c r="B335" s="18">
        <f>IF(A335="","",INDEX(新年度名簿!$G$3:$G$452,A335))</f>
        <v/>
      </c>
      <c r="C335" s="18">
        <f>IF(A335="","",IFERROR(MATCH(B335,設定!$P$8:$P$27,0),""))</f>
        <v/>
      </c>
      <c r="D335" s="18">
        <f>IF(C335="","",COUNTIF($C$3:C335,C335))</f>
        <v/>
      </c>
      <c r="E335" s="18">
        <f>IF(C335="","",C335*1000+D335)</f>
        <v/>
      </c>
      <c r="F335" s="18">
        <f>IF(A335="","",INDEX(新年度名簿!$K$3:$K$452,A335))</f>
        <v/>
      </c>
      <c r="G335" s="18">
        <f>IF(A335="","",INDEX(新年度名簿!$C$3:$C$452,A335))</f>
        <v/>
      </c>
      <c r="H335" s="18">
        <f>IF(A335="","",INDEX(新年度名簿!$D$3:$D$452,A335))</f>
        <v/>
      </c>
    </row>
    <row r="336">
      <c r="A336" s="18">
        <f>IFERROR(MATCH(SMALL(新年度名簿!$J$3:$J$452,334),新年度名簿!$J$3:$J$452,0),"")</f>
        <v/>
      </c>
      <c r="B336" s="18">
        <f>IF(A336="","",INDEX(新年度名簿!$G$3:$G$452,A336))</f>
        <v/>
      </c>
      <c r="C336" s="18">
        <f>IF(A336="","",IFERROR(MATCH(B336,設定!$P$8:$P$27,0),""))</f>
        <v/>
      </c>
      <c r="D336" s="18">
        <f>IF(C336="","",COUNTIF($C$3:C336,C336))</f>
        <v/>
      </c>
      <c r="E336" s="18">
        <f>IF(C336="","",C336*1000+D336)</f>
        <v/>
      </c>
      <c r="F336" s="18">
        <f>IF(A336="","",INDEX(新年度名簿!$K$3:$K$452,A336))</f>
        <v/>
      </c>
      <c r="G336" s="18">
        <f>IF(A336="","",INDEX(新年度名簿!$C$3:$C$452,A336))</f>
        <v/>
      </c>
      <c r="H336" s="18">
        <f>IF(A336="","",INDEX(新年度名簿!$D$3:$D$452,A336))</f>
        <v/>
      </c>
    </row>
    <row r="337">
      <c r="A337" s="18">
        <f>IFERROR(MATCH(SMALL(新年度名簿!$J$3:$J$452,335),新年度名簿!$J$3:$J$452,0),"")</f>
        <v/>
      </c>
      <c r="B337" s="18">
        <f>IF(A337="","",INDEX(新年度名簿!$G$3:$G$452,A337))</f>
        <v/>
      </c>
      <c r="C337" s="18">
        <f>IF(A337="","",IFERROR(MATCH(B337,設定!$P$8:$P$27,0),""))</f>
        <v/>
      </c>
      <c r="D337" s="18">
        <f>IF(C337="","",COUNTIF($C$3:C337,C337))</f>
        <v/>
      </c>
      <c r="E337" s="18">
        <f>IF(C337="","",C337*1000+D337)</f>
        <v/>
      </c>
      <c r="F337" s="18">
        <f>IF(A337="","",INDEX(新年度名簿!$K$3:$K$452,A337))</f>
        <v/>
      </c>
      <c r="G337" s="18">
        <f>IF(A337="","",INDEX(新年度名簿!$C$3:$C$452,A337))</f>
        <v/>
      </c>
      <c r="H337" s="18">
        <f>IF(A337="","",INDEX(新年度名簿!$D$3:$D$452,A337))</f>
        <v/>
      </c>
    </row>
    <row r="338">
      <c r="A338" s="18">
        <f>IFERROR(MATCH(SMALL(新年度名簿!$J$3:$J$452,336),新年度名簿!$J$3:$J$452,0),"")</f>
        <v/>
      </c>
      <c r="B338" s="18">
        <f>IF(A338="","",INDEX(新年度名簿!$G$3:$G$452,A338))</f>
        <v/>
      </c>
      <c r="C338" s="18">
        <f>IF(A338="","",IFERROR(MATCH(B338,設定!$P$8:$P$27,0),""))</f>
        <v/>
      </c>
      <c r="D338" s="18">
        <f>IF(C338="","",COUNTIF($C$3:C338,C338))</f>
        <v/>
      </c>
      <c r="E338" s="18">
        <f>IF(C338="","",C338*1000+D338)</f>
        <v/>
      </c>
      <c r="F338" s="18">
        <f>IF(A338="","",INDEX(新年度名簿!$K$3:$K$452,A338))</f>
        <v/>
      </c>
      <c r="G338" s="18">
        <f>IF(A338="","",INDEX(新年度名簿!$C$3:$C$452,A338))</f>
        <v/>
      </c>
      <c r="H338" s="18">
        <f>IF(A338="","",INDEX(新年度名簿!$D$3:$D$452,A338))</f>
        <v/>
      </c>
    </row>
    <row r="339">
      <c r="A339" s="18">
        <f>IFERROR(MATCH(SMALL(新年度名簿!$J$3:$J$452,337),新年度名簿!$J$3:$J$452,0),"")</f>
        <v/>
      </c>
      <c r="B339" s="18">
        <f>IF(A339="","",INDEX(新年度名簿!$G$3:$G$452,A339))</f>
        <v/>
      </c>
      <c r="C339" s="18">
        <f>IF(A339="","",IFERROR(MATCH(B339,設定!$P$8:$P$27,0),""))</f>
        <v/>
      </c>
      <c r="D339" s="18">
        <f>IF(C339="","",COUNTIF($C$3:C339,C339))</f>
        <v/>
      </c>
      <c r="E339" s="18">
        <f>IF(C339="","",C339*1000+D339)</f>
        <v/>
      </c>
      <c r="F339" s="18">
        <f>IF(A339="","",INDEX(新年度名簿!$K$3:$K$452,A339))</f>
        <v/>
      </c>
      <c r="G339" s="18">
        <f>IF(A339="","",INDEX(新年度名簿!$C$3:$C$452,A339))</f>
        <v/>
      </c>
      <c r="H339" s="18">
        <f>IF(A339="","",INDEX(新年度名簿!$D$3:$D$452,A339))</f>
        <v/>
      </c>
    </row>
    <row r="340">
      <c r="A340" s="18">
        <f>IFERROR(MATCH(SMALL(新年度名簿!$J$3:$J$452,338),新年度名簿!$J$3:$J$452,0),"")</f>
        <v/>
      </c>
      <c r="B340" s="18">
        <f>IF(A340="","",INDEX(新年度名簿!$G$3:$G$452,A340))</f>
        <v/>
      </c>
      <c r="C340" s="18">
        <f>IF(A340="","",IFERROR(MATCH(B340,設定!$P$8:$P$27,0),""))</f>
        <v/>
      </c>
      <c r="D340" s="18">
        <f>IF(C340="","",COUNTIF($C$3:C340,C340))</f>
        <v/>
      </c>
      <c r="E340" s="18">
        <f>IF(C340="","",C340*1000+D340)</f>
        <v/>
      </c>
      <c r="F340" s="18">
        <f>IF(A340="","",INDEX(新年度名簿!$K$3:$K$452,A340))</f>
        <v/>
      </c>
      <c r="G340" s="18">
        <f>IF(A340="","",INDEX(新年度名簿!$C$3:$C$452,A340))</f>
        <v/>
      </c>
      <c r="H340" s="18">
        <f>IF(A340="","",INDEX(新年度名簿!$D$3:$D$452,A340))</f>
        <v/>
      </c>
    </row>
    <row r="341">
      <c r="A341" s="18">
        <f>IFERROR(MATCH(SMALL(新年度名簿!$J$3:$J$452,339),新年度名簿!$J$3:$J$452,0),"")</f>
        <v/>
      </c>
      <c r="B341" s="18">
        <f>IF(A341="","",INDEX(新年度名簿!$G$3:$G$452,A341))</f>
        <v/>
      </c>
      <c r="C341" s="18">
        <f>IF(A341="","",IFERROR(MATCH(B341,設定!$P$8:$P$27,0),""))</f>
        <v/>
      </c>
      <c r="D341" s="18">
        <f>IF(C341="","",COUNTIF($C$3:C341,C341))</f>
        <v/>
      </c>
      <c r="E341" s="18">
        <f>IF(C341="","",C341*1000+D341)</f>
        <v/>
      </c>
      <c r="F341" s="18">
        <f>IF(A341="","",INDEX(新年度名簿!$K$3:$K$452,A341))</f>
        <v/>
      </c>
      <c r="G341" s="18">
        <f>IF(A341="","",INDEX(新年度名簿!$C$3:$C$452,A341))</f>
        <v/>
      </c>
      <c r="H341" s="18">
        <f>IF(A341="","",INDEX(新年度名簿!$D$3:$D$452,A341))</f>
        <v/>
      </c>
    </row>
    <row r="342">
      <c r="A342" s="18">
        <f>IFERROR(MATCH(SMALL(新年度名簿!$J$3:$J$452,340),新年度名簿!$J$3:$J$452,0),"")</f>
        <v/>
      </c>
      <c r="B342" s="18">
        <f>IF(A342="","",INDEX(新年度名簿!$G$3:$G$452,A342))</f>
        <v/>
      </c>
      <c r="C342" s="18">
        <f>IF(A342="","",IFERROR(MATCH(B342,設定!$P$8:$P$27,0),""))</f>
        <v/>
      </c>
      <c r="D342" s="18">
        <f>IF(C342="","",COUNTIF($C$3:C342,C342))</f>
        <v/>
      </c>
      <c r="E342" s="18">
        <f>IF(C342="","",C342*1000+D342)</f>
        <v/>
      </c>
      <c r="F342" s="18">
        <f>IF(A342="","",INDEX(新年度名簿!$K$3:$K$452,A342))</f>
        <v/>
      </c>
      <c r="G342" s="18">
        <f>IF(A342="","",INDEX(新年度名簿!$C$3:$C$452,A342))</f>
        <v/>
      </c>
      <c r="H342" s="18">
        <f>IF(A342="","",INDEX(新年度名簿!$D$3:$D$452,A342))</f>
        <v/>
      </c>
    </row>
    <row r="343">
      <c r="A343" s="18">
        <f>IFERROR(MATCH(SMALL(新年度名簿!$J$3:$J$452,341),新年度名簿!$J$3:$J$452,0),"")</f>
        <v/>
      </c>
      <c r="B343" s="18">
        <f>IF(A343="","",INDEX(新年度名簿!$G$3:$G$452,A343))</f>
        <v/>
      </c>
      <c r="C343" s="18">
        <f>IF(A343="","",IFERROR(MATCH(B343,設定!$P$8:$P$27,0),""))</f>
        <v/>
      </c>
      <c r="D343" s="18">
        <f>IF(C343="","",COUNTIF($C$3:C343,C343))</f>
        <v/>
      </c>
      <c r="E343" s="18">
        <f>IF(C343="","",C343*1000+D343)</f>
        <v/>
      </c>
      <c r="F343" s="18">
        <f>IF(A343="","",INDEX(新年度名簿!$K$3:$K$452,A343))</f>
        <v/>
      </c>
      <c r="G343" s="18">
        <f>IF(A343="","",INDEX(新年度名簿!$C$3:$C$452,A343))</f>
        <v/>
      </c>
      <c r="H343" s="18">
        <f>IF(A343="","",INDEX(新年度名簿!$D$3:$D$452,A343))</f>
        <v/>
      </c>
    </row>
    <row r="344">
      <c r="A344" s="18">
        <f>IFERROR(MATCH(SMALL(新年度名簿!$J$3:$J$452,342),新年度名簿!$J$3:$J$452,0),"")</f>
        <v/>
      </c>
      <c r="B344" s="18">
        <f>IF(A344="","",INDEX(新年度名簿!$G$3:$G$452,A344))</f>
        <v/>
      </c>
      <c r="C344" s="18">
        <f>IF(A344="","",IFERROR(MATCH(B344,設定!$P$8:$P$27,0),""))</f>
        <v/>
      </c>
      <c r="D344" s="18">
        <f>IF(C344="","",COUNTIF($C$3:C344,C344))</f>
        <v/>
      </c>
      <c r="E344" s="18">
        <f>IF(C344="","",C344*1000+D344)</f>
        <v/>
      </c>
      <c r="F344" s="18">
        <f>IF(A344="","",INDEX(新年度名簿!$K$3:$K$452,A344))</f>
        <v/>
      </c>
      <c r="G344" s="18">
        <f>IF(A344="","",INDEX(新年度名簿!$C$3:$C$452,A344))</f>
        <v/>
      </c>
      <c r="H344" s="18">
        <f>IF(A344="","",INDEX(新年度名簿!$D$3:$D$452,A344))</f>
        <v/>
      </c>
    </row>
    <row r="345">
      <c r="A345" s="18">
        <f>IFERROR(MATCH(SMALL(新年度名簿!$J$3:$J$452,343),新年度名簿!$J$3:$J$452,0),"")</f>
        <v/>
      </c>
      <c r="B345" s="18">
        <f>IF(A345="","",INDEX(新年度名簿!$G$3:$G$452,A345))</f>
        <v/>
      </c>
      <c r="C345" s="18">
        <f>IF(A345="","",IFERROR(MATCH(B345,設定!$P$8:$P$27,0),""))</f>
        <v/>
      </c>
      <c r="D345" s="18">
        <f>IF(C345="","",COUNTIF($C$3:C345,C345))</f>
        <v/>
      </c>
      <c r="E345" s="18">
        <f>IF(C345="","",C345*1000+D345)</f>
        <v/>
      </c>
      <c r="F345" s="18">
        <f>IF(A345="","",INDEX(新年度名簿!$K$3:$K$452,A345))</f>
        <v/>
      </c>
      <c r="G345" s="18">
        <f>IF(A345="","",INDEX(新年度名簿!$C$3:$C$452,A345))</f>
        <v/>
      </c>
      <c r="H345" s="18">
        <f>IF(A345="","",INDEX(新年度名簿!$D$3:$D$452,A345))</f>
        <v/>
      </c>
    </row>
    <row r="346">
      <c r="A346" s="18">
        <f>IFERROR(MATCH(SMALL(新年度名簿!$J$3:$J$452,344),新年度名簿!$J$3:$J$452,0),"")</f>
        <v/>
      </c>
      <c r="B346" s="18">
        <f>IF(A346="","",INDEX(新年度名簿!$G$3:$G$452,A346))</f>
        <v/>
      </c>
      <c r="C346" s="18">
        <f>IF(A346="","",IFERROR(MATCH(B346,設定!$P$8:$P$27,0),""))</f>
        <v/>
      </c>
      <c r="D346" s="18">
        <f>IF(C346="","",COUNTIF($C$3:C346,C346))</f>
        <v/>
      </c>
      <c r="E346" s="18">
        <f>IF(C346="","",C346*1000+D346)</f>
        <v/>
      </c>
      <c r="F346" s="18">
        <f>IF(A346="","",INDEX(新年度名簿!$K$3:$K$452,A346))</f>
        <v/>
      </c>
      <c r="G346" s="18">
        <f>IF(A346="","",INDEX(新年度名簿!$C$3:$C$452,A346))</f>
        <v/>
      </c>
      <c r="H346" s="18">
        <f>IF(A346="","",INDEX(新年度名簿!$D$3:$D$452,A346))</f>
        <v/>
      </c>
    </row>
    <row r="347">
      <c r="A347" s="18">
        <f>IFERROR(MATCH(SMALL(新年度名簿!$J$3:$J$452,345),新年度名簿!$J$3:$J$452,0),"")</f>
        <v/>
      </c>
      <c r="B347" s="18">
        <f>IF(A347="","",INDEX(新年度名簿!$G$3:$G$452,A347))</f>
        <v/>
      </c>
      <c r="C347" s="18">
        <f>IF(A347="","",IFERROR(MATCH(B347,設定!$P$8:$P$27,0),""))</f>
        <v/>
      </c>
      <c r="D347" s="18">
        <f>IF(C347="","",COUNTIF($C$3:C347,C347))</f>
        <v/>
      </c>
      <c r="E347" s="18">
        <f>IF(C347="","",C347*1000+D347)</f>
        <v/>
      </c>
      <c r="F347" s="18">
        <f>IF(A347="","",INDEX(新年度名簿!$K$3:$K$452,A347))</f>
        <v/>
      </c>
      <c r="G347" s="18">
        <f>IF(A347="","",INDEX(新年度名簿!$C$3:$C$452,A347))</f>
        <v/>
      </c>
      <c r="H347" s="18">
        <f>IF(A347="","",INDEX(新年度名簿!$D$3:$D$452,A347))</f>
        <v/>
      </c>
    </row>
    <row r="348">
      <c r="A348" s="18">
        <f>IFERROR(MATCH(SMALL(新年度名簿!$J$3:$J$452,346),新年度名簿!$J$3:$J$452,0),"")</f>
        <v/>
      </c>
      <c r="B348" s="18">
        <f>IF(A348="","",INDEX(新年度名簿!$G$3:$G$452,A348))</f>
        <v/>
      </c>
      <c r="C348" s="18">
        <f>IF(A348="","",IFERROR(MATCH(B348,設定!$P$8:$P$27,0),""))</f>
        <v/>
      </c>
      <c r="D348" s="18">
        <f>IF(C348="","",COUNTIF($C$3:C348,C348))</f>
        <v/>
      </c>
      <c r="E348" s="18">
        <f>IF(C348="","",C348*1000+D348)</f>
        <v/>
      </c>
      <c r="F348" s="18">
        <f>IF(A348="","",INDEX(新年度名簿!$K$3:$K$452,A348))</f>
        <v/>
      </c>
      <c r="G348" s="18">
        <f>IF(A348="","",INDEX(新年度名簿!$C$3:$C$452,A348))</f>
        <v/>
      </c>
      <c r="H348" s="18">
        <f>IF(A348="","",INDEX(新年度名簿!$D$3:$D$452,A348))</f>
        <v/>
      </c>
    </row>
    <row r="349">
      <c r="A349" s="18">
        <f>IFERROR(MATCH(SMALL(新年度名簿!$J$3:$J$452,347),新年度名簿!$J$3:$J$452,0),"")</f>
        <v/>
      </c>
      <c r="B349" s="18">
        <f>IF(A349="","",INDEX(新年度名簿!$G$3:$G$452,A349))</f>
        <v/>
      </c>
      <c r="C349" s="18">
        <f>IF(A349="","",IFERROR(MATCH(B349,設定!$P$8:$P$27,0),""))</f>
        <v/>
      </c>
      <c r="D349" s="18">
        <f>IF(C349="","",COUNTIF($C$3:C349,C349))</f>
        <v/>
      </c>
      <c r="E349" s="18">
        <f>IF(C349="","",C349*1000+D349)</f>
        <v/>
      </c>
      <c r="F349" s="18">
        <f>IF(A349="","",INDEX(新年度名簿!$K$3:$K$452,A349))</f>
        <v/>
      </c>
      <c r="G349" s="18">
        <f>IF(A349="","",INDEX(新年度名簿!$C$3:$C$452,A349))</f>
        <v/>
      </c>
      <c r="H349" s="18">
        <f>IF(A349="","",INDEX(新年度名簿!$D$3:$D$452,A349))</f>
        <v/>
      </c>
    </row>
    <row r="350">
      <c r="A350" s="18">
        <f>IFERROR(MATCH(SMALL(新年度名簿!$J$3:$J$452,348),新年度名簿!$J$3:$J$452,0),"")</f>
        <v/>
      </c>
      <c r="B350" s="18">
        <f>IF(A350="","",INDEX(新年度名簿!$G$3:$G$452,A350))</f>
        <v/>
      </c>
      <c r="C350" s="18">
        <f>IF(A350="","",IFERROR(MATCH(B350,設定!$P$8:$P$27,0),""))</f>
        <v/>
      </c>
      <c r="D350" s="18">
        <f>IF(C350="","",COUNTIF($C$3:C350,C350))</f>
        <v/>
      </c>
      <c r="E350" s="18">
        <f>IF(C350="","",C350*1000+D350)</f>
        <v/>
      </c>
      <c r="F350" s="18">
        <f>IF(A350="","",INDEX(新年度名簿!$K$3:$K$452,A350))</f>
        <v/>
      </c>
      <c r="G350" s="18">
        <f>IF(A350="","",INDEX(新年度名簿!$C$3:$C$452,A350))</f>
        <v/>
      </c>
      <c r="H350" s="18">
        <f>IF(A350="","",INDEX(新年度名簿!$D$3:$D$452,A350))</f>
        <v/>
      </c>
    </row>
    <row r="351">
      <c r="A351" s="18">
        <f>IFERROR(MATCH(SMALL(新年度名簿!$J$3:$J$452,349),新年度名簿!$J$3:$J$452,0),"")</f>
        <v/>
      </c>
      <c r="B351" s="18">
        <f>IF(A351="","",INDEX(新年度名簿!$G$3:$G$452,A351))</f>
        <v/>
      </c>
      <c r="C351" s="18">
        <f>IF(A351="","",IFERROR(MATCH(B351,設定!$P$8:$P$27,0),""))</f>
        <v/>
      </c>
      <c r="D351" s="18">
        <f>IF(C351="","",COUNTIF($C$3:C351,C351))</f>
        <v/>
      </c>
      <c r="E351" s="18">
        <f>IF(C351="","",C351*1000+D351)</f>
        <v/>
      </c>
      <c r="F351" s="18">
        <f>IF(A351="","",INDEX(新年度名簿!$K$3:$K$452,A351))</f>
        <v/>
      </c>
      <c r="G351" s="18">
        <f>IF(A351="","",INDEX(新年度名簿!$C$3:$C$452,A351))</f>
        <v/>
      </c>
      <c r="H351" s="18">
        <f>IF(A351="","",INDEX(新年度名簿!$D$3:$D$452,A351))</f>
        <v/>
      </c>
    </row>
    <row r="352">
      <c r="A352" s="18">
        <f>IFERROR(MATCH(SMALL(新年度名簿!$J$3:$J$452,350),新年度名簿!$J$3:$J$452,0),"")</f>
        <v/>
      </c>
      <c r="B352" s="18">
        <f>IF(A352="","",INDEX(新年度名簿!$G$3:$G$452,A352))</f>
        <v/>
      </c>
      <c r="C352" s="18">
        <f>IF(A352="","",IFERROR(MATCH(B352,設定!$P$8:$P$27,0),""))</f>
        <v/>
      </c>
      <c r="D352" s="18">
        <f>IF(C352="","",COUNTIF($C$3:C352,C352))</f>
        <v/>
      </c>
      <c r="E352" s="18">
        <f>IF(C352="","",C352*1000+D352)</f>
        <v/>
      </c>
      <c r="F352" s="18">
        <f>IF(A352="","",INDEX(新年度名簿!$K$3:$K$452,A352))</f>
        <v/>
      </c>
      <c r="G352" s="18">
        <f>IF(A352="","",INDEX(新年度名簿!$C$3:$C$452,A352))</f>
        <v/>
      </c>
      <c r="H352" s="18">
        <f>IF(A352="","",INDEX(新年度名簿!$D$3:$D$452,A352))</f>
        <v/>
      </c>
    </row>
    <row r="353">
      <c r="A353" s="18">
        <f>IFERROR(MATCH(SMALL(新年度名簿!$J$3:$J$452,351),新年度名簿!$J$3:$J$452,0),"")</f>
        <v/>
      </c>
      <c r="B353" s="18">
        <f>IF(A353="","",INDEX(新年度名簿!$G$3:$G$452,A353))</f>
        <v/>
      </c>
      <c r="C353" s="18">
        <f>IF(A353="","",IFERROR(MATCH(B353,設定!$P$8:$P$27,0),""))</f>
        <v/>
      </c>
      <c r="D353" s="18">
        <f>IF(C353="","",COUNTIF($C$3:C353,C353))</f>
        <v/>
      </c>
      <c r="E353" s="18">
        <f>IF(C353="","",C353*1000+D353)</f>
        <v/>
      </c>
      <c r="F353" s="18">
        <f>IF(A353="","",INDEX(新年度名簿!$K$3:$K$452,A353))</f>
        <v/>
      </c>
      <c r="G353" s="18">
        <f>IF(A353="","",INDEX(新年度名簿!$C$3:$C$452,A353))</f>
        <v/>
      </c>
      <c r="H353" s="18">
        <f>IF(A353="","",INDEX(新年度名簿!$D$3:$D$452,A353))</f>
        <v/>
      </c>
    </row>
    <row r="354">
      <c r="A354" s="18">
        <f>IFERROR(MATCH(SMALL(新年度名簿!$J$3:$J$452,352),新年度名簿!$J$3:$J$452,0),"")</f>
        <v/>
      </c>
      <c r="B354" s="18">
        <f>IF(A354="","",INDEX(新年度名簿!$G$3:$G$452,A354))</f>
        <v/>
      </c>
      <c r="C354" s="18">
        <f>IF(A354="","",IFERROR(MATCH(B354,設定!$P$8:$P$27,0),""))</f>
        <v/>
      </c>
      <c r="D354" s="18">
        <f>IF(C354="","",COUNTIF($C$3:C354,C354))</f>
        <v/>
      </c>
      <c r="E354" s="18">
        <f>IF(C354="","",C354*1000+D354)</f>
        <v/>
      </c>
      <c r="F354" s="18">
        <f>IF(A354="","",INDEX(新年度名簿!$K$3:$K$452,A354))</f>
        <v/>
      </c>
      <c r="G354" s="18">
        <f>IF(A354="","",INDEX(新年度名簿!$C$3:$C$452,A354))</f>
        <v/>
      </c>
      <c r="H354" s="18">
        <f>IF(A354="","",INDEX(新年度名簿!$D$3:$D$452,A354))</f>
        <v/>
      </c>
    </row>
    <row r="355">
      <c r="A355" s="18">
        <f>IFERROR(MATCH(SMALL(新年度名簿!$J$3:$J$452,353),新年度名簿!$J$3:$J$452,0),"")</f>
        <v/>
      </c>
      <c r="B355" s="18">
        <f>IF(A355="","",INDEX(新年度名簿!$G$3:$G$452,A355))</f>
        <v/>
      </c>
      <c r="C355" s="18">
        <f>IF(A355="","",IFERROR(MATCH(B355,設定!$P$8:$P$27,0),""))</f>
        <v/>
      </c>
      <c r="D355" s="18">
        <f>IF(C355="","",COUNTIF($C$3:C355,C355))</f>
        <v/>
      </c>
      <c r="E355" s="18">
        <f>IF(C355="","",C355*1000+D355)</f>
        <v/>
      </c>
      <c r="F355" s="18">
        <f>IF(A355="","",INDEX(新年度名簿!$K$3:$K$452,A355))</f>
        <v/>
      </c>
      <c r="G355" s="18">
        <f>IF(A355="","",INDEX(新年度名簿!$C$3:$C$452,A355))</f>
        <v/>
      </c>
      <c r="H355" s="18">
        <f>IF(A355="","",INDEX(新年度名簿!$D$3:$D$452,A355))</f>
        <v/>
      </c>
    </row>
    <row r="356">
      <c r="A356" s="18">
        <f>IFERROR(MATCH(SMALL(新年度名簿!$J$3:$J$452,354),新年度名簿!$J$3:$J$452,0),"")</f>
        <v/>
      </c>
      <c r="B356" s="18">
        <f>IF(A356="","",INDEX(新年度名簿!$G$3:$G$452,A356))</f>
        <v/>
      </c>
      <c r="C356" s="18">
        <f>IF(A356="","",IFERROR(MATCH(B356,設定!$P$8:$P$27,0),""))</f>
        <v/>
      </c>
      <c r="D356" s="18">
        <f>IF(C356="","",COUNTIF($C$3:C356,C356))</f>
        <v/>
      </c>
      <c r="E356" s="18">
        <f>IF(C356="","",C356*1000+D356)</f>
        <v/>
      </c>
      <c r="F356" s="18">
        <f>IF(A356="","",INDEX(新年度名簿!$K$3:$K$452,A356))</f>
        <v/>
      </c>
      <c r="G356" s="18">
        <f>IF(A356="","",INDEX(新年度名簿!$C$3:$C$452,A356))</f>
        <v/>
      </c>
      <c r="H356" s="18">
        <f>IF(A356="","",INDEX(新年度名簿!$D$3:$D$452,A356))</f>
        <v/>
      </c>
    </row>
    <row r="357">
      <c r="A357" s="18">
        <f>IFERROR(MATCH(SMALL(新年度名簿!$J$3:$J$452,355),新年度名簿!$J$3:$J$452,0),"")</f>
        <v/>
      </c>
      <c r="B357" s="18">
        <f>IF(A357="","",INDEX(新年度名簿!$G$3:$G$452,A357))</f>
        <v/>
      </c>
      <c r="C357" s="18">
        <f>IF(A357="","",IFERROR(MATCH(B357,設定!$P$8:$P$27,0),""))</f>
        <v/>
      </c>
      <c r="D357" s="18">
        <f>IF(C357="","",COUNTIF($C$3:C357,C357))</f>
        <v/>
      </c>
      <c r="E357" s="18">
        <f>IF(C357="","",C357*1000+D357)</f>
        <v/>
      </c>
      <c r="F357" s="18">
        <f>IF(A357="","",INDEX(新年度名簿!$K$3:$K$452,A357))</f>
        <v/>
      </c>
      <c r="G357" s="18">
        <f>IF(A357="","",INDEX(新年度名簿!$C$3:$C$452,A357))</f>
        <v/>
      </c>
      <c r="H357" s="18">
        <f>IF(A357="","",INDEX(新年度名簿!$D$3:$D$452,A357))</f>
        <v/>
      </c>
    </row>
    <row r="358">
      <c r="A358" s="18">
        <f>IFERROR(MATCH(SMALL(新年度名簿!$J$3:$J$452,356),新年度名簿!$J$3:$J$452,0),"")</f>
        <v/>
      </c>
      <c r="B358" s="18">
        <f>IF(A358="","",INDEX(新年度名簿!$G$3:$G$452,A358))</f>
        <v/>
      </c>
      <c r="C358" s="18">
        <f>IF(A358="","",IFERROR(MATCH(B358,設定!$P$8:$P$27,0),""))</f>
        <v/>
      </c>
      <c r="D358" s="18">
        <f>IF(C358="","",COUNTIF($C$3:C358,C358))</f>
        <v/>
      </c>
      <c r="E358" s="18">
        <f>IF(C358="","",C358*1000+D358)</f>
        <v/>
      </c>
      <c r="F358" s="18">
        <f>IF(A358="","",INDEX(新年度名簿!$K$3:$K$452,A358))</f>
        <v/>
      </c>
      <c r="G358" s="18">
        <f>IF(A358="","",INDEX(新年度名簿!$C$3:$C$452,A358))</f>
        <v/>
      </c>
      <c r="H358" s="18">
        <f>IF(A358="","",INDEX(新年度名簿!$D$3:$D$452,A358))</f>
        <v/>
      </c>
    </row>
    <row r="359">
      <c r="A359" s="18">
        <f>IFERROR(MATCH(SMALL(新年度名簿!$J$3:$J$452,357),新年度名簿!$J$3:$J$452,0),"")</f>
        <v/>
      </c>
      <c r="B359" s="18">
        <f>IF(A359="","",INDEX(新年度名簿!$G$3:$G$452,A359))</f>
        <v/>
      </c>
      <c r="C359" s="18">
        <f>IF(A359="","",IFERROR(MATCH(B359,設定!$P$8:$P$27,0),""))</f>
        <v/>
      </c>
      <c r="D359" s="18">
        <f>IF(C359="","",COUNTIF($C$3:C359,C359))</f>
        <v/>
      </c>
      <c r="E359" s="18">
        <f>IF(C359="","",C359*1000+D359)</f>
        <v/>
      </c>
      <c r="F359" s="18">
        <f>IF(A359="","",INDEX(新年度名簿!$K$3:$K$452,A359))</f>
        <v/>
      </c>
      <c r="G359" s="18">
        <f>IF(A359="","",INDEX(新年度名簿!$C$3:$C$452,A359))</f>
        <v/>
      </c>
      <c r="H359" s="18">
        <f>IF(A359="","",INDEX(新年度名簿!$D$3:$D$452,A359))</f>
        <v/>
      </c>
    </row>
    <row r="360">
      <c r="A360" s="18">
        <f>IFERROR(MATCH(SMALL(新年度名簿!$J$3:$J$452,358),新年度名簿!$J$3:$J$452,0),"")</f>
        <v/>
      </c>
      <c r="B360" s="18">
        <f>IF(A360="","",INDEX(新年度名簿!$G$3:$G$452,A360))</f>
        <v/>
      </c>
      <c r="C360" s="18">
        <f>IF(A360="","",IFERROR(MATCH(B360,設定!$P$8:$P$27,0),""))</f>
        <v/>
      </c>
      <c r="D360" s="18">
        <f>IF(C360="","",COUNTIF($C$3:C360,C360))</f>
        <v/>
      </c>
      <c r="E360" s="18">
        <f>IF(C360="","",C360*1000+D360)</f>
        <v/>
      </c>
      <c r="F360" s="18">
        <f>IF(A360="","",INDEX(新年度名簿!$K$3:$K$452,A360))</f>
        <v/>
      </c>
      <c r="G360" s="18">
        <f>IF(A360="","",INDEX(新年度名簿!$C$3:$C$452,A360))</f>
        <v/>
      </c>
      <c r="H360" s="18">
        <f>IF(A360="","",INDEX(新年度名簿!$D$3:$D$452,A360))</f>
        <v/>
      </c>
    </row>
    <row r="361">
      <c r="A361" s="18">
        <f>IFERROR(MATCH(SMALL(新年度名簿!$J$3:$J$452,359),新年度名簿!$J$3:$J$452,0),"")</f>
        <v/>
      </c>
      <c r="B361" s="18">
        <f>IF(A361="","",INDEX(新年度名簿!$G$3:$G$452,A361))</f>
        <v/>
      </c>
      <c r="C361" s="18">
        <f>IF(A361="","",IFERROR(MATCH(B361,設定!$P$8:$P$27,0),""))</f>
        <v/>
      </c>
      <c r="D361" s="18">
        <f>IF(C361="","",COUNTIF($C$3:C361,C361))</f>
        <v/>
      </c>
      <c r="E361" s="18">
        <f>IF(C361="","",C361*1000+D361)</f>
        <v/>
      </c>
      <c r="F361" s="18">
        <f>IF(A361="","",INDEX(新年度名簿!$K$3:$K$452,A361))</f>
        <v/>
      </c>
      <c r="G361" s="18">
        <f>IF(A361="","",INDEX(新年度名簿!$C$3:$C$452,A361))</f>
        <v/>
      </c>
      <c r="H361" s="18">
        <f>IF(A361="","",INDEX(新年度名簿!$D$3:$D$452,A361))</f>
        <v/>
      </c>
    </row>
    <row r="362">
      <c r="A362" s="18">
        <f>IFERROR(MATCH(SMALL(新年度名簿!$J$3:$J$452,360),新年度名簿!$J$3:$J$452,0),"")</f>
        <v/>
      </c>
      <c r="B362" s="18">
        <f>IF(A362="","",INDEX(新年度名簿!$G$3:$G$452,A362))</f>
        <v/>
      </c>
      <c r="C362" s="18">
        <f>IF(A362="","",IFERROR(MATCH(B362,設定!$P$8:$P$27,0),""))</f>
        <v/>
      </c>
      <c r="D362" s="18">
        <f>IF(C362="","",COUNTIF($C$3:C362,C362))</f>
        <v/>
      </c>
      <c r="E362" s="18">
        <f>IF(C362="","",C362*1000+D362)</f>
        <v/>
      </c>
      <c r="F362" s="18">
        <f>IF(A362="","",INDEX(新年度名簿!$K$3:$K$452,A362))</f>
        <v/>
      </c>
      <c r="G362" s="18">
        <f>IF(A362="","",INDEX(新年度名簿!$C$3:$C$452,A362))</f>
        <v/>
      </c>
      <c r="H362" s="18">
        <f>IF(A362="","",INDEX(新年度名簿!$D$3:$D$452,A362))</f>
        <v/>
      </c>
    </row>
    <row r="363">
      <c r="A363" s="18">
        <f>IFERROR(MATCH(SMALL(新年度名簿!$J$3:$J$452,361),新年度名簿!$J$3:$J$452,0),"")</f>
        <v/>
      </c>
      <c r="B363" s="18">
        <f>IF(A363="","",INDEX(新年度名簿!$G$3:$G$452,A363))</f>
        <v/>
      </c>
      <c r="C363" s="18">
        <f>IF(A363="","",IFERROR(MATCH(B363,設定!$P$8:$P$27,0),""))</f>
        <v/>
      </c>
      <c r="D363" s="18">
        <f>IF(C363="","",COUNTIF($C$3:C363,C363))</f>
        <v/>
      </c>
      <c r="E363" s="18">
        <f>IF(C363="","",C363*1000+D363)</f>
        <v/>
      </c>
      <c r="F363" s="18">
        <f>IF(A363="","",INDEX(新年度名簿!$K$3:$K$452,A363))</f>
        <v/>
      </c>
      <c r="G363" s="18">
        <f>IF(A363="","",INDEX(新年度名簿!$C$3:$C$452,A363))</f>
        <v/>
      </c>
      <c r="H363" s="18">
        <f>IF(A363="","",INDEX(新年度名簿!$D$3:$D$452,A363))</f>
        <v/>
      </c>
    </row>
    <row r="364">
      <c r="A364" s="18">
        <f>IFERROR(MATCH(SMALL(新年度名簿!$J$3:$J$452,362),新年度名簿!$J$3:$J$452,0),"")</f>
        <v/>
      </c>
      <c r="B364" s="18">
        <f>IF(A364="","",INDEX(新年度名簿!$G$3:$G$452,A364))</f>
        <v/>
      </c>
      <c r="C364" s="18">
        <f>IF(A364="","",IFERROR(MATCH(B364,設定!$P$8:$P$27,0),""))</f>
        <v/>
      </c>
      <c r="D364" s="18">
        <f>IF(C364="","",COUNTIF($C$3:C364,C364))</f>
        <v/>
      </c>
      <c r="E364" s="18">
        <f>IF(C364="","",C364*1000+D364)</f>
        <v/>
      </c>
      <c r="F364" s="18">
        <f>IF(A364="","",INDEX(新年度名簿!$K$3:$K$452,A364))</f>
        <v/>
      </c>
      <c r="G364" s="18">
        <f>IF(A364="","",INDEX(新年度名簿!$C$3:$C$452,A364))</f>
        <v/>
      </c>
      <c r="H364" s="18">
        <f>IF(A364="","",INDEX(新年度名簿!$D$3:$D$452,A364))</f>
        <v/>
      </c>
    </row>
    <row r="365">
      <c r="A365" s="18">
        <f>IFERROR(MATCH(SMALL(新年度名簿!$J$3:$J$452,363),新年度名簿!$J$3:$J$452,0),"")</f>
        <v/>
      </c>
      <c r="B365" s="18">
        <f>IF(A365="","",INDEX(新年度名簿!$G$3:$G$452,A365))</f>
        <v/>
      </c>
      <c r="C365" s="18">
        <f>IF(A365="","",IFERROR(MATCH(B365,設定!$P$8:$P$27,0),""))</f>
        <v/>
      </c>
      <c r="D365" s="18">
        <f>IF(C365="","",COUNTIF($C$3:C365,C365))</f>
        <v/>
      </c>
      <c r="E365" s="18">
        <f>IF(C365="","",C365*1000+D365)</f>
        <v/>
      </c>
      <c r="F365" s="18">
        <f>IF(A365="","",INDEX(新年度名簿!$K$3:$K$452,A365))</f>
        <v/>
      </c>
      <c r="G365" s="18">
        <f>IF(A365="","",INDEX(新年度名簿!$C$3:$C$452,A365))</f>
        <v/>
      </c>
      <c r="H365" s="18">
        <f>IF(A365="","",INDEX(新年度名簿!$D$3:$D$452,A365))</f>
        <v/>
      </c>
    </row>
    <row r="366">
      <c r="A366" s="18">
        <f>IFERROR(MATCH(SMALL(新年度名簿!$J$3:$J$452,364),新年度名簿!$J$3:$J$452,0),"")</f>
        <v/>
      </c>
      <c r="B366" s="18">
        <f>IF(A366="","",INDEX(新年度名簿!$G$3:$G$452,A366))</f>
        <v/>
      </c>
      <c r="C366" s="18">
        <f>IF(A366="","",IFERROR(MATCH(B366,設定!$P$8:$P$27,0),""))</f>
        <v/>
      </c>
      <c r="D366" s="18">
        <f>IF(C366="","",COUNTIF($C$3:C366,C366))</f>
        <v/>
      </c>
      <c r="E366" s="18">
        <f>IF(C366="","",C366*1000+D366)</f>
        <v/>
      </c>
      <c r="F366" s="18">
        <f>IF(A366="","",INDEX(新年度名簿!$K$3:$K$452,A366))</f>
        <v/>
      </c>
      <c r="G366" s="18">
        <f>IF(A366="","",INDEX(新年度名簿!$C$3:$C$452,A366))</f>
        <v/>
      </c>
      <c r="H366" s="18">
        <f>IF(A366="","",INDEX(新年度名簿!$D$3:$D$452,A366))</f>
        <v/>
      </c>
    </row>
    <row r="367">
      <c r="A367" s="18">
        <f>IFERROR(MATCH(SMALL(新年度名簿!$J$3:$J$452,365),新年度名簿!$J$3:$J$452,0),"")</f>
        <v/>
      </c>
      <c r="B367" s="18">
        <f>IF(A367="","",INDEX(新年度名簿!$G$3:$G$452,A367))</f>
        <v/>
      </c>
      <c r="C367" s="18">
        <f>IF(A367="","",IFERROR(MATCH(B367,設定!$P$8:$P$27,0),""))</f>
        <v/>
      </c>
      <c r="D367" s="18">
        <f>IF(C367="","",COUNTIF($C$3:C367,C367))</f>
        <v/>
      </c>
      <c r="E367" s="18">
        <f>IF(C367="","",C367*1000+D367)</f>
        <v/>
      </c>
      <c r="F367" s="18">
        <f>IF(A367="","",INDEX(新年度名簿!$K$3:$K$452,A367))</f>
        <v/>
      </c>
      <c r="G367" s="18">
        <f>IF(A367="","",INDEX(新年度名簿!$C$3:$C$452,A367))</f>
        <v/>
      </c>
      <c r="H367" s="18">
        <f>IF(A367="","",INDEX(新年度名簿!$D$3:$D$452,A367))</f>
        <v/>
      </c>
    </row>
    <row r="368">
      <c r="A368" s="18">
        <f>IFERROR(MATCH(SMALL(新年度名簿!$J$3:$J$452,366),新年度名簿!$J$3:$J$452,0),"")</f>
        <v/>
      </c>
      <c r="B368" s="18">
        <f>IF(A368="","",INDEX(新年度名簿!$G$3:$G$452,A368))</f>
        <v/>
      </c>
      <c r="C368" s="18">
        <f>IF(A368="","",IFERROR(MATCH(B368,設定!$P$8:$P$27,0),""))</f>
        <v/>
      </c>
      <c r="D368" s="18">
        <f>IF(C368="","",COUNTIF($C$3:C368,C368))</f>
        <v/>
      </c>
      <c r="E368" s="18">
        <f>IF(C368="","",C368*1000+D368)</f>
        <v/>
      </c>
      <c r="F368" s="18">
        <f>IF(A368="","",INDEX(新年度名簿!$K$3:$K$452,A368))</f>
        <v/>
      </c>
      <c r="G368" s="18">
        <f>IF(A368="","",INDEX(新年度名簿!$C$3:$C$452,A368))</f>
        <v/>
      </c>
      <c r="H368" s="18">
        <f>IF(A368="","",INDEX(新年度名簿!$D$3:$D$452,A368))</f>
        <v/>
      </c>
    </row>
    <row r="369">
      <c r="A369" s="18">
        <f>IFERROR(MATCH(SMALL(新年度名簿!$J$3:$J$452,367),新年度名簿!$J$3:$J$452,0),"")</f>
        <v/>
      </c>
      <c r="B369" s="18">
        <f>IF(A369="","",INDEX(新年度名簿!$G$3:$G$452,A369))</f>
        <v/>
      </c>
      <c r="C369" s="18">
        <f>IF(A369="","",IFERROR(MATCH(B369,設定!$P$8:$P$27,0),""))</f>
        <v/>
      </c>
      <c r="D369" s="18">
        <f>IF(C369="","",COUNTIF($C$3:C369,C369))</f>
        <v/>
      </c>
      <c r="E369" s="18">
        <f>IF(C369="","",C369*1000+D369)</f>
        <v/>
      </c>
      <c r="F369" s="18">
        <f>IF(A369="","",INDEX(新年度名簿!$K$3:$K$452,A369))</f>
        <v/>
      </c>
      <c r="G369" s="18">
        <f>IF(A369="","",INDEX(新年度名簿!$C$3:$C$452,A369))</f>
        <v/>
      </c>
      <c r="H369" s="18">
        <f>IF(A369="","",INDEX(新年度名簿!$D$3:$D$452,A369))</f>
        <v/>
      </c>
    </row>
    <row r="370">
      <c r="A370" s="18">
        <f>IFERROR(MATCH(SMALL(新年度名簿!$J$3:$J$452,368),新年度名簿!$J$3:$J$452,0),"")</f>
        <v/>
      </c>
      <c r="B370" s="18">
        <f>IF(A370="","",INDEX(新年度名簿!$G$3:$G$452,A370))</f>
        <v/>
      </c>
      <c r="C370" s="18">
        <f>IF(A370="","",IFERROR(MATCH(B370,設定!$P$8:$P$27,0),""))</f>
        <v/>
      </c>
      <c r="D370" s="18">
        <f>IF(C370="","",COUNTIF($C$3:C370,C370))</f>
        <v/>
      </c>
      <c r="E370" s="18">
        <f>IF(C370="","",C370*1000+D370)</f>
        <v/>
      </c>
      <c r="F370" s="18">
        <f>IF(A370="","",INDEX(新年度名簿!$K$3:$K$452,A370))</f>
        <v/>
      </c>
      <c r="G370" s="18">
        <f>IF(A370="","",INDEX(新年度名簿!$C$3:$C$452,A370))</f>
        <v/>
      </c>
      <c r="H370" s="18">
        <f>IF(A370="","",INDEX(新年度名簿!$D$3:$D$452,A370))</f>
        <v/>
      </c>
    </row>
    <row r="371">
      <c r="A371" s="18">
        <f>IFERROR(MATCH(SMALL(新年度名簿!$J$3:$J$452,369),新年度名簿!$J$3:$J$452,0),"")</f>
        <v/>
      </c>
      <c r="B371" s="18">
        <f>IF(A371="","",INDEX(新年度名簿!$G$3:$G$452,A371))</f>
        <v/>
      </c>
      <c r="C371" s="18">
        <f>IF(A371="","",IFERROR(MATCH(B371,設定!$P$8:$P$27,0),""))</f>
        <v/>
      </c>
      <c r="D371" s="18">
        <f>IF(C371="","",COUNTIF($C$3:C371,C371))</f>
        <v/>
      </c>
      <c r="E371" s="18">
        <f>IF(C371="","",C371*1000+D371)</f>
        <v/>
      </c>
      <c r="F371" s="18">
        <f>IF(A371="","",INDEX(新年度名簿!$K$3:$K$452,A371))</f>
        <v/>
      </c>
      <c r="G371" s="18">
        <f>IF(A371="","",INDEX(新年度名簿!$C$3:$C$452,A371))</f>
        <v/>
      </c>
      <c r="H371" s="18">
        <f>IF(A371="","",INDEX(新年度名簿!$D$3:$D$452,A371))</f>
        <v/>
      </c>
    </row>
    <row r="372">
      <c r="A372" s="18">
        <f>IFERROR(MATCH(SMALL(新年度名簿!$J$3:$J$452,370),新年度名簿!$J$3:$J$452,0),"")</f>
        <v/>
      </c>
      <c r="B372" s="18">
        <f>IF(A372="","",INDEX(新年度名簿!$G$3:$G$452,A372))</f>
        <v/>
      </c>
      <c r="C372" s="18">
        <f>IF(A372="","",IFERROR(MATCH(B372,設定!$P$8:$P$27,0),""))</f>
        <v/>
      </c>
      <c r="D372" s="18">
        <f>IF(C372="","",COUNTIF($C$3:C372,C372))</f>
        <v/>
      </c>
      <c r="E372" s="18">
        <f>IF(C372="","",C372*1000+D372)</f>
        <v/>
      </c>
      <c r="F372" s="18">
        <f>IF(A372="","",INDEX(新年度名簿!$K$3:$K$452,A372))</f>
        <v/>
      </c>
      <c r="G372" s="18">
        <f>IF(A372="","",INDEX(新年度名簿!$C$3:$C$452,A372))</f>
        <v/>
      </c>
      <c r="H372" s="18">
        <f>IF(A372="","",INDEX(新年度名簿!$D$3:$D$452,A372))</f>
        <v/>
      </c>
    </row>
    <row r="373">
      <c r="A373" s="18">
        <f>IFERROR(MATCH(SMALL(新年度名簿!$J$3:$J$452,371),新年度名簿!$J$3:$J$452,0),"")</f>
        <v/>
      </c>
      <c r="B373" s="18">
        <f>IF(A373="","",INDEX(新年度名簿!$G$3:$G$452,A373))</f>
        <v/>
      </c>
      <c r="C373" s="18">
        <f>IF(A373="","",IFERROR(MATCH(B373,設定!$P$8:$P$27,0),""))</f>
        <v/>
      </c>
      <c r="D373" s="18">
        <f>IF(C373="","",COUNTIF($C$3:C373,C373))</f>
        <v/>
      </c>
      <c r="E373" s="18">
        <f>IF(C373="","",C373*1000+D373)</f>
        <v/>
      </c>
      <c r="F373" s="18">
        <f>IF(A373="","",INDEX(新年度名簿!$K$3:$K$452,A373))</f>
        <v/>
      </c>
      <c r="G373" s="18">
        <f>IF(A373="","",INDEX(新年度名簿!$C$3:$C$452,A373))</f>
        <v/>
      </c>
      <c r="H373" s="18">
        <f>IF(A373="","",INDEX(新年度名簿!$D$3:$D$452,A373))</f>
        <v/>
      </c>
    </row>
    <row r="374">
      <c r="A374" s="18">
        <f>IFERROR(MATCH(SMALL(新年度名簿!$J$3:$J$452,372),新年度名簿!$J$3:$J$452,0),"")</f>
        <v/>
      </c>
      <c r="B374" s="18">
        <f>IF(A374="","",INDEX(新年度名簿!$G$3:$G$452,A374))</f>
        <v/>
      </c>
      <c r="C374" s="18">
        <f>IF(A374="","",IFERROR(MATCH(B374,設定!$P$8:$P$27,0),""))</f>
        <v/>
      </c>
      <c r="D374" s="18">
        <f>IF(C374="","",COUNTIF($C$3:C374,C374))</f>
        <v/>
      </c>
      <c r="E374" s="18">
        <f>IF(C374="","",C374*1000+D374)</f>
        <v/>
      </c>
      <c r="F374" s="18">
        <f>IF(A374="","",INDEX(新年度名簿!$K$3:$K$452,A374))</f>
        <v/>
      </c>
      <c r="G374" s="18">
        <f>IF(A374="","",INDEX(新年度名簿!$C$3:$C$452,A374))</f>
        <v/>
      </c>
      <c r="H374" s="18">
        <f>IF(A374="","",INDEX(新年度名簿!$D$3:$D$452,A374))</f>
        <v/>
      </c>
    </row>
    <row r="375">
      <c r="A375" s="18">
        <f>IFERROR(MATCH(SMALL(新年度名簿!$J$3:$J$452,373),新年度名簿!$J$3:$J$452,0),"")</f>
        <v/>
      </c>
      <c r="B375" s="18">
        <f>IF(A375="","",INDEX(新年度名簿!$G$3:$G$452,A375))</f>
        <v/>
      </c>
      <c r="C375" s="18">
        <f>IF(A375="","",IFERROR(MATCH(B375,設定!$P$8:$P$27,0),""))</f>
        <v/>
      </c>
      <c r="D375" s="18">
        <f>IF(C375="","",COUNTIF($C$3:C375,C375))</f>
        <v/>
      </c>
      <c r="E375" s="18">
        <f>IF(C375="","",C375*1000+D375)</f>
        <v/>
      </c>
      <c r="F375" s="18">
        <f>IF(A375="","",INDEX(新年度名簿!$K$3:$K$452,A375))</f>
        <v/>
      </c>
      <c r="G375" s="18">
        <f>IF(A375="","",INDEX(新年度名簿!$C$3:$C$452,A375))</f>
        <v/>
      </c>
      <c r="H375" s="18">
        <f>IF(A375="","",INDEX(新年度名簿!$D$3:$D$452,A375))</f>
        <v/>
      </c>
    </row>
    <row r="376">
      <c r="A376" s="18">
        <f>IFERROR(MATCH(SMALL(新年度名簿!$J$3:$J$452,374),新年度名簿!$J$3:$J$452,0),"")</f>
        <v/>
      </c>
      <c r="B376" s="18">
        <f>IF(A376="","",INDEX(新年度名簿!$G$3:$G$452,A376))</f>
        <v/>
      </c>
      <c r="C376" s="18">
        <f>IF(A376="","",IFERROR(MATCH(B376,設定!$P$8:$P$27,0),""))</f>
        <v/>
      </c>
      <c r="D376" s="18">
        <f>IF(C376="","",COUNTIF($C$3:C376,C376))</f>
        <v/>
      </c>
      <c r="E376" s="18">
        <f>IF(C376="","",C376*1000+D376)</f>
        <v/>
      </c>
      <c r="F376" s="18">
        <f>IF(A376="","",INDEX(新年度名簿!$K$3:$K$452,A376))</f>
        <v/>
      </c>
      <c r="G376" s="18">
        <f>IF(A376="","",INDEX(新年度名簿!$C$3:$C$452,A376))</f>
        <v/>
      </c>
      <c r="H376" s="18">
        <f>IF(A376="","",INDEX(新年度名簿!$D$3:$D$452,A376))</f>
        <v/>
      </c>
    </row>
    <row r="377">
      <c r="A377" s="18">
        <f>IFERROR(MATCH(SMALL(新年度名簿!$J$3:$J$452,375),新年度名簿!$J$3:$J$452,0),"")</f>
        <v/>
      </c>
      <c r="B377" s="18">
        <f>IF(A377="","",INDEX(新年度名簿!$G$3:$G$452,A377))</f>
        <v/>
      </c>
      <c r="C377" s="18">
        <f>IF(A377="","",IFERROR(MATCH(B377,設定!$P$8:$P$27,0),""))</f>
        <v/>
      </c>
      <c r="D377" s="18">
        <f>IF(C377="","",COUNTIF($C$3:C377,C377))</f>
        <v/>
      </c>
      <c r="E377" s="18">
        <f>IF(C377="","",C377*1000+D377)</f>
        <v/>
      </c>
      <c r="F377" s="18">
        <f>IF(A377="","",INDEX(新年度名簿!$K$3:$K$452,A377))</f>
        <v/>
      </c>
      <c r="G377" s="18">
        <f>IF(A377="","",INDEX(新年度名簿!$C$3:$C$452,A377))</f>
        <v/>
      </c>
      <c r="H377" s="18">
        <f>IF(A377="","",INDEX(新年度名簿!$D$3:$D$452,A377))</f>
        <v/>
      </c>
    </row>
    <row r="378">
      <c r="A378" s="18">
        <f>IFERROR(MATCH(SMALL(新年度名簿!$J$3:$J$452,376),新年度名簿!$J$3:$J$452,0),"")</f>
        <v/>
      </c>
      <c r="B378" s="18">
        <f>IF(A378="","",INDEX(新年度名簿!$G$3:$G$452,A378))</f>
        <v/>
      </c>
      <c r="C378" s="18">
        <f>IF(A378="","",IFERROR(MATCH(B378,設定!$P$8:$P$27,0),""))</f>
        <v/>
      </c>
      <c r="D378" s="18">
        <f>IF(C378="","",COUNTIF($C$3:C378,C378))</f>
        <v/>
      </c>
      <c r="E378" s="18">
        <f>IF(C378="","",C378*1000+D378)</f>
        <v/>
      </c>
      <c r="F378" s="18">
        <f>IF(A378="","",INDEX(新年度名簿!$K$3:$K$452,A378))</f>
        <v/>
      </c>
      <c r="G378" s="18">
        <f>IF(A378="","",INDEX(新年度名簿!$C$3:$C$452,A378))</f>
        <v/>
      </c>
      <c r="H378" s="18">
        <f>IF(A378="","",INDEX(新年度名簿!$D$3:$D$452,A378))</f>
        <v/>
      </c>
    </row>
    <row r="379">
      <c r="A379" s="18">
        <f>IFERROR(MATCH(SMALL(新年度名簿!$J$3:$J$452,377),新年度名簿!$J$3:$J$452,0),"")</f>
        <v/>
      </c>
      <c r="B379" s="18">
        <f>IF(A379="","",INDEX(新年度名簿!$G$3:$G$452,A379))</f>
        <v/>
      </c>
      <c r="C379" s="18">
        <f>IF(A379="","",IFERROR(MATCH(B379,設定!$P$8:$P$27,0),""))</f>
        <v/>
      </c>
      <c r="D379" s="18">
        <f>IF(C379="","",COUNTIF($C$3:C379,C379))</f>
        <v/>
      </c>
      <c r="E379" s="18">
        <f>IF(C379="","",C379*1000+D379)</f>
        <v/>
      </c>
      <c r="F379" s="18">
        <f>IF(A379="","",INDEX(新年度名簿!$K$3:$K$452,A379))</f>
        <v/>
      </c>
      <c r="G379" s="18">
        <f>IF(A379="","",INDEX(新年度名簿!$C$3:$C$452,A379))</f>
        <v/>
      </c>
      <c r="H379" s="18">
        <f>IF(A379="","",INDEX(新年度名簿!$D$3:$D$452,A379))</f>
        <v/>
      </c>
    </row>
    <row r="380">
      <c r="A380" s="18">
        <f>IFERROR(MATCH(SMALL(新年度名簿!$J$3:$J$452,378),新年度名簿!$J$3:$J$452,0),"")</f>
        <v/>
      </c>
      <c r="B380" s="18">
        <f>IF(A380="","",INDEX(新年度名簿!$G$3:$G$452,A380))</f>
        <v/>
      </c>
      <c r="C380" s="18">
        <f>IF(A380="","",IFERROR(MATCH(B380,設定!$P$8:$P$27,0),""))</f>
        <v/>
      </c>
      <c r="D380" s="18">
        <f>IF(C380="","",COUNTIF($C$3:C380,C380))</f>
        <v/>
      </c>
      <c r="E380" s="18">
        <f>IF(C380="","",C380*1000+D380)</f>
        <v/>
      </c>
      <c r="F380" s="18">
        <f>IF(A380="","",INDEX(新年度名簿!$K$3:$K$452,A380))</f>
        <v/>
      </c>
      <c r="G380" s="18">
        <f>IF(A380="","",INDEX(新年度名簿!$C$3:$C$452,A380))</f>
        <v/>
      </c>
      <c r="H380" s="18">
        <f>IF(A380="","",INDEX(新年度名簿!$D$3:$D$452,A380))</f>
        <v/>
      </c>
    </row>
    <row r="381">
      <c r="A381" s="18">
        <f>IFERROR(MATCH(SMALL(新年度名簿!$J$3:$J$452,379),新年度名簿!$J$3:$J$452,0),"")</f>
        <v/>
      </c>
      <c r="B381" s="18">
        <f>IF(A381="","",INDEX(新年度名簿!$G$3:$G$452,A381))</f>
        <v/>
      </c>
      <c r="C381" s="18">
        <f>IF(A381="","",IFERROR(MATCH(B381,設定!$P$8:$P$27,0),""))</f>
        <v/>
      </c>
      <c r="D381" s="18">
        <f>IF(C381="","",COUNTIF($C$3:C381,C381))</f>
        <v/>
      </c>
      <c r="E381" s="18">
        <f>IF(C381="","",C381*1000+D381)</f>
        <v/>
      </c>
      <c r="F381" s="18">
        <f>IF(A381="","",INDEX(新年度名簿!$K$3:$K$452,A381))</f>
        <v/>
      </c>
      <c r="G381" s="18">
        <f>IF(A381="","",INDEX(新年度名簿!$C$3:$C$452,A381))</f>
        <v/>
      </c>
      <c r="H381" s="18">
        <f>IF(A381="","",INDEX(新年度名簿!$D$3:$D$452,A381))</f>
        <v/>
      </c>
    </row>
    <row r="382">
      <c r="A382" s="18">
        <f>IFERROR(MATCH(SMALL(新年度名簿!$J$3:$J$452,380),新年度名簿!$J$3:$J$452,0),"")</f>
        <v/>
      </c>
      <c r="B382" s="18">
        <f>IF(A382="","",INDEX(新年度名簿!$G$3:$G$452,A382))</f>
        <v/>
      </c>
      <c r="C382" s="18">
        <f>IF(A382="","",IFERROR(MATCH(B382,設定!$P$8:$P$27,0),""))</f>
        <v/>
      </c>
      <c r="D382" s="18">
        <f>IF(C382="","",COUNTIF($C$3:C382,C382))</f>
        <v/>
      </c>
      <c r="E382" s="18">
        <f>IF(C382="","",C382*1000+D382)</f>
        <v/>
      </c>
      <c r="F382" s="18">
        <f>IF(A382="","",INDEX(新年度名簿!$K$3:$K$452,A382))</f>
        <v/>
      </c>
      <c r="G382" s="18">
        <f>IF(A382="","",INDEX(新年度名簿!$C$3:$C$452,A382))</f>
        <v/>
      </c>
      <c r="H382" s="18">
        <f>IF(A382="","",INDEX(新年度名簿!$D$3:$D$452,A382))</f>
        <v/>
      </c>
    </row>
    <row r="383">
      <c r="A383" s="18">
        <f>IFERROR(MATCH(SMALL(新年度名簿!$J$3:$J$452,381),新年度名簿!$J$3:$J$452,0),"")</f>
        <v/>
      </c>
      <c r="B383" s="18">
        <f>IF(A383="","",INDEX(新年度名簿!$G$3:$G$452,A383))</f>
        <v/>
      </c>
      <c r="C383" s="18">
        <f>IF(A383="","",IFERROR(MATCH(B383,設定!$P$8:$P$27,0),""))</f>
        <v/>
      </c>
      <c r="D383" s="18">
        <f>IF(C383="","",COUNTIF($C$3:C383,C383))</f>
        <v/>
      </c>
      <c r="E383" s="18">
        <f>IF(C383="","",C383*1000+D383)</f>
        <v/>
      </c>
      <c r="F383" s="18">
        <f>IF(A383="","",INDEX(新年度名簿!$K$3:$K$452,A383))</f>
        <v/>
      </c>
      <c r="G383" s="18">
        <f>IF(A383="","",INDEX(新年度名簿!$C$3:$C$452,A383))</f>
        <v/>
      </c>
      <c r="H383" s="18">
        <f>IF(A383="","",INDEX(新年度名簿!$D$3:$D$452,A383))</f>
        <v/>
      </c>
    </row>
    <row r="384">
      <c r="A384" s="18">
        <f>IFERROR(MATCH(SMALL(新年度名簿!$J$3:$J$452,382),新年度名簿!$J$3:$J$452,0),"")</f>
        <v/>
      </c>
      <c r="B384" s="18">
        <f>IF(A384="","",INDEX(新年度名簿!$G$3:$G$452,A384))</f>
        <v/>
      </c>
      <c r="C384" s="18">
        <f>IF(A384="","",IFERROR(MATCH(B384,設定!$P$8:$P$27,0),""))</f>
        <v/>
      </c>
      <c r="D384" s="18">
        <f>IF(C384="","",COUNTIF($C$3:C384,C384))</f>
        <v/>
      </c>
      <c r="E384" s="18">
        <f>IF(C384="","",C384*1000+D384)</f>
        <v/>
      </c>
      <c r="F384" s="18">
        <f>IF(A384="","",INDEX(新年度名簿!$K$3:$K$452,A384))</f>
        <v/>
      </c>
      <c r="G384" s="18">
        <f>IF(A384="","",INDEX(新年度名簿!$C$3:$C$452,A384))</f>
        <v/>
      </c>
      <c r="H384" s="18">
        <f>IF(A384="","",INDEX(新年度名簿!$D$3:$D$452,A384))</f>
        <v/>
      </c>
    </row>
    <row r="385">
      <c r="A385" s="18">
        <f>IFERROR(MATCH(SMALL(新年度名簿!$J$3:$J$452,383),新年度名簿!$J$3:$J$452,0),"")</f>
        <v/>
      </c>
      <c r="B385" s="18">
        <f>IF(A385="","",INDEX(新年度名簿!$G$3:$G$452,A385))</f>
        <v/>
      </c>
      <c r="C385" s="18">
        <f>IF(A385="","",IFERROR(MATCH(B385,設定!$P$8:$P$27,0),""))</f>
        <v/>
      </c>
      <c r="D385" s="18">
        <f>IF(C385="","",COUNTIF($C$3:C385,C385))</f>
        <v/>
      </c>
      <c r="E385" s="18">
        <f>IF(C385="","",C385*1000+D385)</f>
        <v/>
      </c>
      <c r="F385" s="18">
        <f>IF(A385="","",INDEX(新年度名簿!$K$3:$K$452,A385))</f>
        <v/>
      </c>
      <c r="G385" s="18">
        <f>IF(A385="","",INDEX(新年度名簿!$C$3:$C$452,A385))</f>
        <v/>
      </c>
      <c r="H385" s="18">
        <f>IF(A385="","",INDEX(新年度名簿!$D$3:$D$452,A385))</f>
        <v/>
      </c>
    </row>
    <row r="386">
      <c r="A386" s="18">
        <f>IFERROR(MATCH(SMALL(新年度名簿!$J$3:$J$452,384),新年度名簿!$J$3:$J$452,0),"")</f>
        <v/>
      </c>
      <c r="B386" s="18">
        <f>IF(A386="","",INDEX(新年度名簿!$G$3:$G$452,A386))</f>
        <v/>
      </c>
      <c r="C386" s="18">
        <f>IF(A386="","",IFERROR(MATCH(B386,設定!$P$8:$P$27,0),""))</f>
        <v/>
      </c>
      <c r="D386" s="18">
        <f>IF(C386="","",COUNTIF($C$3:C386,C386))</f>
        <v/>
      </c>
      <c r="E386" s="18">
        <f>IF(C386="","",C386*1000+D386)</f>
        <v/>
      </c>
      <c r="F386" s="18">
        <f>IF(A386="","",INDEX(新年度名簿!$K$3:$K$452,A386))</f>
        <v/>
      </c>
      <c r="G386" s="18">
        <f>IF(A386="","",INDEX(新年度名簿!$C$3:$C$452,A386))</f>
        <v/>
      </c>
      <c r="H386" s="18">
        <f>IF(A386="","",INDEX(新年度名簿!$D$3:$D$452,A386))</f>
        <v/>
      </c>
    </row>
    <row r="387">
      <c r="A387" s="18">
        <f>IFERROR(MATCH(SMALL(新年度名簿!$J$3:$J$452,385),新年度名簿!$J$3:$J$452,0),"")</f>
        <v/>
      </c>
      <c r="B387" s="18">
        <f>IF(A387="","",INDEX(新年度名簿!$G$3:$G$452,A387))</f>
        <v/>
      </c>
      <c r="C387" s="18">
        <f>IF(A387="","",IFERROR(MATCH(B387,設定!$P$8:$P$27,0),""))</f>
        <v/>
      </c>
      <c r="D387" s="18">
        <f>IF(C387="","",COUNTIF($C$3:C387,C387))</f>
        <v/>
      </c>
      <c r="E387" s="18">
        <f>IF(C387="","",C387*1000+D387)</f>
        <v/>
      </c>
      <c r="F387" s="18">
        <f>IF(A387="","",INDEX(新年度名簿!$K$3:$K$452,A387))</f>
        <v/>
      </c>
      <c r="G387" s="18">
        <f>IF(A387="","",INDEX(新年度名簿!$C$3:$C$452,A387))</f>
        <v/>
      </c>
      <c r="H387" s="18">
        <f>IF(A387="","",INDEX(新年度名簿!$D$3:$D$452,A387))</f>
        <v/>
      </c>
    </row>
    <row r="388">
      <c r="A388" s="18">
        <f>IFERROR(MATCH(SMALL(新年度名簿!$J$3:$J$452,386),新年度名簿!$J$3:$J$452,0),"")</f>
        <v/>
      </c>
      <c r="B388" s="18">
        <f>IF(A388="","",INDEX(新年度名簿!$G$3:$G$452,A388))</f>
        <v/>
      </c>
      <c r="C388" s="18">
        <f>IF(A388="","",IFERROR(MATCH(B388,設定!$P$8:$P$27,0),""))</f>
        <v/>
      </c>
      <c r="D388" s="18">
        <f>IF(C388="","",COUNTIF($C$3:C388,C388))</f>
        <v/>
      </c>
      <c r="E388" s="18">
        <f>IF(C388="","",C388*1000+D388)</f>
        <v/>
      </c>
      <c r="F388" s="18">
        <f>IF(A388="","",INDEX(新年度名簿!$K$3:$K$452,A388))</f>
        <v/>
      </c>
      <c r="G388" s="18">
        <f>IF(A388="","",INDEX(新年度名簿!$C$3:$C$452,A388))</f>
        <v/>
      </c>
      <c r="H388" s="18">
        <f>IF(A388="","",INDEX(新年度名簿!$D$3:$D$452,A388))</f>
        <v/>
      </c>
    </row>
    <row r="389">
      <c r="A389" s="18">
        <f>IFERROR(MATCH(SMALL(新年度名簿!$J$3:$J$452,387),新年度名簿!$J$3:$J$452,0),"")</f>
        <v/>
      </c>
      <c r="B389" s="18">
        <f>IF(A389="","",INDEX(新年度名簿!$G$3:$G$452,A389))</f>
        <v/>
      </c>
      <c r="C389" s="18">
        <f>IF(A389="","",IFERROR(MATCH(B389,設定!$P$8:$P$27,0),""))</f>
        <v/>
      </c>
      <c r="D389" s="18">
        <f>IF(C389="","",COUNTIF($C$3:C389,C389))</f>
        <v/>
      </c>
      <c r="E389" s="18">
        <f>IF(C389="","",C389*1000+D389)</f>
        <v/>
      </c>
      <c r="F389" s="18">
        <f>IF(A389="","",INDEX(新年度名簿!$K$3:$K$452,A389))</f>
        <v/>
      </c>
      <c r="G389" s="18">
        <f>IF(A389="","",INDEX(新年度名簿!$C$3:$C$452,A389))</f>
        <v/>
      </c>
      <c r="H389" s="18">
        <f>IF(A389="","",INDEX(新年度名簿!$D$3:$D$452,A389))</f>
        <v/>
      </c>
    </row>
    <row r="390">
      <c r="A390" s="18">
        <f>IFERROR(MATCH(SMALL(新年度名簿!$J$3:$J$452,388),新年度名簿!$J$3:$J$452,0),"")</f>
        <v/>
      </c>
      <c r="B390" s="18">
        <f>IF(A390="","",INDEX(新年度名簿!$G$3:$G$452,A390))</f>
        <v/>
      </c>
      <c r="C390" s="18">
        <f>IF(A390="","",IFERROR(MATCH(B390,設定!$P$8:$P$27,0),""))</f>
        <v/>
      </c>
      <c r="D390" s="18">
        <f>IF(C390="","",COUNTIF($C$3:C390,C390))</f>
        <v/>
      </c>
      <c r="E390" s="18">
        <f>IF(C390="","",C390*1000+D390)</f>
        <v/>
      </c>
      <c r="F390" s="18">
        <f>IF(A390="","",INDEX(新年度名簿!$K$3:$K$452,A390))</f>
        <v/>
      </c>
      <c r="G390" s="18">
        <f>IF(A390="","",INDEX(新年度名簿!$C$3:$C$452,A390))</f>
        <v/>
      </c>
      <c r="H390" s="18">
        <f>IF(A390="","",INDEX(新年度名簿!$D$3:$D$452,A390))</f>
        <v/>
      </c>
    </row>
    <row r="391">
      <c r="A391" s="18">
        <f>IFERROR(MATCH(SMALL(新年度名簿!$J$3:$J$452,389),新年度名簿!$J$3:$J$452,0),"")</f>
        <v/>
      </c>
      <c r="B391" s="18">
        <f>IF(A391="","",INDEX(新年度名簿!$G$3:$G$452,A391))</f>
        <v/>
      </c>
      <c r="C391" s="18">
        <f>IF(A391="","",IFERROR(MATCH(B391,設定!$P$8:$P$27,0),""))</f>
        <v/>
      </c>
      <c r="D391" s="18">
        <f>IF(C391="","",COUNTIF($C$3:C391,C391))</f>
        <v/>
      </c>
      <c r="E391" s="18">
        <f>IF(C391="","",C391*1000+D391)</f>
        <v/>
      </c>
      <c r="F391" s="18">
        <f>IF(A391="","",INDEX(新年度名簿!$K$3:$K$452,A391))</f>
        <v/>
      </c>
      <c r="G391" s="18">
        <f>IF(A391="","",INDEX(新年度名簿!$C$3:$C$452,A391))</f>
        <v/>
      </c>
      <c r="H391" s="18">
        <f>IF(A391="","",INDEX(新年度名簿!$D$3:$D$452,A391))</f>
        <v/>
      </c>
    </row>
    <row r="392">
      <c r="A392" s="18">
        <f>IFERROR(MATCH(SMALL(新年度名簿!$J$3:$J$452,390),新年度名簿!$J$3:$J$452,0),"")</f>
        <v/>
      </c>
      <c r="B392" s="18">
        <f>IF(A392="","",INDEX(新年度名簿!$G$3:$G$452,A392))</f>
        <v/>
      </c>
      <c r="C392" s="18">
        <f>IF(A392="","",IFERROR(MATCH(B392,設定!$P$8:$P$27,0),""))</f>
        <v/>
      </c>
      <c r="D392" s="18">
        <f>IF(C392="","",COUNTIF($C$3:C392,C392))</f>
        <v/>
      </c>
      <c r="E392" s="18">
        <f>IF(C392="","",C392*1000+D392)</f>
        <v/>
      </c>
      <c r="F392" s="18">
        <f>IF(A392="","",INDEX(新年度名簿!$K$3:$K$452,A392))</f>
        <v/>
      </c>
      <c r="G392" s="18">
        <f>IF(A392="","",INDEX(新年度名簿!$C$3:$C$452,A392))</f>
        <v/>
      </c>
      <c r="H392" s="18">
        <f>IF(A392="","",INDEX(新年度名簿!$D$3:$D$452,A392))</f>
        <v/>
      </c>
    </row>
    <row r="393">
      <c r="A393" s="18">
        <f>IFERROR(MATCH(SMALL(新年度名簿!$J$3:$J$452,391),新年度名簿!$J$3:$J$452,0),"")</f>
        <v/>
      </c>
      <c r="B393" s="18">
        <f>IF(A393="","",INDEX(新年度名簿!$G$3:$G$452,A393))</f>
        <v/>
      </c>
      <c r="C393" s="18">
        <f>IF(A393="","",IFERROR(MATCH(B393,設定!$P$8:$P$27,0),""))</f>
        <v/>
      </c>
      <c r="D393" s="18">
        <f>IF(C393="","",COUNTIF($C$3:C393,C393))</f>
        <v/>
      </c>
      <c r="E393" s="18">
        <f>IF(C393="","",C393*1000+D393)</f>
        <v/>
      </c>
      <c r="F393" s="18">
        <f>IF(A393="","",INDEX(新年度名簿!$K$3:$K$452,A393))</f>
        <v/>
      </c>
      <c r="G393" s="18">
        <f>IF(A393="","",INDEX(新年度名簿!$C$3:$C$452,A393))</f>
        <v/>
      </c>
      <c r="H393" s="18">
        <f>IF(A393="","",INDEX(新年度名簿!$D$3:$D$452,A393))</f>
        <v/>
      </c>
    </row>
    <row r="394">
      <c r="A394" s="18">
        <f>IFERROR(MATCH(SMALL(新年度名簿!$J$3:$J$452,392),新年度名簿!$J$3:$J$452,0),"")</f>
        <v/>
      </c>
      <c r="B394" s="18">
        <f>IF(A394="","",INDEX(新年度名簿!$G$3:$G$452,A394))</f>
        <v/>
      </c>
      <c r="C394" s="18">
        <f>IF(A394="","",IFERROR(MATCH(B394,設定!$P$8:$P$27,0),""))</f>
        <v/>
      </c>
      <c r="D394" s="18">
        <f>IF(C394="","",COUNTIF($C$3:C394,C394))</f>
        <v/>
      </c>
      <c r="E394" s="18">
        <f>IF(C394="","",C394*1000+D394)</f>
        <v/>
      </c>
      <c r="F394" s="18">
        <f>IF(A394="","",INDEX(新年度名簿!$K$3:$K$452,A394))</f>
        <v/>
      </c>
      <c r="G394" s="18">
        <f>IF(A394="","",INDEX(新年度名簿!$C$3:$C$452,A394))</f>
        <v/>
      </c>
      <c r="H394" s="18">
        <f>IF(A394="","",INDEX(新年度名簿!$D$3:$D$452,A394))</f>
        <v/>
      </c>
    </row>
    <row r="395">
      <c r="A395" s="18">
        <f>IFERROR(MATCH(SMALL(新年度名簿!$J$3:$J$452,393),新年度名簿!$J$3:$J$452,0),"")</f>
        <v/>
      </c>
      <c r="B395" s="18">
        <f>IF(A395="","",INDEX(新年度名簿!$G$3:$G$452,A395))</f>
        <v/>
      </c>
      <c r="C395" s="18">
        <f>IF(A395="","",IFERROR(MATCH(B395,設定!$P$8:$P$27,0),""))</f>
        <v/>
      </c>
      <c r="D395" s="18">
        <f>IF(C395="","",COUNTIF($C$3:C395,C395))</f>
        <v/>
      </c>
      <c r="E395" s="18">
        <f>IF(C395="","",C395*1000+D395)</f>
        <v/>
      </c>
      <c r="F395" s="18">
        <f>IF(A395="","",INDEX(新年度名簿!$K$3:$K$452,A395))</f>
        <v/>
      </c>
      <c r="G395" s="18">
        <f>IF(A395="","",INDEX(新年度名簿!$C$3:$C$452,A395))</f>
        <v/>
      </c>
      <c r="H395" s="18">
        <f>IF(A395="","",INDEX(新年度名簿!$D$3:$D$452,A395))</f>
        <v/>
      </c>
    </row>
    <row r="396">
      <c r="A396" s="18">
        <f>IFERROR(MATCH(SMALL(新年度名簿!$J$3:$J$452,394),新年度名簿!$J$3:$J$452,0),"")</f>
        <v/>
      </c>
      <c r="B396" s="18">
        <f>IF(A396="","",INDEX(新年度名簿!$G$3:$G$452,A396))</f>
        <v/>
      </c>
      <c r="C396" s="18">
        <f>IF(A396="","",IFERROR(MATCH(B396,設定!$P$8:$P$27,0),""))</f>
        <v/>
      </c>
      <c r="D396" s="18">
        <f>IF(C396="","",COUNTIF($C$3:C396,C396))</f>
        <v/>
      </c>
      <c r="E396" s="18">
        <f>IF(C396="","",C396*1000+D396)</f>
        <v/>
      </c>
      <c r="F396" s="18">
        <f>IF(A396="","",INDEX(新年度名簿!$K$3:$K$452,A396))</f>
        <v/>
      </c>
      <c r="G396" s="18">
        <f>IF(A396="","",INDEX(新年度名簿!$C$3:$C$452,A396))</f>
        <v/>
      </c>
      <c r="H396" s="18">
        <f>IF(A396="","",INDEX(新年度名簿!$D$3:$D$452,A396))</f>
        <v/>
      </c>
    </row>
    <row r="397">
      <c r="A397" s="18">
        <f>IFERROR(MATCH(SMALL(新年度名簿!$J$3:$J$452,395),新年度名簿!$J$3:$J$452,0),"")</f>
        <v/>
      </c>
      <c r="B397" s="18">
        <f>IF(A397="","",INDEX(新年度名簿!$G$3:$G$452,A397))</f>
        <v/>
      </c>
      <c r="C397" s="18">
        <f>IF(A397="","",IFERROR(MATCH(B397,設定!$P$8:$P$27,0),""))</f>
        <v/>
      </c>
      <c r="D397" s="18">
        <f>IF(C397="","",COUNTIF($C$3:C397,C397))</f>
        <v/>
      </c>
      <c r="E397" s="18">
        <f>IF(C397="","",C397*1000+D397)</f>
        <v/>
      </c>
      <c r="F397" s="18">
        <f>IF(A397="","",INDEX(新年度名簿!$K$3:$K$452,A397))</f>
        <v/>
      </c>
      <c r="G397" s="18">
        <f>IF(A397="","",INDEX(新年度名簿!$C$3:$C$452,A397))</f>
        <v/>
      </c>
      <c r="H397" s="18">
        <f>IF(A397="","",INDEX(新年度名簿!$D$3:$D$452,A397))</f>
        <v/>
      </c>
    </row>
    <row r="398">
      <c r="A398" s="18">
        <f>IFERROR(MATCH(SMALL(新年度名簿!$J$3:$J$452,396),新年度名簿!$J$3:$J$452,0),"")</f>
        <v/>
      </c>
      <c r="B398" s="18">
        <f>IF(A398="","",INDEX(新年度名簿!$G$3:$G$452,A398))</f>
        <v/>
      </c>
      <c r="C398" s="18">
        <f>IF(A398="","",IFERROR(MATCH(B398,設定!$P$8:$P$27,0),""))</f>
        <v/>
      </c>
      <c r="D398" s="18">
        <f>IF(C398="","",COUNTIF($C$3:C398,C398))</f>
        <v/>
      </c>
      <c r="E398" s="18">
        <f>IF(C398="","",C398*1000+D398)</f>
        <v/>
      </c>
      <c r="F398" s="18">
        <f>IF(A398="","",INDEX(新年度名簿!$K$3:$K$452,A398))</f>
        <v/>
      </c>
      <c r="G398" s="18">
        <f>IF(A398="","",INDEX(新年度名簿!$C$3:$C$452,A398))</f>
        <v/>
      </c>
      <c r="H398" s="18">
        <f>IF(A398="","",INDEX(新年度名簿!$D$3:$D$452,A398))</f>
        <v/>
      </c>
    </row>
    <row r="399">
      <c r="A399" s="18">
        <f>IFERROR(MATCH(SMALL(新年度名簿!$J$3:$J$452,397),新年度名簿!$J$3:$J$452,0),"")</f>
        <v/>
      </c>
      <c r="B399" s="18">
        <f>IF(A399="","",INDEX(新年度名簿!$G$3:$G$452,A399))</f>
        <v/>
      </c>
      <c r="C399" s="18">
        <f>IF(A399="","",IFERROR(MATCH(B399,設定!$P$8:$P$27,0),""))</f>
        <v/>
      </c>
      <c r="D399" s="18">
        <f>IF(C399="","",COUNTIF($C$3:C399,C399))</f>
        <v/>
      </c>
      <c r="E399" s="18">
        <f>IF(C399="","",C399*1000+D399)</f>
        <v/>
      </c>
      <c r="F399" s="18">
        <f>IF(A399="","",INDEX(新年度名簿!$K$3:$K$452,A399))</f>
        <v/>
      </c>
      <c r="G399" s="18">
        <f>IF(A399="","",INDEX(新年度名簿!$C$3:$C$452,A399))</f>
        <v/>
      </c>
      <c r="H399" s="18">
        <f>IF(A399="","",INDEX(新年度名簿!$D$3:$D$452,A399))</f>
        <v/>
      </c>
    </row>
    <row r="400">
      <c r="A400" s="18">
        <f>IFERROR(MATCH(SMALL(新年度名簿!$J$3:$J$452,398),新年度名簿!$J$3:$J$452,0),"")</f>
        <v/>
      </c>
      <c r="B400" s="18">
        <f>IF(A400="","",INDEX(新年度名簿!$G$3:$G$452,A400))</f>
        <v/>
      </c>
      <c r="C400" s="18">
        <f>IF(A400="","",IFERROR(MATCH(B400,設定!$P$8:$P$27,0),""))</f>
        <v/>
      </c>
      <c r="D400" s="18">
        <f>IF(C400="","",COUNTIF($C$3:C400,C400))</f>
        <v/>
      </c>
      <c r="E400" s="18">
        <f>IF(C400="","",C400*1000+D400)</f>
        <v/>
      </c>
      <c r="F400" s="18">
        <f>IF(A400="","",INDEX(新年度名簿!$K$3:$K$452,A400))</f>
        <v/>
      </c>
      <c r="G400" s="18">
        <f>IF(A400="","",INDEX(新年度名簿!$C$3:$C$452,A400))</f>
        <v/>
      </c>
      <c r="H400" s="18">
        <f>IF(A400="","",INDEX(新年度名簿!$D$3:$D$452,A400))</f>
        <v/>
      </c>
    </row>
    <row r="401">
      <c r="A401" s="18">
        <f>IFERROR(MATCH(SMALL(新年度名簿!$J$3:$J$452,399),新年度名簿!$J$3:$J$452,0),"")</f>
        <v/>
      </c>
      <c r="B401" s="18">
        <f>IF(A401="","",INDEX(新年度名簿!$G$3:$G$452,A401))</f>
        <v/>
      </c>
      <c r="C401" s="18">
        <f>IF(A401="","",IFERROR(MATCH(B401,設定!$P$8:$P$27,0),""))</f>
        <v/>
      </c>
      <c r="D401" s="18">
        <f>IF(C401="","",COUNTIF($C$3:C401,C401))</f>
        <v/>
      </c>
      <c r="E401" s="18">
        <f>IF(C401="","",C401*1000+D401)</f>
        <v/>
      </c>
      <c r="F401" s="18">
        <f>IF(A401="","",INDEX(新年度名簿!$K$3:$K$452,A401))</f>
        <v/>
      </c>
      <c r="G401" s="18">
        <f>IF(A401="","",INDEX(新年度名簿!$C$3:$C$452,A401))</f>
        <v/>
      </c>
      <c r="H401" s="18">
        <f>IF(A401="","",INDEX(新年度名簿!$D$3:$D$452,A401))</f>
        <v/>
      </c>
    </row>
    <row r="402">
      <c r="A402" s="18">
        <f>IFERROR(MATCH(SMALL(新年度名簿!$J$3:$J$452,400),新年度名簿!$J$3:$J$452,0),"")</f>
        <v/>
      </c>
      <c r="B402" s="18">
        <f>IF(A402="","",INDEX(新年度名簿!$G$3:$G$452,A402))</f>
        <v/>
      </c>
      <c r="C402" s="18">
        <f>IF(A402="","",IFERROR(MATCH(B402,設定!$P$8:$P$27,0),""))</f>
        <v/>
      </c>
      <c r="D402" s="18">
        <f>IF(C402="","",COUNTIF($C$3:C402,C402))</f>
        <v/>
      </c>
      <c r="E402" s="18">
        <f>IF(C402="","",C402*1000+D402)</f>
        <v/>
      </c>
      <c r="F402" s="18">
        <f>IF(A402="","",INDEX(新年度名簿!$K$3:$K$452,A402))</f>
        <v/>
      </c>
      <c r="G402" s="18">
        <f>IF(A402="","",INDEX(新年度名簿!$C$3:$C$452,A402))</f>
        <v/>
      </c>
      <c r="H402" s="18">
        <f>IF(A402="","",INDEX(新年度名簿!$D$3:$D$452,A402))</f>
        <v/>
      </c>
    </row>
    <row r="403">
      <c r="A403" s="18">
        <f>IFERROR(MATCH(SMALL(新年度名簿!$J$3:$J$452,401),新年度名簿!$J$3:$J$452,0),"")</f>
        <v/>
      </c>
      <c r="B403" s="18">
        <f>IF(A403="","",INDEX(新年度名簿!$G$3:$G$452,A403))</f>
        <v/>
      </c>
      <c r="C403" s="18">
        <f>IF(A403="","",IFERROR(MATCH(B403,設定!$P$8:$P$27,0),""))</f>
        <v/>
      </c>
      <c r="D403" s="18">
        <f>IF(C403="","",COUNTIF($C$3:C403,C403))</f>
        <v/>
      </c>
      <c r="E403" s="18">
        <f>IF(C403="","",C403*1000+D403)</f>
        <v/>
      </c>
      <c r="F403" s="18">
        <f>IF(A403="","",INDEX(新年度名簿!$K$3:$K$452,A403))</f>
        <v/>
      </c>
      <c r="G403" s="18">
        <f>IF(A403="","",INDEX(新年度名簿!$C$3:$C$452,A403))</f>
        <v/>
      </c>
      <c r="H403" s="18">
        <f>IF(A403="","",INDEX(新年度名簿!$D$3:$D$452,A403))</f>
        <v/>
      </c>
    </row>
    <row r="404">
      <c r="A404" s="18">
        <f>IFERROR(MATCH(SMALL(新年度名簿!$J$3:$J$452,402),新年度名簿!$J$3:$J$452,0),"")</f>
        <v/>
      </c>
      <c r="B404" s="18">
        <f>IF(A404="","",INDEX(新年度名簿!$G$3:$G$452,A404))</f>
        <v/>
      </c>
      <c r="C404" s="18">
        <f>IF(A404="","",IFERROR(MATCH(B404,設定!$P$8:$P$27,0),""))</f>
        <v/>
      </c>
      <c r="D404" s="18">
        <f>IF(C404="","",COUNTIF($C$3:C404,C404))</f>
        <v/>
      </c>
      <c r="E404" s="18">
        <f>IF(C404="","",C404*1000+D404)</f>
        <v/>
      </c>
      <c r="F404" s="18">
        <f>IF(A404="","",INDEX(新年度名簿!$K$3:$K$452,A404))</f>
        <v/>
      </c>
      <c r="G404" s="18">
        <f>IF(A404="","",INDEX(新年度名簿!$C$3:$C$452,A404))</f>
        <v/>
      </c>
      <c r="H404" s="18">
        <f>IF(A404="","",INDEX(新年度名簿!$D$3:$D$452,A404))</f>
        <v/>
      </c>
    </row>
    <row r="405">
      <c r="A405" s="18">
        <f>IFERROR(MATCH(SMALL(新年度名簿!$J$3:$J$452,403),新年度名簿!$J$3:$J$452,0),"")</f>
        <v/>
      </c>
      <c r="B405" s="18">
        <f>IF(A405="","",INDEX(新年度名簿!$G$3:$G$452,A405))</f>
        <v/>
      </c>
      <c r="C405" s="18">
        <f>IF(A405="","",IFERROR(MATCH(B405,設定!$P$8:$P$27,0),""))</f>
        <v/>
      </c>
      <c r="D405" s="18">
        <f>IF(C405="","",COUNTIF($C$3:C405,C405))</f>
        <v/>
      </c>
      <c r="E405" s="18">
        <f>IF(C405="","",C405*1000+D405)</f>
        <v/>
      </c>
      <c r="F405" s="18">
        <f>IF(A405="","",INDEX(新年度名簿!$K$3:$K$452,A405))</f>
        <v/>
      </c>
      <c r="G405" s="18">
        <f>IF(A405="","",INDEX(新年度名簿!$C$3:$C$452,A405))</f>
        <v/>
      </c>
      <c r="H405" s="18">
        <f>IF(A405="","",INDEX(新年度名簿!$D$3:$D$452,A405))</f>
        <v/>
      </c>
    </row>
    <row r="406">
      <c r="A406" s="18">
        <f>IFERROR(MATCH(SMALL(新年度名簿!$J$3:$J$452,404),新年度名簿!$J$3:$J$452,0),"")</f>
        <v/>
      </c>
      <c r="B406" s="18">
        <f>IF(A406="","",INDEX(新年度名簿!$G$3:$G$452,A406))</f>
        <v/>
      </c>
      <c r="C406" s="18">
        <f>IF(A406="","",IFERROR(MATCH(B406,設定!$P$8:$P$27,0),""))</f>
        <v/>
      </c>
      <c r="D406" s="18">
        <f>IF(C406="","",COUNTIF($C$3:C406,C406))</f>
        <v/>
      </c>
      <c r="E406" s="18">
        <f>IF(C406="","",C406*1000+D406)</f>
        <v/>
      </c>
      <c r="F406" s="18">
        <f>IF(A406="","",INDEX(新年度名簿!$K$3:$K$452,A406))</f>
        <v/>
      </c>
      <c r="G406" s="18">
        <f>IF(A406="","",INDEX(新年度名簿!$C$3:$C$452,A406))</f>
        <v/>
      </c>
      <c r="H406" s="18">
        <f>IF(A406="","",INDEX(新年度名簿!$D$3:$D$452,A406))</f>
        <v/>
      </c>
    </row>
    <row r="407">
      <c r="A407" s="18">
        <f>IFERROR(MATCH(SMALL(新年度名簿!$J$3:$J$452,405),新年度名簿!$J$3:$J$452,0),"")</f>
        <v/>
      </c>
      <c r="B407" s="18">
        <f>IF(A407="","",INDEX(新年度名簿!$G$3:$G$452,A407))</f>
        <v/>
      </c>
      <c r="C407" s="18">
        <f>IF(A407="","",IFERROR(MATCH(B407,設定!$P$8:$P$27,0),""))</f>
        <v/>
      </c>
      <c r="D407" s="18">
        <f>IF(C407="","",COUNTIF($C$3:C407,C407))</f>
        <v/>
      </c>
      <c r="E407" s="18">
        <f>IF(C407="","",C407*1000+D407)</f>
        <v/>
      </c>
      <c r="F407" s="18">
        <f>IF(A407="","",INDEX(新年度名簿!$K$3:$K$452,A407))</f>
        <v/>
      </c>
      <c r="G407" s="18">
        <f>IF(A407="","",INDEX(新年度名簿!$C$3:$C$452,A407))</f>
        <v/>
      </c>
      <c r="H407" s="18">
        <f>IF(A407="","",INDEX(新年度名簿!$D$3:$D$452,A407))</f>
        <v/>
      </c>
    </row>
    <row r="408">
      <c r="A408" s="18">
        <f>IFERROR(MATCH(SMALL(新年度名簿!$J$3:$J$452,406),新年度名簿!$J$3:$J$452,0),"")</f>
        <v/>
      </c>
      <c r="B408" s="18">
        <f>IF(A408="","",INDEX(新年度名簿!$G$3:$G$452,A408))</f>
        <v/>
      </c>
      <c r="C408" s="18">
        <f>IF(A408="","",IFERROR(MATCH(B408,設定!$P$8:$P$27,0),""))</f>
        <v/>
      </c>
      <c r="D408" s="18">
        <f>IF(C408="","",COUNTIF($C$3:C408,C408))</f>
        <v/>
      </c>
      <c r="E408" s="18">
        <f>IF(C408="","",C408*1000+D408)</f>
        <v/>
      </c>
      <c r="F408" s="18">
        <f>IF(A408="","",INDEX(新年度名簿!$K$3:$K$452,A408))</f>
        <v/>
      </c>
      <c r="G408" s="18">
        <f>IF(A408="","",INDEX(新年度名簿!$C$3:$C$452,A408))</f>
        <v/>
      </c>
      <c r="H408" s="18">
        <f>IF(A408="","",INDEX(新年度名簿!$D$3:$D$452,A408))</f>
        <v/>
      </c>
    </row>
    <row r="409">
      <c r="A409" s="18">
        <f>IFERROR(MATCH(SMALL(新年度名簿!$J$3:$J$452,407),新年度名簿!$J$3:$J$452,0),"")</f>
        <v/>
      </c>
      <c r="B409" s="18">
        <f>IF(A409="","",INDEX(新年度名簿!$G$3:$G$452,A409))</f>
        <v/>
      </c>
      <c r="C409" s="18">
        <f>IF(A409="","",IFERROR(MATCH(B409,設定!$P$8:$P$27,0),""))</f>
        <v/>
      </c>
      <c r="D409" s="18">
        <f>IF(C409="","",COUNTIF($C$3:C409,C409))</f>
        <v/>
      </c>
      <c r="E409" s="18">
        <f>IF(C409="","",C409*1000+D409)</f>
        <v/>
      </c>
      <c r="F409" s="18">
        <f>IF(A409="","",INDEX(新年度名簿!$K$3:$K$452,A409))</f>
        <v/>
      </c>
      <c r="G409" s="18">
        <f>IF(A409="","",INDEX(新年度名簿!$C$3:$C$452,A409))</f>
        <v/>
      </c>
      <c r="H409" s="18">
        <f>IF(A409="","",INDEX(新年度名簿!$D$3:$D$452,A409))</f>
        <v/>
      </c>
    </row>
    <row r="410">
      <c r="A410" s="18">
        <f>IFERROR(MATCH(SMALL(新年度名簿!$J$3:$J$452,408),新年度名簿!$J$3:$J$452,0),"")</f>
        <v/>
      </c>
      <c r="B410" s="18">
        <f>IF(A410="","",INDEX(新年度名簿!$G$3:$G$452,A410))</f>
        <v/>
      </c>
      <c r="C410" s="18">
        <f>IF(A410="","",IFERROR(MATCH(B410,設定!$P$8:$P$27,0),""))</f>
        <v/>
      </c>
      <c r="D410" s="18">
        <f>IF(C410="","",COUNTIF($C$3:C410,C410))</f>
        <v/>
      </c>
      <c r="E410" s="18">
        <f>IF(C410="","",C410*1000+D410)</f>
        <v/>
      </c>
      <c r="F410" s="18">
        <f>IF(A410="","",INDEX(新年度名簿!$K$3:$K$452,A410))</f>
        <v/>
      </c>
      <c r="G410" s="18">
        <f>IF(A410="","",INDEX(新年度名簿!$C$3:$C$452,A410))</f>
        <v/>
      </c>
      <c r="H410" s="18">
        <f>IF(A410="","",INDEX(新年度名簿!$D$3:$D$452,A410))</f>
        <v/>
      </c>
    </row>
    <row r="411">
      <c r="A411" s="18">
        <f>IFERROR(MATCH(SMALL(新年度名簿!$J$3:$J$452,409),新年度名簿!$J$3:$J$452,0),"")</f>
        <v/>
      </c>
      <c r="B411" s="18">
        <f>IF(A411="","",INDEX(新年度名簿!$G$3:$G$452,A411))</f>
        <v/>
      </c>
      <c r="C411" s="18">
        <f>IF(A411="","",IFERROR(MATCH(B411,設定!$P$8:$P$27,0),""))</f>
        <v/>
      </c>
      <c r="D411" s="18">
        <f>IF(C411="","",COUNTIF($C$3:C411,C411))</f>
        <v/>
      </c>
      <c r="E411" s="18">
        <f>IF(C411="","",C411*1000+D411)</f>
        <v/>
      </c>
      <c r="F411" s="18">
        <f>IF(A411="","",INDEX(新年度名簿!$K$3:$K$452,A411))</f>
        <v/>
      </c>
      <c r="G411" s="18">
        <f>IF(A411="","",INDEX(新年度名簿!$C$3:$C$452,A411))</f>
        <v/>
      </c>
      <c r="H411" s="18">
        <f>IF(A411="","",INDEX(新年度名簿!$D$3:$D$452,A411))</f>
        <v/>
      </c>
    </row>
    <row r="412">
      <c r="A412" s="18">
        <f>IFERROR(MATCH(SMALL(新年度名簿!$J$3:$J$452,410),新年度名簿!$J$3:$J$452,0),"")</f>
        <v/>
      </c>
      <c r="B412" s="18">
        <f>IF(A412="","",INDEX(新年度名簿!$G$3:$G$452,A412))</f>
        <v/>
      </c>
      <c r="C412" s="18">
        <f>IF(A412="","",IFERROR(MATCH(B412,設定!$P$8:$P$27,0),""))</f>
        <v/>
      </c>
      <c r="D412" s="18">
        <f>IF(C412="","",COUNTIF($C$3:C412,C412))</f>
        <v/>
      </c>
      <c r="E412" s="18">
        <f>IF(C412="","",C412*1000+D412)</f>
        <v/>
      </c>
      <c r="F412" s="18">
        <f>IF(A412="","",INDEX(新年度名簿!$K$3:$K$452,A412))</f>
        <v/>
      </c>
      <c r="G412" s="18">
        <f>IF(A412="","",INDEX(新年度名簿!$C$3:$C$452,A412))</f>
        <v/>
      </c>
      <c r="H412" s="18">
        <f>IF(A412="","",INDEX(新年度名簿!$D$3:$D$452,A412))</f>
        <v/>
      </c>
    </row>
    <row r="413">
      <c r="A413" s="18">
        <f>IFERROR(MATCH(SMALL(新年度名簿!$J$3:$J$452,411),新年度名簿!$J$3:$J$452,0),"")</f>
        <v/>
      </c>
      <c r="B413" s="18">
        <f>IF(A413="","",INDEX(新年度名簿!$G$3:$G$452,A413))</f>
        <v/>
      </c>
      <c r="C413" s="18">
        <f>IF(A413="","",IFERROR(MATCH(B413,設定!$P$8:$P$27,0),""))</f>
        <v/>
      </c>
      <c r="D413" s="18">
        <f>IF(C413="","",COUNTIF($C$3:C413,C413))</f>
        <v/>
      </c>
      <c r="E413" s="18">
        <f>IF(C413="","",C413*1000+D413)</f>
        <v/>
      </c>
      <c r="F413" s="18">
        <f>IF(A413="","",INDEX(新年度名簿!$K$3:$K$452,A413))</f>
        <v/>
      </c>
      <c r="G413" s="18">
        <f>IF(A413="","",INDEX(新年度名簿!$C$3:$C$452,A413))</f>
        <v/>
      </c>
      <c r="H413" s="18">
        <f>IF(A413="","",INDEX(新年度名簿!$D$3:$D$452,A413))</f>
        <v/>
      </c>
    </row>
    <row r="414">
      <c r="A414" s="18">
        <f>IFERROR(MATCH(SMALL(新年度名簿!$J$3:$J$452,412),新年度名簿!$J$3:$J$452,0),"")</f>
        <v/>
      </c>
      <c r="B414" s="18">
        <f>IF(A414="","",INDEX(新年度名簿!$G$3:$G$452,A414))</f>
        <v/>
      </c>
      <c r="C414" s="18">
        <f>IF(A414="","",IFERROR(MATCH(B414,設定!$P$8:$P$27,0),""))</f>
        <v/>
      </c>
      <c r="D414" s="18">
        <f>IF(C414="","",COUNTIF($C$3:C414,C414))</f>
        <v/>
      </c>
      <c r="E414" s="18">
        <f>IF(C414="","",C414*1000+D414)</f>
        <v/>
      </c>
      <c r="F414" s="18">
        <f>IF(A414="","",INDEX(新年度名簿!$K$3:$K$452,A414))</f>
        <v/>
      </c>
      <c r="G414" s="18">
        <f>IF(A414="","",INDEX(新年度名簿!$C$3:$C$452,A414))</f>
        <v/>
      </c>
      <c r="H414" s="18">
        <f>IF(A414="","",INDEX(新年度名簿!$D$3:$D$452,A414))</f>
        <v/>
      </c>
    </row>
    <row r="415">
      <c r="A415" s="18">
        <f>IFERROR(MATCH(SMALL(新年度名簿!$J$3:$J$452,413),新年度名簿!$J$3:$J$452,0),"")</f>
        <v/>
      </c>
      <c r="B415" s="18">
        <f>IF(A415="","",INDEX(新年度名簿!$G$3:$G$452,A415))</f>
        <v/>
      </c>
      <c r="C415" s="18">
        <f>IF(A415="","",IFERROR(MATCH(B415,設定!$P$8:$P$27,0),""))</f>
        <v/>
      </c>
      <c r="D415" s="18">
        <f>IF(C415="","",COUNTIF($C$3:C415,C415))</f>
        <v/>
      </c>
      <c r="E415" s="18">
        <f>IF(C415="","",C415*1000+D415)</f>
        <v/>
      </c>
      <c r="F415" s="18">
        <f>IF(A415="","",INDEX(新年度名簿!$K$3:$K$452,A415))</f>
        <v/>
      </c>
      <c r="G415" s="18">
        <f>IF(A415="","",INDEX(新年度名簿!$C$3:$C$452,A415))</f>
        <v/>
      </c>
      <c r="H415" s="18">
        <f>IF(A415="","",INDEX(新年度名簿!$D$3:$D$452,A415))</f>
        <v/>
      </c>
    </row>
    <row r="416">
      <c r="A416" s="18">
        <f>IFERROR(MATCH(SMALL(新年度名簿!$J$3:$J$452,414),新年度名簿!$J$3:$J$452,0),"")</f>
        <v/>
      </c>
      <c r="B416" s="18">
        <f>IF(A416="","",INDEX(新年度名簿!$G$3:$G$452,A416))</f>
        <v/>
      </c>
      <c r="C416" s="18">
        <f>IF(A416="","",IFERROR(MATCH(B416,設定!$P$8:$P$27,0),""))</f>
        <v/>
      </c>
      <c r="D416" s="18">
        <f>IF(C416="","",COUNTIF($C$3:C416,C416))</f>
        <v/>
      </c>
      <c r="E416" s="18">
        <f>IF(C416="","",C416*1000+D416)</f>
        <v/>
      </c>
      <c r="F416" s="18">
        <f>IF(A416="","",INDEX(新年度名簿!$K$3:$K$452,A416))</f>
        <v/>
      </c>
      <c r="G416" s="18">
        <f>IF(A416="","",INDEX(新年度名簿!$C$3:$C$452,A416))</f>
        <v/>
      </c>
      <c r="H416" s="18">
        <f>IF(A416="","",INDEX(新年度名簿!$D$3:$D$452,A416))</f>
        <v/>
      </c>
    </row>
    <row r="417">
      <c r="A417" s="18">
        <f>IFERROR(MATCH(SMALL(新年度名簿!$J$3:$J$452,415),新年度名簿!$J$3:$J$452,0),"")</f>
        <v/>
      </c>
      <c r="B417" s="18">
        <f>IF(A417="","",INDEX(新年度名簿!$G$3:$G$452,A417))</f>
        <v/>
      </c>
      <c r="C417" s="18">
        <f>IF(A417="","",IFERROR(MATCH(B417,設定!$P$8:$P$27,0),""))</f>
        <v/>
      </c>
      <c r="D417" s="18">
        <f>IF(C417="","",COUNTIF($C$3:C417,C417))</f>
        <v/>
      </c>
      <c r="E417" s="18">
        <f>IF(C417="","",C417*1000+D417)</f>
        <v/>
      </c>
      <c r="F417" s="18">
        <f>IF(A417="","",INDEX(新年度名簿!$K$3:$K$452,A417))</f>
        <v/>
      </c>
      <c r="G417" s="18">
        <f>IF(A417="","",INDEX(新年度名簿!$C$3:$C$452,A417))</f>
        <v/>
      </c>
      <c r="H417" s="18">
        <f>IF(A417="","",INDEX(新年度名簿!$D$3:$D$452,A417))</f>
        <v/>
      </c>
    </row>
    <row r="418">
      <c r="A418" s="18">
        <f>IFERROR(MATCH(SMALL(新年度名簿!$J$3:$J$452,416),新年度名簿!$J$3:$J$452,0),"")</f>
        <v/>
      </c>
      <c r="B418" s="18">
        <f>IF(A418="","",INDEX(新年度名簿!$G$3:$G$452,A418))</f>
        <v/>
      </c>
      <c r="C418" s="18">
        <f>IF(A418="","",IFERROR(MATCH(B418,設定!$P$8:$P$27,0),""))</f>
        <v/>
      </c>
      <c r="D418" s="18">
        <f>IF(C418="","",COUNTIF($C$3:C418,C418))</f>
        <v/>
      </c>
      <c r="E418" s="18">
        <f>IF(C418="","",C418*1000+D418)</f>
        <v/>
      </c>
      <c r="F418" s="18">
        <f>IF(A418="","",INDEX(新年度名簿!$K$3:$K$452,A418))</f>
        <v/>
      </c>
      <c r="G418" s="18">
        <f>IF(A418="","",INDEX(新年度名簿!$C$3:$C$452,A418))</f>
        <v/>
      </c>
      <c r="H418" s="18">
        <f>IF(A418="","",INDEX(新年度名簿!$D$3:$D$452,A418))</f>
        <v/>
      </c>
    </row>
    <row r="419">
      <c r="A419" s="18">
        <f>IFERROR(MATCH(SMALL(新年度名簿!$J$3:$J$452,417),新年度名簿!$J$3:$J$452,0),"")</f>
        <v/>
      </c>
      <c r="B419" s="18">
        <f>IF(A419="","",INDEX(新年度名簿!$G$3:$G$452,A419))</f>
        <v/>
      </c>
      <c r="C419" s="18">
        <f>IF(A419="","",IFERROR(MATCH(B419,設定!$P$8:$P$27,0),""))</f>
        <v/>
      </c>
      <c r="D419" s="18">
        <f>IF(C419="","",COUNTIF($C$3:C419,C419))</f>
        <v/>
      </c>
      <c r="E419" s="18">
        <f>IF(C419="","",C419*1000+D419)</f>
        <v/>
      </c>
      <c r="F419" s="18">
        <f>IF(A419="","",INDEX(新年度名簿!$K$3:$K$452,A419))</f>
        <v/>
      </c>
      <c r="G419" s="18">
        <f>IF(A419="","",INDEX(新年度名簿!$C$3:$C$452,A419))</f>
        <v/>
      </c>
      <c r="H419" s="18">
        <f>IF(A419="","",INDEX(新年度名簿!$D$3:$D$452,A419))</f>
        <v/>
      </c>
    </row>
    <row r="420">
      <c r="A420" s="18">
        <f>IFERROR(MATCH(SMALL(新年度名簿!$J$3:$J$452,418),新年度名簿!$J$3:$J$452,0),"")</f>
        <v/>
      </c>
      <c r="B420" s="18">
        <f>IF(A420="","",INDEX(新年度名簿!$G$3:$G$452,A420))</f>
        <v/>
      </c>
      <c r="C420" s="18">
        <f>IF(A420="","",IFERROR(MATCH(B420,設定!$P$8:$P$27,0),""))</f>
        <v/>
      </c>
      <c r="D420" s="18">
        <f>IF(C420="","",COUNTIF($C$3:C420,C420))</f>
        <v/>
      </c>
      <c r="E420" s="18">
        <f>IF(C420="","",C420*1000+D420)</f>
        <v/>
      </c>
      <c r="F420" s="18">
        <f>IF(A420="","",INDEX(新年度名簿!$K$3:$K$452,A420))</f>
        <v/>
      </c>
      <c r="G420" s="18">
        <f>IF(A420="","",INDEX(新年度名簿!$C$3:$C$452,A420))</f>
        <v/>
      </c>
      <c r="H420" s="18">
        <f>IF(A420="","",INDEX(新年度名簿!$D$3:$D$452,A420))</f>
        <v/>
      </c>
    </row>
    <row r="421">
      <c r="A421" s="18">
        <f>IFERROR(MATCH(SMALL(新年度名簿!$J$3:$J$452,419),新年度名簿!$J$3:$J$452,0),"")</f>
        <v/>
      </c>
      <c r="B421" s="18">
        <f>IF(A421="","",INDEX(新年度名簿!$G$3:$G$452,A421))</f>
        <v/>
      </c>
      <c r="C421" s="18">
        <f>IF(A421="","",IFERROR(MATCH(B421,設定!$P$8:$P$27,0),""))</f>
        <v/>
      </c>
      <c r="D421" s="18">
        <f>IF(C421="","",COUNTIF($C$3:C421,C421))</f>
        <v/>
      </c>
      <c r="E421" s="18">
        <f>IF(C421="","",C421*1000+D421)</f>
        <v/>
      </c>
      <c r="F421" s="18">
        <f>IF(A421="","",INDEX(新年度名簿!$K$3:$K$452,A421))</f>
        <v/>
      </c>
      <c r="G421" s="18">
        <f>IF(A421="","",INDEX(新年度名簿!$C$3:$C$452,A421))</f>
        <v/>
      </c>
      <c r="H421" s="18">
        <f>IF(A421="","",INDEX(新年度名簿!$D$3:$D$452,A421))</f>
        <v/>
      </c>
    </row>
    <row r="422">
      <c r="A422" s="18">
        <f>IFERROR(MATCH(SMALL(新年度名簿!$J$3:$J$452,420),新年度名簿!$J$3:$J$452,0),"")</f>
        <v/>
      </c>
      <c r="B422" s="18">
        <f>IF(A422="","",INDEX(新年度名簿!$G$3:$G$452,A422))</f>
        <v/>
      </c>
      <c r="C422" s="18">
        <f>IF(A422="","",IFERROR(MATCH(B422,設定!$P$8:$P$27,0),""))</f>
        <v/>
      </c>
      <c r="D422" s="18">
        <f>IF(C422="","",COUNTIF($C$3:C422,C422))</f>
        <v/>
      </c>
      <c r="E422" s="18">
        <f>IF(C422="","",C422*1000+D422)</f>
        <v/>
      </c>
      <c r="F422" s="18">
        <f>IF(A422="","",INDEX(新年度名簿!$K$3:$K$452,A422))</f>
        <v/>
      </c>
      <c r="G422" s="18">
        <f>IF(A422="","",INDEX(新年度名簿!$C$3:$C$452,A422))</f>
        <v/>
      </c>
      <c r="H422" s="18">
        <f>IF(A422="","",INDEX(新年度名簿!$D$3:$D$452,A422))</f>
        <v/>
      </c>
    </row>
    <row r="423">
      <c r="A423" s="18">
        <f>IFERROR(MATCH(SMALL(新年度名簿!$J$3:$J$452,421),新年度名簿!$J$3:$J$452,0),"")</f>
        <v/>
      </c>
      <c r="B423" s="18">
        <f>IF(A423="","",INDEX(新年度名簿!$G$3:$G$452,A423))</f>
        <v/>
      </c>
      <c r="C423" s="18">
        <f>IF(A423="","",IFERROR(MATCH(B423,設定!$P$8:$P$27,0),""))</f>
        <v/>
      </c>
      <c r="D423" s="18">
        <f>IF(C423="","",COUNTIF($C$3:C423,C423))</f>
        <v/>
      </c>
      <c r="E423" s="18">
        <f>IF(C423="","",C423*1000+D423)</f>
        <v/>
      </c>
      <c r="F423" s="18">
        <f>IF(A423="","",INDEX(新年度名簿!$K$3:$K$452,A423))</f>
        <v/>
      </c>
      <c r="G423" s="18">
        <f>IF(A423="","",INDEX(新年度名簿!$C$3:$C$452,A423))</f>
        <v/>
      </c>
      <c r="H423" s="18">
        <f>IF(A423="","",INDEX(新年度名簿!$D$3:$D$452,A423))</f>
        <v/>
      </c>
    </row>
    <row r="424">
      <c r="A424" s="18">
        <f>IFERROR(MATCH(SMALL(新年度名簿!$J$3:$J$452,422),新年度名簿!$J$3:$J$452,0),"")</f>
        <v/>
      </c>
      <c r="B424" s="18">
        <f>IF(A424="","",INDEX(新年度名簿!$G$3:$G$452,A424))</f>
        <v/>
      </c>
      <c r="C424" s="18">
        <f>IF(A424="","",IFERROR(MATCH(B424,設定!$P$8:$P$27,0),""))</f>
        <v/>
      </c>
      <c r="D424" s="18">
        <f>IF(C424="","",COUNTIF($C$3:C424,C424))</f>
        <v/>
      </c>
      <c r="E424" s="18">
        <f>IF(C424="","",C424*1000+D424)</f>
        <v/>
      </c>
      <c r="F424" s="18">
        <f>IF(A424="","",INDEX(新年度名簿!$K$3:$K$452,A424))</f>
        <v/>
      </c>
      <c r="G424" s="18">
        <f>IF(A424="","",INDEX(新年度名簿!$C$3:$C$452,A424))</f>
        <v/>
      </c>
      <c r="H424" s="18">
        <f>IF(A424="","",INDEX(新年度名簿!$D$3:$D$452,A424))</f>
        <v/>
      </c>
    </row>
    <row r="425">
      <c r="A425" s="18">
        <f>IFERROR(MATCH(SMALL(新年度名簿!$J$3:$J$452,423),新年度名簿!$J$3:$J$452,0),"")</f>
        <v/>
      </c>
      <c r="B425" s="18">
        <f>IF(A425="","",INDEX(新年度名簿!$G$3:$G$452,A425))</f>
        <v/>
      </c>
      <c r="C425" s="18">
        <f>IF(A425="","",IFERROR(MATCH(B425,設定!$P$8:$P$27,0),""))</f>
        <v/>
      </c>
      <c r="D425" s="18">
        <f>IF(C425="","",COUNTIF($C$3:C425,C425))</f>
        <v/>
      </c>
      <c r="E425" s="18">
        <f>IF(C425="","",C425*1000+D425)</f>
        <v/>
      </c>
      <c r="F425" s="18">
        <f>IF(A425="","",INDEX(新年度名簿!$K$3:$K$452,A425))</f>
        <v/>
      </c>
      <c r="G425" s="18">
        <f>IF(A425="","",INDEX(新年度名簿!$C$3:$C$452,A425))</f>
        <v/>
      </c>
      <c r="H425" s="18">
        <f>IF(A425="","",INDEX(新年度名簿!$D$3:$D$452,A425))</f>
        <v/>
      </c>
    </row>
    <row r="426">
      <c r="A426" s="18">
        <f>IFERROR(MATCH(SMALL(新年度名簿!$J$3:$J$452,424),新年度名簿!$J$3:$J$452,0),"")</f>
        <v/>
      </c>
      <c r="B426" s="18">
        <f>IF(A426="","",INDEX(新年度名簿!$G$3:$G$452,A426))</f>
        <v/>
      </c>
      <c r="C426" s="18">
        <f>IF(A426="","",IFERROR(MATCH(B426,設定!$P$8:$P$27,0),""))</f>
        <v/>
      </c>
      <c r="D426" s="18">
        <f>IF(C426="","",COUNTIF($C$3:C426,C426))</f>
        <v/>
      </c>
      <c r="E426" s="18">
        <f>IF(C426="","",C426*1000+D426)</f>
        <v/>
      </c>
      <c r="F426" s="18">
        <f>IF(A426="","",INDEX(新年度名簿!$K$3:$K$452,A426))</f>
        <v/>
      </c>
      <c r="G426" s="18">
        <f>IF(A426="","",INDEX(新年度名簿!$C$3:$C$452,A426))</f>
        <v/>
      </c>
      <c r="H426" s="18">
        <f>IF(A426="","",INDEX(新年度名簿!$D$3:$D$452,A426))</f>
        <v/>
      </c>
    </row>
    <row r="427">
      <c r="A427" s="18">
        <f>IFERROR(MATCH(SMALL(新年度名簿!$J$3:$J$452,425),新年度名簿!$J$3:$J$452,0),"")</f>
        <v/>
      </c>
      <c r="B427" s="18">
        <f>IF(A427="","",INDEX(新年度名簿!$G$3:$G$452,A427))</f>
        <v/>
      </c>
      <c r="C427" s="18">
        <f>IF(A427="","",IFERROR(MATCH(B427,設定!$P$8:$P$27,0),""))</f>
        <v/>
      </c>
      <c r="D427" s="18">
        <f>IF(C427="","",COUNTIF($C$3:C427,C427))</f>
        <v/>
      </c>
      <c r="E427" s="18">
        <f>IF(C427="","",C427*1000+D427)</f>
        <v/>
      </c>
      <c r="F427" s="18">
        <f>IF(A427="","",INDEX(新年度名簿!$K$3:$K$452,A427))</f>
        <v/>
      </c>
      <c r="G427" s="18">
        <f>IF(A427="","",INDEX(新年度名簿!$C$3:$C$452,A427))</f>
        <v/>
      </c>
      <c r="H427" s="18">
        <f>IF(A427="","",INDEX(新年度名簿!$D$3:$D$452,A427))</f>
        <v/>
      </c>
    </row>
    <row r="428">
      <c r="A428" s="18">
        <f>IFERROR(MATCH(SMALL(新年度名簿!$J$3:$J$452,426),新年度名簿!$J$3:$J$452,0),"")</f>
        <v/>
      </c>
      <c r="B428" s="18">
        <f>IF(A428="","",INDEX(新年度名簿!$G$3:$G$452,A428))</f>
        <v/>
      </c>
      <c r="C428" s="18">
        <f>IF(A428="","",IFERROR(MATCH(B428,設定!$P$8:$P$27,0),""))</f>
        <v/>
      </c>
      <c r="D428" s="18">
        <f>IF(C428="","",COUNTIF($C$3:C428,C428))</f>
        <v/>
      </c>
      <c r="E428" s="18">
        <f>IF(C428="","",C428*1000+D428)</f>
        <v/>
      </c>
      <c r="F428" s="18">
        <f>IF(A428="","",INDEX(新年度名簿!$K$3:$K$452,A428))</f>
        <v/>
      </c>
      <c r="G428" s="18">
        <f>IF(A428="","",INDEX(新年度名簿!$C$3:$C$452,A428))</f>
        <v/>
      </c>
      <c r="H428" s="18">
        <f>IF(A428="","",INDEX(新年度名簿!$D$3:$D$452,A428))</f>
        <v/>
      </c>
    </row>
    <row r="429">
      <c r="A429" s="18">
        <f>IFERROR(MATCH(SMALL(新年度名簿!$J$3:$J$452,427),新年度名簿!$J$3:$J$452,0),"")</f>
        <v/>
      </c>
      <c r="B429" s="18">
        <f>IF(A429="","",INDEX(新年度名簿!$G$3:$G$452,A429))</f>
        <v/>
      </c>
      <c r="C429" s="18">
        <f>IF(A429="","",IFERROR(MATCH(B429,設定!$P$8:$P$27,0),""))</f>
        <v/>
      </c>
      <c r="D429" s="18">
        <f>IF(C429="","",COUNTIF($C$3:C429,C429))</f>
        <v/>
      </c>
      <c r="E429" s="18">
        <f>IF(C429="","",C429*1000+D429)</f>
        <v/>
      </c>
      <c r="F429" s="18">
        <f>IF(A429="","",INDEX(新年度名簿!$K$3:$K$452,A429))</f>
        <v/>
      </c>
      <c r="G429" s="18">
        <f>IF(A429="","",INDEX(新年度名簿!$C$3:$C$452,A429))</f>
        <v/>
      </c>
      <c r="H429" s="18">
        <f>IF(A429="","",INDEX(新年度名簿!$D$3:$D$452,A429))</f>
        <v/>
      </c>
    </row>
    <row r="430">
      <c r="A430" s="18">
        <f>IFERROR(MATCH(SMALL(新年度名簿!$J$3:$J$452,428),新年度名簿!$J$3:$J$452,0),"")</f>
        <v/>
      </c>
      <c r="B430" s="18">
        <f>IF(A430="","",INDEX(新年度名簿!$G$3:$G$452,A430))</f>
        <v/>
      </c>
      <c r="C430" s="18">
        <f>IF(A430="","",IFERROR(MATCH(B430,設定!$P$8:$P$27,0),""))</f>
        <v/>
      </c>
      <c r="D430" s="18">
        <f>IF(C430="","",COUNTIF($C$3:C430,C430))</f>
        <v/>
      </c>
      <c r="E430" s="18">
        <f>IF(C430="","",C430*1000+D430)</f>
        <v/>
      </c>
      <c r="F430" s="18">
        <f>IF(A430="","",INDEX(新年度名簿!$K$3:$K$452,A430))</f>
        <v/>
      </c>
      <c r="G430" s="18">
        <f>IF(A430="","",INDEX(新年度名簿!$C$3:$C$452,A430))</f>
        <v/>
      </c>
      <c r="H430" s="18">
        <f>IF(A430="","",INDEX(新年度名簿!$D$3:$D$452,A430))</f>
        <v/>
      </c>
    </row>
    <row r="431">
      <c r="A431" s="18">
        <f>IFERROR(MATCH(SMALL(新年度名簿!$J$3:$J$452,429),新年度名簿!$J$3:$J$452,0),"")</f>
        <v/>
      </c>
      <c r="B431" s="18">
        <f>IF(A431="","",INDEX(新年度名簿!$G$3:$G$452,A431))</f>
        <v/>
      </c>
      <c r="C431" s="18">
        <f>IF(A431="","",IFERROR(MATCH(B431,設定!$P$8:$P$27,0),""))</f>
        <v/>
      </c>
      <c r="D431" s="18">
        <f>IF(C431="","",COUNTIF($C$3:C431,C431))</f>
        <v/>
      </c>
      <c r="E431" s="18">
        <f>IF(C431="","",C431*1000+D431)</f>
        <v/>
      </c>
      <c r="F431" s="18">
        <f>IF(A431="","",INDEX(新年度名簿!$K$3:$K$452,A431))</f>
        <v/>
      </c>
      <c r="G431" s="18">
        <f>IF(A431="","",INDEX(新年度名簿!$C$3:$C$452,A431))</f>
        <v/>
      </c>
      <c r="H431" s="18">
        <f>IF(A431="","",INDEX(新年度名簿!$D$3:$D$452,A431))</f>
        <v/>
      </c>
    </row>
    <row r="432">
      <c r="A432" s="18">
        <f>IFERROR(MATCH(SMALL(新年度名簿!$J$3:$J$452,430),新年度名簿!$J$3:$J$452,0),"")</f>
        <v/>
      </c>
      <c r="B432" s="18">
        <f>IF(A432="","",INDEX(新年度名簿!$G$3:$G$452,A432))</f>
        <v/>
      </c>
      <c r="C432" s="18">
        <f>IF(A432="","",IFERROR(MATCH(B432,設定!$P$8:$P$27,0),""))</f>
        <v/>
      </c>
      <c r="D432" s="18">
        <f>IF(C432="","",COUNTIF($C$3:C432,C432))</f>
        <v/>
      </c>
      <c r="E432" s="18">
        <f>IF(C432="","",C432*1000+D432)</f>
        <v/>
      </c>
      <c r="F432" s="18">
        <f>IF(A432="","",INDEX(新年度名簿!$K$3:$K$452,A432))</f>
        <v/>
      </c>
      <c r="G432" s="18">
        <f>IF(A432="","",INDEX(新年度名簿!$C$3:$C$452,A432))</f>
        <v/>
      </c>
      <c r="H432" s="18">
        <f>IF(A432="","",INDEX(新年度名簿!$D$3:$D$452,A432))</f>
        <v/>
      </c>
    </row>
    <row r="433">
      <c r="A433" s="18">
        <f>IFERROR(MATCH(SMALL(新年度名簿!$J$3:$J$452,431),新年度名簿!$J$3:$J$452,0),"")</f>
        <v/>
      </c>
      <c r="B433" s="18">
        <f>IF(A433="","",INDEX(新年度名簿!$G$3:$G$452,A433))</f>
        <v/>
      </c>
      <c r="C433" s="18">
        <f>IF(A433="","",IFERROR(MATCH(B433,設定!$P$8:$P$27,0),""))</f>
        <v/>
      </c>
      <c r="D433" s="18">
        <f>IF(C433="","",COUNTIF($C$3:C433,C433))</f>
        <v/>
      </c>
      <c r="E433" s="18">
        <f>IF(C433="","",C433*1000+D433)</f>
        <v/>
      </c>
      <c r="F433" s="18">
        <f>IF(A433="","",INDEX(新年度名簿!$K$3:$K$452,A433))</f>
        <v/>
      </c>
      <c r="G433" s="18">
        <f>IF(A433="","",INDEX(新年度名簿!$C$3:$C$452,A433))</f>
        <v/>
      </c>
      <c r="H433" s="18">
        <f>IF(A433="","",INDEX(新年度名簿!$D$3:$D$452,A433))</f>
        <v/>
      </c>
    </row>
    <row r="434">
      <c r="A434" s="18">
        <f>IFERROR(MATCH(SMALL(新年度名簿!$J$3:$J$452,432),新年度名簿!$J$3:$J$452,0),"")</f>
        <v/>
      </c>
      <c r="B434" s="18">
        <f>IF(A434="","",INDEX(新年度名簿!$G$3:$G$452,A434))</f>
        <v/>
      </c>
      <c r="C434" s="18">
        <f>IF(A434="","",IFERROR(MATCH(B434,設定!$P$8:$P$27,0),""))</f>
        <v/>
      </c>
      <c r="D434" s="18">
        <f>IF(C434="","",COUNTIF($C$3:C434,C434))</f>
        <v/>
      </c>
      <c r="E434" s="18">
        <f>IF(C434="","",C434*1000+D434)</f>
        <v/>
      </c>
      <c r="F434" s="18">
        <f>IF(A434="","",INDEX(新年度名簿!$K$3:$K$452,A434))</f>
        <v/>
      </c>
      <c r="G434" s="18">
        <f>IF(A434="","",INDEX(新年度名簿!$C$3:$C$452,A434))</f>
        <v/>
      </c>
      <c r="H434" s="18">
        <f>IF(A434="","",INDEX(新年度名簿!$D$3:$D$452,A434))</f>
        <v/>
      </c>
    </row>
    <row r="435">
      <c r="A435" s="18">
        <f>IFERROR(MATCH(SMALL(新年度名簿!$J$3:$J$452,433),新年度名簿!$J$3:$J$452,0),"")</f>
        <v/>
      </c>
      <c r="B435" s="18">
        <f>IF(A435="","",INDEX(新年度名簿!$G$3:$G$452,A435))</f>
        <v/>
      </c>
      <c r="C435" s="18">
        <f>IF(A435="","",IFERROR(MATCH(B435,設定!$P$8:$P$27,0),""))</f>
        <v/>
      </c>
      <c r="D435" s="18">
        <f>IF(C435="","",COUNTIF($C$3:C435,C435))</f>
        <v/>
      </c>
      <c r="E435" s="18">
        <f>IF(C435="","",C435*1000+D435)</f>
        <v/>
      </c>
      <c r="F435" s="18">
        <f>IF(A435="","",INDEX(新年度名簿!$K$3:$K$452,A435))</f>
        <v/>
      </c>
      <c r="G435" s="18">
        <f>IF(A435="","",INDEX(新年度名簿!$C$3:$C$452,A435))</f>
        <v/>
      </c>
      <c r="H435" s="18">
        <f>IF(A435="","",INDEX(新年度名簿!$D$3:$D$452,A435))</f>
        <v/>
      </c>
    </row>
    <row r="436">
      <c r="A436" s="18">
        <f>IFERROR(MATCH(SMALL(新年度名簿!$J$3:$J$452,434),新年度名簿!$J$3:$J$452,0),"")</f>
        <v/>
      </c>
      <c r="B436" s="18">
        <f>IF(A436="","",INDEX(新年度名簿!$G$3:$G$452,A436))</f>
        <v/>
      </c>
      <c r="C436" s="18">
        <f>IF(A436="","",IFERROR(MATCH(B436,設定!$P$8:$P$27,0),""))</f>
        <v/>
      </c>
      <c r="D436" s="18">
        <f>IF(C436="","",COUNTIF($C$3:C436,C436))</f>
        <v/>
      </c>
      <c r="E436" s="18">
        <f>IF(C436="","",C436*1000+D436)</f>
        <v/>
      </c>
      <c r="F436" s="18">
        <f>IF(A436="","",INDEX(新年度名簿!$K$3:$K$452,A436))</f>
        <v/>
      </c>
      <c r="G436" s="18">
        <f>IF(A436="","",INDEX(新年度名簿!$C$3:$C$452,A436))</f>
        <v/>
      </c>
      <c r="H436" s="18">
        <f>IF(A436="","",INDEX(新年度名簿!$D$3:$D$452,A436))</f>
        <v/>
      </c>
    </row>
    <row r="437">
      <c r="A437" s="18">
        <f>IFERROR(MATCH(SMALL(新年度名簿!$J$3:$J$452,435),新年度名簿!$J$3:$J$452,0),"")</f>
        <v/>
      </c>
      <c r="B437" s="18">
        <f>IF(A437="","",INDEX(新年度名簿!$G$3:$G$452,A437))</f>
        <v/>
      </c>
      <c r="C437" s="18">
        <f>IF(A437="","",IFERROR(MATCH(B437,設定!$P$8:$P$27,0),""))</f>
        <v/>
      </c>
      <c r="D437" s="18">
        <f>IF(C437="","",COUNTIF($C$3:C437,C437))</f>
        <v/>
      </c>
      <c r="E437" s="18">
        <f>IF(C437="","",C437*1000+D437)</f>
        <v/>
      </c>
      <c r="F437" s="18">
        <f>IF(A437="","",INDEX(新年度名簿!$K$3:$K$452,A437))</f>
        <v/>
      </c>
      <c r="G437" s="18">
        <f>IF(A437="","",INDEX(新年度名簿!$C$3:$C$452,A437))</f>
        <v/>
      </c>
      <c r="H437" s="18">
        <f>IF(A437="","",INDEX(新年度名簿!$D$3:$D$452,A437))</f>
        <v/>
      </c>
    </row>
    <row r="438">
      <c r="A438" s="18">
        <f>IFERROR(MATCH(SMALL(新年度名簿!$J$3:$J$452,436),新年度名簿!$J$3:$J$452,0),"")</f>
        <v/>
      </c>
      <c r="B438" s="18">
        <f>IF(A438="","",INDEX(新年度名簿!$G$3:$G$452,A438))</f>
        <v/>
      </c>
      <c r="C438" s="18">
        <f>IF(A438="","",IFERROR(MATCH(B438,設定!$P$8:$P$27,0),""))</f>
        <v/>
      </c>
      <c r="D438" s="18">
        <f>IF(C438="","",COUNTIF($C$3:C438,C438))</f>
        <v/>
      </c>
      <c r="E438" s="18">
        <f>IF(C438="","",C438*1000+D438)</f>
        <v/>
      </c>
      <c r="F438" s="18">
        <f>IF(A438="","",INDEX(新年度名簿!$K$3:$K$452,A438))</f>
        <v/>
      </c>
      <c r="G438" s="18">
        <f>IF(A438="","",INDEX(新年度名簿!$C$3:$C$452,A438))</f>
        <v/>
      </c>
      <c r="H438" s="18">
        <f>IF(A438="","",INDEX(新年度名簿!$D$3:$D$452,A438))</f>
        <v/>
      </c>
    </row>
    <row r="439">
      <c r="A439" s="18">
        <f>IFERROR(MATCH(SMALL(新年度名簿!$J$3:$J$452,437),新年度名簿!$J$3:$J$452,0),"")</f>
        <v/>
      </c>
      <c r="B439" s="18">
        <f>IF(A439="","",INDEX(新年度名簿!$G$3:$G$452,A439))</f>
        <v/>
      </c>
      <c r="C439" s="18">
        <f>IF(A439="","",IFERROR(MATCH(B439,設定!$P$8:$P$27,0),""))</f>
        <v/>
      </c>
      <c r="D439" s="18">
        <f>IF(C439="","",COUNTIF($C$3:C439,C439))</f>
        <v/>
      </c>
      <c r="E439" s="18">
        <f>IF(C439="","",C439*1000+D439)</f>
        <v/>
      </c>
      <c r="F439" s="18">
        <f>IF(A439="","",INDEX(新年度名簿!$K$3:$K$452,A439))</f>
        <v/>
      </c>
      <c r="G439" s="18">
        <f>IF(A439="","",INDEX(新年度名簿!$C$3:$C$452,A439))</f>
        <v/>
      </c>
      <c r="H439" s="18">
        <f>IF(A439="","",INDEX(新年度名簿!$D$3:$D$452,A439))</f>
        <v/>
      </c>
    </row>
    <row r="440">
      <c r="A440" s="18">
        <f>IFERROR(MATCH(SMALL(新年度名簿!$J$3:$J$452,438),新年度名簿!$J$3:$J$452,0),"")</f>
        <v/>
      </c>
      <c r="B440" s="18">
        <f>IF(A440="","",INDEX(新年度名簿!$G$3:$G$452,A440))</f>
        <v/>
      </c>
      <c r="C440" s="18">
        <f>IF(A440="","",IFERROR(MATCH(B440,設定!$P$8:$P$27,0),""))</f>
        <v/>
      </c>
      <c r="D440" s="18">
        <f>IF(C440="","",COUNTIF($C$3:C440,C440))</f>
        <v/>
      </c>
      <c r="E440" s="18">
        <f>IF(C440="","",C440*1000+D440)</f>
        <v/>
      </c>
      <c r="F440" s="18">
        <f>IF(A440="","",INDEX(新年度名簿!$K$3:$K$452,A440))</f>
        <v/>
      </c>
      <c r="G440" s="18">
        <f>IF(A440="","",INDEX(新年度名簿!$C$3:$C$452,A440))</f>
        <v/>
      </c>
      <c r="H440" s="18">
        <f>IF(A440="","",INDEX(新年度名簿!$D$3:$D$452,A440))</f>
        <v/>
      </c>
    </row>
    <row r="441">
      <c r="A441" s="18">
        <f>IFERROR(MATCH(SMALL(新年度名簿!$J$3:$J$452,439),新年度名簿!$J$3:$J$452,0),"")</f>
        <v/>
      </c>
      <c r="B441" s="18">
        <f>IF(A441="","",INDEX(新年度名簿!$G$3:$G$452,A441))</f>
        <v/>
      </c>
      <c r="C441" s="18">
        <f>IF(A441="","",IFERROR(MATCH(B441,設定!$P$8:$P$27,0),""))</f>
        <v/>
      </c>
      <c r="D441" s="18">
        <f>IF(C441="","",COUNTIF($C$3:C441,C441))</f>
        <v/>
      </c>
      <c r="E441" s="18">
        <f>IF(C441="","",C441*1000+D441)</f>
        <v/>
      </c>
      <c r="F441" s="18">
        <f>IF(A441="","",INDEX(新年度名簿!$K$3:$K$452,A441))</f>
        <v/>
      </c>
      <c r="G441" s="18">
        <f>IF(A441="","",INDEX(新年度名簿!$C$3:$C$452,A441))</f>
        <v/>
      </c>
      <c r="H441" s="18">
        <f>IF(A441="","",INDEX(新年度名簿!$D$3:$D$452,A441))</f>
        <v/>
      </c>
    </row>
    <row r="442">
      <c r="A442" s="18">
        <f>IFERROR(MATCH(SMALL(新年度名簿!$J$3:$J$452,440),新年度名簿!$J$3:$J$452,0),"")</f>
        <v/>
      </c>
      <c r="B442" s="18">
        <f>IF(A442="","",INDEX(新年度名簿!$G$3:$G$452,A442))</f>
        <v/>
      </c>
      <c r="C442" s="18">
        <f>IF(A442="","",IFERROR(MATCH(B442,設定!$P$8:$P$27,0),""))</f>
        <v/>
      </c>
      <c r="D442" s="18">
        <f>IF(C442="","",COUNTIF($C$3:C442,C442))</f>
        <v/>
      </c>
      <c r="E442" s="18">
        <f>IF(C442="","",C442*1000+D442)</f>
        <v/>
      </c>
      <c r="F442" s="18">
        <f>IF(A442="","",INDEX(新年度名簿!$K$3:$K$452,A442))</f>
        <v/>
      </c>
      <c r="G442" s="18">
        <f>IF(A442="","",INDEX(新年度名簿!$C$3:$C$452,A442))</f>
        <v/>
      </c>
      <c r="H442" s="18">
        <f>IF(A442="","",INDEX(新年度名簿!$D$3:$D$452,A442))</f>
        <v/>
      </c>
    </row>
    <row r="443">
      <c r="A443" s="18">
        <f>IFERROR(MATCH(SMALL(新年度名簿!$J$3:$J$452,441),新年度名簿!$J$3:$J$452,0),"")</f>
        <v/>
      </c>
      <c r="B443" s="18">
        <f>IF(A443="","",INDEX(新年度名簿!$G$3:$G$452,A443))</f>
        <v/>
      </c>
      <c r="C443" s="18">
        <f>IF(A443="","",IFERROR(MATCH(B443,設定!$P$8:$P$27,0),""))</f>
        <v/>
      </c>
      <c r="D443" s="18">
        <f>IF(C443="","",COUNTIF($C$3:C443,C443))</f>
        <v/>
      </c>
      <c r="E443" s="18">
        <f>IF(C443="","",C443*1000+D443)</f>
        <v/>
      </c>
      <c r="F443" s="18">
        <f>IF(A443="","",INDEX(新年度名簿!$K$3:$K$452,A443))</f>
        <v/>
      </c>
      <c r="G443" s="18">
        <f>IF(A443="","",INDEX(新年度名簿!$C$3:$C$452,A443))</f>
        <v/>
      </c>
      <c r="H443" s="18">
        <f>IF(A443="","",INDEX(新年度名簿!$D$3:$D$452,A443))</f>
        <v/>
      </c>
    </row>
    <row r="444">
      <c r="A444" s="18">
        <f>IFERROR(MATCH(SMALL(新年度名簿!$J$3:$J$452,442),新年度名簿!$J$3:$J$452,0),"")</f>
        <v/>
      </c>
      <c r="B444" s="18">
        <f>IF(A444="","",INDEX(新年度名簿!$G$3:$G$452,A444))</f>
        <v/>
      </c>
      <c r="C444" s="18">
        <f>IF(A444="","",IFERROR(MATCH(B444,設定!$P$8:$P$27,0),""))</f>
        <v/>
      </c>
      <c r="D444" s="18">
        <f>IF(C444="","",COUNTIF($C$3:C444,C444))</f>
        <v/>
      </c>
      <c r="E444" s="18">
        <f>IF(C444="","",C444*1000+D444)</f>
        <v/>
      </c>
      <c r="F444" s="18">
        <f>IF(A444="","",INDEX(新年度名簿!$K$3:$K$452,A444))</f>
        <v/>
      </c>
      <c r="G444" s="18">
        <f>IF(A444="","",INDEX(新年度名簿!$C$3:$C$452,A444))</f>
        <v/>
      </c>
      <c r="H444" s="18">
        <f>IF(A444="","",INDEX(新年度名簿!$D$3:$D$452,A444))</f>
        <v/>
      </c>
    </row>
    <row r="445">
      <c r="A445" s="18">
        <f>IFERROR(MATCH(SMALL(新年度名簿!$J$3:$J$452,443),新年度名簿!$J$3:$J$452,0),"")</f>
        <v/>
      </c>
      <c r="B445" s="18">
        <f>IF(A445="","",INDEX(新年度名簿!$G$3:$G$452,A445))</f>
        <v/>
      </c>
      <c r="C445" s="18">
        <f>IF(A445="","",IFERROR(MATCH(B445,設定!$P$8:$P$27,0),""))</f>
        <v/>
      </c>
      <c r="D445" s="18">
        <f>IF(C445="","",COUNTIF($C$3:C445,C445))</f>
        <v/>
      </c>
      <c r="E445" s="18">
        <f>IF(C445="","",C445*1000+D445)</f>
        <v/>
      </c>
      <c r="F445" s="18">
        <f>IF(A445="","",INDEX(新年度名簿!$K$3:$K$452,A445))</f>
        <v/>
      </c>
      <c r="G445" s="18">
        <f>IF(A445="","",INDEX(新年度名簿!$C$3:$C$452,A445))</f>
        <v/>
      </c>
      <c r="H445" s="18">
        <f>IF(A445="","",INDEX(新年度名簿!$D$3:$D$452,A445))</f>
        <v/>
      </c>
    </row>
    <row r="446">
      <c r="A446" s="18">
        <f>IFERROR(MATCH(SMALL(新年度名簿!$J$3:$J$452,444),新年度名簿!$J$3:$J$452,0),"")</f>
        <v/>
      </c>
      <c r="B446" s="18">
        <f>IF(A446="","",INDEX(新年度名簿!$G$3:$G$452,A446))</f>
        <v/>
      </c>
      <c r="C446" s="18">
        <f>IF(A446="","",IFERROR(MATCH(B446,設定!$P$8:$P$27,0),""))</f>
        <v/>
      </c>
      <c r="D446" s="18">
        <f>IF(C446="","",COUNTIF($C$3:C446,C446))</f>
        <v/>
      </c>
      <c r="E446" s="18">
        <f>IF(C446="","",C446*1000+D446)</f>
        <v/>
      </c>
      <c r="F446" s="18">
        <f>IF(A446="","",INDEX(新年度名簿!$K$3:$K$452,A446))</f>
        <v/>
      </c>
      <c r="G446" s="18">
        <f>IF(A446="","",INDEX(新年度名簿!$C$3:$C$452,A446))</f>
        <v/>
      </c>
      <c r="H446" s="18">
        <f>IF(A446="","",INDEX(新年度名簿!$D$3:$D$452,A446))</f>
        <v/>
      </c>
    </row>
    <row r="447">
      <c r="A447" s="18">
        <f>IFERROR(MATCH(SMALL(新年度名簿!$J$3:$J$452,445),新年度名簿!$J$3:$J$452,0),"")</f>
        <v/>
      </c>
      <c r="B447" s="18">
        <f>IF(A447="","",INDEX(新年度名簿!$G$3:$G$452,A447))</f>
        <v/>
      </c>
      <c r="C447" s="18">
        <f>IF(A447="","",IFERROR(MATCH(B447,設定!$P$8:$P$27,0),""))</f>
        <v/>
      </c>
      <c r="D447" s="18">
        <f>IF(C447="","",COUNTIF($C$3:C447,C447))</f>
        <v/>
      </c>
      <c r="E447" s="18">
        <f>IF(C447="","",C447*1000+D447)</f>
        <v/>
      </c>
      <c r="F447" s="18">
        <f>IF(A447="","",INDEX(新年度名簿!$K$3:$K$452,A447))</f>
        <v/>
      </c>
      <c r="G447" s="18">
        <f>IF(A447="","",INDEX(新年度名簿!$C$3:$C$452,A447))</f>
        <v/>
      </c>
      <c r="H447" s="18">
        <f>IF(A447="","",INDEX(新年度名簿!$D$3:$D$452,A447))</f>
        <v/>
      </c>
    </row>
    <row r="448">
      <c r="A448" s="18">
        <f>IFERROR(MATCH(SMALL(新年度名簿!$J$3:$J$452,446),新年度名簿!$J$3:$J$452,0),"")</f>
        <v/>
      </c>
      <c r="B448" s="18">
        <f>IF(A448="","",INDEX(新年度名簿!$G$3:$G$452,A448))</f>
        <v/>
      </c>
      <c r="C448" s="18">
        <f>IF(A448="","",IFERROR(MATCH(B448,設定!$P$8:$P$27,0),""))</f>
        <v/>
      </c>
      <c r="D448" s="18">
        <f>IF(C448="","",COUNTIF($C$3:C448,C448))</f>
        <v/>
      </c>
      <c r="E448" s="18">
        <f>IF(C448="","",C448*1000+D448)</f>
        <v/>
      </c>
      <c r="F448" s="18">
        <f>IF(A448="","",INDEX(新年度名簿!$K$3:$K$452,A448))</f>
        <v/>
      </c>
      <c r="G448" s="18">
        <f>IF(A448="","",INDEX(新年度名簿!$C$3:$C$452,A448))</f>
        <v/>
      </c>
      <c r="H448" s="18">
        <f>IF(A448="","",INDEX(新年度名簿!$D$3:$D$452,A448))</f>
        <v/>
      </c>
    </row>
    <row r="449">
      <c r="A449" s="18">
        <f>IFERROR(MATCH(SMALL(新年度名簿!$J$3:$J$452,447),新年度名簿!$J$3:$J$452,0),"")</f>
        <v/>
      </c>
      <c r="B449" s="18">
        <f>IF(A449="","",INDEX(新年度名簿!$G$3:$G$452,A449))</f>
        <v/>
      </c>
      <c r="C449" s="18">
        <f>IF(A449="","",IFERROR(MATCH(B449,設定!$P$8:$P$27,0),""))</f>
        <v/>
      </c>
      <c r="D449" s="18">
        <f>IF(C449="","",COUNTIF($C$3:C449,C449))</f>
        <v/>
      </c>
      <c r="E449" s="18">
        <f>IF(C449="","",C449*1000+D449)</f>
        <v/>
      </c>
      <c r="F449" s="18">
        <f>IF(A449="","",INDEX(新年度名簿!$K$3:$K$452,A449))</f>
        <v/>
      </c>
      <c r="G449" s="18">
        <f>IF(A449="","",INDEX(新年度名簿!$C$3:$C$452,A449))</f>
        <v/>
      </c>
      <c r="H449" s="18">
        <f>IF(A449="","",INDEX(新年度名簿!$D$3:$D$452,A449))</f>
        <v/>
      </c>
    </row>
    <row r="450">
      <c r="A450" s="18">
        <f>IFERROR(MATCH(SMALL(新年度名簿!$J$3:$J$452,448),新年度名簿!$J$3:$J$452,0),"")</f>
        <v/>
      </c>
      <c r="B450" s="18">
        <f>IF(A450="","",INDEX(新年度名簿!$G$3:$G$452,A450))</f>
        <v/>
      </c>
      <c r="C450" s="18">
        <f>IF(A450="","",IFERROR(MATCH(B450,設定!$P$8:$P$27,0),""))</f>
        <v/>
      </c>
      <c r="D450" s="18">
        <f>IF(C450="","",COUNTIF($C$3:C450,C450))</f>
        <v/>
      </c>
      <c r="E450" s="18">
        <f>IF(C450="","",C450*1000+D450)</f>
        <v/>
      </c>
      <c r="F450" s="18">
        <f>IF(A450="","",INDEX(新年度名簿!$K$3:$K$452,A450))</f>
        <v/>
      </c>
      <c r="G450" s="18">
        <f>IF(A450="","",INDEX(新年度名簿!$C$3:$C$452,A450))</f>
        <v/>
      </c>
      <c r="H450" s="18">
        <f>IF(A450="","",INDEX(新年度名簿!$D$3:$D$452,A450))</f>
        <v/>
      </c>
    </row>
    <row r="451">
      <c r="A451" s="18">
        <f>IFERROR(MATCH(SMALL(新年度名簿!$J$3:$J$452,449),新年度名簿!$J$3:$J$452,0),"")</f>
        <v/>
      </c>
      <c r="B451" s="18">
        <f>IF(A451="","",INDEX(新年度名簿!$G$3:$G$452,A451))</f>
        <v/>
      </c>
      <c r="C451" s="18">
        <f>IF(A451="","",IFERROR(MATCH(B451,設定!$P$8:$P$27,0),""))</f>
        <v/>
      </c>
      <c r="D451" s="18">
        <f>IF(C451="","",COUNTIF($C$3:C451,C451))</f>
        <v/>
      </c>
      <c r="E451" s="18">
        <f>IF(C451="","",C451*1000+D451)</f>
        <v/>
      </c>
      <c r="F451" s="18">
        <f>IF(A451="","",INDEX(新年度名簿!$K$3:$K$452,A451))</f>
        <v/>
      </c>
      <c r="G451" s="18">
        <f>IF(A451="","",INDEX(新年度名簿!$C$3:$C$452,A451))</f>
        <v/>
      </c>
      <c r="H451" s="18">
        <f>IF(A451="","",INDEX(新年度名簿!$D$3:$D$452,A451))</f>
        <v/>
      </c>
    </row>
    <row r="452">
      <c r="A452" s="18">
        <f>IFERROR(MATCH(SMALL(新年度名簿!$J$3:$J$452,450),新年度名簿!$J$3:$J$452,0),"")</f>
        <v/>
      </c>
      <c r="B452" s="18">
        <f>IF(A452="","",INDEX(新年度名簿!$G$3:$G$452,A452))</f>
        <v/>
      </c>
      <c r="C452" s="18">
        <f>IF(A452="","",IFERROR(MATCH(B452,設定!$P$8:$P$27,0),""))</f>
        <v/>
      </c>
      <c r="D452" s="18">
        <f>IF(C452="","",COUNTIF($C$3:C452,C452))</f>
        <v/>
      </c>
      <c r="E452" s="18">
        <f>IF(C452="","",C452*1000+D452)</f>
        <v/>
      </c>
      <c r="F452" s="18">
        <f>IF(A452="","",INDEX(新年度名簿!$K$3:$K$452,A452))</f>
        <v/>
      </c>
      <c r="G452" s="18">
        <f>IF(A452="","",INDEX(新年度名簿!$C$3:$C$452,A452))</f>
        <v/>
      </c>
      <c r="H452" s="18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2026-10-03T10:50:17Z</dcterms:created>
  <dcterms:modified xsi:type="dcterms:W3CDTF">2026-10-03T10:50:21Z</dcterms:modified>
</cp:coreProperties>
</file>