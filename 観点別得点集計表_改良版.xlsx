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" sheetId="1" state="visible" r:id="rId3"/>
    <sheet name="設定" sheetId="2" state="visible" r:id="rId4"/>
    <sheet name="国語" sheetId="3" state="visible" r:id="rId5"/>
    <sheet name="算数" sheetId="4" state="visible" r:id="rId6"/>
    <sheet name="社会" sheetId="5" state="visible" r:id="rId7"/>
    <sheet name="理科" sheetId="6" state="visible" r:id="rId8"/>
    <sheet name="英語" sheetId="7" state="visible" r:id="rId9"/>
    <sheet name="保健" sheetId="8" state="visible" r:id="rId10"/>
    <sheet name="まとめ" sheetId="9" state="visible" r:id="rId11"/>
    <sheet name="個人票" sheetId="10" state="visible" r:id="rId12"/>
  </sheets>
  <definedNames>
    <definedName function="false" hidden="false" localSheetId="8" name="_xlnm.Print_Area" vbProcedure="false">まとめ!$A$1:$N$41</definedName>
    <definedName function="false" hidden="false" localSheetId="9" name="_xlnm.Print_Area" vbProcedure="false">個人票!$A$1:$I$12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<sst xmlns="http://schemas.openxmlformats.org/spreadsheetml/2006/main" count="193" uniqueCount="54">
  <si>
    <t xml:space="preserve">名簿（ここに入れた名前が全教科のシートに入ります）</t>
  </si>
  <si>
    <t xml:space="preserve">番</t>
  </si>
  <si>
    <t xml:space="preserve">名前</t>
  </si>
  <si>
    <t xml:space="preserve">Ａ・Ｂ・Ｃの区切り（到達率〔％〕）</t>
  </si>
  <si>
    <t xml:space="preserve">全教科共通</t>
  </si>
  <si>
    <t xml:space="preserve">Ａの区切り</t>
  </si>
  <si>
    <t xml:space="preserve">Ｂの区切り</t>
  </si>
  <si>
    <t xml:space="preserve">共通</t>
  </si>
  <si>
    <t xml:space="preserve">到達率が「Ａの区切り」以上でＡ、「Ｂの区切り」以上でＢ、
それより下はＣになります。</t>
  </si>
  <si>
    <t xml:space="preserve">教科</t>
  </si>
  <si>
    <t xml:space="preserve">Ａの区切り
（教科ごと）</t>
  </si>
  <si>
    <t xml:space="preserve">Ｂの区切り
（教科ごと）</t>
  </si>
  <si>
    <t xml:space="preserve">使われる
Ａの区切り</t>
  </si>
  <si>
    <t xml:space="preserve">使われる
Ｂの区切り</t>
  </si>
  <si>
    <t xml:space="preserve">国語</t>
  </si>
  <si>
    <t xml:space="preserve">算数</t>
  </si>
  <si>
    <t xml:space="preserve">社会</t>
  </si>
  <si>
    <t xml:space="preserve">理科</t>
  </si>
  <si>
    <t xml:space="preserve">英語</t>
  </si>
  <si>
    <t xml:space="preserve">保健</t>
  </si>
  <si>
    <t xml:space="preserve">教科ごとの欄が空欄の教科は、「全教科共通」の区切りが使われます。</t>
  </si>
  <si>
    <t xml:space="preserve">黄色の欄だけ入力してください。</t>
  </si>
  <si>
    <t xml:space="preserve">観点別得点集計表（国語）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</si>
  <si>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</si>
  <si>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</si>
  <si>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</si>
  <si>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</si>
  <si>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</si>
  <si>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</si>
  <si>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</si>
  <si>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</si>
  <si>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</si>
  <si>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</si>
  <si>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</si>
  <si>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</si>
  <si>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</si>
  <si>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</si>
  <si>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</si>
  <si>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</si>
  <si>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観点別得点集計表（算数）</t>
  </si>
  <si>
    <t xml:space="preserve">観点別得点集計表（社会）</t>
  </si>
  <si>
    <t xml:space="preserve">観点別得点集計表（理科）</t>
  </si>
  <si>
    <t xml:space="preserve">観点別得点集計表（英語）</t>
  </si>
  <si>
    <t xml:space="preserve">観点別得点集計表（保健）</t>
  </si>
  <si>
    <t xml:space="preserve">観点別学習状況評価　全教科まとめ</t>
  </si>
  <si>
    <t xml:space="preserve">知識・
技能</t>
  </si>
  <si>
    <t xml:space="preserve">思考・
判断・
表現</t>
  </si>
  <si>
    <t xml:space="preserve">個人成績表</t>
  </si>
  <si>
    <t xml:space="preserve">出席番号</t>
  </si>
  <si>
    <t xml:space="preserve">← 番号を入れてください</t>
  </si>
  <si>
    <t xml:space="preserve">得点</t>
  </si>
  <si>
    <t xml:space="preserve">満点</t>
  </si>
  <si>
    <t xml:space="preserve">到達率
（％）</t>
  </si>
  <si>
    <t xml:space="preserve">評価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</si>
</sst>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sz val="11"/>
      <name val="WenQuanYi Zen Hei"/>
      <family val="2"/>
    </font>
    <font>
      <sz val="11"/>
      <color theme="1"/>
      <name val="HGSｺﾞｼｯｸM"/>
      <family val="3"/>
      <charset val="128"/>
    </font>
    <font>
      <b val="true"/>
      <sz val="11"/>
      <name val="HGSｺﾞｼｯｸM"/>
      <family val="3"/>
      <charset val="128"/>
    </font>
    <font>
      <b val="true"/>
      <sz val="11"/>
      <name val="Noto Sans CJK SC"/>
      <family val="2"/>
      <charset val="1"/>
    </font>
    <font>
      <sz val="11"/>
      <name val="HGSｺﾞｼｯｸM"/>
      <family val="3"/>
      <charset val="128"/>
    </font>
    <font>
      <b val="true"/>
      <sz val="14"/>
      <name val="WenQuanYi Zen Hei"/>
      <family val="2"/>
    </font>
    <font>
      <b val="true"/>
      <sz val="16"/>
      <name val="WenQuanYi Zen Hei"/>
      <family val="2"/>
    </font>
    <font>
      <sz val="9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FEE6E7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DCE6F1"/>
        <bgColor rgb="FFDBEEF4"/>
      </patternFill>
    </fill>
    <fill>
      <patternFill patternType="solid">
        <fgColor theme="9" tint="0.7999"/>
        <bgColor rgb="FFFEE6E7"/>
      </patternFill>
    </fill>
    <fill>
      <patternFill patternType="solid">
        <fgColor theme="6" tint="0.7998"/>
        <bgColor rgb="FFFDEADA"/>
      </patternFill>
    </fill>
    <fill>
      <patternFill patternType="solid">
        <fgColor theme="7" tint="0.7998"/>
        <bgColor rgb="FFDCE6F1"/>
      </patternFill>
    </fill>
    <fill>
      <patternFill patternType="solid">
        <fgColor theme="8" tint="0.7998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5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6E0EC"/>
      <rgbColor rgb="FFFDEADA"/>
      <rgbColor rgb="FF99CCFF"/>
      <rgbColor rgb="FFFF99CC"/>
      <rgbColor rgb="FFCC99FF"/>
      <rgbColor rgb="FFFEE6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n">
        <v>1</v>
      </c>
      <c r="B3" s="4"/>
    </row>
    <row r="4" customFormat="false" ht="15" hidden="false" customHeight="false" outlineLevel="0" collapsed="false">
      <c r="A4" s="3" t="n">
        <v>2</v>
      </c>
      <c r="B4" s="4"/>
    </row>
    <row r="5" customFormat="false" ht="15" hidden="false" customHeight="false" outlineLevel="0" collapsed="false">
      <c r="A5" s="3" t="n">
        <v>3</v>
      </c>
      <c r="B5" s="4"/>
    </row>
    <row r="6" customFormat="false" ht="15" hidden="false" customHeight="false" outlineLevel="0" collapsed="false">
      <c r="A6" s="3" t="n">
        <v>4</v>
      </c>
      <c r="B6" s="4"/>
    </row>
    <row r="7" customFormat="false" ht="15" hidden="false" customHeight="false" outlineLevel="0" collapsed="false">
      <c r="A7" s="3" t="n">
        <v>5</v>
      </c>
      <c r="B7" s="4"/>
    </row>
    <row r="8" customFormat="false" ht="15" hidden="false" customHeight="false" outlineLevel="0" collapsed="false">
      <c r="A8" s="3" t="n">
        <v>6</v>
      </c>
      <c r="B8" s="4"/>
    </row>
    <row r="9" customFormat="false" ht="15" hidden="false" customHeight="false" outlineLevel="0" collapsed="false">
      <c r="A9" s="3" t="n">
        <v>7</v>
      </c>
      <c r="B9" s="4"/>
    </row>
    <row r="10" customFormat="false" ht="15" hidden="false" customHeight="false" outlineLevel="0" collapsed="false">
      <c r="A10" s="3" t="n">
        <v>8</v>
      </c>
      <c r="B10" s="4"/>
    </row>
    <row r="11" customFormat="false" ht="15" hidden="false" customHeight="false" outlineLevel="0" collapsed="false">
      <c r="A11" s="3" t="n">
        <v>9</v>
      </c>
      <c r="B11" s="4"/>
    </row>
    <row r="12" customFormat="false" ht="15" hidden="false" customHeight="false" outlineLevel="0" collapsed="false">
      <c r="A12" s="3" t="n">
        <v>10</v>
      </c>
      <c r="B12" s="4"/>
    </row>
    <row r="13" customFormat="false" ht="15" hidden="false" customHeight="false" outlineLevel="0" collapsed="false">
      <c r="A13" s="3" t="n">
        <v>11</v>
      </c>
      <c r="B13" s="4"/>
    </row>
    <row r="14" customFormat="false" ht="15" hidden="false" customHeight="false" outlineLevel="0" collapsed="false">
      <c r="A14" s="3" t="n">
        <v>12</v>
      </c>
      <c r="B14" s="4"/>
    </row>
    <row r="15" customFormat="false" ht="15" hidden="false" customHeight="false" outlineLevel="0" collapsed="false">
      <c r="A15" s="3" t="n">
        <v>13</v>
      </c>
      <c r="B15" s="4"/>
    </row>
    <row r="16" customFormat="false" ht="15" hidden="false" customHeight="false" outlineLevel="0" collapsed="false">
      <c r="A16" s="3" t="n">
        <v>14</v>
      </c>
      <c r="B16" s="4"/>
    </row>
    <row r="17" customFormat="false" ht="15" hidden="false" customHeight="false" outlineLevel="0" collapsed="false">
      <c r="A17" s="3" t="n">
        <v>15</v>
      </c>
      <c r="B17" s="4"/>
    </row>
    <row r="18" customFormat="false" ht="15" hidden="false" customHeight="false" outlineLevel="0" collapsed="false">
      <c r="A18" s="3" t="n">
        <v>16</v>
      </c>
      <c r="B18" s="4"/>
    </row>
    <row r="19" customFormat="false" ht="15" hidden="false" customHeight="false" outlineLevel="0" collapsed="false">
      <c r="A19" s="3" t="n">
        <v>17</v>
      </c>
      <c r="B19" s="4"/>
    </row>
    <row r="20" customFormat="false" ht="15" hidden="false" customHeight="false" outlineLevel="0" collapsed="false">
      <c r="A20" s="3" t="n">
        <v>18</v>
      </c>
      <c r="B20" s="4"/>
    </row>
    <row r="21" customFormat="false" ht="15" hidden="false" customHeight="false" outlineLevel="0" collapsed="false">
      <c r="A21" s="3" t="n">
        <v>19</v>
      </c>
      <c r="B21" s="4"/>
    </row>
    <row r="22" customFormat="false" ht="15" hidden="false" customHeight="false" outlineLevel="0" collapsed="false">
      <c r="A22" s="3" t="n">
        <v>20</v>
      </c>
      <c r="B22" s="4"/>
    </row>
    <row r="23" customFormat="false" ht="15" hidden="false" customHeight="false" outlineLevel="0" collapsed="false">
      <c r="A23" s="3" t="n">
        <v>21</v>
      </c>
      <c r="B23" s="4"/>
    </row>
    <row r="24" customFormat="false" ht="15" hidden="false" customHeight="false" outlineLevel="0" collapsed="false">
      <c r="A24" s="3" t="n">
        <v>22</v>
      </c>
      <c r="B24" s="4"/>
    </row>
    <row r="25" customFormat="false" ht="15" hidden="false" customHeight="false" outlineLevel="0" collapsed="false">
      <c r="A25" s="3" t="n">
        <v>23</v>
      </c>
      <c r="B25" s="4"/>
    </row>
    <row r="26" customFormat="false" ht="15" hidden="false" customHeight="false" outlineLevel="0" collapsed="false">
      <c r="A26" s="3" t="n">
        <v>24</v>
      </c>
      <c r="B26" s="4"/>
    </row>
    <row r="27" customFormat="false" ht="15" hidden="false" customHeight="false" outlineLevel="0" collapsed="false">
      <c r="A27" s="3" t="n">
        <v>25</v>
      </c>
      <c r="B27" s="4"/>
    </row>
    <row r="28" customFormat="false" ht="15" hidden="false" customHeight="false" outlineLevel="0" collapsed="false">
      <c r="A28" s="3" t="n">
        <v>26</v>
      </c>
      <c r="B28" s="4"/>
    </row>
    <row r="29" customFormat="false" ht="15" hidden="false" customHeight="false" outlineLevel="0" collapsed="false">
      <c r="A29" s="3" t="n">
        <v>27</v>
      </c>
      <c r="B29" s="4"/>
    </row>
    <row r="30" customFormat="false" ht="15" hidden="false" customHeight="false" outlineLevel="0" collapsed="false">
      <c r="A30" s="3" t="n">
        <v>28</v>
      </c>
      <c r="B30" s="4"/>
    </row>
    <row r="31" customFormat="false" ht="15" hidden="false" customHeight="false" outlineLevel="0" collapsed="false">
      <c r="A31" s="3" t="n">
        <v>29</v>
      </c>
      <c r="B31" s="4"/>
    </row>
    <row r="32" customFormat="false" ht="15" hidden="false" customHeight="false" outlineLevel="0" collapsed="false">
      <c r="A32" s="3" t="n">
        <v>30</v>
      </c>
      <c r="B32" s="4"/>
    </row>
    <row r="33" customFormat="false" ht="15" hidden="false" customHeight="false" outlineLevel="0" collapsed="false">
      <c r="A33" s="3" t="n">
        <v>31</v>
      </c>
      <c r="B33" s="4"/>
    </row>
    <row r="34" customFormat="false" ht="15" hidden="false" customHeight="false" outlineLevel="0" collapsed="false">
      <c r="A34" s="3" t="n">
        <v>32</v>
      </c>
      <c r="B34" s="4"/>
    </row>
    <row r="35" customFormat="false" ht="15" hidden="false" customHeight="false" outlineLevel="0" collapsed="false">
      <c r="A35" s="3" t="n">
        <v>33</v>
      </c>
      <c r="B35" s="4"/>
    </row>
    <row r="36" customFormat="false" ht="15" hidden="false" customHeight="false" outlineLevel="0" collapsed="false">
      <c r="A36" s="3" t="n">
        <v>34</v>
      </c>
      <c r="B36" s="4"/>
    </row>
    <row r="37" customFormat="false" ht="15" hidden="false" customHeight="false" outlineLevel="0" collapsed="false">
      <c r="A37" s="3" t="n">
        <v>35</v>
      </c>
      <c r="B3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5" t="s">
        <v>3</v>
      </c>
      <c r="B1" s="5"/>
      <c r="C1" s="5"/>
      <c r="D1" s="5"/>
      <c r="E1" s="5"/>
    </row>
    <row r="3" customFormat="false" ht="15" hidden="false" customHeight="false" outlineLevel="0" collapsed="false">
      <c r="A3" s="2" t="s">
        <v>4</v>
      </c>
      <c r="B3" s="2" t="s">
        <v>5</v>
      </c>
      <c r="C3" s="2" t="s">
        <v>6</v>
      </c>
    </row>
    <row r="4" customFormat="false" ht="15" hidden="false" customHeight="false" outlineLevel="0" collapsed="false">
      <c r="A4" s="6" t="s">
        <v>7</v>
      </c>
      <c r="B4" s="7" t="n">
        <v>90</v>
      </c>
      <c r="C4" s="7" t="n">
        <v>60</v>
      </c>
    </row>
    <row r="5" customFormat="false" ht="31.5" hidden="false" customHeight="true" outlineLevel="0" collapsed="false">
      <c r="A5" s="8" t="s">
        <v>8</v>
      </c>
      <c r="B5" s="8"/>
      <c r="C5" s="8"/>
      <c r="D5" s="8"/>
      <c r="E5" s="8"/>
    </row>
    <row r="7" customFormat="false" ht="36" hidden="false" customHeight="true" outlineLevel="0" collapsed="false">
      <c r="A7" s="2" t="s">
        <v>9</v>
      </c>
      <c r="B7" s="2" t="s">
        <v>10</v>
      </c>
      <c r="C7" s="2" t="s">
        <v>11</v>
      </c>
      <c r="D7" s="2" t="s">
        <v>12</v>
      </c>
      <c r="E7" s="2" t="s">
        <v>13</v>
      </c>
    </row>
    <row r="8" customFormat="false" ht="15" hidden="false" customHeight="false" outlineLevel="0" collapsed="false">
      <c r="A8" s="6" t="s">
        <v>14</v>
      </c>
      <c r="B8" s="7"/>
      <c r="C8" s="7"/>
      <c r="D8" s="3" t="n">
        <f aca="false">IF(B8="",$B$4,B8)</f>
        <v>90</v>
      </c>
      <c r="E8" s="3" t="n">
        <f aca="false">IF(C8="",$C$4,C8)</f>
        <v>60</v>
      </c>
    </row>
    <row r="9" customFormat="false" ht="15" hidden="false" customHeight="false" outlineLevel="0" collapsed="false">
      <c r="A9" s="6" t="s">
        <v>15</v>
      </c>
      <c r="B9" s="7"/>
      <c r="C9" s="7"/>
      <c r="D9" s="3" t="n">
        <f aca="false">IF(B9="",$B$4,B9)</f>
        <v>90</v>
      </c>
      <c r="E9" s="3" t="n">
        <f aca="false">IF(C9="",$C$4,C9)</f>
        <v>60</v>
      </c>
    </row>
    <row r="10" customFormat="false" ht="15" hidden="false" customHeight="false" outlineLevel="0" collapsed="false">
      <c r="A10" s="6" t="s">
        <v>16</v>
      </c>
      <c r="B10" s="7"/>
      <c r="C10" s="7"/>
      <c r="D10" s="3" t="n">
        <f aca="false">IF(B10="",$B$4,B10)</f>
        <v>90</v>
      </c>
      <c r="E10" s="3" t="n">
        <f aca="false">IF(C10="",$C$4,C10)</f>
        <v>60</v>
      </c>
    </row>
    <row r="11" customFormat="false" ht="15" hidden="false" customHeight="false" outlineLevel="0" collapsed="false">
      <c r="A11" s="6" t="s">
        <v>17</v>
      </c>
      <c r="B11" s="7"/>
      <c r="C11" s="7"/>
      <c r="D11" s="3" t="n">
        <f aca="false">IF(B11="",$B$4,B11)</f>
        <v>90</v>
      </c>
      <c r="E11" s="3" t="n">
        <f aca="false">IF(C11="",$C$4,C11)</f>
        <v>60</v>
      </c>
    </row>
    <row r="12" customFormat="false" ht="15" hidden="false" customHeight="false" outlineLevel="0" collapsed="false">
      <c r="A12" s="6" t="s">
        <v>18</v>
      </c>
      <c r="B12" s="7"/>
      <c r="C12" s="7"/>
      <c r="D12" s="3" t="n">
        <f aca="false">IF(B12="",$B$4,B12)</f>
        <v>90</v>
      </c>
      <c r="E12" s="3" t="n">
        <f aca="false">IF(C12="",$C$4,C12)</f>
        <v>60</v>
      </c>
    </row>
    <row r="13" customFormat="false" ht="15" hidden="false" customHeight="false" outlineLevel="0" collapsed="false">
      <c r="A13" s="6" t="s">
        <v>19</v>
      </c>
      <c r="B13" s="7"/>
      <c r="C13" s="7"/>
      <c r="D13" s="3" t="n">
        <f aca="false">IF(B13="",$B$4,B13)</f>
        <v>90</v>
      </c>
      <c r="E13" s="3" t="n">
        <f aca="false">IF(C13="",$C$4,C13)</f>
        <v>60</v>
      </c>
    </row>
    <row r="14" customFormat="false" ht="15" hidden="false" customHeight="false" outlineLevel="0" collapsed="false">
      <c r="A14" s="9" t="s">
        <v>20</v>
      </c>
      <c r="B14" s="9"/>
      <c r="C14" s="9"/>
      <c r="D14" s="9"/>
      <c r="E14" s="9"/>
    </row>
    <row r="15" customFormat="false" ht="15" hidden="false" customHeight="false" outlineLevel="0" collapsed="false">
      <c r="A15" s="9" t="s">
        <v>21</v>
      </c>
      <c r="B15" s="9"/>
      <c r="C15" s="9"/>
      <c r="D15" s="9"/>
      <c r="E15" s="9"/>
    </row>
  </sheetData>
  <mergeCells count="4">
    <mergeCell ref="A1:E1"/>
    <mergeCell ref="A5:E5"/>
    <mergeCell ref="A14:E14"/>
    <mergeCell ref="A15:E15"/>
  </mergeCells>
  <dataValidations count="1">
    <dataValidation allowBlank="true" error="0から100までの数を入力してください。" errorStyle="stop" errorTitle="入力エラー" operator="between" showDropDown="false" showErrorMessage="true" showInputMessage="false" sqref="B4:C4 B8:C13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10" width="5"/>
    <col collapsed="false" customWidth="true" hidden="false" outlineLevel="0" max="2" min="2" style="10" width="17.57"/>
    <col collapsed="false" customWidth="true" hidden="false" outlineLevel="0" max="32" min="3" style="10" width="6.14"/>
    <col collapsed="false" customWidth="false" hidden="false" outlineLevel="0" max="16384" min="33" style="10" width="8.71"/>
  </cols>
  <sheetData>
    <row r="1" customFormat="false" ht="21.75" hidden="false" customHeight="true" outlineLevel="0" collapsed="false">
      <c r="A1" s="5" t="s">
        <v>22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="11" customFormat="true" ht="19.5" hidden="false" customHeight="true" outlineLevel="0" collapsed="false">
      <c r="A2" s="2" t="s">
        <v>23</v>
      </c>
      <c r="B2" s="2"/>
      <c r="C2" s="2" t="s">
        <v>24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25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26</v>
      </c>
      <c r="AE2" s="2"/>
      <c r="AF2" s="2"/>
    </row>
    <row r="3" s="11" customFormat="true" ht="178.5" hidden="false" customHeight="true" outlineLevel="0" collapsed="false">
      <c r="A3" s="2" t="s">
        <v>27</v>
      </c>
      <c r="B3" s="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 t="s">
        <v>28</v>
      </c>
      <c r="O3" s="13" t="s">
        <v>29</v>
      </c>
      <c r="P3" s="13" t="s">
        <v>30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3" t="s">
        <v>28</v>
      </c>
      <c r="AB3" s="13" t="s">
        <v>29</v>
      </c>
      <c r="AC3" s="13" t="s">
        <v>30</v>
      </c>
      <c r="AD3" s="13" t="s">
        <v>31</v>
      </c>
      <c r="AE3" s="13" t="s">
        <v>32</v>
      </c>
      <c r="AF3" s="13" t="s">
        <v>33</v>
      </c>
    </row>
    <row r="4" s="11" customFormat="true" ht="21.75" hidden="false" customHeight="true" outlineLevel="0" collapsed="false">
      <c r="A4" s="2" t="s">
        <v>1</v>
      </c>
      <c r="B4" s="2" t="s">
        <v>34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2" t="n">
        <f aca="false">SUM(C4:M4)</f>
        <v>0</v>
      </c>
      <c r="O4" s="2"/>
      <c r="P4" s="2"/>
      <c r="Q4" s="15"/>
      <c r="R4" s="15"/>
      <c r="S4" s="15"/>
      <c r="T4" s="15"/>
      <c r="U4" s="15"/>
      <c r="V4" s="15"/>
      <c r="W4" s="15"/>
      <c r="X4" s="15"/>
      <c r="Y4" s="15"/>
      <c r="Z4" s="15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IF(O5="","",IF(O5&gt;=設定!$D$8,"A",IF(O5&gt;=設定!$E$8,"B","C")))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IF(AB5="","",IF(AB5&gt;=設定!$D$8,"A",IF(AB5&gt;=設定!$E$8,"B","C")))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IF(AE5="","",IF(AE5&gt;=設定!$D$8,"A",IF(AE5&gt;=設定!$E$8,"B","C")))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IF(O6="","",IF(O6&gt;=設定!$D$8,"A",IF(O6&gt;=設定!$E$8,"B","C")))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IF(AB6="","",IF(AB6&gt;=設定!$D$8,"A",IF(AB6&gt;=設定!$E$8,"B","C")))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IF(AE6="","",IF(AE6&gt;=設定!$D$8,"A",IF(AE6&gt;=設定!$E$8,"B","C")))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IF(O7="","",IF(O7&gt;=設定!$D$8,"A",IF(O7&gt;=設定!$E$8,"B","C")))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IF(AB7="","",IF(AB7&gt;=設定!$D$8,"A",IF(AB7&gt;=設定!$E$8,"B","C")))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IF(AE7="","",IF(AE7&gt;=設定!$D$8,"A",IF(AE7&gt;=設定!$E$8,"B","C")))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IF(O8="","",IF(O8&gt;=設定!$D$8,"A",IF(O8&gt;=設定!$E$8,"B","C")))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IF(AB8="","",IF(AB8&gt;=設定!$D$8,"A",IF(AB8&gt;=設定!$E$8,"B","C")))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IF(AE8="","",IF(AE8&gt;=設定!$D$8,"A",IF(AE8&gt;=設定!$E$8,"B","C")))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IF(O9="","",IF(O9&gt;=設定!$D$8,"A",IF(O9&gt;=設定!$E$8,"B","C")))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IF(AB9="","",IF(AB9&gt;=設定!$D$8,"A",IF(AB9&gt;=設定!$E$8,"B","C")))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IF(AE9="","",IF(AE9&gt;=設定!$D$8,"A",IF(AE9&gt;=設定!$E$8,"B","C")))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IF(O10="","",IF(O10&gt;=設定!$D$8,"A",IF(O10&gt;=設定!$E$8,"B","C")))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IF(AB10="","",IF(AB10&gt;=設定!$D$8,"A",IF(AB10&gt;=設定!$E$8,"B","C")))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IF(AE10="","",IF(AE10&gt;=設定!$D$8,"A",IF(AE10&gt;=設定!$E$8,"B","C")))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IF(O11="","",IF(O11&gt;=設定!$D$8,"A",IF(O11&gt;=設定!$E$8,"B","C")))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IF(AB11="","",IF(AB11&gt;=設定!$D$8,"A",IF(AB11&gt;=設定!$E$8,"B","C")))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IF(AE11="","",IF(AE11&gt;=設定!$D$8,"A",IF(AE11&gt;=設定!$E$8,"B","C")))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IF(O12="","",IF(O12&gt;=設定!$D$8,"A",IF(O12&gt;=設定!$E$8,"B","C")))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IF(AB12="","",IF(AB12&gt;=設定!$D$8,"A",IF(AB12&gt;=設定!$E$8,"B","C")))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IF(AE12="","",IF(AE12&gt;=設定!$D$8,"A",IF(AE12&gt;=設定!$E$8,"B","C")))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IF(O13="","",IF(O13&gt;=設定!$D$8,"A",IF(O13&gt;=設定!$E$8,"B","C")))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IF(AB13="","",IF(AB13&gt;=設定!$D$8,"A",IF(AB13&gt;=設定!$E$8,"B","C")))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IF(AE13="","",IF(AE13&gt;=設定!$D$8,"A",IF(AE13&gt;=設定!$E$8,"B","C")))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IF(O14="","",IF(O14&gt;=設定!$D$8,"A",IF(O14&gt;=設定!$E$8,"B","C")))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IF(AB14="","",IF(AB14&gt;=設定!$D$8,"A",IF(AB14&gt;=設定!$E$8,"B","C")))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IF(AE14="","",IF(AE14&gt;=設定!$D$8,"A",IF(AE14&gt;=設定!$E$8,"B","C")))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IF(O15="","",IF(O15&gt;=設定!$D$8,"A",IF(O15&gt;=設定!$E$8,"B","C")))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IF(AB15="","",IF(AB15&gt;=設定!$D$8,"A",IF(AB15&gt;=設定!$E$8,"B","C")))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IF(AE15="","",IF(AE15&gt;=設定!$D$8,"A",IF(AE15&gt;=設定!$E$8,"B","C")))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IF(O16="","",IF(O16&gt;=設定!$D$8,"A",IF(O16&gt;=設定!$E$8,"B","C")))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IF(AB16="","",IF(AB16&gt;=設定!$D$8,"A",IF(AB16&gt;=設定!$E$8,"B","C")))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IF(AE16="","",IF(AE16&gt;=設定!$D$8,"A",IF(AE16&gt;=設定!$E$8,"B","C")))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IF(O17="","",IF(O17&gt;=設定!$D$8,"A",IF(O17&gt;=設定!$E$8,"B","C")))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IF(AB17="","",IF(AB17&gt;=設定!$D$8,"A",IF(AB17&gt;=設定!$E$8,"B","C")))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IF(AE17="","",IF(AE17&gt;=設定!$D$8,"A",IF(AE17&gt;=設定!$E$8,"B","C")))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IF(O18="","",IF(O18&gt;=設定!$D$8,"A",IF(O18&gt;=設定!$E$8,"B","C")))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IF(AB18="","",IF(AB18&gt;=設定!$D$8,"A",IF(AB18&gt;=設定!$E$8,"B","C")))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IF(AE18="","",IF(AE18&gt;=設定!$D$8,"A",IF(AE18&gt;=設定!$E$8,"B","C")))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IF(O19="","",IF(O19&gt;=設定!$D$8,"A",IF(O19&gt;=設定!$E$8,"B","C")))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IF(AB19="","",IF(AB19&gt;=設定!$D$8,"A",IF(AB19&gt;=設定!$E$8,"B","C")))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IF(AE19="","",IF(AE19&gt;=設定!$D$8,"A",IF(AE19&gt;=設定!$E$8,"B","C")))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IF(O20="","",IF(O20&gt;=設定!$D$8,"A",IF(O20&gt;=設定!$E$8,"B","C")))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IF(AB20="","",IF(AB20&gt;=設定!$D$8,"A",IF(AB20&gt;=設定!$E$8,"B","C")))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IF(AE20="","",IF(AE20&gt;=設定!$D$8,"A",IF(AE20&gt;=設定!$E$8,"B","C")))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IF(O21="","",IF(O21&gt;=設定!$D$8,"A",IF(O21&gt;=設定!$E$8,"B","C")))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IF(AB21="","",IF(AB21&gt;=設定!$D$8,"A",IF(AB21&gt;=設定!$E$8,"B","C")))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IF(AE21="","",IF(AE21&gt;=設定!$D$8,"A",IF(AE21&gt;=設定!$E$8,"B","C")))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IF(O22="","",IF(O22&gt;=設定!$D$8,"A",IF(O22&gt;=設定!$E$8,"B","C")))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IF(AB22="","",IF(AB22&gt;=設定!$D$8,"A",IF(AB22&gt;=設定!$E$8,"B","C")))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IF(AE22="","",IF(AE22&gt;=設定!$D$8,"A",IF(AE22&gt;=設定!$E$8,"B","C")))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IF(O23="","",IF(O23&gt;=設定!$D$8,"A",IF(O23&gt;=設定!$E$8,"B","C")))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IF(AB23="","",IF(AB23&gt;=設定!$D$8,"A",IF(AB23&gt;=設定!$E$8,"B","C")))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IF(AE23="","",IF(AE23&gt;=設定!$D$8,"A",IF(AE23&gt;=設定!$E$8,"B","C")))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IF(O24="","",IF(O24&gt;=設定!$D$8,"A",IF(O24&gt;=設定!$E$8,"B","C")))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IF(AB24="","",IF(AB24&gt;=設定!$D$8,"A",IF(AB24&gt;=設定!$E$8,"B","C")))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IF(AE24="","",IF(AE24&gt;=設定!$D$8,"A",IF(AE24&gt;=設定!$E$8,"B","C")))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IF(O25="","",IF(O25&gt;=設定!$D$8,"A",IF(O25&gt;=設定!$E$8,"B","C")))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IF(AB25="","",IF(AB25&gt;=設定!$D$8,"A",IF(AB25&gt;=設定!$E$8,"B","C")))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IF(AE25="","",IF(AE25&gt;=設定!$D$8,"A",IF(AE25&gt;=設定!$E$8,"B","C")))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IF(O26="","",IF(O26&gt;=設定!$D$8,"A",IF(O26&gt;=設定!$E$8,"B","C")))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IF(AB26="","",IF(AB26&gt;=設定!$D$8,"A",IF(AB26&gt;=設定!$E$8,"B","C")))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IF(AE26="","",IF(AE26&gt;=設定!$D$8,"A",IF(AE26&gt;=設定!$E$8,"B","C")))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IF(O27="","",IF(O27&gt;=設定!$D$8,"A",IF(O27&gt;=設定!$E$8,"B","C")))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IF(AB27="","",IF(AB27&gt;=設定!$D$8,"A",IF(AB27&gt;=設定!$E$8,"B","C")))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IF(AE27="","",IF(AE27&gt;=設定!$D$8,"A",IF(AE27&gt;=設定!$E$8,"B","C")))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IF(O28="","",IF(O28&gt;=設定!$D$8,"A",IF(O28&gt;=設定!$E$8,"B","C")))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IF(AB28="","",IF(AB28&gt;=設定!$D$8,"A",IF(AB28&gt;=設定!$E$8,"B","C")))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IF(AE28="","",IF(AE28&gt;=設定!$D$8,"A",IF(AE28&gt;=設定!$E$8,"B","C")))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IF(O29="","",IF(O29&gt;=設定!$D$8,"A",IF(O29&gt;=設定!$E$8,"B","C")))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IF(AB29="","",IF(AB29&gt;=設定!$D$8,"A",IF(AB29&gt;=設定!$E$8,"B","C")))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IF(AE29="","",IF(AE29&gt;=設定!$D$8,"A",IF(AE29&gt;=設定!$E$8,"B","C")))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IF(O30="","",IF(O30&gt;=設定!$D$8,"A",IF(O30&gt;=設定!$E$8,"B","C")))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IF(AB30="","",IF(AB30&gt;=設定!$D$8,"A",IF(AB30&gt;=設定!$E$8,"B","C")))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IF(AE30="","",IF(AE30&gt;=設定!$D$8,"A",IF(AE30&gt;=設定!$E$8,"B","C")))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IF(O31="","",IF(O31&gt;=設定!$D$8,"A",IF(O31&gt;=設定!$E$8,"B","C")))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IF(AB31="","",IF(AB31&gt;=設定!$D$8,"A",IF(AB31&gt;=設定!$E$8,"B","C")))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IF(AE31="","",IF(AE31&gt;=設定!$D$8,"A",IF(AE31&gt;=設定!$E$8,"B","C")))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IF(O32="","",IF(O32&gt;=設定!$D$8,"A",IF(O32&gt;=設定!$E$8,"B","C")))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IF(AB32="","",IF(AB32&gt;=設定!$D$8,"A",IF(AB32&gt;=設定!$E$8,"B","C")))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IF(AE32="","",IF(AE32&gt;=設定!$D$8,"A",IF(AE32&gt;=設定!$E$8,"B","C")))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IF(O33="","",IF(O33&gt;=設定!$D$8,"A",IF(O33&gt;=設定!$E$8,"B","C")))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IF(AB33="","",IF(AB33&gt;=設定!$D$8,"A",IF(AB33&gt;=設定!$E$8,"B","C")))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IF(AE33="","",IF(AE33&gt;=設定!$D$8,"A",IF(AE33&gt;=設定!$E$8,"B","C")))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IF(O34="","",IF(O34&gt;=設定!$D$8,"A",IF(O34&gt;=設定!$E$8,"B","C")))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IF(AB34="","",IF(AB34&gt;=設定!$D$8,"A",IF(AB34&gt;=設定!$E$8,"B","C")))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IF(AE34="","",IF(AE34&gt;=設定!$D$8,"A",IF(AE34&gt;=設定!$E$8,"B","C")))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IF(O35="","",IF(O35&gt;=設定!$D$8,"A",IF(O35&gt;=設定!$E$8,"B","C")))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IF(AB35="","",IF(AB35&gt;=設定!$D$8,"A",IF(AB35&gt;=設定!$E$8,"B","C")))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IF(AE35="","",IF(AE35&gt;=設定!$D$8,"A",IF(AE35&gt;=設定!$E$8,"B","C")))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IF(O36="","",IF(O36&gt;=設定!$D$8,"A",IF(O36&gt;=設定!$E$8,"B","C")))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IF(AB36="","",IF(AB36&gt;=設定!$D$8,"A",IF(AB36&gt;=設定!$E$8,"B","C")))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IF(AE36="","",IF(AE36&gt;=設定!$D$8,"A",IF(AE36&gt;=設定!$E$8,"B","C")))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IF(O37="","",IF(O37&gt;=設定!$D$8,"A",IF(O37&gt;=設定!$E$8,"B","C")))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IF(AB37="","",IF(AB37&gt;=設定!$D$8,"A",IF(AB37&gt;=設定!$E$8,"B","C")))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IF(AE37="","",IF(AE37&gt;=設定!$D$8,"A",IF(AE37&gt;=設定!$E$8,"B","C")))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IF(O38="","",IF(O38&gt;=設定!$D$8,"A",IF(O38&gt;=設定!$E$8,"B","C")))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IF(AB38="","",IF(AB38&gt;=設定!$D$8,"A",IF(AB38&gt;=設定!$E$8,"B","C")))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IF(AE38="","",IF(AE38&gt;=設定!$D$8,"A",IF(AE38&gt;=設定!$E$8,"B","C")))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IF(O39="","",IF(O39&gt;=設定!$D$8,"A",IF(O39&gt;=設定!$E$8,"B","C")))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IF(AB39="","",IF(AB39&gt;=設定!$D$8,"A",IF(AB39&gt;=設定!$E$8,"B","C")))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IF(AE39="","",IF(AE39&gt;=設定!$D$8,"A",IF(AE39&gt;=設定!$E$8,"B","C")))</f>
        <v/>
      </c>
    </row>
    <row r="40" s="11" customFormat="true" ht="19.5" hidden="false" customHeight="true" outlineLevel="0" collapsed="false">
      <c r="A40" s="19"/>
      <c r="B40" s="20" t="s">
        <v>35</v>
      </c>
      <c r="C40" s="20" t="str">
        <f aca="false">IF(COUNT(C5:C39)=0,"",ROUND(AVERAGE(C5:C39),1))</f>
        <v/>
      </c>
      <c r="D40" s="20" t="str">
        <f aca="false">IF(COUNT(D5:D39)=0,"",ROUND(AVERAGE(D5:D39),1))</f>
        <v/>
      </c>
      <c r="E40" s="20" t="str">
        <f aca="false">IF(COUNT(E5:E39)=0,"",ROUND(AVERAGE(E5:E39),1))</f>
        <v/>
      </c>
      <c r="F40" s="20" t="str">
        <f aca="false">IF(COUNT(F5:F39)=0,"",ROUND(AVERAGE(F5:F39),1))</f>
        <v/>
      </c>
      <c r="G40" s="20" t="str">
        <f aca="false">IF(COUNT(G5:G39)=0,"",ROUND(AVERAGE(G5:G39),1))</f>
        <v/>
      </c>
      <c r="H40" s="20" t="str">
        <f aca="false">IF(COUNT(H5:H39)=0,"",ROUND(AVERAGE(H5:H39),1))</f>
        <v/>
      </c>
      <c r="I40" s="20" t="str">
        <f aca="false">IF(COUNT(I5:I39)=0,"",ROUND(AVERAGE(I5:I39),1))</f>
        <v/>
      </c>
      <c r="J40" s="20" t="str">
        <f aca="false">IF(COUNT(J5:J39)=0,"",ROUND(AVERAGE(J5:J39),1))</f>
        <v/>
      </c>
      <c r="K40" s="20" t="str">
        <f aca="false">IF(COUNT(K5:K39)=0,"",ROUND(AVERAGE(K5:K39),1))</f>
        <v/>
      </c>
      <c r="L40" s="20" t="str">
        <f aca="false">IF(COUNT(L5:L39)=0,"",ROUND(AVERAGE(L5:L39),1))</f>
        <v/>
      </c>
      <c r="M40" s="20" t="str">
        <f aca="false">IF(COUNT(M5:M39)=0,"",ROUND(AVERAGE(M5:M39),1))</f>
        <v/>
      </c>
      <c r="N40" s="20" t="str">
        <f aca="false">IF(COUNT(N5:N39)=0,"",ROUND(AVERAGE(N5:N39),1))</f>
        <v/>
      </c>
      <c r="O40" s="20" t="str">
        <f aca="false">IF(COUNT(O5:O39)=0,"",ROUND(AVERAGE(O5:O39),1))</f>
        <v/>
      </c>
      <c r="P40" s="20"/>
      <c r="Q40" s="20" t="str">
        <f aca="false">IF(COUNT(Q5:Q39)=0,"",ROUND(AVERAGE(Q5:Q39),1))</f>
        <v/>
      </c>
      <c r="R40" s="20" t="str">
        <f aca="false">IF(COUNT(R5:R39)=0,"",ROUND(AVERAGE(R5:R39),1))</f>
        <v/>
      </c>
      <c r="S40" s="20" t="str">
        <f aca="false">IF(COUNT(S5:S39)=0,"",ROUND(AVERAGE(S5:S39),1))</f>
        <v/>
      </c>
      <c r="T40" s="20" t="str">
        <f aca="false">IF(COUNT(T5:T39)=0,"",ROUND(AVERAGE(T5:T39),1))</f>
        <v/>
      </c>
      <c r="U40" s="20" t="str">
        <f aca="false">IF(COUNT(U5:U39)=0,"",ROUND(AVERAGE(U5:U39),1))</f>
        <v/>
      </c>
      <c r="V40" s="20" t="str">
        <f aca="false">IF(COUNT(V5:V39)=0,"",ROUND(AVERAGE(V5:V39),1))</f>
        <v/>
      </c>
      <c r="W40" s="20" t="str">
        <f aca="false">IF(COUNT(W5:W39)=0,"",ROUND(AVERAGE(W5:W39),1))</f>
        <v/>
      </c>
      <c r="X40" s="20" t="str">
        <f aca="false">IF(COUNT(X5:X39)=0,"",ROUND(AVERAGE(X5:X39),1))</f>
        <v/>
      </c>
      <c r="Y40" s="20" t="str">
        <f aca="false">IF(COUNT(Y5:Y39)=0,"",ROUND(AVERAGE(Y5:Y39),1))</f>
        <v/>
      </c>
      <c r="Z40" s="20" t="str">
        <f aca="false">IF(COUNT(Z5:Z39)=0,"",ROUND(AVERAGE(Z5:Z39),1))</f>
        <v/>
      </c>
      <c r="AA40" s="20" t="str">
        <f aca="false">IF(COUNT(AA5:AA39)=0,"",ROUND(AVERAGE(AA5:AA39),1))</f>
        <v/>
      </c>
      <c r="AB40" s="20" t="str">
        <f aca="false">IF(COUNT(AB5:AB39)=0,"",ROUND(AVERAGE(AB5:AB39),1))</f>
        <v/>
      </c>
      <c r="AC40" s="20"/>
      <c r="AD40" s="20" t="str">
        <f aca="false">IF(COUNT(AD5:AD39)=0,"",ROUND(AVERAGE(AD5:AD39),1))</f>
        <v/>
      </c>
      <c r="AE40" s="20" t="str">
        <f aca="false">IF(COUNT(AE5:AE39)=0,"",ROUND(AVERAGE(AE5:AE39),1))</f>
        <v/>
      </c>
      <c r="AF40" s="20"/>
    </row>
    <row r="41" s="11" customFormat="true" ht="19.5" hidden="false" customHeight="true" outlineLevel="0" collapsed="false">
      <c r="A41" s="20"/>
      <c r="B41" s="20" t="s">
        <v>36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 t="n">
        <f aca="false">COUNTIF(P5:P39,"A")</f>
        <v>0</v>
      </c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 t="n">
        <f aca="false">COUNTIF(AC5:AC39,"A")</f>
        <v>0</v>
      </c>
      <c r="AD41" s="20"/>
      <c r="AE41" s="20"/>
      <c r="AF41" s="20" t="n">
        <f aca="false">COUNTIF(AF5:AF39,"A")</f>
        <v>0</v>
      </c>
    </row>
    <row r="42" s="11" customFormat="true" ht="19.5" hidden="false" customHeight="true" outlineLevel="0" collapsed="false">
      <c r="A42" s="20"/>
      <c r="B42" s="20" t="s">
        <v>37</v>
      </c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 t="n">
        <f aca="false">COUNTIF(P5:P39,"B")</f>
        <v>0</v>
      </c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 t="n">
        <f aca="false">COUNTIF(AC5:AC39,"B")</f>
        <v>0</v>
      </c>
      <c r="AD42" s="20"/>
      <c r="AE42" s="20"/>
      <c r="AF42" s="20" t="n">
        <f aca="false">COUNTIF(AF5:AF39,"B")</f>
        <v>0</v>
      </c>
    </row>
    <row r="43" s="11" customFormat="true" ht="19.5" hidden="false" customHeight="true" outlineLevel="0" collapsed="false">
      <c r="A43" s="20"/>
      <c r="B43" s="20" t="s">
        <v>38</v>
      </c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 t="n">
        <f aca="false">COUNTIF(P5:P39,"C")</f>
        <v>0</v>
      </c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 t="n">
        <f aca="false">COUNTIF(AC5:AC39,"C")</f>
        <v>0</v>
      </c>
      <c r="AD43" s="20"/>
      <c r="AE43" s="20"/>
      <c r="AF43" s="20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0" width="5"/>
    <col collapsed="false" customWidth="true" hidden="false" outlineLevel="0" max="2" min="2" style="10" width="17.57"/>
    <col collapsed="false" customWidth="true" hidden="false" outlineLevel="0" max="32" min="3" style="10" width="6.14"/>
    <col collapsed="false" customWidth="false" hidden="false" outlineLevel="0" max="16384" min="33" style="10" width="8.71"/>
  </cols>
  <sheetData>
    <row r="1" customFormat="false" ht="21.75" hidden="false" customHeight="true" outlineLevel="0" collapsed="false">
      <c r="A1" s="5" t="s">
        <v>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9.5" hidden="false" customHeight="true" outlineLevel="0" collapsed="false">
      <c r="A2" s="21" t="s">
        <v>23</v>
      </c>
      <c r="B2" s="21"/>
      <c r="C2" s="21" t="s">
        <v>24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 t="s">
        <v>25</v>
      </c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 t="s">
        <v>26</v>
      </c>
      <c r="AE2" s="21"/>
      <c r="AF2" s="21"/>
    </row>
    <row r="3" customFormat="false" ht="178.5" hidden="false" customHeight="true" outlineLevel="0" collapsed="false">
      <c r="A3" s="21" t="s">
        <v>27</v>
      </c>
      <c r="B3" s="21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 t="s">
        <v>28</v>
      </c>
      <c r="O3" s="23" t="s">
        <v>29</v>
      </c>
      <c r="P3" s="23" t="s">
        <v>30</v>
      </c>
      <c r="Q3" s="24"/>
      <c r="R3" s="24"/>
      <c r="S3" s="24"/>
      <c r="T3" s="24"/>
      <c r="U3" s="24"/>
      <c r="V3" s="24"/>
      <c r="W3" s="24"/>
      <c r="X3" s="24"/>
      <c r="Y3" s="24"/>
      <c r="Z3" s="24"/>
      <c r="AA3" s="23" t="s">
        <v>28</v>
      </c>
      <c r="AB3" s="23" t="s">
        <v>29</v>
      </c>
      <c r="AC3" s="23" t="s">
        <v>30</v>
      </c>
      <c r="AD3" s="23" t="s">
        <v>31</v>
      </c>
      <c r="AE3" s="23" t="s">
        <v>32</v>
      </c>
      <c r="AF3" s="23" t="s">
        <v>33</v>
      </c>
    </row>
    <row r="4" customFormat="false" ht="21.75" hidden="false" customHeight="true" outlineLevel="0" collapsed="false">
      <c r="A4" s="21" t="s">
        <v>1</v>
      </c>
      <c r="B4" s="21" t="s">
        <v>34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1" t="n">
        <f aca="false">SUM(C4:M4)</f>
        <v>0</v>
      </c>
      <c r="O4" s="21"/>
      <c r="P4" s="21"/>
      <c r="Q4" s="25"/>
      <c r="R4" s="25"/>
      <c r="S4" s="25"/>
      <c r="T4" s="25"/>
      <c r="U4" s="25"/>
      <c r="V4" s="25"/>
      <c r="W4" s="25"/>
      <c r="X4" s="25"/>
      <c r="Y4" s="25"/>
      <c r="Z4" s="25"/>
      <c r="AA4" s="21" t="n">
        <f aca="false">SUM(Q4:Z4)</f>
        <v>0</v>
      </c>
      <c r="AB4" s="21"/>
      <c r="AC4" s="21"/>
      <c r="AD4" s="21" t="n">
        <f aca="false">N4+AA4</f>
        <v>0</v>
      </c>
      <c r="AE4" s="21"/>
      <c r="AF4" s="21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IF(O5="","",IF(O5&gt;=設定!$D$9,"A",IF(O5&gt;=設定!$E$9,"B","C")))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IF(AB5="","",IF(AB5&gt;=設定!$D$9,"A",IF(AB5&gt;=設定!$E$9,"B","C")))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IF(AE5="","",IF(AE5&gt;=設定!$D$9,"A",IF(AE5&gt;=設定!$E$9,"B","C")))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IF(O6="","",IF(O6&gt;=設定!$D$9,"A",IF(O6&gt;=設定!$E$9,"B","C")))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IF(AB6="","",IF(AB6&gt;=設定!$D$9,"A",IF(AB6&gt;=設定!$E$9,"B","C")))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IF(AE6="","",IF(AE6&gt;=設定!$D$9,"A",IF(AE6&gt;=設定!$E$9,"B","C")))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IF(O7="","",IF(O7&gt;=設定!$D$9,"A",IF(O7&gt;=設定!$E$9,"B","C")))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IF(AB7="","",IF(AB7&gt;=設定!$D$9,"A",IF(AB7&gt;=設定!$E$9,"B","C")))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IF(AE7="","",IF(AE7&gt;=設定!$D$9,"A",IF(AE7&gt;=設定!$E$9,"B","C")))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IF(O8="","",IF(O8&gt;=設定!$D$9,"A",IF(O8&gt;=設定!$E$9,"B","C")))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IF(AB8="","",IF(AB8&gt;=設定!$D$9,"A",IF(AB8&gt;=設定!$E$9,"B","C")))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IF(AE8="","",IF(AE8&gt;=設定!$D$9,"A",IF(AE8&gt;=設定!$E$9,"B","C")))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IF(O9="","",IF(O9&gt;=設定!$D$9,"A",IF(O9&gt;=設定!$E$9,"B","C")))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IF(AB9="","",IF(AB9&gt;=設定!$D$9,"A",IF(AB9&gt;=設定!$E$9,"B","C")))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IF(AE9="","",IF(AE9&gt;=設定!$D$9,"A",IF(AE9&gt;=設定!$E$9,"B","C")))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IF(O10="","",IF(O10&gt;=設定!$D$9,"A",IF(O10&gt;=設定!$E$9,"B","C")))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IF(AB10="","",IF(AB10&gt;=設定!$D$9,"A",IF(AB10&gt;=設定!$E$9,"B","C")))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IF(AE10="","",IF(AE10&gt;=設定!$D$9,"A",IF(AE10&gt;=設定!$E$9,"B","C")))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IF(O11="","",IF(O11&gt;=設定!$D$9,"A",IF(O11&gt;=設定!$E$9,"B","C")))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IF(AB11="","",IF(AB11&gt;=設定!$D$9,"A",IF(AB11&gt;=設定!$E$9,"B","C")))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IF(AE11="","",IF(AE11&gt;=設定!$D$9,"A",IF(AE11&gt;=設定!$E$9,"B","C")))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IF(O12="","",IF(O12&gt;=設定!$D$9,"A",IF(O12&gt;=設定!$E$9,"B","C")))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IF(AB12="","",IF(AB12&gt;=設定!$D$9,"A",IF(AB12&gt;=設定!$E$9,"B","C")))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IF(AE12="","",IF(AE12&gt;=設定!$D$9,"A",IF(AE12&gt;=設定!$E$9,"B","C")))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IF(O13="","",IF(O13&gt;=設定!$D$9,"A",IF(O13&gt;=設定!$E$9,"B","C")))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IF(AB13="","",IF(AB13&gt;=設定!$D$9,"A",IF(AB13&gt;=設定!$E$9,"B","C")))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IF(AE13="","",IF(AE13&gt;=設定!$D$9,"A",IF(AE13&gt;=設定!$E$9,"B","C")))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IF(O14="","",IF(O14&gt;=設定!$D$9,"A",IF(O14&gt;=設定!$E$9,"B","C")))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IF(AB14="","",IF(AB14&gt;=設定!$D$9,"A",IF(AB14&gt;=設定!$E$9,"B","C")))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IF(AE14="","",IF(AE14&gt;=設定!$D$9,"A",IF(AE14&gt;=設定!$E$9,"B","C")))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IF(O15="","",IF(O15&gt;=設定!$D$9,"A",IF(O15&gt;=設定!$E$9,"B","C")))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IF(AB15="","",IF(AB15&gt;=設定!$D$9,"A",IF(AB15&gt;=設定!$E$9,"B","C")))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IF(AE15="","",IF(AE15&gt;=設定!$D$9,"A",IF(AE15&gt;=設定!$E$9,"B","C")))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IF(O16="","",IF(O16&gt;=設定!$D$9,"A",IF(O16&gt;=設定!$E$9,"B","C")))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IF(AB16="","",IF(AB16&gt;=設定!$D$9,"A",IF(AB16&gt;=設定!$E$9,"B","C")))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IF(AE16="","",IF(AE16&gt;=設定!$D$9,"A",IF(AE16&gt;=設定!$E$9,"B","C")))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IF(O17="","",IF(O17&gt;=設定!$D$9,"A",IF(O17&gt;=設定!$E$9,"B","C")))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IF(AB17="","",IF(AB17&gt;=設定!$D$9,"A",IF(AB17&gt;=設定!$E$9,"B","C")))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IF(AE17="","",IF(AE17&gt;=設定!$D$9,"A",IF(AE17&gt;=設定!$E$9,"B","C")))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IF(O18="","",IF(O18&gt;=設定!$D$9,"A",IF(O18&gt;=設定!$E$9,"B","C")))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IF(AB18="","",IF(AB18&gt;=設定!$D$9,"A",IF(AB18&gt;=設定!$E$9,"B","C")))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IF(AE18="","",IF(AE18&gt;=設定!$D$9,"A",IF(AE18&gt;=設定!$E$9,"B","C")))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IF(O19="","",IF(O19&gt;=設定!$D$9,"A",IF(O19&gt;=設定!$E$9,"B","C")))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IF(AB19="","",IF(AB19&gt;=設定!$D$9,"A",IF(AB19&gt;=設定!$E$9,"B","C")))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IF(AE19="","",IF(AE19&gt;=設定!$D$9,"A",IF(AE19&gt;=設定!$E$9,"B","C")))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IF(O20="","",IF(O20&gt;=設定!$D$9,"A",IF(O20&gt;=設定!$E$9,"B","C")))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IF(AB20="","",IF(AB20&gt;=設定!$D$9,"A",IF(AB20&gt;=設定!$E$9,"B","C")))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IF(AE20="","",IF(AE20&gt;=設定!$D$9,"A",IF(AE20&gt;=設定!$E$9,"B","C")))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IF(O21="","",IF(O21&gt;=設定!$D$9,"A",IF(O21&gt;=設定!$E$9,"B","C")))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IF(AB21="","",IF(AB21&gt;=設定!$D$9,"A",IF(AB21&gt;=設定!$E$9,"B","C")))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IF(AE21="","",IF(AE21&gt;=設定!$D$9,"A",IF(AE21&gt;=設定!$E$9,"B","C")))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IF(O22="","",IF(O22&gt;=設定!$D$9,"A",IF(O22&gt;=設定!$E$9,"B","C")))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IF(AB22="","",IF(AB22&gt;=設定!$D$9,"A",IF(AB22&gt;=設定!$E$9,"B","C")))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IF(AE22="","",IF(AE22&gt;=設定!$D$9,"A",IF(AE22&gt;=設定!$E$9,"B","C")))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IF(O23="","",IF(O23&gt;=設定!$D$9,"A",IF(O23&gt;=設定!$E$9,"B","C")))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IF(AB23="","",IF(AB23&gt;=設定!$D$9,"A",IF(AB23&gt;=設定!$E$9,"B","C")))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IF(AE23="","",IF(AE23&gt;=設定!$D$9,"A",IF(AE23&gt;=設定!$E$9,"B","C")))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IF(O24="","",IF(O24&gt;=設定!$D$9,"A",IF(O24&gt;=設定!$E$9,"B","C")))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IF(AB24="","",IF(AB24&gt;=設定!$D$9,"A",IF(AB24&gt;=設定!$E$9,"B","C")))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IF(AE24="","",IF(AE24&gt;=設定!$D$9,"A",IF(AE24&gt;=設定!$E$9,"B","C")))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IF(O25="","",IF(O25&gt;=設定!$D$9,"A",IF(O25&gt;=設定!$E$9,"B","C")))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IF(AB25="","",IF(AB25&gt;=設定!$D$9,"A",IF(AB25&gt;=設定!$E$9,"B","C")))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IF(AE25="","",IF(AE25&gt;=設定!$D$9,"A",IF(AE25&gt;=設定!$E$9,"B","C")))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IF(O26="","",IF(O26&gt;=設定!$D$9,"A",IF(O26&gt;=設定!$E$9,"B","C")))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IF(AB26="","",IF(AB26&gt;=設定!$D$9,"A",IF(AB26&gt;=設定!$E$9,"B","C")))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IF(AE26="","",IF(AE26&gt;=設定!$D$9,"A",IF(AE26&gt;=設定!$E$9,"B","C")))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IF(O27="","",IF(O27&gt;=設定!$D$9,"A",IF(O27&gt;=設定!$E$9,"B","C")))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IF(AB27="","",IF(AB27&gt;=設定!$D$9,"A",IF(AB27&gt;=設定!$E$9,"B","C")))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IF(AE27="","",IF(AE27&gt;=設定!$D$9,"A",IF(AE27&gt;=設定!$E$9,"B","C")))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IF(O28="","",IF(O28&gt;=設定!$D$9,"A",IF(O28&gt;=設定!$E$9,"B","C")))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IF(AB28="","",IF(AB28&gt;=設定!$D$9,"A",IF(AB28&gt;=設定!$E$9,"B","C")))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IF(AE28="","",IF(AE28&gt;=設定!$D$9,"A",IF(AE28&gt;=設定!$E$9,"B","C")))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IF(O29="","",IF(O29&gt;=設定!$D$9,"A",IF(O29&gt;=設定!$E$9,"B","C")))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IF(AB29="","",IF(AB29&gt;=設定!$D$9,"A",IF(AB29&gt;=設定!$E$9,"B","C")))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IF(AE29="","",IF(AE29&gt;=設定!$D$9,"A",IF(AE29&gt;=設定!$E$9,"B","C")))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IF(O30="","",IF(O30&gt;=設定!$D$9,"A",IF(O30&gt;=設定!$E$9,"B","C")))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IF(AB30="","",IF(AB30&gt;=設定!$D$9,"A",IF(AB30&gt;=設定!$E$9,"B","C")))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IF(AE30="","",IF(AE30&gt;=設定!$D$9,"A",IF(AE30&gt;=設定!$E$9,"B","C")))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IF(O31="","",IF(O31&gt;=設定!$D$9,"A",IF(O31&gt;=設定!$E$9,"B","C")))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IF(AB31="","",IF(AB31&gt;=設定!$D$9,"A",IF(AB31&gt;=設定!$E$9,"B","C")))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IF(AE31="","",IF(AE31&gt;=設定!$D$9,"A",IF(AE31&gt;=設定!$E$9,"B","C")))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IF(O32="","",IF(O32&gt;=設定!$D$9,"A",IF(O32&gt;=設定!$E$9,"B","C")))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IF(AB32="","",IF(AB32&gt;=設定!$D$9,"A",IF(AB32&gt;=設定!$E$9,"B","C")))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IF(AE32="","",IF(AE32&gt;=設定!$D$9,"A",IF(AE32&gt;=設定!$E$9,"B","C")))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IF(O33="","",IF(O33&gt;=設定!$D$9,"A",IF(O33&gt;=設定!$E$9,"B","C")))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IF(AB33="","",IF(AB33&gt;=設定!$D$9,"A",IF(AB33&gt;=設定!$E$9,"B","C")))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IF(AE33="","",IF(AE33&gt;=設定!$D$9,"A",IF(AE33&gt;=設定!$E$9,"B","C")))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IF(O34="","",IF(O34&gt;=設定!$D$9,"A",IF(O34&gt;=設定!$E$9,"B","C")))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IF(AB34="","",IF(AB34&gt;=設定!$D$9,"A",IF(AB34&gt;=設定!$E$9,"B","C")))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IF(AE34="","",IF(AE34&gt;=設定!$D$9,"A",IF(AE34&gt;=設定!$E$9,"B","C")))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IF(O35="","",IF(O35&gt;=設定!$D$9,"A",IF(O35&gt;=設定!$E$9,"B","C")))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IF(AB35="","",IF(AB35&gt;=設定!$D$9,"A",IF(AB35&gt;=設定!$E$9,"B","C")))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IF(AE35="","",IF(AE35&gt;=設定!$D$9,"A",IF(AE35&gt;=設定!$E$9,"B","C")))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IF(O36="","",IF(O36&gt;=設定!$D$9,"A",IF(O36&gt;=設定!$E$9,"B","C")))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IF(AB36="","",IF(AB36&gt;=設定!$D$9,"A",IF(AB36&gt;=設定!$E$9,"B","C")))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IF(AE36="","",IF(AE36&gt;=設定!$D$9,"A",IF(AE36&gt;=設定!$E$9,"B","C")))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IF(O37="","",IF(O37&gt;=設定!$D$9,"A",IF(O37&gt;=設定!$E$9,"B","C")))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IF(AB37="","",IF(AB37&gt;=設定!$D$9,"A",IF(AB37&gt;=設定!$E$9,"B","C")))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IF(AE37="","",IF(AE37&gt;=設定!$D$9,"A",IF(AE37&gt;=設定!$E$9,"B","C")))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IF(O38="","",IF(O38&gt;=設定!$D$9,"A",IF(O38&gt;=設定!$E$9,"B","C")))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IF(AB38="","",IF(AB38&gt;=設定!$D$9,"A",IF(AB38&gt;=設定!$E$9,"B","C")))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IF(AE38="","",IF(AE38&gt;=設定!$D$9,"A",IF(AE38&gt;=設定!$E$9,"B","C")))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IF(O39="","",IF(O39&gt;=設定!$D$9,"A",IF(O39&gt;=設定!$E$9,"B","C")))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IF(AB39="","",IF(AB39&gt;=設定!$D$9,"A",IF(AB39&gt;=設定!$E$9,"B","C")))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IF(AE39="","",IF(AE39&gt;=設定!$D$9,"A",IF(AE39&gt;=設定!$E$9,"B","C")))</f>
        <v/>
      </c>
    </row>
    <row r="40" customFormat="false" ht="19.5" hidden="false" customHeight="true" outlineLevel="0" collapsed="false">
      <c r="A40" s="26"/>
      <c r="B40" s="27" t="s">
        <v>35</v>
      </c>
      <c r="C40" s="27" t="str">
        <f aca="false">IF(COUNT(C5:C39)=0,"",ROUND(AVERAGE(C5:C39),1))</f>
        <v/>
      </c>
      <c r="D40" s="27" t="str">
        <f aca="false">IF(COUNT(D5:D39)=0,"",ROUND(AVERAGE(D5:D39),1))</f>
        <v/>
      </c>
      <c r="E40" s="27" t="str">
        <f aca="false">IF(COUNT(E5:E39)=0,"",ROUND(AVERAGE(E5:E39),1))</f>
        <v/>
      </c>
      <c r="F40" s="27" t="str">
        <f aca="false">IF(COUNT(F5:F39)=0,"",ROUND(AVERAGE(F5:F39),1))</f>
        <v/>
      </c>
      <c r="G40" s="27" t="str">
        <f aca="false">IF(COUNT(G5:G39)=0,"",ROUND(AVERAGE(G5:G39),1))</f>
        <v/>
      </c>
      <c r="H40" s="27" t="str">
        <f aca="false">IF(COUNT(H5:H39)=0,"",ROUND(AVERAGE(H5:H39),1))</f>
        <v/>
      </c>
      <c r="I40" s="27" t="str">
        <f aca="false">IF(COUNT(I5:I39)=0,"",ROUND(AVERAGE(I5:I39),1))</f>
        <v/>
      </c>
      <c r="J40" s="27" t="str">
        <f aca="false">IF(COUNT(J5:J39)=0,"",ROUND(AVERAGE(J5:J39),1))</f>
        <v/>
      </c>
      <c r="K40" s="27" t="str">
        <f aca="false">IF(COUNT(K5:K39)=0,"",ROUND(AVERAGE(K5:K39),1))</f>
        <v/>
      </c>
      <c r="L40" s="27" t="str">
        <f aca="false">IF(COUNT(L5:L39)=0,"",ROUND(AVERAGE(L5:L39),1))</f>
        <v/>
      </c>
      <c r="M40" s="27" t="str">
        <f aca="false">IF(COUNT(M5:M39)=0,"",ROUND(AVERAGE(M5:M39),1))</f>
        <v/>
      </c>
      <c r="N40" s="27" t="str">
        <f aca="false">IF(COUNT(N5:N39)=0,"",ROUND(AVERAGE(N5:N39),1))</f>
        <v/>
      </c>
      <c r="O40" s="27" t="str">
        <f aca="false">IF(COUNT(O5:O39)=0,"",ROUND(AVERAGE(O5:O39),1))</f>
        <v/>
      </c>
      <c r="P40" s="27"/>
      <c r="Q40" s="27" t="str">
        <f aca="false">IF(COUNT(Q5:Q39)=0,"",ROUND(AVERAGE(Q5:Q39),1))</f>
        <v/>
      </c>
      <c r="R40" s="27" t="str">
        <f aca="false">IF(COUNT(R5:R39)=0,"",ROUND(AVERAGE(R5:R39),1))</f>
        <v/>
      </c>
      <c r="S40" s="27" t="str">
        <f aca="false">IF(COUNT(S5:S39)=0,"",ROUND(AVERAGE(S5:S39),1))</f>
        <v/>
      </c>
      <c r="T40" s="27" t="str">
        <f aca="false">IF(COUNT(T5:T39)=0,"",ROUND(AVERAGE(T5:T39),1))</f>
        <v/>
      </c>
      <c r="U40" s="27" t="str">
        <f aca="false">IF(COUNT(U5:U39)=0,"",ROUND(AVERAGE(U5:U39),1))</f>
        <v/>
      </c>
      <c r="V40" s="27" t="str">
        <f aca="false">IF(COUNT(V5:V39)=0,"",ROUND(AVERAGE(V5:V39),1))</f>
        <v/>
      </c>
      <c r="W40" s="27" t="str">
        <f aca="false">IF(COUNT(W5:W39)=0,"",ROUND(AVERAGE(W5:W39),1))</f>
        <v/>
      </c>
      <c r="X40" s="27" t="str">
        <f aca="false">IF(COUNT(X5:X39)=0,"",ROUND(AVERAGE(X5:X39),1))</f>
        <v/>
      </c>
      <c r="Y40" s="27" t="str">
        <f aca="false">IF(COUNT(Y5:Y39)=0,"",ROUND(AVERAGE(Y5:Y39),1))</f>
        <v/>
      </c>
      <c r="Z40" s="27" t="str">
        <f aca="false">IF(COUNT(Z5:Z39)=0,"",ROUND(AVERAGE(Z5:Z39),1))</f>
        <v/>
      </c>
      <c r="AA40" s="27" t="str">
        <f aca="false">IF(COUNT(AA5:AA39)=0,"",ROUND(AVERAGE(AA5:AA39),1))</f>
        <v/>
      </c>
      <c r="AB40" s="27" t="str">
        <f aca="false">IF(COUNT(AB5:AB39)=0,"",ROUND(AVERAGE(AB5:AB39),1))</f>
        <v/>
      </c>
      <c r="AC40" s="27"/>
      <c r="AD40" s="27" t="str">
        <f aca="false">IF(COUNT(AD5:AD39)=0,"",ROUND(AVERAGE(AD5:AD39),1))</f>
        <v/>
      </c>
      <c r="AE40" s="27" t="str">
        <f aca="false">IF(COUNT(AE5:AE39)=0,"",ROUND(AVERAGE(AE5:AE39),1))</f>
        <v/>
      </c>
      <c r="AF40" s="27"/>
    </row>
    <row r="41" customFormat="false" ht="19.5" hidden="false" customHeight="true" outlineLevel="0" collapsed="false">
      <c r="A41" s="27"/>
      <c r="B41" s="27" t="s">
        <v>36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 t="n">
        <f aca="false">COUNTIF(P5:P39,"A")</f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 t="n">
        <f aca="false">COUNTIF(AC5:AC39,"A")</f>
        <v>0</v>
      </c>
      <c r="AD41" s="27"/>
      <c r="AE41" s="27"/>
      <c r="AF41" s="27" t="n">
        <f aca="false">COUNTIF(AF5:AF39,"A")</f>
        <v>0</v>
      </c>
    </row>
    <row r="42" customFormat="false" ht="19.5" hidden="false" customHeight="true" outlineLevel="0" collapsed="false">
      <c r="A42" s="27"/>
      <c r="B42" s="27" t="s">
        <v>37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 t="n">
        <f aca="false">COUNTIF(P5:P39,"B")</f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 t="n">
        <f aca="false">COUNTIF(AC5:AC39,"B")</f>
        <v>0</v>
      </c>
      <c r="AD42" s="27"/>
      <c r="AE42" s="27"/>
      <c r="AF42" s="27" t="n">
        <f aca="false">COUNTIF(AF5:AF39,"B")</f>
        <v>0</v>
      </c>
    </row>
    <row r="43" customFormat="false" ht="19.5" hidden="false" customHeight="true" outlineLevel="0" collapsed="false">
      <c r="A43" s="27"/>
      <c r="B43" s="27" t="s">
        <v>38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 t="n">
        <f aca="false">COUNTIF(P5:P39,"C")</f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 t="n">
        <f aca="false">COUNTIF(AC5:AC39,"C")</f>
        <v>0</v>
      </c>
      <c r="AD43" s="27"/>
      <c r="AE43" s="27"/>
      <c r="AF43" s="27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0" width="5"/>
    <col collapsed="false" customWidth="true" hidden="false" outlineLevel="0" max="2" min="2" style="10" width="17.57"/>
    <col collapsed="false" customWidth="true" hidden="false" outlineLevel="0" max="32" min="3" style="10" width="6.14"/>
    <col collapsed="false" customWidth="false" hidden="false" outlineLevel="0" max="16384" min="33" style="10" width="8.71"/>
  </cols>
  <sheetData>
    <row r="1" customFormat="false" ht="21.75" hidden="false" customHeight="true" outlineLevel="0" collapsed="false">
      <c r="A1" s="5" t="s">
        <v>40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="29" customFormat="true" ht="19.5" hidden="false" customHeight="true" outlineLevel="0" collapsed="false">
      <c r="A2" s="28" t="s">
        <v>23</v>
      </c>
      <c r="B2" s="28"/>
      <c r="C2" s="28" t="s">
        <v>24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 t="s">
        <v>25</v>
      </c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 t="s">
        <v>26</v>
      </c>
      <c r="AE2" s="28"/>
      <c r="AF2" s="28"/>
    </row>
    <row r="3" s="29" customFormat="true" ht="178.5" hidden="false" customHeight="true" outlineLevel="0" collapsed="false">
      <c r="A3" s="28" t="s">
        <v>27</v>
      </c>
      <c r="B3" s="28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1" t="s">
        <v>28</v>
      </c>
      <c r="O3" s="31" t="s">
        <v>29</v>
      </c>
      <c r="P3" s="31" t="s">
        <v>30</v>
      </c>
      <c r="Q3" s="32"/>
      <c r="R3" s="32"/>
      <c r="S3" s="32"/>
      <c r="T3" s="32"/>
      <c r="U3" s="32"/>
      <c r="V3" s="32"/>
      <c r="W3" s="32"/>
      <c r="X3" s="32"/>
      <c r="Y3" s="32"/>
      <c r="Z3" s="32"/>
      <c r="AA3" s="31" t="s">
        <v>28</v>
      </c>
      <c r="AB3" s="31" t="s">
        <v>29</v>
      </c>
      <c r="AC3" s="31" t="s">
        <v>30</v>
      </c>
      <c r="AD3" s="31" t="s">
        <v>31</v>
      </c>
      <c r="AE3" s="31" t="s">
        <v>32</v>
      </c>
      <c r="AF3" s="31" t="s">
        <v>33</v>
      </c>
    </row>
    <row r="4" s="29" customFormat="true" ht="21.75" hidden="false" customHeight="true" outlineLevel="0" collapsed="false">
      <c r="A4" s="28" t="s">
        <v>1</v>
      </c>
      <c r="B4" s="28" t="s">
        <v>34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28" t="n">
        <f aca="false">SUM(C4:M4)</f>
        <v>0</v>
      </c>
      <c r="O4" s="28"/>
      <c r="P4" s="28"/>
      <c r="Q4" s="33"/>
      <c r="R4" s="33"/>
      <c r="S4" s="33"/>
      <c r="T4" s="33"/>
      <c r="U4" s="33"/>
      <c r="V4" s="33"/>
      <c r="W4" s="33"/>
      <c r="X4" s="33"/>
      <c r="Y4" s="33"/>
      <c r="Z4" s="33"/>
      <c r="AA4" s="28" t="n">
        <f aca="false">SUM(Q4:Z4)</f>
        <v>0</v>
      </c>
      <c r="AB4" s="28"/>
      <c r="AC4" s="28"/>
      <c r="AD4" s="28" t="n">
        <f aca="false">N4+AA4</f>
        <v>0</v>
      </c>
      <c r="AE4" s="28"/>
      <c r="AF4" s="28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IF(O5="","",IF(O5&gt;=設定!$D$10,"A",IF(O5&gt;=設定!$E$10,"B","C")))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IF(AB5="","",IF(AB5&gt;=設定!$D$10,"A",IF(AB5&gt;=設定!$E$10,"B","C")))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IF(AE5="","",IF(AE5&gt;=設定!$D$10,"A",IF(AE5&gt;=設定!$E$10,"B","C")))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IF(O6="","",IF(O6&gt;=設定!$D$10,"A",IF(O6&gt;=設定!$E$10,"B","C")))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IF(AB6="","",IF(AB6&gt;=設定!$D$10,"A",IF(AB6&gt;=設定!$E$10,"B","C")))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IF(AE6="","",IF(AE6&gt;=設定!$D$10,"A",IF(AE6&gt;=設定!$E$10,"B","C")))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IF(O7="","",IF(O7&gt;=設定!$D$10,"A",IF(O7&gt;=設定!$E$10,"B","C")))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IF(AB7="","",IF(AB7&gt;=設定!$D$10,"A",IF(AB7&gt;=設定!$E$10,"B","C")))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IF(AE7="","",IF(AE7&gt;=設定!$D$10,"A",IF(AE7&gt;=設定!$E$10,"B","C")))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IF(O8="","",IF(O8&gt;=設定!$D$10,"A",IF(O8&gt;=設定!$E$10,"B","C")))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IF(AB8="","",IF(AB8&gt;=設定!$D$10,"A",IF(AB8&gt;=設定!$E$10,"B","C")))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IF(AE8="","",IF(AE8&gt;=設定!$D$10,"A",IF(AE8&gt;=設定!$E$10,"B","C")))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IF(O9="","",IF(O9&gt;=設定!$D$10,"A",IF(O9&gt;=設定!$E$10,"B","C")))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IF(AB9="","",IF(AB9&gt;=設定!$D$10,"A",IF(AB9&gt;=設定!$E$10,"B","C")))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IF(AE9="","",IF(AE9&gt;=設定!$D$10,"A",IF(AE9&gt;=設定!$E$10,"B","C")))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IF(O10="","",IF(O10&gt;=設定!$D$10,"A",IF(O10&gt;=設定!$E$10,"B","C")))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IF(AB10="","",IF(AB10&gt;=設定!$D$10,"A",IF(AB10&gt;=設定!$E$10,"B","C")))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IF(AE10="","",IF(AE10&gt;=設定!$D$10,"A",IF(AE10&gt;=設定!$E$10,"B","C")))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IF(O11="","",IF(O11&gt;=設定!$D$10,"A",IF(O11&gt;=設定!$E$10,"B","C")))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IF(AB11="","",IF(AB11&gt;=設定!$D$10,"A",IF(AB11&gt;=設定!$E$10,"B","C")))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IF(AE11="","",IF(AE11&gt;=設定!$D$10,"A",IF(AE11&gt;=設定!$E$10,"B","C")))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IF(O12="","",IF(O12&gt;=設定!$D$10,"A",IF(O12&gt;=設定!$E$10,"B","C")))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IF(AB12="","",IF(AB12&gt;=設定!$D$10,"A",IF(AB12&gt;=設定!$E$10,"B","C")))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IF(AE12="","",IF(AE12&gt;=設定!$D$10,"A",IF(AE12&gt;=設定!$E$10,"B","C")))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IF(O13="","",IF(O13&gt;=設定!$D$10,"A",IF(O13&gt;=設定!$E$10,"B","C")))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IF(AB13="","",IF(AB13&gt;=設定!$D$10,"A",IF(AB13&gt;=設定!$E$10,"B","C")))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IF(AE13="","",IF(AE13&gt;=設定!$D$10,"A",IF(AE13&gt;=設定!$E$10,"B","C")))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IF(O14="","",IF(O14&gt;=設定!$D$10,"A",IF(O14&gt;=設定!$E$10,"B","C")))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IF(AB14="","",IF(AB14&gt;=設定!$D$10,"A",IF(AB14&gt;=設定!$E$10,"B","C")))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IF(AE14="","",IF(AE14&gt;=設定!$D$10,"A",IF(AE14&gt;=設定!$E$10,"B","C")))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IF(O15="","",IF(O15&gt;=設定!$D$10,"A",IF(O15&gt;=設定!$E$10,"B","C")))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IF(AB15="","",IF(AB15&gt;=設定!$D$10,"A",IF(AB15&gt;=設定!$E$10,"B","C")))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IF(AE15="","",IF(AE15&gt;=設定!$D$10,"A",IF(AE15&gt;=設定!$E$10,"B","C")))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IF(O16="","",IF(O16&gt;=設定!$D$10,"A",IF(O16&gt;=設定!$E$10,"B","C")))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IF(AB16="","",IF(AB16&gt;=設定!$D$10,"A",IF(AB16&gt;=設定!$E$10,"B","C")))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IF(AE16="","",IF(AE16&gt;=設定!$D$10,"A",IF(AE16&gt;=設定!$E$10,"B","C")))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IF(O17="","",IF(O17&gt;=設定!$D$10,"A",IF(O17&gt;=設定!$E$10,"B","C")))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IF(AB17="","",IF(AB17&gt;=設定!$D$10,"A",IF(AB17&gt;=設定!$E$10,"B","C")))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IF(AE17="","",IF(AE17&gt;=設定!$D$10,"A",IF(AE17&gt;=設定!$E$10,"B","C")))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IF(O18="","",IF(O18&gt;=設定!$D$10,"A",IF(O18&gt;=設定!$E$10,"B","C")))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IF(AB18="","",IF(AB18&gt;=設定!$D$10,"A",IF(AB18&gt;=設定!$E$10,"B","C")))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IF(AE18="","",IF(AE18&gt;=設定!$D$10,"A",IF(AE18&gt;=設定!$E$10,"B","C")))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IF(O19="","",IF(O19&gt;=設定!$D$10,"A",IF(O19&gt;=設定!$E$10,"B","C")))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IF(AB19="","",IF(AB19&gt;=設定!$D$10,"A",IF(AB19&gt;=設定!$E$10,"B","C")))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IF(AE19="","",IF(AE19&gt;=設定!$D$10,"A",IF(AE19&gt;=設定!$E$10,"B","C")))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IF(O20="","",IF(O20&gt;=設定!$D$10,"A",IF(O20&gt;=設定!$E$10,"B","C")))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IF(AB20="","",IF(AB20&gt;=設定!$D$10,"A",IF(AB20&gt;=設定!$E$10,"B","C")))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IF(AE20="","",IF(AE20&gt;=設定!$D$10,"A",IF(AE20&gt;=設定!$E$10,"B","C")))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IF(O21="","",IF(O21&gt;=設定!$D$10,"A",IF(O21&gt;=設定!$E$10,"B","C")))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IF(AB21="","",IF(AB21&gt;=設定!$D$10,"A",IF(AB21&gt;=設定!$E$10,"B","C")))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IF(AE21="","",IF(AE21&gt;=設定!$D$10,"A",IF(AE21&gt;=設定!$E$10,"B","C")))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IF(O22="","",IF(O22&gt;=設定!$D$10,"A",IF(O22&gt;=設定!$E$10,"B","C")))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IF(AB22="","",IF(AB22&gt;=設定!$D$10,"A",IF(AB22&gt;=設定!$E$10,"B","C")))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IF(AE22="","",IF(AE22&gt;=設定!$D$10,"A",IF(AE22&gt;=設定!$E$10,"B","C")))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IF(O23="","",IF(O23&gt;=設定!$D$10,"A",IF(O23&gt;=設定!$E$10,"B","C")))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IF(AB23="","",IF(AB23&gt;=設定!$D$10,"A",IF(AB23&gt;=設定!$E$10,"B","C")))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IF(AE23="","",IF(AE23&gt;=設定!$D$10,"A",IF(AE23&gt;=設定!$E$10,"B","C")))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IF(O24="","",IF(O24&gt;=設定!$D$10,"A",IF(O24&gt;=設定!$E$10,"B","C")))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IF(AB24="","",IF(AB24&gt;=設定!$D$10,"A",IF(AB24&gt;=設定!$E$10,"B","C")))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IF(AE24="","",IF(AE24&gt;=設定!$D$10,"A",IF(AE24&gt;=設定!$E$10,"B","C")))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IF(O25="","",IF(O25&gt;=設定!$D$10,"A",IF(O25&gt;=設定!$E$10,"B","C")))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IF(AB25="","",IF(AB25&gt;=設定!$D$10,"A",IF(AB25&gt;=設定!$E$10,"B","C")))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IF(AE25="","",IF(AE25&gt;=設定!$D$10,"A",IF(AE25&gt;=設定!$E$10,"B","C")))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IF(O26="","",IF(O26&gt;=設定!$D$10,"A",IF(O26&gt;=設定!$E$10,"B","C")))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IF(AB26="","",IF(AB26&gt;=設定!$D$10,"A",IF(AB26&gt;=設定!$E$10,"B","C")))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IF(AE26="","",IF(AE26&gt;=設定!$D$10,"A",IF(AE26&gt;=設定!$E$10,"B","C")))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IF(O27="","",IF(O27&gt;=設定!$D$10,"A",IF(O27&gt;=設定!$E$10,"B","C")))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IF(AB27="","",IF(AB27&gt;=設定!$D$10,"A",IF(AB27&gt;=設定!$E$10,"B","C")))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IF(AE27="","",IF(AE27&gt;=設定!$D$10,"A",IF(AE27&gt;=設定!$E$10,"B","C")))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IF(O28="","",IF(O28&gt;=設定!$D$10,"A",IF(O28&gt;=設定!$E$10,"B","C")))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IF(AB28="","",IF(AB28&gt;=設定!$D$10,"A",IF(AB28&gt;=設定!$E$10,"B","C")))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IF(AE28="","",IF(AE28&gt;=設定!$D$10,"A",IF(AE28&gt;=設定!$E$10,"B","C")))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IF(O29="","",IF(O29&gt;=設定!$D$10,"A",IF(O29&gt;=設定!$E$10,"B","C")))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IF(AB29="","",IF(AB29&gt;=設定!$D$10,"A",IF(AB29&gt;=設定!$E$10,"B","C")))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IF(AE29="","",IF(AE29&gt;=設定!$D$10,"A",IF(AE29&gt;=設定!$E$10,"B","C")))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IF(O30="","",IF(O30&gt;=設定!$D$10,"A",IF(O30&gt;=設定!$E$10,"B","C")))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IF(AB30="","",IF(AB30&gt;=設定!$D$10,"A",IF(AB30&gt;=設定!$E$10,"B","C")))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IF(AE30="","",IF(AE30&gt;=設定!$D$10,"A",IF(AE30&gt;=設定!$E$10,"B","C")))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IF(O31="","",IF(O31&gt;=設定!$D$10,"A",IF(O31&gt;=設定!$E$10,"B","C")))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IF(AB31="","",IF(AB31&gt;=設定!$D$10,"A",IF(AB31&gt;=設定!$E$10,"B","C")))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IF(AE31="","",IF(AE31&gt;=設定!$D$10,"A",IF(AE31&gt;=設定!$E$10,"B","C")))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IF(O32="","",IF(O32&gt;=設定!$D$10,"A",IF(O32&gt;=設定!$E$10,"B","C")))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IF(AB32="","",IF(AB32&gt;=設定!$D$10,"A",IF(AB32&gt;=設定!$E$10,"B","C")))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IF(AE32="","",IF(AE32&gt;=設定!$D$10,"A",IF(AE32&gt;=設定!$E$10,"B","C")))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IF(O33="","",IF(O33&gt;=設定!$D$10,"A",IF(O33&gt;=設定!$E$10,"B","C")))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IF(AB33="","",IF(AB33&gt;=設定!$D$10,"A",IF(AB33&gt;=設定!$E$10,"B","C")))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IF(AE33="","",IF(AE33&gt;=設定!$D$10,"A",IF(AE33&gt;=設定!$E$10,"B","C")))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IF(O34="","",IF(O34&gt;=設定!$D$10,"A",IF(O34&gt;=設定!$E$10,"B","C")))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IF(AB34="","",IF(AB34&gt;=設定!$D$10,"A",IF(AB34&gt;=設定!$E$10,"B","C")))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IF(AE34="","",IF(AE34&gt;=設定!$D$10,"A",IF(AE34&gt;=設定!$E$10,"B","C")))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IF(O35="","",IF(O35&gt;=設定!$D$10,"A",IF(O35&gt;=設定!$E$10,"B","C")))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IF(AB35="","",IF(AB35&gt;=設定!$D$10,"A",IF(AB35&gt;=設定!$E$10,"B","C")))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IF(AE35="","",IF(AE35&gt;=設定!$D$10,"A",IF(AE35&gt;=設定!$E$10,"B","C")))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IF(O36="","",IF(O36&gt;=設定!$D$10,"A",IF(O36&gt;=設定!$E$10,"B","C")))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IF(AB36="","",IF(AB36&gt;=設定!$D$10,"A",IF(AB36&gt;=設定!$E$10,"B","C")))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IF(AE36="","",IF(AE36&gt;=設定!$D$10,"A",IF(AE36&gt;=設定!$E$10,"B","C")))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IF(O37="","",IF(O37&gt;=設定!$D$10,"A",IF(O37&gt;=設定!$E$10,"B","C")))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IF(AB37="","",IF(AB37&gt;=設定!$D$10,"A",IF(AB37&gt;=設定!$E$10,"B","C")))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IF(AE37="","",IF(AE37&gt;=設定!$D$10,"A",IF(AE37&gt;=設定!$E$10,"B","C")))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IF(O38="","",IF(O38&gt;=設定!$D$10,"A",IF(O38&gt;=設定!$E$10,"B","C")))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IF(AB38="","",IF(AB38&gt;=設定!$D$10,"A",IF(AB38&gt;=設定!$E$10,"B","C")))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IF(AE38="","",IF(AE38&gt;=設定!$D$10,"A",IF(AE38&gt;=設定!$E$10,"B","C")))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IF(O39="","",IF(O39&gt;=設定!$D$10,"A",IF(O39&gt;=設定!$E$10,"B","C")))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IF(AB39="","",IF(AB39&gt;=設定!$D$10,"A",IF(AB39&gt;=設定!$E$10,"B","C")))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IF(AE39="","",IF(AE39&gt;=設定!$D$10,"A",IF(AE39&gt;=設定!$E$10,"B","C")))</f>
        <v/>
      </c>
    </row>
    <row r="40" s="29" customFormat="true" ht="19.5" hidden="false" customHeight="true" outlineLevel="0" collapsed="false">
      <c r="A40" s="34"/>
      <c r="B40" s="35" t="s">
        <v>35</v>
      </c>
      <c r="C40" s="35" t="str">
        <f aca="false">IF(COUNT(C5:C39)=0,"",ROUND(AVERAGE(C5:C39),1))</f>
        <v/>
      </c>
      <c r="D40" s="35" t="str">
        <f aca="false">IF(COUNT(D5:D39)=0,"",ROUND(AVERAGE(D5:D39),1))</f>
        <v/>
      </c>
      <c r="E40" s="35" t="str">
        <f aca="false">IF(COUNT(E5:E39)=0,"",ROUND(AVERAGE(E5:E39),1))</f>
        <v/>
      </c>
      <c r="F40" s="35" t="str">
        <f aca="false">IF(COUNT(F5:F39)=0,"",ROUND(AVERAGE(F5:F39),1))</f>
        <v/>
      </c>
      <c r="G40" s="35" t="str">
        <f aca="false">IF(COUNT(G5:G39)=0,"",ROUND(AVERAGE(G5:G39),1))</f>
        <v/>
      </c>
      <c r="H40" s="35" t="str">
        <f aca="false">IF(COUNT(H5:H39)=0,"",ROUND(AVERAGE(H5:H39),1))</f>
        <v/>
      </c>
      <c r="I40" s="35" t="str">
        <f aca="false">IF(COUNT(I5:I39)=0,"",ROUND(AVERAGE(I5:I39),1))</f>
        <v/>
      </c>
      <c r="J40" s="35" t="str">
        <f aca="false">IF(COUNT(J5:J39)=0,"",ROUND(AVERAGE(J5:J39),1))</f>
        <v/>
      </c>
      <c r="K40" s="35" t="str">
        <f aca="false">IF(COUNT(K5:K39)=0,"",ROUND(AVERAGE(K5:K39),1))</f>
        <v/>
      </c>
      <c r="L40" s="35" t="str">
        <f aca="false">IF(COUNT(L5:L39)=0,"",ROUND(AVERAGE(L5:L39),1))</f>
        <v/>
      </c>
      <c r="M40" s="35" t="str">
        <f aca="false">IF(COUNT(M5:M39)=0,"",ROUND(AVERAGE(M5:M39),1))</f>
        <v/>
      </c>
      <c r="N40" s="35" t="str">
        <f aca="false">IF(COUNT(N5:N39)=0,"",ROUND(AVERAGE(N5:N39),1))</f>
        <v/>
      </c>
      <c r="O40" s="35" t="str">
        <f aca="false">IF(COUNT(O5:O39)=0,"",ROUND(AVERAGE(O5:O39),1))</f>
        <v/>
      </c>
      <c r="P40" s="35"/>
      <c r="Q40" s="35" t="str">
        <f aca="false">IF(COUNT(Q5:Q39)=0,"",ROUND(AVERAGE(Q5:Q39),1))</f>
        <v/>
      </c>
      <c r="R40" s="35" t="str">
        <f aca="false">IF(COUNT(R5:R39)=0,"",ROUND(AVERAGE(R5:R39),1))</f>
        <v/>
      </c>
      <c r="S40" s="35" t="str">
        <f aca="false">IF(COUNT(S5:S39)=0,"",ROUND(AVERAGE(S5:S39),1))</f>
        <v/>
      </c>
      <c r="T40" s="35" t="str">
        <f aca="false">IF(COUNT(T5:T39)=0,"",ROUND(AVERAGE(T5:T39),1))</f>
        <v/>
      </c>
      <c r="U40" s="35" t="str">
        <f aca="false">IF(COUNT(U5:U39)=0,"",ROUND(AVERAGE(U5:U39),1))</f>
        <v/>
      </c>
      <c r="V40" s="35" t="str">
        <f aca="false">IF(COUNT(V5:V39)=0,"",ROUND(AVERAGE(V5:V39),1))</f>
        <v/>
      </c>
      <c r="W40" s="35" t="str">
        <f aca="false">IF(COUNT(W5:W39)=0,"",ROUND(AVERAGE(W5:W39),1))</f>
        <v/>
      </c>
      <c r="X40" s="35" t="str">
        <f aca="false">IF(COUNT(X5:X39)=0,"",ROUND(AVERAGE(X5:X39),1))</f>
        <v/>
      </c>
      <c r="Y40" s="35" t="str">
        <f aca="false">IF(COUNT(Y5:Y39)=0,"",ROUND(AVERAGE(Y5:Y39),1))</f>
        <v/>
      </c>
      <c r="Z40" s="35" t="str">
        <f aca="false">IF(COUNT(Z5:Z39)=0,"",ROUND(AVERAGE(Z5:Z39),1))</f>
        <v/>
      </c>
      <c r="AA40" s="35" t="str">
        <f aca="false">IF(COUNT(AA5:AA39)=0,"",ROUND(AVERAGE(AA5:AA39),1))</f>
        <v/>
      </c>
      <c r="AB40" s="35" t="str">
        <f aca="false">IF(COUNT(AB5:AB39)=0,"",ROUND(AVERAGE(AB5:AB39),1))</f>
        <v/>
      </c>
      <c r="AC40" s="35"/>
      <c r="AD40" s="35" t="str">
        <f aca="false">IF(COUNT(AD5:AD39)=0,"",ROUND(AVERAGE(AD5:AD39),1))</f>
        <v/>
      </c>
      <c r="AE40" s="35" t="str">
        <f aca="false">IF(COUNT(AE5:AE39)=0,"",ROUND(AVERAGE(AE5:AE39),1))</f>
        <v/>
      </c>
      <c r="AF40" s="35"/>
    </row>
    <row r="41" s="29" customFormat="true" ht="19.5" hidden="false" customHeight="true" outlineLevel="0" collapsed="false">
      <c r="A41" s="35"/>
      <c r="B41" s="35" t="s">
        <v>36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 t="n">
        <f aca="false">COUNTIF(P5:P39,"A")</f>
        <v>0</v>
      </c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 t="n">
        <f aca="false">COUNTIF(AC5:AC39,"A")</f>
        <v>0</v>
      </c>
      <c r="AD41" s="35"/>
      <c r="AE41" s="35"/>
      <c r="AF41" s="35" t="n">
        <f aca="false">COUNTIF(AF5:AF39,"A")</f>
        <v>0</v>
      </c>
    </row>
    <row r="42" s="29" customFormat="true" ht="19.5" hidden="false" customHeight="true" outlineLevel="0" collapsed="false">
      <c r="A42" s="35"/>
      <c r="B42" s="35" t="s">
        <v>37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 t="n">
        <f aca="false">COUNTIF(P5:P39,"B")</f>
        <v>0</v>
      </c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 t="n">
        <f aca="false">COUNTIF(AC5:AC39,"B")</f>
        <v>0</v>
      </c>
      <c r="AD42" s="35"/>
      <c r="AE42" s="35"/>
      <c r="AF42" s="35" t="n">
        <f aca="false">COUNTIF(AF5:AF39,"B")</f>
        <v>0</v>
      </c>
    </row>
    <row r="43" s="29" customFormat="true" ht="19.5" hidden="false" customHeight="true" outlineLevel="0" collapsed="false">
      <c r="A43" s="35"/>
      <c r="B43" s="35" t="s">
        <v>38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 t="n">
        <f aca="false">COUNTIF(P5:P39,"C")</f>
        <v>0</v>
      </c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 t="n">
        <f aca="false">COUNTIF(AC5:AC39,"C")</f>
        <v>0</v>
      </c>
      <c r="AD43" s="35"/>
      <c r="AE43" s="35"/>
      <c r="AF43" s="35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0" width="5"/>
    <col collapsed="false" customWidth="true" hidden="false" outlineLevel="0" max="2" min="2" style="10" width="17.57"/>
    <col collapsed="false" customWidth="true" hidden="false" outlineLevel="0" max="32" min="3" style="10" width="6.14"/>
    <col collapsed="false" customWidth="false" hidden="false" outlineLevel="0" max="16384" min="33" style="10" width="8.71"/>
  </cols>
  <sheetData>
    <row r="1" customFormat="false" ht="21.75" hidden="false" customHeight="true" outlineLevel="0" collapsed="false">
      <c r="A1" s="5" t="s">
        <v>41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9.5" hidden="false" customHeight="true" outlineLevel="0" collapsed="false">
      <c r="A2" s="36" t="s">
        <v>23</v>
      </c>
      <c r="B2" s="36"/>
      <c r="C2" s="36" t="s">
        <v>24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 t="s">
        <v>25</v>
      </c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 t="s">
        <v>26</v>
      </c>
      <c r="AE2" s="36"/>
      <c r="AF2" s="36"/>
    </row>
    <row r="3" customFormat="false" ht="178.5" hidden="false" customHeight="true" outlineLevel="0" collapsed="false">
      <c r="A3" s="36" t="s">
        <v>27</v>
      </c>
      <c r="B3" s="36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8" t="s">
        <v>28</v>
      </c>
      <c r="O3" s="38" t="s">
        <v>29</v>
      </c>
      <c r="P3" s="38" t="s">
        <v>30</v>
      </c>
      <c r="Q3" s="39"/>
      <c r="R3" s="39"/>
      <c r="S3" s="39"/>
      <c r="T3" s="39"/>
      <c r="U3" s="39"/>
      <c r="V3" s="39"/>
      <c r="W3" s="39"/>
      <c r="X3" s="39"/>
      <c r="Y3" s="39"/>
      <c r="Z3" s="39"/>
      <c r="AA3" s="38" t="s">
        <v>28</v>
      </c>
      <c r="AB3" s="38" t="s">
        <v>29</v>
      </c>
      <c r="AC3" s="38" t="s">
        <v>30</v>
      </c>
      <c r="AD3" s="38" t="s">
        <v>31</v>
      </c>
      <c r="AE3" s="38" t="s">
        <v>32</v>
      </c>
      <c r="AF3" s="38" t="s">
        <v>33</v>
      </c>
    </row>
    <row r="4" customFormat="false" ht="21.75" hidden="false" customHeight="true" outlineLevel="0" collapsed="false">
      <c r="A4" s="36" t="s">
        <v>1</v>
      </c>
      <c r="B4" s="36" t="s">
        <v>34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36" t="n">
        <f aca="false">SUM(C4:M4)</f>
        <v>0</v>
      </c>
      <c r="O4" s="36"/>
      <c r="P4" s="36"/>
      <c r="Q4" s="40"/>
      <c r="R4" s="40"/>
      <c r="S4" s="40"/>
      <c r="T4" s="40"/>
      <c r="U4" s="40"/>
      <c r="V4" s="40"/>
      <c r="W4" s="40"/>
      <c r="X4" s="40"/>
      <c r="Y4" s="40"/>
      <c r="Z4" s="40"/>
      <c r="AA4" s="36" t="n">
        <f aca="false">SUM(Q4:Z4)</f>
        <v>0</v>
      </c>
      <c r="AB4" s="36"/>
      <c r="AC4" s="36"/>
      <c r="AD4" s="36" t="n">
        <f aca="false">N4+AA4</f>
        <v>0</v>
      </c>
      <c r="AE4" s="36"/>
      <c r="AF4" s="36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IF(O5="","",IF(O5&gt;=設定!$D$11,"A",IF(O5&gt;=設定!$E$11,"B","C")))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IF(AB5="","",IF(AB5&gt;=設定!$D$11,"A",IF(AB5&gt;=設定!$E$11,"B","C")))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IF(AE5="","",IF(AE5&gt;=設定!$D$11,"A",IF(AE5&gt;=設定!$E$11,"B","C")))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IF(O6="","",IF(O6&gt;=設定!$D$11,"A",IF(O6&gt;=設定!$E$11,"B","C")))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IF(AB6="","",IF(AB6&gt;=設定!$D$11,"A",IF(AB6&gt;=設定!$E$11,"B","C")))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IF(AE6="","",IF(AE6&gt;=設定!$D$11,"A",IF(AE6&gt;=設定!$E$11,"B","C")))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IF(O7="","",IF(O7&gt;=設定!$D$11,"A",IF(O7&gt;=設定!$E$11,"B","C")))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IF(AB7="","",IF(AB7&gt;=設定!$D$11,"A",IF(AB7&gt;=設定!$E$11,"B","C")))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IF(AE7="","",IF(AE7&gt;=設定!$D$11,"A",IF(AE7&gt;=設定!$E$11,"B","C")))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IF(O8="","",IF(O8&gt;=設定!$D$11,"A",IF(O8&gt;=設定!$E$11,"B","C")))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IF(AB8="","",IF(AB8&gt;=設定!$D$11,"A",IF(AB8&gt;=設定!$E$11,"B","C")))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IF(AE8="","",IF(AE8&gt;=設定!$D$11,"A",IF(AE8&gt;=設定!$E$11,"B","C")))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IF(O9="","",IF(O9&gt;=設定!$D$11,"A",IF(O9&gt;=設定!$E$11,"B","C")))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IF(AB9="","",IF(AB9&gt;=設定!$D$11,"A",IF(AB9&gt;=設定!$E$11,"B","C")))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IF(AE9="","",IF(AE9&gt;=設定!$D$11,"A",IF(AE9&gt;=設定!$E$11,"B","C")))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IF(O10="","",IF(O10&gt;=設定!$D$11,"A",IF(O10&gt;=設定!$E$11,"B","C")))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IF(AB10="","",IF(AB10&gt;=設定!$D$11,"A",IF(AB10&gt;=設定!$E$11,"B","C")))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IF(AE10="","",IF(AE10&gt;=設定!$D$11,"A",IF(AE10&gt;=設定!$E$11,"B","C")))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IF(O11="","",IF(O11&gt;=設定!$D$11,"A",IF(O11&gt;=設定!$E$11,"B","C")))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IF(AB11="","",IF(AB11&gt;=設定!$D$11,"A",IF(AB11&gt;=設定!$E$11,"B","C")))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IF(AE11="","",IF(AE11&gt;=設定!$D$11,"A",IF(AE11&gt;=設定!$E$11,"B","C")))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IF(O12="","",IF(O12&gt;=設定!$D$11,"A",IF(O12&gt;=設定!$E$11,"B","C")))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IF(AB12="","",IF(AB12&gt;=設定!$D$11,"A",IF(AB12&gt;=設定!$E$11,"B","C")))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IF(AE12="","",IF(AE12&gt;=設定!$D$11,"A",IF(AE12&gt;=設定!$E$11,"B","C")))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IF(O13="","",IF(O13&gt;=設定!$D$11,"A",IF(O13&gt;=設定!$E$11,"B","C")))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IF(AB13="","",IF(AB13&gt;=設定!$D$11,"A",IF(AB13&gt;=設定!$E$11,"B","C")))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IF(AE13="","",IF(AE13&gt;=設定!$D$11,"A",IF(AE13&gt;=設定!$E$11,"B","C")))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IF(O14="","",IF(O14&gt;=設定!$D$11,"A",IF(O14&gt;=設定!$E$11,"B","C")))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IF(AB14="","",IF(AB14&gt;=設定!$D$11,"A",IF(AB14&gt;=設定!$E$11,"B","C")))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IF(AE14="","",IF(AE14&gt;=設定!$D$11,"A",IF(AE14&gt;=設定!$E$11,"B","C")))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IF(O15="","",IF(O15&gt;=設定!$D$11,"A",IF(O15&gt;=設定!$E$11,"B","C")))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IF(AB15="","",IF(AB15&gt;=設定!$D$11,"A",IF(AB15&gt;=設定!$E$11,"B","C")))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IF(AE15="","",IF(AE15&gt;=設定!$D$11,"A",IF(AE15&gt;=設定!$E$11,"B","C")))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IF(O16="","",IF(O16&gt;=設定!$D$11,"A",IF(O16&gt;=設定!$E$11,"B","C")))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IF(AB16="","",IF(AB16&gt;=設定!$D$11,"A",IF(AB16&gt;=設定!$E$11,"B","C")))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IF(AE16="","",IF(AE16&gt;=設定!$D$11,"A",IF(AE16&gt;=設定!$E$11,"B","C")))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IF(O17="","",IF(O17&gt;=設定!$D$11,"A",IF(O17&gt;=設定!$E$11,"B","C")))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IF(AB17="","",IF(AB17&gt;=設定!$D$11,"A",IF(AB17&gt;=設定!$E$11,"B","C")))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IF(AE17="","",IF(AE17&gt;=設定!$D$11,"A",IF(AE17&gt;=設定!$E$11,"B","C")))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IF(O18="","",IF(O18&gt;=設定!$D$11,"A",IF(O18&gt;=設定!$E$11,"B","C")))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IF(AB18="","",IF(AB18&gt;=設定!$D$11,"A",IF(AB18&gt;=設定!$E$11,"B","C")))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IF(AE18="","",IF(AE18&gt;=設定!$D$11,"A",IF(AE18&gt;=設定!$E$11,"B","C")))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IF(O19="","",IF(O19&gt;=設定!$D$11,"A",IF(O19&gt;=設定!$E$11,"B","C")))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IF(AB19="","",IF(AB19&gt;=設定!$D$11,"A",IF(AB19&gt;=設定!$E$11,"B","C")))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IF(AE19="","",IF(AE19&gt;=設定!$D$11,"A",IF(AE19&gt;=設定!$E$11,"B","C")))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IF(O20="","",IF(O20&gt;=設定!$D$11,"A",IF(O20&gt;=設定!$E$11,"B","C")))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IF(AB20="","",IF(AB20&gt;=設定!$D$11,"A",IF(AB20&gt;=設定!$E$11,"B","C")))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IF(AE20="","",IF(AE20&gt;=設定!$D$11,"A",IF(AE20&gt;=設定!$E$11,"B","C")))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IF(O21="","",IF(O21&gt;=設定!$D$11,"A",IF(O21&gt;=設定!$E$11,"B","C")))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IF(AB21="","",IF(AB21&gt;=設定!$D$11,"A",IF(AB21&gt;=設定!$E$11,"B","C")))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IF(AE21="","",IF(AE21&gt;=設定!$D$11,"A",IF(AE21&gt;=設定!$E$11,"B","C")))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IF(O22="","",IF(O22&gt;=設定!$D$11,"A",IF(O22&gt;=設定!$E$11,"B","C")))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IF(AB22="","",IF(AB22&gt;=設定!$D$11,"A",IF(AB22&gt;=設定!$E$11,"B","C")))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IF(AE22="","",IF(AE22&gt;=設定!$D$11,"A",IF(AE22&gt;=設定!$E$11,"B","C")))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IF(O23="","",IF(O23&gt;=設定!$D$11,"A",IF(O23&gt;=設定!$E$11,"B","C")))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IF(AB23="","",IF(AB23&gt;=設定!$D$11,"A",IF(AB23&gt;=設定!$E$11,"B","C")))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IF(AE23="","",IF(AE23&gt;=設定!$D$11,"A",IF(AE23&gt;=設定!$E$11,"B","C")))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IF(O24="","",IF(O24&gt;=設定!$D$11,"A",IF(O24&gt;=設定!$E$11,"B","C")))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IF(AB24="","",IF(AB24&gt;=設定!$D$11,"A",IF(AB24&gt;=設定!$E$11,"B","C")))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IF(AE24="","",IF(AE24&gt;=設定!$D$11,"A",IF(AE24&gt;=設定!$E$11,"B","C")))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IF(O25="","",IF(O25&gt;=設定!$D$11,"A",IF(O25&gt;=設定!$E$11,"B","C")))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IF(AB25="","",IF(AB25&gt;=設定!$D$11,"A",IF(AB25&gt;=設定!$E$11,"B","C")))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IF(AE25="","",IF(AE25&gt;=設定!$D$11,"A",IF(AE25&gt;=設定!$E$11,"B","C")))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IF(O26="","",IF(O26&gt;=設定!$D$11,"A",IF(O26&gt;=設定!$E$11,"B","C")))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IF(AB26="","",IF(AB26&gt;=設定!$D$11,"A",IF(AB26&gt;=設定!$E$11,"B","C")))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IF(AE26="","",IF(AE26&gt;=設定!$D$11,"A",IF(AE26&gt;=設定!$E$11,"B","C")))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IF(O27="","",IF(O27&gt;=設定!$D$11,"A",IF(O27&gt;=設定!$E$11,"B","C")))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IF(AB27="","",IF(AB27&gt;=設定!$D$11,"A",IF(AB27&gt;=設定!$E$11,"B","C")))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IF(AE27="","",IF(AE27&gt;=設定!$D$11,"A",IF(AE27&gt;=設定!$E$11,"B","C")))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IF(O28="","",IF(O28&gt;=設定!$D$11,"A",IF(O28&gt;=設定!$E$11,"B","C")))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IF(AB28="","",IF(AB28&gt;=設定!$D$11,"A",IF(AB28&gt;=設定!$E$11,"B","C")))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IF(AE28="","",IF(AE28&gt;=設定!$D$11,"A",IF(AE28&gt;=設定!$E$11,"B","C")))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IF(O29="","",IF(O29&gt;=設定!$D$11,"A",IF(O29&gt;=設定!$E$11,"B","C")))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IF(AB29="","",IF(AB29&gt;=設定!$D$11,"A",IF(AB29&gt;=設定!$E$11,"B","C")))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IF(AE29="","",IF(AE29&gt;=設定!$D$11,"A",IF(AE29&gt;=設定!$E$11,"B","C")))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IF(O30="","",IF(O30&gt;=設定!$D$11,"A",IF(O30&gt;=設定!$E$11,"B","C")))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IF(AB30="","",IF(AB30&gt;=設定!$D$11,"A",IF(AB30&gt;=設定!$E$11,"B","C")))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IF(AE30="","",IF(AE30&gt;=設定!$D$11,"A",IF(AE30&gt;=設定!$E$11,"B","C")))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IF(O31="","",IF(O31&gt;=設定!$D$11,"A",IF(O31&gt;=設定!$E$11,"B","C")))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IF(AB31="","",IF(AB31&gt;=設定!$D$11,"A",IF(AB31&gt;=設定!$E$11,"B","C")))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IF(AE31="","",IF(AE31&gt;=設定!$D$11,"A",IF(AE31&gt;=設定!$E$11,"B","C")))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IF(O32="","",IF(O32&gt;=設定!$D$11,"A",IF(O32&gt;=設定!$E$11,"B","C")))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IF(AB32="","",IF(AB32&gt;=設定!$D$11,"A",IF(AB32&gt;=設定!$E$11,"B","C")))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IF(AE32="","",IF(AE32&gt;=設定!$D$11,"A",IF(AE32&gt;=設定!$E$11,"B","C")))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IF(O33="","",IF(O33&gt;=設定!$D$11,"A",IF(O33&gt;=設定!$E$11,"B","C")))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IF(AB33="","",IF(AB33&gt;=設定!$D$11,"A",IF(AB33&gt;=設定!$E$11,"B","C")))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IF(AE33="","",IF(AE33&gt;=設定!$D$11,"A",IF(AE33&gt;=設定!$E$11,"B","C")))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IF(O34="","",IF(O34&gt;=設定!$D$11,"A",IF(O34&gt;=設定!$E$11,"B","C")))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IF(AB34="","",IF(AB34&gt;=設定!$D$11,"A",IF(AB34&gt;=設定!$E$11,"B","C")))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IF(AE34="","",IF(AE34&gt;=設定!$D$11,"A",IF(AE34&gt;=設定!$E$11,"B","C")))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IF(O35="","",IF(O35&gt;=設定!$D$11,"A",IF(O35&gt;=設定!$E$11,"B","C")))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IF(AB35="","",IF(AB35&gt;=設定!$D$11,"A",IF(AB35&gt;=設定!$E$11,"B","C")))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IF(AE35="","",IF(AE35&gt;=設定!$D$11,"A",IF(AE35&gt;=設定!$E$11,"B","C")))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IF(O36="","",IF(O36&gt;=設定!$D$11,"A",IF(O36&gt;=設定!$E$11,"B","C")))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IF(AB36="","",IF(AB36&gt;=設定!$D$11,"A",IF(AB36&gt;=設定!$E$11,"B","C")))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IF(AE36="","",IF(AE36&gt;=設定!$D$11,"A",IF(AE36&gt;=設定!$E$11,"B","C")))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IF(O37="","",IF(O37&gt;=設定!$D$11,"A",IF(O37&gt;=設定!$E$11,"B","C")))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IF(AB37="","",IF(AB37&gt;=設定!$D$11,"A",IF(AB37&gt;=設定!$E$11,"B","C")))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IF(AE37="","",IF(AE37&gt;=設定!$D$11,"A",IF(AE37&gt;=設定!$E$11,"B","C")))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IF(O38="","",IF(O38&gt;=設定!$D$11,"A",IF(O38&gt;=設定!$E$11,"B","C")))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IF(AB38="","",IF(AB38&gt;=設定!$D$11,"A",IF(AB38&gt;=設定!$E$11,"B","C")))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IF(AE38="","",IF(AE38&gt;=設定!$D$11,"A",IF(AE38&gt;=設定!$E$11,"B","C")))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IF(O39="","",IF(O39&gt;=設定!$D$11,"A",IF(O39&gt;=設定!$E$11,"B","C")))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IF(AB39="","",IF(AB39&gt;=設定!$D$11,"A",IF(AB39&gt;=設定!$E$11,"B","C")))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IF(AE39="","",IF(AE39&gt;=設定!$D$11,"A",IF(AE39&gt;=設定!$E$11,"B","C")))</f>
        <v/>
      </c>
    </row>
    <row r="40" s="43" customFormat="true" ht="19.5" hidden="false" customHeight="true" outlineLevel="0" collapsed="false">
      <c r="A40" s="41"/>
      <c r="B40" s="42" t="s">
        <v>35</v>
      </c>
      <c r="C40" s="42" t="str">
        <f aca="false">IF(COUNT(C5:C39)=0,"",ROUND(AVERAGE(C5:C39),1))</f>
        <v/>
      </c>
      <c r="D40" s="42" t="str">
        <f aca="false">IF(COUNT(D5:D39)=0,"",ROUND(AVERAGE(D5:D39),1))</f>
        <v/>
      </c>
      <c r="E40" s="42" t="str">
        <f aca="false">IF(COUNT(E5:E39)=0,"",ROUND(AVERAGE(E5:E39),1))</f>
        <v/>
      </c>
      <c r="F40" s="42" t="str">
        <f aca="false">IF(COUNT(F5:F39)=0,"",ROUND(AVERAGE(F5:F39),1))</f>
        <v/>
      </c>
      <c r="G40" s="42" t="str">
        <f aca="false">IF(COUNT(G5:G39)=0,"",ROUND(AVERAGE(G5:G39),1))</f>
        <v/>
      </c>
      <c r="H40" s="42" t="str">
        <f aca="false">IF(COUNT(H5:H39)=0,"",ROUND(AVERAGE(H5:H39),1))</f>
        <v/>
      </c>
      <c r="I40" s="42" t="str">
        <f aca="false">IF(COUNT(I5:I39)=0,"",ROUND(AVERAGE(I5:I39),1))</f>
        <v/>
      </c>
      <c r="J40" s="42" t="str">
        <f aca="false">IF(COUNT(J5:J39)=0,"",ROUND(AVERAGE(J5:J39),1))</f>
        <v/>
      </c>
      <c r="K40" s="42" t="str">
        <f aca="false">IF(COUNT(K5:K39)=0,"",ROUND(AVERAGE(K5:K39),1))</f>
        <v/>
      </c>
      <c r="L40" s="42" t="str">
        <f aca="false">IF(COUNT(L5:L39)=0,"",ROUND(AVERAGE(L5:L39),1))</f>
        <v/>
      </c>
      <c r="M40" s="42" t="str">
        <f aca="false">IF(COUNT(M5:M39)=0,"",ROUND(AVERAGE(M5:M39),1))</f>
        <v/>
      </c>
      <c r="N40" s="42" t="str">
        <f aca="false">IF(COUNT(N5:N39)=0,"",ROUND(AVERAGE(N5:N39),1))</f>
        <v/>
      </c>
      <c r="O40" s="42" t="str">
        <f aca="false">IF(COUNT(O5:O39)=0,"",ROUND(AVERAGE(O5:O39),1))</f>
        <v/>
      </c>
      <c r="P40" s="42"/>
      <c r="Q40" s="42" t="str">
        <f aca="false">IF(COUNT(Q5:Q39)=0,"",ROUND(AVERAGE(Q5:Q39),1))</f>
        <v/>
      </c>
      <c r="R40" s="42" t="str">
        <f aca="false">IF(COUNT(R5:R39)=0,"",ROUND(AVERAGE(R5:R39),1))</f>
        <v/>
      </c>
      <c r="S40" s="42" t="str">
        <f aca="false">IF(COUNT(S5:S39)=0,"",ROUND(AVERAGE(S5:S39),1))</f>
        <v/>
      </c>
      <c r="T40" s="42" t="str">
        <f aca="false">IF(COUNT(T5:T39)=0,"",ROUND(AVERAGE(T5:T39),1))</f>
        <v/>
      </c>
      <c r="U40" s="42" t="str">
        <f aca="false">IF(COUNT(U5:U39)=0,"",ROUND(AVERAGE(U5:U39),1))</f>
        <v/>
      </c>
      <c r="V40" s="42" t="str">
        <f aca="false">IF(COUNT(V5:V39)=0,"",ROUND(AVERAGE(V5:V39),1))</f>
        <v/>
      </c>
      <c r="W40" s="42" t="str">
        <f aca="false">IF(COUNT(W5:W39)=0,"",ROUND(AVERAGE(W5:W39),1))</f>
        <v/>
      </c>
      <c r="X40" s="42" t="str">
        <f aca="false">IF(COUNT(X5:X39)=0,"",ROUND(AVERAGE(X5:X39),1))</f>
        <v/>
      </c>
      <c r="Y40" s="42" t="str">
        <f aca="false">IF(COUNT(Y5:Y39)=0,"",ROUND(AVERAGE(Y5:Y39),1))</f>
        <v/>
      </c>
      <c r="Z40" s="42" t="str">
        <f aca="false">IF(COUNT(Z5:Z39)=0,"",ROUND(AVERAGE(Z5:Z39),1))</f>
        <v/>
      </c>
      <c r="AA40" s="42" t="str">
        <f aca="false">IF(COUNT(AA5:AA39)=0,"",ROUND(AVERAGE(AA5:AA39),1))</f>
        <v/>
      </c>
      <c r="AB40" s="42" t="str">
        <f aca="false">IF(COUNT(AB5:AB39)=0,"",ROUND(AVERAGE(AB5:AB39),1))</f>
        <v/>
      </c>
      <c r="AC40" s="42"/>
      <c r="AD40" s="42" t="str">
        <f aca="false">IF(COUNT(AD5:AD39)=0,"",ROUND(AVERAGE(AD5:AD39),1))</f>
        <v/>
      </c>
      <c r="AE40" s="42" t="str">
        <f aca="false">IF(COUNT(AE5:AE39)=0,"",ROUND(AVERAGE(AE5:AE39),1))</f>
        <v/>
      </c>
      <c r="AF40" s="42"/>
    </row>
    <row r="41" s="43" customFormat="true" ht="19.5" hidden="false" customHeight="true" outlineLevel="0" collapsed="false">
      <c r="A41" s="42"/>
      <c r="B41" s="42" t="s">
        <v>36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 t="n">
        <f aca="false">COUNTIF(P5:P39,"A")</f>
        <v>0</v>
      </c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 t="n">
        <f aca="false">COUNTIF(AC5:AC39,"A")</f>
        <v>0</v>
      </c>
      <c r="AD41" s="42"/>
      <c r="AE41" s="42"/>
      <c r="AF41" s="42" t="n">
        <f aca="false">COUNTIF(AF5:AF39,"A")</f>
        <v>0</v>
      </c>
    </row>
    <row r="42" s="43" customFormat="true" ht="19.5" hidden="false" customHeight="true" outlineLevel="0" collapsed="false">
      <c r="A42" s="42"/>
      <c r="B42" s="42" t="s">
        <v>37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 t="n">
        <f aca="false">COUNTIF(P5:P39,"B")</f>
        <v>0</v>
      </c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 t="n">
        <f aca="false">COUNTIF(AC5:AC39,"B")</f>
        <v>0</v>
      </c>
      <c r="AD42" s="42"/>
      <c r="AE42" s="42"/>
      <c r="AF42" s="42" t="n">
        <f aca="false">COUNTIF(AF5:AF39,"B")</f>
        <v>0</v>
      </c>
    </row>
    <row r="43" s="43" customFormat="true" ht="19.5" hidden="false" customHeight="true" outlineLevel="0" collapsed="false">
      <c r="A43" s="42"/>
      <c r="B43" s="42" t="s">
        <v>38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 t="n">
        <f aca="false">COUNTIF(P5:P39,"C")</f>
        <v>0</v>
      </c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 t="n">
        <f aca="false">COUNTIF(AC5:AC39,"C")</f>
        <v>0</v>
      </c>
      <c r="AD43" s="42"/>
      <c r="AE43" s="42"/>
      <c r="AF43" s="42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0" width="5"/>
    <col collapsed="false" customWidth="true" hidden="false" outlineLevel="0" max="2" min="2" style="10" width="17.57"/>
    <col collapsed="false" customWidth="true" hidden="false" outlineLevel="0" max="32" min="3" style="10" width="6.14"/>
    <col collapsed="false" customWidth="false" hidden="false" outlineLevel="0" max="16384" min="33" style="10" width="8.71"/>
  </cols>
  <sheetData>
    <row r="1" customFormat="false" ht="21.75" hidden="false" customHeight="true" outlineLevel="0" collapsed="false">
      <c r="A1" s="5" t="s">
        <v>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9.5" hidden="false" customHeight="true" outlineLevel="0" collapsed="false">
      <c r="A2" s="44" t="s">
        <v>23</v>
      </c>
      <c r="B2" s="44"/>
      <c r="C2" s="44" t="s">
        <v>24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 t="s">
        <v>25</v>
      </c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 t="s">
        <v>26</v>
      </c>
      <c r="AE2" s="44"/>
      <c r="AF2" s="44"/>
    </row>
    <row r="3" customFormat="false" ht="178.5" hidden="false" customHeight="true" outlineLevel="0" collapsed="false">
      <c r="A3" s="44" t="s">
        <v>27</v>
      </c>
      <c r="B3" s="44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6" t="s">
        <v>28</v>
      </c>
      <c r="O3" s="46" t="s">
        <v>29</v>
      </c>
      <c r="P3" s="46" t="s">
        <v>30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6" t="s">
        <v>28</v>
      </c>
      <c r="AB3" s="46" t="s">
        <v>29</v>
      </c>
      <c r="AC3" s="46" t="s">
        <v>30</v>
      </c>
      <c r="AD3" s="46" t="s">
        <v>31</v>
      </c>
      <c r="AE3" s="46" t="s">
        <v>32</v>
      </c>
      <c r="AF3" s="46" t="s">
        <v>33</v>
      </c>
    </row>
    <row r="4" customFormat="false" ht="21.75" hidden="false" customHeight="true" outlineLevel="0" collapsed="false">
      <c r="A4" s="44" t="s">
        <v>1</v>
      </c>
      <c r="B4" s="44" t="s">
        <v>34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4" t="n">
        <f aca="false">SUM(C4:M4)</f>
        <v>0</v>
      </c>
      <c r="O4" s="44"/>
      <c r="P4" s="44"/>
      <c r="Q4" s="48"/>
      <c r="R4" s="48"/>
      <c r="S4" s="48"/>
      <c r="T4" s="48"/>
      <c r="U4" s="48"/>
      <c r="V4" s="48"/>
      <c r="W4" s="48"/>
      <c r="X4" s="48"/>
      <c r="Y4" s="48"/>
      <c r="Z4" s="48"/>
      <c r="AA4" s="44" t="n">
        <f aca="false">SUM(Q4:Z4)</f>
        <v>0</v>
      </c>
      <c r="AB4" s="44"/>
      <c r="AC4" s="44"/>
      <c r="AD4" s="44" t="n">
        <f aca="false">N4+AA4</f>
        <v>0</v>
      </c>
      <c r="AE4" s="44"/>
      <c r="AF4" s="44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IF(O5="","",IF(O5&gt;=設定!$D$12,"A",IF(O5&gt;=設定!$E$12,"B","C")))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IF(AB5="","",IF(AB5&gt;=設定!$D$12,"A",IF(AB5&gt;=設定!$E$12,"B","C")))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IF(AE5="","",IF(AE5&gt;=設定!$D$12,"A",IF(AE5&gt;=設定!$E$12,"B","C")))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IF(O6="","",IF(O6&gt;=設定!$D$12,"A",IF(O6&gt;=設定!$E$12,"B","C")))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IF(AB6="","",IF(AB6&gt;=設定!$D$12,"A",IF(AB6&gt;=設定!$E$12,"B","C")))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IF(AE6="","",IF(AE6&gt;=設定!$D$12,"A",IF(AE6&gt;=設定!$E$12,"B","C")))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IF(O7="","",IF(O7&gt;=設定!$D$12,"A",IF(O7&gt;=設定!$E$12,"B","C")))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IF(AB7="","",IF(AB7&gt;=設定!$D$12,"A",IF(AB7&gt;=設定!$E$12,"B","C")))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IF(AE7="","",IF(AE7&gt;=設定!$D$12,"A",IF(AE7&gt;=設定!$E$12,"B","C")))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IF(O8="","",IF(O8&gt;=設定!$D$12,"A",IF(O8&gt;=設定!$E$12,"B","C")))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IF(AB8="","",IF(AB8&gt;=設定!$D$12,"A",IF(AB8&gt;=設定!$E$12,"B","C")))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IF(AE8="","",IF(AE8&gt;=設定!$D$12,"A",IF(AE8&gt;=設定!$E$12,"B","C")))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IF(O9="","",IF(O9&gt;=設定!$D$12,"A",IF(O9&gt;=設定!$E$12,"B","C")))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IF(AB9="","",IF(AB9&gt;=設定!$D$12,"A",IF(AB9&gt;=設定!$E$12,"B","C")))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IF(AE9="","",IF(AE9&gt;=設定!$D$12,"A",IF(AE9&gt;=設定!$E$12,"B","C")))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IF(O10="","",IF(O10&gt;=設定!$D$12,"A",IF(O10&gt;=設定!$E$12,"B","C")))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IF(AB10="","",IF(AB10&gt;=設定!$D$12,"A",IF(AB10&gt;=設定!$E$12,"B","C")))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IF(AE10="","",IF(AE10&gt;=設定!$D$12,"A",IF(AE10&gt;=設定!$E$12,"B","C")))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IF(O11="","",IF(O11&gt;=設定!$D$12,"A",IF(O11&gt;=設定!$E$12,"B","C")))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IF(AB11="","",IF(AB11&gt;=設定!$D$12,"A",IF(AB11&gt;=設定!$E$12,"B","C")))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IF(AE11="","",IF(AE11&gt;=設定!$D$12,"A",IF(AE11&gt;=設定!$E$12,"B","C")))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IF(O12="","",IF(O12&gt;=設定!$D$12,"A",IF(O12&gt;=設定!$E$12,"B","C")))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IF(AB12="","",IF(AB12&gt;=設定!$D$12,"A",IF(AB12&gt;=設定!$E$12,"B","C")))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IF(AE12="","",IF(AE12&gt;=設定!$D$12,"A",IF(AE12&gt;=設定!$E$12,"B","C")))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IF(O13="","",IF(O13&gt;=設定!$D$12,"A",IF(O13&gt;=設定!$E$12,"B","C")))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IF(AB13="","",IF(AB13&gt;=設定!$D$12,"A",IF(AB13&gt;=設定!$E$12,"B","C")))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IF(AE13="","",IF(AE13&gt;=設定!$D$12,"A",IF(AE13&gt;=設定!$E$12,"B","C")))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IF(O14="","",IF(O14&gt;=設定!$D$12,"A",IF(O14&gt;=設定!$E$12,"B","C")))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IF(AB14="","",IF(AB14&gt;=設定!$D$12,"A",IF(AB14&gt;=設定!$E$12,"B","C")))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IF(AE14="","",IF(AE14&gt;=設定!$D$12,"A",IF(AE14&gt;=設定!$E$12,"B","C")))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IF(O15="","",IF(O15&gt;=設定!$D$12,"A",IF(O15&gt;=設定!$E$12,"B","C")))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IF(AB15="","",IF(AB15&gt;=設定!$D$12,"A",IF(AB15&gt;=設定!$E$12,"B","C")))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IF(AE15="","",IF(AE15&gt;=設定!$D$12,"A",IF(AE15&gt;=設定!$E$12,"B","C")))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IF(O16="","",IF(O16&gt;=設定!$D$12,"A",IF(O16&gt;=設定!$E$12,"B","C")))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IF(AB16="","",IF(AB16&gt;=設定!$D$12,"A",IF(AB16&gt;=設定!$E$12,"B","C")))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IF(AE16="","",IF(AE16&gt;=設定!$D$12,"A",IF(AE16&gt;=設定!$E$12,"B","C")))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IF(O17="","",IF(O17&gt;=設定!$D$12,"A",IF(O17&gt;=設定!$E$12,"B","C")))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IF(AB17="","",IF(AB17&gt;=設定!$D$12,"A",IF(AB17&gt;=設定!$E$12,"B","C")))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IF(AE17="","",IF(AE17&gt;=設定!$D$12,"A",IF(AE17&gt;=設定!$E$12,"B","C")))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IF(O18="","",IF(O18&gt;=設定!$D$12,"A",IF(O18&gt;=設定!$E$12,"B","C")))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IF(AB18="","",IF(AB18&gt;=設定!$D$12,"A",IF(AB18&gt;=設定!$E$12,"B","C")))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IF(AE18="","",IF(AE18&gt;=設定!$D$12,"A",IF(AE18&gt;=設定!$E$12,"B","C")))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IF(O19="","",IF(O19&gt;=設定!$D$12,"A",IF(O19&gt;=設定!$E$12,"B","C")))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IF(AB19="","",IF(AB19&gt;=設定!$D$12,"A",IF(AB19&gt;=設定!$E$12,"B","C")))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IF(AE19="","",IF(AE19&gt;=設定!$D$12,"A",IF(AE19&gt;=設定!$E$12,"B","C")))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IF(O20="","",IF(O20&gt;=設定!$D$12,"A",IF(O20&gt;=設定!$E$12,"B","C")))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IF(AB20="","",IF(AB20&gt;=設定!$D$12,"A",IF(AB20&gt;=設定!$E$12,"B","C")))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IF(AE20="","",IF(AE20&gt;=設定!$D$12,"A",IF(AE20&gt;=設定!$E$12,"B","C")))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IF(O21="","",IF(O21&gt;=設定!$D$12,"A",IF(O21&gt;=設定!$E$12,"B","C")))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IF(AB21="","",IF(AB21&gt;=設定!$D$12,"A",IF(AB21&gt;=設定!$E$12,"B","C")))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IF(AE21="","",IF(AE21&gt;=設定!$D$12,"A",IF(AE21&gt;=設定!$E$12,"B","C")))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IF(O22="","",IF(O22&gt;=設定!$D$12,"A",IF(O22&gt;=設定!$E$12,"B","C")))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IF(AB22="","",IF(AB22&gt;=設定!$D$12,"A",IF(AB22&gt;=設定!$E$12,"B","C")))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IF(AE22="","",IF(AE22&gt;=設定!$D$12,"A",IF(AE22&gt;=設定!$E$12,"B","C")))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IF(O23="","",IF(O23&gt;=設定!$D$12,"A",IF(O23&gt;=設定!$E$12,"B","C")))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IF(AB23="","",IF(AB23&gt;=設定!$D$12,"A",IF(AB23&gt;=設定!$E$12,"B","C")))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IF(AE23="","",IF(AE23&gt;=設定!$D$12,"A",IF(AE23&gt;=設定!$E$12,"B","C")))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IF(O24="","",IF(O24&gt;=設定!$D$12,"A",IF(O24&gt;=設定!$E$12,"B","C")))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IF(AB24="","",IF(AB24&gt;=設定!$D$12,"A",IF(AB24&gt;=設定!$E$12,"B","C")))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IF(AE24="","",IF(AE24&gt;=設定!$D$12,"A",IF(AE24&gt;=設定!$E$12,"B","C")))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IF(O25="","",IF(O25&gt;=設定!$D$12,"A",IF(O25&gt;=設定!$E$12,"B","C")))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IF(AB25="","",IF(AB25&gt;=設定!$D$12,"A",IF(AB25&gt;=設定!$E$12,"B","C")))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IF(AE25="","",IF(AE25&gt;=設定!$D$12,"A",IF(AE25&gt;=設定!$E$12,"B","C")))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IF(O26="","",IF(O26&gt;=設定!$D$12,"A",IF(O26&gt;=設定!$E$12,"B","C")))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IF(AB26="","",IF(AB26&gt;=設定!$D$12,"A",IF(AB26&gt;=設定!$E$12,"B","C")))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IF(AE26="","",IF(AE26&gt;=設定!$D$12,"A",IF(AE26&gt;=設定!$E$12,"B","C")))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IF(O27="","",IF(O27&gt;=設定!$D$12,"A",IF(O27&gt;=設定!$E$12,"B","C")))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IF(AB27="","",IF(AB27&gt;=設定!$D$12,"A",IF(AB27&gt;=設定!$E$12,"B","C")))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IF(AE27="","",IF(AE27&gt;=設定!$D$12,"A",IF(AE27&gt;=設定!$E$12,"B","C")))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IF(O28="","",IF(O28&gt;=設定!$D$12,"A",IF(O28&gt;=設定!$E$12,"B","C")))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IF(AB28="","",IF(AB28&gt;=設定!$D$12,"A",IF(AB28&gt;=設定!$E$12,"B","C")))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IF(AE28="","",IF(AE28&gt;=設定!$D$12,"A",IF(AE28&gt;=設定!$E$12,"B","C")))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IF(O29="","",IF(O29&gt;=設定!$D$12,"A",IF(O29&gt;=設定!$E$12,"B","C")))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IF(AB29="","",IF(AB29&gt;=設定!$D$12,"A",IF(AB29&gt;=設定!$E$12,"B","C")))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IF(AE29="","",IF(AE29&gt;=設定!$D$12,"A",IF(AE29&gt;=設定!$E$12,"B","C")))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IF(O30="","",IF(O30&gt;=設定!$D$12,"A",IF(O30&gt;=設定!$E$12,"B","C")))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IF(AB30="","",IF(AB30&gt;=設定!$D$12,"A",IF(AB30&gt;=設定!$E$12,"B","C")))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IF(AE30="","",IF(AE30&gt;=設定!$D$12,"A",IF(AE30&gt;=設定!$E$12,"B","C")))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IF(O31="","",IF(O31&gt;=設定!$D$12,"A",IF(O31&gt;=設定!$E$12,"B","C")))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IF(AB31="","",IF(AB31&gt;=設定!$D$12,"A",IF(AB31&gt;=設定!$E$12,"B","C")))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IF(AE31="","",IF(AE31&gt;=設定!$D$12,"A",IF(AE31&gt;=設定!$E$12,"B","C")))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IF(O32="","",IF(O32&gt;=設定!$D$12,"A",IF(O32&gt;=設定!$E$12,"B","C")))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IF(AB32="","",IF(AB32&gt;=設定!$D$12,"A",IF(AB32&gt;=設定!$E$12,"B","C")))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IF(AE32="","",IF(AE32&gt;=設定!$D$12,"A",IF(AE32&gt;=設定!$E$12,"B","C")))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IF(O33="","",IF(O33&gt;=設定!$D$12,"A",IF(O33&gt;=設定!$E$12,"B","C")))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IF(AB33="","",IF(AB33&gt;=設定!$D$12,"A",IF(AB33&gt;=設定!$E$12,"B","C")))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IF(AE33="","",IF(AE33&gt;=設定!$D$12,"A",IF(AE33&gt;=設定!$E$12,"B","C")))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IF(O34="","",IF(O34&gt;=設定!$D$12,"A",IF(O34&gt;=設定!$E$12,"B","C")))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IF(AB34="","",IF(AB34&gt;=設定!$D$12,"A",IF(AB34&gt;=設定!$E$12,"B","C")))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IF(AE34="","",IF(AE34&gt;=設定!$D$12,"A",IF(AE34&gt;=設定!$E$12,"B","C")))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IF(O35="","",IF(O35&gt;=設定!$D$12,"A",IF(O35&gt;=設定!$E$12,"B","C")))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IF(AB35="","",IF(AB35&gt;=設定!$D$12,"A",IF(AB35&gt;=設定!$E$12,"B","C")))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IF(AE35="","",IF(AE35&gt;=設定!$D$12,"A",IF(AE35&gt;=設定!$E$12,"B","C")))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IF(O36="","",IF(O36&gt;=設定!$D$12,"A",IF(O36&gt;=設定!$E$12,"B","C")))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IF(AB36="","",IF(AB36&gt;=設定!$D$12,"A",IF(AB36&gt;=設定!$E$12,"B","C")))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IF(AE36="","",IF(AE36&gt;=設定!$D$12,"A",IF(AE36&gt;=設定!$E$12,"B","C")))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IF(O37="","",IF(O37&gt;=設定!$D$12,"A",IF(O37&gt;=設定!$E$12,"B","C")))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IF(AB37="","",IF(AB37&gt;=設定!$D$12,"A",IF(AB37&gt;=設定!$E$12,"B","C")))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IF(AE37="","",IF(AE37&gt;=設定!$D$12,"A",IF(AE37&gt;=設定!$E$12,"B","C")))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IF(O38="","",IF(O38&gt;=設定!$D$12,"A",IF(O38&gt;=設定!$E$12,"B","C")))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IF(AB38="","",IF(AB38&gt;=設定!$D$12,"A",IF(AB38&gt;=設定!$E$12,"B","C")))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IF(AE38="","",IF(AE38&gt;=設定!$D$12,"A",IF(AE38&gt;=設定!$E$12,"B","C")))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IF(O39="","",IF(O39&gt;=設定!$D$12,"A",IF(O39&gt;=設定!$E$12,"B","C")))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IF(AB39="","",IF(AB39&gt;=設定!$D$12,"A",IF(AB39&gt;=設定!$E$12,"B","C")))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IF(AE39="","",IF(AE39&gt;=設定!$D$12,"A",IF(AE39&gt;=設定!$E$12,"B","C")))</f>
        <v/>
      </c>
    </row>
    <row r="40" s="51" customFormat="true" ht="19.5" hidden="false" customHeight="true" outlineLevel="0" collapsed="false">
      <c r="A40" s="49"/>
      <c r="B40" s="50" t="s">
        <v>35</v>
      </c>
      <c r="C40" s="50" t="str">
        <f aca="false">IF(COUNT(C5:C39)=0,"",ROUND(AVERAGE(C5:C39),1))</f>
        <v/>
      </c>
      <c r="D40" s="50" t="str">
        <f aca="false">IF(COUNT(D5:D39)=0,"",ROUND(AVERAGE(D5:D39),1))</f>
        <v/>
      </c>
      <c r="E40" s="50" t="str">
        <f aca="false">IF(COUNT(E5:E39)=0,"",ROUND(AVERAGE(E5:E39),1))</f>
        <v/>
      </c>
      <c r="F40" s="50" t="str">
        <f aca="false">IF(COUNT(F5:F39)=0,"",ROUND(AVERAGE(F5:F39),1))</f>
        <v/>
      </c>
      <c r="G40" s="50" t="str">
        <f aca="false">IF(COUNT(G5:G39)=0,"",ROUND(AVERAGE(G5:G39),1))</f>
        <v/>
      </c>
      <c r="H40" s="50" t="str">
        <f aca="false">IF(COUNT(H5:H39)=0,"",ROUND(AVERAGE(H5:H39),1))</f>
        <v/>
      </c>
      <c r="I40" s="50" t="str">
        <f aca="false">IF(COUNT(I5:I39)=0,"",ROUND(AVERAGE(I5:I39),1))</f>
        <v/>
      </c>
      <c r="J40" s="50" t="str">
        <f aca="false">IF(COUNT(J5:J39)=0,"",ROUND(AVERAGE(J5:J39),1))</f>
        <v/>
      </c>
      <c r="K40" s="50" t="str">
        <f aca="false">IF(COUNT(K5:K39)=0,"",ROUND(AVERAGE(K5:K39),1))</f>
        <v/>
      </c>
      <c r="L40" s="50" t="str">
        <f aca="false">IF(COUNT(L5:L39)=0,"",ROUND(AVERAGE(L5:L39),1))</f>
        <v/>
      </c>
      <c r="M40" s="50" t="str">
        <f aca="false">IF(COUNT(M5:M39)=0,"",ROUND(AVERAGE(M5:M39),1))</f>
        <v/>
      </c>
      <c r="N40" s="50" t="str">
        <f aca="false">IF(COUNT(N5:N39)=0,"",ROUND(AVERAGE(N5:N39),1))</f>
        <v/>
      </c>
      <c r="O40" s="50" t="str">
        <f aca="false">IF(COUNT(O5:O39)=0,"",ROUND(AVERAGE(O5:O39),1))</f>
        <v/>
      </c>
      <c r="P40" s="50"/>
      <c r="Q40" s="50" t="str">
        <f aca="false">IF(COUNT(Q5:Q39)=0,"",ROUND(AVERAGE(Q5:Q39),1))</f>
        <v/>
      </c>
      <c r="R40" s="50" t="str">
        <f aca="false">IF(COUNT(R5:R39)=0,"",ROUND(AVERAGE(R5:R39),1))</f>
        <v/>
      </c>
      <c r="S40" s="50" t="str">
        <f aca="false">IF(COUNT(S5:S39)=0,"",ROUND(AVERAGE(S5:S39),1))</f>
        <v/>
      </c>
      <c r="T40" s="50" t="str">
        <f aca="false">IF(COUNT(T5:T39)=0,"",ROUND(AVERAGE(T5:T39),1))</f>
        <v/>
      </c>
      <c r="U40" s="50" t="str">
        <f aca="false">IF(COUNT(U5:U39)=0,"",ROUND(AVERAGE(U5:U39),1))</f>
        <v/>
      </c>
      <c r="V40" s="50" t="str">
        <f aca="false">IF(COUNT(V5:V39)=0,"",ROUND(AVERAGE(V5:V39),1))</f>
        <v/>
      </c>
      <c r="W40" s="50" t="str">
        <f aca="false">IF(COUNT(W5:W39)=0,"",ROUND(AVERAGE(W5:W39),1))</f>
        <v/>
      </c>
      <c r="X40" s="50" t="str">
        <f aca="false">IF(COUNT(X5:X39)=0,"",ROUND(AVERAGE(X5:X39),1))</f>
        <v/>
      </c>
      <c r="Y40" s="50" t="str">
        <f aca="false">IF(COUNT(Y5:Y39)=0,"",ROUND(AVERAGE(Y5:Y39),1))</f>
        <v/>
      </c>
      <c r="Z40" s="50" t="str">
        <f aca="false">IF(COUNT(Z5:Z39)=0,"",ROUND(AVERAGE(Z5:Z39),1))</f>
        <v/>
      </c>
      <c r="AA40" s="50" t="str">
        <f aca="false">IF(COUNT(AA5:AA39)=0,"",ROUND(AVERAGE(AA5:AA39),1))</f>
        <v/>
      </c>
      <c r="AB40" s="50" t="str">
        <f aca="false">IF(COUNT(AB5:AB39)=0,"",ROUND(AVERAGE(AB5:AB39),1))</f>
        <v/>
      </c>
      <c r="AC40" s="50"/>
      <c r="AD40" s="50" t="str">
        <f aca="false">IF(COUNT(AD5:AD39)=0,"",ROUND(AVERAGE(AD5:AD39),1))</f>
        <v/>
      </c>
      <c r="AE40" s="50" t="str">
        <f aca="false">IF(COUNT(AE5:AE39)=0,"",ROUND(AVERAGE(AE5:AE39),1))</f>
        <v/>
      </c>
      <c r="AF40" s="50"/>
    </row>
    <row r="41" s="51" customFormat="true" ht="19.5" hidden="false" customHeight="true" outlineLevel="0" collapsed="false">
      <c r="A41" s="50"/>
      <c r="B41" s="50" t="s">
        <v>36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 t="n">
        <f aca="false">COUNTIF(P5:P39,"A")</f>
        <v>0</v>
      </c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 t="n">
        <f aca="false">COUNTIF(AC5:AC39,"A")</f>
        <v>0</v>
      </c>
      <c r="AD41" s="50"/>
      <c r="AE41" s="50"/>
      <c r="AF41" s="50" t="n">
        <f aca="false">COUNTIF(AF5:AF39,"A")</f>
        <v>0</v>
      </c>
    </row>
    <row r="42" s="51" customFormat="true" ht="19.5" hidden="false" customHeight="true" outlineLevel="0" collapsed="false">
      <c r="A42" s="50"/>
      <c r="B42" s="50" t="s">
        <v>37</v>
      </c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 t="n">
        <f aca="false">COUNTIF(P5:P39,"B")</f>
        <v>0</v>
      </c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 t="n">
        <f aca="false">COUNTIF(AC5:AC39,"B")</f>
        <v>0</v>
      </c>
      <c r="AD42" s="50"/>
      <c r="AE42" s="50"/>
      <c r="AF42" s="50" t="n">
        <f aca="false">COUNTIF(AF5:AF39,"B")</f>
        <v>0</v>
      </c>
    </row>
    <row r="43" s="51" customFormat="true" ht="19.5" hidden="false" customHeight="true" outlineLevel="0" collapsed="false">
      <c r="A43" s="50"/>
      <c r="B43" s="50" t="s">
        <v>38</v>
      </c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 t="n">
        <f aca="false">COUNTIF(P5:P39,"C")</f>
        <v>0</v>
      </c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 t="n">
        <f aca="false">COUNTIF(AC5:AC39,"C")</f>
        <v>0</v>
      </c>
      <c r="AD43" s="50"/>
      <c r="AE43" s="50"/>
      <c r="AF43" s="50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0" width="5"/>
    <col collapsed="false" customWidth="true" hidden="false" outlineLevel="0" max="2" min="2" style="10" width="17.57"/>
    <col collapsed="false" customWidth="true" hidden="false" outlineLevel="0" max="32" min="3" style="10" width="6.14"/>
    <col collapsed="false" customWidth="false" hidden="false" outlineLevel="0" max="16384" min="33" style="10" width="8.71"/>
  </cols>
  <sheetData>
    <row r="1" customFormat="false" ht="21.75" hidden="false" customHeight="true" outlineLevel="0" collapsed="false">
      <c r="A1" s="5" t="s">
        <v>43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9.5" hidden="false" customHeight="true" outlineLevel="0" collapsed="false">
      <c r="A2" s="52" t="s">
        <v>23</v>
      </c>
      <c r="B2" s="52"/>
      <c r="C2" s="52" t="s">
        <v>24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 t="s">
        <v>25</v>
      </c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 t="s">
        <v>26</v>
      </c>
      <c r="AE2" s="52"/>
      <c r="AF2" s="52"/>
    </row>
    <row r="3" customFormat="false" ht="178.5" hidden="false" customHeight="true" outlineLevel="0" collapsed="false">
      <c r="A3" s="52" t="s">
        <v>27</v>
      </c>
      <c r="B3" s="52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4" t="s">
        <v>28</v>
      </c>
      <c r="O3" s="54" t="s">
        <v>29</v>
      </c>
      <c r="P3" s="54" t="s">
        <v>30</v>
      </c>
      <c r="Q3" s="55"/>
      <c r="R3" s="55"/>
      <c r="S3" s="55"/>
      <c r="T3" s="55"/>
      <c r="U3" s="55"/>
      <c r="V3" s="55"/>
      <c r="W3" s="55"/>
      <c r="X3" s="55"/>
      <c r="Y3" s="55"/>
      <c r="Z3" s="55"/>
      <c r="AA3" s="54" t="s">
        <v>28</v>
      </c>
      <c r="AB3" s="54" t="s">
        <v>29</v>
      </c>
      <c r="AC3" s="54" t="s">
        <v>30</v>
      </c>
      <c r="AD3" s="54" t="s">
        <v>31</v>
      </c>
      <c r="AE3" s="54" t="s">
        <v>32</v>
      </c>
      <c r="AF3" s="54" t="s">
        <v>33</v>
      </c>
    </row>
    <row r="4" customFormat="false" ht="21.75" hidden="false" customHeight="true" outlineLevel="0" collapsed="false">
      <c r="A4" s="52" t="s">
        <v>1</v>
      </c>
      <c r="B4" s="52" t="s">
        <v>34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7" t="n">
        <f aca="false">SUM(C4:M4)</f>
        <v>0</v>
      </c>
      <c r="O4" s="57"/>
      <c r="P4" s="57"/>
      <c r="Q4" s="56"/>
      <c r="R4" s="56"/>
      <c r="S4" s="56"/>
      <c r="T4" s="56"/>
      <c r="U4" s="56"/>
      <c r="V4" s="56"/>
      <c r="W4" s="56"/>
      <c r="X4" s="56"/>
      <c r="Y4" s="56"/>
      <c r="Z4" s="56"/>
      <c r="AA4" s="52" t="n">
        <f aca="false">SUM(Q4:Z4)</f>
        <v>0</v>
      </c>
      <c r="AB4" s="52"/>
      <c r="AC4" s="52"/>
      <c r="AD4" s="52" t="n">
        <f aca="false">N4+AA4</f>
        <v>0</v>
      </c>
      <c r="AE4" s="52"/>
      <c r="AF4" s="52"/>
    </row>
    <row r="5" customFormat="false" ht="15" hidden="false" customHeight="true" outlineLevel="0" collapsed="false">
      <c r="A5" s="16" t="n">
        <v>1</v>
      </c>
      <c r="B5" s="17" t="str">
        <f aca="false">IF(名簿!B3="","",名簿!B3)</f>
        <v/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 t="str">
        <f aca="false">IF(COUNT(C5:M5)=0,"",SUM(C5:M5))</f>
        <v/>
      </c>
      <c r="O5" s="16" t="str">
        <f aca="false">IF(OR(N5="",$N$4-SUMIF(C5:M5,"欠",$C$4:$M$4)&lt;=0),"",ROUND(N5/($N$4-SUMIF(C5:M5,"欠",$C$4:$M$4))*100,0))</f>
        <v/>
      </c>
      <c r="P5" s="16" t="str">
        <f aca="false">IF(O5="","",IF(O5&gt;=設定!$D$13,"A",IF(O5&gt;=設定!$E$13,"B","C")))</f>
        <v/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6" t="str">
        <f aca="false">IF(COUNT(Q5:Z5)=0,"",SUM(Q5:Z5))</f>
        <v/>
      </c>
      <c r="AB5" s="16" t="str">
        <f aca="false">IF(OR(AA5="",$AA$4-SUMIF(Q5:Z5,"欠",$Q$4:$Z$4)&lt;=0),"",ROUND(AA5/($AA$4-SUMIF(Q5:Z5,"欠",$Q$4:$Z$4))*100,0))</f>
        <v/>
      </c>
      <c r="AC5" s="16" t="str">
        <f aca="false">IF(AB5="","",IF(AB5&gt;=設定!$D$13,"A",IF(AB5&gt;=設定!$E$13,"B","C")))</f>
        <v/>
      </c>
      <c r="AD5" s="16" t="str">
        <f aca="false">IF(AND(N5="",AA5=""),"",IF(N5="",0,N5)+IF(AA5="",0,AA5))</f>
        <v/>
      </c>
      <c r="AE5" s="16" t="str">
        <f aca="false">IF(AD5="","",IF($AD$4-SUMIF(C5:M5,"欠",$C$4:$M$4)-SUMIF(Q5:Z5,"欠",$Q$4:$Z$4)&lt;=0,"",ROUND(AD5/($AD$4-SUMIF(C5:M5,"欠",$C$4:$M$4)-SUMIF(Q5:Z5,"欠",$Q$4:$Z$4))*100,0)))</f>
        <v/>
      </c>
      <c r="AF5" s="16" t="str">
        <f aca="false">IF(AE5="","",IF(AE5&gt;=設定!$D$13,"A",IF(AE5&gt;=設定!$E$13,"B","C")))</f>
        <v/>
      </c>
    </row>
    <row r="6" customFormat="false" ht="15" hidden="false" customHeight="true" outlineLevel="0" collapsed="false">
      <c r="A6" s="16" t="n">
        <v>2</v>
      </c>
      <c r="B6" s="17" t="str">
        <f aca="false">IF(名簿!B4="","",名簿!B4)</f>
        <v/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 t="str">
        <f aca="false">IF(COUNT(C6:M6)=0,"",SUM(C6:M6))</f>
        <v/>
      </c>
      <c r="O6" s="16" t="str">
        <f aca="false">IF(OR(N6="",$N$4-SUMIF(C6:M6,"欠",$C$4:$M$4)&lt;=0),"",ROUND(N6/($N$4-SUMIF(C6:M6,"欠",$C$4:$M$4))*100,0))</f>
        <v/>
      </c>
      <c r="P6" s="16" t="str">
        <f aca="false">IF(O6="","",IF(O6&gt;=設定!$D$13,"A",IF(O6&gt;=設定!$E$13,"B","C")))</f>
        <v/>
      </c>
      <c r="Q6" s="18"/>
      <c r="R6" s="18"/>
      <c r="S6" s="18"/>
      <c r="T6" s="18"/>
      <c r="U6" s="18"/>
      <c r="V6" s="18"/>
      <c r="W6" s="18"/>
      <c r="X6" s="18"/>
      <c r="Y6" s="18"/>
      <c r="Z6" s="18"/>
      <c r="AA6" s="16" t="str">
        <f aca="false">IF(COUNT(Q6:Z6)=0,"",SUM(Q6:Z6))</f>
        <v/>
      </c>
      <c r="AB6" s="16" t="str">
        <f aca="false">IF(OR(AA6="",$AA$4-SUMIF(Q6:Z6,"欠",$Q$4:$Z$4)&lt;=0),"",ROUND(AA6/($AA$4-SUMIF(Q6:Z6,"欠",$Q$4:$Z$4))*100,0))</f>
        <v/>
      </c>
      <c r="AC6" s="16" t="str">
        <f aca="false">IF(AB6="","",IF(AB6&gt;=設定!$D$13,"A",IF(AB6&gt;=設定!$E$13,"B","C")))</f>
        <v/>
      </c>
      <c r="AD6" s="16" t="str">
        <f aca="false">IF(AND(N6="",AA6=""),"",IF(N6="",0,N6)+IF(AA6="",0,AA6))</f>
        <v/>
      </c>
      <c r="AE6" s="16" t="str">
        <f aca="false">IF(AD6="","",IF($AD$4-SUMIF(C6:M6,"欠",$C$4:$M$4)-SUMIF(Q6:Z6,"欠",$Q$4:$Z$4)&lt;=0,"",ROUND(AD6/($AD$4-SUMIF(C6:M6,"欠",$C$4:$M$4)-SUMIF(Q6:Z6,"欠",$Q$4:$Z$4))*100,0)))</f>
        <v/>
      </c>
      <c r="AF6" s="16" t="str">
        <f aca="false">IF(AE6="","",IF(AE6&gt;=設定!$D$13,"A",IF(AE6&gt;=設定!$E$13,"B","C")))</f>
        <v/>
      </c>
    </row>
    <row r="7" customFormat="false" ht="15" hidden="false" customHeight="true" outlineLevel="0" collapsed="false">
      <c r="A7" s="16" t="n">
        <v>3</v>
      </c>
      <c r="B7" s="17" t="str">
        <f aca="false">IF(名簿!B5="","",名簿!B5)</f>
        <v/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6" t="str">
        <f aca="false">IF(COUNT(C7:M7)=0,"",SUM(C7:M7))</f>
        <v/>
      </c>
      <c r="O7" s="16" t="str">
        <f aca="false">IF(OR(N7="",$N$4-SUMIF(C7:M7,"欠",$C$4:$M$4)&lt;=0),"",ROUND(N7/($N$4-SUMIF(C7:M7,"欠",$C$4:$M$4))*100,0))</f>
        <v/>
      </c>
      <c r="P7" s="16" t="str">
        <f aca="false">IF(O7="","",IF(O7&gt;=設定!$D$13,"A",IF(O7&gt;=設定!$E$13,"B","C")))</f>
        <v/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6" t="str">
        <f aca="false">IF(COUNT(Q7:Z7)=0,"",SUM(Q7:Z7))</f>
        <v/>
      </c>
      <c r="AB7" s="16" t="str">
        <f aca="false">IF(OR(AA7="",$AA$4-SUMIF(Q7:Z7,"欠",$Q$4:$Z$4)&lt;=0),"",ROUND(AA7/($AA$4-SUMIF(Q7:Z7,"欠",$Q$4:$Z$4))*100,0))</f>
        <v/>
      </c>
      <c r="AC7" s="16" t="str">
        <f aca="false">IF(AB7="","",IF(AB7&gt;=設定!$D$13,"A",IF(AB7&gt;=設定!$E$13,"B","C")))</f>
        <v/>
      </c>
      <c r="AD7" s="16" t="str">
        <f aca="false">IF(AND(N7="",AA7=""),"",IF(N7="",0,N7)+IF(AA7="",0,AA7))</f>
        <v/>
      </c>
      <c r="AE7" s="16" t="str">
        <f aca="false">IF(AD7="","",IF($AD$4-SUMIF(C7:M7,"欠",$C$4:$M$4)-SUMIF(Q7:Z7,"欠",$Q$4:$Z$4)&lt;=0,"",ROUND(AD7/($AD$4-SUMIF(C7:M7,"欠",$C$4:$M$4)-SUMIF(Q7:Z7,"欠",$Q$4:$Z$4))*100,0)))</f>
        <v/>
      </c>
      <c r="AF7" s="16" t="str">
        <f aca="false">IF(AE7="","",IF(AE7&gt;=設定!$D$13,"A",IF(AE7&gt;=設定!$E$13,"B","C")))</f>
        <v/>
      </c>
    </row>
    <row r="8" customFormat="false" ht="15" hidden="false" customHeight="true" outlineLevel="0" collapsed="false">
      <c r="A8" s="16" t="n">
        <v>4</v>
      </c>
      <c r="B8" s="17" t="str">
        <f aca="false">IF(名簿!B6="","",名簿!B6)</f>
        <v/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6" t="str">
        <f aca="false">IF(COUNT(C8:M8)=0,"",SUM(C8:M8))</f>
        <v/>
      </c>
      <c r="O8" s="16" t="str">
        <f aca="false">IF(OR(N8="",$N$4-SUMIF(C8:M8,"欠",$C$4:$M$4)&lt;=0),"",ROUND(N8/($N$4-SUMIF(C8:M8,"欠",$C$4:$M$4))*100,0))</f>
        <v/>
      </c>
      <c r="P8" s="16" t="str">
        <f aca="false">IF(O8="","",IF(O8&gt;=設定!$D$13,"A",IF(O8&gt;=設定!$E$13,"B","C")))</f>
        <v/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6" t="str">
        <f aca="false">IF(COUNT(Q8:Z8)=0,"",SUM(Q8:Z8))</f>
        <v/>
      </c>
      <c r="AB8" s="16" t="str">
        <f aca="false">IF(OR(AA8="",$AA$4-SUMIF(Q8:Z8,"欠",$Q$4:$Z$4)&lt;=0),"",ROUND(AA8/($AA$4-SUMIF(Q8:Z8,"欠",$Q$4:$Z$4))*100,0))</f>
        <v/>
      </c>
      <c r="AC8" s="16" t="str">
        <f aca="false">IF(AB8="","",IF(AB8&gt;=設定!$D$13,"A",IF(AB8&gt;=設定!$E$13,"B","C")))</f>
        <v/>
      </c>
      <c r="AD8" s="16" t="str">
        <f aca="false">IF(AND(N8="",AA8=""),"",IF(N8="",0,N8)+IF(AA8="",0,AA8))</f>
        <v/>
      </c>
      <c r="AE8" s="16" t="str">
        <f aca="false">IF(AD8="","",IF($AD$4-SUMIF(C8:M8,"欠",$C$4:$M$4)-SUMIF(Q8:Z8,"欠",$Q$4:$Z$4)&lt;=0,"",ROUND(AD8/($AD$4-SUMIF(C8:M8,"欠",$C$4:$M$4)-SUMIF(Q8:Z8,"欠",$Q$4:$Z$4))*100,0)))</f>
        <v/>
      </c>
      <c r="AF8" s="16" t="str">
        <f aca="false">IF(AE8="","",IF(AE8&gt;=設定!$D$13,"A",IF(AE8&gt;=設定!$E$13,"B","C")))</f>
        <v/>
      </c>
    </row>
    <row r="9" customFormat="false" ht="15" hidden="false" customHeight="true" outlineLevel="0" collapsed="false">
      <c r="A9" s="16" t="n">
        <v>5</v>
      </c>
      <c r="B9" s="17" t="str">
        <f aca="false">IF(名簿!B7="","",名簿!B7)</f>
        <v/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 t="str">
        <f aca="false">IF(COUNT(C9:M9)=0,"",SUM(C9:M9))</f>
        <v/>
      </c>
      <c r="O9" s="16" t="str">
        <f aca="false">IF(OR(N9="",$N$4-SUMIF(C9:M9,"欠",$C$4:$M$4)&lt;=0),"",ROUND(N9/($N$4-SUMIF(C9:M9,"欠",$C$4:$M$4))*100,0))</f>
        <v/>
      </c>
      <c r="P9" s="16" t="str">
        <f aca="false">IF(O9="","",IF(O9&gt;=設定!$D$13,"A",IF(O9&gt;=設定!$E$13,"B","C")))</f>
        <v/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6" t="str">
        <f aca="false">IF(COUNT(Q9:Z9)=0,"",SUM(Q9:Z9))</f>
        <v/>
      </c>
      <c r="AB9" s="16" t="str">
        <f aca="false">IF(OR(AA9="",$AA$4-SUMIF(Q9:Z9,"欠",$Q$4:$Z$4)&lt;=0),"",ROUND(AA9/($AA$4-SUMIF(Q9:Z9,"欠",$Q$4:$Z$4))*100,0))</f>
        <v/>
      </c>
      <c r="AC9" s="16" t="str">
        <f aca="false">IF(AB9="","",IF(AB9&gt;=設定!$D$13,"A",IF(AB9&gt;=設定!$E$13,"B","C")))</f>
        <v/>
      </c>
      <c r="AD9" s="16" t="str">
        <f aca="false">IF(AND(N9="",AA9=""),"",IF(N9="",0,N9)+IF(AA9="",0,AA9))</f>
        <v/>
      </c>
      <c r="AE9" s="16" t="str">
        <f aca="false">IF(AD9="","",IF($AD$4-SUMIF(C9:M9,"欠",$C$4:$M$4)-SUMIF(Q9:Z9,"欠",$Q$4:$Z$4)&lt;=0,"",ROUND(AD9/($AD$4-SUMIF(C9:M9,"欠",$C$4:$M$4)-SUMIF(Q9:Z9,"欠",$Q$4:$Z$4))*100,0)))</f>
        <v/>
      </c>
      <c r="AF9" s="16" t="str">
        <f aca="false">IF(AE9="","",IF(AE9&gt;=設定!$D$13,"A",IF(AE9&gt;=設定!$E$13,"B","C")))</f>
        <v/>
      </c>
    </row>
    <row r="10" customFormat="false" ht="15" hidden="false" customHeight="true" outlineLevel="0" collapsed="false">
      <c r="A10" s="16" t="n">
        <v>6</v>
      </c>
      <c r="B10" s="17" t="str">
        <f aca="false">IF(名簿!B8="","",名簿!B8)</f>
        <v/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6" t="str">
        <f aca="false">IF(COUNT(C10:M10)=0,"",SUM(C10:M10))</f>
        <v/>
      </c>
      <c r="O10" s="16" t="str">
        <f aca="false">IF(OR(N10="",$N$4-SUMIF(C10:M10,"欠",$C$4:$M$4)&lt;=0),"",ROUND(N10/($N$4-SUMIF(C10:M10,"欠",$C$4:$M$4))*100,0))</f>
        <v/>
      </c>
      <c r="P10" s="16" t="str">
        <f aca="false">IF(O10="","",IF(O10&gt;=設定!$D$13,"A",IF(O10&gt;=設定!$E$13,"B","C")))</f>
        <v/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6" t="str">
        <f aca="false">IF(COUNT(Q10:Z10)=0,"",SUM(Q10:Z10))</f>
        <v/>
      </c>
      <c r="AB10" s="16" t="str">
        <f aca="false">IF(OR(AA10="",$AA$4-SUMIF(Q10:Z10,"欠",$Q$4:$Z$4)&lt;=0),"",ROUND(AA10/($AA$4-SUMIF(Q10:Z10,"欠",$Q$4:$Z$4))*100,0))</f>
        <v/>
      </c>
      <c r="AC10" s="16" t="str">
        <f aca="false">IF(AB10="","",IF(AB10&gt;=設定!$D$13,"A",IF(AB10&gt;=設定!$E$13,"B","C")))</f>
        <v/>
      </c>
      <c r="AD10" s="16" t="str">
        <f aca="false">IF(AND(N10="",AA10=""),"",IF(N10="",0,N10)+IF(AA10="",0,AA10))</f>
        <v/>
      </c>
      <c r="AE10" s="16" t="str">
        <f aca="false">IF(AD10="","",IF($AD$4-SUMIF(C10:M10,"欠",$C$4:$M$4)-SUMIF(Q10:Z10,"欠",$Q$4:$Z$4)&lt;=0,"",ROUND(AD10/($AD$4-SUMIF(C10:M10,"欠",$C$4:$M$4)-SUMIF(Q10:Z10,"欠",$Q$4:$Z$4))*100,0)))</f>
        <v/>
      </c>
      <c r="AF10" s="16" t="str">
        <f aca="false">IF(AE10="","",IF(AE10&gt;=設定!$D$13,"A",IF(AE10&gt;=設定!$E$13,"B","C")))</f>
        <v/>
      </c>
    </row>
    <row r="11" customFormat="false" ht="15" hidden="false" customHeight="true" outlineLevel="0" collapsed="false">
      <c r="A11" s="16" t="n">
        <v>7</v>
      </c>
      <c r="B11" s="17" t="str">
        <f aca="false">IF(名簿!B9="","",名簿!B9)</f>
        <v/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6" t="str">
        <f aca="false">IF(COUNT(C11:M11)=0,"",SUM(C11:M11))</f>
        <v/>
      </c>
      <c r="O11" s="16" t="str">
        <f aca="false">IF(OR(N11="",$N$4-SUMIF(C11:M11,"欠",$C$4:$M$4)&lt;=0),"",ROUND(N11/($N$4-SUMIF(C11:M11,"欠",$C$4:$M$4))*100,0))</f>
        <v/>
      </c>
      <c r="P11" s="16" t="str">
        <f aca="false">IF(O11="","",IF(O11&gt;=設定!$D$13,"A",IF(O11&gt;=設定!$E$13,"B","C")))</f>
        <v/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6" t="str">
        <f aca="false">IF(COUNT(Q11:Z11)=0,"",SUM(Q11:Z11))</f>
        <v/>
      </c>
      <c r="AB11" s="16" t="str">
        <f aca="false">IF(OR(AA11="",$AA$4-SUMIF(Q11:Z11,"欠",$Q$4:$Z$4)&lt;=0),"",ROUND(AA11/($AA$4-SUMIF(Q11:Z11,"欠",$Q$4:$Z$4))*100,0))</f>
        <v/>
      </c>
      <c r="AC11" s="16" t="str">
        <f aca="false">IF(AB11="","",IF(AB11&gt;=設定!$D$13,"A",IF(AB11&gt;=設定!$E$13,"B","C")))</f>
        <v/>
      </c>
      <c r="AD11" s="16" t="str">
        <f aca="false">IF(AND(N11="",AA11=""),"",IF(N11="",0,N11)+IF(AA11="",0,AA11))</f>
        <v/>
      </c>
      <c r="AE11" s="16" t="str">
        <f aca="false">IF(AD11="","",IF($AD$4-SUMIF(C11:M11,"欠",$C$4:$M$4)-SUMIF(Q11:Z11,"欠",$Q$4:$Z$4)&lt;=0,"",ROUND(AD11/($AD$4-SUMIF(C11:M11,"欠",$C$4:$M$4)-SUMIF(Q11:Z11,"欠",$Q$4:$Z$4))*100,0)))</f>
        <v/>
      </c>
      <c r="AF11" s="16" t="str">
        <f aca="false">IF(AE11="","",IF(AE11&gt;=設定!$D$13,"A",IF(AE11&gt;=設定!$E$13,"B","C")))</f>
        <v/>
      </c>
    </row>
    <row r="12" customFormat="false" ht="15" hidden="false" customHeight="true" outlineLevel="0" collapsed="false">
      <c r="A12" s="16" t="n">
        <v>8</v>
      </c>
      <c r="B12" s="17" t="str">
        <f aca="false">IF(名簿!B10="","",名簿!B10)</f>
        <v/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6" t="str">
        <f aca="false">IF(COUNT(C12:M12)=0,"",SUM(C12:M12))</f>
        <v/>
      </c>
      <c r="O12" s="16" t="str">
        <f aca="false">IF(OR(N12="",$N$4-SUMIF(C12:M12,"欠",$C$4:$M$4)&lt;=0),"",ROUND(N12/($N$4-SUMIF(C12:M12,"欠",$C$4:$M$4))*100,0))</f>
        <v/>
      </c>
      <c r="P12" s="16" t="str">
        <f aca="false">IF(O12="","",IF(O12&gt;=設定!$D$13,"A",IF(O12&gt;=設定!$E$13,"B","C")))</f>
        <v/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6" t="str">
        <f aca="false">IF(COUNT(Q12:Z12)=0,"",SUM(Q12:Z12))</f>
        <v/>
      </c>
      <c r="AB12" s="16" t="str">
        <f aca="false">IF(OR(AA12="",$AA$4-SUMIF(Q12:Z12,"欠",$Q$4:$Z$4)&lt;=0),"",ROUND(AA12/($AA$4-SUMIF(Q12:Z12,"欠",$Q$4:$Z$4))*100,0))</f>
        <v/>
      </c>
      <c r="AC12" s="16" t="str">
        <f aca="false">IF(AB12="","",IF(AB12&gt;=設定!$D$13,"A",IF(AB12&gt;=設定!$E$13,"B","C")))</f>
        <v/>
      </c>
      <c r="AD12" s="16" t="str">
        <f aca="false">IF(AND(N12="",AA12=""),"",IF(N12="",0,N12)+IF(AA12="",0,AA12))</f>
        <v/>
      </c>
      <c r="AE12" s="16" t="str">
        <f aca="false">IF(AD12="","",IF($AD$4-SUMIF(C12:M12,"欠",$C$4:$M$4)-SUMIF(Q12:Z12,"欠",$Q$4:$Z$4)&lt;=0,"",ROUND(AD12/($AD$4-SUMIF(C12:M12,"欠",$C$4:$M$4)-SUMIF(Q12:Z12,"欠",$Q$4:$Z$4))*100,0)))</f>
        <v/>
      </c>
      <c r="AF12" s="16" t="str">
        <f aca="false">IF(AE12="","",IF(AE12&gt;=設定!$D$13,"A",IF(AE12&gt;=設定!$E$13,"B","C")))</f>
        <v/>
      </c>
    </row>
    <row r="13" customFormat="false" ht="15" hidden="false" customHeight="true" outlineLevel="0" collapsed="false">
      <c r="A13" s="16" t="n">
        <v>9</v>
      </c>
      <c r="B13" s="17" t="str">
        <f aca="false">IF(名簿!B11="","",名簿!B11)</f>
        <v/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6" t="str">
        <f aca="false">IF(COUNT(C13:M13)=0,"",SUM(C13:M13))</f>
        <v/>
      </c>
      <c r="O13" s="16" t="str">
        <f aca="false">IF(OR(N13="",$N$4-SUMIF(C13:M13,"欠",$C$4:$M$4)&lt;=0),"",ROUND(N13/($N$4-SUMIF(C13:M13,"欠",$C$4:$M$4))*100,0))</f>
        <v/>
      </c>
      <c r="P13" s="16" t="str">
        <f aca="false">IF(O13="","",IF(O13&gt;=設定!$D$13,"A",IF(O13&gt;=設定!$E$13,"B","C")))</f>
        <v/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6" t="str">
        <f aca="false">IF(COUNT(Q13:Z13)=0,"",SUM(Q13:Z13))</f>
        <v/>
      </c>
      <c r="AB13" s="16" t="str">
        <f aca="false">IF(OR(AA13="",$AA$4-SUMIF(Q13:Z13,"欠",$Q$4:$Z$4)&lt;=0),"",ROUND(AA13/($AA$4-SUMIF(Q13:Z13,"欠",$Q$4:$Z$4))*100,0))</f>
        <v/>
      </c>
      <c r="AC13" s="16" t="str">
        <f aca="false">IF(AB13="","",IF(AB13&gt;=設定!$D$13,"A",IF(AB13&gt;=設定!$E$13,"B","C")))</f>
        <v/>
      </c>
      <c r="AD13" s="16" t="str">
        <f aca="false">IF(AND(N13="",AA13=""),"",IF(N13="",0,N13)+IF(AA13="",0,AA13))</f>
        <v/>
      </c>
      <c r="AE13" s="16" t="str">
        <f aca="false">IF(AD13="","",IF($AD$4-SUMIF(C13:M13,"欠",$C$4:$M$4)-SUMIF(Q13:Z13,"欠",$Q$4:$Z$4)&lt;=0,"",ROUND(AD13/($AD$4-SUMIF(C13:M13,"欠",$C$4:$M$4)-SUMIF(Q13:Z13,"欠",$Q$4:$Z$4))*100,0)))</f>
        <v/>
      </c>
      <c r="AF13" s="16" t="str">
        <f aca="false">IF(AE13="","",IF(AE13&gt;=設定!$D$13,"A",IF(AE13&gt;=設定!$E$13,"B","C")))</f>
        <v/>
      </c>
    </row>
    <row r="14" customFormat="false" ht="15" hidden="false" customHeight="true" outlineLevel="0" collapsed="false">
      <c r="A14" s="16" t="n">
        <v>10</v>
      </c>
      <c r="B14" s="17" t="str">
        <f aca="false">IF(名簿!B12="","",名簿!B12)</f>
        <v/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6" t="str">
        <f aca="false">IF(COUNT(C14:M14)=0,"",SUM(C14:M14))</f>
        <v/>
      </c>
      <c r="O14" s="16" t="str">
        <f aca="false">IF(OR(N14="",$N$4-SUMIF(C14:M14,"欠",$C$4:$M$4)&lt;=0),"",ROUND(N14/($N$4-SUMIF(C14:M14,"欠",$C$4:$M$4))*100,0))</f>
        <v/>
      </c>
      <c r="P14" s="16" t="str">
        <f aca="false">IF(O14="","",IF(O14&gt;=設定!$D$13,"A",IF(O14&gt;=設定!$E$13,"B","C")))</f>
        <v/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6" t="str">
        <f aca="false">IF(COUNT(Q14:Z14)=0,"",SUM(Q14:Z14))</f>
        <v/>
      </c>
      <c r="AB14" s="16" t="str">
        <f aca="false">IF(OR(AA14="",$AA$4-SUMIF(Q14:Z14,"欠",$Q$4:$Z$4)&lt;=0),"",ROUND(AA14/($AA$4-SUMIF(Q14:Z14,"欠",$Q$4:$Z$4))*100,0))</f>
        <v/>
      </c>
      <c r="AC14" s="16" t="str">
        <f aca="false">IF(AB14="","",IF(AB14&gt;=設定!$D$13,"A",IF(AB14&gt;=設定!$E$13,"B","C")))</f>
        <v/>
      </c>
      <c r="AD14" s="16" t="str">
        <f aca="false">IF(AND(N14="",AA14=""),"",IF(N14="",0,N14)+IF(AA14="",0,AA14))</f>
        <v/>
      </c>
      <c r="AE14" s="16" t="str">
        <f aca="false">IF(AD14="","",IF($AD$4-SUMIF(C14:M14,"欠",$C$4:$M$4)-SUMIF(Q14:Z14,"欠",$Q$4:$Z$4)&lt;=0,"",ROUND(AD14/($AD$4-SUMIF(C14:M14,"欠",$C$4:$M$4)-SUMIF(Q14:Z14,"欠",$Q$4:$Z$4))*100,0)))</f>
        <v/>
      </c>
      <c r="AF14" s="16" t="str">
        <f aca="false">IF(AE14="","",IF(AE14&gt;=設定!$D$13,"A",IF(AE14&gt;=設定!$E$13,"B","C")))</f>
        <v/>
      </c>
    </row>
    <row r="15" customFormat="false" ht="15" hidden="false" customHeight="true" outlineLevel="0" collapsed="false">
      <c r="A15" s="16" t="n">
        <v>11</v>
      </c>
      <c r="B15" s="17" t="str">
        <f aca="false">IF(名簿!B13="","",名簿!B13)</f>
        <v/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6" t="str">
        <f aca="false">IF(COUNT(C15:M15)=0,"",SUM(C15:M15))</f>
        <v/>
      </c>
      <c r="O15" s="16" t="str">
        <f aca="false">IF(OR(N15="",$N$4-SUMIF(C15:M15,"欠",$C$4:$M$4)&lt;=0),"",ROUND(N15/($N$4-SUMIF(C15:M15,"欠",$C$4:$M$4))*100,0))</f>
        <v/>
      </c>
      <c r="P15" s="16" t="str">
        <f aca="false">IF(O15="","",IF(O15&gt;=設定!$D$13,"A",IF(O15&gt;=設定!$E$13,"B","C")))</f>
        <v/>
      </c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6" t="str">
        <f aca="false">IF(COUNT(Q15:Z15)=0,"",SUM(Q15:Z15))</f>
        <v/>
      </c>
      <c r="AB15" s="16" t="str">
        <f aca="false">IF(OR(AA15="",$AA$4-SUMIF(Q15:Z15,"欠",$Q$4:$Z$4)&lt;=0),"",ROUND(AA15/($AA$4-SUMIF(Q15:Z15,"欠",$Q$4:$Z$4))*100,0))</f>
        <v/>
      </c>
      <c r="AC15" s="16" t="str">
        <f aca="false">IF(AB15="","",IF(AB15&gt;=設定!$D$13,"A",IF(AB15&gt;=設定!$E$13,"B","C")))</f>
        <v/>
      </c>
      <c r="AD15" s="16" t="str">
        <f aca="false">IF(AND(N15="",AA15=""),"",IF(N15="",0,N15)+IF(AA15="",0,AA15))</f>
        <v/>
      </c>
      <c r="AE15" s="16" t="str">
        <f aca="false">IF(AD15="","",IF($AD$4-SUMIF(C15:M15,"欠",$C$4:$M$4)-SUMIF(Q15:Z15,"欠",$Q$4:$Z$4)&lt;=0,"",ROUND(AD15/($AD$4-SUMIF(C15:M15,"欠",$C$4:$M$4)-SUMIF(Q15:Z15,"欠",$Q$4:$Z$4))*100,0)))</f>
        <v/>
      </c>
      <c r="AF15" s="16" t="str">
        <f aca="false">IF(AE15="","",IF(AE15&gt;=設定!$D$13,"A",IF(AE15&gt;=設定!$E$13,"B","C")))</f>
        <v/>
      </c>
    </row>
    <row r="16" customFormat="false" ht="15" hidden="false" customHeight="true" outlineLevel="0" collapsed="false">
      <c r="A16" s="16" t="n">
        <v>12</v>
      </c>
      <c r="B16" s="17" t="str">
        <f aca="false">IF(名簿!B14="","",名簿!B14)</f>
        <v/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6" t="str">
        <f aca="false">IF(COUNT(C16:M16)=0,"",SUM(C16:M16))</f>
        <v/>
      </c>
      <c r="O16" s="16" t="str">
        <f aca="false">IF(OR(N16="",$N$4-SUMIF(C16:M16,"欠",$C$4:$M$4)&lt;=0),"",ROUND(N16/($N$4-SUMIF(C16:M16,"欠",$C$4:$M$4))*100,0))</f>
        <v/>
      </c>
      <c r="P16" s="16" t="str">
        <f aca="false">IF(O16="","",IF(O16&gt;=設定!$D$13,"A",IF(O16&gt;=設定!$E$13,"B","C")))</f>
        <v/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6" t="str">
        <f aca="false">IF(COUNT(Q16:Z16)=0,"",SUM(Q16:Z16))</f>
        <v/>
      </c>
      <c r="AB16" s="16" t="str">
        <f aca="false">IF(OR(AA16="",$AA$4-SUMIF(Q16:Z16,"欠",$Q$4:$Z$4)&lt;=0),"",ROUND(AA16/($AA$4-SUMIF(Q16:Z16,"欠",$Q$4:$Z$4))*100,0))</f>
        <v/>
      </c>
      <c r="AC16" s="16" t="str">
        <f aca="false">IF(AB16="","",IF(AB16&gt;=設定!$D$13,"A",IF(AB16&gt;=設定!$E$13,"B","C")))</f>
        <v/>
      </c>
      <c r="AD16" s="16" t="str">
        <f aca="false">IF(AND(N16="",AA16=""),"",IF(N16="",0,N16)+IF(AA16="",0,AA16))</f>
        <v/>
      </c>
      <c r="AE16" s="16" t="str">
        <f aca="false">IF(AD16="","",IF($AD$4-SUMIF(C16:M16,"欠",$C$4:$M$4)-SUMIF(Q16:Z16,"欠",$Q$4:$Z$4)&lt;=0,"",ROUND(AD16/($AD$4-SUMIF(C16:M16,"欠",$C$4:$M$4)-SUMIF(Q16:Z16,"欠",$Q$4:$Z$4))*100,0)))</f>
        <v/>
      </c>
      <c r="AF16" s="16" t="str">
        <f aca="false">IF(AE16="","",IF(AE16&gt;=設定!$D$13,"A",IF(AE16&gt;=設定!$E$13,"B","C")))</f>
        <v/>
      </c>
    </row>
    <row r="17" customFormat="false" ht="15" hidden="false" customHeight="true" outlineLevel="0" collapsed="false">
      <c r="A17" s="16" t="n">
        <v>13</v>
      </c>
      <c r="B17" s="17" t="str">
        <f aca="false">IF(名簿!B15="","",名簿!B15)</f>
        <v/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6" t="str">
        <f aca="false">IF(COUNT(C17:M17)=0,"",SUM(C17:M17))</f>
        <v/>
      </c>
      <c r="O17" s="16" t="str">
        <f aca="false">IF(OR(N17="",$N$4-SUMIF(C17:M17,"欠",$C$4:$M$4)&lt;=0),"",ROUND(N17/($N$4-SUMIF(C17:M17,"欠",$C$4:$M$4))*100,0))</f>
        <v/>
      </c>
      <c r="P17" s="16" t="str">
        <f aca="false">IF(O17="","",IF(O17&gt;=設定!$D$13,"A",IF(O17&gt;=設定!$E$13,"B","C")))</f>
        <v/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6" t="str">
        <f aca="false">IF(COUNT(Q17:Z17)=0,"",SUM(Q17:Z17))</f>
        <v/>
      </c>
      <c r="AB17" s="16" t="str">
        <f aca="false">IF(OR(AA17="",$AA$4-SUMIF(Q17:Z17,"欠",$Q$4:$Z$4)&lt;=0),"",ROUND(AA17/($AA$4-SUMIF(Q17:Z17,"欠",$Q$4:$Z$4))*100,0))</f>
        <v/>
      </c>
      <c r="AC17" s="16" t="str">
        <f aca="false">IF(AB17="","",IF(AB17&gt;=設定!$D$13,"A",IF(AB17&gt;=設定!$E$13,"B","C")))</f>
        <v/>
      </c>
      <c r="AD17" s="16" t="str">
        <f aca="false">IF(AND(N17="",AA17=""),"",IF(N17="",0,N17)+IF(AA17="",0,AA17))</f>
        <v/>
      </c>
      <c r="AE17" s="16" t="str">
        <f aca="false">IF(AD17="","",IF($AD$4-SUMIF(C17:M17,"欠",$C$4:$M$4)-SUMIF(Q17:Z17,"欠",$Q$4:$Z$4)&lt;=0,"",ROUND(AD17/($AD$4-SUMIF(C17:M17,"欠",$C$4:$M$4)-SUMIF(Q17:Z17,"欠",$Q$4:$Z$4))*100,0)))</f>
        <v/>
      </c>
      <c r="AF17" s="16" t="str">
        <f aca="false">IF(AE17="","",IF(AE17&gt;=設定!$D$13,"A",IF(AE17&gt;=設定!$E$13,"B","C")))</f>
        <v/>
      </c>
    </row>
    <row r="18" customFormat="false" ht="15" hidden="false" customHeight="true" outlineLevel="0" collapsed="false">
      <c r="A18" s="16" t="n">
        <v>14</v>
      </c>
      <c r="B18" s="17" t="str">
        <f aca="false">IF(名簿!B16="","",名簿!B16)</f>
        <v/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6" t="str">
        <f aca="false">IF(COUNT(C18:M18)=0,"",SUM(C18:M18))</f>
        <v/>
      </c>
      <c r="O18" s="16" t="str">
        <f aca="false">IF(OR(N18="",$N$4-SUMIF(C18:M18,"欠",$C$4:$M$4)&lt;=0),"",ROUND(N18/($N$4-SUMIF(C18:M18,"欠",$C$4:$M$4))*100,0))</f>
        <v/>
      </c>
      <c r="P18" s="16" t="str">
        <f aca="false">IF(O18="","",IF(O18&gt;=設定!$D$13,"A",IF(O18&gt;=設定!$E$13,"B","C")))</f>
        <v/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6" t="str">
        <f aca="false">IF(COUNT(Q18:Z18)=0,"",SUM(Q18:Z18))</f>
        <v/>
      </c>
      <c r="AB18" s="16" t="str">
        <f aca="false">IF(OR(AA18="",$AA$4-SUMIF(Q18:Z18,"欠",$Q$4:$Z$4)&lt;=0),"",ROUND(AA18/($AA$4-SUMIF(Q18:Z18,"欠",$Q$4:$Z$4))*100,0))</f>
        <v/>
      </c>
      <c r="AC18" s="16" t="str">
        <f aca="false">IF(AB18="","",IF(AB18&gt;=設定!$D$13,"A",IF(AB18&gt;=設定!$E$13,"B","C")))</f>
        <v/>
      </c>
      <c r="AD18" s="16" t="str">
        <f aca="false">IF(AND(N18="",AA18=""),"",IF(N18="",0,N18)+IF(AA18="",0,AA18))</f>
        <v/>
      </c>
      <c r="AE18" s="16" t="str">
        <f aca="false">IF(AD18="","",IF($AD$4-SUMIF(C18:M18,"欠",$C$4:$M$4)-SUMIF(Q18:Z18,"欠",$Q$4:$Z$4)&lt;=0,"",ROUND(AD18/($AD$4-SUMIF(C18:M18,"欠",$C$4:$M$4)-SUMIF(Q18:Z18,"欠",$Q$4:$Z$4))*100,0)))</f>
        <v/>
      </c>
      <c r="AF18" s="16" t="str">
        <f aca="false">IF(AE18="","",IF(AE18&gt;=設定!$D$13,"A",IF(AE18&gt;=設定!$E$13,"B","C")))</f>
        <v/>
      </c>
    </row>
    <row r="19" customFormat="false" ht="15" hidden="false" customHeight="true" outlineLevel="0" collapsed="false">
      <c r="A19" s="16" t="n">
        <v>15</v>
      </c>
      <c r="B19" s="17" t="str">
        <f aca="false">IF(名簿!B17="","",名簿!B17)</f>
        <v/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6" t="str">
        <f aca="false">IF(COUNT(C19:M19)=0,"",SUM(C19:M19))</f>
        <v/>
      </c>
      <c r="O19" s="16" t="str">
        <f aca="false">IF(OR(N19="",$N$4-SUMIF(C19:M19,"欠",$C$4:$M$4)&lt;=0),"",ROUND(N19/($N$4-SUMIF(C19:M19,"欠",$C$4:$M$4))*100,0))</f>
        <v/>
      </c>
      <c r="P19" s="16" t="str">
        <f aca="false">IF(O19="","",IF(O19&gt;=設定!$D$13,"A",IF(O19&gt;=設定!$E$13,"B","C")))</f>
        <v/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6" t="str">
        <f aca="false">IF(COUNT(Q19:Z19)=0,"",SUM(Q19:Z19))</f>
        <v/>
      </c>
      <c r="AB19" s="16" t="str">
        <f aca="false">IF(OR(AA19="",$AA$4-SUMIF(Q19:Z19,"欠",$Q$4:$Z$4)&lt;=0),"",ROUND(AA19/($AA$4-SUMIF(Q19:Z19,"欠",$Q$4:$Z$4))*100,0))</f>
        <v/>
      </c>
      <c r="AC19" s="16" t="str">
        <f aca="false">IF(AB19="","",IF(AB19&gt;=設定!$D$13,"A",IF(AB19&gt;=設定!$E$13,"B","C")))</f>
        <v/>
      </c>
      <c r="AD19" s="16" t="str">
        <f aca="false">IF(AND(N19="",AA19=""),"",IF(N19="",0,N19)+IF(AA19="",0,AA19))</f>
        <v/>
      </c>
      <c r="AE19" s="16" t="str">
        <f aca="false">IF(AD19="","",IF($AD$4-SUMIF(C19:M19,"欠",$C$4:$M$4)-SUMIF(Q19:Z19,"欠",$Q$4:$Z$4)&lt;=0,"",ROUND(AD19/($AD$4-SUMIF(C19:M19,"欠",$C$4:$M$4)-SUMIF(Q19:Z19,"欠",$Q$4:$Z$4))*100,0)))</f>
        <v/>
      </c>
      <c r="AF19" s="16" t="str">
        <f aca="false">IF(AE19="","",IF(AE19&gt;=設定!$D$13,"A",IF(AE19&gt;=設定!$E$13,"B","C")))</f>
        <v/>
      </c>
    </row>
    <row r="20" customFormat="false" ht="15" hidden="false" customHeight="true" outlineLevel="0" collapsed="false">
      <c r="A20" s="16" t="n">
        <v>16</v>
      </c>
      <c r="B20" s="17" t="str">
        <f aca="false">IF(名簿!B18="","",名簿!B18)</f>
        <v/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6" t="str">
        <f aca="false">IF(COUNT(C20:M20)=0,"",SUM(C20:M20))</f>
        <v/>
      </c>
      <c r="O20" s="16" t="str">
        <f aca="false">IF(OR(N20="",$N$4-SUMIF(C20:M20,"欠",$C$4:$M$4)&lt;=0),"",ROUND(N20/($N$4-SUMIF(C20:M20,"欠",$C$4:$M$4))*100,0))</f>
        <v/>
      </c>
      <c r="P20" s="16" t="str">
        <f aca="false">IF(O20="","",IF(O20&gt;=設定!$D$13,"A",IF(O20&gt;=設定!$E$13,"B","C")))</f>
        <v/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6" t="str">
        <f aca="false">IF(COUNT(Q20:Z20)=0,"",SUM(Q20:Z20))</f>
        <v/>
      </c>
      <c r="AB20" s="16" t="str">
        <f aca="false">IF(OR(AA20="",$AA$4-SUMIF(Q20:Z20,"欠",$Q$4:$Z$4)&lt;=0),"",ROUND(AA20/($AA$4-SUMIF(Q20:Z20,"欠",$Q$4:$Z$4))*100,0))</f>
        <v/>
      </c>
      <c r="AC20" s="16" t="str">
        <f aca="false">IF(AB20="","",IF(AB20&gt;=設定!$D$13,"A",IF(AB20&gt;=設定!$E$13,"B","C")))</f>
        <v/>
      </c>
      <c r="AD20" s="16" t="str">
        <f aca="false">IF(AND(N20="",AA20=""),"",IF(N20="",0,N20)+IF(AA20="",0,AA20))</f>
        <v/>
      </c>
      <c r="AE20" s="16" t="str">
        <f aca="false">IF(AD20="","",IF($AD$4-SUMIF(C20:M20,"欠",$C$4:$M$4)-SUMIF(Q20:Z20,"欠",$Q$4:$Z$4)&lt;=0,"",ROUND(AD20/($AD$4-SUMIF(C20:M20,"欠",$C$4:$M$4)-SUMIF(Q20:Z20,"欠",$Q$4:$Z$4))*100,0)))</f>
        <v/>
      </c>
      <c r="AF20" s="16" t="str">
        <f aca="false">IF(AE20="","",IF(AE20&gt;=設定!$D$13,"A",IF(AE20&gt;=設定!$E$13,"B","C")))</f>
        <v/>
      </c>
    </row>
    <row r="21" customFormat="false" ht="15" hidden="false" customHeight="true" outlineLevel="0" collapsed="false">
      <c r="A21" s="16" t="n">
        <v>17</v>
      </c>
      <c r="B21" s="17" t="str">
        <f aca="false">IF(名簿!B19="","",名簿!B19)</f>
        <v/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6" t="str">
        <f aca="false">IF(COUNT(C21:M21)=0,"",SUM(C21:M21))</f>
        <v/>
      </c>
      <c r="O21" s="16" t="str">
        <f aca="false">IF(OR(N21="",$N$4-SUMIF(C21:M21,"欠",$C$4:$M$4)&lt;=0),"",ROUND(N21/($N$4-SUMIF(C21:M21,"欠",$C$4:$M$4))*100,0))</f>
        <v/>
      </c>
      <c r="P21" s="16" t="str">
        <f aca="false">IF(O21="","",IF(O21&gt;=設定!$D$13,"A",IF(O21&gt;=設定!$E$13,"B","C")))</f>
        <v/>
      </c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6" t="str">
        <f aca="false">IF(COUNT(Q21:Z21)=0,"",SUM(Q21:Z21))</f>
        <v/>
      </c>
      <c r="AB21" s="16" t="str">
        <f aca="false">IF(OR(AA21="",$AA$4-SUMIF(Q21:Z21,"欠",$Q$4:$Z$4)&lt;=0),"",ROUND(AA21/($AA$4-SUMIF(Q21:Z21,"欠",$Q$4:$Z$4))*100,0))</f>
        <v/>
      </c>
      <c r="AC21" s="16" t="str">
        <f aca="false">IF(AB21="","",IF(AB21&gt;=設定!$D$13,"A",IF(AB21&gt;=設定!$E$13,"B","C")))</f>
        <v/>
      </c>
      <c r="AD21" s="16" t="str">
        <f aca="false">IF(AND(N21="",AA21=""),"",IF(N21="",0,N21)+IF(AA21="",0,AA21))</f>
        <v/>
      </c>
      <c r="AE21" s="16" t="str">
        <f aca="false">IF(AD21="","",IF($AD$4-SUMIF(C21:M21,"欠",$C$4:$M$4)-SUMIF(Q21:Z21,"欠",$Q$4:$Z$4)&lt;=0,"",ROUND(AD21/($AD$4-SUMIF(C21:M21,"欠",$C$4:$M$4)-SUMIF(Q21:Z21,"欠",$Q$4:$Z$4))*100,0)))</f>
        <v/>
      </c>
      <c r="AF21" s="16" t="str">
        <f aca="false">IF(AE21="","",IF(AE21&gt;=設定!$D$13,"A",IF(AE21&gt;=設定!$E$13,"B","C")))</f>
        <v/>
      </c>
    </row>
    <row r="22" customFormat="false" ht="15" hidden="false" customHeight="true" outlineLevel="0" collapsed="false">
      <c r="A22" s="16" t="n">
        <v>18</v>
      </c>
      <c r="B22" s="17" t="str">
        <f aca="false">IF(名簿!B20="","",名簿!B20)</f>
        <v/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6" t="str">
        <f aca="false">IF(COUNT(C22:M22)=0,"",SUM(C22:M22))</f>
        <v/>
      </c>
      <c r="O22" s="16" t="str">
        <f aca="false">IF(OR(N22="",$N$4-SUMIF(C22:M22,"欠",$C$4:$M$4)&lt;=0),"",ROUND(N22/($N$4-SUMIF(C22:M22,"欠",$C$4:$M$4))*100,0))</f>
        <v/>
      </c>
      <c r="P22" s="16" t="str">
        <f aca="false">IF(O22="","",IF(O22&gt;=設定!$D$13,"A",IF(O22&gt;=設定!$E$13,"B","C")))</f>
        <v/>
      </c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6" t="str">
        <f aca="false">IF(COUNT(Q22:Z22)=0,"",SUM(Q22:Z22))</f>
        <v/>
      </c>
      <c r="AB22" s="16" t="str">
        <f aca="false">IF(OR(AA22="",$AA$4-SUMIF(Q22:Z22,"欠",$Q$4:$Z$4)&lt;=0),"",ROUND(AA22/($AA$4-SUMIF(Q22:Z22,"欠",$Q$4:$Z$4))*100,0))</f>
        <v/>
      </c>
      <c r="AC22" s="16" t="str">
        <f aca="false">IF(AB22="","",IF(AB22&gt;=設定!$D$13,"A",IF(AB22&gt;=設定!$E$13,"B","C")))</f>
        <v/>
      </c>
      <c r="AD22" s="16" t="str">
        <f aca="false">IF(AND(N22="",AA22=""),"",IF(N22="",0,N22)+IF(AA22="",0,AA22))</f>
        <v/>
      </c>
      <c r="AE22" s="16" t="str">
        <f aca="false">IF(AD22="","",IF($AD$4-SUMIF(C22:M22,"欠",$C$4:$M$4)-SUMIF(Q22:Z22,"欠",$Q$4:$Z$4)&lt;=0,"",ROUND(AD22/($AD$4-SUMIF(C22:M22,"欠",$C$4:$M$4)-SUMIF(Q22:Z22,"欠",$Q$4:$Z$4))*100,0)))</f>
        <v/>
      </c>
      <c r="AF22" s="16" t="str">
        <f aca="false">IF(AE22="","",IF(AE22&gt;=設定!$D$13,"A",IF(AE22&gt;=設定!$E$13,"B","C")))</f>
        <v/>
      </c>
    </row>
    <row r="23" customFormat="false" ht="15" hidden="false" customHeight="true" outlineLevel="0" collapsed="false">
      <c r="A23" s="16" t="n">
        <v>19</v>
      </c>
      <c r="B23" s="17" t="str">
        <f aca="false">IF(名簿!B21="","",名簿!B21)</f>
        <v/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6" t="str">
        <f aca="false">IF(COUNT(C23:M23)=0,"",SUM(C23:M23))</f>
        <v/>
      </c>
      <c r="O23" s="16" t="str">
        <f aca="false">IF(OR(N23="",$N$4-SUMIF(C23:M23,"欠",$C$4:$M$4)&lt;=0),"",ROUND(N23/($N$4-SUMIF(C23:M23,"欠",$C$4:$M$4))*100,0))</f>
        <v/>
      </c>
      <c r="P23" s="16" t="str">
        <f aca="false">IF(O23="","",IF(O23&gt;=設定!$D$13,"A",IF(O23&gt;=設定!$E$13,"B","C")))</f>
        <v/>
      </c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6" t="str">
        <f aca="false">IF(COUNT(Q23:Z23)=0,"",SUM(Q23:Z23))</f>
        <v/>
      </c>
      <c r="AB23" s="16" t="str">
        <f aca="false">IF(OR(AA23="",$AA$4-SUMIF(Q23:Z23,"欠",$Q$4:$Z$4)&lt;=0),"",ROUND(AA23/($AA$4-SUMIF(Q23:Z23,"欠",$Q$4:$Z$4))*100,0))</f>
        <v/>
      </c>
      <c r="AC23" s="16" t="str">
        <f aca="false">IF(AB23="","",IF(AB23&gt;=設定!$D$13,"A",IF(AB23&gt;=設定!$E$13,"B","C")))</f>
        <v/>
      </c>
      <c r="AD23" s="16" t="str">
        <f aca="false">IF(AND(N23="",AA23=""),"",IF(N23="",0,N23)+IF(AA23="",0,AA23))</f>
        <v/>
      </c>
      <c r="AE23" s="16" t="str">
        <f aca="false">IF(AD23="","",IF($AD$4-SUMIF(C23:M23,"欠",$C$4:$M$4)-SUMIF(Q23:Z23,"欠",$Q$4:$Z$4)&lt;=0,"",ROUND(AD23/($AD$4-SUMIF(C23:M23,"欠",$C$4:$M$4)-SUMIF(Q23:Z23,"欠",$Q$4:$Z$4))*100,0)))</f>
        <v/>
      </c>
      <c r="AF23" s="16" t="str">
        <f aca="false">IF(AE23="","",IF(AE23&gt;=設定!$D$13,"A",IF(AE23&gt;=設定!$E$13,"B","C")))</f>
        <v/>
      </c>
    </row>
    <row r="24" customFormat="false" ht="15" hidden="false" customHeight="true" outlineLevel="0" collapsed="false">
      <c r="A24" s="16" t="n">
        <v>20</v>
      </c>
      <c r="B24" s="17" t="str">
        <f aca="false">IF(名簿!B22="","",名簿!B22)</f>
        <v/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6" t="str">
        <f aca="false">IF(COUNT(C24:M24)=0,"",SUM(C24:M24))</f>
        <v/>
      </c>
      <c r="O24" s="16" t="str">
        <f aca="false">IF(OR(N24="",$N$4-SUMIF(C24:M24,"欠",$C$4:$M$4)&lt;=0),"",ROUND(N24/($N$4-SUMIF(C24:M24,"欠",$C$4:$M$4))*100,0))</f>
        <v/>
      </c>
      <c r="P24" s="16" t="str">
        <f aca="false">IF(O24="","",IF(O24&gt;=設定!$D$13,"A",IF(O24&gt;=設定!$E$13,"B","C")))</f>
        <v/>
      </c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6" t="str">
        <f aca="false">IF(COUNT(Q24:Z24)=0,"",SUM(Q24:Z24))</f>
        <v/>
      </c>
      <c r="AB24" s="16" t="str">
        <f aca="false">IF(OR(AA24="",$AA$4-SUMIF(Q24:Z24,"欠",$Q$4:$Z$4)&lt;=0),"",ROUND(AA24/($AA$4-SUMIF(Q24:Z24,"欠",$Q$4:$Z$4))*100,0))</f>
        <v/>
      </c>
      <c r="AC24" s="16" t="str">
        <f aca="false">IF(AB24="","",IF(AB24&gt;=設定!$D$13,"A",IF(AB24&gt;=設定!$E$13,"B","C")))</f>
        <v/>
      </c>
      <c r="AD24" s="16" t="str">
        <f aca="false">IF(AND(N24="",AA24=""),"",IF(N24="",0,N24)+IF(AA24="",0,AA24))</f>
        <v/>
      </c>
      <c r="AE24" s="16" t="str">
        <f aca="false">IF(AD24="","",IF($AD$4-SUMIF(C24:M24,"欠",$C$4:$M$4)-SUMIF(Q24:Z24,"欠",$Q$4:$Z$4)&lt;=0,"",ROUND(AD24/($AD$4-SUMIF(C24:M24,"欠",$C$4:$M$4)-SUMIF(Q24:Z24,"欠",$Q$4:$Z$4))*100,0)))</f>
        <v/>
      </c>
      <c r="AF24" s="16" t="str">
        <f aca="false">IF(AE24="","",IF(AE24&gt;=設定!$D$13,"A",IF(AE24&gt;=設定!$E$13,"B","C")))</f>
        <v/>
      </c>
    </row>
    <row r="25" customFormat="false" ht="15" hidden="false" customHeight="true" outlineLevel="0" collapsed="false">
      <c r="A25" s="16" t="n">
        <v>21</v>
      </c>
      <c r="B25" s="17" t="str">
        <f aca="false">IF(名簿!B23="","",名簿!B23)</f>
        <v/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6" t="str">
        <f aca="false">IF(COUNT(C25:M25)=0,"",SUM(C25:M25))</f>
        <v/>
      </c>
      <c r="O25" s="16" t="str">
        <f aca="false">IF(OR(N25="",$N$4-SUMIF(C25:M25,"欠",$C$4:$M$4)&lt;=0),"",ROUND(N25/($N$4-SUMIF(C25:M25,"欠",$C$4:$M$4))*100,0))</f>
        <v/>
      </c>
      <c r="P25" s="16" t="str">
        <f aca="false">IF(O25="","",IF(O25&gt;=設定!$D$13,"A",IF(O25&gt;=設定!$E$13,"B","C")))</f>
        <v/>
      </c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6" t="str">
        <f aca="false">IF(COUNT(Q25:Z25)=0,"",SUM(Q25:Z25))</f>
        <v/>
      </c>
      <c r="AB25" s="16" t="str">
        <f aca="false">IF(OR(AA25="",$AA$4-SUMIF(Q25:Z25,"欠",$Q$4:$Z$4)&lt;=0),"",ROUND(AA25/($AA$4-SUMIF(Q25:Z25,"欠",$Q$4:$Z$4))*100,0))</f>
        <v/>
      </c>
      <c r="AC25" s="16" t="str">
        <f aca="false">IF(AB25="","",IF(AB25&gt;=設定!$D$13,"A",IF(AB25&gt;=設定!$E$13,"B","C")))</f>
        <v/>
      </c>
      <c r="AD25" s="16" t="str">
        <f aca="false">IF(AND(N25="",AA25=""),"",IF(N25="",0,N25)+IF(AA25="",0,AA25))</f>
        <v/>
      </c>
      <c r="AE25" s="16" t="str">
        <f aca="false">IF(AD25="","",IF($AD$4-SUMIF(C25:M25,"欠",$C$4:$M$4)-SUMIF(Q25:Z25,"欠",$Q$4:$Z$4)&lt;=0,"",ROUND(AD25/($AD$4-SUMIF(C25:M25,"欠",$C$4:$M$4)-SUMIF(Q25:Z25,"欠",$Q$4:$Z$4))*100,0)))</f>
        <v/>
      </c>
      <c r="AF25" s="16" t="str">
        <f aca="false">IF(AE25="","",IF(AE25&gt;=設定!$D$13,"A",IF(AE25&gt;=設定!$E$13,"B","C")))</f>
        <v/>
      </c>
    </row>
    <row r="26" customFormat="false" ht="15" hidden="false" customHeight="true" outlineLevel="0" collapsed="false">
      <c r="A26" s="16" t="n">
        <v>22</v>
      </c>
      <c r="B26" s="17" t="str">
        <f aca="false">IF(名簿!B24="","",名簿!B24)</f>
        <v/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6" t="str">
        <f aca="false">IF(COUNT(C26:M26)=0,"",SUM(C26:M26))</f>
        <v/>
      </c>
      <c r="O26" s="16" t="str">
        <f aca="false">IF(OR(N26="",$N$4-SUMIF(C26:M26,"欠",$C$4:$M$4)&lt;=0),"",ROUND(N26/($N$4-SUMIF(C26:M26,"欠",$C$4:$M$4))*100,0))</f>
        <v/>
      </c>
      <c r="P26" s="16" t="str">
        <f aca="false">IF(O26="","",IF(O26&gt;=設定!$D$13,"A",IF(O26&gt;=設定!$E$13,"B","C")))</f>
        <v/>
      </c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6" t="str">
        <f aca="false">IF(COUNT(Q26:Z26)=0,"",SUM(Q26:Z26))</f>
        <v/>
      </c>
      <c r="AB26" s="16" t="str">
        <f aca="false">IF(OR(AA26="",$AA$4-SUMIF(Q26:Z26,"欠",$Q$4:$Z$4)&lt;=0),"",ROUND(AA26/($AA$4-SUMIF(Q26:Z26,"欠",$Q$4:$Z$4))*100,0))</f>
        <v/>
      </c>
      <c r="AC26" s="16" t="str">
        <f aca="false">IF(AB26="","",IF(AB26&gt;=設定!$D$13,"A",IF(AB26&gt;=設定!$E$13,"B","C")))</f>
        <v/>
      </c>
      <c r="AD26" s="16" t="str">
        <f aca="false">IF(AND(N26="",AA26=""),"",IF(N26="",0,N26)+IF(AA26="",0,AA26))</f>
        <v/>
      </c>
      <c r="AE26" s="16" t="str">
        <f aca="false">IF(AD26="","",IF($AD$4-SUMIF(C26:M26,"欠",$C$4:$M$4)-SUMIF(Q26:Z26,"欠",$Q$4:$Z$4)&lt;=0,"",ROUND(AD26/($AD$4-SUMIF(C26:M26,"欠",$C$4:$M$4)-SUMIF(Q26:Z26,"欠",$Q$4:$Z$4))*100,0)))</f>
        <v/>
      </c>
      <c r="AF26" s="16" t="str">
        <f aca="false">IF(AE26="","",IF(AE26&gt;=設定!$D$13,"A",IF(AE26&gt;=設定!$E$13,"B","C")))</f>
        <v/>
      </c>
    </row>
    <row r="27" customFormat="false" ht="15" hidden="false" customHeight="true" outlineLevel="0" collapsed="false">
      <c r="A27" s="16" t="n">
        <v>23</v>
      </c>
      <c r="B27" s="17" t="str">
        <f aca="false">IF(名簿!B25="","",名簿!B25)</f>
        <v/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6" t="str">
        <f aca="false">IF(COUNT(C27:M27)=0,"",SUM(C27:M27))</f>
        <v/>
      </c>
      <c r="O27" s="16" t="str">
        <f aca="false">IF(OR(N27="",$N$4-SUMIF(C27:M27,"欠",$C$4:$M$4)&lt;=0),"",ROUND(N27/($N$4-SUMIF(C27:M27,"欠",$C$4:$M$4))*100,0))</f>
        <v/>
      </c>
      <c r="P27" s="16" t="str">
        <f aca="false">IF(O27="","",IF(O27&gt;=設定!$D$13,"A",IF(O27&gt;=設定!$E$13,"B","C")))</f>
        <v/>
      </c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6" t="str">
        <f aca="false">IF(COUNT(Q27:Z27)=0,"",SUM(Q27:Z27))</f>
        <v/>
      </c>
      <c r="AB27" s="16" t="str">
        <f aca="false">IF(OR(AA27="",$AA$4-SUMIF(Q27:Z27,"欠",$Q$4:$Z$4)&lt;=0),"",ROUND(AA27/($AA$4-SUMIF(Q27:Z27,"欠",$Q$4:$Z$4))*100,0))</f>
        <v/>
      </c>
      <c r="AC27" s="16" t="str">
        <f aca="false">IF(AB27="","",IF(AB27&gt;=設定!$D$13,"A",IF(AB27&gt;=設定!$E$13,"B","C")))</f>
        <v/>
      </c>
      <c r="AD27" s="16" t="str">
        <f aca="false">IF(AND(N27="",AA27=""),"",IF(N27="",0,N27)+IF(AA27="",0,AA27))</f>
        <v/>
      </c>
      <c r="AE27" s="16" t="str">
        <f aca="false">IF(AD27="","",IF($AD$4-SUMIF(C27:M27,"欠",$C$4:$M$4)-SUMIF(Q27:Z27,"欠",$Q$4:$Z$4)&lt;=0,"",ROUND(AD27/($AD$4-SUMIF(C27:M27,"欠",$C$4:$M$4)-SUMIF(Q27:Z27,"欠",$Q$4:$Z$4))*100,0)))</f>
        <v/>
      </c>
      <c r="AF27" s="16" t="str">
        <f aca="false">IF(AE27="","",IF(AE27&gt;=設定!$D$13,"A",IF(AE27&gt;=設定!$E$13,"B","C")))</f>
        <v/>
      </c>
    </row>
    <row r="28" customFormat="false" ht="15" hidden="false" customHeight="true" outlineLevel="0" collapsed="false">
      <c r="A28" s="16" t="n">
        <v>24</v>
      </c>
      <c r="B28" s="17" t="str">
        <f aca="false">IF(名簿!B26="","",名簿!B26)</f>
        <v/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6" t="str">
        <f aca="false">IF(COUNT(C28:M28)=0,"",SUM(C28:M28))</f>
        <v/>
      </c>
      <c r="O28" s="16" t="str">
        <f aca="false">IF(OR(N28="",$N$4-SUMIF(C28:M28,"欠",$C$4:$M$4)&lt;=0),"",ROUND(N28/($N$4-SUMIF(C28:M28,"欠",$C$4:$M$4))*100,0))</f>
        <v/>
      </c>
      <c r="P28" s="16" t="str">
        <f aca="false">IF(O28="","",IF(O28&gt;=設定!$D$13,"A",IF(O28&gt;=設定!$E$13,"B","C")))</f>
        <v/>
      </c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6" t="str">
        <f aca="false">IF(COUNT(Q28:Z28)=0,"",SUM(Q28:Z28))</f>
        <v/>
      </c>
      <c r="AB28" s="16" t="str">
        <f aca="false">IF(OR(AA28="",$AA$4-SUMIF(Q28:Z28,"欠",$Q$4:$Z$4)&lt;=0),"",ROUND(AA28/($AA$4-SUMIF(Q28:Z28,"欠",$Q$4:$Z$4))*100,0))</f>
        <v/>
      </c>
      <c r="AC28" s="16" t="str">
        <f aca="false">IF(AB28="","",IF(AB28&gt;=設定!$D$13,"A",IF(AB28&gt;=設定!$E$13,"B","C")))</f>
        <v/>
      </c>
      <c r="AD28" s="16" t="str">
        <f aca="false">IF(AND(N28="",AA28=""),"",IF(N28="",0,N28)+IF(AA28="",0,AA28))</f>
        <v/>
      </c>
      <c r="AE28" s="16" t="str">
        <f aca="false">IF(AD28="","",IF($AD$4-SUMIF(C28:M28,"欠",$C$4:$M$4)-SUMIF(Q28:Z28,"欠",$Q$4:$Z$4)&lt;=0,"",ROUND(AD28/($AD$4-SUMIF(C28:M28,"欠",$C$4:$M$4)-SUMIF(Q28:Z28,"欠",$Q$4:$Z$4))*100,0)))</f>
        <v/>
      </c>
      <c r="AF28" s="16" t="str">
        <f aca="false">IF(AE28="","",IF(AE28&gt;=設定!$D$13,"A",IF(AE28&gt;=設定!$E$13,"B","C")))</f>
        <v/>
      </c>
    </row>
    <row r="29" customFormat="false" ht="15" hidden="false" customHeight="true" outlineLevel="0" collapsed="false">
      <c r="A29" s="16" t="n">
        <v>25</v>
      </c>
      <c r="B29" s="17" t="str">
        <f aca="false">IF(名簿!B27="","",名簿!B27)</f>
        <v/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6" t="str">
        <f aca="false">IF(COUNT(C29:M29)=0,"",SUM(C29:M29))</f>
        <v/>
      </c>
      <c r="O29" s="16" t="str">
        <f aca="false">IF(OR(N29="",$N$4-SUMIF(C29:M29,"欠",$C$4:$M$4)&lt;=0),"",ROUND(N29/($N$4-SUMIF(C29:M29,"欠",$C$4:$M$4))*100,0))</f>
        <v/>
      </c>
      <c r="P29" s="16" t="str">
        <f aca="false">IF(O29="","",IF(O29&gt;=設定!$D$13,"A",IF(O29&gt;=設定!$E$13,"B","C")))</f>
        <v/>
      </c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6" t="str">
        <f aca="false">IF(COUNT(Q29:Z29)=0,"",SUM(Q29:Z29))</f>
        <v/>
      </c>
      <c r="AB29" s="16" t="str">
        <f aca="false">IF(OR(AA29="",$AA$4-SUMIF(Q29:Z29,"欠",$Q$4:$Z$4)&lt;=0),"",ROUND(AA29/($AA$4-SUMIF(Q29:Z29,"欠",$Q$4:$Z$4))*100,0))</f>
        <v/>
      </c>
      <c r="AC29" s="16" t="str">
        <f aca="false">IF(AB29="","",IF(AB29&gt;=設定!$D$13,"A",IF(AB29&gt;=設定!$E$13,"B","C")))</f>
        <v/>
      </c>
      <c r="AD29" s="16" t="str">
        <f aca="false">IF(AND(N29="",AA29=""),"",IF(N29="",0,N29)+IF(AA29="",0,AA29))</f>
        <v/>
      </c>
      <c r="AE29" s="16" t="str">
        <f aca="false">IF(AD29="","",IF($AD$4-SUMIF(C29:M29,"欠",$C$4:$M$4)-SUMIF(Q29:Z29,"欠",$Q$4:$Z$4)&lt;=0,"",ROUND(AD29/($AD$4-SUMIF(C29:M29,"欠",$C$4:$M$4)-SUMIF(Q29:Z29,"欠",$Q$4:$Z$4))*100,0)))</f>
        <v/>
      </c>
      <c r="AF29" s="16" t="str">
        <f aca="false">IF(AE29="","",IF(AE29&gt;=設定!$D$13,"A",IF(AE29&gt;=設定!$E$13,"B","C")))</f>
        <v/>
      </c>
    </row>
    <row r="30" customFormat="false" ht="15" hidden="false" customHeight="true" outlineLevel="0" collapsed="false">
      <c r="A30" s="16" t="n">
        <v>26</v>
      </c>
      <c r="B30" s="17" t="str">
        <f aca="false">IF(名簿!B28="","",名簿!B28)</f>
        <v/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6" t="str">
        <f aca="false">IF(COUNT(C30:M30)=0,"",SUM(C30:M30))</f>
        <v/>
      </c>
      <c r="O30" s="16" t="str">
        <f aca="false">IF(OR(N30="",$N$4-SUMIF(C30:M30,"欠",$C$4:$M$4)&lt;=0),"",ROUND(N30/($N$4-SUMIF(C30:M30,"欠",$C$4:$M$4))*100,0))</f>
        <v/>
      </c>
      <c r="P30" s="16" t="str">
        <f aca="false">IF(O30="","",IF(O30&gt;=設定!$D$13,"A",IF(O30&gt;=設定!$E$13,"B","C")))</f>
        <v/>
      </c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6" t="str">
        <f aca="false">IF(COUNT(Q30:Z30)=0,"",SUM(Q30:Z30))</f>
        <v/>
      </c>
      <c r="AB30" s="16" t="str">
        <f aca="false">IF(OR(AA30="",$AA$4-SUMIF(Q30:Z30,"欠",$Q$4:$Z$4)&lt;=0),"",ROUND(AA30/($AA$4-SUMIF(Q30:Z30,"欠",$Q$4:$Z$4))*100,0))</f>
        <v/>
      </c>
      <c r="AC30" s="16" t="str">
        <f aca="false">IF(AB30="","",IF(AB30&gt;=設定!$D$13,"A",IF(AB30&gt;=設定!$E$13,"B","C")))</f>
        <v/>
      </c>
      <c r="AD30" s="16" t="str">
        <f aca="false">IF(AND(N30="",AA30=""),"",IF(N30="",0,N30)+IF(AA30="",0,AA30))</f>
        <v/>
      </c>
      <c r="AE30" s="16" t="str">
        <f aca="false">IF(AD30="","",IF($AD$4-SUMIF(C30:M30,"欠",$C$4:$M$4)-SUMIF(Q30:Z30,"欠",$Q$4:$Z$4)&lt;=0,"",ROUND(AD30/($AD$4-SUMIF(C30:M30,"欠",$C$4:$M$4)-SUMIF(Q30:Z30,"欠",$Q$4:$Z$4))*100,0)))</f>
        <v/>
      </c>
      <c r="AF30" s="16" t="str">
        <f aca="false">IF(AE30="","",IF(AE30&gt;=設定!$D$13,"A",IF(AE30&gt;=設定!$E$13,"B","C")))</f>
        <v/>
      </c>
    </row>
    <row r="31" customFormat="false" ht="15" hidden="false" customHeight="true" outlineLevel="0" collapsed="false">
      <c r="A31" s="16" t="n">
        <v>27</v>
      </c>
      <c r="B31" s="17" t="str">
        <f aca="false">IF(名簿!B29="","",名簿!B29)</f>
        <v/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6" t="str">
        <f aca="false">IF(COUNT(C31:M31)=0,"",SUM(C31:M31))</f>
        <v/>
      </c>
      <c r="O31" s="16" t="str">
        <f aca="false">IF(OR(N31="",$N$4-SUMIF(C31:M31,"欠",$C$4:$M$4)&lt;=0),"",ROUND(N31/($N$4-SUMIF(C31:M31,"欠",$C$4:$M$4))*100,0))</f>
        <v/>
      </c>
      <c r="P31" s="16" t="str">
        <f aca="false">IF(O31="","",IF(O31&gt;=設定!$D$13,"A",IF(O31&gt;=設定!$E$13,"B","C")))</f>
        <v/>
      </c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6" t="str">
        <f aca="false">IF(COUNT(Q31:Z31)=0,"",SUM(Q31:Z31))</f>
        <v/>
      </c>
      <c r="AB31" s="16" t="str">
        <f aca="false">IF(OR(AA31="",$AA$4-SUMIF(Q31:Z31,"欠",$Q$4:$Z$4)&lt;=0),"",ROUND(AA31/($AA$4-SUMIF(Q31:Z31,"欠",$Q$4:$Z$4))*100,0))</f>
        <v/>
      </c>
      <c r="AC31" s="16" t="str">
        <f aca="false">IF(AB31="","",IF(AB31&gt;=設定!$D$13,"A",IF(AB31&gt;=設定!$E$13,"B","C")))</f>
        <v/>
      </c>
      <c r="AD31" s="16" t="str">
        <f aca="false">IF(AND(N31="",AA31=""),"",IF(N31="",0,N31)+IF(AA31="",0,AA31))</f>
        <v/>
      </c>
      <c r="AE31" s="16" t="str">
        <f aca="false">IF(AD31="","",IF($AD$4-SUMIF(C31:M31,"欠",$C$4:$M$4)-SUMIF(Q31:Z31,"欠",$Q$4:$Z$4)&lt;=0,"",ROUND(AD31/($AD$4-SUMIF(C31:M31,"欠",$C$4:$M$4)-SUMIF(Q31:Z31,"欠",$Q$4:$Z$4))*100,0)))</f>
        <v/>
      </c>
      <c r="AF31" s="16" t="str">
        <f aca="false">IF(AE31="","",IF(AE31&gt;=設定!$D$13,"A",IF(AE31&gt;=設定!$E$13,"B","C")))</f>
        <v/>
      </c>
    </row>
    <row r="32" customFormat="false" ht="15" hidden="false" customHeight="true" outlineLevel="0" collapsed="false">
      <c r="A32" s="16" t="n">
        <v>28</v>
      </c>
      <c r="B32" s="17" t="str">
        <f aca="false">IF(名簿!B30="","",名簿!B30)</f>
        <v/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6" t="str">
        <f aca="false">IF(COUNT(C32:M32)=0,"",SUM(C32:M32))</f>
        <v/>
      </c>
      <c r="O32" s="16" t="str">
        <f aca="false">IF(OR(N32="",$N$4-SUMIF(C32:M32,"欠",$C$4:$M$4)&lt;=0),"",ROUND(N32/($N$4-SUMIF(C32:M32,"欠",$C$4:$M$4))*100,0))</f>
        <v/>
      </c>
      <c r="P32" s="16" t="str">
        <f aca="false">IF(O32="","",IF(O32&gt;=設定!$D$13,"A",IF(O32&gt;=設定!$E$13,"B","C")))</f>
        <v/>
      </c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6" t="str">
        <f aca="false">IF(COUNT(Q32:Z32)=0,"",SUM(Q32:Z32))</f>
        <v/>
      </c>
      <c r="AB32" s="16" t="str">
        <f aca="false">IF(OR(AA32="",$AA$4-SUMIF(Q32:Z32,"欠",$Q$4:$Z$4)&lt;=0),"",ROUND(AA32/($AA$4-SUMIF(Q32:Z32,"欠",$Q$4:$Z$4))*100,0))</f>
        <v/>
      </c>
      <c r="AC32" s="16" t="str">
        <f aca="false">IF(AB32="","",IF(AB32&gt;=設定!$D$13,"A",IF(AB32&gt;=設定!$E$13,"B","C")))</f>
        <v/>
      </c>
      <c r="AD32" s="16" t="str">
        <f aca="false">IF(AND(N32="",AA32=""),"",IF(N32="",0,N32)+IF(AA32="",0,AA32))</f>
        <v/>
      </c>
      <c r="AE32" s="16" t="str">
        <f aca="false">IF(AD32="","",IF($AD$4-SUMIF(C32:M32,"欠",$C$4:$M$4)-SUMIF(Q32:Z32,"欠",$Q$4:$Z$4)&lt;=0,"",ROUND(AD32/($AD$4-SUMIF(C32:M32,"欠",$C$4:$M$4)-SUMIF(Q32:Z32,"欠",$Q$4:$Z$4))*100,0)))</f>
        <v/>
      </c>
      <c r="AF32" s="16" t="str">
        <f aca="false">IF(AE32="","",IF(AE32&gt;=設定!$D$13,"A",IF(AE32&gt;=設定!$E$13,"B","C")))</f>
        <v/>
      </c>
    </row>
    <row r="33" customFormat="false" ht="15" hidden="false" customHeight="true" outlineLevel="0" collapsed="false">
      <c r="A33" s="16" t="n">
        <v>29</v>
      </c>
      <c r="B33" s="17" t="str">
        <f aca="false">IF(名簿!B31="","",名簿!B31)</f>
        <v/>
      </c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6" t="str">
        <f aca="false">IF(COUNT(C33:M33)=0,"",SUM(C33:M33))</f>
        <v/>
      </c>
      <c r="O33" s="16" t="str">
        <f aca="false">IF(OR(N33="",$N$4-SUMIF(C33:M33,"欠",$C$4:$M$4)&lt;=0),"",ROUND(N33/($N$4-SUMIF(C33:M33,"欠",$C$4:$M$4))*100,0))</f>
        <v/>
      </c>
      <c r="P33" s="16" t="str">
        <f aca="false">IF(O33="","",IF(O33&gt;=設定!$D$13,"A",IF(O33&gt;=設定!$E$13,"B","C")))</f>
        <v/>
      </c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6" t="str">
        <f aca="false">IF(COUNT(Q33:Z33)=0,"",SUM(Q33:Z33))</f>
        <v/>
      </c>
      <c r="AB33" s="16" t="str">
        <f aca="false">IF(OR(AA33="",$AA$4-SUMIF(Q33:Z33,"欠",$Q$4:$Z$4)&lt;=0),"",ROUND(AA33/($AA$4-SUMIF(Q33:Z33,"欠",$Q$4:$Z$4))*100,0))</f>
        <v/>
      </c>
      <c r="AC33" s="16" t="str">
        <f aca="false">IF(AB33="","",IF(AB33&gt;=設定!$D$13,"A",IF(AB33&gt;=設定!$E$13,"B","C")))</f>
        <v/>
      </c>
      <c r="AD33" s="16" t="str">
        <f aca="false">IF(AND(N33="",AA33=""),"",IF(N33="",0,N33)+IF(AA33="",0,AA33))</f>
        <v/>
      </c>
      <c r="AE33" s="16" t="str">
        <f aca="false">IF(AD33="","",IF($AD$4-SUMIF(C33:M33,"欠",$C$4:$M$4)-SUMIF(Q33:Z33,"欠",$Q$4:$Z$4)&lt;=0,"",ROUND(AD33/($AD$4-SUMIF(C33:M33,"欠",$C$4:$M$4)-SUMIF(Q33:Z33,"欠",$Q$4:$Z$4))*100,0)))</f>
        <v/>
      </c>
      <c r="AF33" s="16" t="str">
        <f aca="false">IF(AE33="","",IF(AE33&gt;=設定!$D$13,"A",IF(AE33&gt;=設定!$E$13,"B","C")))</f>
        <v/>
      </c>
    </row>
    <row r="34" customFormat="false" ht="15" hidden="false" customHeight="true" outlineLevel="0" collapsed="false">
      <c r="A34" s="16" t="n">
        <v>30</v>
      </c>
      <c r="B34" s="17" t="str">
        <f aca="false">IF(名簿!B32="","",名簿!B32)</f>
        <v/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6" t="str">
        <f aca="false">IF(COUNT(C34:M34)=0,"",SUM(C34:M34))</f>
        <v/>
      </c>
      <c r="O34" s="16" t="str">
        <f aca="false">IF(OR(N34="",$N$4-SUMIF(C34:M34,"欠",$C$4:$M$4)&lt;=0),"",ROUND(N34/($N$4-SUMIF(C34:M34,"欠",$C$4:$M$4))*100,0))</f>
        <v/>
      </c>
      <c r="P34" s="16" t="str">
        <f aca="false">IF(O34="","",IF(O34&gt;=設定!$D$13,"A",IF(O34&gt;=設定!$E$13,"B","C")))</f>
        <v/>
      </c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6" t="str">
        <f aca="false">IF(COUNT(Q34:Z34)=0,"",SUM(Q34:Z34))</f>
        <v/>
      </c>
      <c r="AB34" s="16" t="str">
        <f aca="false">IF(OR(AA34="",$AA$4-SUMIF(Q34:Z34,"欠",$Q$4:$Z$4)&lt;=0),"",ROUND(AA34/($AA$4-SUMIF(Q34:Z34,"欠",$Q$4:$Z$4))*100,0))</f>
        <v/>
      </c>
      <c r="AC34" s="16" t="str">
        <f aca="false">IF(AB34="","",IF(AB34&gt;=設定!$D$13,"A",IF(AB34&gt;=設定!$E$13,"B","C")))</f>
        <v/>
      </c>
      <c r="AD34" s="16" t="str">
        <f aca="false">IF(AND(N34="",AA34=""),"",IF(N34="",0,N34)+IF(AA34="",0,AA34))</f>
        <v/>
      </c>
      <c r="AE34" s="16" t="str">
        <f aca="false">IF(AD34="","",IF($AD$4-SUMIF(C34:M34,"欠",$C$4:$M$4)-SUMIF(Q34:Z34,"欠",$Q$4:$Z$4)&lt;=0,"",ROUND(AD34/($AD$4-SUMIF(C34:M34,"欠",$C$4:$M$4)-SUMIF(Q34:Z34,"欠",$Q$4:$Z$4))*100,0)))</f>
        <v/>
      </c>
      <c r="AF34" s="16" t="str">
        <f aca="false">IF(AE34="","",IF(AE34&gt;=設定!$D$13,"A",IF(AE34&gt;=設定!$E$13,"B","C")))</f>
        <v/>
      </c>
    </row>
    <row r="35" customFormat="false" ht="15" hidden="false" customHeight="true" outlineLevel="0" collapsed="false">
      <c r="A35" s="16" t="n">
        <v>31</v>
      </c>
      <c r="B35" s="17" t="str">
        <f aca="false">IF(名簿!B33="","",名簿!B33)</f>
        <v/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6" t="str">
        <f aca="false">IF(COUNT(C35:M35)=0,"",SUM(C35:M35))</f>
        <v/>
      </c>
      <c r="O35" s="16" t="str">
        <f aca="false">IF(OR(N35="",$N$4-SUMIF(C35:M35,"欠",$C$4:$M$4)&lt;=0),"",ROUND(N35/($N$4-SUMIF(C35:M35,"欠",$C$4:$M$4))*100,0))</f>
        <v/>
      </c>
      <c r="P35" s="16" t="str">
        <f aca="false">IF(O35="","",IF(O35&gt;=設定!$D$13,"A",IF(O35&gt;=設定!$E$13,"B","C")))</f>
        <v/>
      </c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6" t="str">
        <f aca="false">IF(COUNT(Q35:Z35)=0,"",SUM(Q35:Z35))</f>
        <v/>
      </c>
      <c r="AB35" s="16" t="str">
        <f aca="false">IF(OR(AA35="",$AA$4-SUMIF(Q35:Z35,"欠",$Q$4:$Z$4)&lt;=0),"",ROUND(AA35/($AA$4-SUMIF(Q35:Z35,"欠",$Q$4:$Z$4))*100,0))</f>
        <v/>
      </c>
      <c r="AC35" s="16" t="str">
        <f aca="false">IF(AB35="","",IF(AB35&gt;=設定!$D$13,"A",IF(AB35&gt;=設定!$E$13,"B","C")))</f>
        <v/>
      </c>
      <c r="AD35" s="16" t="str">
        <f aca="false">IF(AND(N35="",AA35=""),"",IF(N35="",0,N35)+IF(AA35="",0,AA35))</f>
        <v/>
      </c>
      <c r="AE35" s="16" t="str">
        <f aca="false">IF(AD35="","",IF($AD$4-SUMIF(C35:M35,"欠",$C$4:$M$4)-SUMIF(Q35:Z35,"欠",$Q$4:$Z$4)&lt;=0,"",ROUND(AD35/($AD$4-SUMIF(C35:M35,"欠",$C$4:$M$4)-SUMIF(Q35:Z35,"欠",$Q$4:$Z$4))*100,0)))</f>
        <v/>
      </c>
      <c r="AF35" s="16" t="str">
        <f aca="false">IF(AE35="","",IF(AE35&gt;=設定!$D$13,"A",IF(AE35&gt;=設定!$E$13,"B","C")))</f>
        <v/>
      </c>
    </row>
    <row r="36" customFormat="false" ht="15" hidden="false" customHeight="true" outlineLevel="0" collapsed="false">
      <c r="A36" s="16" t="n">
        <v>32</v>
      </c>
      <c r="B36" s="17" t="str">
        <f aca="false">IF(名簿!B34="","",名簿!B34)</f>
        <v/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6" t="str">
        <f aca="false">IF(COUNT(C36:M36)=0,"",SUM(C36:M36))</f>
        <v/>
      </c>
      <c r="O36" s="16" t="str">
        <f aca="false">IF(OR(N36="",$N$4-SUMIF(C36:M36,"欠",$C$4:$M$4)&lt;=0),"",ROUND(N36/($N$4-SUMIF(C36:M36,"欠",$C$4:$M$4))*100,0))</f>
        <v/>
      </c>
      <c r="P36" s="16" t="str">
        <f aca="false">IF(O36="","",IF(O36&gt;=設定!$D$13,"A",IF(O36&gt;=設定!$E$13,"B","C")))</f>
        <v/>
      </c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6" t="str">
        <f aca="false">IF(COUNT(Q36:Z36)=0,"",SUM(Q36:Z36))</f>
        <v/>
      </c>
      <c r="AB36" s="16" t="str">
        <f aca="false">IF(OR(AA36="",$AA$4-SUMIF(Q36:Z36,"欠",$Q$4:$Z$4)&lt;=0),"",ROUND(AA36/($AA$4-SUMIF(Q36:Z36,"欠",$Q$4:$Z$4))*100,0))</f>
        <v/>
      </c>
      <c r="AC36" s="16" t="str">
        <f aca="false">IF(AB36="","",IF(AB36&gt;=設定!$D$13,"A",IF(AB36&gt;=設定!$E$13,"B","C")))</f>
        <v/>
      </c>
      <c r="AD36" s="16" t="str">
        <f aca="false">IF(AND(N36="",AA36=""),"",IF(N36="",0,N36)+IF(AA36="",0,AA36))</f>
        <v/>
      </c>
      <c r="AE36" s="16" t="str">
        <f aca="false">IF(AD36="","",IF($AD$4-SUMIF(C36:M36,"欠",$C$4:$M$4)-SUMIF(Q36:Z36,"欠",$Q$4:$Z$4)&lt;=0,"",ROUND(AD36/($AD$4-SUMIF(C36:M36,"欠",$C$4:$M$4)-SUMIF(Q36:Z36,"欠",$Q$4:$Z$4))*100,0)))</f>
        <v/>
      </c>
      <c r="AF36" s="16" t="str">
        <f aca="false">IF(AE36="","",IF(AE36&gt;=設定!$D$13,"A",IF(AE36&gt;=設定!$E$13,"B","C")))</f>
        <v/>
      </c>
    </row>
    <row r="37" customFormat="false" ht="15" hidden="false" customHeight="true" outlineLevel="0" collapsed="false">
      <c r="A37" s="16" t="n">
        <v>33</v>
      </c>
      <c r="B37" s="17" t="str">
        <f aca="false">IF(名簿!B35="","",名簿!B35)</f>
        <v/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6" t="str">
        <f aca="false">IF(COUNT(C37:M37)=0,"",SUM(C37:M37))</f>
        <v/>
      </c>
      <c r="O37" s="16" t="str">
        <f aca="false">IF(OR(N37="",$N$4-SUMIF(C37:M37,"欠",$C$4:$M$4)&lt;=0),"",ROUND(N37/($N$4-SUMIF(C37:M37,"欠",$C$4:$M$4))*100,0))</f>
        <v/>
      </c>
      <c r="P37" s="16" t="str">
        <f aca="false">IF(O37="","",IF(O37&gt;=設定!$D$13,"A",IF(O37&gt;=設定!$E$13,"B","C")))</f>
        <v/>
      </c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6" t="str">
        <f aca="false">IF(COUNT(Q37:Z37)=0,"",SUM(Q37:Z37))</f>
        <v/>
      </c>
      <c r="AB37" s="16" t="str">
        <f aca="false">IF(OR(AA37="",$AA$4-SUMIF(Q37:Z37,"欠",$Q$4:$Z$4)&lt;=0),"",ROUND(AA37/($AA$4-SUMIF(Q37:Z37,"欠",$Q$4:$Z$4))*100,0))</f>
        <v/>
      </c>
      <c r="AC37" s="16" t="str">
        <f aca="false">IF(AB37="","",IF(AB37&gt;=設定!$D$13,"A",IF(AB37&gt;=設定!$E$13,"B","C")))</f>
        <v/>
      </c>
      <c r="AD37" s="16" t="str">
        <f aca="false">IF(AND(N37="",AA37=""),"",IF(N37="",0,N37)+IF(AA37="",0,AA37))</f>
        <v/>
      </c>
      <c r="AE37" s="16" t="str">
        <f aca="false">IF(AD37="","",IF($AD$4-SUMIF(C37:M37,"欠",$C$4:$M$4)-SUMIF(Q37:Z37,"欠",$Q$4:$Z$4)&lt;=0,"",ROUND(AD37/($AD$4-SUMIF(C37:M37,"欠",$C$4:$M$4)-SUMIF(Q37:Z37,"欠",$Q$4:$Z$4))*100,0)))</f>
        <v/>
      </c>
      <c r="AF37" s="16" t="str">
        <f aca="false">IF(AE37="","",IF(AE37&gt;=設定!$D$13,"A",IF(AE37&gt;=設定!$E$13,"B","C")))</f>
        <v/>
      </c>
    </row>
    <row r="38" customFormat="false" ht="15" hidden="false" customHeight="true" outlineLevel="0" collapsed="false">
      <c r="A38" s="16" t="n">
        <v>34</v>
      </c>
      <c r="B38" s="17" t="str">
        <f aca="false">IF(名簿!B36="","",名簿!B36)</f>
        <v/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6" t="str">
        <f aca="false">IF(COUNT(C38:M38)=0,"",SUM(C38:M38))</f>
        <v/>
      </c>
      <c r="O38" s="16" t="str">
        <f aca="false">IF(OR(N38="",$N$4-SUMIF(C38:M38,"欠",$C$4:$M$4)&lt;=0),"",ROUND(N38/($N$4-SUMIF(C38:M38,"欠",$C$4:$M$4))*100,0))</f>
        <v/>
      </c>
      <c r="P38" s="16" t="str">
        <f aca="false">IF(O38="","",IF(O38&gt;=設定!$D$13,"A",IF(O38&gt;=設定!$E$13,"B","C")))</f>
        <v/>
      </c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6" t="str">
        <f aca="false">IF(COUNT(Q38:Z38)=0,"",SUM(Q38:Z38))</f>
        <v/>
      </c>
      <c r="AB38" s="16" t="str">
        <f aca="false">IF(OR(AA38="",$AA$4-SUMIF(Q38:Z38,"欠",$Q$4:$Z$4)&lt;=0),"",ROUND(AA38/($AA$4-SUMIF(Q38:Z38,"欠",$Q$4:$Z$4))*100,0))</f>
        <v/>
      </c>
      <c r="AC38" s="16" t="str">
        <f aca="false">IF(AB38="","",IF(AB38&gt;=設定!$D$13,"A",IF(AB38&gt;=設定!$E$13,"B","C")))</f>
        <v/>
      </c>
      <c r="AD38" s="16" t="str">
        <f aca="false">IF(AND(N38="",AA38=""),"",IF(N38="",0,N38)+IF(AA38="",0,AA38))</f>
        <v/>
      </c>
      <c r="AE38" s="16" t="str">
        <f aca="false">IF(AD38="","",IF($AD$4-SUMIF(C38:M38,"欠",$C$4:$M$4)-SUMIF(Q38:Z38,"欠",$Q$4:$Z$4)&lt;=0,"",ROUND(AD38/($AD$4-SUMIF(C38:M38,"欠",$C$4:$M$4)-SUMIF(Q38:Z38,"欠",$Q$4:$Z$4))*100,0)))</f>
        <v/>
      </c>
      <c r="AF38" s="16" t="str">
        <f aca="false">IF(AE38="","",IF(AE38&gt;=設定!$D$13,"A",IF(AE38&gt;=設定!$E$13,"B","C")))</f>
        <v/>
      </c>
    </row>
    <row r="39" customFormat="false" ht="15" hidden="false" customHeight="true" outlineLevel="0" collapsed="false">
      <c r="A39" s="16" t="n">
        <v>35</v>
      </c>
      <c r="B39" s="17" t="str">
        <f aca="false">IF(名簿!B37="","",名簿!B37)</f>
        <v/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6" t="str">
        <f aca="false">IF(COUNT(C39:M39)=0,"",SUM(C39:M39))</f>
        <v/>
      </c>
      <c r="O39" s="16" t="str">
        <f aca="false">IF(OR(N39="",$N$4-SUMIF(C39:M39,"欠",$C$4:$M$4)&lt;=0),"",ROUND(N39/($N$4-SUMIF(C39:M39,"欠",$C$4:$M$4))*100,0))</f>
        <v/>
      </c>
      <c r="P39" s="16" t="str">
        <f aca="false">IF(O39="","",IF(O39&gt;=設定!$D$13,"A",IF(O39&gt;=設定!$E$13,"B","C")))</f>
        <v/>
      </c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6" t="str">
        <f aca="false">IF(COUNT(Q39:Z39)=0,"",SUM(Q39:Z39))</f>
        <v/>
      </c>
      <c r="AB39" s="16" t="str">
        <f aca="false">IF(OR(AA39="",$AA$4-SUMIF(Q39:Z39,"欠",$Q$4:$Z$4)&lt;=0),"",ROUND(AA39/($AA$4-SUMIF(Q39:Z39,"欠",$Q$4:$Z$4))*100,0))</f>
        <v/>
      </c>
      <c r="AC39" s="16" t="str">
        <f aca="false">IF(AB39="","",IF(AB39&gt;=設定!$D$13,"A",IF(AB39&gt;=設定!$E$13,"B","C")))</f>
        <v/>
      </c>
      <c r="AD39" s="16" t="str">
        <f aca="false">IF(AND(N39="",AA39=""),"",IF(N39="",0,N39)+IF(AA39="",0,AA39))</f>
        <v/>
      </c>
      <c r="AE39" s="16" t="str">
        <f aca="false">IF(AD39="","",IF($AD$4-SUMIF(C39:M39,"欠",$C$4:$M$4)-SUMIF(Q39:Z39,"欠",$Q$4:$Z$4)&lt;=0,"",ROUND(AD39/($AD$4-SUMIF(C39:M39,"欠",$C$4:$M$4)-SUMIF(Q39:Z39,"欠",$Q$4:$Z$4))*100,0)))</f>
        <v/>
      </c>
      <c r="AF39" s="16" t="str">
        <f aca="false">IF(AE39="","",IF(AE39&gt;=設定!$D$13,"A",IF(AE39&gt;=設定!$E$13,"B","C")))</f>
        <v/>
      </c>
    </row>
    <row r="40" s="60" customFormat="true" ht="19.5" hidden="false" customHeight="true" outlineLevel="0" collapsed="false">
      <c r="A40" s="58"/>
      <c r="B40" s="59" t="s">
        <v>35</v>
      </c>
      <c r="C40" s="59" t="str">
        <f aca="false">IF(COUNT(C5:C39)=0,"",ROUND(AVERAGE(C5:C39),1))</f>
        <v/>
      </c>
      <c r="D40" s="59" t="str">
        <f aca="false">IF(COUNT(D5:D39)=0,"",ROUND(AVERAGE(D5:D39),1))</f>
        <v/>
      </c>
      <c r="E40" s="59" t="str">
        <f aca="false">IF(COUNT(E5:E39)=0,"",ROUND(AVERAGE(E5:E39),1))</f>
        <v/>
      </c>
      <c r="F40" s="59" t="str">
        <f aca="false">IF(COUNT(F5:F39)=0,"",ROUND(AVERAGE(F5:F39),1))</f>
        <v/>
      </c>
      <c r="G40" s="59" t="str">
        <f aca="false">IF(COUNT(G5:G39)=0,"",ROUND(AVERAGE(G5:G39),1))</f>
        <v/>
      </c>
      <c r="H40" s="59" t="str">
        <f aca="false">IF(COUNT(H5:H39)=0,"",ROUND(AVERAGE(H5:H39),1))</f>
        <v/>
      </c>
      <c r="I40" s="59" t="str">
        <f aca="false">IF(COUNT(I5:I39)=0,"",ROUND(AVERAGE(I5:I39),1))</f>
        <v/>
      </c>
      <c r="J40" s="59" t="str">
        <f aca="false">IF(COUNT(J5:J39)=0,"",ROUND(AVERAGE(J5:J39),1))</f>
        <v/>
      </c>
      <c r="K40" s="59" t="str">
        <f aca="false">IF(COUNT(K5:K39)=0,"",ROUND(AVERAGE(K5:K39),1))</f>
        <v/>
      </c>
      <c r="L40" s="59" t="str">
        <f aca="false">IF(COUNT(L5:L39)=0,"",ROUND(AVERAGE(L5:L39),1))</f>
        <v/>
      </c>
      <c r="M40" s="59" t="str">
        <f aca="false">IF(COUNT(M5:M39)=0,"",ROUND(AVERAGE(M5:M39),1))</f>
        <v/>
      </c>
      <c r="N40" s="59" t="str">
        <f aca="false">IF(COUNT(N5:N39)=0,"",ROUND(AVERAGE(N5:N39),1))</f>
        <v/>
      </c>
      <c r="O40" s="59" t="str">
        <f aca="false">IF(COUNT(O5:O39)=0,"",ROUND(AVERAGE(O5:O39),1))</f>
        <v/>
      </c>
      <c r="P40" s="59"/>
      <c r="Q40" s="59" t="str">
        <f aca="false">IF(COUNT(Q5:Q39)=0,"",ROUND(AVERAGE(Q5:Q39),1))</f>
        <v/>
      </c>
      <c r="R40" s="59" t="str">
        <f aca="false">IF(COUNT(R5:R39)=0,"",ROUND(AVERAGE(R5:R39),1))</f>
        <v/>
      </c>
      <c r="S40" s="59" t="str">
        <f aca="false">IF(COUNT(S5:S39)=0,"",ROUND(AVERAGE(S5:S39),1))</f>
        <v/>
      </c>
      <c r="T40" s="59" t="str">
        <f aca="false">IF(COUNT(T5:T39)=0,"",ROUND(AVERAGE(T5:T39),1))</f>
        <v/>
      </c>
      <c r="U40" s="59" t="str">
        <f aca="false">IF(COUNT(U5:U39)=0,"",ROUND(AVERAGE(U5:U39),1))</f>
        <v/>
      </c>
      <c r="V40" s="59" t="str">
        <f aca="false">IF(COUNT(V5:V39)=0,"",ROUND(AVERAGE(V5:V39),1))</f>
        <v/>
      </c>
      <c r="W40" s="59" t="str">
        <f aca="false">IF(COUNT(W5:W39)=0,"",ROUND(AVERAGE(W5:W39),1))</f>
        <v/>
      </c>
      <c r="X40" s="59" t="str">
        <f aca="false">IF(COUNT(X5:X39)=0,"",ROUND(AVERAGE(X5:X39),1))</f>
        <v/>
      </c>
      <c r="Y40" s="59" t="str">
        <f aca="false">IF(COUNT(Y5:Y39)=0,"",ROUND(AVERAGE(Y5:Y39),1))</f>
        <v/>
      </c>
      <c r="Z40" s="59" t="str">
        <f aca="false">IF(COUNT(Z5:Z39)=0,"",ROUND(AVERAGE(Z5:Z39),1))</f>
        <v/>
      </c>
      <c r="AA40" s="59" t="str">
        <f aca="false">IF(COUNT(AA5:AA39)=0,"",ROUND(AVERAGE(AA5:AA39),1))</f>
        <v/>
      </c>
      <c r="AB40" s="59" t="str">
        <f aca="false">IF(COUNT(AB5:AB39)=0,"",ROUND(AVERAGE(AB5:AB39),1))</f>
        <v/>
      </c>
      <c r="AC40" s="59"/>
      <c r="AD40" s="59" t="str">
        <f aca="false">IF(COUNT(AD5:AD39)=0,"",ROUND(AVERAGE(AD5:AD39),1))</f>
        <v/>
      </c>
      <c r="AE40" s="59" t="str">
        <f aca="false">IF(COUNT(AE5:AE39)=0,"",ROUND(AVERAGE(AE5:AE39),1))</f>
        <v/>
      </c>
      <c r="AF40" s="59"/>
    </row>
    <row r="41" s="60" customFormat="true" ht="19.5" hidden="false" customHeight="true" outlineLevel="0" collapsed="false">
      <c r="A41" s="59"/>
      <c r="B41" s="59" t="s">
        <v>36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 t="n">
        <f aca="false">COUNTIF(P5:P39,"A")</f>
        <v>0</v>
      </c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 t="n">
        <f aca="false">COUNTIF(AC5:AC39,"A")</f>
        <v>0</v>
      </c>
      <c r="AD41" s="59"/>
      <c r="AE41" s="59"/>
      <c r="AF41" s="59" t="n">
        <f aca="false">COUNTIF(AF5:AF39,"A")</f>
        <v>0</v>
      </c>
    </row>
    <row r="42" s="60" customFormat="true" ht="19.5" hidden="false" customHeight="true" outlineLevel="0" collapsed="false">
      <c r="A42" s="59"/>
      <c r="B42" s="59" t="s">
        <v>37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 t="n">
        <f aca="false">COUNTIF(P5:P39,"B")</f>
        <v>0</v>
      </c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 t="n">
        <f aca="false">COUNTIF(AC5:AC39,"B")</f>
        <v>0</v>
      </c>
      <c r="AD42" s="59"/>
      <c r="AE42" s="59"/>
      <c r="AF42" s="59" t="n">
        <f aca="false">COUNTIF(AF5:AF39,"B")</f>
        <v>0</v>
      </c>
    </row>
    <row r="43" s="60" customFormat="true" ht="19.5" hidden="false" customHeight="true" outlineLevel="0" collapsed="false">
      <c r="A43" s="59"/>
      <c r="B43" s="59" t="s">
        <v>38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 t="n">
        <f aca="false">COUNTIF(P5:P39,"C")</f>
        <v>0</v>
      </c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 t="n">
        <f aca="false">COUNTIF(AC5:AC39,"C")</f>
        <v>0</v>
      </c>
      <c r="AD43" s="59"/>
      <c r="AE43" s="59"/>
      <c r="AF43" s="59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61" t="s">
        <v>44</v>
      </c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14</v>
      </c>
      <c r="D2" s="2"/>
      <c r="E2" s="2" t="s">
        <v>15</v>
      </c>
      <c r="F2" s="2"/>
      <c r="G2" s="2" t="s">
        <v>16</v>
      </c>
      <c r="H2" s="2"/>
      <c r="I2" s="2" t="s">
        <v>17</v>
      </c>
      <c r="J2" s="2"/>
      <c r="K2" s="2" t="s">
        <v>18</v>
      </c>
      <c r="L2" s="2"/>
      <c r="M2" s="2" t="s">
        <v>19</v>
      </c>
      <c r="N2" s="2"/>
    </row>
    <row r="3" customFormat="false" ht="48" hidden="false" customHeight="true" outlineLevel="0" collapsed="false">
      <c r="A3" s="2"/>
      <c r="B3" s="2"/>
      <c r="C3" s="2" t="s">
        <v>45</v>
      </c>
      <c r="D3" s="2" t="s">
        <v>46</v>
      </c>
      <c r="E3" s="2" t="s">
        <v>45</v>
      </c>
      <c r="F3" s="2" t="s">
        <v>46</v>
      </c>
      <c r="G3" s="2" t="s">
        <v>45</v>
      </c>
      <c r="H3" s="2" t="s">
        <v>46</v>
      </c>
      <c r="I3" s="2" t="s">
        <v>45</v>
      </c>
      <c r="J3" s="2" t="s">
        <v>46</v>
      </c>
      <c r="K3" s="2" t="s">
        <v>45</v>
      </c>
      <c r="L3" s="2" t="s">
        <v>46</v>
      </c>
      <c r="M3" s="2" t="s">
        <v>45</v>
      </c>
      <c r="N3" s="2" t="s">
        <v>46</v>
      </c>
    </row>
    <row r="4" customFormat="false" ht="15" hidden="false" customHeight="false" outlineLevel="0" collapsed="false">
      <c r="A4" s="3" t="n">
        <v>1</v>
      </c>
      <c r="B4" s="62" t="str">
        <f aca="false">IF(名簿!B3="","",名簿!B3)</f>
        <v/>
      </c>
      <c r="C4" s="3" t="str">
        <f aca="false">国語!P5</f>
        <v/>
      </c>
      <c r="D4" s="3" t="str">
        <f aca="false">国語!AC5</f>
        <v/>
      </c>
      <c r="E4" s="3" t="str">
        <f aca="false">算数!P5</f>
        <v/>
      </c>
      <c r="F4" s="3" t="str">
        <f aca="false">算数!AC5</f>
        <v/>
      </c>
      <c r="G4" s="3" t="str">
        <f aca="false">社会!P5</f>
        <v/>
      </c>
      <c r="H4" s="3" t="str">
        <f aca="false">社会!AC5</f>
        <v/>
      </c>
      <c r="I4" s="3" t="str">
        <f aca="false">理科!P5</f>
        <v/>
      </c>
      <c r="J4" s="3" t="str">
        <f aca="false">理科!AC5</f>
        <v/>
      </c>
      <c r="K4" s="3" t="str">
        <f aca="false">英語!P5</f>
        <v/>
      </c>
      <c r="L4" s="3" t="str">
        <f aca="false">英語!AC5</f>
        <v/>
      </c>
      <c r="M4" s="3" t="str">
        <f aca="false">保健!P5</f>
        <v/>
      </c>
      <c r="N4" s="3" t="str">
        <f aca="false">保健!AC5</f>
        <v/>
      </c>
    </row>
    <row r="5" customFormat="false" ht="15" hidden="false" customHeight="false" outlineLevel="0" collapsed="false">
      <c r="A5" s="3" t="n">
        <v>2</v>
      </c>
      <c r="B5" s="62" t="str">
        <f aca="false">IF(名簿!B4="","",名簿!B4)</f>
        <v/>
      </c>
      <c r="C5" s="3" t="str">
        <f aca="false">国語!P6</f>
        <v/>
      </c>
      <c r="D5" s="3" t="str">
        <f aca="false">国語!AC6</f>
        <v/>
      </c>
      <c r="E5" s="3" t="str">
        <f aca="false">算数!P6</f>
        <v/>
      </c>
      <c r="F5" s="3" t="str">
        <f aca="false">算数!AC6</f>
        <v/>
      </c>
      <c r="G5" s="3" t="str">
        <f aca="false">社会!P6</f>
        <v/>
      </c>
      <c r="H5" s="3" t="str">
        <f aca="false">社会!AC6</f>
        <v/>
      </c>
      <c r="I5" s="3" t="str">
        <f aca="false">理科!P6</f>
        <v/>
      </c>
      <c r="J5" s="3" t="str">
        <f aca="false">理科!AC6</f>
        <v/>
      </c>
      <c r="K5" s="3" t="str">
        <f aca="false">英語!P6</f>
        <v/>
      </c>
      <c r="L5" s="3" t="str">
        <f aca="false">英語!AC6</f>
        <v/>
      </c>
      <c r="M5" s="3" t="str">
        <f aca="false">保健!P6</f>
        <v/>
      </c>
      <c r="N5" s="3" t="str">
        <f aca="false">保健!AC6</f>
        <v/>
      </c>
    </row>
    <row r="6" customFormat="false" ht="15" hidden="false" customHeight="false" outlineLevel="0" collapsed="false">
      <c r="A6" s="3" t="n">
        <v>3</v>
      </c>
      <c r="B6" s="62" t="str">
        <f aca="false">IF(名簿!B5="","",名簿!B5)</f>
        <v/>
      </c>
      <c r="C6" s="3" t="str">
        <f aca="false">国語!P7</f>
        <v/>
      </c>
      <c r="D6" s="3" t="str">
        <f aca="false">国語!AC7</f>
        <v/>
      </c>
      <c r="E6" s="3" t="str">
        <f aca="false">算数!P7</f>
        <v/>
      </c>
      <c r="F6" s="3" t="str">
        <f aca="false">算数!AC7</f>
        <v/>
      </c>
      <c r="G6" s="3" t="str">
        <f aca="false">社会!P7</f>
        <v/>
      </c>
      <c r="H6" s="3" t="str">
        <f aca="false">社会!AC7</f>
        <v/>
      </c>
      <c r="I6" s="3" t="str">
        <f aca="false">理科!P7</f>
        <v/>
      </c>
      <c r="J6" s="3" t="str">
        <f aca="false">理科!AC7</f>
        <v/>
      </c>
      <c r="K6" s="3" t="str">
        <f aca="false">英語!P7</f>
        <v/>
      </c>
      <c r="L6" s="3" t="str">
        <f aca="false">英語!AC7</f>
        <v/>
      </c>
      <c r="M6" s="3" t="str">
        <f aca="false">保健!P7</f>
        <v/>
      </c>
      <c r="N6" s="3" t="str">
        <f aca="false">保健!AC7</f>
        <v/>
      </c>
    </row>
    <row r="7" customFormat="false" ht="15" hidden="false" customHeight="false" outlineLevel="0" collapsed="false">
      <c r="A7" s="3" t="n">
        <v>4</v>
      </c>
      <c r="B7" s="62" t="str">
        <f aca="false">IF(名簿!B6="","",名簿!B6)</f>
        <v/>
      </c>
      <c r="C7" s="3" t="str">
        <f aca="false">国語!P8</f>
        <v/>
      </c>
      <c r="D7" s="3" t="str">
        <f aca="false">国語!AC8</f>
        <v/>
      </c>
      <c r="E7" s="3" t="str">
        <f aca="false">算数!P8</f>
        <v/>
      </c>
      <c r="F7" s="3" t="str">
        <f aca="false">算数!AC8</f>
        <v/>
      </c>
      <c r="G7" s="3" t="str">
        <f aca="false">社会!P8</f>
        <v/>
      </c>
      <c r="H7" s="3" t="str">
        <f aca="false">社会!AC8</f>
        <v/>
      </c>
      <c r="I7" s="3" t="str">
        <f aca="false">理科!P8</f>
        <v/>
      </c>
      <c r="J7" s="3" t="str">
        <f aca="false">理科!AC8</f>
        <v/>
      </c>
      <c r="K7" s="3" t="str">
        <f aca="false">英語!P8</f>
        <v/>
      </c>
      <c r="L7" s="3" t="str">
        <f aca="false">英語!AC8</f>
        <v/>
      </c>
      <c r="M7" s="3" t="str">
        <f aca="false">保健!P8</f>
        <v/>
      </c>
      <c r="N7" s="3" t="str">
        <f aca="false">保健!AC8</f>
        <v/>
      </c>
    </row>
    <row r="8" customFormat="false" ht="15" hidden="false" customHeight="false" outlineLevel="0" collapsed="false">
      <c r="A8" s="3" t="n">
        <v>5</v>
      </c>
      <c r="B8" s="62" t="str">
        <f aca="false">IF(名簿!B7="","",名簿!B7)</f>
        <v/>
      </c>
      <c r="C8" s="3" t="str">
        <f aca="false">国語!P9</f>
        <v/>
      </c>
      <c r="D8" s="3" t="str">
        <f aca="false">国語!AC9</f>
        <v/>
      </c>
      <c r="E8" s="3" t="str">
        <f aca="false">算数!P9</f>
        <v/>
      </c>
      <c r="F8" s="3" t="str">
        <f aca="false">算数!AC9</f>
        <v/>
      </c>
      <c r="G8" s="3" t="str">
        <f aca="false">社会!P9</f>
        <v/>
      </c>
      <c r="H8" s="3" t="str">
        <f aca="false">社会!AC9</f>
        <v/>
      </c>
      <c r="I8" s="3" t="str">
        <f aca="false">理科!P9</f>
        <v/>
      </c>
      <c r="J8" s="3" t="str">
        <f aca="false">理科!AC9</f>
        <v/>
      </c>
      <c r="K8" s="3" t="str">
        <f aca="false">英語!P9</f>
        <v/>
      </c>
      <c r="L8" s="3" t="str">
        <f aca="false">英語!AC9</f>
        <v/>
      </c>
      <c r="M8" s="3" t="str">
        <f aca="false">保健!P9</f>
        <v/>
      </c>
      <c r="N8" s="3" t="str">
        <f aca="false">保健!AC9</f>
        <v/>
      </c>
    </row>
    <row r="9" customFormat="false" ht="15" hidden="false" customHeight="false" outlineLevel="0" collapsed="false">
      <c r="A9" s="3" t="n">
        <v>6</v>
      </c>
      <c r="B9" s="62" t="str">
        <f aca="false">IF(名簿!B8="","",名簿!B8)</f>
        <v/>
      </c>
      <c r="C9" s="3" t="str">
        <f aca="false">国語!P10</f>
        <v/>
      </c>
      <c r="D9" s="3" t="str">
        <f aca="false">国語!AC10</f>
        <v/>
      </c>
      <c r="E9" s="3" t="str">
        <f aca="false">算数!P10</f>
        <v/>
      </c>
      <c r="F9" s="3" t="str">
        <f aca="false">算数!AC10</f>
        <v/>
      </c>
      <c r="G9" s="3" t="str">
        <f aca="false">社会!P10</f>
        <v/>
      </c>
      <c r="H9" s="3" t="str">
        <f aca="false">社会!AC10</f>
        <v/>
      </c>
      <c r="I9" s="3" t="str">
        <f aca="false">理科!P10</f>
        <v/>
      </c>
      <c r="J9" s="3" t="str">
        <f aca="false">理科!AC10</f>
        <v/>
      </c>
      <c r="K9" s="3" t="str">
        <f aca="false">英語!P10</f>
        <v/>
      </c>
      <c r="L9" s="3" t="str">
        <f aca="false">英語!AC10</f>
        <v/>
      </c>
      <c r="M9" s="3" t="str">
        <f aca="false">保健!P10</f>
        <v/>
      </c>
      <c r="N9" s="3" t="str">
        <f aca="false">保健!AC10</f>
        <v/>
      </c>
    </row>
    <row r="10" customFormat="false" ht="15" hidden="false" customHeight="false" outlineLevel="0" collapsed="false">
      <c r="A10" s="3" t="n">
        <v>7</v>
      </c>
      <c r="B10" s="62" t="str">
        <f aca="false">IF(名簿!B9="","",名簿!B9)</f>
        <v/>
      </c>
      <c r="C10" s="3" t="str">
        <f aca="false">国語!P11</f>
        <v/>
      </c>
      <c r="D10" s="3" t="str">
        <f aca="false">国語!AC11</f>
        <v/>
      </c>
      <c r="E10" s="3" t="str">
        <f aca="false">算数!P11</f>
        <v/>
      </c>
      <c r="F10" s="3" t="str">
        <f aca="false">算数!AC11</f>
        <v/>
      </c>
      <c r="G10" s="3" t="str">
        <f aca="false">社会!P11</f>
        <v/>
      </c>
      <c r="H10" s="3" t="str">
        <f aca="false">社会!AC11</f>
        <v/>
      </c>
      <c r="I10" s="3" t="str">
        <f aca="false">理科!P11</f>
        <v/>
      </c>
      <c r="J10" s="3" t="str">
        <f aca="false">理科!AC11</f>
        <v/>
      </c>
      <c r="K10" s="3" t="str">
        <f aca="false">英語!P11</f>
        <v/>
      </c>
      <c r="L10" s="3" t="str">
        <f aca="false">英語!AC11</f>
        <v/>
      </c>
      <c r="M10" s="3" t="str">
        <f aca="false">保健!P11</f>
        <v/>
      </c>
      <c r="N10" s="3" t="str">
        <f aca="false">保健!AC11</f>
        <v/>
      </c>
    </row>
    <row r="11" customFormat="false" ht="15" hidden="false" customHeight="false" outlineLevel="0" collapsed="false">
      <c r="A11" s="3" t="n">
        <v>8</v>
      </c>
      <c r="B11" s="62" t="str">
        <f aca="false">IF(名簿!B10="","",名簿!B10)</f>
        <v/>
      </c>
      <c r="C11" s="3" t="str">
        <f aca="false">国語!P12</f>
        <v/>
      </c>
      <c r="D11" s="3" t="str">
        <f aca="false">国語!AC12</f>
        <v/>
      </c>
      <c r="E11" s="3" t="str">
        <f aca="false">算数!P12</f>
        <v/>
      </c>
      <c r="F11" s="3" t="str">
        <f aca="false">算数!AC12</f>
        <v/>
      </c>
      <c r="G11" s="3" t="str">
        <f aca="false">社会!P12</f>
        <v/>
      </c>
      <c r="H11" s="3" t="str">
        <f aca="false">社会!AC12</f>
        <v/>
      </c>
      <c r="I11" s="3" t="str">
        <f aca="false">理科!P12</f>
        <v/>
      </c>
      <c r="J11" s="3" t="str">
        <f aca="false">理科!AC12</f>
        <v/>
      </c>
      <c r="K11" s="3" t="str">
        <f aca="false">英語!P12</f>
        <v/>
      </c>
      <c r="L11" s="3" t="str">
        <f aca="false">英語!AC12</f>
        <v/>
      </c>
      <c r="M11" s="3" t="str">
        <f aca="false">保健!P12</f>
        <v/>
      </c>
      <c r="N11" s="3" t="str">
        <f aca="false">保健!AC12</f>
        <v/>
      </c>
    </row>
    <row r="12" customFormat="false" ht="15" hidden="false" customHeight="false" outlineLevel="0" collapsed="false">
      <c r="A12" s="3" t="n">
        <v>9</v>
      </c>
      <c r="B12" s="62" t="str">
        <f aca="false">IF(名簿!B11="","",名簿!B11)</f>
        <v/>
      </c>
      <c r="C12" s="3" t="str">
        <f aca="false">国語!P13</f>
        <v/>
      </c>
      <c r="D12" s="3" t="str">
        <f aca="false">国語!AC13</f>
        <v/>
      </c>
      <c r="E12" s="3" t="str">
        <f aca="false">算数!P13</f>
        <v/>
      </c>
      <c r="F12" s="3" t="str">
        <f aca="false">算数!AC13</f>
        <v/>
      </c>
      <c r="G12" s="3" t="str">
        <f aca="false">社会!P13</f>
        <v/>
      </c>
      <c r="H12" s="3" t="str">
        <f aca="false">社会!AC13</f>
        <v/>
      </c>
      <c r="I12" s="3" t="str">
        <f aca="false">理科!P13</f>
        <v/>
      </c>
      <c r="J12" s="3" t="str">
        <f aca="false">理科!AC13</f>
        <v/>
      </c>
      <c r="K12" s="3" t="str">
        <f aca="false">英語!P13</f>
        <v/>
      </c>
      <c r="L12" s="3" t="str">
        <f aca="false">英語!AC13</f>
        <v/>
      </c>
      <c r="M12" s="3" t="str">
        <f aca="false">保健!P13</f>
        <v/>
      </c>
      <c r="N12" s="3" t="str">
        <f aca="false">保健!AC13</f>
        <v/>
      </c>
    </row>
    <row r="13" customFormat="false" ht="15" hidden="false" customHeight="false" outlineLevel="0" collapsed="false">
      <c r="A13" s="3" t="n">
        <v>10</v>
      </c>
      <c r="B13" s="62" t="str">
        <f aca="false">IF(名簿!B12="","",名簿!B12)</f>
        <v/>
      </c>
      <c r="C13" s="3" t="str">
        <f aca="false">国語!P14</f>
        <v/>
      </c>
      <c r="D13" s="3" t="str">
        <f aca="false">国語!AC14</f>
        <v/>
      </c>
      <c r="E13" s="3" t="str">
        <f aca="false">算数!P14</f>
        <v/>
      </c>
      <c r="F13" s="3" t="str">
        <f aca="false">算数!AC14</f>
        <v/>
      </c>
      <c r="G13" s="3" t="str">
        <f aca="false">社会!P14</f>
        <v/>
      </c>
      <c r="H13" s="3" t="str">
        <f aca="false">社会!AC14</f>
        <v/>
      </c>
      <c r="I13" s="3" t="str">
        <f aca="false">理科!P14</f>
        <v/>
      </c>
      <c r="J13" s="3" t="str">
        <f aca="false">理科!AC14</f>
        <v/>
      </c>
      <c r="K13" s="3" t="str">
        <f aca="false">英語!P14</f>
        <v/>
      </c>
      <c r="L13" s="3" t="str">
        <f aca="false">英語!AC14</f>
        <v/>
      </c>
      <c r="M13" s="3" t="str">
        <f aca="false">保健!P14</f>
        <v/>
      </c>
      <c r="N13" s="3" t="str">
        <f aca="false">保健!AC14</f>
        <v/>
      </c>
    </row>
    <row r="14" customFormat="false" ht="15" hidden="false" customHeight="false" outlineLevel="0" collapsed="false">
      <c r="A14" s="3" t="n">
        <v>11</v>
      </c>
      <c r="B14" s="62" t="str">
        <f aca="false">IF(名簿!B13="","",名簿!B13)</f>
        <v/>
      </c>
      <c r="C14" s="3" t="str">
        <f aca="false">国語!P15</f>
        <v/>
      </c>
      <c r="D14" s="3" t="str">
        <f aca="false">国語!AC15</f>
        <v/>
      </c>
      <c r="E14" s="3" t="str">
        <f aca="false">算数!P15</f>
        <v/>
      </c>
      <c r="F14" s="3" t="str">
        <f aca="false">算数!AC15</f>
        <v/>
      </c>
      <c r="G14" s="3" t="str">
        <f aca="false">社会!P15</f>
        <v/>
      </c>
      <c r="H14" s="3" t="str">
        <f aca="false">社会!AC15</f>
        <v/>
      </c>
      <c r="I14" s="3" t="str">
        <f aca="false">理科!P15</f>
        <v/>
      </c>
      <c r="J14" s="3" t="str">
        <f aca="false">理科!AC15</f>
        <v/>
      </c>
      <c r="K14" s="3" t="str">
        <f aca="false">英語!P15</f>
        <v/>
      </c>
      <c r="L14" s="3" t="str">
        <f aca="false">英語!AC15</f>
        <v/>
      </c>
      <c r="M14" s="3" t="str">
        <f aca="false">保健!P15</f>
        <v/>
      </c>
      <c r="N14" s="3" t="str">
        <f aca="false">保健!AC15</f>
        <v/>
      </c>
    </row>
    <row r="15" customFormat="false" ht="15" hidden="false" customHeight="false" outlineLevel="0" collapsed="false">
      <c r="A15" s="3" t="n">
        <v>12</v>
      </c>
      <c r="B15" s="62" t="str">
        <f aca="false">IF(名簿!B14="","",名簿!B14)</f>
        <v/>
      </c>
      <c r="C15" s="3" t="str">
        <f aca="false">国語!P16</f>
        <v/>
      </c>
      <c r="D15" s="3" t="str">
        <f aca="false">国語!AC16</f>
        <v/>
      </c>
      <c r="E15" s="3" t="str">
        <f aca="false">算数!P16</f>
        <v/>
      </c>
      <c r="F15" s="3" t="str">
        <f aca="false">算数!AC16</f>
        <v/>
      </c>
      <c r="G15" s="3" t="str">
        <f aca="false">社会!P16</f>
        <v/>
      </c>
      <c r="H15" s="3" t="str">
        <f aca="false">社会!AC16</f>
        <v/>
      </c>
      <c r="I15" s="3" t="str">
        <f aca="false">理科!P16</f>
        <v/>
      </c>
      <c r="J15" s="3" t="str">
        <f aca="false">理科!AC16</f>
        <v/>
      </c>
      <c r="K15" s="3" t="str">
        <f aca="false">英語!P16</f>
        <v/>
      </c>
      <c r="L15" s="3" t="str">
        <f aca="false">英語!AC16</f>
        <v/>
      </c>
      <c r="M15" s="3" t="str">
        <f aca="false">保健!P16</f>
        <v/>
      </c>
      <c r="N15" s="3" t="str">
        <f aca="false">保健!AC16</f>
        <v/>
      </c>
    </row>
    <row r="16" customFormat="false" ht="15" hidden="false" customHeight="false" outlineLevel="0" collapsed="false">
      <c r="A16" s="3" t="n">
        <v>13</v>
      </c>
      <c r="B16" s="62" t="str">
        <f aca="false">IF(名簿!B15="","",名簿!B15)</f>
        <v/>
      </c>
      <c r="C16" s="3" t="str">
        <f aca="false">国語!P17</f>
        <v/>
      </c>
      <c r="D16" s="3" t="str">
        <f aca="false">国語!AC17</f>
        <v/>
      </c>
      <c r="E16" s="3" t="str">
        <f aca="false">算数!P17</f>
        <v/>
      </c>
      <c r="F16" s="3" t="str">
        <f aca="false">算数!AC17</f>
        <v/>
      </c>
      <c r="G16" s="3" t="str">
        <f aca="false">社会!P17</f>
        <v/>
      </c>
      <c r="H16" s="3" t="str">
        <f aca="false">社会!AC17</f>
        <v/>
      </c>
      <c r="I16" s="3" t="str">
        <f aca="false">理科!P17</f>
        <v/>
      </c>
      <c r="J16" s="3" t="str">
        <f aca="false">理科!AC17</f>
        <v/>
      </c>
      <c r="K16" s="3" t="str">
        <f aca="false">英語!P17</f>
        <v/>
      </c>
      <c r="L16" s="3" t="str">
        <f aca="false">英語!AC17</f>
        <v/>
      </c>
      <c r="M16" s="3" t="str">
        <f aca="false">保健!P17</f>
        <v/>
      </c>
      <c r="N16" s="3" t="str">
        <f aca="false">保健!AC17</f>
        <v/>
      </c>
    </row>
    <row r="17" customFormat="false" ht="15" hidden="false" customHeight="false" outlineLevel="0" collapsed="false">
      <c r="A17" s="3" t="n">
        <v>14</v>
      </c>
      <c r="B17" s="62" t="str">
        <f aca="false">IF(名簿!B16="","",名簿!B16)</f>
        <v/>
      </c>
      <c r="C17" s="3" t="str">
        <f aca="false">国語!P18</f>
        <v/>
      </c>
      <c r="D17" s="3" t="str">
        <f aca="false">国語!AC18</f>
        <v/>
      </c>
      <c r="E17" s="3" t="str">
        <f aca="false">算数!P18</f>
        <v/>
      </c>
      <c r="F17" s="3" t="str">
        <f aca="false">算数!AC18</f>
        <v/>
      </c>
      <c r="G17" s="3" t="str">
        <f aca="false">社会!P18</f>
        <v/>
      </c>
      <c r="H17" s="3" t="str">
        <f aca="false">社会!AC18</f>
        <v/>
      </c>
      <c r="I17" s="3" t="str">
        <f aca="false">理科!P18</f>
        <v/>
      </c>
      <c r="J17" s="3" t="str">
        <f aca="false">理科!AC18</f>
        <v/>
      </c>
      <c r="K17" s="3" t="str">
        <f aca="false">英語!P18</f>
        <v/>
      </c>
      <c r="L17" s="3" t="str">
        <f aca="false">英語!AC18</f>
        <v/>
      </c>
      <c r="M17" s="3" t="str">
        <f aca="false">保健!P18</f>
        <v/>
      </c>
      <c r="N17" s="3" t="str">
        <f aca="false">保健!AC18</f>
        <v/>
      </c>
    </row>
    <row r="18" customFormat="false" ht="15" hidden="false" customHeight="false" outlineLevel="0" collapsed="false">
      <c r="A18" s="3" t="n">
        <v>15</v>
      </c>
      <c r="B18" s="62" t="str">
        <f aca="false">IF(名簿!B17="","",名簿!B17)</f>
        <v/>
      </c>
      <c r="C18" s="3" t="str">
        <f aca="false">国語!P19</f>
        <v/>
      </c>
      <c r="D18" s="3" t="str">
        <f aca="false">国語!AC19</f>
        <v/>
      </c>
      <c r="E18" s="3" t="str">
        <f aca="false">算数!P19</f>
        <v/>
      </c>
      <c r="F18" s="3" t="str">
        <f aca="false">算数!AC19</f>
        <v/>
      </c>
      <c r="G18" s="3" t="str">
        <f aca="false">社会!P19</f>
        <v/>
      </c>
      <c r="H18" s="3" t="str">
        <f aca="false">社会!AC19</f>
        <v/>
      </c>
      <c r="I18" s="3" t="str">
        <f aca="false">理科!P19</f>
        <v/>
      </c>
      <c r="J18" s="3" t="str">
        <f aca="false">理科!AC19</f>
        <v/>
      </c>
      <c r="K18" s="3" t="str">
        <f aca="false">英語!P19</f>
        <v/>
      </c>
      <c r="L18" s="3" t="str">
        <f aca="false">英語!AC19</f>
        <v/>
      </c>
      <c r="M18" s="3" t="str">
        <f aca="false">保健!P19</f>
        <v/>
      </c>
      <c r="N18" s="3" t="str">
        <f aca="false">保健!AC19</f>
        <v/>
      </c>
    </row>
    <row r="19" customFormat="false" ht="15" hidden="false" customHeight="false" outlineLevel="0" collapsed="false">
      <c r="A19" s="3" t="n">
        <v>16</v>
      </c>
      <c r="B19" s="62" t="str">
        <f aca="false">IF(名簿!B18="","",名簿!B18)</f>
        <v/>
      </c>
      <c r="C19" s="3" t="str">
        <f aca="false">国語!P20</f>
        <v/>
      </c>
      <c r="D19" s="3" t="str">
        <f aca="false">国語!AC20</f>
        <v/>
      </c>
      <c r="E19" s="3" t="str">
        <f aca="false">算数!P20</f>
        <v/>
      </c>
      <c r="F19" s="3" t="str">
        <f aca="false">算数!AC20</f>
        <v/>
      </c>
      <c r="G19" s="3" t="str">
        <f aca="false">社会!P20</f>
        <v/>
      </c>
      <c r="H19" s="3" t="str">
        <f aca="false">社会!AC20</f>
        <v/>
      </c>
      <c r="I19" s="3" t="str">
        <f aca="false">理科!P20</f>
        <v/>
      </c>
      <c r="J19" s="3" t="str">
        <f aca="false">理科!AC20</f>
        <v/>
      </c>
      <c r="K19" s="3" t="str">
        <f aca="false">英語!P20</f>
        <v/>
      </c>
      <c r="L19" s="3" t="str">
        <f aca="false">英語!AC20</f>
        <v/>
      </c>
      <c r="M19" s="3" t="str">
        <f aca="false">保健!P20</f>
        <v/>
      </c>
      <c r="N19" s="3" t="str">
        <f aca="false">保健!AC20</f>
        <v/>
      </c>
    </row>
    <row r="20" customFormat="false" ht="15" hidden="false" customHeight="false" outlineLevel="0" collapsed="false">
      <c r="A20" s="3" t="n">
        <v>17</v>
      </c>
      <c r="B20" s="62" t="str">
        <f aca="false">IF(名簿!B19="","",名簿!B19)</f>
        <v/>
      </c>
      <c r="C20" s="3" t="str">
        <f aca="false">国語!P21</f>
        <v/>
      </c>
      <c r="D20" s="3" t="str">
        <f aca="false">国語!AC21</f>
        <v/>
      </c>
      <c r="E20" s="3" t="str">
        <f aca="false">算数!P21</f>
        <v/>
      </c>
      <c r="F20" s="3" t="str">
        <f aca="false">算数!AC21</f>
        <v/>
      </c>
      <c r="G20" s="3" t="str">
        <f aca="false">社会!P21</f>
        <v/>
      </c>
      <c r="H20" s="3" t="str">
        <f aca="false">社会!AC21</f>
        <v/>
      </c>
      <c r="I20" s="3" t="str">
        <f aca="false">理科!P21</f>
        <v/>
      </c>
      <c r="J20" s="3" t="str">
        <f aca="false">理科!AC21</f>
        <v/>
      </c>
      <c r="K20" s="3" t="str">
        <f aca="false">英語!P21</f>
        <v/>
      </c>
      <c r="L20" s="3" t="str">
        <f aca="false">英語!AC21</f>
        <v/>
      </c>
      <c r="M20" s="3" t="str">
        <f aca="false">保健!P21</f>
        <v/>
      </c>
      <c r="N20" s="3" t="str">
        <f aca="false">保健!AC21</f>
        <v/>
      </c>
    </row>
    <row r="21" customFormat="false" ht="15" hidden="false" customHeight="false" outlineLevel="0" collapsed="false">
      <c r="A21" s="3" t="n">
        <v>18</v>
      </c>
      <c r="B21" s="62" t="str">
        <f aca="false">IF(名簿!B20="","",名簿!B20)</f>
        <v/>
      </c>
      <c r="C21" s="3" t="str">
        <f aca="false">国語!P22</f>
        <v/>
      </c>
      <c r="D21" s="3" t="str">
        <f aca="false">国語!AC22</f>
        <v/>
      </c>
      <c r="E21" s="3" t="str">
        <f aca="false">算数!P22</f>
        <v/>
      </c>
      <c r="F21" s="3" t="str">
        <f aca="false">算数!AC22</f>
        <v/>
      </c>
      <c r="G21" s="3" t="str">
        <f aca="false">社会!P22</f>
        <v/>
      </c>
      <c r="H21" s="3" t="str">
        <f aca="false">社会!AC22</f>
        <v/>
      </c>
      <c r="I21" s="3" t="str">
        <f aca="false">理科!P22</f>
        <v/>
      </c>
      <c r="J21" s="3" t="str">
        <f aca="false">理科!AC22</f>
        <v/>
      </c>
      <c r="K21" s="3" t="str">
        <f aca="false">英語!P22</f>
        <v/>
      </c>
      <c r="L21" s="3" t="str">
        <f aca="false">英語!AC22</f>
        <v/>
      </c>
      <c r="M21" s="3" t="str">
        <f aca="false">保健!P22</f>
        <v/>
      </c>
      <c r="N21" s="3" t="str">
        <f aca="false">保健!AC22</f>
        <v/>
      </c>
    </row>
    <row r="22" customFormat="false" ht="15" hidden="false" customHeight="false" outlineLevel="0" collapsed="false">
      <c r="A22" s="3" t="n">
        <v>19</v>
      </c>
      <c r="B22" s="62" t="str">
        <f aca="false">IF(名簿!B21="","",名簿!B21)</f>
        <v/>
      </c>
      <c r="C22" s="3" t="str">
        <f aca="false">国語!P23</f>
        <v/>
      </c>
      <c r="D22" s="3" t="str">
        <f aca="false">国語!AC23</f>
        <v/>
      </c>
      <c r="E22" s="3" t="str">
        <f aca="false">算数!P23</f>
        <v/>
      </c>
      <c r="F22" s="3" t="str">
        <f aca="false">算数!AC23</f>
        <v/>
      </c>
      <c r="G22" s="3" t="str">
        <f aca="false">社会!P23</f>
        <v/>
      </c>
      <c r="H22" s="3" t="str">
        <f aca="false">社会!AC23</f>
        <v/>
      </c>
      <c r="I22" s="3" t="str">
        <f aca="false">理科!P23</f>
        <v/>
      </c>
      <c r="J22" s="3" t="str">
        <f aca="false">理科!AC23</f>
        <v/>
      </c>
      <c r="K22" s="3" t="str">
        <f aca="false">英語!P23</f>
        <v/>
      </c>
      <c r="L22" s="3" t="str">
        <f aca="false">英語!AC23</f>
        <v/>
      </c>
      <c r="M22" s="3" t="str">
        <f aca="false">保健!P23</f>
        <v/>
      </c>
      <c r="N22" s="3" t="str">
        <f aca="false">保健!AC23</f>
        <v/>
      </c>
    </row>
    <row r="23" customFormat="false" ht="15" hidden="false" customHeight="false" outlineLevel="0" collapsed="false">
      <c r="A23" s="3" t="n">
        <v>20</v>
      </c>
      <c r="B23" s="62" t="str">
        <f aca="false">IF(名簿!B22="","",名簿!B22)</f>
        <v/>
      </c>
      <c r="C23" s="3" t="str">
        <f aca="false">国語!P24</f>
        <v/>
      </c>
      <c r="D23" s="3" t="str">
        <f aca="false">国語!AC24</f>
        <v/>
      </c>
      <c r="E23" s="3" t="str">
        <f aca="false">算数!P24</f>
        <v/>
      </c>
      <c r="F23" s="3" t="str">
        <f aca="false">算数!AC24</f>
        <v/>
      </c>
      <c r="G23" s="3" t="str">
        <f aca="false">社会!P24</f>
        <v/>
      </c>
      <c r="H23" s="3" t="str">
        <f aca="false">社会!AC24</f>
        <v/>
      </c>
      <c r="I23" s="3" t="str">
        <f aca="false">理科!P24</f>
        <v/>
      </c>
      <c r="J23" s="3" t="str">
        <f aca="false">理科!AC24</f>
        <v/>
      </c>
      <c r="K23" s="3" t="str">
        <f aca="false">英語!P24</f>
        <v/>
      </c>
      <c r="L23" s="3" t="str">
        <f aca="false">英語!AC24</f>
        <v/>
      </c>
      <c r="M23" s="3" t="str">
        <f aca="false">保健!P24</f>
        <v/>
      </c>
      <c r="N23" s="3" t="str">
        <f aca="false">保健!AC24</f>
        <v/>
      </c>
    </row>
    <row r="24" customFormat="false" ht="15" hidden="false" customHeight="false" outlineLevel="0" collapsed="false">
      <c r="A24" s="3" t="n">
        <v>21</v>
      </c>
      <c r="B24" s="62" t="str">
        <f aca="false">IF(名簿!B23="","",名簿!B23)</f>
        <v/>
      </c>
      <c r="C24" s="3" t="str">
        <f aca="false">国語!P25</f>
        <v/>
      </c>
      <c r="D24" s="3" t="str">
        <f aca="false">国語!AC25</f>
        <v/>
      </c>
      <c r="E24" s="3" t="str">
        <f aca="false">算数!P25</f>
        <v/>
      </c>
      <c r="F24" s="3" t="str">
        <f aca="false">算数!AC25</f>
        <v/>
      </c>
      <c r="G24" s="3" t="str">
        <f aca="false">社会!P25</f>
        <v/>
      </c>
      <c r="H24" s="3" t="str">
        <f aca="false">社会!AC25</f>
        <v/>
      </c>
      <c r="I24" s="3" t="str">
        <f aca="false">理科!P25</f>
        <v/>
      </c>
      <c r="J24" s="3" t="str">
        <f aca="false">理科!AC25</f>
        <v/>
      </c>
      <c r="K24" s="3" t="str">
        <f aca="false">英語!P25</f>
        <v/>
      </c>
      <c r="L24" s="3" t="str">
        <f aca="false">英語!AC25</f>
        <v/>
      </c>
      <c r="M24" s="3" t="str">
        <f aca="false">保健!P25</f>
        <v/>
      </c>
      <c r="N24" s="3" t="str">
        <f aca="false">保健!AC25</f>
        <v/>
      </c>
    </row>
    <row r="25" customFormat="false" ht="15" hidden="false" customHeight="false" outlineLevel="0" collapsed="false">
      <c r="A25" s="3" t="n">
        <v>22</v>
      </c>
      <c r="B25" s="62" t="str">
        <f aca="false">IF(名簿!B24="","",名簿!B24)</f>
        <v/>
      </c>
      <c r="C25" s="3" t="str">
        <f aca="false">国語!P26</f>
        <v/>
      </c>
      <c r="D25" s="3" t="str">
        <f aca="false">国語!AC26</f>
        <v/>
      </c>
      <c r="E25" s="3" t="str">
        <f aca="false">算数!P26</f>
        <v/>
      </c>
      <c r="F25" s="3" t="str">
        <f aca="false">算数!AC26</f>
        <v/>
      </c>
      <c r="G25" s="3" t="str">
        <f aca="false">社会!P26</f>
        <v/>
      </c>
      <c r="H25" s="3" t="str">
        <f aca="false">社会!AC26</f>
        <v/>
      </c>
      <c r="I25" s="3" t="str">
        <f aca="false">理科!P26</f>
        <v/>
      </c>
      <c r="J25" s="3" t="str">
        <f aca="false">理科!AC26</f>
        <v/>
      </c>
      <c r="K25" s="3" t="str">
        <f aca="false">英語!P26</f>
        <v/>
      </c>
      <c r="L25" s="3" t="str">
        <f aca="false">英語!AC26</f>
        <v/>
      </c>
      <c r="M25" s="3" t="str">
        <f aca="false">保健!P26</f>
        <v/>
      </c>
      <c r="N25" s="3" t="str">
        <f aca="false">保健!AC26</f>
        <v/>
      </c>
    </row>
    <row r="26" customFormat="false" ht="15" hidden="false" customHeight="false" outlineLevel="0" collapsed="false">
      <c r="A26" s="3" t="n">
        <v>23</v>
      </c>
      <c r="B26" s="62" t="str">
        <f aca="false">IF(名簿!B25="","",名簿!B25)</f>
        <v/>
      </c>
      <c r="C26" s="3" t="str">
        <f aca="false">国語!P27</f>
        <v/>
      </c>
      <c r="D26" s="3" t="str">
        <f aca="false">国語!AC27</f>
        <v/>
      </c>
      <c r="E26" s="3" t="str">
        <f aca="false">算数!P27</f>
        <v/>
      </c>
      <c r="F26" s="3" t="str">
        <f aca="false">算数!AC27</f>
        <v/>
      </c>
      <c r="G26" s="3" t="str">
        <f aca="false">社会!P27</f>
        <v/>
      </c>
      <c r="H26" s="3" t="str">
        <f aca="false">社会!AC27</f>
        <v/>
      </c>
      <c r="I26" s="3" t="str">
        <f aca="false">理科!P27</f>
        <v/>
      </c>
      <c r="J26" s="3" t="str">
        <f aca="false">理科!AC27</f>
        <v/>
      </c>
      <c r="K26" s="3" t="str">
        <f aca="false">英語!P27</f>
        <v/>
      </c>
      <c r="L26" s="3" t="str">
        <f aca="false">英語!AC27</f>
        <v/>
      </c>
      <c r="M26" s="3" t="str">
        <f aca="false">保健!P27</f>
        <v/>
      </c>
      <c r="N26" s="3" t="str">
        <f aca="false">保健!AC27</f>
        <v/>
      </c>
    </row>
    <row r="27" customFormat="false" ht="15" hidden="false" customHeight="false" outlineLevel="0" collapsed="false">
      <c r="A27" s="3" t="n">
        <v>24</v>
      </c>
      <c r="B27" s="62" t="str">
        <f aca="false">IF(名簿!B26="","",名簿!B26)</f>
        <v/>
      </c>
      <c r="C27" s="3" t="str">
        <f aca="false">国語!P28</f>
        <v/>
      </c>
      <c r="D27" s="3" t="str">
        <f aca="false">国語!AC28</f>
        <v/>
      </c>
      <c r="E27" s="3" t="str">
        <f aca="false">算数!P28</f>
        <v/>
      </c>
      <c r="F27" s="3" t="str">
        <f aca="false">算数!AC28</f>
        <v/>
      </c>
      <c r="G27" s="3" t="str">
        <f aca="false">社会!P28</f>
        <v/>
      </c>
      <c r="H27" s="3" t="str">
        <f aca="false">社会!AC28</f>
        <v/>
      </c>
      <c r="I27" s="3" t="str">
        <f aca="false">理科!P28</f>
        <v/>
      </c>
      <c r="J27" s="3" t="str">
        <f aca="false">理科!AC28</f>
        <v/>
      </c>
      <c r="K27" s="3" t="str">
        <f aca="false">英語!P28</f>
        <v/>
      </c>
      <c r="L27" s="3" t="str">
        <f aca="false">英語!AC28</f>
        <v/>
      </c>
      <c r="M27" s="3" t="str">
        <f aca="false">保健!P28</f>
        <v/>
      </c>
      <c r="N27" s="3" t="str">
        <f aca="false">保健!AC28</f>
        <v/>
      </c>
    </row>
    <row r="28" customFormat="false" ht="15" hidden="false" customHeight="false" outlineLevel="0" collapsed="false">
      <c r="A28" s="3" t="n">
        <v>25</v>
      </c>
      <c r="B28" s="62" t="str">
        <f aca="false">IF(名簿!B27="","",名簿!B27)</f>
        <v/>
      </c>
      <c r="C28" s="3" t="str">
        <f aca="false">国語!P29</f>
        <v/>
      </c>
      <c r="D28" s="3" t="str">
        <f aca="false">国語!AC29</f>
        <v/>
      </c>
      <c r="E28" s="3" t="str">
        <f aca="false">算数!P29</f>
        <v/>
      </c>
      <c r="F28" s="3" t="str">
        <f aca="false">算数!AC29</f>
        <v/>
      </c>
      <c r="G28" s="3" t="str">
        <f aca="false">社会!P29</f>
        <v/>
      </c>
      <c r="H28" s="3" t="str">
        <f aca="false">社会!AC29</f>
        <v/>
      </c>
      <c r="I28" s="3" t="str">
        <f aca="false">理科!P29</f>
        <v/>
      </c>
      <c r="J28" s="3" t="str">
        <f aca="false">理科!AC29</f>
        <v/>
      </c>
      <c r="K28" s="3" t="str">
        <f aca="false">英語!P29</f>
        <v/>
      </c>
      <c r="L28" s="3" t="str">
        <f aca="false">英語!AC29</f>
        <v/>
      </c>
      <c r="M28" s="3" t="str">
        <f aca="false">保健!P29</f>
        <v/>
      </c>
      <c r="N28" s="3" t="str">
        <f aca="false">保健!AC29</f>
        <v/>
      </c>
    </row>
    <row r="29" customFormat="false" ht="15" hidden="false" customHeight="false" outlineLevel="0" collapsed="false">
      <c r="A29" s="3" t="n">
        <v>26</v>
      </c>
      <c r="B29" s="62" t="str">
        <f aca="false">IF(名簿!B28="","",名簿!B28)</f>
        <v/>
      </c>
      <c r="C29" s="3" t="str">
        <f aca="false">国語!P30</f>
        <v/>
      </c>
      <c r="D29" s="3" t="str">
        <f aca="false">国語!AC30</f>
        <v/>
      </c>
      <c r="E29" s="3" t="str">
        <f aca="false">算数!P30</f>
        <v/>
      </c>
      <c r="F29" s="3" t="str">
        <f aca="false">算数!AC30</f>
        <v/>
      </c>
      <c r="G29" s="3" t="str">
        <f aca="false">社会!P30</f>
        <v/>
      </c>
      <c r="H29" s="3" t="str">
        <f aca="false">社会!AC30</f>
        <v/>
      </c>
      <c r="I29" s="3" t="str">
        <f aca="false">理科!P30</f>
        <v/>
      </c>
      <c r="J29" s="3" t="str">
        <f aca="false">理科!AC30</f>
        <v/>
      </c>
      <c r="K29" s="3" t="str">
        <f aca="false">英語!P30</f>
        <v/>
      </c>
      <c r="L29" s="3" t="str">
        <f aca="false">英語!AC30</f>
        <v/>
      </c>
      <c r="M29" s="3" t="str">
        <f aca="false">保健!P30</f>
        <v/>
      </c>
      <c r="N29" s="3" t="str">
        <f aca="false">保健!AC30</f>
        <v/>
      </c>
    </row>
    <row r="30" customFormat="false" ht="15" hidden="false" customHeight="false" outlineLevel="0" collapsed="false">
      <c r="A30" s="3" t="n">
        <v>27</v>
      </c>
      <c r="B30" s="62" t="str">
        <f aca="false">IF(名簿!B29="","",名簿!B29)</f>
        <v/>
      </c>
      <c r="C30" s="3" t="str">
        <f aca="false">国語!P31</f>
        <v/>
      </c>
      <c r="D30" s="3" t="str">
        <f aca="false">国語!AC31</f>
        <v/>
      </c>
      <c r="E30" s="3" t="str">
        <f aca="false">算数!P31</f>
        <v/>
      </c>
      <c r="F30" s="3" t="str">
        <f aca="false">算数!AC31</f>
        <v/>
      </c>
      <c r="G30" s="3" t="str">
        <f aca="false">社会!P31</f>
        <v/>
      </c>
      <c r="H30" s="3" t="str">
        <f aca="false">社会!AC31</f>
        <v/>
      </c>
      <c r="I30" s="3" t="str">
        <f aca="false">理科!P31</f>
        <v/>
      </c>
      <c r="J30" s="3" t="str">
        <f aca="false">理科!AC31</f>
        <v/>
      </c>
      <c r="K30" s="3" t="str">
        <f aca="false">英語!P31</f>
        <v/>
      </c>
      <c r="L30" s="3" t="str">
        <f aca="false">英語!AC31</f>
        <v/>
      </c>
      <c r="M30" s="3" t="str">
        <f aca="false">保健!P31</f>
        <v/>
      </c>
      <c r="N30" s="3" t="str">
        <f aca="false">保健!AC31</f>
        <v/>
      </c>
    </row>
    <row r="31" customFormat="false" ht="15" hidden="false" customHeight="false" outlineLevel="0" collapsed="false">
      <c r="A31" s="3" t="n">
        <v>28</v>
      </c>
      <c r="B31" s="62" t="str">
        <f aca="false">IF(名簿!B30="","",名簿!B30)</f>
        <v/>
      </c>
      <c r="C31" s="3" t="str">
        <f aca="false">国語!P32</f>
        <v/>
      </c>
      <c r="D31" s="3" t="str">
        <f aca="false">国語!AC32</f>
        <v/>
      </c>
      <c r="E31" s="3" t="str">
        <f aca="false">算数!P32</f>
        <v/>
      </c>
      <c r="F31" s="3" t="str">
        <f aca="false">算数!AC32</f>
        <v/>
      </c>
      <c r="G31" s="3" t="str">
        <f aca="false">社会!P32</f>
        <v/>
      </c>
      <c r="H31" s="3" t="str">
        <f aca="false">社会!AC32</f>
        <v/>
      </c>
      <c r="I31" s="3" t="str">
        <f aca="false">理科!P32</f>
        <v/>
      </c>
      <c r="J31" s="3" t="str">
        <f aca="false">理科!AC32</f>
        <v/>
      </c>
      <c r="K31" s="3" t="str">
        <f aca="false">英語!P32</f>
        <v/>
      </c>
      <c r="L31" s="3" t="str">
        <f aca="false">英語!AC32</f>
        <v/>
      </c>
      <c r="M31" s="3" t="str">
        <f aca="false">保健!P32</f>
        <v/>
      </c>
      <c r="N31" s="3" t="str">
        <f aca="false">保健!AC32</f>
        <v/>
      </c>
    </row>
    <row r="32" customFormat="false" ht="15" hidden="false" customHeight="false" outlineLevel="0" collapsed="false">
      <c r="A32" s="3" t="n">
        <v>29</v>
      </c>
      <c r="B32" s="62" t="str">
        <f aca="false">IF(名簿!B31="","",名簿!B31)</f>
        <v/>
      </c>
      <c r="C32" s="3" t="str">
        <f aca="false">国語!P33</f>
        <v/>
      </c>
      <c r="D32" s="3" t="str">
        <f aca="false">国語!AC33</f>
        <v/>
      </c>
      <c r="E32" s="3" t="str">
        <f aca="false">算数!P33</f>
        <v/>
      </c>
      <c r="F32" s="3" t="str">
        <f aca="false">算数!AC33</f>
        <v/>
      </c>
      <c r="G32" s="3" t="str">
        <f aca="false">社会!P33</f>
        <v/>
      </c>
      <c r="H32" s="3" t="str">
        <f aca="false">社会!AC33</f>
        <v/>
      </c>
      <c r="I32" s="3" t="str">
        <f aca="false">理科!P33</f>
        <v/>
      </c>
      <c r="J32" s="3" t="str">
        <f aca="false">理科!AC33</f>
        <v/>
      </c>
      <c r="K32" s="3" t="str">
        <f aca="false">英語!P33</f>
        <v/>
      </c>
      <c r="L32" s="3" t="str">
        <f aca="false">英語!AC33</f>
        <v/>
      </c>
      <c r="M32" s="3" t="str">
        <f aca="false">保健!P33</f>
        <v/>
      </c>
      <c r="N32" s="3" t="str">
        <f aca="false">保健!AC33</f>
        <v/>
      </c>
    </row>
    <row r="33" customFormat="false" ht="15" hidden="false" customHeight="false" outlineLevel="0" collapsed="false">
      <c r="A33" s="3" t="n">
        <v>30</v>
      </c>
      <c r="B33" s="62" t="str">
        <f aca="false">IF(名簿!B32="","",名簿!B32)</f>
        <v/>
      </c>
      <c r="C33" s="3" t="str">
        <f aca="false">国語!P34</f>
        <v/>
      </c>
      <c r="D33" s="3" t="str">
        <f aca="false">国語!AC34</f>
        <v/>
      </c>
      <c r="E33" s="3" t="str">
        <f aca="false">算数!P34</f>
        <v/>
      </c>
      <c r="F33" s="3" t="str">
        <f aca="false">算数!AC34</f>
        <v/>
      </c>
      <c r="G33" s="3" t="str">
        <f aca="false">社会!P34</f>
        <v/>
      </c>
      <c r="H33" s="3" t="str">
        <f aca="false">社会!AC34</f>
        <v/>
      </c>
      <c r="I33" s="3" t="str">
        <f aca="false">理科!P34</f>
        <v/>
      </c>
      <c r="J33" s="3" t="str">
        <f aca="false">理科!AC34</f>
        <v/>
      </c>
      <c r="K33" s="3" t="str">
        <f aca="false">英語!P34</f>
        <v/>
      </c>
      <c r="L33" s="3" t="str">
        <f aca="false">英語!AC34</f>
        <v/>
      </c>
      <c r="M33" s="3" t="str">
        <f aca="false">保健!P34</f>
        <v/>
      </c>
      <c r="N33" s="3" t="str">
        <f aca="false">保健!AC34</f>
        <v/>
      </c>
    </row>
    <row r="34" customFormat="false" ht="15" hidden="false" customHeight="false" outlineLevel="0" collapsed="false">
      <c r="A34" s="3" t="n">
        <v>31</v>
      </c>
      <c r="B34" s="62" t="str">
        <f aca="false">IF(名簿!B33="","",名簿!B33)</f>
        <v/>
      </c>
      <c r="C34" s="3" t="str">
        <f aca="false">国語!P35</f>
        <v/>
      </c>
      <c r="D34" s="3" t="str">
        <f aca="false">国語!AC35</f>
        <v/>
      </c>
      <c r="E34" s="3" t="str">
        <f aca="false">算数!P35</f>
        <v/>
      </c>
      <c r="F34" s="3" t="str">
        <f aca="false">算数!AC35</f>
        <v/>
      </c>
      <c r="G34" s="3" t="str">
        <f aca="false">社会!P35</f>
        <v/>
      </c>
      <c r="H34" s="3" t="str">
        <f aca="false">社会!AC35</f>
        <v/>
      </c>
      <c r="I34" s="3" t="str">
        <f aca="false">理科!P35</f>
        <v/>
      </c>
      <c r="J34" s="3" t="str">
        <f aca="false">理科!AC35</f>
        <v/>
      </c>
      <c r="K34" s="3" t="str">
        <f aca="false">英語!P35</f>
        <v/>
      </c>
      <c r="L34" s="3" t="str">
        <f aca="false">英語!AC35</f>
        <v/>
      </c>
      <c r="M34" s="3" t="str">
        <f aca="false">保健!P35</f>
        <v/>
      </c>
      <c r="N34" s="3" t="str">
        <f aca="false">保健!AC35</f>
        <v/>
      </c>
    </row>
    <row r="35" customFormat="false" ht="15" hidden="false" customHeight="false" outlineLevel="0" collapsed="false">
      <c r="A35" s="3" t="n">
        <v>32</v>
      </c>
      <c r="B35" s="62" t="str">
        <f aca="false">IF(名簿!B34="","",名簿!B34)</f>
        <v/>
      </c>
      <c r="C35" s="3" t="str">
        <f aca="false">国語!P36</f>
        <v/>
      </c>
      <c r="D35" s="3" t="str">
        <f aca="false">国語!AC36</f>
        <v/>
      </c>
      <c r="E35" s="3" t="str">
        <f aca="false">算数!P36</f>
        <v/>
      </c>
      <c r="F35" s="3" t="str">
        <f aca="false">算数!AC36</f>
        <v/>
      </c>
      <c r="G35" s="3" t="str">
        <f aca="false">社会!P36</f>
        <v/>
      </c>
      <c r="H35" s="3" t="str">
        <f aca="false">社会!AC36</f>
        <v/>
      </c>
      <c r="I35" s="3" t="str">
        <f aca="false">理科!P36</f>
        <v/>
      </c>
      <c r="J35" s="3" t="str">
        <f aca="false">理科!AC36</f>
        <v/>
      </c>
      <c r="K35" s="3" t="str">
        <f aca="false">英語!P36</f>
        <v/>
      </c>
      <c r="L35" s="3" t="str">
        <f aca="false">英語!AC36</f>
        <v/>
      </c>
      <c r="M35" s="3" t="str">
        <f aca="false">保健!P36</f>
        <v/>
      </c>
      <c r="N35" s="3" t="str">
        <f aca="false">保健!AC36</f>
        <v/>
      </c>
    </row>
    <row r="36" customFormat="false" ht="15" hidden="false" customHeight="false" outlineLevel="0" collapsed="false">
      <c r="A36" s="3" t="n">
        <v>33</v>
      </c>
      <c r="B36" s="62" t="str">
        <f aca="false">IF(名簿!B35="","",名簿!B35)</f>
        <v/>
      </c>
      <c r="C36" s="3" t="str">
        <f aca="false">国語!P37</f>
        <v/>
      </c>
      <c r="D36" s="3" t="str">
        <f aca="false">国語!AC37</f>
        <v/>
      </c>
      <c r="E36" s="3" t="str">
        <f aca="false">算数!P37</f>
        <v/>
      </c>
      <c r="F36" s="3" t="str">
        <f aca="false">算数!AC37</f>
        <v/>
      </c>
      <c r="G36" s="3" t="str">
        <f aca="false">社会!P37</f>
        <v/>
      </c>
      <c r="H36" s="3" t="str">
        <f aca="false">社会!AC37</f>
        <v/>
      </c>
      <c r="I36" s="3" t="str">
        <f aca="false">理科!P37</f>
        <v/>
      </c>
      <c r="J36" s="3" t="str">
        <f aca="false">理科!AC37</f>
        <v/>
      </c>
      <c r="K36" s="3" t="str">
        <f aca="false">英語!P37</f>
        <v/>
      </c>
      <c r="L36" s="3" t="str">
        <f aca="false">英語!AC37</f>
        <v/>
      </c>
      <c r="M36" s="3" t="str">
        <f aca="false">保健!P37</f>
        <v/>
      </c>
      <c r="N36" s="3" t="str">
        <f aca="false">保健!AC37</f>
        <v/>
      </c>
    </row>
    <row r="37" customFormat="false" ht="15" hidden="false" customHeight="false" outlineLevel="0" collapsed="false">
      <c r="A37" s="3" t="n">
        <v>34</v>
      </c>
      <c r="B37" s="62" t="str">
        <f aca="false">IF(名簿!B36="","",名簿!B36)</f>
        <v/>
      </c>
      <c r="C37" s="3" t="str">
        <f aca="false">国語!P38</f>
        <v/>
      </c>
      <c r="D37" s="3" t="str">
        <f aca="false">国語!AC38</f>
        <v/>
      </c>
      <c r="E37" s="3" t="str">
        <f aca="false">算数!P38</f>
        <v/>
      </c>
      <c r="F37" s="3" t="str">
        <f aca="false">算数!AC38</f>
        <v/>
      </c>
      <c r="G37" s="3" t="str">
        <f aca="false">社会!P38</f>
        <v/>
      </c>
      <c r="H37" s="3" t="str">
        <f aca="false">社会!AC38</f>
        <v/>
      </c>
      <c r="I37" s="3" t="str">
        <f aca="false">理科!P38</f>
        <v/>
      </c>
      <c r="J37" s="3" t="str">
        <f aca="false">理科!AC38</f>
        <v/>
      </c>
      <c r="K37" s="3" t="str">
        <f aca="false">英語!P38</f>
        <v/>
      </c>
      <c r="L37" s="3" t="str">
        <f aca="false">英語!AC38</f>
        <v/>
      </c>
      <c r="M37" s="3" t="str">
        <f aca="false">保健!P38</f>
        <v/>
      </c>
      <c r="N37" s="3" t="str">
        <f aca="false">保健!AC38</f>
        <v/>
      </c>
    </row>
    <row r="38" customFormat="false" ht="15" hidden="false" customHeight="false" outlineLevel="0" collapsed="false">
      <c r="A38" s="3" t="n">
        <v>35</v>
      </c>
      <c r="B38" s="62" t="str">
        <f aca="false">IF(名簿!B37="","",名簿!B37)</f>
        <v/>
      </c>
      <c r="C38" s="3" t="str">
        <f aca="false">国語!P39</f>
        <v/>
      </c>
      <c r="D38" s="3" t="str">
        <f aca="false">国語!AC39</f>
        <v/>
      </c>
      <c r="E38" s="3" t="str">
        <f aca="false">算数!P39</f>
        <v/>
      </c>
      <c r="F38" s="3" t="str">
        <f aca="false">算数!AC39</f>
        <v/>
      </c>
      <c r="G38" s="3" t="str">
        <f aca="false">社会!P39</f>
        <v/>
      </c>
      <c r="H38" s="3" t="str">
        <f aca="false">社会!AC39</f>
        <v/>
      </c>
      <c r="I38" s="3" t="str">
        <f aca="false">理科!P39</f>
        <v/>
      </c>
      <c r="J38" s="3" t="str">
        <f aca="false">理科!AC39</f>
        <v/>
      </c>
      <c r="K38" s="3" t="str">
        <f aca="false">英語!P39</f>
        <v/>
      </c>
      <c r="L38" s="3" t="str">
        <f aca="false">英語!AC39</f>
        <v/>
      </c>
      <c r="M38" s="3" t="str">
        <f aca="false">保健!P39</f>
        <v/>
      </c>
      <c r="N38" s="3" t="str">
        <f aca="false">保健!AC39</f>
        <v/>
      </c>
    </row>
    <row r="39" customFormat="false" ht="15" hidden="false" customHeight="true" outlineLevel="0" collapsed="false">
      <c r="A39" s="2" t="s">
        <v>36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37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38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true" outlineLevel="0" collapsed="false">
      <c r="A1" s="63" t="s">
        <v>47</v>
      </c>
      <c r="B1" s="63"/>
      <c r="C1" s="63"/>
      <c r="D1" s="63"/>
      <c r="E1" s="63"/>
      <c r="F1" s="63"/>
      <c r="G1" s="63"/>
      <c r="H1" s="63"/>
      <c r="I1" s="63"/>
    </row>
    <row r="3" customFormat="false" ht="25.5" hidden="false" customHeight="true" outlineLevel="0" collapsed="false">
      <c r="A3" s="2" t="s">
        <v>48</v>
      </c>
      <c r="B3" s="7" t="n">
        <v>1</v>
      </c>
      <c r="C3" s="2" t="s">
        <v>2</v>
      </c>
      <c r="D3" s="62" t="str">
        <f aca="false">IF(OR(B3="",B3&lt;1,B3&gt;35),"",IF(INDEX(名簿!$B$3:$B$37,B3)="","",INDEX(名簿!$B$3:$B$37,B3)))</f>
        <v/>
      </c>
      <c r="E3" s="62"/>
      <c r="F3" s="62"/>
      <c r="G3" s="64" t="s">
        <v>49</v>
      </c>
    </row>
    <row r="5" customFormat="false" ht="15" hidden="false" customHeight="true" outlineLevel="0" collapsed="false">
      <c r="A5" s="2" t="s">
        <v>9</v>
      </c>
      <c r="B5" s="2" t="s">
        <v>24</v>
      </c>
      <c r="C5" s="2"/>
      <c r="D5" s="2"/>
      <c r="E5" s="2"/>
      <c r="F5" s="2" t="s">
        <v>25</v>
      </c>
      <c r="G5" s="2"/>
      <c r="H5" s="2"/>
      <c r="I5" s="2"/>
    </row>
    <row r="6" customFormat="false" ht="36" hidden="false" customHeight="true" outlineLevel="0" collapsed="false">
      <c r="A6" s="2"/>
      <c r="B6" s="2" t="s">
        <v>50</v>
      </c>
      <c r="C6" s="2" t="s">
        <v>51</v>
      </c>
      <c r="D6" s="2" t="s">
        <v>52</v>
      </c>
      <c r="E6" s="2" t="s">
        <v>53</v>
      </c>
      <c r="F6" s="2" t="s">
        <v>50</v>
      </c>
      <c r="G6" s="2" t="s">
        <v>51</v>
      </c>
      <c r="H6" s="2" t="s">
        <v>52</v>
      </c>
      <c r="I6" s="2" t="s">
        <v>53</v>
      </c>
    </row>
    <row r="7" customFormat="false" ht="30" hidden="false" customHeight="true" outlineLevel="0" collapsed="false">
      <c r="A7" s="65" t="s">
        <v>14</v>
      </c>
      <c r="B7" s="3" t="str">
        <f aca="false">IF(OR($B$3="",$B$3&lt;1,$B$3&gt;35),"",INDEX(国語!$N$5:$N$39,$B$3))</f>
        <v/>
      </c>
      <c r="C7" s="3" t="str">
        <f aca="false">IF(OR(OR($B$3="",$B$3&lt;1,$B$3&gt;35),B7=""),"",国語!$N$4-SUMIF(INDEX(国語!$C$5:$M$39,$B$3,0),"欠",国語!$C$4:$M$4))</f>
        <v/>
      </c>
      <c r="D7" s="3" t="str">
        <f aca="false">IF(OR($B$3="",$B$3&lt;1,$B$3&gt;35),"",INDEX(国語!$O$5:$O$39,$B$3))</f>
        <v/>
      </c>
      <c r="E7" s="3" t="str">
        <f aca="false">IF(OR($B$3="",$B$3&lt;1,$B$3&gt;35),"",INDEX(国語!$P$5:$P$39,$B$3))</f>
        <v/>
      </c>
      <c r="F7" s="3" t="str">
        <f aca="false">IF(OR($B$3="",$B$3&lt;1,$B$3&gt;35),"",INDEX(国語!$AA$5:$AA$39,$B$3))</f>
        <v/>
      </c>
      <c r="G7" s="3" t="str">
        <f aca="false">IF(OR(OR($B$3="",$B$3&lt;1,$B$3&gt;35),F7=""),"",国語!$AA$4-SUMIF(INDEX(国語!$Q$5:$Z$39,$B$3,0),"欠",国語!$Q$4:$Z$4))</f>
        <v/>
      </c>
      <c r="H7" s="3" t="str">
        <f aca="false">IF(OR($B$3="",$B$3&lt;1,$B$3&gt;35),"",INDEX(国語!$AB$5:$AB$39,$B$3))</f>
        <v/>
      </c>
      <c r="I7" s="3" t="str">
        <f aca="false">IF(OR($B$3="",$B$3&lt;1,$B$3&gt;35),"",INDEX(国語!$AC$5:$AC$39,$B$3))</f>
        <v/>
      </c>
    </row>
    <row r="8" customFormat="false" ht="30" hidden="false" customHeight="true" outlineLevel="0" collapsed="false">
      <c r="A8" s="65" t="s">
        <v>15</v>
      </c>
      <c r="B8" s="3" t="str">
        <f aca="false">IF(OR($B$3="",$B$3&lt;1,$B$3&gt;35),"",INDEX(算数!$N$5:$N$39,$B$3))</f>
        <v/>
      </c>
      <c r="C8" s="3" t="str">
        <f aca="false">IF(OR(OR($B$3="",$B$3&lt;1,$B$3&gt;35),B8=""),"",算数!$N$4-SUMIF(INDEX(算数!$C$5:$M$39,$B$3,0),"欠",算数!$C$4:$M$4))</f>
        <v/>
      </c>
      <c r="D8" s="3" t="str">
        <f aca="false">IF(OR($B$3="",$B$3&lt;1,$B$3&gt;35),"",INDEX(算数!$O$5:$O$39,$B$3))</f>
        <v/>
      </c>
      <c r="E8" s="3" t="str">
        <f aca="false">IF(OR($B$3="",$B$3&lt;1,$B$3&gt;35),"",INDEX(算数!$P$5:$P$39,$B$3))</f>
        <v/>
      </c>
      <c r="F8" s="3" t="str">
        <f aca="false">IF(OR($B$3="",$B$3&lt;1,$B$3&gt;35),"",INDEX(算数!$AA$5:$AA$39,$B$3))</f>
        <v/>
      </c>
      <c r="G8" s="3" t="str">
        <f aca="false">IF(OR(OR($B$3="",$B$3&lt;1,$B$3&gt;35),F8=""),"",算数!$AA$4-SUMIF(INDEX(算数!$Q$5:$Z$39,$B$3,0),"欠",算数!$Q$4:$Z$4))</f>
        <v/>
      </c>
      <c r="H8" s="3" t="str">
        <f aca="false">IF(OR($B$3="",$B$3&lt;1,$B$3&gt;35),"",INDEX(算数!$AB$5:$AB$39,$B$3))</f>
        <v/>
      </c>
      <c r="I8" s="3" t="str">
        <f aca="false">IF(OR($B$3="",$B$3&lt;1,$B$3&gt;35),"",INDEX(算数!$AC$5:$AC$39,$B$3))</f>
        <v/>
      </c>
    </row>
    <row r="9" customFormat="false" ht="30" hidden="false" customHeight="true" outlineLevel="0" collapsed="false">
      <c r="A9" s="65" t="s">
        <v>16</v>
      </c>
      <c r="B9" s="3" t="str">
        <f aca="false">IF(OR($B$3="",$B$3&lt;1,$B$3&gt;35),"",INDEX(社会!$N$5:$N$39,$B$3))</f>
        <v/>
      </c>
      <c r="C9" s="3" t="str">
        <f aca="false">IF(OR(OR($B$3="",$B$3&lt;1,$B$3&gt;35),B9=""),"",社会!$N$4-SUMIF(INDEX(社会!$C$5:$M$39,$B$3,0),"欠",社会!$C$4:$M$4))</f>
        <v/>
      </c>
      <c r="D9" s="3" t="str">
        <f aca="false">IF(OR($B$3="",$B$3&lt;1,$B$3&gt;35),"",INDEX(社会!$O$5:$O$39,$B$3))</f>
        <v/>
      </c>
      <c r="E9" s="3" t="str">
        <f aca="false">IF(OR($B$3="",$B$3&lt;1,$B$3&gt;35),"",INDEX(社会!$P$5:$P$39,$B$3))</f>
        <v/>
      </c>
      <c r="F9" s="3" t="str">
        <f aca="false">IF(OR($B$3="",$B$3&lt;1,$B$3&gt;35),"",INDEX(社会!$AA$5:$AA$39,$B$3))</f>
        <v/>
      </c>
      <c r="G9" s="3" t="str">
        <f aca="false">IF(OR(OR($B$3="",$B$3&lt;1,$B$3&gt;35),F9=""),"",社会!$AA$4-SUMIF(INDEX(社会!$Q$5:$Z$39,$B$3,0),"欠",社会!$Q$4:$Z$4))</f>
        <v/>
      </c>
      <c r="H9" s="3" t="str">
        <f aca="false">IF(OR($B$3="",$B$3&lt;1,$B$3&gt;35),"",INDEX(社会!$AB$5:$AB$39,$B$3))</f>
        <v/>
      </c>
      <c r="I9" s="3" t="str">
        <f aca="false">IF(OR($B$3="",$B$3&lt;1,$B$3&gt;35),"",INDEX(社会!$AC$5:$AC$39,$B$3))</f>
        <v/>
      </c>
    </row>
    <row r="10" customFormat="false" ht="30" hidden="false" customHeight="true" outlineLevel="0" collapsed="false">
      <c r="A10" s="65" t="s">
        <v>17</v>
      </c>
      <c r="B10" s="3" t="str">
        <f aca="false">IF(OR($B$3="",$B$3&lt;1,$B$3&gt;35),"",INDEX(理科!$N$5:$N$39,$B$3))</f>
        <v/>
      </c>
      <c r="C10" s="3" t="str">
        <f aca="false">IF(OR(OR($B$3="",$B$3&lt;1,$B$3&gt;35),B10=""),"",理科!$N$4-SUMIF(INDEX(理科!$C$5:$M$39,$B$3,0),"欠",理科!$C$4:$M$4))</f>
        <v/>
      </c>
      <c r="D10" s="3" t="str">
        <f aca="false">IF(OR($B$3="",$B$3&lt;1,$B$3&gt;35),"",INDEX(理科!$O$5:$O$39,$B$3))</f>
        <v/>
      </c>
      <c r="E10" s="3" t="str">
        <f aca="false">IF(OR($B$3="",$B$3&lt;1,$B$3&gt;35),"",INDEX(理科!$P$5:$P$39,$B$3))</f>
        <v/>
      </c>
      <c r="F10" s="3" t="str">
        <f aca="false">IF(OR($B$3="",$B$3&lt;1,$B$3&gt;35),"",INDEX(理科!$AA$5:$AA$39,$B$3))</f>
        <v/>
      </c>
      <c r="G10" s="3" t="str">
        <f aca="false">IF(OR(OR($B$3="",$B$3&lt;1,$B$3&gt;35),F10=""),"",理科!$AA$4-SUMIF(INDEX(理科!$Q$5:$Z$39,$B$3,0),"欠",理科!$Q$4:$Z$4))</f>
        <v/>
      </c>
      <c r="H10" s="3" t="str">
        <f aca="false">IF(OR($B$3="",$B$3&lt;1,$B$3&gt;35),"",INDEX(理科!$AB$5:$AB$39,$B$3))</f>
        <v/>
      </c>
      <c r="I10" s="3" t="str">
        <f aca="false">IF(OR($B$3="",$B$3&lt;1,$B$3&gt;35),"",INDEX(理科!$AC$5:$AC$39,$B$3))</f>
        <v/>
      </c>
    </row>
    <row r="11" customFormat="false" ht="30" hidden="false" customHeight="true" outlineLevel="0" collapsed="false">
      <c r="A11" s="65" t="s">
        <v>18</v>
      </c>
      <c r="B11" s="3" t="str">
        <f aca="false">IF(OR($B$3="",$B$3&lt;1,$B$3&gt;35),"",INDEX(英語!$N$5:$N$39,$B$3))</f>
        <v/>
      </c>
      <c r="C11" s="3" t="str">
        <f aca="false">IF(OR(OR($B$3="",$B$3&lt;1,$B$3&gt;35),B11=""),"",英語!$N$4-SUMIF(INDEX(英語!$C$5:$M$39,$B$3,0),"欠",英語!$C$4:$M$4))</f>
        <v/>
      </c>
      <c r="D11" s="3" t="str">
        <f aca="false">IF(OR($B$3="",$B$3&lt;1,$B$3&gt;35),"",INDEX(英語!$O$5:$O$39,$B$3))</f>
        <v/>
      </c>
      <c r="E11" s="3" t="str">
        <f aca="false">IF(OR($B$3="",$B$3&lt;1,$B$3&gt;35),"",INDEX(英語!$P$5:$P$39,$B$3))</f>
        <v/>
      </c>
      <c r="F11" s="3" t="str">
        <f aca="false">IF(OR($B$3="",$B$3&lt;1,$B$3&gt;35),"",INDEX(英語!$AA$5:$AA$39,$B$3))</f>
        <v/>
      </c>
      <c r="G11" s="3" t="str">
        <f aca="false">IF(OR(OR($B$3="",$B$3&lt;1,$B$3&gt;35),F11=""),"",英語!$AA$4-SUMIF(INDEX(英語!$Q$5:$Z$39,$B$3,0),"欠",英語!$Q$4:$Z$4))</f>
        <v/>
      </c>
      <c r="H11" s="3" t="str">
        <f aca="false">IF(OR($B$3="",$B$3&lt;1,$B$3&gt;35),"",INDEX(英語!$AB$5:$AB$39,$B$3))</f>
        <v/>
      </c>
      <c r="I11" s="3" t="str">
        <f aca="false">IF(OR($B$3="",$B$3&lt;1,$B$3&gt;35),"",INDEX(英語!$AC$5:$AC$39,$B$3))</f>
        <v/>
      </c>
    </row>
    <row r="12" customFormat="false" ht="30" hidden="false" customHeight="true" outlineLevel="0" collapsed="false">
      <c r="A12" s="65" t="s">
        <v>19</v>
      </c>
      <c r="B12" s="3" t="str">
        <f aca="false">IF(OR($B$3="",$B$3&lt;1,$B$3&gt;35),"",INDEX(保健!$N$5:$N$39,$B$3))</f>
        <v/>
      </c>
      <c r="C12" s="3" t="str">
        <f aca="false">IF(OR(OR($B$3="",$B$3&lt;1,$B$3&gt;35),B12=""),"",保健!$N$4-SUMIF(INDEX(保健!$C$5:$M$39,$B$3,0),"欠",保健!$C$4:$M$4))</f>
        <v/>
      </c>
      <c r="D12" s="3" t="str">
        <f aca="false">IF(OR($B$3="",$B$3&lt;1,$B$3&gt;35),"",INDEX(保健!$O$5:$O$39,$B$3))</f>
        <v/>
      </c>
      <c r="E12" s="3" t="str">
        <f aca="false">IF(OR($B$3="",$B$3&lt;1,$B$3&gt;35),"",INDEX(保健!$P$5:$P$39,$B$3))</f>
        <v/>
      </c>
      <c r="F12" s="3" t="str">
        <f aca="false">IF(OR($B$3="",$B$3&lt;1,$B$3&gt;35),"",INDEX(保健!$AA$5:$AA$39,$B$3))</f>
        <v/>
      </c>
      <c r="G12" s="3" t="str">
        <f aca="false">IF(OR(OR($B$3="",$B$3&lt;1,$B$3&gt;35),F12=""),"",保健!$AA$4-SUMIF(INDEX(保健!$Q$5:$Z$39,$B$3,0),"欠",保健!$Q$4:$Z$4))</f>
        <v/>
      </c>
      <c r="H12" s="3" t="str">
        <f aca="false">IF(OR($B$3="",$B$3&lt;1,$B$3&gt;35),"",INDEX(保健!$AB$5:$AB$39,$B$3))</f>
        <v/>
      </c>
      <c r="I12" s="3" t="str">
        <f aca="false">IF(OR($B$3="",$B$3&lt;1,$B$3&gt;35),"",INDEX(保健!$AC$5:$AC$39,$B$3))</f>
        <v/>
      </c>
    </row>
  </sheetData>
  <sheetProtection sheet="true"/>
  <mergeCells count="5">
    <mergeCell ref="A1:I1"/>
    <mergeCell ref="D3:F3"/>
    <mergeCell ref="A5:A6"/>
    <mergeCell ref="B5:E5"/>
    <mergeCell ref="F5:I5"/>
  </mergeCells>
  <conditionalFormatting sqref="E7:E12 I7:I12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2026-10-28T14:23:22Z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