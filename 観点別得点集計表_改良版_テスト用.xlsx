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名簿" sheetId="1" state="visible" r:id="rId3"/>
    <sheet name="設定" sheetId="2" state="visible" r:id="rId4"/>
    <sheet name="国語（前期）" sheetId="3" state="visible" r:id="rId5"/>
    <sheet name="算数（前期）" sheetId="4" state="visible" r:id="rId6"/>
    <sheet name="社会（前期）" sheetId="5" state="visible" r:id="rId7"/>
    <sheet name="理科（前期）" sheetId="6" state="visible" r:id="rId8"/>
    <sheet name="英語（前期）" sheetId="7" state="visible" r:id="rId9"/>
    <sheet name="保健（前期）" sheetId="8" state="visible" r:id="rId10"/>
    <sheet name="国語（後期）" sheetId="9" state="visible" r:id="rId11"/>
    <sheet name="算数（後期）" sheetId="10" state="visible" r:id="rId12"/>
    <sheet name="社会（後期）" sheetId="11" state="visible" r:id="rId13"/>
    <sheet name="理科（後期）" sheetId="12" state="visible" r:id="rId14"/>
    <sheet name="英語（後期）" sheetId="13" state="visible" r:id="rId15"/>
    <sheet name="保健（後期）" sheetId="14" state="visible" r:id="rId16"/>
    <sheet name="1年間" sheetId="15" state="visible" r:id="rId17"/>
    <sheet name="まとめ（前期）" sheetId="16" state="visible" r:id="rId18"/>
    <sheet name="まとめ（後期）" sheetId="17" state="visible" r:id="rId19"/>
    <sheet name="個人票" sheetId="18" state="visible" r:id="rId20"/>
  </sheets>
  <definedNames>
    <definedName function="false" hidden="false" localSheetId="15" name="_xlnm.Print_Area" vbProcedure="false">'まとめ（前期）'!$A$1:$N$41</definedName>
    <definedName function="false" hidden="false" localSheetId="16" name="_xlnm.Print_Area" vbProcedure="false">'まとめ（後期）'!$A$1:$N$41</definedName>
    <definedName function="false" hidden="false" localSheetId="17" name="_xlnm.Print_Area" vbProcedure="false">個人票!$A$1:$I$23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<sst xmlns="http://schemas.openxmlformats.org/spreadsheetml/2006/main" count="560" uniqueCount="167">
  <si>
    <t xml:space="preserve">名簿（ここに入れた名前が全教科のシートに入ります）</t>
  </si>
  <si>
    <t xml:space="preserve">番</t>
  </si>
  <si>
    <t xml:space="preserve">名前</t>
  </si>
  <si>
    <t xml:space="preserve">石井 湊</t>
  </si>
  <si>
    <t xml:space="preserve">池田 さくら</t>
  </si>
  <si>
    <t xml:space="preserve">林 陽翔</t>
  </si>
  <si>
    <t xml:space="preserve">村上 凛</t>
  </si>
  <si>
    <t xml:space="preserve">中村 蓮</t>
  </si>
  <si>
    <t xml:space="preserve">小川 彩花</t>
  </si>
  <si>
    <t xml:space="preserve">近藤 蒼</t>
  </si>
  <si>
    <t xml:space="preserve">清水 莉子</t>
  </si>
  <si>
    <t xml:space="preserve">鈴木 海斗</t>
  </si>
  <si>
    <t xml:space="preserve">松本 さくら</t>
  </si>
  <si>
    <t xml:space="preserve">岡田 健太</t>
  </si>
  <si>
    <t xml:space="preserve">佐々木 彩花</t>
  </si>
  <si>
    <t xml:space="preserve">石川 健太</t>
  </si>
  <si>
    <t xml:space="preserve">山崎 陽葵</t>
  </si>
  <si>
    <t xml:space="preserve">加藤 朝陽</t>
  </si>
  <si>
    <t xml:space="preserve">藤田 結愛</t>
  </si>
  <si>
    <t xml:space="preserve">田中 大和</t>
  </si>
  <si>
    <t xml:space="preserve">山口 心春</t>
  </si>
  <si>
    <t xml:space="preserve">山本 朝陽</t>
  </si>
  <si>
    <t xml:space="preserve">前田 彩花</t>
  </si>
  <si>
    <t xml:space="preserve">小林 湊</t>
  </si>
  <si>
    <t xml:space="preserve">後藤 結菜</t>
  </si>
  <si>
    <t xml:space="preserve">吉田 健太</t>
  </si>
  <si>
    <t xml:space="preserve">山田 楓</t>
  </si>
  <si>
    <t xml:space="preserve">橋本 蒼</t>
  </si>
  <si>
    <t xml:space="preserve">阿部 凛</t>
  </si>
  <si>
    <t xml:space="preserve">井上 悠人</t>
  </si>
  <si>
    <t xml:space="preserve">斎藤 心春</t>
  </si>
  <si>
    <t xml:space="preserve">森 蒼</t>
  </si>
  <si>
    <t xml:space="preserve">伊藤 咲良</t>
  </si>
  <si>
    <t xml:space="preserve">佐藤 海斗</t>
  </si>
  <si>
    <t xml:space="preserve">高橋 結愛</t>
  </si>
  <si>
    <t xml:space="preserve">木村 陽太</t>
  </si>
  <si>
    <t xml:space="preserve">長谷川 さくら</t>
  </si>
  <si>
    <t xml:space="preserve">渡辺 健太</t>
  </si>
  <si>
    <t xml:space="preserve">設定</t>
  </si>
  <si>
    <t xml:space="preserve">Ａ・Ｂ・Ｃの区切り（到達率〔％〕）</t>
  </si>
  <si>
    <t xml:space="preserve">全教科共通</t>
  </si>
  <si>
    <t xml:space="preserve">Ａの区切り</t>
  </si>
  <si>
    <t xml:space="preserve">Ｂの区切り</t>
  </si>
  <si>
    <t xml:space="preserve">共通</t>
  </si>
  <si>
    <t xml:space="preserve">到達率が「Ａの区切り」以上でＡ、「Ｂの区切り」以上でＢ、
それより下はＣになります。</t>
  </si>
  <si>
    <t xml:space="preserve">教科</t>
  </si>
  <si>
    <t xml:space="preserve">Ａの区切り
（教科ごと）</t>
  </si>
  <si>
    <t xml:space="preserve">Ｂの区切り
（教科ごと）</t>
  </si>
  <si>
    <t xml:space="preserve">使われる
Ａの区切り</t>
  </si>
  <si>
    <t xml:space="preserve">使われる
Ｂの区切り</t>
  </si>
  <si>
    <t xml:space="preserve">国語</t>
  </si>
  <si>
    <t xml:space="preserve">算数</t>
  </si>
  <si>
    <t xml:space="preserve">社会</t>
  </si>
  <si>
    <t xml:space="preserve">理科</t>
  </si>
  <si>
    <t xml:space="preserve">英語</t>
  </si>
  <si>
    <t xml:space="preserve">保健</t>
  </si>
  <si>
    <t xml:space="preserve">教科ごとの欄が空欄の教科は、「全教科共通」の区切りが使われます。</t>
  </si>
  <si>
    <r>
      <rPr>
        <sz val="11"/>
        <rFont val="WenQuanYi Zen Hei"/>
        <family val="2"/>
      </rPr>
      <t xml:space="preserve">区切りは前期・後期・</t>
    </r>
    <r>
      <rPr>
        <sz val="11"/>
        <rFont val="HGSｺﾞｼｯｸM"/>
        <family val="0"/>
        <charset val="1"/>
      </rPr>
      <t xml:space="preserve">1</t>
    </r>
    <r>
      <rPr>
        <sz val="11"/>
        <rFont val="WenQuanYi Zen Hei"/>
        <family val="2"/>
      </rPr>
      <t xml:space="preserve">年間のすべてに使われます。</t>
    </r>
  </si>
  <si>
    <r>
      <rPr>
        <sz val="11"/>
        <rFont val="HGSｺﾞｼｯｸM"/>
        <family val="0"/>
        <charset val="1"/>
      </rPr>
      <t xml:space="preserve">1</t>
    </r>
    <r>
      <rPr>
        <sz val="11"/>
        <rFont val="WenQuanYi Zen Hei"/>
        <family val="2"/>
      </rPr>
      <t xml:space="preserve">年間の到達率は、前期と後期の到達率の平均です。</t>
    </r>
  </si>
  <si>
    <t xml:space="preserve">（片方の期しか点数がないときは、その期の到達率になります）</t>
  </si>
  <si>
    <t xml:space="preserve">黄色の欄だけ入力してください。</t>
  </si>
  <si>
    <t xml:space="preserve">観点別得点集計表（国語・前期）</t>
  </si>
  <si>
    <t xml:space="preserve">観　点</t>
  </si>
  <si>
    <t xml:space="preserve">知識・技能</t>
  </si>
  <si>
    <t xml:space="preserve">思考・判断・表現</t>
  </si>
  <si>
    <t xml:space="preserve">合　計</t>
  </si>
  <si>
    <t xml:space="preserve">単元名</t>
  </si>
  <si>
    <t xml:space="preserve">帰り道</t>
  </si>
  <si>
    <t xml:space="preserve">漢字の形と音・意味</t>
  </si>
  <si>
    <t xml:space="preserve">笑うから楽しい</t>
  </si>
  <si>
    <t xml:space="preserve">時計の時間と心の時間</t>
  </si>
  <si>
    <t xml:space="preserve">やまなし</t>
  </si>
  <si>
    <t xml:space="preserve">鳥獣戯画を読む</t>
  </si>
  <si>
    <t xml:space="preserve">観点合計</t>
  </si>
  <si>
    <t xml:space="preserve">観点到達率</t>
  </si>
  <si>
    <t xml:space="preserve">観点別学習状況評価</t>
  </si>
  <si>
    <t xml:space="preserve">総得点</t>
  </si>
  <si>
    <t xml:space="preserve">総得点到達率</t>
  </si>
  <si>
    <t xml:space="preserve">総得点学習状況評価</t>
  </si>
  <si>
    <r>
      <rPr>
        <b val="true"/>
        <sz val="11"/>
        <rFont val="WenQuanYi Zen Hei"/>
        <family val="2"/>
      </rPr>
      <t xml:space="preserve">名前</t>
    </r>
    <r>
      <rPr>
        <b val="true"/>
        <sz val="11"/>
        <rFont val="Noto Sans CJK SC"/>
        <family val="2"/>
        <charset val="1"/>
      </rPr>
      <t xml:space="preserve">/</t>
    </r>
    <r>
      <rPr>
        <b val="true"/>
        <sz val="11"/>
        <rFont val="WenQuanYi Zen Hei"/>
        <family val="2"/>
      </rPr>
      <t xml:space="preserve">配点</t>
    </r>
  </si>
  <si>
    <t xml:space="preserve">欠</t>
  </si>
  <si>
    <t xml:space="preserve">平　均</t>
  </si>
  <si>
    <t xml:space="preserve">Ａの人数</t>
  </si>
  <si>
    <t xml:space="preserve">Ｂの人数</t>
  </si>
  <si>
    <t xml:space="preserve">Ｃの人数</t>
  </si>
  <si>
    <t xml:space="preserve">観点別得点集計表（算数・前期）</t>
  </si>
  <si>
    <t xml:space="preserve">対称な図形</t>
  </si>
  <si>
    <t xml:space="preserve">文字と式</t>
  </si>
  <si>
    <t xml:space="preserve">分数のかけ算</t>
  </si>
  <si>
    <t xml:space="preserve">分数のわり算</t>
  </si>
  <si>
    <t xml:space="preserve">比</t>
  </si>
  <si>
    <t xml:space="preserve">拡大図と縮図</t>
  </si>
  <si>
    <t xml:space="preserve">観点別得点集計表（社会・前期）</t>
  </si>
  <si>
    <t xml:space="preserve">わたしたちの生活と政治</t>
  </si>
  <si>
    <t xml:space="preserve">縄文のむらから古墳のくにへ</t>
  </si>
  <si>
    <t xml:space="preserve">天皇中心の国づくり</t>
  </si>
  <si>
    <t xml:space="preserve">貴族のくらし</t>
  </si>
  <si>
    <t xml:space="preserve">武士の世の中へ</t>
  </si>
  <si>
    <t xml:space="preserve">今に伝わる室町文化</t>
  </si>
  <si>
    <t xml:space="preserve">観点別得点集計表（理科・前期）</t>
  </si>
  <si>
    <t xml:space="preserve">ものが燃えるしくみ</t>
  </si>
  <si>
    <t xml:space="preserve">体のつくりとはたらき</t>
  </si>
  <si>
    <t xml:space="preserve">植物のからだのはたらき</t>
  </si>
  <si>
    <t xml:space="preserve">生き物どうしのかかわり</t>
  </si>
  <si>
    <t xml:space="preserve">月と太陽</t>
  </si>
  <si>
    <t xml:space="preserve">大地のつくり</t>
  </si>
  <si>
    <t xml:space="preserve">観点別得点集計表（英語・前期）</t>
  </si>
  <si>
    <r>
      <rPr>
        <b val="true"/>
        <sz val="11"/>
        <rFont val="HGSｺﾞｼｯｸM"/>
        <family val="3"/>
        <charset val="128"/>
      </rPr>
      <t xml:space="preserve">Unit1 </t>
    </r>
    <r>
      <rPr>
        <b val="true"/>
        <sz val="11"/>
        <rFont val="WenQuanYi Zen Hei"/>
        <family val="2"/>
      </rPr>
      <t xml:space="preserve">自己紹介</t>
    </r>
  </si>
  <si>
    <r>
      <rPr>
        <b val="true"/>
        <sz val="11"/>
        <rFont val="HGSｺﾞｼｯｸM"/>
        <family val="3"/>
        <charset val="128"/>
      </rPr>
      <t xml:space="preserve">Unit2 </t>
    </r>
    <r>
      <rPr>
        <b val="true"/>
        <sz val="11"/>
        <rFont val="WenQuanYi Zen Hei"/>
        <family val="2"/>
      </rPr>
      <t xml:space="preserve">日本の文化</t>
    </r>
  </si>
  <si>
    <r>
      <rPr>
        <b val="true"/>
        <sz val="11"/>
        <rFont val="HGSｺﾞｼｯｸM"/>
        <family val="3"/>
        <charset val="128"/>
      </rPr>
      <t xml:space="preserve">Unit3 </t>
    </r>
    <r>
      <rPr>
        <b val="true"/>
        <sz val="11"/>
        <rFont val="WenQuanYi Zen Hei"/>
        <family val="2"/>
      </rPr>
      <t xml:space="preserve">夏休みの思い出</t>
    </r>
  </si>
  <si>
    <r>
      <rPr>
        <b val="true"/>
        <sz val="11"/>
        <rFont val="Noto Sans CJK SC"/>
        <family val="2"/>
        <charset val="1"/>
      </rPr>
      <t xml:space="preserve">Unit1 </t>
    </r>
    <r>
      <rPr>
        <b val="true"/>
        <sz val="11"/>
        <rFont val="WenQuanYi Zen Hei"/>
        <family val="2"/>
      </rPr>
      <t xml:space="preserve">自己紹介</t>
    </r>
  </si>
  <si>
    <r>
      <rPr>
        <b val="true"/>
        <sz val="11"/>
        <rFont val="Noto Sans CJK SC"/>
        <family val="2"/>
        <charset val="1"/>
      </rPr>
      <t xml:space="preserve">Unit2 </t>
    </r>
    <r>
      <rPr>
        <b val="true"/>
        <sz val="11"/>
        <rFont val="WenQuanYi Zen Hei"/>
        <family val="2"/>
      </rPr>
      <t xml:space="preserve">日本の文化</t>
    </r>
  </si>
  <si>
    <r>
      <rPr>
        <b val="true"/>
        <sz val="11"/>
        <rFont val="Noto Sans CJK SC"/>
        <family val="2"/>
        <charset val="1"/>
      </rPr>
      <t xml:space="preserve">Unit3 </t>
    </r>
    <r>
      <rPr>
        <b val="true"/>
        <sz val="11"/>
        <rFont val="WenQuanYi Zen Hei"/>
        <family val="2"/>
      </rPr>
      <t xml:space="preserve">夏休みの思い出</t>
    </r>
  </si>
  <si>
    <t xml:space="preserve">観点別得点集計表（保健・前期）</t>
  </si>
  <si>
    <t xml:space="preserve">病気の予防</t>
  </si>
  <si>
    <t xml:space="preserve">観点別得点集計表（国語・後期）</t>
  </si>
  <si>
    <t xml:space="preserve">ぼくのブック・ウーマン</t>
  </si>
  <si>
    <t xml:space="preserve">狂言 柿山伏</t>
  </si>
  <si>
    <t xml:space="preserve">『鳥獣戯画』を読む</t>
  </si>
  <si>
    <t xml:space="preserve">海の命</t>
  </si>
  <si>
    <t xml:space="preserve">日本の文字文化</t>
  </si>
  <si>
    <t xml:space="preserve">観点別得点集計表（算数・後期）</t>
  </si>
  <si>
    <t xml:space="preserve">円の面積</t>
  </si>
  <si>
    <t xml:space="preserve">角柱と円柱の体積</t>
  </si>
  <si>
    <t xml:space="preserve">およその面積と体積</t>
  </si>
  <si>
    <t xml:space="preserve">比例と反比例</t>
  </si>
  <si>
    <t xml:space="preserve">並べ方と組み合わせ方</t>
  </si>
  <si>
    <t xml:space="preserve">データの調べ方</t>
  </si>
  <si>
    <t xml:space="preserve">観点別得点集計表（社会・後期）</t>
  </si>
  <si>
    <t xml:space="preserve">戦国の世から天下統一へ</t>
  </si>
  <si>
    <t xml:space="preserve">江戸幕府と政治の安定</t>
  </si>
  <si>
    <t xml:space="preserve">明治の国づくり</t>
  </si>
  <si>
    <t xml:space="preserve">世界に歩み出した日本</t>
  </si>
  <si>
    <t xml:space="preserve">新しい日本、平和な日本へ</t>
  </si>
  <si>
    <t xml:space="preserve">観点別得点集計表（理科・後期）</t>
  </si>
  <si>
    <t xml:space="preserve">てこのはたらき</t>
  </si>
  <si>
    <t xml:space="preserve">電気の利用</t>
  </si>
  <si>
    <t xml:space="preserve">水よう液の性質</t>
  </si>
  <si>
    <t xml:space="preserve">土地のつくりと変化</t>
  </si>
  <si>
    <t xml:space="preserve">人と環境</t>
  </si>
  <si>
    <t xml:space="preserve">観点別得点集計表（英語・後期）</t>
  </si>
  <si>
    <r>
      <rPr>
        <b val="true"/>
        <sz val="11"/>
        <rFont val="HGSｺﾞｼｯｸM"/>
        <family val="3"/>
        <charset val="128"/>
      </rPr>
      <t xml:space="preserve">Unit4 </t>
    </r>
    <r>
      <rPr>
        <b val="true"/>
        <sz val="11"/>
        <rFont val="WenQuanYi Zen Hei"/>
        <family val="2"/>
      </rPr>
      <t xml:space="preserve">行きたい国</t>
    </r>
  </si>
  <si>
    <r>
      <rPr>
        <b val="true"/>
        <sz val="11"/>
        <rFont val="HGSｺﾞｼｯｸM"/>
        <family val="3"/>
        <charset val="128"/>
      </rPr>
      <t xml:space="preserve">Unit5 </t>
    </r>
    <r>
      <rPr>
        <b val="true"/>
        <sz val="11"/>
        <rFont val="WenQuanYi Zen Hei"/>
        <family val="2"/>
      </rPr>
      <t xml:space="preserve">小学校の思い出</t>
    </r>
  </si>
  <si>
    <r>
      <rPr>
        <b val="true"/>
        <sz val="11"/>
        <rFont val="HGSｺﾞｼｯｸM"/>
        <family val="3"/>
        <charset val="128"/>
      </rPr>
      <t xml:space="preserve">Unit6 </t>
    </r>
    <r>
      <rPr>
        <b val="true"/>
        <sz val="11"/>
        <rFont val="WenQuanYi Zen Hei"/>
        <family val="2"/>
      </rPr>
      <t xml:space="preserve">将来の夢</t>
    </r>
  </si>
  <si>
    <r>
      <rPr>
        <b val="true"/>
        <sz val="11"/>
        <rFont val="Noto Sans CJK SC"/>
        <family val="2"/>
        <charset val="1"/>
      </rPr>
      <t xml:space="preserve">Unit4 </t>
    </r>
    <r>
      <rPr>
        <b val="true"/>
        <sz val="11"/>
        <rFont val="WenQuanYi Zen Hei"/>
        <family val="2"/>
      </rPr>
      <t xml:space="preserve">行きたい国</t>
    </r>
  </si>
  <si>
    <r>
      <rPr>
        <b val="true"/>
        <sz val="11"/>
        <rFont val="Noto Sans CJK SC"/>
        <family val="2"/>
        <charset val="1"/>
      </rPr>
      <t xml:space="preserve">Unit5 </t>
    </r>
    <r>
      <rPr>
        <b val="true"/>
        <sz val="11"/>
        <rFont val="WenQuanYi Zen Hei"/>
        <family val="2"/>
      </rPr>
      <t xml:space="preserve">小学校の思い出</t>
    </r>
  </si>
  <si>
    <r>
      <rPr>
        <b val="true"/>
        <sz val="11"/>
        <rFont val="Noto Sans CJK SC"/>
        <family val="2"/>
        <charset val="1"/>
      </rPr>
      <t xml:space="preserve">Unit6 </t>
    </r>
    <r>
      <rPr>
        <b val="true"/>
        <sz val="11"/>
        <rFont val="WenQuanYi Zen Hei"/>
        <family val="2"/>
      </rPr>
      <t xml:space="preserve">将来の夢</t>
    </r>
  </si>
  <si>
    <t xml:space="preserve">観点別得点集計表（保健・後期）</t>
  </si>
  <si>
    <t xml:space="preserve">喫煙・飲酒・薬物乱用の害</t>
  </si>
  <si>
    <r>
      <rPr>
        <b val="true"/>
        <sz val="14"/>
        <rFont val="HGSｺﾞｼｯｸM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年間の観点別到達率と評価（前期と後期の到達率の平均）</t>
    </r>
  </si>
  <si>
    <t xml:space="preserve">知識・技能
到達率</t>
  </si>
  <si>
    <t xml:space="preserve">知識・技能
評価</t>
  </si>
  <si>
    <t xml:space="preserve">思考・判断
・表現
到達率</t>
  </si>
  <si>
    <t xml:space="preserve">思考・判断
・表現
評価</t>
  </si>
  <si>
    <t xml:space="preserve">観点別学習状況評価　全教科まとめ（前期）</t>
  </si>
  <si>
    <t xml:space="preserve">知識・
技能</t>
  </si>
  <si>
    <t xml:space="preserve">思考・
判断・
表現</t>
  </si>
  <si>
    <t xml:space="preserve">観点別学習状況評価　全教科まとめ（後期）</t>
  </si>
  <si>
    <t xml:space="preserve">個人成績表</t>
  </si>
  <si>
    <t xml:space="preserve">出席番号</t>
  </si>
  <si>
    <t xml:space="preserve">← 番号を入れてください</t>
  </si>
  <si>
    <t xml:space="preserve">【前期】</t>
  </si>
  <si>
    <t xml:space="preserve">得点</t>
  </si>
  <si>
    <t xml:space="preserve">満点</t>
  </si>
  <si>
    <t xml:space="preserve">到達率
（％）</t>
  </si>
  <si>
    <t xml:space="preserve">評価</t>
  </si>
  <si>
    <t xml:space="preserve">【後期】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</si>
</sst>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sz val="11"/>
      <name val="HGSｺﾞｼｯｸM"/>
      <family val="0"/>
      <charset val="1"/>
    </font>
    <font>
      <sz val="11"/>
      <name val="WenQuanYi Zen Hei"/>
      <family val="2"/>
    </font>
    <font>
      <b val="true"/>
      <sz val="14"/>
      <name val="WenQuanYi Zen Hei"/>
      <family val="2"/>
    </font>
    <font>
      <sz val="11"/>
      <color theme="1"/>
      <name val="HGSｺﾞｼｯｸM"/>
      <family val="3"/>
      <charset val="128"/>
    </font>
    <font>
      <b val="true"/>
      <sz val="11"/>
      <name val="Noto Sans CJK SC"/>
      <family val="2"/>
      <charset val="1"/>
    </font>
    <font>
      <b val="true"/>
      <sz val="11"/>
      <name val="HGSｺﾞｼｯｸM"/>
      <family val="3"/>
      <charset val="128"/>
    </font>
    <font>
      <sz val="11"/>
      <name val="HGSｺﾞｼｯｸM"/>
      <family val="3"/>
      <charset val="128"/>
    </font>
    <font>
      <b val="true"/>
      <sz val="14"/>
      <name val="HGSｺﾞｼｯｸM"/>
      <family val="0"/>
      <charset val="1"/>
    </font>
    <font>
      <b val="true"/>
      <sz val="16"/>
      <name val="WenQuanYi Zen Hei"/>
      <family val="2"/>
    </font>
    <font>
      <sz val="9"/>
      <name val="WenQuanYi Zen Hei"/>
      <family val="2"/>
    </font>
    <font>
      <b val="true"/>
      <sz val="12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FEE6E7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DCE6F1"/>
        <bgColor rgb="FFDBEEF4"/>
      </patternFill>
    </fill>
    <fill>
      <patternFill patternType="solid">
        <fgColor theme="9" tint="0.7999"/>
        <bgColor rgb="FFFEE6E7"/>
      </patternFill>
    </fill>
    <fill>
      <patternFill patternType="solid">
        <fgColor theme="6" tint="0.7998"/>
        <bgColor rgb="FFFDEADA"/>
      </patternFill>
    </fill>
    <fill>
      <patternFill patternType="solid">
        <fgColor theme="7" tint="0.7998"/>
        <bgColor rgb="FFDCE6F1"/>
      </patternFill>
    </fill>
    <fill>
      <patternFill patternType="solid">
        <fgColor theme="8" tint="0.7998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2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4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5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6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7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255" wrapText="true" indent="0" shrinkToFit="false"/>
      <protection locked="false" hidden="false"/>
    </xf>
    <xf numFmtId="164" fontId="4" fillId="8" borderId="1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ＭＳ Ｐゴシック"/>
        <charset val="1"/>
        <family val="0"/>
        <b val="1"/>
        <color rgb="FFFF0000"/>
        <sz val="11"/>
      </font>
    </dxf>
    <dxf>
      <font>
        <name val="ＭＳ Ｐゴシック"/>
        <charset val="1"/>
        <family val="0"/>
        <b val="1"/>
        <color rgb="FF000000"/>
        <sz val="11"/>
      </font>
    </dxf>
    <dxf>
      <font>
        <name val="ＭＳ Ｐゴシック"/>
        <charset val="1"/>
        <family val="0"/>
        <b val="1"/>
        <color rgb="FF0000FF"/>
        <sz val="11"/>
      </font>
    </dxf>
    <dxf>
      <fill>
        <patternFill>
          <bgColor rgb="FFFFF2CC"/>
        </patternFill>
      </fill>
    </dxf>
    <dxf>
      <fill>
        <patternFill>
          <bgColor rgb="FFD9D9D9"/>
        </patternFill>
      </fill>
    </dxf>
    <dxf>
      <font>
        <color rgb="FFFF0000"/>
      </font>
    </dxf>
    <dxf>
      <font>
        <color rgb="FF000000"/>
      </font>
    </dxf>
    <dxf>
      <font>
        <color rgb="FF0000FF"/>
      </font>
    </dxf>
    <dxf>
      <fill>
        <patternFill>
          <bgColor rgb="FFFFF2CC"/>
        </patternFill>
      </fill>
    </dxf>
  </dxfs>
  <colors>
    <indexedColors>
      <rgbColor rgb="FF000000"/>
      <rgbColor rgb="FFEBF1D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6E0EC"/>
      <rgbColor rgb="FFFDEADA"/>
      <rgbColor rgb="FF99CCFF"/>
      <rgbColor rgb="FFFF99CC"/>
      <rgbColor rgb="FFCC99FF"/>
      <rgbColor rgb="FFFEE6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n">
        <v>1</v>
      </c>
      <c r="B3" s="4" t="s">
        <v>3</v>
      </c>
    </row>
    <row r="4" customFormat="false" ht="15" hidden="false" customHeight="false" outlineLevel="0" collapsed="false">
      <c r="A4" s="3" t="n">
        <v>2</v>
      </c>
      <c r="B4" s="4" t="s">
        <v>4</v>
      </c>
    </row>
    <row r="5" customFormat="false" ht="15" hidden="false" customHeight="false" outlineLevel="0" collapsed="false">
      <c r="A5" s="3" t="n">
        <v>3</v>
      </c>
      <c r="B5" s="4" t="s">
        <v>5</v>
      </c>
    </row>
    <row r="6" customFormat="false" ht="15" hidden="false" customHeight="false" outlineLevel="0" collapsed="false">
      <c r="A6" s="3" t="n">
        <v>4</v>
      </c>
      <c r="B6" s="4" t="s">
        <v>6</v>
      </c>
    </row>
    <row r="7" customFormat="false" ht="15" hidden="false" customHeight="false" outlineLevel="0" collapsed="false">
      <c r="A7" s="3" t="n">
        <v>5</v>
      </c>
      <c r="B7" s="4" t="s">
        <v>7</v>
      </c>
    </row>
    <row r="8" customFormat="false" ht="15" hidden="false" customHeight="false" outlineLevel="0" collapsed="false">
      <c r="A8" s="3" t="n">
        <v>6</v>
      </c>
      <c r="B8" s="4" t="s">
        <v>8</v>
      </c>
    </row>
    <row r="9" customFormat="false" ht="15" hidden="false" customHeight="false" outlineLevel="0" collapsed="false">
      <c r="A9" s="3" t="n">
        <v>7</v>
      </c>
      <c r="B9" s="4" t="s">
        <v>9</v>
      </c>
    </row>
    <row r="10" customFormat="false" ht="15" hidden="false" customHeight="false" outlineLevel="0" collapsed="false">
      <c r="A10" s="3" t="n">
        <v>8</v>
      </c>
      <c r="B10" s="4" t="s">
        <v>10</v>
      </c>
    </row>
    <row r="11" customFormat="false" ht="15" hidden="false" customHeight="false" outlineLevel="0" collapsed="false">
      <c r="A11" s="3" t="n">
        <v>9</v>
      </c>
      <c r="B11" s="4" t="s">
        <v>11</v>
      </c>
    </row>
    <row r="12" customFormat="false" ht="15" hidden="false" customHeight="false" outlineLevel="0" collapsed="false">
      <c r="A12" s="3" t="n">
        <v>10</v>
      </c>
      <c r="B12" s="4" t="s">
        <v>12</v>
      </c>
    </row>
    <row r="13" customFormat="false" ht="15" hidden="false" customHeight="false" outlineLevel="0" collapsed="false">
      <c r="A13" s="3" t="n">
        <v>11</v>
      </c>
      <c r="B13" s="4" t="s">
        <v>13</v>
      </c>
    </row>
    <row r="14" customFormat="false" ht="15" hidden="false" customHeight="false" outlineLevel="0" collapsed="false">
      <c r="A14" s="3" t="n">
        <v>12</v>
      </c>
      <c r="B14" s="4" t="s">
        <v>14</v>
      </c>
    </row>
    <row r="15" customFormat="false" ht="15" hidden="false" customHeight="false" outlineLevel="0" collapsed="false">
      <c r="A15" s="3" t="n">
        <v>13</v>
      </c>
      <c r="B15" s="4" t="s">
        <v>15</v>
      </c>
    </row>
    <row r="16" customFormat="false" ht="15" hidden="false" customHeight="false" outlineLevel="0" collapsed="false">
      <c r="A16" s="3" t="n">
        <v>14</v>
      </c>
      <c r="B16" s="4" t="s">
        <v>16</v>
      </c>
    </row>
    <row r="17" customFormat="false" ht="15" hidden="false" customHeight="false" outlineLevel="0" collapsed="false">
      <c r="A17" s="3" t="n">
        <v>15</v>
      </c>
      <c r="B17" s="4" t="s">
        <v>17</v>
      </c>
    </row>
    <row r="18" customFormat="false" ht="15" hidden="false" customHeight="false" outlineLevel="0" collapsed="false">
      <c r="A18" s="3" t="n">
        <v>16</v>
      </c>
      <c r="B18" s="4" t="s">
        <v>18</v>
      </c>
    </row>
    <row r="19" customFormat="false" ht="15" hidden="false" customHeight="false" outlineLevel="0" collapsed="false">
      <c r="A19" s="3" t="n">
        <v>17</v>
      </c>
      <c r="B19" s="4" t="s">
        <v>19</v>
      </c>
    </row>
    <row r="20" customFormat="false" ht="15" hidden="false" customHeight="false" outlineLevel="0" collapsed="false">
      <c r="A20" s="3" t="n">
        <v>18</v>
      </c>
      <c r="B20" s="4" t="s">
        <v>20</v>
      </c>
    </row>
    <row r="21" customFormat="false" ht="15" hidden="false" customHeight="false" outlineLevel="0" collapsed="false">
      <c r="A21" s="3" t="n">
        <v>19</v>
      </c>
      <c r="B21" s="4" t="s">
        <v>21</v>
      </c>
    </row>
    <row r="22" customFormat="false" ht="15" hidden="false" customHeight="false" outlineLevel="0" collapsed="false">
      <c r="A22" s="3" t="n">
        <v>20</v>
      </c>
      <c r="B22" s="4" t="s">
        <v>22</v>
      </c>
    </row>
    <row r="23" customFormat="false" ht="15" hidden="false" customHeight="false" outlineLevel="0" collapsed="false">
      <c r="A23" s="3" t="n">
        <v>21</v>
      </c>
      <c r="B23" s="4" t="s">
        <v>23</v>
      </c>
    </row>
    <row r="24" customFormat="false" ht="15" hidden="false" customHeight="false" outlineLevel="0" collapsed="false">
      <c r="A24" s="3" t="n">
        <v>22</v>
      </c>
      <c r="B24" s="4" t="s">
        <v>24</v>
      </c>
    </row>
    <row r="25" customFormat="false" ht="15" hidden="false" customHeight="false" outlineLevel="0" collapsed="false">
      <c r="A25" s="3" t="n">
        <v>23</v>
      </c>
      <c r="B25" s="4" t="s">
        <v>25</v>
      </c>
    </row>
    <row r="26" customFormat="false" ht="15" hidden="false" customHeight="false" outlineLevel="0" collapsed="false">
      <c r="A26" s="3" t="n">
        <v>24</v>
      </c>
      <c r="B26" s="4" t="s">
        <v>26</v>
      </c>
    </row>
    <row r="27" customFormat="false" ht="15" hidden="false" customHeight="false" outlineLevel="0" collapsed="false">
      <c r="A27" s="3" t="n">
        <v>25</v>
      </c>
      <c r="B27" s="4" t="s">
        <v>27</v>
      </c>
    </row>
    <row r="28" customFormat="false" ht="15" hidden="false" customHeight="false" outlineLevel="0" collapsed="false">
      <c r="A28" s="3" t="n">
        <v>26</v>
      </c>
      <c r="B28" s="4" t="s">
        <v>28</v>
      </c>
    </row>
    <row r="29" customFormat="false" ht="15" hidden="false" customHeight="false" outlineLevel="0" collapsed="false">
      <c r="A29" s="3" t="n">
        <v>27</v>
      </c>
      <c r="B29" s="4" t="s">
        <v>29</v>
      </c>
    </row>
    <row r="30" customFormat="false" ht="15" hidden="false" customHeight="false" outlineLevel="0" collapsed="false">
      <c r="A30" s="3" t="n">
        <v>28</v>
      </c>
      <c r="B30" s="4" t="s">
        <v>30</v>
      </c>
    </row>
    <row r="31" customFormat="false" ht="15" hidden="false" customHeight="false" outlineLevel="0" collapsed="false">
      <c r="A31" s="3" t="n">
        <v>29</v>
      </c>
      <c r="B31" s="4" t="s">
        <v>31</v>
      </c>
    </row>
    <row r="32" customFormat="false" ht="15" hidden="false" customHeight="false" outlineLevel="0" collapsed="false">
      <c r="A32" s="3" t="n">
        <v>30</v>
      </c>
      <c r="B32" s="4" t="s">
        <v>32</v>
      </c>
    </row>
    <row r="33" customFormat="false" ht="15" hidden="false" customHeight="false" outlineLevel="0" collapsed="false">
      <c r="A33" s="3" t="n">
        <v>31</v>
      </c>
      <c r="B33" s="4" t="s">
        <v>33</v>
      </c>
    </row>
    <row r="34" customFormat="false" ht="15" hidden="false" customHeight="false" outlineLevel="0" collapsed="false">
      <c r="A34" s="3" t="n">
        <v>32</v>
      </c>
      <c r="B34" s="4" t="s">
        <v>34</v>
      </c>
    </row>
    <row r="35" customFormat="false" ht="15" hidden="false" customHeight="false" outlineLevel="0" collapsed="false">
      <c r="A35" s="3" t="n">
        <v>33</v>
      </c>
      <c r="B35" s="4" t="s">
        <v>35</v>
      </c>
    </row>
    <row r="36" customFormat="false" ht="15" hidden="false" customHeight="false" outlineLevel="0" collapsed="false">
      <c r="A36" s="3" t="n">
        <v>34</v>
      </c>
      <c r="B36" s="4" t="s">
        <v>36</v>
      </c>
    </row>
    <row r="37" customFormat="false" ht="15" hidden="false" customHeight="false" outlineLevel="0" collapsed="false">
      <c r="A37" s="3" t="n">
        <v>35</v>
      </c>
      <c r="B37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5" t="s">
        <v>38</v>
      </c>
    </row>
    <row r="5" customFormat="false" ht="15" hidden="false" customHeight="false" outlineLevel="0" collapsed="false">
      <c r="A5" s="1" t="s">
        <v>39</v>
      </c>
    </row>
    <row r="6" customFormat="false" ht="15" hidden="false" customHeight="false" outlineLevel="0" collapsed="false">
      <c r="A6" s="2" t="s">
        <v>40</v>
      </c>
      <c r="B6" s="2" t="s">
        <v>41</v>
      </c>
      <c r="C6" s="2" t="s">
        <v>42</v>
      </c>
    </row>
    <row r="7" customFormat="false" ht="15" hidden="false" customHeight="false" outlineLevel="0" collapsed="false">
      <c r="A7" s="6" t="s">
        <v>43</v>
      </c>
      <c r="B7" s="7" t="n">
        <v>90</v>
      </c>
      <c r="C7" s="7" t="n">
        <v>60</v>
      </c>
    </row>
    <row r="8" customFormat="false" ht="31.5" hidden="false" customHeight="true" outlineLevel="0" collapsed="false">
      <c r="A8" s="8" t="s">
        <v>44</v>
      </c>
      <c r="B8" s="8"/>
      <c r="C8" s="8"/>
      <c r="D8" s="8"/>
      <c r="E8" s="8"/>
    </row>
    <row r="10" customFormat="false" ht="36" hidden="false" customHeight="true" outlineLevel="0" collapsed="false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customFormat="false" ht="15" hidden="false" customHeight="false" outlineLevel="0" collapsed="false">
      <c r="A11" s="6" t="s">
        <v>50</v>
      </c>
      <c r="B11" s="7"/>
      <c r="C11" s="7"/>
      <c r="D11" s="3" t="n">
        <f aca="false">IF(B11="",$B$7,B11)</f>
        <v>90</v>
      </c>
      <c r="E11" s="3" t="n">
        <f aca="false">IF(C11="",$C$7,C11)</f>
        <v>60</v>
      </c>
    </row>
    <row r="12" customFormat="false" ht="15" hidden="false" customHeight="false" outlineLevel="0" collapsed="false">
      <c r="A12" s="6" t="s">
        <v>51</v>
      </c>
      <c r="B12" s="7" t="n">
        <v>85</v>
      </c>
      <c r="C12" s="7" t="n">
        <v>55</v>
      </c>
      <c r="D12" s="3" t="n">
        <f aca="false">IF(B12="",$B$7,B12)</f>
        <v>85</v>
      </c>
      <c r="E12" s="3" t="n">
        <f aca="false">IF(C12="",$C$7,C12)</f>
        <v>55</v>
      </c>
    </row>
    <row r="13" customFormat="false" ht="15" hidden="false" customHeight="false" outlineLevel="0" collapsed="false">
      <c r="A13" s="6" t="s">
        <v>52</v>
      </c>
      <c r="B13" s="7"/>
      <c r="C13" s="7"/>
      <c r="D13" s="3" t="n">
        <f aca="false">IF(B13="",$B$7,B13)</f>
        <v>90</v>
      </c>
      <c r="E13" s="3" t="n">
        <f aca="false">IF(C13="",$C$7,C13)</f>
        <v>60</v>
      </c>
    </row>
    <row r="14" customFormat="false" ht="15" hidden="false" customHeight="false" outlineLevel="0" collapsed="false">
      <c r="A14" s="6" t="s">
        <v>53</v>
      </c>
      <c r="B14" s="7"/>
      <c r="C14" s="7"/>
      <c r="D14" s="3" t="n">
        <f aca="false">IF(B14="",$B$7,B14)</f>
        <v>90</v>
      </c>
      <c r="E14" s="3" t="n">
        <f aca="false">IF(C14="",$C$7,C14)</f>
        <v>60</v>
      </c>
    </row>
    <row r="15" customFormat="false" ht="15" hidden="false" customHeight="false" outlineLevel="0" collapsed="false">
      <c r="A15" s="6" t="s">
        <v>54</v>
      </c>
      <c r="B15" s="7"/>
      <c r="C15" s="7"/>
      <c r="D15" s="3" t="n">
        <f aca="false">IF(B15="",$B$7,B15)</f>
        <v>90</v>
      </c>
      <c r="E15" s="3" t="n">
        <f aca="false">IF(C15="",$C$7,C15)</f>
        <v>60</v>
      </c>
    </row>
    <row r="16" customFormat="false" ht="15" hidden="false" customHeight="false" outlineLevel="0" collapsed="false">
      <c r="A16" s="6" t="s">
        <v>55</v>
      </c>
      <c r="B16" s="7"/>
      <c r="C16" s="7"/>
      <c r="D16" s="3" t="n">
        <f aca="false">IF(B16="",$B$7,B16)</f>
        <v>90</v>
      </c>
      <c r="E16" s="3" t="n">
        <f aca="false">IF(C16="",$C$7,C16)</f>
        <v>60</v>
      </c>
    </row>
    <row r="17" customFormat="false" ht="15" hidden="false" customHeight="false" outlineLevel="0" collapsed="false">
      <c r="A17" s="9" t="s">
        <v>56</v>
      </c>
    </row>
    <row r="18" customFormat="false" ht="15" hidden="false" customHeight="false" outlineLevel="0" collapsed="false">
      <c r="A18" s="9" t="s">
        <v>57</v>
      </c>
    </row>
    <row r="19" customFormat="false" ht="15" hidden="false" customHeight="false" outlineLevel="0" collapsed="false">
      <c r="A19" s="10" t="s">
        <v>58</v>
      </c>
    </row>
    <row r="20" customFormat="false" ht="15" hidden="false" customHeight="false" outlineLevel="0" collapsed="false">
      <c r="A20" s="9" t="s">
        <v>59</v>
      </c>
    </row>
    <row r="21" customFormat="false" ht="15" hidden="false" customHeight="false" outlineLevel="0" collapsed="false">
      <c r="A21" s="9" t="s">
        <v>60</v>
      </c>
    </row>
  </sheetData>
  <mergeCells count="1">
    <mergeCell ref="A8:E8"/>
  </mergeCells>
  <dataValidations count="1">
    <dataValidation allowBlank="true" error="0から100までの数を入力してください。" errorStyle="stop" errorTitle="入力エラー" operator="between" showDropDown="false" showErrorMessage="true" showInputMessage="false" sqref="B7:C7 B11:C16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N18" activeCellId="0" sqref="N18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="13" customFormat="true" ht="19.5" hidden="false" customHeight="true" outlineLevel="0" collapsed="false">
      <c r="A2" s="2" t="s">
        <v>62</v>
      </c>
      <c r="B2" s="2"/>
      <c r="C2" s="2" t="s">
        <v>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64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65</v>
      </c>
      <c r="AE2" s="2"/>
      <c r="AF2" s="2"/>
    </row>
    <row r="3" s="13" customFormat="true" ht="178.5" hidden="false" customHeight="true" outlineLevel="0" collapsed="false">
      <c r="A3" s="2" t="s">
        <v>66</v>
      </c>
      <c r="B3" s="2"/>
      <c r="C3" s="14" t="s">
        <v>67</v>
      </c>
      <c r="D3" s="14" t="s">
        <v>68</v>
      </c>
      <c r="E3" s="14" t="s">
        <v>69</v>
      </c>
      <c r="F3" s="14" t="s">
        <v>70</v>
      </c>
      <c r="G3" s="14" t="s">
        <v>71</v>
      </c>
      <c r="H3" s="14" t="s">
        <v>72</v>
      </c>
      <c r="I3" s="14"/>
      <c r="J3" s="14"/>
      <c r="K3" s="14"/>
      <c r="L3" s="14"/>
      <c r="M3" s="14"/>
      <c r="N3" s="15" t="s">
        <v>73</v>
      </c>
      <c r="O3" s="15" t="s">
        <v>74</v>
      </c>
      <c r="P3" s="15" t="s">
        <v>75</v>
      </c>
      <c r="Q3" s="14" t="s">
        <v>67</v>
      </c>
      <c r="R3" s="14" t="s">
        <v>68</v>
      </c>
      <c r="S3" s="14" t="s">
        <v>69</v>
      </c>
      <c r="T3" s="14" t="s">
        <v>70</v>
      </c>
      <c r="U3" s="14" t="s">
        <v>71</v>
      </c>
      <c r="V3" s="14" t="s">
        <v>72</v>
      </c>
      <c r="W3" s="14"/>
      <c r="X3" s="14"/>
      <c r="Y3" s="14"/>
      <c r="Z3" s="14"/>
      <c r="AA3" s="15" t="s">
        <v>73</v>
      </c>
      <c r="AB3" s="15" t="s">
        <v>74</v>
      </c>
      <c r="AC3" s="15" t="s">
        <v>75</v>
      </c>
      <c r="AD3" s="15" t="s">
        <v>76</v>
      </c>
      <c r="AE3" s="15" t="s">
        <v>77</v>
      </c>
      <c r="AF3" s="15" t="s">
        <v>78</v>
      </c>
    </row>
    <row r="4" s="13" customFormat="true" ht="21.75" hidden="false" customHeight="true" outlineLevel="0" collapsed="false">
      <c r="A4" s="2" t="s">
        <v>1</v>
      </c>
      <c r="B4" s="2" t="s">
        <v>79</v>
      </c>
      <c r="C4" s="16" t="n">
        <v>50</v>
      </c>
      <c r="D4" s="16" t="n">
        <v>50</v>
      </c>
      <c r="E4" s="16" t="n">
        <v>50</v>
      </c>
      <c r="F4" s="16" t="n">
        <v>50</v>
      </c>
      <c r="G4" s="16" t="n">
        <v>50</v>
      </c>
      <c r="H4" s="16" t="n">
        <v>50</v>
      </c>
      <c r="I4" s="16"/>
      <c r="J4" s="16"/>
      <c r="K4" s="16"/>
      <c r="L4" s="16"/>
      <c r="M4" s="16"/>
      <c r="N4" s="2" t="n">
        <f aca="false">SUM(C4:M4)</f>
        <v>300</v>
      </c>
      <c r="O4" s="2"/>
      <c r="P4" s="2"/>
      <c r="Q4" s="16" t="n">
        <v>50</v>
      </c>
      <c r="R4" s="16" t="n">
        <v>50</v>
      </c>
      <c r="S4" s="16" t="n">
        <v>50</v>
      </c>
      <c r="T4" s="16" t="n">
        <v>50</v>
      </c>
      <c r="U4" s="16" t="n">
        <v>50</v>
      </c>
      <c r="V4" s="16" t="n">
        <v>50</v>
      </c>
      <c r="W4" s="16"/>
      <c r="X4" s="16"/>
      <c r="Y4" s="16"/>
      <c r="Z4" s="16"/>
      <c r="AA4" s="2" t="n">
        <f aca="false">SUM(Q4:Z4)</f>
        <v>300</v>
      </c>
      <c r="AB4" s="2"/>
      <c r="AC4" s="2"/>
      <c r="AD4" s="2" t="n">
        <f aca="false">N4+AA4</f>
        <v>600</v>
      </c>
      <c r="AE4" s="2"/>
      <c r="AF4" s="2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50</v>
      </c>
      <c r="D5" s="19" t="n">
        <v>49</v>
      </c>
      <c r="E5" s="19" t="n">
        <v>50</v>
      </c>
      <c r="F5" s="19" t="n">
        <v>50</v>
      </c>
      <c r="G5" s="19" t="n">
        <v>50</v>
      </c>
      <c r="H5" s="19" t="n">
        <v>50</v>
      </c>
      <c r="I5" s="19"/>
      <c r="J5" s="19"/>
      <c r="K5" s="19"/>
      <c r="L5" s="19"/>
      <c r="M5" s="19"/>
      <c r="N5" s="17" t="n">
        <f aca="false">IF(COUNT(C5:M5)=0,"",SUM(C5:M5))</f>
        <v>299</v>
      </c>
      <c r="O5" s="17" t="n">
        <f aca="false">IF(OR(N5="",$N$4-SUMIF(C5:M5,"欠",$C$4:$M$4)&lt;=0),"",ROUND(N5/($N$4-SUMIF(C5:M5,"欠",$C$4:$M$4))*100,0))</f>
        <v>100</v>
      </c>
      <c r="P5" s="17" t="str">
        <f aca="false">IF(O5="","",IF(O5&gt;=設定!$D$11,"A",IF(O5&gt;=設定!$E$11,"B","C")))</f>
        <v>A</v>
      </c>
      <c r="Q5" s="19" t="n">
        <v>48</v>
      </c>
      <c r="R5" s="19" t="n">
        <v>50</v>
      </c>
      <c r="S5" s="19" t="n">
        <v>49</v>
      </c>
      <c r="T5" s="19" t="n">
        <v>50</v>
      </c>
      <c r="U5" s="19" t="n">
        <v>49</v>
      </c>
      <c r="V5" s="19" t="n">
        <v>50</v>
      </c>
      <c r="W5" s="19"/>
      <c r="X5" s="19"/>
      <c r="Y5" s="19"/>
      <c r="Z5" s="19"/>
      <c r="AA5" s="17" t="n">
        <f aca="false">IF(COUNT(Q5:Z5)=0,"",SUM(Q5:Z5))</f>
        <v>296</v>
      </c>
      <c r="AB5" s="17" t="n">
        <f aca="false">IF(OR(AA5="",$AA$4-SUMIF(Q5:Z5,"欠",$Q$4:$Z$4)&lt;=0),"",ROUND(AA5/($AA$4-SUMIF(Q5:Z5,"欠",$Q$4:$Z$4))*100,0))</f>
        <v>99</v>
      </c>
      <c r="AC5" s="17" t="str">
        <f aca="false">IF(AB5="","",IF(AB5&gt;=設定!$D$11,"A",IF(AB5&gt;=設定!$E$11,"B","C")))</f>
        <v>A</v>
      </c>
      <c r="AD5" s="17" t="n">
        <f aca="false">IF(AND(N5="",AA5=""),"",IF(N5="",0,N5)+IF(AA5="",0,AA5))</f>
        <v>595</v>
      </c>
      <c r="AE5" s="17" t="n">
        <f aca="false">IF(AD5="","",IF($AD$4-SUMIF(C5:M5,"欠",$C$4:$M$4)-SUMIF(Q5:Z5,"欠",$Q$4:$Z$4)&lt;=0,"",ROUND(AD5/($AD$4-SUMIF(C5:M5,"欠",$C$4:$M$4)-SUMIF(Q5:Z5,"欠",$Q$4:$Z$4))*100,0)))</f>
        <v>99</v>
      </c>
      <c r="AF5" s="17" t="str">
        <f aca="false">IF(AE5="","",IF(AE5&gt;=設定!$D$11,"A",IF(AE5&gt;=設定!$E$11,"B","C")))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47</v>
      </c>
      <c r="D6" s="19" t="n">
        <v>38</v>
      </c>
      <c r="E6" s="19" t="n">
        <v>36</v>
      </c>
      <c r="F6" s="19" t="n">
        <v>42</v>
      </c>
      <c r="G6" s="19" t="n">
        <v>47</v>
      </c>
      <c r="H6" s="19" t="n">
        <v>47</v>
      </c>
      <c r="I6" s="19"/>
      <c r="J6" s="19"/>
      <c r="K6" s="19"/>
      <c r="L6" s="19"/>
      <c r="M6" s="19"/>
      <c r="N6" s="17" t="n">
        <f aca="false">IF(COUNT(C6:M6)=0,"",SUM(C6:M6))</f>
        <v>257</v>
      </c>
      <c r="O6" s="17" t="n">
        <f aca="false">IF(OR(N6="",$N$4-SUMIF(C6:M6,"欠",$C$4:$M$4)&lt;=0),"",ROUND(N6/($N$4-SUMIF(C6:M6,"欠",$C$4:$M$4))*100,0))</f>
        <v>86</v>
      </c>
      <c r="P6" s="17" t="str">
        <f aca="false">IF(O6="","",IF(O6&gt;=設定!$D$11,"A",IF(O6&gt;=設定!$E$11,"B","C")))</f>
        <v>B</v>
      </c>
      <c r="Q6" s="19" t="n">
        <v>41</v>
      </c>
      <c r="R6" s="19" t="n">
        <v>33</v>
      </c>
      <c r="S6" s="19" t="n">
        <v>43</v>
      </c>
      <c r="T6" s="19" t="n">
        <v>33</v>
      </c>
      <c r="U6" s="19" t="n">
        <v>34</v>
      </c>
      <c r="V6" s="19" t="n">
        <v>35</v>
      </c>
      <c r="W6" s="19"/>
      <c r="X6" s="19"/>
      <c r="Y6" s="19"/>
      <c r="Z6" s="19"/>
      <c r="AA6" s="17" t="n">
        <f aca="false">IF(COUNT(Q6:Z6)=0,"",SUM(Q6:Z6))</f>
        <v>219</v>
      </c>
      <c r="AB6" s="17" t="n">
        <f aca="false">IF(OR(AA6="",$AA$4-SUMIF(Q6:Z6,"欠",$Q$4:$Z$4)&lt;=0),"",ROUND(AA6/($AA$4-SUMIF(Q6:Z6,"欠",$Q$4:$Z$4))*100,0))</f>
        <v>73</v>
      </c>
      <c r="AC6" s="17" t="str">
        <f aca="false">IF(AB6="","",IF(AB6&gt;=設定!$D$11,"A",IF(AB6&gt;=設定!$E$11,"B","C")))</f>
        <v>B</v>
      </c>
      <c r="AD6" s="17" t="n">
        <f aca="false">IF(AND(N6="",AA6=""),"",IF(N6="",0,N6)+IF(AA6="",0,AA6))</f>
        <v>476</v>
      </c>
      <c r="AE6" s="17" t="n">
        <f aca="false">IF(AD6="","",IF($AD$4-SUMIF(C6:M6,"欠",$C$4:$M$4)-SUMIF(Q6:Z6,"欠",$Q$4:$Z$4)&lt;=0,"",ROUND(AD6/($AD$4-SUMIF(C6:M6,"欠",$C$4:$M$4)-SUMIF(Q6:Z6,"欠",$Q$4:$Z$4))*100,0)))</f>
        <v>79</v>
      </c>
      <c r="AF6" s="17" t="str">
        <f aca="false">IF(AE6="","",IF(AE6&gt;=設定!$D$11,"A",IF(AE6&gt;=設定!$E$11,"B","C")))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45</v>
      </c>
      <c r="D7" s="19" t="n">
        <v>42</v>
      </c>
      <c r="E7" s="19" t="n">
        <v>47</v>
      </c>
      <c r="F7" s="19" t="n">
        <v>50</v>
      </c>
      <c r="G7" s="19" t="n">
        <v>39</v>
      </c>
      <c r="H7" s="19" t="n">
        <v>50</v>
      </c>
      <c r="I7" s="19"/>
      <c r="J7" s="19"/>
      <c r="K7" s="19"/>
      <c r="L7" s="19"/>
      <c r="M7" s="19"/>
      <c r="N7" s="17" t="n">
        <f aca="false">IF(COUNT(C7:M7)=0,"",SUM(C7:M7))</f>
        <v>273</v>
      </c>
      <c r="O7" s="17" t="n">
        <f aca="false">IF(OR(N7="",$N$4-SUMIF(C7:M7,"欠",$C$4:$M$4)&lt;=0),"",ROUND(N7/($N$4-SUMIF(C7:M7,"欠",$C$4:$M$4))*100,0))</f>
        <v>91</v>
      </c>
      <c r="P7" s="17" t="str">
        <f aca="false">IF(O7="","",IF(O7&gt;=設定!$D$11,"A",IF(O7&gt;=設定!$E$11,"B","C")))</f>
        <v>A</v>
      </c>
      <c r="Q7" s="19" t="n">
        <v>38</v>
      </c>
      <c r="R7" s="19" t="n">
        <v>37</v>
      </c>
      <c r="S7" s="19" t="n">
        <v>41</v>
      </c>
      <c r="T7" s="19" t="n">
        <v>41</v>
      </c>
      <c r="U7" s="19" t="n">
        <v>42</v>
      </c>
      <c r="V7" s="19" t="n">
        <v>47</v>
      </c>
      <c r="W7" s="19"/>
      <c r="X7" s="19"/>
      <c r="Y7" s="19"/>
      <c r="Z7" s="19"/>
      <c r="AA7" s="17" t="n">
        <f aca="false">IF(COUNT(Q7:Z7)=0,"",SUM(Q7:Z7))</f>
        <v>246</v>
      </c>
      <c r="AB7" s="17" t="n">
        <f aca="false">IF(OR(AA7="",$AA$4-SUMIF(Q7:Z7,"欠",$Q$4:$Z$4)&lt;=0),"",ROUND(AA7/($AA$4-SUMIF(Q7:Z7,"欠",$Q$4:$Z$4))*100,0))</f>
        <v>82</v>
      </c>
      <c r="AC7" s="17" t="str">
        <f aca="false">IF(AB7="","",IF(AB7&gt;=設定!$D$11,"A",IF(AB7&gt;=設定!$E$11,"B","C")))</f>
        <v>B</v>
      </c>
      <c r="AD7" s="17" t="n">
        <f aca="false">IF(AND(N7="",AA7=""),"",IF(N7="",0,N7)+IF(AA7="",0,AA7))</f>
        <v>519</v>
      </c>
      <c r="AE7" s="17" t="n">
        <f aca="false">IF(AD7="","",IF($AD$4-SUMIF(C7:M7,"欠",$C$4:$M$4)-SUMIF(Q7:Z7,"欠",$Q$4:$Z$4)&lt;=0,"",ROUND(AD7/($AD$4-SUMIF(C7:M7,"欠",$C$4:$M$4)-SUMIF(Q7:Z7,"欠",$Q$4:$Z$4))*100,0)))</f>
        <v>87</v>
      </c>
      <c r="AF7" s="17" t="str">
        <f aca="false">IF(AE7="","",IF(AE7&gt;=設定!$D$11,"A",IF(AE7&gt;=設定!$E$11,"B","C")))</f>
        <v>B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39</v>
      </c>
      <c r="D8" s="19" t="n">
        <v>33</v>
      </c>
      <c r="E8" s="19" t="n">
        <v>44</v>
      </c>
      <c r="F8" s="19" t="n">
        <v>47</v>
      </c>
      <c r="G8" s="19" t="n">
        <v>33</v>
      </c>
      <c r="H8" s="19" t="n">
        <v>40</v>
      </c>
      <c r="I8" s="19"/>
      <c r="J8" s="19"/>
      <c r="K8" s="19"/>
      <c r="L8" s="19"/>
      <c r="M8" s="19"/>
      <c r="N8" s="17" t="n">
        <f aca="false">IF(COUNT(C8:M8)=0,"",SUM(C8:M8))</f>
        <v>236</v>
      </c>
      <c r="O8" s="17" t="n">
        <f aca="false">IF(OR(N8="",$N$4-SUMIF(C8:M8,"欠",$C$4:$M$4)&lt;=0),"",ROUND(N8/($N$4-SUMIF(C8:M8,"欠",$C$4:$M$4))*100,0))</f>
        <v>79</v>
      </c>
      <c r="P8" s="17" t="str">
        <f aca="false">IF(O8="","",IF(O8&gt;=設定!$D$11,"A",IF(O8&gt;=設定!$E$11,"B","C")))</f>
        <v>B</v>
      </c>
      <c r="Q8" s="19" t="n">
        <v>36</v>
      </c>
      <c r="R8" s="19" t="n">
        <v>36</v>
      </c>
      <c r="S8" s="19" t="n">
        <v>40</v>
      </c>
      <c r="T8" s="19" t="n">
        <v>37</v>
      </c>
      <c r="U8" s="19" t="n">
        <v>40</v>
      </c>
      <c r="V8" s="19" t="n">
        <v>33</v>
      </c>
      <c r="W8" s="19"/>
      <c r="X8" s="19"/>
      <c r="Y8" s="19"/>
      <c r="Z8" s="19"/>
      <c r="AA8" s="17" t="n">
        <f aca="false">IF(COUNT(Q8:Z8)=0,"",SUM(Q8:Z8))</f>
        <v>222</v>
      </c>
      <c r="AB8" s="17" t="n">
        <f aca="false">IF(OR(AA8="",$AA$4-SUMIF(Q8:Z8,"欠",$Q$4:$Z$4)&lt;=0),"",ROUND(AA8/($AA$4-SUMIF(Q8:Z8,"欠",$Q$4:$Z$4))*100,0))</f>
        <v>74</v>
      </c>
      <c r="AC8" s="17" t="str">
        <f aca="false">IF(AB8="","",IF(AB8&gt;=設定!$D$11,"A",IF(AB8&gt;=設定!$E$11,"B","C")))</f>
        <v>B</v>
      </c>
      <c r="AD8" s="17" t="n">
        <f aca="false">IF(AND(N8="",AA8=""),"",IF(N8="",0,N8)+IF(AA8="",0,AA8))</f>
        <v>458</v>
      </c>
      <c r="AE8" s="17" t="n">
        <f aca="false">IF(AD8="","",IF($AD$4-SUMIF(C8:M8,"欠",$C$4:$M$4)-SUMIF(Q8:Z8,"欠",$Q$4:$Z$4)&lt;=0,"",ROUND(AD8/($AD$4-SUMIF(C8:M8,"欠",$C$4:$M$4)-SUMIF(Q8:Z8,"欠",$Q$4:$Z$4))*100,0)))</f>
        <v>76</v>
      </c>
      <c r="AF8" s="17" t="str">
        <f aca="false">IF(AE8="","",IF(AE8&gt;=設定!$D$11,"A",IF(AE8&gt;=設定!$E$11,"B","C")))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44</v>
      </c>
      <c r="D9" s="19" t="n">
        <v>50</v>
      </c>
      <c r="E9" s="19" t="n">
        <v>48</v>
      </c>
      <c r="F9" s="19" t="n">
        <v>50</v>
      </c>
      <c r="G9" s="19" t="n">
        <v>50</v>
      </c>
      <c r="H9" s="19" t="n">
        <v>50</v>
      </c>
      <c r="I9" s="19"/>
      <c r="J9" s="19"/>
      <c r="K9" s="19"/>
      <c r="L9" s="19"/>
      <c r="M9" s="19"/>
      <c r="N9" s="17" t="n">
        <f aca="false">IF(COUNT(C9:M9)=0,"",SUM(C9:M9))</f>
        <v>292</v>
      </c>
      <c r="O9" s="17" t="n">
        <f aca="false">IF(OR(N9="",$N$4-SUMIF(C9:M9,"欠",$C$4:$M$4)&lt;=0),"",ROUND(N9/($N$4-SUMIF(C9:M9,"欠",$C$4:$M$4))*100,0))</f>
        <v>97</v>
      </c>
      <c r="P9" s="17" t="str">
        <f aca="false">IF(O9="","",IF(O9&gt;=設定!$D$11,"A",IF(O9&gt;=設定!$E$11,"B","C")))</f>
        <v>A</v>
      </c>
      <c r="Q9" s="19" t="n">
        <v>42</v>
      </c>
      <c r="R9" s="19" t="n">
        <v>44</v>
      </c>
      <c r="S9" s="19" t="n">
        <v>44</v>
      </c>
      <c r="T9" s="19" t="n">
        <v>48</v>
      </c>
      <c r="U9" s="19" t="n">
        <v>43</v>
      </c>
      <c r="V9" s="19" t="n">
        <v>45</v>
      </c>
      <c r="W9" s="19"/>
      <c r="X9" s="19"/>
      <c r="Y9" s="19"/>
      <c r="Z9" s="19"/>
      <c r="AA9" s="17" t="n">
        <f aca="false">IF(COUNT(Q9:Z9)=0,"",SUM(Q9:Z9))</f>
        <v>266</v>
      </c>
      <c r="AB9" s="17" t="n">
        <f aca="false">IF(OR(AA9="",$AA$4-SUMIF(Q9:Z9,"欠",$Q$4:$Z$4)&lt;=0),"",ROUND(AA9/($AA$4-SUMIF(Q9:Z9,"欠",$Q$4:$Z$4))*100,0))</f>
        <v>89</v>
      </c>
      <c r="AC9" s="17" t="str">
        <f aca="false">IF(AB9="","",IF(AB9&gt;=設定!$D$11,"A",IF(AB9&gt;=設定!$E$11,"B","C")))</f>
        <v>B</v>
      </c>
      <c r="AD9" s="17" t="n">
        <f aca="false">IF(AND(N9="",AA9=""),"",IF(N9="",0,N9)+IF(AA9="",0,AA9))</f>
        <v>558</v>
      </c>
      <c r="AE9" s="17" t="n">
        <f aca="false">IF(AD9="","",IF($AD$4-SUMIF(C9:M9,"欠",$C$4:$M$4)-SUMIF(Q9:Z9,"欠",$Q$4:$Z$4)&lt;=0,"",ROUND(AD9/($AD$4-SUMIF(C9:M9,"欠",$C$4:$M$4)-SUMIF(Q9:Z9,"欠",$Q$4:$Z$4))*100,0)))</f>
        <v>93</v>
      </c>
      <c r="AF9" s="17" t="str">
        <f aca="false">IF(AE9="","",IF(AE9&gt;=設定!$D$11,"A",IF(AE9&gt;=設定!$E$11,"B","C")))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38</v>
      </c>
      <c r="D10" s="19" t="n">
        <v>34</v>
      </c>
      <c r="E10" s="19" t="n">
        <v>32</v>
      </c>
      <c r="F10" s="19" t="n">
        <v>42</v>
      </c>
      <c r="G10" s="19" t="n">
        <v>36</v>
      </c>
      <c r="H10" s="19" t="n">
        <v>35</v>
      </c>
      <c r="I10" s="19"/>
      <c r="J10" s="19"/>
      <c r="K10" s="19"/>
      <c r="L10" s="19"/>
      <c r="M10" s="19"/>
      <c r="N10" s="17" t="n">
        <f aca="false">IF(COUNT(C10:M10)=0,"",SUM(C10:M10))</f>
        <v>217</v>
      </c>
      <c r="O10" s="17" t="n">
        <f aca="false">IF(OR(N10="",$N$4-SUMIF(C10:M10,"欠",$C$4:$M$4)&lt;=0),"",ROUND(N10/($N$4-SUMIF(C10:M10,"欠",$C$4:$M$4))*100,0))</f>
        <v>72</v>
      </c>
      <c r="P10" s="17" t="str">
        <f aca="false">IF(O10="","",IF(O10&gt;=設定!$D$11,"A",IF(O10&gt;=設定!$E$11,"B","C")))</f>
        <v>B</v>
      </c>
      <c r="Q10" s="19" t="n">
        <v>30</v>
      </c>
      <c r="R10" s="19" t="n">
        <v>30</v>
      </c>
      <c r="S10" s="19" t="n">
        <v>24</v>
      </c>
      <c r="T10" s="19" t="n">
        <v>31</v>
      </c>
      <c r="U10" s="19" t="n">
        <v>35</v>
      </c>
      <c r="V10" s="19" t="n">
        <v>35</v>
      </c>
      <c r="W10" s="19"/>
      <c r="X10" s="19"/>
      <c r="Y10" s="19"/>
      <c r="Z10" s="19"/>
      <c r="AA10" s="17" t="n">
        <f aca="false">IF(COUNT(Q10:Z10)=0,"",SUM(Q10:Z10))</f>
        <v>185</v>
      </c>
      <c r="AB10" s="17" t="n">
        <f aca="false">IF(OR(AA10="",$AA$4-SUMIF(Q10:Z10,"欠",$Q$4:$Z$4)&lt;=0),"",ROUND(AA10/($AA$4-SUMIF(Q10:Z10,"欠",$Q$4:$Z$4))*100,0))</f>
        <v>62</v>
      </c>
      <c r="AC10" s="17" t="str">
        <f aca="false">IF(AB10="","",IF(AB10&gt;=設定!$D$11,"A",IF(AB10&gt;=設定!$E$11,"B","C")))</f>
        <v>B</v>
      </c>
      <c r="AD10" s="17" t="n">
        <f aca="false">IF(AND(N10="",AA10=""),"",IF(N10="",0,N10)+IF(AA10="",0,AA10))</f>
        <v>402</v>
      </c>
      <c r="AE10" s="17" t="n">
        <f aca="false">IF(AD10="","",IF($AD$4-SUMIF(C10:M10,"欠",$C$4:$M$4)-SUMIF(Q10:Z10,"欠",$Q$4:$Z$4)&lt;=0,"",ROUND(AD10/($AD$4-SUMIF(C10:M10,"欠",$C$4:$M$4)-SUMIF(Q10:Z10,"欠",$Q$4:$Z$4))*100,0)))</f>
        <v>67</v>
      </c>
      <c r="AF10" s="17" t="str">
        <f aca="false">IF(AE10="","",IF(AE10&gt;=設定!$D$11,"A",IF(AE10&gt;=設定!$E$11,"B","C")))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43</v>
      </c>
      <c r="D11" s="19" t="n">
        <v>39</v>
      </c>
      <c r="E11" s="19" t="n">
        <v>41</v>
      </c>
      <c r="F11" s="19" t="n">
        <v>49</v>
      </c>
      <c r="G11" s="19" t="n">
        <v>43</v>
      </c>
      <c r="H11" s="19" t="n">
        <v>42</v>
      </c>
      <c r="I11" s="19"/>
      <c r="J11" s="19"/>
      <c r="K11" s="19"/>
      <c r="L11" s="19"/>
      <c r="M11" s="19"/>
      <c r="N11" s="17" t="n">
        <f aca="false">IF(COUNT(C11:M11)=0,"",SUM(C11:M11))</f>
        <v>257</v>
      </c>
      <c r="O11" s="17" t="n">
        <f aca="false">IF(OR(N11="",$N$4-SUMIF(C11:M11,"欠",$C$4:$M$4)&lt;=0),"",ROUND(N11/($N$4-SUMIF(C11:M11,"欠",$C$4:$M$4))*100,0))</f>
        <v>86</v>
      </c>
      <c r="P11" s="17" t="str">
        <f aca="false">IF(O11="","",IF(O11&gt;=設定!$D$11,"A",IF(O11&gt;=設定!$E$11,"B","C")))</f>
        <v>B</v>
      </c>
      <c r="Q11" s="19" t="n">
        <v>37</v>
      </c>
      <c r="R11" s="19" t="n">
        <v>35</v>
      </c>
      <c r="S11" s="19" t="n">
        <v>40</v>
      </c>
      <c r="T11" s="19" t="n">
        <v>31</v>
      </c>
      <c r="U11" s="19" t="n">
        <v>29</v>
      </c>
      <c r="V11" s="19" t="n">
        <v>36</v>
      </c>
      <c r="W11" s="19"/>
      <c r="X11" s="19"/>
      <c r="Y11" s="19"/>
      <c r="Z11" s="19"/>
      <c r="AA11" s="17" t="n">
        <f aca="false">IF(COUNT(Q11:Z11)=0,"",SUM(Q11:Z11))</f>
        <v>208</v>
      </c>
      <c r="AB11" s="17" t="n">
        <f aca="false">IF(OR(AA11="",$AA$4-SUMIF(Q11:Z11,"欠",$Q$4:$Z$4)&lt;=0),"",ROUND(AA11/($AA$4-SUMIF(Q11:Z11,"欠",$Q$4:$Z$4))*100,0))</f>
        <v>69</v>
      </c>
      <c r="AC11" s="17" t="str">
        <f aca="false">IF(AB11="","",IF(AB11&gt;=設定!$D$11,"A",IF(AB11&gt;=設定!$E$11,"B","C")))</f>
        <v>B</v>
      </c>
      <c r="AD11" s="17" t="n">
        <f aca="false">IF(AND(N11="",AA11=""),"",IF(N11="",0,N11)+IF(AA11="",0,AA11))</f>
        <v>465</v>
      </c>
      <c r="AE11" s="17" t="n">
        <f aca="false">IF(AD11="","",IF($AD$4-SUMIF(C11:M11,"欠",$C$4:$M$4)-SUMIF(Q11:Z11,"欠",$Q$4:$Z$4)&lt;=0,"",ROUND(AD11/($AD$4-SUMIF(C11:M11,"欠",$C$4:$M$4)-SUMIF(Q11:Z11,"欠",$Q$4:$Z$4))*100,0)))</f>
        <v>78</v>
      </c>
      <c r="AF11" s="17" t="str">
        <f aca="false">IF(AE11="","",IF(AE11&gt;=設定!$D$11,"A",IF(AE11&gt;=設定!$E$11,"B","C")))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46</v>
      </c>
      <c r="D12" s="19" t="n">
        <v>50</v>
      </c>
      <c r="E12" s="19" t="n">
        <v>46</v>
      </c>
      <c r="F12" s="20" t="s">
        <v>80</v>
      </c>
      <c r="G12" s="19" t="n">
        <v>47</v>
      </c>
      <c r="H12" s="19" t="n">
        <v>48</v>
      </c>
      <c r="I12" s="19"/>
      <c r="J12" s="19"/>
      <c r="K12" s="19"/>
      <c r="L12" s="19"/>
      <c r="M12" s="19"/>
      <c r="N12" s="17" t="n">
        <f aca="false">IF(COUNT(C12:M12)=0,"",SUM(C12:M12))</f>
        <v>237</v>
      </c>
      <c r="O12" s="17" t="n">
        <f aca="false">IF(OR(N12="",$N$4-SUMIF(C12:M12,"欠",$C$4:$M$4)&lt;=0),"",ROUND(N12/($N$4-SUMIF(C12:M12,"欠",$C$4:$M$4))*100,0))</f>
        <v>95</v>
      </c>
      <c r="P12" s="17" t="str">
        <f aca="false">IF(O12="","",IF(O12&gt;=設定!$D$11,"A",IF(O12&gt;=設定!$E$11,"B","C")))</f>
        <v>A</v>
      </c>
      <c r="Q12" s="19" t="n">
        <v>45</v>
      </c>
      <c r="R12" s="19" t="n">
        <v>36</v>
      </c>
      <c r="S12" s="19" t="n">
        <v>42</v>
      </c>
      <c r="T12" s="20" t="s">
        <v>80</v>
      </c>
      <c r="U12" s="19" t="n">
        <v>36</v>
      </c>
      <c r="V12" s="19" t="n">
        <v>33</v>
      </c>
      <c r="W12" s="19"/>
      <c r="X12" s="19"/>
      <c r="Y12" s="19"/>
      <c r="Z12" s="19"/>
      <c r="AA12" s="17" t="n">
        <f aca="false">IF(COUNT(Q12:Z12)=0,"",SUM(Q12:Z12))</f>
        <v>192</v>
      </c>
      <c r="AB12" s="17" t="n">
        <f aca="false">IF(OR(AA12="",$AA$4-SUMIF(Q12:Z12,"欠",$Q$4:$Z$4)&lt;=0),"",ROUND(AA12/($AA$4-SUMIF(Q12:Z12,"欠",$Q$4:$Z$4))*100,0))</f>
        <v>77</v>
      </c>
      <c r="AC12" s="17" t="str">
        <f aca="false">IF(AB12="","",IF(AB12&gt;=設定!$D$11,"A",IF(AB12&gt;=設定!$E$11,"B","C")))</f>
        <v>B</v>
      </c>
      <c r="AD12" s="17" t="n">
        <f aca="false">IF(AND(N12="",AA12=""),"",IF(N12="",0,N12)+IF(AA12="",0,AA12))</f>
        <v>429</v>
      </c>
      <c r="AE12" s="17" t="n">
        <f aca="false">IF(AD12="","",IF($AD$4-SUMIF(C12:M12,"欠",$C$4:$M$4)-SUMIF(Q12:Z12,"欠",$Q$4:$Z$4)&lt;=0,"",ROUND(AD12/($AD$4-SUMIF(C12:M12,"欠",$C$4:$M$4)-SUMIF(Q12:Z12,"欠",$Q$4:$Z$4))*100,0)))</f>
        <v>86</v>
      </c>
      <c r="AF12" s="17" t="str">
        <f aca="false">IF(AE12="","",IF(AE12&gt;=設定!$D$11,"A",IF(AE12&gt;=設定!$E$11,"B","C")))</f>
        <v>B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38</v>
      </c>
      <c r="D13" s="19" t="n">
        <v>40</v>
      </c>
      <c r="E13" s="19" t="n">
        <v>37</v>
      </c>
      <c r="F13" s="20" t="n">
        <v>42</v>
      </c>
      <c r="G13" s="19" t="n">
        <v>41</v>
      </c>
      <c r="H13" s="19" t="n">
        <v>39</v>
      </c>
      <c r="I13" s="19"/>
      <c r="J13" s="19"/>
      <c r="K13" s="19"/>
      <c r="L13" s="19"/>
      <c r="M13" s="19"/>
      <c r="N13" s="17" t="n">
        <f aca="false">IF(COUNT(C13:M13)=0,"",SUM(C13:M13))</f>
        <v>237</v>
      </c>
      <c r="O13" s="17" t="n">
        <f aca="false">IF(OR(N13="",$N$4-SUMIF(C13:M13,"欠",$C$4:$M$4)&lt;=0),"",ROUND(N13/($N$4-SUMIF(C13:M13,"欠",$C$4:$M$4))*100,0))</f>
        <v>79</v>
      </c>
      <c r="P13" s="17" t="str">
        <f aca="false">IF(O13="","",IF(O13&gt;=設定!$D$11,"A",IF(O13&gt;=設定!$E$11,"B","C")))</f>
        <v>B</v>
      </c>
      <c r="Q13" s="19" t="n">
        <v>28</v>
      </c>
      <c r="R13" s="19" t="n">
        <v>37</v>
      </c>
      <c r="S13" s="19" t="n">
        <v>38</v>
      </c>
      <c r="T13" s="20" t="n">
        <v>35</v>
      </c>
      <c r="U13" s="19" t="n">
        <v>32</v>
      </c>
      <c r="V13" s="19" t="n">
        <v>32</v>
      </c>
      <c r="W13" s="19"/>
      <c r="X13" s="19"/>
      <c r="Y13" s="19"/>
      <c r="Z13" s="19"/>
      <c r="AA13" s="17" t="n">
        <f aca="false">IF(COUNT(Q13:Z13)=0,"",SUM(Q13:Z13))</f>
        <v>202</v>
      </c>
      <c r="AB13" s="17" t="n">
        <f aca="false">IF(OR(AA13="",$AA$4-SUMIF(Q13:Z13,"欠",$Q$4:$Z$4)&lt;=0),"",ROUND(AA13/($AA$4-SUMIF(Q13:Z13,"欠",$Q$4:$Z$4))*100,0))</f>
        <v>67</v>
      </c>
      <c r="AC13" s="17" t="str">
        <f aca="false">IF(AB13="","",IF(AB13&gt;=設定!$D$11,"A",IF(AB13&gt;=設定!$E$11,"B","C")))</f>
        <v>B</v>
      </c>
      <c r="AD13" s="17" t="n">
        <f aca="false">IF(AND(N13="",AA13=""),"",IF(N13="",0,N13)+IF(AA13="",0,AA13))</f>
        <v>439</v>
      </c>
      <c r="AE13" s="17" t="n">
        <f aca="false">IF(AD13="","",IF($AD$4-SUMIF(C13:M13,"欠",$C$4:$M$4)-SUMIF(Q13:Z13,"欠",$Q$4:$Z$4)&lt;=0,"",ROUND(AD13/($AD$4-SUMIF(C13:M13,"欠",$C$4:$M$4)-SUMIF(Q13:Z13,"欠",$Q$4:$Z$4))*100,0)))</f>
        <v>73</v>
      </c>
      <c r="AF13" s="17" t="str">
        <f aca="false">IF(AE13="","",IF(AE13&gt;=設定!$D$11,"A",IF(AE13&gt;=設定!$E$11,"B","C")))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50</v>
      </c>
      <c r="D14" s="19" t="n">
        <v>41</v>
      </c>
      <c r="E14" s="19" t="n">
        <v>43</v>
      </c>
      <c r="F14" s="20" t="n">
        <v>35</v>
      </c>
      <c r="G14" s="19" t="n">
        <v>48</v>
      </c>
      <c r="H14" s="19" t="n">
        <v>46</v>
      </c>
      <c r="I14" s="19"/>
      <c r="J14" s="19"/>
      <c r="K14" s="19"/>
      <c r="L14" s="19"/>
      <c r="M14" s="19"/>
      <c r="N14" s="17" t="n">
        <f aca="false">IF(COUNT(C14:M14)=0,"",SUM(C14:M14))</f>
        <v>263</v>
      </c>
      <c r="O14" s="17" t="n">
        <f aca="false">IF(OR(N14="",$N$4-SUMIF(C14:M14,"欠",$C$4:$M$4)&lt;=0),"",ROUND(N14/($N$4-SUMIF(C14:M14,"欠",$C$4:$M$4))*100,0))</f>
        <v>88</v>
      </c>
      <c r="P14" s="17" t="str">
        <f aca="false">IF(O14="","",IF(O14&gt;=設定!$D$11,"A",IF(O14&gt;=設定!$E$11,"B","C")))</f>
        <v>B</v>
      </c>
      <c r="Q14" s="19" t="n">
        <v>40</v>
      </c>
      <c r="R14" s="19" t="n">
        <v>47</v>
      </c>
      <c r="S14" s="19" t="n">
        <v>38</v>
      </c>
      <c r="T14" s="20" t="n">
        <v>43</v>
      </c>
      <c r="U14" s="19" t="n">
        <v>38</v>
      </c>
      <c r="V14" s="19" t="n">
        <v>36</v>
      </c>
      <c r="W14" s="19"/>
      <c r="X14" s="19"/>
      <c r="Y14" s="19"/>
      <c r="Z14" s="19"/>
      <c r="AA14" s="17" t="n">
        <f aca="false">IF(COUNT(Q14:Z14)=0,"",SUM(Q14:Z14))</f>
        <v>242</v>
      </c>
      <c r="AB14" s="17" t="n">
        <f aca="false">IF(OR(AA14="",$AA$4-SUMIF(Q14:Z14,"欠",$Q$4:$Z$4)&lt;=0),"",ROUND(AA14/($AA$4-SUMIF(Q14:Z14,"欠",$Q$4:$Z$4))*100,0))</f>
        <v>81</v>
      </c>
      <c r="AC14" s="17" t="str">
        <f aca="false">IF(AB14="","",IF(AB14&gt;=設定!$D$11,"A",IF(AB14&gt;=設定!$E$11,"B","C")))</f>
        <v>B</v>
      </c>
      <c r="AD14" s="17" t="n">
        <f aca="false">IF(AND(N14="",AA14=""),"",IF(N14="",0,N14)+IF(AA14="",0,AA14))</f>
        <v>505</v>
      </c>
      <c r="AE14" s="17" t="n">
        <f aca="false">IF(AD14="","",IF($AD$4-SUMIF(C14:M14,"欠",$C$4:$M$4)-SUMIF(Q14:Z14,"欠",$Q$4:$Z$4)&lt;=0,"",ROUND(AD14/($AD$4-SUMIF(C14:M14,"欠",$C$4:$M$4)-SUMIF(Q14:Z14,"欠",$Q$4:$Z$4))*100,0)))</f>
        <v>84</v>
      </c>
      <c r="AF14" s="17" t="str">
        <f aca="false">IF(AE14="","",IF(AE14&gt;=設定!$D$11,"A",IF(AE14&gt;=設定!$E$11,"B","C")))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46</v>
      </c>
      <c r="D15" s="19" t="n">
        <v>46</v>
      </c>
      <c r="E15" s="19" t="n">
        <v>50</v>
      </c>
      <c r="F15" s="20" t="n">
        <v>38</v>
      </c>
      <c r="G15" s="19" t="n">
        <v>43</v>
      </c>
      <c r="H15" s="19" t="n">
        <v>46</v>
      </c>
      <c r="I15" s="19"/>
      <c r="J15" s="19"/>
      <c r="K15" s="19"/>
      <c r="L15" s="19"/>
      <c r="M15" s="19"/>
      <c r="N15" s="17" t="n">
        <f aca="false">IF(COUNT(C15:M15)=0,"",SUM(C15:M15))</f>
        <v>269</v>
      </c>
      <c r="O15" s="17" t="n">
        <f aca="false">IF(OR(N15="",$N$4-SUMIF(C15:M15,"欠",$C$4:$M$4)&lt;=0),"",ROUND(N15/($N$4-SUMIF(C15:M15,"欠",$C$4:$M$4))*100,0))</f>
        <v>90</v>
      </c>
      <c r="P15" s="17" t="str">
        <f aca="false">IF(O15="","",IF(O15&gt;=設定!$D$11,"A",IF(O15&gt;=設定!$E$11,"B","C")))</f>
        <v>A</v>
      </c>
      <c r="Q15" s="19" t="n">
        <v>41</v>
      </c>
      <c r="R15" s="19" t="n">
        <v>39</v>
      </c>
      <c r="S15" s="19" t="n">
        <v>45</v>
      </c>
      <c r="T15" s="20" t="n">
        <v>42</v>
      </c>
      <c r="U15" s="19" t="n">
        <v>36</v>
      </c>
      <c r="V15" s="19" t="n">
        <v>39</v>
      </c>
      <c r="W15" s="19"/>
      <c r="X15" s="19"/>
      <c r="Y15" s="19"/>
      <c r="Z15" s="19"/>
      <c r="AA15" s="17" t="n">
        <f aca="false">IF(COUNT(Q15:Z15)=0,"",SUM(Q15:Z15))</f>
        <v>242</v>
      </c>
      <c r="AB15" s="17" t="n">
        <f aca="false">IF(OR(AA15="",$AA$4-SUMIF(Q15:Z15,"欠",$Q$4:$Z$4)&lt;=0),"",ROUND(AA15/($AA$4-SUMIF(Q15:Z15,"欠",$Q$4:$Z$4))*100,0))</f>
        <v>81</v>
      </c>
      <c r="AC15" s="17" t="str">
        <f aca="false">IF(AB15="","",IF(AB15&gt;=設定!$D$11,"A",IF(AB15&gt;=設定!$E$11,"B","C")))</f>
        <v>B</v>
      </c>
      <c r="AD15" s="17" t="n">
        <f aca="false">IF(AND(N15="",AA15=""),"",IF(N15="",0,N15)+IF(AA15="",0,AA15))</f>
        <v>511</v>
      </c>
      <c r="AE15" s="17" t="n">
        <f aca="false">IF(AD15="","",IF($AD$4-SUMIF(C15:M15,"欠",$C$4:$M$4)-SUMIF(Q15:Z15,"欠",$Q$4:$Z$4)&lt;=0,"",ROUND(AD15/($AD$4-SUMIF(C15:M15,"欠",$C$4:$M$4)-SUMIF(Q15:Z15,"欠",$Q$4:$Z$4))*100,0)))</f>
        <v>85</v>
      </c>
      <c r="AF15" s="17" t="str">
        <f aca="false">IF(AE15="","",IF(AE15&gt;=設定!$D$11,"A",IF(AE15&gt;=設定!$E$11,"B","C")))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35</v>
      </c>
      <c r="D16" s="19" t="n">
        <v>44</v>
      </c>
      <c r="E16" s="19" t="n">
        <v>46</v>
      </c>
      <c r="F16" s="20" t="n">
        <v>39</v>
      </c>
      <c r="G16" s="19" t="n">
        <v>41</v>
      </c>
      <c r="H16" s="19" t="n">
        <v>44</v>
      </c>
      <c r="I16" s="19"/>
      <c r="J16" s="19"/>
      <c r="K16" s="19"/>
      <c r="L16" s="19"/>
      <c r="M16" s="19"/>
      <c r="N16" s="17" t="n">
        <f aca="false">IF(COUNT(C16:M16)=0,"",SUM(C16:M16))</f>
        <v>249</v>
      </c>
      <c r="O16" s="17" t="n">
        <f aca="false">IF(OR(N16="",$N$4-SUMIF(C16:M16,"欠",$C$4:$M$4)&lt;=0),"",ROUND(N16/($N$4-SUMIF(C16:M16,"欠",$C$4:$M$4))*100,0))</f>
        <v>83</v>
      </c>
      <c r="P16" s="17" t="str">
        <f aca="false">IF(O16="","",IF(O16&gt;=設定!$D$11,"A",IF(O16&gt;=設定!$E$11,"B","C")))</f>
        <v>B</v>
      </c>
      <c r="Q16" s="19" t="n">
        <v>35</v>
      </c>
      <c r="R16" s="19" t="n">
        <v>34</v>
      </c>
      <c r="S16" s="19" t="n">
        <v>38</v>
      </c>
      <c r="T16" s="20" t="n">
        <v>34</v>
      </c>
      <c r="U16" s="19" t="n">
        <v>32</v>
      </c>
      <c r="V16" s="19" t="n">
        <v>33</v>
      </c>
      <c r="W16" s="19"/>
      <c r="X16" s="19"/>
      <c r="Y16" s="19"/>
      <c r="Z16" s="19"/>
      <c r="AA16" s="17" t="n">
        <f aca="false">IF(COUNT(Q16:Z16)=0,"",SUM(Q16:Z16))</f>
        <v>206</v>
      </c>
      <c r="AB16" s="17" t="n">
        <f aca="false">IF(OR(AA16="",$AA$4-SUMIF(Q16:Z16,"欠",$Q$4:$Z$4)&lt;=0),"",ROUND(AA16/($AA$4-SUMIF(Q16:Z16,"欠",$Q$4:$Z$4))*100,0))</f>
        <v>69</v>
      </c>
      <c r="AC16" s="17" t="str">
        <f aca="false">IF(AB16="","",IF(AB16&gt;=設定!$D$11,"A",IF(AB16&gt;=設定!$E$11,"B","C")))</f>
        <v>B</v>
      </c>
      <c r="AD16" s="17" t="n">
        <f aca="false">IF(AND(N16="",AA16=""),"",IF(N16="",0,N16)+IF(AA16="",0,AA16))</f>
        <v>455</v>
      </c>
      <c r="AE16" s="17" t="n">
        <f aca="false">IF(AD16="","",IF($AD$4-SUMIF(C16:M16,"欠",$C$4:$M$4)-SUMIF(Q16:Z16,"欠",$Q$4:$Z$4)&lt;=0,"",ROUND(AD16/($AD$4-SUMIF(C16:M16,"欠",$C$4:$M$4)-SUMIF(Q16:Z16,"欠",$Q$4:$Z$4))*100,0)))</f>
        <v>76</v>
      </c>
      <c r="AF16" s="17" t="str">
        <f aca="false">IF(AE16="","",IF(AE16&gt;=設定!$D$11,"A",IF(AE16&gt;=設定!$E$11,"B","C")))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32</v>
      </c>
      <c r="D17" s="19" t="n">
        <v>30</v>
      </c>
      <c r="E17" s="19" t="n">
        <v>30</v>
      </c>
      <c r="F17" s="20" t="n">
        <v>37</v>
      </c>
      <c r="G17" s="19" t="n">
        <v>30</v>
      </c>
      <c r="H17" s="19" t="n">
        <v>27</v>
      </c>
      <c r="I17" s="19"/>
      <c r="J17" s="19"/>
      <c r="K17" s="19"/>
      <c r="L17" s="19"/>
      <c r="M17" s="19"/>
      <c r="N17" s="17" t="n">
        <f aca="false">IF(COUNT(C17:M17)=0,"",SUM(C17:M17))</f>
        <v>186</v>
      </c>
      <c r="O17" s="17" t="n">
        <f aca="false">IF(OR(N17="",$N$4-SUMIF(C17:M17,"欠",$C$4:$M$4)&lt;=0),"",ROUND(N17/($N$4-SUMIF(C17:M17,"欠",$C$4:$M$4))*100,0))</f>
        <v>62</v>
      </c>
      <c r="P17" s="17" t="str">
        <f aca="false">IF(O17="","",IF(O17&gt;=設定!$D$11,"A",IF(O17&gt;=設定!$E$11,"B","C")))</f>
        <v>B</v>
      </c>
      <c r="Q17" s="19" t="n">
        <v>26</v>
      </c>
      <c r="R17" s="19" t="n">
        <v>22</v>
      </c>
      <c r="S17" s="19" t="n">
        <v>29</v>
      </c>
      <c r="T17" s="20" t="n">
        <v>24</v>
      </c>
      <c r="U17" s="19" t="n">
        <v>20</v>
      </c>
      <c r="V17" s="19" t="n">
        <v>31</v>
      </c>
      <c r="W17" s="19"/>
      <c r="X17" s="19"/>
      <c r="Y17" s="19"/>
      <c r="Z17" s="19"/>
      <c r="AA17" s="17" t="n">
        <f aca="false">IF(COUNT(Q17:Z17)=0,"",SUM(Q17:Z17))</f>
        <v>152</v>
      </c>
      <c r="AB17" s="17" t="n">
        <f aca="false">IF(OR(AA17="",$AA$4-SUMIF(Q17:Z17,"欠",$Q$4:$Z$4)&lt;=0),"",ROUND(AA17/($AA$4-SUMIF(Q17:Z17,"欠",$Q$4:$Z$4))*100,0))</f>
        <v>51</v>
      </c>
      <c r="AC17" s="17" t="str">
        <f aca="false">IF(AB17="","",IF(AB17&gt;=設定!$D$11,"A",IF(AB17&gt;=設定!$E$11,"B","C")))</f>
        <v>C</v>
      </c>
      <c r="AD17" s="17" t="n">
        <f aca="false">IF(AND(N17="",AA17=""),"",IF(N17="",0,N17)+IF(AA17="",0,AA17))</f>
        <v>338</v>
      </c>
      <c r="AE17" s="17" t="n">
        <f aca="false">IF(AD17="","",IF($AD$4-SUMIF(C17:M17,"欠",$C$4:$M$4)-SUMIF(Q17:Z17,"欠",$Q$4:$Z$4)&lt;=0,"",ROUND(AD17/($AD$4-SUMIF(C17:M17,"欠",$C$4:$M$4)-SUMIF(Q17:Z17,"欠",$Q$4:$Z$4))*100,0)))</f>
        <v>56</v>
      </c>
      <c r="AF17" s="17" t="str">
        <f aca="false">IF(AE17="","",IF(AE17&gt;=設定!$D$11,"A",IF(AE17&gt;=設定!$E$11,"B","C")))</f>
        <v>C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44</v>
      </c>
      <c r="D18" s="19" t="n">
        <v>44</v>
      </c>
      <c r="E18" s="19" t="n">
        <v>37</v>
      </c>
      <c r="F18" s="20" t="n">
        <v>46</v>
      </c>
      <c r="G18" s="19" t="n">
        <v>50</v>
      </c>
      <c r="H18" s="19" t="n">
        <v>44</v>
      </c>
      <c r="I18" s="19"/>
      <c r="J18" s="19"/>
      <c r="K18" s="19"/>
      <c r="L18" s="19"/>
      <c r="M18" s="19"/>
      <c r="N18" s="17" t="n">
        <f aca="false">IF(COUNT(C18:M18)=0,"",SUM(C18:M18))</f>
        <v>265</v>
      </c>
      <c r="O18" s="17" t="n">
        <f aca="false">IF(OR(N18="",$N$4-SUMIF(C18:M18,"欠",$C$4:$M$4)&lt;=0),"",ROUND(N18/($N$4-SUMIF(C18:M18,"欠",$C$4:$M$4))*100,0))</f>
        <v>88</v>
      </c>
      <c r="P18" s="17" t="str">
        <f aca="false">IF(O18="","",IF(O18&gt;=設定!$D$11,"A",IF(O18&gt;=設定!$E$11,"B","C")))</f>
        <v>B</v>
      </c>
      <c r="Q18" s="19" t="n">
        <v>47</v>
      </c>
      <c r="R18" s="19" t="n">
        <v>40</v>
      </c>
      <c r="S18" s="19" t="n">
        <v>45</v>
      </c>
      <c r="T18" s="20" t="n">
        <v>42</v>
      </c>
      <c r="U18" s="19" t="n">
        <v>40</v>
      </c>
      <c r="V18" s="19" t="n">
        <v>39</v>
      </c>
      <c r="W18" s="19"/>
      <c r="X18" s="19"/>
      <c r="Y18" s="19"/>
      <c r="Z18" s="19"/>
      <c r="AA18" s="17" t="n">
        <f aca="false">IF(COUNT(Q18:Z18)=0,"",SUM(Q18:Z18))</f>
        <v>253</v>
      </c>
      <c r="AB18" s="17" t="n">
        <f aca="false">IF(OR(AA18="",$AA$4-SUMIF(Q18:Z18,"欠",$Q$4:$Z$4)&lt;=0),"",ROUND(AA18/($AA$4-SUMIF(Q18:Z18,"欠",$Q$4:$Z$4))*100,0))</f>
        <v>84</v>
      </c>
      <c r="AC18" s="17" t="str">
        <f aca="false">IF(AB18="","",IF(AB18&gt;=設定!$D$11,"A",IF(AB18&gt;=設定!$E$11,"B","C")))</f>
        <v>B</v>
      </c>
      <c r="AD18" s="17" t="n">
        <f aca="false">IF(AND(N18="",AA18=""),"",IF(N18="",0,N18)+IF(AA18="",0,AA18))</f>
        <v>518</v>
      </c>
      <c r="AE18" s="17" t="n">
        <f aca="false">IF(AD18="","",IF($AD$4-SUMIF(C18:M18,"欠",$C$4:$M$4)-SUMIF(Q18:Z18,"欠",$Q$4:$Z$4)&lt;=0,"",ROUND(AD18/($AD$4-SUMIF(C18:M18,"欠",$C$4:$M$4)-SUMIF(Q18:Z18,"欠",$Q$4:$Z$4))*100,0)))</f>
        <v>86</v>
      </c>
      <c r="AF18" s="17" t="str">
        <f aca="false">IF(AE18="","",IF(AE18&gt;=設定!$D$11,"A",IF(AE18&gt;=設定!$E$11,"B","C")))</f>
        <v>B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28</v>
      </c>
      <c r="D19" s="19" t="n">
        <v>24</v>
      </c>
      <c r="E19" s="19" t="n">
        <v>27</v>
      </c>
      <c r="F19" s="20" t="n">
        <v>31</v>
      </c>
      <c r="G19" s="19" t="n">
        <v>24</v>
      </c>
      <c r="H19" s="19" t="n">
        <v>32</v>
      </c>
      <c r="I19" s="19"/>
      <c r="J19" s="19"/>
      <c r="K19" s="19"/>
      <c r="L19" s="19"/>
      <c r="M19" s="19"/>
      <c r="N19" s="17" t="n">
        <f aca="false">IF(COUNT(C19:M19)=0,"",SUM(C19:M19))</f>
        <v>166</v>
      </c>
      <c r="O19" s="17" t="n">
        <f aca="false">IF(OR(N19="",$N$4-SUMIF(C19:M19,"欠",$C$4:$M$4)&lt;=0),"",ROUND(N19/($N$4-SUMIF(C19:M19,"欠",$C$4:$M$4))*100,0))</f>
        <v>55</v>
      </c>
      <c r="P19" s="17" t="str">
        <f aca="false">IF(O19="","",IF(O19&gt;=設定!$D$11,"A",IF(O19&gt;=設定!$E$11,"B","C")))</f>
        <v>C</v>
      </c>
      <c r="Q19" s="19" t="n">
        <v>19</v>
      </c>
      <c r="R19" s="19" t="n">
        <v>30</v>
      </c>
      <c r="S19" s="19" t="n">
        <v>21</v>
      </c>
      <c r="T19" s="20" t="n">
        <v>19</v>
      </c>
      <c r="U19" s="19" t="n">
        <v>21</v>
      </c>
      <c r="V19" s="19" t="n">
        <v>27</v>
      </c>
      <c r="W19" s="19"/>
      <c r="X19" s="19"/>
      <c r="Y19" s="19"/>
      <c r="Z19" s="19"/>
      <c r="AA19" s="17" t="n">
        <f aca="false">IF(COUNT(Q19:Z19)=0,"",SUM(Q19:Z19))</f>
        <v>137</v>
      </c>
      <c r="AB19" s="17" t="n">
        <f aca="false">IF(OR(AA19="",$AA$4-SUMIF(Q19:Z19,"欠",$Q$4:$Z$4)&lt;=0),"",ROUND(AA19/($AA$4-SUMIF(Q19:Z19,"欠",$Q$4:$Z$4))*100,0))</f>
        <v>46</v>
      </c>
      <c r="AC19" s="17" t="str">
        <f aca="false">IF(AB19="","",IF(AB19&gt;=設定!$D$11,"A",IF(AB19&gt;=設定!$E$11,"B","C")))</f>
        <v>C</v>
      </c>
      <c r="AD19" s="17" t="n">
        <f aca="false">IF(AND(N19="",AA19=""),"",IF(N19="",0,N19)+IF(AA19="",0,AA19))</f>
        <v>303</v>
      </c>
      <c r="AE19" s="17" t="n">
        <f aca="false">IF(AD19="","",IF($AD$4-SUMIF(C19:M19,"欠",$C$4:$M$4)-SUMIF(Q19:Z19,"欠",$Q$4:$Z$4)&lt;=0,"",ROUND(AD19/($AD$4-SUMIF(C19:M19,"欠",$C$4:$M$4)-SUMIF(Q19:Z19,"欠",$Q$4:$Z$4))*100,0)))</f>
        <v>51</v>
      </c>
      <c r="AF19" s="17" t="str">
        <f aca="false">IF(AE19="","",IF(AE19&gt;=設定!$D$11,"A",IF(AE19&gt;=設定!$E$11,"B","C")))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49</v>
      </c>
      <c r="D20" s="19" t="n">
        <v>48</v>
      </c>
      <c r="E20" s="19" t="n">
        <v>50</v>
      </c>
      <c r="F20" s="20" t="n">
        <v>50</v>
      </c>
      <c r="G20" s="19" t="n">
        <v>50</v>
      </c>
      <c r="H20" s="19" t="n">
        <v>50</v>
      </c>
      <c r="I20" s="19"/>
      <c r="J20" s="19"/>
      <c r="K20" s="19"/>
      <c r="L20" s="19"/>
      <c r="M20" s="19"/>
      <c r="N20" s="17" t="n">
        <f aca="false">IF(COUNT(C20:M20)=0,"",SUM(C20:M20))</f>
        <v>297</v>
      </c>
      <c r="O20" s="17" t="n">
        <f aca="false">IF(OR(N20="",$N$4-SUMIF(C20:M20,"欠",$C$4:$M$4)&lt;=0),"",ROUND(N20/($N$4-SUMIF(C20:M20,"欠",$C$4:$M$4))*100,0))</f>
        <v>99</v>
      </c>
      <c r="P20" s="17" t="str">
        <f aca="false">IF(O20="","",IF(O20&gt;=設定!$D$11,"A",IF(O20&gt;=設定!$E$11,"B","C")))</f>
        <v>A</v>
      </c>
      <c r="Q20" s="19" t="n">
        <v>47</v>
      </c>
      <c r="R20" s="19" t="n">
        <v>47</v>
      </c>
      <c r="S20" s="19" t="n">
        <v>50</v>
      </c>
      <c r="T20" s="20" t="n">
        <v>48</v>
      </c>
      <c r="U20" s="19" t="n">
        <v>48</v>
      </c>
      <c r="V20" s="19" t="n">
        <v>49</v>
      </c>
      <c r="W20" s="19"/>
      <c r="X20" s="19"/>
      <c r="Y20" s="19"/>
      <c r="Z20" s="19"/>
      <c r="AA20" s="17" t="n">
        <f aca="false">IF(COUNT(Q20:Z20)=0,"",SUM(Q20:Z20))</f>
        <v>289</v>
      </c>
      <c r="AB20" s="17" t="n">
        <f aca="false">IF(OR(AA20="",$AA$4-SUMIF(Q20:Z20,"欠",$Q$4:$Z$4)&lt;=0),"",ROUND(AA20/($AA$4-SUMIF(Q20:Z20,"欠",$Q$4:$Z$4))*100,0))</f>
        <v>96</v>
      </c>
      <c r="AC20" s="17" t="str">
        <f aca="false">IF(AB20="","",IF(AB20&gt;=設定!$D$11,"A",IF(AB20&gt;=設定!$E$11,"B","C")))</f>
        <v>A</v>
      </c>
      <c r="AD20" s="17" t="n">
        <f aca="false">IF(AND(N20="",AA20=""),"",IF(N20="",0,N20)+IF(AA20="",0,AA20))</f>
        <v>586</v>
      </c>
      <c r="AE20" s="17" t="n">
        <f aca="false">IF(AD20="","",IF($AD$4-SUMIF(C20:M20,"欠",$C$4:$M$4)-SUMIF(Q20:Z20,"欠",$Q$4:$Z$4)&lt;=0,"",ROUND(AD20/($AD$4-SUMIF(C20:M20,"欠",$C$4:$M$4)-SUMIF(Q20:Z20,"欠",$Q$4:$Z$4))*100,0)))</f>
        <v>98</v>
      </c>
      <c r="AF20" s="17" t="str">
        <f aca="false">IF(AE20="","",IF(AE20&gt;=設定!$D$11,"A",IF(AE20&gt;=設定!$E$11,"B","C")))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40</v>
      </c>
      <c r="D21" s="19" t="n">
        <v>43</v>
      </c>
      <c r="E21" s="19" t="n">
        <v>30</v>
      </c>
      <c r="F21" s="20" t="n">
        <v>50</v>
      </c>
      <c r="G21" s="19" t="n">
        <v>45</v>
      </c>
      <c r="H21" s="19" t="n">
        <v>47</v>
      </c>
      <c r="I21" s="19"/>
      <c r="J21" s="19"/>
      <c r="K21" s="19"/>
      <c r="L21" s="19"/>
      <c r="M21" s="19"/>
      <c r="N21" s="17" t="n">
        <f aca="false">IF(COUNT(C21:M21)=0,"",SUM(C21:M21))</f>
        <v>255</v>
      </c>
      <c r="O21" s="17" t="n">
        <f aca="false">IF(OR(N21="",$N$4-SUMIF(C21:M21,"欠",$C$4:$M$4)&lt;=0),"",ROUND(N21/($N$4-SUMIF(C21:M21,"欠",$C$4:$M$4))*100,0))</f>
        <v>85</v>
      </c>
      <c r="P21" s="17" t="str">
        <f aca="false">IF(O21="","",IF(O21&gt;=設定!$D$11,"A",IF(O21&gt;=設定!$E$11,"B","C")))</f>
        <v>B</v>
      </c>
      <c r="Q21" s="19" t="n">
        <v>31</v>
      </c>
      <c r="R21" s="19" t="n">
        <v>33</v>
      </c>
      <c r="S21" s="19" t="n">
        <v>34</v>
      </c>
      <c r="T21" s="20" t="n">
        <v>40</v>
      </c>
      <c r="U21" s="19" t="n">
        <v>37</v>
      </c>
      <c r="V21" s="19" t="n">
        <v>34</v>
      </c>
      <c r="W21" s="19"/>
      <c r="X21" s="19"/>
      <c r="Y21" s="19"/>
      <c r="Z21" s="19"/>
      <c r="AA21" s="17" t="n">
        <f aca="false">IF(COUNT(Q21:Z21)=0,"",SUM(Q21:Z21))</f>
        <v>209</v>
      </c>
      <c r="AB21" s="17" t="n">
        <f aca="false">IF(OR(AA21="",$AA$4-SUMIF(Q21:Z21,"欠",$Q$4:$Z$4)&lt;=0),"",ROUND(AA21/($AA$4-SUMIF(Q21:Z21,"欠",$Q$4:$Z$4))*100,0))</f>
        <v>70</v>
      </c>
      <c r="AC21" s="17" t="str">
        <f aca="false">IF(AB21="","",IF(AB21&gt;=設定!$D$11,"A",IF(AB21&gt;=設定!$E$11,"B","C")))</f>
        <v>B</v>
      </c>
      <c r="AD21" s="17" t="n">
        <f aca="false">IF(AND(N21="",AA21=""),"",IF(N21="",0,N21)+IF(AA21="",0,AA21))</f>
        <v>464</v>
      </c>
      <c r="AE21" s="17" t="n">
        <f aca="false">IF(AD21="","",IF($AD$4-SUMIF(C21:M21,"欠",$C$4:$M$4)-SUMIF(Q21:Z21,"欠",$Q$4:$Z$4)&lt;=0,"",ROUND(AD21/($AD$4-SUMIF(C21:M21,"欠",$C$4:$M$4)-SUMIF(Q21:Z21,"欠",$Q$4:$Z$4))*100,0)))</f>
        <v>77</v>
      </c>
      <c r="AF21" s="17" t="str">
        <f aca="false">IF(AE21="","",IF(AE21&gt;=設定!$D$11,"A",IF(AE21&gt;=設定!$E$11,"B","C")))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50</v>
      </c>
      <c r="D22" s="19" t="n">
        <v>50</v>
      </c>
      <c r="E22" s="19" t="n">
        <v>50</v>
      </c>
      <c r="F22" s="20" t="n">
        <v>50</v>
      </c>
      <c r="G22" s="19" t="n">
        <v>50</v>
      </c>
      <c r="H22" s="19" t="n">
        <v>50</v>
      </c>
      <c r="I22" s="19"/>
      <c r="J22" s="19"/>
      <c r="K22" s="19"/>
      <c r="L22" s="19"/>
      <c r="M22" s="19"/>
      <c r="N22" s="17" t="n">
        <f aca="false">IF(COUNT(C22:M22)=0,"",SUM(C22:M22))</f>
        <v>300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IF(O22="","",IF(O22&gt;=設定!$D$11,"A",IF(O22&gt;=設定!$E$11,"B","C")))</f>
        <v>A</v>
      </c>
      <c r="Q22" s="19" t="n">
        <v>50</v>
      </c>
      <c r="R22" s="19" t="n">
        <v>50</v>
      </c>
      <c r="S22" s="19" t="n">
        <v>47</v>
      </c>
      <c r="T22" s="20" t="n">
        <v>50</v>
      </c>
      <c r="U22" s="19" t="n">
        <v>50</v>
      </c>
      <c r="V22" s="19" t="n">
        <v>50</v>
      </c>
      <c r="W22" s="19"/>
      <c r="X22" s="19"/>
      <c r="Y22" s="19"/>
      <c r="Z22" s="19"/>
      <c r="AA22" s="17" t="n">
        <f aca="false">IF(COUNT(Q22:Z22)=0,"",SUM(Q22:Z22))</f>
        <v>297</v>
      </c>
      <c r="AB22" s="17" t="n">
        <f aca="false">IF(OR(AA22="",$AA$4-SUMIF(Q22:Z22,"欠",$Q$4:$Z$4)&lt;=0),"",ROUND(AA22/($AA$4-SUMIF(Q22:Z22,"欠",$Q$4:$Z$4))*100,0))</f>
        <v>99</v>
      </c>
      <c r="AC22" s="17" t="str">
        <f aca="false">IF(AB22="","",IF(AB22&gt;=設定!$D$11,"A",IF(AB22&gt;=設定!$E$11,"B","C")))</f>
        <v>A</v>
      </c>
      <c r="AD22" s="17" t="n">
        <f aca="false">IF(AND(N22="",AA22=""),"",IF(N22="",0,N22)+IF(AA22="",0,AA22))</f>
        <v>597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IF(AE22="","",IF(AE22&gt;=設定!$D$11,"A",IF(AE22&gt;=設定!$E$11,"B","C")))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42</v>
      </c>
      <c r="D23" s="19" t="n">
        <v>44</v>
      </c>
      <c r="E23" s="19" t="n">
        <v>47</v>
      </c>
      <c r="F23" s="20" t="n">
        <v>49</v>
      </c>
      <c r="G23" s="19" t="n">
        <v>45</v>
      </c>
      <c r="H23" s="19" t="n">
        <v>47</v>
      </c>
      <c r="I23" s="19"/>
      <c r="J23" s="19"/>
      <c r="K23" s="19"/>
      <c r="L23" s="19"/>
      <c r="M23" s="19"/>
      <c r="N23" s="17" t="n">
        <f aca="false">IF(COUNT(C23:M23)=0,"",SUM(C23:M23))</f>
        <v>274</v>
      </c>
      <c r="O23" s="17" t="n">
        <f aca="false">IF(OR(N23="",$N$4-SUMIF(C23:M23,"欠",$C$4:$M$4)&lt;=0),"",ROUND(N23/($N$4-SUMIF(C23:M23,"欠",$C$4:$M$4))*100,0))</f>
        <v>91</v>
      </c>
      <c r="P23" s="17" t="str">
        <f aca="false">IF(O23="","",IF(O23&gt;=設定!$D$11,"A",IF(O23&gt;=設定!$E$11,"B","C")))</f>
        <v>A</v>
      </c>
      <c r="Q23" s="19" t="n">
        <v>48</v>
      </c>
      <c r="R23" s="19" t="n">
        <v>48</v>
      </c>
      <c r="S23" s="19" t="n">
        <v>41</v>
      </c>
      <c r="T23" s="20" t="n">
        <v>39</v>
      </c>
      <c r="U23" s="19" t="n">
        <v>48</v>
      </c>
      <c r="V23" s="19" t="n">
        <v>41</v>
      </c>
      <c r="W23" s="19"/>
      <c r="X23" s="19"/>
      <c r="Y23" s="19"/>
      <c r="Z23" s="19"/>
      <c r="AA23" s="17" t="n">
        <f aca="false">IF(COUNT(Q23:Z23)=0,"",SUM(Q23:Z23))</f>
        <v>265</v>
      </c>
      <c r="AB23" s="17" t="n">
        <f aca="false">IF(OR(AA23="",$AA$4-SUMIF(Q23:Z23,"欠",$Q$4:$Z$4)&lt;=0),"",ROUND(AA23/($AA$4-SUMIF(Q23:Z23,"欠",$Q$4:$Z$4))*100,0))</f>
        <v>88</v>
      </c>
      <c r="AC23" s="17" t="str">
        <f aca="false">IF(AB23="","",IF(AB23&gt;=設定!$D$11,"A",IF(AB23&gt;=設定!$E$11,"B","C")))</f>
        <v>B</v>
      </c>
      <c r="AD23" s="17" t="n">
        <f aca="false">IF(AND(N23="",AA23=""),"",IF(N23="",0,N23)+IF(AA23="",0,AA23))</f>
        <v>539</v>
      </c>
      <c r="AE23" s="17" t="n">
        <f aca="false">IF(AD23="","",IF($AD$4-SUMIF(C23:M23,"欠",$C$4:$M$4)-SUMIF(Q23:Z23,"欠",$Q$4:$Z$4)&lt;=0,"",ROUND(AD23/($AD$4-SUMIF(C23:M23,"欠",$C$4:$M$4)-SUMIF(Q23:Z23,"欠",$Q$4:$Z$4))*100,0)))</f>
        <v>90</v>
      </c>
      <c r="AF23" s="17" t="str">
        <f aca="false">IF(AE23="","",IF(AE23&gt;=設定!$D$11,"A",IF(AE23&gt;=設定!$E$11,"B","C")))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33</v>
      </c>
      <c r="D24" s="19" t="n">
        <v>39</v>
      </c>
      <c r="E24" s="19" t="n">
        <v>35</v>
      </c>
      <c r="F24" s="20" t="n">
        <v>35</v>
      </c>
      <c r="G24" s="19" t="n">
        <v>29</v>
      </c>
      <c r="H24" s="19" t="n">
        <v>37</v>
      </c>
      <c r="I24" s="19"/>
      <c r="J24" s="19"/>
      <c r="K24" s="19"/>
      <c r="L24" s="19"/>
      <c r="M24" s="19"/>
      <c r="N24" s="17" t="n">
        <f aca="false">IF(COUNT(C24:M24)=0,"",SUM(C24:M24))</f>
        <v>208</v>
      </c>
      <c r="O24" s="17" t="n">
        <f aca="false">IF(OR(N24="",$N$4-SUMIF(C24:M24,"欠",$C$4:$M$4)&lt;=0),"",ROUND(N24/($N$4-SUMIF(C24:M24,"欠",$C$4:$M$4))*100,0))</f>
        <v>69</v>
      </c>
      <c r="P24" s="17" t="str">
        <f aca="false">IF(O24="","",IF(O24&gt;=設定!$D$11,"A",IF(O24&gt;=設定!$E$11,"B","C")))</f>
        <v>B</v>
      </c>
      <c r="Q24" s="19" t="n">
        <v>26</v>
      </c>
      <c r="R24" s="19" t="n">
        <v>35</v>
      </c>
      <c r="S24" s="19" t="n">
        <v>28</v>
      </c>
      <c r="T24" s="20" t="n">
        <v>29</v>
      </c>
      <c r="U24" s="19" t="n">
        <v>27</v>
      </c>
      <c r="V24" s="19" t="n">
        <v>33</v>
      </c>
      <c r="W24" s="19"/>
      <c r="X24" s="19"/>
      <c r="Y24" s="19"/>
      <c r="Z24" s="19"/>
      <c r="AA24" s="17" t="n">
        <f aca="false">IF(COUNT(Q24:Z24)=0,"",SUM(Q24:Z24))</f>
        <v>178</v>
      </c>
      <c r="AB24" s="17" t="n">
        <f aca="false">IF(OR(AA24="",$AA$4-SUMIF(Q24:Z24,"欠",$Q$4:$Z$4)&lt;=0),"",ROUND(AA24/($AA$4-SUMIF(Q24:Z24,"欠",$Q$4:$Z$4))*100,0))</f>
        <v>59</v>
      </c>
      <c r="AC24" s="17" t="str">
        <f aca="false">IF(AB24="","",IF(AB24&gt;=設定!$D$11,"A",IF(AB24&gt;=設定!$E$11,"B","C")))</f>
        <v>C</v>
      </c>
      <c r="AD24" s="17" t="n">
        <f aca="false">IF(AND(N24="",AA24=""),"",IF(N24="",0,N24)+IF(AA24="",0,AA24))</f>
        <v>386</v>
      </c>
      <c r="AE24" s="17" t="n">
        <f aca="false">IF(AD24="","",IF($AD$4-SUMIF(C24:M24,"欠",$C$4:$M$4)-SUMIF(Q24:Z24,"欠",$Q$4:$Z$4)&lt;=0,"",ROUND(AD24/($AD$4-SUMIF(C24:M24,"欠",$C$4:$M$4)-SUMIF(Q24:Z24,"欠",$Q$4:$Z$4))*100,0)))</f>
        <v>64</v>
      </c>
      <c r="AF24" s="17" t="str">
        <f aca="false">IF(AE24="","",IF(AE24&gt;=設定!$D$11,"A",IF(AE24&gt;=設定!$E$11,"B","C")))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45</v>
      </c>
      <c r="D25" s="19" t="n">
        <v>46</v>
      </c>
      <c r="E25" s="19" t="n">
        <v>46</v>
      </c>
      <c r="F25" s="20" t="n">
        <v>45</v>
      </c>
      <c r="G25" s="19" t="n">
        <v>44</v>
      </c>
      <c r="H25" s="19" t="n">
        <v>45</v>
      </c>
      <c r="I25" s="19"/>
      <c r="J25" s="19"/>
      <c r="K25" s="19"/>
      <c r="L25" s="19"/>
      <c r="M25" s="19"/>
      <c r="N25" s="17" t="n">
        <f aca="false">IF(COUNT(C25:M25)=0,"",SUM(C25:M25))</f>
        <v>271</v>
      </c>
      <c r="O25" s="17" t="n">
        <f aca="false">IF(OR(N25="",$N$4-SUMIF(C25:M25,"欠",$C$4:$M$4)&lt;=0),"",ROUND(N25/($N$4-SUMIF(C25:M25,"欠",$C$4:$M$4))*100,0))</f>
        <v>90</v>
      </c>
      <c r="P25" s="17" t="str">
        <f aca="false">IF(O25="","",IF(O25&gt;=設定!$D$11,"A",IF(O25&gt;=設定!$E$11,"B","C")))</f>
        <v>A</v>
      </c>
      <c r="Q25" s="19" t="n">
        <v>45</v>
      </c>
      <c r="R25" s="19" t="n">
        <v>42</v>
      </c>
      <c r="S25" s="19" t="n">
        <v>45</v>
      </c>
      <c r="T25" s="20" t="n">
        <v>42</v>
      </c>
      <c r="U25" s="19" t="n">
        <v>46</v>
      </c>
      <c r="V25" s="19" t="n">
        <v>34</v>
      </c>
      <c r="W25" s="19"/>
      <c r="X25" s="19"/>
      <c r="Y25" s="19"/>
      <c r="Z25" s="19"/>
      <c r="AA25" s="17" t="n">
        <f aca="false">IF(COUNT(Q25:Z25)=0,"",SUM(Q25:Z25))</f>
        <v>254</v>
      </c>
      <c r="AB25" s="17" t="n">
        <f aca="false">IF(OR(AA25="",$AA$4-SUMIF(Q25:Z25,"欠",$Q$4:$Z$4)&lt;=0),"",ROUND(AA25/($AA$4-SUMIF(Q25:Z25,"欠",$Q$4:$Z$4))*100,0))</f>
        <v>85</v>
      </c>
      <c r="AC25" s="17" t="str">
        <f aca="false">IF(AB25="","",IF(AB25&gt;=設定!$D$11,"A",IF(AB25&gt;=設定!$E$11,"B","C")))</f>
        <v>B</v>
      </c>
      <c r="AD25" s="17" t="n">
        <f aca="false">IF(AND(N25="",AA25=""),"",IF(N25="",0,N25)+IF(AA25="",0,AA25))</f>
        <v>525</v>
      </c>
      <c r="AE25" s="17" t="n">
        <f aca="false">IF(AD25="","",IF($AD$4-SUMIF(C25:M25,"欠",$C$4:$M$4)-SUMIF(Q25:Z25,"欠",$Q$4:$Z$4)&lt;=0,"",ROUND(AD25/($AD$4-SUMIF(C25:M25,"欠",$C$4:$M$4)-SUMIF(Q25:Z25,"欠",$Q$4:$Z$4))*100,0)))</f>
        <v>88</v>
      </c>
      <c r="AF25" s="17" t="str">
        <f aca="false">IF(AE25="","",IF(AE25&gt;=設定!$D$11,"A",IF(AE25&gt;=設定!$E$11,"B","C")))</f>
        <v>B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37</v>
      </c>
      <c r="D26" s="19" t="n">
        <v>40</v>
      </c>
      <c r="E26" s="19" t="n">
        <v>37</v>
      </c>
      <c r="F26" s="20" t="n">
        <v>41</v>
      </c>
      <c r="G26" s="19" t="n">
        <v>39</v>
      </c>
      <c r="H26" s="19" t="n">
        <v>36</v>
      </c>
      <c r="I26" s="19"/>
      <c r="J26" s="19"/>
      <c r="K26" s="19"/>
      <c r="L26" s="19"/>
      <c r="M26" s="19"/>
      <c r="N26" s="17" t="n">
        <f aca="false">IF(COUNT(C26:M26)=0,"",SUM(C26:M26))</f>
        <v>230</v>
      </c>
      <c r="O26" s="17" t="n">
        <f aca="false">IF(OR(N26="",$N$4-SUMIF(C26:M26,"欠",$C$4:$M$4)&lt;=0),"",ROUND(N26/($N$4-SUMIF(C26:M26,"欠",$C$4:$M$4))*100,0))</f>
        <v>77</v>
      </c>
      <c r="P26" s="17" t="str">
        <f aca="false">IF(O26="","",IF(O26&gt;=設定!$D$11,"A",IF(O26&gt;=設定!$E$11,"B","C")))</f>
        <v>B</v>
      </c>
      <c r="Q26" s="19" t="n">
        <v>29</v>
      </c>
      <c r="R26" s="19" t="n">
        <v>32</v>
      </c>
      <c r="S26" s="19" t="n">
        <v>33</v>
      </c>
      <c r="T26" s="20" t="n">
        <v>27</v>
      </c>
      <c r="U26" s="19" t="n">
        <v>37</v>
      </c>
      <c r="V26" s="19" t="n">
        <v>32</v>
      </c>
      <c r="W26" s="19"/>
      <c r="X26" s="19"/>
      <c r="Y26" s="19"/>
      <c r="Z26" s="19"/>
      <c r="AA26" s="17" t="n">
        <f aca="false">IF(COUNT(Q26:Z26)=0,"",SUM(Q26:Z26))</f>
        <v>190</v>
      </c>
      <c r="AB26" s="17" t="n">
        <f aca="false">IF(OR(AA26="",$AA$4-SUMIF(Q26:Z26,"欠",$Q$4:$Z$4)&lt;=0),"",ROUND(AA26/($AA$4-SUMIF(Q26:Z26,"欠",$Q$4:$Z$4))*100,0))</f>
        <v>63</v>
      </c>
      <c r="AC26" s="17" t="str">
        <f aca="false">IF(AB26="","",IF(AB26&gt;=設定!$D$11,"A",IF(AB26&gt;=設定!$E$11,"B","C")))</f>
        <v>B</v>
      </c>
      <c r="AD26" s="17" t="n">
        <f aca="false">IF(AND(N26="",AA26=""),"",IF(N26="",0,N26)+IF(AA26="",0,AA26))</f>
        <v>420</v>
      </c>
      <c r="AE26" s="17" t="n">
        <f aca="false">IF(AD26="","",IF($AD$4-SUMIF(C26:M26,"欠",$C$4:$M$4)-SUMIF(Q26:Z26,"欠",$Q$4:$Z$4)&lt;=0,"",ROUND(AD26/($AD$4-SUMIF(C26:M26,"欠",$C$4:$M$4)-SUMIF(Q26:Z26,"欠",$Q$4:$Z$4))*100,0)))</f>
        <v>70</v>
      </c>
      <c r="AF26" s="17" t="str">
        <f aca="false">IF(AE26="","",IF(AE26&gt;=設定!$D$11,"A",IF(AE26&gt;=設定!$E$11,"B","C")))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47</v>
      </c>
      <c r="D27" s="19" t="n">
        <v>45</v>
      </c>
      <c r="E27" s="19" t="n">
        <v>48</v>
      </c>
      <c r="F27" s="20" t="n">
        <v>44</v>
      </c>
      <c r="G27" s="19" t="n">
        <v>46</v>
      </c>
      <c r="H27" s="19" t="n">
        <v>45</v>
      </c>
      <c r="I27" s="19"/>
      <c r="J27" s="19"/>
      <c r="K27" s="19"/>
      <c r="L27" s="19"/>
      <c r="M27" s="19"/>
      <c r="N27" s="17" t="n">
        <f aca="false">IF(COUNT(C27:M27)=0,"",SUM(C27:M27))</f>
        <v>275</v>
      </c>
      <c r="O27" s="17" t="n">
        <f aca="false">IF(OR(N27="",$N$4-SUMIF(C27:M27,"欠",$C$4:$M$4)&lt;=0),"",ROUND(N27/($N$4-SUMIF(C27:M27,"欠",$C$4:$M$4))*100,0))</f>
        <v>92</v>
      </c>
      <c r="P27" s="17" t="str">
        <f aca="false">IF(O27="","",IF(O27&gt;=設定!$D$11,"A",IF(O27&gt;=設定!$E$11,"B","C")))</f>
        <v>A</v>
      </c>
      <c r="Q27" s="19" t="n">
        <v>34</v>
      </c>
      <c r="R27" s="19" t="n">
        <v>49</v>
      </c>
      <c r="S27" s="19" t="n">
        <v>43</v>
      </c>
      <c r="T27" s="20" t="n">
        <v>46</v>
      </c>
      <c r="U27" s="19" t="n">
        <v>40</v>
      </c>
      <c r="V27" s="19" t="n">
        <v>43</v>
      </c>
      <c r="W27" s="19"/>
      <c r="X27" s="19"/>
      <c r="Y27" s="19"/>
      <c r="Z27" s="19"/>
      <c r="AA27" s="17" t="n">
        <f aca="false">IF(COUNT(Q27:Z27)=0,"",SUM(Q27:Z27))</f>
        <v>255</v>
      </c>
      <c r="AB27" s="17" t="n">
        <f aca="false">IF(OR(AA27="",$AA$4-SUMIF(Q27:Z27,"欠",$Q$4:$Z$4)&lt;=0),"",ROUND(AA27/($AA$4-SUMIF(Q27:Z27,"欠",$Q$4:$Z$4))*100,0))</f>
        <v>85</v>
      </c>
      <c r="AC27" s="17" t="str">
        <f aca="false">IF(AB27="","",IF(AB27&gt;=設定!$D$11,"A",IF(AB27&gt;=設定!$E$11,"B","C")))</f>
        <v>B</v>
      </c>
      <c r="AD27" s="17" t="n">
        <f aca="false">IF(AND(N27="",AA27=""),"",IF(N27="",0,N27)+IF(AA27="",0,AA27))</f>
        <v>530</v>
      </c>
      <c r="AE27" s="17" t="n">
        <f aca="false">IF(AD27="","",IF($AD$4-SUMIF(C27:M27,"欠",$C$4:$M$4)-SUMIF(Q27:Z27,"欠",$Q$4:$Z$4)&lt;=0,"",ROUND(AD27/($AD$4-SUMIF(C27:M27,"欠",$C$4:$M$4)-SUMIF(Q27:Z27,"欠",$Q$4:$Z$4))*100,0)))</f>
        <v>88</v>
      </c>
      <c r="AF27" s="17" t="str">
        <f aca="false">IF(AE27="","",IF(AE27&gt;=設定!$D$11,"A",IF(AE27&gt;=設定!$E$11,"B","C")))</f>
        <v>B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35</v>
      </c>
      <c r="D28" s="19" t="n">
        <v>29</v>
      </c>
      <c r="E28" s="19" t="n">
        <v>38</v>
      </c>
      <c r="F28" s="20" t="n">
        <v>33</v>
      </c>
      <c r="G28" s="19" t="n">
        <v>32</v>
      </c>
      <c r="H28" s="19" t="n">
        <v>32</v>
      </c>
      <c r="I28" s="19"/>
      <c r="J28" s="19"/>
      <c r="K28" s="19"/>
      <c r="L28" s="19"/>
      <c r="M28" s="19"/>
      <c r="N28" s="17" t="n">
        <f aca="false">IF(COUNT(C28:M28)=0,"",SUM(C28:M28))</f>
        <v>199</v>
      </c>
      <c r="O28" s="17" t="n">
        <f aca="false">IF(OR(N28="",$N$4-SUMIF(C28:M28,"欠",$C$4:$M$4)&lt;=0),"",ROUND(N28/($N$4-SUMIF(C28:M28,"欠",$C$4:$M$4))*100,0))</f>
        <v>66</v>
      </c>
      <c r="P28" s="17" t="str">
        <f aca="false">IF(O28="","",IF(O28&gt;=設定!$D$11,"A",IF(O28&gt;=設定!$E$11,"B","C")))</f>
        <v>B</v>
      </c>
      <c r="Q28" s="19" t="n">
        <v>26</v>
      </c>
      <c r="R28" s="19" t="n">
        <v>29</v>
      </c>
      <c r="S28" s="19" t="n">
        <v>29</v>
      </c>
      <c r="T28" s="20" t="n">
        <v>28</v>
      </c>
      <c r="U28" s="19" t="n">
        <v>30</v>
      </c>
      <c r="V28" s="19" t="n">
        <v>30</v>
      </c>
      <c r="W28" s="19"/>
      <c r="X28" s="19"/>
      <c r="Y28" s="19"/>
      <c r="Z28" s="19"/>
      <c r="AA28" s="17" t="n">
        <f aca="false">IF(COUNT(Q28:Z28)=0,"",SUM(Q28:Z28))</f>
        <v>172</v>
      </c>
      <c r="AB28" s="17" t="n">
        <f aca="false">IF(OR(AA28="",$AA$4-SUMIF(Q28:Z28,"欠",$Q$4:$Z$4)&lt;=0),"",ROUND(AA28/($AA$4-SUMIF(Q28:Z28,"欠",$Q$4:$Z$4))*100,0))</f>
        <v>57</v>
      </c>
      <c r="AC28" s="17" t="str">
        <f aca="false">IF(AB28="","",IF(AB28&gt;=設定!$D$11,"A",IF(AB28&gt;=設定!$E$11,"B","C")))</f>
        <v>C</v>
      </c>
      <c r="AD28" s="17" t="n">
        <f aca="false">IF(AND(N28="",AA28=""),"",IF(N28="",0,N28)+IF(AA28="",0,AA28))</f>
        <v>371</v>
      </c>
      <c r="AE28" s="17" t="n">
        <f aca="false">IF(AD28="","",IF($AD$4-SUMIF(C28:M28,"欠",$C$4:$M$4)-SUMIF(Q28:Z28,"欠",$Q$4:$Z$4)&lt;=0,"",ROUND(AD28/($AD$4-SUMIF(C28:M28,"欠",$C$4:$M$4)-SUMIF(Q28:Z28,"欠",$Q$4:$Z$4))*100,0)))</f>
        <v>62</v>
      </c>
      <c r="AF28" s="17" t="str">
        <f aca="false">IF(AE28="","",IF(AE28&gt;=設定!$D$11,"A",IF(AE28&gt;=設定!$E$11,"B","C")))</f>
        <v>B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40</v>
      </c>
      <c r="D29" s="19" t="n">
        <v>37</v>
      </c>
      <c r="E29" s="19" t="n">
        <v>27</v>
      </c>
      <c r="F29" s="20" t="n">
        <v>33</v>
      </c>
      <c r="G29" s="19" t="n">
        <v>31</v>
      </c>
      <c r="H29" s="19" t="n">
        <v>34</v>
      </c>
      <c r="I29" s="19"/>
      <c r="J29" s="19"/>
      <c r="K29" s="19"/>
      <c r="L29" s="19"/>
      <c r="M29" s="19"/>
      <c r="N29" s="17" t="n">
        <f aca="false">IF(COUNT(C29:M29)=0,"",SUM(C29:M29))</f>
        <v>202</v>
      </c>
      <c r="O29" s="17" t="n">
        <f aca="false">IF(OR(N29="",$N$4-SUMIF(C29:M29,"欠",$C$4:$M$4)&lt;=0),"",ROUND(N29/($N$4-SUMIF(C29:M29,"欠",$C$4:$M$4))*100,0))</f>
        <v>67</v>
      </c>
      <c r="P29" s="17" t="str">
        <f aca="false">IF(O29="","",IF(O29&gt;=設定!$D$11,"A",IF(O29&gt;=設定!$E$11,"B","C")))</f>
        <v>B</v>
      </c>
      <c r="Q29" s="19" t="n">
        <v>29</v>
      </c>
      <c r="R29" s="19" t="n">
        <v>30</v>
      </c>
      <c r="S29" s="19" t="n">
        <v>33</v>
      </c>
      <c r="T29" s="20" t="n">
        <v>28</v>
      </c>
      <c r="U29" s="19" t="n">
        <v>31</v>
      </c>
      <c r="V29" s="19" t="n">
        <v>29</v>
      </c>
      <c r="W29" s="19"/>
      <c r="X29" s="19"/>
      <c r="Y29" s="19"/>
      <c r="Z29" s="19"/>
      <c r="AA29" s="17" t="n">
        <f aca="false">IF(COUNT(Q29:Z29)=0,"",SUM(Q29:Z29))</f>
        <v>180</v>
      </c>
      <c r="AB29" s="17" t="n">
        <f aca="false">IF(OR(AA29="",$AA$4-SUMIF(Q29:Z29,"欠",$Q$4:$Z$4)&lt;=0),"",ROUND(AA29/($AA$4-SUMIF(Q29:Z29,"欠",$Q$4:$Z$4))*100,0))</f>
        <v>60</v>
      </c>
      <c r="AC29" s="17" t="str">
        <f aca="false">IF(AB29="","",IF(AB29&gt;=設定!$D$11,"A",IF(AB29&gt;=設定!$E$11,"B","C")))</f>
        <v>B</v>
      </c>
      <c r="AD29" s="17" t="n">
        <f aca="false">IF(AND(N29="",AA29=""),"",IF(N29="",0,N29)+IF(AA29="",0,AA29))</f>
        <v>382</v>
      </c>
      <c r="AE29" s="17" t="n">
        <f aca="false">IF(AD29="","",IF($AD$4-SUMIF(C29:M29,"欠",$C$4:$M$4)-SUMIF(Q29:Z29,"欠",$Q$4:$Z$4)&lt;=0,"",ROUND(AD29/($AD$4-SUMIF(C29:M29,"欠",$C$4:$M$4)-SUMIF(Q29:Z29,"欠",$Q$4:$Z$4))*100,0)))</f>
        <v>64</v>
      </c>
      <c r="AF29" s="17" t="str">
        <f aca="false">IF(AE29="","",IF(AE29&gt;=設定!$D$11,"A",IF(AE29&gt;=設定!$E$11,"B","C")))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37</v>
      </c>
      <c r="D30" s="19" t="n">
        <v>46</v>
      </c>
      <c r="E30" s="19" t="n">
        <v>49</v>
      </c>
      <c r="F30" s="20" t="n">
        <v>41</v>
      </c>
      <c r="G30" s="19" t="n">
        <v>33</v>
      </c>
      <c r="H30" s="19" t="n">
        <v>35</v>
      </c>
      <c r="I30" s="19"/>
      <c r="J30" s="19"/>
      <c r="K30" s="19"/>
      <c r="L30" s="19"/>
      <c r="M30" s="19"/>
      <c r="N30" s="17" t="n">
        <f aca="false">IF(COUNT(C30:M30)=0,"",SUM(C30:M30))</f>
        <v>241</v>
      </c>
      <c r="O30" s="17" t="n">
        <f aca="false">IF(OR(N30="",$N$4-SUMIF(C30:M30,"欠",$C$4:$M$4)&lt;=0),"",ROUND(N30/($N$4-SUMIF(C30:M30,"欠",$C$4:$M$4))*100,0))</f>
        <v>80</v>
      </c>
      <c r="P30" s="17" t="str">
        <f aca="false">IF(O30="","",IF(O30&gt;=設定!$D$11,"A",IF(O30&gt;=設定!$E$11,"B","C")))</f>
        <v>B</v>
      </c>
      <c r="Q30" s="19" t="n">
        <v>42</v>
      </c>
      <c r="R30" s="19" t="n">
        <v>36</v>
      </c>
      <c r="S30" s="19" t="n">
        <v>32</v>
      </c>
      <c r="T30" s="20" t="n">
        <v>38</v>
      </c>
      <c r="U30" s="19" t="n">
        <v>41</v>
      </c>
      <c r="V30" s="19" t="n">
        <v>33</v>
      </c>
      <c r="W30" s="19"/>
      <c r="X30" s="19"/>
      <c r="Y30" s="19"/>
      <c r="Z30" s="19"/>
      <c r="AA30" s="17" t="n">
        <f aca="false">IF(COUNT(Q30:Z30)=0,"",SUM(Q30:Z30))</f>
        <v>222</v>
      </c>
      <c r="AB30" s="17" t="n">
        <f aca="false">IF(OR(AA30="",$AA$4-SUMIF(Q30:Z30,"欠",$Q$4:$Z$4)&lt;=0),"",ROUND(AA30/($AA$4-SUMIF(Q30:Z30,"欠",$Q$4:$Z$4))*100,0))</f>
        <v>74</v>
      </c>
      <c r="AC30" s="17" t="str">
        <f aca="false">IF(AB30="","",IF(AB30&gt;=設定!$D$11,"A",IF(AB30&gt;=設定!$E$11,"B","C")))</f>
        <v>B</v>
      </c>
      <c r="AD30" s="17" t="n">
        <f aca="false">IF(AND(N30="",AA30=""),"",IF(N30="",0,N30)+IF(AA30="",0,AA30))</f>
        <v>463</v>
      </c>
      <c r="AE30" s="17" t="n">
        <f aca="false">IF(AD30="","",IF($AD$4-SUMIF(C30:M30,"欠",$C$4:$M$4)-SUMIF(Q30:Z30,"欠",$Q$4:$Z$4)&lt;=0,"",ROUND(AD30/($AD$4-SUMIF(C30:M30,"欠",$C$4:$M$4)-SUMIF(Q30:Z30,"欠",$Q$4:$Z$4))*100,0)))</f>
        <v>77</v>
      </c>
      <c r="AF30" s="17" t="str">
        <f aca="false">IF(AE30="","",IF(AE30&gt;=設定!$D$11,"A",IF(AE30&gt;=設定!$E$11,"B","C")))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38</v>
      </c>
      <c r="D31" s="19" t="n">
        <v>35</v>
      </c>
      <c r="E31" s="19" t="n">
        <v>43</v>
      </c>
      <c r="F31" s="20" t="n">
        <v>40</v>
      </c>
      <c r="G31" s="19" t="n">
        <v>43</v>
      </c>
      <c r="H31" s="19" t="n">
        <v>36</v>
      </c>
      <c r="I31" s="19"/>
      <c r="J31" s="19"/>
      <c r="K31" s="19"/>
      <c r="L31" s="19"/>
      <c r="M31" s="19"/>
      <c r="N31" s="17" t="n">
        <f aca="false">IF(COUNT(C31:M31)=0,"",SUM(C31:M31))</f>
        <v>235</v>
      </c>
      <c r="O31" s="17" t="n">
        <f aca="false">IF(OR(N31="",$N$4-SUMIF(C31:M31,"欠",$C$4:$M$4)&lt;=0),"",ROUND(N31/($N$4-SUMIF(C31:M31,"欠",$C$4:$M$4))*100,0))</f>
        <v>78</v>
      </c>
      <c r="P31" s="17" t="str">
        <f aca="false">IF(O31="","",IF(O31&gt;=設定!$D$11,"A",IF(O31&gt;=設定!$E$11,"B","C")))</f>
        <v>B</v>
      </c>
      <c r="Q31" s="19" t="n">
        <v>34</v>
      </c>
      <c r="R31" s="19" t="n">
        <v>32</v>
      </c>
      <c r="S31" s="19" t="n">
        <v>34</v>
      </c>
      <c r="T31" s="20" t="n">
        <v>31</v>
      </c>
      <c r="U31" s="19" t="n">
        <v>27</v>
      </c>
      <c r="V31" s="19" t="n">
        <v>32</v>
      </c>
      <c r="W31" s="19"/>
      <c r="X31" s="19"/>
      <c r="Y31" s="19"/>
      <c r="Z31" s="19"/>
      <c r="AA31" s="17" t="n">
        <f aca="false">IF(COUNT(Q31:Z31)=0,"",SUM(Q31:Z31))</f>
        <v>190</v>
      </c>
      <c r="AB31" s="17" t="n">
        <f aca="false">IF(OR(AA31="",$AA$4-SUMIF(Q31:Z31,"欠",$Q$4:$Z$4)&lt;=0),"",ROUND(AA31/($AA$4-SUMIF(Q31:Z31,"欠",$Q$4:$Z$4))*100,0))</f>
        <v>63</v>
      </c>
      <c r="AC31" s="17" t="str">
        <f aca="false">IF(AB31="","",IF(AB31&gt;=設定!$D$11,"A",IF(AB31&gt;=設定!$E$11,"B","C")))</f>
        <v>B</v>
      </c>
      <c r="AD31" s="17" t="n">
        <f aca="false">IF(AND(N31="",AA31=""),"",IF(N31="",0,N31)+IF(AA31="",0,AA31))</f>
        <v>425</v>
      </c>
      <c r="AE31" s="17" t="n">
        <f aca="false">IF(AD31="","",IF($AD$4-SUMIF(C31:M31,"欠",$C$4:$M$4)-SUMIF(Q31:Z31,"欠",$Q$4:$Z$4)&lt;=0,"",ROUND(AD31/($AD$4-SUMIF(C31:M31,"欠",$C$4:$M$4)-SUMIF(Q31:Z31,"欠",$Q$4:$Z$4))*100,0)))</f>
        <v>71</v>
      </c>
      <c r="AF31" s="17" t="str">
        <f aca="false">IF(AE31="","",IF(AE31&gt;=設定!$D$11,"A",IF(AE31&gt;=設定!$E$11,"B","C")))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36</v>
      </c>
      <c r="D32" s="19" t="n">
        <v>37</v>
      </c>
      <c r="E32" s="19" t="n">
        <v>34</v>
      </c>
      <c r="F32" s="20" t="n">
        <v>34</v>
      </c>
      <c r="G32" s="19" t="n">
        <v>31</v>
      </c>
      <c r="H32" s="19" t="n">
        <v>34</v>
      </c>
      <c r="I32" s="19"/>
      <c r="J32" s="19"/>
      <c r="K32" s="19"/>
      <c r="L32" s="19"/>
      <c r="M32" s="19"/>
      <c r="N32" s="17" t="n">
        <f aca="false">IF(COUNT(C32:M32)=0,"",SUM(C32:M32))</f>
        <v>206</v>
      </c>
      <c r="O32" s="17" t="n">
        <f aca="false">IF(OR(N32="",$N$4-SUMIF(C32:M32,"欠",$C$4:$M$4)&lt;=0),"",ROUND(N32/($N$4-SUMIF(C32:M32,"欠",$C$4:$M$4))*100,0))</f>
        <v>69</v>
      </c>
      <c r="P32" s="17" t="str">
        <f aca="false">IF(O32="","",IF(O32&gt;=設定!$D$11,"A",IF(O32&gt;=設定!$E$11,"B","C")))</f>
        <v>B</v>
      </c>
      <c r="Q32" s="19" t="n">
        <v>26</v>
      </c>
      <c r="R32" s="19" t="n">
        <v>25</v>
      </c>
      <c r="S32" s="19" t="n">
        <v>25</v>
      </c>
      <c r="T32" s="20" t="n">
        <v>27</v>
      </c>
      <c r="U32" s="19" t="n">
        <v>28</v>
      </c>
      <c r="V32" s="19" t="n">
        <v>35</v>
      </c>
      <c r="W32" s="19"/>
      <c r="X32" s="19"/>
      <c r="Y32" s="19"/>
      <c r="Z32" s="19"/>
      <c r="AA32" s="17" t="n">
        <f aca="false">IF(COUNT(Q32:Z32)=0,"",SUM(Q32:Z32))</f>
        <v>166</v>
      </c>
      <c r="AB32" s="17" t="n">
        <f aca="false">IF(OR(AA32="",$AA$4-SUMIF(Q32:Z32,"欠",$Q$4:$Z$4)&lt;=0),"",ROUND(AA32/($AA$4-SUMIF(Q32:Z32,"欠",$Q$4:$Z$4))*100,0))</f>
        <v>55</v>
      </c>
      <c r="AC32" s="17" t="str">
        <f aca="false">IF(AB32="","",IF(AB32&gt;=設定!$D$11,"A",IF(AB32&gt;=設定!$E$11,"B","C")))</f>
        <v>C</v>
      </c>
      <c r="AD32" s="17" t="n">
        <f aca="false">IF(AND(N32="",AA32=""),"",IF(N32="",0,N32)+IF(AA32="",0,AA32))</f>
        <v>372</v>
      </c>
      <c r="AE32" s="17" t="n">
        <f aca="false">IF(AD32="","",IF($AD$4-SUMIF(C32:M32,"欠",$C$4:$M$4)-SUMIF(Q32:Z32,"欠",$Q$4:$Z$4)&lt;=0,"",ROUND(AD32/($AD$4-SUMIF(C32:M32,"欠",$C$4:$M$4)-SUMIF(Q32:Z32,"欠",$Q$4:$Z$4))*100,0)))</f>
        <v>62</v>
      </c>
      <c r="AF32" s="17" t="str">
        <f aca="false">IF(AE32="","",IF(AE32&gt;=設定!$D$11,"A",IF(AE32&gt;=設定!$E$11,"B","C")))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49</v>
      </c>
      <c r="D33" s="19" t="n">
        <v>48</v>
      </c>
      <c r="E33" s="19" t="n">
        <v>48</v>
      </c>
      <c r="F33" s="20" t="n">
        <v>50</v>
      </c>
      <c r="G33" s="19" t="n">
        <v>49</v>
      </c>
      <c r="H33" s="19" t="n">
        <v>50</v>
      </c>
      <c r="I33" s="19"/>
      <c r="J33" s="19"/>
      <c r="K33" s="19"/>
      <c r="L33" s="19"/>
      <c r="M33" s="19"/>
      <c r="N33" s="17" t="n">
        <f aca="false">IF(COUNT(C33:M33)=0,"",SUM(C33:M33))</f>
        <v>294</v>
      </c>
      <c r="O33" s="17" t="n">
        <f aca="false">IF(OR(N33="",$N$4-SUMIF(C33:M33,"欠",$C$4:$M$4)&lt;=0),"",ROUND(N33/($N$4-SUMIF(C33:M33,"欠",$C$4:$M$4))*100,0))</f>
        <v>98</v>
      </c>
      <c r="P33" s="17" t="str">
        <f aca="false">IF(O33="","",IF(O33&gt;=設定!$D$11,"A",IF(O33&gt;=設定!$E$11,"B","C")))</f>
        <v>A</v>
      </c>
      <c r="Q33" s="19" t="n">
        <v>48</v>
      </c>
      <c r="R33" s="19" t="n">
        <v>46</v>
      </c>
      <c r="S33" s="19" t="n">
        <v>48</v>
      </c>
      <c r="T33" s="20" t="n">
        <v>48</v>
      </c>
      <c r="U33" s="19" t="n">
        <v>47</v>
      </c>
      <c r="V33" s="19" t="n">
        <v>50</v>
      </c>
      <c r="W33" s="19"/>
      <c r="X33" s="19"/>
      <c r="Y33" s="19"/>
      <c r="Z33" s="19"/>
      <c r="AA33" s="17" t="n">
        <f aca="false">IF(COUNT(Q33:Z33)=0,"",SUM(Q33:Z33))</f>
        <v>287</v>
      </c>
      <c r="AB33" s="17" t="n">
        <f aca="false">IF(OR(AA33="",$AA$4-SUMIF(Q33:Z33,"欠",$Q$4:$Z$4)&lt;=0),"",ROUND(AA33/($AA$4-SUMIF(Q33:Z33,"欠",$Q$4:$Z$4))*100,0))</f>
        <v>96</v>
      </c>
      <c r="AC33" s="17" t="str">
        <f aca="false">IF(AB33="","",IF(AB33&gt;=設定!$D$11,"A",IF(AB33&gt;=設定!$E$11,"B","C")))</f>
        <v>A</v>
      </c>
      <c r="AD33" s="17" t="n">
        <f aca="false">IF(AND(N33="",AA33=""),"",IF(N33="",0,N33)+IF(AA33="",0,AA33))</f>
        <v>581</v>
      </c>
      <c r="AE33" s="17" t="n">
        <f aca="false">IF(AD33="","",IF($AD$4-SUMIF(C33:M33,"欠",$C$4:$M$4)-SUMIF(Q33:Z33,"欠",$Q$4:$Z$4)&lt;=0,"",ROUND(AD33/($AD$4-SUMIF(C33:M33,"欠",$C$4:$M$4)-SUMIF(Q33:Z33,"欠",$Q$4:$Z$4))*100,0)))</f>
        <v>97</v>
      </c>
      <c r="AF33" s="17" t="str">
        <f aca="false">IF(AE33="","",IF(AE33&gt;=設定!$D$11,"A",IF(AE33&gt;=設定!$E$11,"B","C")))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50</v>
      </c>
      <c r="D34" s="19" t="n">
        <v>45</v>
      </c>
      <c r="E34" s="19" t="n">
        <v>50</v>
      </c>
      <c r="F34" s="20" t="n">
        <v>44</v>
      </c>
      <c r="G34" s="19" t="n">
        <v>47</v>
      </c>
      <c r="H34" s="19" t="n">
        <v>49</v>
      </c>
      <c r="I34" s="19"/>
      <c r="J34" s="19"/>
      <c r="K34" s="19"/>
      <c r="L34" s="19"/>
      <c r="M34" s="19"/>
      <c r="N34" s="17" t="n">
        <f aca="false">IF(COUNT(C34:M34)=0,"",SUM(C34:M34))</f>
        <v>285</v>
      </c>
      <c r="O34" s="17" t="n">
        <f aca="false">IF(OR(N34="",$N$4-SUMIF(C34:M34,"欠",$C$4:$M$4)&lt;=0),"",ROUND(N34/($N$4-SUMIF(C34:M34,"欠",$C$4:$M$4))*100,0))</f>
        <v>95</v>
      </c>
      <c r="P34" s="17" t="str">
        <f aca="false">IF(O34="","",IF(O34&gt;=設定!$D$11,"A",IF(O34&gt;=設定!$E$11,"B","C")))</f>
        <v>A</v>
      </c>
      <c r="Q34" s="19" t="n">
        <v>40</v>
      </c>
      <c r="R34" s="19" t="n">
        <v>44</v>
      </c>
      <c r="S34" s="19" t="n">
        <v>40</v>
      </c>
      <c r="T34" s="20" t="n">
        <v>40</v>
      </c>
      <c r="U34" s="19" t="n">
        <v>50</v>
      </c>
      <c r="V34" s="19" t="n">
        <v>38</v>
      </c>
      <c r="W34" s="19"/>
      <c r="X34" s="19"/>
      <c r="Y34" s="19"/>
      <c r="Z34" s="19"/>
      <c r="AA34" s="17" t="n">
        <f aca="false">IF(COUNT(Q34:Z34)=0,"",SUM(Q34:Z34))</f>
        <v>252</v>
      </c>
      <c r="AB34" s="17" t="n">
        <f aca="false">IF(OR(AA34="",$AA$4-SUMIF(Q34:Z34,"欠",$Q$4:$Z$4)&lt;=0),"",ROUND(AA34/($AA$4-SUMIF(Q34:Z34,"欠",$Q$4:$Z$4))*100,0))</f>
        <v>84</v>
      </c>
      <c r="AC34" s="17" t="str">
        <f aca="false">IF(AB34="","",IF(AB34&gt;=設定!$D$11,"A",IF(AB34&gt;=設定!$E$11,"B","C")))</f>
        <v>B</v>
      </c>
      <c r="AD34" s="17" t="n">
        <f aca="false">IF(AND(N34="",AA34=""),"",IF(N34="",0,N34)+IF(AA34="",0,AA34))</f>
        <v>537</v>
      </c>
      <c r="AE34" s="17" t="n">
        <f aca="false">IF(AD34="","",IF($AD$4-SUMIF(C34:M34,"欠",$C$4:$M$4)-SUMIF(Q34:Z34,"欠",$Q$4:$Z$4)&lt;=0,"",ROUND(AD34/($AD$4-SUMIF(C34:M34,"欠",$C$4:$M$4)-SUMIF(Q34:Z34,"欠",$Q$4:$Z$4))*100,0)))</f>
        <v>90</v>
      </c>
      <c r="AF34" s="17" t="str">
        <f aca="false">IF(AE34="","",IF(AE34&gt;=設定!$D$11,"A",IF(AE34&gt;=設定!$E$11,"B","C")))</f>
        <v>A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40</v>
      </c>
      <c r="D35" s="19" t="n">
        <v>40</v>
      </c>
      <c r="E35" s="19" t="n">
        <v>37</v>
      </c>
      <c r="F35" s="20" t="n">
        <v>42</v>
      </c>
      <c r="G35" s="19" t="n">
        <v>36</v>
      </c>
      <c r="H35" s="19" t="n">
        <v>37</v>
      </c>
      <c r="I35" s="19"/>
      <c r="J35" s="19"/>
      <c r="K35" s="19"/>
      <c r="L35" s="19"/>
      <c r="M35" s="19"/>
      <c r="N35" s="17" t="n">
        <f aca="false">IF(COUNT(C35:M35)=0,"",SUM(C35:M35))</f>
        <v>232</v>
      </c>
      <c r="O35" s="17" t="n">
        <f aca="false">IF(OR(N35="",$N$4-SUMIF(C35:M35,"欠",$C$4:$M$4)&lt;=0),"",ROUND(N35/($N$4-SUMIF(C35:M35,"欠",$C$4:$M$4))*100,0))</f>
        <v>77</v>
      </c>
      <c r="P35" s="17" t="str">
        <f aca="false">IF(O35="","",IF(O35&gt;=設定!$D$11,"A",IF(O35&gt;=設定!$E$11,"B","C")))</f>
        <v>B</v>
      </c>
      <c r="Q35" s="19" t="n">
        <v>28</v>
      </c>
      <c r="R35" s="19" t="n">
        <v>42</v>
      </c>
      <c r="S35" s="19" t="n">
        <v>33</v>
      </c>
      <c r="T35" s="20" t="n">
        <v>43</v>
      </c>
      <c r="U35" s="19" t="n">
        <v>37</v>
      </c>
      <c r="V35" s="19" t="n">
        <v>36</v>
      </c>
      <c r="W35" s="19"/>
      <c r="X35" s="19"/>
      <c r="Y35" s="19"/>
      <c r="Z35" s="19"/>
      <c r="AA35" s="17" t="n">
        <f aca="false">IF(COUNT(Q35:Z35)=0,"",SUM(Q35:Z35))</f>
        <v>219</v>
      </c>
      <c r="AB35" s="17" t="n">
        <f aca="false">IF(OR(AA35="",$AA$4-SUMIF(Q35:Z35,"欠",$Q$4:$Z$4)&lt;=0),"",ROUND(AA35/($AA$4-SUMIF(Q35:Z35,"欠",$Q$4:$Z$4))*100,0))</f>
        <v>73</v>
      </c>
      <c r="AC35" s="17" t="str">
        <f aca="false">IF(AB35="","",IF(AB35&gt;=設定!$D$11,"A",IF(AB35&gt;=設定!$E$11,"B","C")))</f>
        <v>B</v>
      </c>
      <c r="AD35" s="17" t="n">
        <f aca="false">IF(AND(N35="",AA35=""),"",IF(N35="",0,N35)+IF(AA35="",0,AA35))</f>
        <v>451</v>
      </c>
      <c r="AE35" s="17" t="n">
        <f aca="false">IF(AD35="","",IF($AD$4-SUMIF(C35:M35,"欠",$C$4:$M$4)-SUMIF(Q35:Z35,"欠",$Q$4:$Z$4)&lt;=0,"",ROUND(AD35/($AD$4-SUMIF(C35:M35,"欠",$C$4:$M$4)-SUMIF(Q35:Z35,"欠",$Q$4:$Z$4))*100,0)))</f>
        <v>75</v>
      </c>
      <c r="AF35" s="17" t="str">
        <f aca="false">IF(AE35="","",IF(AE35&gt;=設定!$D$11,"A",IF(AE35&gt;=設定!$E$11,"B","C")))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49</v>
      </c>
      <c r="D36" s="19" t="n">
        <v>50</v>
      </c>
      <c r="E36" s="19" t="n">
        <v>46</v>
      </c>
      <c r="F36" s="20" t="n">
        <v>50</v>
      </c>
      <c r="G36" s="19" t="n">
        <v>43</v>
      </c>
      <c r="H36" s="19" t="n">
        <v>49</v>
      </c>
      <c r="I36" s="19"/>
      <c r="J36" s="19"/>
      <c r="K36" s="19"/>
      <c r="L36" s="19"/>
      <c r="M36" s="19"/>
      <c r="N36" s="17" t="n">
        <f aca="false">IF(COUNT(C36:M36)=0,"",SUM(C36:M36))</f>
        <v>287</v>
      </c>
      <c r="O36" s="17" t="n">
        <f aca="false">IF(OR(N36="",$N$4-SUMIF(C36:M36,"欠",$C$4:$M$4)&lt;=0),"",ROUND(N36/($N$4-SUMIF(C36:M36,"欠",$C$4:$M$4))*100,0))</f>
        <v>96</v>
      </c>
      <c r="P36" s="17" t="str">
        <f aca="false">IF(O36="","",IF(O36&gt;=設定!$D$11,"A",IF(O36&gt;=設定!$E$11,"B","C")))</f>
        <v>A</v>
      </c>
      <c r="Q36" s="19" t="n">
        <v>42</v>
      </c>
      <c r="R36" s="19" t="n">
        <v>37</v>
      </c>
      <c r="S36" s="19" t="n">
        <v>50</v>
      </c>
      <c r="T36" s="20" t="n">
        <v>46</v>
      </c>
      <c r="U36" s="19" t="n">
        <v>46</v>
      </c>
      <c r="V36" s="19" t="n">
        <v>44</v>
      </c>
      <c r="W36" s="19"/>
      <c r="X36" s="19"/>
      <c r="Y36" s="19"/>
      <c r="Z36" s="19"/>
      <c r="AA36" s="17" t="n">
        <f aca="false">IF(COUNT(Q36:Z36)=0,"",SUM(Q36:Z36))</f>
        <v>265</v>
      </c>
      <c r="AB36" s="17" t="n">
        <f aca="false">IF(OR(AA36="",$AA$4-SUMIF(Q36:Z36,"欠",$Q$4:$Z$4)&lt;=0),"",ROUND(AA36/($AA$4-SUMIF(Q36:Z36,"欠",$Q$4:$Z$4))*100,0))</f>
        <v>88</v>
      </c>
      <c r="AC36" s="17" t="str">
        <f aca="false">IF(AB36="","",IF(AB36&gt;=設定!$D$11,"A",IF(AB36&gt;=設定!$E$11,"B","C")))</f>
        <v>B</v>
      </c>
      <c r="AD36" s="17" t="n">
        <f aca="false">IF(AND(N36="",AA36=""),"",IF(N36="",0,N36)+IF(AA36="",0,AA36))</f>
        <v>552</v>
      </c>
      <c r="AE36" s="17" t="n">
        <f aca="false">IF(AD36="","",IF($AD$4-SUMIF(C36:M36,"欠",$C$4:$M$4)-SUMIF(Q36:Z36,"欠",$Q$4:$Z$4)&lt;=0,"",ROUND(AD36/($AD$4-SUMIF(C36:M36,"欠",$C$4:$M$4)-SUMIF(Q36:Z36,"欠",$Q$4:$Z$4))*100,0)))</f>
        <v>92</v>
      </c>
      <c r="AF36" s="17" t="str">
        <f aca="false">IF(AE36="","",IF(AE36&gt;=設定!$D$11,"A",IF(AE36&gt;=設定!$E$11,"B","C")))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36</v>
      </c>
      <c r="D37" s="19" t="n">
        <v>41</v>
      </c>
      <c r="E37" s="19" t="n">
        <v>46</v>
      </c>
      <c r="F37" s="20" t="n">
        <v>38</v>
      </c>
      <c r="G37" s="19" t="n">
        <v>47</v>
      </c>
      <c r="H37" s="19" t="n">
        <v>43</v>
      </c>
      <c r="I37" s="19"/>
      <c r="J37" s="19"/>
      <c r="K37" s="19"/>
      <c r="L37" s="19"/>
      <c r="M37" s="19"/>
      <c r="N37" s="17" t="n">
        <f aca="false">IF(COUNT(C37:M37)=0,"",SUM(C37:M37))</f>
        <v>251</v>
      </c>
      <c r="O37" s="17" t="n">
        <f aca="false">IF(OR(N37="",$N$4-SUMIF(C37:M37,"欠",$C$4:$M$4)&lt;=0),"",ROUND(N37/($N$4-SUMIF(C37:M37,"欠",$C$4:$M$4))*100,0))</f>
        <v>84</v>
      </c>
      <c r="P37" s="17" t="str">
        <f aca="false">IF(O37="","",IF(O37&gt;=設定!$D$11,"A",IF(O37&gt;=設定!$E$11,"B","C")))</f>
        <v>B</v>
      </c>
      <c r="Q37" s="19" t="n">
        <v>35</v>
      </c>
      <c r="R37" s="19" t="n">
        <v>40</v>
      </c>
      <c r="S37" s="19" t="n">
        <v>39</v>
      </c>
      <c r="T37" s="20" t="n">
        <v>28</v>
      </c>
      <c r="U37" s="19" t="n">
        <v>37</v>
      </c>
      <c r="V37" s="19" t="n">
        <v>42</v>
      </c>
      <c r="W37" s="19"/>
      <c r="X37" s="19"/>
      <c r="Y37" s="19"/>
      <c r="Z37" s="19"/>
      <c r="AA37" s="17" t="n">
        <f aca="false">IF(COUNT(Q37:Z37)=0,"",SUM(Q37:Z37))</f>
        <v>221</v>
      </c>
      <c r="AB37" s="17" t="n">
        <f aca="false">IF(OR(AA37="",$AA$4-SUMIF(Q37:Z37,"欠",$Q$4:$Z$4)&lt;=0),"",ROUND(AA37/($AA$4-SUMIF(Q37:Z37,"欠",$Q$4:$Z$4))*100,0))</f>
        <v>74</v>
      </c>
      <c r="AC37" s="17" t="str">
        <f aca="false">IF(AB37="","",IF(AB37&gt;=設定!$D$11,"A",IF(AB37&gt;=設定!$E$11,"B","C")))</f>
        <v>B</v>
      </c>
      <c r="AD37" s="17" t="n">
        <f aca="false">IF(AND(N37="",AA37=""),"",IF(N37="",0,N37)+IF(AA37="",0,AA37))</f>
        <v>472</v>
      </c>
      <c r="AE37" s="17" t="n">
        <f aca="false">IF(AD37="","",IF($AD$4-SUMIF(C37:M37,"欠",$C$4:$M$4)-SUMIF(Q37:Z37,"欠",$Q$4:$Z$4)&lt;=0,"",ROUND(AD37/($AD$4-SUMIF(C37:M37,"欠",$C$4:$M$4)-SUMIF(Q37:Z37,"欠",$Q$4:$Z$4))*100,0)))</f>
        <v>79</v>
      </c>
      <c r="AF37" s="17" t="str">
        <f aca="false">IF(AE37="","",IF(AE37&gt;=設定!$D$11,"A",IF(AE37&gt;=設定!$E$11,"B","C")))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31</v>
      </c>
      <c r="D38" s="19" t="n">
        <v>35</v>
      </c>
      <c r="E38" s="19" t="n">
        <v>37</v>
      </c>
      <c r="F38" s="20" t="n">
        <v>39</v>
      </c>
      <c r="G38" s="19" t="n">
        <v>41</v>
      </c>
      <c r="H38" s="19" t="n">
        <v>42</v>
      </c>
      <c r="I38" s="19"/>
      <c r="J38" s="19"/>
      <c r="K38" s="19"/>
      <c r="L38" s="19"/>
      <c r="M38" s="19"/>
      <c r="N38" s="17" t="n">
        <f aca="false">IF(COUNT(C38:M38)=0,"",SUM(C38:M38))</f>
        <v>225</v>
      </c>
      <c r="O38" s="17" t="n">
        <f aca="false">IF(OR(N38="",$N$4-SUMIF(C38:M38,"欠",$C$4:$M$4)&lt;=0),"",ROUND(N38/($N$4-SUMIF(C38:M38,"欠",$C$4:$M$4))*100,0))</f>
        <v>75</v>
      </c>
      <c r="P38" s="17" t="str">
        <f aca="false">IF(O38="","",IF(O38&gt;=設定!$D$11,"A",IF(O38&gt;=設定!$E$11,"B","C")))</f>
        <v>B</v>
      </c>
      <c r="Q38" s="19" t="n">
        <v>34</v>
      </c>
      <c r="R38" s="19" t="n">
        <v>28</v>
      </c>
      <c r="S38" s="19" t="n">
        <v>34</v>
      </c>
      <c r="T38" s="20" t="n">
        <v>36</v>
      </c>
      <c r="U38" s="19" t="n">
        <v>31</v>
      </c>
      <c r="V38" s="19" t="n">
        <v>28</v>
      </c>
      <c r="W38" s="19"/>
      <c r="X38" s="19"/>
      <c r="Y38" s="19"/>
      <c r="Z38" s="19"/>
      <c r="AA38" s="17" t="n">
        <f aca="false">IF(COUNT(Q38:Z38)=0,"",SUM(Q38:Z38))</f>
        <v>191</v>
      </c>
      <c r="AB38" s="17" t="n">
        <f aca="false">IF(OR(AA38="",$AA$4-SUMIF(Q38:Z38,"欠",$Q$4:$Z$4)&lt;=0),"",ROUND(AA38/($AA$4-SUMIF(Q38:Z38,"欠",$Q$4:$Z$4))*100,0))</f>
        <v>64</v>
      </c>
      <c r="AC38" s="17" t="str">
        <f aca="false">IF(AB38="","",IF(AB38&gt;=設定!$D$11,"A",IF(AB38&gt;=設定!$E$11,"B","C")))</f>
        <v>B</v>
      </c>
      <c r="AD38" s="17" t="n">
        <f aca="false">IF(AND(N38="",AA38=""),"",IF(N38="",0,N38)+IF(AA38="",0,AA38))</f>
        <v>416</v>
      </c>
      <c r="AE38" s="17" t="n">
        <f aca="false">IF(AD38="","",IF($AD$4-SUMIF(C38:M38,"欠",$C$4:$M$4)-SUMIF(Q38:Z38,"欠",$Q$4:$Z$4)&lt;=0,"",ROUND(AD38/($AD$4-SUMIF(C38:M38,"欠",$C$4:$M$4)-SUMIF(Q38:Z38,"欠",$Q$4:$Z$4))*100,0)))</f>
        <v>69</v>
      </c>
      <c r="AF38" s="17" t="str">
        <f aca="false">IF(AE38="","",IF(AE38&gt;=設定!$D$11,"A",IF(AE38&gt;=設定!$E$11,"B","C")))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40</v>
      </c>
      <c r="D39" s="19" t="n">
        <v>39</v>
      </c>
      <c r="E39" s="19" t="n">
        <v>46</v>
      </c>
      <c r="F39" s="20" t="n">
        <v>50</v>
      </c>
      <c r="G39" s="19" t="n">
        <v>50</v>
      </c>
      <c r="H39" s="19" t="n">
        <v>39</v>
      </c>
      <c r="I39" s="19"/>
      <c r="J39" s="19"/>
      <c r="K39" s="19"/>
      <c r="L39" s="19"/>
      <c r="M39" s="19"/>
      <c r="N39" s="17" t="n">
        <f aca="false">IF(COUNT(C39:M39)=0,"",SUM(C39:M39))</f>
        <v>264</v>
      </c>
      <c r="O39" s="17" t="n">
        <f aca="false">IF(OR(N39="",$N$4-SUMIF(C39:M39,"欠",$C$4:$M$4)&lt;=0),"",ROUND(N39/($N$4-SUMIF(C39:M39,"欠",$C$4:$M$4))*100,0))</f>
        <v>88</v>
      </c>
      <c r="P39" s="17" t="str">
        <f aca="false">IF(O39="","",IF(O39&gt;=設定!$D$11,"A",IF(O39&gt;=設定!$E$11,"B","C")))</f>
        <v>B</v>
      </c>
      <c r="Q39" s="19" t="n">
        <v>43</v>
      </c>
      <c r="R39" s="19" t="n">
        <v>41</v>
      </c>
      <c r="S39" s="19" t="n">
        <v>37</v>
      </c>
      <c r="T39" s="20" t="n">
        <v>43</v>
      </c>
      <c r="U39" s="19" t="n">
        <v>45</v>
      </c>
      <c r="V39" s="19" t="n">
        <v>40</v>
      </c>
      <c r="W39" s="19"/>
      <c r="X39" s="19"/>
      <c r="Y39" s="19"/>
      <c r="Z39" s="19"/>
      <c r="AA39" s="17" t="n">
        <f aca="false">IF(COUNT(Q39:Z39)=0,"",SUM(Q39:Z39))</f>
        <v>249</v>
      </c>
      <c r="AB39" s="17" t="n">
        <f aca="false">IF(OR(AA39="",$AA$4-SUMIF(Q39:Z39,"欠",$Q$4:$Z$4)&lt;=0),"",ROUND(AA39/($AA$4-SUMIF(Q39:Z39,"欠",$Q$4:$Z$4))*100,0))</f>
        <v>83</v>
      </c>
      <c r="AC39" s="17" t="str">
        <f aca="false">IF(AB39="","",IF(AB39&gt;=設定!$D$11,"A",IF(AB39&gt;=設定!$E$11,"B","C")))</f>
        <v>B</v>
      </c>
      <c r="AD39" s="17" t="n">
        <f aca="false">IF(AND(N39="",AA39=""),"",IF(N39="",0,N39)+IF(AA39="",0,AA39))</f>
        <v>513</v>
      </c>
      <c r="AE39" s="17" t="n">
        <f aca="false">IF(AD39="","",IF($AD$4-SUMIF(C39:M39,"欠",$C$4:$M$4)-SUMIF(Q39:Z39,"欠",$Q$4:$Z$4)&lt;=0,"",ROUND(AD39/($AD$4-SUMIF(C39:M39,"欠",$C$4:$M$4)-SUMIF(Q39:Z39,"欠",$Q$4:$Z$4))*100,0)))</f>
        <v>86</v>
      </c>
      <c r="AF39" s="17" t="str">
        <f aca="false">IF(AE39="","",IF(AE39&gt;=設定!$D$11,"A",IF(AE39&gt;=設定!$E$11,"B","C")))</f>
        <v>B</v>
      </c>
    </row>
    <row r="40" s="13" customFormat="true" ht="19.5" hidden="false" customHeight="true" outlineLevel="0" collapsed="false">
      <c r="A40" s="21"/>
      <c r="B40" s="22" t="s">
        <v>81</v>
      </c>
      <c r="C40" s="22" t="n">
        <f aca="false">IF(COUNT(C5:C39)=0,"",ROUND(AVERAGE(C5:C39),1))</f>
        <v>41.4</v>
      </c>
      <c r="D40" s="22" t="n">
        <f aca="false">IF(COUNT(D5:D39)=0,"",ROUND(AVERAGE(D5:D39),1))</f>
        <v>41.2</v>
      </c>
      <c r="E40" s="22" t="n">
        <f aca="false">IF(COUNT(E5:E39)=0,"",ROUND(AVERAGE(E5:E39),1))</f>
        <v>41.7</v>
      </c>
      <c r="F40" s="22" t="n">
        <f aca="false">IF(COUNT(F5:F39)=0,"",ROUND(AVERAGE(F5:F39),1))</f>
        <v>42.8</v>
      </c>
      <c r="G40" s="22" t="n">
        <f aca="false">IF(COUNT(G5:G39)=0,"",ROUND(AVERAGE(G5:G39),1))</f>
        <v>41.5</v>
      </c>
      <c r="H40" s="22" t="n">
        <f aca="false">IF(COUNT(H5:H39)=0,"",ROUND(AVERAGE(H5:H39),1))</f>
        <v>42.2</v>
      </c>
      <c r="I40" s="22" t="str">
        <f aca="false">IF(COUNT(I5:I39)=0,"",ROUND(AVERAGE(I5:I39),1))</f>
        <v/>
      </c>
      <c r="J40" s="22" t="str">
        <f aca="false">IF(COUNT(J5:J39)=0,"",ROUND(AVERAGE(J5:J39),1))</f>
        <v/>
      </c>
      <c r="K40" s="22" t="str">
        <f aca="false">IF(COUNT(K5:K39)=0,"",ROUND(AVERAGE(K5:K39),1))</f>
        <v/>
      </c>
      <c r="L40" s="22" t="str">
        <f aca="false">IF(COUNT(L5:L39)=0,"",ROUND(AVERAGE(L5:L39),1))</f>
        <v/>
      </c>
      <c r="M40" s="22" t="str">
        <f aca="false">IF(COUNT(M5:M39)=0,"",ROUND(AVERAGE(M5:M39),1))</f>
        <v/>
      </c>
      <c r="N40" s="22" t="n">
        <f aca="false">IF(COUNT(N5:N39)=0,"",ROUND(AVERAGE(N5:N39),1))</f>
        <v>249.5</v>
      </c>
      <c r="O40" s="22" t="n">
        <f aca="false">IF(COUNT(O5:O39)=0,"",ROUND(AVERAGE(O5:O39),1))</f>
        <v>83.6</v>
      </c>
      <c r="P40" s="22"/>
      <c r="Q40" s="22" t="n">
        <f aca="false">IF(COUNT(Q5:Q39)=0,"",ROUND(AVERAGE(Q5:Q39),1))</f>
        <v>36.9</v>
      </c>
      <c r="R40" s="22" t="n">
        <f aca="false">IF(COUNT(R5:R39)=0,"",ROUND(AVERAGE(R5:R39),1))</f>
        <v>37.6</v>
      </c>
      <c r="S40" s="22" t="n">
        <f aca="false">IF(COUNT(S5:S39)=0,"",ROUND(AVERAGE(S5:S39),1))</f>
        <v>38.1</v>
      </c>
      <c r="T40" s="22" t="n">
        <f aca="false">IF(COUNT(T5:T39)=0,"",ROUND(AVERAGE(T5:T39),1))</f>
        <v>37.3</v>
      </c>
      <c r="U40" s="22" t="n">
        <f aca="false">IF(COUNT(U5:U39)=0,"",ROUND(AVERAGE(U5:U39),1))</f>
        <v>37.4</v>
      </c>
      <c r="V40" s="22" t="n">
        <f aca="false">IF(COUNT(V5:V39)=0,"",ROUND(AVERAGE(V5:V39),1))</f>
        <v>37.3</v>
      </c>
      <c r="W40" s="22" t="str">
        <f aca="false">IF(COUNT(W5:W39)=0,"",ROUND(AVERAGE(W5:W39),1))</f>
        <v/>
      </c>
      <c r="X40" s="22" t="str">
        <f aca="false">IF(COUNT(X5:X39)=0,"",ROUND(AVERAGE(X5:X39),1))</f>
        <v/>
      </c>
      <c r="Y40" s="22" t="str">
        <f aca="false">IF(COUNT(Y5:Y39)=0,"",ROUND(AVERAGE(Y5:Y39),1))</f>
        <v/>
      </c>
      <c r="Z40" s="22" t="str">
        <f aca="false">IF(COUNT(Z5:Z39)=0,"",ROUND(AVERAGE(Z5:Z39),1))</f>
        <v/>
      </c>
      <c r="AA40" s="22" t="n">
        <f aca="false">IF(COUNT(AA5:AA39)=0,"",ROUND(AVERAGE(AA5:AA39),1))</f>
        <v>223.4</v>
      </c>
      <c r="AB40" s="22" t="n">
        <f aca="false">IF(COUNT(AB5:AB39)=0,"",ROUND(AVERAGE(AB5:AB39),1))</f>
        <v>74.9</v>
      </c>
      <c r="AC40" s="22"/>
      <c r="AD40" s="22" t="n">
        <f aca="false">IF(COUNT(AD5:AD39)=0,"",ROUND(AVERAGE(AD5:AD39),1))</f>
        <v>472.9</v>
      </c>
      <c r="AE40" s="22" t="n">
        <f aca="false">IF(COUNT(AE5:AE39)=0,"",ROUND(AVERAGE(AE5:AE39),1))</f>
        <v>79.3</v>
      </c>
      <c r="AF40" s="22"/>
    </row>
    <row r="41" s="13" customFormat="true" ht="19.5" hidden="false" customHeight="true" outlineLevel="0" collapsed="false">
      <c r="A41" s="22"/>
      <c r="B41" s="22" t="s">
        <v>82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 t="n">
        <f aca="false">COUNTIF(P5:P39,"A")</f>
        <v>13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 t="n">
        <f aca="false">COUNTIF(AC5:AC39,"A")</f>
        <v>4</v>
      </c>
      <c r="AD41" s="22"/>
      <c r="AE41" s="22"/>
      <c r="AF41" s="22" t="n">
        <f aca="false">COUNTIF(AF5:AF39,"A")</f>
        <v>8</v>
      </c>
    </row>
    <row r="42" s="13" customFormat="true" ht="19.5" hidden="false" customHeight="true" outlineLevel="0" collapsed="false">
      <c r="A42" s="22"/>
      <c r="B42" s="22" t="s">
        <v>83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 t="n">
        <f aca="false">COUNTIF(P5:P39,"B")</f>
        <v>21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 t="n">
        <f aca="false">COUNTIF(AC5:AC39,"B")</f>
        <v>26</v>
      </c>
      <c r="AD42" s="22"/>
      <c r="AE42" s="22"/>
      <c r="AF42" s="22" t="n">
        <f aca="false">COUNTIF(AF5:AF39,"B")</f>
        <v>25</v>
      </c>
    </row>
    <row r="43" s="13" customFormat="true" ht="19.5" hidden="false" customHeight="true" outlineLevel="0" collapsed="false">
      <c r="A43" s="22"/>
      <c r="B43" s="22" t="s">
        <v>84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 t="n">
        <f aca="false">COUNTIF(P5:P39,"C")</f>
        <v>1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 t="n">
        <f aca="false">COUNTIF(AC5:AC39,"C")</f>
        <v>5</v>
      </c>
      <c r="AD43" s="22"/>
      <c r="AE43" s="22"/>
      <c r="AF43" s="22" t="n">
        <f aca="false">COUNTIF(AF5:AF39,"C")</f>
        <v>2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P41" activeCellId="0" sqref="P4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customFormat="false" ht="19.5" hidden="false" customHeight="true" outlineLevel="0" collapsed="false">
      <c r="A2" s="23" t="s">
        <v>62</v>
      </c>
      <c r="B2" s="23"/>
      <c r="C2" s="23" t="s">
        <v>63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 t="s">
        <v>64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 t="s">
        <v>65</v>
      </c>
      <c r="AE2" s="23"/>
      <c r="AF2" s="23"/>
    </row>
    <row r="3" customFormat="false" ht="178.5" hidden="false" customHeight="true" outlineLevel="0" collapsed="false">
      <c r="A3" s="23" t="s">
        <v>66</v>
      </c>
      <c r="B3" s="23"/>
      <c r="C3" s="24" t="s">
        <v>86</v>
      </c>
      <c r="D3" s="24" t="s">
        <v>87</v>
      </c>
      <c r="E3" s="24" t="s">
        <v>88</v>
      </c>
      <c r="F3" s="24" t="s">
        <v>89</v>
      </c>
      <c r="G3" s="24" t="s">
        <v>90</v>
      </c>
      <c r="H3" s="24" t="s">
        <v>91</v>
      </c>
      <c r="I3" s="24"/>
      <c r="J3" s="24"/>
      <c r="K3" s="24"/>
      <c r="L3" s="24"/>
      <c r="M3" s="24"/>
      <c r="N3" s="25" t="s">
        <v>73</v>
      </c>
      <c r="O3" s="25" t="s">
        <v>74</v>
      </c>
      <c r="P3" s="25" t="s">
        <v>75</v>
      </c>
      <c r="Q3" s="24" t="s">
        <v>86</v>
      </c>
      <c r="R3" s="24" t="s">
        <v>87</v>
      </c>
      <c r="S3" s="24" t="s">
        <v>88</v>
      </c>
      <c r="T3" s="24" t="s">
        <v>89</v>
      </c>
      <c r="U3" s="24" t="s">
        <v>90</v>
      </c>
      <c r="V3" s="24" t="s">
        <v>91</v>
      </c>
      <c r="W3" s="24"/>
      <c r="X3" s="24"/>
      <c r="Y3" s="24"/>
      <c r="Z3" s="24"/>
      <c r="AA3" s="25" t="s">
        <v>73</v>
      </c>
      <c r="AB3" s="25" t="s">
        <v>74</v>
      </c>
      <c r="AC3" s="25" t="s">
        <v>75</v>
      </c>
      <c r="AD3" s="25" t="s">
        <v>76</v>
      </c>
      <c r="AE3" s="25" t="s">
        <v>77</v>
      </c>
      <c r="AF3" s="25" t="s">
        <v>78</v>
      </c>
    </row>
    <row r="4" customFormat="false" ht="21.75" hidden="false" customHeight="true" outlineLevel="0" collapsed="false">
      <c r="A4" s="23" t="s">
        <v>1</v>
      </c>
      <c r="B4" s="23" t="s">
        <v>79</v>
      </c>
      <c r="C4" s="26" t="n">
        <v>50</v>
      </c>
      <c r="D4" s="26" t="n">
        <v>50</v>
      </c>
      <c r="E4" s="26" t="n">
        <v>50</v>
      </c>
      <c r="F4" s="26" t="n">
        <v>50</v>
      </c>
      <c r="G4" s="26" t="n">
        <v>50</v>
      </c>
      <c r="H4" s="26" t="n">
        <v>50</v>
      </c>
      <c r="I4" s="26"/>
      <c r="J4" s="26"/>
      <c r="K4" s="26"/>
      <c r="L4" s="26"/>
      <c r="M4" s="26"/>
      <c r="N4" s="23" t="n">
        <f aca="false">SUM(C4:M4)</f>
        <v>300</v>
      </c>
      <c r="O4" s="23"/>
      <c r="P4" s="23"/>
      <c r="Q4" s="26" t="n">
        <v>50</v>
      </c>
      <c r="R4" s="26" t="n">
        <v>50</v>
      </c>
      <c r="S4" s="26" t="n">
        <v>50</v>
      </c>
      <c r="T4" s="26" t="n">
        <v>50</v>
      </c>
      <c r="U4" s="26" t="n">
        <v>50</v>
      </c>
      <c r="V4" s="26" t="n">
        <v>50</v>
      </c>
      <c r="W4" s="26"/>
      <c r="X4" s="26"/>
      <c r="Y4" s="26"/>
      <c r="Z4" s="26"/>
      <c r="AA4" s="23" t="n">
        <f aca="false">SUM(Q4:Z4)</f>
        <v>300</v>
      </c>
      <c r="AB4" s="23"/>
      <c r="AC4" s="23"/>
      <c r="AD4" s="23" t="n">
        <f aca="false">N4+AA4</f>
        <v>600</v>
      </c>
      <c r="AE4" s="23"/>
      <c r="AF4" s="23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50</v>
      </c>
      <c r="D5" s="19" t="n">
        <v>50</v>
      </c>
      <c r="E5" s="19" t="n">
        <v>50</v>
      </c>
      <c r="F5" s="19" t="n">
        <v>50</v>
      </c>
      <c r="G5" s="19" t="n">
        <v>50</v>
      </c>
      <c r="H5" s="19" t="n">
        <v>50</v>
      </c>
      <c r="I5" s="19"/>
      <c r="J5" s="19"/>
      <c r="K5" s="19"/>
      <c r="L5" s="19"/>
      <c r="M5" s="19"/>
      <c r="N5" s="17" t="n">
        <f aca="false">IF(COUNT(C5:M5)=0,"",SUM(C5:M5))</f>
        <v>300</v>
      </c>
      <c r="O5" s="17" t="n">
        <f aca="false">IF(OR(N5="",$N$4-SUMIF(C5:M5,"欠",$C$4:$M$4)&lt;=0),"",ROUND(N5/($N$4-SUMIF(C5:M5,"欠",$C$4:$M$4))*100,0))</f>
        <v>100</v>
      </c>
      <c r="P5" s="17" t="str">
        <f aca="false">IF(O5="","",IF(O5&gt;=設定!$D$12,"A",IF(O5&gt;=設定!$E$12,"B","C")))</f>
        <v>A</v>
      </c>
      <c r="Q5" s="19" t="n">
        <v>43</v>
      </c>
      <c r="R5" s="19" t="n">
        <v>50</v>
      </c>
      <c r="S5" s="19" t="n">
        <v>45</v>
      </c>
      <c r="T5" s="19" t="n">
        <v>47</v>
      </c>
      <c r="U5" s="19" t="n">
        <v>50</v>
      </c>
      <c r="V5" s="19" t="n">
        <v>45</v>
      </c>
      <c r="W5" s="19"/>
      <c r="X5" s="19"/>
      <c r="Y5" s="19"/>
      <c r="Z5" s="19"/>
      <c r="AA5" s="17" t="n">
        <f aca="false">IF(COUNT(Q5:Z5)=0,"",SUM(Q5:Z5))</f>
        <v>280</v>
      </c>
      <c r="AB5" s="17" t="n">
        <f aca="false">IF(OR(AA5="",$AA$4-SUMIF(Q5:Z5,"欠",$Q$4:$Z$4)&lt;=0),"",ROUND(AA5/($AA$4-SUMIF(Q5:Z5,"欠",$Q$4:$Z$4))*100,0))</f>
        <v>93</v>
      </c>
      <c r="AC5" s="17" t="str">
        <f aca="false">IF(AB5="","",IF(AB5&gt;=設定!$D$12,"A",IF(AB5&gt;=設定!$E$12,"B","C")))</f>
        <v>A</v>
      </c>
      <c r="AD5" s="17" t="n">
        <f aca="false">IF(AND(N5="",AA5=""),"",IF(N5="",0,N5)+IF(AA5="",0,AA5))</f>
        <v>580</v>
      </c>
      <c r="AE5" s="17" t="n">
        <f aca="false">IF(AD5="","",IF($AD$4-SUMIF(C5:M5,"欠",$C$4:$M$4)-SUMIF(Q5:Z5,"欠",$Q$4:$Z$4)&lt;=0,"",ROUND(AD5/($AD$4-SUMIF(C5:M5,"欠",$C$4:$M$4)-SUMIF(Q5:Z5,"欠",$Q$4:$Z$4))*100,0)))</f>
        <v>97</v>
      </c>
      <c r="AF5" s="17" t="str">
        <f aca="false">IF(AE5="","",IF(AE5&gt;=設定!$D$12,"A",IF(AE5&gt;=設定!$E$12,"B","C")))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50</v>
      </c>
      <c r="D6" s="19" t="n">
        <v>50</v>
      </c>
      <c r="E6" s="19" t="n">
        <v>41</v>
      </c>
      <c r="F6" s="19" t="n">
        <v>44</v>
      </c>
      <c r="G6" s="19" t="n">
        <v>43</v>
      </c>
      <c r="H6" s="19" t="n">
        <v>49</v>
      </c>
      <c r="I6" s="19"/>
      <c r="J6" s="19"/>
      <c r="K6" s="19"/>
      <c r="L6" s="19"/>
      <c r="M6" s="19"/>
      <c r="N6" s="17" t="n">
        <f aca="false">IF(COUNT(C6:M6)=0,"",SUM(C6:M6))</f>
        <v>277</v>
      </c>
      <c r="O6" s="17" t="n">
        <f aca="false">IF(OR(N6="",$N$4-SUMIF(C6:M6,"欠",$C$4:$M$4)&lt;=0),"",ROUND(N6/($N$4-SUMIF(C6:M6,"欠",$C$4:$M$4))*100,0))</f>
        <v>92</v>
      </c>
      <c r="P6" s="17" t="str">
        <f aca="false">IF(O6="","",IF(O6&gt;=設定!$D$12,"A",IF(O6&gt;=設定!$E$12,"B","C")))</f>
        <v>A</v>
      </c>
      <c r="Q6" s="19" t="n">
        <v>35</v>
      </c>
      <c r="R6" s="19" t="n">
        <v>39</v>
      </c>
      <c r="S6" s="19" t="n">
        <v>36</v>
      </c>
      <c r="T6" s="19" t="n">
        <v>39</v>
      </c>
      <c r="U6" s="19" t="n">
        <v>39</v>
      </c>
      <c r="V6" s="19" t="n">
        <v>34</v>
      </c>
      <c r="W6" s="19"/>
      <c r="X6" s="19"/>
      <c r="Y6" s="19"/>
      <c r="Z6" s="19"/>
      <c r="AA6" s="17" t="n">
        <f aca="false">IF(COUNT(Q6:Z6)=0,"",SUM(Q6:Z6))</f>
        <v>222</v>
      </c>
      <c r="AB6" s="17" t="n">
        <f aca="false">IF(OR(AA6="",$AA$4-SUMIF(Q6:Z6,"欠",$Q$4:$Z$4)&lt;=0),"",ROUND(AA6/($AA$4-SUMIF(Q6:Z6,"欠",$Q$4:$Z$4))*100,0))</f>
        <v>74</v>
      </c>
      <c r="AC6" s="17" t="str">
        <f aca="false">IF(AB6="","",IF(AB6&gt;=設定!$D$12,"A",IF(AB6&gt;=設定!$E$12,"B","C")))</f>
        <v>B</v>
      </c>
      <c r="AD6" s="17" t="n">
        <f aca="false">IF(AND(N6="",AA6=""),"",IF(N6="",0,N6)+IF(AA6="",0,AA6))</f>
        <v>499</v>
      </c>
      <c r="AE6" s="17" t="n">
        <f aca="false">IF(AD6="","",IF($AD$4-SUMIF(C6:M6,"欠",$C$4:$M$4)-SUMIF(Q6:Z6,"欠",$Q$4:$Z$4)&lt;=0,"",ROUND(AD6/($AD$4-SUMIF(C6:M6,"欠",$C$4:$M$4)-SUMIF(Q6:Z6,"欠",$Q$4:$Z$4))*100,0)))</f>
        <v>83</v>
      </c>
      <c r="AF6" s="17" t="str">
        <f aca="false">IF(AE6="","",IF(AE6&gt;=設定!$D$12,"A",IF(AE6&gt;=設定!$E$12,"B","C")))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49</v>
      </c>
      <c r="D7" s="19" t="n">
        <v>50</v>
      </c>
      <c r="E7" s="19" t="n">
        <v>47</v>
      </c>
      <c r="F7" s="19" t="n">
        <v>43</v>
      </c>
      <c r="G7" s="19" t="n">
        <v>48</v>
      </c>
      <c r="H7" s="19" t="n">
        <v>49</v>
      </c>
      <c r="I7" s="19"/>
      <c r="J7" s="19"/>
      <c r="K7" s="19"/>
      <c r="L7" s="19"/>
      <c r="M7" s="19"/>
      <c r="N7" s="17" t="n">
        <f aca="false">IF(COUNT(C7:M7)=0,"",SUM(C7:M7))</f>
        <v>286</v>
      </c>
      <c r="O7" s="17" t="n">
        <f aca="false">IF(OR(N7="",$N$4-SUMIF(C7:M7,"欠",$C$4:$M$4)&lt;=0),"",ROUND(N7/($N$4-SUMIF(C7:M7,"欠",$C$4:$M$4))*100,0))</f>
        <v>95</v>
      </c>
      <c r="P7" s="17" t="str">
        <f aca="false">IF(O7="","",IF(O7&gt;=設定!$D$12,"A",IF(O7&gt;=設定!$E$12,"B","C")))</f>
        <v>A</v>
      </c>
      <c r="Q7" s="19" t="n">
        <v>48</v>
      </c>
      <c r="R7" s="19" t="n">
        <v>39</v>
      </c>
      <c r="S7" s="19" t="n">
        <v>49</v>
      </c>
      <c r="T7" s="19" t="n">
        <v>49</v>
      </c>
      <c r="U7" s="19" t="n">
        <v>41</v>
      </c>
      <c r="V7" s="19" t="n">
        <v>33</v>
      </c>
      <c r="W7" s="19"/>
      <c r="X7" s="19"/>
      <c r="Y7" s="19"/>
      <c r="Z7" s="19"/>
      <c r="AA7" s="17" t="n">
        <f aca="false">IF(COUNT(Q7:Z7)=0,"",SUM(Q7:Z7))</f>
        <v>259</v>
      </c>
      <c r="AB7" s="17" t="n">
        <f aca="false">IF(OR(AA7="",$AA$4-SUMIF(Q7:Z7,"欠",$Q$4:$Z$4)&lt;=0),"",ROUND(AA7/($AA$4-SUMIF(Q7:Z7,"欠",$Q$4:$Z$4))*100,0))</f>
        <v>86</v>
      </c>
      <c r="AC7" s="17" t="str">
        <f aca="false">IF(AB7="","",IF(AB7&gt;=設定!$D$12,"A",IF(AB7&gt;=設定!$E$12,"B","C")))</f>
        <v>A</v>
      </c>
      <c r="AD7" s="17" t="n">
        <f aca="false">IF(AND(N7="",AA7=""),"",IF(N7="",0,N7)+IF(AA7="",0,AA7))</f>
        <v>545</v>
      </c>
      <c r="AE7" s="17" t="n">
        <f aca="false">IF(AD7="","",IF($AD$4-SUMIF(C7:M7,"欠",$C$4:$M$4)-SUMIF(Q7:Z7,"欠",$Q$4:$Z$4)&lt;=0,"",ROUND(AD7/($AD$4-SUMIF(C7:M7,"欠",$C$4:$M$4)-SUMIF(Q7:Z7,"欠",$Q$4:$Z$4))*100,0)))</f>
        <v>91</v>
      </c>
      <c r="AF7" s="17" t="str">
        <f aca="false">IF(AE7="","",IF(AE7&gt;=設定!$D$12,"A",IF(AE7&gt;=設定!$E$12,"B","C")))</f>
        <v>A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43</v>
      </c>
      <c r="D8" s="19" t="n">
        <v>44</v>
      </c>
      <c r="E8" s="19" t="n">
        <v>40</v>
      </c>
      <c r="F8" s="19" t="n">
        <v>45</v>
      </c>
      <c r="G8" s="19" t="n">
        <v>33</v>
      </c>
      <c r="H8" s="19" t="n">
        <v>36</v>
      </c>
      <c r="I8" s="19"/>
      <c r="J8" s="19"/>
      <c r="K8" s="19"/>
      <c r="L8" s="19"/>
      <c r="M8" s="19"/>
      <c r="N8" s="17" t="n">
        <f aca="false">IF(COUNT(C8:M8)=0,"",SUM(C8:M8))</f>
        <v>241</v>
      </c>
      <c r="O8" s="17" t="n">
        <f aca="false">IF(OR(N8="",$N$4-SUMIF(C8:M8,"欠",$C$4:$M$4)&lt;=0),"",ROUND(N8/($N$4-SUMIF(C8:M8,"欠",$C$4:$M$4))*100,0))</f>
        <v>80</v>
      </c>
      <c r="P8" s="17" t="str">
        <f aca="false">IF(O8="","",IF(O8&gt;=設定!$D$12,"A",IF(O8&gt;=設定!$E$12,"B","C")))</f>
        <v>B</v>
      </c>
      <c r="Q8" s="19" t="n">
        <v>46</v>
      </c>
      <c r="R8" s="19" t="n">
        <v>39</v>
      </c>
      <c r="S8" s="19" t="n">
        <v>34</v>
      </c>
      <c r="T8" s="19" t="n">
        <v>33</v>
      </c>
      <c r="U8" s="19" t="n">
        <v>39</v>
      </c>
      <c r="V8" s="19" t="n">
        <v>39</v>
      </c>
      <c r="W8" s="19"/>
      <c r="X8" s="19"/>
      <c r="Y8" s="19"/>
      <c r="Z8" s="19"/>
      <c r="AA8" s="17" t="n">
        <f aca="false">IF(COUNT(Q8:Z8)=0,"",SUM(Q8:Z8))</f>
        <v>230</v>
      </c>
      <c r="AB8" s="17" t="n">
        <f aca="false">IF(OR(AA8="",$AA$4-SUMIF(Q8:Z8,"欠",$Q$4:$Z$4)&lt;=0),"",ROUND(AA8/($AA$4-SUMIF(Q8:Z8,"欠",$Q$4:$Z$4))*100,0))</f>
        <v>77</v>
      </c>
      <c r="AC8" s="17" t="str">
        <f aca="false">IF(AB8="","",IF(AB8&gt;=設定!$D$12,"A",IF(AB8&gt;=設定!$E$12,"B","C")))</f>
        <v>B</v>
      </c>
      <c r="AD8" s="17" t="n">
        <f aca="false">IF(AND(N8="",AA8=""),"",IF(N8="",0,N8)+IF(AA8="",0,AA8))</f>
        <v>471</v>
      </c>
      <c r="AE8" s="17" t="n">
        <f aca="false">IF(AD8="","",IF($AD$4-SUMIF(C8:M8,"欠",$C$4:$M$4)-SUMIF(Q8:Z8,"欠",$Q$4:$Z$4)&lt;=0,"",ROUND(AD8/($AD$4-SUMIF(C8:M8,"欠",$C$4:$M$4)-SUMIF(Q8:Z8,"欠",$Q$4:$Z$4))*100,0)))</f>
        <v>79</v>
      </c>
      <c r="AF8" s="17" t="str">
        <f aca="false">IF(AE8="","",IF(AE8&gt;=設定!$D$12,"A",IF(AE8&gt;=設定!$E$12,"B","C")))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50</v>
      </c>
      <c r="D9" s="19" t="n">
        <v>50</v>
      </c>
      <c r="E9" s="19" t="n">
        <v>49</v>
      </c>
      <c r="F9" s="19" t="n">
        <v>43</v>
      </c>
      <c r="G9" s="19" t="n">
        <v>47</v>
      </c>
      <c r="H9" s="19" t="n">
        <v>50</v>
      </c>
      <c r="I9" s="19"/>
      <c r="J9" s="19"/>
      <c r="K9" s="19"/>
      <c r="L9" s="19"/>
      <c r="M9" s="19"/>
      <c r="N9" s="17" t="n">
        <f aca="false">IF(COUNT(C9:M9)=0,"",SUM(C9:M9))</f>
        <v>289</v>
      </c>
      <c r="O9" s="17" t="n">
        <f aca="false">IF(OR(N9="",$N$4-SUMIF(C9:M9,"欠",$C$4:$M$4)&lt;=0),"",ROUND(N9/($N$4-SUMIF(C9:M9,"欠",$C$4:$M$4))*100,0))</f>
        <v>96</v>
      </c>
      <c r="P9" s="17" t="str">
        <f aca="false">IF(O9="","",IF(O9&gt;=設定!$D$12,"A",IF(O9&gt;=設定!$E$12,"B","C")))</f>
        <v>A</v>
      </c>
      <c r="Q9" s="19" t="n">
        <v>43</v>
      </c>
      <c r="R9" s="19" t="n">
        <v>45</v>
      </c>
      <c r="S9" s="19" t="n">
        <v>49</v>
      </c>
      <c r="T9" s="19" t="n">
        <v>50</v>
      </c>
      <c r="U9" s="19" t="n">
        <v>46</v>
      </c>
      <c r="V9" s="19" t="n">
        <v>46</v>
      </c>
      <c r="W9" s="19"/>
      <c r="X9" s="19"/>
      <c r="Y9" s="19"/>
      <c r="Z9" s="19"/>
      <c r="AA9" s="17" t="n">
        <f aca="false">IF(COUNT(Q9:Z9)=0,"",SUM(Q9:Z9))</f>
        <v>279</v>
      </c>
      <c r="AB9" s="17" t="n">
        <f aca="false">IF(OR(AA9="",$AA$4-SUMIF(Q9:Z9,"欠",$Q$4:$Z$4)&lt;=0),"",ROUND(AA9/($AA$4-SUMIF(Q9:Z9,"欠",$Q$4:$Z$4))*100,0))</f>
        <v>93</v>
      </c>
      <c r="AC9" s="17" t="str">
        <f aca="false">IF(AB9="","",IF(AB9&gt;=設定!$D$12,"A",IF(AB9&gt;=設定!$E$12,"B","C")))</f>
        <v>A</v>
      </c>
      <c r="AD9" s="17" t="n">
        <f aca="false">IF(AND(N9="",AA9=""),"",IF(N9="",0,N9)+IF(AA9="",0,AA9))</f>
        <v>568</v>
      </c>
      <c r="AE9" s="17" t="n">
        <f aca="false">IF(AD9="","",IF($AD$4-SUMIF(C9:M9,"欠",$C$4:$M$4)-SUMIF(Q9:Z9,"欠",$Q$4:$Z$4)&lt;=0,"",ROUND(AD9/($AD$4-SUMIF(C9:M9,"欠",$C$4:$M$4)-SUMIF(Q9:Z9,"欠",$Q$4:$Z$4))*100,0)))</f>
        <v>95</v>
      </c>
      <c r="AF9" s="17" t="str">
        <f aca="false">IF(AE9="","",IF(AE9&gt;=設定!$D$12,"A",IF(AE9&gt;=設定!$E$12,"B","C")))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43</v>
      </c>
      <c r="D10" s="19" t="n">
        <v>39</v>
      </c>
      <c r="E10" s="19" t="n">
        <v>36</v>
      </c>
      <c r="F10" s="19" t="n">
        <v>40</v>
      </c>
      <c r="G10" s="19" t="n">
        <v>32</v>
      </c>
      <c r="H10" s="19" t="n">
        <v>36</v>
      </c>
      <c r="I10" s="19"/>
      <c r="J10" s="19"/>
      <c r="K10" s="19"/>
      <c r="L10" s="19"/>
      <c r="M10" s="19"/>
      <c r="N10" s="17" t="n">
        <f aca="false">IF(COUNT(C10:M10)=0,"",SUM(C10:M10))</f>
        <v>226</v>
      </c>
      <c r="O10" s="17" t="n">
        <f aca="false">IF(OR(N10="",$N$4-SUMIF(C10:M10,"欠",$C$4:$M$4)&lt;=0),"",ROUND(N10/($N$4-SUMIF(C10:M10,"欠",$C$4:$M$4))*100,0))</f>
        <v>75</v>
      </c>
      <c r="P10" s="17" t="str">
        <f aca="false">IF(O10="","",IF(O10&gt;=設定!$D$12,"A",IF(O10&gt;=設定!$E$12,"B","C")))</f>
        <v>B</v>
      </c>
      <c r="Q10" s="19" t="n">
        <v>31</v>
      </c>
      <c r="R10" s="19" t="n">
        <v>30</v>
      </c>
      <c r="S10" s="19" t="n">
        <v>30</v>
      </c>
      <c r="T10" s="19" t="n">
        <v>26</v>
      </c>
      <c r="U10" s="19" t="n">
        <v>34</v>
      </c>
      <c r="V10" s="19" t="n">
        <v>33</v>
      </c>
      <c r="W10" s="19"/>
      <c r="X10" s="19"/>
      <c r="Y10" s="19"/>
      <c r="Z10" s="19"/>
      <c r="AA10" s="17" t="n">
        <f aca="false">IF(COUNT(Q10:Z10)=0,"",SUM(Q10:Z10))</f>
        <v>184</v>
      </c>
      <c r="AB10" s="17" t="n">
        <f aca="false">IF(OR(AA10="",$AA$4-SUMIF(Q10:Z10,"欠",$Q$4:$Z$4)&lt;=0),"",ROUND(AA10/($AA$4-SUMIF(Q10:Z10,"欠",$Q$4:$Z$4))*100,0))</f>
        <v>61</v>
      </c>
      <c r="AC10" s="17" t="str">
        <f aca="false">IF(AB10="","",IF(AB10&gt;=設定!$D$12,"A",IF(AB10&gt;=設定!$E$12,"B","C")))</f>
        <v>B</v>
      </c>
      <c r="AD10" s="17" t="n">
        <f aca="false">IF(AND(N10="",AA10=""),"",IF(N10="",0,N10)+IF(AA10="",0,AA10))</f>
        <v>410</v>
      </c>
      <c r="AE10" s="17" t="n">
        <f aca="false">IF(AD10="","",IF($AD$4-SUMIF(C10:M10,"欠",$C$4:$M$4)-SUMIF(Q10:Z10,"欠",$Q$4:$Z$4)&lt;=0,"",ROUND(AD10/($AD$4-SUMIF(C10:M10,"欠",$C$4:$M$4)-SUMIF(Q10:Z10,"欠",$Q$4:$Z$4))*100,0)))</f>
        <v>68</v>
      </c>
      <c r="AF10" s="17" t="str">
        <f aca="false">IF(AE10="","",IF(AE10&gt;=設定!$D$12,"A",IF(AE10&gt;=設定!$E$12,"B","C")))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44</v>
      </c>
      <c r="D11" s="19" t="n">
        <v>41</v>
      </c>
      <c r="E11" s="19" t="n">
        <v>44</v>
      </c>
      <c r="F11" s="19" t="n">
        <v>44</v>
      </c>
      <c r="G11" s="19" t="n">
        <v>36</v>
      </c>
      <c r="H11" s="19" t="n">
        <v>38</v>
      </c>
      <c r="I11" s="19"/>
      <c r="J11" s="19"/>
      <c r="K11" s="19"/>
      <c r="L11" s="19"/>
      <c r="M11" s="19"/>
      <c r="N11" s="17" t="n">
        <f aca="false">IF(COUNT(C11:M11)=0,"",SUM(C11:M11))</f>
        <v>247</v>
      </c>
      <c r="O11" s="17" t="n">
        <f aca="false">IF(OR(N11="",$N$4-SUMIF(C11:M11,"欠",$C$4:$M$4)&lt;=0),"",ROUND(N11/($N$4-SUMIF(C11:M11,"欠",$C$4:$M$4))*100,0))</f>
        <v>82</v>
      </c>
      <c r="P11" s="17" t="str">
        <f aca="false">IF(O11="","",IF(O11&gt;=設定!$D$12,"A",IF(O11&gt;=設定!$E$12,"B","C")))</f>
        <v>B</v>
      </c>
      <c r="Q11" s="19" t="n">
        <v>41</v>
      </c>
      <c r="R11" s="19" t="n">
        <v>38</v>
      </c>
      <c r="S11" s="19" t="n">
        <v>40</v>
      </c>
      <c r="T11" s="19" t="n">
        <v>30</v>
      </c>
      <c r="U11" s="19" t="n">
        <v>40</v>
      </c>
      <c r="V11" s="19" t="n">
        <v>40</v>
      </c>
      <c r="W11" s="19"/>
      <c r="X11" s="19"/>
      <c r="Y11" s="19"/>
      <c r="Z11" s="19"/>
      <c r="AA11" s="17" t="n">
        <f aca="false">IF(COUNT(Q11:Z11)=0,"",SUM(Q11:Z11))</f>
        <v>229</v>
      </c>
      <c r="AB11" s="17" t="n">
        <f aca="false">IF(OR(AA11="",$AA$4-SUMIF(Q11:Z11,"欠",$Q$4:$Z$4)&lt;=0),"",ROUND(AA11/($AA$4-SUMIF(Q11:Z11,"欠",$Q$4:$Z$4))*100,0))</f>
        <v>76</v>
      </c>
      <c r="AC11" s="17" t="str">
        <f aca="false">IF(AB11="","",IF(AB11&gt;=設定!$D$12,"A",IF(AB11&gt;=設定!$E$12,"B","C")))</f>
        <v>B</v>
      </c>
      <c r="AD11" s="17" t="n">
        <f aca="false">IF(AND(N11="",AA11=""),"",IF(N11="",0,N11)+IF(AA11="",0,AA11))</f>
        <v>476</v>
      </c>
      <c r="AE11" s="17" t="n">
        <f aca="false">IF(AD11="","",IF($AD$4-SUMIF(C11:M11,"欠",$C$4:$M$4)-SUMIF(Q11:Z11,"欠",$Q$4:$Z$4)&lt;=0,"",ROUND(AD11/($AD$4-SUMIF(C11:M11,"欠",$C$4:$M$4)-SUMIF(Q11:Z11,"欠",$Q$4:$Z$4))*100,0)))</f>
        <v>79</v>
      </c>
      <c r="AF11" s="17" t="str">
        <f aca="false">IF(AE11="","",IF(AE11&gt;=設定!$D$12,"A",IF(AE11&gt;=設定!$E$12,"B","C")))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47</v>
      </c>
      <c r="D12" s="19" t="n">
        <v>50</v>
      </c>
      <c r="E12" s="20" t="s">
        <v>80</v>
      </c>
      <c r="F12" s="19" t="n">
        <v>46</v>
      </c>
      <c r="G12" s="19" t="n">
        <v>43</v>
      </c>
      <c r="H12" s="19" t="n">
        <v>45</v>
      </c>
      <c r="I12" s="19"/>
      <c r="J12" s="19"/>
      <c r="K12" s="19"/>
      <c r="L12" s="19"/>
      <c r="M12" s="19"/>
      <c r="N12" s="17" t="n">
        <f aca="false">IF(COUNT(C12:M12)=0,"",SUM(C12:M12))</f>
        <v>231</v>
      </c>
      <c r="O12" s="17" t="n">
        <f aca="false">IF(OR(N12="",$N$4-SUMIF(C12:M12,"欠",$C$4:$M$4)&lt;=0),"",ROUND(N12/($N$4-SUMIF(C12:M12,"欠",$C$4:$M$4))*100,0))</f>
        <v>92</v>
      </c>
      <c r="P12" s="17" t="str">
        <f aca="false">IF(O12="","",IF(O12&gt;=設定!$D$12,"A",IF(O12&gt;=設定!$E$12,"B","C")))</f>
        <v>A</v>
      </c>
      <c r="Q12" s="19" t="n">
        <v>32</v>
      </c>
      <c r="R12" s="19" t="n">
        <v>45</v>
      </c>
      <c r="S12" s="20" t="s">
        <v>80</v>
      </c>
      <c r="T12" s="19" t="n">
        <v>40</v>
      </c>
      <c r="U12" s="19" t="n">
        <v>39</v>
      </c>
      <c r="V12" s="19" t="n">
        <v>42</v>
      </c>
      <c r="W12" s="19"/>
      <c r="X12" s="19"/>
      <c r="Y12" s="19"/>
      <c r="Z12" s="19"/>
      <c r="AA12" s="17" t="n">
        <f aca="false">IF(COUNT(Q12:Z12)=0,"",SUM(Q12:Z12))</f>
        <v>198</v>
      </c>
      <c r="AB12" s="17" t="n">
        <f aca="false">IF(OR(AA12="",$AA$4-SUMIF(Q12:Z12,"欠",$Q$4:$Z$4)&lt;=0),"",ROUND(AA12/($AA$4-SUMIF(Q12:Z12,"欠",$Q$4:$Z$4))*100,0))</f>
        <v>79</v>
      </c>
      <c r="AC12" s="17" t="str">
        <f aca="false">IF(AB12="","",IF(AB12&gt;=設定!$D$12,"A",IF(AB12&gt;=設定!$E$12,"B","C")))</f>
        <v>B</v>
      </c>
      <c r="AD12" s="17" t="n">
        <f aca="false">IF(AND(N12="",AA12=""),"",IF(N12="",0,N12)+IF(AA12="",0,AA12))</f>
        <v>429</v>
      </c>
      <c r="AE12" s="17" t="n">
        <f aca="false">IF(AD12="","",IF($AD$4-SUMIF(C12:M12,"欠",$C$4:$M$4)-SUMIF(Q12:Z12,"欠",$Q$4:$Z$4)&lt;=0,"",ROUND(AD12/($AD$4-SUMIF(C12:M12,"欠",$C$4:$M$4)-SUMIF(Q12:Z12,"欠",$Q$4:$Z$4))*100,0)))</f>
        <v>86</v>
      </c>
      <c r="AF12" s="17" t="str">
        <f aca="false">IF(AE12="","",IF(AE12&gt;=設定!$D$12,"A",IF(AE12&gt;=設定!$E$12,"B","C")))</f>
        <v>A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41</v>
      </c>
      <c r="D13" s="19" t="n">
        <v>43</v>
      </c>
      <c r="E13" s="20" t="n">
        <v>35</v>
      </c>
      <c r="F13" s="19" t="n">
        <v>34</v>
      </c>
      <c r="G13" s="19" t="n">
        <v>41</v>
      </c>
      <c r="H13" s="19" t="n">
        <v>34</v>
      </c>
      <c r="I13" s="19"/>
      <c r="J13" s="19"/>
      <c r="K13" s="19"/>
      <c r="L13" s="19"/>
      <c r="M13" s="19"/>
      <c r="N13" s="17" t="n">
        <f aca="false">IF(COUNT(C13:M13)=0,"",SUM(C13:M13))</f>
        <v>228</v>
      </c>
      <c r="O13" s="17" t="n">
        <f aca="false">IF(OR(N13="",$N$4-SUMIF(C13:M13,"欠",$C$4:$M$4)&lt;=0),"",ROUND(N13/($N$4-SUMIF(C13:M13,"欠",$C$4:$M$4))*100,0))</f>
        <v>76</v>
      </c>
      <c r="P13" s="17" t="str">
        <f aca="false">IF(O13="","",IF(O13&gt;=設定!$D$12,"A",IF(O13&gt;=設定!$E$12,"B","C")))</f>
        <v>B</v>
      </c>
      <c r="Q13" s="19" t="n">
        <v>38</v>
      </c>
      <c r="R13" s="19" t="n">
        <v>35</v>
      </c>
      <c r="S13" s="20" t="n">
        <v>32</v>
      </c>
      <c r="T13" s="19" t="n">
        <v>36</v>
      </c>
      <c r="U13" s="19" t="n">
        <v>34</v>
      </c>
      <c r="V13" s="19" t="n">
        <v>41</v>
      </c>
      <c r="W13" s="19"/>
      <c r="X13" s="19"/>
      <c r="Y13" s="19"/>
      <c r="Z13" s="19"/>
      <c r="AA13" s="17" t="n">
        <f aca="false">IF(COUNT(Q13:Z13)=0,"",SUM(Q13:Z13))</f>
        <v>216</v>
      </c>
      <c r="AB13" s="17" t="n">
        <f aca="false">IF(OR(AA13="",$AA$4-SUMIF(Q13:Z13,"欠",$Q$4:$Z$4)&lt;=0),"",ROUND(AA13/($AA$4-SUMIF(Q13:Z13,"欠",$Q$4:$Z$4))*100,0))</f>
        <v>72</v>
      </c>
      <c r="AC13" s="17" t="str">
        <f aca="false">IF(AB13="","",IF(AB13&gt;=設定!$D$12,"A",IF(AB13&gt;=設定!$E$12,"B","C")))</f>
        <v>B</v>
      </c>
      <c r="AD13" s="17" t="n">
        <f aca="false">IF(AND(N13="",AA13=""),"",IF(N13="",0,N13)+IF(AA13="",0,AA13))</f>
        <v>444</v>
      </c>
      <c r="AE13" s="17" t="n">
        <f aca="false">IF(AD13="","",IF($AD$4-SUMIF(C13:M13,"欠",$C$4:$M$4)-SUMIF(Q13:Z13,"欠",$Q$4:$Z$4)&lt;=0,"",ROUND(AD13/($AD$4-SUMIF(C13:M13,"欠",$C$4:$M$4)-SUMIF(Q13:Z13,"欠",$Q$4:$Z$4))*100,0)))</f>
        <v>74</v>
      </c>
      <c r="AF13" s="17" t="str">
        <f aca="false">IF(AE13="","",IF(AE13&gt;=設定!$D$12,"A",IF(AE13&gt;=設定!$E$12,"B","C")))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42</v>
      </c>
      <c r="D14" s="19" t="n">
        <v>50</v>
      </c>
      <c r="E14" s="20" t="n">
        <v>45</v>
      </c>
      <c r="F14" s="19" t="n">
        <v>44</v>
      </c>
      <c r="G14" s="19" t="n">
        <v>41</v>
      </c>
      <c r="H14" s="19" t="n">
        <v>38</v>
      </c>
      <c r="I14" s="19"/>
      <c r="J14" s="19"/>
      <c r="K14" s="19"/>
      <c r="L14" s="19"/>
      <c r="M14" s="19"/>
      <c r="N14" s="17" t="n">
        <f aca="false">IF(COUNT(C14:M14)=0,"",SUM(C14:M14))</f>
        <v>260</v>
      </c>
      <c r="O14" s="17" t="n">
        <f aca="false">IF(OR(N14="",$N$4-SUMIF(C14:M14,"欠",$C$4:$M$4)&lt;=0),"",ROUND(N14/($N$4-SUMIF(C14:M14,"欠",$C$4:$M$4))*100,0))</f>
        <v>87</v>
      </c>
      <c r="P14" s="17" t="str">
        <f aca="false">IF(O14="","",IF(O14&gt;=設定!$D$12,"A",IF(O14&gt;=設定!$E$12,"B","C")))</f>
        <v>A</v>
      </c>
      <c r="Q14" s="19" t="n">
        <v>40</v>
      </c>
      <c r="R14" s="19" t="n">
        <v>39</v>
      </c>
      <c r="S14" s="20" t="n">
        <v>32</v>
      </c>
      <c r="T14" s="19" t="n">
        <v>43</v>
      </c>
      <c r="U14" s="19" t="n">
        <v>42</v>
      </c>
      <c r="V14" s="19" t="n">
        <v>39</v>
      </c>
      <c r="W14" s="19"/>
      <c r="X14" s="19"/>
      <c r="Y14" s="19"/>
      <c r="Z14" s="19"/>
      <c r="AA14" s="17" t="n">
        <f aca="false">IF(COUNT(Q14:Z14)=0,"",SUM(Q14:Z14))</f>
        <v>235</v>
      </c>
      <c r="AB14" s="17" t="n">
        <f aca="false">IF(OR(AA14="",$AA$4-SUMIF(Q14:Z14,"欠",$Q$4:$Z$4)&lt;=0),"",ROUND(AA14/($AA$4-SUMIF(Q14:Z14,"欠",$Q$4:$Z$4))*100,0))</f>
        <v>78</v>
      </c>
      <c r="AC14" s="17" t="str">
        <f aca="false">IF(AB14="","",IF(AB14&gt;=設定!$D$12,"A",IF(AB14&gt;=設定!$E$12,"B","C")))</f>
        <v>B</v>
      </c>
      <c r="AD14" s="17" t="n">
        <f aca="false">IF(AND(N14="",AA14=""),"",IF(N14="",0,N14)+IF(AA14="",0,AA14))</f>
        <v>495</v>
      </c>
      <c r="AE14" s="17" t="n">
        <f aca="false">IF(AD14="","",IF($AD$4-SUMIF(C14:M14,"欠",$C$4:$M$4)-SUMIF(Q14:Z14,"欠",$Q$4:$Z$4)&lt;=0,"",ROUND(AD14/($AD$4-SUMIF(C14:M14,"欠",$C$4:$M$4)-SUMIF(Q14:Z14,"欠",$Q$4:$Z$4))*100,0)))</f>
        <v>83</v>
      </c>
      <c r="AF14" s="17" t="str">
        <f aca="false">IF(AE14="","",IF(AE14&gt;=設定!$D$12,"A",IF(AE14&gt;=設定!$E$12,"B","C")))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46</v>
      </c>
      <c r="D15" s="19" t="n">
        <v>45</v>
      </c>
      <c r="E15" s="20" t="n">
        <v>47</v>
      </c>
      <c r="F15" s="19" t="n">
        <v>39</v>
      </c>
      <c r="G15" s="19" t="n">
        <v>35</v>
      </c>
      <c r="H15" s="19" t="n">
        <v>45</v>
      </c>
      <c r="I15" s="19"/>
      <c r="J15" s="19"/>
      <c r="K15" s="19"/>
      <c r="L15" s="19"/>
      <c r="M15" s="19"/>
      <c r="N15" s="17" t="n">
        <f aca="false">IF(COUNT(C15:M15)=0,"",SUM(C15:M15))</f>
        <v>257</v>
      </c>
      <c r="O15" s="17" t="n">
        <f aca="false">IF(OR(N15="",$N$4-SUMIF(C15:M15,"欠",$C$4:$M$4)&lt;=0),"",ROUND(N15/($N$4-SUMIF(C15:M15,"欠",$C$4:$M$4))*100,0))</f>
        <v>86</v>
      </c>
      <c r="P15" s="17" t="str">
        <f aca="false">IF(O15="","",IF(O15&gt;=設定!$D$12,"A",IF(O15&gt;=設定!$E$12,"B","C")))</f>
        <v>A</v>
      </c>
      <c r="Q15" s="19" t="n">
        <v>42</v>
      </c>
      <c r="R15" s="19" t="n">
        <v>29</v>
      </c>
      <c r="S15" s="20" t="n">
        <v>37</v>
      </c>
      <c r="T15" s="19" t="n">
        <v>46</v>
      </c>
      <c r="U15" s="19" t="n">
        <v>46</v>
      </c>
      <c r="V15" s="19" t="n">
        <v>35</v>
      </c>
      <c r="W15" s="19"/>
      <c r="X15" s="19"/>
      <c r="Y15" s="19"/>
      <c r="Z15" s="19"/>
      <c r="AA15" s="17" t="n">
        <f aca="false">IF(COUNT(Q15:Z15)=0,"",SUM(Q15:Z15))</f>
        <v>235</v>
      </c>
      <c r="AB15" s="17" t="n">
        <f aca="false">IF(OR(AA15="",$AA$4-SUMIF(Q15:Z15,"欠",$Q$4:$Z$4)&lt;=0),"",ROUND(AA15/($AA$4-SUMIF(Q15:Z15,"欠",$Q$4:$Z$4))*100,0))</f>
        <v>78</v>
      </c>
      <c r="AC15" s="17" t="str">
        <f aca="false">IF(AB15="","",IF(AB15&gt;=設定!$D$12,"A",IF(AB15&gt;=設定!$E$12,"B","C")))</f>
        <v>B</v>
      </c>
      <c r="AD15" s="17" t="n">
        <f aca="false">IF(AND(N15="",AA15=""),"",IF(N15="",0,N15)+IF(AA15="",0,AA15))</f>
        <v>492</v>
      </c>
      <c r="AE15" s="17" t="n">
        <f aca="false">IF(AD15="","",IF($AD$4-SUMIF(C15:M15,"欠",$C$4:$M$4)-SUMIF(Q15:Z15,"欠",$Q$4:$Z$4)&lt;=0,"",ROUND(AD15/($AD$4-SUMIF(C15:M15,"欠",$C$4:$M$4)-SUMIF(Q15:Z15,"欠",$Q$4:$Z$4))*100,0)))</f>
        <v>82</v>
      </c>
      <c r="AF15" s="17" t="str">
        <f aca="false">IF(AE15="","",IF(AE15&gt;=設定!$D$12,"A",IF(AE15&gt;=設定!$E$12,"B","C")))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41</v>
      </c>
      <c r="D16" s="19" t="n">
        <v>48</v>
      </c>
      <c r="E16" s="20" t="n">
        <v>42</v>
      </c>
      <c r="F16" s="19" t="n">
        <v>43</v>
      </c>
      <c r="G16" s="19" t="n">
        <v>44</v>
      </c>
      <c r="H16" s="19" t="n">
        <v>39</v>
      </c>
      <c r="I16" s="19"/>
      <c r="J16" s="19"/>
      <c r="K16" s="19"/>
      <c r="L16" s="19"/>
      <c r="M16" s="19"/>
      <c r="N16" s="17" t="n">
        <f aca="false">IF(COUNT(C16:M16)=0,"",SUM(C16:M16))</f>
        <v>257</v>
      </c>
      <c r="O16" s="17" t="n">
        <f aca="false">IF(OR(N16="",$N$4-SUMIF(C16:M16,"欠",$C$4:$M$4)&lt;=0),"",ROUND(N16/($N$4-SUMIF(C16:M16,"欠",$C$4:$M$4))*100,0))</f>
        <v>86</v>
      </c>
      <c r="P16" s="17" t="str">
        <f aca="false">IF(O16="","",IF(O16&gt;=設定!$D$12,"A",IF(O16&gt;=設定!$E$12,"B","C")))</f>
        <v>A</v>
      </c>
      <c r="Q16" s="19" t="n">
        <v>30</v>
      </c>
      <c r="R16" s="19" t="n">
        <v>30</v>
      </c>
      <c r="S16" s="20" t="n">
        <v>41</v>
      </c>
      <c r="T16" s="19" t="n">
        <v>36</v>
      </c>
      <c r="U16" s="19" t="n">
        <v>41</v>
      </c>
      <c r="V16" s="19" t="n">
        <v>29</v>
      </c>
      <c r="W16" s="19"/>
      <c r="X16" s="19"/>
      <c r="Y16" s="19"/>
      <c r="Z16" s="19"/>
      <c r="AA16" s="17" t="n">
        <f aca="false">IF(COUNT(Q16:Z16)=0,"",SUM(Q16:Z16))</f>
        <v>207</v>
      </c>
      <c r="AB16" s="17" t="n">
        <f aca="false">IF(OR(AA16="",$AA$4-SUMIF(Q16:Z16,"欠",$Q$4:$Z$4)&lt;=0),"",ROUND(AA16/($AA$4-SUMIF(Q16:Z16,"欠",$Q$4:$Z$4))*100,0))</f>
        <v>69</v>
      </c>
      <c r="AC16" s="17" t="str">
        <f aca="false">IF(AB16="","",IF(AB16&gt;=設定!$D$12,"A",IF(AB16&gt;=設定!$E$12,"B","C")))</f>
        <v>B</v>
      </c>
      <c r="AD16" s="17" t="n">
        <f aca="false">IF(AND(N16="",AA16=""),"",IF(N16="",0,N16)+IF(AA16="",0,AA16))</f>
        <v>464</v>
      </c>
      <c r="AE16" s="17" t="n">
        <f aca="false">IF(AD16="","",IF($AD$4-SUMIF(C16:M16,"欠",$C$4:$M$4)-SUMIF(Q16:Z16,"欠",$Q$4:$Z$4)&lt;=0,"",ROUND(AD16/($AD$4-SUMIF(C16:M16,"欠",$C$4:$M$4)-SUMIF(Q16:Z16,"欠",$Q$4:$Z$4))*100,0)))</f>
        <v>77</v>
      </c>
      <c r="AF16" s="17" t="str">
        <f aca="false">IF(AE16="","",IF(AE16&gt;=設定!$D$12,"A",IF(AE16&gt;=設定!$E$12,"B","C")))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34</v>
      </c>
      <c r="D17" s="19" t="n">
        <v>27</v>
      </c>
      <c r="E17" s="20" t="n">
        <v>31</v>
      </c>
      <c r="F17" s="19" t="n">
        <v>32</v>
      </c>
      <c r="G17" s="19" t="n">
        <v>37</v>
      </c>
      <c r="H17" s="19" t="n">
        <v>33</v>
      </c>
      <c r="I17" s="19"/>
      <c r="J17" s="19"/>
      <c r="K17" s="19"/>
      <c r="L17" s="19"/>
      <c r="M17" s="19"/>
      <c r="N17" s="17" t="n">
        <f aca="false">IF(COUNT(C17:M17)=0,"",SUM(C17:M17))</f>
        <v>194</v>
      </c>
      <c r="O17" s="17" t="n">
        <f aca="false">IF(OR(N17="",$N$4-SUMIF(C17:M17,"欠",$C$4:$M$4)&lt;=0),"",ROUND(N17/($N$4-SUMIF(C17:M17,"欠",$C$4:$M$4))*100,0))</f>
        <v>65</v>
      </c>
      <c r="P17" s="17" t="str">
        <f aca="false">IF(O17="","",IF(O17&gt;=設定!$D$12,"A",IF(O17&gt;=設定!$E$12,"B","C")))</f>
        <v>B</v>
      </c>
      <c r="Q17" s="19" t="n">
        <v>26</v>
      </c>
      <c r="R17" s="19" t="n">
        <v>30</v>
      </c>
      <c r="S17" s="20" t="n">
        <v>26</v>
      </c>
      <c r="T17" s="19" t="n">
        <v>28</v>
      </c>
      <c r="U17" s="19" t="n">
        <v>17</v>
      </c>
      <c r="V17" s="19" t="n">
        <v>28</v>
      </c>
      <c r="W17" s="19"/>
      <c r="X17" s="19"/>
      <c r="Y17" s="19"/>
      <c r="Z17" s="19"/>
      <c r="AA17" s="17" t="n">
        <f aca="false">IF(COUNT(Q17:Z17)=0,"",SUM(Q17:Z17))</f>
        <v>155</v>
      </c>
      <c r="AB17" s="17" t="n">
        <f aca="false">IF(OR(AA17="",$AA$4-SUMIF(Q17:Z17,"欠",$Q$4:$Z$4)&lt;=0),"",ROUND(AA17/($AA$4-SUMIF(Q17:Z17,"欠",$Q$4:$Z$4))*100,0))</f>
        <v>52</v>
      </c>
      <c r="AC17" s="17" t="str">
        <f aca="false">IF(AB17="","",IF(AB17&gt;=設定!$D$12,"A",IF(AB17&gt;=設定!$E$12,"B","C")))</f>
        <v>C</v>
      </c>
      <c r="AD17" s="17" t="n">
        <f aca="false">IF(AND(N17="",AA17=""),"",IF(N17="",0,N17)+IF(AA17="",0,AA17))</f>
        <v>349</v>
      </c>
      <c r="AE17" s="17" t="n">
        <f aca="false">IF(AD17="","",IF($AD$4-SUMIF(C17:M17,"欠",$C$4:$M$4)-SUMIF(Q17:Z17,"欠",$Q$4:$Z$4)&lt;=0,"",ROUND(AD17/($AD$4-SUMIF(C17:M17,"欠",$C$4:$M$4)-SUMIF(Q17:Z17,"欠",$Q$4:$Z$4))*100,0)))</f>
        <v>58</v>
      </c>
      <c r="AF17" s="17" t="str">
        <f aca="false">IF(AE17="","",IF(AE17&gt;=設定!$D$12,"A",IF(AE17&gt;=設定!$E$12,"B","C")))</f>
        <v>B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44</v>
      </c>
      <c r="D18" s="19" t="n">
        <v>46</v>
      </c>
      <c r="E18" s="20" t="n">
        <v>49</v>
      </c>
      <c r="F18" s="19" t="n">
        <v>48</v>
      </c>
      <c r="G18" s="19" t="n">
        <v>42</v>
      </c>
      <c r="H18" s="19" t="n">
        <v>43</v>
      </c>
      <c r="I18" s="19"/>
      <c r="J18" s="19"/>
      <c r="K18" s="19"/>
      <c r="L18" s="19"/>
      <c r="M18" s="19"/>
      <c r="N18" s="17" t="n">
        <f aca="false">IF(COUNT(C18:M18)=0,"",SUM(C18:M18))</f>
        <v>272</v>
      </c>
      <c r="O18" s="17" t="n">
        <f aca="false">IF(OR(N18="",$N$4-SUMIF(C18:M18,"欠",$C$4:$M$4)&lt;=0),"",ROUND(N18/($N$4-SUMIF(C18:M18,"欠",$C$4:$M$4))*100,0))</f>
        <v>91</v>
      </c>
      <c r="P18" s="17" t="str">
        <f aca="false">IF(O18="","",IF(O18&gt;=設定!$D$12,"A",IF(O18&gt;=設定!$E$12,"B","C")))</f>
        <v>A</v>
      </c>
      <c r="Q18" s="19" t="n">
        <v>36</v>
      </c>
      <c r="R18" s="19" t="n">
        <v>42</v>
      </c>
      <c r="S18" s="20" t="n">
        <v>45</v>
      </c>
      <c r="T18" s="19" t="n">
        <v>37</v>
      </c>
      <c r="U18" s="19" t="n">
        <v>41</v>
      </c>
      <c r="V18" s="19" t="n">
        <v>39</v>
      </c>
      <c r="W18" s="19"/>
      <c r="X18" s="19"/>
      <c r="Y18" s="19"/>
      <c r="Z18" s="19"/>
      <c r="AA18" s="17" t="n">
        <f aca="false">IF(COUNT(Q18:Z18)=0,"",SUM(Q18:Z18))</f>
        <v>240</v>
      </c>
      <c r="AB18" s="17" t="n">
        <f aca="false">IF(OR(AA18="",$AA$4-SUMIF(Q18:Z18,"欠",$Q$4:$Z$4)&lt;=0),"",ROUND(AA18/($AA$4-SUMIF(Q18:Z18,"欠",$Q$4:$Z$4))*100,0))</f>
        <v>80</v>
      </c>
      <c r="AC18" s="17" t="str">
        <f aca="false">IF(AB18="","",IF(AB18&gt;=設定!$D$12,"A",IF(AB18&gt;=設定!$E$12,"B","C")))</f>
        <v>B</v>
      </c>
      <c r="AD18" s="17" t="n">
        <f aca="false">IF(AND(N18="",AA18=""),"",IF(N18="",0,N18)+IF(AA18="",0,AA18))</f>
        <v>512</v>
      </c>
      <c r="AE18" s="17" t="n">
        <f aca="false">IF(AD18="","",IF($AD$4-SUMIF(C18:M18,"欠",$C$4:$M$4)-SUMIF(Q18:Z18,"欠",$Q$4:$Z$4)&lt;=0,"",ROUND(AD18/($AD$4-SUMIF(C18:M18,"欠",$C$4:$M$4)-SUMIF(Q18:Z18,"欠",$Q$4:$Z$4))*100,0)))</f>
        <v>85</v>
      </c>
      <c r="AF18" s="17" t="str">
        <f aca="false">IF(AE18="","",IF(AE18&gt;=設定!$D$12,"A",IF(AE18&gt;=設定!$E$12,"B","C")))</f>
        <v>A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27</v>
      </c>
      <c r="D19" s="19" t="n">
        <v>28</v>
      </c>
      <c r="E19" s="20" t="n">
        <v>25</v>
      </c>
      <c r="F19" s="19" t="n">
        <v>35</v>
      </c>
      <c r="G19" s="19" t="n">
        <v>23</v>
      </c>
      <c r="H19" s="19" t="n">
        <v>29</v>
      </c>
      <c r="I19" s="19"/>
      <c r="J19" s="19"/>
      <c r="K19" s="19"/>
      <c r="L19" s="19"/>
      <c r="M19" s="19"/>
      <c r="N19" s="17" t="n">
        <f aca="false">IF(COUNT(C19:M19)=0,"",SUM(C19:M19))</f>
        <v>167</v>
      </c>
      <c r="O19" s="17" t="n">
        <f aca="false">IF(OR(N19="",$N$4-SUMIF(C19:M19,"欠",$C$4:$M$4)&lt;=0),"",ROUND(N19/($N$4-SUMIF(C19:M19,"欠",$C$4:$M$4))*100,0))</f>
        <v>56</v>
      </c>
      <c r="P19" s="17" t="str">
        <f aca="false">IF(O19="","",IF(O19&gt;=設定!$D$12,"A",IF(O19&gt;=設定!$E$12,"B","C")))</f>
        <v>B</v>
      </c>
      <c r="Q19" s="19" t="n">
        <v>18</v>
      </c>
      <c r="R19" s="19" t="n">
        <v>27</v>
      </c>
      <c r="S19" s="20" t="n">
        <v>22</v>
      </c>
      <c r="T19" s="19" t="n">
        <v>22</v>
      </c>
      <c r="U19" s="19" t="n">
        <v>18</v>
      </c>
      <c r="V19" s="19" t="n">
        <v>23</v>
      </c>
      <c r="W19" s="19"/>
      <c r="X19" s="19"/>
      <c r="Y19" s="19"/>
      <c r="Z19" s="19"/>
      <c r="AA19" s="17" t="n">
        <f aca="false">IF(COUNT(Q19:Z19)=0,"",SUM(Q19:Z19))</f>
        <v>130</v>
      </c>
      <c r="AB19" s="17" t="n">
        <f aca="false">IF(OR(AA19="",$AA$4-SUMIF(Q19:Z19,"欠",$Q$4:$Z$4)&lt;=0),"",ROUND(AA19/($AA$4-SUMIF(Q19:Z19,"欠",$Q$4:$Z$4))*100,0))</f>
        <v>43</v>
      </c>
      <c r="AC19" s="17" t="str">
        <f aca="false">IF(AB19="","",IF(AB19&gt;=設定!$D$12,"A",IF(AB19&gt;=設定!$E$12,"B","C")))</f>
        <v>C</v>
      </c>
      <c r="AD19" s="17" t="n">
        <f aca="false">IF(AND(N19="",AA19=""),"",IF(N19="",0,N19)+IF(AA19="",0,AA19))</f>
        <v>297</v>
      </c>
      <c r="AE19" s="17" t="n">
        <f aca="false">IF(AD19="","",IF($AD$4-SUMIF(C19:M19,"欠",$C$4:$M$4)-SUMIF(Q19:Z19,"欠",$Q$4:$Z$4)&lt;=0,"",ROUND(AD19/($AD$4-SUMIF(C19:M19,"欠",$C$4:$M$4)-SUMIF(Q19:Z19,"欠",$Q$4:$Z$4))*100,0)))</f>
        <v>50</v>
      </c>
      <c r="AF19" s="17" t="str">
        <f aca="false">IF(AE19="","",IF(AE19&gt;=設定!$D$12,"A",IF(AE19&gt;=設定!$E$12,"B","C")))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50</v>
      </c>
      <c r="D20" s="19" t="n">
        <v>49</v>
      </c>
      <c r="E20" s="20" t="n">
        <v>50</v>
      </c>
      <c r="F20" s="19" t="n">
        <v>50</v>
      </c>
      <c r="G20" s="19" t="n">
        <v>50</v>
      </c>
      <c r="H20" s="19" t="n">
        <v>47</v>
      </c>
      <c r="I20" s="19"/>
      <c r="J20" s="19"/>
      <c r="K20" s="19"/>
      <c r="L20" s="19"/>
      <c r="M20" s="19"/>
      <c r="N20" s="17" t="n">
        <f aca="false">IF(COUNT(C20:M20)=0,"",SUM(C20:M20))</f>
        <v>296</v>
      </c>
      <c r="O20" s="17" t="n">
        <f aca="false">IF(OR(N20="",$N$4-SUMIF(C20:M20,"欠",$C$4:$M$4)&lt;=0),"",ROUND(N20/($N$4-SUMIF(C20:M20,"欠",$C$4:$M$4))*100,0))</f>
        <v>99</v>
      </c>
      <c r="P20" s="17" t="str">
        <f aca="false">IF(O20="","",IF(O20&gt;=設定!$D$12,"A",IF(O20&gt;=設定!$E$12,"B","C")))</f>
        <v>A</v>
      </c>
      <c r="Q20" s="19" t="n">
        <v>50</v>
      </c>
      <c r="R20" s="19" t="n">
        <v>49</v>
      </c>
      <c r="S20" s="20" t="n">
        <v>49</v>
      </c>
      <c r="T20" s="19" t="n">
        <v>44</v>
      </c>
      <c r="U20" s="19" t="n">
        <v>50</v>
      </c>
      <c r="V20" s="19" t="n">
        <v>44</v>
      </c>
      <c r="W20" s="19"/>
      <c r="X20" s="19"/>
      <c r="Y20" s="19"/>
      <c r="Z20" s="19"/>
      <c r="AA20" s="17" t="n">
        <f aca="false">IF(COUNT(Q20:Z20)=0,"",SUM(Q20:Z20))</f>
        <v>286</v>
      </c>
      <c r="AB20" s="17" t="n">
        <f aca="false">IF(OR(AA20="",$AA$4-SUMIF(Q20:Z20,"欠",$Q$4:$Z$4)&lt;=0),"",ROUND(AA20/($AA$4-SUMIF(Q20:Z20,"欠",$Q$4:$Z$4))*100,0))</f>
        <v>95</v>
      </c>
      <c r="AC20" s="17" t="str">
        <f aca="false">IF(AB20="","",IF(AB20&gt;=設定!$D$12,"A",IF(AB20&gt;=設定!$E$12,"B","C")))</f>
        <v>A</v>
      </c>
      <c r="AD20" s="17" t="n">
        <f aca="false">IF(AND(N20="",AA20=""),"",IF(N20="",0,N20)+IF(AA20="",0,AA20))</f>
        <v>582</v>
      </c>
      <c r="AE20" s="17" t="n">
        <f aca="false">IF(AD20="","",IF($AD$4-SUMIF(C20:M20,"欠",$C$4:$M$4)-SUMIF(Q20:Z20,"欠",$Q$4:$Z$4)&lt;=0,"",ROUND(AD20/($AD$4-SUMIF(C20:M20,"欠",$C$4:$M$4)-SUMIF(Q20:Z20,"欠",$Q$4:$Z$4))*100,0)))</f>
        <v>97</v>
      </c>
      <c r="AF20" s="17" t="str">
        <f aca="false">IF(AE20="","",IF(AE20&gt;=設定!$D$12,"A",IF(AE20&gt;=設定!$E$12,"B","C")))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40</v>
      </c>
      <c r="D21" s="19" t="n">
        <v>39</v>
      </c>
      <c r="E21" s="20" t="n">
        <v>45</v>
      </c>
      <c r="F21" s="19" t="n">
        <v>45</v>
      </c>
      <c r="G21" s="19" t="n">
        <v>44</v>
      </c>
      <c r="H21" s="19" t="n">
        <v>43</v>
      </c>
      <c r="I21" s="19"/>
      <c r="J21" s="19"/>
      <c r="K21" s="19"/>
      <c r="L21" s="19"/>
      <c r="M21" s="19"/>
      <c r="N21" s="17" t="n">
        <f aca="false">IF(COUNT(C21:M21)=0,"",SUM(C21:M21))</f>
        <v>256</v>
      </c>
      <c r="O21" s="17" t="n">
        <f aca="false">IF(OR(N21="",$N$4-SUMIF(C21:M21,"欠",$C$4:$M$4)&lt;=0),"",ROUND(N21/($N$4-SUMIF(C21:M21,"欠",$C$4:$M$4))*100,0))</f>
        <v>85</v>
      </c>
      <c r="P21" s="17" t="str">
        <f aca="false">IF(O21="","",IF(O21&gt;=設定!$D$12,"A",IF(O21&gt;=設定!$E$12,"B","C")))</f>
        <v>A</v>
      </c>
      <c r="Q21" s="19" t="n">
        <v>34</v>
      </c>
      <c r="R21" s="19" t="n">
        <v>37</v>
      </c>
      <c r="S21" s="20" t="n">
        <v>35</v>
      </c>
      <c r="T21" s="19" t="n">
        <v>36</v>
      </c>
      <c r="U21" s="19" t="n">
        <v>34</v>
      </c>
      <c r="V21" s="19" t="n">
        <v>35</v>
      </c>
      <c r="W21" s="19"/>
      <c r="X21" s="19"/>
      <c r="Y21" s="19"/>
      <c r="Z21" s="19"/>
      <c r="AA21" s="17" t="n">
        <f aca="false">IF(COUNT(Q21:Z21)=0,"",SUM(Q21:Z21))</f>
        <v>211</v>
      </c>
      <c r="AB21" s="17" t="n">
        <f aca="false">IF(OR(AA21="",$AA$4-SUMIF(Q21:Z21,"欠",$Q$4:$Z$4)&lt;=0),"",ROUND(AA21/($AA$4-SUMIF(Q21:Z21,"欠",$Q$4:$Z$4))*100,0))</f>
        <v>70</v>
      </c>
      <c r="AC21" s="17" t="str">
        <f aca="false">IF(AB21="","",IF(AB21&gt;=設定!$D$12,"A",IF(AB21&gt;=設定!$E$12,"B","C")))</f>
        <v>B</v>
      </c>
      <c r="AD21" s="17" t="n">
        <f aca="false">IF(AND(N21="",AA21=""),"",IF(N21="",0,N21)+IF(AA21="",0,AA21))</f>
        <v>467</v>
      </c>
      <c r="AE21" s="17" t="n">
        <f aca="false">IF(AD21="","",IF($AD$4-SUMIF(C21:M21,"欠",$C$4:$M$4)-SUMIF(Q21:Z21,"欠",$Q$4:$Z$4)&lt;=0,"",ROUND(AD21/($AD$4-SUMIF(C21:M21,"欠",$C$4:$M$4)-SUMIF(Q21:Z21,"欠",$Q$4:$Z$4))*100,0)))</f>
        <v>78</v>
      </c>
      <c r="AF21" s="17" t="str">
        <f aca="false">IF(AE21="","",IF(AE21&gt;=設定!$D$12,"A",IF(AE21&gt;=設定!$E$12,"B","C")))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50</v>
      </c>
      <c r="D22" s="19" t="n">
        <v>50</v>
      </c>
      <c r="E22" s="20" t="n">
        <v>50</v>
      </c>
      <c r="F22" s="19" t="n">
        <v>50</v>
      </c>
      <c r="G22" s="19" t="n">
        <v>50</v>
      </c>
      <c r="H22" s="19" t="n">
        <v>50</v>
      </c>
      <c r="I22" s="19"/>
      <c r="J22" s="19"/>
      <c r="K22" s="19"/>
      <c r="L22" s="19"/>
      <c r="M22" s="19"/>
      <c r="N22" s="17" t="n">
        <f aca="false">IF(COUNT(C22:M22)=0,"",SUM(C22:M22))</f>
        <v>300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IF(O22="","",IF(O22&gt;=設定!$D$12,"A",IF(O22&gt;=設定!$E$12,"B","C")))</f>
        <v>A</v>
      </c>
      <c r="Q22" s="19" t="n">
        <v>50</v>
      </c>
      <c r="R22" s="19" t="n">
        <v>50</v>
      </c>
      <c r="S22" s="20" t="n">
        <v>50</v>
      </c>
      <c r="T22" s="19" t="n">
        <v>50</v>
      </c>
      <c r="U22" s="19" t="n">
        <v>50</v>
      </c>
      <c r="V22" s="19" t="n">
        <v>50</v>
      </c>
      <c r="W22" s="19"/>
      <c r="X22" s="19"/>
      <c r="Y22" s="19"/>
      <c r="Z22" s="19"/>
      <c r="AA22" s="17" t="n">
        <f aca="false">IF(COUNT(Q22:Z22)=0,"",SUM(Q22:Z22))</f>
        <v>300</v>
      </c>
      <c r="AB22" s="17" t="n">
        <f aca="false">IF(OR(AA22="",$AA$4-SUMIF(Q22:Z22,"欠",$Q$4:$Z$4)&lt;=0),"",ROUND(AA22/($AA$4-SUMIF(Q22:Z22,"欠",$Q$4:$Z$4))*100,0))</f>
        <v>100</v>
      </c>
      <c r="AC22" s="17" t="str">
        <f aca="false">IF(AB22="","",IF(AB22&gt;=設定!$D$12,"A",IF(AB22&gt;=設定!$E$12,"B","C")))</f>
        <v>A</v>
      </c>
      <c r="AD22" s="17" t="n">
        <f aca="false">IF(AND(N22="",AA22=""),"",IF(N22="",0,N22)+IF(AA22="",0,AA22))</f>
        <v>600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IF(AE22="","",IF(AE22&gt;=設定!$D$12,"A",IF(AE22&gt;=設定!$E$12,"B","C")))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50</v>
      </c>
      <c r="D23" s="19" t="n">
        <v>50</v>
      </c>
      <c r="E23" s="20" t="n">
        <v>50</v>
      </c>
      <c r="F23" s="19" t="n">
        <v>50</v>
      </c>
      <c r="G23" s="19" t="n">
        <v>50</v>
      </c>
      <c r="H23" s="19" t="n">
        <v>46</v>
      </c>
      <c r="I23" s="19"/>
      <c r="J23" s="19"/>
      <c r="K23" s="19"/>
      <c r="L23" s="19"/>
      <c r="M23" s="19"/>
      <c r="N23" s="17" t="n">
        <f aca="false">IF(COUNT(C23:M23)=0,"",SUM(C23:M23))</f>
        <v>296</v>
      </c>
      <c r="O23" s="17" t="n">
        <f aca="false">IF(OR(N23="",$N$4-SUMIF(C23:M23,"欠",$C$4:$M$4)&lt;=0),"",ROUND(N23/($N$4-SUMIF(C23:M23,"欠",$C$4:$M$4))*100,0))</f>
        <v>99</v>
      </c>
      <c r="P23" s="17" t="str">
        <f aca="false">IF(O23="","",IF(O23&gt;=設定!$D$12,"A",IF(O23&gt;=設定!$E$12,"B","C")))</f>
        <v>A</v>
      </c>
      <c r="Q23" s="19" t="n">
        <v>44</v>
      </c>
      <c r="R23" s="19" t="n">
        <v>42</v>
      </c>
      <c r="S23" s="20" t="n">
        <v>44</v>
      </c>
      <c r="T23" s="19" t="n">
        <v>47</v>
      </c>
      <c r="U23" s="19" t="n">
        <v>43</v>
      </c>
      <c r="V23" s="19" t="n">
        <v>49</v>
      </c>
      <c r="W23" s="19"/>
      <c r="X23" s="19"/>
      <c r="Y23" s="19"/>
      <c r="Z23" s="19"/>
      <c r="AA23" s="17" t="n">
        <f aca="false">IF(COUNT(Q23:Z23)=0,"",SUM(Q23:Z23))</f>
        <v>269</v>
      </c>
      <c r="AB23" s="17" t="n">
        <f aca="false">IF(OR(AA23="",$AA$4-SUMIF(Q23:Z23,"欠",$Q$4:$Z$4)&lt;=0),"",ROUND(AA23/($AA$4-SUMIF(Q23:Z23,"欠",$Q$4:$Z$4))*100,0))</f>
        <v>90</v>
      </c>
      <c r="AC23" s="17" t="str">
        <f aca="false">IF(AB23="","",IF(AB23&gt;=設定!$D$12,"A",IF(AB23&gt;=設定!$E$12,"B","C")))</f>
        <v>A</v>
      </c>
      <c r="AD23" s="17" t="n">
        <f aca="false">IF(AND(N23="",AA23=""),"",IF(N23="",0,N23)+IF(AA23="",0,AA23))</f>
        <v>565</v>
      </c>
      <c r="AE23" s="17" t="n">
        <f aca="false">IF(AD23="","",IF($AD$4-SUMIF(C23:M23,"欠",$C$4:$M$4)-SUMIF(Q23:Z23,"欠",$Q$4:$Z$4)&lt;=0,"",ROUND(AD23/($AD$4-SUMIF(C23:M23,"欠",$C$4:$M$4)-SUMIF(Q23:Z23,"欠",$Q$4:$Z$4))*100,0)))</f>
        <v>94</v>
      </c>
      <c r="AF23" s="17" t="str">
        <f aca="false">IF(AE23="","",IF(AE23&gt;=設定!$D$12,"A",IF(AE23&gt;=設定!$E$12,"B","C")))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35</v>
      </c>
      <c r="D24" s="19" t="n">
        <v>38</v>
      </c>
      <c r="E24" s="20" t="n">
        <v>36</v>
      </c>
      <c r="F24" s="19" t="n">
        <v>30</v>
      </c>
      <c r="G24" s="19" t="n">
        <v>37</v>
      </c>
      <c r="H24" s="19" t="n">
        <v>27</v>
      </c>
      <c r="I24" s="19"/>
      <c r="J24" s="19"/>
      <c r="K24" s="19"/>
      <c r="L24" s="19"/>
      <c r="M24" s="19"/>
      <c r="N24" s="17" t="n">
        <f aca="false">IF(COUNT(C24:M24)=0,"",SUM(C24:M24))</f>
        <v>203</v>
      </c>
      <c r="O24" s="17" t="n">
        <f aca="false">IF(OR(N24="",$N$4-SUMIF(C24:M24,"欠",$C$4:$M$4)&lt;=0),"",ROUND(N24/($N$4-SUMIF(C24:M24,"欠",$C$4:$M$4))*100,0))</f>
        <v>68</v>
      </c>
      <c r="P24" s="17" t="str">
        <f aca="false">IF(O24="","",IF(O24&gt;=設定!$D$12,"A",IF(O24&gt;=設定!$E$12,"B","C")))</f>
        <v>B</v>
      </c>
      <c r="Q24" s="19" t="n">
        <v>32</v>
      </c>
      <c r="R24" s="19" t="n">
        <v>32</v>
      </c>
      <c r="S24" s="20" t="n">
        <v>25</v>
      </c>
      <c r="T24" s="19" t="n">
        <v>29</v>
      </c>
      <c r="U24" s="19" t="n">
        <v>32</v>
      </c>
      <c r="V24" s="19" t="n">
        <v>34</v>
      </c>
      <c r="W24" s="19"/>
      <c r="X24" s="19"/>
      <c r="Y24" s="19"/>
      <c r="Z24" s="19"/>
      <c r="AA24" s="17" t="n">
        <f aca="false">IF(COUNT(Q24:Z24)=0,"",SUM(Q24:Z24))</f>
        <v>184</v>
      </c>
      <c r="AB24" s="17" t="n">
        <f aca="false">IF(OR(AA24="",$AA$4-SUMIF(Q24:Z24,"欠",$Q$4:$Z$4)&lt;=0),"",ROUND(AA24/($AA$4-SUMIF(Q24:Z24,"欠",$Q$4:$Z$4))*100,0))</f>
        <v>61</v>
      </c>
      <c r="AC24" s="17" t="str">
        <f aca="false">IF(AB24="","",IF(AB24&gt;=設定!$D$12,"A",IF(AB24&gt;=設定!$E$12,"B","C")))</f>
        <v>B</v>
      </c>
      <c r="AD24" s="17" t="n">
        <f aca="false">IF(AND(N24="",AA24=""),"",IF(N24="",0,N24)+IF(AA24="",0,AA24))</f>
        <v>387</v>
      </c>
      <c r="AE24" s="17" t="n">
        <f aca="false">IF(AD24="","",IF($AD$4-SUMIF(C24:M24,"欠",$C$4:$M$4)-SUMIF(Q24:Z24,"欠",$Q$4:$Z$4)&lt;=0,"",ROUND(AD24/($AD$4-SUMIF(C24:M24,"欠",$C$4:$M$4)-SUMIF(Q24:Z24,"欠",$Q$4:$Z$4))*100,0)))</f>
        <v>65</v>
      </c>
      <c r="AF24" s="17" t="str">
        <f aca="false">IF(AE24="","",IF(AE24&gt;=設定!$D$12,"A",IF(AE24&gt;=設定!$E$12,"B","C")))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49</v>
      </c>
      <c r="D25" s="19" t="n">
        <v>50</v>
      </c>
      <c r="E25" s="20" t="n">
        <v>41</v>
      </c>
      <c r="F25" s="19" t="n">
        <v>45</v>
      </c>
      <c r="G25" s="19" t="n">
        <v>48</v>
      </c>
      <c r="H25" s="19" t="n">
        <v>50</v>
      </c>
      <c r="I25" s="19"/>
      <c r="J25" s="19"/>
      <c r="K25" s="19"/>
      <c r="L25" s="19"/>
      <c r="M25" s="19"/>
      <c r="N25" s="17" t="n">
        <f aca="false">IF(COUNT(C25:M25)=0,"",SUM(C25:M25))</f>
        <v>283</v>
      </c>
      <c r="O25" s="17" t="n">
        <f aca="false">IF(OR(N25="",$N$4-SUMIF(C25:M25,"欠",$C$4:$M$4)&lt;=0),"",ROUND(N25/($N$4-SUMIF(C25:M25,"欠",$C$4:$M$4))*100,0))</f>
        <v>94</v>
      </c>
      <c r="P25" s="17" t="str">
        <f aca="false">IF(O25="","",IF(O25&gt;=設定!$D$12,"A",IF(O25&gt;=設定!$E$12,"B","C")))</f>
        <v>A</v>
      </c>
      <c r="Q25" s="19" t="n">
        <v>41</v>
      </c>
      <c r="R25" s="19" t="n">
        <v>31</v>
      </c>
      <c r="S25" s="20" t="n">
        <v>36</v>
      </c>
      <c r="T25" s="19" t="n">
        <v>40</v>
      </c>
      <c r="U25" s="19" t="n">
        <v>47</v>
      </c>
      <c r="V25" s="19" t="n">
        <v>50</v>
      </c>
      <c r="W25" s="19"/>
      <c r="X25" s="19"/>
      <c r="Y25" s="19"/>
      <c r="Z25" s="19"/>
      <c r="AA25" s="17" t="n">
        <f aca="false">IF(COUNT(Q25:Z25)=0,"",SUM(Q25:Z25))</f>
        <v>245</v>
      </c>
      <c r="AB25" s="17" t="n">
        <f aca="false">IF(OR(AA25="",$AA$4-SUMIF(Q25:Z25,"欠",$Q$4:$Z$4)&lt;=0),"",ROUND(AA25/($AA$4-SUMIF(Q25:Z25,"欠",$Q$4:$Z$4))*100,0))</f>
        <v>82</v>
      </c>
      <c r="AC25" s="17" t="str">
        <f aca="false">IF(AB25="","",IF(AB25&gt;=設定!$D$12,"A",IF(AB25&gt;=設定!$E$12,"B","C")))</f>
        <v>B</v>
      </c>
      <c r="AD25" s="17" t="n">
        <f aca="false">IF(AND(N25="",AA25=""),"",IF(N25="",0,N25)+IF(AA25="",0,AA25))</f>
        <v>528</v>
      </c>
      <c r="AE25" s="17" t="n">
        <f aca="false">IF(AD25="","",IF($AD$4-SUMIF(C25:M25,"欠",$C$4:$M$4)-SUMIF(Q25:Z25,"欠",$Q$4:$Z$4)&lt;=0,"",ROUND(AD25/($AD$4-SUMIF(C25:M25,"欠",$C$4:$M$4)-SUMIF(Q25:Z25,"欠",$Q$4:$Z$4))*100,0)))</f>
        <v>88</v>
      </c>
      <c r="AF25" s="17" t="str">
        <f aca="false">IF(AE25="","",IF(AE25&gt;=設定!$D$12,"A",IF(AE25&gt;=設定!$E$12,"B","C")))</f>
        <v>A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36</v>
      </c>
      <c r="D26" s="19" t="n">
        <v>30</v>
      </c>
      <c r="E26" s="20" t="n">
        <v>34</v>
      </c>
      <c r="F26" s="19" t="n">
        <v>37</v>
      </c>
      <c r="G26" s="19" t="n">
        <v>34</v>
      </c>
      <c r="H26" s="19" t="n">
        <v>38</v>
      </c>
      <c r="I26" s="19"/>
      <c r="J26" s="19"/>
      <c r="K26" s="19"/>
      <c r="L26" s="19"/>
      <c r="M26" s="19"/>
      <c r="N26" s="17" t="n">
        <f aca="false">IF(COUNT(C26:M26)=0,"",SUM(C26:M26))</f>
        <v>209</v>
      </c>
      <c r="O26" s="17" t="n">
        <f aca="false">IF(OR(N26="",$N$4-SUMIF(C26:M26,"欠",$C$4:$M$4)&lt;=0),"",ROUND(N26/($N$4-SUMIF(C26:M26,"欠",$C$4:$M$4))*100,0))</f>
        <v>70</v>
      </c>
      <c r="P26" s="17" t="str">
        <f aca="false">IF(O26="","",IF(O26&gt;=設定!$D$12,"A",IF(O26&gt;=設定!$E$12,"B","C")))</f>
        <v>B</v>
      </c>
      <c r="Q26" s="19" t="n">
        <v>33</v>
      </c>
      <c r="R26" s="19" t="n">
        <v>31</v>
      </c>
      <c r="S26" s="20" t="n">
        <v>30</v>
      </c>
      <c r="T26" s="19" t="n">
        <v>32</v>
      </c>
      <c r="U26" s="19" t="n">
        <v>28</v>
      </c>
      <c r="V26" s="19" t="n">
        <v>34</v>
      </c>
      <c r="W26" s="19"/>
      <c r="X26" s="19"/>
      <c r="Y26" s="19"/>
      <c r="Z26" s="19"/>
      <c r="AA26" s="17" t="n">
        <f aca="false">IF(COUNT(Q26:Z26)=0,"",SUM(Q26:Z26))</f>
        <v>188</v>
      </c>
      <c r="AB26" s="17" t="n">
        <f aca="false">IF(OR(AA26="",$AA$4-SUMIF(Q26:Z26,"欠",$Q$4:$Z$4)&lt;=0),"",ROUND(AA26/($AA$4-SUMIF(Q26:Z26,"欠",$Q$4:$Z$4))*100,0))</f>
        <v>63</v>
      </c>
      <c r="AC26" s="17" t="str">
        <f aca="false">IF(AB26="","",IF(AB26&gt;=設定!$D$12,"A",IF(AB26&gt;=設定!$E$12,"B","C")))</f>
        <v>B</v>
      </c>
      <c r="AD26" s="17" t="n">
        <f aca="false">IF(AND(N26="",AA26=""),"",IF(N26="",0,N26)+IF(AA26="",0,AA26))</f>
        <v>397</v>
      </c>
      <c r="AE26" s="17" t="n">
        <f aca="false">IF(AD26="","",IF($AD$4-SUMIF(C26:M26,"欠",$C$4:$M$4)-SUMIF(Q26:Z26,"欠",$Q$4:$Z$4)&lt;=0,"",ROUND(AD26/($AD$4-SUMIF(C26:M26,"欠",$C$4:$M$4)-SUMIF(Q26:Z26,"欠",$Q$4:$Z$4))*100,0)))</f>
        <v>66</v>
      </c>
      <c r="AF26" s="17" t="str">
        <f aca="false">IF(AE26="","",IF(AE26&gt;=設定!$D$12,"A",IF(AE26&gt;=設定!$E$12,"B","C")))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49</v>
      </c>
      <c r="D27" s="19" t="n">
        <v>44</v>
      </c>
      <c r="E27" s="20" t="n">
        <v>50</v>
      </c>
      <c r="F27" s="19" t="n">
        <v>42</v>
      </c>
      <c r="G27" s="19" t="n">
        <v>49</v>
      </c>
      <c r="H27" s="19" t="n">
        <v>38</v>
      </c>
      <c r="I27" s="19"/>
      <c r="J27" s="19"/>
      <c r="K27" s="19"/>
      <c r="L27" s="19"/>
      <c r="M27" s="19"/>
      <c r="N27" s="17" t="n">
        <f aca="false">IF(COUNT(C27:M27)=0,"",SUM(C27:M27))</f>
        <v>272</v>
      </c>
      <c r="O27" s="17" t="n">
        <f aca="false">IF(OR(N27="",$N$4-SUMIF(C27:M27,"欠",$C$4:$M$4)&lt;=0),"",ROUND(N27/($N$4-SUMIF(C27:M27,"欠",$C$4:$M$4))*100,0))</f>
        <v>91</v>
      </c>
      <c r="P27" s="17" t="str">
        <f aca="false">IF(O27="","",IF(O27&gt;=設定!$D$12,"A",IF(O27&gt;=設定!$E$12,"B","C")))</f>
        <v>A</v>
      </c>
      <c r="Q27" s="19" t="n">
        <v>46</v>
      </c>
      <c r="R27" s="19" t="n">
        <v>50</v>
      </c>
      <c r="S27" s="20" t="n">
        <v>43</v>
      </c>
      <c r="T27" s="19" t="n">
        <v>43</v>
      </c>
      <c r="U27" s="19" t="n">
        <v>41</v>
      </c>
      <c r="V27" s="19" t="n">
        <v>48</v>
      </c>
      <c r="W27" s="19"/>
      <c r="X27" s="19"/>
      <c r="Y27" s="19"/>
      <c r="Z27" s="19"/>
      <c r="AA27" s="17" t="n">
        <f aca="false">IF(COUNT(Q27:Z27)=0,"",SUM(Q27:Z27))</f>
        <v>271</v>
      </c>
      <c r="AB27" s="17" t="n">
        <f aca="false">IF(OR(AA27="",$AA$4-SUMIF(Q27:Z27,"欠",$Q$4:$Z$4)&lt;=0),"",ROUND(AA27/($AA$4-SUMIF(Q27:Z27,"欠",$Q$4:$Z$4))*100,0))</f>
        <v>90</v>
      </c>
      <c r="AC27" s="17" t="str">
        <f aca="false">IF(AB27="","",IF(AB27&gt;=設定!$D$12,"A",IF(AB27&gt;=設定!$E$12,"B","C")))</f>
        <v>A</v>
      </c>
      <c r="AD27" s="17" t="n">
        <f aca="false">IF(AND(N27="",AA27=""),"",IF(N27="",0,N27)+IF(AA27="",0,AA27))</f>
        <v>543</v>
      </c>
      <c r="AE27" s="17" t="n">
        <f aca="false">IF(AD27="","",IF($AD$4-SUMIF(C27:M27,"欠",$C$4:$M$4)-SUMIF(Q27:Z27,"欠",$Q$4:$Z$4)&lt;=0,"",ROUND(AD27/($AD$4-SUMIF(C27:M27,"欠",$C$4:$M$4)-SUMIF(Q27:Z27,"欠",$Q$4:$Z$4))*100,0)))</f>
        <v>91</v>
      </c>
      <c r="AF27" s="17" t="str">
        <f aca="false">IF(AE27="","",IF(AE27&gt;=設定!$D$12,"A",IF(AE27&gt;=設定!$E$12,"B","C")))</f>
        <v>A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27</v>
      </c>
      <c r="D28" s="19" t="n">
        <v>30</v>
      </c>
      <c r="E28" s="20" t="n">
        <v>36</v>
      </c>
      <c r="F28" s="19" t="n">
        <v>28</v>
      </c>
      <c r="G28" s="19" t="n">
        <v>34</v>
      </c>
      <c r="H28" s="19" t="n">
        <v>30</v>
      </c>
      <c r="I28" s="19"/>
      <c r="J28" s="19"/>
      <c r="K28" s="19"/>
      <c r="L28" s="19"/>
      <c r="M28" s="19"/>
      <c r="N28" s="17" t="n">
        <f aca="false">IF(COUNT(C28:M28)=0,"",SUM(C28:M28))</f>
        <v>185</v>
      </c>
      <c r="O28" s="17" t="n">
        <f aca="false">IF(OR(N28="",$N$4-SUMIF(C28:M28,"欠",$C$4:$M$4)&lt;=0),"",ROUND(N28/($N$4-SUMIF(C28:M28,"欠",$C$4:$M$4))*100,0))</f>
        <v>62</v>
      </c>
      <c r="P28" s="17" t="str">
        <f aca="false">IF(O28="","",IF(O28&gt;=設定!$D$12,"A",IF(O28&gt;=設定!$E$12,"B","C")))</f>
        <v>B</v>
      </c>
      <c r="Q28" s="19" t="n">
        <v>24</v>
      </c>
      <c r="R28" s="19" t="n">
        <v>28</v>
      </c>
      <c r="S28" s="20" t="n">
        <v>24</v>
      </c>
      <c r="T28" s="19" t="n">
        <v>22</v>
      </c>
      <c r="U28" s="19" t="n">
        <v>30</v>
      </c>
      <c r="V28" s="19" t="n">
        <v>23</v>
      </c>
      <c r="W28" s="19"/>
      <c r="X28" s="19"/>
      <c r="Y28" s="19"/>
      <c r="Z28" s="19"/>
      <c r="AA28" s="17" t="n">
        <f aca="false">IF(COUNT(Q28:Z28)=0,"",SUM(Q28:Z28))</f>
        <v>151</v>
      </c>
      <c r="AB28" s="17" t="n">
        <f aca="false">IF(OR(AA28="",$AA$4-SUMIF(Q28:Z28,"欠",$Q$4:$Z$4)&lt;=0),"",ROUND(AA28/($AA$4-SUMIF(Q28:Z28,"欠",$Q$4:$Z$4))*100,0))</f>
        <v>50</v>
      </c>
      <c r="AC28" s="17" t="str">
        <f aca="false">IF(AB28="","",IF(AB28&gt;=設定!$D$12,"A",IF(AB28&gt;=設定!$E$12,"B","C")))</f>
        <v>C</v>
      </c>
      <c r="AD28" s="17" t="n">
        <f aca="false">IF(AND(N28="",AA28=""),"",IF(N28="",0,N28)+IF(AA28="",0,AA28))</f>
        <v>336</v>
      </c>
      <c r="AE28" s="17" t="n">
        <f aca="false">IF(AD28="","",IF($AD$4-SUMIF(C28:M28,"欠",$C$4:$M$4)-SUMIF(Q28:Z28,"欠",$Q$4:$Z$4)&lt;=0,"",ROUND(AD28/($AD$4-SUMIF(C28:M28,"欠",$C$4:$M$4)-SUMIF(Q28:Z28,"欠",$Q$4:$Z$4))*100,0)))</f>
        <v>56</v>
      </c>
      <c r="AF28" s="17" t="str">
        <f aca="false">IF(AE28="","",IF(AE28&gt;=設定!$D$12,"A",IF(AE28&gt;=設定!$E$12,"B","C")))</f>
        <v>B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28</v>
      </c>
      <c r="D29" s="19" t="n">
        <v>33</v>
      </c>
      <c r="E29" s="20" t="n">
        <v>25</v>
      </c>
      <c r="F29" s="19" t="n">
        <v>44</v>
      </c>
      <c r="G29" s="19" t="n">
        <v>35</v>
      </c>
      <c r="H29" s="19" t="n">
        <v>38</v>
      </c>
      <c r="I29" s="19"/>
      <c r="J29" s="19"/>
      <c r="K29" s="19"/>
      <c r="L29" s="19"/>
      <c r="M29" s="19"/>
      <c r="N29" s="17" t="n">
        <f aca="false">IF(COUNT(C29:M29)=0,"",SUM(C29:M29))</f>
        <v>203</v>
      </c>
      <c r="O29" s="17" t="n">
        <f aca="false">IF(OR(N29="",$N$4-SUMIF(C29:M29,"欠",$C$4:$M$4)&lt;=0),"",ROUND(N29/($N$4-SUMIF(C29:M29,"欠",$C$4:$M$4))*100,0))</f>
        <v>68</v>
      </c>
      <c r="P29" s="17" t="str">
        <f aca="false">IF(O29="","",IF(O29&gt;=設定!$D$12,"A",IF(O29&gt;=設定!$E$12,"B","C")))</f>
        <v>B</v>
      </c>
      <c r="Q29" s="19" t="n">
        <v>29</v>
      </c>
      <c r="R29" s="19" t="n">
        <v>33</v>
      </c>
      <c r="S29" s="20" t="n">
        <v>30</v>
      </c>
      <c r="T29" s="19" t="n">
        <v>35</v>
      </c>
      <c r="U29" s="19" t="n">
        <v>27</v>
      </c>
      <c r="V29" s="19" t="n">
        <v>28</v>
      </c>
      <c r="W29" s="19"/>
      <c r="X29" s="19"/>
      <c r="Y29" s="19"/>
      <c r="Z29" s="19"/>
      <c r="AA29" s="17" t="n">
        <f aca="false">IF(COUNT(Q29:Z29)=0,"",SUM(Q29:Z29))</f>
        <v>182</v>
      </c>
      <c r="AB29" s="17" t="n">
        <f aca="false">IF(OR(AA29="",$AA$4-SUMIF(Q29:Z29,"欠",$Q$4:$Z$4)&lt;=0),"",ROUND(AA29/($AA$4-SUMIF(Q29:Z29,"欠",$Q$4:$Z$4))*100,0))</f>
        <v>61</v>
      </c>
      <c r="AC29" s="17" t="str">
        <f aca="false">IF(AB29="","",IF(AB29&gt;=設定!$D$12,"A",IF(AB29&gt;=設定!$E$12,"B","C")))</f>
        <v>B</v>
      </c>
      <c r="AD29" s="17" t="n">
        <f aca="false">IF(AND(N29="",AA29=""),"",IF(N29="",0,N29)+IF(AA29="",0,AA29))</f>
        <v>385</v>
      </c>
      <c r="AE29" s="17" t="n">
        <f aca="false">IF(AD29="","",IF($AD$4-SUMIF(C29:M29,"欠",$C$4:$M$4)-SUMIF(Q29:Z29,"欠",$Q$4:$Z$4)&lt;=0,"",ROUND(AD29/($AD$4-SUMIF(C29:M29,"欠",$C$4:$M$4)-SUMIF(Q29:Z29,"欠",$Q$4:$Z$4))*100,0)))</f>
        <v>64</v>
      </c>
      <c r="AF29" s="17" t="str">
        <f aca="false">IF(AE29="","",IF(AE29&gt;=設定!$D$12,"A",IF(AE29&gt;=設定!$E$12,"B","C")))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31</v>
      </c>
      <c r="D30" s="19" t="n">
        <v>40</v>
      </c>
      <c r="E30" s="20" t="n">
        <v>42</v>
      </c>
      <c r="F30" s="19" t="n">
        <v>40</v>
      </c>
      <c r="G30" s="19" t="n">
        <v>41</v>
      </c>
      <c r="H30" s="19" t="n">
        <v>41</v>
      </c>
      <c r="I30" s="19"/>
      <c r="J30" s="19"/>
      <c r="K30" s="19"/>
      <c r="L30" s="19"/>
      <c r="M30" s="19"/>
      <c r="N30" s="17" t="n">
        <f aca="false">IF(COUNT(C30:M30)=0,"",SUM(C30:M30))</f>
        <v>235</v>
      </c>
      <c r="O30" s="17" t="n">
        <f aca="false">IF(OR(N30="",$N$4-SUMIF(C30:M30,"欠",$C$4:$M$4)&lt;=0),"",ROUND(N30/($N$4-SUMIF(C30:M30,"欠",$C$4:$M$4))*100,0))</f>
        <v>78</v>
      </c>
      <c r="P30" s="17" t="str">
        <f aca="false">IF(O30="","",IF(O30&gt;=設定!$D$12,"A",IF(O30&gt;=設定!$E$12,"B","C")))</f>
        <v>B</v>
      </c>
      <c r="Q30" s="19" t="n">
        <v>37</v>
      </c>
      <c r="R30" s="19" t="n">
        <v>35</v>
      </c>
      <c r="S30" s="20" t="n">
        <v>31</v>
      </c>
      <c r="T30" s="19" t="n">
        <v>34</v>
      </c>
      <c r="U30" s="19" t="n">
        <v>41</v>
      </c>
      <c r="V30" s="19" t="n">
        <v>34</v>
      </c>
      <c r="W30" s="19"/>
      <c r="X30" s="19"/>
      <c r="Y30" s="19"/>
      <c r="Z30" s="19"/>
      <c r="AA30" s="17" t="n">
        <f aca="false">IF(COUNT(Q30:Z30)=0,"",SUM(Q30:Z30))</f>
        <v>212</v>
      </c>
      <c r="AB30" s="17" t="n">
        <f aca="false">IF(OR(AA30="",$AA$4-SUMIF(Q30:Z30,"欠",$Q$4:$Z$4)&lt;=0),"",ROUND(AA30/($AA$4-SUMIF(Q30:Z30,"欠",$Q$4:$Z$4))*100,0))</f>
        <v>71</v>
      </c>
      <c r="AC30" s="17" t="str">
        <f aca="false">IF(AB30="","",IF(AB30&gt;=設定!$D$12,"A",IF(AB30&gt;=設定!$E$12,"B","C")))</f>
        <v>B</v>
      </c>
      <c r="AD30" s="17" t="n">
        <f aca="false">IF(AND(N30="",AA30=""),"",IF(N30="",0,N30)+IF(AA30="",0,AA30))</f>
        <v>447</v>
      </c>
      <c r="AE30" s="17" t="n">
        <f aca="false">IF(AD30="","",IF($AD$4-SUMIF(C30:M30,"欠",$C$4:$M$4)-SUMIF(Q30:Z30,"欠",$Q$4:$Z$4)&lt;=0,"",ROUND(AD30/($AD$4-SUMIF(C30:M30,"欠",$C$4:$M$4)-SUMIF(Q30:Z30,"欠",$Q$4:$Z$4))*100,0)))</f>
        <v>75</v>
      </c>
      <c r="AF30" s="17" t="str">
        <f aca="false">IF(AE30="","",IF(AE30&gt;=設定!$D$12,"A",IF(AE30&gt;=設定!$E$12,"B","C")))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37</v>
      </c>
      <c r="D31" s="19" t="n">
        <v>33</v>
      </c>
      <c r="E31" s="20" t="n">
        <v>41</v>
      </c>
      <c r="F31" s="19" t="n">
        <v>37</v>
      </c>
      <c r="G31" s="19" t="n">
        <v>35</v>
      </c>
      <c r="H31" s="19" t="n">
        <v>38</v>
      </c>
      <c r="I31" s="19"/>
      <c r="J31" s="19"/>
      <c r="K31" s="19"/>
      <c r="L31" s="19"/>
      <c r="M31" s="19"/>
      <c r="N31" s="17" t="n">
        <f aca="false">IF(COUNT(C31:M31)=0,"",SUM(C31:M31))</f>
        <v>221</v>
      </c>
      <c r="O31" s="17" t="n">
        <f aca="false">IF(OR(N31="",$N$4-SUMIF(C31:M31,"欠",$C$4:$M$4)&lt;=0),"",ROUND(N31/($N$4-SUMIF(C31:M31,"欠",$C$4:$M$4))*100,0))</f>
        <v>74</v>
      </c>
      <c r="P31" s="17" t="str">
        <f aca="false">IF(O31="","",IF(O31&gt;=設定!$D$12,"A",IF(O31&gt;=設定!$E$12,"B","C")))</f>
        <v>B</v>
      </c>
      <c r="Q31" s="19" t="n">
        <v>33</v>
      </c>
      <c r="R31" s="19" t="n">
        <v>32</v>
      </c>
      <c r="S31" s="20" t="n">
        <v>34</v>
      </c>
      <c r="T31" s="19" t="n">
        <v>32</v>
      </c>
      <c r="U31" s="19" t="n">
        <v>33</v>
      </c>
      <c r="V31" s="19" t="n">
        <v>36</v>
      </c>
      <c r="W31" s="19"/>
      <c r="X31" s="19"/>
      <c r="Y31" s="19"/>
      <c r="Z31" s="19"/>
      <c r="AA31" s="17" t="n">
        <f aca="false">IF(COUNT(Q31:Z31)=0,"",SUM(Q31:Z31))</f>
        <v>200</v>
      </c>
      <c r="AB31" s="17" t="n">
        <f aca="false">IF(OR(AA31="",$AA$4-SUMIF(Q31:Z31,"欠",$Q$4:$Z$4)&lt;=0),"",ROUND(AA31/($AA$4-SUMIF(Q31:Z31,"欠",$Q$4:$Z$4))*100,0))</f>
        <v>67</v>
      </c>
      <c r="AC31" s="17" t="str">
        <f aca="false">IF(AB31="","",IF(AB31&gt;=設定!$D$12,"A",IF(AB31&gt;=設定!$E$12,"B","C")))</f>
        <v>B</v>
      </c>
      <c r="AD31" s="17" t="n">
        <f aca="false">IF(AND(N31="",AA31=""),"",IF(N31="",0,N31)+IF(AA31="",0,AA31))</f>
        <v>421</v>
      </c>
      <c r="AE31" s="17" t="n">
        <f aca="false">IF(AD31="","",IF($AD$4-SUMIF(C31:M31,"欠",$C$4:$M$4)-SUMIF(Q31:Z31,"欠",$Q$4:$Z$4)&lt;=0,"",ROUND(AD31/($AD$4-SUMIF(C31:M31,"欠",$C$4:$M$4)-SUMIF(Q31:Z31,"欠",$Q$4:$Z$4))*100,0)))</f>
        <v>70</v>
      </c>
      <c r="AF31" s="17" t="str">
        <f aca="false">IF(AE31="","",IF(AE31&gt;=設定!$D$12,"A",IF(AE31&gt;=設定!$E$12,"B","C")))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35</v>
      </c>
      <c r="D32" s="19" t="n">
        <v>30</v>
      </c>
      <c r="E32" s="20" t="n">
        <v>44</v>
      </c>
      <c r="F32" s="19" t="n">
        <v>29</v>
      </c>
      <c r="G32" s="19" t="n">
        <v>35</v>
      </c>
      <c r="H32" s="19" t="n">
        <v>35</v>
      </c>
      <c r="I32" s="19"/>
      <c r="J32" s="19"/>
      <c r="K32" s="19"/>
      <c r="L32" s="19"/>
      <c r="M32" s="19"/>
      <c r="N32" s="17" t="n">
        <f aca="false">IF(COUNT(C32:M32)=0,"",SUM(C32:M32))</f>
        <v>208</v>
      </c>
      <c r="O32" s="17" t="n">
        <f aca="false">IF(OR(N32="",$N$4-SUMIF(C32:M32,"欠",$C$4:$M$4)&lt;=0),"",ROUND(N32/($N$4-SUMIF(C32:M32,"欠",$C$4:$M$4))*100,0))</f>
        <v>69</v>
      </c>
      <c r="P32" s="17" t="str">
        <f aca="false">IF(O32="","",IF(O32&gt;=設定!$D$12,"A",IF(O32&gt;=設定!$E$12,"B","C")))</f>
        <v>B</v>
      </c>
      <c r="Q32" s="19" t="n">
        <v>29</v>
      </c>
      <c r="R32" s="19" t="n">
        <v>30</v>
      </c>
      <c r="S32" s="20" t="n">
        <v>34</v>
      </c>
      <c r="T32" s="19" t="n">
        <v>21</v>
      </c>
      <c r="U32" s="19" t="n">
        <v>33</v>
      </c>
      <c r="V32" s="19" t="n">
        <v>27</v>
      </c>
      <c r="W32" s="19"/>
      <c r="X32" s="19"/>
      <c r="Y32" s="19"/>
      <c r="Z32" s="19"/>
      <c r="AA32" s="17" t="n">
        <f aca="false">IF(COUNT(Q32:Z32)=0,"",SUM(Q32:Z32))</f>
        <v>174</v>
      </c>
      <c r="AB32" s="17" t="n">
        <f aca="false">IF(OR(AA32="",$AA$4-SUMIF(Q32:Z32,"欠",$Q$4:$Z$4)&lt;=0),"",ROUND(AA32/($AA$4-SUMIF(Q32:Z32,"欠",$Q$4:$Z$4))*100,0))</f>
        <v>58</v>
      </c>
      <c r="AC32" s="17" t="str">
        <f aca="false">IF(AB32="","",IF(AB32&gt;=設定!$D$12,"A",IF(AB32&gt;=設定!$E$12,"B","C")))</f>
        <v>B</v>
      </c>
      <c r="AD32" s="17" t="n">
        <f aca="false">IF(AND(N32="",AA32=""),"",IF(N32="",0,N32)+IF(AA32="",0,AA32))</f>
        <v>382</v>
      </c>
      <c r="AE32" s="17" t="n">
        <f aca="false">IF(AD32="","",IF($AD$4-SUMIF(C32:M32,"欠",$C$4:$M$4)-SUMIF(Q32:Z32,"欠",$Q$4:$Z$4)&lt;=0,"",ROUND(AD32/($AD$4-SUMIF(C32:M32,"欠",$C$4:$M$4)-SUMIF(Q32:Z32,"欠",$Q$4:$Z$4))*100,0)))</f>
        <v>64</v>
      </c>
      <c r="AF32" s="17" t="str">
        <f aca="false">IF(AE32="","",IF(AE32&gt;=設定!$D$12,"A",IF(AE32&gt;=設定!$E$12,"B","C")))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50</v>
      </c>
      <c r="D33" s="19" t="n">
        <v>50</v>
      </c>
      <c r="E33" s="20" t="n">
        <v>50</v>
      </c>
      <c r="F33" s="19" t="n">
        <v>50</v>
      </c>
      <c r="G33" s="19" t="n">
        <v>50</v>
      </c>
      <c r="H33" s="19" t="n">
        <v>50</v>
      </c>
      <c r="I33" s="19"/>
      <c r="J33" s="19"/>
      <c r="K33" s="19"/>
      <c r="L33" s="19"/>
      <c r="M33" s="19"/>
      <c r="N33" s="17" t="n">
        <f aca="false">IF(COUNT(C33:M33)=0,"",SUM(C33:M33))</f>
        <v>300</v>
      </c>
      <c r="O33" s="17" t="n">
        <f aca="false">IF(OR(N33="",$N$4-SUMIF(C33:M33,"欠",$C$4:$M$4)&lt;=0),"",ROUND(N33/($N$4-SUMIF(C33:M33,"欠",$C$4:$M$4))*100,0))</f>
        <v>100</v>
      </c>
      <c r="P33" s="17" t="str">
        <f aca="false">IF(O33="","",IF(O33&gt;=設定!$D$12,"A",IF(O33&gt;=設定!$E$12,"B","C")))</f>
        <v>A</v>
      </c>
      <c r="Q33" s="19" t="n">
        <v>44</v>
      </c>
      <c r="R33" s="19" t="n">
        <v>39</v>
      </c>
      <c r="S33" s="20" t="n">
        <v>48</v>
      </c>
      <c r="T33" s="19" t="n">
        <v>49</v>
      </c>
      <c r="U33" s="19" t="n">
        <v>47</v>
      </c>
      <c r="V33" s="19" t="n">
        <v>44</v>
      </c>
      <c r="W33" s="19"/>
      <c r="X33" s="19"/>
      <c r="Y33" s="19"/>
      <c r="Z33" s="19"/>
      <c r="AA33" s="17" t="n">
        <f aca="false">IF(COUNT(Q33:Z33)=0,"",SUM(Q33:Z33))</f>
        <v>271</v>
      </c>
      <c r="AB33" s="17" t="n">
        <f aca="false">IF(OR(AA33="",$AA$4-SUMIF(Q33:Z33,"欠",$Q$4:$Z$4)&lt;=0),"",ROUND(AA33/($AA$4-SUMIF(Q33:Z33,"欠",$Q$4:$Z$4))*100,0))</f>
        <v>90</v>
      </c>
      <c r="AC33" s="17" t="str">
        <f aca="false">IF(AB33="","",IF(AB33&gt;=設定!$D$12,"A",IF(AB33&gt;=設定!$E$12,"B","C")))</f>
        <v>A</v>
      </c>
      <c r="AD33" s="17" t="n">
        <f aca="false">IF(AND(N33="",AA33=""),"",IF(N33="",0,N33)+IF(AA33="",0,AA33))</f>
        <v>571</v>
      </c>
      <c r="AE33" s="17" t="n">
        <f aca="false">IF(AD33="","",IF($AD$4-SUMIF(C33:M33,"欠",$C$4:$M$4)-SUMIF(Q33:Z33,"欠",$Q$4:$Z$4)&lt;=0,"",ROUND(AD33/($AD$4-SUMIF(C33:M33,"欠",$C$4:$M$4)-SUMIF(Q33:Z33,"欠",$Q$4:$Z$4))*100,0)))</f>
        <v>95</v>
      </c>
      <c r="AF33" s="17" t="str">
        <f aca="false">IF(AE33="","",IF(AE33&gt;=設定!$D$12,"A",IF(AE33&gt;=設定!$E$12,"B","C")))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48</v>
      </c>
      <c r="D34" s="19" t="n">
        <v>45</v>
      </c>
      <c r="E34" s="20" t="n">
        <v>50</v>
      </c>
      <c r="F34" s="19" t="n">
        <v>47</v>
      </c>
      <c r="G34" s="19" t="n">
        <v>50</v>
      </c>
      <c r="H34" s="19" t="n">
        <v>50</v>
      </c>
      <c r="I34" s="19"/>
      <c r="J34" s="19"/>
      <c r="K34" s="19"/>
      <c r="L34" s="19"/>
      <c r="M34" s="19"/>
      <c r="N34" s="17" t="n">
        <f aca="false">IF(COUNT(C34:M34)=0,"",SUM(C34:M34))</f>
        <v>290</v>
      </c>
      <c r="O34" s="17" t="n">
        <f aca="false">IF(OR(N34="",$N$4-SUMIF(C34:M34,"欠",$C$4:$M$4)&lt;=0),"",ROUND(N34/($N$4-SUMIF(C34:M34,"欠",$C$4:$M$4))*100,0))</f>
        <v>97</v>
      </c>
      <c r="P34" s="17" t="str">
        <f aca="false">IF(O34="","",IF(O34&gt;=設定!$D$12,"A",IF(O34&gt;=設定!$E$12,"B","C")))</f>
        <v>A</v>
      </c>
      <c r="Q34" s="19" t="n">
        <v>43</v>
      </c>
      <c r="R34" s="19" t="n">
        <v>36</v>
      </c>
      <c r="S34" s="20" t="n">
        <v>43</v>
      </c>
      <c r="T34" s="19" t="n">
        <v>39</v>
      </c>
      <c r="U34" s="19" t="n">
        <v>46</v>
      </c>
      <c r="V34" s="19" t="n">
        <v>48</v>
      </c>
      <c r="W34" s="19"/>
      <c r="X34" s="19"/>
      <c r="Y34" s="19"/>
      <c r="Z34" s="19"/>
      <c r="AA34" s="17" t="n">
        <f aca="false">IF(COUNT(Q34:Z34)=0,"",SUM(Q34:Z34))</f>
        <v>255</v>
      </c>
      <c r="AB34" s="17" t="n">
        <f aca="false">IF(OR(AA34="",$AA$4-SUMIF(Q34:Z34,"欠",$Q$4:$Z$4)&lt;=0),"",ROUND(AA34/($AA$4-SUMIF(Q34:Z34,"欠",$Q$4:$Z$4))*100,0))</f>
        <v>85</v>
      </c>
      <c r="AC34" s="17" t="str">
        <f aca="false">IF(AB34="","",IF(AB34&gt;=設定!$D$12,"A",IF(AB34&gt;=設定!$E$12,"B","C")))</f>
        <v>A</v>
      </c>
      <c r="AD34" s="17" t="n">
        <f aca="false">IF(AND(N34="",AA34=""),"",IF(N34="",0,N34)+IF(AA34="",0,AA34))</f>
        <v>545</v>
      </c>
      <c r="AE34" s="17" t="n">
        <f aca="false">IF(AD34="","",IF($AD$4-SUMIF(C34:M34,"欠",$C$4:$M$4)-SUMIF(Q34:Z34,"欠",$Q$4:$Z$4)&lt;=0,"",ROUND(AD34/($AD$4-SUMIF(C34:M34,"欠",$C$4:$M$4)-SUMIF(Q34:Z34,"欠",$Q$4:$Z$4))*100,0)))</f>
        <v>91</v>
      </c>
      <c r="AF34" s="17" t="str">
        <f aca="false">IF(AE34="","",IF(AE34&gt;=設定!$D$12,"A",IF(AE34&gt;=設定!$E$12,"B","C")))</f>
        <v>A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41</v>
      </c>
      <c r="D35" s="19" t="n">
        <v>40</v>
      </c>
      <c r="E35" s="20" t="n">
        <v>40</v>
      </c>
      <c r="F35" s="19" t="n">
        <v>42</v>
      </c>
      <c r="G35" s="19" t="n">
        <v>43</v>
      </c>
      <c r="H35" s="20" t="s">
        <v>80</v>
      </c>
      <c r="I35" s="19"/>
      <c r="J35" s="19"/>
      <c r="K35" s="19"/>
      <c r="L35" s="19"/>
      <c r="M35" s="19"/>
      <c r="N35" s="17" t="n">
        <f aca="false">IF(COUNT(C35:M35)=0,"",SUM(C35:M35))</f>
        <v>206</v>
      </c>
      <c r="O35" s="17" t="n">
        <f aca="false">IF(OR(N35="",$N$4-SUMIF(C35:M35,"欠",$C$4:$M$4)&lt;=0),"",ROUND(N35/($N$4-SUMIF(C35:M35,"欠",$C$4:$M$4))*100,0))</f>
        <v>82</v>
      </c>
      <c r="P35" s="17" t="str">
        <f aca="false">IF(O35="","",IF(O35&gt;=設定!$D$12,"A",IF(O35&gt;=設定!$E$12,"B","C")))</f>
        <v>B</v>
      </c>
      <c r="Q35" s="19" t="n">
        <v>39</v>
      </c>
      <c r="R35" s="19" t="n">
        <v>33</v>
      </c>
      <c r="S35" s="20" t="n">
        <v>37</v>
      </c>
      <c r="T35" s="19" t="n">
        <v>41</v>
      </c>
      <c r="U35" s="19" t="n">
        <v>38</v>
      </c>
      <c r="V35" s="20" t="s">
        <v>80</v>
      </c>
      <c r="W35" s="19"/>
      <c r="X35" s="19"/>
      <c r="Y35" s="19"/>
      <c r="Z35" s="19"/>
      <c r="AA35" s="17" t="n">
        <f aca="false">IF(COUNT(Q35:Z35)=0,"",SUM(Q35:Z35))</f>
        <v>188</v>
      </c>
      <c r="AB35" s="17" t="n">
        <f aca="false">IF(OR(AA35="",$AA$4-SUMIF(Q35:Z35,"欠",$Q$4:$Z$4)&lt;=0),"",ROUND(AA35/($AA$4-SUMIF(Q35:Z35,"欠",$Q$4:$Z$4))*100,0))</f>
        <v>75</v>
      </c>
      <c r="AC35" s="17" t="str">
        <f aca="false">IF(AB35="","",IF(AB35&gt;=設定!$D$12,"A",IF(AB35&gt;=設定!$E$12,"B","C")))</f>
        <v>B</v>
      </c>
      <c r="AD35" s="17" t="n">
        <f aca="false">IF(AND(N35="",AA35=""),"",IF(N35="",0,N35)+IF(AA35="",0,AA35))</f>
        <v>394</v>
      </c>
      <c r="AE35" s="17" t="n">
        <f aca="false">IF(AD35="","",IF($AD$4-SUMIF(C35:M35,"欠",$C$4:$M$4)-SUMIF(Q35:Z35,"欠",$Q$4:$Z$4)&lt;=0,"",ROUND(AD35/($AD$4-SUMIF(C35:M35,"欠",$C$4:$M$4)-SUMIF(Q35:Z35,"欠",$Q$4:$Z$4))*100,0)))</f>
        <v>79</v>
      </c>
      <c r="AF35" s="17" t="str">
        <f aca="false">IF(AE35="","",IF(AE35&gt;=設定!$D$12,"A",IF(AE35&gt;=設定!$E$12,"B","C")))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48</v>
      </c>
      <c r="D36" s="19" t="n">
        <v>47</v>
      </c>
      <c r="E36" s="20" t="n">
        <v>50</v>
      </c>
      <c r="F36" s="19" t="n">
        <v>49</v>
      </c>
      <c r="G36" s="19" t="n">
        <v>49</v>
      </c>
      <c r="H36" s="20" t="n">
        <v>46</v>
      </c>
      <c r="I36" s="19"/>
      <c r="J36" s="19"/>
      <c r="K36" s="19"/>
      <c r="L36" s="19"/>
      <c r="M36" s="19"/>
      <c r="N36" s="17" t="n">
        <f aca="false">IF(COUNT(C36:M36)=0,"",SUM(C36:M36))</f>
        <v>289</v>
      </c>
      <c r="O36" s="17" t="n">
        <f aca="false">IF(OR(N36="",$N$4-SUMIF(C36:M36,"欠",$C$4:$M$4)&lt;=0),"",ROUND(N36/($N$4-SUMIF(C36:M36,"欠",$C$4:$M$4))*100,0))</f>
        <v>96</v>
      </c>
      <c r="P36" s="17" t="str">
        <f aca="false">IF(O36="","",IF(O36&gt;=設定!$D$12,"A",IF(O36&gt;=設定!$E$12,"B","C")))</f>
        <v>A</v>
      </c>
      <c r="Q36" s="19" t="n">
        <v>47</v>
      </c>
      <c r="R36" s="19" t="n">
        <v>46</v>
      </c>
      <c r="S36" s="20" t="n">
        <v>43</v>
      </c>
      <c r="T36" s="19" t="n">
        <v>43</v>
      </c>
      <c r="U36" s="19" t="n">
        <v>41</v>
      </c>
      <c r="V36" s="20" t="n">
        <v>47</v>
      </c>
      <c r="W36" s="19"/>
      <c r="X36" s="19"/>
      <c r="Y36" s="19"/>
      <c r="Z36" s="19"/>
      <c r="AA36" s="17" t="n">
        <f aca="false">IF(COUNT(Q36:Z36)=0,"",SUM(Q36:Z36))</f>
        <v>267</v>
      </c>
      <c r="AB36" s="17" t="n">
        <f aca="false">IF(OR(AA36="",$AA$4-SUMIF(Q36:Z36,"欠",$Q$4:$Z$4)&lt;=0),"",ROUND(AA36/($AA$4-SUMIF(Q36:Z36,"欠",$Q$4:$Z$4))*100,0))</f>
        <v>89</v>
      </c>
      <c r="AC36" s="17" t="str">
        <f aca="false">IF(AB36="","",IF(AB36&gt;=設定!$D$12,"A",IF(AB36&gt;=設定!$E$12,"B","C")))</f>
        <v>A</v>
      </c>
      <c r="AD36" s="17" t="n">
        <f aca="false">IF(AND(N36="",AA36=""),"",IF(N36="",0,N36)+IF(AA36="",0,AA36))</f>
        <v>556</v>
      </c>
      <c r="AE36" s="17" t="n">
        <f aca="false">IF(AD36="","",IF($AD$4-SUMIF(C36:M36,"欠",$C$4:$M$4)-SUMIF(Q36:Z36,"欠",$Q$4:$Z$4)&lt;=0,"",ROUND(AD36/($AD$4-SUMIF(C36:M36,"欠",$C$4:$M$4)-SUMIF(Q36:Z36,"欠",$Q$4:$Z$4))*100,0)))</f>
        <v>93</v>
      </c>
      <c r="AF36" s="17" t="str">
        <f aca="false">IF(AE36="","",IF(AE36&gt;=設定!$D$12,"A",IF(AE36&gt;=設定!$E$12,"B","C")))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44</v>
      </c>
      <c r="D37" s="19" t="n">
        <v>40</v>
      </c>
      <c r="E37" s="20" t="n">
        <v>40</v>
      </c>
      <c r="F37" s="19" t="n">
        <v>36</v>
      </c>
      <c r="G37" s="19" t="n">
        <v>41</v>
      </c>
      <c r="H37" s="20" t="n">
        <v>43</v>
      </c>
      <c r="I37" s="19"/>
      <c r="J37" s="19"/>
      <c r="K37" s="19"/>
      <c r="L37" s="19"/>
      <c r="M37" s="19"/>
      <c r="N37" s="17" t="n">
        <f aca="false">IF(COUNT(C37:M37)=0,"",SUM(C37:M37))</f>
        <v>244</v>
      </c>
      <c r="O37" s="17" t="n">
        <f aca="false">IF(OR(N37="",$N$4-SUMIF(C37:M37,"欠",$C$4:$M$4)&lt;=0),"",ROUND(N37/($N$4-SUMIF(C37:M37,"欠",$C$4:$M$4))*100,0))</f>
        <v>81</v>
      </c>
      <c r="P37" s="17" t="str">
        <f aca="false">IF(O37="","",IF(O37&gt;=設定!$D$12,"A",IF(O37&gt;=設定!$E$12,"B","C")))</f>
        <v>B</v>
      </c>
      <c r="Q37" s="19" t="n">
        <v>34</v>
      </c>
      <c r="R37" s="19" t="n">
        <v>40</v>
      </c>
      <c r="S37" s="20" t="n">
        <v>42</v>
      </c>
      <c r="T37" s="19" t="n">
        <v>35</v>
      </c>
      <c r="U37" s="19" t="n">
        <v>42</v>
      </c>
      <c r="V37" s="20" t="n">
        <v>33</v>
      </c>
      <c r="W37" s="19"/>
      <c r="X37" s="19"/>
      <c r="Y37" s="19"/>
      <c r="Z37" s="19"/>
      <c r="AA37" s="17" t="n">
        <f aca="false">IF(COUNT(Q37:Z37)=0,"",SUM(Q37:Z37))</f>
        <v>226</v>
      </c>
      <c r="AB37" s="17" t="n">
        <f aca="false">IF(OR(AA37="",$AA$4-SUMIF(Q37:Z37,"欠",$Q$4:$Z$4)&lt;=0),"",ROUND(AA37/($AA$4-SUMIF(Q37:Z37,"欠",$Q$4:$Z$4))*100,0))</f>
        <v>75</v>
      </c>
      <c r="AC37" s="17" t="str">
        <f aca="false">IF(AB37="","",IF(AB37&gt;=設定!$D$12,"A",IF(AB37&gt;=設定!$E$12,"B","C")))</f>
        <v>B</v>
      </c>
      <c r="AD37" s="17" t="n">
        <f aca="false">IF(AND(N37="",AA37=""),"",IF(N37="",0,N37)+IF(AA37="",0,AA37))</f>
        <v>470</v>
      </c>
      <c r="AE37" s="17" t="n">
        <f aca="false">IF(AD37="","",IF($AD$4-SUMIF(C37:M37,"欠",$C$4:$M$4)-SUMIF(Q37:Z37,"欠",$Q$4:$Z$4)&lt;=0,"",ROUND(AD37/($AD$4-SUMIF(C37:M37,"欠",$C$4:$M$4)-SUMIF(Q37:Z37,"欠",$Q$4:$Z$4))*100,0)))</f>
        <v>78</v>
      </c>
      <c r="AF37" s="17" t="str">
        <f aca="false">IF(AE37="","",IF(AE37&gt;=設定!$D$12,"A",IF(AE37&gt;=設定!$E$12,"B","C")))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37</v>
      </c>
      <c r="D38" s="19" t="n">
        <v>43</v>
      </c>
      <c r="E38" s="20" t="n">
        <v>33</v>
      </c>
      <c r="F38" s="19" t="n">
        <v>31</v>
      </c>
      <c r="G38" s="19" t="n">
        <v>42</v>
      </c>
      <c r="H38" s="20" t="n">
        <v>29</v>
      </c>
      <c r="I38" s="19"/>
      <c r="J38" s="19"/>
      <c r="K38" s="19"/>
      <c r="L38" s="19"/>
      <c r="M38" s="19"/>
      <c r="N38" s="17" t="n">
        <f aca="false">IF(COUNT(C38:M38)=0,"",SUM(C38:M38))</f>
        <v>215</v>
      </c>
      <c r="O38" s="17" t="n">
        <f aca="false">IF(OR(N38="",$N$4-SUMIF(C38:M38,"欠",$C$4:$M$4)&lt;=0),"",ROUND(N38/($N$4-SUMIF(C38:M38,"欠",$C$4:$M$4))*100,0))</f>
        <v>72</v>
      </c>
      <c r="P38" s="17" t="str">
        <f aca="false">IF(O38="","",IF(O38&gt;=設定!$D$12,"A",IF(O38&gt;=設定!$E$12,"B","C")))</f>
        <v>B</v>
      </c>
      <c r="Q38" s="19" t="n">
        <v>24</v>
      </c>
      <c r="R38" s="19" t="n">
        <v>32</v>
      </c>
      <c r="S38" s="20" t="n">
        <v>32</v>
      </c>
      <c r="T38" s="19" t="n">
        <v>39</v>
      </c>
      <c r="U38" s="19" t="n">
        <v>29</v>
      </c>
      <c r="V38" s="20" t="n">
        <v>28</v>
      </c>
      <c r="W38" s="19"/>
      <c r="X38" s="19"/>
      <c r="Y38" s="19"/>
      <c r="Z38" s="19"/>
      <c r="AA38" s="17" t="n">
        <f aca="false">IF(COUNT(Q38:Z38)=0,"",SUM(Q38:Z38))</f>
        <v>184</v>
      </c>
      <c r="AB38" s="17" t="n">
        <f aca="false">IF(OR(AA38="",$AA$4-SUMIF(Q38:Z38,"欠",$Q$4:$Z$4)&lt;=0),"",ROUND(AA38/($AA$4-SUMIF(Q38:Z38,"欠",$Q$4:$Z$4))*100,0))</f>
        <v>61</v>
      </c>
      <c r="AC38" s="17" t="str">
        <f aca="false">IF(AB38="","",IF(AB38&gt;=設定!$D$12,"A",IF(AB38&gt;=設定!$E$12,"B","C")))</f>
        <v>B</v>
      </c>
      <c r="AD38" s="17" t="n">
        <f aca="false">IF(AND(N38="",AA38=""),"",IF(N38="",0,N38)+IF(AA38="",0,AA38))</f>
        <v>399</v>
      </c>
      <c r="AE38" s="17" t="n">
        <f aca="false">IF(AD38="","",IF($AD$4-SUMIF(C38:M38,"欠",$C$4:$M$4)-SUMIF(Q38:Z38,"欠",$Q$4:$Z$4)&lt;=0,"",ROUND(AD38/($AD$4-SUMIF(C38:M38,"欠",$C$4:$M$4)-SUMIF(Q38:Z38,"欠",$Q$4:$Z$4))*100,0)))</f>
        <v>67</v>
      </c>
      <c r="AF38" s="17" t="str">
        <f aca="false">IF(AE38="","",IF(AE38&gt;=設定!$D$12,"A",IF(AE38&gt;=設定!$E$12,"B","C")))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42</v>
      </c>
      <c r="D39" s="19" t="n">
        <v>45</v>
      </c>
      <c r="E39" s="20" t="n">
        <v>45</v>
      </c>
      <c r="F39" s="19" t="n">
        <v>47</v>
      </c>
      <c r="G39" s="19" t="n">
        <v>48</v>
      </c>
      <c r="H39" s="20" t="n">
        <v>47</v>
      </c>
      <c r="I39" s="19"/>
      <c r="J39" s="19"/>
      <c r="K39" s="19"/>
      <c r="L39" s="19"/>
      <c r="M39" s="19"/>
      <c r="N39" s="17" t="n">
        <f aca="false">IF(COUNT(C39:M39)=0,"",SUM(C39:M39))</f>
        <v>274</v>
      </c>
      <c r="O39" s="17" t="n">
        <f aca="false">IF(OR(N39="",$N$4-SUMIF(C39:M39,"欠",$C$4:$M$4)&lt;=0),"",ROUND(N39/($N$4-SUMIF(C39:M39,"欠",$C$4:$M$4))*100,0))</f>
        <v>91</v>
      </c>
      <c r="P39" s="17" t="str">
        <f aca="false">IF(O39="","",IF(O39&gt;=設定!$D$12,"A",IF(O39&gt;=設定!$E$12,"B","C")))</f>
        <v>A</v>
      </c>
      <c r="Q39" s="19" t="n">
        <v>41</v>
      </c>
      <c r="R39" s="19" t="n">
        <v>42</v>
      </c>
      <c r="S39" s="20" t="n">
        <v>44</v>
      </c>
      <c r="T39" s="19" t="n">
        <v>36</v>
      </c>
      <c r="U39" s="19" t="n">
        <v>32</v>
      </c>
      <c r="V39" s="20" t="n">
        <v>43</v>
      </c>
      <c r="W39" s="19"/>
      <c r="X39" s="19"/>
      <c r="Y39" s="19"/>
      <c r="Z39" s="19"/>
      <c r="AA39" s="17" t="n">
        <f aca="false">IF(COUNT(Q39:Z39)=0,"",SUM(Q39:Z39))</f>
        <v>238</v>
      </c>
      <c r="AB39" s="17" t="n">
        <f aca="false">IF(OR(AA39="",$AA$4-SUMIF(Q39:Z39,"欠",$Q$4:$Z$4)&lt;=0),"",ROUND(AA39/($AA$4-SUMIF(Q39:Z39,"欠",$Q$4:$Z$4))*100,0))</f>
        <v>79</v>
      </c>
      <c r="AC39" s="17" t="str">
        <f aca="false">IF(AB39="","",IF(AB39&gt;=設定!$D$12,"A",IF(AB39&gt;=設定!$E$12,"B","C")))</f>
        <v>B</v>
      </c>
      <c r="AD39" s="17" t="n">
        <f aca="false">IF(AND(N39="",AA39=""),"",IF(N39="",0,N39)+IF(AA39="",0,AA39))</f>
        <v>512</v>
      </c>
      <c r="AE39" s="17" t="n">
        <f aca="false">IF(AD39="","",IF($AD$4-SUMIF(C39:M39,"欠",$C$4:$M$4)-SUMIF(Q39:Z39,"欠",$Q$4:$Z$4)&lt;=0,"",ROUND(AD39/($AD$4-SUMIF(C39:M39,"欠",$C$4:$M$4)-SUMIF(Q39:Z39,"欠",$Q$4:$Z$4))*100,0)))</f>
        <v>85</v>
      </c>
      <c r="AF39" s="17" t="str">
        <f aca="false">IF(AE39="","",IF(AE39&gt;=設定!$D$12,"A",IF(AE39&gt;=設定!$E$12,"B","C")))</f>
        <v>A</v>
      </c>
    </row>
    <row r="40" customFormat="false" ht="19.5" hidden="false" customHeight="true" outlineLevel="0" collapsed="false">
      <c r="A40" s="27"/>
      <c r="B40" s="28" t="s">
        <v>81</v>
      </c>
      <c r="C40" s="28" t="n">
        <f aca="false">IF(COUNT(C5:C39)=0,"",ROUND(AVERAGE(C5:C39),1))</f>
        <v>42.2</v>
      </c>
      <c r="D40" s="28" t="n">
        <f aca="false">IF(COUNT(D5:D39)=0,"",ROUND(AVERAGE(D5:D39),1))</f>
        <v>42.5</v>
      </c>
      <c r="E40" s="28" t="n">
        <f aca="false">IF(COUNT(E5:E39)=0,"",ROUND(AVERAGE(E5:E39),1))</f>
        <v>42.1</v>
      </c>
      <c r="F40" s="28" t="n">
        <f aca="false">IF(COUNT(F5:F39)=0,"",ROUND(AVERAGE(F5:F39),1))</f>
        <v>41.7</v>
      </c>
      <c r="G40" s="28" t="n">
        <f aca="false">IF(COUNT(G5:G39)=0,"",ROUND(AVERAGE(G5:G39),1))</f>
        <v>41.7</v>
      </c>
      <c r="H40" s="28" t="n">
        <f aca="false">IF(COUNT(H5:H39)=0,"",ROUND(AVERAGE(H5:H39),1))</f>
        <v>41.2</v>
      </c>
      <c r="I40" s="28" t="str">
        <f aca="false">IF(COUNT(I5:I39)=0,"",ROUND(AVERAGE(I5:I39),1))</f>
        <v/>
      </c>
      <c r="J40" s="28" t="str">
        <f aca="false">IF(COUNT(J5:J39)=0,"",ROUND(AVERAGE(J5:J39),1))</f>
        <v/>
      </c>
      <c r="K40" s="28" t="str">
        <f aca="false">IF(COUNT(K5:K39)=0,"",ROUND(AVERAGE(K5:K39),1))</f>
        <v/>
      </c>
      <c r="L40" s="28" t="str">
        <f aca="false">IF(COUNT(L5:L39)=0,"",ROUND(AVERAGE(L5:L39),1))</f>
        <v/>
      </c>
      <c r="M40" s="28" t="str">
        <f aca="false">IF(COUNT(M5:M39)=0,"",ROUND(AVERAGE(M5:M39),1))</f>
        <v/>
      </c>
      <c r="N40" s="28" t="n">
        <f aca="false">IF(COUNT(N5:N39)=0,"",ROUND(AVERAGE(N5:N39),1))</f>
        <v>249.1</v>
      </c>
      <c r="O40" s="28" t="n">
        <f aca="false">IF(COUNT(O5:O39)=0,"",ROUND(AVERAGE(O5:O39),1))</f>
        <v>83.9</v>
      </c>
      <c r="P40" s="28"/>
      <c r="Q40" s="28" t="n">
        <f aca="false">IF(COUNT(Q5:Q39)=0,"",ROUND(AVERAGE(Q5:Q39),1))</f>
        <v>37.2</v>
      </c>
      <c r="R40" s="28" t="n">
        <f aca="false">IF(COUNT(R5:R39)=0,"",ROUND(AVERAGE(R5:R39),1))</f>
        <v>37.3</v>
      </c>
      <c r="S40" s="28" t="n">
        <f aca="false">IF(COUNT(S5:S39)=0,"",ROUND(AVERAGE(S5:S39),1))</f>
        <v>37.4</v>
      </c>
      <c r="T40" s="28" t="n">
        <f aca="false">IF(COUNT(T5:T39)=0,"",ROUND(AVERAGE(T5:T39),1))</f>
        <v>37.4</v>
      </c>
      <c r="U40" s="28" t="n">
        <f aca="false">IF(COUNT(U5:U39)=0,"",ROUND(AVERAGE(U5:U39),1))</f>
        <v>38</v>
      </c>
      <c r="V40" s="28" t="n">
        <f aca="false">IF(COUNT(V5:V39)=0,"",ROUND(AVERAGE(V5:V39),1))</f>
        <v>37.7</v>
      </c>
      <c r="W40" s="28" t="str">
        <f aca="false">IF(COUNT(W5:W39)=0,"",ROUND(AVERAGE(W5:W39),1))</f>
        <v/>
      </c>
      <c r="X40" s="28" t="str">
        <f aca="false">IF(COUNT(X5:X39)=0,"",ROUND(AVERAGE(X5:X39),1))</f>
        <v/>
      </c>
      <c r="Y40" s="28" t="str">
        <f aca="false">IF(COUNT(Y5:Y39)=0,"",ROUND(AVERAGE(Y5:Y39),1))</f>
        <v/>
      </c>
      <c r="Z40" s="28" t="str">
        <f aca="false">IF(COUNT(Z5:Z39)=0,"",ROUND(AVERAGE(Z5:Z39),1))</f>
        <v/>
      </c>
      <c r="AA40" s="28" t="n">
        <f aca="false">IF(COUNT(AA5:AA39)=0,"",ROUND(AVERAGE(AA5:AA39),1))</f>
        <v>222.9</v>
      </c>
      <c r="AB40" s="28" t="n">
        <f aca="false">IF(COUNT(AB5:AB39)=0,"",ROUND(AVERAGE(AB5:AB39),1))</f>
        <v>74.9</v>
      </c>
      <c r="AC40" s="28"/>
      <c r="AD40" s="28" t="n">
        <f aca="false">IF(COUNT(AD5:AD39)=0,"",ROUND(AVERAGE(AD5:AD39),1))</f>
        <v>471.9</v>
      </c>
      <c r="AE40" s="28" t="n">
        <f aca="false">IF(COUNT(AE5:AE39)=0,"",ROUND(AVERAGE(AE5:AE39),1))</f>
        <v>79.5</v>
      </c>
      <c r="AF40" s="28"/>
    </row>
    <row r="41" customFormat="false" ht="19.5" hidden="false" customHeight="true" outlineLevel="0" collapsed="false">
      <c r="A41" s="28"/>
      <c r="B41" s="28" t="s">
        <v>82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 t="n">
        <f aca="false">COUNTIF(P5:P39,"A")</f>
        <v>19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 t="n">
        <f aca="false">COUNTIF(AC5:AC39,"A")</f>
        <v>10</v>
      </c>
      <c r="AD41" s="28"/>
      <c r="AE41" s="28"/>
      <c r="AF41" s="28" t="n">
        <f aca="false">COUNTIF(AF5:AF39,"A")</f>
        <v>14</v>
      </c>
    </row>
    <row r="42" customFormat="false" ht="19.5" hidden="false" customHeight="true" outlineLevel="0" collapsed="false">
      <c r="A42" s="28"/>
      <c r="B42" s="28" t="s">
        <v>83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 t="n">
        <f aca="false">COUNTIF(P5:P39,"B")</f>
        <v>16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 t="n">
        <f aca="false">COUNTIF(AC5:AC39,"B")</f>
        <v>22</v>
      </c>
      <c r="AD42" s="28"/>
      <c r="AE42" s="28"/>
      <c r="AF42" s="28" t="n">
        <f aca="false">COUNTIF(AF5:AF39,"B")</f>
        <v>20</v>
      </c>
    </row>
    <row r="43" customFormat="false" ht="19.5" hidden="false" customHeight="true" outlineLevel="0" collapsed="false">
      <c r="A43" s="28"/>
      <c r="B43" s="28" t="s">
        <v>84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 t="n">
        <f aca="false">COUNTIF(P5:P39,"C")</f>
        <v>0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 t="n">
        <f aca="false">COUNTIF(AC5:AC39,"C")</f>
        <v>3</v>
      </c>
      <c r="AD43" s="28"/>
      <c r="AE43" s="28"/>
      <c r="AF43" s="28" t="n">
        <f aca="false">COUNTIF(AF5:AF39,"C")</f>
        <v>1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O5" activeCellId="0" sqref="O5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="30" customFormat="true" ht="19.5" hidden="false" customHeight="true" outlineLevel="0" collapsed="false">
      <c r="A2" s="29" t="s">
        <v>62</v>
      </c>
      <c r="B2" s="29"/>
      <c r="C2" s="29" t="s">
        <v>63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 t="s">
        <v>64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 t="s">
        <v>65</v>
      </c>
      <c r="AE2" s="29"/>
      <c r="AF2" s="29"/>
    </row>
    <row r="3" s="30" customFormat="true" ht="178.5" hidden="false" customHeight="true" outlineLevel="0" collapsed="false">
      <c r="A3" s="29" t="s">
        <v>66</v>
      </c>
      <c r="B3" s="29"/>
      <c r="C3" s="31" t="s">
        <v>93</v>
      </c>
      <c r="D3" s="31" t="s">
        <v>94</v>
      </c>
      <c r="E3" s="31" t="s">
        <v>95</v>
      </c>
      <c r="F3" s="31" t="s">
        <v>96</v>
      </c>
      <c r="G3" s="31" t="s">
        <v>97</v>
      </c>
      <c r="H3" s="31" t="s">
        <v>98</v>
      </c>
      <c r="I3" s="31"/>
      <c r="J3" s="31"/>
      <c r="K3" s="31"/>
      <c r="L3" s="31"/>
      <c r="M3" s="31"/>
      <c r="N3" s="32" t="s">
        <v>73</v>
      </c>
      <c r="O3" s="32" t="s">
        <v>74</v>
      </c>
      <c r="P3" s="32" t="s">
        <v>75</v>
      </c>
      <c r="Q3" s="31" t="s">
        <v>93</v>
      </c>
      <c r="R3" s="31" t="s">
        <v>94</v>
      </c>
      <c r="S3" s="31" t="s">
        <v>95</v>
      </c>
      <c r="T3" s="31" t="s">
        <v>96</v>
      </c>
      <c r="U3" s="31" t="s">
        <v>97</v>
      </c>
      <c r="V3" s="31" t="s">
        <v>98</v>
      </c>
      <c r="W3" s="31"/>
      <c r="X3" s="31"/>
      <c r="Y3" s="31"/>
      <c r="Z3" s="31"/>
      <c r="AA3" s="32" t="s">
        <v>73</v>
      </c>
      <c r="AB3" s="32" t="s">
        <v>74</v>
      </c>
      <c r="AC3" s="32" t="s">
        <v>75</v>
      </c>
      <c r="AD3" s="32" t="s">
        <v>76</v>
      </c>
      <c r="AE3" s="32" t="s">
        <v>77</v>
      </c>
      <c r="AF3" s="32" t="s">
        <v>78</v>
      </c>
    </row>
    <row r="4" s="30" customFormat="true" ht="21.75" hidden="false" customHeight="true" outlineLevel="0" collapsed="false">
      <c r="A4" s="29" t="s">
        <v>1</v>
      </c>
      <c r="B4" s="29" t="s">
        <v>79</v>
      </c>
      <c r="C4" s="33" t="n">
        <v>50</v>
      </c>
      <c r="D4" s="33" t="n">
        <v>50</v>
      </c>
      <c r="E4" s="33" t="n">
        <v>50</v>
      </c>
      <c r="F4" s="33" t="n">
        <v>50</v>
      </c>
      <c r="G4" s="33" t="n">
        <v>50</v>
      </c>
      <c r="H4" s="33" t="n">
        <v>50</v>
      </c>
      <c r="I4" s="33"/>
      <c r="J4" s="33"/>
      <c r="K4" s="33"/>
      <c r="L4" s="33"/>
      <c r="M4" s="33"/>
      <c r="N4" s="29" t="n">
        <f aca="false">SUM(C4:M4)</f>
        <v>300</v>
      </c>
      <c r="O4" s="29"/>
      <c r="P4" s="29"/>
      <c r="Q4" s="33" t="n">
        <v>50</v>
      </c>
      <c r="R4" s="33" t="n">
        <v>50</v>
      </c>
      <c r="S4" s="33" t="n">
        <v>50</v>
      </c>
      <c r="T4" s="33" t="n">
        <v>50</v>
      </c>
      <c r="U4" s="33" t="n">
        <v>50</v>
      </c>
      <c r="V4" s="33" t="n">
        <v>50</v>
      </c>
      <c r="W4" s="33"/>
      <c r="X4" s="33"/>
      <c r="Y4" s="33"/>
      <c r="Z4" s="33"/>
      <c r="AA4" s="29" t="n">
        <f aca="false">SUM(Q4:Z4)</f>
        <v>300</v>
      </c>
      <c r="AB4" s="29"/>
      <c r="AC4" s="29"/>
      <c r="AD4" s="29" t="n">
        <f aca="false">N4+AA4</f>
        <v>600</v>
      </c>
      <c r="AE4" s="29"/>
      <c r="AF4" s="29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47</v>
      </c>
      <c r="D5" s="19" t="n">
        <v>43</v>
      </c>
      <c r="E5" s="19" t="n">
        <v>48</v>
      </c>
      <c r="F5" s="19" t="n">
        <v>50</v>
      </c>
      <c r="G5" s="19" t="n">
        <v>47</v>
      </c>
      <c r="H5" s="19" t="n">
        <v>50</v>
      </c>
      <c r="I5" s="19"/>
      <c r="J5" s="19"/>
      <c r="K5" s="19"/>
      <c r="L5" s="19"/>
      <c r="M5" s="19"/>
      <c r="N5" s="17" t="n">
        <f aca="false">IF(COUNT(C5:M5)=0,"",SUM(C5:M5))</f>
        <v>285</v>
      </c>
      <c r="O5" s="17" t="n">
        <f aca="false">IF(OR(N5="",$N$4-SUMIF(C5:M5,"欠",$C$4:$M$4)&lt;=0),"",ROUND(N5/($N$4-SUMIF(C5:M5,"欠",$C$4:$M$4))*100,0))</f>
        <v>95</v>
      </c>
      <c r="P5" s="17" t="str">
        <f aca="false">IF(O5="","",IF(O5&gt;=設定!$D$13,"A",IF(O5&gt;=設定!$E$13,"B","C")))</f>
        <v>A</v>
      </c>
      <c r="Q5" s="19" t="n">
        <v>49</v>
      </c>
      <c r="R5" s="19" t="n">
        <v>48</v>
      </c>
      <c r="S5" s="19" t="n">
        <v>46</v>
      </c>
      <c r="T5" s="19" t="n">
        <v>48</v>
      </c>
      <c r="U5" s="19" t="n">
        <v>47</v>
      </c>
      <c r="V5" s="19" t="n">
        <v>48</v>
      </c>
      <c r="W5" s="19"/>
      <c r="X5" s="19"/>
      <c r="Y5" s="19"/>
      <c r="Z5" s="19"/>
      <c r="AA5" s="17" t="n">
        <f aca="false">IF(COUNT(Q5:Z5)=0,"",SUM(Q5:Z5))</f>
        <v>286</v>
      </c>
      <c r="AB5" s="17" t="n">
        <f aca="false">IF(OR(AA5="",$AA$4-SUMIF(Q5:Z5,"欠",$Q$4:$Z$4)&lt;=0),"",ROUND(AA5/($AA$4-SUMIF(Q5:Z5,"欠",$Q$4:$Z$4))*100,0))</f>
        <v>95</v>
      </c>
      <c r="AC5" s="17" t="str">
        <f aca="false">IF(AB5="","",IF(AB5&gt;=設定!$D$13,"A",IF(AB5&gt;=設定!$E$13,"B","C")))</f>
        <v>A</v>
      </c>
      <c r="AD5" s="17" t="n">
        <f aca="false">IF(AND(N5="",AA5=""),"",IF(N5="",0,N5)+IF(AA5="",0,AA5))</f>
        <v>571</v>
      </c>
      <c r="AE5" s="17" t="n">
        <f aca="false">IF(AD5="","",IF($AD$4-SUMIF(C5:M5,"欠",$C$4:$M$4)-SUMIF(Q5:Z5,"欠",$Q$4:$Z$4)&lt;=0,"",ROUND(AD5/($AD$4-SUMIF(C5:M5,"欠",$C$4:$M$4)-SUMIF(Q5:Z5,"欠",$Q$4:$Z$4))*100,0)))</f>
        <v>95</v>
      </c>
      <c r="AF5" s="17" t="str">
        <f aca="false">IF(AE5="","",IF(AE5&gt;=設定!$D$13,"A",IF(AE5&gt;=設定!$E$13,"B","C")))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44</v>
      </c>
      <c r="D6" s="19" t="n">
        <v>47</v>
      </c>
      <c r="E6" s="19" t="n">
        <v>38</v>
      </c>
      <c r="F6" s="19" t="n">
        <v>41</v>
      </c>
      <c r="G6" s="19" t="n">
        <v>38</v>
      </c>
      <c r="H6" s="19" t="n">
        <v>39</v>
      </c>
      <c r="I6" s="19"/>
      <c r="J6" s="19"/>
      <c r="K6" s="19"/>
      <c r="L6" s="19"/>
      <c r="M6" s="19"/>
      <c r="N6" s="17" t="n">
        <f aca="false">IF(COUNT(C6:M6)=0,"",SUM(C6:M6))</f>
        <v>247</v>
      </c>
      <c r="O6" s="17" t="n">
        <f aca="false">IF(OR(N6="",$N$4-SUMIF(C6:M6,"欠",$C$4:$M$4)&lt;=0),"",ROUND(N6/($N$4-SUMIF(C6:M6,"欠",$C$4:$M$4))*100,0))</f>
        <v>82</v>
      </c>
      <c r="P6" s="17" t="str">
        <f aca="false">IF(O6="","",IF(O6&gt;=設定!$D$13,"A",IF(O6&gt;=設定!$E$13,"B","C")))</f>
        <v>B</v>
      </c>
      <c r="Q6" s="19" t="n">
        <v>37</v>
      </c>
      <c r="R6" s="19" t="n">
        <v>37</v>
      </c>
      <c r="S6" s="19" t="n">
        <v>36</v>
      </c>
      <c r="T6" s="19" t="n">
        <v>37</v>
      </c>
      <c r="U6" s="19" t="n">
        <v>35</v>
      </c>
      <c r="V6" s="19" t="n">
        <v>40</v>
      </c>
      <c r="W6" s="19"/>
      <c r="X6" s="19"/>
      <c r="Y6" s="19"/>
      <c r="Z6" s="19"/>
      <c r="AA6" s="17" t="n">
        <f aca="false">IF(COUNT(Q6:Z6)=0,"",SUM(Q6:Z6))</f>
        <v>222</v>
      </c>
      <c r="AB6" s="17" t="n">
        <f aca="false">IF(OR(AA6="",$AA$4-SUMIF(Q6:Z6,"欠",$Q$4:$Z$4)&lt;=0),"",ROUND(AA6/($AA$4-SUMIF(Q6:Z6,"欠",$Q$4:$Z$4))*100,0))</f>
        <v>74</v>
      </c>
      <c r="AC6" s="17" t="str">
        <f aca="false">IF(AB6="","",IF(AB6&gt;=設定!$D$13,"A",IF(AB6&gt;=設定!$E$13,"B","C")))</f>
        <v>B</v>
      </c>
      <c r="AD6" s="17" t="n">
        <f aca="false">IF(AND(N6="",AA6=""),"",IF(N6="",0,N6)+IF(AA6="",0,AA6))</f>
        <v>469</v>
      </c>
      <c r="AE6" s="17" t="n">
        <f aca="false">IF(AD6="","",IF($AD$4-SUMIF(C6:M6,"欠",$C$4:$M$4)-SUMIF(Q6:Z6,"欠",$Q$4:$Z$4)&lt;=0,"",ROUND(AD6/($AD$4-SUMIF(C6:M6,"欠",$C$4:$M$4)-SUMIF(Q6:Z6,"欠",$Q$4:$Z$4))*100,0)))</f>
        <v>78</v>
      </c>
      <c r="AF6" s="17" t="str">
        <f aca="false">IF(AE6="","",IF(AE6&gt;=設定!$D$13,"A",IF(AE6&gt;=設定!$E$13,"B","C")))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45</v>
      </c>
      <c r="D7" s="19" t="n">
        <v>48</v>
      </c>
      <c r="E7" s="19" t="n">
        <v>50</v>
      </c>
      <c r="F7" s="19" t="n">
        <v>49</v>
      </c>
      <c r="G7" s="19" t="n">
        <v>43</v>
      </c>
      <c r="H7" s="19" t="n">
        <v>50</v>
      </c>
      <c r="I7" s="19"/>
      <c r="J7" s="19"/>
      <c r="K7" s="19"/>
      <c r="L7" s="19"/>
      <c r="M7" s="19"/>
      <c r="N7" s="17" t="n">
        <f aca="false">IF(COUNT(C7:M7)=0,"",SUM(C7:M7))</f>
        <v>285</v>
      </c>
      <c r="O7" s="17" t="n">
        <f aca="false">IF(OR(N7="",$N$4-SUMIF(C7:M7,"欠",$C$4:$M$4)&lt;=0),"",ROUND(N7/($N$4-SUMIF(C7:M7,"欠",$C$4:$M$4))*100,0))</f>
        <v>95</v>
      </c>
      <c r="P7" s="17" t="str">
        <f aca="false">IF(O7="","",IF(O7&gt;=設定!$D$13,"A",IF(O7&gt;=設定!$E$13,"B","C")))</f>
        <v>A</v>
      </c>
      <c r="Q7" s="19" t="n">
        <v>45</v>
      </c>
      <c r="R7" s="19" t="n">
        <v>38</v>
      </c>
      <c r="S7" s="19" t="n">
        <v>46</v>
      </c>
      <c r="T7" s="19" t="n">
        <v>44</v>
      </c>
      <c r="U7" s="19" t="n">
        <v>41</v>
      </c>
      <c r="V7" s="19" t="n">
        <v>43</v>
      </c>
      <c r="W7" s="19"/>
      <c r="X7" s="19"/>
      <c r="Y7" s="19"/>
      <c r="Z7" s="19"/>
      <c r="AA7" s="17" t="n">
        <f aca="false">IF(COUNT(Q7:Z7)=0,"",SUM(Q7:Z7))</f>
        <v>257</v>
      </c>
      <c r="AB7" s="17" t="n">
        <f aca="false">IF(OR(AA7="",$AA$4-SUMIF(Q7:Z7,"欠",$Q$4:$Z$4)&lt;=0),"",ROUND(AA7/($AA$4-SUMIF(Q7:Z7,"欠",$Q$4:$Z$4))*100,0))</f>
        <v>86</v>
      </c>
      <c r="AC7" s="17" t="str">
        <f aca="false">IF(AB7="","",IF(AB7&gt;=設定!$D$13,"A",IF(AB7&gt;=設定!$E$13,"B","C")))</f>
        <v>B</v>
      </c>
      <c r="AD7" s="17" t="n">
        <f aca="false">IF(AND(N7="",AA7=""),"",IF(N7="",0,N7)+IF(AA7="",0,AA7))</f>
        <v>542</v>
      </c>
      <c r="AE7" s="17" t="n">
        <f aca="false">IF(AD7="","",IF($AD$4-SUMIF(C7:M7,"欠",$C$4:$M$4)-SUMIF(Q7:Z7,"欠",$Q$4:$Z$4)&lt;=0,"",ROUND(AD7/($AD$4-SUMIF(C7:M7,"欠",$C$4:$M$4)-SUMIF(Q7:Z7,"欠",$Q$4:$Z$4))*100,0)))</f>
        <v>90</v>
      </c>
      <c r="AF7" s="17" t="str">
        <f aca="false">IF(AE7="","",IF(AE7&gt;=設定!$D$13,"A",IF(AE7&gt;=設定!$E$13,"B","C")))</f>
        <v>A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43</v>
      </c>
      <c r="D8" s="19" t="n">
        <v>36</v>
      </c>
      <c r="E8" s="19" t="n">
        <v>40</v>
      </c>
      <c r="F8" s="19" t="n">
        <v>50</v>
      </c>
      <c r="G8" s="19" t="n">
        <v>42</v>
      </c>
      <c r="H8" s="19" t="n">
        <v>41</v>
      </c>
      <c r="I8" s="19"/>
      <c r="J8" s="19"/>
      <c r="K8" s="19"/>
      <c r="L8" s="19"/>
      <c r="M8" s="19"/>
      <c r="N8" s="17" t="n">
        <f aca="false">IF(COUNT(C8:M8)=0,"",SUM(C8:M8))</f>
        <v>252</v>
      </c>
      <c r="O8" s="17" t="n">
        <f aca="false">IF(OR(N8="",$N$4-SUMIF(C8:M8,"欠",$C$4:$M$4)&lt;=0),"",ROUND(N8/($N$4-SUMIF(C8:M8,"欠",$C$4:$M$4))*100,0))</f>
        <v>84</v>
      </c>
      <c r="P8" s="17" t="str">
        <f aca="false">IF(O8="","",IF(O8&gt;=設定!$D$13,"A",IF(O8&gt;=設定!$E$13,"B","C")))</f>
        <v>B</v>
      </c>
      <c r="Q8" s="19" t="n">
        <v>34</v>
      </c>
      <c r="R8" s="19" t="n">
        <v>40</v>
      </c>
      <c r="S8" s="19" t="n">
        <v>32</v>
      </c>
      <c r="T8" s="19" t="n">
        <v>34</v>
      </c>
      <c r="U8" s="19" t="n">
        <v>41</v>
      </c>
      <c r="V8" s="19" t="n">
        <v>43</v>
      </c>
      <c r="W8" s="19"/>
      <c r="X8" s="19"/>
      <c r="Y8" s="19"/>
      <c r="Z8" s="19"/>
      <c r="AA8" s="17" t="n">
        <f aca="false">IF(COUNT(Q8:Z8)=0,"",SUM(Q8:Z8))</f>
        <v>224</v>
      </c>
      <c r="AB8" s="17" t="n">
        <f aca="false">IF(OR(AA8="",$AA$4-SUMIF(Q8:Z8,"欠",$Q$4:$Z$4)&lt;=0),"",ROUND(AA8/($AA$4-SUMIF(Q8:Z8,"欠",$Q$4:$Z$4))*100,0))</f>
        <v>75</v>
      </c>
      <c r="AC8" s="17" t="str">
        <f aca="false">IF(AB8="","",IF(AB8&gt;=設定!$D$13,"A",IF(AB8&gt;=設定!$E$13,"B","C")))</f>
        <v>B</v>
      </c>
      <c r="AD8" s="17" t="n">
        <f aca="false">IF(AND(N8="",AA8=""),"",IF(N8="",0,N8)+IF(AA8="",0,AA8))</f>
        <v>476</v>
      </c>
      <c r="AE8" s="17" t="n">
        <f aca="false">IF(AD8="","",IF($AD$4-SUMIF(C8:M8,"欠",$C$4:$M$4)-SUMIF(Q8:Z8,"欠",$Q$4:$Z$4)&lt;=0,"",ROUND(AD8/($AD$4-SUMIF(C8:M8,"欠",$C$4:$M$4)-SUMIF(Q8:Z8,"欠",$Q$4:$Z$4))*100,0)))</f>
        <v>79</v>
      </c>
      <c r="AF8" s="17" t="str">
        <f aca="false">IF(AE8="","",IF(AE8&gt;=設定!$D$13,"A",IF(AE8&gt;=設定!$E$13,"B","C")))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47</v>
      </c>
      <c r="D9" s="19" t="n">
        <v>49</v>
      </c>
      <c r="E9" s="19" t="n">
        <v>46</v>
      </c>
      <c r="F9" s="19" t="n">
        <v>42</v>
      </c>
      <c r="G9" s="19" t="n">
        <v>50</v>
      </c>
      <c r="H9" s="19" t="n">
        <v>50</v>
      </c>
      <c r="I9" s="19"/>
      <c r="J9" s="19"/>
      <c r="K9" s="19"/>
      <c r="L9" s="19"/>
      <c r="M9" s="19"/>
      <c r="N9" s="17" t="n">
        <f aca="false">IF(COUNT(C9:M9)=0,"",SUM(C9:M9))</f>
        <v>284</v>
      </c>
      <c r="O9" s="17" t="n">
        <f aca="false">IF(OR(N9="",$N$4-SUMIF(C9:M9,"欠",$C$4:$M$4)&lt;=0),"",ROUND(N9/($N$4-SUMIF(C9:M9,"欠",$C$4:$M$4))*100,0))</f>
        <v>95</v>
      </c>
      <c r="P9" s="17" t="str">
        <f aca="false">IF(O9="","",IF(O9&gt;=設定!$D$13,"A",IF(O9&gt;=設定!$E$13,"B","C")))</f>
        <v>A</v>
      </c>
      <c r="Q9" s="19" t="n">
        <v>38</v>
      </c>
      <c r="R9" s="19" t="n">
        <v>48</v>
      </c>
      <c r="S9" s="19" t="n">
        <v>45</v>
      </c>
      <c r="T9" s="19" t="n">
        <v>39</v>
      </c>
      <c r="U9" s="19" t="n">
        <v>46</v>
      </c>
      <c r="V9" s="19" t="n">
        <v>44</v>
      </c>
      <c r="W9" s="19"/>
      <c r="X9" s="19"/>
      <c r="Y9" s="19"/>
      <c r="Z9" s="19"/>
      <c r="AA9" s="17" t="n">
        <f aca="false">IF(COUNT(Q9:Z9)=0,"",SUM(Q9:Z9))</f>
        <v>260</v>
      </c>
      <c r="AB9" s="17" t="n">
        <f aca="false">IF(OR(AA9="",$AA$4-SUMIF(Q9:Z9,"欠",$Q$4:$Z$4)&lt;=0),"",ROUND(AA9/($AA$4-SUMIF(Q9:Z9,"欠",$Q$4:$Z$4))*100,0))</f>
        <v>87</v>
      </c>
      <c r="AC9" s="17" t="str">
        <f aca="false">IF(AB9="","",IF(AB9&gt;=設定!$D$13,"A",IF(AB9&gt;=設定!$E$13,"B","C")))</f>
        <v>B</v>
      </c>
      <c r="AD9" s="17" t="n">
        <f aca="false">IF(AND(N9="",AA9=""),"",IF(N9="",0,N9)+IF(AA9="",0,AA9))</f>
        <v>544</v>
      </c>
      <c r="AE9" s="17" t="n">
        <f aca="false">IF(AD9="","",IF($AD$4-SUMIF(C9:M9,"欠",$C$4:$M$4)-SUMIF(Q9:Z9,"欠",$Q$4:$Z$4)&lt;=0,"",ROUND(AD9/($AD$4-SUMIF(C9:M9,"欠",$C$4:$M$4)-SUMIF(Q9:Z9,"欠",$Q$4:$Z$4))*100,0)))</f>
        <v>91</v>
      </c>
      <c r="AF9" s="17" t="str">
        <f aca="false">IF(AE9="","",IF(AE9&gt;=設定!$D$13,"A",IF(AE9&gt;=設定!$E$13,"B","C")))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36</v>
      </c>
      <c r="D10" s="19" t="n">
        <v>36</v>
      </c>
      <c r="E10" s="19" t="n">
        <v>28</v>
      </c>
      <c r="F10" s="19" t="n">
        <v>30</v>
      </c>
      <c r="G10" s="19" t="n">
        <v>43</v>
      </c>
      <c r="H10" s="19" t="n">
        <v>36</v>
      </c>
      <c r="I10" s="19"/>
      <c r="J10" s="19"/>
      <c r="K10" s="19"/>
      <c r="L10" s="19"/>
      <c r="M10" s="19"/>
      <c r="N10" s="17" t="n">
        <f aca="false">IF(COUNT(C10:M10)=0,"",SUM(C10:M10))</f>
        <v>209</v>
      </c>
      <c r="O10" s="17" t="n">
        <f aca="false">IF(OR(N10="",$N$4-SUMIF(C10:M10,"欠",$C$4:$M$4)&lt;=0),"",ROUND(N10/($N$4-SUMIF(C10:M10,"欠",$C$4:$M$4))*100,0))</f>
        <v>70</v>
      </c>
      <c r="P10" s="17" t="str">
        <f aca="false">IF(O10="","",IF(O10&gt;=設定!$D$13,"A",IF(O10&gt;=設定!$E$13,"B","C")))</f>
        <v>B</v>
      </c>
      <c r="Q10" s="19" t="n">
        <v>31</v>
      </c>
      <c r="R10" s="19" t="n">
        <v>31</v>
      </c>
      <c r="S10" s="19" t="n">
        <v>42</v>
      </c>
      <c r="T10" s="19" t="n">
        <v>31</v>
      </c>
      <c r="U10" s="19" t="n">
        <v>38</v>
      </c>
      <c r="V10" s="19" t="n">
        <v>25</v>
      </c>
      <c r="W10" s="19"/>
      <c r="X10" s="19"/>
      <c r="Y10" s="19"/>
      <c r="Z10" s="19"/>
      <c r="AA10" s="17" t="n">
        <f aca="false">IF(COUNT(Q10:Z10)=0,"",SUM(Q10:Z10))</f>
        <v>198</v>
      </c>
      <c r="AB10" s="17" t="n">
        <f aca="false">IF(OR(AA10="",$AA$4-SUMIF(Q10:Z10,"欠",$Q$4:$Z$4)&lt;=0),"",ROUND(AA10/($AA$4-SUMIF(Q10:Z10,"欠",$Q$4:$Z$4))*100,0))</f>
        <v>66</v>
      </c>
      <c r="AC10" s="17" t="str">
        <f aca="false">IF(AB10="","",IF(AB10&gt;=設定!$D$13,"A",IF(AB10&gt;=設定!$E$13,"B","C")))</f>
        <v>B</v>
      </c>
      <c r="AD10" s="17" t="n">
        <f aca="false">IF(AND(N10="",AA10=""),"",IF(N10="",0,N10)+IF(AA10="",0,AA10))</f>
        <v>407</v>
      </c>
      <c r="AE10" s="17" t="n">
        <f aca="false">IF(AD10="","",IF($AD$4-SUMIF(C10:M10,"欠",$C$4:$M$4)-SUMIF(Q10:Z10,"欠",$Q$4:$Z$4)&lt;=0,"",ROUND(AD10/($AD$4-SUMIF(C10:M10,"欠",$C$4:$M$4)-SUMIF(Q10:Z10,"欠",$Q$4:$Z$4))*100,0)))</f>
        <v>68</v>
      </c>
      <c r="AF10" s="17" t="str">
        <f aca="false">IF(AE10="","",IF(AE10&gt;=設定!$D$13,"A",IF(AE10&gt;=設定!$E$13,"B","C")))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38</v>
      </c>
      <c r="D11" s="19" t="n">
        <v>34</v>
      </c>
      <c r="E11" s="19" t="n">
        <v>37</v>
      </c>
      <c r="F11" s="19" t="n">
        <v>40</v>
      </c>
      <c r="G11" s="19" t="n">
        <v>40</v>
      </c>
      <c r="H11" s="19" t="n">
        <v>32</v>
      </c>
      <c r="I11" s="19"/>
      <c r="J11" s="19"/>
      <c r="K11" s="19"/>
      <c r="L11" s="19"/>
      <c r="M11" s="19"/>
      <c r="N11" s="17" t="n">
        <f aca="false">IF(COUNT(C11:M11)=0,"",SUM(C11:M11))</f>
        <v>221</v>
      </c>
      <c r="O11" s="17" t="n">
        <f aca="false">IF(OR(N11="",$N$4-SUMIF(C11:M11,"欠",$C$4:$M$4)&lt;=0),"",ROUND(N11/($N$4-SUMIF(C11:M11,"欠",$C$4:$M$4))*100,0))</f>
        <v>74</v>
      </c>
      <c r="P11" s="17" t="str">
        <f aca="false">IF(O11="","",IF(O11&gt;=設定!$D$13,"A",IF(O11&gt;=設定!$E$13,"B","C")))</f>
        <v>B</v>
      </c>
      <c r="Q11" s="19" t="n">
        <v>32</v>
      </c>
      <c r="R11" s="19" t="n">
        <v>31</v>
      </c>
      <c r="S11" s="19" t="n">
        <v>37</v>
      </c>
      <c r="T11" s="19" t="n">
        <v>32</v>
      </c>
      <c r="U11" s="19" t="n">
        <v>32</v>
      </c>
      <c r="V11" s="19" t="n">
        <v>32</v>
      </c>
      <c r="W11" s="19"/>
      <c r="X11" s="19"/>
      <c r="Y11" s="19"/>
      <c r="Z11" s="19"/>
      <c r="AA11" s="17" t="n">
        <f aca="false">IF(COUNT(Q11:Z11)=0,"",SUM(Q11:Z11))</f>
        <v>196</v>
      </c>
      <c r="AB11" s="17" t="n">
        <f aca="false">IF(OR(AA11="",$AA$4-SUMIF(Q11:Z11,"欠",$Q$4:$Z$4)&lt;=0),"",ROUND(AA11/($AA$4-SUMIF(Q11:Z11,"欠",$Q$4:$Z$4))*100,0))</f>
        <v>65</v>
      </c>
      <c r="AC11" s="17" t="str">
        <f aca="false">IF(AB11="","",IF(AB11&gt;=設定!$D$13,"A",IF(AB11&gt;=設定!$E$13,"B","C")))</f>
        <v>B</v>
      </c>
      <c r="AD11" s="17" t="n">
        <f aca="false">IF(AND(N11="",AA11=""),"",IF(N11="",0,N11)+IF(AA11="",0,AA11))</f>
        <v>417</v>
      </c>
      <c r="AE11" s="17" t="n">
        <f aca="false">IF(AD11="","",IF($AD$4-SUMIF(C11:M11,"欠",$C$4:$M$4)-SUMIF(Q11:Z11,"欠",$Q$4:$Z$4)&lt;=0,"",ROUND(AD11/($AD$4-SUMIF(C11:M11,"欠",$C$4:$M$4)-SUMIF(Q11:Z11,"欠",$Q$4:$Z$4))*100,0)))</f>
        <v>70</v>
      </c>
      <c r="AF11" s="17" t="str">
        <f aca="false">IF(AE11="","",IF(AE11&gt;=設定!$D$13,"A",IF(AE11&gt;=設定!$E$13,"B","C")))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49</v>
      </c>
      <c r="D12" s="19" t="n">
        <v>42</v>
      </c>
      <c r="E12" s="19" t="n">
        <v>50</v>
      </c>
      <c r="F12" s="19" t="n">
        <v>50</v>
      </c>
      <c r="G12" s="19" t="n">
        <v>47</v>
      </c>
      <c r="H12" s="19" t="n">
        <v>42</v>
      </c>
      <c r="I12" s="19"/>
      <c r="J12" s="19"/>
      <c r="K12" s="19"/>
      <c r="L12" s="19"/>
      <c r="M12" s="19"/>
      <c r="N12" s="17" t="n">
        <f aca="false">IF(COUNT(C12:M12)=0,"",SUM(C12:M12))</f>
        <v>280</v>
      </c>
      <c r="O12" s="17" t="n">
        <f aca="false">IF(OR(N12="",$N$4-SUMIF(C12:M12,"欠",$C$4:$M$4)&lt;=0),"",ROUND(N12/($N$4-SUMIF(C12:M12,"欠",$C$4:$M$4))*100,0))</f>
        <v>93</v>
      </c>
      <c r="P12" s="17" t="str">
        <f aca="false">IF(O12="","",IF(O12&gt;=設定!$D$13,"A",IF(O12&gt;=設定!$E$13,"B","C")))</f>
        <v>A</v>
      </c>
      <c r="Q12" s="19" t="n">
        <v>42</v>
      </c>
      <c r="R12" s="19" t="n">
        <v>43</v>
      </c>
      <c r="S12" s="19" t="n">
        <v>33</v>
      </c>
      <c r="T12" s="19" t="n">
        <v>43</v>
      </c>
      <c r="U12" s="19" t="n">
        <v>43</v>
      </c>
      <c r="V12" s="19" t="n">
        <v>38</v>
      </c>
      <c r="W12" s="19"/>
      <c r="X12" s="19"/>
      <c r="Y12" s="19"/>
      <c r="Z12" s="19"/>
      <c r="AA12" s="17" t="n">
        <f aca="false">IF(COUNT(Q12:Z12)=0,"",SUM(Q12:Z12))</f>
        <v>242</v>
      </c>
      <c r="AB12" s="17" t="n">
        <f aca="false">IF(OR(AA12="",$AA$4-SUMIF(Q12:Z12,"欠",$Q$4:$Z$4)&lt;=0),"",ROUND(AA12/($AA$4-SUMIF(Q12:Z12,"欠",$Q$4:$Z$4))*100,0))</f>
        <v>81</v>
      </c>
      <c r="AC12" s="17" t="str">
        <f aca="false">IF(AB12="","",IF(AB12&gt;=設定!$D$13,"A",IF(AB12&gt;=設定!$E$13,"B","C")))</f>
        <v>B</v>
      </c>
      <c r="AD12" s="17" t="n">
        <f aca="false">IF(AND(N12="",AA12=""),"",IF(N12="",0,N12)+IF(AA12="",0,AA12))</f>
        <v>522</v>
      </c>
      <c r="AE12" s="17" t="n">
        <f aca="false">IF(AD12="","",IF($AD$4-SUMIF(C12:M12,"欠",$C$4:$M$4)-SUMIF(Q12:Z12,"欠",$Q$4:$Z$4)&lt;=0,"",ROUND(AD12/($AD$4-SUMIF(C12:M12,"欠",$C$4:$M$4)-SUMIF(Q12:Z12,"欠",$Q$4:$Z$4))*100,0)))</f>
        <v>87</v>
      </c>
      <c r="AF12" s="17" t="str">
        <f aca="false">IF(AE12="","",IF(AE12&gt;=設定!$D$13,"A",IF(AE12&gt;=設定!$E$13,"B","C")))</f>
        <v>B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33</v>
      </c>
      <c r="D13" s="19" t="n">
        <v>36</v>
      </c>
      <c r="E13" s="19" t="n">
        <v>32</v>
      </c>
      <c r="F13" s="19" t="n">
        <v>39</v>
      </c>
      <c r="G13" s="19" t="n">
        <v>35</v>
      </c>
      <c r="H13" s="19" t="n">
        <v>44</v>
      </c>
      <c r="I13" s="19"/>
      <c r="J13" s="19"/>
      <c r="K13" s="19"/>
      <c r="L13" s="19"/>
      <c r="M13" s="19"/>
      <c r="N13" s="17" t="n">
        <f aca="false">IF(COUNT(C13:M13)=0,"",SUM(C13:M13))</f>
        <v>219</v>
      </c>
      <c r="O13" s="17" t="n">
        <f aca="false">IF(OR(N13="",$N$4-SUMIF(C13:M13,"欠",$C$4:$M$4)&lt;=0),"",ROUND(N13/($N$4-SUMIF(C13:M13,"欠",$C$4:$M$4))*100,0))</f>
        <v>73</v>
      </c>
      <c r="P13" s="17" t="str">
        <f aca="false">IF(O13="","",IF(O13&gt;=設定!$D$13,"A",IF(O13&gt;=設定!$E$13,"B","C")))</f>
        <v>B</v>
      </c>
      <c r="Q13" s="19" t="n">
        <v>36</v>
      </c>
      <c r="R13" s="19" t="n">
        <v>36</v>
      </c>
      <c r="S13" s="19" t="n">
        <v>28</v>
      </c>
      <c r="T13" s="19" t="n">
        <v>27</v>
      </c>
      <c r="U13" s="19" t="n">
        <v>32</v>
      </c>
      <c r="V13" s="19" t="n">
        <v>30</v>
      </c>
      <c r="W13" s="19"/>
      <c r="X13" s="19"/>
      <c r="Y13" s="19"/>
      <c r="Z13" s="19"/>
      <c r="AA13" s="17" t="n">
        <f aca="false">IF(COUNT(Q13:Z13)=0,"",SUM(Q13:Z13))</f>
        <v>189</v>
      </c>
      <c r="AB13" s="17" t="n">
        <f aca="false">IF(OR(AA13="",$AA$4-SUMIF(Q13:Z13,"欠",$Q$4:$Z$4)&lt;=0),"",ROUND(AA13/($AA$4-SUMIF(Q13:Z13,"欠",$Q$4:$Z$4))*100,0))</f>
        <v>63</v>
      </c>
      <c r="AC13" s="17" t="str">
        <f aca="false">IF(AB13="","",IF(AB13&gt;=設定!$D$13,"A",IF(AB13&gt;=設定!$E$13,"B","C")))</f>
        <v>B</v>
      </c>
      <c r="AD13" s="17" t="n">
        <f aca="false">IF(AND(N13="",AA13=""),"",IF(N13="",0,N13)+IF(AA13="",0,AA13))</f>
        <v>408</v>
      </c>
      <c r="AE13" s="17" t="n">
        <f aca="false">IF(AD13="","",IF($AD$4-SUMIF(C13:M13,"欠",$C$4:$M$4)-SUMIF(Q13:Z13,"欠",$Q$4:$Z$4)&lt;=0,"",ROUND(AD13/($AD$4-SUMIF(C13:M13,"欠",$C$4:$M$4)-SUMIF(Q13:Z13,"欠",$Q$4:$Z$4))*100,0)))</f>
        <v>68</v>
      </c>
      <c r="AF13" s="17" t="str">
        <f aca="false">IF(AE13="","",IF(AE13&gt;=設定!$D$13,"A",IF(AE13&gt;=設定!$E$13,"B","C")))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43</v>
      </c>
      <c r="D14" s="19" t="n">
        <v>42</v>
      </c>
      <c r="E14" s="19" t="n">
        <v>45</v>
      </c>
      <c r="F14" s="19" t="n">
        <v>47</v>
      </c>
      <c r="G14" s="19" t="n">
        <v>50</v>
      </c>
      <c r="H14" s="19" t="n">
        <v>46</v>
      </c>
      <c r="I14" s="19"/>
      <c r="J14" s="19"/>
      <c r="K14" s="19"/>
      <c r="L14" s="19"/>
      <c r="M14" s="19"/>
      <c r="N14" s="17" t="n">
        <f aca="false">IF(COUNT(C14:M14)=0,"",SUM(C14:M14))</f>
        <v>273</v>
      </c>
      <c r="O14" s="17" t="n">
        <f aca="false">IF(OR(N14="",$N$4-SUMIF(C14:M14,"欠",$C$4:$M$4)&lt;=0),"",ROUND(N14/($N$4-SUMIF(C14:M14,"欠",$C$4:$M$4))*100,0))</f>
        <v>91</v>
      </c>
      <c r="P14" s="17" t="str">
        <f aca="false">IF(O14="","",IF(O14&gt;=設定!$D$13,"A",IF(O14&gt;=設定!$E$13,"B","C")))</f>
        <v>A</v>
      </c>
      <c r="Q14" s="19" t="n">
        <v>33</v>
      </c>
      <c r="R14" s="19" t="n">
        <v>31</v>
      </c>
      <c r="S14" s="19" t="n">
        <v>37</v>
      </c>
      <c r="T14" s="19" t="n">
        <v>42</v>
      </c>
      <c r="U14" s="19" t="n">
        <v>42</v>
      </c>
      <c r="V14" s="19" t="n">
        <v>37</v>
      </c>
      <c r="W14" s="19"/>
      <c r="X14" s="19"/>
      <c r="Y14" s="19"/>
      <c r="Z14" s="19"/>
      <c r="AA14" s="17" t="n">
        <f aca="false">IF(COUNT(Q14:Z14)=0,"",SUM(Q14:Z14))</f>
        <v>222</v>
      </c>
      <c r="AB14" s="17" t="n">
        <f aca="false">IF(OR(AA14="",$AA$4-SUMIF(Q14:Z14,"欠",$Q$4:$Z$4)&lt;=0),"",ROUND(AA14/($AA$4-SUMIF(Q14:Z14,"欠",$Q$4:$Z$4))*100,0))</f>
        <v>74</v>
      </c>
      <c r="AC14" s="17" t="str">
        <f aca="false">IF(AB14="","",IF(AB14&gt;=設定!$D$13,"A",IF(AB14&gt;=設定!$E$13,"B","C")))</f>
        <v>B</v>
      </c>
      <c r="AD14" s="17" t="n">
        <f aca="false">IF(AND(N14="",AA14=""),"",IF(N14="",0,N14)+IF(AA14="",0,AA14))</f>
        <v>495</v>
      </c>
      <c r="AE14" s="17" t="n">
        <f aca="false">IF(AD14="","",IF($AD$4-SUMIF(C14:M14,"欠",$C$4:$M$4)-SUMIF(Q14:Z14,"欠",$Q$4:$Z$4)&lt;=0,"",ROUND(AD14/($AD$4-SUMIF(C14:M14,"欠",$C$4:$M$4)-SUMIF(Q14:Z14,"欠",$Q$4:$Z$4))*100,0)))</f>
        <v>83</v>
      </c>
      <c r="AF14" s="17" t="str">
        <f aca="false">IF(AE14="","",IF(AE14&gt;=設定!$D$13,"A",IF(AE14&gt;=設定!$E$13,"B","C")))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40</v>
      </c>
      <c r="D15" s="19" t="n">
        <v>42</v>
      </c>
      <c r="E15" s="19" t="n">
        <v>37</v>
      </c>
      <c r="F15" s="19" t="n">
        <v>43</v>
      </c>
      <c r="G15" s="19" t="n">
        <v>48</v>
      </c>
      <c r="H15" s="19" t="n">
        <v>37</v>
      </c>
      <c r="I15" s="19"/>
      <c r="J15" s="19"/>
      <c r="K15" s="19"/>
      <c r="L15" s="19"/>
      <c r="M15" s="19"/>
      <c r="N15" s="17" t="n">
        <f aca="false">IF(COUNT(C15:M15)=0,"",SUM(C15:M15))</f>
        <v>247</v>
      </c>
      <c r="O15" s="17" t="n">
        <f aca="false">IF(OR(N15="",$N$4-SUMIF(C15:M15,"欠",$C$4:$M$4)&lt;=0),"",ROUND(N15/($N$4-SUMIF(C15:M15,"欠",$C$4:$M$4))*100,0))</f>
        <v>82</v>
      </c>
      <c r="P15" s="17" t="str">
        <f aca="false">IF(O15="","",IF(O15&gt;=設定!$D$13,"A",IF(O15&gt;=設定!$E$13,"B","C")))</f>
        <v>B</v>
      </c>
      <c r="Q15" s="19" t="n">
        <v>34</v>
      </c>
      <c r="R15" s="19" t="n">
        <v>43</v>
      </c>
      <c r="S15" s="19" t="n">
        <v>40</v>
      </c>
      <c r="T15" s="19" t="n">
        <v>41</v>
      </c>
      <c r="U15" s="19" t="n">
        <v>39</v>
      </c>
      <c r="V15" s="19" t="n">
        <v>44</v>
      </c>
      <c r="W15" s="19"/>
      <c r="X15" s="19"/>
      <c r="Y15" s="19"/>
      <c r="Z15" s="19"/>
      <c r="AA15" s="17" t="n">
        <f aca="false">IF(COUNT(Q15:Z15)=0,"",SUM(Q15:Z15))</f>
        <v>241</v>
      </c>
      <c r="AB15" s="17" t="n">
        <f aca="false">IF(OR(AA15="",$AA$4-SUMIF(Q15:Z15,"欠",$Q$4:$Z$4)&lt;=0),"",ROUND(AA15/($AA$4-SUMIF(Q15:Z15,"欠",$Q$4:$Z$4))*100,0))</f>
        <v>80</v>
      </c>
      <c r="AC15" s="17" t="str">
        <f aca="false">IF(AB15="","",IF(AB15&gt;=設定!$D$13,"A",IF(AB15&gt;=設定!$E$13,"B","C")))</f>
        <v>B</v>
      </c>
      <c r="AD15" s="17" t="n">
        <f aca="false">IF(AND(N15="",AA15=""),"",IF(N15="",0,N15)+IF(AA15="",0,AA15))</f>
        <v>488</v>
      </c>
      <c r="AE15" s="17" t="n">
        <f aca="false">IF(AD15="","",IF($AD$4-SUMIF(C15:M15,"欠",$C$4:$M$4)-SUMIF(Q15:Z15,"欠",$Q$4:$Z$4)&lt;=0,"",ROUND(AD15/($AD$4-SUMIF(C15:M15,"欠",$C$4:$M$4)-SUMIF(Q15:Z15,"欠",$Q$4:$Z$4))*100,0)))</f>
        <v>81</v>
      </c>
      <c r="AF15" s="17" t="str">
        <f aca="false">IF(AE15="","",IF(AE15&gt;=設定!$D$13,"A",IF(AE15&gt;=設定!$E$13,"B","C")))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38</v>
      </c>
      <c r="D16" s="19" t="n">
        <v>44</v>
      </c>
      <c r="E16" s="19" t="n">
        <v>39</v>
      </c>
      <c r="F16" s="19" t="n">
        <v>33</v>
      </c>
      <c r="G16" s="19" t="n">
        <v>44</v>
      </c>
      <c r="H16" s="19" t="n">
        <v>40</v>
      </c>
      <c r="I16" s="19"/>
      <c r="J16" s="19"/>
      <c r="K16" s="19"/>
      <c r="L16" s="19"/>
      <c r="M16" s="19"/>
      <c r="N16" s="17" t="n">
        <f aca="false">IF(COUNT(C16:M16)=0,"",SUM(C16:M16))</f>
        <v>238</v>
      </c>
      <c r="O16" s="17" t="n">
        <f aca="false">IF(OR(N16="",$N$4-SUMIF(C16:M16,"欠",$C$4:$M$4)&lt;=0),"",ROUND(N16/($N$4-SUMIF(C16:M16,"欠",$C$4:$M$4))*100,0))</f>
        <v>79</v>
      </c>
      <c r="P16" s="17" t="str">
        <f aca="false">IF(O16="","",IF(O16&gt;=設定!$D$13,"A",IF(O16&gt;=設定!$E$13,"B","C")))</f>
        <v>B</v>
      </c>
      <c r="Q16" s="19" t="n">
        <v>31</v>
      </c>
      <c r="R16" s="19" t="n">
        <v>28</v>
      </c>
      <c r="S16" s="19" t="n">
        <v>38</v>
      </c>
      <c r="T16" s="19" t="n">
        <v>36</v>
      </c>
      <c r="U16" s="19" t="n">
        <v>35</v>
      </c>
      <c r="V16" s="19" t="n">
        <v>41</v>
      </c>
      <c r="W16" s="19"/>
      <c r="X16" s="19"/>
      <c r="Y16" s="19"/>
      <c r="Z16" s="19"/>
      <c r="AA16" s="17" t="n">
        <f aca="false">IF(COUNT(Q16:Z16)=0,"",SUM(Q16:Z16))</f>
        <v>209</v>
      </c>
      <c r="AB16" s="17" t="n">
        <f aca="false">IF(OR(AA16="",$AA$4-SUMIF(Q16:Z16,"欠",$Q$4:$Z$4)&lt;=0),"",ROUND(AA16/($AA$4-SUMIF(Q16:Z16,"欠",$Q$4:$Z$4))*100,0))</f>
        <v>70</v>
      </c>
      <c r="AC16" s="17" t="str">
        <f aca="false">IF(AB16="","",IF(AB16&gt;=設定!$D$13,"A",IF(AB16&gt;=設定!$E$13,"B","C")))</f>
        <v>B</v>
      </c>
      <c r="AD16" s="17" t="n">
        <f aca="false">IF(AND(N16="",AA16=""),"",IF(N16="",0,N16)+IF(AA16="",0,AA16))</f>
        <v>447</v>
      </c>
      <c r="AE16" s="17" t="n">
        <f aca="false">IF(AD16="","",IF($AD$4-SUMIF(C16:M16,"欠",$C$4:$M$4)-SUMIF(Q16:Z16,"欠",$Q$4:$Z$4)&lt;=0,"",ROUND(AD16/($AD$4-SUMIF(C16:M16,"欠",$C$4:$M$4)-SUMIF(Q16:Z16,"欠",$Q$4:$Z$4))*100,0)))</f>
        <v>75</v>
      </c>
      <c r="AF16" s="17" t="str">
        <f aca="false">IF(AE16="","",IF(AE16&gt;=設定!$D$13,"A",IF(AE16&gt;=設定!$E$13,"B","C")))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39</v>
      </c>
      <c r="D17" s="19" t="n">
        <v>32</v>
      </c>
      <c r="E17" s="19" t="n">
        <v>33</v>
      </c>
      <c r="F17" s="19" t="n">
        <v>32</v>
      </c>
      <c r="G17" s="19" t="n">
        <v>28</v>
      </c>
      <c r="H17" s="19" t="n">
        <v>33</v>
      </c>
      <c r="I17" s="19"/>
      <c r="J17" s="19"/>
      <c r="K17" s="19"/>
      <c r="L17" s="19"/>
      <c r="M17" s="19"/>
      <c r="N17" s="17" t="n">
        <f aca="false">IF(COUNT(C17:M17)=0,"",SUM(C17:M17))</f>
        <v>197</v>
      </c>
      <c r="O17" s="17" t="n">
        <f aca="false">IF(OR(N17="",$N$4-SUMIF(C17:M17,"欠",$C$4:$M$4)&lt;=0),"",ROUND(N17/($N$4-SUMIF(C17:M17,"欠",$C$4:$M$4))*100,0))</f>
        <v>66</v>
      </c>
      <c r="P17" s="17" t="str">
        <f aca="false">IF(O17="","",IF(O17&gt;=設定!$D$13,"A",IF(O17&gt;=設定!$E$13,"B","C")))</f>
        <v>B</v>
      </c>
      <c r="Q17" s="19" t="n">
        <v>31</v>
      </c>
      <c r="R17" s="19" t="n">
        <v>31</v>
      </c>
      <c r="S17" s="19" t="n">
        <v>21</v>
      </c>
      <c r="T17" s="19" t="n">
        <v>25</v>
      </c>
      <c r="U17" s="19" t="n">
        <v>31</v>
      </c>
      <c r="V17" s="19" t="n">
        <v>25</v>
      </c>
      <c r="W17" s="19"/>
      <c r="X17" s="19"/>
      <c r="Y17" s="19"/>
      <c r="Z17" s="19"/>
      <c r="AA17" s="17" t="n">
        <f aca="false">IF(COUNT(Q17:Z17)=0,"",SUM(Q17:Z17))</f>
        <v>164</v>
      </c>
      <c r="AB17" s="17" t="n">
        <f aca="false">IF(OR(AA17="",$AA$4-SUMIF(Q17:Z17,"欠",$Q$4:$Z$4)&lt;=0),"",ROUND(AA17/($AA$4-SUMIF(Q17:Z17,"欠",$Q$4:$Z$4))*100,0))</f>
        <v>55</v>
      </c>
      <c r="AC17" s="17" t="str">
        <f aca="false">IF(AB17="","",IF(AB17&gt;=設定!$D$13,"A",IF(AB17&gt;=設定!$E$13,"B","C")))</f>
        <v>C</v>
      </c>
      <c r="AD17" s="17" t="n">
        <f aca="false">IF(AND(N17="",AA17=""),"",IF(N17="",0,N17)+IF(AA17="",0,AA17))</f>
        <v>361</v>
      </c>
      <c r="AE17" s="17" t="n">
        <f aca="false">IF(AD17="","",IF($AD$4-SUMIF(C17:M17,"欠",$C$4:$M$4)-SUMIF(Q17:Z17,"欠",$Q$4:$Z$4)&lt;=0,"",ROUND(AD17/($AD$4-SUMIF(C17:M17,"欠",$C$4:$M$4)-SUMIF(Q17:Z17,"欠",$Q$4:$Z$4))*100,0)))</f>
        <v>60</v>
      </c>
      <c r="AF17" s="17" t="str">
        <f aca="false">IF(AE17="","",IF(AE17&gt;=設定!$D$13,"A",IF(AE17&gt;=設定!$E$13,"B","C")))</f>
        <v>B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47</v>
      </c>
      <c r="D18" s="19" t="n">
        <v>50</v>
      </c>
      <c r="E18" s="19" t="n">
        <v>49</v>
      </c>
      <c r="F18" s="19" t="n">
        <v>47</v>
      </c>
      <c r="G18" s="19" t="n">
        <v>47</v>
      </c>
      <c r="H18" s="19" t="n">
        <v>43</v>
      </c>
      <c r="I18" s="19"/>
      <c r="J18" s="19"/>
      <c r="K18" s="19"/>
      <c r="L18" s="19"/>
      <c r="M18" s="19"/>
      <c r="N18" s="17" t="n">
        <f aca="false">IF(COUNT(C18:M18)=0,"",SUM(C18:M18))</f>
        <v>283</v>
      </c>
      <c r="O18" s="17" t="n">
        <f aca="false">IF(OR(N18="",$N$4-SUMIF(C18:M18,"欠",$C$4:$M$4)&lt;=0),"",ROUND(N18/($N$4-SUMIF(C18:M18,"欠",$C$4:$M$4))*100,0))</f>
        <v>94</v>
      </c>
      <c r="P18" s="17" t="str">
        <f aca="false">IF(O18="","",IF(O18&gt;=設定!$D$13,"A",IF(O18&gt;=設定!$E$13,"B","C")))</f>
        <v>A</v>
      </c>
      <c r="Q18" s="19" t="n">
        <v>40</v>
      </c>
      <c r="R18" s="19" t="n">
        <v>49</v>
      </c>
      <c r="S18" s="19" t="n">
        <v>43</v>
      </c>
      <c r="T18" s="19" t="n">
        <v>44</v>
      </c>
      <c r="U18" s="19" t="n">
        <v>43</v>
      </c>
      <c r="V18" s="19" t="n">
        <v>42</v>
      </c>
      <c r="W18" s="19"/>
      <c r="X18" s="19"/>
      <c r="Y18" s="19"/>
      <c r="Z18" s="19"/>
      <c r="AA18" s="17" t="n">
        <f aca="false">IF(COUNT(Q18:Z18)=0,"",SUM(Q18:Z18))</f>
        <v>261</v>
      </c>
      <c r="AB18" s="17" t="n">
        <f aca="false">IF(OR(AA18="",$AA$4-SUMIF(Q18:Z18,"欠",$Q$4:$Z$4)&lt;=0),"",ROUND(AA18/($AA$4-SUMIF(Q18:Z18,"欠",$Q$4:$Z$4))*100,0))</f>
        <v>87</v>
      </c>
      <c r="AC18" s="17" t="str">
        <f aca="false">IF(AB18="","",IF(AB18&gt;=設定!$D$13,"A",IF(AB18&gt;=設定!$E$13,"B","C")))</f>
        <v>B</v>
      </c>
      <c r="AD18" s="17" t="n">
        <f aca="false">IF(AND(N18="",AA18=""),"",IF(N18="",0,N18)+IF(AA18="",0,AA18))</f>
        <v>544</v>
      </c>
      <c r="AE18" s="17" t="n">
        <f aca="false">IF(AD18="","",IF($AD$4-SUMIF(C18:M18,"欠",$C$4:$M$4)-SUMIF(Q18:Z18,"欠",$Q$4:$Z$4)&lt;=0,"",ROUND(AD18/($AD$4-SUMIF(C18:M18,"欠",$C$4:$M$4)-SUMIF(Q18:Z18,"欠",$Q$4:$Z$4))*100,0)))</f>
        <v>91</v>
      </c>
      <c r="AF18" s="17" t="str">
        <f aca="false">IF(AE18="","",IF(AE18&gt;=設定!$D$13,"A",IF(AE18&gt;=設定!$E$13,"B","C")))</f>
        <v>A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27</v>
      </c>
      <c r="D19" s="19" t="n">
        <v>21</v>
      </c>
      <c r="E19" s="19" t="n">
        <v>25</v>
      </c>
      <c r="F19" s="19" t="n">
        <v>22</v>
      </c>
      <c r="G19" s="19" t="n">
        <v>28</v>
      </c>
      <c r="H19" s="19" t="n">
        <v>31</v>
      </c>
      <c r="I19" s="19"/>
      <c r="J19" s="19"/>
      <c r="K19" s="19"/>
      <c r="L19" s="19"/>
      <c r="M19" s="19"/>
      <c r="N19" s="17" t="n">
        <f aca="false">IF(COUNT(C19:M19)=0,"",SUM(C19:M19))</f>
        <v>154</v>
      </c>
      <c r="O19" s="17" t="n">
        <f aca="false">IF(OR(N19="",$N$4-SUMIF(C19:M19,"欠",$C$4:$M$4)&lt;=0),"",ROUND(N19/($N$4-SUMIF(C19:M19,"欠",$C$4:$M$4))*100,0))</f>
        <v>51</v>
      </c>
      <c r="P19" s="17" t="str">
        <f aca="false">IF(O19="","",IF(O19&gt;=設定!$D$13,"A",IF(O19&gt;=設定!$E$13,"B","C")))</f>
        <v>C</v>
      </c>
      <c r="Q19" s="19" t="n">
        <v>19</v>
      </c>
      <c r="R19" s="19" t="n">
        <v>22</v>
      </c>
      <c r="S19" s="19" t="n">
        <v>24</v>
      </c>
      <c r="T19" s="19" t="n">
        <v>26</v>
      </c>
      <c r="U19" s="19" t="n">
        <v>15</v>
      </c>
      <c r="V19" s="19" t="n">
        <v>20</v>
      </c>
      <c r="W19" s="19"/>
      <c r="X19" s="19"/>
      <c r="Y19" s="19"/>
      <c r="Z19" s="19"/>
      <c r="AA19" s="17" t="n">
        <f aca="false">IF(COUNT(Q19:Z19)=0,"",SUM(Q19:Z19))</f>
        <v>126</v>
      </c>
      <c r="AB19" s="17" t="n">
        <f aca="false">IF(OR(AA19="",$AA$4-SUMIF(Q19:Z19,"欠",$Q$4:$Z$4)&lt;=0),"",ROUND(AA19/($AA$4-SUMIF(Q19:Z19,"欠",$Q$4:$Z$4))*100,0))</f>
        <v>42</v>
      </c>
      <c r="AC19" s="17" t="str">
        <f aca="false">IF(AB19="","",IF(AB19&gt;=設定!$D$13,"A",IF(AB19&gt;=設定!$E$13,"B","C")))</f>
        <v>C</v>
      </c>
      <c r="AD19" s="17" t="n">
        <f aca="false">IF(AND(N19="",AA19=""),"",IF(N19="",0,N19)+IF(AA19="",0,AA19))</f>
        <v>280</v>
      </c>
      <c r="AE19" s="17" t="n">
        <f aca="false">IF(AD19="","",IF($AD$4-SUMIF(C19:M19,"欠",$C$4:$M$4)-SUMIF(Q19:Z19,"欠",$Q$4:$Z$4)&lt;=0,"",ROUND(AD19/($AD$4-SUMIF(C19:M19,"欠",$C$4:$M$4)-SUMIF(Q19:Z19,"欠",$Q$4:$Z$4))*100,0)))</f>
        <v>47</v>
      </c>
      <c r="AF19" s="17" t="str">
        <f aca="false">IF(AE19="","",IF(AE19&gt;=設定!$D$13,"A",IF(AE19&gt;=設定!$E$13,"B","C")))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50</v>
      </c>
      <c r="D20" s="19" t="n">
        <v>50</v>
      </c>
      <c r="E20" s="19" t="n">
        <v>49</v>
      </c>
      <c r="F20" s="19" t="n">
        <v>50</v>
      </c>
      <c r="G20" s="20" t="s">
        <v>80</v>
      </c>
      <c r="H20" s="19" t="n">
        <v>50</v>
      </c>
      <c r="I20" s="19"/>
      <c r="J20" s="19"/>
      <c r="K20" s="19"/>
      <c r="L20" s="19"/>
      <c r="M20" s="19"/>
      <c r="N20" s="17" t="n">
        <f aca="false">IF(COUNT(C20:M20)=0,"",SUM(C20:M20))</f>
        <v>249</v>
      </c>
      <c r="O20" s="17" t="n">
        <f aca="false">IF(OR(N20="",$N$4-SUMIF(C20:M20,"欠",$C$4:$M$4)&lt;=0),"",ROUND(N20/($N$4-SUMIF(C20:M20,"欠",$C$4:$M$4))*100,0))</f>
        <v>100</v>
      </c>
      <c r="P20" s="17" t="str">
        <f aca="false">IF(O20="","",IF(O20&gt;=設定!$D$13,"A",IF(O20&gt;=設定!$E$13,"B","C")))</f>
        <v>A</v>
      </c>
      <c r="Q20" s="19" t="n">
        <v>46</v>
      </c>
      <c r="R20" s="19" t="n">
        <v>42</v>
      </c>
      <c r="S20" s="19" t="n">
        <v>49</v>
      </c>
      <c r="T20" s="19" t="n">
        <v>50</v>
      </c>
      <c r="U20" s="20" t="s">
        <v>80</v>
      </c>
      <c r="V20" s="19" t="n">
        <v>45</v>
      </c>
      <c r="W20" s="19"/>
      <c r="X20" s="19"/>
      <c r="Y20" s="19"/>
      <c r="Z20" s="19"/>
      <c r="AA20" s="17" t="n">
        <f aca="false">IF(COUNT(Q20:Z20)=0,"",SUM(Q20:Z20))</f>
        <v>232</v>
      </c>
      <c r="AB20" s="17" t="n">
        <f aca="false">IF(OR(AA20="",$AA$4-SUMIF(Q20:Z20,"欠",$Q$4:$Z$4)&lt;=0),"",ROUND(AA20/($AA$4-SUMIF(Q20:Z20,"欠",$Q$4:$Z$4))*100,0))</f>
        <v>93</v>
      </c>
      <c r="AC20" s="17" t="str">
        <f aca="false">IF(AB20="","",IF(AB20&gt;=設定!$D$13,"A",IF(AB20&gt;=設定!$E$13,"B","C")))</f>
        <v>A</v>
      </c>
      <c r="AD20" s="17" t="n">
        <f aca="false">IF(AND(N20="",AA20=""),"",IF(N20="",0,N20)+IF(AA20="",0,AA20))</f>
        <v>481</v>
      </c>
      <c r="AE20" s="17" t="n">
        <f aca="false">IF(AD20="","",IF($AD$4-SUMIF(C20:M20,"欠",$C$4:$M$4)-SUMIF(Q20:Z20,"欠",$Q$4:$Z$4)&lt;=0,"",ROUND(AD20/($AD$4-SUMIF(C20:M20,"欠",$C$4:$M$4)-SUMIF(Q20:Z20,"欠",$Q$4:$Z$4))*100,0)))</f>
        <v>96</v>
      </c>
      <c r="AF20" s="17" t="str">
        <f aca="false">IF(AE20="","",IF(AE20&gt;=設定!$D$13,"A",IF(AE20&gt;=設定!$E$13,"B","C")))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43</v>
      </c>
      <c r="D21" s="19" t="n">
        <v>36</v>
      </c>
      <c r="E21" s="19" t="n">
        <v>43</v>
      </c>
      <c r="F21" s="19" t="n">
        <v>46</v>
      </c>
      <c r="G21" s="20" t="n">
        <v>42</v>
      </c>
      <c r="H21" s="19" t="n">
        <v>49</v>
      </c>
      <c r="I21" s="19"/>
      <c r="J21" s="19"/>
      <c r="K21" s="19"/>
      <c r="L21" s="19"/>
      <c r="M21" s="19"/>
      <c r="N21" s="17" t="n">
        <f aca="false">IF(COUNT(C21:M21)=0,"",SUM(C21:M21))</f>
        <v>259</v>
      </c>
      <c r="O21" s="17" t="n">
        <f aca="false">IF(OR(N21="",$N$4-SUMIF(C21:M21,"欠",$C$4:$M$4)&lt;=0),"",ROUND(N21/($N$4-SUMIF(C21:M21,"欠",$C$4:$M$4))*100,0))</f>
        <v>86</v>
      </c>
      <c r="P21" s="17" t="str">
        <f aca="false">IF(O21="","",IF(O21&gt;=設定!$D$13,"A",IF(O21&gt;=設定!$E$13,"B","C")))</f>
        <v>B</v>
      </c>
      <c r="Q21" s="19" t="n">
        <v>39</v>
      </c>
      <c r="R21" s="19" t="n">
        <v>36</v>
      </c>
      <c r="S21" s="19" t="n">
        <v>40</v>
      </c>
      <c r="T21" s="19" t="n">
        <v>38</v>
      </c>
      <c r="U21" s="20" t="n">
        <v>28</v>
      </c>
      <c r="V21" s="19" t="n">
        <v>31</v>
      </c>
      <c r="W21" s="19"/>
      <c r="X21" s="19"/>
      <c r="Y21" s="19"/>
      <c r="Z21" s="19"/>
      <c r="AA21" s="17" t="n">
        <f aca="false">IF(COUNT(Q21:Z21)=0,"",SUM(Q21:Z21))</f>
        <v>212</v>
      </c>
      <c r="AB21" s="17" t="n">
        <f aca="false">IF(OR(AA21="",$AA$4-SUMIF(Q21:Z21,"欠",$Q$4:$Z$4)&lt;=0),"",ROUND(AA21/($AA$4-SUMIF(Q21:Z21,"欠",$Q$4:$Z$4))*100,0))</f>
        <v>71</v>
      </c>
      <c r="AC21" s="17" t="str">
        <f aca="false">IF(AB21="","",IF(AB21&gt;=設定!$D$13,"A",IF(AB21&gt;=設定!$E$13,"B","C")))</f>
        <v>B</v>
      </c>
      <c r="AD21" s="17" t="n">
        <f aca="false">IF(AND(N21="",AA21=""),"",IF(N21="",0,N21)+IF(AA21="",0,AA21))</f>
        <v>471</v>
      </c>
      <c r="AE21" s="17" t="n">
        <f aca="false">IF(AD21="","",IF($AD$4-SUMIF(C21:M21,"欠",$C$4:$M$4)-SUMIF(Q21:Z21,"欠",$Q$4:$Z$4)&lt;=0,"",ROUND(AD21/($AD$4-SUMIF(C21:M21,"欠",$C$4:$M$4)-SUMIF(Q21:Z21,"欠",$Q$4:$Z$4))*100,0)))</f>
        <v>79</v>
      </c>
      <c r="AF21" s="17" t="str">
        <f aca="false">IF(AE21="","",IF(AE21&gt;=設定!$D$13,"A",IF(AE21&gt;=設定!$E$13,"B","C")))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50</v>
      </c>
      <c r="D22" s="19" t="n">
        <v>50</v>
      </c>
      <c r="E22" s="19" t="n">
        <v>50</v>
      </c>
      <c r="F22" s="19" t="n">
        <v>50</v>
      </c>
      <c r="G22" s="20" t="n">
        <v>50</v>
      </c>
      <c r="H22" s="19" t="n">
        <v>50</v>
      </c>
      <c r="I22" s="19"/>
      <c r="J22" s="19"/>
      <c r="K22" s="19"/>
      <c r="L22" s="19"/>
      <c r="M22" s="19"/>
      <c r="N22" s="17" t="n">
        <f aca="false">IF(COUNT(C22:M22)=0,"",SUM(C22:M22))</f>
        <v>300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IF(O22="","",IF(O22&gt;=設定!$D$13,"A",IF(O22&gt;=設定!$E$13,"B","C")))</f>
        <v>A</v>
      </c>
      <c r="Q22" s="19" t="n">
        <v>50</v>
      </c>
      <c r="R22" s="19" t="n">
        <v>50</v>
      </c>
      <c r="S22" s="19" t="n">
        <v>50</v>
      </c>
      <c r="T22" s="19" t="n">
        <v>48</v>
      </c>
      <c r="U22" s="20" t="n">
        <v>50</v>
      </c>
      <c r="V22" s="19" t="n">
        <v>50</v>
      </c>
      <c r="W22" s="19"/>
      <c r="X22" s="19"/>
      <c r="Y22" s="19"/>
      <c r="Z22" s="19"/>
      <c r="AA22" s="17" t="n">
        <f aca="false">IF(COUNT(Q22:Z22)=0,"",SUM(Q22:Z22))</f>
        <v>298</v>
      </c>
      <c r="AB22" s="17" t="n">
        <f aca="false">IF(OR(AA22="",$AA$4-SUMIF(Q22:Z22,"欠",$Q$4:$Z$4)&lt;=0),"",ROUND(AA22/($AA$4-SUMIF(Q22:Z22,"欠",$Q$4:$Z$4))*100,0))</f>
        <v>99</v>
      </c>
      <c r="AC22" s="17" t="str">
        <f aca="false">IF(AB22="","",IF(AB22&gt;=設定!$D$13,"A",IF(AB22&gt;=設定!$E$13,"B","C")))</f>
        <v>A</v>
      </c>
      <c r="AD22" s="17" t="n">
        <f aca="false">IF(AND(N22="",AA22=""),"",IF(N22="",0,N22)+IF(AA22="",0,AA22))</f>
        <v>598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IF(AE22="","",IF(AE22&gt;=設定!$D$13,"A",IF(AE22&gt;=設定!$E$13,"B","C")))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50</v>
      </c>
      <c r="D23" s="19" t="n">
        <v>43</v>
      </c>
      <c r="E23" s="19" t="n">
        <v>49</v>
      </c>
      <c r="F23" s="19" t="n">
        <v>43</v>
      </c>
      <c r="G23" s="20" t="n">
        <v>50</v>
      </c>
      <c r="H23" s="19" t="n">
        <v>47</v>
      </c>
      <c r="I23" s="19"/>
      <c r="J23" s="19"/>
      <c r="K23" s="19"/>
      <c r="L23" s="19"/>
      <c r="M23" s="19"/>
      <c r="N23" s="17" t="n">
        <f aca="false">IF(COUNT(C23:M23)=0,"",SUM(C23:M23))</f>
        <v>282</v>
      </c>
      <c r="O23" s="17" t="n">
        <f aca="false">IF(OR(N23="",$N$4-SUMIF(C23:M23,"欠",$C$4:$M$4)&lt;=0),"",ROUND(N23/($N$4-SUMIF(C23:M23,"欠",$C$4:$M$4))*100,0))</f>
        <v>94</v>
      </c>
      <c r="P23" s="17" t="str">
        <f aca="false">IF(O23="","",IF(O23&gt;=設定!$D$13,"A",IF(O23&gt;=設定!$E$13,"B","C")))</f>
        <v>A</v>
      </c>
      <c r="Q23" s="19" t="n">
        <v>47</v>
      </c>
      <c r="R23" s="19" t="n">
        <v>50</v>
      </c>
      <c r="S23" s="19" t="n">
        <v>46</v>
      </c>
      <c r="T23" s="19" t="n">
        <v>45</v>
      </c>
      <c r="U23" s="20" t="n">
        <v>46</v>
      </c>
      <c r="V23" s="19" t="n">
        <v>48</v>
      </c>
      <c r="W23" s="19"/>
      <c r="X23" s="19"/>
      <c r="Y23" s="19"/>
      <c r="Z23" s="19"/>
      <c r="AA23" s="17" t="n">
        <f aca="false">IF(COUNT(Q23:Z23)=0,"",SUM(Q23:Z23))</f>
        <v>282</v>
      </c>
      <c r="AB23" s="17" t="n">
        <f aca="false">IF(OR(AA23="",$AA$4-SUMIF(Q23:Z23,"欠",$Q$4:$Z$4)&lt;=0),"",ROUND(AA23/($AA$4-SUMIF(Q23:Z23,"欠",$Q$4:$Z$4))*100,0))</f>
        <v>94</v>
      </c>
      <c r="AC23" s="17" t="str">
        <f aca="false">IF(AB23="","",IF(AB23&gt;=設定!$D$13,"A",IF(AB23&gt;=設定!$E$13,"B","C")))</f>
        <v>A</v>
      </c>
      <c r="AD23" s="17" t="n">
        <f aca="false">IF(AND(N23="",AA23=""),"",IF(N23="",0,N23)+IF(AA23="",0,AA23))</f>
        <v>564</v>
      </c>
      <c r="AE23" s="17" t="n">
        <f aca="false">IF(AD23="","",IF($AD$4-SUMIF(C23:M23,"欠",$C$4:$M$4)-SUMIF(Q23:Z23,"欠",$Q$4:$Z$4)&lt;=0,"",ROUND(AD23/($AD$4-SUMIF(C23:M23,"欠",$C$4:$M$4)-SUMIF(Q23:Z23,"欠",$Q$4:$Z$4))*100,0)))</f>
        <v>94</v>
      </c>
      <c r="AF23" s="17" t="str">
        <f aca="false">IF(AE23="","",IF(AE23&gt;=設定!$D$13,"A",IF(AE23&gt;=設定!$E$13,"B","C")))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42</v>
      </c>
      <c r="D24" s="19" t="n">
        <v>33</v>
      </c>
      <c r="E24" s="19" t="n">
        <v>39</v>
      </c>
      <c r="F24" s="19" t="n">
        <v>41</v>
      </c>
      <c r="G24" s="20" t="n">
        <v>30</v>
      </c>
      <c r="H24" s="19" t="n">
        <v>39</v>
      </c>
      <c r="I24" s="19"/>
      <c r="J24" s="19"/>
      <c r="K24" s="19"/>
      <c r="L24" s="19"/>
      <c r="M24" s="19"/>
      <c r="N24" s="17" t="n">
        <f aca="false">IF(COUNT(C24:M24)=0,"",SUM(C24:M24))</f>
        <v>224</v>
      </c>
      <c r="O24" s="17" t="n">
        <f aca="false">IF(OR(N24="",$N$4-SUMIF(C24:M24,"欠",$C$4:$M$4)&lt;=0),"",ROUND(N24/($N$4-SUMIF(C24:M24,"欠",$C$4:$M$4))*100,0))</f>
        <v>75</v>
      </c>
      <c r="P24" s="17" t="str">
        <f aca="false">IF(O24="","",IF(O24&gt;=設定!$D$13,"A",IF(O24&gt;=設定!$E$13,"B","C")))</f>
        <v>B</v>
      </c>
      <c r="Q24" s="19" t="n">
        <v>37</v>
      </c>
      <c r="R24" s="19" t="n">
        <v>35</v>
      </c>
      <c r="S24" s="19" t="n">
        <v>33</v>
      </c>
      <c r="T24" s="19" t="n">
        <v>32</v>
      </c>
      <c r="U24" s="20" t="n">
        <v>36</v>
      </c>
      <c r="V24" s="19" t="n">
        <v>33</v>
      </c>
      <c r="W24" s="19"/>
      <c r="X24" s="19"/>
      <c r="Y24" s="19"/>
      <c r="Z24" s="19"/>
      <c r="AA24" s="17" t="n">
        <f aca="false">IF(COUNT(Q24:Z24)=0,"",SUM(Q24:Z24))</f>
        <v>206</v>
      </c>
      <c r="AB24" s="17" t="n">
        <f aca="false">IF(OR(AA24="",$AA$4-SUMIF(Q24:Z24,"欠",$Q$4:$Z$4)&lt;=0),"",ROUND(AA24/($AA$4-SUMIF(Q24:Z24,"欠",$Q$4:$Z$4))*100,0))</f>
        <v>69</v>
      </c>
      <c r="AC24" s="17" t="str">
        <f aca="false">IF(AB24="","",IF(AB24&gt;=設定!$D$13,"A",IF(AB24&gt;=設定!$E$13,"B","C")))</f>
        <v>B</v>
      </c>
      <c r="AD24" s="17" t="n">
        <f aca="false">IF(AND(N24="",AA24=""),"",IF(N24="",0,N24)+IF(AA24="",0,AA24))</f>
        <v>430</v>
      </c>
      <c r="AE24" s="17" t="n">
        <f aca="false">IF(AD24="","",IF($AD$4-SUMIF(C24:M24,"欠",$C$4:$M$4)-SUMIF(Q24:Z24,"欠",$Q$4:$Z$4)&lt;=0,"",ROUND(AD24/($AD$4-SUMIF(C24:M24,"欠",$C$4:$M$4)-SUMIF(Q24:Z24,"欠",$Q$4:$Z$4))*100,0)))</f>
        <v>72</v>
      </c>
      <c r="AF24" s="17" t="str">
        <f aca="false">IF(AE24="","",IF(AE24&gt;=設定!$D$13,"A",IF(AE24&gt;=設定!$E$13,"B","C")))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47</v>
      </c>
      <c r="D25" s="19" t="n">
        <v>50</v>
      </c>
      <c r="E25" s="19" t="n">
        <v>50</v>
      </c>
      <c r="F25" s="19" t="n">
        <v>43</v>
      </c>
      <c r="G25" s="20" t="n">
        <v>45</v>
      </c>
      <c r="H25" s="19" t="n">
        <v>42</v>
      </c>
      <c r="I25" s="19"/>
      <c r="J25" s="19"/>
      <c r="K25" s="19"/>
      <c r="L25" s="19"/>
      <c r="M25" s="19"/>
      <c r="N25" s="17" t="n">
        <f aca="false">IF(COUNT(C25:M25)=0,"",SUM(C25:M25))</f>
        <v>277</v>
      </c>
      <c r="O25" s="17" t="n">
        <f aca="false">IF(OR(N25="",$N$4-SUMIF(C25:M25,"欠",$C$4:$M$4)&lt;=0),"",ROUND(N25/($N$4-SUMIF(C25:M25,"欠",$C$4:$M$4))*100,0))</f>
        <v>92</v>
      </c>
      <c r="P25" s="17" t="str">
        <f aca="false">IF(O25="","",IF(O25&gt;=設定!$D$13,"A",IF(O25&gt;=設定!$E$13,"B","C")))</f>
        <v>A</v>
      </c>
      <c r="Q25" s="19" t="n">
        <v>39</v>
      </c>
      <c r="R25" s="19" t="n">
        <v>45</v>
      </c>
      <c r="S25" s="19" t="n">
        <v>43</v>
      </c>
      <c r="T25" s="19" t="n">
        <v>41</v>
      </c>
      <c r="U25" s="20" t="n">
        <v>39</v>
      </c>
      <c r="V25" s="19" t="n">
        <v>46</v>
      </c>
      <c r="W25" s="19"/>
      <c r="X25" s="19"/>
      <c r="Y25" s="19"/>
      <c r="Z25" s="19"/>
      <c r="AA25" s="17" t="n">
        <f aca="false">IF(COUNT(Q25:Z25)=0,"",SUM(Q25:Z25))</f>
        <v>253</v>
      </c>
      <c r="AB25" s="17" t="n">
        <f aca="false">IF(OR(AA25="",$AA$4-SUMIF(Q25:Z25,"欠",$Q$4:$Z$4)&lt;=0),"",ROUND(AA25/($AA$4-SUMIF(Q25:Z25,"欠",$Q$4:$Z$4))*100,0))</f>
        <v>84</v>
      </c>
      <c r="AC25" s="17" t="str">
        <f aca="false">IF(AB25="","",IF(AB25&gt;=設定!$D$13,"A",IF(AB25&gt;=設定!$E$13,"B","C")))</f>
        <v>B</v>
      </c>
      <c r="AD25" s="17" t="n">
        <f aca="false">IF(AND(N25="",AA25=""),"",IF(N25="",0,N25)+IF(AA25="",0,AA25))</f>
        <v>530</v>
      </c>
      <c r="AE25" s="17" t="n">
        <f aca="false">IF(AD25="","",IF($AD$4-SUMIF(C25:M25,"欠",$C$4:$M$4)-SUMIF(Q25:Z25,"欠",$Q$4:$Z$4)&lt;=0,"",ROUND(AD25/($AD$4-SUMIF(C25:M25,"欠",$C$4:$M$4)-SUMIF(Q25:Z25,"欠",$Q$4:$Z$4))*100,0)))</f>
        <v>88</v>
      </c>
      <c r="AF25" s="17" t="str">
        <f aca="false">IF(AE25="","",IF(AE25&gt;=設定!$D$13,"A",IF(AE25&gt;=設定!$E$13,"B","C")))</f>
        <v>B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45</v>
      </c>
      <c r="D26" s="19" t="n">
        <v>40</v>
      </c>
      <c r="E26" s="19" t="n">
        <v>35</v>
      </c>
      <c r="F26" s="19" t="n">
        <v>36</v>
      </c>
      <c r="G26" s="20" t="n">
        <v>27</v>
      </c>
      <c r="H26" s="19" t="n">
        <v>40</v>
      </c>
      <c r="I26" s="19"/>
      <c r="J26" s="19"/>
      <c r="K26" s="19"/>
      <c r="L26" s="19"/>
      <c r="M26" s="19"/>
      <c r="N26" s="17" t="n">
        <f aca="false">IF(COUNT(C26:M26)=0,"",SUM(C26:M26))</f>
        <v>223</v>
      </c>
      <c r="O26" s="17" t="n">
        <f aca="false">IF(OR(N26="",$N$4-SUMIF(C26:M26,"欠",$C$4:$M$4)&lt;=0),"",ROUND(N26/($N$4-SUMIF(C26:M26,"欠",$C$4:$M$4))*100,0))</f>
        <v>74</v>
      </c>
      <c r="P26" s="17" t="str">
        <f aca="false">IF(O26="","",IF(O26&gt;=設定!$D$13,"A",IF(O26&gt;=設定!$E$13,"B","C")))</f>
        <v>B</v>
      </c>
      <c r="Q26" s="19" t="n">
        <v>34</v>
      </c>
      <c r="R26" s="19" t="n">
        <v>35</v>
      </c>
      <c r="S26" s="19" t="n">
        <v>30</v>
      </c>
      <c r="T26" s="19" t="n">
        <v>31</v>
      </c>
      <c r="U26" s="20" t="n">
        <v>31</v>
      </c>
      <c r="V26" s="19" t="n">
        <v>24</v>
      </c>
      <c r="W26" s="19"/>
      <c r="X26" s="19"/>
      <c r="Y26" s="19"/>
      <c r="Z26" s="19"/>
      <c r="AA26" s="17" t="n">
        <f aca="false">IF(COUNT(Q26:Z26)=0,"",SUM(Q26:Z26))</f>
        <v>185</v>
      </c>
      <c r="AB26" s="17" t="n">
        <f aca="false">IF(OR(AA26="",$AA$4-SUMIF(Q26:Z26,"欠",$Q$4:$Z$4)&lt;=0),"",ROUND(AA26/($AA$4-SUMIF(Q26:Z26,"欠",$Q$4:$Z$4))*100,0))</f>
        <v>62</v>
      </c>
      <c r="AC26" s="17" t="str">
        <f aca="false">IF(AB26="","",IF(AB26&gt;=設定!$D$13,"A",IF(AB26&gt;=設定!$E$13,"B","C")))</f>
        <v>B</v>
      </c>
      <c r="AD26" s="17" t="n">
        <f aca="false">IF(AND(N26="",AA26=""),"",IF(N26="",0,N26)+IF(AA26="",0,AA26))</f>
        <v>408</v>
      </c>
      <c r="AE26" s="17" t="n">
        <f aca="false">IF(AD26="","",IF($AD$4-SUMIF(C26:M26,"欠",$C$4:$M$4)-SUMIF(Q26:Z26,"欠",$Q$4:$Z$4)&lt;=0,"",ROUND(AD26/($AD$4-SUMIF(C26:M26,"欠",$C$4:$M$4)-SUMIF(Q26:Z26,"欠",$Q$4:$Z$4))*100,0)))</f>
        <v>68</v>
      </c>
      <c r="AF26" s="17" t="str">
        <f aca="false">IF(AE26="","",IF(AE26&gt;=設定!$D$13,"A",IF(AE26&gt;=設定!$E$13,"B","C")))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43</v>
      </c>
      <c r="D27" s="19" t="n">
        <v>50</v>
      </c>
      <c r="E27" s="19" t="n">
        <v>50</v>
      </c>
      <c r="F27" s="19" t="n">
        <v>45</v>
      </c>
      <c r="G27" s="20" t="n">
        <v>47</v>
      </c>
      <c r="H27" s="19" t="n">
        <v>41</v>
      </c>
      <c r="I27" s="19"/>
      <c r="J27" s="19"/>
      <c r="K27" s="19"/>
      <c r="L27" s="19"/>
      <c r="M27" s="19"/>
      <c r="N27" s="17" t="n">
        <f aca="false">IF(COUNT(C27:M27)=0,"",SUM(C27:M27))</f>
        <v>276</v>
      </c>
      <c r="O27" s="17" t="n">
        <f aca="false">IF(OR(N27="",$N$4-SUMIF(C27:M27,"欠",$C$4:$M$4)&lt;=0),"",ROUND(N27/($N$4-SUMIF(C27:M27,"欠",$C$4:$M$4))*100,0))</f>
        <v>92</v>
      </c>
      <c r="P27" s="17" t="str">
        <f aca="false">IF(O27="","",IF(O27&gt;=設定!$D$13,"A",IF(O27&gt;=設定!$E$13,"B","C")))</f>
        <v>A</v>
      </c>
      <c r="Q27" s="19" t="n">
        <v>34</v>
      </c>
      <c r="R27" s="19" t="n">
        <v>48</v>
      </c>
      <c r="S27" s="19" t="n">
        <v>48</v>
      </c>
      <c r="T27" s="19" t="n">
        <v>44</v>
      </c>
      <c r="U27" s="20" t="n">
        <v>41</v>
      </c>
      <c r="V27" s="19" t="n">
        <v>40</v>
      </c>
      <c r="W27" s="19"/>
      <c r="X27" s="19"/>
      <c r="Y27" s="19"/>
      <c r="Z27" s="19"/>
      <c r="AA27" s="17" t="n">
        <f aca="false">IF(COUNT(Q27:Z27)=0,"",SUM(Q27:Z27))</f>
        <v>255</v>
      </c>
      <c r="AB27" s="17" t="n">
        <f aca="false">IF(OR(AA27="",$AA$4-SUMIF(Q27:Z27,"欠",$Q$4:$Z$4)&lt;=0),"",ROUND(AA27/($AA$4-SUMIF(Q27:Z27,"欠",$Q$4:$Z$4))*100,0))</f>
        <v>85</v>
      </c>
      <c r="AC27" s="17" t="str">
        <f aca="false">IF(AB27="","",IF(AB27&gt;=設定!$D$13,"A",IF(AB27&gt;=設定!$E$13,"B","C")))</f>
        <v>B</v>
      </c>
      <c r="AD27" s="17" t="n">
        <f aca="false">IF(AND(N27="",AA27=""),"",IF(N27="",0,N27)+IF(AA27="",0,AA27))</f>
        <v>531</v>
      </c>
      <c r="AE27" s="17" t="n">
        <f aca="false">IF(AD27="","",IF($AD$4-SUMIF(C27:M27,"欠",$C$4:$M$4)-SUMIF(Q27:Z27,"欠",$Q$4:$Z$4)&lt;=0,"",ROUND(AD27/($AD$4-SUMIF(C27:M27,"欠",$C$4:$M$4)-SUMIF(Q27:Z27,"欠",$Q$4:$Z$4))*100,0)))</f>
        <v>89</v>
      </c>
      <c r="AF27" s="17" t="str">
        <f aca="false">IF(AE27="","",IF(AE27&gt;=設定!$D$13,"A",IF(AE27&gt;=設定!$E$13,"B","C")))</f>
        <v>B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32</v>
      </c>
      <c r="D28" s="19" t="n">
        <v>28</v>
      </c>
      <c r="E28" s="19" t="n">
        <v>32</v>
      </c>
      <c r="F28" s="19" t="n">
        <v>30</v>
      </c>
      <c r="G28" s="20" t="n">
        <v>32</v>
      </c>
      <c r="H28" s="19" t="n">
        <v>31</v>
      </c>
      <c r="I28" s="19"/>
      <c r="J28" s="19"/>
      <c r="K28" s="19"/>
      <c r="L28" s="19"/>
      <c r="M28" s="19"/>
      <c r="N28" s="17" t="n">
        <f aca="false">IF(COUNT(C28:M28)=0,"",SUM(C28:M28))</f>
        <v>185</v>
      </c>
      <c r="O28" s="17" t="n">
        <f aca="false">IF(OR(N28="",$N$4-SUMIF(C28:M28,"欠",$C$4:$M$4)&lt;=0),"",ROUND(N28/($N$4-SUMIF(C28:M28,"欠",$C$4:$M$4))*100,0))</f>
        <v>62</v>
      </c>
      <c r="P28" s="17" t="str">
        <f aca="false">IF(O28="","",IF(O28&gt;=設定!$D$13,"A",IF(O28&gt;=設定!$E$13,"B","C")))</f>
        <v>B</v>
      </c>
      <c r="Q28" s="19" t="n">
        <v>28</v>
      </c>
      <c r="R28" s="19" t="n">
        <v>18</v>
      </c>
      <c r="S28" s="19" t="n">
        <v>26</v>
      </c>
      <c r="T28" s="19" t="n">
        <v>25</v>
      </c>
      <c r="U28" s="20" t="n">
        <v>31</v>
      </c>
      <c r="V28" s="19" t="n">
        <v>29</v>
      </c>
      <c r="W28" s="19"/>
      <c r="X28" s="19"/>
      <c r="Y28" s="19"/>
      <c r="Z28" s="19"/>
      <c r="AA28" s="17" t="n">
        <f aca="false">IF(COUNT(Q28:Z28)=0,"",SUM(Q28:Z28))</f>
        <v>157</v>
      </c>
      <c r="AB28" s="17" t="n">
        <f aca="false">IF(OR(AA28="",$AA$4-SUMIF(Q28:Z28,"欠",$Q$4:$Z$4)&lt;=0),"",ROUND(AA28/($AA$4-SUMIF(Q28:Z28,"欠",$Q$4:$Z$4))*100,0))</f>
        <v>52</v>
      </c>
      <c r="AC28" s="17" t="str">
        <f aca="false">IF(AB28="","",IF(AB28&gt;=設定!$D$13,"A",IF(AB28&gt;=設定!$E$13,"B","C")))</f>
        <v>C</v>
      </c>
      <c r="AD28" s="17" t="n">
        <f aca="false">IF(AND(N28="",AA28=""),"",IF(N28="",0,N28)+IF(AA28="",0,AA28))</f>
        <v>342</v>
      </c>
      <c r="AE28" s="17" t="n">
        <f aca="false">IF(AD28="","",IF($AD$4-SUMIF(C28:M28,"欠",$C$4:$M$4)-SUMIF(Q28:Z28,"欠",$Q$4:$Z$4)&lt;=0,"",ROUND(AD28/($AD$4-SUMIF(C28:M28,"欠",$C$4:$M$4)-SUMIF(Q28:Z28,"欠",$Q$4:$Z$4))*100,0)))</f>
        <v>57</v>
      </c>
      <c r="AF28" s="17" t="str">
        <f aca="false">IF(AE28="","",IF(AE28&gt;=設定!$D$13,"A",IF(AE28&gt;=設定!$E$13,"B","C")))</f>
        <v>C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34</v>
      </c>
      <c r="D29" s="19" t="n">
        <v>33</v>
      </c>
      <c r="E29" s="19" t="n">
        <v>34</v>
      </c>
      <c r="F29" s="19" t="n">
        <v>30</v>
      </c>
      <c r="G29" s="20" t="n">
        <v>24</v>
      </c>
      <c r="H29" s="19" t="n">
        <v>37</v>
      </c>
      <c r="I29" s="19"/>
      <c r="J29" s="19"/>
      <c r="K29" s="19"/>
      <c r="L29" s="19"/>
      <c r="M29" s="19"/>
      <c r="N29" s="17" t="n">
        <f aca="false">IF(COUNT(C29:M29)=0,"",SUM(C29:M29))</f>
        <v>192</v>
      </c>
      <c r="O29" s="17" t="n">
        <f aca="false">IF(OR(N29="",$N$4-SUMIF(C29:M29,"欠",$C$4:$M$4)&lt;=0),"",ROUND(N29/($N$4-SUMIF(C29:M29,"欠",$C$4:$M$4))*100,0))</f>
        <v>64</v>
      </c>
      <c r="P29" s="17" t="str">
        <f aca="false">IF(O29="","",IF(O29&gt;=設定!$D$13,"A",IF(O29&gt;=設定!$E$13,"B","C")))</f>
        <v>B</v>
      </c>
      <c r="Q29" s="19" t="n">
        <v>33</v>
      </c>
      <c r="R29" s="19" t="n">
        <v>33</v>
      </c>
      <c r="S29" s="19" t="n">
        <v>29</v>
      </c>
      <c r="T29" s="19" t="n">
        <v>26</v>
      </c>
      <c r="U29" s="20" t="n">
        <v>32</v>
      </c>
      <c r="V29" s="19" t="n">
        <v>27</v>
      </c>
      <c r="W29" s="19"/>
      <c r="X29" s="19"/>
      <c r="Y29" s="19"/>
      <c r="Z29" s="19"/>
      <c r="AA29" s="17" t="n">
        <f aca="false">IF(COUNT(Q29:Z29)=0,"",SUM(Q29:Z29))</f>
        <v>180</v>
      </c>
      <c r="AB29" s="17" t="n">
        <f aca="false">IF(OR(AA29="",$AA$4-SUMIF(Q29:Z29,"欠",$Q$4:$Z$4)&lt;=0),"",ROUND(AA29/($AA$4-SUMIF(Q29:Z29,"欠",$Q$4:$Z$4))*100,0))</f>
        <v>60</v>
      </c>
      <c r="AC29" s="17" t="str">
        <f aca="false">IF(AB29="","",IF(AB29&gt;=設定!$D$13,"A",IF(AB29&gt;=設定!$E$13,"B","C")))</f>
        <v>B</v>
      </c>
      <c r="AD29" s="17" t="n">
        <f aca="false">IF(AND(N29="",AA29=""),"",IF(N29="",0,N29)+IF(AA29="",0,AA29))</f>
        <v>372</v>
      </c>
      <c r="AE29" s="17" t="n">
        <f aca="false">IF(AD29="","",IF($AD$4-SUMIF(C29:M29,"欠",$C$4:$M$4)-SUMIF(Q29:Z29,"欠",$Q$4:$Z$4)&lt;=0,"",ROUND(AD29/($AD$4-SUMIF(C29:M29,"欠",$C$4:$M$4)-SUMIF(Q29:Z29,"欠",$Q$4:$Z$4))*100,0)))</f>
        <v>62</v>
      </c>
      <c r="AF29" s="17" t="str">
        <f aca="false">IF(AE29="","",IF(AE29&gt;=設定!$D$13,"A",IF(AE29&gt;=設定!$E$13,"B","C")))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44</v>
      </c>
      <c r="D30" s="19" t="n">
        <v>41</v>
      </c>
      <c r="E30" s="19" t="n">
        <v>33</v>
      </c>
      <c r="F30" s="19" t="n">
        <v>50</v>
      </c>
      <c r="G30" s="20" t="n">
        <v>46</v>
      </c>
      <c r="H30" s="19" t="n">
        <v>44</v>
      </c>
      <c r="I30" s="19"/>
      <c r="J30" s="19"/>
      <c r="K30" s="19"/>
      <c r="L30" s="19"/>
      <c r="M30" s="19"/>
      <c r="N30" s="17" t="n">
        <f aca="false">IF(COUNT(C30:M30)=0,"",SUM(C30:M30))</f>
        <v>258</v>
      </c>
      <c r="O30" s="17" t="n">
        <f aca="false">IF(OR(N30="",$N$4-SUMIF(C30:M30,"欠",$C$4:$M$4)&lt;=0),"",ROUND(N30/($N$4-SUMIF(C30:M30,"欠",$C$4:$M$4))*100,0))</f>
        <v>86</v>
      </c>
      <c r="P30" s="17" t="str">
        <f aca="false">IF(O30="","",IF(O30&gt;=設定!$D$13,"A",IF(O30&gt;=設定!$E$13,"B","C")))</f>
        <v>B</v>
      </c>
      <c r="Q30" s="19" t="n">
        <v>35</v>
      </c>
      <c r="R30" s="19" t="n">
        <v>37</v>
      </c>
      <c r="S30" s="19" t="n">
        <v>31</v>
      </c>
      <c r="T30" s="19" t="n">
        <v>34</v>
      </c>
      <c r="U30" s="20" t="n">
        <v>35</v>
      </c>
      <c r="V30" s="19" t="n">
        <v>33</v>
      </c>
      <c r="W30" s="19"/>
      <c r="X30" s="19"/>
      <c r="Y30" s="19"/>
      <c r="Z30" s="19"/>
      <c r="AA30" s="17" t="n">
        <f aca="false">IF(COUNT(Q30:Z30)=0,"",SUM(Q30:Z30))</f>
        <v>205</v>
      </c>
      <c r="AB30" s="17" t="n">
        <f aca="false">IF(OR(AA30="",$AA$4-SUMIF(Q30:Z30,"欠",$Q$4:$Z$4)&lt;=0),"",ROUND(AA30/($AA$4-SUMIF(Q30:Z30,"欠",$Q$4:$Z$4))*100,0))</f>
        <v>68</v>
      </c>
      <c r="AC30" s="17" t="str">
        <f aca="false">IF(AB30="","",IF(AB30&gt;=設定!$D$13,"A",IF(AB30&gt;=設定!$E$13,"B","C")))</f>
        <v>B</v>
      </c>
      <c r="AD30" s="17" t="n">
        <f aca="false">IF(AND(N30="",AA30=""),"",IF(N30="",0,N30)+IF(AA30="",0,AA30))</f>
        <v>463</v>
      </c>
      <c r="AE30" s="17" t="n">
        <f aca="false">IF(AD30="","",IF($AD$4-SUMIF(C30:M30,"欠",$C$4:$M$4)-SUMIF(Q30:Z30,"欠",$Q$4:$Z$4)&lt;=0,"",ROUND(AD30/($AD$4-SUMIF(C30:M30,"欠",$C$4:$M$4)-SUMIF(Q30:Z30,"欠",$Q$4:$Z$4))*100,0)))</f>
        <v>77</v>
      </c>
      <c r="AF30" s="17" t="str">
        <f aca="false">IF(AE30="","",IF(AE30&gt;=設定!$D$13,"A",IF(AE30&gt;=設定!$E$13,"B","C")))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33</v>
      </c>
      <c r="D31" s="19" t="n">
        <v>39</v>
      </c>
      <c r="E31" s="19" t="n">
        <v>39</v>
      </c>
      <c r="F31" s="19" t="n">
        <v>39</v>
      </c>
      <c r="G31" s="20" t="n">
        <v>36</v>
      </c>
      <c r="H31" s="19" t="n">
        <v>36</v>
      </c>
      <c r="I31" s="19"/>
      <c r="J31" s="19"/>
      <c r="K31" s="19"/>
      <c r="L31" s="19"/>
      <c r="M31" s="19"/>
      <c r="N31" s="17" t="n">
        <f aca="false">IF(COUNT(C31:M31)=0,"",SUM(C31:M31))</f>
        <v>222</v>
      </c>
      <c r="O31" s="17" t="n">
        <f aca="false">IF(OR(N31="",$N$4-SUMIF(C31:M31,"欠",$C$4:$M$4)&lt;=0),"",ROUND(N31/($N$4-SUMIF(C31:M31,"欠",$C$4:$M$4))*100,0))</f>
        <v>74</v>
      </c>
      <c r="P31" s="17" t="str">
        <f aca="false">IF(O31="","",IF(O31&gt;=設定!$D$13,"A",IF(O31&gt;=設定!$E$13,"B","C")))</f>
        <v>B</v>
      </c>
      <c r="Q31" s="19" t="n">
        <v>36</v>
      </c>
      <c r="R31" s="19" t="n">
        <v>34</v>
      </c>
      <c r="S31" s="19" t="n">
        <v>30</v>
      </c>
      <c r="T31" s="19" t="n">
        <v>32</v>
      </c>
      <c r="U31" s="20" t="n">
        <v>27</v>
      </c>
      <c r="V31" s="19" t="n">
        <v>33</v>
      </c>
      <c r="W31" s="19"/>
      <c r="X31" s="19"/>
      <c r="Y31" s="19"/>
      <c r="Z31" s="19"/>
      <c r="AA31" s="17" t="n">
        <f aca="false">IF(COUNT(Q31:Z31)=0,"",SUM(Q31:Z31))</f>
        <v>192</v>
      </c>
      <c r="AB31" s="17" t="n">
        <f aca="false">IF(OR(AA31="",$AA$4-SUMIF(Q31:Z31,"欠",$Q$4:$Z$4)&lt;=0),"",ROUND(AA31/($AA$4-SUMIF(Q31:Z31,"欠",$Q$4:$Z$4))*100,0))</f>
        <v>64</v>
      </c>
      <c r="AC31" s="17" t="str">
        <f aca="false">IF(AB31="","",IF(AB31&gt;=設定!$D$13,"A",IF(AB31&gt;=設定!$E$13,"B","C")))</f>
        <v>B</v>
      </c>
      <c r="AD31" s="17" t="n">
        <f aca="false">IF(AND(N31="",AA31=""),"",IF(N31="",0,N31)+IF(AA31="",0,AA31))</f>
        <v>414</v>
      </c>
      <c r="AE31" s="17" t="n">
        <f aca="false">IF(AD31="","",IF($AD$4-SUMIF(C31:M31,"欠",$C$4:$M$4)-SUMIF(Q31:Z31,"欠",$Q$4:$Z$4)&lt;=0,"",ROUND(AD31/($AD$4-SUMIF(C31:M31,"欠",$C$4:$M$4)-SUMIF(Q31:Z31,"欠",$Q$4:$Z$4))*100,0)))</f>
        <v>69</v>
      </c>
      <c r="AF31" s="17" t="str">
        <f aca="false">IF(AE31="","",IF(AE31&gt;=設定!$D$13,"A",IF(AE31&gt;=設定!$E$13,"B","C")))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39</v>
      </c>
      <c r="D32" s="19" t="n">
        <v>38</v>
      </c>
      <c r="E32" s="19" t="n">
        <v>33</v>
      </c>
      <c r="F32" s="19" t="n">
        <v>36</v>
      </c>
      <c r="G32" s="20" t="n">
        <v>38</v>
      </c>
      <c r="H32" s="19" t="n">
        <v>36</v>
      </c>
      <c r="I32" s="19"/>
      <c r="J32" s="19"/>
      <c r="K32" s="19"/>
      <c r="L32" s="19"/>
      <c r="M32" s="19"/>
      <c r="N32" s="17" t="n">
        <f aca="false">IF(COUNT(C32:M32)=0,"",SUM(C32:M32))</f>
        <v>220</v>
      </c>
      <c r="O32" s="17" t="n">
        <f aca="false">IF(OR(N32="",$N$4-SUMIF(C32:M32,"欠",$C$4:$M$4)&lt;=0),"",ROUND(N32/($N$4-SUMIF(C32:M32,"欠",$C$4:$M$4))*100,0))</f>
        <v>73</v>
      </c>
      <c r="P32" s="17" t="str">
        <f aca="false">IF(O32="","",IF(O32&gt;=設定!$D$13,"A",IF(O32&gt;=設定!$E$13,"B","C")))</f>
        <v>B</v>
      </c>
      <c r="Q32" s="19" t="n">
        <v>30</v>
      </c>
      <c r="R32" s="19" t="n">
        <v>28</v>
      </c>
      <c r="S32" s="19" t="n">
        <v>30</v>
      </c>
      <c r="T32" s="19" t="n">
        <v>36</v>
      </c>
      <c r="U32" s="20" t="n">
        <v>30</v>
      </c>
      <c r="V32" s="19" t="n">
        <v>27</v>
      </c>
      <c r="W32" s="19"/>
      <c r="X32" s="19"/>
      <c r="Y32" s="19"/>
      <c r="Z32" s="19"/>
      <c r="AA32" s="17" t="n">
        <f aca="false">IF(COUNT(Q32:Z32)=0,"",SUM(Q32:Z32))</f>
        <v>181</v>
      </c>
      <c r="AB32" s="17" t="n">
        <f aca="false">IF(OR(AA32="",$AA$4-SUMIF(Q32:Z32,"欠",$Q$4:$Z$4)&lt;=0),"",ROUND(AA32/($AA$4-SUMIF(Q32:Z32,"欠",$Q$4:$Z$4))*100,0))</f>
        <v>60</v>
      </c>
      <c r="AC32" s="17" t="str">
        <f aca="false">IF(AB32="","",IF(AB32&gt;=設定!$D$13,"A",IF(AB32&gt;=設定!$E$13,"B","C")))</f>
        <v>B</v>
      </c>
      <c r="AD32" s="17" t="n">
        <f aca="false">IF(AND(N32="",AA32=""),"",IF(N32="",0,N32)+IF(AA32="",0,AA32))</f>
        <v>401</v>
      </c>
      <c r="AE32" s="17" t="n">
        <f aca="false">IF(AD32="","",IF($AD$4-SUMIF(C32:M32,"欠",$C$4:$M$4)-SUMIF(Q32:Z32,"欠",$Q$4:$Z$4)&lt;=0,"",ROUND(AD32/($AD$4-SUMIF(C32:M32,"欠",$C$4:$M$4)-SUMIF(Q32:Z32,"欠",$Q$4:$Z$4))*100,0)))</f>
        <v>67</v>
      </c>
      <c r="AF32" s="17" t="str">
        <f aca="false">IF(AE32="","",IF(AE32&gt;=設定!$D$13,"A",IF(AE32&gt;=設定!$E$13,"B","C")))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47</v>
      </c>
      <c r="D33" s="19" t="n">
        <v>50</v>
      </c>
      <c r="E33" s="19" t="n">
        <v>50</v>
      </c>
      <c r="F33" s="19" t="n">
        <v>50</v>
      </c>
      <c r="G33" s="20" t="n">
        <v>50</v>
      </c>
      <c r="H33" s="19" t="n">
        <v>50</v>
      </c>
      <c r="I33" s="19"/>
      <c r="J33" s="19"/>
      <c r="K33" s="19"/>
      <c r="L33" s="19"/>
      <c r="M33" s="19"/>
      <c r="N33" s="17" t="n">
        <f aca="false">IF(COUNT(C33:M33)=0,"",SUM(C33:M33))</f>
        <v>297</v>
      </c>
      <c r="O33" s="17" t="n">
        <f aca="false">IF(OR(N33="",$N$4-SUMIF(C33:M33,"欠",$C$4:$M$4)&lt;=0),"",ROUND(N33/($N$4-SUMIF(C33:M33,"欠",$C$4:$M$4))*100,0))</f>
        <v>99</v>
      </c>
      <c r="P33" s="17" t="str">
        <f aca="false">IF(O33="","",IF(O33&gt;=設定!$D$13,"A",IF(O33&gt;=設定!$E$13,"B","C")))</f>
        <v>A</v>
      </c>
      <c r="Q33" s="19" t="n">
        <v>48</v>
      </c>
      <c r="R33" s="19" t="n">
        <v>46</v>
      </c>
      <c r="S33" s="19" t="n">
        <v>41</v>
      </c>
      <c r="T33" s="19" t="n">
        <v>41</v>
      </c>
      <c r="U33" s="20" t="n">
        <v>50</v>
      </c>
      <c r="V33" s="19" t="n">
        <v>46</v>
      </c>
      <c r="W33" s="19"/>
      <c r="X33" s="19"/>
      <c r="Y33" s="19"/>
      <c r="Z33" s="19"/>
      <c r="AA33" s="17" t="n">
        <f aca="false">IF(COUNT(Q33:Z33)=0,"",SUM(Q33:Z33))</f>
        <v>272</v>
      </c>
      <c r="AB33" s="17" t="n">
        <f aca="false">IF(OR(AA33="",$AA$4-SUMIF(Q33:Z33,"欠",$Q$4:$Z$4)&lt;=0),"",ROUND(AA33/($AA$4-SUMIF(Q33:Z33,"欠",$Q$4:$Z$4))*100,0))</f>
        <v>91</v>
      </c>
      <c r="AC33" s="17" t="str">
        <f aca="false">IF(AB33="","",IF(AB33&gt;=設定!$D$13,"A",IF(AB33&gt;=設定!$E$13,"B","C")))</f>
        <v>A</v>
      </c>
      <c r="AD33" s="17" t="n">
        <f aca="false">IF(AND(N33="",AA33=""),"",IF(N33="",0,N33)+IF(AA33="",0,AA33))</f>
        <v>569</v>
      </c>
      <c r="AE33" s="17" t="n">
        <f aca="false">IF(AD33="","",IF($AD$4-SUMIF(C33:M33,"欠",$C$4:$M$4)-SUMIF(Q33:Z33,"欠",$Q$4:$Z$4)&lt;=0,"",ROUND(AD33/($AD$4-SUMIF(C33:M33,"欠",$C$4:$M$4)-SUMIF(Q33:Z33,"欠",$Q$4:$Z$4))*100,0)))</f>
        <v>95</v>
      </c>
      <c r="AF33" s="17" t="str">
        <f aca="false">IF(AE33="","",IF(AE33&gt;=設定!$D$13,"A",IF(AE33&gt;=設定!$E$13,"B","C")))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50</v>
      </c>
      <c r="D34" s="19" t="n">
        <v>39</v>
      </c>
      <c r="E34" s="19" t="n">
        <v>50</v>
      </c>
      <c r="F34" s="19" t="n">
        <v>46</v>
      </c>
      <c r="G34" s="20" t="n">
        <v>50</v>
      </c>
      <c r="H34" s="19" t="n">
        <v>46</v>
      </c>
      <c r="I34" s="19"/>
      <c r="J34" s="19"/>
      <c r="K34" s="19"/>
      <c r="L34" s="19"/>
      <c r="M34" s="19"/>
      <c r="N34" s="17" t="n">
        <f aca="false">IF(COUNT(C34:M34)=0,"",SUM(C34:M34))</f>
        <v>281</v>
      </c>
      <c r="O34" s="17" t="n">
        <f aca="false">IF(OR(N34="",$N$4-SUMIF(C34:M34,"欠",$C$4:$M$4)&lt;=0),"",ROUND(N34/($N$4-SUMIF(C34:M34,"欠",$C$4:$M$4))*100,0))</f>
        <v>94</v>
      </c>
      <c r="P34" s="17" t="str">
        <f aca="false">IF(O34="","",IF(O34&gt;=設定!$D$13,"A",IF(O34&gt;=設定!$E$13,"B","C")))</f>
        <v>A</v>
      </c>
      <c r="Q34" s="19" t="n">
        <v>40</v>
      </c>
      <c r="R34" s="19" t="n">
        <v>42</v>
      </c>
      <c r="S34" s="19" t="n">
        <v>36</v>
      </c>
      <c r="T34" s="19" t="n">
        <v>39</v>
      </c>
      <c r="U34" s="20" t="n">
        <v>40</v>
      </c>
      <c r="V34" s="19" t="n">
        <v>40</v>
      </c>
      <c r="W34" s="19"/>
      <c r="X34" s="19"/>
      <c r="Y34" s="19"/>
      <c r="Z34" s="19"/>
      <c r="AA34" s="17" t="n">
        <f aca="false">IF(COUNT(Q34:Z34)=0,"",SUM(Q34:Z34))</f>
        <v>237</v>
      </c>
      <c r="AB34" s="17" t="n">
        <f aca="false">IF(OR(AA34="",$AA$4-SUMIF(Q34:Z34,"欠",$Q$4:$Z$4)&lt;=0),"",ROUND(AA34/($AA$4-SUMIF(Q34:Z34,"欠",$Q$4:$Z$4))*100,0))</f>
        <v>79</v>
      </c>
      <c r="AC34" s="17" t="str">
        <f aca="false">IF(AB34="","",IF(AB34&gt;=設定!$D$13,"A",IF(AB34&gt;=設定!$E$13,"B","C")))</f>
        <v>B</v>
      </c>
      <c r="AD34" s="17" t="n">
        <f aca="false">IF(AND(N34="",AA34=""),"",IF(N34="",0,N34)+IF(AA34="",0,AA34))</f>
        <v>518</v>
      </c>
      <c r="AE34" s="17" t="n">
        <f aca="false">IF(AD34="","",IF($AD$4-SUMIF(C34:M34,"欠",$C$4:$M$4)-SUMIF(Q34:Z34,"欠",$Q$4:$Z$4)&lt;=0,"",ROUND(AD34/($AD$4-SUMIF(C34:M34,"欠",$C$4:$M$4)-SUMIF(Q34:Z34,"欠",$Q$4:$Z$4))*100,0)))</f>
        <v>86</v>
      </c>
      <c r="AF34" s="17" t="str">
        <f aca="false">IF(AE34="","",IF(AE34&gt;=設定!$D$13,"A",IF(AE34&gt;=設定!$E$13,"B","C")))</f>
        <v>B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42</v>
      </c>
      <c r="D35" s="19" t="n">
        <v>33</v>
      </c>
      <c r="E35" s="19" t="n">
        <v>39</v>
      </c>
      <c r="F35" s="19" t="n">
        <v>39</v>
      </c>
      <c r="G35" s="20" t="n">
        <v>41</v>
      </c>
      <c r="H35" s="19" t="n">
        <v>41</v>
      </c>
      <c r="I35" s="19"/>
      <c r="J35" s="19"/>
      <c r="K35" s="19"/>
      <c r="L35" s="19"/>
      <c r="M35" s="19"/>
      <c r="N35" s="17" t="n">
        <f aca="false">IF(COUNT(C35:M35)=0,"",SUM(C35:M35))</f>
        <v>235</v>
      </c>
      <c r="O35" s="17" t="n">
        <f aca="false">IF(OR(N35="",$N$4-SUMIF(C35:M35,"欠",$C$4:$M$4)&lt;=0),"",ROUND(N35/($N$4-SUMIF(C35:M35,"欠",$C$4:$M$4))*100,0))</f>
        <v>78</v>
      </c>
      <c r="P35" s="17" t="str">
        <f aca="false">IF(O35="","",IF(O35&gt;=設定!$D$13,"A",IF(O35&gt;=設定!$E$13,"B","C")))</f>
        <v>B</v>
      </c>
      <c r="Q35" s="19" t="n">
        <v>32</v>
      </c>
      <c r="R35" s="19" t="n">
        <v>34</v>
      </c>
      <c r="S35" s="19" t="n">
        <v>36</v>
      </c>
      <c r="T35" s="19" t="n">
        <v>34</v>
      </c>
      <c r="U35" s="20" t="n">
        <v>35</v>
      </c>
      <c r="V35" s="19" t="n">
        <v>41</v>
      </c>
      <c r="W35" s="19"/>
      <c r="X35" s="19"/>
      <c r="Y35" s="19"/>
      <c r="Z35" s="19"/>
      <c r="AA35" s="17" t="n">
        <f aca="false">IF(COUNT(Q35:Z35)=0,"",SUM(Q35:Z35))</f>
        <v>212</v>
      </c>
      <c r="AB35" s="17" t="n">
        <f aca="false">IF(OR(AA35="",$AA$4-SUMIF(Q35:Z35,"欠",$Q$4:$Z$4)&lt;=0),"",ROUND(AA35/($AA$4-SUMIF(Q35:Z35,"欠",$Q$4:$Z$4))*100,0))</f>
        <v>71</v>
      </c>
      <c r="AC35" s="17" t="str">
        <f aca="false">IF(AB35="","",IF(AB35&gt;=設定!$D$13,"A",IF(AB35&gt;=設定!$E$13,"B","C")))</f>
        <v>B</v>
      </c>
      <c r="AD35" s="17" t="n">
        <f aca="false">IF(AND(N35="",AA35=""),"",IF(N35="",0,N35)+IF(AA35="",0,AA35))</f>
        <v>447</v>
      </c>
      <c r="AE35" s="17" t="n">
        <f aca="false">IF(AD35="","",IF($AD$4-SUMIF(C35:M35,"欠",$C$4:$M$4)-SUMIF(Q35:Z35,"欠",$Q$4:$Z$4)&lt;=0,"",ROUND(AD35/($AD$4-SUMIF(C35:M35,"欠",$C$4:$M$4)-SUMIF(Q35:Z35,"欠",$Q$4:$Z$4))*100,0)))</f>
        <v>75</v>
      </c>
      <c r="AF35" s="17" t="str">
        <f aca="false">IF(AE35="","",IF(AE35&gt;=設定!$D$13,"A",IF(AE35&gt;=設定!$E$13,"B","C")))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46</v>
      </c>
      <c r="D36" s="19" t="n">
        <v>50</v>
      </c>
      <c r="E36" s="19" t="n">
        <v>44</v>
      </c>
      <c r="F36" s="19" t="n">
        <v>49</v>
      </c>
      <c r="G36" s="20" t="n">
        <v>44</v>
      </c>
      <c r="H36" s="19" t="n">
        <v>44</v>
      </c>
      <c r="I36" s="19"/>
      <c r="J36" s="19"/>
      <c r="K36" s="19"/>
      <c r="L36" s="19"/>
      <c r="M36" s="19"/>
      <c r="N36" s="17" t="n">
        <f aca="false">IF(COUNT(C36:M36)=0,"",SUM(C36:M36))</f>
        <v>277</v>
      </c>
      <c r="O36" s="17" t="n">
        <f aca="false">IF(OR(N36="",$N$4-SUMIF(C36:M36,"欠",$C$4:$M$4)&lt;=0),"",ROUND(N36/($N$4-SUMIF(C36:M36,"欠",$C$4:$M$4))*100,0))</f>
        <v>92</v>
      </c>
      <c r="P36" s="17" t="str">
        <f aca="false">IF(O36="","",IF(O36&gt;=設定!$D$13,"A",IF(O36&gt;=設定!$E$13,"B","C")))</f>
        <v>A</v>
      </c>
      <c r="Q36" s="19" t="n">
        <v>36</v>
      </c>
      <c r="R36" s="19" t="n">
        <v>46</v>
      </c>
      <c r="S36" s="19" t="n">
        <v>40</v>
      </c>
      <c r="T36" s="19" t="n">
        <v>48</v>
      </c>
      <c r="U36" s="20" t="n">
        <v>49</v>
      </c>
      <c r="V36" s="19" t="n">
        <v>36</v>
      </c>
      <c r="W36" s="19"/>
      <c r="X36" s="19"/>
      <c r="Y36" s="19"/>
      <c r="Z36" s="19"/>
      <c r="AA36" s="17" t="n">
        <f aca="false">IF(COUNT(Q36:Z36)=0,"",SUM(Q36:Z36))</f>
        <v>255</v>
      </c>
      <c r="AB36" s="17" t="n">
        <f aca="false">IF(OR(AA36="",$AA$4-SUMIF(Q36:Z36,"欠",$Q$4:$Z$4)&lt;=0),"",ROUND(AA36/($AA$4-SUMIF(Q36:Z36,"欠",$Q$4:$Z$4))*100,0))</f>
        <v>85</v>
      </c>
      <c r="AC36" s="17" t="str">
        <f aca="false">IF(AB36="","",IF(AB36&gt;=設定!$D$13,"A",IF(AB36&gt;=設定!$E$13,"B","C")))</f>
        <v>B</v>
      </c>
      <c r="AD36" s="17" t="n">
        <f aca="false">IF(AND(N36="",AA36=""),"",IF(N36="",0,N36)+IF(AA36="",0,AA36))</f>
        <v>532</v>
      </c>
      <c r="AE36" s="17" t="n">
        <f aca="false">IF(AD36="","",IF($AD$4-SUMIF(C36:M36,"欠",$C$4:$M$4)-SUMIF(Q36:Z36,"欠",$Q$4:$Z$4)&lt;=0,"",ROUND(AD36/($AD$4-SUMIF(C36:M36,"欠",$C$4:$M$4)-SUMIF(Q36:Z36,"欠",$Q$4:$Z$4))*100,0)))</f>
        <v>89</v>
      </c>
      <c r="AF36" s="17" t="str">
        <f aca="false">IF(AE36="","",IF(AE36&gt;=設定!$D$13,"A",IF(AE36&gt;=設定!$E$13,"B","C")))</f>
        <v>B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48</v>
      </c>
      <c r="D37" s="19" t="n">
        <v>42</v>
      </c>
      <c r="E37" s="19" t="n">
        <v>43</v>
      </c>
      <c r="F37" s="19" t="n">
        <v>37</v>
      </c>
      <c r="G37" s="20" t="n">
        <v>36</v>
      </c>
      <c r="H37" s="19" t="n">
        <v>45</v>
      </c>
      <c r="I37" s="19"/>
      <c r="J37" s="19"/>
      <c r="K37" s="19"/>
      <c r="L37" s="19"/>
      <c r="M37" s="19"/>
      <c r="N37" s="17" t="n">
        <f aca="false">IF(COUNT(C37:M37)=0,"",SUM(C37:M37))</f>
        <v>251</v>
      </c>
      <c r="O37" s="17" t="n">
        <f aca="false">IF(OR(N37="",$N$4-SUMIF(C37:M37,"欠",$C$4:$M$4)&lt;=0),"",ROUND(N37/($N$4-SUMIF(C37:M37,"欠",$C$4:$M$4))*100,0))</f>
        <v>84</v>
      </c>
      <c r="P37" s="17" t="str">
        <f aca="false">IF(O37="","",IF(O37&gt;=設定!$D$13,"A",IF(O37&gt;=設定!$E$13,"B","C")))</f>
        <v>B</v>
      </c>
      <c r="Q37" s="19" t="n">
        <v>41</v>
      </c>
      <c r="R37" s="19" t="n">
        <v>36</v>
      </c>
      <c r="S37" s="19" t="n">
        <v>35</v>
      </c>
      <c r="T37" s="19" t="n">
        <v>37</v>
      </c>
      <c r="U37" s="20" t="n">
        <v>26</v>
      </c>
      <c r="V37" s="19" t="n">
        <v>41</v>
      </c>
      <c r="W37" s="19"/>
      <c r="X37" s="19"/>
      <c r="Y37" s="19"/>
      <c r="Z37" s="19"/>
      <c r="AA37" s="17" t="n">
        <f aca="false">IF(COUNT(Q37:Z37)=0,"",SUM(Q37:Z37))</f>
        <v>216</v>
      </c>
      <c r="AB37" s="17" t="n">
        <f aca="false">IF(OR(AA37="",$AA$4-SUMIF(Q37:Z37,"欠",$Q$4:$Z$4)&lt;=0),"",ROUND(AA37/($AA$4-SUMIF(Q37:Z37,"欠",$Q$4:$Z$4))*100,0))</f>
        <v>72</v>
      </c>
      <c r="AC37" s="17" t="str">
        <f aca="false">IF(AB37="","",IF(AB37&gt;=設定!$D$13,"A",IF(AB37&gt;=設定!$E$13,"B","C")))</f>
        <v>B</v>
      </c>
      <c r="AD37" s="17" t="n">
        <f aca="false">IF(AND(N37="",AA37=""),"",IF(N37="",0,N37)+IF(AA37="",0,AA37))</f>
        <v>467</v>
      </c>
      <c r="AE37" s="17" t="n">
        <f aca="false">IF(AD37="","",IF($AD$4-SUMIF(C37:M37,"欠",$C$4:$M$4)-SUMIF(Q37:Z37,"欠",$Q$4:$Z$4)&lt;=0,"",ROUND(AD37/($AD$4-SUMIF(C37:M37,"欠",$C$4:$M$4)-SUMIF(Q37:Z37,"欠",$Q$4:$Z$4))*100,0)))</f>
        <v>78</v>
      </c>
      <c r="AF37" s="17" t="str">
        <f aca="false">IF(AE37="","",IF(AE37&gt;=設定!$D$13,"A",IF(AE37&gt;=設定!$E$13,"B","C")))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43</v>
      </c>
      <c r="D38" s="19" t="n">
        <v>43</v>
      </c>
      <c r="E38" s="19" t="n">
        <v>37</v>
      </c>
      <c r="F38" s="19" t="n">
        <v>32</v>
      </c>
      <c r="G38" s="20" t="n">
        <v>26</v>
      </c>
      <c r="H38" s="19" t="n">
        <v>36</v>
      </c>
      <c r="I38" s="19"/>
      <c r="J38" s="19"/>
      <c r="K38" s="19"/>
      <c r="L38" s="19"/>
      <c r="M38" s="19"/>
      <c r="N38" s="17" t="n">
        <f aca="false">IF(COUNT(C38:M38)=0,"",SUM(C38:M38))</f>
        <v>217</v>
      </c>
      <c r="O38" s="17" t="n">
        <f aca="false">IF(OR(N38="",$N$4-SUMIF(C38:M38,"欠",$C$4:$M$4)&lt;=0),"",ROUND(N38/($N$4-SUMIF(C38:M38,"欠",$C$4:$M$4))*100,0))</f>
        <v>72</v>
      </c>
      <c r="P38" s="17" t="str">
        <f aca="false">IF(O38="","",IF(O38&gt;=設定!$D$13,"A",IF(O38&gt;=設定!$E$13,"B","C")))</f>
        <v>B</v>
      </c>
      <c r="Q38" s="19" t="n">
        <v>29</v>
      </c>
      <c r="R38" s="19" t="n">
        <v>31</v>
      </c>
      <c r="S38" s="19" t="n">
        <v>28</v>
      </c>
      <c r="T38" s="19" t="n">
        <v>31</v>
      </c>
      <c r="U38" s="20" t="n">
        <v>27</v>
      </c>
      <c r="V38" s="19" t="n">
        <v>33</v>
      </c>
      <c r="W38" s="19"/>
      <c r="X38" s="19"/>
      <c r="Y38" s="19"/>
      <c r="Z38" s="19"/>
      <c r="AA38" s="17" t="n">
        <f aca="false">IF(COUNT(Q38:Z38)=0,"",SUM(Q38:Z38))</f>
        <v>179</v>
      </c>
      <c r="AB38" s="17" t="n">
        <f aca="false">IF(OR(AA38="",$AA$4-SUMIF(Q38:Z38,"欠",$Q$4:$Z$4)&lt;=0),"",ROUND(AA38/($AA$4-SUMIF(Q38:Z38,"欠",$Q$4:$Z$4))*100,0))</f>
        <v>60</v>
      </c>
      <c r="AC38" s="17" t="str">
        <f aca="false">IF(AB38="","",IF(AB38&gt;=設定!$D$13,"A",IF(AB38&gt;=設定!$E$13,"B","C")))</f>
        <v>B</v>
      </c>
      <c r="AD38" s="17" t="n">
        <f aca="false">IF(AND(N38="",AA38=""),"",IF(N38="",0,N38)+IF(AA38="",0,AA38))</f>
        <v>396</v>
      </c>
      <c r="AE38" s="17" t="n">
        <f aca="false">IF(AD38="","",IF($AD$4-SUMIF(C38:M38,"欠",$C$4:$M$4)-SUMIF(Q38:Z38,"欠",$Q$4:$Z$4)&lt;=0,"",ROUND(AD38/($AD$4-SUMIF(C38:M38,"欠",$C$4:$M$4)-SUMIF(Q38:Z38,"欠",$Q$4:$Z$4))*100,0)))</f>
        <v>66</v>
      </c>
      <c r="AF38" s="17" t="str">
        <f aca="false">IF(AE38="","",IF(AE38&gt;=設定!$D$13,"A",IF(AE38&gt;=設定!$E$13,"B","C")))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47</v>
      </c>
      <c r="D39" s="19" t="n">
        <v>47</v>
      </c>
      <c r="E39" s="19" t="n">
        <v>40</v>
      </c>
      <c r="F39" s="19" t="n">
        <v>43</v>
      </c>
      <c r="G39" s="20" t="n">
        <v>43</v>
      </c>
      <c r="H39" s="19" t="n">
        <v>42</v>
      </c>
      <c r="I39" s="19"/>
      <c r="J39" s="19"/>
      <c r="K39" s="19"/>
      <c r="L39" s="19"/>
      <c r="M39" s="19"/>
      <c r="N39" s="17" t="n">
        <f aca="false">IF(COUNT(C39:M39)=0,"",SUM(C39:M39))</f>
        <v>262</v>
      </c>
      <c r="O39" s="17" t="n">
        <f aca="false">IF(OR(N39="",$N$4-SUMIF(C39:M39,"欠",$C$4:$M$4)&lt;=0),"",ROUND(N39/($N$4-SUMIF(C39:M39,"欠",$C$4:$M$4))*100,0))</f>
        <v>87</v>
      </c>
      <c r="P39" s="17" t="str">
        <f aca="false">IF(O39="","",IF(O39&gt;=設定!$D$13,"A",IF(O39&gt;=設定!$E$13,"B","C")))</f>
        <v>B</v>
      </c>
      <c r="Q39" s="19" t="n">
        <v>38</v>
      </c>
      <c r="R39" s="19" t="n">
        <v>39</v>
      </c>
      <c r="S39" s="19" t="n">
        <v>44</v>
      </c>
      <c r="T39" s="19" t="n">
        <v>40</v>
      </c>
      <c r="U39" s="20" t="n">
        <v>41</v>
      </c>
      <c r="V39" s="19" t="n">
        <v>39</v>
      </c>
      <c r="W39" s="19"/>
      <c r="X39" s="19"/>
      <c r="Y39" s="19"/>
      <c r="Z39" s="19"/>
      <c r="AA39" s="17" t="n">
        <f aca="false">IF(COUNT(Q39:Z39)=0,"",SUM(Q39:Z39))</f>
        <v>241</v>
      </c>
      <c r="AB39" s="17" t="n">
        <f aca="false">IF(OR(AA39="",$AA$4-SUMIF(Q39:Z39,"欠",$Q$4:$Z$4)&lt;=0),"",ROUND(AA39/($AA$4-SUMIF(Q39:Z39,"欠",$Q$4:$Z$4))*100,0))</f>
        <v>80</v>
      </c>
      <c r="AC39" s="17" t="str">
        <f aca="false">IF(AB39="","",IF(AB39&gt;=設定!$D$13,"A",IF(AB39&gt;=設定!$E$13,"B","C")))</f>
        <v>B</v>
      </c>
      <c r="AD39" s="17" t="n">
        <f aca="false">IF(AND(N39="",AA39=""),"",IF(N39="",0,N39)+IF(AA39="",0,AA39))</f>
        <v>503</v>
      </c>
      <c r="AE39" s="17" t="n">
        <f aca="false">IF(AD39="","",IF($AD$4-SUMIF(C39:M39,"欠",$C$4:$M$4)-SUMIF(Q39:Z39,"欠",$Q$4:$Z$4)&lt;=0,"",ROUND(AD39/($AD$4-SUMIF(C39:M39,"欠",$C$4:$M$4)-SUMIF(Q39:Z39,"欠",$Q$4:$Z$4))*100,0)))</f>
        <v>84</v>
      </c>
      <c r="AF39" s="17" t="str">
        <f aca="false">IF(AE39="","",IF(AE39&gt;=設定!$D$13,"A",IF(AE39&gt;=設定!$E$13,"B","C")))</f>
        <v>B</v>
      </c>
    </row>
    <row r="40" s="30" customFormat="true" ht="19.5" hidden="false" customHeight="true" outlineLevel="0" collapsed="false">
      <c r="A40" s="34"/>
      <c r="B40" s="35" t="s">
        <v>81</v>
      </c>
      <c r="C40" s="35" t="n">
        <f aca="false">IF(COUNT(C5:C39)=0,"",ROUND(AVERAGE(C5:C39),1))</f>
        <v>42.6</v>
      </c>
      <c r="D40" s="35" t="n">
        <f aca="false">IF(COUNT(D5:D39)=0,"",ROUND(AVERAGE(D5:D39),1))</f>
        <v>41.1</v>
      </c>
      <c r="E40" s="35" t="n">
        <f aca="false">IF(COUNT(E5:E39)=0,"",ROUND(AVERAGE(E5:E39),1))</f>
        <v>41</v>
      </c>
      <c r="F40" s="35" t="n">
        <f aca="false">IF(COUNT(F5:F39)=0,"",ROUND(AVERAGE(F5:F39),1))</f>
        <v>41.4</v>
      </c>
      <c r="G40" s="35" t="n">
        <f aca="false">IF(COUNT(G5:G39)=0,"",ROUND(AVERAGE(G5:G39),1))</f>
        <v>40.8</v>
      </c>
      <c r="H40" s="35" t="n">
        <f aca="false">IF(COUNT(H5:H39)=0,"",ROUND(AVERAGE(H5:H39),1))</f>
        <v>41.7</v>
      </c>
      <c r="I40" s="35" t="str">
        <f aca="false">IF(COUNT(I5:I39)=0,"",ROUND(AVERAGE(I5:I39),1))</f>
        <v/>
      </c>
      <c r="J40" s="35" t="str">
        <f aca="false">IF(COUNT(J5:J39)=0,"",ROUND(AVERAGE(J5:J39),1))</f>
        <v/>
      </c>
      <c r="K40" s="35" t="str">
        <f aca="false">IF(COUNT(K5:K39)=0,"",ROUND(AVERAGE(K5:K39),1))</f>
        <v/>
      </c>
      <c r="L40" s="35" t="str">
        <f aca="false">IF(COUNT(L5:L39)=0,"",ROUND(AVERAGE(L5:L39),1))</f>
        <v/>
      </c>
      <c r="M40" s="35" t="str">
        <f aca="false">IF(COUNT(M5:M39)=0,"",ROUND(AVERAGE(M5:M39),1))</f>
        <v/>
      </c>
      <c r="N40" s="35" t="n">
        <f aca="false">IF(COUNT(N5:N39)=0,"",ROUND(AVERAGE(N5:N39),1))</f>
        <v>247.5</v>
      </c>
      <c r="O40" s="35" t="n">
        <f aca="false">IF(COUNT(O5:O39)=0,"",ROUND(AVERAGE(O5:O39),1))</f>
        <v>82.9</v>
      </c>
      <c r="P40" s="35"/>
      <c r="Q40" s="35" t="n">
        <f aca="false">IF(COUNT(Q5:Q39)=0,"",ROUND(AVERAGE(Q5:Q39),1))</f>
        <v>36.7</v>
      </c>
      <c r="R40" s="35" t="n">
        <f aca="false">IF(COUNT(R5:R39)=0,"",ROUND(AVERAGE(R5:R39),1))</f>
        <v>37.7</v>
      </c>
      <c r="S40" s="35" t="n">
        <f aca="false">IF(COUNT(S5:S39)=0,"",ROUND(AVERAGE(S5:S39),1))</f>
        <v>36.9</v>
      </c>
      <c r="T40" s="35" t="n">
        <f aca="false">IF(COUNT(T5:T39)=0,"",ROUND(AVERAGE(T5:T39),1))</f>
        <v>37.2</v>
      </c>
      <c r="U40" s="35" t="n">
        <f aca="false">IF(COUNT(U5:U39)=0,"",ROUND(AVERAGE(U5:U39),1))</f>
        <v>36.9</v>
      </c>
      <c r="V40" s="35" t="n">
        <f aca="false">IF(COUNT(V5:V39)=0,"",ROUND(AVERAGE(V5:V39),1))</f>
        <v>37</v>
      </c>
      <c r="W40" s="35" t="str">
        <f aca="false">IF(COUNT(W5:W39)=0,"",ROUND(AVERAGE(W5:W39),1))</f>
        <v/>
      </c>
      <c r="X40" s="35" t="str">
        <f aca="false">IF(COUNT(X5:X39)=0,"",ROUND(AVERAGE(X5:X39),1))</f>
        <v/>
      </c>
      <c r="Y40" s="35" t="str">
        <f aca="false">IF(COUNT(Y5:Y39)=0,"",ROUND(AVERAGE(Y5:Y39),1))</f>
        <v/>
      </c>
      <c r="Z40" s="35" t="str">
        <f aca="false">IF(COUNT(Z5:Z39)=0,"",ROUND(AVERAGE(Z5:Z39),1))</f>
        <v/>
      </c>
      <c r="AA40" s="35" t="n">
        <f aca="false">IF(COUNT(AA5:AA39)=0,"",ROUND(AVERAGE(AA5:AA39),1))</f>
        <v>221.3</v>
      </c>
      <c r="AB40" s="35" t="n">
        <f aca="false">IF(COUNT(AB5:AB39)=0,"",ROUND(AVERAGE(AB5:AB39),1))</f>
        <v>74.3</v>
      </c>
      <c r="AC40" s="35"/>
      <c r="AD40" s="35" t="n">
        <f aca="false">IF(COUNT(AD5:AD39)=0,"",ROUND(AVERAGE(AD5:AD39),1))</f>
        <v>468.8</v>
      </c>
      <c r="AE40" s="35" t="n">
        <f aca="false">IF(COUNT(AE5:AE39)=0,"",ROUND(AVERAGE(AE5:AE39),1))</f>
        <v>78.7</v>
      </c>
      <c r="AF40" s="35"/>
    </row>
    <row r="41" s="30" customFormat="true" ht="19.5" hidden="false" customHeight="true" outlineLevel="0" collapsed="false">
      <c r="A41" s="35"/>
      <c r="B41" s="35" t="s">
        <v>82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 t="n">
        <f aca="false">COUNTIF(P5:P39,"A")</f>
        <v>14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 t="n">
        <f aca="false">COUNTIF(AC5:AC39,"A")</f>
        <v>5</v>
      </c>
      <c r="AD41" s="35"/>
      <c r="AE41" s="35"/>
      <c r="AF41" s="35" t="n">
        <f aca="false">COUNTIF(AF5:AF39,"A")</f>
        <v>8</v>
      </c>
    </row>
    <row r="42" s="30" customFormat="true" ht="19.5" hidden="false" customHeight="true" outlineLevel="0" collapsed="false">
      <c r="A42" s="35"/>
      <c r="B42" s="35" t="s">
        <v>83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 t="n">
        <f aca="false">COUNTIF(P5:P39,"B")</f>
        <v>20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 t="n">
        <f aca="false">COUNTIF(AC5:AC39,"B")</f>
        <v>27</v>
      </c>
      <c r="AD42" s="35"/>
      <c r="AE42" s="35"/>
      <c r="AF42" s="35" t="n">
        <f aca="false">COUNTIF(AF5:AF39,"B")</f>
        <v>25</v>
      </c>
    </row>
    <row r="43" s="30" customFormat="true" ht="19.5" hidden="false" customHeight="true" outlineLevel="0" collapsed="false">
      <c r="A43" s="35"/>
      <c r="B43" s="35" t="s">
        <v>84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 t="n">
        <f aca="false">COUNTIF(P5:P39,"C")</f>
        <v>1</v>
      </c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 t="n">
        <f aca="false">COUNTIF(AC5:AC39,"C")</f>
        <v>3</v>
      </c>
      <c r="AD43" s="35"/>
      <c r="AE43" s="35"/>
      <c r="AF43" s="35" t="n">
        <f aca="false">COUNTIF(AF5:AF39,"C")</f>
        <v>2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6" activeCellId="0" sqref="B6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customFormat="false" ht="19.5" hidden="false" customHeight="true" outlineLevel="0" collapsed="false">
      <c r="A2" s="36" t="s">
        <v>62</v>
      </c>
      <c r="B2" s="36"/>
      <c r="C2" s="36" t="s">
        <v>63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 t="s">
        <v>64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 t="s">
        <v>65</v>
      </c>
      <c r="AE2" s="36"/>
      <c r="AF2" s="36"/>
    </row>
    <row r="3" customFormat="false" ht="178.5" hidden="false" customHeight="true" outlineLevel="0" collapsed="false">
      <c r="A3" s="36" t="s">
        <v>66</v>
      </c>
      <c r="B3" s="36"/>
      <c r="C3" s="37" t="s">
        <v>100</v>
      </c>
      <c r="D3" s="37" t="s">
        <v>101</v>
      </c>
      <c r="E3" s="37" t="s">
        <v>102</v>
      </c>
      <c r="F3" s="37" t="s">
        <v>103</v>
      </c>
      <c r="G3" s="37" t="s">
        <v>104</v>
      </c>
      <c r="H3" s="37" t="s">
        <v>105</v>
      </c>
      <c r="I3" s="37"/>
      <c r="J3" s="37"/>
      <c r="K3" s="37"/>
      <c r="L3" s="37"/>
      <c r="M3" s="37"/>
      <c r="N3" s="38" t="s">
        <v>73</v>
      </c>
      <c r="O3" s="38" t="s">
        <v>74</v>
      </c>
      <c r="P3" s="38" t="s">
        <v>75</v>
      </c>
      <c r="Q3" s="37" t="s">
        <v>100</v>
      </c>
      <c r="R3" s="37" t="s">
        <v>101</v>
      </c>
      <c r="S3" s="37" t="s">
        <v>102</v>
      </c>
      <c r="T3" s="37" t="s">
        <v>103</v>
      </c>
      <c r="U3" s="37" t="s">
        <v>104</v>
      </c>
      <c r="V3" s="37" t="s">
        <v>105</v>
      </c>
      <c r="W3" s="37"/>
      <c r="X3" s="37"/>
      <c r="Y3" s="37"/>
      <c r="Z3" s="37"/>
      <c r="AA3" s="38" t="s">
        <v>73</v>
      </c>
      <c r="AB3" s="38" t="s">
        <v>74</v>
      </c>
      <c r="AC3" s="38" t="s">
        <v>75</v>
      </c>
      <c r="AD3" s="38" t="s">
        <v>76</v>
      </c>
      <c r="AE3" s="38" t="s">
        <v>77</v>
      </c>
      <c r="AF3" s="38" t="s">
        <v>78</v>
      </c>
    </row>
    <row r="4" customFormat="false" ht="21.75" hidden="false" customHeight="true" outlineLevel="0" collapsed="false">
      <c r="A4" s="36" t="s">
        <v>1</v>
      </c>
      <c r="B4" s="36" t="s">
        <v>79</v>
      </c>
      <c r="C4" s="39" t="n">
        <v>50</v>
      </c>
      <c r="D4" s="39" t="n">
        <v>50</v>
      </c>
      <c r="E4" s="39" t="n">
        <v>50</v>
      </c>
      <c r="F4" s="39" t="n">
        <v>50</v>
      </c>
      <c r="G4" s="39" t="n">
        <v>50</v>
      </c>
      <c r="H4" s="39" t="n">
        <v>50</v>
      </c>
      <c r="I4" s="39"/>
      <c r="J4" s="39"/>
      <c r="K4" s="39"/>
      <c r="L4" s="39"/>
      <c r="M4" s="39"/>
      <c r="N4" s="36" t="n">
        <f aca="false">SUM(C4:M4)</f>
        <v>300</v>
      </c>
      <c r="O4" s="36"/>
      <c r="P4" s="36"/>
      <c r="Q4" s="39" t="n">
        <v>50</v>
      </c>
      <c r="R4" s="39" t="n">
        <v>50</v>
      </c>
      <c r="S4" s="39" t="n">
        <v>50</v>
      </c>
      <c r="T4" s="39" t="n">
        <v>50</v>
      </c>
      <c r="U4" s="39" t="n">
        <v>50</v>
      </c>
      <c r="V4" s="39" t="n">
        <v>50</v>
      </c>
      <c r="W4" s="39"/>
      <c r="X4" s="39"/>
      <c r="Y4" s="39"/>
      <c r="Z4" s="39"/>
      <c r="AA4" s="36" t="n">
        <f aca="false">SUM(Q4:Z4)</f>
        <v>300</v>
      </c>
      <c r="AB4" s="36"/>
      <c r="AC4" s="36"/>
      <c r="AD4" s="36" t="n">
        <f aca="false">N4+AA4</f>
        <v>600</v>
      </c>
      <c r="AE4" s="36"/>
      <c r="AF4" s="36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50</v>
      </c>
      <c r="D5" s="19" t="n">
        <v>49</v>
      </c>
      <c r="E5" s="19" t="n">
        <v>50</v>
      </c>
      <c r="F5" s="19" t="n">
        <v>50</v>
      </c>
      <c r="G5" s="19" t="n">
        <v>50</v>
      </c>
      <c r="H5" s="19" t="n">
        <v>50</v>
      </c>
      <c r="I5" s="19"/>
      <c r="J5" s="19"/>
      <c r="K5" s="19"/>
      <c r="L5" s="19"/>
      <c r="M5" s="19"/>
      <c r="N5" s="17" t="n">
        <f aca="false">IF(COUNT(C5:M5)=0,"",SUM(C5:M5))</f>
        <v>299</v>
      </c>
      <c r="O5" s="17" t="n">
        <f aca="false">IF(OR(N5="",$N$4-SUMIF(C5:M5,"欠",$C$4:$M$4)&lt;=0),"",ROUND(N5/($N$4-SUMIF(C5:M5,"欠",$C$4:$M$4))*100,0))</f>
        <v>100</v>
      </c>
      <c r="P5" s="17" t="str">
        <f aca="false">IF(O5="","",IF(O5&gt;=設定!$D$14,"A",IF(O5&gt;=設定!$E$14,"B","C")))</f>
        <v>A</v>
      </c>
      <c r="Q5" s="19" t="n">
        <v>41</v>
      </c>
      <c r="R5" s="19" t="n">
        <v>46</v>
      </c>
      <c r="S5" s="19" t="n">
        <v>45</v>
      </c>
      <c r="T5" s="19" t="n">
        <v>49</v>
      </c>
      <c r="U5" s="19" t="n">
        <v>47</v>
      </c>
      <c r="V5" s="19" t="n">
        <v>49</v>
      </c>
      <c r="W5" s="19"/>
      <c r="X5" s="19"/>
      <c r="Y5" s="19"/>
      <c r="Z5" s="19"/>
      <c r="AA5" s="17" t="n">
        <f aca="false">IF(COUNT(Q5:Z5)=0,"",SUM(Q5:Z5))</f>
        <v>277</v>
      </c>
      <c r="AB5" s="17" t="n">
        <f aca="false">IF(OR(AA5="",$AA$4-SUMIF(Q5:Z5,"欠",$Q$4:$Z$4)&lt;=0),"",ROUND(AA5/($AA$4-SUMIF(Q5:Z5,"欠",$Q$4:$Z$4))*100,0))</f>
        <v>92</v>
      </c>
      <c r="AC5" s="17" t="str">
        <f aca="false">IF(AB5="","",IF(AB5&gt;=設定!$D$14,"A",IF(AB5&gt;=設定!$E$14,"B","C")))</f>
        <v>A</v>
      </c>
      <c r="AD5" s="17" t="n">
        <f aca="false">IF(AND(N5="",AA5=""),"",IF(N5="",0,N5)+IF(AA5="",0,AA5))</f>
        <v>576</v>
      </c>
      <c r="AE5" s="17" t="n">
        <f aca="false">IF(AD5="","",IF($AD$4-SUMIF(C5:M5,"欠",$C$4:$M$4)-SUMIF(Q5:Z5,"欠",$Q$4:$Z$4)&lt;=0,"",ROUND(AD5/($AD$4-SUMIF(C5:M5,"欠",$C$4:$M$4)-SUMIF(Q5:Z5,"欠",$Q$4:$Z$4))*100,0)))</f>
        <v>96</v>
      </c>
      <c r="AF5" s="17" t="str">
        <f aca="false">IF(AE5="","",IF(AE5&gt;=設定!$D$14,"A",IF(AE5&gt;=設定!$E$14,"B","C")))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43</v>
      </c>
      <c r="D6" s="19" t="n">
        <v>43</v>
      </c>
      <c r="E6" s="19" t="n">
        <v>42</v>
      </c>
      <c r="F6" s="19" t="n">
        <v>43</v>
      </c>
      <c r="G6" s="19" t="n">
        <v>38</v>
      </c>
      <c r="H6" s="19" t="n">
        <v>39</v>
      </c>
      <c r="I6" s="19"/>
      <c r="J6" s="19"/>
      <c r="K6" s="19"/>
      <c r="L6" s="19"/>
      <c r="M6" s="19"/>
      <c r="N6" s="17" t="n">
        <f aca="false">IF(COUNT(C6:M6)=0,"",SUM(C6:M6))</f>
        <v>248</v>
      </c>
      <c r="O6" s="17" t="n">
        <f aca="false">IF(OR(N6="",$N$4-SUMIF(C6:M6,"欠",$C$4:$M$4)&lt;=0),"",ROUND(N6/($N$4-SUMIF(C6:M6,"欠",$C$4:$M$4))*100,0))</f>
        <v>83</v>
      </c>
      <c r="P6" s="17" t="str">
        <f aca="false">IF(O6="","",IF(O6&gt;=設定!$D$14,"A",IF(O6&gt;=設定!$E$14,"B","C")))</f>
        <v>B</v>
      </c>
      <c r="Q6" s="19" t="n">
        <v>38</v>
      </c>
      <c r="R6" s="19" t="n">
        <v>32</v>
      </c>
      <c r="S6" s="19" t="n">
        <v>41</v>
      </c>
      <c r="T6" s="19" t="n">
        <v>43</v>
      </c>
      <c r="U6" s="19" t="n">
        <v>40</v>
      </c>
      <c r="V6" s="19" t="n">
        <v>38</v>
      </c>
      <c r="W6" s="19"/>
      <c r="X6" s="19"/>
      <c r="Y6" s="19"/>
      <c r="Z6" s="19"/>
      <c r="AA6" s="17" t="n">
        <f aca="false">IF(COUNT(Q6:Z6)=0,"",SUM(Q6:Z6))</f>
        <v>232</v>
      </c>
      <c r="AB6" s="17" t="n">
        <f aca="false">IF(OR(AA6="",$AA$4-SUMIF(Q6:Z6,"欠",$Q$4:$Z$4)&lt;=0),"",ROUND(AA6/($AA$4-SUMIF(Q6:Z6,"欠",$Q$4:$Z$4))*100,0))</f>
        <v>77</v>
      </c>
      <c r="AC6" s="17" t="str">
        <f aca="false">IF(AB6="","",IF(AB6&gt;=設定!$D$14,"A",IF(AB6&gt;=設定!$E$14,"B","C")))</f>
        <v>B</v>
      </c>
      <c r="AD6" s="17" t="n">
        <f aca="false">IF(AND(N6="",AA6=""),"",IF(N6="",0,N6)+IF(AA6="",0,AA6))</f>
        <v>480</v>
      </c>
      <c r="AE6" s="17" t="n">
        <f aca="false">IF(AD6="","",IF($AD$4-SUMIF(C6:M6,"欠",$C$4:$M$4)-SUMIF(Q6:Z6,"欠",$Q$4:$Z$4)&lt;=0,"",ROUND(AD6/($AD$4-SUMIF(C6:M6,"欠",$C$4:$M$4)-SUMIF(Q6:Z6,"欠",$Q$4:$Z$4))*100,0)))</f>
        <v>80</v>
      </c>
      <c r="AF6" s="17" t="str">
        <f aca="false">IF(AE6="","",IF(AE6&gt;=設定!$D$14,"A",IF(AE6&gt;=設定!$E$14,"B","C")))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45</v>
      </c>
      <c r="D7" s="19" t="n">
        <v>45</v>
      </c>
      <c r="E7" s="19" t="n">
        <v>50</v>
      </c>
      <c r="F7" s="19" t="n">
        <v>44</v>
      </c>
      <c r="G7" s="19" t="n">
        <v>49</v>
      </c>
      <c r="H7" s="19" t="n">
        <v>44</v>
      </c>
      <c r="I7" s="19"/>
      <c r="J7" s="19"/>
      <c r="K7" s="19"/>
      <c r="L7" s="19"/>
      <c r="M7" s="19"/>
      <c r="N7" s="17" t="n">
        <f aca="false">IF(COUNT(C7:M7)=0,"",SUM(C7:M7))</f>
        <v>277</v>
      </c>
      <c r="O7" s="17" t="n">
        <f aca="false">IF(OR(N7="",$N$4-SUMIF(C7:M7,"欠",$C$4:$M$4)&lt;=0),"",ROUND(N7/($N$4-SUMIF(C7:M7,"欠",$C$4:$M$4))*100,0))</f>
        <v>92</v>
      </c>
      <c r="P7" s="17" t="str">
        <f aca="false">IF(O7="","",IF(O7&gt;=設定!$D$14,"A",IF(O7&gt;=設定!$E$14,"B","C")))</f>
        <v>A</v>
      </c>
      <c r="Q7" s="19" t="n">
        <v>32</v>
      </c>
      <c r="R7" s="19" t="n">
        <v>43</v>
      </c>
      <c r="S7" s="19" t="n">
        <v>43</v>
      </c>
      <c r="T7" s="19" t="n">
        <v>44</v>
      </c>
      <c r="U7" s="19" t="n">
        <v>44</v>
      </c>
      <c r="V7" s="19" t="n">
        <v>46</v>
      </c>
      <c r="W7" s="19"/>
      <c r="X7" s="19"/>
      <c r="Y7" s="19"/>
      <c r="Z7" s="19"/>
      <c r="AA7" s="17" t="n">
        <f aca="false">IF(COUNT(Q7:Z7)=0,"",SUM(Q7:Z7))</f>
        <v>252</v>
      </c>
      <c r="AB7" s="17" t="n">
        <f aca="false">IF(OR(AA7="",$AA$4-SUMIF(Q7:Z7,"欠",$Q$4:$Z$4)&lt;=0),"",ROUND(AA7/($AA$4-SUMIF(Q7:Z7,"欠",$Q$4:$Z$4))*100,0))</f>
        <v>84</v>
      </c>
      <c r="AC7" s="17" t="str">
        <f aca="false">IF(AB7="","",IF(AB7&gt;=設定!$D$14,"A",IF(AB7&gt;=設定!$E$14,"B","C")))</f>
        <v>B</v>
      </c>
      <c r="AD7" s="17" t="n">
        <f aca="false">IF(AND(N7="",AA7=""),"",IF(N7="",0,N7)+IF(AA7="",0,AA7))</f>
        <v>529</v>
      </c>
      <c r="AE7" s="17" t="n">
        <f aca="false">IF(AD7="","",IF($AD$4-SUMIF(C7:M7,"欠",$C$4:$M$4)-SUMIF(Q7:Z7,"欠",$Q$4:$Z$4)&lt;=0,"",ROUND(AD7/($AD$4-SUMIF(C7:M7,"欠",$C$4:$M$4)-SUMIF(Q7:Z7,"欠",$Q$4:$Z$4))*100,0)))</f>
        <v>88</v>
      </c>
      <c r="AF7" s="17" t="str">
        <f aca="false">IF(AE7="","",IF(AE7&gt;=設定!$D$14,"A",IF(AE7&gt;=設定!$E$14,"B","C")))</f>
        <v>B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37</v>
      </c>
      <c r="D8" s="19" t="n">
        <v>46</v>
      </c>
      <c r="E8" s="19" t="n">
        <v>40</v>
      </c>
      <c r="F8" s="19" t="n">
        <v>38</v>
      </c>
      <c r="G8" s="19" t="n">
        <v>43</v>
      </c>
      <c r="H8" s="19" t="n">
        <v>48</v>
      </c>
      <c r="I8" s="19"/>
      <c r="J8" s="19"/>
      <c r="K8" s="19"/>
      <c r="L8" s="19"/>
      <c r="M8" s="19"/>
      <c r="N8" s="17" t="n">
        <f aca="false">IF(COUNT(C8:M8)=0,"",SUM(C8:M8))</f>
        <v>252</v>
      </c>
      <c r="O8" s="17" t="n">
        <f aca="false">IF(OR(N8="",$N$4-SUMIF(C8:M8,"欠",$C$4:$M$4)&lt;=0),"",ROUND(N8/($N$4-SUMIF(C8:M8,"欠",$C$4:$M$4))*100,0))</f>
        <v>84</v>
      </c>
      <c r="P8" s="17" t="str">
        <f aca="false">IF(O8="","",IF(O8&gt;=設定!$D$14,"A",IF(O8&gt;=設定!$E$14,"B","C")))</f>
        <v>B</v>
      </c>
      <c r="Q8" s="19" t="n">
        <v>38</v>
      </c>
      <c r="R8" s="19" t="n">
        <v>42</v>
      </c>
      <c r="S8" s="19" t="n">
        <v>35</v>
      </c>
      <c r="T8" s="19" t="n">
        <v>33</v>
      </c>
      <c r="U8" s="19" t="n">
        <v>38</v>
      </c>
      <c r="V8" s="19" t="n">
        <v>39</v>
      </c>
      <c r="W8" s="19"/>
      <c r="X8" s="19"/>
      <c r="Y8" s="19"/>
      <c r="Z8" s="19"/>
      <c r="AA8" s="17" t="n">
        <f aca="false">IF(COUNT(Q8:Z8)=0,"",SUM(Q8:Z8))</f>
        <v>225</v>
      </c>
      <c r="AB8" s="17" t="n">
        <f aca="false">IF(OR(AA8="",$AA$4-SUMIF(Q8:Z8,"欠",$Q$4:$Z$4)&lt;=0),"",ROUND(AA8/($AA$4-SUMIF(Q8:Z8,"欠",$Q$4:$Z$4))*100,0))</f>
        <v>75</v>
      </c>
      <c r="AC8" s="17" t="str">
        <f aca="false">IF(AB8="","",IF(AB8&gt;=設定!$D$14,"A",IF(AB8&gt;=設定!$E$14,"B","C")))</f>
        <v>B</v>
      </c>
      <c r="AD8" s="17" t="n">
        <f aca="false">IF(AND(N8="",AA8=""),"",IF(N8="",0,N8)+IF(AA8="",0,AA8))</f>
        <v>477</v>
      </c>
      <c r="AE8" s="17" t="n">
        <f aca="false">IF(AD8="","",IF($AD$4-SUMIF(C8:M8,"欠",$C$4:$M$4)-SUMIF(Q8:Z8,"欠",$Q$4:$Z$4)&lt;=0,"",ROUND(AD8/($AD$4-SUMIF(C8:M8,"欠",$C$4:$M$4)-SUMIF(Q8:Z8,"欠",$Q$4:$Z$4))*100,0)))</f>
        <v>80</v>
      </c>
      <c r="AF8" s="17" t="str">
        <f aca="false">IF(AE8="","",IF(AE8&gt;=設定!$D$14,"A",IF(AE8&gt;=設定!$E$14,"B","C")))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49</v>
      </c>
      <c r="D9" s="19" t="n">
        <v>50</v>
      </c>
      <c r="E9" s="19" t="n">
        <v>50</v>
      </c>
      <c r="F9" s="19" t="n">
        <v>46</v>
      </c>
      <c r="G9" s="19" t="n">
        <v>50</v>
      </c>
      <c r="H9" s="19" t="n">
        <v>50</v>
      </c>
      <c r="I9" s="19"/>
      <c r="J9" s="19"/>
      <c r="K9" s="19"/>
      <c r="L9" s="19"/>
      <c r="M9" s="19"/>
      <c r="N9" s="17" t="n">
        <f aca="false">IF(COUNT(C9:M9)=0,"",SUM(C9:M9))</f>
        <v>295</v>
      </c>
      <c r="O9" s="17" t="n">
        <f aca="false">IF(OR(N9="",$N$4-SUMIF(C9:M9,"欠",$C$4:$M$4)&lt;=0),"",ROUND(N9/($N$4-SUMIF(C9:M9,"欠",$C$4:$M$4))*100,0))</f>
        <v>98</v>
      </c>
      <c r="P9" s="17" t="str">
        <f aca="false">IF(O9="","",IF(O9&gt;=設定!$D$14,"A",IF(O9&gt;=設定!$E$14,"B","C")))</f>
        <v>A</v>
      </c>
      <c r="Q9" s="19" t="n">
        <v>41</v>
      </c>
      <c r="R9" s="19" t="n">
        <v>44</v>
      </c>
      <c r="S9" s="19" t="n">
        <v>43</v>
      </c>
      <c r="T9" s="19" t="n">
        <v>49</v>
      </c>
      <c r="U9" s="19" t="n">
        <v>45</v>
      </c>
      <c r="V9" s="19" t="n">
        <v>43</v>
      </c>
      <c r="W9" s="19"/>
      <c r="X9" s="19"/>
      <c r="Y9" s="19"/>
      <c r="Z9" s="19"/>
      <c r="AA9" s="17" t="n">
        <f aca="false">IF(COUNT(Q9:Z9)=0,"",SUM(Q9:Z9))</f>
        <v>265</v>
      </c>
      <c r="AB9" s="17" t="n">
        <f aca="false">IF(OR(AA9="",$AA$4-SUMIF(Q9:Z9,"欠",$Q$4:$Z$4)&lt;=0),"",ROUND(AA9/($AA$4-SUMIF(Q9:Z9,"欠",$Q$4:$Z$4))*100,0))</f>
        <v>88</v>
      </c>
      <c r="AC9" s="17" t="str">
        <f aca="false">IF(AB9="","",IF(AB9&gt;=設定!$D$14,"A",IF(AB9&gt;=設定!$E$14,"B","C")))</f>
        <v>B</v>
      </c>
      <c r="AD9" s="17" t="n">
        <f aca="false">IF(AND(N9="",AA9=""),"",IF(N9="",0,N9)+IF(AA9="",0,AA9))</f>
        <v>560</v>
      </c>
      <c r="AE9" s="17" t="n">
        <f aca="false">IF(AD9="","",IF($AD$4-SUMIF(C9:M9,"欠",$C$4:$M$4)-SUMIF(Q9:Z9,"欠",$Q$4:$Z$4)&lt;=0,"",ROUND(AD9/($AD$4-SUMIF(C9:M9,"欠",$C$4:$M$4)-SUMIF(Q9:Z9,"欠",$Q$4:$Z$4))*100,0)))</f>
        <v>93</v>
      </c>
      <c r="AF9" s="17" t="str">
        <f aca="false">IF(AE9="","",IF(AE9&gt;=設定!$D$14,"A",IF(AE9&gt;=設定!$E$14,"B","C")))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35</v>
      </c>
      <c r="D10" s="19" t="n">
        <v>37</v>
      </c>
      <c r="E10" s="19" t="n">
        <v>37</v>
      </c>
      <c r="F10" s="19" t="n">
        <v>36</v>
      </c>
      <c r="G10" s="19" t="n">
        <v>36</v>
      </c>
      <c r="H10" s="19" t="n">
        <v>41</v>
      </c>
      <c r="I10" s="19"/>
      <c r="J10" s="19"/>
      <c r="K10" s="19"/>
      <c r="L10" s="19"/>
      <c r="M10" s="19"/>
      <c r="N10" s="17" t="n">
        <f aca="false">IF(COUNT(C10:M10)=0,"",SUM(C10:M10))</f>
        <v>222</v>
      </c>
      <c r="O10" s="17" t="n">
        <f aca="false">IF(OR(N10="",$N$4-SUMIF(C10:M10,"欠",$C$4:$M$4)&lt;=0),"",ROUND(N10/($N$4-SUMIF(C10:M10,"欠",$C$4:$M$4))*100,0))</f>
        <v>74</v>
      </c>
      <c r="P10" s="17" t="str">
        <f aca="false">IF(O10="","",IF(O10&gt;=設定!$D$14,"A",IF(O10&gt;=設定!$E$14,"B","C")))</f>
        <v>B</v>
      </c>
      <c r="Q10" s="19" t="n">
        <v>32</v>
      </c>
      <c r="R10" s="19" t="n">
        <v>31</v>
      </c>
      <c r="S10" s="19" t="n">
        <v>27</v>
      </c>
      <c r="T10" s="19" t="n">
        <v>38</v>
      </c>
      <c r="U10" s="19" t="n">
        <v>33</v>
      </c>
      <c r="V10" s="19" t="n">
        <v>36</v>
      </c>
      <c r="W10" s="19"/>
      <c r="X10" s="19"/>
      <c r="Y10" s="19"/>
      <c r="Z10" s="19"/>
      <c r="AA10" s="17" t="n">
        <f aca="false">IF(COUNT(Q10:Z10)=0,"",SUM(Q10:Z10))</f>
        <v>197</v>
      </c>
      <c r="AB10" s="17" t="n">
        <f aca="false">IF(OR(AA10="",$AA$4-SUMIF(Q10:Z10,"欠",$Q$4:$Z$4)&lt;=0),"",ROUND(AA10/($AA$4-SUMIF(Q10:Z10,"欠",$Q$4:$Z$4))*100,0))</f>
        <v>66</v>
      </c>
      <c r="AC10" s="17" t="str">
        <f aca="false">IF(AB10="","",IF(AB10&gt;=設定!$D$14,"A",IF(AB10&gt;=設定!$E$14,"B","C")))</f>
        <v>B</v>
      </c>
      <c r="AD10" s="17" t="n">
        <f aca="false">IF(AND(N10="",AA10=""),"",IF(N10="",0,N10)+IF(AA10="",0,AA10))</f>
        <v>419</v>
      </c>
      <c r="AE10" s="17" t="n">
        <f aca="false">IF(AD10="","",IF($AD$4-SUMIF(C10:M10,"欠",$C$4:$M$4)-SUMIF(Q10:Z10,"欠",$Q$4:$Z$4)&lt;=0,"",ROUND(AD10/($AD$4-SUMIF(C10:M10,"欠",$C$4:$M$4)-SUMIF(Q10:Z10,"欠",$Q$4:$Z$4))*100,0)))</f>
        <v>70</v>
      </c>
      <c r="AF10" s="17" t="str">
        <f aca="false">IF(AE10="","",IF(AE10&gt;=設定!$D$14,"A",IF(AE10&gt;=設定!$E$14,"B","C")))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37</v>
      </c>
      <c r="D11" s="19" t="n">
        <v>37</v>
      </c>
      <c r="E11" s="19" t="n">
        <v>36</v>
      </c>
      <c r="F11" s="19" t="n">
        <v>41</v>
      </c>
      <c r="G11" s="19" t="n">
        <v>40</v>
      </c>
      <c r="H11" s="19" t="n">
        <v>39</v>
      </c>
      <c r="I11" s="19"/>
      <c r="J11" s="19"/>
      <c r="K11" s="19"/>
      <c r="L11" s="19"/>
      <c r="M11" s="19"/>
      <c r="N11" s="17" t="n">
        <f aca="false">IF(COUNT(C11:M11)=0,"",SUM(C11:M11))</f>
        <v>230</v>
      </c>
      <c r="O11" s="17" t="n">
        <f aca="false">IF(OR(N11="",$N$4-SUMIF(C11:M11,"欠",$C$4:$M$4)&lt;=0),"",ROUND(N11/($N$4-SUMIF(C11:M11,"欠",$C$4:$M$4))*100,0))</f>
        <v>77</v>
      </c>
      <c r="P11" s="17" t="str">
        <f aca="false">IF(O11="","",IF(O11&gt;=設定!$D$14,"A",IF(O11&gt;=設定!$E$14,"B","C")))</f>
        <v>B</v>
      </c>
      <c r="Q11" s="19" t="n">
        <v>38</v>
      </c>
      <c r="R11" s="19" t="n">
        <v>39</v>
      </c>
      <c r="S11" s="19" t="n">
        <v>34</v>
      </c>
      <c r="T11" s="19" t="n">
        <v>35</v>
      </c>
      <c r="U11" s="19" t="n">
        <v>34</v>
      </c>
      <c r="V11" s="19" t="n">
        <v>28</v>
      </c>
      <c r="W11" s="19"/>
      <c r="X11" s="19"/>
      <c r="Y11" s="19"/>
      <c r="Z11" s="19"/>
      <c r="AA11" s="17" t="n">
        <f aca="false">IF(COUNT(Q11:Z11)=0,"",SUM(Q11:Z11))</f>
        <v>208</v>
      </c>
      <c r="AB11" s="17" t="n">
        <f aca="false">IF(OR(AA11="",$AA$4-SUMIF(Q11:Z11,"欠",$Q$4:$Z$4)&lt;=0),"",ROUND(AA11/($AA$4-SUMIF(Q11:Z11,"欠",$Q$4:$Z$4))*100,0))</f>
        <v>69</v>
      </c>
      <c r="AC11" s="17" t="str">
        <f aca="false">IF(AB11="","",IF(AB11&gt;=設定!$D$14,"A",IF(AB11&gt;=設定!$E$14,"B","C")))</f>
        <v>B</v>
      </c>
      <c r="AD11" s="17" t="n">
        <f aca="false">IF(AND(N11="",AA11=""),"",IF(N11="",0,N11)+IF(AA11="",0,AA11))</f>
        <v>438</v>
      </c>
      <c r="AE11" s="17" t="n">
        <f aca="false">IF(AD11="","",IF($AD$4-SUMIF(C11:M11,"欠",$C$4:$M$4)-SUMIF(Q11:Z11,"欠",$Q$4:$Z$4)&lt;=0,"",ROUND(AD11/($AD$4-SUMIF(C11:M11,"欠",$C$4:$M$4)-SUMIF(Q11:Z11,"欠",$Q$4:$Z$4))*100,0)))</f>
        <v>73</v>
      </c>
      <c r="AF11" s="17" t="str">
        <f aca="false">IF(AE11="","",IF(AE11&gt;=設定!$D$14,"A",IF(AE11&gt;=設定!$E$14,"B","C")))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47</v>
      </c>
      <c r="D12" s="19" t="n">
        <v>50</v>
      </c>
      <c r="E12" s="19" t="n">
        <v>48</v>
      </c>
      <c r="F12" s="19" t="n">
        <v>46</v>
      </c>
      <c r="G12" s="19" t="n">
        <v>50</v>
      </c>
      <c r="H12" s="19" t="n">
        <v>42</v>
      </c>
      <c r="I12" s="19"/>
      <c r="J12" s="19"/>
      <c r="K12" s="19"/>
      <c r="L12" s="19"/>
      <c r="M12" s="19"/>
      <c r="N12" s="17" t="n">
        <f aca="false">IF(COUNT(C12:M12)=0,"",SUM(C12:M12))</f>
        <v>283</v>
      </c>
      <c r="O12" s="17" t="n">
        <f aca="false">IF(OR(N12="",$N$4-SUMIF(C12:M12,"欠",$C$4:$M$4)&lt;=0),"",ROUND(N12/($N$4-SUMIF(C12:M12,"欠",$C$4:$M$4))*100,0))</f>
        <v>94</v>
      </c>
      <c r="P12" s="17" t="str">
        <f aca="false">IF(O12="","",IF(O12&gt;=設定!$D$14,"A",IF(O12&gt;=設定!$E$14,"B","C")))</f>
        <v>A</v>
      </c>
      <c r="Q12" s="19" t="n">
        <v>48</v>
      </c>
      <c r="R12" s="19" t="n">
        <v>38</v>
      </c>
      <c r="S12" s="19" t="n">
        <v>50</v>
      </c>
      <c r="T12" s="19" t="n">
        <v>40</v>
      </c>
      <c r="U12" s="19" t="n">
        <v>48</v>
      </c>
      <c r="V12" s="19" t="n">
        <v>43</v>
      </c>
      <c r="W12" s="19"/>
      <c r="X12" s="19"/>
      <c r="Y12" s="19"/>
      <c r="Z12" s="19"/>
      <c r="AA12" s="17" t="n">
        <f aca="false">IF(COUNT(Q12:Z12)=0,"",SUM(Q12:Z12))</f>
        <v>267</v>
      </c>
      <c r="AB12" s="17" t="n">
        <f aca="false">IF(OR(AA12="",$AA$4-SUMIF(Q12:Z12,"欠",$Q$4:$Z$4)&lt;=0),"",ROUND(AA12/($AA$4-SUMIF(Q12:Z12,"欠",$Q$4:$Z$4))*100,0))</f>
        <v>89</v>
      </c>
      <c r="AC12" s="17" t="str">
        <f aca="false">IF(AB12="","",IF(AB12&gt;=設定!$D$14,"A",IF(AB12&gt;=設定!$E$14,"B","C")))</f>
        <v>B</v>
      </c>
      <c r="AD12" s="17" t="n">
        <f aca="false">IF(AND(N12="",AA12=""),"",IF(N12="",0,N12)+IF(AA12="",0,AA12))</f>
        <v>550</v>
      </c>
      <c r="AE12" s="17" t="n">
        <f aca="false">IF(AD12="","",IF($AD$4-SUMIF(C12:M12,"欠",$C$4:$M$4)-SUMIF(Q12:Z12,"欠",$Q$4:$Z$4)&lt;=0,"",ROUND(AD12/($AD$4-SUMIF(C12:M12,"欠",$C$4:$M$4)-SUMIF(Q12:Z12,"欠",$Q$4:$Z$4))*100,0)))</f>
        <v>92</v>
      </c>
      <c r="AF12" s="17" t="str">
        <f aca="false">IF(AE12="","",IF(AE12&gt;=設定!$D$14,"A",IF(AE12&gt;=設定!$E$14,"B","C")))</f>
        <v>A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39</v>
      </c>
      <c r="D13" s="19" t="n">
        <v>39</v>
      </c>
      <c r="E13" s="19" t="n">
        <v>33</v>
      </c>
      <c r="F13" s="19" t="n">
        <v>44</v>
      </c>
      <c r="G13" s="19" t="n">
        <v>30</v>
      </c>
      <c r="H13" s="19" t="n">
        <v>47</v>
      </c>
      <c r="I13" s="19"/>
      <c r="J13" s="19"/>
      <c r="K13" s="19"/>
      <c r="L13" s="19"/>
      <c r="M13" s="19"/>
      <c r="N13" s="17" t="n">
        <f aca="false">IF(COUNT(C13:M13)=0,"",SUM(C13:M13))</f>
        <v>232</v>
      </c>
      <c r="O13" s="17" t="n">
        <f aca="false">IF(OR(N13="",$N$4-SUMIF(C13:M13,"欠",$C$4:$M$4)&lt;=0),"",ROUND(N13/($N$4-SUMIF(C13:M13,"欠",$C$4:$M$4))*100,0))</f>
        <v>77</v>
      </c>
      <c r="P13" s="17" t="str">
        <f aca="false">IF(O13="","",IF(O13&gt;=設定!$D$14,"A",IF(O13&gt;=設定!$E$14,"B","C")))</f>
        <v>B</v>
      </c>
      <c r="Q13" s="19" t="n">
        <v>31</v>
      </c>
      <c r="R13" s="19" t="n">
        <v>41</v>
      </c>
      <c r="S13" s="19" t="n">
        <v>24</v>
      </c>
      <c r="T13" s="19" t="n">
        <v>30</v>
      </c>
      <c r="U13" s="19" t="n">
        <v>31</v>
      </c>
      <c r="V13" s="19" t="n">
        <v>21</v>
      </c>
      <c r="W13" s="19"/>
      <c r="X13" s="19"/>
      <c r="Y13" s="19"/>
      <c r="Z13" s="19"/>
      <c r="AA13" s="17" t="n">
        <f aca="false">IF(COUNT(Q13:Z13)=0,"",SUM(Q13:Z13))</f>
        <v>178</v>
      </c>
      <c r="AB13" s="17" t="n">
        <f aca="false">IF(OR(AA13="",$AA$4-SUMIF(Q13:Z13,"欠",$Q$4:$Z$4)&lt;=0),"",ROUND(AA13/($AA$4-SUMIF(Q13:Z13,"欠",$Q$4:$Z$4))*100,0))</f>
        <v>59</v>
      </c>
      <c r="AC13" s="17" t="str">
        <f aca="false">IF(AB13="","",IF(AB13&gt;=設定!$D$14,"A",IF(AB13&gt;=設定!$E$14,"B","C")))</f>
        <v>C</v>
      </c>
      <c r="AD13" s="17" t="n">
        <f aca="false">IF(AND(N13="",AA13=""),"",IF(N13="",0,N13)+IF(AA13="",0,AA13))</f>
        <v>410</v>
      </c>
      <c r="AE13" s="17" t="n">
        <f aca="false">IF(AD13="","",IF($AD$4-SUMIF(C13:M13,"欠",$C$4:$M$4)-SUMIF(Q13:Z13,"欠",$Q$4:$Z$4)&lt;=0,"",ROUND(AD13/($AD$4-SUMIF(C13:M13,"欠",$C$4:$M$4)-SUMIF(Q13:Z13,"欠",$Q$4:$Z$4))*100,0)))</f>
        <v>68</v>
      </c>
      <c r="AF13" s="17" t="str">
        <f aca="false">IF(AE13="","",IF(AE13&gt;=設定!$D$14,"A",IF(AE13&gt;=設定!$E$14,"B","C")))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45</v>
      </c>
      <c r="D14" s="19" t="n">
        <v>47</v>
      </c>
      <c r="E14" s="19" t="n">
        <v>46</v>
      </c>
      <c r="F14" s="19" t="n">
        <v>42</v>
      </c>
      <c r="G14" s="19" t="n">
        <v>45</v>
      </c>
      <c r="H14" s="19" t="n">
        <v>50</v>
      </c>
      <c r="I14" s="19"/>
      <c r="J14" s="19"/>
      <c r="K14" s="19"/>
      <c r="L14" s="19"/>
      <c r="M14" s="19"/>
      <c r="N14" s="17" t="n">
        <f aca="false">IF(COUNT(C14:M14)=0,"",SUM(C14:M14))</f>
        <v>275</v>
      </c>
      <c r="O14" s="17" t="n">
        <f aca="false">IF(OR(N14="",$N$4-SUMIF(C14:M14,"欠",$C$4:$M$4)&lt;=0),"",ROUND(N14/($N$4-SUMIF(C14:M14,"欠",$C$4:$M$4))*100,0))</f>
        <v>92</v>
      </c>
      <c r="P14" s="17" t="str">
        <f aca="false">IF(O14="","",IF(O14&gt;=設定!$D$14,"A",IF(O14&gt;=設定!$E$14,"B","C")))</f>
        <v>A</v>
      </c>
      <c r="Q14" s="19" t="n">
        <v>40</v>
      </c>
      <c r="R14" s="19" t="n">
        <v>46</v>
      </c>
      <c r="S14" s="19" t="n">
        <v>41</v>
      </c>
      <c r="T14" s="19" t="n">
        <v>34</v>
      </c>
      <c r="U14" s="19" t="n">
        <v>40</v>
      </c>
      <c r="V14" s="19" t="n">
        <v>39</v>
      </c>
      <c r="W14" s="19"/>
      <c r="X14" s="19"/>
      <c r="Y14" s="19"/>
      <c r="Z14" s="19"/>
      <c r="AA14" s="17" t="n">
        <f aca="false">IF(COUNT(Q14:Z14)=0,"",SUM(Q14:Z14))</f>
        <v>240</v>
      </c>
      <c r="AB14" s="17" t="n">
        <f aca="false">IF(OR(AA14="",$AA$4-SUMIF(Q14:Z14,"欠",$Q$4:$Z$4)&lt;=0),"",ROUND(AA14/($AA$4-SUMIF(Q14:Z14,"欠",$Q$4:$Z$4))*100,0))</f>
        <v>80</v>
      </c>
      <c r="AC14" s="17" t="str">
        <f aca="false">IF(AB14="","",IF(AB14&gt;=設定!$D$14,"A",IF(AB14&gt;=設定!$E$14,"B","C")))</f>
        <v>B</v>
      </c>
      <c r="AD14" s="17" t="n">
        <f aca="false">IF(AND(N14="",AA14=""),"",IF(N14="",0,N14)+IF(AA14="",0,AA14))</f>
        <v>515</v>
      </c>
      <c r="AE14" s="17" t="n">
        <f aca="false">IF(AD14="","",IF($AD$4-SUMIF(C14:M14,"欠",$C$4:$M$4)-SUMIF(Q14:Z14,"欠",$Q$4:$Z$4)&lt;=0,"",ROUND(AD14/($AD$4-SUMIF(C14:M14,"欠",$C$4:$M$4)-SUMIF(Q14:Z14,"欠",$Q$4:$Z$4))*100,0)))</f>
        <v>86</v>
      </c>
      <c r="AF14" s="17" t="str">
        <f aca="false">IF(AE14="","",IF(AE14&gt;=設定!$D$14,"A",IF(AE14&gt;=設定!$E$14,"B","C")))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42</v>
      </c>
      <c r="D15" s="19" t="n">
        <v>47</v>
      </c>
      <c r="E15" s="19" t="n">
        <v>41</v>
      </c>
      <c r="F15" s="19" t="n">
        <v>41</v>
      </c>
      <c r="G15" s="19" t="n">
        <v>46</v>
      </c>
      <c r="H15" s="19" t="n">
        <v>40</v>
      </c>
      <c r="I15" s="19"/>
      <c r="J15" s="19"/>
      <c r="K15" s="19"/>
      <c r="L15" s="19"/>
      <c r="M15" s="19"/>
      <c r="N15" s="17" t="n">
        <f aca="false">IF(COUNT(C15:M15)=0,"",SUM(C15:M15))</f>
        <v>257</v>
      </c>
      <c r="O15" s="17" t="n">
        <f aca="false">IF(OR(N15="",$N$4-SUMIF(C15:M15,"欠",$C$4:$M$4)&lt;=0),"",ROUND(N15/($N$4-SUMIF(C15:M15,"欠",$C$4:$M$4))*100,0))</f>
        <v>86</v>
      </c>
      <c r="P15" s="17" t="str">
        <f aca="false">IF(O15="","",IF(O15&gt;=設定!$D$14,"A",IF(O15&gt;=設定!$E$14,"B","C")))</f>
        <v>B</v>
      </c>
      <c r="Q15" s="19" t="n">
        <v>41</v>
      </c>
      <c r="R15" s="19" t="n">
        <v>41</v>
      </c>
      <c r="S15" s="19" t="n">
        <v>30</v>
      </c>
      <c r="T15" s="19" t="n">
        <v>39</v>
      </c>
      <c r="U15" s="19" t="n">
        <v>41</v>
      </c>
      <c r="V15" s="19" t="n">
        <v>50</v>
      </c>
      <c r="W15" s="19"/>
      <c r="X15" s="19"/>
      <c r="Y15" s="19"/>
      <c r="Z15" s="19"/>
      <c r="AA15" s="17" t="n">
        <f aca="false">IF(COUNT(Q15:Z15)=0,"",SUM(Q15:Z15))</f>
        <v>242</v>
      </c>
      <c r="AB15" s="17" t="n">
        <f aca="false">IF(OR(AA15="",$AA$4-SUMIF(Q15:Z15,"欠",$Q$4:$Z$4)&lt;=0),"",ROUND(AA15/($AA$4-SUMIF(Q15:Z15,"欠",$Q$4:$Z$4))*100,0))</f>
        <v>81</v>
      </c>
      <c r="AC15" s="17" t="str">
        <f aca="false">IF(AB15="","",IF(AB15&gt;=設定!$D$14,"A",IF(AB15&gt;=設定!$E$14,"B","C")))</f>
        <v>B</v>
      </c>
      <c r="AD15" s="17" t="n">
        <f aca="false">IF(AND(N15="",AA15=""),"",IF(N15="",0,N15)+IF(AA15="",0,AA15))</f>
        <v>499</v>
      </c>
      <c r="AE15" s="17" t="n">
        <f aca="false">IF(AD15="","",IF($AD$4-SUMIF(C15:M15,"欠",$C$4:$M$4)-SUMIF(Q15:Z15,"欠",$Q$4:$Z$4)&lt;=0,"",ROUND(AD15/($AD$4-SUMIF(C15:M15,"欠",$C$4:$M$4)-SUMIF(Q15:Z15,"欠",$Q$4:$Z$4))*100,0)))</f>
        <v>83</v>
      </c>
      <c r="AF15" s="17" t="str">
        <f aca="false">IF(AE15="","",IF(AE15&gt;=設定!$D$14,"A",IF(AE15&gt;=設定!$E$14,"B","C")))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42</v>
      </c>
      <c r="D16" s="19" t="n">
        <v>50</v>
      </c>
      <c r="E16" s="19" t="n">
        <v>37</v>
      </c>
      <c r="F16" s="19" t="n">
        <v>36</v>
      </c>
      <c r="G16" s="19" t="n">
        <v>39</v>
      </c>
      <c r="H16" s="19" t="n">
        <v>42</v>
      </c>
      <c r="I16" s="19"/>
      <c r="J16" s="19"/>
      <c r="K16" s="19"/>
      <c r="L16" s="19"/>
      <c r="M16" s="19"/>
      <c r="N16" s="17" t="n">
        <f aca="false">IF(COUNT(C16:M16)=0,"",SUM(C16:M16))</f>
        <v>246</v>
      </c>
      <c r="O16" s="17" t="n">
        <f aca="false">IF(OR(N16="",$N$4-SUMIF(C16:M16,"欠",$C$4:$M$4)&lt;=0),"",ROUND(N16/($N$4-SUMIF(C16:M16,"欠",$C$4:$M$4))*100,0))</f>
        <v>82</v>
      </c>
      <c r="P16" s="17" t="str">
        <f aca="false">IF(O16="","",IF(O16&gt;=設定!$D$14,"A",IF(O16&gt;=設定!$E$14,"B","C")))</f>
        <v>B</v>
      </c>
      <c r="Q16" s="19" t="n">
        <v>44</v>
      </c>
      <c r="R16" s="19" t="n">
        <v>40</v>
      </c>
      <c r="S16" s="19" t="n">
        <v>35</v>
      </c>
      <c r="T16" s="19" t="n">
        <v>34</v>
      </c>
      <c r="U16" s="19" t="n">
        <v>36</v>
      </c>
      <c r="V16" s="19" t="n">
        <v>33</v>
      </c>
      <c r="W16" s="19"/>
      <c r="X16" s="19"/>
      <c r="Y16" s="19"/>
      <c r="Z16" s="19"/>
      <c r="AA16" s="17" t="n">
        <f aca="false">IF(COUNT(Q16:Z16)=0,"",SUM(Q16:Z16))</f>
        <v>222</v>
      </c>
      <c r="AB16" s="17" t="n">
        <f aca="false">IF(OR(AA16="",$AA$4-SUMIF(Q16:Z16,"欠",$Q$4:$Z$4)&lt;=0),"",ROUND(AA16/($AA$4-SUMIF(Q16:Z16,"欠",$Q$4:$Z$4))*100,0))</f>
        <v>74</v>
      </c>
      <c r="AC16" s="17" t="str">
        <f aca="false">IF(AB16="","",IF(AB16&gt;=設定!$D$14,"A",IF(AB16&gt;=設定!$E$14,"B","C")))</f>
        <v>B</v>
      </c>
      <c r="AD16" s="17" t="n">
        <f aca="false">IF(AND(N16="",AA16=""),"",IF(N16="",0,N16)+IF(AA16="",0,AA16))</f>
        <v>468</v>
      </c>
      <c r="AE16" s="17" t="n">
        <f aca="false">IF(AD16="","",IF($AD$4-SUMIF(C16:M16,"欠",$C$4:$M$4)-SUMIF(Q16:Z16,"欠",$Q$4:$Z$4)&lt;=0,"",ROUND(AD16/($AD$4-SUMIF(C16:M16,"欠",$C$4:$M$4)-SUMIF(Q16:Z16,"欠",$Q$4:$Z$4))*100,0)))</f>
        <v>78</v>
      </c>
      <c r="AF16" s="17" t="str">
        <f aca="false">IF(AE16="","",IF(AE16&gt;=設定!$D$14,"A",IF(AE16&gt;=設定!$E$14,"B","C")))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28</v>
      </c>
      <c r="D17" s="19" t="n">
        <v>34</v>
      </c>
      <c r="E17" s="19" t="n">
        <v>32</v>
      </c>
      <c r="F17" s="19" t="n">
        <v>33</v>
      </c>
      <c r="G17" s="19" t="n">
        <v>24</v>
      </c>
      <c r="H17" s="19" t="n">
        <v>32</v>
      </c>
      <c r="I17" s="19"/>
      <c r="J17" s="19"/>
      <c r="K17" s="19"/>
      <c r="L17" s="19"/>
      <c r="M17" s="19"/>
      <c r="N17" s="17" t="n">
        <f aca="false">IF(COUNT(C17:M17)=0,"",SUM(C17:M17))</f>
        <v>183</v>
      </c>
      <c r="O17" s="17" t="n">
        <f aca="false">IF(OR(N17="",$N$4-SUMIF(C17:M17,"欠",$C$4:$M$4)&lt;=0),"",ROUND(N17/($N$4-SUMIF(C17:M17,"欠",$C$4:$M$4))*100,0))</f>
        <v>61</v>
      </c>
      <c r="P17" s="17" t="str">
        <f aca="false">IF(O17="","",IF(O17&gt;=設定!$D$14,"A",IF(O17&gt;=設定!$E$14,"B","C")))</f>
        <v>B</v>
      </c>
      <c r="Q17" s="19" t="n">
        <v>30</v>
      </c>
      <c r="R17" s="19" t="n">
        <v>20</v>
      </c>
      <c r="S17" s="19" t="n">
        <v>25</v>
      </c>
      <c r="T17" s="19" t="n">
        <v>25</v>
      </c>
      <c r="U17" s="19" t="n">
        <v>40</v>
      </c>
      <c r="V17" s="19" t="n">
        <v>32</v>
      </c>
      <c r="W17" s="19"/>
      <c r="X17" s="19"/>
      <c r="Y17" s="19"/>
      <c r="Z17" s="19"/>
      <c r="AA17" s="17" t="n">
        <f aca="false">IF(COUNT(Q17:Z17)=0,"",SUM(Q17:Z17))</f>
        <v>172</v>
      </c>
      <c r="AB17" s="17" t="n">
        <f aca="false">IF(OR(AA17="",$AA$4-SUMIF(Q17:Z17,"欠",$Q$4:$Z$4)&lt;=0),"",ROUND(AA17/($AA$4-SUMIF(Q17:Z17,"欠",$Q$4:$Z$4))*100,0))</f>
        <v>57</v>
      </c>
      <c r="AC17" s="17" t="str">
        <f aca="false">IF(AB17="","",IF(AB17&gt;=設定!$D$14,"A",IF(AB17&gt;=設定!$E$14,"B","C")))</f>
        <v>C</v>
      </c>
      <c r="AD17" s="17" t="n">
        <f aca="false">IF(AND(N17="",AA17=""),"",IF(N17="",0,N17)+IF(AA17="",0,AA17))</f>
        <v>355</v>
      </c>
      <c r="AE17" s="17" t="n">
        <f aca="false">IF(AD17="","",IF($AD$4-SUMIF(C17:M17,"欠",$C$4:$M$4)-SUMIF(Q17:Z17,"欠",$Q$4:$Z$4)&lt;=0,"",ROUND(AD17/($AD$4-SUMIF(C17:M17,"欠",$C$4:$M$4)-SUMIF(Q17:Z17,"欠",$Q$4:$Z$4))*100,0)))</f>
        <v>59</v>
      </c>
      <c r="AF17" s="17" t="str">
        <f aca="false">IF(AE17="","",IF(AE17&gt;=設定!$D$14,"A",IF(AE17&gt;=設定!$E$14,"B","C")))</f>
        <v>C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43</v>
      </c>
      <c r="D18" s="19" t="n">
        <v>43</v>
      </c>
      <c r="E18" s="19" t="n">
        <v>42</v>
      </c>
      <c r="F18" s="19" t="n">
        <v>44</v>
      </c>
      <c r="G18" s="19" t="n">
        <v>45</v>
      </c>
      <c r="H18" s="19" t="n">
        <v>44</v>
      </c>
      <c r="I18" s="19"/>
      <c r="J18" s="19"/>
      <c r="K18" s="19"/>
      <c r="L18" s="19"/>
      <c r="M18" s="19"/>
      <c r="N18" s="17" t="n">
        <f aca="false">IF(COUNT(C18:M18)=0,"",SUM(C18:M18))</f>
        <v>261</v>
      </c>
      <c r="O18" s="17" t="n">
        <f aca="false">IF(OR(N18="",$N$4-SUMIF(C18:M18,"欠",$C$4:$M$4)&lt;=0),"",ROUND(N18/($N$4-SUMIF(C18:M18,"欠",$C$4:$M$4))*100,0))</f>
        <v>87</v>
      </c>
      <c r="P18" s="17" t="str">
        <f aca="false">IF(O18="","",IF(O18&gt;=設定!$D$14,"A",IF(O18&gt;=設定!$E$14,"B","C")))</f>
        <v>B</v>
      </c>
      <c r="Q18" s="19" t="n">
        <v>42</v>
      </c>
      <c r="R18" s="19" t="n">
        <v>41</v>
      </c>
      <c r="S18" s="19" t="n">
        <v>46</v>
      </c>
      <c r="T18" s="19" t="n">
        <v>47</v>
      </c>
      <c r="U18" s="19" t="n">
        <v>45</v>
      </c>
      <c r="V18" s="19" t="n">
        <v>41</v>
      </c>
      <c r="W18" s="19"/>
      <c r="X18" s="19"/>
      <c r="Y18" s="19"/>
      <c r="Z18" s="19"/>
      <c r="AA18" s="17" t="n">
        <f aca="false">IF(COUNT(Q18:Z18)=0,"",SUM(Q18:Z18))</f>
        <v>262</v>
      </c>
      <c r="AB18" s="17" t="n">
        <f aca="false">IF(OR(AA18="",$AA$4-SUMIF(Q18:Z18,"欠",$Q$4:$Z$4)&lt;=0),"",ROUND(AA18/($AA$4-SUMIF(Q18:Z18,"欠",$Q$4:$Z$4))*100,0))</f>
        <v>87</v>
      </c>
      <c r="AC18" s="17" t="str">
        <f aca="false">IF(AB18="","",IF(AB18&gt;=設定!$D$14,"A",IF(AB18&gt;=設定!$E$14,"B","C")))</f>
        <v>B</v>
      </c>
      <c r="AD18" s="17" t="n">
        <f aca="false">IF(AND(N18="",AA18=""),"",IF(N18="",0,N18)+IF(AA18="",0,AA18))</f>
        <v>523</v>
      </c>
      <c r="AE18" s="17" t="n">
        <f aca="false">IF(AD18="","",IF($AD$4-SUMIF(C18:M18,"欠",$C$4:$M$4)-SUMIF(Q18:Z18,"欠",$Q$4:$Z$4)&lt;=0,"",ROUND(AD18/($AD$4-SUMIF(C18:M18,"欠",$C$4:$M$4)-SUMIF(Q18:Z18,"欠",$Q$4:$Z$4))*100,0)))</f>
        <v>87</v>
      </c>
      <c r="AF18" s="17" t="str">
        <f aca="false">IF(AE18="","",IF(AE18&gt;=設定!$D$14,"A",IF(AE18&gt;=設定!$E$14,"B","C")))</f>
        <v>B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24</v>
      </c>
      <c r="D19" s="19" t="n">
        <v>23</v>
      </c>
      <c r="E19" s="19" t="n">
        <v>27</v>
      </c>
      <c r="F19" s="19" t="n">
        <v>27</v>
      </c>
      <c r="G19" s="19" t="n">
        <v>22</v>
      </c>
      <c r="H19" s="19" t="n">
        <v>27</v>
      </c>
      <c r="I19" s="19"/>
      <c r="J19" s="19"/>
      <c r="K19" s="19"/>
      <c r="L19" s="19"/>
      <c r="M19" s="19"/>
      <c r="N19" s="17" t="n">
        <f aca="false">IF(COUNT(C19:M19)=0,"",SUM(C19:M19))</f>
        <v>150</v>
      </c>
      <c r="O19" s="17" t="n">
        <f aca="false">IF(OR(N19="",$N$4-SUMIF(C19:M19,"欠",$C$4:$M$4)&lt;=0),"",ROUND(N19/($N$4-SUMIF(C19:M19,"欠",$C$4:$M$4))*100,0))</f>
        <v>50</v>
      </c>
      <c r="P19" s="17" t="str">
        <f aca="false">IF(O19="","",IF(O19&gt;=設定!$D$14,"A",IF(O19&gt;=設定!$E$14,"B","C")))</f>
        <v>C</v>
      </c>
      <c r="Q19" s="19" t="n">
        <v>16</v>
      </c>
      <c r="R19" s="19" t="n">
        <v>22</v>
      </c>
      <c r="S19" s="19" t="n">
        <v>26</v>
      </c>
      <c r="T19" s="19" t="n">
        <v>24</v>
      </c>
      <c r="U19" s="19" t="n">
        <v>22</v>
      </c>
      <c r="V19" s="19" t="n">
        <v>22</v>
      </c>
      <c r="W19" s="19"/>
      <c r="X19" s="19"/>
      <c r="Y19" s="19"/>
      <c r="Z19" s="19"/>
      <c r="AA19" s="17" t="n">
        <f aca="false">IF(COUNT(Q19:Z19)=0,"",SUM(Q19:Z19))</f>
        <v>132</v>
      </c>
      <c r="AB19" s="17" t="n">
        <f aca="false">IF(OR(AA19="",$AA$4-SUMIF(Q19:Z19,"欠",$Q$4:$Z$4)&lt;=0),"",ROUND(AA19/($AA$4-SUMIF(Q19:Z19,"欠",$Q$4:$Z$4))*100,0))</f>
        <v>44</v>
      </c>
      <c r="AC19" s="17" t="str">
        <f aca="false">IF(AB19="","",IF(AB19&gt;=設定!$D$14,"A",IF(AB19&gt;=設定!$E$14,"B","C")))</f>
        <v>C</v>
      </c>
      <c r="AD19" s="17" t="n">
        <f aca="false">IF(AND(N19="",AA19=""),"",IF(N19="",0,N19)+IF(AA19="",0,AA19))</f>
        <v>282</v>
      </c>
      <c r="AE19" s="17" t="n">
        <f aca="false">IF(AD19="","",IF($AD$4-SUMIF(C19:M19,"欠",$C$4:$M$4)-SUMIF(Q19:Z19,"欠",$Q$4:$Z$4)&lt;=0,"",ROUND(AD19/($AD$4-SUMIF(C19:M19,"欠",$C$4:$M$4)-SUMIF(Q19:Z19,"欠",$Q$4:$Z$4))*100,0)))</f>
        <v>47</v>
      </c>
      <c r="AF19" s="17" t="str">
        <f aca="false">IF(AE19="","",IF(AE19&gt;=設定!$D$14,"A",IF(AE19&gt;=設定!$E$14,"B","C")))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45</v>
      </c>
      <c r="D20" s="19" t="n">
        <v>50</v>
      </c>
      <c r="E20" s="19" t="n">
        <v>48</v>
      </c>
      <c r="F20" s="19" t="n">
        <v>49</v>
      </c>
      <c r="G20" s="19" t="n">
        <v>50</v>
      </c>
      <c r="H20" s="19" t="n">
        <v>50</v>
      </c>
      <c r="I20" s="19"/>
      <c r="J20" s="19"/>
      <c r="K20" s="19"/>
      <c r="L20" s="19"/>
      <c r="M20" s="19"/>
      <c r="N20" s="17" t="n">
        <f aca="false">IF(COUNT(C20:M20)=0,"",SUM(C20:M20))</f>
        <v>292</v>
      </c>
      <c r="O20" s="17" t="n">
        <f aca="false">IF(OR(N20="",$N$4-SUMIF(C20:M20,"欠",$C$4:$M$4)&lt;=0),"",ROUND(N20/($N$4-SUMIF(C20:M20,"欠",$C$4:$M$4))*100,0))</f>
        <v>97</v>
      </c>
      <c r="P20" s="17" t="str">
        <f aca="false">IF(O20="","",IF(O20&gt;=設定!$D$14,"A",IF(O20&gt;=設定!$E$14,"B","C")))</f>
        <v>A</v>
      </c>
      <c r="Q20" s="19" t="n">
        <v>41</v>
      </c>
      <c r="R20" s="19" t="n">
        <v>44</v>
      </c>
      <c r="S20" s="19" t="n">
        <v>40</v>
      </c>
      <c r="T20" s="19" t="n">
        <v>50</v>
      </c>
      <c r="U20" s="19" t="n">
        <v>50</v>
      </c>
      <c r="V20" s="19" t="n">
        <v>49</v>
      </c>
      <c r="W20" s="19"/>
      <c r="X20" s="19"/>
      <c r="Y20" s="19"/>
      <c r="Z20" s="19"/>
      <c r="AA20" s="17" t="n">
        <f aca="false">IF(COUNT(Q20:Z20)=0,"",SUM(Q20:Z20))</f>
        <v>274</v>
      </c>
      <c r="AB20" s="17" t="n">
        <f aca="false">IF(OR(AA20="",$AA$4-SUMIF(Q20:Z20,"欠",$Q$4:$Z$4)&lt;=0),"",ROUND(AA20/($AA$4-SUMIF(Q20:Z20,"欠",$Q$4:$Z$4))*100,0))</f>
        <v>91</v>
      </c>
      <c r="AC20" s="17" t="str">
        <f aca="false">IF(AB20="","",IF(AB20&gt;=設定!$D$14,"A",IF(AB20&gt;=設定!$E$14,"B","C")))</f>
        <v>A</v>
      </c>
      <c r="AD20" s="17" t="n">
        <f aca="false">IF(AND(N20="",AA20=""),"",IF(N20="",0,N20)+IF(AA20="",0,AA20))</f>
        <v>566</v>
      </c>
      <c r="AE20" s="17" t="n">
        <f aca="false">IF(AD20="","",IF($AD$4-SUMIF(C20:M20,"欠",$C$4:$M$4)-SUMIF(Q20:Z20,"欠",$Q$4:$Z$4)&lt;=0,"",ROUND(AD20/($AD$4-SUMIF(C20:M20,"欠",$C$4:$M$4)-SUMIF(Q20:Z20,"欠",$Q$4:$Z$4))*100,0)))</f>
        <v>94</v>
      </c>
      <c r="AF20" s="17" t="str">
        <f aca="false">IF(AE20="","",IF(AE20&gt;=設定!$D$14,"A",IF(AE20&gt;=設定!$E$14,"B","C")))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43</v>
      </c>
      <c r="D21" s="19" t="n">
        <v>50</v>
      </c>
      <c r="E21" s="19" t="n">
        <v>37</v>
      </c>
      <c r="F21" s="19" t="n">
        <v>37</v>
      </c>
      <c r="G21" s="19" t="n">
        <v>35</v>
      </c>
      <c r="H21" s="19" t="n">
        <v>42</v>
      </c>
      <c r="I21" s="19"/>
      <c r="J21" s="19"/>
      <c r="K21" s="19"/>
      <c r="L21" s="19"/>
      <c r="M21" s="19"/>
      <c r="N21" s="17" t="n">
        <f aca="false">IF(COUNT(C21:M21)=0,"",SUM(C21:M21))</f>
        <v>244</v>
      </c>
      <c r="O21" s="17" t="n">
        <f aca="false">IF(OR(N21="",$N$4-SUMIF(C21:M21,"欠",$C$4:$M$4)&lt;=0),"",ROUND(N21/($N$4-SUMIF(C21:M21,"欠",$C$4:$M$4))*100,0))</f>
        <v>81</v>
      </c>
      <c r="P21" s="17" t="str">
        <f aca="false">IF(O21="","",IF(O21&gt;=設定!$D$14,"A",IF(O21&gt;=設定!$E$14,"B","C")))</f>
        <v>B</v>
      </c>
      <c r="Q21" s="19" t="n">
        <v>32</v>
      </c>
      <c r="R21" s="19" t="n">
        <v>41</v>
      </c>
      <c r="S21" s="19" t="n">
        <v>36</v>
      </c>
      <c r="T21" s="19" t="n">
        <v>45</v>
      </c>
      <c r="U21" s="19" t="n">
        <v>37</v>
      </c>
      <c r="V21" s="19" t="n">
        <v>32</v>
      </c>
      <c r="W21" s="19"/>
      <c r="X21" s="19"/>
      <c r="Y21" s="19"/>
      <c r="Z21" s="19"/>
      <c r="AA21" s="17" t="n">
        <f aca="false">IF(COUNT(Q21:Z21)=0,"",SUM(Q21:Z21))</f>
        <v>223</v>
      </c>
      <c r="AB21" s="17" t="n">
        <f aca="false">IF(OR(AA21="",$AA$4-SUMIF(Q21:Z21,"欠",$Q$4:$Z$4)&lt;=0),"",ROUND(AA21/($AA$4-SUMIF(Q21:Z21,"欠",$Q$4:$Z$4))*100,0))</f>
        <v>74</v>
      </c>
      <c r="AC21" s="17" t="str">
        <f aca="false">IF(AB21="","",IF(AB21&gt;=設定!$D$14,"A",IF(AB21&gt;=設定!$E$14,"B","C")))</f>
        <v>B</v>
      </c>
      <c r="AD21" s="17" t="n">
        <f aca="false">IF(AND(N21="",AA21=""),"",IF(N21="",0,N21)+IF(AA21="",0,AA21))</f>
        <v>467</v>
      </c>
      <c r="AE21" s="17" t="n">
        <f aca="false">IF(AD21="","",IF($AD$4-SUMIF(C21:M21,"欠",$C$4:$M$4)-SUMIF(Q21:Z21,"欠",$Q$4:$Z$4)&lt;=0,"",ROUND(AD21/($AD$4-SUMIF(C21:M21,"欠",$C$4:$M$4)-SUMIF(Q21:Z21,"欠",$Q$4:$Z$4))*100,0)))</f>
        <v>78</v>
      </c>
      <c r="AF21" s="17" t="str">
        <f aca="false">IF(AE21="","",IF(AE21&gt;=設定!$D$14,"A",IF(AE21&gt;=設定!$E$14,"B","C")))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50</v>
      </c>
      <c r="D22" s="19" t="n">
        <v>50</v>
      </c>
      <c r="E22" s="19" t="n">
        <v>50</v>
      </c>
      <c r="F22" s="19" t="n">
        <v>50</v>
      </c>
      <c r="G22" s="19" t="n">
        <v>48</v>
      </c>
      <c r="H22" s="19" t="n">
        <v>50</v>
      </c>
      <c r="I22" s="19"/>
      <c r="J22" s="19"/>
      <c r="K22" s="19"/>
      <c r="L22" s="19"/>
      <c r="M22" s="19"/>
      <c r="N22" s="17" t="n">
        <f aca="false">IF(COUNT(C22:M22)=0,"",SUM(C22:M22))</f>
        <v>298</v>
      </c>
      <c r="O22" s="17" t="n">
        <f aca="false">IF(OR(N22="",$N$4-SUMIF(C22:M22,"欠",$C$4:$M$4)&lt;=0),"",ROUND(N22/($N$4-SUMIF(C22:M22,"欠",$C$4:$M$4))*100,0))</f>
        <v>99</v>
      </c>
      <c r="P22" s="17" t="str">
        <f aca="false">IF(O22="","",IF(O22&gt;=設定!$D$14,"A",IF(O22&gt;=設定!$E$14,"B","C")))</f>
        <v>A</v>
      </c>
      <c r="Q22" s="19" t="n">
        <v>49</v>
      </c>
      <c r="R22" s="19" t="n">
        <v>50</v>
      </c>
      <c r="S22" s="19" t="n">
        <v>47</v>
      </c>
      <c r="T22" s="19" t="n">
        <v>50</v>
      </c>
      <c r="U22" s="19" t="n">
        <v>50</v>
      </c>
      <c r="V22" s="19" t="n">
        <v>50</v>
      </c>
      <c r="W22" s="19"/>
      <c r="X22" s="19"/>
      <c r="Y22" s="19"/>
      <c r="Z22" s="19"/>
      <c r="AA22" s="17" t="n">
        <f aca="false">IF(COUNT(Q22:Z22)=0,"",SUM(Q22:Z22))</f>
        <v>296</v>
      </c>
      <c r="AB22" s="17" t="n">
        <f aca="false">IF(OR(AA22="",$AA$4-SUMIF(Q22:Z22,"欠",$Q$4:$Z$4)&lt;=0),"",ROUND(AA22/($AA$4-SUMIF(Q22:Z22,"欠",$Q$4:$Z$4))*100,0))</f>
        <v>99</v>
      </c>
      <c r="AC22" s="17" t="str">
        <f aca="false">IF(AB22="","",IF(AB22&gt;=設定!$D$14,"A",IF(AB22&gt;=設定!$E$14,"B","C")))</f>
        <v>A</v>
      </c>
      <c r="AD22" s="17" t="n">
        <f aca="false">IF(AND(N22="",AA22=""),"",IF(N22="",0,N22)+IF(AA22="",0,AA22))</f>
        <v>594</v>
      </c>
      <c r="AE22" s="17" t="n">
        <f aca="false">IF(AD22="","",IF($AD$4-SUMIF(C22:M22,"欠",$C$4:$M$4)-SUMIF(Q22:Z22,"欠",$Q$4:$Z$4)&lt;=0,"",ROUND(AD22/($AD$4-SUMIF(C22:M22,"欠",$C$4:$M$4)-SUMIF(Q22:Z22,"欠",$Q$4:$Z$4))*100,0)))</f>
        <v>99</v>
      </c>
      <c r="AF22" s="17" t="str">
        <f aca="false">IF(AE22="","",IF(AE22&gt;=設定!$D$14,"A",IF(AE22&gt;=設定!$E$14,"B","C")))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50</v>
      </c>
      <c r="D23" s="19" t="n">
        <v>50</v>
      </c>
      <c r="E23" s="19" t="n">
        <v>44</v>
      </c>
      <c r="F23" s="19" t="n">
        <v>48</v>
      </c>
      <c r="G23" s="19" t="n">
        <v>49</v>
      </c>
      <c r="H23" s="19" t="n">
        <v>48</v>
      </c>
      <c r="I23" s="19"/>
      <c r="J23" s="19"/>
      <c r="K23" s="19"/>
      <c r="L23" s="19"/>
      <c r="M23" s="19"/>
      <c r="N23" s="17" t="n">
        <f aca="false">IF(COUNT(C23:M23)=0,"",SUM(C23:M23))</f>
        <v>289</v>
      </c>
      <c r="O23" s="17" t="n">
        <f aca="false">IF(OR(N23="",$N$4-SUMIF(C23:M23,"欠",$C$4:$M$4)&lt;=0),"",ROUND(N23/($N$4-SUMIF(C23:M23,"欠",$C$4:$M$4))*100,0))</f>
        <v>96</v>
      </c>
      <c r="P23" s="17" t="str">
        <f aca="false">IF(O23="","",IF(O23&gt;=設定!$D$14,"A",IF(O23&gt;=設定!$E$14,"B","C")))</f>
        <v>A</v>
      </c>
      <c r="Q23" s="19" t="n">
        <v>40</v>
      </c>
      <c r="R23" s="19" t="n">
        <v>49</v>
      </c>
      <c r="S23" s="19" t="n">
        <v>44</v>
      </c>
      <c r="T23" s="19" t="n">
        <v>49</v>
      </c>
      <c r="U23" s="19" t="n">
        <v>43</v>
      </c>
      <c r="V23" s="19" t="n">
        <v>50</v>
      </c>
      <c r="W23" s="19"/>
      <c r="X23" s="19"/>
      <c r="Y23" s="19"/>
      <c r="Z23" s="19"/>
      <c r="AA23" s="17" t="n">
        <f aca="false">IF(COUNT(Q23:Z23)=0,"",SUM(Q23:Z23))</f>
        <v>275</v>
      </c>
      <c r="AB23" s="17" t="n">
        <f aca="false">IF(OR(AA23="",$AA$4-SUMIF(Q23:Z23,"欠",$Q$4:$Z$4)&lt;=0),"",ROUND(AA23/($AA$4-SUMIF(Q23:Z23,"欠",$Q$4:$Z$4))*100,0))</f>
        <v>92</v>
      </c>
      <c r="AC23" s="17" t="str">
        <f aca="false">IF(AB23="","",IF(AB23&gt;=設定!$D$14,"A",IF(AB23&gt;=設定!$E$14,"B","C")))</f>
        <v>A</v>
      </c>
      <c r="AD23" s="17" t="n">
        <f aca="false">IF(AND(N23="",AA23=""),"",IF(N23="",0,N23)+IF(AA23="",0,AA23))</f>
        <v>564</v>
      </c>
      <c r="AE23" s="17" t="n">
        <f aca="false">IF(AD23="","",IF($AD$4-SUMIF(C23:M23,"欠",$C$4:$M$4)-SUMIF(Q23:Z23,"欠",$Q$4:$Z$4)&lt;=0,"",ROUND(AD23/($AD$4-SUMIF(C23:M23,"欠",$C$4:$M$4)-SUMIF(Q23:Z23,"欠",$Q$4:$Z$4))*100,0)))</f>
        <v>94</v>
      </c>
      <c r="AF23" s="17" t="str">
        <f aca="false">IF(AE23="","",IF(AE23&gt;=設定!$D$14,"A",IF(AE23&gt;=設定!$E$14,"B","C")))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44</v>
      </c>
      <c r="D24" s="19" t="n">
        <v>37</v>
      </c>
      <c r="E24" s="19" t="n">
        <v>38</v>
      </c>
      <c r="F24" s="19" t="n">
        <v>36</v>
      </c>
      <c r="G24" s="19" t="n">
        <v>34</v>
      </c>
      <c r="H24" s="19" t="n">
        <v>33</v>
      </c>
      <c r="I24" s="19"/>
      <c r="J24" s="19"/>
      <c r="K24" s="19"/>
      <c r="L24" s="19"/>
      <c r="M24" s="19"/>
      <c r="N24" s="17" t="n">
        <f aca="false">IF(COUNT(C24:M24)=0,"",SUM(C24:M24))</f>
        <v>222</v>
      </c>
      <c r="O24" s="17" t="n">
        <f aca="false">IF(OR(N24="",$N$4-SUMIF(C24:M24,"欠",$C$4:$M$4)&lt;=0),"",ROUND(N24/($N$4-SUMIF(C24:M24,"欠",$C$4:$M$4))*100,0))</f>
        <v>74</v>
      </c>
      <c r="P24" s="17" t="str">
        <f aca="false">IF(O24="","",IF(O24&gt;=設定!$D$14,"A",IF(O24&gt;=設定!$E$14,"B","C")))</f>
        <v>B</v>
      </c>
      <c r="Q24" s="19" t="n">
        <v>32</v>
      </c>
      <c r="R24" s="19" t="n">
        <v>22</v>
      </c>
      <c r="S24" s="19" t="n">
        <v>21</v>
      </c>
      <c r="T24" s="19" t="n">
        <v>32</v>
      </c>
      <c r="U24" s="19" t="n">
        <v>32</v>
      </c>
      <c r="V24" s="19" t="n">
        <v>37</v>
      </c>
      <c r="W24" s="19"/>
      <c r="X24" s="19"/>
      <c r="Y24" s="19"/>
      <c r="Z24" s="19"/>
      <c r="AA24" s="17" t="n">
        <f aca="false">IF(COUNT(Q24:Z24)=0,"",SUM(Q24:Z24))</f>
        <v>176</v>
      </c>
      <c r="AB24" s="17" t="n">
        <f aca="false">IF(OR(AA24="",$AA$4-SUMIF(Q24:Z24,"欠",$Q$4:$Z$4)&lt;=0),"",ROUND(AA24/($AA$4-SUMIF(Q24:Z24,"欠",$Q$4:$Z$4))*100,0))</f>
        <v>59</v>
      </c>
      <c r="AC24" s="17" t="str">
        <f aca="false">IF(AB24="","",IF(AB24&gt;=設定!$D$14,"A",IF(AB24&gt;=設定!$E$14,"B","C")))</f>
        <v>C</v>
      </c>
      <c r="AD24" s="17" t="n">
        <f aca="false">IF(AND(N24="",AA24=""),"",IF(N24="",0,N24)+IF(AA24="",0,AA24))</f>
        <v>398</v>
      </c>
      <c r="AE24" s="17" t="n">
        <f aca="false">IF(AD24="","",IF($AD$4-SUMIF(C24:M24,"欠",$C$4:$M$4)-SUMIF(Q24:Z24,"欠",$Q$4:$Z$4)&lt;=0,"",ROUND(AD24/($AD$4-SUMIF(C24:M24,"欠",$C$4:$M$4)-SUMIF(Q24:Z24,"欠",$Q$4:$Z$4))*100,0)))</f>
        <v>66</v>
      </c>
      <c r="AF24" s="17" t="str">
        <f aca="false">IF(AE24="","",IF(AE24&gt;=設定!$D$14,"A",IF(AE24&gt;=設定!$E$14,"B","C")))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50</v>
      </c>
      <c r="D25" s="19" t="n">
        <v>49</v>
      </c>
      <c r="E25" s="19" t="n">
        <v>49</v>
      </c>
      <c r="F25" s="19" t="n">
        <v>42</v>
      </c>
      <c r="G25" s="19" t="n">
        <v>44</v>
      </c>
      <c r="H25" s="19" t="n">
        <v>47</v>
      </c>
      <c r="I25" s="19"/>
      <c r="J25" s="19"/>
      <c r="K25" s="19"/>
      <c r="L25" s="19"/>
      <c r="M25" s="19"/>
      <c r="N25" s="17" t="n">
        <f aca="false">IF(COUNT(C25:M25)=0,"",SUM(C25:M25))</f>
        <v>281</v>
      </c>
      <c r="O25" s="17" t="n">
        <f aca="false">IF(OR(N25="",$N$4-SUMIF(C25:M25,"欠",$C$4:$M$4)&lt;=0),"",ROUND(N25/($N$4-SUMIF(C25:M25,"欠",$C$4:$M$4))*100,0))</f>
        <v>94</v>
      </c>
      <c r="P25" s="17" t="str">
        <f aca="false">IF(O25="","",IF(O25&gt;=設定!$D$14,"A",IF(O25&gt;=設定!$E$14,"B","C")))</f>
        <v>A</v>
      </c>
      <c r="Q25" s="19" t="n">
        <v>36</v>
      </c>
      <c r="R25" s="19" t="n">
        <v>46</v>
      </c>
      <c r="S25" s="19" t="n">
        <v>45</v>
      </c>
      <c r="T25" s="19" t="n">
        <v>39</v>
      </c>
      <c r="U25" s="19" t="n">
        <v>41</v>
      </c>
      <c r="V25" s="19" t="n">
        <v>38</v>
      </c>
      <c r="W25" s="19"/>
      <c r="X25" s="19"/>
      <c r="Y25" s="19"/>
      <c r="Z25" s="19"/>
      <c r="AA25" s="17" t="n">
        <f aca="false">IF(COUNT(Q25:Z25)=0,"",SUM(Q25:Z25))</f>
        <v>245</v>
      </c>
      <c r="AB25" s="17" t="n">
        <f aca="false">IF(OR(AA25="",$AA$4-SUMIF(Q25:Z25,"欠",$Q$4:$Z$4)&lt;=0),"",ROUND(AA25/($AA$4-SUMIF(Q25:Z25,"欠",$Q$4:$Z$4))*100,0))</f>
        <v>82</v>
      </c>
      <c r="AC25" s="17" t="str">
        <f aca="false">IF(AB25="","",IF(AB25&gt;=設定!$D$14,"A",IF(AB25&gt;=設定!$E$14,"B","C")))</f>
        <v>B</v>
      </c>
      <c r="AD25" s="17" t="n">
        <f aca="false">IF(AND(N25="",AA25=""),"",IF(N25="",0,N25)+IF(AA25="",0,AA25))</f>
        <v>526</v>
      </c>
      <c r="AE25" s="17" t="n">
        <f aca="false">IF(AD25="","",IF($AD$4-SUMIF(C25:M25,"欠",$C$4:$M$4)-SUMIF(Q25:Z25,"欠",$Q$4:$Z$4)&lt;=0,"",ROUND(AD25/($AD$4-SUMIF(C25:M25,"欠",$C$4:$M$4)-SUMIF(Q25:Z25,"欠",$Q$4:$Z$4))*100,0)))</f>
        <v>88</v>
      </c>
      <c r="AF25" s="17" t="str">
        <f aca="false">IF(AE25="","",IF(AE25&gt;=設定!$D$14,"A",IF(AE25&gt;=設定!$E$14,"B","C")))</f>
        <v>B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38</v>
      </c>
      <c r="D26" s="19" t="n">
        <v>42</v>
      </c>
      <c r="E26" s="19" t="n">
        <v>45</v>
      </c>
      <c r="F26" s="19" t="n">
        <v>34</v>
      </c>
      <c r="G26" s="19" t="n">
        <v>42</v>
      </c>
      <c r="H26" s="19" t="n">
        <v>31</v>
      </c>
      <c r="I26" s="19"/>
      <c r="J26" s="19"/>
      <c r="K26" s="19"/>
      <c r="L26" s="19"/>
      <c r="M26" s="19"/>
      <c r="N26" s="17" t="n">
        <f aca="false">IF(COUNT(C26:M26)=0,"",SUM(C26:M26))</f>
        <v>232</v>
      </c>
      <c r="O26" s="17" t="n">
        <f aca="false">IF(OR(N26="",$N$4-SUMIF(C26:M26,"欠",$C$4:$M$4)&lt;=0),"",ROUND(N26/($N$4-SUMIF(C26:M26,"欠",$C$4:$M$4))*100,0))</f>
        <v>77</v>
      </c>
      <c r="P26" s="17" t="str">
        <f aca="false">IF(O26="","",IF(O26&gt;=設定!$D$14,"A",IF(O26&gt;=設定!$E$14,"B","C")))</f>
        <v>B</v>
      </c>
      <c r="Q26" s="19" t="n">
        <v>35</v>
      </c>
      <c r="R26" s="19" t="n">
        <v>36</v>
      </c>
      <c r="S26" s="19" t="n">
        <v>29</v>
      </c>
      <c r="T26" s="19" t="n">
        <v>33</v>
      </c>
      <c r="U26" s="19" t="n">
        <v>29</v>
      </c>
      <c r="V26" s="19" t="n">
        <v>33</v>
      </c>
      <c r="W26" s="19"/>
      <c r="X26" s="19"/>
      <c r="Y26" s="19"/>
      <c r="Z26" s="19"/>
      <c r="AA26" s="17" t="n">
        <f aca="false">IF(COUNT(Q26:Z26)=0,"",SUM(Q26:Z26))</f>
        <v>195</v>
      </c>
      <c r="AB26" s="17" t="n">
        <f aca="false">IF(OR(AA26="",$AA$4-SUMIF(Q26:Z26,"欠",$Q$4:$Z$4)&lt;=0),"",ROUND(AA26/($AA$4-SUMIF(Q26:Z26,"欠",$Q$4:$Z$4))*100,0))</f>
        <v>65</v>
      </c>
      <c r="AC26" s="17" t="str">
        <f aca="false">IF(AB26="","",IF(AB26&gt;=設定!$D$14,"A",IF(AB26&gt;=設定!$E$14,"B","C")))</f>
        <v>B</v>
      </c>
      <c r="AD26" s="17" t="n">
        <f aca="false">IF(AND(N26="",AA26=""),"",IF(N26="",0,N26)+IF(AA26="",0,AA26))</f>
        <v>427</v>
      </c>
      <c r="AE26" s="17" t="n">
        <f aca="false">IF(AD26="","",IF($AD$4-SUMIF(C26:M26,"欠",$C$4:$M$4)-SUMIF(Q26:Z26,"欠",$Q$4:$Z$4)&lt;=0,"",ROUND(AD26/($AD$4-SUMIF(C26:M26,"欠",$C$4:$M$4)-SUMIF(Q26:Z26,"欠",$Q$4:$Z$4))*100,0)))</f>
        <v>71</v>
      </c>
      <c r="AF26" s="17" t="str">
        <f aca="false">IF(AE26="","",IF(AE26&gt;=設定!$D$14,"A",IF(AE26&gt;=設定!$E$14,"B","C")))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44</v>
      </c>
      <c r="D27" s="20" t="s">
        <v>80</v>
      </c>
      <c r="E27" s="19" t="n">
        <v>49</v>
      </c>
      <c r="F27" s="19" t="n">
        <v>46</v>
      </c>
      <c r="G27" s="19" t="n">
        <v>47</v>
      </c>
      <c r="H27" s="19" t="n">
        <v>45</v>
      </c>
      <c r="I27" s="19"/>
      <c r="J27" s="19"/>
      <c r="K27" s="19"/>
      <c r="L27" s="19"/>
      <c r="M27" s="19"/>
      <c r="N27" s="17" t="n">
        <f aca="false">IF(COUNT(C27:M27)=0,"",SUM(C27:M27))</f>
        <v>231</v>
      </c>
      <c r="O27" s="17" t="n">
        <f aca="false">IF(OR(N27="",$N$4-SUMIF(C27:M27,"欠",$C$4:$M$4)&lt;=0),"",ROUND(N27/($N$4-SUMIF(C27:M27,"欠",$C$4:$M$4))*100,0))</f>
        <v>92</v>
      </c>
      <c r="P27" s="17" t="str">
        <f aca="false">IF(O27="","",IF(O27&gt;=設定!$D$14,"A",IF(O27&gt;=設定!$E$14,"B","C")))</f>
        <v>A</v>
      </c>
      <c r="Q27" s="19" t="n">
        <v>39</v>
      </c>
      <c r="R27" s="20" t="s">
        <v>80</v>
      </c>
      <c r="S27" s="19" t="n">
        <v>42</v>
      </c>
      <c r="T27" s="19" t="n">
        <v>42</v>
      </c>
      <c r="U27" s="19" t="n">
        <v>45</v>
      </c>
      <c r="V27" s="19" t="n">
        <v>40</v>
      </c>
      <c r="W27" s="19"/>
      <c r="X27" s="19"/>
      <c r="Y27" s="19"/>
      <c r="Z27" s="19"/>
      <c r="AA27" s="17" t="n">
        <f aca="false">IF(COUNT(Q27:Z27)=0,"",SUM(Q27:Z27))</f>
        <v>208</v>
      </c>
      <c r="AB27" s="17" t="n">
        <f aca="false">IF(OR(AA27="",$AA$4-SUMIF(Q27:Z27,"欠",$Q$4:$Z$4)&lt;=0),"",ROUND(AA27/($AA$4-SUMIF(Q27:Z27,"欠",$Q$4:$Z$4))*100,0))</f>
        <v>83</v>
      </c>
      <c r="AC27" s="17" t="str">
        <f aca="false">IF(AB27="","",IF(AB27&gt;=設定!$D$14,"A",IF(AB27&gt;=設定!$E$14,"B","C")))</f>
        <v>B</v>
      </c>
      <c r="AD27" s="17" t="n">
        <f aca="false">IF(AND(N27="",AA27=""),"",IF(N27="",0,N27)+IF(AA27="",0,AA27))</f>
        <v>439</v>
      </c>
      <c r="AE27" s="17" t="n">
        <f aca="false">IF(AD27="","",IF($AD$4-SUMIF(C27:M27,"欠",$C$4:$M$4)-SUMIF(Q27:Z27,"欠",$Q$4:$Z$4)&lt;=0,"",ROUND(AD27/($AD$4-SUMIF(C27:M27,"欠",$C$4:$M$4)-SUMIF(Q27:Z27,"欠",$Q$4:$Z$4))*100,0)))</f>
        <v>88</v>
      </c>
      <c r="AF27" s="17" t="str">
        <f aca="false">IF(AE27="","",IF(AE27&gt;=設定!$D$14,"A",IF(AE27&gt;=設定!$E$14,"B","C")))</f>
        <v>B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37</v>
      </c>
      <c r="D28" s="20" t="n">
        <v>35</v>
      </c>
      <c r="E28" s="19" t="n">
        <v>27</v>
      </c>
      <c r="F28" s="19" t="n">
        <v>34</v>
      </c>
      <c r="G28" s="19" t="n">
        <v>28</v>
      </c>
      <c r="H28" s="19" t="n">
        <v>24</v>
      </c>
      <c r="I28" s="19"/>
      <c r="J28" s="19"/>
      <c r="K28" s="19"/>
      <c r="L28" s="19"/>
      <c r="M28" s="19"/>
      <c r="N28" s="17" t="n">
        <f aca="false">IF(COUNT(C28:M28)=0,"",SUM(C28:M28))</f>
        <v>185</v>
      </c>
      <c r="O28" s="17" t="n">
        <f aca="false">IF(OR(N28="",$N$4-SUMIF(C28:M28,"欠",$C$4:$M$4)&lt;=0),"",ROUND(N28/($N$4-SUMIF(C28:M28,"欠",$C$4:$M$4))*100,0))</f>
        <v>62</v>
      </c>
      <c r="P28" s="17" t="str">
        <f aca="false">IF(O28="","",IF(O28&gt;=設定!$D$14,"A",IF(O28&gt;=設定!$E$14,"B","C")))</f>
        <v>B</v>
      </c>
      <c r="Q28" s="19" t="n">
        <v>29</v>
      </c>
      <c r="R28" s="20" t="n">
        <v>25</v>
      </c>
      <c r="S28" s="19" t="n">
        <v>31</v>
      </c>
      <c r="T28" s="19" t="n">
        <v>26</v>
      </c>
      <c r="U28" s="19" t="n">
        <v>25</v>
      </c>
      <c r="V28" s="19" t="n">
        <v>29</v>
      </c>
      <c r="W28" s="19"/>
      <c r="X28" s="19"/>
      <c r="Y28" s="19"/>
      <c r="Z28" s="19"/>
      <c r="AA28" s="17" t="n">
        <f aca="false">IF(COUNT(Q28:Z28)=0,"",SUM(Q28:Z28))</f>
        <v>165</v>
      </c>
      <c r="AB28" s="17" t="n">
        <f aca="false">IF(OR(AA28="",$AA$4-SUMIF(Q28:Z28,"欠",$Q$4:$Z$4)&lt;=0),"",ROUND(AA28/($AA$4-SUMIF(Q28:Z28,"欠",$Q$4:$Z$4))*100,0))</f>
        <v>55</v>
      </c>
      <c r="AC28" s="17" t="str">
        <f aca="false">IF(AB28="","",IF(AB28&gt;=設定!$D$14,"A",IF(AB28&gt;=設定!$E$14,"B","C")))</f>
        <v>C</v>
      </c>
      <c r="AD28" s="17" t="n">
        <f aca="false">IF(AND(N28="",AA28=""),"",IF(N28="",0,N28)+IF(AA28="",0,AA28))</f>
        <v>350</v>
      </c>
      <c r="AE28" s="17" t="n">
        <f aca="false">IF(AD28="","",IF($AD$4-SUMIF(C28:M28,"欠",$C$4:$M$4)-SUMIF(Q28:Z28,"欠",$Q$4:$Z$4)&lt;=0,"",ROUND(AD28/($AD$4-SUMIF(C28:M28,"欠",$C$4:$M$4)-SUMIF(Q28:Z28,"欠",$Q$4:$Z$4))*100,0)))</f>
        <v>58</v>
      </c>
      <c r="AF28" s="17" t="str">
        <f aca="false">IF(AE28="","",IF(AE28&gt;=設定!$D$14,"A",IF(AE28&gt;=設定!$E$14,"B","C")))</f>
        <v>C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29</v>
      </c>
      <c r="D29" s="20" t="n">
        <v>33</v>
      </c>
      <c r="E29" s="19" t="n">
        <v>45</v>
      </c>
      <c r="F29" s="19" t="n">
        <v>37</v>
      </c>
      <c r="G29" s="19" t="n">
        <v>33</v>
      </c>
      <c r="H29" s="19" t="n">
        <v>32</v>
      </c>
      <c r="I29" s="19"/>
      <c r="J29" s="19"/>
      <c r="K29" s="19"/>
      <c r="L29" s="19"/>
      <c r="M29" s="19"/>
      <c r="N29" s="17" t="n">
        <f aca="false">IF(COUNT(C29:M29)=0,"",SUM(C29:M29))</f>
        <v>209</v>
      </c>
      <c r="O29" s="17" t="n">
        <f aca="false">IF(OR(N29="",$N$4-SUMIF(C29:M29,"欠",$C$4:$M$4)&lt;=0),"",ROUND(N29/($N$4-SUMIF(C29:M29,"欠",$C$4:$M$4))*100,0))</f>
        <v>70</v>
      </c>
      <c r="P29" s="17" t="str">
        <f aca="false">IF(O29="","",IF(O29&gt;=設定!$D$14,"A",IF(O29&gt;=設定!$E$14,"B","C")))</f>
        <v>B</v>
      </c>
      <c r="Q29" s="19" t="n">
        <v>31</v>
      </c>
      <c r="R29" s="20" t="n">
        <v>29</v>
      </c>
      <c r="S29" s="19" t="n">
        <v>31</v>
      </c>
      <c r="T29" s="19" t="n">
        <v>34</v>
      </c>
      <c r="U29" s="19" t="n">
        <v>30</v>
      </c>
      <c r="V29" s="19" t="n">
        <v>32</v>
      </c>
      <c r="W29" s="19"/>
      <c r="X29" s="19"/>
      <c r="Y29" s="19"/>
      <c r="Z29" s="19"/>
      <c r="AA29" s="17" t="n">
        <f aca="false">IF(COUNT(Q29:Z29)=0,"",SUM(Q29:Z29))</f>
        <v>187</v>
      </c>
      <c r="AB29" s="17" t="n">
        <f aca="false">IF(OR(AA29="",$AA$4-SUMIF(Q29:Z29,"欠",$Q$4:$Z$4)&lt;=0),"",ROUND(AA29/($AA$4-SUMIF(Q29:Z29,"欠",$Q$4:$Z$4))*100,0))</f>
        <v>62</v>
      </c>
      <c r="AC29" s="17" t="str">
        <f aca="false">IF(AB29="","",IF(AB29&gt;=設定!$D$14,"A",IF(AB29&gt;=設定!$E$14,"B","C")))</f>
        <v>B</v>
      </c>
      <c r="AD29" s="17" t="n">
        <f aca="false">IF(AND(N29="",AA29=""),"",IF(N29="",0,N29)+IF(AA29="",0,AA29))</f>
        <v>396</v>
      </c>
      <c r="AE29" s="17" t="n">
        <f aca="false">IF(AD29="","",IF($AD$4-SUMIF(C29:M29,"欠",$C$4:$M$4)-SUMIF(Q29:Z29,"欠",$Q$4:$Z$4)&lt;=0,"",ROUND(AD29/($AD$4-SUMIF(C29:M29,"欠",$C$4:$M$4)-SUMIF(Q29:Z29,"欠",$Q$4:$Z$4))*100,0)))</f>
        <v>66</v>
      </c>
      <c r="AF29" s="17" t="str">
        <f aca="false">IF(AE29="","",IF(AE29&gt;=設定!$D$14,"A",IF(AE29&gt;=設定!$E$14,"B","C")))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47</v>
      </c>
      <c r="D30" s="20" t="n">
        <v>45</v>
      </c>
      <c r="E30" s="19" t="n">
        <v>39</v>
      </c>
      <c r="F30" s="19" t="n">
        <v>42</v>
      </c>
      <c r="G30" s="19" t="n">
        <v>40</v>
      </c>
      <c r="H30" s="19" t="n">
        <v>43</v>
      </c>
      <c r="I30" s="19"/>
      <c r="J30" s="19"/>
      <c r="K30" s="19"/>
      <c r="L30" s="19"/>
      <c r="M30" s="19"/>
      <c r="N30" s="17" t="n">
        <f aca="false">IF(COUNT(C30:M30)=0,"",SUM(C30:M30))</f>
        <v>256</v>
      </c>
      <c r="O30" s="17" t="n">
        <f aca="false">IF(OR(N30="",$N$4-SUMIF(C30:M30,"欠",$C$4:$M$4)&lt;=0),"",ROUND(N30/($N$4-SUMIF(C30:M30,"欠",$C$4:$M$4))*100,0))</f>
        <v>85</v>
      </c>
      <c r="P30" s="17" t="str">
        <f aca="false">IF(O30="","",IF(O30&gt;=設定!$D$14,"A",IF(O30&gt;=設定!$E$14,"B","C")))</f>
        <v>B</v>
      </c>
      <c r="Q30" s="19" t="n">
        <v>40</v>
      </c>
      <c r="R30" s="20" t="n">
        <v>38</v>
      </c>
      <c r="S30" s="19" t="n">
        <v>44</v>
      </c>
      <c r="T30" s="19" t="n">
        <v>34</v>
      </c>
      <c r="U30" s="19" t="n">
        <v>33</v>
      </c>
      <c r="V30" s="19" t="n">
        <v>32</v>
      </c>
      <c r="W30" s="19"/>
      <c r="X30" s="19"/>
      <c r="Y30" s="19"/>
      <c r="Z30" s="19"/>
      <c r="AA30" s="17" t="n">
        <f aca="false">IF(COUNT(Q30:Z30)=0,"",SUM(Q30:Z30))</f>
        <v>221</v>
      </c>
      <c r="AB30" s="17" t="n">
        <f aca="false">IF(OR(AA30="",$AA$4-SUMIF(Q30:Z30,"欠",$Q$4:$Z$4)&lt;=0),"",ROUND(AA30/($AA$4-SUMIF(Q30:Z30,"欠",$Q$4:$Z$4))*100,0))</f>
        <v>74</v>
      </c>
      <c r="AC30" s="17" t="str">
        <f aca="false">IF(AB30="","",IF(AB30&gt;=設定!$D$14,"A",IF(AB30&gt;=設定!$E$14,"B","C")))</f>
        <v>B</v>
      </c>
      <c r="AD30" s="17" t="n">
        <f aca="false">IF(AND(N30="",AA30=""),"",IF(N30="",0,N30)+IF(AA30="",0,AA30))</f>
        <v>477</v>
      </c>
      <c r="AE30" s="17" t="n">
        <f aca="false">IF(AD30="","",IF($AD$4-SUMIF(C30:M30,"欠",$C$4:$M$4)-SUMIF(Q30:Z30,"欠",$Q$4:$Z$4)&lt;=0,"",ROUND(AD30/($AD$4-SUMIF(C30:M30,"欠",$C$4:$M$4)-SUMIF(Q30:Z30,"欠",$Q$4:$Z$4))*100,0)))</f>
        <v>80</v>
      </c>
      <c r="AF30" s="17" t="str">
        <f aca="false">IF(AE30="","",IF(AE30&gt;=設定!$D$14,"A",IF(AE30&gt;=設定!$E$14,"B","C")))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40</v>
      </c>
      <c r="D31" s="20" t="n">
        <v>39</v>
      </c>
      <c r="E31" s="19" t="n">
        <v>40</v>
      </c>
      <c r="F31" s="19" t="n">
        <v>42</v>
      </c>
      <c r="G31" s="19" t="n">
        <v>34</v>
      </c>
      <c r="H31" s="19" t="n">
        <v>43</v>
      </c>
      <c r="I31" s="19"/>
      <c r="J31" s="19"/>
      <c r="K31" s="19"/>
      <c r="L31" s="19"/>
      <c r="M31" s="19"/>
      <c r="N31" s="17" t="n">
        <f aca="false">IF(COUNT(C31:M31)=0,"",SUM(C31:M31))</f>
        <v>238</v>
      </c>
      <c r="O31" s="17" t="n">
        <f aca="false">IF(OR(N31="",$N$4-SUMIF(C31:M31,"欠",$C$4:$M$4)&lt;=0),"",ROUND(N31/($N$4-SUMIF(C31:M31,"欠",$C$4:$M$4))*100,0))</f>
        <v>79</v>
      </c>
      <c r="P31" s="17" t="str">
        <f aca="false">IF(O31="","",IF(O31&gt;=設定!$D$14,"A",IF(O31&gt;=設定!$E$14,"B","C")))</f>
        <v>B</v>
      </c>
      <c r="Q31" s="19" t="n">
        <v>36</v>
      </c>
      <c r="R31" s="20" t="n">
        <v>32</v>
      </c>
      <c r="S31" s="19" t="n">
        <v>36</v>
      </c>
      <c r="T31" s="19" t="n">
        <v>37</v>
      </c>
      <c r="U31" s="19" t="n">
        <v>31</v>
      </c>
      <c r="V31" s="19" t="n">
        <v>28</v>
      </c>
      <c r="W31" s="19"/>
      <c r="X31" s="19"/>
      <c r="Y31" s="19"/>
      <c r="Z31" s="19"/>
      <c r="AA31" s="17" t="n">
        <f aca="false">IF(COUNT(Q31:Z31)=0,"",SUM(Q31:Z31))</f>
        <v>200</v>
      </c>
      <c r="AB31" s="17" t="n">
        <f aca="false">IF(OR(AA31="",$AA$4-SUMIF(Q31:Z31,"欠",$Q$4:$Z$4)&lt;=0),"",ROUND(AA31/($AA$4-SUMIF(Q31:Z31,"欠",$Q$4:$Z$4))*100,0))</f>
        <v>67</v>
      </c>
      <c r="AC31" s="17" t="str">
        <f aca="false">IF(AB31="","",IF(AB31&gt;=設定!$D$14,"A",IF(AB31&gt;=設定!$E$14,"B","C")))</f>
        <v>B</v>
      </c>
      <c r="AD31" s="17" t="n">
        <f aca="false">IF(AND(N31="",AA31=""),"",IF(N31="",0,N31)+IF(AA31="",0,AA31))</f>
        <v>438</v>
      </c>
      <c r="AE31" s="17" t="n">
        <f aca="false">IF(AD31="","",IF($AD$4-SUMIF(C31:M31,"欠",$C$4:$M$4)-SUMIF(Q31:Z31,"欠",$Q$4:$Z$4)&lt;=0,"",ROUND(AD31/($AD$4-SUMIF(C31:M31,"欠",$C$4:$M$4)-SUMIF(Q31:Z31,"欠",$Q$4:$Z$4))*100,0)))</f>
        <v>73</v>
      </c>
      <c r="AF31" s="17" t="str">
        <f aca="false">IF(AE31="","",IF(AE31&gt;=設定!$D$14,"A",IF(AE31&gt;=設定!$E$14,"B","C")))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37</v>
      </c>
      <c r="D32" s="20" t="n">
        <v>35</v>
      </c>
      <c r="E32" s="19" t="n">
        <v>32</v>
      </c>
      <c r="F32" s="19" t="n">
        <v>35</v>
      </c>
      <c r="G32" s="19" t="n">
        <v>40</v>
      </c>
      <c r="H32" s="19" t="n">
        <v>32</v>
      </c>
      <c r="I32" s="19"/>
      <c r="J32" s="19"/>
      <c r="K32" s="19"/>
      <c r="L32" s="19"/>
      <c r="M32" s="19"/>
      <c r="N32" s="17" t="n">
        <f aca="false">IF(COUNT(C32:M32)=0,"",SUM(C32:M32))</f>
        <v>211</v>
      </c>
      <c r="O32" s="17" t="n">
        <f aca="false">IF(OR(N32="",$N$4-SUMIF(C32:M32,"欠",$C$4:$M$4)&lt;=0),"",ROUND(N32/($N$4-SUMIF(C32:M32,"欠",$C$4:$M$4))*100,0))</f>
        <v>70</v>
      </c>
      <c r="P32" s="17" t="str">
        <f aca="false">IF(O32="","",IF(O32&gt;=設定!$D$14,"A",IF(O32&gt;=設定!$E$14,"B","C")))</f>
        <v>B</v>
      </c>
      <c r="Q32" s="19" t="n">
        <v>29</v>
      </c>
      <c r="R32" s="20" t="n">
        <v>35</v>
      </c>
      <c r="S32" s="19" t="n">
        <v>34</v>
      </c>
      <c r="T32" s="19" t="n">
        <v>28</v>
      </c>
      <c r="U32" s="19" t="n">
        <v>21</v>
      </c>
      <c r="V32" s="19" t="n">
        <v>20</v>
      </c>
      <c r="W32" s="19"/>
      <c r="X32" s="19"/>
      <c r="Y32" s="19"/>
      <c r="Z32" s="19"/>
      <c r="AA32" s="17" t="n">
        <f aca="false">IF(COUNT(Q32:Z32)=0,"",SUM(Q32:Z32))</f>
        <v>167</v>
      </c>
      <c r="AB32" s="17" t="n">
        <f aca="false">IF(OR(AA32="",$AA$4-SUMIF(Q32:Z32,"欠",$Q$4:$Z$4)&lt;=0),"",ROUND(AA32/($AA$4-SUMIF(Q32:Z32,"欠",$Q$4:$Z$4))*100,0))</f>
        <v>56</v>
      </c>
      <c r="AC32" s="17" t="str">
        <f aca="false">IF(AB32="","",IF(AB32&gt;=設定!$D$14,"A",IF(AB32&gt;=設定!$E$14,"B","C")))</f>
        <v>C</v>
      </c>
      <c r="AD32" s="17" t="n">
        <f aca="false">IF(AND(N32="",AA32=""),"",IF(N32="",0,N32)+IF(AA32="",0,AA32))</f>
        <v>378</v>
      </c>
      <c r="AE32" s="17" t="n">
        <f aca="false">IF(AD32="","",IF($AD$4-SUMIF(C32:M32,"欠",$C$4:$M$4)-SUMIF(Q32:Z32,"欠",$Q$4:$Z$4)&lt;=0,"",ROUND(AD32/($AD$4-SUMIF(C32:M32,"欠",$C$4:$M$4)-SUMIF(Q32:Z32,"欠",$Q$4:$Z$4))*100,0)))</f>
        <v>63</v>
      </c>
      <c r="AF32" s="17" t="str">
        <f aca="false">IF(AE32="","",IF(AE32&gt;=設定!$D$14,"A",IF(AE32&gt;=設定!$E$14,"B","C")))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50</v>
      </c>
      <c r="D33" s="20" t="n">
        <v>50</v>
      </c>
      <c r="E33" s="19" t="n">
        <v>50</v>
      </c>
      <c r="F33" s="19" t="n">
        <v>50</v>
      </c>
      <c r="G33" s="19" t="n">
        <v>49</v>
      </c>
      <c r="H33" s="19" t="n">
        <v>47</v>
      </c>
      <c r="I33" s="19"/>
      <c r="J33" s="19"/>
      <c r="K33" s="19"/>
      <c r="L33" s="19"/>
      <c r="M33" s="19"/>
      <c r="N33" s="17" t="n">
        <f aca="false">IF(COUNT(C33:M33)=0,"",SUM(C33:M33))</f>
        <v>296</v>
      </c>
      <c r="O33" s="17" t="n">
        <f aca="false">IF(OR(N33="",$N$4-SUMIF(C33:M33,"欠",$C$4:$M$4)&lt;=0),"",ROUND(N33/($N$4-SUMIF(C33:M33,"欠",$C$4:$M$4))*100,0))</f>
        <v>99</v>
      </c>
      <c r="P33" s="17" t="str">
        <f aca="false">IF(O33="","",IF(O33&gt;=設定!$D$14,"A",IF(O33&gt;=設定!$E$14,"B","C")))</f>
        <v>A</v>
      </c>
      <c r="Q33" s="19" t="n">
        <v>48</v>
      </c>
      <c r="R33" s="20" t="n">
        <v>35</v>
      </c>
      <c r="S33" s="19" t="n">
        <v>39</v>
      </c>
      <c r="T33" s="19" t="n">
        <v>50</v>
      </c>
      <c r="U33" s="19" t="n">
        <v>43</v>
      </c>
      <c r="V33" s="19" t="n">
        <v>48</v>
      </c>
      <c r="W33" s="19"/>
      <c r="X33" s="19"/>
      <c r="Y33" s="19"/>
      <c r="Z33" s="19"/>
      <c r="AA33" s="17" t="n">
        <f aca="false">IF(COUNT(Q33:Z33)=0,"",SUM(Q33:Z33))</f>
        <v>263</v>
      </c>
      <c r="AB33" s="17" t="n">
        <f aca="false">IF(OR(AA33="",$AA$4-SUMIF(Q33:Z33,"欠",$Q$4:$Z$4)&lt;=0),"",ROUND(AA33/($AA$4-SUMIF(Q33:Z33,"欠",$Q$4:$Z$4))*100,0))</f>
        <v>88</v>
      </c>
      <c r="AC33" s="17" t="str">
        <f aca="false">IF(AB33="","",IF(AB33&gt;=設定!$D$14,"A",IF(AB33&gt;=設定!$E$14,"B","C")))</f>
        <v>B</v>
      </c>
      <c r="AD33" s="17" t="n">
        <f aca="false">IF(AND(N33="",AA33=""),"",IF(N33="",0,N33)+IF(AA33="",0,AA33))</f>
        <v>559</v>
      </c>
      <c r="AE33" s="17" t="n">
        <f aca="false">IF(AD33="","",IF($AD$4-SUMIF(C33:M33,"欠",$C$4:$M$4)-SUMIF(Q33:Z33,"欠",$Q$4:$Z$4)&lt;=0,"",ROUND(AD33/($AD$4-SUMIF(C33:M33,"欠",$C$4:$M$4)-SUMIF(Q33:Z33,"欠",$Q$4:$Z$4))*100,0)))</f>
        <v>93</v>
      </c>
      <c r="AF33" s="17" t="str">
        <f aca="false">IF(AE33="","",IF(AE33&gt;=設定!$D$14,"A",IF(AE33&gt;=設定!$E$14,"B","C")))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42</v>
      </c>
      <c r="D34" s="20" t="n">
        <v>48</v>
      </c>
      <c r="E34" s="19" t="n">
        <v>42</v>
      </c>
      <c r="F34" s="19" t="n">
        <v>44</v>
      </c>
      <c r="G34" s="19" t="n">
        <v>44</v>
      </c>
      <c r="H34" s="19" t="n">
        <v>45</v>
      </c>
      <c r="I34" s="19"/>
      <c r="J34" s="19"/>
      <c r="K34" s="19"/>
      <c r="L34" s="19"/>
      <c r="M34" s="19"/>
      <c r="N34" s="17" t="n">
        <f aca="false">IF(COUNT(C34:M34)=0,"",SUM(C34:M34))</f>
        <v>265</v>
      </c>
      <c r="O34" s="17" t="n">
        <f aca="false">IF(OR(N34="",$N$4-SUMIF(C34:M34,"欠",$C$4:$M$4)&lt;=0),"",ROUND(N34/($N$4-SUMIF(C34:M34,"欠",$C$4:$M$4))*100,0))</f>
        <v>88</v>
      </c>
      <c r="P34" s="17" t="str">
        <f aca="false">IF(O34="","",IF(O34&gt;=設定!$D$14,"A",IF(O34&gt;=設定!$E$14,"B","C")))</f>
        <v>B</v>
      </c>
      <c r="Q34" s="19" t="n">
        <v>39</v>
      </c>
      <c r="R34" s="20" t="n">
        <v>43</v>
      </c>
      <c r="S34" s="19" t="n">
        <v>50</v>
      </c>
      <c r="T34" s="19" t="n">
        <v>44</v>
      </c>
      <c r="U34" s="19" t="n">
        <v>50</v>
      </c>
      <c r="V34" s="19" t="n">
        <v>38</v>
      </c>
      <c r="W34" s="19"/>
      <c r="X34" s="19"/>
      <c r="Y34" s="19"/>
      <c r="Z34" s="19"/>
      <c r="AA34" s="17" t="n">
        <f aca="false">IF(COUNT(Q34:Z34)=0,"",SUM(Q34:Z34))</f>
        <v>264</v>
      </c>
      <c r="AB34" s="17" t="n">
        <f aca="false">IF(OR(AA34="",$AA$4-SUMIF(Q34:Z34,"欠",$Q$4:$Z$4)&lt;=0),"",ROUND(AA34/($AA$4-SUMIF(Q34:Z34,"欠",$Q$4:$Z$4))*100,0))</f>
        <v>88</v>
      </c>
      <c r="AC34" s="17" t="str">
        <f aca="false">IF(AB34="","",IF(AB34&gt;=設定!$D$14,"A",IF(AB34&gt;=設定!$E$14,"B","C")))</f>
        <v>B</v>
      </c>
      <c r="AD34" s="17" t="n">
        <f aca="false">IF(AND(N34="",AA34=""),"",IF(N34="",0,N34)+IF(AA34="",0,AA34))</f>
        <v>529</v>
      </c>
      <c r="AE34" s="17" t="n">
        <f aca="false">IF(AD34="","",IF($AD$4-SUMIF(C34:M34,"欠",$C$4:$M$4)-SUMIF(Q34:Z34,"欠",$Q$4:$Z$4)&lt;=0,"",ROUND(AD34/($AD$4-SUMIF(C34:M34,"欠",$C$4:$M$4)-SUMIF(Q34:Z34,"欠",$Q$4:$Z$4))*100,0)))</f>
        <v>88</v>
      </c>
      <c r="AF34" s="17" t="str">
        <f aca="false">IF(AE34="","",IF(AE34&gt;=設定!$D$14,"A",IF(AE34&gt;=設定!$E$14,"B","C")))</f>
        <v>B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45</v>
      </c>
      <c r="D35" s="20" t="n">
        <v>37</v>
      </c>
      <c r="E35" s="19" t="n">
        <v>40</v>
      </c>
      <c r="F35" s="19" t="n">
        <v>38</v>
      </c>
      <c r="G35" s="19" t="n">
        <v>33</v>
      </c>
      <c r="H35" s="19" t="n">
        <v>48</v>
      </c>
      <c r="I35" s="19"/>
      <c r="J35" s="19"/>
      <c r="K35" s="19"/>
      <c r="L35" s="19"/>
      <c r="M35" s="19"/>
      <c r="N35" s="17" t="n">
        <f aca="false">IF(COUNT(C35:M35)=0,"",SUM(C35:M35))</f>
        <v>241</v>
      </c>
      <c r="O35" s="17" t="n">
        <f aca="false">IF(OR(N35="",$N$4-SUMIF(C35:M35,"欠",$C$4:$M$4)&lt;=0),"",ROUND(N35/($N$4-SUMIF(C35:M35,"欠",$C$4:$M$4))*100,0))</f>
        <v>80</v>
      </c>
      <c r="P35" s="17" t="str">
        <f aca="false">IF(O35="","",IF(O35&gt;=設定!$D$14,"A",IF(O35&gt;=設定!$E$14,"B","C")))</f>
        <v>B</v>
      </c>
      <c r="Q35" s="19" t="n">
        <v>35</v>
      </c>
      <c r="R35" s="20" t="n">
        <v>32</v>
      </c>
      <c r="S35" s="19" t="n">
        <v>39</v>
      </c>
      <c r="T35" s="19" t="n">
        <v>36</v>
      </c>
      <c r="U35" s="19" t="n">
        <v>47</v>
      </c>
      <c r="V35" s="19" t="n">
        <v>36</v>
      </c>
      <c r="W35" s="19"/>
      <c r="X35" s="19"/>
      <c r="Y35" s="19"/>
      <c r="Z35" s="19"/>
      <c r="AA35" s="17" t="n">
        <f aca="false">IF(COUNT(Q35:Z35)=0,"",SUM(Q35:Z35))</f>
        <v>225</v>
      </c>
      <c r="AB35" s="17" t="n">
        <f aca="false">IF(OR(AA35="",$AA$4-SUMIF(Q35:Z35,"欠",$Q$4:$Z$4)&lt;=0),"",ROUND(AA35/($AA$4-SUMIF(Q35:Z35,"欠",$Q$4:$Z$4))*100,0))</f>
        <v>75</v>
      </c>
      <c r="AC35" s="17" t="str">
        <f aca="false">IF(AB35="","",IF(AB35&gt;=設定!$D$14,"A",IF(AB35&gt;=設定!$E$14,"B","C")))</f>
        <v>B</v>
      </c>
      <c r="AD35" s="17" t="n">
        <f aca="false">IF(AND(N35="",AA35=""),"",IF(N35="",0,N35)+IF(AA35="",0,AA35))</f>
        <v>466</v>
      </c>
      <c r="AE35" s="17" t="n">
        <f aca="false">IF(AD35="","",IF($AD$4-SUMIF(C35:M35,"欠",$C$4:$M$4)-SUMIF(Q35:Z35,"欠",$Q$4:$Z$4)&lt;=0,"",ROUND(AD35/($AD$4-SUMIF(C35:M35,"欠",$C$4:$M$4)-SUMIF(Q35:Z35,"欠",$Q$4:$Z$4))*100,0)))</f>
        <v>78</v>
      </c>
      <c r="AF35" s="17" t="str">
        <f aca="false">IF(AE35="","",IF(AE35&gt;=設定!$D$14,"A",IF(AE35&gt;=設定!$E$14,"B","C")))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48</v>
      </c>
      <c r="D36" s="20" t="n">
        <v>50</v>
      </c>
      <c r="E36" s="19" t="n">
        <v>50</v>
      </c>
      <c r="F36" s="19" t="n">
        <v>50</v>
      </c>
      <c r="G36" s="19" t="n">
        <v>50</v>
      </c>
      <c r="H36" s="19" t="n">
        <v>50</v>
      </c>
      <c r="I36" s="19"/>
      <c r="J36" s="19"/>
      <c r="K36" s="19"/>
      <c r="L36" s="19"/>
      <c r="M36" s="19"/>
      <c r="N36" s="17" t="n">
        <f aca="false">IF(COUNT(C36:M36)=0,"",SUM(C36:M36))</f>
        <v>298</v>
      </c>
      <c r="O36" s="17" t="n">
        <f aca="false">IF(OR(N36="",$N$4-SUMIF(C36:M36,"欠",$C$4:$M$4)&lt;=0),"",ROUND(N36/($N$4-SUMIF(C36:M36,"欠",$C$4:$M$4))*100,0))</f>
        <v>99</v>
      </c>
      <c r="P36" s="17" t="str">
        <f aca="false">IF(O36="","",IF(O36&gt;=設定!$D$14,"A",IF(O36&gt;=設定!$E$14,"B","C")))</f>
        <v>A</v>
      </c>
      <c r="Q36" s="19" t="n">
        <v>45</v>
      </c>
      <c r="R36" s="20" t="n">
        <v>44</v>
      </c>
      <c r="S36" s="19" t="n">
        <v>50</v>
      </c>
      <c r="T36" s="19" t="n">
        <v>39</v>
      </c>
      <c r="U36" s="19" t="n">
        <v>50</v>
      </c>
      <c r="V36" s="19" t="n">
        <v>49</v>
      </c>
      <c r="W36" s="19"/>
      <c r="X36" s="19"/>
      <c r="Y36" s="19"/>
      <c r="Z36" s="19"/>
      <c r="AA36" s="17" t="n">
        <f aca="false">IF(COUNT(Q36:Z36)=0,"",SUM(Q36:Z36))</f>
        <v>277</v>
      </c>
      <c r="AB36" s="17" t="n">
        <f aca="false">IF(OR(AA36="",$AA$4-SUMIF(Q36:Z36,"欠",$Q$4:$Z$4)&lt;=0),"",ROUND(AA36/($AA$4-SUMIF(Q36:Z36,"欠",$Q$4:$Z$4))*100,0))</f>
        <v>92</v>
      </c>
      <c r="AC36" s="17" t="str">
        <f aca="false">IF(AB36="","",IF(AB36&gt;=設定!$D$14,"A",IF(AB36&gt;=設定!$E$14,"B","C")))</f>
        <v>A</v>
      </c>
      <c r="AD36" s="17" t="n">
        <f aca="false">IF(AND(N36="",AA36=""),"",IF(N36="",0,N36)+IF(AA36="",0,AA36))</f>
        <v>575</v>
      </c>
      <c r="AE36" s="17" t="n">
        <f aca="false">IF(AD36="","",IF($AD$4-SUMIF(C36:M36,"欠",$C$4:$M$4)-SUMIF(Q36:Z36,"欠",$Q$4:$Z$4)&lt;=0,"",ROUND(AD36/($AD$4-SUMIF(C36:M36,"欠",$C$4:$M$4)-SUMIF(Q36:Z36,"欠",$Q$4:$Z$4))*100,0)))</f>
        <v>96</v>
      </c>
      <c r="AF36" s="17" t="str">
        <f aca="false">IF(AE36="","",IF(AE36&gt;=設定!$D$14,"A",IF(AE36&gt;=設定!$E$14,"B","C")))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41</v>
      </c>
      <c r="D37" s="20" t="n">
        <v>45</v>
      </c>
      <c r="E37" s="19" t="n">
        <v>41</v>
      </c>
      <c r="F37" s="19" t="n">
        <v>45</v>
      </c>
      <c r="G37" s="19" t="n">
        <v>50</v>
      </c>
      <c r="H37" s="19" t="n">
        <v>41</v>
      </c>
      <c r="I37" s="19"/>
      <c r="J37" s="19"/>
      <c r="K37" s="19"/>
      <c r="L37" s="19"/>
      <c r="M37" s="19"/>
      <c r="N37" s="17" t="n">
        <f aca="false">IF(COUNT(C37:M37)=0,"",SUM(C37:M37))</f>
        <v>263</v>
      </c>
      <c r="O37" s="17" t="n">
        <f aca="false">IF(OR(N37="",$N$4-SUMIF(C37:M37,"欠",$C$4:$M$4)&lt;=0),"",ROUND(N37/($N$4-SUMIF(C37:M37,"欠",$C$4:$M$4))*100,0))</f>
        <v>88</v>
      </c>
      <c r="P37" s="17" t="str">
        <f aca="false">IF(O37="","",IF(O37&gt;=設定!$D$14,"A",IF(O37&gt;=設定!$E$14,"B","C")))</f>
        <v>B</v>
      </c>
      <c r="Q37" s="19" t="n">
        <v>36</v>
      </c>
      <c r="R37" s="20" t="n">
        <v>35</v>
      </c>
      <c r="S37" s="19" t="n">
        <v>35</v>
      </c>
      <c r="T37" s="19" t="n">
        <v>37</v>
      </c>
      <c r="U37" s="19" t="n">
        <v>32</v>
      </c>
      <c r="V37" s="19" t="n">
        <v>33</v>
      </c>
      <c r="W37" s="19"/>
      <c r="X37" s="19"/>
      <c r="Y37" s="19"/>
      <c r="Z37" s="19"/>
      <c r="AA37" s="17" t="n">
        <f aca="false">IF(COUNT(Q37:Z37)=0,"",SUM(Q37:Z37))</f>
        <v>208</v>
      </c>
      <c r="AB37" s="17" t="n">
        <f aca="false">IF(OR(AA37="",$AA$4-SUMIF(Q37:Z37,"欠",$Q$4:$Z$4)&lt;=0),"",ROUND(AA37/($AA$4-SUMIF(Q37:Z37,"欠",$Q$4:$Z$4))*100,0))</f>
        <v>69</v>
      </c>
      <c r="AC37" s="17" t="str">
        <f aca="false">IF(AB37="","",IF(AB37&gt;=設定!$D$14,"A",IF(AB37&gt;=設定!$E$14,"B","C")))</f>
        <v>B</v>
      </c>
      <c r="AD37" s="17" t="n">
        <f aca="false">IF(AND(N37="",AA37=""),"",IF(N37="",0,N37)+IF(AA37="",0,AA37))</f>
        <v>471</v>
      </c>
      <c r="AE37" s="17" t="n">
        <f aca="false">IF(AD37="","",IF($AD$4-SUMIF(C37:M37,"欠",$C$4:$M$4)-SUMIF(Q37:Z37,"欠",$Q$4:$Z$4)&lt;=0,"",ROUND(AD37/($AD$4-SUMIF(C37:M37,"欠",$C$4:$M$4)-SUMIF(Q37:Z37,"欠",$Q$4:$Z$4))*100,0)))</f>
        <v>79</v>
      </c>
      <c r="AF37" s="17" t="str">
        <f aca="false">IF(AE37="","",IF(AE37&gt;=設定!$D$14,"A",IF(AE37&gt;=設定!$E$14,"B","C")))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42</v>
      </c>
      <c r="D38" s="20" t="n">
        <v>38</v>
      </c>
      <c r="E38" s="19" t="n">
        <v>39</v>
      </c>
      <c r="F38" s="19" t="n">
        <v>35</v>
      </c>
      <c r="G38" s="19" t="n">
        <v>36</v>
      </c>
      <c r="H38" s="19" t="n">
        <v>38</v>
      </c>
      <c r="I38" s="19"/>
      <c r="J38" s="19"/>
      <c r="K38" s="19"/>
      <c r="L38" s="19"/>
      <c r="M38" s="19"/>
      <c r="N38" s="17" t="n">
        <f aca="false">IF(COUNT(C38:M38)=0,"",SUM(C38:M38))</f>
        <v>228</v>
      </c>
      <c r="O38" s="17" t="n">
        <f aca="false">IF(OR(N38="",$N$4-SUMIF(C38:M38,"欠",$C$4:$M$4)&lt;=0),"",ROUND(N38/($N$4-SUMIF(C38:M38,"欠",$C$4:$M$4))*100,0))</f>
        <v>76</v>
      </c>
      <c r="P38" s="17" t="str">
        <f aca="false">IF(O38="","",IF(O38&gt;=設定!$D$14,"A",IF(O38&gt;=設定!$E$14,"B","C")))</f>
        <v>B</v>
      </c>
      <c r="Q38" s="19" t="n">
        <v>34</v>
      </c>
      <c r="R38" s="20" t="n">
        <v>34</v>
      </c>
      <c r="S38" s="19" t="n">
        <v>28</v>
      </c>
      <c r="T38" s="19" t="n">
        <v>33</v>
      </c>
      <c r="U38" s="19" t="n">
        <v>45</v>
      </c>
      <c r="V38" s="19" t="n">
        <v>28</v>
      </c>
      <c r="W38" s="19"/>
      <c r="X38" s="19"/>
      <c r="Y38" s="19"/>
      <c r="Z38" s="19"/>
      <c r="AA38" s="17" t="n">
        <f aca="false">IF(COUNT(Q38:Z38)=0,"",SUM(Q38:Z38))</f>
        <v>202</v>
      </c>
      <c r="AB38" s="17" t="n">
        <f aca="false">IF(OR(AA38="",$AA$4-SUMIF(Q38:Z38,"欠",$Q$4:$Z$4)&lt;=0),"",ROUND(AA38/($AA$4-SUMIF(Q38:Z38,"欠",$Q$4:$Z$4))*100,0))</f>
        <v>67</v>
      </c>
      <c r="AC38" s="17" t="str">
        <f aca="false">IF(AB38="","",IF(AB38&gt;=設定!$D$14,"A",IF(AB38&gt;=設定!$E$14,"B","C")))</f>
        <v>B</v>
      </c>
      <c r="AD38" s="17" t="n">
        <f aca="false">IF(AND(N38="",AA38=""),"",IF(N38="",0,N38)+IF(AA38="",0,AA38))</f>
        <v>430</v>
      </c>
      <c r="AE38" s="17" t="n">
        <f aca="false">IF(AD38="","",IF($AD$4-SUMIF(C38:M38,"欠",$C$4:$M$4)-SUMIF(Q38:Z38,"欠",$Q$4:$Z$4)&lt;=0,"",ROUND(AD38/($AD$4-SUMIF(C38:M38,"欠",$C$4:$M$4)-SUMIF(Q38:Z38,"欠",$Q$4:$Z$4))*100,0)))</f>
        <v>72</v>
      </c>
      <c r="AF38" s="17" t="str">
        <f aca="false">IF(AE38="","",IF(AE38&gt;=設定!$D$14,"A",IF(AE38&gt;=設定!$E$14,"B","C")))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44</v>
      </c>
      <c r="D39" s="20" t="n">
        <v>42</v>
      </c>
      <c r="E39" s="19" t="n">
        <v>47</v>
      </c>
      <c r="F39" s="19" t="n">
        <v>44</v>
      </c>
      <c r="G39" s="19" t="n">
        <v>44</v>
      </c>
      <c r="H39" s="19" t="n">
        <v>45</v>
      </c>
      <c r="I39" s="19"/>
      <c r="J39" s="19"/>
      <c r="K39" s="19"/>
      <c r="L39" s="19"/>
      <c r="M39" s="19"/>
      <c r="N39" s="17" t="n">
        <f aca="false">IF(COUNT(C39:M39)=0,"",SUM(C39:M39))</f>
        <v>266</v>
      </c>
      <c r="O39" s="17" t="n">
        <f aca="false">IF(OR(N39="",$N$4-SUMIF(C39:M39,"欠",$C$4:$M$4)&lt;=0),"",ROUND(N39/($N$4-SUMIF(C39:M39,"欠",$C$4:$M$4))*100,0))</f>
        <v>89</v>
      </c>
      <c r="P39" s="17" t="str">
        <f aca="false">IF(O39="","",IF(O39&gt;=設定!$D$14,"A",IF(O39&gt;=設定!$E$14,"B","C")))</f>
        <v>B</v>
      </c>
      <c r="Q39" s="19" t="n">
        <v>45</v>
      </c>
      <c r="R39" s="20" t="n">
        <v>43</v>
      </c>
      <c r="S39" s="19" t="n">
        <v>42</v>
      </c>
      <c r="T39" s="19" t="n">
        <v>42</v>
      </c>
      <c r="U39" s="19" t="n">
        <v>41</v>
      </c>
      <c r="V39" s="19" t="n">
        <v>47</v>
      </c>
      <c r="W39" s="19"/>
      <c r="X39" s="19"/>
      <c r="Y39" s="19"/>
      <c r="Z39" s="19"/>
      <c r="AA39" s="17" t="n">
        <f aca="false">IF(COUNT(Q39:Z39)=0,"",SUM(Q39:Z39))</f>
        <v>260</v>
      </c>
      <c r="AB39" s="17" t="n">
        <f aca="false">IF(OR(AA39="",$AA$4-SUMIF(Q39:Z39,"欠",$Q$4:$Z$4)&lt;=0),"",ROUND(AA39/($AA$4-SUMIF(Q39:Z39,"欠",$Q$4:$Z$4))*100,0))</f>
        <v>87</v>
      </c>
      <c r="AC39" s="17" t="str">
        <f aca="false">IF(AB39="","",IF(AB39&gt;=設定!$D$14,"A",IF(AB39&gt;=設定!$E$14,"B","C")))</f>
        <v>B</v>
      </c>
      <c r="AD39" s="17" t="n">
        <f aca="false">IF(AND(N39="",AA39=""),"",IF(N39="",0,N39)+IF(AA39="",0,AA39))</f>
        <v>526</v>
      </c>
      <c r="AE39" s="17" t="n">
        <f aca="false">IF(AD39="","",IF($AD$4-SUMIF(C39:M39,"欠",$C$4:$M$4)-SUMIF(Q39:Z39,"欠",$Q$4:$Z$4)&lt;=0,"",ROUND(AD39/($AD$4-SUMIF(C39:M39,"欠",$C$4:$M$4)-SUMIF(Q39:Z39,"欠",$Q$4:$Z$4))*100,0)))</f>
        <v>88</v>
      </c>
      <c r="AF39" s="17" t="str">
        <f aca="false">IF(AE39="","",IF(AE39&gt;=設定!$D$14,"A",IF(AE39&gt;=設定!$E$14,"B","C")))</f>
        <v>B</v>
      </c>
    </row>
    <row r="40" s="42" customFormat="true" ht="19.5" hidden="false" customHeight="true" outlineLevel="0" collapsed="false">
      <c r="A40" s="40"/>
      <c r="B40" s="41" t="s">
        <v>81</v>
      </c>
      <c r="C40" s="41" t="n">
        <f aca="false">IF(COUNT(C5:C39)=0,"",ROUND(AVERAGE(C5:C39),1))</f>
        <v>42.1</v>
      </c>
      <c r="D40" s="41" t="n">
        <f aca="false">IF(COUNT(D5:D39)=0,"",ROUND(AVERAGE(D5:D39),1))</f>
        <v>43.1</v>
      </c>
      <c r="E40" s="41" t="n">
        <f aca="false">IF(COUNT(E5:E39)=0,"",ROUND(AVERAGE(E5:E39),1))</f>
        <v>41.8</v>
      </c>
      <c r="F40" s="41" t="n">
        <f aca="false">IF(COUNT(F5:F39)=0,"",ROUND(AVERAGE(F5:F39),1))</f>
        <v>41.4</v>
      </c>
      <c r="G40" s="41" t="n">
        <f aca="false">IF(COUNT(G5:G39)=0,"",ROUND(AVERAGE(G5:G39),1))</f>
        <v>41.1</v>
      </c>
      <c r="H40" s="41" t="n">
        <f aca="false">IF(COUNT(H5:H39)=0,"",ROUND(AVERAGE(H5:H39),1))</f>
        <v>42</v>
      </c>
      <c r="I40" s="41" t="str">
        <f aca="false">IF(COUNT(I5:I39)=0,"",ROUND(AVERAGE(I5:I39),1))</f>
        <v/>
      </c>
      <c r="J40" s="41" t="str">
        <f aca="false">IF(COUNT(J5:J39)=0,"",ROUND(AVERAGE(J5:J39),1))</f>
        <v/>
      </c>
      <c r="K40" s="41" t="str">
        <f aca="false">IF(COUNT(K5:K39)=0,"",ROUND(AVERAGE(K5:K39),1))</f>
        <v/>
      </c>
      <c r="L40" s="41" t="str">
        <f aca="false">IF(COUNT(L5:L39)=0,"",ROUND(AVERAGE(L5:L39),1))</f>
        <v/>
      </c>
      <c r="M40" s="41" t="str">
        <f aca="false">IF(COUNT(M5:M39)=0,"",ROUND(AVERAGE(M5:M39),1))</f>
        <v/>
      </c>
      <c r="N40" s="41" t="n">
        <f aca="false">IF(COUNT(N5:N39)=0,"",ROUND(AVERAGE(N5:N39),1))</f>
        <v>250.1</v>
      </c>
      <c r="O40" s="41" t="n">
        <f aca="false">IF(COUNT(O5:O39)=0,"",ROUND(AVERAGE(O5:O39),1))</f>
        <v>83.8</v>
      </c>
      <c r="P40" s="41"/>
      <c r="Q40" s="41" t="n">
        <f aca="false">IF(COUNT(Q5:Q39)=0,"",ROUND(AVERAGE(Q5:Q39),1))</f>
        <v>37.2</v>
      </c>
      <c r="R40" s="41" t="n">
        <f aca="false">IF(COUNT(R5:R39)=0,"",ROUND(AVERAGE(R5:R39),1))</f>
        <v>37.6</v>
      </c>
      <c r="S40" s="41" t="n">
        <f aca="false">IF(COUNT(S5:S39)=0,"",ROUND(AVERAGE(S5:S39),1))</f>
        <v>37.4</v>
      </c>
      <c r="T40" s="41" t="n">
        <f aca="false">IF(COUNT(T5:T39)=0,"",ROUND(AVERAGE(T5:T39),1))</f>
        <v>38.4</v>
      </c>
      <c r="U40" s="41" t="n">
        <f aca="false">IF(COUNT(U5:U39)=0,"",ROUND(AVERAGE(U5:U39),1))</f>
        <v>38.8</v>
      </c>
      <c r="V40" s="41" t="n">
        <f aca="false">IF(COUNT(V5:V39)=0,"",ROUND(AVERAGE(V5:V39),1))</f>
        <v>37.4</v>
      </c>
      <c r="W40" s="41" t="str">
        <f aca="false">IF(COUNT(W5:W39)=0,"",ROUND(AVERAGE(W5:W39),1))</f>
        <v/>
      </c>
      <c r="X40" s="41" t="str">
        <f aca="false">IF(COUNT(X5:X39)=0,"",ROUND(AVERAGE(X5:X39),1))</f>
        <v/>
      </c>
      <c r="Y40" s="41" t="str">
        <f aca="false">IF(COUNT(Y5:Y39)=0,"",ROUND(AVERAGE(Y5:Y39),1))</f>
        <v/>
      </c>
      <c r="Z40" s="41" t="str">
        <f aca="false">IF(COUNT(Z5:Z39)=0,"",ROUND(AVERAGE(Z5:Z39),1))</f>
        <v/>
      </c>
      <c r="AA40" s="41" t="n">
        <f aca="false">IF(COUNT(AA5:AA39)=0,"",ROUND(AVERAGE(AA5:AA39),1))</f>
        <v>225.8</v>
      </c>
      <c r="AB40" s="41" t="n">
        <f aca="false">IF(COUNT(AB5:AB39)=0,"",ROUND(AVERAGE(AB5:AB39),1))</f>
        <v>75.6</v>
      </c>
      <c r="AC40" s="41"/>
      <c r="AD40" s="41" t="n">
        <f aca="false">IF(COUNT(AD5:AD39)=0,"",ROUND(AVERAGE(AD5:AD39),1))</f>
        <v>475.9</v>
      </c>
      <c r="AE40" s="41" t="n">
        <f aca="false">IF(COUNT(AE5:AE39)=0,"",ROUND(AVERAGE(AE5:AE39),1))</f>
        <v>79.8</v>
      </c>
      <c r="AF40" s="41"/>
    </row>
    <row r="41" s="42" customFormat="true" ht="19.5" hidden="false" customHeight="true" outlineLevel="0" collapsed="false">
      <c r="A41" s="41"/>
      <c r="B41" s="41" t="s">
        <v>82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f aca="false">COUNTIF(P5:P39,"A")</f>
        <v>12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 t="n">
        <f aca="false">COUNTIF(AC5:AC39,"A")</f>
        <v>5</v>
      </c>
      <c r="AD41" s="41"/>
      <c r="AE41" s="41"/>
      <c r="AF41" s="41" t="n">
        <f aca="false">COUNTIF(AF5:AF39,"A")</f>
        <v>8</v>
      </c>
    </row>
    <row r="42" s="42" customFormat="true" ht="19.5" hidden="false" customHeight="true" outlineLevel="0" collapsed="false">
      <c r="A42" s="41"/>
      <c r="B42" s="41" t="s">
        <v>83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 t="n">
        <f aca="false">COUNTIF(P5:P39,"B")</f>
        <v>22</v>
      </c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 t="n">
        <f aca="false">COUNTIF(AC5:AC39,"B")</f>
        <v>24</v>
      </c>
      <c r="AD42" s="41"/>
      <c r="AE42" s="41"/>
      <c r="AF42" s="41" t="n">
        <f aca="false">COUNTIF(AF5:AF39,"B")</f>
        <v>24</v>
      </c>
    </row>
    <row r="43" s="42" customFormat="true" ht="19.5" hidden="false" customHeight="true" outlineLevel="0" collapsed="false">
      <c r="A43" s="41"/>
      <c r="B43" s="41" t="s">
        <v>84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 t="n">
        <f aca="false">COUNTIF(P5:P39,"C")</f>
        <v>1</v>
      </c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 t="n">
        <f aca="false">COUNTIF(AC5:AC39,"C")</f>
        <v>6</v>
      </c>
      <c r="AD43" s="41"/>
      <c r="AE43" s="41"/>
      <c r="AF43" s="41" t="n">
        <f aca="false">COUNTIF(AF5:AF39,"C")</f>
        <v>3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16" activeCellId="0" sqref="B16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106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customFormat="false" ht="19.5" hidden="false" customHeight="true" outlineLevel="0" collapsed="false">
      <c r="A2" s="43" t="s">
        <v>62</v>
      </c>
      <c r="B2" s="43"/>
      <c r="C2" s="43" t="s">
        <v>63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 t="s">
        <v>64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 t="s">
        <v>65</v>
      </c>
      <c r="AE2" s="43"/>
      <c r="AF2" s="43"/>
    </row>
    <row r="3" customFormat="false" ht="178.5" hidden="false" customHeight="true" outlineLevel="0" collapsed="false">
      <c r="A3" s="43" t="s">
        <v>66</v>
      </c>
      <c r="B3" s="43"/>
      <c r="C3" s="44" t="s">
        <v>107</v>
      </c>
      <c r="D3" s="44" t="s">
        <v>108</v>
      </c>
      <c r="E3" s="44" t="s">
        <v>109</v>
      </c>
      <c r="F3" s="44"/>
      <c r="G3" s="44"/>
      <c r="H3" s="44"/>
      <c r="I3" s="44"/>
      <c r="J3" s="44"/>
      <c r="K3" s="44"/>
      <c r="L3" s="44"/>
      <c r="M3" s="44"/>
      <c r="N3" s="45" t="s">
        <v>73</v>
      </c>
      <c r="O3" s="45" t="s">
        <v>74</v>
      </c>
      <c r="P3" s="45" t="s">
        <v>75</v>
      </c>
      <c r="Q3" s="46" t="s">
        <v>110</v>
      </c>
      <c r="R3" s="46" t="s">
        <v>111</v>
      </c>
      <c r="S3" s="46" t="s">
        <v>112</v>
      </c>
      <c r="T3" s="46"/>
      <c r="U3" s="46"/>
      <c r="V3" s="46"/>
      <c r="W3" s="46"/>
      <c r="X3" s="46"/>
      <c r="Y3" s="46"/>
      <c r="Z3" s="46"/>
      <c r="AA3" s="45" t="s">
        <v>73</v>
      </c>
      <c r="AB3" s="45" t="s">
        <v>74</v>
      </c>
      <c r="AC3" s="45" t="s">
        <v>75</v>
      </c>
      <c r="AD3" s="45" t="s">
        <v>76</v>
      </c>
      <c r="AE3" s="45" t="s">
        <v>77</v>
      </c>
      <c r="AF3" s="45" t="s">
        <v>78</v>
      </c>
    </row>
    <row r="4" customFormat="false" ht="21.75" hidden="false" customHeight="true" outlineLevel="0" collapsed="false">
      <c r="A4" s="43" t="s">
        <v>1</v>
      </c>
      <c r="B4" s="43" t="s">
        <v>79</v>
      </c>
      <c r="C4" s="47" t="n">
        <v>60</v>
      </c>
      <c r="D4" s="47" t="n">
        <v>60</v>
      </c>
      <c r="E4" s="47" t="n">
        <v>60</v>
      </c>
      <c r="F4" s="47"/>
      <c r="G4" s="47"/>
      <c r="H4" s="47"/>
      <c r="I4" s="47"/>
      <c r="J4" s="47"/>
      <c r="K4" s="47"/>
      <c r="L4" s="47"/>
      <c r="M4" s="47"/>
      <c r="N4" s="43" t="n">
        <f aca="false">SUM(C4:M4)</f>
        <v>180</v>
      </c>
      <c r="O4" s="43"/>
      <c r="P4" s="43"/>
      <c r="Q4" s="47" t="n">
        <v>40</v>
      </c>
      <c r="R4" s="47" t="n">
        <v>40</v>
      </c>
      <c r="S4" s="47" t="n">
        <v>40</v>
      </c>
      <c r="T4" s="47"/>
      <c r="U4" s="47"/>
      <c r="V4" s="47"/>
      <c r="W4" s="47"/>
      <c r="X4" s="47"/>
      <c r="Y4" s="47"/>
      <c r="Z4" s="47"/>
      <c r="AA4" s="43" t="n">
        <f aca="false">SUM(Q4:Z4)</f>
        <v>120</v>
      </c>
      <c r="AB4" s="43"/>
      <c r="AC4" s="43"/>
      <c r="AD4" s="43" t="n">
        <f aca="false">N4+AA4</f>
        <v>300</v>
      </c>
      <c r="AE4" s="43"/>
      <c r="AF4" s="43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60</v>
      </c>
      <c r="D5" s="19" t="n">
        <v>60</v>
      </c>
      <c r="E5" s="19" t="n">
        <v>60</v>
      </c>
      <c r="F5" s="19"/>
      <c r="G5" s="19"/>
      <c r="H5" s="19"/>
      <c r="I5" s="19"/>
      <c r="J5" s="19"/>
      <c r="K5" s="19"/>
      <c r="L5" s="19"/>
      <c r="M5" s="19"/>
      <c r="N5" s="17" t="n">
        <f aca="false">IF(COUNT(C5:M5)=0,"",SUM(C5:M5))</f>
        <v>180</v>
      </c>
      <c r="O5" s="17" t="n">
        <f aca="false">IF(OR(N5="",$N$4-SUMIF(C5:M5,"欠",$C$4:$M$4)&lt;=0),"",ROUND(N5/($N$4-SUMIF(C5:M5,"欠",$C$4:$M$4))*100,0))</f>
        <v>100</v>
      </c>
      <c r="P5" s="17" t="str">
        <f aca="false">IF(O5="","",IF(O5&gt;=設定!$D$15,"A",IF(O5&gt;=設定!$E$15,"B","C")))</f>
        <v>A</v>
      </c>
      <c r="Q5" s="19" t="n">
        <v>40</v>
      </c>
      <c r="R5" s="19" t="n">
        <v>37</v>
      </c>
      <c r="S5" s="19" t="n">
        <v>40</v>
      </c>
      <c r="T5" s="19"/>
      <c r="U5" s="19"/>
      <c r="V5" s="19"/>
      <c r="W5" s="19"/>
      <c r="X5" s="19"/>
      <c r="Y5" s="19"/>
      <c r="Z5" s="19"/>
      <c r="AA5" s="17" t="n">
        <f aca="false">IF(COUNT(Q5:Z5)=0,"",SUM(Q5:Z5))</f>
        <v>117</v>
      </c>
      <c r="AB5" s="17" t="n">
        <f aca="false">IF(OR(AA5="",$AA$4-SUMIF(Q5:Z5,"欠",$Q$4:$Z$4)&lt;=0),"",ROUND(AA5/($AA$4-SUMIF(Q5:Z5,"欠",$Q$4:$Z$4))*100,0))</f>
        <v>98</v>
      </c>
      <c r="AC5" s="17" t="str">
        <f aca="false">IF(AB5="","",IF(AB5&gt;=設定!$D$15,"A",IF(AB5&gt;=設定!$E$15,"B","C")))</f>
        <v>A</v>
      </c>
      <c r="AD5" s="17" t="n">
        <f aca="false">IF(AND(N5="",AA5=""),"",IF(N5="",0,N5)+IF(AA5="",0,AA5))</f>
        <v>297</v>
      </c>
      <c r="AE5" s="17" t="n">
        <f aca="false">IF(AD5="","",IF($AD$4-SUMIF(C5:M5,"欠",$C$4:$M$4)-SUMIF(Q5:Z5,"欠",$Q$4:$Z$4)&lt;=0,"",ROUND(AD5/($AD$4-SUMIF(C5:M5,"欠",$C$4:$M$4)-SUMIF(Q5:Z5,"欠",$Q$4:$Z$4))*100,0)))</f>
        <v>99</v>
      </c>
      <c r="AF5" s="17" t="str">
        <f aca="false">IF(AE5="","",IF(AE5&gt;=設定!$D$15,"A",IF(AE5&gt;=設定!$E$15,"B","C")))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50</v>
      </c>
      <c r="D6" s="19" t="n">
        <v>50</v>
      </c>
      <c r="E6" s="19" t="n">
        <v>58</v>
      </c>
      <c r="F6" s="19"/>
      <c r="G6" s="19"/>
      <c r="H6" s="19"/>
      <c r="I6" s="19"/>
      <c r="J6" s="19"/>
      <c r="K6" s="19"/>
      <c r="L6" s="19"/>
      <c r="M6" s="19"/>
      <c r="N6" s="17" t="n">
        <f aca="false">IF(COUNT(C6:M6)=0,"",SUM(C6:M6))</f>
        <v>158</v>
      </c>
      <c r="O6" s="17" t="n">
        <f aca="false">IF(OR(N6="",$N$4-SUMIF(C6:M6,"欠",$C$4:$M$4)&lt;=0),"",ROUND(N6/($N$4-SUMIF(C6:M6,"欠",$C$4:$M$4))*100,0))</f>
        <v>88</v>
      </c>
      <c r="P6" s="17" t="str">
        <f aca="false">IF(O6="","",IF(O6&gt;=設定!$D$15,"A",IF(O6&gt;=設定!$E$15,"B","C")))</f>
        <v>B</v>
      </c>
      <c r="Q6" s="19" t="n">
        <v>30</v>
      </c>
      <c r="R6" s="19" t="n">
        <v>34</v>
      </c>
      <c r="S6" s="19" t="n">
        <v>27</v>
      </c>
      <c r="T6" s="19"/>
      <c r="U6" s="19"/>
      <c r="V6" s="19"/>
      <c r="W6" s="19"/>
      <c r="X6" s="19"/>
      <c r="Y6" s="19"/>
      <c r="Z6" s="19"/>
      <c r="AA6" s="17" t="n">
        <f aca="false">IF(COUNT(Q6:Z6)=0,"",SUM(Q6:Z6))</f>
        <v>91</v>
      </c>
      <c r="AB6" s="17" t="n">
        <f aca="false">IF(OR(AA6="",$AA$4-SUMIF(Q6:Z6,"欠",$Q$4:$Z$4)&lt;=0),"",ROUND(AA6/($AA$4-SUMIF(Q6:Z6,"欠",$Q$4:$Z$4))*100,0))</f>
        <v>76</v>
      </c>
      <c r="AC6" s="17" t="str">
        <f aca="false">IF(AB6="","",IF(AB6&gt;=設定!$D$15,"A",IF(AB6&gt;=設定!$E$15,"B","C")))</f>
        <v>B</v>
      </c>
      <c r="AD6" s="17" t="n">
        <f aca="false">IF(AND(N6="",AA6=""),"",IF(N6="",0,N6)+IF(AA6="",0,AA6))</f>
        <v>249</v>
      </c>
      <c r="AE6" s="17" t="n">
        <f aca="false">IF(AD6="","",IF($AD$4-SUMIF(C6:M6,"欠",$C$4:$M$4)-SUMIF(Q6:Z6,"欠",$Q$4:$Z$4)&lt;=0,"",ROUND(AD6/($AD$4-SUMIF(C6:M6,"欠",$C$4:$M$4)-SUMIF(Q6:Z6,"欠",$Q$4:$Z$4))*100,0)))</f>
        <v>83</v>
      </c>
      <c r="AF6" s="17" t="str">
        <f aca="false">IF(AE6="","",IF(AE6&gt;=設定!$D$15,"A",IF(AE6&gt;=設定!$E$15,"B","C")))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60</v>
      </c>
      <c r="D7" s="19" t="n">
        <v>50</v>
      </c>
      <c r="E7" s="19" t="n">
        <v>60</v>
      </c>
      <c r="F7" s="19"/>
      <c r="G7" s="19"/>
      <c r="H7" s="19"/>
      <c r="I7" s="19"/>
      <c r="J7" s="19"/>
      <c r="K7" s="19"/>
      <c r="L7" s="19"/>
      <c r="M7" s="19"/>
      <c r="N7" s="17" t="n">
        <f aca="false">IF(COUNT(C7:M7)=0,"",SUM(C7:M7))</f>
        <v>170</v>
      </c>
      <c r="O7" s="17" t="n">
        <f aca="false">IF(OR(N7="",$N$4-SUMIF(C7:M7,"欠",$C$4:$M$4)&lt;=0),"",ROUND(N7/($N$4-SUMIF(C7:M7,"欠",$C$4:$M$4))*100,0))</f>
        <v>94</v>
      </c>
      <c r="P7" s="17" t="str">
        <f aca="false">IF(O7="","",IF(O7&gt;=設定!$D$15,"A",IF(O7&gt;=設定!$E$15,"B","C")))</f>
        <v>A</v>
      </c>
      <c r="Q7" s="19" t="n">
        <v>27</v>
      </c>
      <c r="R7" s="19" t="n">
        <v>29</v>
      </c>
      <c r="S7" s="19" t="n">
        <v>28</v>
      </c>
      <c r="T7" s="19"/>
      <c r="U7" s="19"/>
      <c r="V7" s="19"/>
      <c r="W7" s="19"/>
      <c r="X7" s="19"/>
      <c r="Y7" s="19"/>
      <c r="Z7" s="19"/>
      <c r="AA7" s="17" t="n">
        <f aca="false">IF(COUNT(Q7:Z7)=0,"",SUM(Q7:Z7))</f>
        <v>84</v>
      </c>
      <c r="AB7" s="17" t="n">
        <f aca="false">IF(OR(AA7="",$AA$4-SUMIF(Q7:Z7,"欠",$Q$4:$Z$4)&lt;=0),"",ROUND(AA7/($AA$4-SUMIF(Q7:Z7,"欠",$Q$4:$Z$4))*100,0))</f>
        <v>70</v>
      </c>
      <c r="AC7" s="17" t="str">
        <f aca="false">IF(AB7="","",IF(AB7&gt;=設定!$D$15,"A",IF(AB7&gt;=設定!$E$15,"B","C")))</f>
        <v>B</v>
      </c>
      <c r="AD7" s="17" t="n">
        <f aca="false">IF(AND(N7="",AA7=""),"",IF(N7="",0,N7)+IF(AA7="",0,AA7))</f>
        <v>254</v>
      </c>
      <c r="AE7" s="17" t="n">
        <f aca="false">IF(AD7="","",IF($AD$4-SUMIF(C7:M7,"欠",$C$4:$M$4)-SUMIF(Q7:Z7,"欠",$Q$4:$Z$4)&lt;=0,"",ROUND(AD7/($AD$4-SUMIF(C7:M7,"欠",$C$4:$M$4)-SUMIF(Q7:Z7,"欠",$Q$4:$Z$4))*100,0)))</f>
        <v>85</v>
      </c>
      <c r="AF7" s="17" t="str">
        <f aca="false">IF(AE7="","",IF(AE7&gt;=設定!$D$15,"A",IF(AE7&gt;=設定!$E$15,"B","C")))</f>
        <v>B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52</v>
      </c>
      <c r="D8" s="19" t="n">
        <v>55</v>
      </c>
      <c r="E8" s="19" t="n">
        <v>53</v>
      </c>
      <c r="F8" s="19"/>
      <c r="G8" s="19"/>
      <c r="H8" s="19"/>
      <c r="I8" s="19"/>
      <c r="J8" s="19"/>
      <c r="K8" s="19"/>
      <c r="L8" s="19"/>
      <c r="M8" s="19"/>
      <c r="N8" s="17" t="n">
        <f aca="false">IF(COUNT(C8:M8)=0,"",SUM(C8:M8))</f>
        <v>160</v>
      </c>
      <c r="O8" s="17" t="n">
        <f aca="false">IF(OR(N8="",$N$4-SUMIF(C8:M8,"欠",$C$4:$M$4)&lt;=0),"",ROUND(N8/($N$4-SUMIF(C8:M8,"欠",$C$4:$M$4))*100,0))</f>
        <v>89</v>
      </c>
      <c r="P8" s="17" t="str">
        <f aca="false">IF(O8="","",IF(O8&gt;=設定!$D$15,"A",IF(O8&gt;=設定!$E$15,"B","C")))</f>
        <v>B</v>
      </c>
      <c r="Q8" s="19" t="n">
        <v>34</v>
      </c>
      <c r="R8" s="19" t="n">
        <v>31</v>
      </c>
      <c r="S8" s="19" t="n">
        <v>35</v>
      </c>
      <c r="T8" s="19"/>
      <c r="U8" s="19"/>
      <c r="V8" s="19"/>
      <c r="W8" s="19"/>
      <c r="X8" s="19"/>
      <c r="Y8" s="19"/>
      <c r="Z8" s="19"/>
      <c r="AA8" s="17" t="n">
        <f aca="false">IF(COUNT(Q8:Z8)=0,"",SUM(Q8:Z8))</f>
        <v>100</v>
      </c>
      <c r="AB8" s="17" t="n">
        <f aca="false">IF(OR(AA8="",$AA$4-SUMIF(Q8:Z8,"欠",$Q$4:$Z$4)&lt;=0),"",ROUND(AA8/($AA$4-SUMIF(Q8:Z8,"欠",$Q$4:$Z$4))*100,0))</f>
        <v>83</v>
      </c>
      <c r="AC8" s="17" t="str">
        <f aca="false">IF(AB8="","",IF(AB8&gt;=設定!$D$15,"A",IF(AB8&gt;=設定!$E$15,"B","C")))</f>
        <v>B</v>
      </c>
      <c r="AD8" s="17" t="n">
        <f aca="false">IF(AND(N8="",AA8=""),"",IF(N8="",0,N8)+IF(AA8="",0,AA8))</f>
        <v>260</v>
      </c>
      <c r="AE8" s="17" t="n">
        <f aca="false">IF(AD8="","",IF($AD$4-SUMIF(C8:M8,"欠",$C$4:$M$4)-SUMIF(Q8:Z8,"欠",$Q$4:$Z$4)&lt;=0,"",ROUND(AD8/($AD$4-SUMIF(C8:M8,"欠",$C$4:$M$4)-SUMIF(Q8:Z8,"欠",$Q$4:$Z$4))*100,0)))</f>
        <v>87</v>
      </c>
      <c r="AF8" s="17" t="str">
        <f aca="false">IF(AE8="","",IF(AE8&gt;=設定!$D$15,"A",IF(AE8&gt;=設定!$E$15,"B","C")))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60</v>
      </c>
      <c r="D9" s="19" t="n">
        <v>56</v>
      </c>
      <c r="E9" s="19" t="n">
        <v>60</v>
      </c>
      <c r="F9" s="19"/>
      <c r="G9" s="19"/>
      <c r="H9" s="19"/>
      <c r="I9" s="19"/>
      <c r="J9" s="19"/>
      <c r="K9" s="19"/>
      <c r="L9" s="19"/>
      <c r="M9" s="19"/>
      <c r="N9" s="17" t="n">
        <f aca="false">IF(COUNT(C9:M9)=0,"",SUM(C9:M9))</f>
        <v>176</v>
      </c>
      <c r="O9" s="17" t="n">
        <f aca="false">IF(OR(N9="",$N$4-SUMIF(C9:M9,"欠",$C$4:$M$4)&lt;=0),"",ROUND(N9/($N$4-SUMIF(C9:M9,"欠",$C$4:$M$4))*100,0))</f>
        <v>98</v>
      </c>
      <c r="P9" s="17" t="str">
        <f aca="false">IF(O9="","",IF(O9&gt;=設定!$D$15,"A",IF(O9&gt;=設定!$E$15,"B","C")))</f>
        <v>A</v>
      </c>
      <c r="Q9" s="19" t="n">
        <v>34</v>
      </c>
      <c r="R9" s="19" t="n">
        <v>29</v>
      </c>
      <c r="S9" s="19" t="n">
        <v>36</v>
      </c>
      <c r="T9" s="19"/>
      <c r="U9" s="19"/>
      <c r="V9" s="19"/>
      <c r="W9" s="19"/>
      <c r="X9" s="19"/>
      <c r="Y9" s="19"/>
      <c r="Z9" s="19"/>
      <c r="AA9" s="17" t="n">
        <f aca="false">IF(COUNT(Q9:Z9)=0,"",SUM(Q9:Z9))</f>
        <v>99</v>
      </c>
      <c r="AB9" s="17" t="n">
        <f aca="false">IF(OR(AA9="",$AA$4-SUMIF(Q9:Z9,"欠",$Q$4:$Z$4)&lt;=0),"",ROUND(AA9/($AA$4-SUMIF(Q9:Z9,"欠",$Q$4:$Z$4))*100,0))</f>
        <v>83</v>
      </c>
      <c r="AC9" s="17" t="str">
        <f aca="false">IF(AB9="","",IF(AB9&gt;=設定!$D$15,"A",IF(AB9&gt;=設定!$E$15,"B","C")))</f>
        <v>B</v>
      </c>
      <c r="AD9" s="17" t="n">
        <f aca="false">IF(AND(N9="",AA9=""),"",IF(N9="",0,N9)+IF(AA9="",0,AA9))</f>
        <v>275</v>
      </c>
      <c r="AE9" s="17" t="n">
        <f aca="false">IF(AD9="","",IF($AD$4-SUMIF(C9:M9,"欠",$C$4:$M$4)-SUMIF(Q9:Z9,"欠",$Q$4:$Z$4)&lt;=0,"",ROUND(AD9/($AD$4-SUMIF(C9:M9,"欠",$C$4:$M$4)-SUMIF(Q9:Z9,"欠",$Q$4:$Z$4))*100,0)))</f>
        <v>92</v>
      </c>
      <c r="AF9" s="17" t="str">
        <f aca="false">IF(AE9="","",IF(AE9&gt;=設定!$D$15,"A",IF(AE9&gt;=設定!$E$15,"B","C")))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48</v>
      </c>
      <c r="D10" s="19" t="n">
        <v>49</v>
      </c>
      <c r="E10" s="19" t="n">
        <v>45</v>
      </c>
      <c r="F10" s="19"/>
      <c r="G10" s="19"/>
      <c r="H10" s="19"/>
      <c r="I10" s="19"/>
      <c r="J10" s="19"/>
      <c r="K10" s="19"/>
      <c r="L10" s="19"/>
      <c r="M10" s="19"/>
      <c r="N10" s="17" t="n">
        <f aca="false">IF(COUNT(C10:M10)=0,"",SUM(C10:M10))</f>
        <v>142</v>
      </c>
      <c r="O10" s="17" t="n">
        <f aca="false">IF(OR(N10="",$N$4-SUMIF(C10:M10,"欠",$C$4:$M$4)&lt;=0),"",ROUND(N10/($N$4-SUMIF(C10:M10,"欠",$C$4:$M$4))*100,0))</f>
        <v>79</v>
      </c>
      <c r="P10" s="17" t="str">
        <f aca="false">IF(O10="","",IF(O10&gt;=設定!$D$15,"A",IF(O10&gt;=設定!$E$15,"B","C")))</f>
        <v>B</v>
      </c>
      <c r="Q10" s="19" t="n">
        <v>25</v>
      </c>
      <c r="R10" s="19" t="n">
        <v>29</v>
      </c>
      <c r="S10" s="19" t="n">
        <v>25</v>
      </c>
      <c r="T10" s="19"/>
      <c r="U10" s="19"/>
      <c r="V10" s="19"/>
      <c r="W10" s="19"/>
      <c r="X10" s="19"/>
      <c r="Y10" s="19"/>
      <c r="Z10" s="19"/>
      <c r="AA10" s="17" t="n">
        <f aca="false">IF(COUNT(Q10:Z10)=0,"",SUM(Q10:Z10))</f>
        <v>79</v>
      </c>
      <c r="AB10" s="17" t="n">
        <f aca="false">IF(OR(AA10="",$AA$4-SUMIF(Q10:Z10,"欠",$Q$4:$Z$4)&lt;=0),"",ROUND(AA10/($AA$4-SUMIF(Q10:Z10,"欠",$Q$4:$Z$4))*100,0))</f>
        <v>66</v>
      </c>
      <c r="AC10" s="17" t="str">
        <f aca="false">IF(AB10="","",IF(AB10&gt;=設定!$D$15,"A",IF(AB10&gt;=設定!$E$15,"B","C")))</f>
        <v>B</v>
      </c>
      <c r="AD10" s="17" t="n">
        <f aca="false">IF(AND(N10="",AA10=""),"",IF(N10="",0,N10)+IF(AA10="",0,AA10))</f>
        <v>221</v>
      </c>
      <c r="AE10" s="17" t="n">
        <f aca="false">IF(AD10="","",IF($AD$4-SUMIF(C10:M10,"欠",$C$4:$M$4)-SUMIF(Q10:Z10,"欠",$Q$4:$Z$4)&lt;=0,"",ROUND(AD10/($AD$4-SUMIF(C10:M10,"欠",$C$4:$M$4)-SUMIF(Q10:Z10,"欠",$Q$4:$Z$4))*100,0)))</f>
        <v>74</v>
      </c>
      <c r="AF10" s="17" t="str">
        <f aca="false">IF(AE10="","",IF(AE10&gt;=設定!$D$15,"A",IF(AE10&gt;=設定!$E$15,"B","C")))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52</v>
      </c>
      <c r="D11" s="19" t="n">
        <v>43</v>
      </c>
      <c r="E11" s="19" t="n">
        <v>47</v>
      </c>
      <c r="F11" s="19"/>
      <c r="G11" s="19"/>
      <c r="H11" s="19"/>
      <c r="I11" s="19"/>
      <c r="J11" s="19"/>
      <c r="K11" s="19"/>
      <c r="L11" s="19"/>
      <c r="M11" s="19"/>
      <c r="N11" s="17" t="n">
        <f aca="false">IF(COUNT(C11:M11)=0,"",SUM(C11:M11))</f>
        <v>142</v>
      </c>
      <c r="O11" s="17" t="n">
        <f aca="false">IF(OR(N11="",$N$4-SUMIF(C11:M11,"欠",$C$4:$M$4)&lt;=0),"",ROUND(N11/($N$4-SUMIF(C11:M11,"欠",$C$4:$M$4))*100,0))</f>
        <v>79</v>
      </c>
      <c r="P11" s="17" t="str">
        <f aca="false">IF(O11="","",IF(O11&gt;=設定!$D$15,"A",IF(O11&gt;=設定!$E$15,"B","C")))</f>
        <v>B</v>
      </c>
      <c r="Q11" s="19" t="n">
        <v>34</v>
      </c>
      <c r="R11" s="19" t="n">
        <v>25</v>
      </c>
      <c r="S11" s="19" t="n">
        <v>24</v>
      </c>
      <c r="T11" s="19"/>
      <c r="U11" s="19"/>
      <c r="V11" s="19"/>
      <c r="W11" s="19"/>
      <c r="X11" s="19"/>
      <c r="Y11" s="19"/>
      <c r="Z11" s="19"/>
      <c r="AA11" s="17" t="n">
        <f aca="false">IF(COUNT(Q11:Z11)=0,"",SUM(Q11:Z11))</f>
        <v>83</v>
      </c>
      <c r="AB11" s="17" t="n">
        <f aca="false">IF(OR(AA11="",$AA$4-SUMIF(Q11:Z11,"欠",$Q$4:$Z$4)&lt;=0),"",ROUND(AA11/($AA$4-SUMIF(Q11:Z11,"欠",$Q$4:$Z$4))*100,0))</f>
        <v>69</v>
      </c>
      <c r="AC11" s="17" t="str">
        <f aca="false">IF(AB11="","",IF(AB11&gt;=設定!$D$15,"A",IF(AB11&gt;=設定!$E$15,"B","C")))</f>
        <v>B</v>
      </c>
      <c r="AD11" s="17" t="n">
        <f aca="false">IF(AND(N11="",AA11=""),"",IF(N11="",0,N11)+IF(AA11="",0,AA11))</f>
        <v>225</v>
      </c>
      <c r="AE11" s="17" t="n">
        <f aca="false">IF(AD11="","",IF($AD$4-SUMIF(C11:M11,"欠",$C$4:$M$4)-SUMIF(Q11:Z11,"欠",$Q$4:$Z$4)&lt;=0,"",ROUND(AD11/($AD$4-SUMIF(C11:M11,"欠",$C$4:$M$4)-SUMIF(Q11:Z11,"欠",$Q$4:$Z$4))*100,0)))</f>
        <v>75</v>
      </c>
      <c r="AF11" s="17" t="str">
        <f aca="false">IF(AE11="","",IF(AE11&gt;=設定!$D$15,"A",IF(AE11&gt;=設定!$E$15,"B","C")))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60</v>
      </c>
      <c r="D12" s="19" t="n">
        <v>51</v>
      </c>
      <c r="E12" s="19" t="n">
        <v>56</v>
      </c>
      <c r="F12" s="19"/>
      <c r="G12" s="19"/>
      <c r="H12" s="19"/>
      <c r="I12" s="19"/>
      <c r="J12" s="19"/>
      <c r="K12" s="19"/>
      <c r="L12" s="19"/>
      <c r="M12" s="19"/>
      <c r="N12" s="17" t="n">
        <f aca="false">IF(COUNT(C12:M12)=0,"",SUM(C12:M12))</f>
        <v>167</v>
      </c>
      <c r="O12" s="17" t="n">
        <f aca="false">IF(OR(N12="",$N$4-SUMIF(C12:M12,"欠",$C$4:$M$4)&lt;=0),"",ROUND(N12/($N$4-SUMIF(C12:M12,"欠",$C$4:$M$4))*100,0))</f>
        <v>93</v>
      </c>
      <c r="P12" s="17" t="str">
        <f aca="false">IF(O12="","",IF(O12&gt;=設定!$D$15,"A",IF(O12&gt;=設定!$E$15,"B","C")))</f>
        <v>A</v>
      </c>
      <c r="Q12" s="19" t="n">
        <v>38</v>
      </c>
      <c r="R12" s="19" t="n">
        <v>30</v>
      </c>
      <c r="S12" s="19" t="n">
        <v>36</v>
      </c>
      <c r="T12" s="19"/>
      <c r="U12" s="19"/>
      <c r="V12" s="19"/>
      <c r="W12" s="19"/>
      <c r="X12" s="19"/>
      <c r="Y12" s="19"/>
      <c r="Z12" s="19"/>
      <c r="AA12" s="17" t="n">
        <f aca="false">IF(COUNT(Q12:Z12)=0,"",SUM(Q12:Z12))</f>
        <v>104</v>
      </c>
      <c r="AB12" s="17" t="n">
        <f aca="false">IF(OR(AA12="",$AA$4-SUMIF(Q12:Z12,"欠",$Q$4:$Z$4)&lt;=0),"",ROUND(AA12/($AA$4-SUMIF(Q12:Z12,"欠",$Q$4:$Z$4))*100,0))</f>
        <v>87</v>
      </c>
      <c r="AC12" s="17" t="str">
        <f aca="false">IF(AB12="","",IF(AB12&gt;=設定!$D$15,"A",IF(AB12&gt;=設定!$E$15,"B","C")))</f>
        <v>B</v>
      </c>
      <c r="AD12" s="17" t="n">
        <f aca="false">IF(AND(N12="",AA12=""),"",IF(N12="",0,N12)+IF(AA12="",0,AA12))</f>
        <v>271</v>
      </c>
      <c r="AE12" s="17" t="n">
        <f aca="false">IF(AD12="","",IF($AD$4-SUMIF(C12:M12,"欠",$C$4:$M$4)-SUMIF(Q12:Z12,"欠",$Q$4:$Z$4)&lt;=0,"",ROUND(AD12/($AD$4-SUMIF(C12:M12,"欠",$C$4:$M$4)-SUMIF(Q12:Z12,"欠",$Q$4:$Z$4))*100,0)))</f>
        <v>90</v>
      </c>
      <c r="AF12" s="17" t="str">
        <f aca="false">IF(AE12="","",IF(AE12&gt;=設定!$D$15,"A",IF(AE12&gt;=設定!$E$15,"B","C")))</f>
        <v>A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39</v>
      </c>
      <c r="D13" s="19" t="n">
        <v>51</v>
      </c>
      <c r="E13" s="19" t="n">
        <v>42</v>
      </c>
      <c r="F13" s="19"/>
      <c r="G13" s="19"/>
      <c r="H13" s="19"/>
      <c r="I13" s="19"/>
      <c r="J13" s="19"/>
      <c r="K13" s="19"/>
      <c r="L13" s="19"/>
      <c r="M13" s="19"/>
      <c r="N13" s="17" t="n">
        <f aca="false">IF(COUNT(C13:M13)=0,"",SUM(C13:M13))</f>
        <v>132</v>
      </c>
      <c r="O13" s="17" t="n">
        <f aca="false">IF(OR(N13="",$N$4-SUMIF(C13:M13,"欠",$C$4:$M$4)&lt;=0),"",ROUND(N13/($N$4-SUMIF(C13:M13,"欠",$C$4:$M$4))*100,0))</f>
        <v>73</v>
      </c>
      <c r="P13" s="17" t="str">
        <f aca="false">IF(O13="","",IF(O13&gt;=設定!$D$15,"A",IF(O13&gt;=設定!$E$15,"B","C")))</f>
        <v>B</v>
      </c>
      <c r="Q13" s="19" t="n">
        <v>27</v>
      </c>
      <c r="R13" s="19" t="n">
        <v>23</v>
      </c>
      <c r="S13" s="19" t="n">
        <v>32</v>
      </c>
      <c r="T13" s="19"/>
      <c r="U13" s="19"/>
      <c r="V13" s="19"/>
      <c r="W13" s="19"/>
      <c r="X13" s="19"/>
      <c r="Y13" s="19"/>
      <c r="Z13" s="19"/>
      <c r="AA13" s="17" t="n">
        <f aca="false">IF(COUNT(Q13:Z13)=0,"",SUM(Q13:Z13))</f>
        <v>82</v>
      </c>
      <c r="AB13" s="17" t="n">
        <f aca="false">IF(OR(AA13="",$AA$4-SUMIF(Q13:Z13,"欠",$Q$4:$Z$4)&lt;=0),"",ROUND(AA13/($AA$4-SUMIF(Q13:Z13,"欠",$Q$4:$Z$4))*100,0))</f>
        <v>68</v>
      </c>
      <c r="AC13" s="17" t="str">
        <f aca="false">IF(AB13="","",IF(AB13&gt;=設定!$D$15,"A",IF(AB13&gt;=設定!$E$15,"B","C")))</f>
        <v>B</v>
      </c>
      <c r="AD13" s="17" t="n">
        <f aca="false">IF(AND(N13="",AA13=""),"",IF(N13="",0,N13)+IF(AA13="",0,AA13))</f>
        <v>214</v>
      </c>
      <c r="AE13" s="17" t="n">
        <f aca="false">IF(AD13="","",IF($AD$4-SUMIF(C13:M13,"欠",$C$4:$M$4)-SUMIF(Q13:Z13,"欠",$Q$4:$Z$4)&lt;=0,"",ROUND(AD13/($AD$4-SUMIF(C13:M13,"欠",$C$4:$M$4)-SUMIF(Q13:Z13,"欠",$Q$4:$Z$4))*100,0)))</f>
        <v>71</v>
      </c>
      <c r="AF13" s="17" t="str">
        <f aca="false">IF(AE13="","",IF(AE13&gt;=設定!$D$15,"A",IF(AE13&gt;=設定!$E$15,"B","C")))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50</v>
      </c>
      <c r="D14" s="19" t="n">
        <v>59</v>
      </c>
      <c r="E14" s="19" t="n">
        <v>50</v>
      </c>
      <c r="F14" s="19"/>
      <c r="G14" s="19"/>
      <c r="H14" s="19"/>
      <c r="I14" s="19"/>
      <c r="J14" s="19"/>
      <c r="K14" s="19"/>
      <c r="L14" s="19"/>
      <c r="M14" s="19"/>
      <c r="N14" s="17" t="n">
        <f aca="false">IF(COUNT(C14:M14)=0,"",SUM(C14:M14))</f>
        <v>159</v>
      </c>
      <c r="O14" s="17" t="n">
        <f aca="false">IF(OR(N14="",$N$4-SUMIF(C14:M14,"欠",$C$4:$M$4)&lt;=0),"",ROUND(N14/($N$4-SUMIF(C14:M14,"欠",$C$4:$M$4))*100,0))</f>
        <v>88</v>
      </c>
      <c r="P14" s="17" t="str">
        <f aca="false">IF(O14="","",IF(O14&gt;=設定!$D$15,"A",IF(O14&gt;=設定!$E$15,"B","C")))</f>
        <v>B</v>
      </c>
      <c r="Q14" s="19" t="n">
        <v>28</v>
      </c>
      <c r="R14" s="19" t="n">
        <v>29</v>
      </c>
      <c r="S14" s="19" t="n">
        <v>23</v>
      </c>
      <c r="T14" s="19"/>
      <c r="U14" s="19"/>
      <c r="V14" s="19"/>
      <c r="W14" s="19"/>
      <c r="X14" s="19"/>
      <c r="Y14" s="19"/>
      <c r="Z14" s="19"/>
      <c r="AA14" s="17" t="n">
        <f aca="false">IF(COUNT(Q14:Z14)=0,"",SUM(Q14:Z14))</f>
        <v>80</v>
      </c>
      <c r="AB14" s="17" t="n">
        <f aca="false">IF(OR(AA14="",$AA$4-SUMIF(Q14:Z14,"欠",$Q$4:$Z$4)&lt;=0),"",ROUND(AA14/($AA$4-SUMIF(Q14:Z14,"欠",$Q$4:$Z$4))*100,0))</f>
        <v>67</v>
      </c>
      <c r="AC14" s="17" t="str">
        <f aca="false">IF(AB14="","",IF(AB14&gt;=設定!$D$15,"A",IF(AB14&gt;=設定!$E$15,"B","C")))</f>
        <v>B</v>
      </c>
      <c r="AD14" s="17" t="n">
        <f aca="false">IF(AND(N14="",AA14=""),"",IF(N14="",0,N14)+IF(AA14="",0,AA14))</f>
        <v>239</v>
      </c>
      <c r="AE14" s="17" t="n">
        <f aca="false">IF(AD14="","",IF($AD$4-SUMIF(C14:M14,"欠",$C$4:$M$4)-SUMIF(Q14:Z14,"欠",$Q$4:$Z$4)&lt;=0,"",ROUND(AD14/($AD$4-SUMIF(C14:M14,"欠",$C$4:$M$4)-SUMIF(Q14:Z14,"欠",$Q$4:$Z$4))*100,0)))</f>
        <v>80</v>
      </c>
      <c r="AF14" s="17" t="str">
        <f aca="false">IF(AE14="","",IF(AE14&gt;=設定!$D$15,"A",IF(AE14&gt;=設定!$E$15,"B","C")))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56</v>
      </c>
      <c r="D15" s="19" t="n">
        <v>58</v>
      </c>
      <c r="E15" s="19" t="n">
        <v>48</v>
      </c>
      <c r="F15" s="19"/>
      <c r="G15" s="19"/>
      <c r="H15" s="19"/>
      <c r="I15" s="19"/>
      <c r="J15" s="19"/>
      <c r="K15" s="19"/>
      <c r="L15" s="19"/>
      <c r="M15" s="19"/>
      <c r="N15" s="17" t="n">
        <f aca="false">IF(COUNT(C15:M15)=0,"",SUM(C15:M15))</f>
        <v>162</v>
      </c>
      <c r="O15" s="17" t="n">
        <f aca="false">IF(OR(N15="",$N$4-SUMIF(C15:M15,"欠",$C$4:$M$4)&lt;=0),"",ROUND(N15/($N$4-SUMIF(C15:M15,"欠",$C$4:$M$4))*100,0))</f>
        <v>90</v>
      </c>
      <c r="P15" s="17" t="str">
        <f aca="false">IF(O15="","",IF(O15&gt;=設定!$D$15,"A",IF(O15&gt;=設定!$E$15,"B","C")))</f>
        <v>A</v>
      </c>
      <c r="Q15" s="19" t="n">
        <v>28</v>
      </c>
      <c r="R15" s="19" t="n">
        <v>34</v>
      </c>
      <c r="S15" s="19" t="n">
        <v>29</v>
      </c>
      <c r="T15" s="19"/>
      <c r="U15" s="19"/>
      <c r="V15" s="19"/>
      <c r="W15" s="19"/>
      <c r="X15" s="19"/>
      <c r="Y15" s="19"/>
      <c r="Z15" s="19"/>
      <c r="AA15" s="17" t="n">
        <f aca="false">IF(COUNT(Q15:Z15)=0,"",SUM(Q15:Z15))</f>
        <v>91</v>
      </c>
      <c r="AB15" s="17" t="n">
        <f aca="false">IF(OR(AA15="",$AA$4-SUMIF(Q15:Z15,"欠",$Q$4:$Z$4)&lt;=0),"",ROUND(AA15/($AA$4-SUMIF(Q15:Z15,"欠",$Q$4:$Z$4))*100,0))</f>
        <v>76</v>
      </c>
      <c r="AC15" s="17" t="str">
        <f aca="false">IF(AB15="","",IF(AB15&gt;=設定!$D$15,"A",IF(AB15&gt;=設定!$E$15,"B","C")))</f>
        <v>B</v>
      </c>
      <c r="AD15" s="17" t="n">
        <f aca="false">IF(AND(N15="",AA15=""),"",IF(N15="",0,N15)+IF(AA15="",0,AA15))</f>
        <v>253</v>
      </c>
      <c r="AE15" s="17" t="n">
        <f aca="false">IF(AD15="","",IF($AD$4-SUMIF(C15:M15,"欠",$C$4:$M$4)-SUMIF(Q15:Z15,"欠",$Q$4:$Z$4)&lt;=0,"",ROUND(AD15/($AD$4-SUMIF(C15:M15,"欠",$C$4:$M$4)-SUMIF(Q15:Z15,"欠",$Q$4:$Z$4))*100,0)))</f>
        <v>84</v>
      </c>
      <c r="AF15" s="17" t="str">
        <f aca="false">IF(AE15="","",IF(AE15&gt;=設定!$D$15,"A",IF(AE15&gt;=設定!$E$15,"B","C")))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20" t="s">
        <v>80</v>
      </c>
      <c r="D16" s="19" t="n">
        <v>54</v>
      </c>
      <c r="E16" s="19" t="n">
        <v>41</v>
      </c>
      <c r="F16" s="19"/>
      <c r="G16" s="19"/>
      <c r="H16" s="19"/>
      <c r="I16" s="19"/>
      <c r="J16" s="19"/>
      <c r="K16" s="19"/>
      <c r="L16" s="19"/>
      <c r="M16" s="19"/>
      <c r="N16" s="17" t="n">
        <f aca="false">IF(COUNT(C16:M16)=0,"",SUM(C16:M16))</f>
        <v>95</v>
      </c>
      <c r="O16" s="17" t="n">
        <f aca="false">IF(OR(N16="",$N$4-SUMIF(C16:M16,"欠",$C$4:$M$4)&lt;=0),"",ROUND(N16/($N$4-SUMIF(C16:M16,"欠",$C$4:$M$4))*100,0))</f>
        <v>79</v>
      </c>
      <c r="P16" s="17" t="str">
        <f aca="false">IF(O16="","",IF(O16&gt;=設定!$D$15,"A",IF(O16&gt;=設定!$E$15,"B","C")))</f>
        <v>B</v>
      </c>
      <c r="Q16" s="20" t="s">
        <v>80</v>
      </c>
      <c r="R16" s="19" t="n">
        <v>20</v>
      </c>
      <c r="S16" s="19" t="n">
        <v>34</v>
      </c>
      <c r="T16" s="19"/>
      <c r="U16" s="19"/>
      <c r="V16" s="19"/>
      <c r="W16" s="19"/>
      <c r="X16" s="19"/>
      <c r="Y16" s="19"/>
      <c r="Z16" s="19"/>
      <c r="AA16" s="17" t="n">
        <f aca="false">IF(COUNT(Q16:Z16)=0,"",SUM(Q16:Z16))</f>
        <v>54</v>
      </c>
      <c r="AB16" s="17" t="n">
        <f aca="false">IF(OR(AA16="",$AA$4-SUMIF(Q16:Z16,"欠",$Q$4:$Z$4)&lt;=0),"",ROUND(AA16/($AA$4-SUMIF(Q16:Z16,"欠",$Q$4:$Z$4))*100,0))</f>
        <v>68</v>
      </c>
      <c r="AC16" s="17" t="str">
        <f aca="false">IF(AB16="","",IF(AB16&gt;=設定!$D$15,"A",IF(AB16&gt;=設定!$E$15,"B","C")))</f>
        <v>B</v>
      </c>
      <c r="AD16" s="17" t="n">
        <f aca="false">IF(AND(N16="",AA16=""),"",IF(N16="",0,N16)+IF(AA16="",0,AA16))</f>
        <v>149</v>
      </c>
      <c r="AE16" s="17" t="n">
        <f aca="false">IF(AD16="","",IF($AD$4-SUMIF(C16:M16,"欠",$C$4:$M$4)-SUMIF(Q16:Z16,"欠",$Q$4:$Z$4)&lt;=0,"",ROUND(AD16/($AD$4-SUMIF(C16:M16,"欠",$C$4:$M$4)-SUMIF(Q16:Z16,"欠",$Q$4:$Z$4))*100,0)))</f>
        <v>75</v>
      </c>
      <c r="AF16" s="17" t="str">
        <f aca="false">IF(AE16="","",IF(AE16&gt;=設定!$D$15,"A",IF(AE16&gt;=設定!$E$15,"B","C")))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20" t="n">
        <v>36</v>
      </c>
      <c r="D17" s="19" t="n">
        <v>39</v>
      </c>
      <c r="E17" s="19" t="n">
        <v>46</v>
      </c>
      <c r="F17" s="19"/>
      <c r="G17" s="19"/>
      <c r="H17" s="19"/>
      <c r="I17" s="19"/>
      <c r="J17" s="19"/>
      <c r="K17" s="19"/>
      <c r="L17" s="19"/>
      <c r="M17" s="19"/>
      <c r="N17" s="17" t="n">
        <f aca="false">IF(COUNT(C17:M17)=0,"",SUM(C17:M17))</f>
        <v>121</v>
      </c>
      <c r="O17" s="17" t="n">
        <f aca="false">IF(OR(N17="",$N$4-SUMIF(C17:M17,"欠",$C$4:$M$4)&lt;=0),"",ROUND(N17/($N$4-SUMIF(C17:M17,"欠",$C$4:$M$4))*100,0))</f>
        <v>67</v>
      </c>
      <c r="P17" s="17" t="str">
        <f aca="false">IF(O17="","",IF(O17&gt;=設定!$D$15,"A",IF(O17&gt;=設定!$E$15,"B","C")))</f>
        <v>B</v>
      </c>
      <c r="Q17" s="20" t="n">
        <v>27</v>
      </c>
      <c r="R17" s="19" t="n">
        <v>19</v>
      </c>
      <c r="S17" s="19" t="n">
        <v>22</v>
      </c>
      <c r="T17" s="19"/>
      <c r="U17" s="19"/>
      <c r="V17" s="19"/>
      <c r="W17" s="19"/>
      <c r="X17" s="19"/>
      <c r="Y17" s="19"/>
      <c r="Z17" s="19"/>
      <c r="AA17" s="17" t="n">
        <f aca="false">IF(COUNT(Q17:Z17)=0,"",SUM(Q17:Z17))</f>
        <v>68</v>
      </c>
      <c r="AB17" s="17" t="n">
        <f aca="false">IF(OR(AA17="",$AA$4-SUMIF(Q17:Z17,"欠",$Q$4:$Z$4)&lt;=0),"",ROUND(AA17/($AA$4-SUMIF(Q17:Z17,"欠",$Q$4:$Z$4))*100,0))</f>
        <v>57</v>
      </c>
      <c r="AC17" s="17" t="str">
        <f aca="false">IF(AB17="","",IF(AB17&gt;=設定!$D$15,"A",IF(AB17&gt;=設定!$E$15,"B","C")))</f>
        <v>C</v>
      </c>
      <c r="AD17" s="17" t="n">
        <f aca="false">IF(AND(N17="",AA17=""),"",IF(N17="",0,N17)+IF(AA17="",0,AA17))</f>
        <v>189</v>
      </c>
      <c r="AE17" s="17" t="n">
        <f aca="false">IF(AD17="","",IF($AD$4-SUMIF(C17:M17,"欠",$C$4:$M$4)-SUMIF(Q17:Z17,"欠",$Q$4:$Z$4)&lt;=0,"",ROUND(AD17/($AD$4-SUMIF(C17:M17,"欠",$C$4:$M$4)-SUMIF(Q17:Z17,"欠",$Q$4:$Z$4))*100,0)))</f>
        <v>63</v>
      </c>
      <c r="AF17" s="17" t="str">
        <f aca="false">IF(AE17="","",IF(AE17&gt;=設定!$D$15,"A",IF(AE17&gt;=設定!$E$15,"B","C")))</f>
        <v>B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20" t="n">
        <v>60</v>
      </c>
      <c r="D18" s="19" t="n">
        <v>58</v>
      </c>
      <c r="E18" s="19" t="n">
        <v>60</v>
      </c>
      <c r="F18" s="19"/>
      <c r="G18" s="19"/>
      <c r="H18" s="19"/>
      <c r="I18" s="19"/>
      <c r="J18" s="19"/>
      <c r="K18" s="19"/>
      <c r="L18" s="19"/>
      <c r="M18" s="19"/>
      <c r="N18" s="17" t="n">
        <f aca="false">IF(COUNT(C18:M18)=0,"",SUM(C18:M18))</f>
        <v>178</v>
      </c>
      <c r="O18" s="17" t="n">
        <f aca="false">IF(OR(N18="",$N$4-SUMIF(C18:M18,"欠",$C$4:$M$4)&lt;=0),"",ROUND(N18/($N$4-SUMIF(C18:M18,"欠",$C$4:$M$4))*100,0))</f>
        <v>99</v>
      </c>
      <c r="P18" s="17" t="str">
        <f aca="false">IF(O18="","",IF(O18&gt;=設定!$D$15,"A",IF(O18&gt;=設定!$E$15,"B","C")))</f>
        <v>A</v>
      </c>
      <c r="Q18" s="20" t="n">
        <v>30</v>
      </c>
      <c r="R18" s="19" t="n">
        <v>36</v>
      </c>
      <c r="S18" s="19" t="n">
        <v>33</v>
      </c>
      <c r="T18" s="19"/>
      <c r="U18" s="19"/>
      <c r="V18" s="19"/>
      <c r="W18" s="19"/>
      <c r="X18" s="19"/>
      <c r="Y18" s="19"/>
      <c r="Z18" s="19"/>
      <c r="AA18" s="17" t="n">
        <f aca="false">IF(COUNT(Q18:Z18)=0,"",SUM(Q18:Z18))</f>
        <v>99</v>
      </c>
      <c r="AB18" s="17" t="n">
        <f aca="false">IF(OR(AA18="",$AA$4-SUMIF(Q18:Z18,"欠",$Q$4:$Z$4)&lt;=0),"",ROUND(AA18/($AA$4-SUMIF(Q18:Z18,"欠",$Q$4:$Z$4))*100,0))</f>
        <v>83</v>
      </c>
      <c r="AC18" s="17" t="str">
        <f aca="false">IF(AB18="","",IF(AB18&gt;=設定!$D$15,"A",IF(AB18&gt;=設定!$E$15,"B","C")))</f>
        <v>B</v>
      </c>
      <c r="AD18" s="17" t="n">
        <f aca="false">IF(AND(N18="",AA18=""),"",IF(N18="",0,N18)+IF(AA18="",0,AA18))</f>
        <v>277</v>
      </c>
      <c r="AE18" s="17" t="n">
        <f aca="false">IF(AD18="","",IF($AD$4-SUMIF(C18:M18,"欠",$C$4:$M$4)-SUMIF(Q18:Z18,"欠",$Q$4:$Z$4)&lt;=0,"",ROUND(AD18/($AD$4-SUMIF(C18:M18,"欠",$C$4:$M$4)-SUMIF(Q18:Z18,"欠",$Q$4:$Z$4))*100,0)))</f>
        <v>92</v>
      </c>
      <c r="AF18" s="17" t="str">
        <f aca="false">IF(AE18="","",IF(AE18&gt;=設定!$D$15,"A",IF(AE18&gt;=設定!$E$15,"B","C")))</f>
        <v>A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20" t="n">
        <v>32</v>
      </c>
      <c r="D19" s="19" t="n">
        <v>25</v>
      </c>
      <c r="E19" s="19" t="n">
        <v>26</v>
      </c>
      <c r="F19" s="19"/>
      <c r="G19" s="19"/>
      <c r="H19" s="19"/>
      <c r="I19" s="19"/>
      <c r="J19" s="19"/>
      <c r="K19" s="19"/>
      <c r="L19" s="19"/>
      <c r="M19" s="19"/>
      <c r="N19" s="17" t="n">
        <f aca="false">IF(COUNT(C19:M19)=0,"",SUM(C19:M19))</f>
        <v>83</v>
      </c>
      <c r="O19" s="17" t="n">
        <f aca="false">IF(OR(N19="",$N$4-SUMIF(C19:M19,"欠",$C$4:$M$4)&lt;=0),"",ROUND(N19/($N$4-SUMIF(C19:M19,"欠",$C$4:$M$4))*100,0))</f>
        <v>46</v>
      </c>
      <c r="P19" s="17" t="str">
        <f aca="false">IF(O19="","",IF(O19&gt;=設定!$D$15,"A",IF(O19&gt;=設定!$E$15,"B","C")))</f>
        <v>C</v>
      </c>
      <c r="Q19" s="20" t="n">
        <v>15</v>
      </c>
      <c r="R19" s="19" t="n">
        <v>19</v>
      </c>
      <c r="S19" s="19" t="n">
        <v>21</v>
      </c>
      <c r="T19" s="19"/>
      <c r="U19" s="19"/>
      <c r="V19" s="19"/>
      <c r="W19" s="19"/>
      <c r="X19" s="19"/>
      <c r="Y19" s="19"/>
      <c r="Z19" s="19"/>
      <c r="AA19" s="17" t="n">
        <f aca="false">IF(COUNT(Q19:Z19)=0,"",SUM(Q19:Z19))</f>
        <v>55</v>
      </c>
      <c r="AB19" s="17" t="n">
        <f aca="false">IF(OR(AA19="",$AA$4-SUMIF(Q19:Z19,"欠",$Q$4:$Z$4)&lt;=0),"",ROUND(AA19/($AA$4-SUMIF(Q19:Z19,"欠",$Q$4:$Z$4))*100,0))</f>
        <v>46</v>
      </c>
      <c r="AC19" s="17" t="str">
        <f aca="false">IF(AB19="","",IF(AB19&gt;=設定!$D$15,"A",IF(AB19&gt;=設定!$E$15,"B","C")))</f>
        <v>C</v>
      </c>
      <c r="AD19" s="17" t="n">
        <f aca="false">IF(AND(N19="",AA19=""),"",IF(N19="",0,N19)+IF(AA19="",0,AA19))</f>
        <v>138</v>
      </c>
      <c r="AE19" s="17" t="n">
        <f aca="false">IF(AD19="","",IF($AD$4-SUMIF(C19:M19,"欠",$C$4:$M$4)-SUMIF(Q19:Z19,"欠",$Q$4:$Z$4)&lt;=0,"",ROUND(AD19/($AD$4-SUMIF(C19:M19,"欠",$C$4:$M$4)-SUMIF(Q19:Z19,"欠",$Q$4:$Z$4))*100,0)))</f>
        <v>46</v>
      </c>
      <c r="AF19" s="17" t="str">
        <f aca="false">IF(AE19="","",IF(AE19&gt;=設定!$D$15,"A",IF(AE19&gt;=設定!$E$15,"B","C")))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20" t="n">
        <v>59</v>
      </c>
      <c r="D20" s="19" t="n">
        <v>59</v>
      </c>
      <c r="E20" s="19" t="n">
        <v>60</v>
      </c>
      <c r="F20" s="19"/>
      <c r="G20" s="19"/>
      <c r="H20" s="19"/>
      <c r="I20" s="19"/>
      <c r="J20" s="19"/>
      <c r="K20" s="19"/>
      <c r="L20" s="19"/>
      <c r="M20" s="19"/>
      <c r="N20" s="17" t="n">
        <f aca="false">IF(COUNT(C20:M20)=0,"",SUM(C20:M20))</f>
        <v>178</v>
      </c>
      <c r="O20" s="17" t="n">
        <f aca="false">IF(OR(N20="",$N$4-SUMIF(C20:M20,"欠",$C$4:$M$4)&lt;=0),"",ROUND(N20/($N$4-SUMIF(C20:M20,"欠",$C$4:$M$4))*100,0))</f>
        <v>99</v>
      </c>
      <c r="P20" s="17" t="str">
        <f aca="false">IF(O20="","",IF(O20&gt;=設定!$D$15,"A",IF(O20&gt;=設定!$E$15,"B","C")))</f>
        <v>A</v>
      </c>
      <c r="Q20" s="20" t="n">
        <v>40</v>
      </c>
      <c r="R20" s="19" t="n">
        <v>36</v>
      </c>
      <c r="S20" s="19" t="n">
        <v>40</v>
      </c>
      <c r="T20" s="19"/>
      <c r="U20" s="19"/>
      <c r="V20" s="19"/>
      <c r="W20" s="19"/>
      <c r="X20" s="19"/>
      <c r="Y20" s="19"/>
      <c r="Z20" s="19"/>
      <c r="AA20" s="17" t="n">
        <f aca="false">IF(COUNT(Q20:Z20)=0,"",SUM(Q20:Z20))</f>
        <v>116</v>
      </c>
      <c r="AB20" s="17" t="n">
        <f aca="false">IF(OR(AA20="",$AA$4-SUMIF(Q20:Z20,"欠",$Q$4:$Z$4)&lt;=0),"",ROUND(AA20/($AA$4-SUMIF(Q20:Z20,"欠",$Q$4:$Z$4))*100,0))</f>
        <v>97</v>
      </c>
      <c r="AC20" s="17" t="str">
        <f aca="false">IF(AB20="","",IF(AB20&gt;=設定!$D$15,"A",IF(AB20&gt;=設定!$E$15,"B","C")))</f>
        <v>A</v>
      </c>
      <c r="AD20" s="17" t="n">
        <f aca="false">IF(AND(N20="",AA20=""),"",IF(N20="",0,N20)+IF(AA20="",0,AA20))</f>
        <v>294</v>
      </c>
      <c r="AE20" s="17" t="n">
        <f aca="false">IF(AD20="","",IF($AD$4-SUMIF(C20:M20,"欠",$C$4:$M$4)-SUMIF(Q20:Z20,"欠",$Q$4:$Z$4)&lt;=0,"",ROUND(AD20/($AD$4-SUMIF(C20:M20,"欠",$C$4:$M$4)-SUMIF(Q20:Z20,"欠",$Q$4:$Z$4))*100,0)))</f>
        <v>98</v>
      </c>
      <c r="AF20" s="17" t="str">
        <f aca="false">IF(AE20="","",IF(AE20&gt;=設定!$D$15,"A",IF(AE20&gt;=設定!$E$15,"B","C")))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20" t="n">
        <v>50</v>
      </c>
      <c r="D21" s="19" t="n">
        <v>60</v>
      </c>
      <c r="E21" s="19" t="n">
        <v>50</v>
      </c>
      <c r="F21" s="19"/>
      <c r="G21" s="19"/>
      <c r="H21" s="19"/>
      <c r="I21" s="19"/>
      <c r="J21" s="19"/>
      <c r="K21" s="19"/>
      <c r="L21" s="19"/>
      <c r="M21" s="19"/>
      <c r="N21" s="17" t="n">
        <f aca="false">IF(COUNT(C21:M21)=0,"",SUM(C21:M21))</f>
        <v>160</v>
      </c>
      <c r="O21" s="17" t="n">
        <f aca="false">IF(OR(N21="",$N$4-SUMIF(C21:M21,"欠",$C$4:$M$4)&lt;=0),"",ROUND(N21/($N$4-SUMIF(C21:M21,"欠",$C$4:$M$4))*100,0))</f>
        <v>89</v>
      </c>
      <c r="P21" s="17" t="str">
        <f aca="false">IF(O21="","",IF(O21&gt;=設定!$D$15,"A",IF(O21&gt;=設定!$E$15,"B","C")))</f>
        <v>B</v>
      </c>
      <c r="Q21" s="20" t="n">
        <v>32</v>
      </c>
      <c r="R21" s="19" t="n">
        <v>28</v>
      </c>
      <c r="S21" s="19" t="n">
        <v>32</v>
      </c>
      <c r="T21" s="19"/>
      <c r="U21" s="19"/>
      <c r="V21" s="19"/>
      <c r="W21" s="19"/>
      <c r="X21" s="19"/>
      <c r="Y21" s="19"/>
      <c r="Z21" s="19"/>
      <c r="AA21" s="17" t="n">
        <f aca="false">IF(COUNT(Q21:Z21)=0,"",SUM(Q21:Z21))</f>
        <v>92</v>
      </c>
      <c r="AB21" s="17" t="n">
        <f aca="false">IF(OR(AA21="",$AA$4-SUMIF(Q21:Z21,"欠",$Q$4:$Z$4)&lt;=0),"",ROUND(AA21/($AA$4-SUMIF(Q21:Z21,"欠",$Q$4:$Z$4))*100,0))</f>
        <v>77</v>
      </c>
      <c r="AC21" s="17" t="str">
        <f aca="false">IF(AB21="","",IF(AB21&gt;=設定!$D$15,"A",IF(AB21&gt;=設定!$E$15,"B","C")))</f>
        <v>B</v>
      </c>
      <c r="AD21" s="17" t="n">
        <f aca="false">IF(AND(N21="",AA21=""),"",IF(N21="",0,N21)+IF(AA21="",0,AA21))</f>
        <v>252</v>
      </c>
      <c r="AE21" s="17" t="n">
        <f aca="false">IF(AD21="","",IF($AD$4-SUMIF(C21:M21,"欠",$C$4:$M$4)-SUMIF(Q21:Z21,"欠",$Q$4:$Z$4)&lt;=0,"",ROUND(AD21/($AD$4-SUMIF(C21:M21,"欠",$C$4:$M$4)-SUMIF(Q21:Z21,"欠",$Q$4:$Z$4))*100,0)))</f>
        <v>84</v>
      </c>
      <c r="AF21" s="17" t="str">
        <f aca="false">IF(AE21="","",IF(AE21&gt;=設定!$D$15,"A",IF(AE21&gt;=設定!$E$15,"B","C")))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20" t="n">
        <v>60</v>
      </c>
      <c r="D22" s="19" t="n">
        <v>60</v>
      </c>
      <c r="E22" s="19" t="n">
        <v>60</v>
      </c>
      <c r="F22" s="19"/>
      <c r="G22" s="19"/>
      <c r="H22" s="19"/>
      <c r="I22" s="19"/>
      <c r="J22" s="19"/>
      <c r="K22" s="19"/>
      <c r="L22" s="19"/>
      <c r="M22" s="19"/>
      <c r="N22" s="17" t="n">
        <f aca="false">IF(COUNT(C22:M22)=0,"",SUM(C22:M22))</f>
        <v>180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IF(O22="","",IF(O22&gt;=設定!$D$15,"A",IF(O22&gt;=設定!$E$15,"B","C")))</f>
        <v>A</v>
      </c>
      <c r="Q22" s="20" t="n">
        <v>40</v>
      </c>
      <c r="R22" s="19" t="n">
        <v>40</v>
      </c>
      <c r="S22" s="19" t="n">
        <v>40</v>
      </c>
      <c r="T22" s="19"/>
      <c r="U22" s="19"/>
      <c r="V22" s="19"/>
      <c r="W22" s="19"/>
      <c r="X22" s="19"/>
      <c r="Y22" s="19"/>
      <c r="Z22" s="19"/>
      <c r="AA22" s="17" t="n">
        <f aca="false">IF(COUNT(Q22:Z22)=0,"",SUM(Q22:Z22))</f>
        <v>120</v>
      </c>
      <c r="AB22" s="17" t="n">
        <f aca="false">IF(OR(AA22="",$AA$4-SUMIF(Q22:Z22,"欠",$Q$4:$Z$4)&lt;=0),"",ROUND(AA22/($AA$4-SUMIF(Q22:Z22,"欠",$Q$4:$Z$4))*100,0))</f>
        <v>100</v>
      </c>
      <c r="AC22" s="17" t="str">
        <f aca="false">IF(AB22="","",IF(AB22&gt;=設定!$D$15,"A",IF(AB22&gt;=設定!$E$15,"B","C")))</f>
        <v>A</v>
      </c>
      <c r="AD22" s="17" t="n">
        <f aca="false">IF(AND(N22="",AA22=""),"",IF(N22="",0,N22)+IF(AA22="",0,AA22))</f>
        <v>300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IF(AE22="","",IF(AE22&gt;=設定!$D$15,"A",IF(AE22&gt;=設定!$E$15,"B","C")))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20" t="n">
        <v>56</v>
      </c>
      <c r="D23" s="19" t="n">
        <v>59</v>
      </c>
      <c r="E23" s="19" t="n">
        <v>57</v>
      </c>
      <c r="F23" s="19"/>
      <c r="G23" s="19"/>
      <c r="H23" s="19"/>
      <c r="I23" s="19"/>
      <c r="J23" s="19"/>
      <c r="K23" s="19"/>
      <c r="L23" s="19"/>
      <c r="M23" s="19"/>
      <c r="N23" s="17" t="n">
        <f aca="false">IF(COUNT(C23:M23)=0,"",SUM(C23:M23))</f>
        <v>172</v>
      </c>
      <c r="O23" s="17" t="n">
        <f aca="false">IF(OR(N23="",$N$4-SUMIF(C23:M23,"欠",$C$4:$M$4)&lt;=0),"",ROUND(N23/($N$4-SUMIF(C23:M23,"欠",$C$4:$M$4))*100,0))</f>
        <v>96</v>
      </c>
      <c r="P23" s="17" t="str">
        <f aca="false">IF(O23="","",IF(O23&gt;=設定!$D$15,"A",IF(O23&gt;=設定!$E$15,"B","C")))</f>
        <v>A</v>
      </c>
      <c r="Q23" s="20" t="n">
        <v>33</v>
      </c>
      <c r="R23" s="19" t="n">
        <v>32</v>
      </c>
      <c r="S23" s="19" t="n">
        <v>34</v>
      </c>
      <c r="T23" s="19"/>
      <c r="U23" s="19"/>
      <c r="V23" s="19"/>
      <c r="W23" s="19"/>
      <c r="X23" s="19"/>
      <c r="Y23" s="19"/>
      <c r="Z23" s="19"/>
      <c r="AA23" s="17" t="n">
        <f aca="false">IF(COUNT(Q23:Z23)=0,"",SUM(Q23:Z23))</f>
        <v>99</v>
      </c>
      <c r="AB23" s="17" t="n">
        <f aca="false">IF(OR(AA23="",$AA$4-SUMIF(Q23:Z23,"欠",$Q$4:$Z$4)&lt;=0),"",ROUND(AA23/($AA$4-SUMIF(Q23:Z23,"欠",$Q$4:$Z$4))*100,0))</f>
        <v>83</v>
      </c>
      <c r="AC23" s="17" t="str">
        <f aca="false">IF(AB23="","",IF(AB23&gt;=設定!$D$15,"A",IF(AB23&gt;=設定!$E$15,"B","C")))</f>
        <v>B</v>
      </c>
      <c r="AD23" s="17" t="n">
        <f aca="false">IF(AND(N23="",AA23=""),"",IF(N23="",0,N23)+IF(AA23="",0,AA23))</f>
        <v>271</v>
      </c>
      <c r="AE23" s="17" t="n">
        <f aca="false">IF(AD23="","",IF($AD$4-SUMIF(C23:M23,"欠",$C$4:$M$4)-SUMIF(Q23:Z23,"欠",$Q$4:$Z$4)&lt;=0,"",ROUND(AD23/($AD$4-SUMIF(C23:M23,"欠",$C$4:$M$4)-SUMIF(Q23:Z23,"欠",$Q$4:$Z$4))*100,0)))</f>
        <v>90</v>
      </c>
      <c r="AF23" s="17" t="str">
        <f aca="false">IF(AE23="","",IF(AE23&gt;=設定!$D$15,"A",IF(AE23&gt;=設定!$E$15,"B","C")))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20" t="n">
        <v>41</v>
      </c>
      <c r="D24" s="19" t="n">
        <v>44</v>
      </c>
      <c r="E24" s="19" t="n">
        <v>48</v>
      </c>
      <c r="F24" s="19"/>
      <c r="G24" s="19"/>
      <c r="H24" s="19"/>
      <c r="I24" s="19"/>
      <c r="J24" s="19"/>
      <c r="K24" s="19"/>
      <c r="L24" s="19"/>
      <c r="M24" s="19"/>
      <c r="N24" s="17" t="n">
        <f aca="false">IF(COUNT(C24:M24)=0,"",SUM(C24:M24))</f>
        <v>133</v>
      </c>
      <c r="O24" s="17" t="n">
        <f aca="false">IF(OR(N24="",$N$4-SUMIF(C24:M24,"欠",$C$4:$M$4)&lt;=0),"",ROUND(N24/($N$4-SUMIF(C24:M24,"欠",$C$4:$M$4))*100,0))</f>
        <v>74</v>
      </c>
      <c r="P24" s="17" t="str">
        <f aca="false">IF(O24="","",IF(O24&gt;=設定!$D$15,"A",IF(O24&gt;=設定!$E$15,"B","C")))</f>
        <v>B</v>
      </c>
      <c r="Q24" s="20" t="n">
        <v>26</v>
      </c>
      <c r="R24" s="19" t="n">
        <v>24</v>
      </c>
      <c r="S24" s="19" t="n">
        <v>27</v>
      </c>
      <c r="T24" s="19"/>
      <c r="U24" s="19"/>
      <c r="V24" s="19"/>
      <c r="W24" s="19"/>
      <c r="X24" s="19"/>
      <c r="Y24" s="19"/>
      <c r="Z24" s="19"/>
      <c r="AA24" s="17" t="n">
        <f aca="false">IF(COUNT(Q24:Z24)=0,"",SUM(Q24:Z24))</f>
        <v>77</v>
      </c>
      <c r="AB24" s="17" t="n">
        <f aca="false">IF(OR(AA24="",$AA$4-SUMIF(Q24:Z24,"欠",$Q$4:$Z$4)&lt;=0),"",ROUND(AA24/($AA$4-SUMIF(Q24:Z24,"欠",$Q$4:$Z$4))*100,0))</f>
        <v>64</v>
      </c>
      <c r="AC24" s="17" t="str">
        <f aca="false">IF(AB24="","",IF(AB24&gt;=設定!$D$15,"A",IF(AB24&gt;=設定!$E$15,"B","C")))</f>
        <v>B</v>
      </c>
      <c r="AD24" s="17" t="n">
        <f aca="false">IF(AND(N24="",AA24=""),"",IF(N24="",0,N24)+IF(AA24="",0,AA24))</f>
        <v>210</v>
      </c>
      <c r="AE24" s="17" t="n">
        <f aca="false">IF(AD24="","",IF($AD$4-SUMIF(C24:M24,"欠",$C$4:$M$4)-SUMIF(Q24:Z24,"欠",$Q$4:$Z$4)&lt;=0,"",ROUND(AD24/($AD$4-SUMIF(C24:M24,"欠",$C$4:$M$4)-SUMIF(Q24:Z24,"欠",$Q$4:$Z$4))*100,0)))</f>
        <v>70</v>
      </c>
      <c r="AF24" s="17" t="str">
        <f aca="false">IF(AE24="","",IF(AE24&gt;=設定!$D$15,"A",IF(AE24&gt;=設定!$E$15,"B","C")))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20" t="n">
        <v>60</v>
      </c>
      <c r="D25" s="19" t="n">
        <v>56</v>
      </c>
      <c r="E25" s="19" t="n">
        <v>59</v>
      </c>
      <c r="F25" s="19"/>
      <c r="G25" s="19"/>
      <c r="H25" s="19"/>
      <c r="I25" s="19"/>
      <c r="J25" s="19"/>
      <c r="K25" s="19"/>
      <c r="L25" s="19"/>
      <c r="M25" s="19"/>
      <c r="N25" s="17" t="n">
        <f aca="false">IF(COUNT(C25:M25)=0,"",SUM(C25:M25))</f>
        <v>175</v>
      </c>
      <c r="O25" s="17" t="n">
        <f aca="false">IF(OR(N25="",$N$4-SUMIF(C25:M25,"欠",$C$4:$M$4)&lt;=0),"",ROUND(N25/($N$4-SUMIF(C25:M25,"欠",$C$4:$M$4))*100,0))</f>
        <v>97</v>
      </c>
      <c r="P25" s="17" t="str">
        <f aca="false">IF(O25="","",IF(O25&gt;=設定!$D$15,"A",IF(O25&gt;=設定!$E$15,"B","C")))</f>
        <v>A</v>
      </c>
      <c r="Q25" s="20" t="n">
        <v>40</v>
      </c>
      <c r="R25" s="19" t="n">
        <v>38</v>
      </c>
      <c r="S25" s="19" t="n">
        <v>34</v>
      </c>
      <c r="T25" s="19"/>
      <c r="U25" s="19"/>
      <c r="V25" s="19"/>
      <c r="W25" s="19"/>
      <c r="X25" s="19"/>
      <c r="Y25" s="19"/>
      <c r="Z25" s="19"/>
      <c r="AA25" s="17" t="n">
        <f aca="false">IF(COUNT(Q25:Z25)=0,"",SUM(Q25:Z25))</f>
        <v>112</v>
      </c>
      <c r="AB25" s="17" t="n">
        <f aca="false">IF(OR(AA25="",$AA$4-SUMIF(Q25:Z25,"欠",$Q$4:$Z$4)&lt;=0),"",ROUND(AA25/($AA$4-SUMIF(Q25:Z25,"欠",$Q$4:$Z$4))*100,0))</f>
        <v>93</v>
      </c>
      <c r="AC25" s="17" t="str">
        <f aca="false">IF(AB25="","",IF(AB25&gt;=設定!$D$15,"A",IF(AB25&gt;=設定!$E$15,"B","C")))</f>
        <v>A</v>
      </c>
      <c r="AD25" s="17" t="n">
        <f aca="false">IF(AND(N25="",AA25=""),"",IF(N25="",0,N25)+IF(AA25="",0,AA25))</f>
        <v>287</v>
      </c>
      <c r="AE25" s="17" t="n">
        <f aca="false">IF(AD25="","",IF($AD$4-SUMIF(C25:M25,"欠",$C$4:$M$4)-SUMIF(Q25:Z25,"欠",$Q$4:$Z$4)&lt;=0,"",ROUND(AD25/($AD$4-SUMIF(C25:M25,"欠",$C$4:$M$4)-SUMIF(Q25:Z25,"欠",$Q$4:$Z$4))*100,0)))</f>
        <v>96</v>
      </c>
      <c r="AF25" s="17" t="str">
        <f aca="false">IF(AE25="","",IF(AE25&gt;=設定!$D$15,"A",IF(AE25&gt;=設定!$E$15,"B","C")))</f>
        <v>A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20" t="n">
        <v>41</v>
      </c>
      <c r="D26" s="19" t="n">
        <v>54</v>
      </c>
      <c r="E26" s="19" t="n">
        <v>31</v>
      </c>
      <c r="F26" s="19"/>
      <c r="G26" s="19"/>
      <c r="H26" s="19"/>
      <c r="I26" s="19"/>
      <c r="J26" s="19"/>
      <c r="K26" s="19"/>
      <c r="L26" s="19"/>
      <c r="M26" s="19"/>
      <c r="N26" s="17" t="n">
        <f aca="false">IF(COUNT(C26:M26)=0,"",SUM(C26:M26))</f>
        <v>126</v>
      </c>
      <c r="O26" s="17" t="n">
        <f aca="false">IF(OR(N26="",$N$4-SUMIF(C26:M26,"欠",$C$4:$M$4)&lt;=0),"",ROUND(N26/($N$4-SUMIF(C26:M26,"欠",$C$4:$M$4))*100,0))</f>
        <v>70</v>
      </c>
      <c r="P26" s="17" t="str">
        <f aca="false">IF(O26="","",IF(O26&gt;=設定!$D$15,"A",IF(O26&gt;=設定!$E$15,"B","C")))</f>
        <v>B</v>
      </c>
      <c r="Q26" s="20" t="n">
        <v>30</v>
      </c>
      <c r="R26" s="19" t="n">
        <v>23</v>
      </c>
      <c r="S26" s="19" t="n">
        <v>30</v>
      </c>
      <c r="T26" s="19"/>
      <c r="U26" s="19"/>
      <c r="V26" s="19"/>
      <c r="W26" s="19"/>
      <c r="X26" s="19"/>
      <c r="Y26" s="19"/>
      <c r="Z26" s="19"/>
      <c r="AA26" s="17" t="n">
        <f aca="false">IF(COUNT(Q26:Z26)=0,"",SUM(Q26:Z26))</f>
        <v>83</v>
      </c>
      <c r="AB26" s="17" t="n">
        <f aca="false">IF(OR(AA26="",$AA$4-SUMIF(Q26:Z26,"欠",$Q$4:$Z$4)&lt;=0),"",ROUND(AA26/($AA$4-SUMIF(Q26:Z26,"欠",$Q$4:$Z$4))*100,0))</f>
        <v>69</v>
      </c>
      <c r="AC26" s="17" t="str">
        <f aca="false">IF(AB26="","",IF(AB26&gt;=設定!$D$15,"A",IF(AB26&gt;=設定!$E$15,"B","C")))</f>
        <v>B</v>
      </c>
      <c r="AD26" s="17" t="n">
        <f aca="false">IF(AND(N26="",AA26=""),"",IF(N26="",0,N26)+IF(AA26="",0,AA26))</f>
        <v>209</v>
      </c>
      <c r="AE26" s="17" t="n">
        <f aca="false">IF(AD26="","",IF($AD$4-SUMIF(C26:M26,"欠",$C$4:$M$4)-SUMIF(Q26:Z26,"欠",$Q$4:$Z$4)&lt;=0,"",ROUND(AD26/($AD$4-SUMIF(C26:M26,"欠",$C$4:$M$4)-SUMIF(Q26:Z26,"欠",$Q$4:$Z$4))*100,0)))</f>
        <v>70</v>
      </c>
      <c r="AF26" s="17" t="str">
        <f aca="false">IF(AE26="","",IF(AE26&gt;=設定!$D$15,"A",IF(AE26&gt;=設定!$E$15,"B","C")))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20" t="n">
        <v>59</v>
      </c>
      <c r="D27" s="19" t="n">
        <v>60</v>
      </c>
      <c r="E27" s="19" t="n">
        <v>60</v>
      </c>
      <c r="F27" s="19"/>
      <c r="G27" s="19"/>
      <c r="H27" s="19"/>
      <c r="I27" s="19"/>
      <c r="J27" s="19"/>
      <c r="K27" s="19"/>
      <c r="L27" s="19"/>
      <c r="M27" s="19"/>
      <c r="N27" s="17" t="n">
        <f aca="false">IF(COUNT(C27:M27)=0,"",SUM(C27:M27))</f>
        <v>179</v>
      </c>
      <c r="O27" s="17" t="n">
        <f aca="false">IF(OR(N27="",$N$4-SUMIF(C27:M27,"欠",$C$4:$M$4)&lt;=0),"",ROUND(N27/($N$4-SUMIF(C27:M27,"欠",$C$4:$M$4))*100,0))</f>
        <v>99</v>
      </c>
      <c r="P27" s="17" t="str">
        <f aca="false">IF(O27="","",IF(O27&gt;=設定!$D$15,"A",IF(O27&gt;=設定!$E$15,"B","C")))</f>
        <v>A</v>
      </c>
      <c r="Q27" s="20" t="n">
        <v>34</v>
      </c>
      <c r="R27" s="19" t="n">
        <v>30</v>
      </c>
      <c r="S27" s="19" t="n">
        <v>39</v>
      </c>
      <c r="T27" s="19"/>
      <c r="U27" s="19"/>
      <c r="V27" s="19"/>
      <c r="W27" s="19"/>
      <c r="X27" s="19"/>
      <c r="Y27" s="19"/>
      <c r="Z27" s="19"/>
      <c r="AA27" s="17" t="n">
        <f aca="false">IF(COUNT(Q27:Z27)=0,"",SUM(Q27:Z27))</f>
        <v>103</v>
      </c>
      <c r="AB27" s="17" t="n">
        <f aca="false">IF(OR(AA27="",$AA$4-SUMIF(Q27:Z27,"欠",$Q$4:$Z$4)&lt;=0),"",ROUND(AA27/($AA$4-SUMIF(Q27:Z27,"欠",$Q$4:$Z$4))*100,0))</f>
        <v>86</v>
      </c>
      <c r="AC27" s="17" t="str">
        <f aca="false">IF(AB27="","",IF(AB27&gt;=設定!$D$15,"A",IF(AB27&gt;=設定!$E$15,"B","C")))</f>
        <v>B</v>
      </c>
      <c r="AD27" s="17" t="n">
        <f aca="false">IF(AND(N27="",AA27=""),"",IF(N27="",0,N27)+IF(AA27="",0,AA27))</f>
        <v>282</v>
      </c>
      <c r="AE27" s="17" t="n">
        <f aca="false">IF(AD27="","",IF($AD$4-SUMIF(C27:M27,"欠",$C$4:$M$4)-SUMIF(Q27:Z27,"欠",$Q$4:$Z$4)&lt;=0,"",ROUND(AD27/($AD$4-SUMIF(C27:M27,"欠",$C$4:$M$4)-SUMIF(Q27:Z27,"欠",$Q$4:$Z$4))*100,0)))</f>
        <v>94</v>
      </c>
      <c r="AF27" s="17" t="str">
        <f aca="false">IF(AE27="","",IF(AE27&gt;=設定!$D$15,"A",IF(AE27&gt;=設定!$E$15,"B","C")))</f>
        <v>A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20" t="n">
        <v>38</v>
      </c>
      <c r="D28" s="19" t="n">
        <v>38</v>
      </c>
      <c r="E28" s="19" t="n">
        <v>43</v>
      </c>
      <c r="F28" s="19"/>
      <c r="G28" s="19"/>
      <c r="H28" s="19"/>
      <c r="I28" s="19"/>
      <c r="J28" s="19"/>
      <c r="K28" s="19"/>
      <c r="L28" s="19"/>
      <c r="M28" s="19"/>
      <c r="N28" s="17" t="n">
        <f aca="false">IF(COUNT(C28:M28)=0,"",SUM(C28:M28))</f>
        <v>119</v>
      </c>
      <c r="O28" s="17" t="n">
        <f aca="false">IF(OR(N28="",$N$4-SUMIF(C28:M28,"欠",$C$4:$M$4)&lt;=0),"",ROUND(N28/($N$4-SUMIF(C28:M28,"欠",$C$4:$M$4))*100,0))</f>
        <v>66</v>
      </c>
      <c r="P28" s="17" t="str">
        <f aca="false">IF(O28="","",IF(O28&gt;=設定!$D$15,"A",IF(O28&gt;=設定!$E$15,"B","C")))</f>
        <v>B</v>
      </c>
      <c r="Q28" s="20" t="n">
        <v>21</v>
      </c>
      <c r="R28" s="19" t="n">
        <v>20</v>
      </c>
      <c r="S28" s="19" t="n">
        <v>19</v>
      </c>
      <c r="T28" s="19"/>
      <c r="U28" s="19"/>
      <c r="V28" s="19"/>
      <c r="W28" s="19"/>
      <c r="X28" s="19"/>
      <c r="Y28" s="19"/>
      <c r="Z28" s="19"/>
      <c r="AA28" s="17" t="n">
        <f aca="false">IF(COUNT(Q28:Z28)=0,"",SUM(Q28:Z28))</f>
        <v>60</v>
      </c>
      <c r="AB28" s="17" t="n">
        <f aca="false">IF(OR(AA28="",$AA$4-SUMIF(Q28:Z28,"欠",$Q$4:$Z$4)&lt;=0),"",ROUND(AA28/($AA$4-SUMIF(Q28:Z28,"欠",$Q$4:$Z$4))*100,0))</f>
        <v>50</v>
      </c>
      <c r="AC28" s="17" t="str">
        <f aca="false">IF(AB28="","",IF(AB28&gt;=設定!$D$15,"A",IF(AB28&gt;=設定!$E$15,"B","C")))</f>
        <v>C</v>
      </c>
      <c r="AD28" s="17" t="n">
        <f aca="false">IF(AND(N28="",AA28=""),"",IF(N28="",0,N28)+IF(AA28="",0,AA28))</f>
        <v>179</v>
      </c>
      <c r="AE28" s="17" t="n">
        <f aca="false">IF(AD28="","",IF($AD$4-SUMIF(C28:M28,"欠",$C$4:$M$4)-SUMIF(Q28:Z28,"欠",$Q$4:$Z$4)&lt;=0,"",ROUND(AD28/($AD$4-SUMIF(C28:M28,"欠",$C$4:$M$4)-SUMIF(Q28:Z28,"欠",$Q$4:$Z$4))*100,0)))</f>
        <v>60</v>
      </c>
      <c r="AF28" s="17" t="str">
        <f aca="false">IF(AE28="","",IF(AE28&gt;=設定!$D$15,"A",IF(AE28&gt;=設定!$E$15,"B","C")))</f>
        <v>B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20" t="n">
        <v>41</v>
      </c>
      <c r="D29" s="19" t="n">
        <v>42</v>
      </c>
      <c r="E29" s="19" t="n">
        <v>43</v>
      </c>
      <c r="F29" s="19"/>
      <c r="G29" s="19"/>
      <c r="H29" s="19"/>
      <c r="I29" s="19"/>
      <c r="J29" s="19"/>
      <c r="K29" s="19"/>
      <c r="L29" s="19"/>
      <c r="M29" s="19"/>
      <c r="N29" s="17" t="n">
        <f aca="false">IF(COUNT(C29:M29)=0,"",SUM(C29:M29))</f>
        <v>126</v>
      </c>
      <c r="O29" s="17" t="n">
        <f aca="false">IF(OR(N29="",$N$4-SUMIF(C29:M29,"欠",$C$4:$M$4)&lt;=0),"",ROUND(N29/($N$4-SUMIF(C29:M29,"欠",$C$4:$M$4))*100,0))</f>
        <v>70</v>
      </c>
      <c r="P29" s="17" t="str">
        <f aca="false">IF(O29="","",IF(O29&gt;=設定!$D$15,"A",IF(O29&gt;=設定!$E$15,"B","C")))</f>
        <v>B</v>
      </c>
      <c r="Q29" s="20" t="n">
        <v>21</v>
      </c>
      <c r="R29" s="19" t="n">
        <v>22</v>
      </c>
      <c r="S29" s="19" t="n">
        <v>26</v>
      </c>
      <c r="T29" s="19"/>
      <c r="U29" s="19"/>
      <c r="V29" s="19"/>
      <c r="W29" s="19"/>
      <c r="X29" s="19"/>
      <c r="Y29" s="19"/>
      <c r="Z29" s="19"/>
      <c r="AA29" s="17" t="n">
        <f aca="false">IF(COUNT(Q29:Z29)=0,"",SUM(Q29:Z29))</f>
        <v>69</v>
      </c>
      <c r="AB29" s="17" t="n">
        <f aca="false">IF(OR(AA29="",$AA$4-SUMIF(Q29:Z29,"欠",$Q$4:$Z$4)&lt;=0),"",ROUND(AA29/($AA$4-SUMIF(Q29:Z29,"欠",$Q$4:$Z$4))*100,0))</f>
        <v>57</v>
      </c>
      <c r="AC29" s="17" t="str">
        <f aca="false">IF(AB29="","",IF(AB29&gt;=設定!$D$15,"A",IF(AB29&gt;=設定!$E$15,"B","C")))</f>
        <v>C</v>
      </c>
      <c r="AD29" s="17" t="n">
        <f aca="false">IF(AND(N29="",AA29=""),"",IF(N29="",0,N29)+IF(AA29="",0,AA29))</f>
        <v>195</v>
      </c>
      <c r="AE29" s="17" t="n">
        <f aca="false">IF(AD29="","",IF($AD$4-SUMIF(C29:M29,"欠",$C$4:$M$4)-SUMIF(Q29:Z29,"欠",$Q$4:$Z$4)&lt;=0,"",ROUND(AD29/($AD$4-SUMIF(C29:M29,"欠",$C$4:$M$4)-SUMIF(Q29:Z29,"欠",$Q$4:$Z$4))*100,0)))</f>
        <v>65</v>
      </c>
      <c r="AF29" s="17" t="str">
        <f aca="false">IF(AE29="","",IF(AE29&gt;=設定!$D$15,"A",IF(AE29&gt;=設定!$E$15,"B","C")))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20" t="n">
        <v>48</v>
      </c>
      <c r="D30" s="19" t="n">
        <v>42</v>
      </c>
      <c r="E30" s="19" t="n">
        <v>55</v>
      </c>
      <c r="F30" s="19"/>
      <c r="G30" s="19"/>
      <c r="H30" s="19"/>
      <c r="I30" s="19"/>
      <c r="J30" s="19"/>
      <c r="K30" s="19"/>
      <c r="L30" s="19"/>
      <c r="M30" s="19"/>
      <c r="N30" s="17" t="n">
        <f aca="false">IF(COUNT(C30:M30)=0,"",SUM(C30:M30))</f>
        <v>145</v>
      </c>
      <c r="O30" s="17" t="n">
        <f aca="false">IF(OR(N30="",$N$4-SUMIF(C30:M30,"欠",$C$4:$M$4)&lt;=0),"",ROUND(N30/($N$4-SUMIF(C30:M30,"欠",$C$4:$M$4))*100,0))</f>
        <v>81</v>
      </c>
      <c r="P30" s="17" t="str">
        <f aca="false">IF(O30="","",IF(O30&gt;=設定!$D$15,"A",IF(O30&gt;=設定!$E$15,"B","C")))</f>
        <v>B</v>
      </c>
      <c r="Q30" s="20" t="n">
        <v>24</v>
      </c>
      <c r="R30" s="19" t="n">
        <v>30</v>
      </c>
      <c r="S30" s="19" t="n">
        <v>32</v>
      </c>
      <c r="T30" s="19"/>
      <c r="U30" s="19"/>
      <c r="V30" s="19"/>
      <c r="W30" s="19"/>
      <c r="X30" s="19"/>
      <c r="Y30" s="19"/>
      <c r="Z30" s="19"/>
      <c r="AA30" s="17" t="n">
        <f aca="false">IF(COUNT(Q30:Z30)=0,"",SUM(Q30:Z30))</f>
        <v>86</v>
      </c>
      <c r="AB30" s="17" t="n">
        <f aca="false">IF(OR(AA30="",$AA$4-SUMIF(Q30:Z30,"欠",$Q$4:$Z$4)&lt;=0),"",ROUND(AA30/($AA$4-SUMIF(Q30:Z30,"欠",$Q$4:$Z$4))*100,0))</f>
        <v>72</v>
      </c>
      <c r="AC30" s="17" t="str">
        <f aca="false">IF(AB30="","",IF(AB30&gt;=設定!$D$15,"A",IF(AB30&gt;=設定!$E$15,"B","C")))</f>
        <v>B</v>
      </c>
      <c r="AD30" s="17" t="n">
        <f aca="false">IF(AND(N30="",AA30=""),"",IF(N30="",0,N30)+IF(AA30="",0,AA30))</f>
        <v>231</v>
      </c>
      <c r="AE30" s="17" t="n">
        <f aca="false">IF(AD30="","",IF($AD$4-SUMIF(C30:M30,"欠",$C$4:$M$4)-SUMIF(Q30:Z30,"欠",$Q$4:$Z$4)&lt;=0,"",ROUND(AD30/($AD$4-SUMIF(C30:M30,"欠",$C$4:$M$4)-SUMIF(Q30:Z30,"欠",$Q$4:$Z$4))*100,0)))</f>
        <v>77</v>
      </c>
      <c r="AF30" s="17" t="str">
        <f aca="false">IF(AE30="","",IF(AE30&gt;=設定!$D$15,"A",IF(AE30&gt;=設定!$E$15,"B","C")))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20" t="n">
        <v>52</v>
      </c>
      <c r="D31" s="19" t="n">
        <v>48</v>
      </c>
      <c r="E31" s="19" t="n">
        <v>44</v>
      </c>
      <c r="F31" s="19"/>
      <c r="G31" s="19"/>
      <c r="H31" s="19"/>
      <c r="I31" s="19"/>
      <c r="J31" s="19"/>
      <c r="K31" s="19"/>
      <c r="L31" s="19"/>
      <c r="M31" s="19"/>
      <c r="N31" s="17" t="n">
        <f aca="false">IF(COUNT(C31:M31)=0,"",SUM(C31:M31))</f>
        <v>144</v>
      </c>
      <c r="O31" s="17" t="n">
        <f aca="false">IF(OR(N31="",$N$4-SUMIF(C31:M31,"欠",$C$4:$M$4)&lt;=0),"",ROUND(N31/($N$4-SUMIF(C31:M31,"欠",$C$4:$M$4))*100,0))</f>
        <v>80</v>
      </c>
      <c r="P31" s="17" t="str">
        <f aca="false">IF(O31="","",IF(O31&gt;=設定!$D$15,"A",IF(O31&gt;=設定!$E$15,"B","C")))</f>
        <v>B</v>
      </c>
      <c r="Q31" s="20" t="n">
        <v>20</v>
      </c>
      <c r="R31" s="19" t="n">
        <v>31</v>
      </c>
      <c r="S31" s="19" t="n">
        <v>28</v>
      </c>
      <c r="T31" s="19"/>
      <c r="U31" s="19"/>
      <c r="V31" s="19"/>
      <c r="W31" s="19"/>
      <c r="X31" s="19"/>
      <c r="Y31" s="19"/>
      <c r="Z31" s="19"/>
      <c r="AA31" s="17" t="n">
        <f aca="false">IF(COUNT(Q31:Z31)=0,"",SUM(Q31:Z31))</f>
        <v>79</v>
      </c>
      <c r="AB31" s="17" t="n">
        <f aca="false">IF(OR(AA31="",$AA$4-SUMIF(Q31:Z31,"欠",$Q$4:$Z$4)&lt;=0),"",ROUND(AA31/($AA$4-SUMIF(Q31:Z31,"欠",$Q$4:$Z$4))*100,0))</f>
        <v>66</v>
      </c>
      <c r="AC31" s="17" t="str">
        <f aca="false">IF(AB31="","",IF(AB31&gt;=設定!$D$15,"A",IF(AB31&gt;=設定!$E$15,"B","C")))</f>
        <v>B</v>
      </c>
      <c r="AD31" s="17" t="n">
        <f aca="false">IF(AND(N31="",AA31=""),"",IF(N31="",0,N31)+IF(AA31="",0,AA31))</f>
        <v>223</v>
      </c>
      <c r="AE31" s="17" t="n">
        <f aca="false">IF(AD31="","",IF($AD$4-SUMIF(C31:M31,"欠",$C$4:$M$4)-SUMIF(Q31:Z31,"欠",$Q$4:$Z$4)&lt;=0,"",ROUND(AD31/($AD$4-SUMIF(C31:M31,"欠",$C$4:$M$4)-SUMIF(Q31:Z31,"欠",$Q$4:$Z$4))*100,0)))</f>
        <v>74</v>
      </c>
      <c r="AF31" s="17" t="str">
        <f aca="false">IF(AE31="","",IF(AE31&gt;=設定!$D$15,"A",IF(AE31&gt;=設定!$E$15,"B","C")))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20" t="n">
        <v>47</v>
      </c>
      <c r="D32" s="19" t="n">
        <v>42</v>
      </c>
      <c r="E32" s="19" t="n">
        <v>43</v>
      </c>
      <c r="F32" s="19"/>
      <c r="G32" s="19"/>
      <c r="H32" s="19"/>
      <c r="I32" s="19"/>
      <c r="J32" s="19"/>
      <c r="K32" s="19"/>
      <c r="L32" s="19"/>
      <c r="M32" s="19"/>
      <c r="N32" s="17" t="n">
        <f aca="false">IF(COUNT(C32:M32)=0,"",SUM(C32:M32))</f>
        <v>132</v>
      </c>
      <c r="O32" s="17" t="n">
        <f aca="false">IF(OR(N32="",$N$4-SUMIF(C32:M32,"欠",$C$4:$M$4)&lt;=0),"",ROUND(N32/($N$4-SUMIF(C32:M32,"欠",$C$4:$M$4))*100,0))</f>
        <v>73</v>
      </c>
      <c r="P32" s="17" t="str">
        <f aca="false">IF(O32="","",IF(O32&gt;=設定!$D$15,"A",IF(O32&gt;=設定!$E$15,"B","C")))</f>
        <v>B</v>
      </c>
      <c r="Q32" s="20" t="n">
        <v>24</v>
      </c>
      <c r="R32" s="19" t="n">
        <v>19</v>
      </c>
      <c r="S32" s="19" t="n">
        <v>23</v>
      </c>
      <c r="T32" s="19"/>
      <c r="U32" s="19"/>
      <c r="V32" s="19"/>
      <c r="W32" s="19"/>
      <c r="X32" s="19"/>
      <c r="Y32" s="19"/>
      <c r="Z32" s="19"/>
      <c r="AA32" s="17" t="n">
        <f aca="false">IF(COUNT(Q32:Z32)=0,"",SUM(Q32:Z32))</f>
        <v>66</v>
      </c>
      <c r="AB32" s="17" t="n">
        <f aca="false">IF(OR(AA32="",$AA$4-SUMIF(Q32:Z32,"欠",$Q$4:$Z$4)&lt;=0),"",ROUND(AA32/($AA$4-SUMIF(Q32:Z32,"欠",$Q$4:$Z$4))*100,0))</f>
        <v>55</v>
      </c>
      <c r="AC32" s="17" t="str">
        <f aca="false">IF(AB32="","",IF(AB32&gt;=設定!$D$15,"A",IF(AB32&gt;=設定!$E$15,"B","C")))</f>
        <v>C</v>
      </c>
      <c r="AD32" s="17" t="n">
        <f aca="false">IF(AND(N32="",AA32=""),"",IF(N32="",0,N32)+IF(AA32="",0,AA32))</f>
        <v>198</v>
      </c>
      <c r="AE32" s="17" t="n">
        <f aca="false">IF(AD32="","",IF($AD$4-SUMIF(C32:M32,"欠",$C$4:$M$4)-SUMIF(Q32:Z32,"欠",$Q$4:$Z$4)&lt;=0,"",ROUND(AD32/($AD$4-SUMIF(C32:M32,"欠",$C$4:$M$4)-SUMIF(Q32:Z32,"欠",$Q$4:$Z$4))*100,0)))</f>
        <v>66</v>
      </c>
      <c r="AF32" s="17" t="str">
        <f aca="false">IF(AE32="","",IF(AE32&gt;=設定!$D$15,"A",IF(AE32&gt;=設定!$E$15,"B","C")))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20" t="n">
        <v>60</v>
      </c>
      <c r="D33" s="19" t="n">
        <v>57</v>
      </c>
      <c r="E33" s="19" t="n">
        <v>60</v>
      </c>
      <c r="F33" s="19"/>
      <c r="G33" s="19"/>
      <c r="H33" s="19"/>
      <c r="I33" s="19"/>
      <c r="J33" s="19"/>
      <c r="K33" s="19"/>
      <c r="L33" s="19"/>
      <c r="M33" s="19"/>
      <c r="N33" s="17" t="n">
        <f aca="false">IF(COUNT(C33:M33)=0,"",SUM(C33:M33))</f>
        <v>177</v>
      </c>
      <c r="O33" s="17" t="n">
        <f aca="false">IF(OR(N33="",$N$4-SUMIF(C33:M33,"欠",$C$4:$M$4)&lt;=0),"",ROUND(N33/($N$4-SUMIF(C33:M33,"欠",$C$4:$M$4))*100,0))</f>
        <v>98</v>
      </c>
      <c r="P33" s="17" t="str">
        <f aca="false">IF(O33="","",IF(O33&gt;=設定!$D$15,"A",IF(O33&gt;=設定!$E$15,"B","C")))</f>
        <v>A</v>
      </c>
      <c r="Q33" s="20" t="n">
        <v>29</v>
      </c>
      <c r="R33" s="19" t="n">
        <v>39</v>
      </c>
      <c r="S33" s="19" t="n">
        <v>40</v>
      </c>
      <c r="T33" s="19"/>
      <c r="U33" s="19"/>
      <c r="V33" s="19"/>
      <c r="W33" s="19"/>
      <c r="X33" s="19"/>
      <c r="Y33" s="19"/>
      <c r="Z33" s="19"/>
      <c r="AA33" s="17" t="n">
        <f aca="false">IF(COUNT(Q33:Z33)=0,"",SUM(Q33:Z33))</f>
        <v>108</v>
      </c>
      <c r="AB33" s="17" t="n">
        <f aca="false">IF(OR(AA33="",$AA$4-SUMIF(Q33:Z33,"欠",$Q$4:$Z$4)&lt;=0),"",ROUND(AA33/($AA$4-SUMIF(Q33:Z33,"欠",$Q$4:$Z$4))*100,0))</f>
        <v>90</v>
      </c>
      <c r="AC33" s="17" t="str">
        <f aca="false">IF(AB33="","",IF(AB33&gt;=設定!$D$15,"A",IF(AB33&gt;=設定!$E$15,"B","C")))</f>
        <v>A</v>
      </c>
      <c r="AD33" s="17" t="n">
        <f aca="false">IF(AND(N33="",AA33=""),"",IF(N33="",0,N33)+IF(AA33="",0,AA33))</f>
        <v>285</v>
      </c>
      <c r="AE33" s="17" t="n">
        <f aca="false">IF(AD33="","",IF($AD$4-SUMIF(C33:M33,"欠",$C$4:$M$4)-SUMIF(Q33:Z33,"欠",$Q$4:$Z$4)&lt;=0,"",ROUND(AD33/($AD$4-SUMIF(C33:M33,"欠",$C$4:$M$4)-SUMIF(Q33:Z33,"欠",$Q$4:$Z$4))*100,0)))</f>
        <v>95</v>
      </c>
      <c r="AF33" s="17" t="str">
        <f aca="false">IF(AE33="","",IF(AE33&gt;=設定!$D$15,"A",IF(AE33&gt;=設定!$E$15,"B","C")))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20" t="n">
        <v>55</v>
      </c>
      <c r="D34" s="19" t="n">
        <v>57</v>
      </c>
      <c r="E34" s="19" t="n">
        <v>52</v>
      </c>
      <c r="F34" s="19"/>
      <c r="G34" s="19"/>
      <c r="H34" s="19"/>
      <c r="I34" s="19"/>
      <c r="J34" s="19"/>
      <c r="K34" s="19"/>
      <c r="L34" s="19"/>
      <c r="M34" s="19"/>
      <c r="N34" s="17" t="n">
        <f aca="false">IF(COUNT(C34:M34)=0,"",SUM(C34:M34))</f>
        <v>164</v>
      </c>
      <c r="O34" s="17" t="n">
        <f aca="false">IF(OR(N34="",$N$4-SUMIF(C34:M34,"欠",$C$4:$M$4)&lt;=0),"",ROUND(N34/($N$4-SUMIF(C34:M34,"欠",$C$4:$M$4))*100,0))</f>
        <v>91</v>
      </c>
      <c r="P34" s="17" t="str">
        <f aca="false">IF(O34="","",IF(O34&gt;=設定!$D$15,"A",IF(O34&gt;=設定!$E$15,"B","C")))</f>
        <v>A</v>
      </c>
      <c r="Q34" s="20" t="n">
        <v>36</v>
      </c>
      <c r="R34" s="19" t="n">
        <v>38</v>
      </c>
      <c r="S34" s="19" t="n">
        <v>36</v>
      </c>
      <c r="T34" s="19"/>
      <c r="U34" s="19"/>
      <c r="V34" s="19"/>
      <c r="W34" s="19"/>
      <c r="X34" s="19"/>
      <c r="Y34" s="19"/>
      <c r="Z34" s="19"/>
      <c r="AA34" s="17" t="n">
        <f aca="false">IF(COUNT(Q34:Z34)=0,"",SUM(Q34:Z34))</f>
        <v>110</v>
      </c>
      <c r="AB34" s="17" t="n">
        <f aca="false">IF(OR(AA34="",$AA$4-SUMIF(Q34:Z34,"欠",$Q$4:$Z$4)&lt;=0),"",ROUND(AA34/($AA$4-SUMIF(Q34:Z34,"欠",$Q$4:$Z$4))*100,0))</f>
        <v>92</v>
      </c>
      <c r="AC34" s="17" t="str">
        <f aca="false">IF(AB34="","",IF(AB34&gt;=設定!$D$15,"A",IF(AB34&gt;=設定!$E$15,"B","C")))</f>
        <v>A</v>
      </c>
      <c r="AD34" s="17" t="n">
        <f aca="false">IF(AND(N34="",AA34=""),"",IF(N34="",0,N34)+IF(AA34="",0,AA34))</f>
        <v>274</v>
      </c>
      <c r="AE34" s="17" t="n">
        <f aca="false">IF(AD34="","",IF($AD$4-SUMIF(C34:M34,"欠",$C$4:$M$4)-SUMIF(Q34:Z34,"欠",$Q$4:$Z$4)&lt;=0,"",ROUND(AD34/($AD$4-SUMIF(C34:M34,"欠",$C$4:$M$4)-SUMIF(Q34:Z34,"欠",$Q$4:$Z$4))*100,0)))</f>
        <v>91</v>
      </c>
      <c r="AF34" s="17" t="str">
        <f aca="false">IF(AE34="","",IF(AE34&gt;=設定!$D$15,"A",IF(AE34&gt;=設定!$E$15,"B","C")))</f>
        <v>A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20" t="n">
        <v>45</v>
      </c>
      <c r="D35" s="19" t="n">
        <v>52</v>
      </c>
      <c r="E35" s="19" t="n">
        <v>46</v>
      </c>
      <c r="F35" s="19"/>
      <c r="G35" s="19"/>
      <c r="H35" s="19"/>
      <c r="I35" s="19"/>
      <c r="J35" s="19"/>
      <c r="K35" s="19"/>
      <c r="L35" s="19"/>
      <c r="M35" s="19"/>
      <c r="N35" s="17" t="n">
        <f aca="false">IF(COUNT(C35:M35)=0,"",SUM(C35:M35))</f>
        <v>143</v>
      </c>
      <c r="O35" s="17" t="n">
        <f aca="false">IF(OR(N35="",$N$4-SUMIF(C35:M35,"欠",$C$4:$M$4)&lt;=0),"",ROUND(N35/($N$4-SUMIF(C35:M35,"欠",$C$4:$M$4))*100,0))</f>
        <v>79</v>
      </c>
      <c r="P35" s="17" t="str">
        <f aca="false">IF(O35="","",IF(O35&gt;=設定!$D$15,"A",IF(O35&gt;=設定!$E$15,"B","C")))</f>
        <v>B</v>
      </c>
      <c r="Q35" s="20" t="n">
        <v>25</v>
      </c>
      <c r="R35" s="19" t="n">
        <v>30</v>
      </c>
      <c r="S35" s="19" t="n">
        <v>35</v>
      </c>
      <c r="T35" s="19"/>
      <c r="U35" s="19"/>
      <c r="V35" s="19"/>
      <c r="W35" s="19"/>
      <c r="X35" s="19"/>
      <c r="Y35" s="19"/>
      <c r="Z35" s="19"/>
      <c r="AA35" s="17" t="n">
        <f aca="false">IF(COUNT(Q35:Z35)=0,"",SUM(Q35:Z35))</f>
        <v>90</v>
      </c>
      <c r="AB35" s="17" t="n">
        <f aca="false">IF(OR(AA35="",$AA$4-SUMIF(Q35:Z35,"欠",$Q$4:$Z$4)&lt;=0),"",ROUND(AA35/($AA$4-SUMIF(Q35:Z35,"欠",$Q$4:$Z$4))*100,0))</f>
        <v>75</v>
      </c>
      <c r="AC35" s="17" t="str">
        <f aca="false">IF(AB35="","",IF(AB35&gt;=設定!$D$15,"A",IF(AB35&gt;=設定!$E$15,"B","C")))</f>
        <v>B</v>
      </c>
      <c r="AD35" s="17" t="n">
        <f aca="false">IF(AND(N35="",AA35=""),"",IF(N35="",0,N35)+IF(AA35="",0,AA35))</f>
        <v>233</v>
      </c>
      <c r="AE35" s="17" t="n">
        <f aca="false">IF(AD35="","",IF($AD$4-SUMIF(C35:M35,"欠",$C$4:$M$4)-SUMIF(Q35:Z35,"欠",$Q$4:$Z$4)&lt;=0,"",ROUND(AD35/($AD$4-SUMIF(C35:M35,"欠",$C$4:$M$4)-SUMIF(Q35:Z35,"欠",$Q$4:$Z$4))*100,0)))</f>
        <v>78</v>
      </c>
      <c r="AF35" s="17" t="str">
        <f aca="false">IF(AE35="","",IF(AE35&gt;=設定!$D$15,"A",IF(AE35&gt;=設定!$E$15,"B","C")))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20" t="n">
        <v>54</v>
      </c>
      <c r="D36" s="19" t="n">
        <v>48</v>
      </c>
      <c r="E36" s="19" t="n">
        <v>59</v>
      </c>
      <c r="F36" s="19"/>
      <c r="G36" s="19"/>
      <c r="H36" s="19"/>
      <c r="I36" s="19"/>
      <c r="J36" s="19"/>
      <c r="K36" s="19"/>
      <c r="L36" s="19"/>
      <c r="M36" s="19"/>
      <c r="N36" s="17" t="n">
        <f aca="false">IF(COUNT(C36:M36)=0,"",SUM(C36:M36))</f>
        <v>161</v>
      </c>
      <c r="O36" s="17" t="n">
        <f aca="false">IF(OR(N36="",$N$4-SUMIF(C36:M36,"欠",$C$4:$M$4)&lt;=0),"",ROUND(N36/($N$4-SUMIF(C36:M36,"欠",$C$4:$M$4))*100,0))</f>
        <v>89</v>
      </c>
      <c r="P36" s="17" t="str">
        <f aca="false">IF(O36="","",IF(O36&gt;=設定!$D$15,"A",IF(O36&gt;=設定!$E$15,"B","C")))</f>
        <v>B</v>
      </c>
      <c r="Q36" s="20" t="n">
        <v>32</v>
      </c>
      <c r="R36" s="19" t="n">
        <v>34</v>
      </c>
      <c r="S36" s="19" t="n">
        <v>38</v>
      </c>
      <c r="T36" s="19"/>
      <c r="U36" s="19"/>
      <c r="V36" s="19"/>
      <c r="W36" s="19"/>
      <c r="X36" s="19"/>
      <c r="Y36" s="19"/>
      <c r="Z36" s="19"/>
      <c r="AA36" s="17" t="n">
        <f aca="false">IF(COUNT(Q36:Z36)=0,"",SUM(Q36:Z36))</f>
        <v>104</v>
      </c>
      <c r="AB36" s="17" t="n">
        <f aca="false">IF(OR(AA36="",$AA$4-SUMIF(Q36:Z36,"欠",$Q$4:$Z$4)&lt;=0),"",ROUND(AA36/($AA$4-SUMIF(Q36:Z36,"欠",$Q$4:$Z$4))*100,0))</f>
        <v>87</v>
      </c>
      <c r="AC36" s="17" t="str">
        <f aca="false">IF(AB36="","",IF(AB36&gt;=設定!$D$15,"A",IF(AB36&gt;=設定!$E$15,"B","C")))</f>
        <v>B</v>
      </c>
      <c r="AD36" s="17" t="n">
        <f aca="false">IF(AND(N36="",AA36=""),"",IF(N36="",0,N36)+IF(AA36="",0,AA36))</f>
        <v>265</v>
      </c>
      <c r="AE36" s="17" t="n">
        <f aca="false">IF(AD36="","",IF($AD$4-SUMIF(C36:M36,"欠",$C$4:$M$4)-SUMIF(Q36:Z36,"欠",$Q$4:$Z$4)&lt;=0,"",ROUND(AD36/($AD$4-SUMIF(C36:M36,"欠",$C$4:$M$4)-SUMIF(Q36:Z36,"欠",$Q$4:$Z$4))*100,0)))</f>
        <v>88</v>
      </c>
      <c r="AF36" s="17" t="str">
        <f aca="false">IF(AE36="","",IF(AE36&gt;=設定!$D$15,"A",IF(AE36&gt;=設定!$E$15,"B","C")))</f>
        <v>B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20" t="n">
        <v>48</v>
      </c>
      <c r="D37" s="19" t="n">
        <v>44</v>
      </c>
      <c r="E37" s="19" t="n">
        <v>50</v>
      </c>
      <c r="F37" s="19"/>
      <c r="G37" s="19"/>
      <c r="H37" s="19"/>
      <c r="I37" s="19"/>
      <c r="J37" s="19"/>
      <c r="K37" s="19"/>
      <c r="L37" s="19"/>
      <c r="M37" s="19"/>
      <c r="N37" s="17" t="n">
        <f aca="false">IF(COUNT(C37:M37)=0,"",SUM(C37:M37))</f>
        <v>142</v>
      </c>
      <c r="O37" s="17" t="n">
        <f aca="false">IF(OR(N37="",$N$4-SUMIF(C37:M37,"欠",$C$4:$M$4)&lt;=0),"",ROUND(N37/($N$4-SUMIF(C37:M37,"欠",$C$4:$M$4))*100,0))</f>
        <v>79</v>
      </c>
      <c r="P37" s="17" t="str">
        <f aca="false">IF(O37="","",IF(O37&gt;=設定!$D$15,"A",IF(O37&gt;=設定!$E$15,"B","C")))</f>
        <v>B</v>
      </c>
      <c r="Q37" s="20" t="n">
        <v>31</v>
      </c>
      <c r="R37" s="19" t="n">
        <v>29</v>
      </c>
      <c r="S37" s="19" t="n">
        <v>29</v>
      </c>
      <c r="T37" s="19"/>
      <c r="U37" s="19"/>
      <c r="V37" s="19"/>
      <c r="W37" s="19"/>
      <c r="X37" s="19"/>
      <c r="Y37" s="19"/>
      <c r="Z37" s="19"/>
      <c r="AA37" s="17" t="n">
        <f aca="false">IF(COUNT(Q37:Z37)=0,"",SUM(Q37:Z37))</f>
        <v>89</v>
      </c>
      <c r="AB37" s="17" t="n">
        <f aca="false">IF(OR(AA37="",$AA$4-SUMIF(Q37:Z37,"欠",$Q$4:$Z$4)&lt;=0),"",ROUND(AA37/($AA$4-SUMIF(Q37:Z37,"欠",$Q$4:$Z$4))*100,0))</f>
        <v>74</v>
      </c>
      <c r="AC37" s="17" t="str">
        <f aca="false">IF(AB37="","",IF(AB37&gt;=設定!$D$15,"A",IF(AB37&gt;=設定!$E$15,"B","C")))</f>
        <v>B</v>
      </c>
      <c r="AD37" s="17" t="n">
        <f aca="false">IF(AND(N37="",AA37=""),"",IF(N37="",0,N37)+IF(AA37="",0,AA37))</f>
        <v>231</v>
      </c>
      <c r="AE37" s="17" t="n">
        <f aca="false">IF(AD37="","",IF($AD$4-SUMIF(C37:M37,"欠",$C$4:$M$4)-SUMIF(Q37:Z37,"欠",$Q$4:$Z$4)&lt;=0,"",ROUND(AD37/($AD$4-SUMIF(C37:M37,"欠",$C$4:$M$4)-SUMIF(Q37:Z37,"欠",$Q$4:$Z$4))*100,0)))</f>
        <v>77</v>
      </c>
      <c r="AF37" s="17" t="str">
        <f aca="false">IF(AE37="","",IF(AE37&gt;=設定!$D$15,"A",IF(AE37&gt;=設定!$E$15,"B","C")))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20" t="n">
        <v>41</v>
      </c>
      <c r="D38" s="19" t="n">
        <v>49</v>
      </c>
      <c r="E38" s="19" t="n">
        <v>47</v>
      </c>
      <c r="F38" s="19"/>
      <c r="G38" s="19"/>
      <c r="H38" s="19"/>
      <c r="I38" s="19"/>
      <c r="J38" s="19"/>
      <c r="K38" s="19"/>
      <c r="L38" s="19"/>
      <c r="M38" s="19"/>
      <c r="N38" s="17" t="n">
        <f aca="false">IF(COUNT(C38:M38)=0,"",SUM(C38:M38))</f>
        <v>137</v>
      </c>
      <c r="O38" s="17" t="n">
        <f aca="false">IF(OR(N38="",$N$4-SUMIF(C38:M38,"欠",$C$4:$M$4)&lt;=0),"",ROUND(N38/($N$4-SUMIF(C38:M38,"欠",$C$4:$M$4))*100,0))</f>
        <v>76</v>
      </c>
      <c r="P38" s="17" t="str">
        <f aca="false">IF(O38="","",IF(O38&gt;=設定!$D$15,"A",IF(O38&gt;=設定!$E$15,"B","C")))</f>
        <v>B</v>
      </c>
      <c r="Q38" s="20" t="n">
        <v>30</v>
      </c>
      <c r="R38" s="19" t="n">
        <v>24</v>
      </c>
      <c r="S38" s="19" t="n">
        <v>30</v>
      </c>
      <c r="T38" s="19"/>
      <c r="U38" s="19"/>
      <c r="V38" s="19"/>
      <c r="W38" s="19"/>
      <c r="X38" s="19"/>
      <c r="Y38" s="19"/>
      <c r="Z38" s="19"/>
      <c r="AA38" s="17" t="n">
        <f aca="false">IF(COUNT(Q38:Z38)=0,"",SUM(Q38:Z38))</f>
        <v>84</v>
      </c>
      <c r="AB38" s="17" t="n">
        <f aca="false">IF(OR(AA38="",$AA$4-SUMIF(Q38:Z38,"欠",$Q$4:$Z$4)&lt;=0),"",ROUND(AA38/($AA$4-SUMIF(Q38:Z38,"欠",$Q$4:$Z$4))*100,0))</f>
        <v>70</v>
      </c>
      <c r="AC38" s="17" t="str">
        <f aca="false">IF(AB38="","",IF(AB38&gt;=設定!$D$15,"A",IF(AB38&gt;=設定!$E$15,"B","C")))</f>
        <v>B</v>
      </c>
      <c r="AD38" s="17" t="n">
        <f aca="false">IF(AND(N38="",AA38=""),"",IF(N38="",0,N38)+IF(AA38="",0,AA38))</f>
        <v>221</v>
      </c>
      <c r="AE38" s="17" t="n">
        <f aca="false">IF(AD38="","",IF($AD$4-SUMIF(C38:M38,"欠",$C$4:$M$4)-SUMIF(Q38:Z38,"欠",$Q$4:$Z$4)&lt;=0,"",ROUND(AD38/($AD$4-SUMIF(C38:M38,"欠",$C$4:$M$4)-SUMIF(Q38:Z38,"欠",$Q$4:$Z$4))*100,0)))</f>
        <v>74</v>
      </c>
      <c r="AF38" s="17" t="str">
        <f aca="false">IF(AE38="","",IF(AE38&gt;=設定!$D$15,"A",IF(AE38&gt;=設定!$E$15,"B","C")))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20" t="n">
        <v>47</v>
      </c>
      <c r="D39" s="19" t="n">
        <v>53</v>
      </c>
      <c r="E39" s="19" t="n">
        <v>51</v>
      </c>
      <c r="F39" s="19"/>
      <c r="G39" s="19"/>
      <c r="H39" s="19"/>
      <c r="I39" s="19"/>
      <c r="J39" s="19"/>
      <c r="K39" s="19"/>
      <c r="L39" s="19"/>
      <c r="M39" s="19"/>
      <c r="N39" s="17" t="n">
        <f aca="false">IF(COUNT(C39:M39)=0,"",SUM(C39:M39))</f>
        <v>151</v>
      </c>
      <c r="O39" s="17" t="n">
        <f aca="false">IF(OR(N39="",$N$4-SUMIF(C39:M39,"欠",$C$4:$M$4)&lt;=0),"",ROUND(N39/($N$4-SUMIF(C39:M39,"欠",$C$4:$M$4))*100,0))</f>
        <v>84</v>
      </c>
      <c r="P39" s="17" t="str">
        <f aca="false">IF(O39="","",IF(O39&gt;=設定!$D$15,"A",IF(O39&gt;=設定!$E$15,"B","C")))</f>
        <v>B</v>
      </c>
      <c r="Q39" s="20" t="n">
        <v>39</v>
      </c>
      <c r="R39" s="19" t="n">
        <v>29</v>
      </c>
      <c r="S39" s="19" t="n">
        <v>32</v>
      </c>
      <c r="T39" s="19"/>
      <c r="U39" s="19"/>
      <c r="V39" s="19"/>
      <c r="W39" s="19"/>
      <c r="X39" s="19"/>
      <c r="Y39" s="19"/>
      <c r="Z39" s="19"/>
      <c r="AA39" s="17" t="n">
        <f aca="false">IF(COUNT(Q39:Z39)=0,"",SUM(Q39:Z39))</f>
        <v>100</v>
      </c>
      <c r="AB39" s="17" t="n">
        <f aca="false">IF(OR(AA39="",$AA$4-SUMIF(Q39:Z39,"欠",$Q$4:$Z$4)&lt;=0),"",ROUND(AA39/($AA$4-SUMIF(Q39:Z39,"欠",$Q$4:$Z$4))*100,0))</f>
        <v>83</v>
      </c>
      <c r="AC39" s="17" t="str">
        <f aca="false">IF(AB39="","",IF(AB39&gt;=設定!$D$15,"A",IF(AB39&gt;=設定!$E$15,"B","C")))</f>
        <v>B</v>
      </c>
      <c r="AD39" s="17" t="n">
        <f aca="false">IF(AND(N39="",AA39=""),"",IF(N39="",0,N39)+IF(AA39="",0,AA39))</f>
        <v>251</v>
      </c>
      <c r="AE39" s="17" t="n">
        <f aca="false">IF(AD39="","",IF($AD$4-SUMIF(C39:M39,"欠",$C$4:$M$4)-SUMIF(Q39:Z39,"欠",$Q$4:$Z$4)&lt;=0,"",ROUND(AD39/($AD$4-SUMIF(C39:M39,"欠",$C$4:$M$4)-SUMIF(Q39:Z39,"欠",$Q$4:$Z$4))*100,0)))</f>
        <v>84</v>
      </c>
      <c r="AF39" s="17" t="str">
        <f aca="false">IF(AE39="","",IF(AE39&gt;=設定!$D$15,"A",IF(AE39&gt;=設定!$E$15,"B","C")))</f>
        <v>B</v>
      </c>
    </row>
    <row r="40" s="50" customFormat="true" ht="19.5" hidden="false" customHeight="true" outlineLevel="0" collapsed="false">
      <c r="A40" s="48"/>
      <c r="B40" s="49" t="s">
        <v>81</v>
      </c>
      <c r="C40" s="49" t="n">
        <f aca="false">IF(COUNT(C5:C39)=0,"",ROUND(AVERAGE(C5:C39),1))</f>
        <v>50.5</v>
      </c>
      <c r="D40" s="49" t="n">
        <f aca="false">IF(COUNT(D5:D39)=0,"",ROUND(AVERAGE(D5:D39),1))</f>
        <v>50.9</v>
      </c>
      <c r="E40" s="49" t="n">
        <f aca="false">IF(COUNT(E5:E39)=0,"",ROUND(AVERAGE(E5:E39),1))</f>
        <v>50.6</v>
      </c>
      <c r="F40" s="49" t="str">
        <f aca="false">IF(COUNT(F5:F39)=0,"",ROUND(AVERAGE(F5:F39),1))</f>
        <v/>
      </c>
      <c r="G40" s="49" t="str">
        <f aca="false">IF(COUNT(G5:G39)=0,"",ROUND(AVERAGE(G5:G39),1))</f>
        <v/>
      </c>
      <c r="H40" s="49" t="str">
        <f aca="false">IF(COUNT(H5:H39)=0,"",ROUND(AVERAGE(H5:H39),1))</f>
        <v/>
      </c>
      <c r="I40" s="49" t="str">
        <f aca="false">IF(COUNT(I5:I39)=0,"",ROUND(AVERAGE(I5:I39),1))</f>
        <v/>
      </c>
      <c r="J40" s="49" t="str">
        <f aca="false">IF(COUNT(J5:J39)=0,"",ROUND(AVERAGE(J5:J39),1))</f>
        <v/>
      </c>
      <c r="K40" s="49" t="str">
        <f aca="false">IF(COUNT(K5:K39)=0,"",ROUND(AVERAGE(K5:K39),1))</f>
        <v/>
      </c>
      <c r="L40" s="49" t="str">
        <f aca="false">IF(COUNT(L5:L39)=0,"",ROUND(AVERAGE(L5:L39),1))</f>
        <v/>
      </c>
      <c r="M40" s="49" t="str">
        <f aca="false">IF(COUNT(M5:M39)=0,"",ROUND(AVERAGE(M5:M39),1))</f>
        <v/>
      </c>
      <c r="N40" s="49" t="n">
        <f aca="false">IF(COUNT(N5:N39)=0,"",ROUND(AVERAGE(N5:N39),1))</f>
        <v>150.5</v>
      </c>
      <c r="O40" s="49" t="n">
        <f aca="false">IF(COUNT(O5:O39)=0,"",ROUND(AVERAGE(O5:O39),1))</f>
        <v>84.3</v>
      </c>
      <c r="P40" s="49"/>
      <c r="Q40" s="49" t="n">
        <f aca="false">IF(COUNT(Q5:Q39)=0,"",ROUND(AVERAGE(Q5:Q39),1))</f>
        <v>30.1</v>
      </c>
      <c r="R40" s="49" t="n">
        <f aca="false">IF(COUNT(R5:R39)=0,"",ROUND(AVERAGE(R5:R39),1))</f>
        <v>29.1</v>
      </c>
      <c r="S40" s="49" t="n">
        <f aca="false">IF(COUNT(S5:S39)=0,"",ROUND(AVERAGE(S5:S39),1))</f>
        <v>31.1</v>
      </c>
      <c r="T40" s="49" t="str">
        <f aca="false">IF(COUNT(T5:T39)=0,"",ROUND(AVERAGE(T5:T39),1))</f>
        <v/>
      </c>
      <c r="U40" s="49" t="str">
        <f aca="false">IF(COUNT(U5:U39)=0,"",ROUND(AVERAGE(U5:U39),1))</f>
        <v/>
      </c>
      <c r="V40" s="49" t="str">
        <f aca="false">IF(COUNT(V5:V39)=0,"",ROUND(AVERAGE(V5:V39),1))</f>
        <v/>
      </c>
      <c r="W40" s="49" t="str">
        <f aca="false">IF(COUNT(W5:W39)=0,"",ROUND(AVERAGE(W5:W39),1))</f>
        <v/>
      </c>
      <c r="X40" s="49" t="str">
        <f aca="false">IF(COUNT(X5:X39)=0,"",ROUND(AVERAGE(X5:X39),1))</f>
        <v/>
      </c>
      <c r="Y40" s="49" t="str">
        <f aca="false">IF(COUNT(Y5:Y39)=0,"",ROUND(AVERAGE(Y5:Y39),1))</f>
        <v/>
      </c>
      <c r="Z40" s="49" t="str">
        <f aca="false">IF(COUNT(Z5:Z39)=0,"",ROUND(AVERAGE(Z5:Z39),1))</f>
        <v/>
      </c>
      <c r="AA40" s="49" t="n">
        <f aca="false">IF(COUNT(AA5:AA39)=0,"",ROUND(AVERAGE(AA5:AA39),1))</f>
        <v>89.5</v>
      </c>
      <c r="AB40" s="49" t="n">
        <f aca="false">IF(COUNT(AB5:AB39)=0,"",ROUND(AVERAGE(AB5:AB39),1))</f>
        <v>75.3</v>
      </c>
      <c r="AC40" s="49"/>
      <c r="AD40" s="49" t="n">
        <f aca="false">IF(COUNT(AD5:AD39)=0,"",ROUND(AVERAGE(AD5:AD39),1))</f>
        <v>240.1</v>
      </c>
      <c r="AE40" s="49" t="n">
        <f aca="false">IF(COUNT(AE5:AE39)=0,"",ROUND(AVERAGE(AE5:AE39),1))</f>
        <v>80.8</v>
      </c>
      <c r="AF40" s="49"/>
    </row>
    <row r="41" s="50" customFormat="true" ht="19.5" hidden="false" customHeight="true" outlineLevel="0" collapsed="false">
      <c r="A41" s="49"/>
      <c r="B41" s="49" t="s">
        <v>82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 t="n">
        <f aca="false">COUNTIF(P5:P39,"A")</f>
        <v>13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 t="n">
        <f aca="false">COUNTIF(AC5:AC39,"A")</f>
        <v>6</v>
      </c>
      <c r="AD41" s="49"/>
      <c r="AE41" s="49"/>
      <c r="AF41" s="49" t="n">
        <f aca="false">COUNTIF(AF5:AF39,"A")</f>
        <v>11</v>
      </c>
    </row>
    <row r="42" s="50" customFormat="true" ht="19.5" hidden="false" customHeight="true" outlineLevel="0" collapsed="false">
      <c r="A42" s="49"/>
      <c r="B42" s="49" t="s">
        <v>83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n">
        <f aca="false">COUNTIF(P5:P39,"B")</f>
        <v>21</v>
      </c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 t="n">
        <f aca="false">COUNTIF(AC5:AC39,"B")</f>
        <v>24</v>
      </c>
      <c r="AD42" s="49"/>
      <c r="AE42" s="49"/>
      <c r="AF42" s="49" t="n">
        <f aca="false">COUNTIF(AF5:AF39,"B")</f>
        <v>23</v>
      </c>
    </row>
    <row r="43" s="50" customFormat="true" ht="19.5" hidden="false" customHeight="true" outlineLevel="0" collapsed="false">
      <c r="A43" s="49"/>
      <c r="B43" s="49" t="s">
        <v>84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 t="n">
        <f aca="false">COUNTIF(P5:P39,"C")</f>
        <v>1</v>
      </c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 t="n">
        <f aca="false">COUNTIF(AC5:AC39,"C")</f>
        <v>5</v>
      </c>
      <c r="AD43" s="49"/>
      <c r="AE43" s="49"/>
      <c r="AF43" s="49" t="n">
        <f aca="false">COUNTIF(AF5:AF39,"C")</f>
        <v>1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N5" activeCellId="0" sqref="N5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113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customFormat="false" ht="19.5" hidden="false" customHeight="true" outlineLevel="0" collapsed="false">
      <c r="A2" s="51" t="s">
        <v>62</v>
      </c>
      <c r="B2" s="51"/>
      <c r="C2" s="51" t="s">
        <v>63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 t="s">
        <v>64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 t="s">
        <v>65</v>
      </c>
      <c r="AE2" s="51"/>
      <c r="AF2" s="51"/>
    </row>
    <row r="3" customFormat="false" ht="178.5" hidden="false" customHeight="true" outlineLevel="0" collapsed="false">
      <c r="A3" s="51" t="s">
        <v>66</v>
      </c>
      <c r="B3" s="51"/>
      <c r="C3" s="52" t="s">
        <v>114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3" t="s">
        <v>73</v>
      </c>
      <c r="O3" s="53" t="s">
        <v>74</v>
      </c>
      <c r="P3" s="53" t="s">
        <v>75</v>
      </c>
      <c r="Q3" s="52" t="s">
        <v>114</v>
      </c>
      <c r="R3" s="52"/>
      <c r="S3" s="52"/>
      <c r="T3" s="52"/>
      <c r="U3" s="52"/>
      <c r="V3" s="52"/>
      <c r="W3" s="52"/>
      <c r="X3" s="52"/>
      <c r="Y3" s="52"/>
      <c r="Z3" s="52"/>
      <c r="AA3" s="53" t="s">
        <v>73</v>
      </c>
      <c r="AB3" s="53" t="s">
        <v>74</v>
      </c>
      <c r="AC3" s="53" t="s">
        <v>75</v>
      </c>
      <c r="AD3" s="53" t="s">
        <v>76</v>
      </c>
      <c r="AE3" s="53" t="s">
        <v>77</v>
      </c>
      <c r="AF3" s="53" t="s">
        <v>78</v>
      </c>
    </row>
    <row r="4" customFormat="false" ht="21.75" hidden="false" customHeight="true" outlineLevel="0" collapsed="false">
      <c r="A4" s="51" t="s">
        <v>1</v>
      </c>
      <c r="B4" s="51" t="s">
        <v>79</v>
      </c>
      <c r="C4" s="54" t="n">
        <v>60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5" t="n">
        <f aca="false">SUM(C4:M4)</f>
        <v>60</v>
      </c>
      <c r="O4" s="55"/>
      <c r="P4" s="55"/>
      <c r="Q4" s="54" t="n">
        <v>40</v>
      </c>
      <c r="R4" s="54"/>
      <c r="S4" s="54"/>
      <c r="T4" s="54"/>
      <c r="U4" s="54"/>
      <c r="V4" s="54"/>
      <c r="W4" s="54"/>
      <c r="X4" s="54"/>
      <c r="Y4" s="54"/>
      <c r="Z4" s="54"/>
      <c r="AA4" s="51" t="n">
        <f aca="false">SUM(Q4:Z4)</f>
        <v>40</v>
      </c>
      <c r="AB4" s="51"/>
      <c r="AC4" s="51"/>
      <c r="AD4" s="51" t="n">
        <f aca="false">N4+AA4</f>
        <v>100</v>
      </c>
      <c r="AE4" s="51"/>
      <c r="AF4" s="51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60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7" t="n">
        <f aca="false">IF(COUNT(C5:M5)=0,"",SUM(C5:M5))</f>
        <v>60</v>
      </c>
      <c r="O5" s="17" t="n">
        <f aca="false">IF(OR(N5="",$N$4-SUMIF(C5:M5,"欠",$C$4:$M$4)&lt;=0),"",ROUND(N5/($N$4-SUMIF(C5:M5,"欠",$C$4:$M$4))*100,0))</f>
        <v>100</v>
      </c>
      <c r="P5" s="17" t="str">
        <f aca="false">IF(O5="","",IF(O5&gt;=設定!$D$16,"A",IF(O5&gt;=設定!$E$16,"B","C")))</f>
        <v>A</v>
      </c>
      <c r="Q5" s="19" t="n">
        <v>39</v>
      </c>
      <c r="R5" s="19"/>
      <c r="S5" s="19"/>
      <c r="T5" s="19"/>
      <c r="U5" s="19"/>
      <c r="V5" s="19"/>
      <c r="W5" s="19"/>
      <c r="X5" s="19"/>
      <c r="Y5" s="19"/>
      <c r="Z5" s="19"/>
      <c r="AA5" s="17" t="n">
        <f aca="false">IF(COUNT(Q5:Z5)=0,"",SUM(Q5:Z5))</f>
        <v>39</v>
      </c>
      <c r="AB5" s="17" t="n">
        <f aca="false">IF(OR(AA5="",$AA$4-SUMIF(Q5:Z5,"欠",$Q$4:$Z$4)&lt;=0),"",ROUND(AA5/($AA$4-SUMIF(Q5:Z5,"欠",$Q$4:$Z$4))*100,0))</f>
        <v>98</v>
      </c>
      <c r="AC5" s="17" t="str">
        <f aca="false">IF(AB5="","",IF(AB5&gt;=設定!$D$16,"A",IF(AB5&gt;=設定!$E$16,"B","C")))</f>
        <v>A</v>
      </c>
      <c r="AD5" s="17" t="n">
        <f aca="false">IF(AND(N5="",AA5=""),"",IF(N5="",0,N5)+IF(AA5="",0,AA5))</f>
        <v>99</v>
      </c>
      <c r="AE5" s="17" t="n">
        <f aca="false">IF(AD5="","",IF($AD$4-SUMIF(C5:M5,"欠",$C$4:$M$4)-SUMIF(Q5:Z5,"欠",$Q$4:$Z$4)&lt;=0,"",ROUND(AD5/($AD$4-SUMIF(C5:M5,"欠",$C$4:$M$4)-SUMIF(Q5:Z5,"欠",$Q$4:$Z$4))*100,0)))</f>
        <v>99</v>
      </c>
      <c r="AF5" s="17" t="str">
        <f aca="false">IF(AE5="","",IF(AE5&gt;=設定!$D$16,"A",IF(AE5&gt;=設定!$E$16,"B","C")))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52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7" t="n">
        <f aca="false">IF(COUNT(C6:M6)=0,"",SUM(C6:M6))</f>
        <v>52</v>
      </c>
      <c r="O6" s="17" t="n">
        <f aca="false">IF(OR(N6="",$N$4-SUMIF(C6:M6,"欠",$C$4:$M$4)&lt;=0),"",ROUND(N6/($N$4-SUMIF(C6:M6,"欠",$C$4:$M$4))*100,0))</f>
        <v>87</v>
      </c>
      <c r="P6" s="17" t="str">
        <f aca="false">IF(O6="","",IF(O6&gt;=設定!$D$16,"A",IF(O6&gt;=設定!$E$16,"B","C")))</f>
        <v>B</v>
      </c>
      <c r="Q6" s="19" t="n">
        <v>34</v>
      </c>
      <c r="R6" s="19"/>
      <c r="S6" s="19"/>
      <c r="T6" s="19"/>
      <c r="U6" s="19"/>
      <c r="V6" s="19"/>
      <c r="W6" s="19"/>
      <c r="X6" s="19"/>
      <c r="Y6" s="19"/>
      <c r="Z6" s="19"/>
      <c r="AA6" s="17" t="n">
        <f aca="false">IF(COUNT(Q6:Z6)=0,"",SUM(Q6:Z6))</f>
        <v>34</v>
      </c>
      <c r="AB6" s="17" t="n">
        <f aca="false">IF(OR(AA6="",$AA$4-SUMIF(Q6:Z6,"欠",$Q$4:$Z$4)&lt;=0),"",ROUND(AA6/($AA$4-SUMIF(Q6:Z6,"欠",$Q$4:$Z$4))*100,0))</f>
        <v>85</v>
      </c>
      <c r="AC6" s="17" t="str">
        <f aca="false">IF(AB6="","",IF(AB6&gt;=設定!$D$16,"A",IF(AB6&gt;=設定!$E$16,"B","C")))</f>
        <v>B</v>
      </c>
      <c r="AD6" s="17" t="n">
        <f aca="false">IF(AND(N6="",AA6=""),"",IF(N6="",0,N6)+IF(AA6="",0,AA6))</f>
        <v>86</v>
      </c>
      <c r="AE6" s="17" t="n">
        <f aca="false">IF(AD6="","",IF($AD$4-SUMIF(C6:M6,"欠",$C$4:$M$4)-SUMIF(Q6:Z6,"欠",$Q$4:$Z$4)&lt;=0,"",ROUND(AD6/($AD$4-SUMIF(C6:M6,"欠",$C$4:$M$4)-SUMIF(Q6:Z6,"欠",$Q$4:$Z$4))*100,0)))</f>
        <v>86</v>
      </c>
      <c r="AF6" s="17" t="str">
        <f aca="false">IF(AE6="","",IF(AE6&gt;=設定!$D$16,"A",IF(AE6&gt;=設定!$E$16,"B","C")))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52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7" t="n">
        <f aca="false">IF(COUNT(C7:M7)=0,"",SUM(C7:M7))</f>
        <v>52</v>
      </c>
      <c r="O7" s="17" t="n">
        <f aca="false">IF(OR(N7="",$N$4-SUMIF(C7:M7,"欠",$C$4:$M$4)&lt;=0),"",ROUND(N7/($N$4-SUMIF(C7:M7,"欠",$C$4:$M$4))*100,0))</f>
        <v>87</v>
      </c>
      <c r="P7" s="17" t="str">
        <f aca="false">IF(O7="","",IF(O7&gt;=設定!$D$16,"A",IF(O7&gt;=設定!$E$16,"B","C")))</f>
        <v>B</v>
      </c>
      <c r="Q7" s="19" t="n">
        <v>36</v>
      </c>
      <c r="R7" s="19"/>
      <c r="S7" s="19"/>
      <c r="T7" s="19"/>
      <c r="U7" s="19"/>
      <c r="V7" s="19"/>
      <c r="W7" s="19"/>
      <c r="X7" s="19"/>
      <c r="Y7" s="19"/>
      <c r="Z7" s="19"/>
      <c r="AA7" s="17" t="n">
        <f aca="false">IF(COUNT(Q7:Z7)=0,"",SUM(Q7:Z7))</f>
        <v>36</v>
      </c>
      <c r="AB7" s="17" t="n">
        <f aca="false">IF(OR(AA7="",$AA$4-SUMIF(Q7:Z7,"欠",$Q$4:$Z$4)&lt;=0),"",ROUND(AA7/($AA$4-SUMIF(Q7:Z7,"欠",$Q$4:$Z$4))*100,0))</f>
        <v>90</v>
      </c>
      <c r="AC7" s="17" t="str">
        <f aca="false">IF(AB7="","",IF(AB7&gt;=設定!$D$16,"A",IF(AB7&gt;=設定!$E$16,"B","C")))</f>
        <v>A</v>
      </c>
      <c r="AD7" s="17" t="n">
        <f aca="false">IF(AND(N7="",AA7=""),"",IF(N7="",0,N7)+IF(AA7="",0,AA7))</f>
        <v>88</v>
      </c>
      <c r="AE7" s="17" t="n">
        <f aca="false">IF(AD7="","",IF($AD$4-SUMIF(C7:M7,"欠",$C$4:$M$4)-SUMIF(Q7:Z7,"欠",$Q$4:$Z$4)&lt;=0,"",ROUND(AD7/($AD$4-SUMIF(C7:M7,"欠",$C$4:$M$4)-SUMIF(Q7:Z7,"欠",$Q$4:$Z$4))*100,0)))</f>
        <v>88</v>
      </c>
      <c r="AF7" s="17" t="str">
        <f aca="false">IF(AE7="","",IF(AE7&gt;=設定!$D$16,"A",IF(AE7&gt;=設定!$E$16,"B","C")))</f>
        <v>B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52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7" t="n">
        <f aca="false">IF(COUNT(C8:M8)=0,"",SUM(C8:M8))</f>
        <v>52</v>
      </c>
      <c r="O8" s="17" t="n">
        <f aca="false">IF(OR(N8="",$N$4-SUMIF(C8:M8,"欠",$C$4:$M$4)&lt;=0),"",ROUND(N8/($N$4-SUMIF(C8:M8,"欠",$C$4:$M$4))*100,0))</f>
        <v>87</v>
      </c>
      <c r="P8" s="17" t="str">
        <f aca="false">IF(O8="","",IF(O8&gt;=設定!$D$16,"A",IF(O8&gt;=設定!$E$16,"B","C")))</f>
        <v>B</v>
      </c>
      <c r="Q8" s="19" t="n">
        <v>29</v>
      </c>
      <c r="R8" s="19"/>
      <c r="S8" s="19"/>
      <c r="T8" s="19"/>
      <c r="U8" s="19"/>
      <c r="V8" s="19"/>
      <c r="W8" s="19"/>
      <c r="X8" s="19"/>
      <c r="Y8" s="19"/>
      <c r="Z8" s="19"/>
      <c r="AA8" s="17" t="n">
        <f aca="false">IF(COUNT(Q8:Z8)=0,"",SUM(Q8:Z8))</f>
        <v>29</v>
      </c>
      <c r="AB8" s="17" t="n">
        <f aca="false">IF(OR(AA8="",$AA$4-SUMIF(Q8:Z8,"欠",$Q$4:$Z$4)&lt;=0),"",ROUND(AA8/($AA$4-SUMIF(Q8:Z8,"欠",$Q$4:$Z$4))*100,0))</f>
        <v>73</v>
      </c>
      <c r="AC8" s="17" t="str">
        <f aca="false">IF(AB8="","",IF(AB8&gt;=設定!$D$16,"A",IF(AB8&gt;=設定!$E$16,"B","C")))</f>
        <v>B</v>
      </c>
      <c r="AD8" s="17" t="n">
        <f aca="false">IF(AND(N8="",AA8=""),"",IF(N8="",0,N8)+IF(AA8="",0,AA8))</f>
        <v>81</v>
      </c>
      <c r="AE8" s="17" t="n">
        <f aca="false">IF(AD8="","",IF($AD$4-SUMIF(C8:M8,"欠",$C$4:$M$4)-SUMIF(Q8:Z8,"欠",$Q$4:$Z$4)&lt;=0,"",ROUND(AD8/($AD$4-SUMIF(C8:M8,"欠",$C$4:$M$4)-SUMIF(Q8:Z8,"欠",$Q$4:$Z$4))*100,0)))</f>
        <v>81</v>
      </c>
      <c r="AF8" s="17" t="str">
        <f aca="false">IF(AE8="","",IF(AE8&gt;=設定!$D$16,"A",IF(AE8&gt;=設定!$E$16,"B","C")))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56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7" t="n">
        <f aca="false">IF(COUNT(C9:M9)=0,"",SUM(C9:M9))</f>
        <v>56</v>
      </c>
      <c r="O9" s="17" t="n">
        <f aca="false">IF(OR(N9="",$N$4-SUMIF(C9:M9,"欠",$C$4:$M$4)&lt;=0),"",ROUND(N9/($N$4-SUMIF(C9:M9,"欠",$C$4:$M$4))*100,0))</f>
        <v>93</v>
      </c>
      <c r="P9" s="17" t="str">
        <f aca="false">IF(O9="","",IF(O9&gt;=設定!$D$16,"A",IF(O9&gt;=設定!$E$16,"B","C")))</f>
        <v>A</v>
      </c>
      <c r="Q9" s="19" t="n">
        <v>39</v>
      </c>
      <c r="R9" s="19"/>
      <c r="S9" s="19"/>
      <c r="T9" s="19"/>
      <c r="U9" s="19"/>
      <c r="V9" s="19"/>
      <c r="W9" s="19"/>
      <c r="X9" s="19"/>
      <c r="Y9" s="19"/>
      <c r="Z9" s="19"/>
      <c r="AA9" s="17" t="n">
        <f aca="false">IF(COUNT(Q9:Z9)=0,"",SUM(Q9:Z9))</f>
        <v>39</v>
      </c>
      <c r="AB9" s="17" t="n">
        <f aca="false">IF(OR(AA9="",$AA$4-SUMIF(Q9:Z9,"欠",$Q$4:$Z$4)&lt;=0),"",ROUND(AA9/($AA$4-SUMIF(Q9:Z9,"欠",$Q$4:$Z$4))*100,0))</f>
        <v>98</v>
      </c>
      <c r="AC9" s="17" t="str">
        <f aca="false">IF(AB9="","",IF(AB9&gt;=設定!$D$16,"A",IF(AB9&gt;=設定!$E$16,"B","C")))</f>
        <v>A</v>
      </c>
      <c r="AD9" s="17" t="n">
        <f aca="false">IF(AND(N9="",AA9=""),"",IF(N9="",0,N9)+IF(AA9="",0,AA9))</f>
        <v>95</v>
      </c>
      <c r="AE9" s="17" t="n">
        <f aca="false">IF(AD9="","",IF($AD$4-SUMIF(C9:M9,"欠",$C$4:$M$4)-SUMIF(Q9:Z9,"欠",$Q$4:$Z$4)&lt;=0,"",ROUND(AD9/($AD$4-SUMIF(C9:M9,"欠",$C$4:$M$4)-SUMIF(Q9:Z9,"欠",$Q$4:$Z$4))*100,0)))</f>
        <v>95</v>
      </c>
      <c r="AF9" s="17" t="str">
        <f aca="false">IF(AE9="","",IF(AE9&gt;=設定!$D$16,"A",IF(AE9&gt;=設定!$E$16,"B","C")))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49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7" t="n">
        <f aca="false">IF(COUNT(C10:M10)=0,"",SUM(C10:M10))</f>
        <v>49</v>
      </c>
      <c r="O10" s="17" t="n">
        <f aca="false">IF(OR(N10="",$N$4-SUMIF(C10:M10,"欠",$C$4:$M$4)&lt;=0),"",ROUND(N10/($N$4-SUMIF(C10:M10,"欠",$C$4:$M$4))*100,0))</f>
        <v>82</v>
      </c>
      <c r="P10" s="17" t="str">
        <f aca="false">IF(O10="","",IF(O10&gt;=設定!$D$16,"A",IF(O10&gt;=設定!$E$16,"B","C")))</f>
        <v>B</v>
      </c>
      <c r="Q10" s="19" t="n">
        <v>20</v>
      </c>
      <c r="R10" s="19"/>
      <c r="S10" s="19"/>
      <c r="T10" s="19"/>
      <c r="U10" s="19"/>
      <c r="V10" s="19"/>
      <c r="W10" s="19"/>
      <c r="X10" s="19"/>
      <c r="Y10" s="19"/>
      <c r="Z10" s="19"/>
      <c r="AA10" s="17" t="n">
        <f aca="false">IF(COUNT(Q10:Z10)=0,"",SUM(Q10:Z10))</f>
        <v>20</v>
      </c>
      <c r="AB10" s="17" t="n">
        <f aca="false">IF(OR(AA10="",$AA$4-SUMIF(Q10:Z10,"欠",$Q$4:$Z$4)&lt;=0),"",ROUND(AA10/($AA$4-SUMIF(Q10:Z10,"欠",$Q$4:$Z$4))*100,0))</f>
        <v>50</v>
      </c>
      <c r="AC10" s="17" t="str">
        <f aca="false">IF(AB10="","",IF(AB10&gt;=設定!$D$16,"A",IF(AB10&gt;=設定!$E$16,"B","C")))</f>
        <v>C</v>
      </c>
      <c r="AD10" s="17" t="n">
        <f aca="false">IF(AND(N10="",AA10=""),"",IF(N10="",0,N10)+IF(AA10="",0,AA10))</f>
        <v>69</v>
      </c>
      <c r="AE10" s="17" t="n">
        <f aca="false">IF(AD10="","",IF($AD$4-SUMIF(C10:M10,"欠",$C$4:$M$4)-SUMIF(Q10:Z10,"欠",$Q$4:$Z$4)&lt;=0,"",ROUND(AD10/($AD$4-SUMIF(C10:M10,"欠",$C$4:$M$4)-SUMIF(Q10:Z10,"欠",$Q$4:$Z$4))*100,0)))</f>
        <v>69</v>
      </c>
      <c r="AF10" s="17" t="str">
        <f aca="false">IF(AE10="","",IF(AE10&gt;=設定!$D$16,"A",IF(AE10&gt;=設定!$E$16,"B","C")))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39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7" t="n">
        <f aca="false">IF(COUNT(C11:M11)=0,"",SUM(C11:M11))</f>
        <v>39</v>
      </c>
      <c r="O11" s="17" t="n">
        <f aca="false">IF(OR(N11="",$N$4-SUMIF(C11:M11,"欠",$C$4:$M$4)&lt;=0),"",ROUND(N11/($N$4-SUMIF(C11:M11,"欠",$C$4:$M$4))*100,0))</f>
        <v>65</v>
      </c>
      <c r="P11" s="17" t="str">
        <f aca="false">IF(O11="","",IF(O11&gt;=設定!$D$16,"A",IF(O11&gt;=設定!$E$16,"B","C")))</f>
        <v>B</v>
      </c>
      <c r="Q11" s="19" t="n">
        <v>26</v>
      </c>
      <c r="R11" s="19"/>
      <c r="S11" s="19"/>
      <c r="T11" s="19"/>
      <c r="U11" s="19"/>
      <c r="V11" s="19"/>
      <c r="W11" s="19"/>
      <c r="X11" s="19"/>
      <c r="Y11" s="19"/>
      <c r="Z11" s="19"/>
      <c r="AA11" s="17" t="n">
        <f aca="false">IF(COUNT(Q11:Z11)=0,"",SUM(Q11:Z11))</f>
        <v>26</v>
      </c>
      <c r="AB11" s="17" t="n">
        <f aca="false">IF(OR(AA11="",$AA$4-SUMIF(Q11:Z11,"欠",$Q$4:$Z$4)&lt;=0),"",ROUND(AA11/($AA$4-SUMIF(Q11:Z11,"欠",$Q$4:$Z$4))*100,0))</f>
        <v>65</v>
      </c>
      <c r="AC11" s="17" t="str">
        <f aca="false">IF(AB11="","",IF(AB11&gt;=設定!$D$16,"A",IF(AB11&gt;=設定!$E$16,"B","C")))</f>
        <v>B</v>
      </c>
      <c r="AD11" s="17" t="n">
        <f aca="false">IF(AND(N11="",AA11=""),"",IF(N11="",0,N11)+IF(AA11="",0,AA11))</f>
        <v>65</v>
      </c>
      <c r="AE11" s="17" t="n">
        <f aca="false">IF(AD11="","",IF($AD$4-SUMIF(C11:M11,"欠",$C$4:$M$4)-SUMIF(Q11:Z11,"欠",$Q$4:$Z$4)&lt;=0,"",ROUND(AD11/($AD$4-SUMIF(C11:M11,"欠",$C$4:$M$4)-SUMIF(Q11:Z11,"欠",$Q$4:$Z$4))*100,0)))</f>
        <v>65</v>
      </c>
      <c r="AF11" s="17" t="str">
        <f aca="false">IF(AE11="","",IF(AE11&gt;=設定!$D$16,"A",IF(AE11&gt;=設定!$E$16,"B","C")))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54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7" t="n">
        <f aca="false">IF(COUNT(C12:M12)=0,"",SUM(C12:M12))</f>
        <v>54</v>
      </c>
      <c r="O12" s="17" t="n">
        <f aca="false">IF(OR(N12="",$N$4-SUMIF(C12:M12,"欠",$C$4:$M$4)&lt;=0),"",ROUND(N12/($N$4-SUMIF(C12:M12,"欠",$C$4:$M$4))*100,0))</f>
        <v>90</v>
      </c>
      <c r="P12" s="17" t="str">
        <f aca="false">IF(O12="","",IF(O12&gt;=設定!$D$16,"A",IF(O12&gt;=設定!$E$16,"B","C")))</f>
        <v>A</v>
      </c>
      <c r="Q12" s="19" t="n">
        <v>37</v>
      </c>
      <c r="R12" s="19"/>
      <c r="S12" s="19"/>
      <c r="T12" s="19"/>
      <c r="U12" s="19"/>
      <c r="V12" s="19"/>
      <c r="W12" s="19"/>
      <c r="X12" s="19"/>
      <c r="Y12" s="19"/>
      <c r="Z12" s="19"/>
      <c r="AA12" s="17" t="n">
        <f aca="false">IF(COUNT(Q12:Z12)=0,"",SUM(Q12:Z12))</f>
        <v>37</v>
      </c>
      <c r="AB12" s="17" t="n">
        <f aca="false">IF(OR(AA12="",$AA$4-SUMIF(Q12:Z12,"欠",$Q$4:$Z$4)&lt;=0),"",ROUND(AA12/($AA$4-SUMIF(Q12:Z12,"欠",$Q$4:$Z$4))*100,0))</f>
        <v>93</v>
      </c>
      <c r="AC12" s="17" t="str">
        <f aca="false">IF(AB12="","",IF(AB12&gt;=設定!$D$16,"A",IF(AB12&gt;=設定!$E$16,"B","C")))</f>
        <v>A</v>
      </c>
      <c r="AD12" s="17" t="n">
        <f aca="false">IF(AND(N12="",AA12=""),"",IF(N12="",0,N12)+IF(AA12="",0,AA12))</f>
        <v>91</v>
      </c>
      <c r="AE12" s="17" t="n">
        <f aca="false">IF(AD12="","",IF($AD$4-SUMIF(C12:M12,"欠",$C$4:$M$4)-SUMIF(Q12:Z12,"欠",$Q$4:$Z$4)&lt;=0,"",ROUND(AD12/($AD$4-SUMIF(C12:M12,"欠",$C$4:$M$4)-SUMIF(Q12:Z12,"欠",$Q$4:$Z$4))*100,0)))</f>
        <v>91</v>
      </c>
      <c r="AF12" s="17" t="str">
        <f aca="false">IF(AE12="","",IF(AE12&gt;=設定!$D$16,"A",IF(AE12&gt;=設定!$E$16,"B","C")))</f>
        <v>A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40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7" t="n">
        <f aca="false">IF(COUNT(C13:M13)=0,"",SUM(C13:M13))</f>
        <v>40</v>
      </c>
      <c r="O13" s="17" t="n">
        <f aca="false">IF(OR(N13="",$N$4-SUMIF(C13:M13,"欠",$C$4:$M$4)&lt;=0),"",ROUND(N13/($N$4-SUMIF(C13:M13,"欠",$C$4:$M$4))*100,0))</f>
        <v>67</v>
      </c>
      <c r="P13" s="17" t="str">
        <f aca="false">IF(O13="","",IF(O13&gt;=設定!$D$16,"A",IF(O13&gt;=設定!$E$16,"B","C")))</f>
        <v>B</v>
      </c>
      <c r="Q13" s="19" t="n">
        <v>23</v>
      </c>
      <c r="R13" s="19"/>
      <c r="S13" s="19"/>
      <c r="T13" s="19"/>
      <c r="U13" s="19"/>
      <c r="V13" s="19"/>
      <c r="W13" s="19"/>
      <c r="X13" s="19"/>
      <c r="Y13" s="19"/>
      <c r="Z13" s="19"/>
      <c r="AA13" s="17" t="n">
        <f aca="false">IF(COUNT(Q13:Z13)=0,"",SUM(Q13:Z13))</f>
        <v>23</v>
      </c>
      <c r="AB13" s="17" t="n">
        <f aca="false">IF(OR(AA13="",$AA$4-SUMIF(Q13:Z13,"欠",$Q$4:$Z$4)&lt;=0),"",ROUND(AA13/($AA$4-SUMIF(Q13:Z13,"欠",$Q$4:$Z$4))*100,0))</f>
        <v>57</v>
      </c>
      <c r="AC13" s="17" t="str">
        <f aca="false">IF(AB13="","",IF(AB13&gt;=設定!$D$16,"A",IF(AB13&gt;=設定!$E$16,"B","C")))</f>
        <v>C</v>
      </c>
      <c r="AD13" s="17" t="n">
        <f aca="false">IF(AND(N13="",AA13=""),"",IF(N13="",0,N13)+IF(AA13="",0,AA13))</f>
        <v>63</v>
      </c>
      <c r="AE13" s="17" t="n">
        <f aca="false">IF(AD13="","",IF($AD$4-SUMIF(C13:M13,"欠",$C$4:$M$4)-SUMIF(Q13:Z13,"欠",$Q$4:$Z$4)&lt;=0,"",ROUND(AD13/($AD$4-SUMIF(C13:M13,"欠",$C$4:$M$4)-SUMIF(Q13:Z13,"欠",$Q$4:$Z$4))*100,0)))</f>
        <v>63</v>
      </c>
      <c r="AF13" s="17" t="str">
        <f aca="false">IF(AE13="","",IF(AE13&gt;=設定!$D$16,"A",IF(AE13&gt;=設定!$E$16,"B","C")))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46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7" t="n">
        <f aca="false">IF(COUNT(C14:M14)=0,"",SUM(C14:M14))</f>
        <v>46</v>
      </c>
      <c r="O14" s="17" t="n">
        <f aca="false">IF(OR(N14="",$N$4-SUMIF(C14:M14,"欠",$C$4:$M$4)&lt;=0),"",ROUND(N14/($N$4-SUMIF(C14:M14,"欠",$C$4:$M$4))*100,0))</f>
        <v>77</v>
      </c>
      <c r="P14" s="17" t="str">
        <f aca="false">IF(O14="","",IF(O14&gt;=設定!$D$16,"A",IF(O14&gt;=設定!$E$16,"B","C")))</f>
        <v>B</v>
      </c>
      <c r="Q14" s="19" t="n">
        <v>26</v>
      </c>
      <c r="R14" s="19"/>
      <c r="S14" s="19"/>
      <c r="T14" s="19"/>
      <c r="U14" s="19"/>
      <c r="V14" s="19"/>
      <c r="W14" s="19"/>
      <c r="X14" s="19"/>
      <c r="Y14" s="19"/>
      <c r="Z14" s="19"/>
      <c r="AA14" s="17" t="n">
        <f aca="false">IF(COUNT(Q14:Z14)=0,"",SUM(Q14:Z14))</f>
        <v>26</v>
      </c>
      <c r="AB14" s="17" t="n">
        <f aca="false">IF(OR(AA14="",$AA$4-SUMIF(Q14:Z14,"欠",$Q$4:$Z$4)&lt;=0),"",ROUND(AA14/($AA$4-SUMIF(Q14:Z14,"欠",$Q$4:$Z$4))*100,0))</f>
        <v>65</v>
      </c>
      <c r="AC14" s="17" t="str">
        <f aca="false">IF(AB14="","",IF(AB14&gt;=設定!$D$16,"A",IF(AB14&gt;=設定!$E$16,"B","C")))</f>
        <v>B</v>
      </c>
      <c r="AD14" s="17" t="n">
        <f aca="false">IF(AND(N14="",AA14=""),"",IF(N14="",0,N14)+IF(AA14="",0,AA14))</f>
        <v>72</v>
      </c>
      <c r="AE14" s="17" t="n">
        <f aca="false">IF(AD14="","",IF($AD$4-SUMIF(C14:M14,"欠",$C$4:$M$4)-SUMIF(Q14:Z14,"欠",$Q$4:$Z$4)&lt;=0,"",ROUND(AD14/($AD$4-SUMIF(C14:M14,"欠",$C$4:$M$4)-SUMIF(Q14:Z14,"欠",$Q$4:$Z$4))*100,0)))</f>
        <v>72</v>
      </c>
      <c r="AF14" s="17" t="str">
        <f aca="false">IF(AE14="","",IF(AE14&gt;=設定!$D$16,"A",IF(AE14&gt;=設定!$E$16,"B","C")))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52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7" t="n">
        <f aca="false">IF(COUNT(C15:M15)=0,"",SUM(C15:M15))</f>
        <v>52</v>
      </c>
      <c r="O15" s="17" t="n">
        <f aca="false">IF(OR(N15="",$N$4-SUMIF(C15:M15,"欠",$C$4:$M$4)&lt;=0),"",ROUND(N15/($N$4-SUMIF(C15:M15,"欠",$C$4:$M$4))*100,0))</f>
        <v>87</v>
      </c>
      <c r="P15" s="17" t="str">
        <f aca="false">IF(O15="","",IF(O15&gt;=設定!$D$16,"A",IF(O15&gt;=設定!$E$16,"B","C")))</f>
        <v>B</v>
      </c>
      <c r="Q15" s="19" t="n">
        <v>29</v>
      </c>
      <c r="R15" s="19"/>
      <c r="S15" s="19"/>
      <c r="T15" s="19"/>
      <c r="U15" s="19"/>
      <c r="V15" s="19"/>
      <c r="W15" s="19"/>
      <c r="X15" s="19"/>
      <c r="Y15" s="19"/>
      <c r="Z15" s="19"/>
      <c r="AA15" s="17" t="n">
        <f aca="false">IF(COUNT(Q15:Z15)=0,"",SUM(Q15:Z15))</f>
        <v>29</v>
      </c>
      <c r="AB15" s="17" t="n">
        <f aca="false">IF(OR(AA15="",$AA$4-SUMIF(Q15:Z15,"欠",$Q$4:$Z$4)&lt;=0),"",ROUND(AA15/($AA$4-SUMIF(Q15:Z15,"欠",$Q$4:$Z$4))*100,0))</f>
        <v>73</v>
      </c>
      <c r="AC15" s="17" t="str">
        <f aca="false">IF(AB15="","",IF(AB15&gt;=設定!$D$16,"A",IF(AB15&gt;=設定!$E$16,"B","C")))</f>
        <v>B</v>
      </c>
      <c r="AD15" s="17" t="n">
        <f aca="false">IF(AND(N15="",AA15=""),"",IF(N15="",0,N15)+IF(AA15="",0,AA15))</f>
        <v>81</v>
      </c>
      <c r="AE15" s="17" t="n">
        <f aca="false">IF(AD15="","",IF($AD$4-SUMIF(C15:M15,"欠",$C$4:$M$4)-SUMIF(Q15:Z15,"欠",$Q$4:$Z$4)&lt;=0,"",ROUND(AD15/($AD$4-SUMIF(C15:M15,"欠",$C$4:$M$4)-SUMIF(Q15:Z15,"欠",$Q$4:$Z$4))*100,0)))</f>
        <v>81</v>
      </c>
      <c r="AF15" s="17" t="str">
        <f aca="false">IF(AE15="","",IF(AE15&gt;=設定!$D$16,"A",IF(AE15&gt;=設定!$E$16,"B","C")))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46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7" t="n">
        <f aca="false">IF(COUNT(C16:M16)=0,"",SUM(C16:M16))</f>
        <v>46</v>
      </c>
      <c r="O16" s="17" t="n">
        <f aca="false">IF(OR(N16="",$N$4-SUMIF(C16:M16,"欠",$C$4:$M$4)&lt;=0),"",ROUND(N16/($N$4-SUMIF(C16:M16,"欠",$C$4:$M$4))*100,0))</f>
        <v>77</v>
      </c>
      <c r="P16" s="17" t="str">
        <f aca="false">IF(O16="","",IF(O16&gt;=設定!$D$16,"A",IF(O16&gt;=設定!$E$16,"B","C")))</f>
        <v>B</v>
      </c>
      <c r="Q16" s="19" t="n">
        <v>34</v>
      </c>
      <c r="R16" s="19"/>
      <c r="S16" s="19"/>
      <c r="T16" s="19"/>
      <c r="U16" s="19"/>
      <c r="V16" s="19"/>
      <c r="W16" s="19"/>
      <c r="X16" s="19"/>
      <c r="Y16" s="19"/>
      <c r="Z16" s="19"/>
      <c r="AA16" s="17" t="n">
        <f aca="false">IF(COUNT(Q16:Z16)=0,"",SUM(Q16:Z16))</f>
        <v>34</v>
      </c>
      <c r="AB16" s="17" t="n">
        <f aca="false">IF(OR(AA16="",$AA$4-SUMIF(Q16:Z16,"欠",$Q$4:$Z$4)&lt;=0),"",ROUND(AA16/($AA$4-SUMIF(Q16:Z16,"欠",$Q$4:$Z$4))*100,0))</f>
        <v>85</v>
      </c>
      <c r="AC16" s="17" t="str">
        <f aca="false">IF(AB16="","",IF(AB16&gt;=設定!$D$16,"A",IF(AB16&gt;=設定!$E$16,"B","C")))</f>
        <v>B</v>
      </c>
      <c r="AD16" s="17" t="n">
        <f aca="false">IF(AND(N16="",AA16=""),"",IF(N16="",0,N16)+IF(AA16="",0,AA16))</f>
        <v>80</v>
      </c>
      <c r="AE16" s="17" t="n">
        <f aca="false">IF(AD16="","",IF($AD$4-SUMIF(C16:M16,"欠",$C$4:$M$4)-SUMIF(Q16:Z16,"欠",$Q$4:$Z$4)&lt;=0,"",ROUND(AD16/($AD$4-SUMIF(C16:M16,"欠",$C$4:$M$4)-SUMIF(Q16:Z16,"欠",$Q$4:$Z$4))*100,0)))</f>
        <v>80</v>
      </c>
      <c r="AF16" s="17" t="str">
        <f aca="false">IF(AE16="","",IF(AE16&gt;=設定!$D$16,"A",IF(AE16&gt;=設定!$E$16,"B","C")))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38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7" t="n">
        <f aca="false">IF(COUNT(C17:M17)=0,"",SUM(C17:M17))</f>
        <v>38</v>
      </c>
      <c r="O17" s="17" t="n">
        <f aca="false">IF(OR(N17="",$N$4-SUMIF(C17:M17,"欠",$C$4:$M$4)&lt;=0),"",ROUND(N17/($N$4-SUMIF(C17:M17,"欠",$C$4:$M$4))*100,0))</f>
        <v>63</v>
      </c>
      <c r="P17" s="17" t="str">
        <f aca="false">IF(O17="","",IF(O17&gt;=設定!$D$16,"A",IF(O17&gt;=設定!$E$16,"B","C")))</f>
        <v>B</v>
      </c>
      <c r="Q17" s="19" t="n">
        <v>18</v>
      </c>
      <c r="R17" s="19"/>
      <c r="S17" s="19"/>
      <c r="T17" s="19"/>
      <c r="U17" s="19"/>
      <c r="V17" s="19"/>
      <c r="W17" s="19"/>
      <c r="X17" s="19"/>
      <c r="Y17" s="19"/>
      <c r="Z17" s="19"/>
      <c r="AA17" s="17" t="n">
        <f aca="false">IF(COUNT(Q17:Z17)=0,"",SUM(Q17:Z17))</f>
        <v>18</v>
      </c>
      <c r="AB17" s="17" t="n">
        <f aca="false">IF(OR(AA17="",$AA$4-SUMIF(Q17:Z17,"欠",$Q$4:$Z$4)&lt;=0),"",ROUND(AA17/($AA$4-SUMIF(Q17:Z17,"欠",$Q$4:$Z$4))*100,0))</f>
        <v>45</v>
      </c>
      <c r="AC17" s="17" t="str">
        <f aca="false">IF(AB17="","",IF(AB17&gt;=設定!$D$16,"A",IF(AB17&gt;=設定!$E$16,"B","C")))</f>
        <v>C</v>
      </c>
      <c r="AD17" s="17" t="n">
        <f aca="false">IF(AND(N17="",AA17=""),"",IF(N17="",0,N17)+IF(AA17="",0,AA17))</f>
        <v>56</v>
      </c>
      <c r="AE17" s="17" t="n">
        <f aca="false">IF(AD17="","",IF($AD$4-SUMIF(C17:M17,"欠",$C$4:$M$4)-SUMIF(Q17:Z17,"欠",$Q$4:$Z$4)&lt;=0,"",ROUND(AD17/($AD$4-SUMIF(C17:M17,"欠",$C$4:$M$4)-SUMIF(Q17:Z17,"欠",$Q$4:$Z$4))*100,0)))</f>
        <v>56</v>
      </c>
      <c r="AF17" s="17" t="str">
        <f aca="false">IF(AE17="","",IF(AE17&gt;=設定!$D$16,"A",IF(AE17&gt;=設定!$E$16,"B","C")))</f>
        <v>C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48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7" t="n">
        <f aca="false">IF(COUNT(C18:M18)=0,"",SUM(C18:M18))</f>
        <v>48</v>
      </c>
      <c r="O18" s="17" t="n">
        <f aca="false">IF(OR(N18="",$N$4-SUMIF(C18:M18,"欠",$C$4:$M$4)&lt;=0),"",ROUND(N18/($N$4-SUMIF(C18:M18,"欠",$C$4:$M$4))*100,0))</f>
        <v>80</v>
      </c>
      <c r="P18" s="17" t="str">
        <f aca="false">IF(O18="","",IF(O18&gt;=設定!$D$16,"A",IF(O18&gt;=設定!$E$16,"B","C")))</f>
        <v>B</v>
      </c>
      <c r="Q18" s="19" t="n">
        <v>32</v>
      </c>
      <c r="R18" s="19"/>
      <c r="S18" s="19"/>
      <c r="T18" s="19"/>
      <c r="U18" s="19"/>
      <c r="V18" s="19"/>
      <c r="W18" s="19"/>
      <c r="X18" s="19"/>
      <c r="Y18" s="19"/>
      <c r="Z18" s="19"/>
      <c r="AA18" s="17" t="n">
        <f aca="false">IF(COUNT(Q18:Z18)=0,"",SUM(Q18:Z18))</f>
        <v>32</v>
      </c>
      <c r="AB18" s="17" t="n">
        <f aca="false">IF(OR(AA18="",$AA$4-SUMIF(Q18:Z18,"欠",$Q$4:$Z$4)&lt;=0),"",ROUND(AA18/($AA$4-SUMIF(Q18:Z18,"欠",$Q$4:$Z$4))*100,0))</f>
        <v>80</v>
      </c>
      <c r="AC18" s="17" t="str">
        <f aca="false">IF(AB18="","",IF(AB18&gt;=設定!$D$16,"A",IF(AB18&gt;=設定!$E$16,"B","C")))</f>
        <v>B</v>
      </c>
      <c r="AD18" s="17" t="n">
        <f aca="false">IF(AND(N18="",AA18=""),"",IF(N18="",0,N18)+IF(AA18="",0,AA18))</f>
        <v>80</v>
      </c>
      <c r="AE18" s="17" t="n">
        <f aca="false">IF(AD18="","",IF($AD$4-SUMIF(C18:M18,"欠",$C$4:$M$4)-SUMIF(Q18:Z18,"欠",$Q$4:$Z$4)&lt;=0,"",ROUND(AD18/($AD$4-SUMIF(C18:M18,"欠",$C$4:$M$4)-SUMIF(Q18:Z18,"欠",$Q$4:$Z$4))*100,0)))</f>
        <v>80</v>
      </c>
      <c r="AF18" s="17" t="str">
        <f aca="false">IF(AE18="","",IF(AE18&gt;=設定!$D$16,"A",IF(AE18&gt;=設定!$E$16,"B","C")))</f>
        <v>B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34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7" t="n">
        <f aca="false">IF(COUNT(C19:M19)=0,"",SUM(C19:M19))</f>
        <v>34</v>
      </c>
      <c r="O19" s="17" t="n">
        <f aca="false">IF(OR(N19="",$N$4-SUMIF(C19:M19,"欠",$C$4:$M$4)&lt;=0),"",ROUND(N19/($N$4-SUMIF(C19:M19,"欠",$C$4:$M$4))*100,0))</f>
        <v>57</v>
      </c>
      <c r="P19" s="17" t="str">
        <f aca="false">IF(O19="","",IF(O19&gt;=設定!$D$16,"A",IF(O19&gt;=設定!$E$16,"B","C")))</f>
        <v>C</v>
      </c>
      <c r="Q19" s="19" t="n">
        <v>14</v>
      </c>
      <c r="R19" s="19"/>
      <c r="S19" s="19"/>
      <c r="T19" s="19"/>
      <c r="U19" s="19"/>
      <c r="V19" s="19"/>
      <c r="W19" s="19"/>
      <c r="X19" s="19"/>
      <c r="Y19" s="19"/>
      <c r="Z19" s="19"/>
      <c r="AA19" s="17" t="n">
        <f aca="false">IF(COUNT(Q19:Z19)=0,"",SUM(Q19:Z19))</f>
        <v>14</v>
      </c>
      <c r="AB19" s="17" t="n">
        <f aca="false">IF(OR(AA19="",$AA$4-SUMIF(Q19:Z19,"欠",$Q$4:$Z$4)&lt;=0),"",ROUND(AA19/($AA$4-SUMIF(Q19:Z19,"欠",$Q$4:$Z$4))*100,0))</f>
        <v>35</v>
      </c>
      <c r="AC19" s="17" t="str">
        <f aca="false">IF(AB19="","",IF(AB19&gt;=設定!$D$16,"A",IF(AB19&gt;=設定!$E$16,"B","C")))</f>
        <v>C</v>
      </c>
      <c r="AD19" s="17" t="n">
        <f aca="false">IF(AND(N19="",AA19=""),"",IF(N19="",0,N19)+IF(AA19="",0,AA19))</f>
        <v>48</v>
      </c>
      <c r="AE19" s="17" t="n">
        <f aca="false">IF(AD19="","",IF($AD$4-SUMIF(C19:M19,"欠",$C$4:$M$4)-SUMIF(Q19:Z19,"欠",$Q$4:$Z$4)&lt;=0,"",ROUND(AD19/($AD$4-SUMIF(C19:M19,"欠",$C$4:$M$4)-SUMIF(Q19:Z19,"欠",$Q$4:$Z$4))*100,0)))</f>
        <v>48</v>
      </c>
      <c r="AF19" s="17" t="str">
        <f aca="false">IF(AE19="","",IF(AE19&gt;=設定!$D$16,"A",IF(AE19&gt;=設定!$E$16,"B","C")))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60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7" t="n">
        <f aca="false">IF(COUNT(C20:M20)=0,"",SUM(C20:M20))</f>
        <v>60</v>
      </c>
      <c r="O20" s="17" t="n">
        <f aca="false">IF(OR(N20="",$N$4-SUMIF(C20:M20,"欠",$C$4:$M$4)&lt;=0),"",ROUND(N20/($N$4-SUMIF(C20:M20,"欠",$C$4:$M$4))*100,0))</f>
        <v>100</v>
      </c>
      <c r="P20" s="17" t="str">
        <f aca="false">IF(O20="","",IF(O20&gt;=設定!$D$16,"A",IF(O20&gt;=設定!$E$16,"B","C")))</f>
        <v>A</v>
      </c>
      <c r="Q20" s="19" t="n">
        <v>37</v>
      </c>
      <c r="R20" s="19"/>
      <c r="S20" s="19"/>
      <c r="T20" s="19"/>
      <c r="U20" s="19"/>
      <c r="V20" s="19"/>
      <c r="W20" s="19"/>
      <c r="X20" s="19"/>
      <c r="Y20" s="19"/>
      <c r="Z20" s="19"/>
      <c r="AA20" s="17" t="n">
        <f aca="false">IF(COUNT(Q20:Z20)=0,"",SUM(Q20:Z20))</f>
        <v>37</v>
      </c>
      <c r="AB20" s="17" t="n">
        <f aca="false">IF(OR(AA20="",$AA$4-SUMIF(Q20:Z20,"欠",$Q$4:$Z$4)&lt;=0),"",ROUND(AA20/($AA$4-SUMIF(Q20:Z20,"欠",$Q$4:$Z$4))*100,0))</f>
        <v>93</v>
      </c>
      <c r="AC20" s="17" t="str">
        <f aca="false">IF(AB20="","",IF(AB20&gt;=設定!$D$16,"A",IF(AB20&gt;=設定!$E$16,"B","C")))</f>
        <v>A</v>
      </c>
      <c r="AD20" s="17" t="n">
        <f aca="false">IF(AND(N20="",AA20=""),"",IF(N20="",0,N20)+IF(AA20="",0,AA20))</f>
        <v>97</v>
      </c>
      <c r="AE20" s="17" t="n">
        <f aca="false">IF(AD20="","",IF($AD$4-SUMIF(C20:M20,"欠",$C$4:$M$4)-SUMIF(Q20:Z20,"欠",$Q$4:$Z$4)&lt;=0,"",ROUND(AD20/($AD$4-SUMIF(C20:M20,"欠",$C$4:$M$4)-SUMIF(Q20:Z20,"欠",$Q$4:$Z$4))*100,0)))</f>
        <v>97</v>
      </c>
      <c r="AF20" s="17" t="str">
        <f aca="false">IF(AE20="","",IF(AE20&gt;=設定!$D$16,"A",IF(AE20&gt;=設定!$E$16,"B","C")))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50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7" t="n">
        <f aca="false">IF(COUNT(C21:M21)=0,"",SUM(C21:M21))</f>
        <v>50</v>
      </c>
      <c r="O21" s="17" t="n">
        <f aca="false">IF(OR(N21="",$N$4-SUMIF(C21:M21,"欠",$C$4:$M$4)&lt;=0),"",ROUND(N21/($N$4-SUMIF(C21:M21,"欠",$C$4:$M$4))*100,0))</f>
        <v>83</v>
      </c>
      <c r="P21" s="17" t="str">
        <f aca="false">IF(O21="","",IF(O21&gt;=設定!$D$16,"A",IF(O21&gt;=設定!$E$16,"B","C")))</f>
        <v>B</v>
      </c>
      <c r="Q21" s="19" t="n">
        <v>32</v>
      </c>
      <c r="R21" s="19"/>
      <c r="S21" s="19"/>
      <c r="T21" s="19"/>
      <c r="U21" s="19"/>
      <c r="V21" s="19"/>
      <c r="W21" s="19"/>
      <c r="X21" s="19"/>
      <c r="Y21" s="19"/>
      <c r="Z21" s="19"/>
      <c r="AA21" s="17" t="n">
        <f aca="false">IF(COUNT(Q21:Z21)=0,"",SUM(Q21:Z21))</f>
        <v>32</v>
      </c>
      <c r="AB21" s="17" t="n">
        <f aca="false">IF(OR(AA21="",$AA$4-SUMIF(Q21:Z21,"欠",$Q$4:$Z$4)&lt;=0),"",ROUND(AA21/($AA$4-SUMIF(Q21:Z21,"欠",$Q$4:$Z$4))*100,0))</f>
        <v>80</v>
      </c>
      <c r="AC21" s="17" t="str">
        <f aca="false">IF(AB21="","",IF(AB21&gt;=設定!$D$16,"A",IF(AB21&gt;=設定!$E$16,"B","C")))</f>
        <v>B</v>
      </c>
      <c r="AD21" s="17" t="n">
        <f aca="false">IF(AND(N21="",AA21=""),"",IF(N21="",0,N21)+IF(AA21="",0,AA21))</f>
        <v>82</v>
      </c>
      <c r="AE21" s="17" t="n">
        <f aca="false">IF(AD21="","",IF($AD$4-SUMIF(C21:M21,"欠",$C$4:$M$4)-SUMIF(Q21:Z21,"欠",$Q$4:$Z$4)&lt;=0,"",ROUND(AD21/($AD$4-SUMIF(C21:M21,"欠",$C$4:$M$4)-SUMIF(Q21:Z21,"欠",$Q$4:$Z$4))*100,0)))</f>
        <v>82</v>
      </c>
      <c r="AF21" s="17" t="str">
        <f aca="false">IF(AE21="","",IF(AE21&gt;=設定!$D$16,"A",IF(AE21&gt;=設定!$E$16,"B","C")))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60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7" t="n">
        <f aca="false">IF(COUNT(C22:M22)=0,"",SUM(C22:M22))</f>
        <v>60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IF(O22="","",IF(O22&gt;=設定!$D$16,"A",IF(O22&gt;=設定!$E$16,"B","C")))</f>
        <v>A</v>
      </c>
      <c r="Q22" s="19" t="n">
        <v>40</v>
      </c>
      <c r="R22" s="19"/>
      <c r="S22" s="19"/>
      <c r="T22" s="19"/>
      <c r="U22" s="19"/>
      <c r="V22" s="19"/>
      <c r="W22" s="19"/>
      <c r="X22" s="19"/>
      <c r="Y22" s="19"/>
      <c r="Z22" s="19"/>
      <c r="AA22" s="17" t="n">
        <f aca="false">IF(COUNT(Q22:Z22)=0,"",SUM(Q22:Z22))</f>
        <v>40</v>
      </c>
      <c r="AB22" s="17" t="n">
        <f aca="false">IF(OR(AA22="",$AA$4-SUMIF(Q22:Z22,"欠",$Q$4:$Z$4)&lt;=0),"",ROUND(AA22/($AA$4-SUMIF(Q22:Z22,"欠",$Q$4:$Z$4))*100,0))</f>
        <v>100</v>
      </c>
      <c r="AC22" s="17" t="str">
        <f aca="false">IF(AB22="","",IF(AB22&gt;=設定!$D$16,"A",IF(AB22&gt;=設定!$E$16,"B","C")))</f>
        <v>A</v>
      </c>
      <c r="AD22" s="17" t="n">
        <f aca="false">IF(AND(N22="",AA22=""),"",IF(N22="",0,N22)+IF(AA22="",0,AA22))</f>
        <v>100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IF(AE22="","",IF(AE22&gt;=設定!$D$16,"A",IF(AE22&gt;=設定!$E$16,"B","C")))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54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7" t="n">
        <f aca="false">IF(COUNT(C23:M23)=0,"",SUM(C23:M23))</f>
        <v>54</v>
      </c>
      <c r="O23" s="17" t="n">
        <f aca="false">IF(OR(N23="",$N$4-SUMIF(C23:M23,"欠",$C$4:$M$4)&lt;=0),"",ROUND(N23/($N$4-SUMIF(C23:M23,"欠",$C$4:$M$4))*100,0))</f>
        <v>90</v>
      </c>
      <c r="P23" s="17" t="str">
        <f aca="false">IF(O23="","",IF(O23&gt;=設定!$D$16,"A",IF(O23&gt;=設定!$E$16,"B","C")))</f>
        <v>A</v>
      </c>
      <c r="Q23" s="19" t="n">
        <v>34</v>
      </c>
      <c r="R23" s="19"/>
      <c r="S23" s="19"/>
      <c r="T23" s="19"/>
      <c r="U23" s="19"/>
      <c r="V23" s="19"/>
      <c r="W23" s="19"/>
      <c r="X23" s="19"/>
      <c r="Y23" s="19"/>
      <c r="Z23" s="19"/>
      <c r="AA23" s="17" t="n">
        <f aca="false">IF(COUNT(Q23:Z23)=0,"",SUM(Q23:Z23))</f>
        <v>34</v>
      </c>
      <c r="AB23" s="17" t="n">
        <f aca="false">IF(OR(AA23="",$AA$4-SUMIF(Q23:Z23,"欠",$Q$4:$Z$4)&lt;=0),"",ROUND(AA23/($AA$4-SUMIF(Q23:Z23,"欠",$Q$4:$Z$4))*100,0))</f>
        <v>85</v>
      </c>
      <c r="AC23" s="17" t="str">
        <f aca="false">IF(AB23="","",IF(AB23&gt;=設定!$D$16,"A",IF(AB23&gt;=設定!$E$16,"B","C")))</f>
        <v>B</v>
      </c>
      <c r="AD23" s="17" t="n">
        <f aca="false">IF(AND(N23="",AA23=""),"",IF(N23="",0,N23)+IF(AA23="",0,AA23))</f>
        <v>88</v>
      </c>
      <c r="AE23" s="17" t="n">
        <f aca="false">IF(AD23="","",IF($AD$4-SUMIF(C23:M23,"欠",$C$4:$M$4)-SUMIF(Q23:Z23,"欠",$Q$4:$Z$4)&lt;=0,"",ROUND(AD23/($AD$4-SUMIF(C23:M23,"欠",$C$4:$M$4)-SUMIF(Q23:Z23,"欠",$Q$4:$Z$4))*100,0)))</f>
        <v>88</v>
      </c>
      <c r="AF23" s="17" t="str">
        <f aca="false">IF(AE23="","",IF(AE23&gt;=設定!$D$16,"A",IF(AE23&gt;=設定!$E$16,"B","C")))</f>
        <v>B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48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7" t="n">
        <f aca="false">IF(COUNT(C24:M24)=0,"",SUM(C24:M24))</f>
        <v>48</v>
      </c>
      <c r="O24" s="17" t="n">
        <f aca="false">IF(OR(N24="",$N$4-SUMIF(C24:M24,"欠",$C$4:$M$4)&lt;=0),"",ROUND(N24/($N$4-SUMIF(C24:M24,"欠",$C$4:$M$4))*100,0))</f>
        <v>80</v>
      </c>
      <c r="P24" s="17" t="str">
        <f aca="false">IF(O24="","",IF(O24&gt;=設定!$D$16,"A",IF(O24&gt;=設定!$E$16,"B","C")))</f>
        <v>B</v>
      </c>
      <c r="Q24" s="19" t="n">
        <v>23</v>
      </c>
      <c r="R24" s="19"/>
      <c r="S24" s="19"/>
      <c r="T24" s="19"/>
      <c r="U24" s="19"/>
      <c r="V24" s="19"/>
      <c r="W24" s="19"/>
      <c r="X24" s="19"/>
      <c r="Y24" s="19"/>
      <c r="Z24" s="19"/>
      <c r="AA24" s="17" t="n">
        <f aca="false">IF(COUNT(Q24:Z24)=0,"",SUM(Q24:Z24))</f>
        <v>23</v>
      </c>
      <c r="AB24" s="17" t="n">
        <f aca="false">IF(OR(AA24="",$AA$4-SUMIF(Q24:Z24,"欠",$Q$4:$Z$4)&lt;=0),"",ROUND(AA24/($AA$4-SUMIF(Q24:Z24,"欠",$Q$4:$Z$4))*100,0))</f>
        <v>57</v>
      </c>
      <c r="AC24" s="17" t="str">
        <f aca="false">IF(AB24="","",IF(AB24&gt;=設定!$D$16,"A",IF(AB24&gt;=設定!$E$16,"B","C")))</f>
        <v>C</v>
      </c>
      <c r="AD24" s="17" t="n">
        <f aca="false">IF(AND(N24="",AA24=""),"",IF(N24="",0,N24)+IF(AA24="",0,AA24))</f>
        <v>71</v>
      </c>
      <c r="AE24" s="17" t="n">
        <f aca="false">IF(AD24="","",IF($AD$4-SUMIF(C24:M24,"欠",$C$4:$M$4)-SUMIF(Q24:Z24,"欠",$Q$4:$Z$4)&lt;=0,"",ROUND(AD24/($AD$4-SUMIF(C24:M24,"欠",$C$4:$M$4)-SUMIF(Q24:Z24,"欠",$Q$4:$Z$4))*100,0)))</f>
        <v>71</v>
      </c>
      <c r="AF24" s="17" t="str">
        <f aca="false">IF(AE24="","",IF(AE24&gt;=設定!$D$16,"A",IF(AE24&gt;=設定!$E$16,"B","C")))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53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7" t="n">
        <f aca="false">IF(COUNT(C25:M25)=0,"",SUM(C25:M25))</f>
        <v>53</v>
      </c>
      <c r="O25" s="17" t="n">
        <f aca="false">IF(OR(N25="",$N$4-SUMIF(C25:M25,"欠",$C$4:$M$4)&lt;=0),"",ROUND(N25/($N$4-SUMIF(C25:M25,"欠",$C$4:$M$4))*100,0))</f>
        <v>88</v>
      </c>
      <c r="P25" s="17" t="str">
        <f aca="false">IF(O25="","",IF(O25&gt;=設定!$D$16,"A",IF(O25&gt;=設定!$E$16,"B","C")))</f>
        <v>B</v>
      </c>
      <c r="Q25" s="19" t="n">
        <v>37</v>
      </c>
      <c r="R25" s="19"/>
      <c r="S25" s="19"/>
      <c r="T25" s="19"/>
      <c r="U25" s="19"/>
      <c r="V25" s="19"/>
      <c r="W25" s="19"/>
      <c r="X25" s="19"/>
      <c r="Y25" s="19"/>
      <c r="Z25" s="19"/>
      <c r="AA25" s="17" t="n">
        <f aca="false">IF(COUNT(Q25:Z25)=0,"",SUM(Q25:Z25))</f>
        <v>37</v>
      </c>
      <c r="AB25" s="17" t="n">
        <f aca="false">IF(OR(AA25="",$AA$4-SUMIF(Q25:Z25,"欠",$Q$4:$Z$4)&lt;=0),"",ROUND(AA25/($AA$4-SUMIF(Q25:Z25,"欠",$Q$4:$Z$4))*100,0))</f>
        <v>93</v>
      </c>
      <c r="AC25" s="17" t="str">
        <f aca="false">IF(AB25="","",IF(AB25&gt;=設定!$D$16,"A",IF(AB25&gt;=設定!$E$16,"B","C")))</f>
        <v>A</v>
      </c>
      <c r="AD25" s="17" t="n">
        <f aca="false">IF(AND(N25="",AA25=""),"",IF(N25="",0,N25)+IF(AA25="",0,AA25))</f>
        <v>90</v>
      </c>
      <c r="AE25" s="17" t="n">
        <f aca="false">IF(AD25="","",IF($AD$4-SUMIF(C25:M25,"欠",$C$4:$M$4)-SUMIF(Q25:Z25,"欠",$Q$4:$Z$4)&lt;=0,"",ROUND(AD25/($AD$4-SUMIF(C25:M25,"欠",$C$4:$M$4)-SUMIF(Q25:Z25,"欠",$Q$4:$Z$4))*100,0)))</f>
        <v>90</v>
      </c>
      <c r="AF25" s="17" t="str">
        <f aca="false">IF(AE25="","",IF(AE25&gt;=設定!$D$16,"A",IF(AE25&gt;=設定!$E$16,"B","C")))</f>
        <v>A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41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7" t="n">
        <f aca="false">IF(COUNT(C26:M26)=0,"",SUM(C26:M26))</f>
        <v>41</v>
      </c>
      <c r="O26" s="17" t="n">
        <f aca="false">IF(OR(N26="",$N$4-SUMIF(C26:M26,"欠",$C$4:$M$4)&lt;=0),"",ROUND(N26/($N$4-SUMIF(C26:M26,"欠",$C$4:$M$4))*100,0))</f>
        <v>68</v>
      </c>
      <c r="P26" s="17" t="str">
        <f aca="false">IF(O26="","",IF(O26&gt;=設定!$D$16,"A",IF(O26&gt;=設定!$E$16,"B","C")))</f>
        <v>B</v>
      </c>
      <c r="Q26" s="19" t="n">
        <v>22</v>
      </c>
      <c r="R26" s="19"/>
      <c r="S26" s="19"/>
      <c r="T26" s="19"/>
      <c r="U26" s="19"/>
      <c r="V26" s="19"/>
      <c r="W26" s="19"/>
      <c r="X26" s="19"/>
      <c r="Y26" s="19"/>
      <c r="Z26" s="19"/>
      <c r="AA26" s="17" t="n">
        <f aca="false">IF(COUNT(Q26:Z26)=0,"",SUM(Q26:Z26))</f>
        <v>22</v>
      </c>
      <c r="AB26" s="17" t="n">
        <f aca="false">IF(OR(AA26="",$AA$4-SUMIF(Q26:Z26,"欠",$Q$4:$Z$4)&lt;=0),"",ROUND(AA26/($AA$4-SUMIF(Q26:Z26,"欠",$Q$4:$Z$4))*100,0))</f>
        <v>55</v>
      </c>
      <c r="AC26" s="17" t="str">
        <f aca="false">IF(AB26="","",IF(AB26&gt;=設定!$D$16,"A",IF(AB26&gt;=設定!$E$16,"B","C")))</f>
        <v>C</v>
      </c>
      <c r="AD26" s="17" t="n">
        <f aca="false">IF(AND(N26="",AA26=""),"",IF(N26="",0,N26)+IF(AA26="",0,AA26))</f>
        <v>63</v>
      </c>
      <c r="AE26" s="17" t="n">
        <f aca="false">IF(AD26="","",IF($AD$4-SUMIF(C26:M26,"欠",$C$4:$M$4)-SUMIF(Q26:Z26,"欠",$Q$4:$Z$4)&lt;=0,"",ROUND(AD26/($AD$4-SUMIF(C26:M26,"欠",$C$4:$M$4)-SUMIF(Q26:Z26,"欠",$Q$4:$Z$4))*100,0)))</f>
        <v>63</v>
      </c>
      <c r="AF26" s="17" t="str">
        <f aca="false">IF(AE26="","",IF(AE26&gt;=設定!$D$16,"A",IF(AE26&gt;=設定!$E$16,"B","C")))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60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7" t="n">
        <f aca="false">IF(COUNT(C27:M27)=0,"",SUM(C27:M27))</f>
        <v>60</v>
      </c>
      <c r="O27" s="17" t="n">
        <f aca="false">IF(OR(N27="",$N$4-SUMIF(C27:M27,"欠",$C$4:$M$4)&lt;=0),"",ROUND(N27/($N$4-SUMIF(C27:M27,"欠",$C$4:$M$4))*100,0))</f>
        <v>100</v>
      </c>
      <c r="P27" s="17" t="str">
        <f aca="false">IF(O27="","",IF(O27&gt;=設定!$D$16,"A",IF(O27&gt;=設定!$E$16,"B","C")))</f>
        <v>A</v>
      </c>
      <c r="Q27" s="19" t="n">
        <v>30</v>
      </c>
      <c r="R27" s="19"/>
      <c r="S27" s="19"/>
      <c r="T27" s="19"/>
      <c r="U27" s="19"/>
      <c r="V27" s="19"/>
      <c r="W27" s="19"/>
      <c r="X27" s="19"/>
      <c r="Y27" s="19"/>
      <c r="Z27" s="19"/>
      <c r="AA27" s="17" t="n">
        <f aca="false">IF(COUNT(Q27:Z27)=0,"",SUM(Q27:Z27))</f>
        <v>30</v>
      </c>
      <c r="AB27" s="17" t="n">
        <f aca="false">IF(OR(AA27="",$AA$4-SUMIF(Q27:Z27,"欠",$Q$4:$Z$4)&lt;=0),"",ROUND(AA27/($AA$4-SUMIF(Q27:Z27,"欠",$Q$4:$Z$4))*100,0))</f>
        <v>75</v>
      </c>
      <c r="AC27" s="17" t="str">
        <f aca="false">IF(AB27="","",IF(AB27&gt;=設定!$D$16,"A",IF(AB27&gt;=設定!$E$16,"B","C")))</f>
        <v>B</v>
      </c>
      <c r="AD27" s="17" t="n">
        <f aca="false">IF(AND(N27="",AA27=""),"",IF(N27="",0,N27)+IF(AA27="",0,AA27))</f>
        <v>90</v>
      </c>
      <c r="AE27" s="17" t="n">
        <f aca="false">IF(AD27="","",IF($AD$4-SUMIF(C27:M27,"欠",$C$4:$M$4)-SUMIF(Q27:Z27,"欠",$Q$4:$Z$4)&lt;=0,"",ROUND(AD27/($AD$4-SUMIF(C27:M27,"欠",$C$4:$M$4)-SUMIF(Q27:Z27,"欠",$Q$4:$Z$4))*100,0)))</f>
        <v>90</v>
      </c>
      <c r="AF27" s="17" t="str">
        <f aca="false">IF(AE27="","",IF(AE27&gt;=設定!$D$16,"A",IF(AE27&gt;=設定!$E$16,"B","C")))</f>
        <v>A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43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7" t="n">
        <f aca="false">IF(COUNT(C28:M28)=0,"",SUM(C28:M28))</f>
        <v>43</v>
      </c>
      <c r="O28" s="17" t="n">
        <f aca="false">IF(OR(N28="",$N$4-SUMIF(C28:M28,"欠",$C$4:$M$4)&lt;=0),"",ROUND(N28/($N$4-SUMIF(C28:M28,"欠",$C$4:$M$4))*100,0))</f>
        <v>72</v>
      </c>
      <c r="P28" s="17" t="str">
        <f aca="false">IF(O28="","",IF(O28&gt;=設定!$D$16,"A",IF(O28&gt;=設定!$E$16,"B","C")))</f>
        <v>B</v>
      </c>
      <c r="Q28" s="19" t="n">
        <v>21</v>
      </c>
      <c r="R28" s="19"/>
      <c r="S28" s="19"/>
      <c r="T28" s="19"/>
      <c r="U28" s="19"/>
      <c r="V28" s="19"/>
      <c r="W28" s="19"/>
      <c r="X28" s="19"/>
      <c r="Y28" s="19"/>
      <c r="Z28" s="19"/>
      <c r="AA28" s="17" t="n">
        <f aca="false">IF(COUNT(Q28:Z28)=0,"",SUM(Q28:Z28))</f>
        <v>21</v>
      </c>
      <c r="AB28" s="17" t="n">
        <f aca="false">IF(OR(AA28="",$AA$4-SUMIF(Q28:Z28,"欠",$Q$4:$Z$4)&lt;=0),"",ROUND(AA28/($AA$4-SUMIF(Q28:Z28,"欠",$Q$4:$Z$4))*100,0))</f>
        <v>53</v>
      </c>
      <c r="AC28" s="17" t="str">
        <f aca="false">IF(AB28="","",IF(AB28&gt;=設定!$D$16,"A",IF(AB28&gt;=設定!$E$16,"B","C")))</f>
        <v>C</v>
      </c>
      <c r="AD28" s="17" t="n">
        <f aca="false">IF(AND(N28="",AA28=""),"",IF(N28="",0,N28)+IF(AA28="",0,AA28))</f>
        <v>64</v>
      </c>
      <c r="AE28" s="17" t="n">
        <f aca="false">IF(AD28="","",IF($AD$4-SUMIF(C28:M28,"欠",$C$4:$M$4)-SUMIF(Q28:Z28,"欠",$Q$4:$Z$4)&lt;=0,"",ROUND(AD28/($AD$4-SUMIF(C28:M28,"欠",$C$4:$M$4)-SUMIF(Q28:Z28,"欠",$Q$4:$Z$4))*100,0)))</f>
        <v>64</v>
      </c>
      <c r="AF28" s="17" t="str">
        <f aca="false">IF(AE28="","",IF(AE28&gt;=設定!$D$16,"A",IF(AE28&gt;=設定!$E$16,"B","C")))</f>
        <v>B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46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7" t="n">
        <f aca="false">IF(COUNT(C29:M29)=0,"",SUM(C29:M29))</f>
        <v>46</v>
      </c>
      <c r="O29" s="17" t="n">
        <f aca="false">IF(OR(N29="",$N$4-SUMIF(C29:M29,"欠",$C$4:$M$4)&lt;=0),"",ROUND(N29/($N$4-SUMIF(C29:M29,"欠",$C$4:$M$4))*100,0))</f>
        <v>77</v>
      </c>
      <c r="P29" s="17" t="str">
        <f aca="false">IF(O29="","",IF(O29&gt;=設定!$D$16,"A",IF(O29&gt;=設定!$E$16,"B","C")))</f>
        <v>B</v>
      </c>
      <c r="Q29" s="19" t="n">
        <v>23</v>
      </c>
      <c r="R29" s="19"/>
      <c r="S29" s="19"/>
      <c r="T29" s="19"/>
      <c r="U29" s="19"/>
      <c r="V29" s="19"/>
      <c r="W29" s="19"/>
      <c r="X29" s="19"/>
      <c r="Y29" s="19"/>
      <c r="Z29" s="19"/>
      <c r="AA29" s="17" t="n">
        <f aca="false">IF(COUNT(Q29:Z29)=0,"",SUM(Q29:Z29))</f>
        <v>23</v>
      </c>
      <c r="AB29" s="17" t="n">
        <f aca="false">IF(OR(AA29="",$AA$4-SUMIF(Q29:Z29,"欠",$Q$4:$Z$4)&lt;=0),"",ROUND(AA29/($AA$4-SUMIF(Q29:Z29,"欠",$Q$4:$Z$4))*100,0))</f>
        <v>57</v>
      </c>
      <c r="AC29" s="17" t="str">
        <f aca="false">IF(AB29="","",IF(AB29&gt;=設定!$D$16,"A",IF(AB29&gt;=設定!$E$16,"B","C")))</f>
        <v>C</v>
      </c>
      <c r="AD29" s="17" t="n">
        <f aca="false">IF(AND(N29="",AA29=""),"",IF(N29="",0,N29)+IF(AA29="",0,AA29))</f>
        <v>69</v>
      </c>
      <c r="AE29" s="17" t="n">
        <f aca="false">IF(AD29="","",IF($AD$4-SUMIF(C29:M29,"欠",$C$4:$M$4)-SUMIF(Q29:Z29,"欠",$Q$4:$Z$4)&lt;=0,"",ROUND(AD29/($AD$4-SUMIF(C29:M29,"欠",$C$4:$M$4)-SUMIF(Q29:Z29,"欠",$Q$4:$Z$4))*100,0)))</f>
        <v>69</v>
      </c>
      <c r="AF29" s="17" t="str">
        <f aca="false">IF(AE29="","",IF(AE29&gt;=設定!$D$16,"A",IF(AE29&gt;=設定!$E$16,"B","C")))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50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7" t="n">
        <f aca="false">IF(COUNT(C30:M30)=0,"",SUM(C30:M30))</f>
        <v>50</v>
      </c>
      <c r="O30" s="17" t="n">
        <f aca="false">IF(OR(N30="",$N$4-SUMIF(C30:M30,"欠",$C$4:$M$4)&lt;=0),"",ROUND(N30/($N$4-SUMIF(C30:M30,"欠",$C$4:$M$4))*100,0))</f>
        <v>83</v>
      </c>
      <c r="P30" s="17" t="str">
        <f aca="false">IF(O30="","",IF(O30&gt;=設定!$D$16,"A",IF(O30&gt;=設定!$E$16,"B","C")))</f>
        <v>B</v>
      </c>
      <c r="Q30" s="19" t="n">
        <v>30</v>
      </c>
      <c r="R30" s="19"/>
      <c r="S30" s="19"/>
      <c r="T30" s="19"/>
      <c r="U30" s="19"/>
      <c r="V30" s="19"/>
      <c r="W30" s="19"/>
      <c r="X30" s="19"/>
      <c r="Y30" s="19"/>
      <c r="Z30" s="19"/>
      <c r="AA30" s="17" t="n">
        <f aca="false">IF(COUNT(Q30:Z30)=0,"",SUM(Q30:Z30))</f>
        <v>30</v>
      </c>
      <c r="AB30" s="17" t="n">
        <f aca="false">IF(OR(AA30="",$AA$4-SUMIF(Q30:Z30,"欠",$Q$4:$Z$4)&lt;=0),"",ROUND(AA30/($AA$4-SUMIF(Q30:Z30,"欠",$Q$4:$Z$4))*100,0))</f>
        <v>75</v>
      </c>
      <c r="AC30" s="17" t="str">
        <f aca="false">IF(AB30="","",IF(AB30&gt;=設定!$D$16,"A",IF(AB30&gt;=設定!$E$16,"B","C")))</f>
        <v>B</v>
      </c>
      <c r="AD30" s="17" t="n">
        <f aca="false">IF(AND(N30="",AA30=""),"",IF(N30="",0,N30)+IF(AA30="",0,AA30))</f>
        <v>80</v>
      </c>
      <c r="AE30" s="17" t="n">
        <f aca="false">IF(AD30="","",IF($AD$4-SUMIF(C30:M30,"欠",$C$4:$M$4)-SUMIF(Q30:Z30,"欠",$Q$4:$Z$4)&lt;=0,"",ROUND(AD30/($AD$4-SUMIF(C30:M30,"欠",$C$4:$M$4)-SUMIF(Q30:Z30,"欠",$Q$4:$Z$4))*100,0)))</f>
        <v>80</v>
      </c>
      <c r="AF30" s="17" t="str">
        <f aca="false">IF(AE30="","",IF(AE30&gt;=設定!$D$16,"A",IF(AE30&gt;=設定!$E$16,"B","C")))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47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7" t="n">
        <f aca="false">IF(COUNT(C31:M31)=0,"",SUM(C31:M31))</f>
        <v>47</v>
      </c>
      <c r="O31" s="17" t="n">
        <f aca="false">IF(OR(N31="",$N$4-SUMIF(C31:M31,"欠",$C$4:$M$4)&lt;=0),"",ROUND(N31/($N$4-SUMIF(C31:M31,"欠",$C$4:$M$4))*100,0))</f>
        <v>78</v>
      </c>
      <c r="P31" s="17" t="str">
        <f aca="false">IF(O31="","",IF(O31&gt;=設定!$D$16,"A",IF(O31&gt;=設定!$E$16,"B","C")))</f>
        <v>B</v>
      </c>
      <c r="Q31" s="19" t="n">
        <v>24</v>
      </c>
      <c r="R31" s="19"/>
      <c r="S31" s="19"/>
      <c r="T31" s="19"/>
      <c r="U31" s="19"/>
      <c r="V31" s="19"/>
      <c r="W31" s="19"/>
      <c r="X31" s="19"/>
      <c r="Y31" s="19"/>
      <c r="Z31" s="19"/>
      <c r="AA31" s="17" t="n">
        <f aca="false">IF(COUNT(Q31:Z31)=0,"",SUM(Q31:Z31))</f>
        <v>24</v>
      </c>
      <c r="AB31" s="17" t="n">
        <f aca="false">IF(OR(AA31="",$AA$4-SUMIF(Q31:Z31,"欠",$Q$4:$Z$4)&lt;=0),"",ROUND(AA31/($AA$4-SUMIF(Q31:Z31,"欠",$Q$4:$Z$4))*100,0))</f>
        <v>60</v>
      </c>
      <c r="AC31" s="17" t="str">
        <f aca="false">IF(AB31="","",IF(AB31&gt;=設定!$D$16,"A",IF(AB31&gt;=設定!$E$16,"B","C")))</f>
        <v>B</v>
      </c>
      <c r="AD31" s="17" t="n">
        <f aca="false">IF(AND(N31="",AA31=""),"",IF(N31="",0,N31)+IF(AA31="",0,AA31))</f>
        <v>71</v>
      </c>
      <c r="AE31" s="17" t="n">
        <f aca="false">IF(AD31="","",IF($AD$4-SUMIF(C31:M31,"欠",$C$4:$M$4)-SUMIF(Q31:Z31,"欠",$Q$4:$Z$4)&lt;=0,"",ROUND(AD31/($AD$4-SUMIF(C31:M31,"欠",$C$4:$M$4)-SUMIF(Q31:Z31,"欠",$Q$4:$Z$4))*100,0)))</f>
        <v>71</v>
      </c>
      <c r="AF31" s="17" t="str">
        <f aca="false">IF(AE31="","",IF(AE31&gt;=設定!$D$16,"A",IF(AE31&gt;=設定!$E$16,"B","C")))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50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7" t="n">
        <f aca="false">IF(COUNT(C32:M32)=0,"",SUM(C32:M32))</f>
        <v>50</v>
      </c>
      <c r="O32" s="17" t="n">
        <f aca="false">IF(OR(N32="",$N$4-SUMIF(C32:M32,"欠",$C$4:$M$4)&lt;=0),"",ROUND(N32/($N$4-SUMIF(C32:M32,"欠",$C$4:$M$4))*100,0))</f>
        <v>83</v>
      </c>
      <c r="P32" s="17" t="str">
        <f aca="false">IF(O32="","",IF(O32&gt;=設定!$D$16,"A",IF(O32&gt;=設定!$E$16,"B","C")))</f>
        <v>B</v>
      </c>
      <c r="Q32" s="19" t="n">
        <v>22</v>
      </c>
      <c r="R32" s="19"/>
      <c r="S32" s="19"/>
      <c r="T32" s="19"/>
      <c r="U32" s="19"/>
      <c r="V32" s="19"/>
      <c r="W32" s="19"/>
      <c r="X32" s="19"/>
      <c r="Y32" s="19"/>
      <c r="Z32" s="19"/>
      <c r="AA32" s="17" t="n">
        <f aca="false">IF(COUNT(Q32:Z32)=0,"",SUM(Q32:Z32))</f>
        <v>22</v>
      </c>
      <c r="AB32" s="17" t="n">
        <f aca="false">IF(OR(AA32="",$AA$4-SUMIF(Q32:Z32,"欠",$Q$4:$Z$4)&lt;=0),"",ROUND(AA32/($AA$4-SUMIF(Q32:Z32,"欠",$Q$4:$Z$4))*100,0))</f>
        <v>55</v>
      </c>
      <c r="AC32" s="17" t="str">
        <f aca="false">IF(AB32="","",IF(AB32&gt;=設定!$D$16,"A",IF(AB32&gt;=設定!$E$16,"B","C")))</f>
        <v>C</v>
      </c>
      <c r="AD32" s="17" t="n">
        <f aca="false">IF(AND(N32="",AA32=""),"",IF(N32="",0,N32)+IF(AA32="",0,AA32))</f>
        <v>72</v>
      </c>
      <c r="AE32" s="17" t="n">
        <f aca="false">IF(AD32="","",IF($AD$4-SUMIF(C32:M32,"欠",$C$4:$M$4)-SUMIF(Q32:Z32,"欠",$Q$4:$Z$4)&lt;=0,"",ROUND(AD32/($AD$4-SUMIF(C32:M32,"欠",$C$4:$M$4)-SUMIF(Q32:Z32,"欠",$Q$4:$Z$4))*100,0)))</f>
        <v>72</v>
      </c>
      <c r="AF32" s="17" t="str">
        <f aca="false">IF(AE32="","",IF(AE32&gt;=設定!$D$16,"A",IF(AE32&gt;=設定!$E$16,"B","C")))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60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7" t="n">
        <f aca="false">IF(COUNT(C33:M33)=0,"",SUM(C33:M33))</f>
        <v>60</v>
      </c>
      <c r="O33" s="17" t="n">
        <f aca="false">IF(OR(N33="",$N$4-SUMIF(C33:M33,"欠",$C$4:$M$4)&lt;=0),"",ROUND(N33/($N$4-SUMIF(C33:M33,"欠",$C$4:$M$4))*100,0))</f>
        <v>100</v>
      </c>
      <c r="P33" s="17" t="str">
        <f aca="false">IF(O33="","",IF(O33&gt;=設定!$D$16,"A",IF(O33&gt;=設定!$E$16,"B","C")))</f>
        <v>A</v>
      </c>
      <c r="Q33" s="19" t="n">
        <v>34</v>
      </c>
      <c r="R33" s="19"/>
      <c r="S33" s="19"/>
      <c r="T33" s="19"/>
      <c r="U33" s="19"/>
      <c r="V33" s="19"/>
      <c r="W33" s="19"/>
      <c r="X33" s="19"/>
      <c r="Y33" s="19"/>
      <c r="Z33" s="19"/>
      <c r="AA33" s="17" t="n">
        <f aca="false">IF(COUNT(Q33:Z33)=0,"",SUM(Q33:Z33))</f>
        <v>34</v>
      </c>
      <c r="AB33" s="17" t="n">
        <f aca="false">IF(OR(AA33="",$AA$4-SUMIF(Q33:Z33,"欠",$Q$4:$Z$4)&lt;=0),"",ROUND(AA33/($AA$4-SUMIF(Q33:Z33,"欠",$Q$4:$Z$4))*100,0))</f>
        <v>85</v>
      </c>
      <c r="AC33" s="17" t="str">
        <f aca="false">IF(AB33="","",IF(AB33&gt;=設定!$D$16,"A",IF(AB33&gt;=設定!$E$16,"B","C")))</f>
        <v>B</v>
      </c>
      <c r="AD33" s="17" t="n">
        <f aca="false">IF(AND(N33="",AA33=""),"",IF(N33="",0,N33)+IF(AA33="",0,AA33))</f>
        <v>94</v>
      </c>
      <c r="AE33" s="17" t="n">
        <f aca="false">IF(AD33="","",IF($AD$4-SUMIF(C33:M33,"欠",$C$4:$M$4)-SUMIF(Q33:Z33,"欠",$Q$4:$Z$4)&lt;=0,"",ROUND(AD33/($AD$4-SUMIF(C33:M33,"欠",$C$4:$M$4)-SUMIF(Q33:Z33,"欠",$Q$4:$Z$4))*100,0)))</f>
        <v>94</v>
      </c>
      <c r="AF33" s="17" t="str">
        <f aca="false">IF(AE33="","",IF(AE33&gt;=設定!$D$16,"A",IF(AE33&gt;=設定!$E$16,"B","C")))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57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7" t="n">
        <f aca="false">IF(COUNT(C34:M34)=0,"",SUM(C34:M34))</f>
        <v>57</v>
      </c>
      <c r="O34" s="17" t="n">
        <f aca="false">IF(OR(N34="",$N$4-SUMIF(C34:M34,"欠",$C$4:$M$4)&lt;=0),"",ROUND(N34/($N$4-SUMIF(C34:M34,"欠",$C$4:$M$4))*100,0))</f>
        <v>95</v>
      </c>
      <c r="P34" s="17" t="str">
        <f aca="false">IF(O34="","",IF(O34&gt;=設定!$D$16,"A",IF(O34&gt;=設定!$E$16,"B","C")))</f>
        <v>A</v>
      </c>
      <c r="Q34" s="19" t="n">
        <v>28</v>
      </c>
      <c r="R34" s="19"/>
      <c r="S34" s="19"/>
      <c r="T34" s="19"/>
      <c r="U34" s="19"/>
      <c r="V34" s="19"/>
      <c r="W34" s="19"/>
      <c r="X34" s="19"/>
      <c r="Y34" s="19"/>
      <c r="Z34" s="19"/>
      <c r="AA34" s="17" t="n">
        <f aca="false">IF(COUNT(Q34:Z34)=0,"",SUM(Q34:Z34))</f>
        <v>28</v>
      </c>
      <c r="AB34" s="17" t="n">
        <f aca="false">IF(OR(AA34="",$AA$4-SUMIF(Q34:Z34,"欠",$Q$4:$Z$4)&lt;=0),"",ROUND(AA34/($AA$4-SUMIF(Q34:Z34,"欠",$Q$4:$Z$4))*100,0))</f>
        <v>70</v>
      </c>
      <c r="AC34" s="17" t="str">
        <f aca="false">IF(AB34="","",IF(AB34&gt;=設定!$D$16,"A",IF(AB34&gt;=設定!$E$16,"B","C")))</f>
        <v>B</v>
      </c>
      <c r="AD34" s="17" t="n">
        <f aca="false">IF(AND(N34="",AA34=""),"",IF(N34="",0,N34)+IF(AA34="",0,AA34))</f>
        <v>85</v>
      </c>
      <c r="AE34" s="17" t="n">
        <f aca="false">IF(AD34="","",IF($AD$4-SUMIF(C34:M34,"欠",$C$4:$M$4)-SUMIF(Q34:Z34,"欠",$Q$4:$Z$4)&lt;=0,"",ROUND(AD34/($AD$4-SUMIF(C34:M34,"欠",$C$4:$M$4)-SUMIF(Q34:Z34,"欠",$Q$4:$Z$4))*100,0)))</f>
        <v>85</v>
      </c>
      <c r="AF34" s="17" t="str">
        <f aca="false">IF(AE34="","",IF(AE34&gt;=設定!$D$16,"A",IF(AE34&gt;=設定!$E$16,"B","C")))</f>
        <v>B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7" t="n">
        <f aca="false">IF(COUNT(C35:M35)=0,"",SUM(C35:M35))</f>
        <v>46</v>
      </c>
      <c r="O35" s="17" t="n">
        <f aca="false">IF(OR(N35="",$N$4-SUMIF(C35:M35,"欠",$C$4:$M$4)&lt;=0),"",ROUND(N35/($N$4-SUMIF(C35:M35,"欠",$C$4:$M$4))*100,0))</f>
        <v>77</v>
      </c>
      <c r="P35" s="17" t="str">
        <f aca="false">IF(O35="","",IF(O35&gt;=設定!$D$16,"A",IF(O35&gt;=設定!$E$16,"B","C")))</f>
        <v>B</v>
      </c>
      <c r="Q35" s="19" t="n">
        <v>35</v>
      </c>
      <c r="R35" s="19"/>
      <c r="S35" s="19"/>
      <c r="T35" s="19"/>
      <c r="U35" s="19"/>
      <c r="V35" s="19"/>
      <c r="W35" s="19"/>
      <c r="X35" s="19"/>
      <c r="Y35" s="19"/>
      <c r="Z35" s="19"/>
      <c r="AA35" s="17" t="n">
        <f aca="false">IF(COUNT(Q35:Z35)=0,"",SUM(Q35:Z35))</f>
        <v>35</v>
      </c>
      <c r="AB35" s="17" t="n">
        <f aca="false">IF(OR(AA35="",$AA$4-SUMIF(Q35:Z35,"欠",$Q$4:$Z$4)&lt;=0),"",ROUND(AA35/($AA$4-SUMIF(Q35:Z35,"欠",$Q$4:$Z$4))*100,0))</f>
        <v>88</v>
      </c>
      <c r="AC35" s="17" t="str">
        <f aca="false">IF(AB35="","",IF(AB35&gt;=設定!$D$16,"A",IF(AB35&gt;=設定!$E$16,"B","C")))</f>
        <v>B</v>
      </c>
      <c r="AD35" s="17" t="n">
        <f aca="false">IF(AND(N35="",AA35=""),"",IF(N35="",0,N35)+IF(AA35="",0,AA35))</f>
        <v>81</v>
      </c>
      <c r="AE35" s="17" t="n">
        <f aca="false">IF(AD35="","",IF($AD$4-SUMIF(C35:M35,"欠",$C$4:$M$4)-SUMIF(Q35:Z35,"欠",$Q$4:$Z$4)&lt;=0,"",ROUND(AD35/($AD$4-SUMIF(C35:M35,"欠",$C$4:$M$4)-SUMIF(Q35:Z35,"欠",$Q$4:$Z$4))*100,0)))</f>
        <v>81</v>
      </c>
      <c r="AF35" s="17" t="str">
        <f aca="false">IF(AE35="","",IF(AE35&gt;=設定!$D$16,"A",IF(AE35&gt;=設定!$E$16,"B","C")))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52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7" t="n">
        <f aca="false">IF(COUNT(C36:M36)=0,"",SUM(C36:M36))</f>
        <v>52</v>
      </c>
      <c r="O36" s="17" t="n">
        <f aca="false">IF(OR(N36="",$N$4-SUMIF(C36:M36,"欠",$C$4:$M$4)&lt;=0),"",ROUND(N36/($N$4-SUMIF(C36:M36,"欠",$C$4:$M$4))*100,0))</f>
        <v>87</v>
      </c>
      <c r="P36" s="17" t="str">
        <f aca="false">IF(O36="","",IF(O36&gt;=設定!$D$16,"A",IF(O36&gt;=設定!$E$16,"B","C")))</f>
        <v>B</v>
      </c>
      <c r="Q36" s="19" t="n">
        <v>38</v>
      </c>
      <c r="R36" s="19"/>
      <c r="S36" s="19"/>
      <c r="T36" s="19"/>
      <c r="U36" s="19"/>
      <c r="V36" s="19"/>
      <c r="W36" s="19"/>
      <c r="X36" s="19"/>
      <c r="Y36" s="19"/>
      <c r="Z36" s="19"/>
      <c r="AA36" s="17" t="n">
        <f aca="false">IF(COUNT(Q36:Z36)=0,"",SUM(Q36:Z36))</f>
        <v>38</v>
      </c>
      <c r="AB36" s="17" t="n">
        <f aca="false">IF(OR(AA36="",$AA$4-SUMIF(Q36:Z36,"欠",$Q$4:$Z$4)&lt;=0),"",ROUND(AA36/($AA$4-SUMIF(Q36:Z36,"欠",$Q$4:$Z$4))*100,0))</f>
        <v>95</v>
      </c>
      <c r="AC36" s="17" t="str">
        <f aca="false">IF(AB36="","",IF(AB36&gt;=設定!$D$16,"A",IF(AB36&gt;=設定!$E$16,"B","C")))</f>
        <v>A</v>
      </c>
      <c r="AD36" s="17" t="n">
        <f aca="false">IF(AND(N36="",AA36=""),"",IF(N36="",0,N36)+IF(AA36="",0,AA36))</f>
        <v>90</v>
      </c>
      <c r="AE36" s="17" t="n">
        <f aca="false">IF(AD36="","",IF($AD$4-SUMIF(C36:M36,"欠",$C$4:$M$4)-SUMIF(Q36:Z36,"欠",$Q$4:$Z$4)&lt;=0,"",ROUND(AD36/($AD$4-SUMIF(C36:M36,"欠",$C$4:$M$4)-SUMIF(Q36:Z36,"欠",$Q$4:$Z$4))*100,0)))</f>
        <v>90</v>
      </c>
      <c r="AF36" s="17" t="str">
        <f aca="false">IF(AE36="","",IF(AE36&gt;=設定!$D$16,"A",IF(AE36&gt;=設定!$E$16,"B","C")))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46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7" t="n">
        <f aca="false">IF(COUNT(C37:M37)=0,"",SUM(C37:M37))</f>
        <v>46</v>
      </c>
      <c r="O37" s="17" t="n">
        <f aca="false">IF(OR(N37="",$N$4-SUMIF(C37:M37,"欠",$C$4:$M$4)&lt;=0),"",ROUND(N37/($N$4-SUMIF(C37:M37,"欠",$C$4:$M$4))*100,0))</f>
        <v>77</v>
      </c>
      <c r="P37" s="17" t="str">
        <f aca="false">IF(O37="","",IF(O37&gt;=設定!$D$16,"A",IF(O37&gt;=設定!$E$16,"B","C")))</f>
        <v>B</v>
      </c>
      <c r="Q37" s="19" t="n">
        <v>33</v>
      </c>
      <c r="R37" s="19"/>
      <c r="S37" s="19"/>
      <c r="T37" s="19"/>
      <c r="U37" s="19"/>
      <c r="V37" s="19"/>
      <c r="W37" s="19"/>
      <c r="X37" s="19"/>
      <c r="Y37" s="19"/>
      <c r="Z37" s="19"/>
      <c r="AA37" s="17" t="n">
        <f aca="false">IF(COUNT(Q37:Z37)=0,"",SUM(Q37:Z37))</f>
        <v>33</v>
      </c>
      <c r="AB37" s="17" t="n">
        <f aca="false">IF(OR(AA37="",$AA$4-SUMIF(Q37:Z37,"欠",$Q$4:$Z$4)&lt;=0),"",ROUND(AA37/($AA$4-SUMIF(Q37:Z37,"欠",$Q$4:$Z$4))*100,0))</f>
        <v>83</v>
      </c>
      <c r="AC37" s="17" t="str">
        <f aca="false">IF(AB37="","",IF(AB37&gt;=設定!$D$16,"A",IF(AB37&gt;=設定!$E$16,"B","C")))</f>
        <v>B</v>
      </c>
      <c r="AD37" s="17" t="n">
        <f aca="false">IF(AND(N37="",AA37=""),"",IF(N37="",0,N37)+IF(AA37="",0,AA37))</f>
        <v>79</v>
      </c>
      <c r="AE37" s="17" t="n">
        <f aca="false">IF(AD37="","",IF($AD$4-SUMIF(C37:M37,"欠",$C$4:$M$4)-SUMIF(Q37:Z37,"欠",$Q$4:$Z$4)&lt;=0,"",ROUND(AD37/($AD$4-SUMIF(C37:M37,"欠",$C$4:$M$4)-SUMIF(Q37:Z37,"欠",$Q$4:$Z$4))*100,0)))</f>
        <v>79</v>
      </c>
      <c r="AF37" s="17" t="str">
        <f aca="false">IF(AE37="","",IF(AE37&gt;=設定!$D$16,"A",IF(AE37&gt;=設定!$E$16,"B","C")))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47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7" t="n">
        <f aca="false">IF(COUNT(C38:M38)=0,"",SUM(C38:M38))</f>
        <v>47</v>
      </c>
      <c r="O38" s="17" t="n">
        <f aca="false">IF(OR(N38="",$N$4-SUMIF(C38:M38,"欠",$C$4:$M$4)&lt;=0),"",ROUND(N38/($N$4-SUMIF(C38:M38,"欠",$C$4:$M$4))*100,0))</f>
        <v>78</v>
      </c>
      <c r="P38" s="17" t="str">
        <f aca="false">IF(O38="","",IF(O38&gt;=設定!$D$16,"A",IF(O38&gt;=設定!$E$16,"B","C")))</f>
        <v>B</v>
      </c>
      <c r="Q38" s="19" t="n">
        <v>26</v>
      </c>
      <c r="R38" s="19"/>
      <c r="S38" s="19"/>
      <c r="T38" s="19"/>
      <c r="U38" s="19"/>
      <c r="V38" s="19"/>
      <c r="W38" s="19"/>
      <c r="X38" s="19"/>
      <c r="Y38" s="19"/>
      <c r="Z38" s="19"/>
      <c r="AA38" s="17" t="n">
        <f aca="false">IF(COUNT(Q38:Z38)=0,"",SUM(Q38:Z38))</f>
        <v>26</v>
      </c>
      <c r="AB38" s="17" t="n">
        <f aca="false">IF(OR(AA38="",$AA$4-SUMIF(Q38:Z38,"欠",$Q$4:$Z$4)&lt;=0),"",ROUND(AA38/($AA$4-SUMIF(Q38:Z38,"欠",$Q$4:$Z$4))*100,0))</f>
        <v>65</v>
      </c>
      <c r="AC38" s="17" t="str">
        <f aca="false">IF(AB38="","",IF(AB38&gt;=設定!$D$16,"A",IF(AB38&gt;=設定!$E$16,"B","C")))</f>
        <v>B</v>
      </c>
      <c r="AD38" s="17" t="n">
        <f aca="false">IF(AND(N38="",AA38=""),"",IF(N38="",0,N38)+IF(AA38="",0,AA38))</f>
        <v>73</v>
      </c>
      <c r="AE38" s="17" t="n">
        <f aca="false">IF(AD38="","",IF($AD$4-SUMIF(C38:M38,"欠",$C$4:$M$4)-SUMIF(Q38:Z38,"欠",$Q$4:$Z$4)&lt;=0,"",ROUND(AD38/($AD$4-SUMIF(C38:M38,"欠",$C$4:$M$4)-SUMIF(Q38:Z38,"欠",$Q$4:$Z$4))*100,0)))</f>
        <v>73</v>
      </c>
      <c r="AF38" s="17" t="str">
        <f aca="false">IF(AE38="","",IF(AE38&gt;=設定!$D$16,"A",IF(AE38&gt;=設定!$E$16,"B","C")))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54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7" t="n">
        <f aca="false">IF(COUNT(C39:M39)=0,"",SUM(C39:M39))</f>
        <v>54</v>
      </c>
      <c r="O39" s="17" t="n">
        <f aca="false">IF(OR(N39="",$N$4-SUMIF(C39:M39,"欠",$C$4:$M$4)&lt;=0),"",ROUND(N39/($N$4-SUMIF(C39:M39,"欠",$C$4:$M$4))*100,0))</f>
        <v>90</v>
      </c>
      <c r="P39" s="17" t="str">
        <f aca="false">IF(O39="","",IF(O39&gt;=設定!$D$16,"A",IF(O39&gt;=設定!$E$16,"B","C")))</f>
        <v>A</v>
      </c>
      <c r="Q39" s="19" t="n">
        <v>37</v>
      </c>
      <c r="R39" s="19"/>
      <c r="S39" s="19"/>
      <c r="T39" s="19"/>
      <c r="U39" s="19"/>
      <c r="V39" s="19"/>
      <c r="W39" s="19"/>
      <c r="X39" s="19"/>
      <c r="Y39" s="19"/>
      <c r="Z39" s="19"/>
      <c r="AA39" s="17" t="n">
        <f aca="false">IF(COUNT(Q39:Z39)=0,"",SUM(Q39:Z39))</f>
        <v>37</v>
      </c>
      <c r="AB39" s="17" t="n">
        <f aca="false">IF(OR(AA39="",$AA$4-SUMIF(Q39:Z39,"欠",$Q$4:$Z$4)&lt;=0),"",ROUND(AA39/($AA$4-SUMIF(Q39:Z39,"欠",$Q$4:$Z$4))*100,0))</f>
        <v>93</v>
      </c>
      <c r="AC39" s="17" t="str">
        <f aca="false">IF(AB39="","",IF(AB39&gt;=設定!$D$16,"A",IF(AB39&gt;=設定!$E$16,"B","C")))</f>
        <v>A</v>
      </c>
      <c r="AD39" s="17" t="n">
        <f aca="false">IF(AND(N39="",AA39=""),"",IF(N39="",0,N39)+IF(AA39="",0,AA39))</f>
        <v>91</v>
      </c>
      <c r="AE39" s="17" t="n">
        <f aca="false">IF(AD39="","",IF($AD$4-SUMIF(C39:M39,"欠",$C$4:$M$4)-SUMIF(Q39:Z39,"欠",$Q$4:$Z$4)&lt;=0,"",ROUND(AD39/($AD$4-SUMIF(C39:M39,"欠",$C$4:$M$4)-SUMIF(Q39:Z39,"欠",$Q$4:$Z$4))*100,0)))</f>
        <v>91</v>
      </c>
      <c r="AF39" s="17" t="str">
        <f aca="false">IF(AE39="","",IF(AE39&gt;=設定!$D$16,"A",IF(AE39&gt;=設定!$E$16,"B","C")))</f>
        <v>A</v>
      </c>
    </row>
    <row r="40" s="58" customFormat="true" ht="19.5" hidden="false" customHeight="true" outlineLevel="0" collapsed="false">
      <c r="A40" s="56"/>
      <c r="B40" s="57" t="s">
        <v>81</v>
      </c>
      <c r="C40" s="57" t="n">
        <f aca="false">IF(COUNT(C5:C39)=0,"",ROUND(AVERAGE(C5:C39),1))</f>
        <v>49.8</v>
      </c>
      <c r="D40" s="57" t="str">
        <f aca="false">IF(COUNT(D5:D39)=0,"",ROUND(AVERAGE(D5:D39),1))</f>
        <v/>
      </c>
      <c r="E40" s="57" t="str">
        <f aca="false">IF(COUNT(E5:E39)=0,"",ROUND(AVERAGE(E5:E39),1))</f>
        <v/>
      </c>
      <c r="F40" s="57" t="str">
        <f aca="false">IF(COUNT(F5:F39)=0,"",ROUND(AVERAGE(F5:F39),1))</f>
        <v/>
      </c>
      <c r="G40" s="57" t="str">
        <f aca="false">IF(COUNT(G5:G39)=0,"",ROUND(AVERAGE(G5:G39),1))</f>
        <v/>
      </c>
      <c r="H40" s="57" t="str">
        <f aca="false">IF(COUNT(H5:H39)=0,"",ROUND(AVERAGE(H5:H39),1))</f>
        <v/>
      </c>
      <c r="I40" s="57" t="str">
        <f aca="false">IF(COUNT(I5:I39)=0,"",ROUND(AVERAGE(I5:I39),1))</f>
        <v/>
      </c>
      <c r="J40" s="57" t="str">
        <f aca="false">IF(COUNT(J5:J39)=0,"",ROUND(AVERAGE(J5:J39),1))</f>
        <v/>
      </c>
      <c r="K40" s="57" t="str">
        <f aca="false">IF(COUNT(K5:K39)=0,"",ROUND(AVERAGE(K5:K39),1))</f>
        <v/>
      </c>
      <c r="L40" s="57" t="str">
        <f aca="false">IF(COUNT(L5:L39)=0,"",ROUND(AVERAGE(L5:L39),1))</f>
        <v/>
      </c>
      <c r="M40" s="57" t="str">
        <f aca="false">IF(COUNT(M5:M39)=0,"",ROUND(AVERAGE(M5:M39),1))</f>
        <v/>
      </c>
      <c r="N40" s="57" t="n">
        <f aca="false">IF(COUNT(N5:N39)=0,"",ROUND(AVERAGE(N5:N39),1))</f>
        <v>49.8</v>
      </c>
      <c r="O40" s="57" t="n">
        <f aca="false">IF(COUNT(O5:O39)=0,"",ROUND(AVERAGE(O5:O39),1))</f>
        <v>83</v>
      </c>
      <c r="P40" s="57"/>
      <c r="Q40" s="57" t="n">
        <f aca="false">IF(COUNT(Q5:Q39)=0,"",ROUND(AVERAGE(Q5:Q39),1))</f>
        <v>29.8</v>
      </c>
      <c r="R40" s="57" t="str">
        <f aca="false">IF(COUNT(R5:R39)=0,"",ROUND(AVERAGE(R5:R39),1))</f>
        <v/>
      </c>
      <c r="S40" s="57" t="str">
        <f aca="false">IF(COUNT(S5:S39)=0,"",ROUND(AVERAGE(S5:S39),1))</f>
        <v/>
      </c>
      <c r="T40" s="57" t="str">
        <f aca="false">IF(COUNT(T5:T39)=0,"",ROUND(AVERAGE(T5:T39),1))</f>
        <v/>
      </c>
      <c r="U40" s="57" t="str">
        <f aca="false">IF(COUNT(U5:U39)=0,"",ROUND(AVERAGE(U5:U39),1))</f>
        <v/>
      </c>
      <c r="V40" s="57" t="str">
        <f aca="false">IF(COUNT(V5:V39)=0,"",ROUND(AVERAGE(V5:V39),1))</f>
        <v/>
      </c>
      <c r="W40" s="57" t="str">
        <f aca="false">IF(COUNT(W5:W39)=0,"",ROUND(AVERAGE(W5:W39),1))</f>
        <v/>
      </c>
      <c r="X40" s="57" t="str">
        <f aca="false">IF(COUNT(X5:X39)=0,"",ROUND(AVERAGE(X5:X39),1))</f>
        <v/>
      </c>
      <c r="Y40" s="57" t="str">
        <f aca="false">IF(COUNT(Y5:Y39)=0,"",ROUND(AVERAGE(Y5:Y39),1))</f>
        <v/>
      </c>
      <c r="Z40" s="57" t="str">
        <f aca="false">IF(COUNT(Z5:Z39)=0,"",ROUND(AVERAGE(Z5:Z39),1))</f>
        <v/>
      </c>
      <c r="AA40" s="57" t="n">
        <f aca="false">IF(COUNT(AA5:AA39)=0,"",ROUND(AVERAGE(AA5:AA39),1))</f>
        <v>29.8</v>
      </c>
      <c r="AB40" s="57" t="n">
        <f aca="false">IF(COUNT(AB5:AB39)=0,"",ROUND(AVERAGE(AB5:AB39),1))</f>
        <v>74.5</v>
      </c>
      <c r="AC40" s="57"/>
      <c r="AD40" s="57" t="n">
        <f aca="false">IF(COUNT(AD5:AD39)=0,"",ROUND(AVERAGE(AD5:AD39),1))</f>
        <v>79.5</v>
      </c>
      <c r="AE40" s="57" t="n">
        <f aca="false">IF(COUNT(AE5:AE39)=0,"",ROUND(AVERAGE(AE5:AE39),1))</f>
        <v>79.5</v>
      </c>
      <c r="AF40" s="57"/>
    </row>
    <row r="41" s="58" customFormat="true" ht="19.5" hidden="false" customHeight="true" outlineLevel="0" collapsed="false">
      <c r="A41" s="57"/>
      <c r="B41" s="57" t="s">
        <v>82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 t="n">
        <f aca="false">COUNTIF(P5:P39,"A")</f>
        <v>10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 t="n">
        <f aca="false">COUNTIF(AC5:AC39,"A")</f>
        <v>9</v>
      </c>
      <c r="AD41" s="57"/>
      <c r="AE41" s="57"/>
      <c r="AF41" s="57" t="n">
        <f aca="false">COUNTIF(AF5:AF39,"A")</f>
        <v>10</v>
      </c>
    </row>
    <row r="42" s="58" customFormat="true" ht="19.5" hidden="false" customHeight="true" outlineLevel="0" collapsed="false">
      <c r="A42" s="57"/>
      <c r="B42" s="57" t="s">
        <v>83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 t="n">
        <f aca="false">COUNTIF(P5:P39,"B")</f>
        <v>24</v>
      </c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 t="n">
        <f aca="false">COUNTIF(AC5:AC39,"B")</f>
        <v>17</v>
      </c>
      <c r="AD42" s="57"/>
      <c r="AE42" s="57"/>
      <c r="AF42" s="57" t="n">
        <f aca="false">COUNTIF(AF5:AF39,"B")</f>
        <v>23</v>
      </c>
    </row>
    <row r="43" s="58" customFormat="true" ht="19.5" hidden="false" customHeight="true" outlineLevel="0" collapsed="false">
      <c r="A43" s="57"/>
      <c r="B43" s="57" t="s">
        <v>84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 t="n">
        <f aca="false">COUNTIF(P5:P39,"C")</f>
        <v>1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 t="n">
        <f aca="false">COUNTIF(AC5:AC39,"C")</f>
        <v>9</v>
      </c>
      <c r="AD43" s="57"/>
      <c r="AE43" s="57"/>
      <c r="AF43" s="57" t="n">
        <f aca="false">COUNTIF(AF5:AF39,"C")</f>
        <v>2</v>
      </c>
    </row>
  </sheetData>
  <sheetProtection sheet="true" objects="true" scenarios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115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="13" customFormat="true" ht="19.5" hidden="false" customHeight="true" outlineLevel="0" collapsed="false">
      <c r="A2" s="2" t="s">
        <v>62</v>
      </c>
      <c r="B2" s="2"/>
      <c r="C2" s="2" t="s">
        <v>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64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65</v>
      </c>
      <c r="AE2" s="2"/>
      <c r="AF2" s="2"/>
    </row>
    <row r="3" s="13" customFormat="true" ht="178.5" hidden="false" customHeight="true" outlineLevel="0" collapsed="false">
      <c r="A3" s="2" t="s">
        <v>66</v>
      </c>
      <c r="B3" s="2"/>
      <c r="C3" s="14" t="s">
        <v>116</v>
      </c>
      <c r="D3" s="14" t="s">
        <v>117</v>
      </c>
      <c r="E3" s="14" t="s">
        <v>118</v>
      </c>
      <c r="F3" s="14" t="s">
        <v>119</v>
      </c>
      <c r="G3" s="14" t="s">
        <v>120</v>
      </c>
      <c r="H3" s="14"/>
      <c r="I3" s="14"/>
      <c r="J3" s="14"/>
      <c r="K3" s="14"/>
      <c r="L3" s="14"/>
      <c r="M3" s="14"/>
      <c r="N3" s="15" t="s">
        <v>73</v>
      </c>
      <c r="O3" s="15" t="s">
        <v>74</v>
      </c>
      <c r="P3" s="15" t="s">
        <v>75</v>
      </c>
      <c r="Q3" s="14" t="s">
        <v>116</v>
      </c>
      <c r="R3" s="14" t="s">
        <v>117</v>
      </c>
      <c r="S3" s="14" t="s">
        <v>118</v>
      </c>
      <c r="T3" s="14" t="s">
        <v>119</v>
      </c>
      <c r="U3" s="14" t="s">
        <v>120</v>
      </c>
      <c r="V3" s="14"/>
      <c r="W3" s="14"/>
      <c r="X3" s="14"/>
      <c r="Y3" s="14"/>
      <c r="Z3" s="14"/>
      <c r="AA3" s="15" t="s">
        <v>73</v>
      </c>
      <c r="AB3" s="15" t="s">
        <v>74</v>
      </c>
      <c r="AC3" s="15" t="s">
        <v>75</v>
      </c>
      <c r="AD3" s="15" t="s">
        <v>76</v>
      </c>
      <c r="AE3" s="15" t="s">
        <v>77</v>
      </c>
      <c r="AF3" s="15" t="s">
        <v>78</v>
      </c>
    </row>
    <row r="4" s="13" customFormat="true" ht="21.75" hidden="false" customHeight="true" outlineLevel="0" collapsed="false">
      <c r="A4" s="2" t="s">
        <v>1</v>
      </c>
      <c r="B4" s="2" t="s">
        <v>79</v>
      </c>
      <c r="C4" s="16" t="n">
        <v>50</v>
      </c>
      <c r="D4" s="16" t="n">
        <v>50</v>
      </c>
      <c r="E4" s="16" t="n">
        <v>50</v>
      </c>
      <c r="F4" s="16" t="n">
        <v>50</v>
      </c>
      <c r="G4" s="16" t="n">
        <v>50</v>
      </c>
      <c r="H4" s="16"/>
      <c r="I4" s="16"/>
      <c r="J4" s="16"/>
      <c r="K4" s="16"/>
      <c r="L4" s="16"/>
      <c r="M4" s="16"/>
      <c r="N4" s="2" t="n">
        <f aca="false">SUM(C4:M4)</f>
        <v>250</v>
      </c>
      <c r="O4" s="2"/>
      <c r="P4" s="2"/>
      <c r="Q4" s="16" t="n">
        <v>50</v>
      </c>
      <c r="R4" s="16" t="n">
        <v>50</v>
      </c>
      <c r="S4" s="16" t="n">
        <v>50</v>
      </c>
      <c r="T4" s="16" t="n">
        <v>50</v>
      </c>
      <c r="U4" s="16" t="n">
        <v>50</v>
      </c>
      <c r="V4" s="16"/>
      <c r="W4" s="16"/>
      <c r="X4" s="16"/>
      <c r="Y4" s="16"/>
      <c r="Z4" s="16"/>
      <c r="AA4" s="2" t="n">
        <f aca="false">SUM(Q4:Z4)</f>
        <v>250</v>
      </c>
      <c r="AB4" s="2"/>
      <c r="AC4" s="2"/>
      <c r="AD4" s="2" t="n">
        <f aca="false">N4+AA4</f>
        <v>500</v>
      </c>
      <c r="AE4" s="2"/>
      <c r="AF4" s="2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50</v>
      </c>
      <c r="D5" s="19" t="n">
        <v>48</v>
      </c>
      <c r="E5" s="19" t="n">
        <v>50</v>
      </c>
      <c r="F5" s="19" t="n">
        <v>50</v>
      </c>
      <c r="G5" s="19" t="n">
        <v>50</v>
      </c>
      <c r="H5" s="19"/>
      <c r="I5" s="19"/>
      <c r="J5" s="19"/>
      <c r="K5" s="19"/>
      <c r="L5" s="19"/>
      <c r="M5" s="19"/>
      <c r="N5" s="17" t="n">
        <f aca="false">IF(COUNT(C5:M5)=0,"",SUM(C5:M5))</f>
        <v>248</v>
      </c>
      <c r="O5" s="17" t="n">
        <f aca="false">IF(OR(N5="",$N$4-SUMIF(C5:M5,"欠",$C$4:$M$4)&lt;=0),"",ROUND(N5/($N$4-SUMIF(C5:M5,"欠",$C$4:$M$4))*100,0))</f>
        <v>99</v>
      </c>
      <c r="P5" s="17" t="str">
        <f aca="false">IF(O5="","",IF(O5&gt;=設定!$D$11,"A",IF(O5&gt;=設定!$E$11,"B","C")))</f>
        <v>A</v>
      </c>
      <c r="Q5" s="19" t="n">
        <v>50</v>
      </c>
      <c r="R5" s="19" t="n">
        <v>50</v>
      </c>
      <c r="S5" s="19" t="n">
        <v>47</v>
      </c>
      <c r="T5" s="19" t="n">
        <v>48</v>
      </c>
      <c r="U5" s="19" t="n">
        <v>50</v>
      </c>
      <c r="V5" s="19"/>
      <c r="W5" s="19"/>
      <c r="X5" s="19"/>
      <c r="Y5" s="19"/>
      <c r="Z5" s="19"/>
      <c r="AA5" s="17" t="n">
        <f aca="false">IF(COUNT(Q5:Z5)=0,"",SUM(Q5:Z5))</f>
        <v>245</v>
      </c>
      <c r="AB5" s="17" t="n">
        <f aca="false">IF(OR(AA5="",$AA$4-SUMIF(Q5:Z5,"欠",$Q$4:$Z$4)&lt;=0),"",ROUND(AA5/($AA$4-SUMIF(Q5:Z5,"欠",$Q$4:$Z$4))*100,0))</f>
        <v>98</v>
      </c>
      <c r="AC5" s="17" t="str">
        <f aca="false">IF(AB5="","",IF(AB5&gt;=設定!$D$11,"A",IF(AB5&gt;=設定!$E$11,"B","C")))</f>
        <v>A</v>
      </c>
      <c r="AD5" s="17" t="n">
        <f aca="false">IF(AND(N5="",AA5=""),"",IF(N5="",0,N5)+IF(AA5="",0,AA5))</f>
        <v>493</v>
      </c>
      <c r="AE5" s="17" t="n">
        <f aca="false">IF(AD5="","",IF($AD$4-SUMIF(C5:M5,"欠",$C$4:$M$4)-SUMIF(Q5:Z5,"欠",$Q$4:$Z$4)&lt;=0,"",ROUND(AD5/($AD$4-SUMIF(C5:M5,"欠",$C$4:$M$4)-SUMIF(Q5:Z5,"欠",$Q$4:$Z$4))*100,0)))</f>
        <v>99</v>
      </c>
      <c r="AF5" s="17" t="str">
        <f aca="false">IF(AE5="","",IF(AE5&gt;=設定!$D$11,"A",IF(AE5&gt;=設定!$E$11,"B","C")))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38</v>
      </c>
      <c r="D6" s="19" t="n">
        <v>45</v>
      </c>
      <c r="E6" s="19" t="n">
        <v>38</v>
      </c>
      <c r="F6" s="19" t="n">
        <v>50</v>
      </c>
      <c r="G6" s="19" t="n">
        <v>44</v>
      </c>
      <c r="H6" s="19"/>
      <c r="I6" s="19"/>
      <c r="J6" s="19"/>
      <c r="K6" s="19"/>
      <c r="L6" s="19"/>
      <c r="M6" s="19"/>
      <c r="N6" s="17" t="n">
        <f aca="false">IF(COUNT(C6:M6)=0,"",SUM(C6:M6))</f>
        <v>215</v>
      </c>
      <c r="O6" s="17" t="n">
        <f aca="false">IF(OR(N6="",$N$4-SUMIF(C6:M6,"欠",$C$4:$M$4)&lt;=0),"",ROUND(N6/($N$4-SUMIF(C6:M6,"欠",$C$4:$M$4))*100,0))</f>
        <v>86</v>
      </c>
      <c r="P6" s="17" t="str">
        <f aca="false">IF(O6="","",IF(O6&gt;=設定!$D$11,"A",IF(O6&gt;=設定!$E$11,"B","C")))</f>
        <v>B</v>
      </c>
      <c r="Q6" s="19" t="n">
        <v>38</v>
      </c>
      <c r="R6" s="19" t="n">
        <v>38</v>
      </c>
      <c r="S6" s="19" t="n">
        <v>32</v>
      </c>
      <c r="T6" s="19" t="n">
        <v>37</v>
      </c>
      <c r="U6" s="19" t="n">
        <v>40</v>
      </c>
      <c r="V6" s="19"/>
      <c r="W6" s="19"/>
      <c r="X6" s="19"/>
      <c r="Y6" s="19"/>
      <c r="Z6" s="19"/>
      <c r="AA6" s="17" t="n">
        <f aca="false">IF(COUNT(Q6:Z6)=0,"",SUM(Q6:Z6))</f>
        <v>185</v>
      </c>
      <c r="AB6" s="17" t="n">
        <f aca="false">IF(OR(AA6="",$AA$4-SUMIF(Q6:Z6,"欠",$Q$4:$Z$4)&lt;=0),"",ROUND(AA6/($AA$4-SUMIF(Q6:Z6,"欠",$Q$4:$Z$4))*100,0))</f>
        <v>74</v>
      </c>
      <c r="AC6" s="17" t="str">
        <f aca="false">IF(AB6="","",IF(AB6&gt;=設定!$D$11,"A",IF(AB6&gt;=設定!$E$11,"B","C")))</f>
        <v>B</v>
      </c>
      <c r="AD6" s="17" t="n">
        <f aca="false">IF(AND(N6="",AA6=""),"",IF(N6="",0,N6)+IF(AA6="",0,AA6))</f>
        <v>400</v>
      </c>
      <c r="AE6" s="17" t="n">
        <f aca="false">IF(AD6="","",IF($AD$4-SUMIF(C6:M6,"欠",$C$4:$M$4)-SUMIF(Q6:Z6,"欠",$Q$4:$Z$4)&lt;=0,"",ROUND(AD6/($AD$4-SUMIF(C6:M6,"欠",$C$4:$M$4)-SUMIF(Q6:Z6,"欠",$Q$4:$Z$4))*100,0)))</f>
        <v>80</v>
      </c>
      <c r="AF6" s="17" t="str">
        <f aca="false">IF(AE6="","",IF(AE6&gt;=設定!$D$11,"A",IF(AE6&gt;=設定!$E$11,"B","C")))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50</v>
      </c>
      <c r="D7" s="19" t="n">
        <v>49</v>
      </c>
      <c r="E7" s="19" t="n">
        <v>41</v>
      </c>
      <c r="F7" s="19" t="n">
        <v>48</v>
      </c>
      <c r="G7" s="19" t="n">
        <v>44</v>
      </c>
      <c r="H7" s="19"/>
      <c r="I7" s="19"/>
      <c r="J7" s="19"/>
      <c r="K7" s="19"/>
      <c r="L7" s="19"/>
      <c r="M7" s="19"/>
      <c r="N7" s="17" t="n">
        <f aca="false">IF(COUNT(C7:M7)=0,"",SUM(C7:M7))</f>
        <v>232</v>
      </c>
      <c r="O7" s="17" t="n">
        <f aca="false">IF(OR(N7="",$N$4-SUMIF(C7:M7,"欠",$C$4:$M$4)&lt;=0),"",ROUND(N7/($N$4-SUMIF(C7:M7,"欠",$C$4:$M$4))*100,0))</f>
        <v>93</v>
      </c>
      <c r="P7" s="17" t="str">
        <f aca="false">IF(O7="","",IF(O7&gt;=設定!$D$11,"A",IF(O7&gt;=設定!$E$11,"B","C")))</f>
        <v>A</v>
      </c>
      <c r="Q7" s="19" t="n">
        <v>45</v>
      </c>
      <c r="R7" s="19" t="n">
        <v>45</v>
      </c>
      <c r="S7" s="19" t="n">
        <v>50</v>
      </c>
      <c r="T7" s="19" t="n">
        <v>40</v>
      </c>
      <c r="U7" s="19" t="n">
        <v>45</v>
      </c>
      <c r="V7" s="19"/>
      <c r="W7" s="19"/>
      <c r="X7" s="19"/>
      <c r="Y7" s="19"/>
      <c r="Z7" s="19"/>
      <c r="AA7" s="17" t="n">
        <f aca="false">IF(COUNT(Q7:Z7)=0,"",SUM(Q7:Z7))</f>
        <v>225</v>
      </c>
      <c r="AB7" s="17" t="n">
        <f aca="false">IF(OR(AA7="",$AA$4-SUMIF(Q7:Z7,"欠",$Q$4:$Z$4)&lt;=0),"",ROUND(AA7/($AA$4-SUMIF(Q7:Z7,"欠",$Q$4:$Z$4))*100,0))</f>
        <v>90</v>
      </c>
      <c r="AC7" s="17" t="str">
        <f aca="false">IF(AB7="","",IF(AB7&gt;=設定!$D$11,"A",IF(AB7&gt;=設定!$E$11,"B","C")))</f>
        <v>A</v>
      </c>
      <c r="AD7" s="17" t="n">
        <f aca="false">IF(AND(N7="",AA7=""),"",IF(N7="",0,N7)+IF(AA7="",0,AA7))</f>
        <v>457</v>
      </c>
      <c r="AE7" s="17" t="n">
        <f aca="false">IF(AD7="","",IF($AD$4-SUMIF(C7:M7,"欠",$C$4:$M$4)-SUMIF(Q7:Z7,"欠",$Q$4:$Z$4)&lt;=0,"",ROUND(AD7/($AD$4-SUMIF(C7:M7,"欠",$C$4:$M$4)-SUMIF(Q7:Z7,"欠",$Q$4:$Z$4))*100,0)))</f>
        <v>91</v>
      </c>
      <c r="AF7" s="17" t="str">
        <f aca="false">IF(AE7="","",IF(AE7&gt;=設定!$D$11,"A",IF(AE7&gt;=設定!$E$11,"B","C")))</f>
        <v>A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41</v>
      </c>
      <c r="D8" s="19" t="n">
        <v>43</v>
      </c>
      <c r="E8" s="19" t="n">
        <v>45</v>
      </c>
      <c r="F8" s="19" t="n">
        <v>38</v>
      </c>
      <c r="G8" s="19" t="n">
        <v>38</v>
      </c>
      <c r="H8" s="19"/>
      <c r="I8" s="19"/>
      <c r="J8" s="19"/>
      <c r="K8" s="19"/>
      <c r="L8" s="19"/>
      <c r="M8" s="19"/>
      <c r="N8" s="17" t="n">
        <f aca="false">IF(COUNT(C8:M8)=0,"",SUM(C8:M8))</f>
        <v>205</v>
      </c>
      <c r="O8" s="17" t="n">
        <f aca="false">IF(OR(N8="",$N$4-SUMIF(C8:M8,"欠",$C$4:$M$4)&lt;=0),"",ROUND(N8/($N$4-SUMIF(C8:M8,"欠",$C$4:$M$4))*100,0))</f>
        <v>82</v>
      </c>
      <c r="P8" s="17" t="str">
        <f aca="false">IF(O8="","",IF(O8&gt;=設定!$D$11,"A",IF(O8&gt;=設定!$E$11,"B","C")))</f>
        <v>B</v>
      </c>
      <c r="Q8" s="19" t="n">
        <v>33</v>
      </c>
      <c r="R8" s="19" t="n">
        <v>29</v>
      </c>
      <c r="S8" s="19" t="n">
        <v>41</v>
      </c>
      <c r="T8" s="19" t="n">
        <v>32</v>
      </c>
      <c r="U8" s="19" t="n">
        <v>43</v>
      </c>
      <c r="V8" s="19"/>
      <c r="W8" s="19"/>
      <c r="X8" s="19"/>
      <c r="Y8" s="19"/>
      <c r="Z8" s="19"/>
      <c r="AA8" s="17" t="n">
        <f aca="false">IF(COUNT(Q8:Z8)=0,"",SUM(Q8:Z8))</f>
        <v>178</v>
      </c>
      <c r="AB8" s="17" t="n">
        <f aca="false">IF(OR(AA8="",$AA$4-SUMIF(Q8:Z8,"欠",$Q$4:$Z$4)&lt;=0),"",ROUND(AA8/($AA$4-SUMIF(Q8:Z8,"欠",$Q$4:$Z$4))*100,0))</f>
        <v>71</v>
      </c>
      <c r="AC8" s="17" t="str">
        <f aca="false">IF(AB8="","",IF(AB8&gt;=設定!$D$11,"A",IF(AB8&gt;=設定!$E$11,"B","C")))</f>
        <v>B</v>
      </c>
      <c r="AD8" s="17" t="n">
        <f aca="false">IF(AND(N8="",AA8=""),"",IF(N8="",0,N8)+IF(AA8="",0,AA8))</f>
        <v>383</v>
      </c>
      <c r="AE8" s="17" t="n">
        <f aca="false">IF(AD8="","",IF($AD$4-SUMIF(C8:M8,"欠",$C$4:$M$4)-SUMIF(Q8:Z8,"欠",$Q$4:$Z$4)&lt;=0,"",ROUND(AD8/($AD$4-SUMIF(C8:M8,"欠",$C$4:$M$4)-SUMIF(Q8:Z8,"欠",$Q$4:$Z$4))*100,0)))</f>
        <v>77</v>
      </c>
      <c r="AF8" s="17" t="str">
        <f aca="false">IF(AE8="","",IF(AE8&gt;=設定!$D$11,"A",IF(AE8&gt;=設定!$E$11,"B","C")))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43</v>
      </c>
      <c r="D9" s="19" t="n">
        <v>50</v>
      </c>
      <c r="E9" s="19" t="n">
        <v>47</v>
      </c>
      <c r="F9" s="19" t="n">
        <v>46</v>
      </c>
      <c r="G9" s="19" t="n">
        <v>42</v>
      </c>
      <c r="H9" s="19"/>
      <c r="I9" s="19"/>
      <c r="J9" s="19"/>
      <c r="K9" s="19"/>
      <c r="L9" s="19"/>
      <c r="M9" s="19"/>
      <c r="N9" s="17" t="n">
        <f aca="false">IF(COUNT(C9:M9)=0,"",SUM(C9:M9))</f>
        <v>228</v>
      </c>
      <c r="O9" s="17" t="n">
        <f aca="false">IF(OR(N9="",$N$4-SUMIF(C9:M9,"欠",$C$4:$M$4)&lt;=0),"",ROUND(N9/($N$4-SUMIF(C9:M9,"欠",$C$4:$M$4))*100,0))</f>
        <v>91</v>
      </c>
      <c r="P9" s="17" t="str">
        <f aca="false">IF(O9="","",IF(O9&gt;=設定!$D$11,"A",IF(O9&gt;=設定!$E$11,"B","C")))</f>
        <v>A</v>
      </c>
      <c r="Q9" s="19" t="n">
        <v>37</v>
      </c>
      <c r="R9" s="19" t="n">
        <v>45</v>
      </c>
      <c r="S9" s="19" t="n">
        <v>43</v>
      </c>
      <c r="T9" s="19" t="n">
        <v>48</v>
      </c>
      <c r="U9" s="19" t="n">
        <v>48</v>
      </c>
      <c r="V9" s="19"/>
      <c r="W9" s="19"/>
      <c r="X9" s="19"/>
      <c r="Y9" s="19"/>
      <c r="Z9" s="19"/>
      <c r="AA9" s="17" t="n">
        <f aca="false">IF(COUNT(Q9:Z9)=0,"",SUM(Q9:Z9))</f>
        <v>221</v>
      </c>
      <c r="AB9" s="17" t="n">
        <f aca="false">IF(OR(AA9="",$AA$4-SUMIF(Q9:Z9,"欠",$Q$4:$Z$4)&lt;=0),"",ROUND(AA9/($AA$4-SUMIF(Q9:Z9,"欠",$Q$4:$Z$4))*100,0))</f>
        <v>88</v>
      </c>
      <c r="AC9" s="17" t="str">
        <f aca="false">IF(AB9="","",IF(AB9&gt;=設定!$D$11,"A",IF(AB9&gt;=設定!$E$11,"B","C")))</f>
        <v>B</v>
      </c>
      <c r="AD9" s="17" t="n">
        <f aca="false">IF(AND(N9="",AA9=""),"",IF(N9="",0,N9)+IF(AA9="",0,AA9))</f>
        <v>449</v>
      </c>
      <c r="AE9" s="17" t="n">
        <f aca="false">IF(AD9="","",IF($AD$4-SUMIF(C9:M9,"欠",$C$4:$M$4)-SUMIF(Q9:Z9,"欠",$Q$4:$Z$4)&lt;=0,"",ROUND(AD9/($AD$4-SUMIF(C9:M9,"欠",$C$4:$M$4)-SUMIF(Q9:Z9,"欠",$Q$4:$Z$4))*100,0)))</f>
        <v>90</v>
      </c>
      <c r="AF9" s="17" t="str">
        <f aca="false">IF(AE9="","",IF(AE9&gt;=設定!$D$11,"A",IF(AE9&gt;=設定!$E$11,"B","C")))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30</v>
      </c>
      <c r="D10" s="19" t="n">
        <v>32</v>
      </c>
      <c r="E10" s="19" t="n">
        <v>38</v>
      </c>
      <c r="F10" s="19" t="n">
        <v>27</v>
      </c>
      <c r="G10" s="19" t="n">
        <v>38</v>
      </c>
      <c r="H10" s="19"/>
      <c r="I10" s="19"/>
      <c r="J10" s="19"/>
      <c r="K10" s="19"/>
      <c r="L10" s="19"/>
      <c r="M10" s="19"/>
      <c r="N10" s="17" t="n">
        <f aca="false">IF(COUNT(C10:M10)=0,"",SUM(C10:M10))</f>
        <v>165</v>
      </c>
      <c r="O10" s="17" t="n">
        <f aca="false">IF(OR(N10="",$N$4-SUMIF(C10:M10,"欠",$C$4:$M$4)&lt;=0),"",ROUND(N10/($N$4-SUMIF(C10:M10,"欠",$C$4:$M$4))*100,0))</f>
        <v>66</v>
      </c>
      <c r="P10" s="17" t="str">
        <f aca="false">IF(O10="","",IF(O10&gt;=設定!$D$11,"A",IF(O10&gt;=設定!$E$11,"B","C")))</f>
        <v>B</v>
      </c>
      <c r="Q10" s="19" t="n">
        <v>34</v>
      </c>
      <c r="R10" s="19" t="n">
        <v>25</v>
      </c>
      <c r="S10" s="19" t="n">
        <v>31</v>
      </c>
      <c r="T10" s="19" t="n">
        <v>28</v>
      </c>
      <c r="U10" s="19" t="n">
        <v>26</v>
      </c>
      <c r="V10" s="19"/>
      <c r="W10" s="19"/>
      <c r="X10" s="19"/>
      <c r="Y10" s="19"/>
      <c r="Z10" s="19"/>
      <c r="AA10" s="17" t="n">
        <f aca="false">IF(COUNT(Q10:Z10)=0,"",SUM(Q10:Z10))</f>
        <v>144</v>
      </c>
      <c r="AB10" s="17" t="n">
        <f aca="false">IF(OR(AA10="",$AA$4-SUMIF(Q10:Z10,"欠",$Q$4:$Z$4)&lt;=0),"",ROUND(AA10/($AA$4-SUMIF(Q10:Z10,"欠",$Q$4:$Z$4))*100,0))</f>
        <v>58</v>
      </c>
      <c r="AC10" s="17" t="str">
        <f aca="false">IF(AB10="","",IF(AB10&gt;=設定!$D$11,"A",IF(AB10&gt;=設定!$E$11,"B","C")))</f>
        <v>C</v>
      </c>
      <c r="AD10" s="17" t="n">
        <f aca="false">IF(AND(N10="",AA10=""),"",IF(N10="",0,N10)+IF(AA10="",0,AA10))</f>
        <v>309</v>
      </c>
      <c r="AE10" s="17" t="n">
        <f aca="false">IF(AD10="","",IF($AD$4-SUMIF(C10:M10,"欠",$C$4:$M$4)-SUMIF(Q10:Z10,"欠",$Q$4:$Z$4)&lt;=0,"",ROUND(AD10/($AD$4-SUMIF(C10:M10,"欠",$C$4:$M$4)-SUMIF(Q10:Z10,"欠",$Q$4:$Z$4))*100,0)))</f>
        <v>62</v>
      </c>
      <c r="AF10" s="17" t="str">
        <f aca="false">IF(AE10="","",IF(AE10&gt;=設定!$D$11,"A",IF(AE10&gt;=設定!$E$11,"B","C")))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40</v>
      </c>
      <c r="D11" s="19" t="n">
        <v>39</v>
      </c>
      <c r="E11" s="19" t="n">
        <v>37</v>
      </c>
      <c r="F11" s="19" t="n">
        <v>33</v>
      </c>
      <c r="G11" s="19" t="n">
        <v>46</v>
      </c>
      <c r="H11" s="19"/>
      <c r="I11" s="19"/>
      <c r="J11" s="19"/>
      <c r="K11" s="19"/>
      <c r="L11" s="19"/>
      <c r="M11" s="19"/>
      <c r="N11" s="17" t="n">
        <f aca="false">IF(COUNT(C11:M11)=0,"",SUM(C11:M11))</f>
        <v>195</v>
      </c>
      <c r="O11" s="17" t="n">
        <f aca="false">IF(OR(N11="",$N$4-SUMIF(C11:M11,"欠",$C$4:$M$4)&lt;=0),"",ROUND(N11/($N$4-SUMIF(C11:M11,"欠",$C$4:$M$4))*100,0))</f>
        <v>78</v>
      </c>
      <c r="P11" s="17" t="str">
        <f aca="false">IF(O11="","",IF(O11&gt;=設定!$D$11,"A",IF(O11&gt;=設定!$E$11,"B","C")))</f>
        <v>B</v>
      </c>
      <c r="Q11" s="19" t="n">
        <v>29</v>
      </c>
      <c r="R11" s="19" t="n">
        <v>28</v>
      </c>
      <c r="S11" s="19" t="n">
        <v>34</v>
      </c>
      <c r="T11" s="19" t="n">
        <v>43</v>
      </c>
      <c r="U11" s="19" t="n">
        <v>36</v>
      </c>
      <c r="V11" s="19"/>
      <c r="W11" s="19"/>
      <c r="X11" s="19"/>
      <c r="Y11" s="19"/>
      <c r="Z11" s="19"/>
      <c r="AA11" s="17" t="n">
        <f aca="false">IF(COUNT(Q11:Z11)=0,"",SUM(Q11:Z11))</f>
        <v>170</v>
      </c>
      <c r="AB11" s="17" t="n">
        <f aca="false">IF(OR(AA11="",$AA$4-SUMIF(Q11:Z11,"欠",$Q$4:$Z$4)&lt;=0),"",ROUND(AA11/($AA$4-SUMIF(Q11:Z11,"欠",$Q$4:$Z$4))*100,0))</f>
        <v>68</v>
      </c>
      <c r="AC11" s="17" t="str">
        <f aca="false">IF(AB11="","",IF(AB11&gt;=設定!$D$11,"A",IF(AB11&gt;=設定!$E$11,"B","C")))</f>
        <v>B</v>
      </c>
      <c r="AD11" s="17" t="n">
        <f aca="false">IF(AND(N11="",AA11=""),"",IF(N11="",0,N11)+IF(AA11="",0,AA11))</f>
        <v>365</v>
      </c>
      <c r="AE11" s="17" t="n">
        <f aca="false">IF(AD11="","",IF($AD$4-SUMIF(C11:M11,"欠",$C$4:$M$4)-SUMIF(Q11:Z11,"欠",$Q$4:$Z$4)&lt;=0,"",ROUND(AD11/($AD$4-SUMIF(C11:M11,"欠",$C$4:$M$4)-SUMIF(Q11:Z11,"欠",$Q$4:$Z$4))*100,0)))</f>
        <v>73</v>
      </c>
      <c r="AF11" s="17" t="str">
        <f aca="false">IF(AE11="","",IF(AE11&gt;=設定!$D$11,"A",IF(AE11&gt;=設定!$E$11,"B","C")))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50</v>
      </c>
      <c r="D12" s="20" t="s">
        <v>80</v>
      </c>
      <c r="E12" s="19" t="n">
        <v>47</v>
      </c>
      <c r="F12" s="19" t="n">
        <v>45</v>
      </c>
      <c r="G12" s="19" t="n">
        <v>50</v>
      </c>
      <c r="H12" s="19"/>
      <c r="I12" s="19"/>
      <c r="J12" s="19"/>
      <c r="K12" s="19"/>
      <c r="L12" s="19"/>
      <c r="M12" s="19"/>
      <c r="N12" s="17" t="n">
        <f aca="false">IF(COUNT(C12:M12)=0,"",SUM(C12:M12))</f>
        <v>192</v>
      </c>
      <c r="O12" s="17" t="n">
        <f aca="false">IF(OR(N12="",$N$4-SUMIF(C12:M12,"欠",$C$4:$M$4)&lt;=0),"",ROUND(N12/($N$4-SUMIF(C12:M12,"欠",$C$4:$M$4))*100,0))</f>
        <v>96</v>
      </c>
      <c r="P12" s="17" t="str">
        <f aca="false">IF(O12="","",IF(O12&gt;=設定!$D$11,"A",IF(O12&gt;=設定!$E$11,"B","C")))</f>
        <v>A</v>
      </c>
      <c r="Q12" s="19" t="n">
        <v>37</v>
      </c>
      <c r="R12" s="20" t="s">
        <v>80</v>
      </c>
      <c r="S12" s="19" t="n">
        <v>45</v>
      </c>
      <c r="T12" s="19" t="n">
        <v>50</v>
      </c>
      <c r="U12" s="19" t="n">
        <v>41</v>
      </c>
      <c r="V12" s="19"/>
      <c r="W12" s="19"/>
      <c r="X12" s="19"/>
      <c r="Y12" s="19"/>
      <c r="Z12" s="19"/>
      <c r="AA12" s="17" t="n">
        <f aca="false">IF(COUNT(Q12:Z12)=0,"",SUM(Q12:Z12))</f>
        <v>173</v>
      </c>
      <c r="AB12" s="17" t="n">
        <f aca="false">IF(OR(AA12="",$AA$4-SUMIF(Q12:Z12,"欠",$Q$4:$Z$4)&lt;=0),"",ROUND(AA12/($AA$4-SUMIF(Q12:Z12,"欠",$Q$4:$Z$4))*100,0))</f>
        <v>87</v>
      </c>
      <c r="AC12" s="17" t="str">
        <f aca="false">IF(AB12="","",IF(AB12&gt;=設定!$D$11,"A",IF(AB12&gt;=設定!$E$11,"B","C")))</f>
        <v>B</v>
      </c>
      <c r="AD12" s="17" t="n">
        <f aca="false">IF(AND(N12="",AA12=""),"",IF(N12="",0,N12)+IF(AA12="",0,AA12))</f>
        <v>365</v>
      </c>
      <c r="AE12" s="17" t="n">
        <f aca="false">IF(AD12="","",IF($AD$4-SUMIF(C12:M12,"欠",$C$4:$M$4)-SUMIF(Q12:Z12,"欠",$Q$4:$Z$4)&lt;=0,"",ROUND(AD12/($AD$4-SUMIF(C12:M12,"欠",$C$4:$M$4)-SUMIF(Q12:Z12,"欠",$Q$4:$Z$4))*100,0)))</f>
        <v>91</v>
      </c>
      <c r="AF12" s="17" t="str">
        <f aca="false">IF(AE12="","",IF(AE12&gt;=設定!$D$11,"A",IF(AE12&gt;=設定!$E$11,"B","C")))</f>
        <v>A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35</v>
      </c>
      <c r="D13" s="20" t="n">
        <v>40</v>
      </c>
      <c r="E13" s="19" t="n">
        <v>34</v>
      </c>
      <c r="F13" s="19" t="n">
        <v>30</v>
      </c>
      <c r="G13" s="19" t="n">
        <v>47</v>
      </c>
      <c r="H13" s="19"/>
      <c r="I13" s="19"/>
      <c r="J13" s="19"/>
      <c r="K13" s="19"/>
      <c r="L13" s="19"/>
      <c r="M13" s="19"/>
      <c r="N13" s="17" t="n">
        <f aca="false">IF(COUNT(C13:M13)=0,"",SUM(C13:M13))</f>
        <v>186</v>
      </c>
      <c r="O13" s="17" t="n">
        <f aca="false">IF(OR(N13="",$N$4-SUMIF(C13:M13,"欠",$C$4:$M$4)&lt;=0),"",ROUND(N13/($N$4-SUMIF(C13:M13,"欠",$C$4:$M$4))*100,0))</f>
        <v>74</v>
      </c>
      <c r="P13" s="17" t="str">
        <f aca="false">IF(O13="","",IF(O13&gt;=設定!$D$11,"A",IF(O13&gt;=設定!$E$11,"B","C")))</f>
        <v>B</v>
      </c>
      <c r="Q13" s="19" t="n">
        <v>30</v>
      </c>
      <c r="R13" s="20" t="n">
        <v>39</v>
      </c>
      <c r="S13" s="19" t="n">
        <v>33</v>
      </c>
      <c r="T13" s="19" t="n">
        <v>31</v>
      </c>
      <c r="U13" s="19" t="n">
        <v>31</v>
      </c>
      <c r="V13" s="19"/>
      <c r="W13" s="19"/>
      <c r="X13" s="19"/>
      <c r="Y13" s="19"/>
      <c r="Z13" s="19"/>
      <c r="AA13" s="17" t="n">
        <f aca="false">IF(COUNT(Q13:Z13)=0,"",SUM(Q13:Z13))</f>
        <v>164</v>
      </c>
      <c r="AB13" s="17" t="n">
        <f aca="false">IF(OR(AA13="",$AA$4-SUMIF(Q13:Z13,"欠",$Q$4:$Z$4)&lt;=0),"",ROUND(AA13/($AA$4-SUMIF(Q13:Z13,"欠",$Q$4:$Z$4))*100,0))</f>
        <v>66</v>
      </c>
      <c r="AC13" s="17" t="str">
        <f aca="false">IF(AB13="","",IF(AB13&gt;=設定!$D$11,"A",IF(AB13&gt;=設定!$E$11,"B","C")))</f>
        <v>B</v>
      </c>
      <c r="AD13" s="17" t="n">
        <f aca="false">IF(AND(N13="",AA13=""),"",IF(N13="",0,N13)+IF(AA13="",0,AA13))</f>
        <v>350</v>
      </c>
      <c r="AE13" s="17" t="n">
        <f aca="false">IF(AD13="","",IF($AD$4-SUMIF(C13:M13,"欠",$C$4:$M$4)-SUMIF(Q13:Z13,"欠",$Q$4:$Z$4)&lt;=0,"",ROUND(AD13/($AD$4-SUMIF(C13:M13,"欠",$C$4:$M$4)-SUMIF(Q13:Z13,"欠",$Q$4:$Z$4))*100,0)))</f>
        <v>70</v>
      </c>
      <c r="AF13" s="17" t="str">
        <f aca="false">IF(AE13="","",IF(AE13&gt;=設定!$D$11,"A",IF(AE13&gt;=設定!$E$11,"B","C")))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49</v>
      </c>
      <c r="D14" s="20" t="n">
        <v>49</v>
      </c>
      <c r="E14" s="19" t="n">
        <v>40</v>
      </c>
      <c r="F14" s="19" t="n">
        <v>46</v>
      </c>
      <c r="G14" s="19" t="n">
        <v>40</v>
      </c>
      <c r="H14" s="19"/>
      <c r="I14" s="19"/>
      <c r="J14" s="19"/>
      <c r="K14" s="19"/>
      <c r="L14" s="19"/>
      <c r="M14" s="19"/>
      <c r="N14" s="17" t="n">
        <f aca="false">IF(COUNT(C14:M14)=0,"",SUM(C14:M14))</f>
        <v>224</v>
      </c>
      <c r="O14" s="17" t="n">
        <f aca="false">IF(OR(N14="",$N$4-SUMIF(C14:M14,"欠",$C$4:$M$4)&lt;=0),"",ROUND(N14/($N$4-SUMIF(C14:M14,"欠",$C$4:$M$4))*100,0))</f>
        <v>90</v>
      </c>
      <c r="P14" s="17" t="str">
        <f aca="false">IF(O14="","",IF(O14&gt;=設定!$D$11,"A",IF(O14&gt;=設定!$E$11,"B","C")))</f>
        <v>A</v>
      </c>
      <c r="Q14" s="19" t="n">
        <v>44</v>
      </c>
      <c r="R14" s="20" t="n">
        <v>42</v>
      </c>
      <c r="S14" s="19" t="n">
        <v>41</v>
      </c>
      <c r="T14" s="19" t="n">
        <v>39</v>
      </c>
      <c r="U14" s="19" t="n">
        <v>40</v>
      </c>
      <c r="V14" s="19"/>
      <c r="W14" s="19"/>
      <c r="X14" s="19"/>
      <c r="Y14" s="19"/>
      <c r="Z14" s="19"/>
      <c r="AA14" s="17" t="n">
        <f aca="false">IF(COUNT(Q14:Z14)=0,"",SUM(Q14:Z14))</f>
        <v>206</v>
      </c>
      <c r="AB14" s="17" t="n">
        <f aca="false">IF(OR(AA14="",$AA$4-SUMIF(Q14:Z14,"欠",$Q$4:$Z$4)&lt;=0),"",ROUND(AA14/($AA$4-SUMIF(Q14:Z14,"欠",$Q$4:$Z$4))*100,0))</f>
        <v>82</v>
      </c>
      <c r="AC14" s="17" t="str">
        <f aca="false">IF(AB14="","",IF(AB14&gt;=設定!$D$11,"A",IF(AB14&gt;=設定!$E$11,"B","C")))</f>
        <v>B</v>
      </c>
      <c r="AD14" s="17" t="n">
        <f aca="false">IF(AND(N14="",AA14=""),"",IF(N14="",0,N14)+IF(AA14="",0,AA14))</f>
        <v>430</v>
      </c>
      <c r="AE14" s="17" t="n">
        <f aca="false">IF(AD14="","",IF($AD$4-SUMIF(C14:M14,"欠",$C$4:$M$4)-SUMIF(Q14:Z14,"欠",$Q$4:$Z$4)&lt;=0,"",ROUND(AD14/($AD$4-SUMIF(C14:M14,"欠",$C$4:$M$4)-SUMIF(Q14:Z14,"欠",$Q$4:$Z$4))*100,0)))</f>
        <v>86</v>
      </c>
      <c r="AF14" s="17" t="str">
        <f aca="false">IF(AE14="","",IF(AE14&gt;=設定!$D$11,"A",IF(AE14&gt;=設定!$E$11,"B","C")))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42</v>
      </c>
      <c r="D15" s="20" t="n">
        <v>37</v>
      </c>
      <c r="E15" s="19" t="n">
        <v>43</v>
      </c>
      <c r="F15" s="19" t="n">
        <v>46</v>
      </c>
      <c r="G15" s="19" t="n">
        <v>47</v>
      </c>
      <c r="H15" s="19"/>
      <c r="I15" s="19"/>
      <c r="J15" s="19"/>
      <c r="K15" s="19"/>
      <c r="L15" s="19"/>
      <c r="M15" s="19"/>
      <c r="N15" s="17" t="n">
        <f aca="false">IF(COUNT(C15:M15)=0,"",SUM(C15:M15))</f>
        <v>215</v>
      </c>
      <c r="O15" s="17" t="n">
        <f aca="false">IF(OR(N15="",$N$4-SUMIF(C15:M15,"欠",$C$4:$M$4)&lt;=0),"",ROUND(N15/($N$4-SUMIF(C15:M15,"欠",$C$4:$M$4))*100,0))</f>
        <v>86</v>
      </c>
      <c r="P15" s="17" t="str">
        <f aca="false">IF(O15="","",IF(O15&gt;=設定!$D$11,"A",IF(O15&gt;=設定!$E$11,"B","C")))</f>
        <v>B</v>
      </c>
      <c r="Q15" s="19" t="n">
        <v>38</v>
      </c>
      <c r="R15" s="20" t="n">
        <v>39</v>
      </c>
      <c r="S15" s="19" t="n">
        <v>47</v>
      </c>
      <c r="T15" s="19" t="n">
        <v>40</v>
      </c>
      <c r="U15" s="19" t="n">
        <v>43</v>
      </c>
      <c r="V15" s="19"/>
      <c r="W15" s="19"/>
      <c r="X15" s="19"/>
      <c r="Y15" s="19"/>
      <c r="Z15" s="19"/>
      <c r="AA15" s="17" t="n">
        <f aca="false">IF(COUNT(Q15:Z15)=0,"",SUM(Q15:Z15))</f>
        <v>207</v>
      </c>
      <c r="AB15" s="17" t="n">
        <f aca="false">IF(OR(AA15="",$AA$4-SUMIF(Q15:Z15,"欠",$Q$4:$Z$4)&lt;=0),"",ROUND(AA15/($AA$4-SUMIF(Q15:Z15,"欠",$Q$4:$Z$4))*100,0))</f>
        <v>83</v>
      </c>
      <c r="AC15" s="17" t="str">
        <f aca="false">IF(AB15="","",IF(AB15&gt;=設定!$D$11,"A",IF(AB15&gt;=設定!$E$11,"B","C")))</f>
        <v>B</v>
      </c>
      <c r="AD15" s="17" t="n">
        <f aca="false">IF(AND(N15="",AA15=""),"",IF(N15="",0,N15)+IF(AA15="",0,AA15))</f>
        <v>422</v>
      </c>
      <c r="AE15" s="17" t="n">
        <f aca="false">IF(AD15="","",IF($AD$4-SUMIF(C15:M15,"欠",$C$4:$M$4)-SUMIF(Q15:Z15,"欠",$Q$4:$Z$4)&lt;=0,"",ROUND(AD15/($AD$4-SUMIF(C15:M15,"欠",$C$4:$M$4)-SUMIF(Q15:Z15,"欠",$Q$4:$Z$4))*100,0)))</f>
        <v>84</v>
      </c>
      <c r="AF15" s="17" t="str">
        <f aca="false">IF(AE15="","",IF(AE15&gt;=設定!$D$11,"A",IF(AE15&gt;=設定!$E$11,"B","C")))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40</v>
      </c>
      <c r="D16" s="20" t="n">
        <v>44</v>
      </c>
      <c r="E16" s="19" t="n">
        <v>44</v>
      </c>
      <c r="F16" s="19" t="n">
        <v>37</v>
      </c>
      <c r="G16" s="19" t="n">
        <v>40</v>
      </c>
      <c r="H16" s="19"/>
      <c r="I16" s="19"/>
      <c r="J16" s="19"/>
      <c r="K16" s="19"/>
      <c r="L16" s="19"/>
      <c r="M16" s="19"/>
      <c r="N16" s="17" t="n">
        <f aca="false">IF(COUNT(C16:M16)=0,"",SUM(C16:M16))</f>
        <v>205</v>
      </c>
      <c r="O16" s="17" t="n">
        <f aca="false">IF(OR(N16="",$N$4-SUMIF(C16:M16,"欠",$C$4:$M$4)&lt;=0),"",ROUND(N16/($N$4-SUMIF(C16:M16,"欠",$C$4:$M$4))*100,0))</f>
        <v>82</v>
      </c>
      <c r="P16" s="17" t="str">
        <f aca="false">IF(O16="","",IF(O16&gt;=設定!$D$11,"A",IF(O16&gt;=設定!$E$11,"B","C")))</f>
        <v>B</v>
      </c>
      <c r="Q16" s="19" t="n">
        <v>36</v>
      </c>
      <c r="R16" s="20" t="n">
        <v>33</v>
      </c>
      <c r="S16" s="19" t="n">
        <v>43</v>
      </c>
      <c r="T16" s="19" t="n">
        <v>37</v>
      </c>
      <c r="U16" s="19" t="n">
        <v>42</v>
      </c>
      <c r="V16" s="19"/>
      <c r="W16" s="19"/>
      <c r="X16" s="19"/>
      <c r="Y16" s="19"/>
      <c r="Z16" s="19"/>
      <c r="AA16" s="17" t="n">
        <f aca="false">IF(COUNT(Q16:Z16)=0,"",SUM(Q16:Z16))</f>
        <v>191</v>
      </c>
      <c r="AB16" s="17" t="n">
        <f aca="false">IF(OR(AA16="",$AA$4-SUMIF(Q16:Z16,"欠",$Q$4:$Z$4)&lt;=0),"",ROUND(AA16/($AA$4-SUMIF(Q16:Z16,"欠",$Q$4:$Z$4))*100,0))</f>
        <v>76</v>
      </c>
      <c r="AC16" s="17" t="str">
        <f aca="false">IF(AB16="","",IF(AB16&gt;=設定!$D$11,"A",IF(AB16&gt;=設定!$E$11,"B","C")))</f>
        <v>B</v>
      </c>
      <c r="AD16" s="17" t="n">
        <f aca="false">IF(AND(N16="",AA16=""),"",IF(N16="",0,N16)+IF(AA16="",0,AA16))</f>
        <v>396</v>
      </c>
      <c r="AE16" s="17" t="n">
        <f aca="false">IF(AD16="","",IF($AD$4-SUMIF(C16:M16,"欠",$C$4:$M$4)-SUMIF(Q16:Z16,"欠",$Q$4:$Z$4)&lt;=0,"",ROUND(AD16/($AD$4-SUMIF(C16:M16,"欠",$C$4:$M$4)-SUMIF(Q16:Z16,"欠",$Q$4:$Z$4))*100,0)))</f>
        <v>79</v>
      </c>
      <c r="AF16" s="17" t="str">
        <f aca="false">IF(AE16="","",IF(AE16&gt;=設定!$D$11,"A",IF(AE16&gt;=設定!$E$11,"B","C")))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36</v>
      </c>
      <c r="D17" s="20" t="n">
        <v>30</v>
      </c>
      <c r="E17" s="19" t="n">
        <v>34</v>
      </c>
      <c r="F17" s="19" t="n">
        <v>31</v>
      </c>
      <c r="G17" s="19" t="n">
        <v>21</v>
      </c>
      <c r="H17" s="19"/>
      <c r="I17" s="19"/>
      <c r="J17" s="19"/>
      <c r="K17" s="19"/>
      <c r="L17" s="19"/>
      <c r="M17" s="19"/>
      <c r="N17" s="17" t="n">
        <f aca="false">IF(COUNT(C17:M17)=0,"",SUM(C17:M17))</f>
        <v>152</v>
      </c>
      <c r="O17" s="17" t="n">
        <f aca="false">IF(OR(N17="",$N$4-SUMIF(C17:M17,"欠",$C$4:$M$4)&lt;=0),"",ROUND(N17/($N$4-SUMIF(C17:M17,"欠",$C$4:$M$4))*100,0))</f>
        <v>61</v>
      </c>
      <c r="P17" s="17" t="str">
        <f aca="false">IF(O17="","",IF(O17&gt;=設定!$D$11,"A",IF(O17&gt;=設定!$E$11,"B","C")))</f>
        <v>B</v>
      </c>
      <c r="Q17" s="19" t="n">
        <v>29</v>
      </c>
      <c r="R17" s="20" t="n">
        <v>38</v>
      </c>
      <c r="S17" s="19" t="n">
        <v>32</v>
      </c>
      <c r="T17" s="19" t="n">
        <v>14</v>
      </c>
      <c r="U17" s="19" t="n">
        <v>26</v>
      </c>
      <c r="V17" s="19"/>
      <c r="W17" s="19"/>
      <c r="X17" s="19"/>
      <c r="Y17" s="19"/>
      <c r="Z17" s="19"/>
      <c r="AA17" s="17" t="n">
        <f aca="false">IF(COUNT(Q17:Z17)=0,"",SUM(Q17:Z17))</f>
        <v>139</v>
      </c>
      <c r="AB17" s="17" t="n">
        <f aca="false">IF(OR(AA17="",$AA$4-SUMIF(Q17:Z17,"欠",$Q$4:$Z$4)&lt;=0),"",ROUND(AA17/($AA$4-SUMIF(Q17:Z17,"欠",$Q$4:$Z$4))*100,0))</f>
        <v>56</v>
      </c>
      <c r="AC17" s="17" t="str">
        <f aca="false">IF(AB17="","",IF(AB17&gt;=設定!$D$11,"A",IF(AB17&gt;=設定!$E$11,"B","C")))</f>
        <v>C</v>
      </c>
      <c r="AD17" s="17" t="n">
        <f aca="false">IF(AND(N17="",AA17=""),"",IF(N17="",0,N17)+IF(AA17="",0,AA17))</f>
        <v>291</v>
      </c>
      <c r="AE17" s="17" t="n">
        <f aca="false">IF(AD17="","",IF($AD$4-SUMIF(C17:M17,"欠",$C$4:$M$4)-SUMIF(Q17:Z17,"欠",$Q$4:$Z$4)&lt;=0,"",ROUND(AD17/($AD$4-SUMIF(C17:M17,"欠",$C$4:$M$4)-SUMIF(Q17:Z17,"欠",$Q$4:$Z$4))*100,0)))</f>
        <v>58</v>
      </c>
      <c r="AF17" s="17" t="str">
        <f aca="false">IF(AE17="","",IF(AE17&gt;=設定!$D$11,"A",IF(AE17&gt;=設定!$E$11,"B","C")))</f>
        <v>C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42</v>
      </c>
      <c r="D18" s="20" t="n">
        <v>47</v>
      </c>
      <c r="E18" s="19" t="n">
        <v>49</v>
      </c>
      <c r="F18" s="19" t="n">
        <v>42</v>
      </c>
      <c r="G18" s="19" t="n">
        <v>49</v>
      </c>
      <c r="H18" s="19"/>
      <c r="I18" s="19"/>
      <c r="J18" s="19"/>
      <c r="K18" s="19"/>
      <c r="L18" s="19"/>
      <c r="M18" s="19"/>
      <c r="N18" s="17" t="n">
        <f aca="false">IF(COUNT(C18:M18)=0,"",SUM(C18:M18))</f>
        <v>229</v>
      </c>
      <c r="O18" s="17" t="n">
        <f aca="false">IF(OR(N18="",$N$4-SUMIF(C18:M18,"欠",$C$4:$M$4)&lt;=0),"",ROUND(N18/($N$4-SUMIF(C18:M18,"欠",$C$4:$M$4))*100,0))</f>
        <v>92</v>
      </c>
      <c r="P18" s="17" t="str">
        <f aca="false">IF(O18="","",IF(O18&gt;=設定!$D$11,"A",IF(O18&gt;=設定!$E$11,"B","C")))</f>
        <v>A</v>
      </c>
      <c r="Q18" s="19" t="n">
        <v>45</v>
      </c>
      <c r="R18" s="20" t="n">
        <v>41</v>
      </c>
      <c r="S18" s="19" t="n">
        <v>45</v>
      </c>
      <c r="T18" s="19" t="n">
        <v>42</v>
      </c>
      <c r="U18" s="19" t="n">
        <v>38</v>
      </c>
      <c r="V18" s="19"/>
      <c r="W18" s="19"/>
      <c r="X18" s="19"/>
      <c r="Y18" s="19"/>
      <c r="Z18" s="19"/>
      <c r="AA18" s="17" t="n">
        <f aca="false">IF(COUNT(Q18:Z18)=0,"",SUM(Q18:Z18))</f>
        <v>211</v>
      </c>
      <c r="AB18" s="17" t="n">
        <f aca="false">IF(OR(AA18="",$AA$4-SUMIF(Q18:Z18,"欠",$Q$4:$Z$4)&lt;=0),"",ROUND(AA18/($AA$4-SUMIF(Q18:Z18,"欠",$Q$4:$Z$4))*100,0))</f>
        <v>84</v>
      </c>
      <c r="AC18" s="17" t="str">
        <f aca="false">IF(AB18="","",IF(AB18&gt;=設定!$D$11,"A",IF(AB18&gt;=設定!$E$11,"B","C")))</f>
        <v>B</v>
      </c>
      <c r="AD18" s="17" t="n">
        <f aca="false">IF(AND(N18="",AA18=""),"",IF(N18="",0,N18)+IF(AA18="",0,AA18))</f>
        <v>440</v>
      </c>
      <c r="AE18" s="17" t="n">
        <f aca="false">IF(AD18="","",IF($AD$4-SUMIF(C18:M18,"欠",$C$4:$M$4)-SUMIF(Q18:Z18,"欠",$Q$4:$Z$4)&lt;=0,"",ROUND(AD18/($AD$4-SUMIF(C18:M18,"欠",$C$4:$M$4)-SUMIF(Q18:Z18,"欠",$Q$4:$Z$4))*100,0)))</f>
        <v>88</v>
      </c>
      <c r="AF18" s="17" t="str">
        <f aca="false">IF(AE18="","",IF(AE18&gt;=設定!$D$11,"A",IF(AE18&gt;=設定!$E$11,"B","C")))</f>
        <v>B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32</v>
      </c>
      <c r="D19" s="20" t="n">
        <v>22</v>
      </c>
      <c r="E19" s="19" t="n">
        <v>29</v>
      </c>
      <c r="F19" s="19" t="n">
        <v>19</v>
      </c>
      <c r="G19" s="19" t="n">
        <v>23</v>
      </c>
      <c r="H19" s="19"/>
      <c r="I19" s="19"/>
      <c r="J19" s="19"/>
      <c r="K19" s="19"/>
      <c r="L19" s="19"/>
      <c r="M19" s="19"/>
      <c r="N19" s="17" t="n">
        <f aca="false">IF(COUNT(C19:M19)=0,"",SUM(C19:M19))</f>
        <v>125</v>
      </c>
      <c r="O19" s="17" t="n">
        <f aca="false">IF(OR(N19="",$N$4-SUMIF(C19:M19,"欠",$C$4:$M$4)&lt;=0),"",ROUND(N19/($N$4-SUMIF(C19:M19,"欠",$C$4:$M$4))*100,0))</f>
        <v>50</v>
      </c>
      <c r="P19" s="17" t="str">
        <f aca="false">IF(O19="","",IF(O19&gt;=設定!$D$11,"A",IF(O19&gt;=設定!$E$11,"B","C")))</f>
        <v>C</v>
      </c>
      <c r="Q19" s="19" t="n">
        <v>14</v>
      </c>
      <c r="R19" s="20" t="n">
        <v>21</v>
      </c>
      <c r="S19" s="19" t="n">
        <v>20</v>
      </c>
      <c r="T19" s="19" t="n">
        <v>18</v>
      </c>
      <c r="U19" s="19" t="n">
        <v>21</v>
      </c>
      <c r="V19" s="19"/>
      <c r="W19" s="19"/>
      <c r="X19" s="19"/>
      <c r="Y19" s="19"/>
      <c r="Z19" s="19"/>
      <c r="AA19" s="17" t="n">
        <f aca="false">IF(COUNT(Q19:Z19)=0,"",SUM(Q19:Z19))</f>
        <v>94</v>
      </c>
      <c r="AB19" s="17" t="n">
        <f aca="false">IF(OR(AA19="",$AA$4-SUMIF(Q19:Z19,"欠",$Q$4:$Z$4)&lt;=0),"",ROUND(AA19/($AA$4-SUMIF(Q19:Z19,"欠",$Q$4:$Z$4))*100,0))</f>
        <v>38</v>
      </c>
      <c r="AC19" s="17" t="str">
        <f aca="false">IF(AB19="","",IF(AB19&gt;=設定!$D$11,"A",IF(AB19&gt;=設定!$E$11,"B","C")))</f>
        <v>C</v>
      </c>
      <c r="AD19" s="17" t="n">
        <f aca="false">IF(AND(N19="",AA19=""),"",IF(N19="",0,N19)+IF(AA19="",0,AA19))</f>
        <v>219</v>
      </c>
      <c r="AE19" s="17" t="n">
        <f aca="false">IF(AD19="","",IF($AD$4-SUMIF(C19:M19,"欠",$C$4:$M$4)-SUMIF(Q19:Z19,"欠",$Q$4:$Z$4)&lt;=0,"",ROUND(AD19/($AD$4-SUMIF(C19:M19,"欠",$C$4:$M$4)-SUMIF(Q19:Z19,"欠",$Q$4:$Z$4))*100,0)))</f>
        <v>44</v>
      </c>
      <c r="AF19" s="17" t="str">
        <f aca="false">IF(AE19="","",IF(AE19&gt;=設定!$D$11,"A",IF(AE19&gt;=設定!$E$11,"B","C")))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50</v>
      </c>
      <c r="D20" s="20" t="n">
        <v>46</v>
      </c>
      <c r="E20" s="19" t="n">
        <v>50</v>
      </c>
      <c r="F20" s="19" t="n">
        <v>50</v>
      </c>
      <c r="G20" s="19" t="n">
        <v>50</v>
      </c>
      <c r="H20" s="19"/>
      <c r="I20" s="19"/>
      <c r="J20" s="19"/>
      <c r="K20" s="19"/>
      <c r="L20" s="19"/>
      <c r="M20" s="19"/>
      <c r="N20" s="17" t="n">
        <f aca="false">IF(COUNT(C20:M20)=0,"",SUM(C20:M20))</f>
        <v>246</v>
      </c>
      <c r="O20" s="17" t="n">
        <f aca="false">IF(OR(N20="",$N$4-SUMIF(C20:M20,"欠",$C$4:$M$4)&lt;=0),"",ROUND(N20/($N$4-SUMIF(C20:M20,"欠",$C$4:$M$4))*100,0))</f>
        <v>98</v>
      </c>
      <c r="P20" s="17" t="str">
        <f aca="false">IF(O20="","",IF(O20&gt;=設定!$D$11,"A",IF(O20&gt;=設定!$E$11,"B","C")))</f>
        <v>A</v>
      </c>
      <c r="Q20" s="19" t="n">
        <v>49</v>
      </c>
      <c r="R20" s="20" t="n">
        <v>46</v>
      </c>
      <c r="S20" s="19" t="n">
        <v>50</v>
      </c>
      <c r="T20" s="19" t="n">
        <v>41</v>
      </c>
      <c r="U20" s="19" t="n">
        <v>49</v>
      </c>
      <c r="V20" s="19"/>
      <c r="W20" s="19"/>
      <c r="X20" s="19"/>
      <c r="Y20" s="19"/>
      <c r="Z20" s="19"/>
      <c r="AA20" s="17" t="n">
        <f aca="false">IF(COUNT(Q20:Z20)=0,"",SUM(Q20:Z20))</f>
        <v>235</v>
      </c>
      <c r="AB20" s="17" t="n">
        <f aca="false">IF(OR(AA20="",$AA$4-SUMIF(Q20:Z20,"欠",$Q$4:$Z$4)&lt;=0),"",ROUND(AA20/($AA$4-SUMIF(Q20:Z20,"欠",$Q$4:$Z$4))*100,0))</f>
        <v>94</v>
      </c>
      <c r="AC20" s="17" t="str">
        <f aca="false">IF(AB20="","",IF(AB20&gt;=設定!$D$11,"A",IF(AB20&gt;=設定!$E$11,"B","C")))</f>
        <v>A</v>
      </c>
      <c r="AD20" s="17" t="n">
        <f aca="false">IF(AND(N20="",AA20=""),"",IF(N20="",0,N20)+IF(AA20="",0,AA20))</f>
        <v>481</v>
      </c>
      <c r="AE20" s="17" t="n">
        <f aca="false">IF(AD20="","",IF($AD$4-SUMIF(C20:M20,"欠",$C$4:$M$4)-SUMIF(Q20:Z20,"欠",$Q$4:$Z$4)&lt;=0,"",ROUND(AD20/($AD$4-SUMIF(C20:M20,"欠",$C$4:$M$4)-SUMIF(Q20:Z20,"欠",$Q$4:$Z$4))*100,0)))</f>
        <v>96</v>
      </c>
      <c r="AF20" s="17" t="str">
        <f aca="false">IF(AE20="","",IF(AE20&gt;=設定!$D$11,"A",IF(AE20&gt;=設定!$E$11,"B","C")))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50</v>
      </c>
      <c r="D21" s="20" t="n">
        <v>33</v>
      </c>
      <c r="E21" s="19" t="n">
        <v>50</v>
      </c>
      <c r="F21" s="19" t="n">
        <v>41</v>
      </c>
      <c r="G21" s="19" t="n">
        <v>40</v>
      </c>
      <c r="H21" s="19"/>
      <c r="I21" s="19"/>
      <c r="J21" s="19"/>
      <c r="K21" s="19"/>
      <c r="L21" s="19"/>
      <c r="M21" s="19"/>
      <c r="N21" s="17" t="n">
        <f aca="false">IF(COUNT(C21:M21)=0,"",SUM(C21:M21))</f>
        <v>214</v>
      </c>
      <c r="O21" s="17" t="n">
        <f aca="false">IF(OR(N21="",$N$4-SUMIF(C21:M21,"欠",$C$4:$M$4)&lt;=0),"",ROUND(N21/($N$4-SUMIF(C21:M21,"欠",$C$4:$M$4))*100,0))</f>
        <v>86</v>
      </c>
      <c r="P21" s="17" t="str">
        <f aca="false">IF(O21="","",IF(O21&gt;=設定!$D$11,"A",IF(O21&gt;=設定!$E$11,"B","C")))</f>
        <v>B</v>
      </c>
      <c r="Q21" s="19" t="n">
        <v>37</v>
      </c>
      <c r="R21" s="20" t="n">
        <v>38</v>
      </c>
      <c r="S21" s="19" t="n">
        <v>38</v>
      </c>
      <c r="T21" s="19" t="n">
        <v>43</v>
      </c>
      <c r="U21" s="19" t="n">
        <v>36</v>
      </c>
      <c r="V21" s="19"/>
      <c r="W21" s="19"/>
      <c r="X21" s="19"/>
      <c r="Y21" s="19"/>
      <c r="Z21" s="19"/>
      <c r="AA21" s="17" t="n">
        <f aca="false">IF(COUNT(Q21:Z21)=0,"",SUM(Q21:Z21))</f>
        <v>192</v>
      </c>
      <c r="AB21" s="17" t="n">
        <f aca="false">IF(OR(AA21="",$AA$4-SUMIF(Q21:Z21,"欠",$Q$4:$Z$4)&lt;=0),"",ROUND(AA21/($AA$4-SUMIF(Q21:Z21,"欠",$Q$4:$Z$4))*100,0))</f>
        <v>77</v>
      </c>
      <c r="AC21" s="17" t="str">
        <f aca="false">IF(AB21="","",IF(AB21&gt;=設定!$D$11,"A",IF(AB21&gt;=設定!$E$11,"B","C")))</f>
        <v>B</v>
      </c>
      <c r="AD21" s="17" t="n">
        <f aca="false">IF(AND(N21="",AA21=""),"",IF(N21="",0,N21)+IF(AA21="",0,AA21))</f>
        <v>406</v>
      </c>
      <c r="AE21" s="17" t="n">
        <f aca="false">IF(AD21="","",IF($AD$4-SUMIF(C21:M21,"欠",$C$4:$M$4)-SUMIF(Q21:Z21,"欠",$Q$4:$Z$4)&lt;=0,"",ROUND(AD21/($AD$4-SUMIF(C21:M21,"欠",$C$4:$M$4)-SUMIF(Q21:Z21,"欠",$Q$4:$Z$4))*100,0)))</f>
        <v>81</v>
      </c>
      <c r="AF21" s="17" t="str">
        <f aca="false">IF(AE21="","",IF(AE21&gt;=設定!$D$11,"A",IF(AE21&gt;=設定!$E$11,"B","C")))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49</v>
      </c>
      <c r="D22" s="20" t="n">
        <v>50</v>
      </c>
      <c r="E22" s="19" t="n">
        <v>50</v>
      </c>
      <c r="F22" s="19" t="n">
        <v>50</v>
      </c>
      <c r="G22" s="19" t="n">
        <v>50</v>
      </c>
      <c r="H22" s="19"/>
      <c r="I22" s="19"/>
      <c r="J22" s="19"/>
      <c r="K22" s="19"/>
      <c r="L22" s="19"/>
      <c r="M22" s="19"/>
      <c r="N22" s="17" t="n">
        <f aca="false">IF(COUNT(C22:M22)=0,"",SUM(C22:M22))</f>
        <v>249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IF(O22="","",IF(O22&gt;=設定!$D$11,"A",IF(O22&gt;=設定!$E$11,"B","C")))</f>
        <v>A</v>
      </c>
      <c r="Q22" s="19" t="n">
        <v>50</v>
      </c>
      <c r="R22" s="20" t="n">
        <v>50</v>
      </c>
      <c r="S22" s="19" t="n">
        <v>50</v>
      </c>
      <c r="T22" s="19" t="n">
        <v>50</v>
      </c>
      <c r="U22" s="19" t="n">
        <v>50</v>
      </c>
      <c r="V22" s="19"/>
      <c r="W22" s="19"/>
      <c r="X22" s="19"/>
      <c r="Y22" s="19"/>
      <c r="Z22" s="19"/>
      <c r="AA22" s="17" t="n">
        <f aca="false">IF(COUNT(Q22:Z22)=0,"",SUM(Q22:Z22))</f>
        <v>250</v>
      </c>
      <c r="AB22" s="17" t="n">
        <f aca="false">IF(OR(AA22="",$AA$4-SUMIF(Q22:Z22,"欠",$Q$4:$Z$4)&lt;=0),"",ROUND(AA22/($AA$4-SUMIF(Q22:Z22,"欠",$Q$4:$Z$4))*100,0))</f>
        <v>100</v>
      </c>
      <c r="AC22" s="17" t="str">
        <f aca="false">IF(AB22="","",IF(AB22&gt;=設定!$D$11,"A",IF(AB22&gt;=設定!$E$11,"B","C")))</f>
        <v>A</v>
      </c>
      <c r="AD22" s="17" t="n">
        <f aca="false">IF(AND(N22="",AA22=""),"",IF(N22="",0,N22)+IF(AA22="",0,AA22))</f>
        <v>499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IF(AE22="","",IF(AE22&gt;=設定!$D$11,"A",IF(AE22&gt;=設定!$E$11,"B","C")))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46</v>
      </c>
      <c r="D23" s="20" t="n">
        <v>50</v>
      </c>
      <c r="E23" s="19" t="n">
        <v>50</v>
      </c>
      <c r="F23" s="19" t="n">
        <v>49</v>
      </c>
      <c r="G23" s="19" t="n">
        <v>47</v>
      </c>
      <c r="H23" s="19"/>
      <c r="I23" s="19"/>
      <c r="J23" s="19"/>
      <c r="K23" s="19"/>
      <c r="L23" s="19"/>
      <c r="M23" s="19"/>
      <c r="N23" s="17" t="n">
        <f aca="false">IF(COUNT(C23:M23)=0,"",SUM(C23:M23))</f>
        <v>242</v>
      </c>
      <c r="O23" s="17" t="n">
        <f aca="false">IF(OR(N23="",$N$4-SUMIF(C23:M23,"欠",$C$4:$M$4)&lt;=0),"",ROUND(N23/($N$4-SUMIF(C23:M23,"欠",$C$4:$M$4))*100,0))</f>
        <v>97</v>
      </c>
      <c r="P23" s="17" t="str">
        <f aca="false">IF(O23="","",IF(O23&gt;=設定!$D$11,"A",IF(O23&gt;=設定!$E$11,"B","C")))</f>
        <v>A</v>
      </c>
      <c r="Q23" s="19" t="n">
        <v>45</v>
      </c>
      <c r="R23" s="20" t="n">
        <v>45</v>
      </c>
      <c r="S23" s="19" t="n">
        <v>49</v>
      </c>
      <c r="T23" s="19" t="n">
        <v>43</v>
      </c>
      <c r="U23" s="19" t="n">
        <v>42</v>
      </c>
      <c r="V23" s="19"/>
      <c r="W23" s="19"/>
      <c r="X23" s="19"/>
      <c r="Y23" s="19"/>
      <c r="Z23" s="19"/>
      <c r="AA23" s="17" t="n">
        <f aca="false">IF(COUNT(Q23:Z23)=0,"",SUM(Q23:Z23))</f>
        <v>224</v>
      </c>
      <c r="AB23" s="17" t="n">
        <f aca="false">IF(OR(AA23="",$AA$4-SUMIF(Q23:Z23,"欠",$Q$4:$Z$4)&lt;=0),"",ROUND(AA23/($AA$4-SUMIF(Q23:Z23,"欠",$Q$4:$Z$4))*100,0))</f>
        <v>90</v>
      </c>
      <c r="AC23" s="17" t="str">
        <f aca="false">IF(AB23="","",IF(AB23&gt;=設定!$D$11,"A",IF(AB23&gt;=設定!$E$11,"B","C")))</f>
        <v>A</v>
      </c>
      <c r="AD23" s="17" t="n">
        <f aca="false">IF(AND(N23="",AA23=""),"",IF(N23="",0,N23)+IF(AA23="",0,AA23))</f>
        <v>466</v>
      </c>
      <c r="AE23" s="17" t="n">
        <f aca="false">IF(AD23="","",IF($AD$4-SUMIF(C23:M23,"欠",$C$4:$M$4)-SUMIF(Q23:Z23,"欠",$Q$4:$Z$4)&lt;=0,"",ROUND(AD23/($AD$4-SUMIF(C23:M23,"欠",$C$4:$M$4)-SUMIF(Q23:Z23,"欠",$Q$4:$Z$4))*100,0)))</f>
        <v>93</v>
      </c>
      <c r="AF23" s="17" t="str">
        <f aca="false">IF(AE23="","",IF(AE23&gt;=設定!$D$11,"A",IF(AE23&gt;=設定!$E$11,"B","C")))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36</v>
      </c>
      <c r="D24" s="20" t="n">
        <v>35</v>
      </c>
      <c r="E24" s="19" t="n">
        <v>37</v>
      </c>
      <c r="F24" s="19" t="n">
        <v>38</v>
      </c>
      <c r="G24" s="19" t="n">
        <v>37</v>
      </c>
      <c r="H24" s="19"/>
      <c r="I24" s="19"/>
      <c r="J24" s="19"/>
      <c r="K24" s="19"/>
      <c r="L24" s="19"/>
      <c r="M24" s="19"/>
      <c r="N24" s="17" t="n">
        <f aca="false">IF(COUNT(C24:M24)=0,"",SUM(C24:M24))</f>
        <v>183</v>
      </c>
      <c r="O24" s="17" t="n">
        <f aca="false">IF(OR(N24="",$N$4-SUMIF(C24:M24,"欠",$C$4:$M$4)&lt;=0),"",ROUND(N24/($N$4-SUMIF(C24:M24,"欠",$C$4:$M$4))*100,0))</f>
        <v>73</v>
      </c>
      <c r="P24" s="17" t="str">
        <f aca="false">IF(O24="","",IF(O24&gt;=設定!$D$11,"A",IF(O24&gt;=設定!$E$11,"B","C")))</f>
        <v>B</v>
      </c>
      <c r="Q24" s="19" t="n">
        <v>21</v>
      </c>
      <c r="R24" s="20" t="n">
        <v>37</v>
      </c>
      <c r="S24" s="19" t="n">
        <v>28</v>
      </c>
      <c r="T24" s="19" t="n">
        <v>31</v>
      </c>
      <c r="U24" s="19" t="n">
        <v>28</v>
      </c>
      <c r="V24" s="19"/>
      <c r="W24" s="19"/>
      <c r="X24" s="19"/>
      <c r="Y24" s="19"/>
      <c r="Z24" s="19"/>
      <c r="AA24" s="17" t="n">
        <f aca="false">IF(COUNT(Q24:Z24)=0,"",SUM(Q24:Z24))</f>
        <v>145</v>
      </c>
      <c r="AB24" s="17" t="n">
        <f aca="false">IF(OR(AA24="",$AA$4-SUMIF(Q24:Z24,"欠",$Q$4:$Z$4)&lt;=0),"",ROUND(AA24/($AA$4-SUMIF(Q24:Z24,"欠",$Q$4:$Z$4))*100,0))</f>
        <v>58</v>
      </c>
      <c r="AC24" s="17" t="str">
        <f aca="false">IF(AB24="","",IF(AB24&gt;=設定!$D$11,"A",IF(AB24&gt;=設定!$E$11,"B","C")))</f>
        <v>C</v>
      </c>
      <c r="AD24" s="17" t="n">
        <f aca="false">IF(AND(N24="",AA24=""),"",IF(N24="",0,N24)+IF(AA24="",0,AA24))</f>
        <v>328</v>
      </c>
      <c r="AE24" s="17" t="n">
        <f aca="false">IF(AD24="","",IF($AD$4-SUMIF(C24:M24,"欠",$C$4:$M$4)-SUMIF(Q24:Z24,"欠",$Q$4:$Z$4)&lt;=0,"",ROUND(AD24/($AD$4-SUMIF(C24:M24,"欠",$C$4:$M$4)-SUMIF(Q24:Z24,"欠",$Q$4:$Z$4))*100,0)))</f>
        <v>66</v>
      </c>
      <c r="AF24" s="17" t="str">
        <f aca="false">IF(AE24="","",IF(AE24&gt;=設定!$D$11,"A",IF(AE24&gt;=設定!$E$11,"B","C")))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48</v>
      </c>
      <c r="D25" s="20" t="n">
        <v>50</v>
      </c>
      <c r="E25" s="19" t="n">
        <v>47</v>
      </c>
      <c r="F25" s="19" t="n">
        <v>39</v>
      </c>
      <c r="G25" s="19" t="n">
        <v>50</v>
      </c>
      <c r="H25" s="19"/>
      <c r="I25" s="19"/>
      <c r="J25" s="19"/>
      <c r="K25" s="19"/>
      <c r="L25" s="19"/>
      <c r="M25" s="19"/>
      <c r="N25" s="17" t="n">
        <f aca="false">IF(COUNT(C25:M25)=0,"",SUM(C25:M25))</f>
        <v>234</v>
      </c>
      <c r="O25" s="17" t="n">
        <f aca="false">IF(OR(N25="",$N$4-SUMIF(C25:M25,"欠",$C$4:$M$4)&lt;=0),"",ROUND(N25/($N$4-SUMIF(C25:M25,"欠",$C$4:$M$4))*100,0))</f>
        <v>94</v>
      </c>
      <c r="P25" s="17" t="str">
        <f aca="false">IF(O25="","",IF(O25&gt;=設定!$D$11,"A",IF(O25&gt;=設定!$E$11,"B","C")))</f>
        <v>A</v>
      </c>
      <c r="Q25" s="19" t="n">
        <v>42</v>
      </c>
      <c r="R25" s="20" t="n">
        <v>36</v>
      </c>
      <c r="S25" s="19" t="n">
        <v>36</v>
      </c>
      <c r="T25" s="19" t="n">
        <v>48</v>
      </c>
      <c r="U25" s="19" t="n">
        <v>49</v>
      </c>
      <c r="V25" s="19"/>
      <c r="W25" s="19"/>
      <c r="X25" s="19"/>
      <c r="Y25" s="19"/>
      <c r="Z25" s="19"/>
      <c r="AA25" s="17" t="n">
        <f aca="false">IF(COUNT(Q25:Z25)=0,"",SUM(Q25:Z25))</f>
        <v>211</v>
      </c>
      <c r="AB25" s="17" t="n">
        <f aca="false">IF(OR(AA25="",$AA$4-SUMIF(Q25:Z25,"欠",$Q$4:$Z$4)&lt;=0),"",ROUND(AA25/($AA$4-SUMIF(Q25:Z25,"欠",$Q$4:$Z$4))*100,0))</f>
        <v>84</v>
      </c>
      <c r="AC25" s="17" t="str">
        <f aca="false">IF(AB25="","",IF(AB25&gt;=設定!$D$11,"A",IF(AB25&gt;=設定!$E$11,"B","C")))</f>
        <v>B</v>
      </c>
      <c r="AD25" s="17" t="n">
        <f aca="false">IF(AND(N25="",AA25=""),"",IF(N25="",0,N25)+IF(AA25="",0,AA25))</f>
        <v>445</v>
      </c>
      <c r="AE25" s="17" t="n">
        <f aca="false">IF(AD25="","",IF($AD$4-SUMIF(C25:M25,"欠",$C$4:$M$4)-SUMIF(Q25:Z25,"欠",$Q$4:$Z$4)&lt;=0,"",ROUND(AD25/($AD$4-SUMIF(C25:M25,"欠",$C$4:$M$4)-SUMIF(Q25:Z25,"欠",$Q$4:$Z$4))*100,0)))</f>
        <v>89</v>
      </c>
      <c r="AF25" s="17" t="str">
        <f aca="false">IF(AE25="","",IF(AE25&gt;=設定!$D$11,"A",IF(AE25&gt;=設定!$E$11,"B","C")))</f>
        <v>B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34</v>
      </c>
      <c r="D26" s="20" t="n">
        <v>41</v>
      </c>
      <c r="E26" s="19" t="n">
        <v>39</v>
      </c>
      <c r="F26" s="19" t="n">
        <v>40</v>
      </c>
      <c r="G26" s="19" t="n">
        <v>36</v>
      </c>
      <c r="H26" s="19"/>
      <c r="I26" s="19"/>
      <c r="J26" s="19"/>
      <c r="K26" s="19"/>
      <c r="L26" s="19"/>
      <c r="M26" s="19"/>
      <c r="N26" s="17" t="n">
        <f aca="false">IF(COUNT(C26:M26)=0,"",SUM(C26:M26))</f>
        <v>190</v>
      </c>
      <c r="O26" s="17" t="n">
        <f aca="false">IF(OR(N26="",$N$4-SUMIF(C26:M26,"欠",$C$4:$M$4)&lt;=0),"",ROUND(N26/($N$4-SUMIF(C26:M26,"欠",$C$4:$M$4))*100,0))</f>
        <v>76</v>
      </c>
      <c r="P26" s="17" t="str">
        <f aca="false">IF(O26="","",IF(O26&gt;=設定!$D$11,"A",IF(O26&gt;=設定!$E$11,"B","C")))</f>
        <v>B</v>
      </c>
      <c r="Q26" s="19" t="n">
        <v>22</v>
      </c>
      <c r="R26" s="20" t="n">
        <v>31</v>
      </c>
      <c r="S26" s="19" t="n">
        <v>29</v>
      </c>
      <c r="T26" s="19" t="n">
        <v>30</v>
      </c>
      <c r="U26" s="19" t="n">
        <v>29</v>
      </c>
      <c r="V26" s="19"/>
      <c r="W26" s="19"/>
      <c r="X26" s="19"/>
      <c r="Y26" s="19"/>
      <c r="Z26" s="19"/>
      <c r="AA26" s="17" t="n">
        <f aca="false">IF(COUNT(Q26:Z26)=0,"",SUM(Q26:Z26))</f>
        <v>141</v>
      </c>
      <c r="AB26" s="17" t="n">
        <f aca="false">IF(OR(AA26="",$AA$4-SUMIF(Q26:Z26,"欠",$Q$4:$Z$4)&lt;=0),"",ROUND(AA26/($AA$4-SUMIF(Q26:Z26,"欠",$Q$4:$Z$4))*100,0))</f>
        <v>56</v>
      </c>
      <c r="AC26" s="17" t="str">
        <f aca="false">IF(AB26="","",IF(AB26&gt;=設定!$D$11,"A",IF(AB26&gt;=設定!$E$11,"B","C")))</f>
        <v>C</v>
      </c>
      <c r="AD26" s="17" t="n">
        <f aca="false">IF(AND(N26="",AA26=""),"",IF(N26="",0,N26)+IF(AA26="",0,AA26))</f>
        <v>331</v>
      </c>
      <c r="AE26" s="17" t="n">
        <f aca="false">IF(AD26="","",IF($AD$4-SUMIF(C26:M26,"欠",$C$4:$M$4)-SUMIF(Q26:Z26,"欠",$Q$4:$Z$4)&lt;=0,"",ROUND(AD26/($AD$4-SUMIF(C26:M26,"欠",$C$4:$M$4)-SUMIF(Q26:Z26,"欠",$Q$4:$Z$4))*100,0)))</f>
        <v>66</v>
      </c>
      <c r="AF26" s="17" t="str">
        <f aca="false">IF(AE26="","",IF(AE26&gt;=設定!$D$11,"A",IF(AE26&gt;=設定!$E$11,"B","C")))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42</v>
      </c>
      <c r="D27" s="20" t="n">
        <v>45</v>
      </c>
      <c r="E27" s="19" t="n">
        <v>50</v>
      </c>
      <c r="F27" s="19" t="n">
        <v>37</v>
      </c>
      <c r="G27" s="19" t="n">
        <v>50</v>
      </c>
      <c r="H27" s="19"/>
      <c r="I27" s="19"/>
      <c r="J27" s="19"/>
      <c r="K27" s="19"/>
      <c r="L27" s="19"/>
      <c r="M27" s="19"/>
      <c r="N27" s="17" t="n">
        <f aca="false">IF(COUNT(C27:M27)=0,"",SUM(C27:M27))</f>
        <v>224</v>
      </c>
      <c r="O27" s="17" t="n">
        <f aca="false">IF(OR(N27="",$N$4-SUMIF(C27:M27,"欠",$C$4:$M$4)&lt;=0),"",ROUND(N27/($N$4-SUMIF(C27:M27,"欠",$C$4:$M$4))*100,0))</f>
        <v>90</v>
      </c>
      <c r="P27" s="17" t="str">
        <f aca="false">IF(O27="","",IF(O27&gt;=設定!$D$11,"A",IF(O27&gt;=設定!$E$11,"B","C")))</f>
        <v>A</v>
      </c>
      <c r="Q27" s="19" t="n">
        <v>48</v>
      </c>
      <c r="R27" s="20" t="n">
        <v>50</v>
      </c>
      <c r="S27" s="19" t="n">
        <v>45</v>
      </c>
      <c r="T27" s="19" t="n">
        <v>48</v>
      </c>
      <c r="U27" s="19" t="n">
        <v>49</v>
      </c>
      <c r="V27" s="19"/>
      <c r="W27" s="19"/>
      <c r="X27" s="19"/>
      <c r="Y27" s="19"/>
      <c r="Z27" s="19"/>
      <c r="AA27" s="17" t="n">
        <f aca="false">IF(COUNT(Q27:Z27)=0,"",SUM(Q27:Z27))</f>
        <v>240</v>
      </c>
      <c r="AB27" s="17" t="n">
        <f aca="false">IF(OR(AA27="",$AA$4-SUMIF(Q27:Z27,"欠",$Q$4:$Z$4)&lt;=0),"",ROUND(AA27/($AA$4-SUMIF(Q27:Z27,"欠",$Q$4:$Z$4))*100,0))</f>
        <v>96</v>
      </c>
      <c r="AC27" s="17" t="str">
        <f aca="false">IF(AB27="","",IF(AB27&gt;=設定!$D$11,"A",IF(AB27&gt;=設定!$E$11,"B","C")))</f>
        <v>A</v>
      </c>
      <c r="AD27" s="17" t="n">
        <f aca="false">IF(AND(N27="",AA27=""),"",IF(N27="",0,N27)+IF(AA27="",0,AA27))</f>
        <v>464</v>
      </c>
      <c r="AE27" s="17" t="n">
        <f aca="false">IF(AD27="","",IF($AD$4-SUMIF(C27:M27,"欠",$C$4:$M$4)-SUMIF(Q27:Z27,"欠",$Q$4:$Z$4)&lt;=0,"",ROUND(AD27/($AD$4-SUMIF(C27:M27,"欠",$C$4:$M$4)-SUMIF(Q27:Z27,"欠",$Q$4:$Z$4))*100,0)))</f>
        <v>93</v>
      </c>
      <c r="AF27" s="17" t="str">
        <f aca="false">IF(AE27="","",IF(AE27&gt;=設定!$D$11,"A",IF(AE27&gt;=設定!$E$11,"B","C")))</f>
        <v>A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29</v>
      </c>
      <c r="D28" s="20" t="n">
        <v>33</v>
      </c>
      <c r="E28" s="19" t="n">
        <v>33</v>
      </c>
      <c r="F28" s="19" t="n">
        <v>37</v>
      </c>
      <c r="G28" s="19" t="n">
        <v>32</v>
      </c>
      <c r="H28" s="19"/>
      <c r="I28" s="19"/>
      <c r="J28" s="19"/>
      <c r="K28" s="19"/>
      <c r="L28" s="19"/>
      <c r="M28" s="19"/>
      <c r="N28" s="17" t="n">
        <f aca="false">IF(COUNT(C28:M28)=0,"",SUM(C28:M28))</f>
        <v>164</v>
      </c>
      <c r="O28" s="17" t="n">
        <f aca="false">IF(OR(N28="",$N$4-SUMIF(C28:M28,"欠",$C$4:$M$4)&lt;=0),"",ROUND(N28/($N$4-SUMIF(C28:M28,"欠",$C$4:$M$4))*100,0))</f>
        <v>66</v>
      </c>
      <c r="P28" s="17" t="str">
        <f aca="false">IF(O28="","",IF(O28&gt;=設定!$D$11,"A",IF(O28&gt;=設定!$E$11,"B","C")))</f>
        <v>B</v>
      </c>
      <c r="Q28" s="19" t="n">
        <v>21</v>
      </c>
      <c r="R28" s="20" t="n">
        <v>31</v>
      </c>
      <c r="S28" s="19" t="n">
        <v>25</v>
      </c>
      <c r="T28" s="19" t="n">
        <v>23</v>
      </c>
      <c r="U28" s="19" t="n">
        <v>22</v>
      </c>
      <c r="V28" s="19"/>
      <c r="W28" s="19"/>
      <c r="X28" s="19"/>
      <c r="Y28" s="19"/>
      <c r="Z28" s="19"/>
      <c r="AA28" s="17" t="n">
        <f aca="false">IF(COUNT(Q28:Z28)=0,"",SUM(Q28:Z28))</f>
        <v>122</v>
      </c>
      <c r="AB28" s="17" t="n">
        <f aca="false">IF(OR(AA28="",$AA$4-SUMIF(Q28:Z28,"欠",$Q$4:$Z$4)&lt;=0),"",ROUND(AA28/($AA$4-SUMIF(Q28:Z28,"欠",$Q$4:$Z$4))*100,0))</f>
        <v>49</v>
      </c>
      <c r="AC28" s="17" t="str">
        <f aca="false">IF(AB28="","",IF(AB28&gt;=設定!$D$11,"A",IF(AB28&gt;=設定!$E$11,"B","C")))</f>
        <v>C</v>
      </c>
      <c r="AD28" s="17" t="n">
        <f aca="false">IF(AND(N28="",AA28=""),"",IF(N28="",0,N28)+IF(AA28="",0,AA28))</f>
        <v>286</v>
      </c>
      <c r="AE28" s="17" t="n">
        <f aca="false">IF(AD28="","",IF($AD$4-SUMIF(C28:M28,"欠",$C$4:$M$4)-SUMIF(Q28:Z28,"欠",$Q$4:$Z$4)&lt;=0,"",ROUND(AD28/($AD$4-SUMIF(C28:M28,"欠",$C$4:$M$4)-SUMIF(Q28:Z28,"欠",$Q$4:$Z$4))*100,0)))</f>
        <v>57</v>
      </c>
      <c r="AF28" s="17" t="str">
        <f aca="false">IF(AE28="","",IF(AE28&gt;=設定!$D$11,"A",IF(AE28&gt;=設定!$E$11,"B","C")))</f>
        <v>C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29</v>
      </c>
      <c r="D29" s="20" t="n">
        <v>33</v>
      </c>
      <c r="E29" s="19" t="n">
        <v>33</v>
      </c>
      <c r="F29" s="19" t="n">
        <v>36</v>
      </c>
      <c r="G29" s="19" t="n">
        <v>39</v>
      </c>
      <c r="H29" s="19"/>
      <c r="I29" s="19"/>
      <c r="J29" s="19"/>
      <c r="K29" s="19"/>
      <c r="L29" s="19"/>
      <c r="M29" s="19"/>
      <c r="N29" s="17" t="n">
        <f aca="false">IF(COUNT(C29:M29)=0,"",SUM(C29:M29))</f>
        <v>170</v>
      </c>
      <c r="O29" s="17" t="n">
        <f aca="false">IF(OR(N29="",$N$4-SUMIF(C29:M29,"欠",$C$4:$M$4)&lt;=0),"",ROUND(N29/($N$4-SUMIF(C29:M29,"欠",$C$4:$M$4))*100,0))</f>
        <v>68</v>
      </c>
      <c r="P29" s="17" t="str">
        <f aca="false">IF(O29="","",IF(O29&gt;=設定!$D$11,"A",IF(O29&gt;=設定!$E$11,"B","C")))</f>
        <v>B</v>
      </c>
      <c r="Q29" s="19" t="n">
        <v>25</v>
      </c>
      <c r="R29" s="20" t="n">
        <v>33</v>
      </c>
      <c r="S29" s="19" t="n">
        <v>30</v>
      </c>
      <c r="T29" s="19" t="n">
        <v>26</v>
      </c>
      <c r="U29" s="19" t="n">
        <v>26</v>
      </c>
      <c r="V29" s="19"/>
      <c r="W29" s="19"/>
      <c r="X29" s="19"/>
      <c r="Y29" s="19"/>
      <c r="Z29" s="19"/>
      <c r="AA29" s="17" t="n">
        <f aca="false">IF(COUNT(Q29:Z29)=0,"",SUM(Q29:Z29))</f>
        <v>140</v>
      </c>
      <c r="AB29" s="17" t="n">
        <f aca="false">IF(OR(AA29="",$AA$4-SUMIF(Q29:Z29,"欠",$Q$4:$Z$4)&lt;=0),"",ROUND(AA29/($AA$4-SUMIF(Q29:Z29,"欠",$Q$4:$Z$4))*100,0))</f>
        <v>56</v>
      </c>
      <c r="AC29" s="17" t="str">
        <f aca="false">IF(AB29="","",IF(AB29&gt;=設定!$D$11,"A",IF(AB29&gt;=設定!$E$11,"B","C")))</f>
        <v>C</v>
      </c>
      <c r="AD29" s="17" t="n">
        <f aca="false">IF(AND(N29="",AA29=""),"",IF(N29="",0,N29)+IF(AA29="",0,AA29))</f>
        <v>310</v>
      </c>
      <c r="AE29" s="17" t="n">
        <f aca="false">IF(AD29="","",IF($AD$4-SUMIF(C29:M29,"欠",$C$4:$M$4)-SUMIF(Q29:Z29,"欠",$Q$4:$Z$4)&lt;=0,"",ROUND(AD29/($AD$4-SUMIF(C29:M29,"欠",$C$4:$M$4)-SUMIF(Q29:Z29,"欠",$Q$4:$Z$4))*100,0)))</f>
        <v>62</v>
      </c>
      <c r="AF29" s="17" t="str">
        <f aca="false">IF(AE29="","",IF(AE29&gt;=設定!$D$11,"A",IF(AE29&gt;=設定!$E$11,"B","C")))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40</v>
      </c>
      <c r="D30" s="20" t="n">
        <v>45</v>
      </c>
      <c r="E30" s="19" t="n">
        <v>35</v>
      </c>
      <c r="F30" s="19" t="n">
        <v>38</v>
      </c>
      <c r="G30" s="19" t="n">
        <v>41</v>
      </c>
      <c r="H30" s="19"/>
      <c r="I30" s="19"/>
      <c r="J30" s="19"/>
      <c r="K30" s="19"/>
      <c r="L30" s="19"/>
      <c r="M30" s="19"/>
      <c r="N30" s="17" t="n">
        <f aca="false">IF(COUNT(C30:M30)=0,"",SUM(C30:M30))</f>
        <v>199</v>
      </c>
      <c r="O30" s="17" t="n">
        <f aca="false">IF(OR(N30="",$N$4-SUMIF(C30:M30,"欠",$C$4:$M$4)&lt;=0),"",ROUND(N30/($N$4-SUMIF(C30:M30,"欠",$C$4:$M$4))*100,0))</f>
        <v>80</v>
      </c>
      <c r="P30" s="17" t="str">
        <f aca="false">IF(O30="","",IF(O30&gt;=設定!$D$11,"A",IF(O30&gt;=設定!$E$11,"B","C")))</f>
        <v>B</v>
      </c>
      <c r="Q30" s="19" t="n">
        <v>30</v>
      </c>
      <c r="R30" s="20" t="n">
        <v>27</v>
      </c>
      <c r="S30" s="19" t="n">
        <v>34</v>
      </c>
      <c r="T30" s="19" t="n">
        <v>37</v>
      </c>
      <c r="U30" s="19" t="n">
        <v>39</v>
      </c>
      <c r="V30" s="19"/>
      <c r="W30" s="19"/>
      <c r="X30" s="19"/>
      <c r="Y30" s="19"/>
      <c r="Z30" s="19"/>
      <c r="AA30" s="17" t="n">
        <f aca="false">IF(COUNT(Q30:Z30)=0,"",SUM(Q30:Z30))</f>
        <v>167</v>
      </c>
      <c r="AB30" s="17" t="n">
        <f aca="false">IF(OR(AA30="",$AA$4-SUMIF(Q30:Z30,"欠",$Q$4:$Z$4)&lt;=0),"",ROUND(AA30/($AA$4-SUMIF(Q30:Z30,"欠",$Q$4:$Z$4))*100,0))</f>
        <v>67</v>
      </c>
      <c r="AC30" s="17" t="str">
        <f aca="false">IF(AB30="","",IF(AB30&gt;=設定!$D$11,"A",IF(AB30&gt;=設定!$E$11,"B","C")))</f>
        <v>B</v>
      </c>
      <c r="AD30" s="17" t="n">
        <f aca="false">IF(AND(N30="",AA30=""),"",IF(N30="",0,N30)+IF(AA30="",0,AA30))</f>
        <v>366</v>
      </c>
      <c r="AE30" s="17" t="n">
        <f aca="false">IF(AD30="","",IF($AD$4-SUMIF(C30:M30,"欠",$C$4:$M$4)-SUMIF(Q30:Z30,"欠",$Q$4:$Z$4)&lt;=0,"",ROUND(AD30/($AD$4-SUMIF(C30:M30,"欠",$C$4:$M$4)-SUMIF(Q30:Z30,"欠",$Q$4:$Z$4))*100,0)))</f>
        <v>73</v>
      </c>
      <c r="AF30" s="17" t="str">
        <f aca="false">IF(AE30="","",IF(AE30&gt;=設定!$D$11,"A",IF(AE30&gt;=設定!$E$11,"B","C")))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46</v>
      </c>
      <c r="D31" s="20" t="n">
        <v>42</v>
      </c>
      <c r="E31" s="19" t="n">
        <v>43</v>
      </c>
      <c r="F31" s="19" t="n">
        <v>46</v>
      </c>
      <c r="G31" s="19" t="n">
        <v>49</v>
      </c>
      <c r="H31" s="19"/>
      <c r="I31" s="19"/>
      <c r="J31" s="19"/>
      <c r="K31" s="19"/>
      <c r="L31" s="19"/>
      <c r="M31" s="19"/>
      <c r="N31" s="17" t="n">
        <f aca="false">IF(COUNT(C31:M31)=0,"",SUM(C31:M31))</f>
        <v>226</v>
      </c>
      <c r="O31" s="17" t="n">
        <f aca="false">IF(OR(N31="",$N$4-SUMIF(C31:M31,"欠",$C$4:$M$4)&lt;=0),"",ROUND(N31/($N$4-SUMIF(C31:M31,"欠",$C$4:$M$4))*100,0))</f>
        <v>90</v>
      </c>
      <c r="P31" s="17" t="str">
        <f aca="false">IF(O31="","",IF(O31&gt;=設定!$D$11,"A",IF(O31&gt;=設定!$E$11,"B","C")))</f>
        <v>A</v>
      </c>
      <c r="Q31" s="19" t="n">
        <v>45</v>
      </c>
      <c r="R31" s="20" t="n">
        <v>37</v>
      </c>
      <c r="S31" s="19" t="n">
        <v>36</v>
      </c>
      <c r="T31" s="19" t="n">
        <v>37</v>
      </c>
      <c r="U31" s="19" t="n">
        <v>39</v>
      </c>
      <c r="V31" s="19"/>
      <c r="W31" s="19"/>
      <c r="X31" s="19"/>
      <c r="Y31" s="19"/>
      <c r="Z31" s="19"/>
      <c r="AA31" s="17" t="n">
        <f aca="false">IF(COUNT(Q31:Z31)=0,"",SUM(Q31:Z31))</f>
        <v>194</v>
      </c>
      <c r="AB31" s="17" t="n">
        <f aca="false">IF(OR(AA31="",$AA$4-SUMIF(Q31:Z31,"欠",$Q$4:$Z$4)&lt;=0),"",ROUND(AA31/($AA$4-SUMIF(Q31:Z31,"欠",$Q$4:$Z$4))*100,0))</f>
        <v>78</v>
      </c>
      <c r="AC31" s="17" t="str">
        <f aca="false">IF(AB31="","",IF(AB31&gt;=設定!$D$11,"A",IF(AB31&gt;=設定!$E$11,"B","C")))</f>
        <v>B</v>
      </c>
      <c r="AD31" s="17" t="n">
        <f aca="false">IF(AND(N31="",AA31=""),"",IF(N31="",0,N31)+IF(AA31="",0,AA31))</f>
        <v>420</v>
      </c>
      <c r="AE31" s="17" t="n">
        <f aca="false">IF(AD31="","",IF($AD$4-SUMIF(C31:M31,"欠",$C$4:$M$4)-SUMIF(Q31:Z31,"欠",$Q$4:$Z$4)&lt;=0,"",ROUND(AD31/($AD$4-SUMIF(C31:M31,"欠",$C$4:$M$4)-SUMIF(Q31:Z31,"欠",$Q$4:$Z$4))*100,0)))</f>
        <v>84</v>
      </c>
      <c r="AF31" s="17" t="str">
        <f aca="false">IF(AE31="","",IF(AE31&gt;=設定!$D$11,"A",IF(AE31&gt;=設定!$E$11,"B","C")))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33</v>
      </c>
      <c r="D32" s="20" t="n">
        <v>33</v>
      </c>
      <c r="E32" s="19" t="n">
        <v>28</v>
      </c>
      <c r="F32" s="19" t="n">
        <v>35</v>
      </c>
      <c r="G32" s="19" t="n">
        <v>36</v>
      </c>
      <c r="H32" s="19"/>
      <c r="I32" s="19"/>
      <c r="J32" s="19"/>
      <c r="K32" s="19"/>
      <c r="L32" s="19"/>
      <c r="M32" s="19"/>
      <c r="N32" s="17" t="n">
        <f aca="false">IF(COUNT(C32:M32)=0,"",SUM(C32:M32))</f>
        <v>165</v>
      </c>
      <c r="O32" s="17" t="n">
        <f aca="false">IF(OR(N32="",$N$4-SUMIF(C32:M32,"欠",$C$4:$M$4)&lt;=0),"",ROUND(N32/($N$4-SUMIF(C32:M32,"欠",$C$4:$M$4))*100,0))</f>
        <v>66</v>
      </c>
      <c r="P32" s="17" t="str">
        <f aca="false">IF(O32="","",IF(O32&gt;=設定!$D$11,"A",IF(O32&gt;=設定!$E$11,"B","C")))</f>
        <v>B</v>
      </c>
      <c r="Q32" s="19" t="n">
        <v>32</v>
      </c>
      <c r="R32" s="20" t="n">
        <v>30</v>
      </c>
      <c r="S32" s="19" t="n">
        <v>34</v>
      </c>
      <c r="T32" s="19" t="n">
        <v>30</v>
      </c>
      <c r="U32" s="19" t="n">
        <v>32</v>
      </c>
      <c r="V32" s="19"/>
      <c r="W32" s="19"/>
      <c r="X32" s="19"/>
      <c r="Y32" s="19"/>
      <c r="Z32" s="19"/>
      <c r="AA32" s="17" t="n">
        <f aca="false">IF(COUNT(Q32:Z32)=0,"",SUM(Q32:Z32))</f>
        <v>158</v>
      </c>
      <c r="AB32" s="17" t="n">
        <f aca="false">IF(OR(AA32="",$AA$4-SUMIF(Q32:Z32,"欠",$Q$4:$Z$4)&lt;=0),"",ROUND(AA32/($AA$4-SUMIF(Q32:Z32,"欠",$Q$4:$Z$4))*100,0))</f>
        <v>63</v>
      </c>
      <c r="AC32" s="17" t="str">
        <f aca="false">IF(AB32="","",IF(AB32&gt;=設定!$D$11,"A",IF(AB32&gt;=設定!$E$11,"B","C")))</f>
        <v>B</v>
      </c>
      <c r="AD32" s="17" t="n">
        <f aca="false">IF(AND(N32="",AA32=""),"",IF(N32="",0,N32)+IF(AA32="",0,AA32))</f>
        <v>323</v>
      </c>
      <c r="AE32" s="17" t="n">
        <f aca="false">IF(AD32="","",IF($AD$4-SUMIF(C32:M32,"欠",$C$4:$M$4)-SUMIF(Q32:Z32,"欠",$Q$4:$Z$4)&lt;=0,"",ROUND(AD32/($AD$4-SUMIF(C32:M32,"欠",$C$4:$M$4)-SUMIF(Q32:Z32,"欠",$Q$4:$Z$4))*100,0)))</f>
        <v>65</v>
      </c>
      <c r="AF32" s="17" t="str">
        <f aca="false">IF(AE32="","",IF(AE32&gt;=設定!$D$11,"A",IF(AE32&gt;=設定!$E$11,"B","C")))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50</v>
      </c>
      <c r="D33" s="20" t="n">
        <v>50</v>
      </c>
      <c r="E33" s="19" t="n">
        <v>48</v>
      </c>
      <c r="F33" s="19" t="n">
        <v>50</v>
      </c>
      <c r="G33" s="19" t="n">
        <v>50</v>
      </c>
      <c r="H33" s="19"/>
      <c r="I33" s="19"/>
      <c r="J33" s="19"/>
      <c r="K33" s="19"/>
      <c r="L33" s="19"/>
      <c r="M33" s="19"/>
      <c r="N33" s="17" t="n">
        <f aca="false">IF(COUNT(C33:M33)=0,"",SUM(C33:M33))</f>
        <v>248</v>
      </c>
      <c r="O33" s="17" t="n">
        <f aca="false">IF(OR(N33="",$N$4-SUMIF(C33:M33,"欠",$C$4:$M$4)&lt;=0),"",ROUND(N33/($N$4-SUMIF(C33:M33,"欠",$C$4:$M$4))*100,0))</f>
        <v>99</v>
      </c>
      <c r="P33" s="17" t="str">
        <f aca="false">IF(O33="","",IF(O33&gt;=設定!$D$11,"A",IF(O33&gt;=設定!$E$11,"B","C")))</f>
        <v>A</v>
      </c>
      <c r="Q33" s="19" t="n">
        <v>43</v>
      </c>
      <c r="R33" s="20" t="n">
        <v>42</v>
      </c>
      <c r="S33" s="19" t="n">
        <v>44</v>
      </c>
      <c r="T33" s="19" t="n">
        <v>45</v>
      </c>
      <c r="U33" s="19" t="n">
        <v>43</v>
      </c>
      <c r="V33" s="19"/>
      <c r="W33" s="19"/>
      <c r="X33" s="19"/>
      <c r="Y33" s="19"/>
      <c r="Z33" s="19"/>
      <c r="AA33" s="17" t="n">
        <f aca="false">IF(COUNT(Q33:Z33)=0,"",SUM(Q33:Z33))</f>
        <v>217</v>
      </c>
      <c r="AB33" s="17" t="n">
        <f aca="false">IF(OR(AA33="",$AA$4-SUMIF(Q33:Z33,"欠",$Q$4:$Z$4)&lt;=0),"",ROUND(AA33/($AA$4-SUMIF(Q33:Z33,"欠",$Q$4:$Z$4))*100,0))</f>
        <v>87</v>
      </c>
      <c r="AC33" s="17" t="str">
        <f aca="false">IF(AB33="","",IF(AB33&gt;=設定!$D$11,"A",IF(AB33&gt;=設定!$E$11,"B","C")))</f>
        <v>B</v>
      </c>
      <c r="AD33" s="17" t="n">
        <f aca="false">IF(AND(N33="",AA33=""),"",IF(N33="",0,N33)+IF(AA33="",0,AA33))</f>
        <v>465</v>
      </c>
      <c r="AE33" s="17" t="n">
        <f aca="false">IF(AD33="","",IF($AD$4-SUMIF(C33:M33,"欠",$C$4:$M$4)-SUMIF(Q33:Z33,"欠",$Q$4:$Z$4)&lt;=0,"",ROUND(AD33/($AD$4-SUMIF(C33:M33,"欠",$C$4:$M$4)-SUMIF(Q33:Z33,"欠",$Q$4:$Z$4))*100,0)))</f>
        <v>93</v>
      </c>
      <c r="AF33" s="17" t="str">
        <f aca="false">IF(AE33="","",IF(AE33&gt;=設定!$D$11,"A",IF(AE33&gt;=設定!$E$11,"B","C")))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44</v>
      </c>
      <c r="D34" s="20" t="n">
        <v>47</v>
      </c>
      <c r="E34" s="19" t="n">
        <v>34</v>
      </c>
      <c r="F34" s="19" t="n">
        <v>42</v>
      </c>
      <c r="G34" s="19" t="n">
        <v>46</v>
      </c>
      <c r="H34" s="19"/>
      <c r="I34" s="19"/>
      <c r="J34" s="19"/>
      <c r="K34" s="19"/>
      <c r="L34" s="19"/>
      <c r="M34" s="19"/>
      <c r="N34" s="17" t="n">
        <f aca="false">IF(COUNT(C34:M34)=0,"",SUM(C34:M34))</f>
        <v>213</v>
      </c>
      <c r="O34" s="17" t="n">
        <f aca="false">IF(OR(N34="",$N$4-SUMIF(C34:M34,"欠",$C$4:$M$4)&lt;=0),"",ROUND(N34/($N$4-SUMIF(C34:M34,"欠",$C$4:$M$4))*100,0))</f>
        <v>85</v>
      </c>
      <c r="P34" s="17" t="str">
        <f aca="false">IF(O34="","",IF(O34&gt;=設定!$D$11,"A",IF(O34&gt;=設定!$E$11,"B","C")))</f>
        <v>B</v>
      </c>
      <c r="Q34" s="19" t="n">
        <v>37</v>
      </c>
      <c r="R34" s="20" t="n">
        <v>42</v>
      </c>
      <c r="S34" s="19" t="n">
        <v>39</v>
      </c>
      <c r="T34" s="19" t="n">
        <v>37</v>
      </c>
      <c r="U34" s="19" t="n">
        <v>35</v>
      </c>
      <c r="V34" s="19"/>
      <c r="W34" s="19"/>
      <c r="X34" s="19"/>
      <c r="Y34" s="19"/>
      <c r="Z34" s="19"/>
      <c r="AA34" s="17" t="n">
        <f aca="false">IF(COUNT(Q34:Z34)=0,"",SUM(Q34:Z34))</f>
        <v>190</v>
      </c>
      <c r="AB34" s="17" t="n">
        <f aca="false">IF(OR(AA34="",$AA$4-SUMIF(Q34:Z34,"欠",$Q$4:$Z$4)&lt;=0),"",ROUND(AA34/($AA$4-SUMIF(Q34:Z34,"欠",$Q$4:$Z$4))*100,0))</f>
        <v>76</v>
      </c>
      <c r="AC34" s="17" t="str">
        <f aca="false">IF(AB34="","",IF(AB34&gt;=設定!$D$11,"A",IF(AB34&gt;=設定!$E$11,"B","C")))</f>
        <v>B</v>
      </c>
      <c r="AD34" s="17" t="n">
        <f aca="false">IF(AND(N34="",AA34=""),"",IF(N34="",0,N34)+IF(AA34="",0,AA34))</f>
        <v>403</v>
      </c>
      <c r="AE34" s="17" t="n">
        <f aca="false">IF(AD34="","",IF($AD$4-SUMIF(C34:M34,"欠",$C$4:$M$4)-SUMIF(Q34:Z34,"欠",$Q$4:$Z$4)&lt;=0,"",ROUND(AD34/($AD$4-SUMIF(C34:M34,"欠",$C$4:$M$4)-SUMIF(Q34:Z34,"欠",$Q$4:$Z$4))*100,0)))</f>
        <v>81</v>
      </c>
      <c r="AF34" s="17" t="str">
        <f aca="false">IF(AE34="","",IF(AE34&gt;=設定!$D$11,"A",IF(AE34&gt;=設定!$E$11,"B","C")))</f>
        <v>B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39</v>
      </c>
      <c r="D35" s="20" t="n">
        <v>41</v>
      </c>
      <c r="E35" s="19" t="n">
        <v>43</v>
      </c>
      <c r="F35" s="19" t="n">
        <v>40</v>
      </c>
      <c r="G35" s="19" t="n">
        <v>41</v>
      </c>
      <c r="H35" s="19"/>
      <c r="I35" s="19"/>
      <c r="J35" s="19"/>
      <c r="K35" s="19"/>
      <c r="L35" s="19"/>
      <c r="M35" s="19"/>
      <c r="N35" s="17" t="n">
        <f aca="false">IF(COUNT(C35:M35)=0,"",SUM(C35:M35))</f>
        <v>204</v>
      </c>
      <c r="O35" s="17" t="n">
        <f aca="false">IF(OR(N35="",$N$4-SUMIF(C35:M35,"欠",$C$4:$M$4)&lt;=0),"",ROUND(N35/($N$4-SUMIF(C35:M35,"欠",$C$4:$M$4))*100,0))</f>
        <v>82</v>
      </c>
      <c r="P35" s="17" t="str">
        <f aca="false">IF(O35="","",IF(O35&gt;=設定!$D$11,"A",IF(O35&gt;=設定!$E$11,"B","C")))</f>
        <v>B</v>
      </c>
      <c r="Q35" s="19" t="n">
        <v>32</v>
      </c>
      <c r="R35" s="20" t="n">
        <v>37</v>
      </c>
      <c r="S35" s="19" t="n">
        <v>39</v>
      </c>
      <c r="T35" s="19" t="n">
        <v>34</v>
      </c>
      <c r="U35" s="19" t="n">
        <v>35</v>
      </c>
      <c r="V35" s="19"/>
      <c r="W35" s="19"/>
      <c r="X35" s="19"/>
      <c r="Y35" s="19"/>
      <c r="Z35" s="19"/>
      <c r="AA35" s="17" t="n">
        <f aca="false">IF(COUNT(Q35:Z35)=0,"",SUM(Q35:Z35))</f>
        <v>177</v>
      </c>
      <c r="AB35" s="17" t="n">
        <f aca="false">IF(OR(AA35="",$AA$4-SUMIF(Q35:Z35,"欠",$Q$4:$Z$4)&lt;=0),"",ROUND(AA35/($AA$4-SUMIF(Q35:Z35,"欠",$Q$4:$Z$4))*100,0))</f>
        <v>71</v>
      </c>
      <c r="AC35" s="17" t="str">
        <f aca="false">IF(AB35="","",IF(AB35&gt;=設定!$D$11,"A",IF(AB35&gt;=設定!$E$11,"B","C")))</f>
        <v>B</v>
      </c>
      <c r="AD35" s="17" t="n">
        <f aca="false">IF(AND(N35="",AA35=""),"",IF(N35="",0,N35)+IF(AA35="",0,AA35))</f>
        <v>381</v>
      </c>
      <c r="AE35" s="17" t="n">
        <f aca="false">IF(AD35="","",IF($AD$4-SUMIF(C35:M35,"欠",$C$4:$M$4)-SUMIF(Q35:Z35,"欠",$Q$4:$Z$4)&lt;=0,"",ROUND(AD35/($AD$4-SUMIF(C35:M35,"欠",$C$4:$M$4)-SUMIF(Q35:Z35,"欠",$Q$4:$Z$4))*100,0)))</f>
        <v>76</v>
      </c>
      <c r="AF35" s="17" t="str">
        <f aca="false">IF(AE35="","",IF(AE35&gt;=設定!$D$11,"A",IF(AE35&gt;=設定!$E$11,"B","C")))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50</v>
      </c>
      <c r="D36" s="20" t="n">
        <v>50</v>
      </c>
      <c r="E36" s="19" t="n">
        <v>50</v>
      </c>
      <c r="F36" s="19" t="n">
        <v>50</v>
      </c>
      <c r="G36" s="19" t="n">
        <v>50</v>
      </c>
      <c r="H36" s="19"/>
      <c r="I36" s="19"/>
      <c r="J36" s="19"/>
      <c r="K36" s="19"/>
      <c r="L36" s="19"/>
      <c r="M36" s="19"/>
      <c r="N36" s="17" t="n">
        <f aca="false">IF(COUNT(C36:M36)=0,"",SUM(C36:M36))</f>
        <v>250</v>
      </c>
      <c r="O36" s="17" t="n">
        <f aca="false">IF(OR(N36="",$N$4-SUMIF(C36:M36,"欠",$C$4:$M$4)&lt;=0),"",ROUND(N36/($N$4-SUMIF(C36:M36,"欠",$C$4:$M$4))*100,0))</f>
        <v>100</v>
      </c>
      <c r="P36" s="17" t="str">
        <f aca="false">IF(O36="","",IF(O36&gt;=設定!$D$11,"A",IF(O36&gt;=設定!$E$11,"B","C")))</f>
        <v>A</v>
      </c>
      <c r="Q36" s="19" t="n">
        <v>46</v>
      </c>
      <c r="R36" s="20" t="n">
        <v>44</v>
      </c>
      <c r="S36" s="19" t="n">
        <v>43</v>
      </c>
      <c r="T36" s="19" t="n">
        <v>47</v>
      </c>
      <c r="U36" s="19" t="n">
        <v>50</v>
      </c>
      <c r="V36" s="19"/>
      <c r="W36" s="19"/>
      <c r="X36" s="19"/>
      <c r="Y36" s="19"/>
      <c r="Z36" s="19"/>
      <c r="AA36" s="17" t="n">
        <f aca="false">IF(COUNT(Q36:Z36)=0,"",SUM(Q36:Z36))</f>
        <v>230</v>
      </c>
      <c r="AB36" s="17" t="n">
        <f aca="false">IF(OR(AA36="",$AA$4-SUMIF(Q36:Z36,"欠",$Q$4:$Z$4)&lt;=0),"",ROUND(AA36/($AA$4-SUMIF(Q36:Z36,"欠",$Q$4:$Z$4))*100,0))</f>
        <v>92</v>
      </c>
      <c r="AC36" s="17" t="str">
        <f aca="false">IF(AB36="","",IF(AB36&gt;=設定!$D$11,"A",IF(AB36&gt;=設定!$E$11,"B","C")))</f>
        <v>A</v>
      </c>
      <c r="AD36" s="17" t="n">
        <f aca="false">IF(AND(N36="",AA36=""),"",IF(N36="",0,N36)+IF(AA36="",0,AA36))</f>
        <v>480</v>
      </c>
      <c r="AE36" s="17" t="n">
        <f aca="false">IF(AD36="","",IF($AD$4-SUMIF(C36:M36,"欠",$C$4:$M$4)-SUMIF(Q36:Z36,"欠",$Q$4:$Z$4)&lt;=0,"",ROUND(AD36/($AD$4-SUMIF(C36:M36,"欠",$C$4:$M$4)-SUMIF(Q36:Z36,"欠",$Q$4:$Z$4))*100,0)))</f>
        <v>96</v>
      </c>
      <c r="AF36" s="17" t="str">
        <f aca="false">IF(AE36="","",IF(AE36&gt;=設定!$D$11,"A",IF(AE36&gt;=設定!$E$11,"B","C")))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39</v>
      </c>
      <c r="D37" s="20" t="n">
        <v>39</v>
      </c>
      <c r="E37" s="19" t="n">
        <v>45</v>
      </c>
      <c r="F37" s="19" t="n">
        <v>37</v>
      </c>
      <c r="G37" s="19" t="n">
        <v>41</v>
      </c>
      <c r="H37" s="19"/>
      <c r="I37" s="19"/>
      <c r="J37" s="19"/>
      <c r="K37" s="19"/>
      <c r="L37" s="19"/>
      <c r="M37" s="19"/>
      <c r="N37" s="17" t="n">
        <f aca="false">IF(COUNT(C37:M37)=0,"",SUM(C37:M37))</f>
        <v>201</v>
      </c>
      <c r="O37" s="17" t="n">
        <f aca="false">IF(OR(N37="",$N$4-SUMIF(C37:M37,"欠",$C$4:$M$4)&lt;=0),"",ROUND(N37/($N$4-SUMIF(C37:M37,"欠",$C$4:$M$4))*100,0))</f>
        <v>80</v>
      </c>
      <c r="P37" s="17" t="str">
        <f aca="false">IF(O37="","",IF(O37&gt;=設定!$D$11,"A",IF(O37&gt;=設定!$E$11,"B","C")))</f>
        <v>B</v>
      </c>
      <c r="Q37" s="19" t="n">
        <v>45</v>
      </c>
      <c r="R37" s="20" t="n">
        <v>31</v>
      </c>
      <c r="S37" s="19" t="n">
        <v>36</v>
      </c>
      <c r="T37" s="19" t="n">
        <v>34</v>
      </c>
      <c r="U37" s="19" t="n">
        <v>34</v>
      </c>
      <c r="V37" s="19"/>
      <c r="W37" s="19"/>
      <c r="X37" s="19"/>
      <c r="Y37" s="19"/>
      <c r="Z37" s="19"/>
      <c r="AA37" s="17" t="n">
        <f aca="false">IF(COUNT(Q37:Z37)=0,"",SUM(Q37:Z37))</f>
        <v>180</v>
      </c>
      <c r="AB37" s="17" t="n">
        <f aca="false">IF(OR(AA37="",$AA$4-SUMIF(Q37:Z37,"欠",$Q$4:$Z$4)&lt;=0),"",ROUND(AA37/($AA$4-SUMIF(Q37:Z37,"欠",$Q$4:$Z$4))*100,0))</f>
        <v>72</v>
      </c>
      <c r="AC37" s="17" t="str">
        <f aca="false">IF(AB37="","",IF(AB37&gt;=設定!$D$11,"A",IF(AB37&gt;=設定!$E$11,"B","C")))</f>
        <v>B</v>
      </c>
      <c r="AD37" s="17" t="n">
        <f aca="false">IF(AND(N37="",AA37=""),"",IF(N37="",0,N37)+IF(AA37="",0,AA37))</f>
        <v>381</v>
      </c>
      <c r="AE37" s="17" t="n">
        <f aca="false">IF(AD37="","",IF($AD$4-SUMIF(C37:M37,"欠",$C$4:$M$4)-SUMIF(Q37:Z37,"欠",$Q$4:$Z$4)&lt;=0,"",ROUND(AD37/($AD$4-SUMIF(C37:M37,"欠",$C$4:$M$4)-SUMIF(Q37:Z37,"欠",$Q$4:$Z$4))*100,0)))</f>
        <v>76</v>
      </c>
      <c r="AF37" s="17" t="str">
        <f aca="false">IF(AE37="","",IF(AE37&gt;=設定!$D$11,"A",IF(AE37&gt;=設定!$E$11,"B","C")))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39</v>
      </c>
      <c r="D38" s="20" t="n">
        <v>39</v>
      </c>
      <c r="E38" s="19" t="n">
        <v>35</v>
      </c>
      <c r="F38" s="19" t="n">
        <v>49</v>
      </c>
      <c r="G38" s="19" t="n">
        <v>42</v>
      </c>
      <c r="H38" s="19"/>
      <c r="I38" s="19"/>
      <c r="J38" s="19"/>
      <c r="K38" s="19"/>
      <c r="L38" s="19"/>
      <c r="M38" s="19"/>
      <c r="N38" s="17" t="n">
        <f aca="false">IF(COUNT(C38:M38)=0,"",SUM(C38:M38))</f>
        <v>204</v>
      </c>
      <c r="O38" s="17" t="n">
        <f aca="false">IF(OR(N38="",$N$4-SUMIF(C38:M38,"欠",$C$4:$M$4)&lt;=0),"",ROUND(N38/($N$4-SUMIF(C38:M38,"欠",$C$4:$M$4))*100,0))</f>
        <v>82</v>
      </c>
      <c r="P38" s="17" t="str">
        <f aca="false">IF(O38="","",IF(O38&gt;=設定!$D$11,"A",IF(O38&gt;=設定!$E$11,"B","C")))</f>
        <v>B</v>
      </c>
      <c r="Q38" s="19" t="n">
        <v>33</v>
      </c>
      <c r="R38" s="20" t="n">
        <v>27</v>
      </c>
      <c r="S38" s="19" t="n">
        <v>28</v>
      </c>
      <c r="T38" s="19" t="n">
        <v>33</v>
      </c>
      <c r="U38" s="19" t="n">
        <v>27</v>
      </c>
      <c r="V38" s="19"/>
      <c r="W38" s="19"/>
      <c r="X38" s="19"/>
      <c r="Y38" s="19"/>
      <c r="Z38" s="19"/>
      <c r="AA38" s="17" t="n">
        <f aca="false">IF(COUNT(Q38:Z38)=0,"",SUM(Q38:Z38))</f>
        <v>148</v>
      </c>
      <c r="AB38" s="17" t="n">
        <f aca="false">IF(OR(AA38="",$AA$4-SUMIF(Q38:Z38,"欠",$Q$4:$Z$4)&lt;=0),"",ROUND(AA38/($AA$4-SUMIF(Q38:Z38,"欠",$Q$4:$Z$4))*100,0))</f>
        <v>59</v>
      </c>
      <c r="AC38" s="17" t="str">
        <f aca="false">IF(AB38="","",IF(AB38&gt;=設定!$D$11,"A",IF(AB38&gt;=設定!$E$11,"B","C")))</f>
        <v>C</v>
      </c>
      <c r="AD38" s="17" t="n">
        <f aca="false">IF(AND(N38="",AA38=""),"",IF(N38="",0,N38)+IF(AA38="",0,AA38))</f>
        <v>352</v>
      </c>
      <c r="AE38" s="17" t="n">
        <f aca="false">IF(AD38="","",IF($AD$4-SUMIF(C38:M38,"欠",$C$4:$M$4)-SUMIF(Q38:Z38,"欠",$Q$4:$Z$4)&lt;=0,"",ROUND(AD38/($AD$4-SUMIF(C38:M38,"欠",$C$4:$M$4)-SUMIF(Q38:Z38,"欠",$Q$4:$Z$4))*100,0)))</f>
        <v>70</v>
      </c>
      <c r="AF38" s="17" t="str">
        <f aca="false">IF(AE38="","",IF(AE38&gt;=設定!$D$11,"A",IF(AE38&gt;=設定!$E$11,"B","C")))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46</v>
      </c>
      <c r="D39" s="20" t="n">
        <v>41</v>
      </c>
      <c r="E39" s="19" t="n">
        <v>46</v>
      </c>
      <c r="F39" s="19" t="n">
        <v>39</v>
      </c>
      <c r="G39" s="19" t="n">
        <v>43</v>
      </c>
      <c r="H39" s="19"/>
      <c r="I39" s="19"/>
      <c r="J39" s="19"/>
      <c r="K39" s="19"/>
      <c r="L39" s="19"/>
      <c r="M39" s="19"/>
      <c r="N39" s="17" t="n">
        <f aca="false">IF(COUNT(C39:M39)=0,"",SUM(C39:M39))</f>
        <v>215</v>
      </c>
      <c r="O39" s="17" t="n">
        <f aca="false">IF(OR(N39="",$N$4-SUMIF(C39:M39,"欠",$C$4:$M$4)&lt;=0),"",ROUND(N39/($N$4-SUMIF(C39:M39,"欠",$C$4:$M$4))*100,0))</f>
        <v>86</v>
      </c>
      <c r="P39" s="17" t="str">
        <f aca="false">IF(O39="","",IF(O39&gt;=設定!$D$11,"A",IF(O39&gt;=設定!$E$11,"B","C")))</f>
        <v>B</v>
      </c>
      <c r="Q39" s="19" t="n">
        <v>36</v>
      </c>
      <c r="R39" s="20" t="n">
        <v>43</v>
      </c>
      <c r="S39" s="19" t="n">
        <v>40</v>
      </c>
      <c r="T39" s="19" t="n">
        <v>39</v>
      </c>
      <c r="U39" s="19" t="n">
        <v>39</v>
      </c>
      <c r="V39" s="19"/>
      <c r="W39" s="19"/>
      <c r="X39" s="19"/>
      <c r="Y39" s="19"/>
      <c r="Z39" s="19"/>
      <c r="AA39" s="17" t="n">
        <f aca="false">IF(COUNT(Q39:Z39)=0,"",SUM(Q39:Z39))</f>
        <v>197</v>
      </c>
      <c r="AB39" s="17" t="n">
        <f aca="false">IF(OR(AA39="",$AA$4-SUMIF(Q39:Z39,"欠",$Q$4:$Z$4)&lt;=0),"",ROUND(AA39/($AA$4-SUMIF(Q39:Z39,"欠",$Q$4:$Z$4))*100,0))</f>
        <v>79</v>
      </c>
      <c r="AC39" s="17" t="str">
        <f aca="false">IF(AB39="","",IF(AB39&gt;=設定!$D$11,"A",IF(AB39&gt;=設定!$E$11,"B","C")))</f>
        <v>B</v>
      </c>
      <c r="AD39" s="17" t="n">
        <f aca="false">IF(AND(N39="",AA39=""),"",IF(N39="",0,N39)+IF(AA39="",0,AA39))</f>
        <v>412</v>
      </c>
      <c r="AE39" s="17" t="n">
        <f aca="false">IF(AD39="","",IF($AD$4-SUMIF(C39:M39,"欠",$C$4:$M$4)-SUMIF(Q39:Z39,"欠",$Q$4:$Z$4)&lt;=0,"",ROUND(AD39/($AD$4-SUMIF(C39:M39,"欠",$C$4:$M$4)-SUMIF(Q39:Z39,"欠",$Q$4:$Z$4))*100,0)))</f>
        <v>82</v>
      </c>
      <c r="AF39" s="17" t="str">
        <f aca="false">IF(AE39="","",IF(AE39&gt;=設定!$D$11,"A",IF(AE39&gt;=設定!$E$11,"B","C")))</f>
        <v>B</v>
      </c>
    </row>
    <row r="40" s="13" customFormat="true" ht="19.5" hidden="false" customHeight="true" outlineLevel="0" collapsed="false">
      <c r="A40" s="21"/>
      <c r="B40" s="22" t="s">
        <v>81</v>
      </c>
      <c r="C40" s="22" t="n">
        <f aca="false">IF(COUNT(C5:C39)=0,"",ROUND(AVERAGE(C5:C39),1))</f>
        <v>41.6</v>
      </c>
      <c r="D40" s="22" t="n">
        <f aca="false">IF(COUNT(D5:D39)=0,"",ROUND(AVERAGE(D5:D39),1))</f>
        <v>41.7</v>
      </c>
      <c r="E40" s="22" t="n">
        <f aca="false">IF(COUNT(E5:E39)=0,"",ROUND(AVERAGE(E5:E39),1))</f>
        <v>41.8</v>
      </c>
      <c r="F40" s="22" t="n">
        <f aca="false">IF(COUNT(F5:F39)=0,"",ROUND(AVERAGE(F5:F39),1))</f>
        <v>40.9</v>
      </c>
      <c r="G40" s="22" t="n">
        <f aca="false">IF(COUNT(G5:G39)=0,"",ROUND(AVERAGE(G5:G39),1))</f>
        <v>42.5</v>
      </c>
      <c r="H40" s="22" t="str">
        <f aca="false">IF(COUNT(H5:H39)=0,"",ROUND(AVERAGE(H5:H39),1))</f>
        <v/>
      </c>
      <c r="I40" s="22" t="str">
        <f aca="false">IF(COUNT(I5:I39)=0,"",ROUND(AVERAGE(I5:I39),1))</f>
        <v/>
      </c>
      <c r="J40" s="22" t="str">
        <f aca="false">IF(COUNT(J5:J39)=0,"",ROUND(AVERAGE(J5:J39),1))</f>
        <v/>
      </c>
      <c r="K40" s="22" t="str">
        <f aca="false">IF(COUNT(K5:K39)=0,"",ROUND(AVERAGE(K5:K39),1))</f>
        <v/>
      </c>
      <c r="L40" s="22" t="str">
        <f aca="false">IF(COUNT(L5:L39)=0,"",ROUND(AVERAGE(L5:L39),1))</f>
        <v/>
      </c>
      <c r="M40" s="22" t="str">
        <f aca="false">IF(COUNT(M5:M39)=0,"",ROUND(AVERAGE(M5:M39),1))</f>
        <v/>
      </c>
      <c r="N40" s="22" t="n">
        <f aca="false">IF(COUNT(N5:N39)=0,"",ROUND(AVERAGE(N5:N39),1))</f>
        <v>207.3</v>
      </c>
      <c r="O40" s="22" t="n">
        <f aca="false">IF(COUNT(O5:O39)=0,"",ROUND(AVERAGE(O5:O39),1))</f>
        <v>83.5</v>
      </c>
      <c r="P40" s="22"/>
      <c r="Q40" s="22" t="n">
        <f aca="false">IF(COUNT(Q5:Q39)=0,"",ROUND(AVERAGE(Q5:Q39),1))</f>
        <v>36.5</v>
      </c>
      <c r="R40" s="22" t="n">
        <f aca="false">IF(COUNT(R5:R39)=0,"",ROUND(AVERAGE(R5:R39),1))</f>
        <v>37.4</v>
      </c>
      <c r="S40" s="22" t="n">
        <f aca="false">IF(COUNT(S5:S39)=0,"",ROUND(AVERAGE(S5:S39),1))</f>
        <v>38.2</v>
      </c>
      <c r="T40" s="22" t="n">
        <f aca="false">IF(COUNT(T5:T39)=0,"",ROUND(AVERAGE(T5:T39),1))</f>
        <v>37.2</v>
      </c>
      <c r="U40" s="22" t="n">
        <f aca="false">IF(COUNT(U5:U39)=0,"",ROUND(AVERAGE(U5:U39),1))</f>
        <v>37.8</v>
      </c>
      <c r="V40" s="22" t="str">
        <f aca="false">IF(COUNT(V5:V39)=0,"",ROUND(AVERAGE(V5:V39),1))</f>
        <v/>
      </c>
      <c r="W40" s="22" t="str">
        <f aca="false">IF(COUNT(W5:W39)=0,"",ROUND(AVERAGE(W5:W39),1))</f>
        <v/>
      </c>
      <c r="X40" s="22" t="str">
        <f aca="false">IF(COUNT(X5:X39)=0,"",ROUND(AVERAGE(X5:X39),1))</f>
        <v/>
      </c>
      <c r="Y40" s="22" t="str">
        <f aca="false">IF(COUNT(Y5:Y39)=0,"",ROUND(AVERAGE(Y5:Y39),1))</f>
        <v/>
      </c>
      <c r="Z40" s="22" t="str">
        <f aca="false">IF(COUNT(Z5:Z39)=0,"",ROUND(AVERAGE(Z5:Z39),1))</f>
        <v/>
      </c>
      <c r="AA40" s="22" t="n">
        <f aca="false">IF(COUNT(AA5:AA39)=0,"",ROUND(AVERAGE(AA5:AA39),1))</f>
        <v>186</v>
      </c>
      <c r="AB40" s="22" t="n">
        <f aca="false">IF(COUNT(AB5:AB39)=0,"",ROUND(AVERAGE(AB5:AB39),1))</f>
        <v>74.9</v>
      </c>
      <c r="AC40" s="22"/>
      <c r="AD40" s="22" t="n">
        <f aca="false">IF(COUNT(AD5:AD39)=0,"",ROUND(AVERAGE(AD5:AD39),1))</f>
        <v>393.4</v>
      </c>
      <c r="AE40" s="22" t="n">
        <f aca="false">IF(COUNT(AE5:AE39)=0,"",ROUND(AVERAGE(AE5:AE39),1))</f>
        <v>79.2</v>
      </c>
      <c r="AF40" s="22"/>
    </row>
    <row r="41" s="13" customFormat="true" ht="19.5" hidden="false" customHeight="true" outlineLevel="0" collapsed="false">
      <c r="A41" s="22"/>
      <c r="B41" s="22" t="s">
        <v>82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 t="n">
        <f aca="false">COUNTIF(P5:P39,"A")</f>
        <v>14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 t="n">
        <f aca="false">COUNTIF(AC5:AC39,"A")</f>
        <v>7</v>
      </c>
      <c r="AD41" s="22"/>
      <c r="AE41" s="22"/>
      <c r="AF41" s="22" t="n">
        <f aca="false">COUNTIF(AF5:AF39,"A")</f>
        <v>10</v>
      </c>
    </row>
    <row r="42" s="13" customFormat="true" ht="19.5" hidden="false" customHeight="true" outlineLevel="0" collapsed="false">
      <c r="A42" s="22"/>
      <c r="B42" s="22" t="s">
        <v>83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 t="n">
        <f aca="false">COUNTIF(P5:P39,"B")</f>
        <v>20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 t="n">
        <f aca="false">COUNTIF(AC5:AC39,"B")</f>
        <v>20</v>
      </c>
      <c r="AD42" s="22"/>
      <c r="AE42" s="22"/>
      <c r="AF42" s="22" t="n">
        <f aca="false">COUNTIF(AF5:AF39,"B")</f>
        <v>22</v>
      </c>
    </row>
    <row r="43" s="13" customFormat="true" ht="19.5" hidden="false" customHeight="true" outlineLevel="0" collapsed="false">
      <c r="A43" s="22"/>
      <c r="B43" s="22" t="s">
        <v>84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 t="n">
        <f aca="false">COUNTIF(P5:P39,"C")</f>
        <v>1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 t="n">
        <f aca="false">COUNTIF(AC5:AC39,"C")</f>
        <v>8</v>
      </c>
      <c r="AD43" s="22"/>
      <c r="AE43" s="22"/>
      <c r="AF43" s="22" t="n">
        <f aca="false">COUNTIF(AF5:AF39,"C")</f>
        <v>3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121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customFormat="false" ht="19.5" hidden="false" customHeight="true" outlineLevel="0" collapsed="false">
      <c r="A2" s="23" t="s">
        <v>62</v>
      </c>
      <c r="B2" s="23"/>
      <c r="C2" s="23" t="s">
        <v>63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 t="s">
        <v>64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 t="s">
        <v>65</v>
      </c>
      <c r="AE2" s="23"/>
      <c r="AF2" s="23"/>
    </row>
    <row r="3" customFormat="false" ht="178.5" hidden="false" customHeight="true" outlineLevel="0" collapsed="false">
      <c r="A3" s="23" t="s">
        <v>66</v>
      </c>
      <c r="B3" s="23"/>
      <c r="C3" s="24" t="s">
        <v>122</v>
      </c>
      <c r="D3" s="24" t="s">
        <v>123</v>
      </c>
      <c r="E3" s="24" t="s">
        <v>124</v>
      </c>
      <c r="F3" s="24" t="s">
        <v>125</v>
      </c>
      <c r="G3" s="24" t="s">
        <v>126</v>
      </c>
      <c r="H3" s="24" t="s">
        <v>127</v>
      </c>
      <c r="I3" s="24"/>
      <c r="J3" s="24"/>
      <c r="K3" s="24"/>
      <c r="L3" s="24"/>
      <c r="M3" s="24"/>
      <c r="N3" s="25" t="s">
        <v>73</v>
      </c>
      <c r="O3" s="25" t="s">
        <v>74</v>
      </c>
      <c r="P3" s="25" t="s">
        <v>75</v>
      </c>
      <c r="Q3" s="24" t="s">
        <v>122</v>
      </c>
      <c r="R3" s="24" t="s">
        <v>123</v>
      </c>
      <c r="S3" s="24" t="s">
        <v>124</v>
      </c>
      <c r="T3" s="24" t="s">
        <v>125</v>
      </c>
      <c r="U3" s="24" t="s">
        <v>126</v>
      </c>
      <c r="V3" s="24" t="s">
        <v>127</v>
      </c>
      <c r="W3" s="24"/>
      <c r="X3" s="24"/>
      <c r="Y3" s="24"/>
      <c r="Z3" s="24"/>
      <c r="AA3" s="25" t="s">
        <v>73</v>
      </c>
      <c r="AB3" s="25" t="s">
        <v>74</v>
      </c>
      <c r="AC3" s="25" t="s">
        <v>75</v>
      </c>
      <c r="AD3" s="25" t="s">
        <v>76</v>
      </c>
      <c r="AE3" s="25" t="s">
        <v>77</v>
      </c>
      <c r="AF3" s="25" t="s">
        <v>78</v>
      </c>
    </row>
    <row r="4" customFormat="false" ht="21.75" hidden="false" customHeight="true" outlineLevel="0" collapsed="false">
      <c r="A4" s="23" t="s">
        <v>1</v>
      </c>
      <c r="B4" s="23" t="s">
        <v>79</v>
      </c>
      <c r="C4" s="26" t="n">
        <v>50</v>
      </c>
      <c r="D4" s="26" t="n">
        <v>50</v>
      </c>
      <c r="E4" s="26" t="n">
        <v>50</v>
      </c>
      <c r="F4" s="26" t="n">
        <v>50</v>
      </c>
      <c r="G4" s="26" t="n">
        <v>50</v>
      </c>
      <c r="H4" s="26" t="n">
        <v>50</v>
      </c>
      <c r="I4" s="26"/>
      <c r="J4" s="26"/>
      <c r="K4" s="26"/>
      <c r="L4" s="26"/>
      <c r="M4" s="26"/>
      <c r="N4" s="23" t="n">
        <f aca="false">SUM(C4:M4)</f>
        <v>300</v>
      </c>
      <c r="O4" s="23"/>
      <c r="P4" s="23"/>
      <c r="Q4" s="26" t="n">
        <v>50</v>
      </c>
      <c r="R4" s="26" t="n">
        <v>50</v>
      </c>
      <c r="S4" s="26" t="n">
        <v>50</v>
      </c>
      <c r="T4" s="26" t="n">
        <v>50</v>
      </c>
      <c r="U4" s="26" t="n">
        <v>50</v>
      </c>
      <c r="V4" s="26" t="n">
        <v>50</v>
      </c>
      <c r="W4" s="26"/>
      <c r="X4" s="26"/>
      <c r="Y4" s="26"/>
      <c r="Z4" s="26"/>
      <c r="AA4" s="23" t="n">
        <f aca="false">SUM(Q4:Z4)</f>
        <v>300</v>
      </c>
      <c r="AB4" s="23"/>
      <c r="AC4" s="23"/>
      <c r="AD4" s="23" t="n">
        <f aca="false">N4+AA4</f>
        <v>600</v>
      </c>
      <c r="AE4" s="23"/>
      <c r="AF4" s="23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50</v>
      </c>
      <c r="D5" s="19" t="n">
        <v>49</v>
      </c>
      <c r="E5" s="19" t="n">
        <v>50</v>
      </c>
      <c r="F5" s="19" t="n">
        <v>50</v>
      </c>
      <c r="G5" s="19" t="n">
        <v>50</v>
      </c>
      <c r="H5" s="19" t="n">
        <v>50</v>
      </c>
      <c r="I5" s="19"/>
      <c r="J5" s="19"/>
      <c r="K5" s="19"/>
      <c r="L5" s="19"/>
      <c r="M5" s="19"/>
      <c r="N5" s="17" t="n">
        <f aca="false">IF(COUNT(C5:M5)=0,"",SUM(C5:M5))</f>
        <v>299</v>
      </c>
      <c r="O5" s="17" t="n">
        <f aca="false">IF(OR(N5="",$N$4-SUMIF(C5:M5,"欠",$C$4:$M$4)&lt;=0),"",ROUND(N5/($N$4-SUMIF(C5:M5,"欠",$C$4:$M$4))*100,0))</f>
        <v>100</v>
      </c>
      <c r="P5" s="17" t="str">
        <f aca="false">IF(O5="","",IF(O5&gt;=設定!$D$12,"A",IF(O5&gt;=設定!$E$12,"B","C")))</f>
        <v>A</v>
      </c>
      <c r="Q5" s="19" t="n">
        <v>42</v>
      </c>
      <c r="R5" s="19" t="n">
        <v>45</v>
      </c>
      <c r="S5" s="19" t="n">
        <v>46</v>
      </c>
      <c r="T5" s="19" t="n">
        <v>47</v>
      </c>
      <c r="U5" s="19" t="n">
        <v>50</v>
      </c>
      <c r="V5" s="19" t="n">
        <v>47</v>
      </c>
      <c r="W5" s="19"/>
      <c r="X5" s="19"/>
      <c r="Y5" s="19"/>
      <c r="Z5" s="19"/>
      <c r="AA5" s="17" t="n">
        <f aca="false">IF(COUNT(Q5:Z5)=0,"",SUM(Q5:Z5))</f>
        <v>277</v>
      </c>
      <c r="AB5" s="17" t="n">
        <f aca="false">IF(OR(AA5="",$AA$4-SUMIF(Q5:Z5,"欠",$Q$4:$Z$4)&lt;=0),"",ROUND(AA5/($AA$4-SUMIF(Q5:Z5,"欠",$Q$4:$Z$4))*100,0))</f>
        <v>92</v>
      </c>
      <c r="AC5" s="17" t="str">
        <f aca="false">IF(AB5="","",IF(AB5&gt;=設定!$D$12,"A",IF(AB5&gt;=設定!$E$12,"B","C")))</f>
        <v>A</v>
      </c>
      <c r="AD5" s="17" t="n">
        <f aca="false">IF(AND(N5="",AA5=""),"",IF(N5="",0,N5)+IF(AA5="",0,AA5))</f>
        <v>576</v>
      </c>
      <c r="AE5" s="17" t="n">
        <f aca="false">IF(AD5="","",IF($AD$4-SUMIF(C5:M5,"欠",$C$4:$M$4)-SUMIF(Q5:Z5,"欠",$Q$4:$Z$4)&lt;=0,"",ROUND(AD5/($AD$4-SUMIF(C5:M5,"欠",$C$4:$M$4)-SUMIF(Q5:Z5,"欠",$Q$4:$Z$4))*100,0)))</f>
        <v>96</v>
      </c>
      <c r="AF5" s="17" t="str">
        <f aca="false">IF(AE5="","",IF(AE5&gt;=設定!$D$12,"A",IF(AE5&gt;=設定!$E$12,"B","C")))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44</v>
      </c>
      <c r="D6" s="19" t="n">
        <v>37</v>
      </c>
      <c r="E6" s="19" t="n">
        <v>44</v>
      </c>
      <c r="F6" s="19" t="n">
        <v>38</v>
      </c>
      <c r="G6" s="19" t="n">
        <v>41</v>
      </c>
      <c r="H6" s="19" t="n">
        <v>39</v>
      </c>
      <c r="I6" s="19"/>
      <c r="J6" s="19"/>
      <c r="K6" s="19"/>
      <c r="L6" s="19"/>
      <c r="M6" s="19"/>
      <c r="N6" s="17" t="n">
        <f aca="false">IF(COUNT(C6:M6)=0,"",SUM(C6:M6))</f>
        <v>243</v>
      </c>
      <c r="O6" s="17" t="n">
        <f aca="false">IF(OR(N6="",$N$4-SUMIF(C6:M6,"欠",$C$4:$M$4)&lt;=0),"",ROUND(N6/($N$4-SUMIF(C6:M6,"欠",$C$4:$M$4))*100,0))</f>
        <v>81</v>
      </c>
      <c r="P6" s="17" t="str">
        <f aca="false">IF(O6="","",IF(O6&gt;=設定!$D$12,"A",IF(O6&gt;=設定!$E$12,"B","C")))</f>
        <v>B</v>
      </c>
      <c r="Q6" s="19" t="n">
        <v>33</v>
      </c>
      <c r="R6" s="19" t="n">
        <v>36</v>
      </c>
      <c r="S6" s="19" t="n">
        <v>38</v>
      </c>
      <c r="T6" s="19" t="n">
        <v>48</v>
      </c>
      <c r="U6" s="19" t="n">
        <v>35</v>
      </c>
      <c r="V6" s="19" t="n">
        <v>41</v>
      </c>
      <c r="W6" s="19"/>
      <c r="X6" s="19"/>
      <c r="Y6" s="19"/>
      <c r="Z6" s="19"/>
      <c r="AA6" s="17" t="n">
        <f aca="false">IF(COUNT(Q6:Z6)=0,"",SUM(Q6:Z6))</f>
        <v>231</v>
      </c>
      <c r="AB6" s="17" t="n">
        <f aca="false">IF(OR(AA6="",$AA$4-SUMIF(Q6:Z6,"欠",$Q$4:$Z$4)&lt;=0),"",ROUND(AA6/($AA$4-SUMIF(Q6:Z6,"欠",$Q$4:$Z$4))*100,0))</f>
        <v>77</v>
      </c>
      <c r="AC6" s="17" t="str">
        <f aca="false">IF(AB6="","",IF(AB6&gt;=設定!$D$12,"A",IF(AB6&gt;=設定!$E$12,"B","C")))</f>
        <v>B</v>
      </c>
      <c r="AD6" s="17" t="n">
        <f aca="false">IF(AND(N6="",AA6=""),"",IF(N6="",0,N6)+IF(AA6="",0,AA6))</f>
        <v>474</v>
      </c>
      <c r="AE6" s="17" t="n">
        <f aca="false">IF(AD6="","",IF($AD$4-SUMIF(C6:M6,"欠",$C$4:$M$4)-SUMIF(Q6:Z6,"欠",$Q$4:$Z$4)&lt;=0,"",ROUND(AD6/($AD$4-SUMIF(C6:M6,"欠",$C$4:$M$4)-SUMIF(Q6:Z6,"欠",$Q$4:$Z$4))*100,0)))</f>
        <v>79</v>
      </c>
      <c r="AF6" s="17" t="str">
        <f aca="false">IF(AE6="","",IF(AE6&gt;=設定!$D$12,"A",IF(AE6&gt;=設定!$E$12,"B","C")))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50</v>
      </c>
      <c r="D7" s="19" t="n">
        <v>50</v>
      </c>
      <c r="E7" s="19" t="n">
        <v>42</v>
      </c>
      <c r="F7" s="19" t="n">
        <v>50</v>
      </c>
      <c r="G7" s="19" t="n">
        <v>41</v>
      </c>
      <c r="H7" s="19" t="n">
        <v>50</v>
      </c>
      <c r="I7" s="19"/>
      <c r="J7" s="19"/>
      <c r="K7" s="19"/>
      <c r="L7" s="19"/>
      <c r="M7" s="19"/>
      <c r="N7" s="17" t="n">
        <f aca="false">IF(COUNT(C7:M7)=0,"",SUM(C7:M7))</f>
        <v>283</v>
      </c>
      <c r="O7" s="17" t="n">
        <f aca="false">IF(OR(N7="",$N$4-SUMIF(C7:M7,"欠",$C$4:$M$4)&lt;=0),"",ROUND(N7/($N$4-SUMIF(C7:M7,"欠",$C$4:$M$4))*100,0))</f>
        <v>94</v>
      </c>
      <c r="P7" s="17" t="str">
        <f aca="false">IF(O7="","",IF(O7&gt;=設定!$D$12,"A",IF(O7&gt;=設定!$E$12,"B","C")))</f>
        <v>A</v>
      </c>
      <c r="Q7" s="19" t="n">
        <v>47</v>
      </c>
      <c r="R7" s="19" t="n">
        <v>41</v>
      </c>
      <c r="S7" s="19" t="n">
        <v>45</v>
      </c>
      <c r="T7" s="19" t="n">
        <v>39</v>
      </c>
      <c r="U7" s="19" t="n">
        <v>38</v>
      </c>
      <c r="V7" s="19" t="n">
        <v>37</v>
      </c>
      <c r="W7" s="19"/>
      <c r="X7" s="19"/>
      <c r="Y7" s="19"/>
      <c r="Z7" s="19"/>
      <c r="AA7" s="17" t="n">
        <f aca="false">IF(COUNT(Q7:Z7)=0,"",SUM(Q7:Z7))</f>
        <v>247</v>
      </c>
      <c r="AB7" s="17" t="n">
        <f aca="false">IF(OR(AA7="",$AA$4-SUMIF(Q7:Z7,"欠",$Q$4:$Z$4)&lt;=0),"",ROUND(AA7/($AA$4-SUMIF(Q7:Z7,"欠",$Q$4:$Z$4))*100,0))</f>
        <v>82</v>
      </c>
      <c r="AC7" s="17" t="str">
        <f aca="false">IF(AB7="","",IF(AB7&gt;=設定!$D$12,"A",IF(AB7&gt;=設定!$E$12,"B","C")))</f>
        <v>B</v>
      </c>
      <c r="AD7" s="17" t="n">
        <f aca="false">IF(AND(N7="",AA7=""),"",IF(N7="",0,N7)+IF(AA7="",0,AA7))</f>
        <v>530</v>
      </c>
      <c r="AE7" s="17" t="n">
        <f aca="false">IF(AD7="","",IF($AD$4-SUMIF(C7:M7,"欠",$C$4:$M$4)-SUMIF(Q7:Z7,"欠",$Q$4:$Z$4)&lt;=0,"",ROUND(AD7/($AD$4-SUMIF(C7:M7,"欠",$C$4:$M$4)-SUMIF(Q7:Z7,"欠",$Q$4:$Z$4))*100,0)))</f>
        <v>88</v>
      </c>
      <c r="AF7" s="17" t="str">
        <f aca="false">IF(AE7="","",IF(AE7&gt;=設定!$D$12,"A",IF(AE7&gt;=設定!$E$12,"B","C")))</f>
        <v>A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41</v>
      </c>
      <c r="D8" s="19" t="n">
        <v>42</v>
      </c>
      <c r="E8" s="19" t="n">
        <v>32</v>
      </c>
      <c r="F8" s="19" t="n">
        <v>48</v>
      </c>
      <c r="G8" s="19" t="n">
        <v>42</v>
      </c>
      <c r="H8" s="19" t="n">
        <v>43</v>
      </c>
      <c r="I8" s="19"/>
      <c r="J8" s="19"/>
      <c r="K8" s="19"/>
      <c r="L8" s="19"/>
      <c r="M8" s="19"/>
      <c r="N8" s="17" t="n">
        <f aca="false">IF(COUNT(C8:M8)=0,"",SUM(C8:M8))</f>
        <v>248</v>
      </c>
      <c r="O8" s="17" t="n">
        <f aca="false">IF(OR(N8="",$N$4-SUMIF(C8:M8,"欠",$C$4:$M$4)&lt;=0),"",ROUND(N8/($N$4-SUMIF(C8:M8,"欠",$C$4:$M$4))*100,0))</f>
        <v>83</v>
      </c>
      <c r="P8" s="17" t="str">
        <f aca="false">IF(O8="","",IF(O8&gt;=設定!$D$12,"A",IF(O8&gt;=設定!$E$12,"B","C")))</f>
        <v>B</v>
      </c>
      <c r="Q8" s="19" t="n">
        <v>36</v>
      </c>
      <c r="R8" s="19" t="n">
        <v>44</v>
      </c>
      <c r="S8" s="19" t="n">
        <v>40</v>
      </c>
      <c r="T8" s="19" t="n">
        <v>36</v>
      </c>
      <c r="U8" s="19" t="n">
        <v>39</v>
      </c>
      <c r="V8" s="19" t="n">
        <v>40</v>
      </c>
      <c r="W8" s="19"/>
      <c r="X8" s="19"/>
      <c r="Y8" s="19"/>
      <c r="Z8" s="19"/>
      <c r="AA8" s="17" t="n">
        <f aca="false">IF(COUNT(Q8:Z8)=0,"",SUM(Q8:Z8))</f>
        <v>235</v>
      </c>
      <c r="AB8" s="17" t="n">
        <f aca="false">IF(OR(AA8="",$AA$4-SUMIF(Q8:Z8,"欠",$Q$4:$Z$4)&lt;=0),"",ROUND(AA8/($AA$4-SUMIF(Q8:Z8,"欠",$Q$4:$Z$4))*100,0))</f>
        <v>78</v>
      </c>
      <c r="AC8" s="17" t="str">
        <f aca="false">IF(AB8="","",IF(AB8&gt;=設定!$D$12,"A",IF(AB8&gt;=設定!$E$12,"B","C")))</f>
        <v>B</v>
      </c>
      <c r="AD8" s="17" t="n">
        <f aca="false">IF(AND(N8="",AA8=""),"",IF(N8="",0,N8)+IF(AA8="",0,AA8))</f>
        <v>483</v>
      </c>
      <c r="AE8" s="17" t="n">
        <f aca="false">IF(AD8="","",IF($AD$4-SUMIF(C8:M8,"欠",$C$4:$M$4)-SUMIF(Q8:Z8,"欠",$Q$4:$Z$4)&lt;=0,"",ROUND(AD8/($AD$4-SUMIF(C8:M8,"欠",$C$4:$M$4)-SUMIF(Q8:Z8,"欠",$Q$4:$Z$4))*100,0)))</f>
        <v>81</v>
      </c>
      <c r="AF8" s="17" t="str">
        <f aca="false">IF(AE8="","",IF(AE8&gt;=設定!$D$12,"A",IF(AE8&gt;=設定!$E$12,"B","C")))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46</v>
      </c>
      <c r="D9" s="19" t="n">
        <v>42</v>
      </c>
      <c r="E9" s="19" t="n">
        <v>49</v>
      </c>
      <c r="F9" s="19" t="n">
        <v>49</v>
      </c>
      <c r="G9" s="19" t="n">
        <v>50</v>
      </c>
      <c r="H9" s="19" t="n">
        <v>44</v>
      </c>
      <c r="I9" s="19"/>
      <c r="J9" s="19"/>
      <c r="K9" s="19"/>
      <c r="L9" s="19"/>
      <c r="M9" s="19"/>
      <c r="N9" s="17" t="n">
        <f aca="false">IF(COUNT(C9:M9)=0,"",SUM(C9:M9))</f>
        <v>280</v>
      </c>
      <c r="O9" s="17" t="n">
        <f aca="false">IF(OR(N9="",$N$4-SUMIF(C9:M9,"欠",$C$4:$M$4)&lt;=0),"",ROUND(N9/($N$4-SUMIF(C9:M9,"欠",$C$4:$M$4))*100,0))</f>
        <v>93</v>
      </c>
      <c r="P9" s="17" t="str">
        <f aca="false">IF(O9="","",IF(O9&gt;=設定!$D$12,"A",IF(O9&gt;=設定!$E$12,"B","C")))</f>
        <v>A</v>
      </c>
      <c r="Q9" s="19" t="n">
        <v>49</v>
      </c>
      <c r="R9" s="19" t="n">
        <v>41</v>
      </c>
      <c r="S9" s="19" t="n">
        <v>40</v>
      </c>
      <c r="T9" s="19" t="n">
        <v>42</v>
      </c>
      <c r="U9" s="19" t="n">
        <v>43</v>
      </c>
      <c r="V9" s="19" t="n">
        <v>48</v>
      </c>
      <c r="W9" s="19"/>
      <c r="X9" s="19"/>
      <c r="Y9" s="19"/>
      <c r="Z9" s="19"/>
      <c r="AA9" s="17" t="n">
        <f aca="false">IF(COUNT(Q9:Z9)=0,"",SUM(Q9:Z9))</f>
        <v>263</v>
      </c>
      <c r="AB9" s="17" t="n">
        <f aca="false">IF(OR(AA9="",$AA$4-SUMIF(Q9:Z9,"欠",$Q$4:$Z$4)&lt;=0),"",ROUND(AA9/($AA$4-SUMIF(Q9:Z9,"欠",$Q$4:$Z$4))*100,0))</f>
        <v>88</v>
      </c>
      <c r="AC9" s="17" t="str">
        <f aca="false">IF(AB9="","",IF(AB9&gt;=設定!$D$12,"A",IF(AB9&gt;=設定!$E$12,"B","C")))</f>
        <v>A</v>
      </c>
      <c r="AD9" s="17" t="n">
        <f aca="false">IF(AND(N9="",AA9=""),"",IF(N9="",0,N9)+IF(AA9="",0,AA9))</f>
        <v>543</v>
      </c>
      <c r="AE9" s="17" t="n">
        <f aca="false">IF(AD9="","",IF($AD$4-SUMIF(C9:M9,"欠",$C$4:$M$4)-SUMIF(Q9:Z9,"欠",$Q$4:$Z$4)&lt;=0,"",ROUND(AD9/($AD$4-SUMIF(C9:M9,"欠",$C$4:$M$4)-SUMIF(Q9:Z9,"欠",$Q$4:$Z$4))*100,0)))</f>
        <v>91</v>
      </c>
      <c r="AF9" s="17" t="str">
        <f aca="false">IF(AE9="","",IF(AE9&gt;=設定!$D$12,"A",IF(AE9&gt;=設定!$E$12,"B","C")))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40</v>
      </c>
      <c r="D10" s="19" t="n">
        <v>32</v>
      </c>
      <c r="E10" s="19" t="n">
        <v>35</v>
      </c>
      <c r="F10" s="19" t="n">
        <v>31</v>
      </c>
      <c r="G10" s="19" t="n">
        <v>43</v>
      </c>
      <c r="H10" s="19" t="n">
        <v>41</v>
      </c>
      <c r="I10" s="19"/>
      <c r="J10" s="19"/>
      <c r="K10" s="19"/>
      <c r="L10" s="19"/>
      <c r="M10" s="19"/>
      <c r="N10" s="17" t="n">
        <f aca="false">IF(COUNT(C10:M10)=0,"",SUM(C10:M10))</f>
        <v>222</v>
      </c>
      <c r="O10" s="17" t="n">
        <f aca="false">IF(OR(N10="",$N$4-SUMIF(C10:M10,"欠",$C$4:$M$4)&lt;=0),"",ROUND(N10/($N$4-SUMIF(C10:M10,"欠",$C$4:$M$4))*100,0))</f>
        <v>74</v>
      </c>
      <c r="P10" s="17" t="str">
        <f aca="false">IF(O10="","",IF(O10&gt;=設定!$D$12,"A",IF(O10&gt;=設定!$E$12,"B","C")))</f>
        <v>B</v>
      </c>
      <c r="Q10" s="19" t="n">
        <v>39</v>
      </c>
      <c r="R10" s="19" t="n">
        <v>35</v>
      </c>
      <c r="S10" s="19" t="n">
        <v>26</v>
      </c>
      <c r="T10" s="19" t="n">
        <v>32</v>
      </c>
      <c r="U10" s="19" t="n">
        <v>27</v>
      </c>
      <c r="V10" s="19" t="n">
        <v>35</v>
      </c>
      <c r="W10" s="19"/>
      <c r="X10" s="19"/>
      <c r="Y10" s="19"/>
      <c r="Z10" s="19"/>
      <c r="AA10" s="17" t="n">
        <f aca="false">IF(COUNT(Q10:Z10)=0,"",SUM(Q10:Z10))</f>
        <v>194</v>
      </c>
      <c r="AB10" s="17" t="n">
        <f aca="false">IF(OR(AA10="",$AA$4-SUMIF(Q10:Z10,"欠",$Q$4:$Z$4)&lt;=0),"",ROUND(AA10/($AA$4-SUMIF(Q10:Z10,"欠",$Q$4:$Z$4))*100,0))</f>
        <v>65</v>
      </c>
      <c r="AC10" s="17" t="str">
        <f aca="false">IF(AB10="","",IF(AB10&gt;=設定!$D$12,"A",IF(AB10&gt;=設定!$E$12,"B","C")))</f>
        <v>B</v>
      </c>
      <c r="AD10" s="17" t="n">
        <f aca="false">IF(AND(N10="",AA10=""),"",IF(N10="",0,N10)+IF(AA10="",0,AA10))</f>
        <v>416</v>
      </c>
      <c r="AE10" s="17" t="n">
        <f aca="false">IF(AD10="","",IF($AD$4-SUMIF(C10:M10,"欠",$C$4:$M$4)-SUMIF(Q10:Z10,"欠",$Q$4:$Z$4)&lt;=0,"",ROUND(AD10/($AD$4-SUMIF(C10:M10,"欠",$C$4:$M$4)-SUMIF(Q10:Z10,"欠",$Q$4:$Z$4))*100,0)))</f>
        <v>69</v>
      </c>
      <c r="AF10" s="17" t="str">
        <f aca="false">IF(AE10="","",IF(AE10&gt;=設定!$D$12,"A",IF(AE10&gt;=設定!$E$12,"B","C")))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46</v>
      </c>
      <c r="D11" s="19" t="n">
        <v>34</v>
      </c>
      <c r="E11" s="19" t="n">
        <v>34</v>
      </c>
      <c r="F11" s="19" t="n">
        <v>47</v>
      </c>
      <c r="G11" s="19" t="n">
        <v>36</v>
      </c>
      <c r="H11" s="19" t="n">
        <v>47</v>
      </c>
      <c r="I11" s="19"/>
      <c r="J11" s="19"/>
      <c r="K11" s="19"/>
      <c r="L11" s="19"/>
      <c r="M11" s="19"/>
      <c r="N11" s="17" t="n">
        <f aca="false">IF(COUNT(C11:M11)=0,"",SUM(C11:M11))</f>
        <v>244</v>
      </c>
      <c r="O11" s="17" t="n">
        <f aca="false">IF(OR(N11="",$N$4-SUMIF(C11:M11,"欠",$C$4:$M$4)&lt;=0),"",ROUND(N11/($N$4-SUMIF(C11:M11,"欠",$C$4:$M$4))*100,0))</f>
        <v>81</v>
      </c>
      <c r="P11" s="17" t="str">
        <f aca="false">IF(O11="","",IF(O11&gt;=設定!$D$12,"A",IF(O11&gt;=設定!$E$12,"B","C")))</f>
        <v>B</v>
      </c>
      <c r="Q11" s="19" t="n">
        <v>35</v>
      </c>
      <c r="R11" s="19" t="n">
        <v>36</v>
      </c>
      <c r="S11" s="19" t="n">
        <v>35</v>
      </c>
      <c r="T11" s="19" t="n">
        <v>30</v>
      </c>
      <c r="U11" s="19" t="n">
        <v>36</v>
      </c>
      <c r="V11" s="19" t="n">
        <v>44</v>
      </c>
      <c r="W11" s="19"/>
      <c r="X11" s="19"/>
      <c r="Y11" s="19"/>
      <c r="Z11" s="19"/>
      <c r="AA11" s="17" t="n">
        <f aca="false">IF(COUNT(Q11:Z11)=0,"",SUM(Q11:Z11))</f>
        <v>216</v>
      </c>
      <c r="AB11" s="17" t="n">
        <f aca="false">IF(OR(AA11="",$AA$4-SUMIF(Q11:Z11,"欠",$Q$4:$Z$4)&lt;=0),"",ROUND(AA11/($AA$4-SUMIF(Q11:Z11,"欠",$Q$4:$Z$4))*100,0))</f>
        <v>72</v>
      </c>
      <c r="AC11" s="17" t="str">
        <f aca="false">IF(AB11="","",IF(AB11&gt;=設定!$D$12,"A",IF(AB11&gt;=設定!$E$12,"B","C")))</f>
        <v>B</v>
      </c>
      <c r="AD11" s="17" t="n">
        <f aca="false">IF(AND(N11="",AA11=""),"",IF(N11="",0,N11)+IF(AA11="",0,AA11))</f>
        <v>460</v>
      </c>
      <c r="AE11" s="17" t="n">
        <f aca="false">IF(AD11="","",IF($AD$4-SUMIF(C11:M11,"欠",$C$4:$M$4)-SUMIF(Q11:Z11,"欠",$Q$4:$Z$4)&lt;=0,"",ROUND(AD11/($AD$4-SUMIF(C11:M11,"欠",$C$4:$M$4)-SUMIF(Q11:Z11,"欠",$Q$4:$Z$4))*100,0)))</f>
        <v>77</v>
      </c>
      <c r="AF11" s="17" t="str">
        <f aca="false">IF(AE11="","",IF(AE11&gt;=設定!$D$12,"A",IF(AE11&gt;=設定!$E$12,"B","C")))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50</v>
      </c>
      <c r="D12" s="19" t="n">
        <v>40</v>
      </c>
      <c r="E12" s="19" t="n">
        <v>43</v>
      </c>
      <c r="F12" s="19" t="n">
        <v>47</v>
      </c>
      <c r="G12" s="19" t="n">
        <v>50</v>
      </c>
      <c r="H12" s="19" t="n">
        <v>48</v>
      </c>
      <c r="I12" s="19"/>
      <c r="J12" s="19"/>
      <c r="K12" s="19"/>
      <c r="L12" s="19"/>
      <c r="M12" s="19"/>
      <c r="N12" s="17" t="n">
        <f aca="false">IF(COUNT(C12:M12)=0,"",SUM(C12:M12))</f>
        <v>278</v>
      </c>
      <c r="O12" s="17" t="n">
        <f aca="false">IF(OR(N12="",$N$4-SUMIF(C12:M12,"欠",$C$4:$M$4)&lt;=0),"",ROUND(N12/($N$4-SUMIF(C12:M12,"欠",$C$4:$M$4))*100,0))</f>
        <v>93</v>
      </c>
      <c r="P12" s="17" t="str">
        <f aca="false">IF(O12="","",IF(O12&gt;=設定!$D$12,"A",IF(O12&gt;=設定!$E$12,"B","C")))</f>
        <v>A</v>
      </c>
      <c r="Q12" s="19" t="n">
        <v>42</v>
      </c>
      <c r="R12" s="19" t="n">
        <v>39</v>
      </c>
      <c r="S12" s="19" t="n">
        <v>43</v>
      </c>
      <c r="T12" s="19" t="n">
        <v>38</v>
      </c>
      <c r="U12" s="19" t="n">
        <v>46</v>
      </c>
      <c r="V12" s="19" t="n">
        <v>49</v>
      </c>
      <c r="W12" s="19"/>
      <c r="X12" s="19"/>
      <c r="Y12" s="19"/>
      <c r="Z12" s="19"/>
      <c r="AA12" s="17" t="n">
        <f aca="false">IF(COUNT(Q12:Z12)=0,"",SUM(Q12:Z12))</f>
        <v>257</v>
      </c>
      <c r="AB12" s="17" t="n">
        <f aca="false">IF(OR(AA12="",$AA$4-SUMIF(Q12:Z12,"欠",$Q$4:$Z$4)&lt;=0),"",ROUND(AA12/($AA$4-SUMIF(Q12:Z12,"欠",$Q$4:$Z$4))*100,0))</f>
        <v>86</v>
      </c>
      <c r="AC12" s="17" t="str">
        <f aca="false">IF(AB12="","",IF(AB12&gt;=設定!$D$12,"A",IF(AB12&gt;=設定!$E$12,"B","C")))</f>
        <v>A</v>
      </c>
      <c r="AD12" s="17" t="n">
        <f aca="false">IF(AND(N12="",AA12=""),"",IF(N12="",0,N12)+IF(AA12="",0,AA12))</f>
        <v>535</v>
      </c>
      <c r="AE12" s="17" t="n">
        <f aca="false">IF(AD12="","",IF($AD$4-SUMIF(C12:M12,"欠",$C$4:$M$4)-SUMIF(Q12:Z12,"欠",$Q$4:$Z$4)&lt;=0,"",ROUND(AD12/($AD$4-SUMIF(C12:M12,"欠",$C$4:$M$4)-SUMIF(Q12:Z12,"欠",$Q$4:$Z$4))*100,0)))</f>
        <v>89</v>
      </c>
      <c r="AF12" s="17" t="str">
        <f aca="false">IF(AE12="","",IF(AE12&gt;=設定!$D$12,"A",IF(AE12&gt;=設定!$E$12,"B","C")))</f>
        <v>A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37</v>
      </c>
      <c r="D13" s="19" t="n">
        <v>37</v>
      </c>
      <c r="E13" s="19" t="n">
        <v>35</v>
      </c>
      <c r="F13" s="19" t="n">
        <v>39</v>
      </c>
      <c r="G13" s="19" t="n">
        <v>37</v>
      </c>
      <c r="H13" s="19" t="n">
        <v>36</v>
      </c>
      <c r="I13" s="19"/>
      <c r="J13" s="19"/>
      <c r="K13" s="19"/>
      <c r="L13" s="19"/>
      <c r="M13" s="19"/>
      <c r="N13" s="17" t="n">
        <f aca="false">IF(COUNT(C13:M13)=0,"",SUM(C13:M13))</f>
        <v>221</v>
      </c>
      <c r="O13" s="17" t="n">
        <f aca="false">IF(OR(N13="",$N$4-SUMIF(C13:M13,"欠",$C$4:$M$4)&lt;=0),"",ROUND(N13/($N$4-SUMIF(C13:M13,"欠",$C$4:$M$4))*100,0))</f>
        <v>74</v>
      </c>
      <c r="P13" s="17" t="str">
        <f aca="false">IF(O13="","",IF(O13&gt;=設定!$D$12,"A",IF(O13&gt;=設定!$E$12,"B","C")))</f>
        <v>B</v>
      </c>
      <c r="Q13" s="19" t="n">
        <v>40</v>
      </c>
      <c r="R13" s="19" t="n">
        <v>25</v>
      </c>
      <c r="S13" s="19" t="n">
        <v>32</v>
      </c>
      <c r="T13" s="19" t="n">
        <v>36</v>
      </c>
      <c r="U13" s="19" t="n">
        <v>37</v>
      </c>
      <c r="V13" s="19" t="n">
        <v>39</v>
      </c>
      <c r="W13" s="19"/>
      <c r="X13" s="19"/>
      <c r="Y13" s="19"/>
      <c r="Z13" s="19"/>
      <c r="AA13" s="17" t="n">
        <f aca="false">IF(COUNT(Q13:Z13)=0,"",SUM(Q13:Z13))</f>
        <v>209</v>
      </c>
      <c r="AB13" s="17" t="n">
        <f aca="false">IF(OR(AA13="",$AA$4-SUMIF(Q13:Z13,"欠",$Q$4:$Z$4)&lt;=0),"",ROUND(AA13/($AA$4-SUMIF(Q13:Z13,"欠",$Q$4:$Z$4))*100,0))</f>
        <v>70</v>
      </c>
      <c r="AC13" s="17" t="str">
        <f aca="false">IF(AB13="","",IF(AB13&gt;=設定!$D$12,"A",IF(AB13&gt;=設定!$E$12,"B","C")))</f>
        <v>B</v>
      </c>
      <c r="AD13" s="17" t="n">
        <f aca="false">IF(AND(N13="",AA13=""),"",IF(N13="",0,N13)+IF(AA13="",0,AA13))</f>
        <v>430</v>
      </c>
      <c r="AE13" s="17" t="n">
        <f aca="false">IF(AD13="","",IF($AD$4-SUMIF(C13:M13,"欠",$C$4:$M$4)-SUMIF(Q13:Z13,"欠",$Q$4:$Z$4)&lt;=0,"",ROUND(AD13/($AD$4-SUMIF(C13:M13,"欠",$C$4:$M$4)-SUMIF(Q13:Z13,"欠",$Q$4:$Z$4))*100,0)))</f>
        <v>72</v>
      </c>
      <c r="AF13" s="17" t="str">
        <f aca="false">IF(AE13="","",IF(AE13&gt;=設定!$D$12,"A",IF(AE13&gt;=設定!$E$12,"B","C")))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40</v>
      </c>
      <c r="D14" s="19" t="n">
        <v>40</v>
      </c>
      <c r="E14" s="19" t="n">
        <v>47</v>
      </c>
      <c r="F14" s="19" t="n">
        <v>46</v>
      </c>
      <c r="G14" s="19" t="n">
        <v>39</v>
      </c>
      <c r="H14" s="19" t="n">
        <v>36</v>
      </c>
      <c r="I14" s="19"/>
      <c r="J14" s="19"/>
      <c r="K14" s="19"/>
      <c r="L14" s="19"/>
      <c r="M14" s="19"/>
      <c r="N14" s="17" t="n">
        <f aca="false">IF(COUNT(C14:M14)=0,"",SUM(C14:M14))</f>
        <v>248</v>
      </c>
      <c r="O14" s="17" t="n">
        <f aca="false">IF(OR(N14="",$N$4-SUMIF(C14:M14,"欠",$C$4:$M$4)&lt;=0),"",ROUND(N14/($N$4-SUMIF(C14:M14,"欠",$C$4:$M$4))*100,0))</f>
        <v>83</v>
      </c>
      <c r="P14" s="17" t="str">
        <f aca="false">IF(O14="","",IF(O14&gt;=設定!$D$12,"A",IF(O14&gt;=設定!$E$12,"B","C")))</f>
        <v>B</v>
      </c>
      <c r="Q14" s="19" t="n">
        <v>29</v>
      </c>
      <c r="R14" s="19" t="n">
        <v>41</v>
      </c>
      <c r="S14" s="19" t="n">
        <v>40</v>
      </c>
      <c r="T14" s="19" t="n">
        <v>36</v>
      </c>
      <c r="U14" s="19" t="n">
        <v>43</v>
      </c>
      <c r="V14" s="19" t="n">
        <v>40</v>
      </c>
      <c r="W14" s="19"/>
      <c r="X14" s="19"/>
      <c r="Y14" s="19"/>
      <c r="Z14" s="19"/>
      <c r="AA14" s="17" t="n">
        <f aca="false">IF(COUNT(Q14:Z14)=0,"",SUM(Q14:Z14))</f>
        <v>229</v>
      </c>
      <c r="AB14" s="17" t="n">
        <f aca="false">IF(OR(AA14="",$AA$4-SUMIF(Q14:Z14,"欠",$Q$4:$Z$4)&lt;=0),"",ROUND(AA14/($AA$4-SUMIF(Q14:Z14,"欠",$Q$4:$Z$4))*100,0))</f>
        <v>76</v>
      </c>
      <c r="AC14" s="17" t="str">
        <f aca="false">IF(AB14="","",IF(AB14&gt;=設定!$D$12,"A",IF(AB14&gt;=設定!$E$12,"B","C")))</f>
        <v>B</v>
      </c>
      <c r="AD14" s="17" t="n">
        <f aca="false">IF(AND(N14="",AA14=""),"",IF(N14="",0,N14)+IF(AA14="",0,AA14))</f>
        <v>477</v>
      </c>
      <c r="AE14" s="17" t="n">
        <f aca="false">IF(AD14="","",IF($AD$4-SUMIF(C14:M14,"欠",$C$4:$M$4)-SUMIF(Q14:Z14,"欠",$Q$4:$Z$4)&lt;=0,"",ROUND(AD14/($AD$4-SUMIF(C14:M14,"欠",$C$4:$M$4)-SUMIF(Q14:Z14,"欠",$Q$4:$Z$4))*100,0)))</f>
        <v>80</v>
      </c>
      <c r="AF14" s="17" t="str">
        <f aca="false">IF(AE14="","",IF(AE14&gt;=設定!$D$12,"A",IF(AE14&gt;=設定!$E$12,"B","C")))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50</v>
      </c>
      <c r="D15" s="19" t="n">
        <v>50</v>
      </c>
      <c r="E15" s="19" t="n">
        <v>44</v>
      </c>
      <c r="F15" s="19" t="n">
        <v>44</v>
      </c>
      <c r="G15" s="19" t="n">
        <v>41</v>
      </c>
      <c r="H15" s="19" t="n">
        <v>43</v>
      </c>
      <c r="I15" s="19"/>
      <c r="J15" s="19"/>
      <c r="K15" s="19"/>
      <c r="L15" s="19"/>
      <c r="M15" s="19"/>
      <c r="N15" s="17" t="n">
        <f aca="false">IF(COUNT(C15:M15)=0,"",SUM(C15:M15))</f>
        <v>272</v>
      </c>
      <c r="O15" s="17" t="n">
        <f aca="false">IF(OR(N15="",$N$4-SUMIF(C15:M15,"欠",$C$4:$M$4)&lt;=0),"",ROUND(N15/($N$4-SUMIF(C15:M15,"欠",$C$4:$M$4))*100,0))</f>
        <v>91</v>
      </c>
      <c r="P15" s="17" t="str">
        <f aca="false">IF(O15="","",IF(O15&gt;=設定!$D$12,"A",IF(O15&gt;=設定!$E$12,"B","C")))</f>
        <v>A</v>
      </c>
      <c r="Q15" s="19" t="n">
        <v>36</v>
      </c>
      <c r="R15" s="19" t="n">
        <v>38</v>
      </c>
      <c r="S15" s="19" t="n">
        <v>38</v>
      </c>
      <c r="T15" s="19" t="n">
        <v>36</v>
      </c>
      <c r="U15" s="19" t="n">
        <v>43</v>
      </c>
      <c r="V15" s="19" t="n">
        <v>41</v>
      </c>
      <c r="W15" s="19"/>
      <c r="X15" s="19"/>
      <c r="Y15" s="19"/>
      <c r="Z15" s="19"/>
      <c r="AA15" s="17" t="n">
        <f aca="false">IF(COUNT(Q15:Z15)=0,"",SUM(Q15:Z15))</f>
        <v>232</v>
      </c>
      <c r="AB15" s="17" t="n">
        <f aca="false">IF(OR(AA15="",$AA$4-SUMIF(Q15:Z15,"欠",$Q$4:$Z$4)&lt;=0),"",ROUND(AA15/($AA$4-SUMIF(Q15:Z15,"欠",$Q$4:$Z$4))*100,0))</f>
        <v>77</v>
      </c>
      <c r="AC15" s="17" t="str">
        <f aca="false">IF(AB15="","",IF(AB15&gt;=設定!$D$12,"A",IF(AB15&gt;=設定!$E$12,"B","C")))</f>
        <v>B</v>
      </c>
      <c r="AD15" s="17" t="n">
        <f aca="false">IF(AND(N15="",AA15=""),"",IF(N15="",0,N15)+IF(AA15="",0,AA15))</f>
        <v>504</v>
      </c>
      <c r="AE15" s="17" t="n">
        <f aca="false">IF(AD15="","",IF($AD$4-SUMIF(C15:M15,"欠",$C$4:$M$4)-SUMIF(Q15:Z15,"欠",$Q$4:$Z$4)&lt;=0,"",ROUND(AD15/($AD$4-SUMIF(C15:M15,"欠",$C$4:$M$4)-SUMIF(Q15:Z15,"欠",$Q$4:$Z$4))*100,0)))</f>
        <v>84</v>
      </c>
      <c r="AF15" s="17" t="str">
        <f aca="false">IF(AE15="","",IF(AE15&gt;=設定!$D$12,"A",IF(AE15&gt;=設定!$E$12,"B","C")))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42</v>
      </c>
      <c r="D16" s="19" t="n">
        <v>43</v>
      </c>
      <c r="E16" s="19" t="n">
        <v>49</v>
      </c>
      <c r="F16" s="19" t="n">
        <v>43</v>
      </c>
      <c r="G16" s="19" t="n">
        <v>41</v>
      </c>
      <c r="H16" s="19" t="n">
        <v>40</v>
      </c>
      <c r="I16" s="19"/>
      <c r="J16" s="19"/>
      <c r="K16" s="19"/>
      <c r="L16" s="19"/>
      <c r="M16" s="19"/>
      <c r="N16" s="17" t="n">
        <f aca="false">IF(COUNT(C16:M16)=0,"",SUM(C16:M16))</f>
        <v>258</v>
      </c>
      <c r="O16" s="17" t="n">
        <f aca="false">IF(OR(N16="",$N$4-SUMIF(C16:M16,"欠",$C$4:$M$4)&lt;=0),"",ROUND(N16/($N$4-SUMIF(C16:M16,"欠",$C$4:$M$4))*100,0))</f>
        <v>86</v>
      </c>
      <c r="P16" s="17" t="str">
        <f aca="false">IF(O16="","",IF(O16&gt;=設定!$D$12,"A",IF(O16&gt;=設定!$E$12,"B","C")))</f>
        <v>A</v>
      </c>
      <c r="Q16" s="19" t="n">
        <v>38</v>
      </c>
      <c r="R16" s="19" t="n">
        <v>38</v>
      </c>
      <c r="S16" s="19" t="n">
        <v>43</v>
      </c>
      <c r="T16" s="19" t="n">
        <v>33</v>
      </c>
      <c r="U16" s="19" t="n">
        <v>38</v>
      </c>
      <c r="V16" s="19" t="n">
        <v>39</v>
      </c>
      <c r="W16" s="19"/>
      <c r="X16" s="19"/>
      <c r="Y16" s="19"/>
      <c r="Z16" s="19"/>
      <c r="AA16" s="17" t="n">
        <f aca="false">IF(COUNT(Q16:Z16)=0,"",SUM(Q16:Z16))</f>
        <v>229</v>
      </c>
      <c r="AB16" s="17" t="n">
        <f aca="false">IF(OR(AA16="",$AA$4-SUMIF(Q16:Z16,"欠",$Q$4:$Z$4)&lt;=0),"",ROUND(AA16/($AA$4-SUMIF(Q16:Z16,"欠",$Q$4:$Z$4))*100,0))</f>
        <v>76</v>
      </c>
      <c r="AC16" s="17" t="str">
        <f aca="false">IF(AB16="","",IF(AB16&gt;=設定!$D$12,"A",IF(AB16&gt;=設定!$E$12,"B","C")))</f>
        <v>B</v>
      </c>
      <c r="AD16" s="17" t="n">
        <f aca="false">IF(AND(N16="",AA16=""),"",IF(N16="",0,N16)+IF(AA16="",0,AA16))</f>
        <v>487</v>
      </c>
      <c r="AE16" s="17" t="n">
        <f aca="false">IF(AD16="","",IF($AD$4-SUMIF(C16:M16,"欠",$C$4:$M$4)-SUMIF(Q16:Z16,"欠",$Q$4:$Z$4)&lt;=0,"",ROUND(AD16/($AD$4-SUMIF(C16:M16,"欠",$C$4:$M$4)-SUMIF(Q16:Z16,"欠",$Q$4:$Z$4))*100,0)))</f>
        <v>81</v>
      </c>
      <c r="AF16" s="17" t="str">
        <f aca="false">IF(AE16="","",IF(AE16&gt;=設定!$D$12,"A",IF(AE16&gt;=設定!$E$12,"B","C")))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28</v>
      </c>
      <c r="D17" s="19" t="n">
        <v>32</v>
      </c>
      <c r="E17" s="19" t="n">
        <v>27</v>
      </c>
      <c r="F17" s="19" t="n">
        <v>30</v>
      </c>
      <c r="G17" s="19" t="n">
        <v>31</v>
      </c>
      <c r="H17" s="19" t="n">
        <v>31</v>
      </c>
      <c r="I17" s="19"/>
      <c r="J17" s="19"/>
      <c r="K17" s="19"/>
      <c r="L17" s="19"/>
      <c r="M17" s="19"/>
      <c r="N17" s="17" t="n">
        <f aca="false">IF(COUNT(C17:M17)=0,"",SUM(C17:M17))</f>
        <v>179</v>
      </c>
      <c r="O17" s="17" t="n">
        <f aca="false">IF(OR(N17="",$N$4-SUMIF(C17:M17,"欠",$C$4:$M$4)&lt;=0),"",ROUND(N17/($N$4-SUMIF(C17:M17,"欠",$C$4:$M$4))*100,0))</f>
        <v>60</v>
      </c>
      <c r="P17" s="17" t="str">
        <f aca="false">IF(O17="","",IF(O17&gt;=設定!$D$12,"A",IF(O17&gt;=設定!$E$12,"B","C")))</f>
        <v>B</v>
      </c>
      <c r="Q17" s="19" t="n">
        <v>18</v>
      </c>
      <c r="R17" s="19" t="n">
        <v>28</v>
      </c>
      <c r="S17" s="19" t="n">
        <v>24</v>
      </c>
      <c r="T17" s="19" t="n">
        <v>29</v>
      </c>
      <c r="U17" s="19" t="n">
        <v>25</v>
      </c>
      <c r="V17" s="19" t="n">
        <v>34</v>
      </c>
      <c r="W17" s="19"/>
      <c r="X17" s="19"/>
      <c r="Y17" s="19"/>
      <c r="Z17" s="19"/>
      <c r="AA17" s="17" t="n">
        <f aca="false">IF(COUNT(Q17:Z17)=0,"",SUM(Q17:Z17))</f>
        <v>158</v>
      </c>
      <c r="AB17" s="17" t="n">
        <f aca="false">IF(OR(AA17="",$AA$4-SUMIF(Q17:Z17,"欠",$Q$4:$Z$4)&lt;=0),"",ROUND(AA17/($AA$4-SUMIF(Q17:Z17,"欠",$Q$4:$Z$4))*100,0))</f>
        <v>53</v>
      </c>
      <c r="AC17" s="17" t="str">
        <f aca="false">IF(AB17="","",IF(AB17&gt;=設定!$D$12,"A",IF(AB17&gt;=設定!$E$12,"B","C")))</f>
        <v>C</v>
      </c>
      <c r="AD17" s="17" t="n">
        <f aca="false">IF(AND(N17="",AA17=""),"",IF(N17="",0,N17)+IF(AA17="",0,AA17))</f>
        <v>337</v>
      </c>
      <c r="AE17" s="17" t="n">
        <f aca="false">IF(AD17="","",IF($AD$4-SUMIF(C17:M17,"欠",$C$4:$M$4)-SUMIF(Q17:Z17,"欠",$Q$4:$Z$4)&lt;=0,"",ROUND(AD17/($AD$4-SUMIF(C17:M17,"欠",$C$4:$M$4)-SUMIF(Q17:Z17,"欠",$Q$4:$Z$4))*100,0)))</f>
        <v>56</v>
      </c>
      <c r="AF17" s="17" t="str">
        <f aca="false">IF(AE17="","",IF(AE17&gt;=設定!$D$12,"A",IF(AE17&gt;=設定!$E$12,"B","C")))</f>
        <v>B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42</v>
      </c>
      <c r="D18" s="19" t="n">
        <v>47</v>
      </c>
      <c r="E18" s="19" t="n">
        <v>48</v>
      </c>
      <c r="F18" s="19" t="n">
        <v>49</v>
      </c>
      <c r="G18" s="19" t="n">
        <v>50</v>
      </c>
      <c r="H18" s="19" t="n">
        <v>46</v>
      </c>
      <c r="I18" s="19"/>
      <c r="J18" s="19"/>
      <c r="K18" s="19"/>
      <c r="L18" s="19"/>
      <c r="M18" s="19"/>
      <c r="N18" s="17" t="n">
        <f aca="false">IF(COUNT(C18:M18)=0,"",SUM(C18:M18))</f>
        <v>282</v>
      </c>
      <c r="O18" s="17" t="n">
        <f aca="false">IF(OR(N18="",$N$4-SUMIF(C18:M18,"欠",$C$4:$M$4)&lt;=0),"",ROUND(N18/($N$4-SUMIF(C18:M18,"欠",$C$4:$M$4))*100,0))</f>
        <v>94</v>
      </c>
      <c r="P18" s="17" t="str">
        <f aca="false">IF(O18="","",IF(O18&gt;=設定!$D$12,"A",IF(O18&gt;=設定!$E$12,"B","C")))</f>
        <v>A</v>
      </c>
      <c r="Q18" s="19" t="n">
        <v>45</v>
      </c>
      <c r="R18" s="19" t="n">
        <v>41</v>
      </c>
      <c r="S18" s="19" t="n">
        <v>44</v>
      </c>
      <c r="T18" s="19" t="n">
        <v>40</v>
      </c>
      <c r="U18" s="19" t="n">
        <v>40</v>
      </c>
      <c r="V18" s="19" t="n">
        <v>47</v>
      </c>
      <c r="W18" s="19"/>
      <c r="X18" s="19"/>
      <c r="Y18" s="19"/>
      <c r="Z18" s="19"/>
      <c r="AA18" s="17" t="n">
        <f aca="false">IF(COUNT(Q18:Z18)=0,"",SUM(Q18:Z18))</f>
        <v>257</v>
      </c>
      <c r="AB18" s="17" t="n">
        <f aca="false">IF(OR(AA18="",$AA$4-SUMIF(Q18:Z18,"欠",$Q$4:$Z$4)&lt;=0),"",ROUND(AA18/($AA$4-SUMIF(Q18:Z18,"欠",$Q$4:$Z$4))*100,0))</f>
        <v>86</v>
      </c>
      <c r="AC18" s="17" t="str">
        <f aca="false">IF(AB18="","",IF(AB18&gt;=設定!$D$12,"A",IF(AB18&gt;=設定!$E$12,"B","C")))</f>
        <v>A</v>
      </c>
      <c r="AD18" s="17" t="n">
        <f aca="false">IF(AND(N18="",AA18=""),"",IF(N18="",0,N18)+IF(AA18="",0,AA18))</f>
        <v>539</v>
      </c>
      <c r="AE18" s="17" t="n">
        <f aca="false">IF(AD18="","",IF($AD$4-SUMIF(C18:M18,"欠",$C$4:$M$4)-SUMIF(Q18:Z18,"欠",$Q$4:$Z$4)&lt;=0,"",ROUND(AD18/($AD$4-SUMIF(C18:M18,"欠",$C$4:$M$4)-SUMIF(Q18:Z18,"欠",$Q$4:$Z$4))*100,0)))</f>
        <v>90</v>
      </c>
      <c r="AF18" s="17" t="str">
        <f aca="false">IF(AE18="","",IF(AE18&gt;=設定!$D$12,"A",IF(AE18&gt;=設定!$E$12,"B","C")))</f>
        <v>A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28</v>
      </c>
      <c r="D19" s="19" t="n">
        <v>25</v>
      </c>
      <c r="E19" s="19" t="n">
        <v>26</v>
      </c>
      <c r="F19" s="19" t="n">
        <v>30</v>
      </c>
      <c r="G19" s="19" t="n">
        <v>32</v>
      </c>
      <c r="H19" s="19" t="n">
        <v>18</v>
      </c>
      <c r="I19" s="19"/>
      <c r="J19" s="19"/>
      <c r="K19" s="19"/>
      <c r="L19" s="19"/>
      <c r="M19" s="19"/>
      <c r="N19" s="17" t="n">
        <f aca="false">IF(COUNT(C19:M19)=0,"",SUM(C19:M19))</f>
        <v>159</v>
      </c>
      <c r="O19" s="17" t="n">
        <f aca="false">IF(OR(N19="",$N$4-SUMIF(C19:M19,"欠",$C$4:$M$4)&lt;=0),"",ROUND(N19/($N$4-SUMIF(C19:M19,"欠",$C$4:$M$4))*100,0))</f>
        <v>53</v>
      </c>
      <c r="P19" s="17" t="str">
        <f aca="false">IF(O19="","",IF(O19&gt;=設定!$D$12,"A",IF(O19&gt;=設定!$E$12,"B","C")))</f>
        <v>C</v>
      </c>
      <c r="Q19" s="19" t="n">
        <v>24</v>
      </c>
      <c r="R19" s="19" t="n">
        <v>15</v>
      </c>
      <c r="S19" s="19" t="n">
        <v>27</v>
      </c>
      <c r="T19" s="19" t="n">
        <v>22</v>
      </c>
      <c r="U19" s="19" t="n">
        <v>27</v>
      </c>
      <c r="V19" s="19" t="n">
        <v>25</v>
      </c>
      <c r="W19" s="19"/>
      <c r="X19" s="19"/>
      <c r="Y19" s="19"/>
      <c r="Z19" s="19"/>
      <c r="AA19" s="17" t="n">
        <f aca="false">IF(COUNT(Q19:Z19)=0,"",SUM(Q19:Z19))</f>
        <v>140</v>
      </c>
      <c r="AB19" s="17" t="n">
        <f aca="false">IF(OR(AA19="",$AA$4-SUMIF(Q19:Z19,"欠",$Q$4:$Z$4)&lt;=0),"",ROUND(AA19/($AA$4-SUMIF(Q19:Z19,"欠",$Q$4:$Z$4))*100,0))</f>
        <v>47</v>
      </c>
      <c r="AC19" s="17" t="str">
        <f aca="false">IF(AB19="","",IF(AB19&gt;=設定!$D$12,"A",IF(AB19&gt;=設定!$E$12,"B","C")))</f>
        <v>C</v>
      </c>
      <c r="AD19" s="17" t="n">
        <f aca="false">IF(AND(N19="",AA19=""),"",IF(N19="",0,N19)+IF(AA19="",0,AA19))</f>
        <v>299</v>
      </c>
      <c r="AE19" s="17" t="n">
        <f aca="false">IF(AD19="","",IF($AD$4-SUMIF(C19:M19,"欠",$C$4:$M$4)-SUMIF(Q19:Z19,"欠",$Q$4:$Z$4)&lt;=0,"",ROUND(AD19/($AD$4-SUMIF(C19:M19,"欠",$C$4:$M$4)-SUMIF(Q19:Z19,"欠",$Q$4:$Z$4))*100,0)))</f>
        <v>50</v>
      </c>
      <c r="AF19" s="17" t="str">
        <f aca="false">IF(AE19="","",IF(AE19&gt;=設定!$D$12,"A",IF(AE19&gt;=設定!$E$12,"B","C")))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50</v>
      </c>
      <c r="D20" s="19" t="n">
        <v>50</v>
      </c>
      <c r="E20" s="19" t="n">
        <v>50</v>
      </c>
      <c r="F20" s="19" t="n">
        <v>49</v>
      </c>
      <c r="G20" s="19" t="n">
        <v>50</v>
      </c>
      <c r="H20" s="19" t="n">
        <v>50</v>
      </c>
      <c r="I20" s="19"/>
      <c r="J20" s="19"/>
      <c r="K20" s="19"/>
      <c r="L20" s="19"/>
      <c r="M20" s="19"/>
      <c r="N20" s="17" t="n">
        <f aca="false">IF(COUNT(C20:M20)=0,"",SUM(C20:M20))</f>
        <v>299</v>
      </c>
      <c r="O20" s="17" t="n">
        <f aca="false">IF(OR(N20="",$N$4-SUMIF(C20:M20,"欠",$C$4:$M$4)&lt;=0),"",ROUND(N20/($N$4-SUMIF(C20:M20,"欠",$C$4:$M$4))*100,0))</f>
        <v>100</v>
      </c>
      <c r="P20" s="17" t="str">
        <f aca="false">IF(O20="","",IF(O20&gt;=設定!$D$12,"A",IF(O20&gt;=設定!$E$12,"B","C")))</f>
        <v>A</v>
      </c>
      <c r="Q20" s="19" t="n">
        <v>49</v>
      </c>
      <c r="R20" s="19" t="n">
        <v>50</v>
      </c>
      <c r="S20" s="19" t="n">
        <v>48</v>
      </c>
      <c r="T20" s="19" t="n">
        <v>50</v>
      </c>
      <c r="U20" s="19" t="n">
        <v>44</v>
      </c>
      <c r="V20" s="19" t="n">
        <v>50</v>
      </c>
      <c r="W20" s="19"/>
      <c r="X20" s="19"/>
      <c r="Y20" s="19"/>
      <c r="Z20" s="19"/>
      <c r="AA20" s="17" t="n">
        <f aca="false">IF(COUNT(Q20:Z20)=0,"",SUM(Q20:Z20))</f>
        <v>291</v>
      </c>
      <c r="AB20" s="17" t="n">
        <f aca="false">IF(OR(AA20="",$AA$4-SUMIF(Q20:Z20,"欠",$Q$4:$Z$4)&lt;=0),"",ROUND(AA20/($AA$4-SUMIF(Q20:Z20,"欠",$Q$4:$Z$4))*100,0))</f>
        <v>97</v>
      </c>
      <c r="AC20" s="17" t="str">
        <f aca="false">IF(AB20="","",IF(AB20&gt;=設定!$D$12,"A",IF(AB20&gt;=設定!$E$12,"B","C")))</f>
        <v>A</v>
      </c>
      <c r="AD20" s="17" t="n">
        <f aca="false">IF(AND(N20="",AA20=""),"",IF(N20="",0,N20)+IF(AA20="",0,AA20))</f>
        <v>590</v>
      </c>
      <c r="AE20" s="17" t="n">
        <f aca="false">IF(AD20="","",IF($AD$4-SUMIF(C20:M20,"欠",$C$4:$M$4)-SUMIF(Q20:Z20,"欠",$Q$4:$Z$4)&lt;=0,"",ROUND(AD20/($AD$4-SUMIF(C20:M20,"欠",$C$4:$M$4)-SUMIF(Q20:Z20,"欠",$Q$4:$Z$4))*100,0)))</f>
        <v>98</v>
      </c>
      <c r="AF20" s="17" t="str">
        <f aca="false">IF(AE20="","",IF(AE20&gt;=設定!$D$12,"A",IF(AE20&gt;=設定!$E$12,"B","C")))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34</v>
      </c>
      <c r="D21" s="19" t="n">
        <v>43</v>
      </c>
      <c r="E21" s="19" t="n">
        <v>44</v>
      </c>
      <c r="F21" s="19" t="n">
        <v>45</v>
      </c>
      <c r="G21" s="19" t="n">
        <v>43</v>
      </c>
      <c r="H21" s="19" t="n">
        <v>40</v>
      </c>
      <c r="I21" s="19"/>
      <c r="J21" s="19"/>
      <c r="K21" s="19"/>
      <c r="L21" s="19"/>
      <c r="M21" s="19"/>
      <c r="N21" s="17" t="n">
        <f aca="false">IF(COUNT(C21:M21)=0,"",SUM(C21:M21))</f>
        <v>249</v>
      </c>
      <c r="O21" s="17" t="n">
        <f aca="false">IF(OR(N21="",$N$4-SUMIF(C21:M21,"欠",$C$4:$M$4)&lt;=0),"",ROUND(N21/($N$4-SUMIF(C21:M21,"欠",$C$4:$M$4))*100,0))</f>
        <v>83</v>
      </c>
      <c r="P21" s="17" t="str">
        <f aca="false">IF(O21="","",IF(O21&gt;=設定!$D$12,"A",IF(O21&gt;=設定!$E$12,"B","C")))</f>
        <v>B</v>
      </c>
      <c r="Q21" s="19" t="n">
        <v>34</v>
      </c>
      <c r="R21" s="19" t="n">
        <v>36</v>
      </c>
      <c r="S21" s="19" t="n">
        <v>46</v>
      </c>
      <c r="T21" s="19" t="n">
        <v>37</v>
      </c>
      <c r="U21" s="19" t="n">
        <v>32</v>
      </c>
      <c r="V21" s="19" t="n">
        <v>34</v>
      </c>
      <c r="W21" s="19"/>
      <c r="X21" s="19"/>
      <c r="Y21" s="19"/>
      <c r="Z21" s="19"/>
      <c r="AA21" s="17" t="n">
        <f aca="false">IF(COUNT(Q21:Z21)=0,"",SUM(Q21:Z21))</f>
        <v>219</v>
      </c>
      <c r="AB21" s="17" t="n">
        <f aca="false">IF(OR(AA21="",$AA$4-SUMIF(Q21:Z21,"欠",$Q$4:$Z$4)&lt;=0),"",ROUND(AA21/($AA$4-SUMIF(Q21:Z21,"欠",$Q$4:$Z$4))*100,0))</f>
        <v>73</v>
      </c>
      <c r="AC21" s="17" t="str">
        <f aca="false">IF(AB21="","",IF(AB21&gt;=設定!$D$12,"A",IF(AB21&gt;=設定!$E$12,"B","C")))</f>
        <v>B</v>
      </c>
      <c r="AD21" s="17" t="n">
        <f aca="false">IF(AND(N21="",AA21=""),"",IF(N21="",0,N21)+IF(AA21="",0,AA21))</f>
        <v>468</v>
      </c>
      <c r="AE21" s="17" t="n">
        <f aca="false">IF(AD21="","",IF($AD$4-SUMIF(C21:M21,"欠",$C$4:$M$4)-SUMIF(Q21:Z21,"欠",$Q$4:$Z$4)&lt;=0,"",ROUND(AD21/($AD$4-SUMIF(C21:M21,"欠",$C$4:$M$4)-SUMIF(Q21:Z21,"欠",$Q$4:$Z$4))*100,0)))</f>
        <v>78</v>
      </c>
      <c r="AF21" s="17" t="str">
        <f aca="false">IF(AE21="","",IF(AE21&gt;=設定!$D$12,"A",IF(AE21&gt;=設定!$E$12,"B","C")))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50</v>
      </c>
      <c r="D22" s="19" t="n">
        <v>50</v>
      </c>
      <c r="E22" s="19" t="n">
        <v>50</v>
      </c>
      <c r="F22" s="19" t="n">
        <v>50</v>
      </c>
      <c r="G22" s="19" t="n">
        <v>50</v>
      </c>
      <c r="H22" s="19" t="n">
        <v>50</v>
      </c>
      <c r="I22" s="19"/>
      <c r="J22" s="19"/>
      <c r="K22" s="19"/>
      <c r="L22" s="19"/>
      <c r="M22" s="19"/>
      <c r="N22" s="17" t="n">
        <f aca="false">IF(COUNT(C22:M22)=0,"",SUM(C22:M22))</f>
        <v>300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IF(O22="","",IF(O22&gt;=設定!$D$12,"A",IF(O22&gt;=設定!$E$12,"B","C")))</f>
        <v>A</v>
      </c>
      <c r="Q22" s="19" t="n">
        <v>50</v>
      </c>
      <c r="R22" s="19" t="n">
        <v>50</v>
      </c>
      <c r="S22" s="19" t="n">
        <v>50</v>
      </c>
      <c r="T22" s="19" t="n">
        <v>50</v>
      </c>
      <c r="U22" s="19" t="n">
        <v>50</v>
      </c>
      <c r="V22" s="19" t="n">
        <v>50</v>
      </c>
      <c r="W22" s="19"/>
      <c r="X22" s="19"/>
      <c r="Y22" s="19"/>
      <c r="Z22" s="19"/>
      <c r="AA22" s="17" t="n">
        <f aca="false">IF(COUNT(Q22:Z22)=0,"",SUM(Q22:Z22))</f>
        <v>300</v>
      </c>
      <c r="AB22" s="17" t="n">
        <f aca="false">IF(OR(AA22="",$AA$4-SUMIF(Q22:Z22,"欠",$Q$4:$Z$4)&lt;=0),"",ROUND(AA22/($AA$4-SUMIF(Q22:Z22,"欠",$Q$4:$Z$4))*100,0))</f>
        <v>100</v>
      </c>
      <c r="AC22" s="17" t="str">
        <f aca="false">IF(AB22="","",IF(AB22&gt;=設定!$D$12,"A",IF(AB22&gt;=設定!$E$12,"B","C")))</f>
        <v>A</v>
      </c>
      <c r="AD22" s="17" t="n">
        <f aca="false">IF(AND(N22="",AA22=""),"",IF(N22="",0,N22)+IF(AA22="",0,AA22))</f>
        <v>600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IF(AE22="","",IF(AE22&gt;=設定!$D$12,"A",IF(AE22&gt;=設定!$E$12,"B","C")))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50</v>
      </c>
      <c r="D23" s="19" t="n">
        <v>47</v>
      </c>
      <c r="E23" s="19" t="n">
        <v>46</v>
      </c>
      <c r="F23" s="19" t="n">
        <v>43</v>
      </c>
      <c r="G23" s="19" t="n">
        <v>50</v>
      </c>
      <c r="H23" s="19" t="n">
        <v>46</v>
      </c>
      <c r="I23" s="19"/>
      <c r="J23" s="19"/>
      <c r="K23" s="19"/>
      <c r="L23" s="19"/>
      <c r="M23" s="19"/>
      <c r="N23" s="17" t="n">
        <f aca="false">IF(COUNT(C23:M23)=0,"",SUM(C23:M23))</f>
        <v>282</v>
      </c>
      <c r="O23" s="17" t="n">
        <f aca="false">IF(OR(N23="",$N$4-SUMIF(C23:M23,"欠",$C$4:$M$4)&lt;=0),"",ROUND(N23/($N$4-SUMIF(C23:M23,"欠",$C$4:$M$4))*100,0))</f>
        <v>94</v>
      </c>
      <c r="P23" s="17" t="str">
        <f aca="false">IF(O23="","",IF(O23&gt;=設定!$D$12,"A",IF(O23&gt;=設定!$E$12,"B","C")))</f>
        <v>A</v>
      </c>
      <c r="Q23" s="19" t="n">
        <v>46</v>
      </c>
      <c r="R23" s="19" t="n">
        <v>50</v>
      </c>
      <c r="S23" s="19" t="n">
        <v>44</v>
      </c>
      <c r="T23" s="19" t="n">
        <v>42</v>
      </c>
      <c r="U23" s="19" t="n">
        <v>46</v>
      </c>
      <c r="V23" s="19" t="n">
        <v>47</v>
      </c>
      <c r="W23" s="19"/>
      <c r="X23" s="19"/>
      <c r="Y23" s="19"/>
      <c r="Z23" s="19"/>
      <c r="AA23" s="17" t="n">
        <f aca="false">IF(COUNT(Q23:Z23)=0,"",SUM(Q23:Z23))</f>
        <v>275</v>
      </c>
      <c r="AB23" s="17" t="n">
        <f aca="false">IF(OR(AA23="",$AA$4-SUMIF(Q23:Z23,"欠",$Q$4:$Z$4)&lt;=0),"",ROUND(AA23/($AA$4-SUMIF(Q23:Z23,"欠",$Q$4:$Z$4))*100,0))</f>
        <v>92</v>
      </c>
      <c r="AC23" s="17" t="str">
        <f aca="false">IF(AB23="","",IF(AB23&gt;=設定!$D$12,"A",IF(AB23&gt;=設定!$E$12,"B","C")))</f>
        <v>A</v>
      </c>
      <c r="AD23" s="17" t="n">
        <f aca="false">IF(AND(N23="",AA23=""),"",IF(N23="",0,N23)+IF(AA23="",0,AA23))</f>
        <v>557</v>
      </c>
      <c r="AE23" s="17" t="n">
        <f aca="false">IF(AD23="","",IF($AD$4-SUMIF(C23:M23,"欠",$C$4:$M$4)-SUMIF(Q23:Z23,"欠",$Q$4:$Z$4)&lt;=0,"",ROUND(AD23/($AD$4-SUMIF(C23:M23,"欠",$C$4:$M$4)-SUMIF(Q23:Z23,"欠",$Q$4:$Z$4))*100,0)))</f>
        <v>93</v>
      </c>
      <c r="AF23" s="17" t="str">
        <f aca="false">IF(AE23="","",IF(AE23&gt;=設定!$D$12,"A",IF(AE23&gt;=設定!$E$12,"B","C")))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40</v>
      </c>
      <c r="D24" s="19" t="n">
        <v>36</v>
      </c>
      <c r="E24" s="19" t="n">
        <v>36</v>
      </c>
      <c r="F24" s="20" t="s">
        <v>80</v>
      </c>
      <c r="G24" s="19" t="n">
        <v>37</v>
      </c>
      <c r="H24" s="19" t="n">
        <v>34</v>
      </c>
      <c r="I24" s="19"/>
      <c r="J24" s="19"/>
      <c r="K24" s="19"/>
      <c r="L24" s="19"/>
      <c r="M24" s="19"/>
      <c r="N24" s="17" t="n">
        <f aca="false">IF(COUNT(C24:M24)=0,"",SUM(C24:M24))</f>
        <v>183</v>
      </c>
      <c r="O24" s="17" t="n">
        <f aca="false">IF(OR(N24="",$N$4-SUMIF(C24:M24,"欠",$C$4:$M$4)&lt;=0),"",ROUND(N24/($N$4-SUMIF(C24:M24,"欠",$C$4:$M$4))*100,0))</f>
        <v>73</v>
      </c>
      <c r="P24" s="17" t="str">
        <f aca="false">IF(O24="","",IF(O24&gt;=設定!$D$12,"A",IF(O24&gt;=設定!$E$12,"B","C")))</f>
        <v>B</v>
      </c>
      <c r="Q24" s="19" t="n">
        <v>31</v>
      </c>
      <c r="R24" s="19" t="n">
        <v>24</v>
      </c>
      <c r="S24" s="19" t="n">
        <v>41</v>
      </c>
      <c r="T24" s="20" t="s">
        <v>80</v>
      </c>
      <c r="U24" s="19" t="n">
        <v>27</v>
      </c>
      <c r="V24" s="19" t="n">
        <v>30</v>
      </c>
      <c r="W24" s="19"/>
      <c r="X24" s="19"/>
      <c r="Y24" s="19"/>
      <c r="Z24" s="19"/>
      <c r="AA24" s="17" t="n">
        <f aca="false">IF(COUNT(Q24:Z24)=0,"",SUM(Q24:Z24))</f>
        <v>153</v>
      </c>
      <c r="AB24" s="17" t="n">
        <f aca="false">IF(OR(AA24="",$AA$4-SUMIF(Q24:Z24,"欠",$Q$4:$Z$4)&lt;=0),"",ROUND(AA24/($AA$4-SUMIF(Q24:Z24,"欠",$Q$4:$Z$4))*100,0))</f>
        <v>61</v>
      </c>
      <c r="AC24" s="17" t="str">
        <f aca="false">IF(AB24="","",IF(AB24&gt;=設定!$D$12,"A",IF(AB24&gt;=設定!$E$12,"B","C")))</f>
        <v>B</v>
      </c>
      <c r="AD24" s="17" t="n">
        <f aca="false">IF(AND(N24="",AA24=""),"",IF(N24="",0,N24)+IF(AA24="",0,AA24))</f>
        <v>336</v>
      </c>
      <c r="AE24" s="17" t="n">
        <f aca="false">IF(AD24="","",IF($AD$4-SUMIF(C24:M24,"欠",$C$4:$M$4)-SUMIF(Q24:Z24,"欠",$Q$4:$Z$4)&lt;=0,"",ROUND(AD24/($AD$4-SUMIF(C24:M24,"欠",$C$4:$M$4)-SUMIF(Q24:Z24,"欠",$Q$4:$Z$4))*100,0)))</f>
        <v>67</v>
      </c>
      <c r="AF24" s="17" t="str">
        <f aca="false">IF(AE24="","",IF(AE24&gt;=設定!$D$12,"A",IF(AE24&gt;=設定!$E$12,"B","C")))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43</v>
      </c>
      <c r="D25" s="19" t="n">
        <v>49</v>
      </c>
      <c r="E25" s="19" t="n">
        <v>41</v>
      </c>
      <c r="F25" s="20" t="n">
        <v>42</v>
      </c>
      <c r="G25" s="19" t="n">
        <v>44</v>
      </c>
      <c r="H25" s="19" t="n">
        <v>44</v>
      </c>
      <c r="I25" s="19"/>
      <c r="J25" s="19"/>
      <c r="K25" s="19"/>
      <c r="L25" s="19"/>
      <c r="M25" s="19"/>
      <c r="N25" s="17" t="n">
        <f aca="false">IF(COUNT(C25:M25)=0,"",SUM(C25:M25))</f>
        <v>263</v>
      </c>
      <c r="O25" s="17" t="n">
        <f aca="false">IF(OR(N25="",$N$4-SUMIF(C25:M25,"欠",$C$4:$M$4)&lt;=0),"",ROUND(N25/($N$4-SUMIF(C25:M25,"欠",$C$4:$M$4))*100,0))</f>
        <v>88</v>
      </c>
      <c r="P25" s="17" t="str">
        <f aca="false">IF(O25="","",IF(O25&gt;=設定!$D$12,"A",IF(O25&gt;=設定!$E$12,"B","C")))</f>
        <v>A</v>
      </c>
      <c r="Q25" s="19" t="n">
        <v>37</v>
      </c>
      <c r="R25" s="19" t="n">
        <v>46</v>
      </c>
      <c r="S25" s="19" t="n">
        <v>42</v>
      </c>
      <c r="T25" s="20" t="n">
        <v>35</v>
      </c>
      <c r="U25" s="19" t="n">
        <v>43</v>
      </c>
      <c r="V25" s="19" t="n">
        <v>41</v>
      </c>
      <c r="W25" s="19"/>
      <c r="X25" s="19"/>
      <c r="Y25" s="19"/>
      <c r="Z25" s="19"/>
      <c r="AA25" s="17" t="n">
        <f aca="false">IF(COUNT(Q25:Z25)=0,"",SUM(Q25:Z25))</f>
        <v>244</v>
      </c>
      <c r="AB25" s="17" t="n">
        <f aca="false">IF(OR(AA25="",$AA$4-SUMIF(Q25:Z25,"欠",$Q$4:$Z$4)&lt;=0),"",ROUND(AA25/($AA$4-SUMIF(Q25:Z25,"欠",$Q$4:$Z$4))*100,0))</f>
        <v>81</v>
      </c>
      <c r="AC25" s="17" t="str">
        <f aca="false">IF(AB25="","",IF(AB25&gt;=設定!$D$12,"A",IF(AB25&gt;=設定!$E$12,"B","C")))</f>
        <v>B</v>
      </c>
      <c r="AD25" s="17" t="n">
        <f aca="false">IF(AND(N25="",AA25=""),"",IF(N25="",0,N25)+IF(AA25="",0,AA25))</f>
        <v>507</v>
      </c>
      <c r="AE25" s="17" t="n">
        <f aca="false">IF(AD25="","",IF($AD$4-SUMIF(C25:M25,"欠",$C$4:$M$4)-SUMIF(Q25:Z25,"欠",$Q$4:$Z$4)&lt;=0,"",ROUND(AD25/($AD$4-SUMIF(C25:M25,"欠",$C$4:$M$4)-SUMIF(Q25:Z25,"欠",$Q$4:$Z$4))*100,0)))</f>
        <v>85</v>
      </c>
      <c r="AF25" s="17" t="str">
        <f aca="false">IF(AE25="","",IF(AE25&gt;=設定!$D$12,"A",IF(AE25&gt;=設定!$E$12,"B","C")))</f>
        <v>A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35</v>
      </c>
      <c r="D26" s="19" t="n">
        <v>34</v>
      </c>
      <c r="E26" s="19" t="n">
        <v>38</v>
      </c>
      <c r="F26" s="20" t="n">
        <v>37</v>
      </c>
      <c r="G26" s="19" t="n">
        <v>37</v>
      </c>
      <c r="H26" s="19" t="n">
        <v>37</v>
      </c>
      <c r="I26" s="19"/>
      <c r="J26" s="19"/>
      <c r="K26" s="19"/>
      <c r="L26" s="19"/>
      <c r="M26" s="19"/>
      <c r="N26" s="17" t="n">
        <f aca="false">IF(COUNT(C26:M26)=0,"",SUM(C26:M26))</f>
        <v>218</v>
      </c>
      <c r="O26" s="17" t="n">
        <f aca="false">IF(OR(N26="",$N$4-SUMIF(C26:M26,"欠",$C$4:$M$4)&lt;=0),"",ROUND(N26/($N$4-SUMIF(C26:M26,"欠",$C$4:$M$4))*100,0))</f>
        <v>73</v>
      </c>
      <c r="P26" s="17" t="str">
        <f aca="false">IF(O26="","",IF(O26&gt;=設定!$D$12,"A",IF(O26&gt;=設定!$E$12,"B","C")))</f>
        <v>B</v>
      </c>
      <c r="Q26" s="19" t="n">
        <v>30</v>
      </c>
      <c r="R26" s="19" t="n">
        <v>34</v>
      </c>
      <c r="S26" s="19" t="n">
        <v>32</v>
      </c>
      <c r="T26" s="20" t="n">
        <v>30</v>
      </c>
      <c r="U26" s="19" t="n">
        <v>27</v>
      </c>
      <c r="V26" s="19" t="n">
        <v>32</v>
      </c>
      <c r="W26" s="19"/>
      <c r="X26" s="19"/>
      <c r="Y26" s="19"/>
      <c r="Z26" s="19"/>
      <c r="AA26" s="17" t="n">
        <f aca="false">IF(COUNT(Q26:Z26)=0,"",SUM(Q26:Z26))</f>
        <v>185</v>
      </c>
      <c r="AB26" s="17" t="n">
        <f aca="false">IF(OR(AA26="",$AA$4-SUMIF(Q26:Z26,"欠",$Q$4:$Z$4)&lt;=0),"",ROUND(AA26/($AA$4-SUMIF(Q26:Z26,"欠",$Q$4:$Z$4))*100,0))</f>
        <v>62</v>
      </c>
      <c r="AC26" s="17" t="str">
        <f aca="false">IF(AB26="","",IF(AB26&gt;=設定!$D$12,"A",IF(AB26&gt;=設定!$E$12,"B","C")))</f>
        <v>B</v>
      </c>
      <c r="AD26" s="17" t="n">
        <f aca="false">IF(AND(N26="",AA26=""),"",IF(N26="",0,N26)+IF(AA26="",0,AA26))</f>
        <v>403</v>
      </c>
      <c r="AE26" s="17" t="n">
        <f aca="false">IF(AD26="","",IF($AD$4-SUMIF(C26:M26,"欠",$C$4:$M$4)-SUMIF(Q26:Z26,"欠",$Q$4:$Z$4)&lt;=0,"",ROUND(AD26/($AD$4-SUMIF(C26:M26,"欠",$C$4:$M$4)-SUMIF(Q26:Z26,"欠",$Q$4:$Z$4))*100,0)))</f>
        <v>67</v>
      </c>
      <c r="AF26" s="17" t="str">
        <f aca="false">IF(AE26="","",IF(AE26&gt;=設定!$D$12,"A",IF(AE26&gt;=設定!$E$12,"B","C")))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46</v>
      </c>
      <c r="D27" s="19" t="n">
        <v>50</v>
      </c>
      <c r="E27" s="19" t="n">
        <v>43</v>
      </c>
      <c r="F27" s="20" t="n">
        <v>41</v>
      </c>
      <c r="G27" s="19" t="n">
        <v>44</v>
      </c>
      <c r="H27" s="19" t="n">
        <v>44</v>
      </c>
      <c r="I27" s="19"/>
      <c r="J27" s="19"/>
      <c r="K27" s="19"/>
      <c r="L27" s="19"/>
      <c r="M27" s="19"/>
      <c r="N27" s="17" t="n">
        <f aca="false">IF(COUNT(C27:M27)=0,"",SUM(C27:M27))</f>
        <v>268</v>
      </c>
      <c r="O27" s="17" t="n">
        <f aca="false">IF(OR(N27="",$N$4-SUMIF(C27:M27,"欠",$C$4:$M$4)&lt;=0),"",ROUND(N27/($N$4-SUMIF(C27:M27,"欠",$C$4:$M$4))*100,0))</f>
        <v>89</v>
      </c>
      <c r="P27" s="17" t="str">
        <f aca="false">IF(O27="","",IF(O27&gt;=設定!$D$12,"A",IF(O27&gt;=設定!$E$12,"B","C")))</f>
        <v>A</v>
      </c>
      <c r="Q27" s="19" t="n">
        <v>34</v>
      </c>
      <c r="R27" s="19" t="n">
        <v>40</v>
      </c>
      <c r="S27" s="19" t="n">
        <v>40</v>
      </c>
      <c r="T27" s="20" t="n">
        <v>34</v>
      </c>
      <c r="U27" s="19" t="n">
        <v>34</v>
      </c>
      <c r="V27" s="19" t="n">
        <v>38</v>
      </c>
      <c r="W27" s="19"/>
      <c r="X27" s="19"/>
      <c r="Y27" s="19"/>
      <c r="Z27" s="19"/>
      <c r="AA27" s="17" t="n">
        <f aca="false">IF(COUNT(Q27:Z27)=0,"",SUM(Q27:Z27))</f>
        <v>220</v>
      </c>
      <c r="AB27" s="17" t="n">
        <f aca="false">IF(OR(AA27="",$AA$4-SUMIF(Q27:Z27,"欠",$Q$4:$Z$4)&lt;=0),"",ROUND(AA27/($AA$4-SUMIF(Q27:Z27,"欠",$Q$4:$Z$4))*100,0))</f>
        <v>73</v>
      </c>
      <c r="AC27" s="17" t="str">
        <f aca="false">IF(AB27="","",IF(AB27&gt;=設定!$D$12,"A",IF(AB27&gt;=設定!$E$12,"B","C")))</f>
        <v>B</v>
      </c>
      <c r="AD27" s="17" t="n">
        <f aca="false">IF(AND(N27="",AA27=""),"",IF(N27="",0,N27)+IF(AA27="",0,AA27))</f>
        <v>488</v>
      </c>
      <c r="AE27" s="17" t="n">
        <f aca="false">IF(AD27="","",IF($AD$4-SUMIF(C27:M27,"欠",$C$4:$M$4)-SUMIF(Q27:Z27,"欠",$Q$4:$Z$4)&lt;=0,"",ROUND(AD27/($AD$4-SUMIF(C27:M27,"欠",$C$4:$M$4)-SUMIF(Q27:Z27,"欠",$Q$4:$Z$4))*100,0)))</f>
        <v>81</v>
      </c>
      <c r="AF27" s="17" t="str">
        <f aca="false">IF(AE27="","",IF(AE27&gt;=設定!$D$12,"A",IF(AE27&gt;=設定!$E$12,"B","C")))</f>
        <v>B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30</v>
      </c>
      <c r="D28" s="19" t="n">
        <v>35</v>
      </c>
      <c r="E28" s="19" t="n">
        <v>29</v>
      </c>
      <c r="F28" s="20" t="n">
        <v>27</v>
      </c>
      <c r="G28" s="19" t="n">
        <v>23</v>
      </c>
      <c r="H28" s="19" t="n">
        <v>32</v>
      </c>
      <c r="I28" s="19"/>
      <c r="J28" s="19"/>
      <c r="K28" s="19"/>
      <c r="L28" s="19"/>
      <c r="M28" s="19"/>
      <c r="N28" s="17" t="n">
        <f aca="false">IF(COUNT(C28:M28)=0,"",SUM(C28:M28))</f>
        <v>176</v>
      </c>
      <c r="O28" s="17" t="n">
        <f aca="false">IF(OR(N28="",$N$4-SUMIF(C28:M28,"欠",$C$4:$M$4)&lt;=0),"",ROUND(N28/($N$4-SUMIF(C28:M28,"欠",$C$4:$M$4))*100,0))</f>
        <v>59</v>
      </c>
      <c r="P28" s="17" t="str">
        <f aca="false">IF(O28="","",IF(O28&gt;=設定!$D$12,"A",IF(O28&gt;=設定!$E$12,"B","C")))</f>
        <v>B</v>
      </c>
      <c r="Q28" s="19" t="n">
        <v>31</v>
      </c>
      <c r="R28" s="19" t="n">
        <v>29</v>
      </c>
      <c r="S28" s="19" t="n">
        <v>19</v>
      </c>
      <c r="T28" s="20" t="n">
        <v>24</v>
      </c>
      <c r="U28" s="19" t="n">
        <v>26</v>
      </c>
      <c r="V28" s="19" t="n">
        <v>28</v>
      </c>
      <c r="W28" s="19"/>
      <c r="X28" s="19"/>
      <c r="Y28" s="19"/>
      <c r="Z28" s="19"/>
      <c r="AA28" s="17" t="n">
        <f aca="false">IF(COUNT(Q28:Z28)=0,"",SUM(Q28:Z28))</f>
        <v>157</v>
      </c>
      <c r="AB28" s="17" t="n">
        <f aca="false">IF(OR(AA28="",$AA$4-SUMIF(Q28:Z28,"欠",$Q$4:$Z$4)&lt;=0),"",ROUND(AA28/($AA$4-SUMIF(Q28:Z28,"欠",$Q$4:$Z$4))*100,0))</f>
        <v>52</v>
      </c>
      <c r="AC28" s="17" t="str">
        <f aca="false">IF(AB28="","",IF(AB28&gt;=設定!$D$12,"A",IF(AB28&gt;=設定!$E$12,"B","C")))</f>
        <v>C</v>
      </c>
      <c r="AD28" s="17" t="n">
        <f aca="false">IF(AND(N28="",AA28=""),"",IF(N28="",0,N28)+IF(AA28="",0,AA28))</f>
        <v>333</v>
      </c>
      <c r="AE28" s="17" t="n">
        <f aca="false">IF(AD28="","",IF($AD$4-SUMIF(C28:M28,"欠",$C$4:$M$4)-SUMIF(Q28:Z28,"欠",$Q$4:$Z$4)&lt;=0,"",ROUND(AD28/($AD$4-SUMIF(C28:M28,"欠",$C$4:$M$4)-SUMIF(Q28:Z28,"欠",$Q$4:$Z$4))*100,0)))</f>
        <v>56</v>
      </c>
      <c r="AF28" s="17" t="str">
        <f aca="false">IF(AE28="","",IF(AE28&gt;=設定!$D$12,"A",IF(AE28&gt;=設定!$E$12,"B","C")))</f>
        <v>B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32</v>
      </c>
      <c r="D29" s="19" t="n">
        <v>25</v>
      </c>
      <c r="E29" s="19" t="n">
        <v>34</v>
      </c>
      <c r="F29" s="20" t="n">
        <v>32</v>
      </c>
      <c r="G29" s="19" t="n">
        <v>30</v>
      </c>
      <c r="H29" s="19" t="n">
        <v>32</v>
      </c>
      <c r="I29" s="19"/>
      <c r="J29" s="19"/>
      <c r="K29" s="19"/>
      <c r="L29" s="19"/>
      <c r="M29" s="19"/>
      <c r="N29" s="17" t="n">
        <f aca="false">IF(COUNT(C29:M29)=0,"",SUM(C29:M29))</f>
        <v>185</v>
      </c>
      <c r="O29" s="17" t="n">
        <f aca="false">IF(OR(N29="",$N$4-SUMIF(C29:M29,"欠",$C$4:$M$4)&lt;=0),"",ROUND(N29/($N$4-SUMIF(C29:M29,"欠",$C$4:$M$4))*100,0))</f>
        <v>62</v>
      </c>
      <c r="P29" s="17" t="str">
        <f aca="false">IF(O29="","",IF(O29&gt;=設定!$D$12,"A",IF(O29&gt;=設定!$E$12,"B","C")))</f>
        <v>B</v>
      </c>
      <c r="Q29" s="19" t="n">
        <v>21</v>
      </c>
      <c r="R29" s="19" t="n">
        <v>33</v>
      </c>
      <c r="S29" s="19" t="n">
        <v>36</v>
      </c>
      <c r="T29" s="20" t="n">
        <v>32</v>
      </c>
      <c r="U29" s="19" t="n">
        <v>23</v>
      </c>
      <c r="V29" s="19" t="n">
        <v>34</v>
      </c>
      <c r="W29" s="19"/>
      <c r="X29" s="19"/>
      <c r="Y29" s="19"/>
      <c r="Z29" s="19"/>
      <c r="AA29" s="17" t="n">
        <f aca="false">IF(COUNT(Q29:Z29)=0,"",SUM(Q29:Z29))</f>
        <v>179</v>
      </c>
      <c r="AB29" s="17" t="n">
        <f aca="false">IF(OR(AA29="",$AA$4-SUMIF(Q29:Z29,"欠",$Q$4:$Z$4)&lt;=0),"",ROUND(AA29/($AA$4-SUMIF(Q29:Z29,"欠",$Q$4:$Z$4))*100,0))</f>
        <v>60</v>
      </c>
      <c r="AC29" s="17" t="str">
        <f aca="false">IF(AB29="","",IF(AB29&gt;=設定!$D$12,"A",IF(AB29&gt;=設定!$E$12,"B","C")))</f>
        <v>B</v>
      </c>
      <c r="AD29" s="17" t="n">
        <f aca="false">IF(AND(N29="",AA29=""),"",IF(N29="",0,N29)+IF(AA29="",0,AA29))</f>
        <v>364</v>
      </c>
      <c r="AE29" s="17" t="n">
        <f aca="false">IF(AD29="","",IF($AD$4-SUMIF(C29:M29,"欠",$C$4:$M$4)-SUMIF(Q29:Z29,"欠",$Q$4:$Z$4)&lt;=0,"",ROUND(AD29/($AD$4-SUMIF(C29:M29,"欠",$C$4:$M$4)-SUMIF(Q29:Z29,"欠",$Q$4:$Z$4))*100,0)))</f>
        <v>61</v>
      </c>
      <c r="AF29" s="17" t="str">
        <f aca="false">IF(AE29="","",IF(AE29&gt;=設定!$D$12,"A",IF(AE29&gt;=設定!$E$12,"B","C")))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40</v>
      </c>
      <c r="D30" s="19" t="n">
        <v>36</v>
      </c>
      <c r="E30" s="19" t="n">
        <v>50</v>
      </c>
      <c r="F30" s="20" t="n">
        <v>43</v>
      </c>
      <c r="G30" s="19" t="n">
        <v>40</v>
      </c>
      <c r="H30" s="19" t="n">
        <v>42</v>
      </c>
      <c r="I30" s="19"/>
      <c r="J30" s="19"/>
      <c r="K30" s="19"/>
      <c r="L30" s="19"/>
      <c r="M30" s="19"/>
      <c r="N30" s="17" t="n">
        <f aca="false">IF(COUNT(C30:M30)=0,"",SUM(C30:M30))</f>
        <v>251</v>
      </c>
      <c r="O30" s="17" t="n">
        <f aca="false">IF(OR(N30="",$N$4-SUMIF(C30:M30,"欠",$C$4:$M$4)&lt;=0),"",ROUND(N30/($N$4-SUMIF(C30:M30,"欠",$C$4:$M$4))*100,0))</f>
        <v>84</v>
      </c>
      <c r="P30" s="17" t="str">
        <f aca="false">IF(O30="","",IF(O30&gt;=設定!$D$12,"A",IF(O30&gt;=設定!$E$12,"B","C")))</f>
        <v>B</v>
      </c>
      <c r="Q30" s="19" t="n">
        <v>29</v>
      </c>
      <c r="R30" s="19" t="n">
        <v>34</v>
      </c>
      <c r="S30" s="19" t="n">
        <v>39</v>
      </c>
      <c r="T30" s="20" t="n">
        <v>34</v>
      </c>
      <c r="U30" s="19" t="n">
        <v>32</v>
      </c>
      <c r="V30" s="19" t="n">
        <v>34</v>
      </c>
      <c r="W30" s="19"/>
      <c r="X30" s="19"/>
      <c r="Y30" s="19"/>
      <c r="Z30" s="19"/>
      <c r="AA30" s="17" t="n">
        <f aca="false">IF(COUNT(Q30:Z30)=0,"",SUM(Q30:Z30))</f>
        <v>202</v>
      </c>
      <c r="AB30" s="17" t="n">
        <f aca="false">IF(OR(AA30="",$AA$4-SUMIF(Q30:Z30,"欠",$Q$4:$Z$4)&lt;=0),"",ROUND(AA30/($AA$4-SUMIF(Q30:Z30,"欠",$Q$4:$Z$4))*100,0))</f>
        <v>67</v>
      </c>
      <c r="AC30" s="17" t="str">
        <f aca="false">IF(AB30="","",IF(AB30&gt;=設定!$D$12,"A",IF(AB30&gt;=設定!$E$12,"B","C")))</f>
        <v>B</v>
      </c>
      <c r="AD30" s="17" t="n">
        <f aca="false">IF(AND(N30="",AA30=""),"",IF(N30="",0,N30)+IF(AA30="",0,AA30))</f>
        <v>453</v>
      </c>
      <c r="AE30" s="17" t="n">
        <f aca="false">IF(AD30="","",IF($AD$4-SUMIF(C30:M30,"欠",$C$4:$M$4)-SUMIF(Q30:Z30,"欠",$Q$4:$Z$4)&lt;=0,"",ROUND(AD30/($AD$4-SUMIF(C30:M30,"欠",$C$4:$M$4)-SUMIF(Q30:Z30,"欠",$Q$4:$Z$4))*100,0)))</f>
        <v>76</v>
      </c>
      <c r="AF30" s="17" t="str">
        <f aca="false">IF(AE30="","",IF(AE30&gt;=設定!$D$12,"A",IF(AE30&gt;=設定!$E$12,"B","C")))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33</v>
      </c>
      <c r="D31" s="19" t="n">
        <v>41</v>
      </c>
      <c r="E31" s="19" t="n">
        <v>33</v>
      </c>
      <c r="F31" s="20" t="n">
        <v>39</v>
      </c>
      <c r="G31" s="19" t="n">
        <v>36</v>
      </c>
      <c r="H31" s="19" t="n">
        <v>43</v>
      </c>
      <c r="I31" s="19"/>
      <c r="J31" s="19"/>
      <c r="K31" s="19"/>
      <c r="L31" s="19"/>
      <c r="M31" s="19"/>
      <c r="N31" s="17" t="n">
        <f aca="false">IF(COUNT(C31:M31)=0,"",SUM(C31:M31))</f>
        <v>225</v>
      </c>
      <c r="O31" s="17" t="n">
        <f aca="false">IF(OR(N31="",$N$4-SUMIF(C31:M31,"欠",$C$4:$M$4)&lt;=0),"",ROUND(N31/($N$4-SUMIF(C31:M31,"欠",$C$4:$M$4))*100,0))</f>
        <v>75</v>
      </c>
      <c r="P31" s="17" t="str">
        <f aca="false">IF(O31="","",IF(O31&gt;=設定!$D$12,"A",IF(O31&gt;=設定!$E$12,"B","C")))</f>
        <v>B</v>
      </c>
      <c r="Q31" s="19" t="n">
        <v>29</v>
      </c>
      <c r="R31" s="19" t="n">
        <v>39</v>
      </c>
      <c r="S31" s="19" t="n">
        <v>39</v>
      </c>
      <c r="T31" s="20" t="n">
        <v>43</v>
      </c>
      <c r="U31" s="19" t="n">
        <v>36</v>
      </c>
      <c r="V31" s="19" t="n">
        <v>37</v>
      </c>
      <c r="W31" s="19"/>
      <c r="X31" s="19"/>
      <c r="Y31" s="19"/>
      <c r="Z31" s="19"/>
      <c r="AA31" s="17" t="n">
        <f aca="false">IF(COUNT(Q31:Z31)=0,"",SUM(Q31:Z31))</f>
        <v>223</v>
      </c>
      <c r="AB31" s="17" t="n">
        <f aca="false">IF(OR(AA31="",$AA$4-SUMIF(Q31:Z31,"欠",$Q$4:$Z$4)&lt;=0),"",ROUND(AA31/($AA$4-SUMIF(Q31:Z31,"欠",$Q$4:$Z$4))*100,0))</f>
        <v>74</v>
      </c>
      <c r="AC31" s="17" t="str">
        <f aca="false">IF(AB31="","",IF(AB31&gt;=設定!$D$12,"A",IF(AB31&gt;=設定!$E$12,"B","C")))</f>
        <v>B</v>
      </c>
      <c r="AD31" s="17" t="n">
        <f aca="false">IF(AND(N31="",AA31=""),"",IF(N31="",0,N31)+IF(AA31="",0,AA31))</f>
        <v>448</v>
      </c>
      <c r="AE31" s="17" t="n">
        <f aca="false">IF(AD31="","",IF($AD$4-SUMIF(C31:M31,"欠",$C$4:$M$4)-SUMIF(Q31:Z31,"欠",$Q$4:$Z$4)&lt;=0,"",ROUND(AD31/($AD$4-SUMIF(C31:M31,"欠",$C$4:$M$4)-SUMIF(Q31:Z31,"欠",$Q$4:$Z$4))*100,0)))</f>
        <v>75</v>
      </c>
      <c r="AF31" s="17" t="str">
        <f aca="false">IF(AE31="","",IF(AE31&gt;=設定!$D$12,"A",IF(AE31&gt;=設定!$E$12,"B","C")))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29</v>
      </c>
      <c r="D32" s="19" t="n">
        <v>38</v>
      </c>
      <c r="E32" s="19" t="n">
        <v>43</v>
      </c>
      <c r="F32" s="20" t="n">
        <v>32</v>
      </c>
      <c r="G32" s="19" t="n">
        <v>38</v>
      </c>
      <c r="H32" s="19" t="n">
        <v>34</v>
      </c>
      <c r="I32" s="19"/>
      <c r="J32" s="19"/>
      <c r="K32" s="19"/>
      <c r="L32" s="19"/>
      <c r="M32" s="19"/>
      <c r="N32" s="17" t="n">
        <f aca="false">IF(COUNT(C32:M32)=0,"",SUM(C32:M32))</f>
        <v>214</v>
      </c>
      <c r="O32" s="17" t="n">
        <f aca="false">IF(OR(N32="",$N$4-SUMIF(C32:M32,"欠",$C$4:$M$4)&lt;=0),"",ROUND(N32/($N$4-SUMIF(C32:M32,"欠",$C$4:$M$4))*100,0))</f>
        <v>71</v>
      </c>
      <c r="P32" s="17" t="str">
        <f aca="false">IF(O32="","",IF(O32&gt;=設定!$D$12,"A",IF(O32&gt;=設定!$E$12,"B","C")))</f>
        <v>B</v>
      </c>
      <c r="Q32" s="19" t="n">
        <v>34</v>
      </c>
      <c r="R32" s="19" t="n">
        <v>25</v>
      </c>
      <c r="S32" s="19" t="n">
        <v>29</v>
      </c>
      <c r="T32" s="20" t="n">
        <v>37</v>
      </c>
      <c r="U32" s="19" t="n">
        <v>25</v>
      </c>
      <c r="V32" s="19" t="n">
        <v>24</v>
      </c>
      <c r="W32" s="19"/>
      <c r="X32" s="19"/>
      <c r="Y32" s="19"/>
      <c r="Z32" s="19"/>
      <c r="AA32" s="17" t="n">
        <f aca="false">IF(COUNT(Q32:Z32)=0,"",SUM(Q32:Z32))</f>
        <v>174</v>
      </c>
      <c r="AB32" s="17" t="n">
        <f aca="false">IF(OR(AA32="",$AA$4-SUMIF(Q32:Z32,"欠",$Q$4:$Z$4)&lt;=0),"",ROUND(AA32/($AA$4-SUMIF(Q32:Z32,"欠",$Q$4:$Z$4))*100,0))</f>
        <v>58</v>
      </c>
      <c r="AC32" s="17" t="str">
        <f aca="false">IF(AB32="","",IF(AB32&gt;=設定!$D$12,"A",IF(AB32&gt;=設定!$E$12,"B","C")))</f>
        <v>B</v>
      </c>
      <c r="AD32" s="17" t="n">
        <f aca="false">IF(AND(N32="",AA32=""),"",IF(N32="",0,N32)+IF(AA32="",0,AA32))</f>
        <v>388</v>
      </c>
      <c r="AE32" s="17" t="n">
        <f aca="false">IF(AD32="","",IF($AD$4-SUMIF(C32:M32,"欠",$C$4:$M$4)-SUMIF(Q32:Z32,"欠",$Q$4:$Z$4)&lt;=0,"",ROUND(AD32/($AD$4-SUMIF(C32:M32,"欠",$C$4:$M$4)-SUMIF(Q32:Z32,"欠",$Q$4:$Z$4))*100,0)))</f>
        <v>65</v>
      </c>
      <c r="AF32" s="17" t="str">
        <f aca="false">IF(AE32="","",IF(AE32&gt;=設定!$D$12,"A",IF(AE32&gt;=設定!$E$12,"B","C")))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47</v>
      </c>
      <c r="D33" s="19" t="n">
        <v>50</v>
      </c>
      <c r="E33" s="19" t="n">
        <v>50</v>
      </c>
      <c r="F33" s="20" t="n">
        <v>50</v>
      </c>
      <c r="G33" s="19" t="n">
        <v>50</v>
      </c>
      <c r="H33" s="19" t="n">
        <v>50</v>
      </c>
      <c r="I33" s="19"/>
      <c r="J33" s="19"/>
      <c r="K33" s="19"/>
      <c r="L33" s="19"/>
      <c r="M33" s="19"/>
      <c r="N33" s="17" t="n">
        <f aca="false">IF(COUNT(C33:M33)=0,"",SUM(C33:M33))</f>
        <v>297</v>
      </c>
      <c r="O33" s="17" t="n">
        <f aca="false">IF(OR(N33="",$N$4-SUMIF(C33:M33,"欠",$C$4:$M$4)&lt;=0),"",ROUND(N33/($N$4-SUMIF(C33:M33,"欠",$C$4:$M$4))*100,0))</f>
        <v>99</v>
      </c>
      <c r="P33" s="17" t="str">
        <f aca="false">IF(O33="","",IF(O33&gt;=設定!$D$12,"A",IF(O33&gt;=設定!$E$12,"B","C")))</f>
        <v>A</v>
      </c>
      <c r="Q33" s="19" t="n">
        <v>45</v>
      </c>
      <c r="R33" s="19" t="n">
        <v>41</v>
      </c>
      <c r="S33" s="19" t="n">
        <v>44</v>
      </c>
      <c r="T33" s="20" t="n">
        <v>48</v>
      </c>
      <c r="U33" s="19" t="n">
        <v>47</v>
      </c>
      <c r="V33" s="19" t="n">
        <v>50</v>
      </c>
      <c r="W33" s="19"/>
      <c r="X33" s="19"/>
      <c r="Y33" s="19"/>
      <c r="Z33" s="19"/>
      <c r="AA33" s="17" t="n">
        <f aca="false">IF(COUNT(Q33:Z33)=0,"",SUM(Q33:Z33))</f>
        <v>275</v>
      </c>
      <c r="AB33" s="17" t="n">
        <f aca="false">IF(OR(AA33="",$AA$4-SUMIF(Q33:Z33,"欠",$Q$4:$Z$4)&lt;=0),"",ROUND(AA33/($AA$4-SUMIF(Q33:Z33,"欠",$Q$4:$Z$4))*100,0))</f>
        <v>92</v>
      </c>
      <c r="AC33" s="17" t="str">
        <f aca="false">IF(AB33="","",IF(AB33&gt;=設定!$D$12,"A",IF(AB33&gt;=設定!$E$12,"B","C")))</f>
        <v>A</v>
      </c>
      <c r="AD33" s="17" t="n">
        <f aca="false">IF(AND(N33="",AA33=""),"",IF(N33="",0,N33)+IF(AA33="",0,AA33))</f>
        <v>572</v>
      </c>
      <c r="AE33" s="17" t="n">
        <f aca="false">IF(AD33="","",IF($AD$4-SUMIF(C33:M33,"欠",$C$4:$M$4)-SUMIF(Q33:Z33,"欠",$Q$4:$Z$4)&lt;=0,"",ROUND(AD33/($AD$4-SUMIF(C33:M33,"欠",$C$4:$M$4)-SUMIF(Q33:Z33,"欠",$Q$4:$Z$4))*100,0)))</f>
        <v>95</v>
      </c>
      <c r="AF33" s="17" t="str">
        <f aca="false">IF(AE33="","",IF(AE33&gt;=設定!$D$12,"A",IF(AE33&gt;=設定!$E$12,"B","C")))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45</v>
      </c>
      <c r="D34" s="19" t="n">
        <v>50</v>
      </c>
      <c r="E34" s="19" t="n">
        <v>50</v>
      </c>
      <c r="F34" s="20" t="n">
        <v>45</v>
      </c>
      <c r="G34" s="19" t="n">
        <v>50</v>
      </c>
      <c r="H34" s="19" t="n">
        <v>50</v>
      </c>
      <c r="I34" s="19"/>
      <c r="J34" s="19"/>
      <c r="K34" s="19"/>
      <c r="L34" s="19"/>
      <c r="M34" s="19"/>
      <c r="N34" s="17" t="n">
        <f aca="false">IF(COUNT(C34:M34)=0,"",SUM(C34:M34))</f>
        <v>290</v>
      </c>
      <c r="O34" s="17" t="n">
        <f aca="false">IF(OR(N34="",$N$4-SUMIF(C34:M34,"欠",$C$4:$M$4)&lt;=0),"",ROUND(N34/($N$4-SUMIF(C34:M34,"欠",$C$4:$M$4))*100,0))</f>
        <v>97</v>
      </c>
      <c r="P34" s="17" t="str">
        <f aca="false">IF(O34="","",IF(O34&gt;=設定!$D$12,"A",IF(O34&gt;=設定!$E$12,"B","C")))</f>
        <v>A</v>
      </c>
      <c r="Q34" s="19" t="n">
        <v>45</v>
      </c>
      <c r="R34" s="19" t="n">
        <v>47</v>
      </c>
      <c r="S34" s="19" t="n">
        <v>42</v>
      </c>
      <c r="T34" s="20" t="n">
        <v>44</v>
      </c>
      <c r="U34" s="19" t="n">
        <v>42</v>
      </c>
      <c r="V34" s="19" t="n">
        <v>40</v>
      </c>
      <c r="W34" s="19"/>
      <c r="X34" s="19"/>
      <c r="Y34" s="19"/>
      <c r="Z34" s="19"/>
      <c r="AA34" s="17" t="n">
        <f aca="false">IF(COUNT(Q34:Z34)=0,"",SUM(Q34:Z34))</f>
        <v>260</v>
      </c>
      <c r="AB34" s="17" t="n">
        <f aca="false">IF(OR(AA34="",$AA$4-SUMIF(Q34:Z34,"欠",$Q$4:$Z$4)&lt;=0),"",ROUND(AA34/($AA$4-SUMIF(Q34:Z34,"欠",$Q$4:$Z$4))*100,0))</f>
        <v>87</v>
      </c>
      <c r="AC34" s="17" t="str">
        <f aca="false">IF(AB34="","",IF(AB34&gt;=設定!$D$12,"A",IF(AB34&gt;=設定!$E$12,"B","C")))</f>
        <v>A</v>
      </c>
      <c r="AD34" s="17" t="n">
        <f aca="false">IF(AND(N34="",AA34=""),"",IF(N34="",0,N34)+IF(AA34="",0,AA34))</f>
        <v>550</v>
      </c>
      <c r="AE34" s="17" t="n">
        <f aca="false">IF(AD34="","",IF($AD$4-SUMIF(C34:M34,"欠",$C$4:$M$4)-SUMIF(Q34:Z34,"欠",$Q$4:$Z$4)&lt;=0,"",ROUND(AD34/($AD$4-SUMIF(C34:M34,"欠",$C$4:$M$4)-SUMIF(Q34:Z34,"欠",$Q$4:$Z$4))*100,0)))</f>
        <v>92</v>
      </c>
      <c r="AF34" s="17" t="str">
        <f aca="false">IF(AE34="","",IF(AE34&gt;=設定!$D$12,"A",IF(AE34&gt;=設定!$E$12,"B","C")))</f>
        <v>A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45</v>
      </c>
      <c r="D35" s="19" t="n">
        <v>40</v>
      </c>
      <c r="E35" s="19" t="n">
        <v>41</v>
      </c>
      <c r="F35" s="20" t="n">
        <v>48</v>
      </c>
      <c r="G35" s="19" t="n">
        <v>42</v>
      </c>
      <c r="H35" s="19" t="n">
        <v>40</v>
      </c>
      <c r="I35" s="19"/>
      <c r="J35" s="19"/>
      <c r="K35" s="19"/>
      <c r="L35" s="19"/>
      <c r="M35" s="19"/>
      <c r="N35" s="17" t="n">
        <f aca="false">IF(COUNT(C35:M35)=0,"",SUM(C35:M35))</f>
        <v>256</v>
      </c>
      <c r="O35" s="17" t="n">
        <f aca="false">IF(OR(N35="",$N$4-SUMIF(C35:M35,"欠",$C$4:$M$4)&lt;=0),"",ROUND(N35/($N$4-SUMIF(C35:M35,"欠",$C$4:$M$4))*100,0))</f>
        <v>85</v>
      </c>
      <c r="P35" s="17" t="str">
        <f aca="false">IF(O35="","",IF(O35&gt;=設定!$D$12,"A",IF(O35&gt;=設定!$E$12,"B","C")))</f>
        <v>A</v>
      </c>
      <c r="Q35" s="19" t="n">
        <v>37</v>
      </c>
      <c r="R35" s="19" t="n">
        <v>45</v>
      </c>
      <c r="S35" s="19" t="n">
        <v>27</v>
      </c>
      <c r="T35" s="20" t="n">
        <v>40</v>
      </c>
      <c r="U35" s="19" t="n">
        <v>35</v>
      </c>
      <c r="V35" s="19" t="n">
        <v>34</v>
      </c>
      <c r="W35" s="19"/>
      <c r="X35" s="19"/>
      <c r="Y35" s="19"/>
      <c r="Z35" s="19"/>
      <c r="AA35" s="17" t="n">
        <f aca="false">IF(COUNT(Q35:Z35)=0,"",SUM(Q35:Z35))</f>
        <v>218</v>
      </c>
      <c r="AB35" s="17" t="n">
        <f aca="false">IF(OR(AA35="",$AA$4-SUMIF(Q35:Z35,"欠",$Q$4:$Z$4)&lt;=0),"",ROUND(AA35/($AA$4-SUMIF(Q35:Z35,"欠",$Q$4:$Z$4))*100,0))</f>
        <v>73</v>
      </c>
      <c r="AC35" s="17" t="str">
        <f aca="false">IF(AB35="","",IF(AB35&gt;=設定!$D$12,"A",IF(AB35&gt;=設定!$E$12,"B","C")))</f>
        <v>B</v>
      </c>
      <c r="AD35" s="17" t="n">
        <f aca="false">IF(AND(N35="",AA35=""),"",IF(N35="",0,N35)+IF(AA35="",0,AA35))</f>
        <v>474</v>
      </c>
      <c r="AE35" s="17" t="n">
        <f aca="false">IF(AD35="","",IF($AD$4-SUMIF(C35:M35,"欠",$C$4:$M$4)-SUMIF(Q35:Z35,"欠",$Q$4:$Z$4)&lt;=0,"",ROUND(AD35/($AD$4-SUMIF(C35:M35,"欠",$C$4:$M$4)-SUMIF(Q35:Z35,"欠",$Q$4:$Z$4))*100,0)))</f>
        <v>79</v>
      </c>
      <c r="AF35" s="17" t="str">
        <f aca="false">IF(AE35="","",IF(AE35&gt;=設定!$D$12,"A",IF(AE35&gt;=設定!$E$12,"B","C")))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48</v>
      </c>
      <c r="D36" s="19" t="n">
        <v>38</v>
      </c>
      <c r="E36" s="19" t="n">
        <v>49</v>
      </c>
      <c r="F36" s="20" t="n">
        <v>43</v>
      </c>
      <c r="G36" s="19" t="n">
        <v>48</v>
      </c>
      <c r="H36" s="19" t="n">
        <v>50</v>
      </c>
      <c r="I36" s="19"/>
      <c r="J36" s="19"/>
      <c r="K36" s="19"/>
      <c r="L36" s="19"/>
      <c r="M36" s="19"/>
      <c r="N36" s="17" t="n">
        <f aca="false">IF(COUNT(C36:M36)=0,"",SUM(C36:M36))</f>
        <v>276</v>
      </c>
      <c r="O36" s="17" t="n">
        <f aca="false">IF(OR(N36="",$N$4-SUMIF(C36:M36,"欠",$C$4:$M$4)&lt;=0),"",ROUND(N36/($N$4-SUMIF(C36:M36,"欠",$C$4:$M$4))*100,0))</f>
        <v>92</v>
      </c>
      <c r="P36" s="17" t="str">
        <f aca="false">IF(O36="","",IF(O36&gt;=設定!$D$12,"A",IF(O36&gt;=設定!$E$12,"B","C")))</f>
        <v>A</v>
      </c>
      <c r="Q36" s="19" t="n">
        <v>44</v>
      </c>
      <c r="R36" s="19" t="n">
        <v>47</v>
      </c>
      <c r="S36" s="19" t="n">
        <v>48</v>
      </c>
      <c r="T36" s="20" t="n">
        <v>42</v>
      </c>
      <c r="U36" s="19" t="n">
        <v>45</v>
      </c>
      <c r="V36" s="19" t="n">
        <v>47</v>
      </c>
      <c r="W36" s="19"/>
      <c r="X36" s="19"/>
      <c r="Y36" s="19"/>
      <c r="Z36" s="19"/>
      <c r="AA36" s="17" t="n">
        <f aca="false">IF(COUNT(Q36:Z36)=0,"",SUM(Q36:Z36))</f>
        <v>273</v>
      </c>
      <c r="AB36" s="17" t="n">
        <f aca="false">IF(OR(AA36="",$AA$4-SUMIF(Q36:Z36,"欠",$Q$4:$Z$4)&lt;=0),"",ROUND(AA36/($AA$4-SUMIF(Q36:Z36,"欠",$Q$4:$Z$4))*100,0))</f>
        <v>91</v>
      </c>
      <c r="AC36" s="17" t="str">
        <f aca="false">IF(AB36="","",IF(AB36&gt;=設定!$D$12,"A",IF(AB36&gt;=設定!$E$12,"B","C")))</f>
        <v>A</v>
      </c>
      <c r="AD36" s="17" t="n">
        <f aca="false">IF(AND(N36="",AA36=""),"",IF(N36="",0,N36)+IF(AA36="",0,AA36))</f>
        <v>549</v>
      </c>
      <c r="AE36" s="17" t="n">
        <f aca="false">IF(AD36="","",IF($AD$4-SUMIF(C36:M36,"欠",$C$4:$M$4)-SUMIF(Q36:Z36,"欠",$Q$4:$Z$4)&lt;=0,"",ROUND(AD36/($AD$4-SUMIF(C36:M36,"欠",$C$4:$M$4)-SUMIF(Q36:Z36,"欠",$Q$4:$Z$4))*100,0)))</f>
        <v>92</v>
      </c>
      <c r="AF36" s="17" t="str">
        <f aca="false">IF(AE36="","",IF(AE36&gt;=設定!$D$12,"A",IF(AE36&gt;=設定!$E$12,"B","C")))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40</v>
      </c>
      <c r="D37" s="19" t="n">
        <v>34</v>
      </c>
      <c r="E37" s="19" t="n">
        <v>41</v>
      </c>
      <c r="F37" s="20" t="n">
        <v>43</v>
      </c>
      <c r="G37" s="19" t="n">
        <v>50</v>
      </c>
      <c r="H37" s="19" t="n">
        <v>40</v>
      </c>
      <c r="I37" s="19"/>
      <c r="J37" s="19"/>
      <c r="K37" s="19"/>
      <c r="L37" s="19"/>
      <c r="M37" s="19"/>
      <c r="N37" s="17" t="n">
        <f aca="false">IF(COUNT(C37:M37)=0,"",SUM(C37:M37))</f>
        <v>248</v>
      </c>
      <c r="O37" s="17" t="n">
        <f aca="false">IF(OR(N37="",$N$4-SUMIF(C37:M37,"欠",$C$4:$M$4)&lt;=0),"",ROUND(N37/($N$4-SUMIF(C37:M37,"欠",$C$4:$M$4))*100,0))</f>
        <v>83</v>
      </c>
      <c r="P37" s="17" t="str">
        <f aca="false">IF(O37="","",IF(O37&gt;=設定!$D$12,"A",IF(O37&gt;=設定!$E$12,"B","C")))</f>
        <v>B</v>
      </c>
      <c r="Q37" s="19" t="n">
        <v>34</v>
      </c>
      <c r="R37" s="19" t="n">
        <v>42</v>
      </c>
      <c r="S37" s="19" t="n">
        <v>42</v>
      </c>
      <c r="T37" s="20" t="n">
        <v>37</v>
      </c>
      <c r="U37" s="19" t="n">
        <v>38</v>
      </c>
      <c r="V37" s="19" t="n">
        <v>33</v>
      </c>
      <c r="W37" s="19"/>
      <c r="X37" s="19"/>
      <c r="Y37" s="19"/>
      <c r="Z37" s="19"/>
      <c r="AA37" s="17" t="n">
        <f aca="false">IF(COUNT(Q37:Z37)=0,"",SUM(Q37:Z37))</f>
        <v>226</v>
      </c>
      <c r="AB37" s="17" t="n">
        <f aca="false">IF(OR(AA37="",$AA$4-SUMIF(Q37:Z37,"欠",$Q$4:$Z$4)&lt;=0),"",ROUND(AA37/($AA$4-SUMIF(Q37:Z37,"欠",$Q$4:$Z$4))*100,0))</f>
        <v>75</v>
      </c>
      <c r="AC37" s="17" t="str">
        <f aca="false">IF(AB37="","",IF(AB37&gt;=設定!$D$12,"A",IF(AB37&gt;=設定!$E$12,"B","C")))</f>
        <v>B</v>
      </c>
      <c r="AD37" s="17" t="n">
        <f aca="false">IF(AND(N37="",AA37=""),"",IF(N37="",0,N37)+IF(AA37="",0,AA37))</f>
        <v>474</v>
      </c>
      <c r="AE37" s="17" t="n">
        <f aca="false">IF(AD37="","",IF($AD$4-SUMIF(C37:M37,"欠",$C$4:$M$4)-SUMIF(Q37:Z37,"欠",$Q$4:$Z$4)&lt;=0,"",ROUND(AD37/($AD$4-SUMIF(C37:M37,"欠",$C$4:$M$4)-SUMIF(Q37:Z37,"欠",$Q$4:$Z$4))*100,0)))</f>
        <v>79</v>
      </c>
      <c r="AF37" s="17" t="str">
        <f aca="false">IF(AE37="","",IF(AE37&gt;=設定!$D$12,"A",IF(AE37&gt;=設定!$E$12,"B","C")))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40</v>
      </c>
      <c r="D38" s="19" t="n">
        <v>35</v>
      </c>
      <c r="E38" s="19" t="n">
        <v>50</v>
      </c>
      <c r="F38" s="20" t="n">
        <v>37</v>
      </c>
      <c r="G38" s="19" t="n">
        <v>36</v>
      </c>
      <c r="H38" s="19" t="n">
        <v>39</v>
      </c>
      <c r="I38" s="19"/>
      <c r="J38" s="19"/>
      <c r="K38" s="19"/>
      <c r="L38" s="19"/>
      <c r="M38" s="19"/>
      <c r="N38" s="17" t="n">
        <f aca="false">IF(COUNT(C38:M38)=0,"",SUM(C38:M38))</f>
        <v>237</v>
      </c>
      <c r="O38" s="17" t="n">
        <f aca="false">IF(OR(N38="",$N$4-SUMIF(C38:M38,"欠",$C$4:$M$4)&lt;=0),"",ROUND(N38/($N$4-SUMIF(C38:M38,"欠",$C$4:$M$4))*100,0))</f>
        <v>79</v>
      </c>
      <c r="P38" s="17" t="str">
        <f aca="false">IF(O38="","",IF(O38&gt;=設定!$D$12,"A",IF(O38&gt;=設定!$E$12,"B","C")))</f>
        <v>B</v>
      </c>
      <c r="Q38" s="19" t="n">
        <v>33</v>
      </c>
      <c r="R38" s="19" t="n">
        <v>39</v>
      </c>
      <c r="S38" s="19" t="n">
        <v>41</v>
      </c>
      <c r="T38" s="20" t="n">
        <v>33</v>
      </c>
      <c r="U38" s="19" t="n">
        <v>37</v>
      </c>
      <c r="V38" s="19" t="n">
        <v>33</v>
      </c>
      <c r="W38" s="19"/>
      <c r="X38" s="19"/>
      <c r="Y38" s="19"/>
      <c r="Z38" s="19"/>
      <c r="AA38" s="17" t="n">
        <f aca="false">IF(COUNT(Q38:Z38)=0,"",SUM(Q38:Z38))</f>
        <v>216</v>
      </c>
      <c r="AB38" s="17" t="n">
        <f aca="false">IF(OR(AA38="",$AA$4-SUMIF(Q38:Z38,"欠",$Q$4:$Z$4)&lt;=0),"",ROUND(AA38/($AA$4-SUMIF(Q38:Z38,"欠",$Q$4:$Z$4))*100,0))</f>
        <v>72</v>
      </c>
      <c r="AC38" s="17" t="str">
        <f aca="false">IF(AB38="","",IF(AB38&gt;=設定!$D$12,"A",IF(AB38&gt;=設定!$E$12,"B","C")))</f>
        <v>B</v>
      </c>
      <c r="AD38" s="17" t="n">
        <f aca="false">IF(AND(N38="",AA38=""),"",IF(N38="",0,N38)+IF(AA38="",0,AA38))</f>
        <v>453</v>
      </c>
      <c r="AE38" s="17" t="n">
        <f aca="false">IF(AD38="","",IF($AD$4-SUMIF(C38:M38,"欠",$C$4:$M$4)-SUMIF(Q38:Z38,"欠",$Q$4:$Z$4)&lt;=0,"",ROUND(AD38/($AD$4-SUMIF(C38:M38,"欠",$C$4:$M$4)-SUMIF(Q38:Z38,"欠",$Q$4:$Z$4))*100,0)))</f>
        <v>76</v>
      </c>
      <c r="AF38" s="17" t="str">
        <f aca="false">IF(AE38="","",IF(AE38&gt;=設定!$D$12,"A",IF(AE38&gt;=設定!$E$12,"B","C")))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48</v>
      </c>
      <c r="D39" s="19" t="n">
        <v>42</v>
      </c>
      <c r="E39" s="19" t="n">
        <v>40</v>
      </c>
      <c r="F39" s="20" t="n">
        <v>43</v>
      </c>
      <c r="G39" s="19" t="n">
        <v>49</v>
      </c>
      <c r="H39" s="19" t="n">
        <v>48</v>
      </c>
      <c r="I39" s="19"/>
      <c r="J39" s="19"/>
      <c r="K39" s="19"/>
      <c r="L39" s="19"/>
      <c r="M39" s="19"/>
      <c r="N39" s="17" t="n">
        <f aca="false">IF(COUNT(C39:M39)=0,"",SUM(C39:M39))</f>
        <v>270</v>
      </c>
      <c r="O39" s="17" t="n">
        <f aca="false">IF(OR(N39="",$N$4-SUMIF(C39:M39,"欠",$C$4:$M$4)&lt;=0),"",ROUND(N39/($N$4-SUMIF(C39:M39,"欠",$C$4:$M$4))*100,0))</f>
        <v>90</v>
      </c>
      <c r="P39" s="17" t="str">
        <f aca="false">IF(O39="","",IF(O39&gt;=設定!$D$12,"A",IF(O39&gt;=設定!$E$12,"B","C")))</f>
        <v>A</v>
      </c>
      <c r="Q39" s="19" t="n">
        <v>43</v>
      </c>
      <c r="R39" s="19" t="n">
        <v>34</v>
      </c>
      <c r="S39" s="19" t="n">
        <v>40</v>
      </c>
      <c r="T39" s="20" t="n">
        <v>38</v>
      </c>
      <c r="U39" s="19" t="n">
        <v>42</v>
      </c>
      <c r="V39" s="19" t="n">
        <v>36</v>
      </c>
      <c r="W39" s="19"/>
      <c r="X39" s="19"/>
      <c r="Y39" s="19"/>
      <c r="Z39" s="19"/>
      <c r="AA39" s="17" t="n">
        <f aca="false">IF(COUNT(Q39:Z39)=0,"",SUM(Q39:Z39))</f>
        <v>233</v>
      </c>
      <c r="AB39" s="17" t="n">
        <f aca="false">IF(OR(AA39="",$AA$4-SUMIF(Q39:Z39,"欠",$Q$4:$Z$4)&lt;=0),"",ROUND(AA39/($AA$4-SUMIF(Q39:Z39,"欠",$Q$4:$Z$4))*100,0))</f>
        <v>78</v>
      </c>
      <c r="AC39" s="17" t="str">
        <f aca="false">IF(AB39="","",IF(AB39&gt;=設定!$D$12,"A",IF(AB39&gt;=設定!$E$12,"B","C")))</f>
        <v>B</v>
      </c>
      <c r="AD39" s="17" t="n">
        <f aca="false">IF(AND(N39="",AA39=""),"",IF(N39="",0,N39)+IF(AA39="",0,AA39))</f>
        <v>503</v>
      </c>
      <c r="AE39" s="17" t="n">
        <f aca="false">IF(AD39="","",IF($AD$4-SUMIF(C39:M39,"欠",$C$4:$M$4)-SUMIF(Q39:Z39,"欠",$Q$4:$Z$4)&lt;=0,"",ROUND(AD39/($AD$4-SUMIF(C39:M39,"欠",$C$4:$M$4)-SUMIF(Q39:Z39,"欠",$Q$4:$Z$4))*100,0)))</f>
        <v>84</v>
      </c>
      <c r="AF39" s="17" t="str">
        <f aca="false">IF(AE39="","",IF(AE39&gt;=設定!$D$12,"A",IF(AE39&gt;=設定!$E$12,"B","C")))</f>
        <v>B</v>
      </c>
    </row>
    <row r="40" customFormat="false" ht="19.5" hidden="false" customHeight="true" outlineLevel="0" collapsed="false">
      <c r="A40" s="28"/>
      <c r="B40" s="28" t="s">
        <v>81</v>
      </c>
      <c r="C40" s="28" t="n">
        <f aca="false">IF(COUNT(C5:C39)=0,"",ROUND(AVERAGE(C5:C39),1))</f>
        <v>41.7</v>
      </c>
      <c r="D40" s="28" t="n">
        <f aca="false">IF(COUNT(D5:D39)=0,"",ROUND(AVERAGE(D5:D39),1))</f>
        <v>40.7</v>
      </c>
      <c r="E40" s="28" t="n">
        <f aca="false">IF(COUNT(E5:E39)=0,"",ROUND(AVERAGE(E5:E39),1))</f>
        <v>41.8</v>
      </c>
      <c r="F40" s="28" t="n">
        <f aca="false">IF(COUNT(F5:F39)=0,"",ROUND(AVERAGE(F5:F39),1))</f>
        <v>42.1</v>
      </c>
      <c r="G40" s="28" t="n">
        <f aca="false">IF(COUNT(G5:G39)=0,"",ROUND(AVERAGE(G5:G39),1))</f>
        <v>42</v>
      </c>
      <c r="H40" s="28" t="n">
        <f aca="false">IF(COUNT(H5:H39)=0,"",ROUND(AVERAGE(H5:H39),1))</f>
        <v>41.6</v>
      </c>
      <c r="I40" s="28" t="str">
        <f aca="false">IF(COUNT(I5:I39)=0,"",ROUND(AVERAGE(I5:I39),1))</f>
        <v/>
      </c>
      <c r="J40" s="28" t="str">
        <f aca="false">IF(COUNT(J5:J39)=0,"",ROUND(AVERAGE(J5:J39),1))</f>
        <v/>
      </c>
      <c r="K40" s="28" t="str">
        <f aca="false">IF(COUNT(K5:K39)=0,"",ROUND(AVERAGE(K5:K39),1))</f>
        <v/>
      </c>
      <c r="L40" s="28" t="str">
        <f aca="false">IF(COUNT(L5:L39)=0,"",ROUND(AVERAGE(L5:L39),1))</f>
        <v/>
      </c>
      <c r="M40" s="28" t="str">
        <f aca="false">IF(COUNT(M5:M39)=0,"",ROUND(AVERAGE(M5:M39),1))</f>
        <v/>
      </c>
      <c r="N40" s="28" t="n">
        <f aca="false">IF(COUNT(N5:N39)=0,"",ROUND(AVERAGE(N5:N39),1))</f>
        <v>248.7</v>
      </c>
      <c r="O40" s="28" t="n">
        <f aca="false">IF(COUNT(O5:O39)=0,"",ROUND(AVERAGE(O5:O39),1))</f>
        <v>83.3</v>
      </c>
      <c r="P40" s="28"/>
      <c r="Q40" s="28" t="n">
        <f aca="false">IF(COUNT(Q5:Q39)=0,"",ROUND(AVERAGE(Q5:Q39),1))</f>
        <v>36.8</v>
      </c>
      <c r="R40" s="28" t="n">
        <f aca="false">IF(COUNT(R5:R39)=0,"",ROUND(AVERAGE(R5:R39),1))</f>
        <v>37.9</v>
      </c>
      <c r="S40" s="28" t="n">
        <f aca="false">IF(COUNT(S5:S39)=0,"",ROUND(AVERAGE(S5:S39),1))</f>
        <v>38.6</v>
      </c>
      <c r="T40" s="28" t="n">
        <f aca="false">IF(COUNT(T5:T39)=0,"",ROUND(AVERAGE(T5:T39),1))</f>
        <v>37.5</v>
      </c>
      <c r="U40" s="28" t="n">
        <f aca="false">IF(COUNT(U5:U39)=0,"",ROUND(AVERAGE(U5:U39),1))</f>
        <v>37.1</v>
      </c>
      <c r="V40" s="28" t="n">
        <f aca="false">IF(COUNT(V5:V39)=0,"",ROUND(AVERAGE(V5:V39),1))</f>
        <v>38.8</v>
      </c>
      <c r="W40" s="28" t="str">
        <f aca="false">IF(COUNT(W5:W39)=0,"",ROUND(AVERAGE(W5:W39),1))</f>
        <v/>
      </c>
      <c r="X40" s="28" t="str">
        <f aca="false">IF(COUNT(X5:X39)=0,"",ROUND(AVERAGE(X5:X39),1))</f>
        <v/>
      </c>
      <c r="Y40" s="28" t="str">
        <f aca="false">IF(COUNT(Y5:Y39)=0,"",ROUND(AVERAGE(Y5:Y39),1))</f>
        <v/>
      </c>
      <c r="Z40" s="28" t="str">
        <f aca="false">IF(COUNT(Z5:Z39)=0,"",ROUND(AVERAGE(Z5:Z39),1))</f>
        <v/>
      </c>
      <c r="AA40" s="28" t="n">
        <f aca="false">IF(COUNT(AA5:AA39)=0,"",ROUND(AVERAGE(AA5:AA39),1))</f>
        <v>225.6</v>
      </c>
      <c r="AB40" s="28" t="n">
        <f aca="false">IF(COUNT(AB5:AB39)=0,"",ROUND(AVERAGE(AB5:AB39),1))</f>
        <v>75.5</v>
      </c>
      <c r="AC40" s="28"/>
      <c r="AD40" s="28" t="n">
        <f aca="false">IF(COUNT(AD5:AD39)=0,"",ROUND(AVERAGE(AD5:AD39),1))</f>
        <v>474.3</v>
      </c>
      <c r="AE40" s="28" t="n">
        <f aca="false">IF(COUNT(AE5:AE39)=0,"",ROUND(AVERAGE(AE5:AE39),1))</f>
        <v>79.5</v>
      </c>
      <c r="AF40" s="28"/>
    </row>
    <row r="41" customFormat="false" ht="19.5" hidden="false" customHeight="true" outlineLevel="0" collapsed="false">
      <c r="A41" s="28"/>
      <c r="B41" s="28" t="s">
        <v>82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 t="n">
        <f aca="false">COUNTIF(P5:P39,"A")</f>
        <v>17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 t="n">
        <f aca="false">COUNTIF(AC5:AC39,"A")</f>
        <v>10</v>
      </c>
      <c r="AD41" s="28"/>
      <c r="AE41" s="28"/>
      <c r="AF41" s="28" t="n">
        <f aca="false">COUNTIF(AF5:AF39,"A")</f>
        <v>12</v>
      </c>
    </row>
    <row r="42" customFormat="false" ht="19.5" hidden="false" customHeight="true" outlineLevel="0" collapsed="false">
      <c r="A42" s="28"/>
      <c r="B42" s="28" t="s">
        <v>83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 t="n">
        <f aca="false">COUNTIF(P5:P39,"B")</f>
        <v>17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 t="n">
        <f aca="false">COUNTIF(AC5:AC39,"B")</f>
        <v>22</v>
      </c>
      <c r="AD42" s="28"/>
      <c r="AE42" s="28"/>
      <c r="AF42" s="28" t="n">
        <f aca="false">COUNTIF(AF5:AF39,"B")</f>
        <v>22</v>
      </c>
    </row>
    <row r="43" customFormat="false" ht="19.5" hidden="false" customHeight="true" outlineLevel="0" collapsed="false">
      <c r="A43" s="28"/>
      <c r="B43" s="28" t="s">
        <v>84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 t="n">
        <f aca="false">COUNTIF(P5:P39,"C")</f>
        <v>1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 t="n">
        <f aca="false">COUNTIF(AC5:AC39,"C")</f>
        <v>3</v>
      </c>
      <c r="AD43" s="28"/>
      <c r="AE43" s="28"/>
      <c r="AF43" s="28" t="n">
        <f aca="false">COUNTIF(AF5:AF39,"C")</f>
        <v>1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128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="30" customFormat="true" ht="19.5" hidden="false" customHeight="true" outlineLevel="0" collapsed="false">
      <c r="A2" s="29" t="s">
        <v>62</v>
      </c>
      <c r="B2" s="29"/>
      <c r="C2" s="29" t="s">
        <v>63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 t="s">
        <v>64</v>
      </c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 t="s">
        <v>65</v>
      </c>
      <c r="AE2" s="29"/>
      <c r="AF2" s="29"/>
    </row>
    <row r="3" s="30" customFormat="true" ht="178.5" hidden="false" customHeight="true" outlineLevel="0" collapsed="false">
      <c r="A3" s="29" t="s">
        <v>66</v>
      </c>
      <c r="B3" s="29"/>
      <c r="C3" s="31" t="s">
        <v>129</v>
      </c>
      <c r="D3" s="31" t="s">
        <v>130</v>
      </c>
      <c r="E3" s="31" t="s">
        <v>131</v>
      </c>
      <c r="F3" s="31" t="s">
        <v>132</v>
      </c>
      <c r="G3" s="31" t="s">
        <v>133</v>
      </c>
      <c r="H3" s="31"/>
      <c r="I3" s="31"/>
      <c r="J3" s="31"/>
      <c r="K3" s="31"/>
      <c r="L3" s="31"/>
      <c r="M3" s="31"/>
      <c r="N3" s="32" t="s">
        <v>73</v>
      </c>
      <c r="O3" s="32" t="s">
        <v>74</v>
      </c>
      <c r="P3" s="32" t="s">
        <v>75</v>
      </c>
      <c r="Q3" s="31" t="s">
        <v>129</v>
      </c>
      <c r="R3" s="31" t="s">
        <v>130</v>
      </c>
      <c r="S3" s="31" t="s">
        <v>131</v>
      </c>
      <c r="T3" s="31" t="s">
        <v>132</v>
      </c>
      <c r="U3" s="31" t="s">
        <v>133</v>
      </c>
      <c r="V3" s="31"/>
      <c r="W3" s="31"/>
      <c r="X3" s="31"/>
      <c r="Y3" s="31"/>
      <c r="Z3" s="31"/>
      <c r="AA3" s="32" t="s">
        <v>73</v>
      </c>
      <c r="AB3" s="32" t="s">
        <v>74</v>
      </c>
      <c r="AC3" s="32" t="s">
        <v>75</v>
      </c>
      <c r="AD3" s="32" t="s">
        <v>76</v>
      </c>
      <c r="AE3" s="32" t="s">
        <v>77</v>
      </c>
      <c r="AF3" s="32" t="s">
        <v>78</v>
      </c>
    </row>
    <row r="4" s="30" customFormat="true" ht="21.75" hidden="false" customHeight="true" outlineLevel="0" collapsed="false">
      <c r="A4" s="29" t="s">
        <v>1</v>
      </c>
      <c r="B4" s="29" t="s">
        <v>79</v>
      </c>
      <c r="C4" s="33" t="n">
        <v>50</v>
      </c>
      <c r="D4" s="33" t="n">
        <v>50</v>
      </c>
      <c r="E4" s="33" t="n">
        <v>50</v>
      </c>
      <c r="F4" s="33" t="n">
        <v>50</v>
      </c>
      <c r="G4" s="33" t="n">
        <v>50</v>
      </c>
      <c r="H4" s="33"/>
      <c r="I4" s="33"/>
      <c r="J4" s="33"/>
      <c r="K4" s="33"/>
      <c r="L4" s="33"/>
      <c r="M4" s="33"/>
      <c r="N4" s="29" t="n">
        <f aca="false">SUM(C4:M4)</f>
        <v>250</v>
      </c>
      <c r="O4" s="29"/>
      <c r="P4" s="29"/>
      <c r="Q4" s="33" t="n">
        <v>50</v>
      </c>
      <c r="R4" s="33" t="n">
        <v>50</v>
      </c>
      <c r="S4" s="33" t="n">
        <v>50</v>
      </c>
      <c r="T4" s="33" t="n">
        <v>50</v>
      </c>
      <c r="U4" s="33" t="n">
        <v>50</v>
      </c>
      <c r="V4" s="33"/>
      <c r="W4" s="33"/>
      <c r="X4" s="33"/>
      <c r="Y4" s="33"/>
      <c r="Z4" s="33"/>
      <c r="AA4" s="29" t="n">
        <f aca="false">SUM(Q4:Z4)</f>
        <v>250</v>
      </c>
      <c r="AB4" s="29"/>
      <c r="AC4" s="29"/>
      <c r="AD4" s="29" t="n">
        <f aca="false">N4+AA4</f>
        <v>500</v>
      </c>
      <c r="AE4" s="29"/>
      <c r="AF4" s="29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50</v>
      </c>
      <c r="D5" s="19" t="n">
        <v>50</v>
      </c>
      <c r="E5" s="19" t="n">
        <v>48</v>
      </c>
      <c r="F5" s="19" t="n">
        <v>50</v>
      </c>
      <c r="G5" s="19" t="n">
        <v>50</v>
      </c>
      <c r="H5" s="19"/>
      <c r="I5" s="19"/>
      <c r="J5" s="19"/>
      <c r="K5" s="19"/>
      <c r="L5" s="19"/>
      <c r="M5" s="19"/>
      <c r="N5" s="17" t="n">
        <f aca="false">IF(COUNT(C5:M5)=0,"",SUM(C5:M5))</f>
        <v>248</v>
      </c>
      <c r="O5" s="17" t="n">
        <f aca="false">IF(OR(N5="",$N$4-SUMIF(C5:M5,"欠",$C$4:$M$4)&lt;=0),"",ROUND(N5/($N$4-SUMIF(C5:M5,"欠",$C$4:$M$4))*100,0))</f>
        <v>99</v>
      </c>
      <c r="P5" s="17" t="str">
        <f aca="false">IF(O5="","",IF(O5&gt;=設定!$D$13,"A",IF(O5&gt;=設定!$E$13,"B","C")))</f>
        <v>A</v>
      </c>
      <c r="Q5" s="19" t="n">
        <v>50</v>
      </c>
      <c r="R5" s="19" t="n">
        <v>49</v>
      </c>
      <c r="S5" s="19" t="n">
        <v>48</v>
      </c>
      <c r="T5" s="19" t="n">
        <v>50</v>
      </c>
      <c r="U5" s="19" t="n">
        <v>46</v>
      </c>
      <c r="V5" s="19"/>
      <c r="W5" s="19"/>
      <c r="X5" s="19"/>
      <c r="Y5" s="19"/>
      <c r="Z5" s="19"/>
      <c r="AA5" s="17" t="n">
        <f aca="false">IF(COUNT(Q5:Z5)=0,"",SUM(Q5:Z5))</f>
        <v>243</v>
      </c>
      <c r="AB5" s="17" t="n">
        <f aca="false">IF(OR(AA5="",$AA$4-SUMIF(Q5:Z5,"欠",$Q$4:$Z$4)&lt;=0),"",ROUND(AA5/($AA$4-SUMIF(Q5:Z5,"欠",$Q$4:$Z$4))*100,0))</f>
        <v>97</v>
      </c>
      <c r="AC5" s="17" t="str">
        <f aca="false">IF(AB5="","",IF(AB5&gt;=設定!$D$13,"A",IF(AB5&gt;=設定!$E$13,"B","C")))</f>
        <v>A</v>
      </c>
      <c r="AD5" s="17" t="n">
        <f aca="false">IF(AND(N5="",AA5=""),"",IF(N5="",0,N5)+IF(AA5="",0,AA5))</f>
        <v>491</v>
      </c>
      <c r="AE5" s="17" t="n">
        <f aca="false">IF(AD5="","",IF($AD$4-SUMIF(C5:M5,"欠",$C$4:$M$4)-SUMIF(Q5:Z5,"欠",$Q$4:$Z$4)&lt;=0,"",ROUND(AD5/($AD$4-SUMIF(C5:M5,"欠",$C$4:$M$4)-SUMIF(Q5:Z5,"欠",$Q$4:$Z$4))*100,0)))</f>
        <v>98</v>
      </c>
      <c r="AF5" s="17" t="str">
        <f aca="false">IF(AE5="","",IF(AE5&gt;=設定!$D$13,"A",IF(AE5&gt;=設定!$E$13,"B","C")))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45</v>
      </c>
      <c r="D6" s="19" t="n">
        <v>47</v>
      </c>
      <c r="E6" s="19" t="n">
        <v>45</v>
      </c>
      <c r="F6" s="19" t="n">
        <v>41</v>
      </c>
      <c r="G6" s="19" t="n">
        <v>46</v>
      </c>
      <c r="H6" s="19"/>
      <c r="I6" s="19"/>
      <c r="J6" s="19"/>
      <c r="K6" s="19"/>
      <c r="L6" s="19"/>
      <c r="M6" s="19"/>
      <c r="N6" s="17" t="n">
        <f aca="false">IF(COUNT(C6:M6)=0,"",SUM(C6:M6))</f>
        <v>224</v>
      </c>
      <c r="O6" s="17" t="n">
        <f aca="false">IF(OR(N6="",$N$4-SUMIF(C6:M6,"欠",$C$4:$M$4)&lt;=0),"",ROUND(N6/($N$4-SUMIF(C6:M6,"欠",$C$4:$M$4))*100,0))</f>
        <v>90</v>
      </c>
      <c r="P6" s="17" t="str">
        <f aca="false">IF(O6="","",IF(O6&gt;=設定!$D$13,"A",IF(O6&gt;=設定!$E$13,"B","C")))</f>
        <v>A</v>
      </c>
      <c r="Q6" s="19" t="n">
        <v>38</v>
      </c>
      <c r="R6" s="19" t="n">
        <v>42</v>
      </c>
      <c r="S6" s="19" t="n">
        <v>39</v>
      </c>
      <c r="T6" s="19" t="n">
        <v>39</v>
      </c>
      <c r="U6" s="19" t="n">
        <v>31</v>
      </c>
      <c r="V6" s="19"/>
      <c r="W6" s="19"/>
      <c r="X6" s="19"/>
      <c r="Y6" s="19"/>
      <c r="Z6" s="19"/>
      <c r="AA6" s="17" t="n">
        <f aca="false">IF(COUNT(Q6:Z6)=0,"",SUM(Q6:Z6))</f>
        <v>189</v>
      </c>
      <c r="AB6" s="17" t="n">
        <f aca="false">IF(OR(AA6="",$AA$4-SUMIF(Q6:Z6,"欠",$Q$4:$Z$4)&lt;=0),"",ROUND(AA6/($AA$4-SUMIF(Q6:Z6,"欠",$Q$4:$Z$4))*100,0))</f>
        <v>76</v>
      </c>
      <c r="AC6" s="17" t="str">
        <f aca="false">IF(AB6="","",IF(AB6&gt;=設定!$D$13,"A",IF(AB6&gt;=設定!$E$13,"B","C")))</f>
        <v>B</v>
      </c>
      <c r="AD6" s="17" t="n">
        <f aca="false">IF(AND(N6="",AA6=""),"",IF(N6="",0,N6)+IF(AA6="",0,AA6))</f>
        <v>413</v>
      </c>
      <c r="AE6" s="17" t="n">
        <f aca="false">IF(AD6="","",IF($AD$4-SUMIF(C6:M6,"欠",$C$4:$M$4)-SUMIF(Q6:Z6,"欠",$Q$4:$Z$4)&lt;=0,"",ROUND(AD6/($AD$4-SUMIF(C6:M6,"欠",$C$4:$M$4)-SUMIF(Q6:Z6,"欠",$Q$4:$Z$4))*100,0)))</f>
        <v>83</v>
      </c>
      <c r="AF6" s="17" t="str">
        <f aca="false">IF(AE6="","",IF(AE6&gt;=設定!$D$13,"A",IF(AE6&gt;=設定!$E$13,"B","C")))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49</v>
      </c>
      <c r="D7" s="19" t="n">
        <v>50</v>
      </c>
      <c r="E7" s="19" t="n">
        <v>47</v>
      </c>
      <c r="F7" s="19" t="n">
        <v>46</v>
      </c>
      <c r="G7" s="19" t="n">
        <v>48</v>
      </c>
      <c r="H7" s="19"/>
      <c r="I7" s="19"/>
      <c r="J7" s="19"/>
      <c r="K7" s="19"/>
      <c r="L7" s="19"/>
      <c r="M7" s="19"/>
      <c r="N7" s="17" t="n">
        <f aca="false">IF(COUNT(C7:M7)=0,"",SUM(C7:M7))</f>
        <v>240</v>
      </c>
      <c r="O7" s="17" t="n">
        <f aca="false">IF(OR(N7="",$N$4-SUMIF(C7:M7,"欠",$C$4:$M$4)&lt;=0),"",ROUND(N7/($N$4-SUMIF(C7:M7,"欠",$C$4:$M$4))*100,0))</f>
        <v>96</v>
      </c>
      <c r="P7" s="17" t="str">
        <f aca="false">IF(O7="","",IF(O7&gt;=設定!$D$13,"A",IF(O7&gt;=設定!$E$13,"B","C")))</f>
        <v>A</v>
      </c>
      <c r="Q7" s="19" t="n">
        <v>42</v>
      </c>
      <c r="R7" s="19" t="n">
        <v>40</v>
      </c>
      <c r="S7" s="19" t="n">
        <v>45</v>
      </c>
      <c r="T7" s="19" t="n">
        <v>42</v>
      </c>
      <c r="U7" s="19" t="n">
        <v>50</v>
      </c>
      <c r="V7" s="19"/>
      <c r="W7" s="19"/>
      <c r="X7" s="19"/>
      <c r="Y7" s="19"/>
      <c r="Z7" s="19"/>
      <c r="AA7" s="17" t="n">
        <f aca="false">IF(COUNT(Q7:Z7)=0,"",SUM(Q7:Z7))</f>
        <v>219</v>
      </c>
      <c r="AB7" s="17" t="n">
        <f aca="false">IF(OR(AA7="",$AA$4-SUMIF(Q7:Z7,"欠",$Q$4:$Z$4)&lt;=0),"",ROUND(AA7/($AA$4-SUMIF(Q7:Z7,"欠",$Q$4:$Z$4))*100,0))</f>
        <v>88</v>
      </c>
      <c r="AC7" s="17" t="str">
        <f aca="false">IF(AB7="","",IF(AB7&gt;=設定!$D$13,"A",IF(AB7&gt;=設定!$E$13,"B","C")))</f>
        <v>B</v>
      </c>
      <c r="AD7" s="17" t="n">
        <f aca="false">IF(AND(N7="",AA7=""),"",IF(N7="",0,N7)+IF(AA7="",0,AA7))</f>
        <v>459</v>
      </c>
      <c r="AE7" s="17" t="n">
        <f aca="false">IF(AD7="","",IF($AD$4-SUMIF(C7:M7,"欠",$C$4:$M$4)-SUMIF(Q7:Z7,"欠",$Q$4:$Z$4)&lt;=0,"",ROUND(AD7/($AD$4-SUMIF(C7:M7,"欠",$C$4:$M$4)-SUMIF(Q7:Z7,"欠",$Q$4:$Z$4))*100,0)))</f>
        <v>92</v>
      </c>
      <c r="AF7" s="17" t="str">
        <f aca="false">IF(AE7="","",IF(AE7&gt;=設定!$D$13,"A",IF(AE7&gt;=設定!$E$13,"B","C")))</f>
        <v>A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20" t="s">
        <v>80</v>
      </c>
      <c r="D8" s="19" t="n">
        <v>43</v>
      </c>
      <c r="E8" s="19" t="n">
        <v>39</v>
      </c>
      <c r="F8" s="19" t="n">
        <v>43</v>
      </c>
      <c r="G8" s="19" t="n">
        <v>45</v>
      </c>
      <c r="H8" s="19"/>
      <c r="I8" s="19"/>
      <c r="J8" s="19"/>
      <c r="K8" s="19"/>
      <c r="L8" s="19"/>
      <c r="M8" s="19"/>
      <c r="N8" s="17" t="n">
        <f aca="false">IF(COUNT(C8:M8)=0,"",SUM(C8:M8))</f>
        <v>170</v>
      </c>
      <c r="O8" s="17" t="n">
        <f aca="false">IF(OR(N8="",$N$4-SUMIF(C8:M8,"欠",$C$4:$M$4)&lt;=0),"",ROUND(N8/($N$4-SUMIF(C8:M8,"欠",$C$4:$M$4))*100,0))</f>
        <v>85</v>
      </c>
      <c r="P8" s="17" t="str">
        <f aca="false">IF(O8="","",IF(O8&gt;=設定!$D$13,"A",IF(O8&gt;=設定!$E$13,"B","C")))</f>
        <v>B</v>
      </c>
      <c r="Q8" s="20" t="s">
        <v>80</v>
      </c>
      <c r="R8" s="19" t="n">
        <v>41</v>
      </c>
      <c r="S8" s="19" t="n">
        <v>37</v>
      </c>
      <c r="T8" s="19" t="n">
        <v>43</v>
      </c>
      <c r="U8" s="19" t="n">
        <v>38</v>
      </c>
      <c r="V8" s="19"/>
      <c r="W8" s="19"/>
      <c r="X8" s="19"/>
      <c r="Y8" s="19"/>
      <c r="Z8" s="19"/>
      <c r="AA8" s="17" t="n">
        <f aca="false">IF(COUNT(Q8:Z8)=0,"",SUM(Q8:Z8))</f>
        <v>159</v>
      </c>
      <c r="AB8" s="17" t="n">
        <f aca="false">IF(OR(AA8="",$AA$4-SUMIF(Q8:Z8,"欠",$Q$4:$Z$4)&lt;=0),"",ROUND(AA8/($AA$4-SUMIF(Q8:Z8,"欠",$Q$4:$Z$4))*100,0))</f>
        <v>80</v>
      </c>
      <c r="AC8" s="17" t="str">
        <f aca="false">IF(AB8="","",IF(AB8&gt;=設定!$D$13,"A",IF(AB8&gt;=設定!$E$13,"B","C")))</f>
        <v>B</v>
      </c>
      <c r="AD8" s="17" t="n">
        <f aca="false">IF(AND(N8="",AA8=""),"",IF(N8="",0,N8)+IF(AA8="",0,AA8))</f>
        <v>329</v>
      </c>
      <c r="AE8" s="17" t="n">
        <f aca="false">IF(AD8="","",IF($AD$4-SUMIF(C8:M8,"欠",$C$4:$M$4)-SUMIF(Q8:Z8,"欠",$Q$4:$Z$4)&lt;=0,"",ROUND(AD8/($AD$4-SUMIF(C8:M8,"欠",$C$4:$M$4)-SUMIF(Q8:Z8,"欠",$Q$4:$Z$4))*100,0)))</f>
        <v>82</v>
      </c>
      <c r="AF8" s="17" t="str">
        <f aca="false">IF(AE8="","",IF(AE8&gt;=設定!$D$13,"A",IF(AE8&gt;=設定!$E$13,"B","C")))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20" t="n">
        <v>44</v>
      </c>
      <c r="D9" s="19" t="n">
        <v>44</v>
      </c>
      <c r="E9" s="19" t="n">
        <v>47</v>
      </c>
      <c r="F9" s="19" t="n">
        <v>50</v>
      </c>
      <c r="G9" s="19" t="n">
        <v>44</v>
      </c>
      <c r="H9" s="19"/>
      <c r="I9" s="19"/>
      <c r="J9" s="19"/>
      <c r="K9" s="19"/>
      <c r="L9" s="19"/>
      <c r="M9" s="19"/>
      <c r="N9" s="17" t="n">
        <f aca="false">IF(COUNT(C9:M9)=0,"",SUM(C9:M9))</f>
        <v>229</v>
      </c>
      <c r="O9" s="17" t="n">
        <f aca="false">IF(OR(N9="",$N$4-SUMIF(C9:M9,"欠",$C$4:$M$4)&lt;=0),"",ROUND(N9/($N$4-SUMIF(C9:M9,"欠",$C$4:$M$4))*100,0))</f>
        <v>92</v>
      </c>
      <c r="P9" s="17" t="str">
        <f aca="false">IF(O9="","",IF(O9&gt;=設定!$D$13,"A",IF(O9&gt;=設定!$E$13,"B","C")))</f>
        <v>A</v>
      </c>
      <c r="Q9" s="20" t="n">
        <v>38</v>
      </c>
      <c r="R9" s="19" t="n">
        <v>47</v>
      </c>
      <c r="S9" s="19" t="n">
        <v>50</v>
      </c>
      <c r="T9" s="19" t="n">
        <v>45</v>
      </c>
      <c r="U9" s="19" t="n">
        <v>43</v>
      </c>
      <c r="V9" s="19"/>
      <c r="W9" s="19"/>
      <c r="X9" s="19"/>
      <c r="Y9" s="19"/>
      <c r="Z9" s="19"/>
      <c r="AA9" s="17" t="n">
        <f aca="false">IF(COUNT(Q9:Z9)=0,"",SUM(Q9:Z9))</f>
        <v>223</v>
      </c>
      <c r="AB9" s="17" t="n">
        <f aca="false">IF(OR(AA9="",$AA$4-SUMIF(Q9:Z9,"欠",$Q$4:$Z$4)&lt;=0),"",ROUND(AA9/($AA$4-SUMIF(Q9:Z9,"欠",$Q$4:$Z$4))*100,0))</f>
        <v>89</v>
      </c>
      <c r="AC9" s="17" t="str">
        <f aca="false">IF(AB9="","",IF(AB9&gt;=設定!$D$13,"A",IF(AB9&gt;=設定!$E$13,"B","C")))</f>
        <v>B</v>
      </c>
      <c r="AD9" s="17" t="n">
        <f aca="false">IF(AND(N9="",AA9=""),"",IF(N9="",0,N9)+IF(AA9="",0,AA9))</f>
        <v>452</v>
      </c>
      <c r="AE9" s="17" t="n">
        <f aca="false">IF(AD9="","",IF($AD$4-SUMIF(C9:M9,"欠",$C$4:$M$4)-SUMIF(Q9:Z9,"欠",$Q$4:$Z$4)&lt;=0,"",ROUND(AD9/($AD$4-SUMIF(C9:M9,"欠",$C$4:$M$4)-SUMIF(Q9:Z9,"欠",$Q$4:$Z$4))*100,0)))</f>
        <v>90</v>
      </c>
      <c r="AF9" s="17" t="str">
        <f aca="false">IF(AE9="","",IF(AE9&gt;=設定!$D$13,"A",IF(AE9&gt;=設定!$E$13,"B","C")))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20" t="n">
        <v>37</v>
      </c>
      <c r="D10" s="19" t="n">
        <v>37</v>
      </c>
      <c r="E10" s="19" t="n">
        <v>30</v>
      </c>
      <c r="F10" s="19" t="n">
        <v>45</v>
      </c>
      <c r="G10" s="19" t="n">
        <v>38</v>
      </c>
      <c r="H10" s="19"/>
      <c r="I10" s="19"/>
      <c r="J10" s="19"/>
      <c r="K10" s="19"/>
      <c r="L10" s="19"/>
      <c r="M10" s="19"/>
      <c r="N10" s="17" t="n">
        <f aca="false">IF(COUNT(C10:M10)=0,"",SUM(C10:M10))</f>
        <v>187</v>
      </c>
      <c r="O10" s="17" t="n">
        <f aca="false">IF(OR(N10="",$N$4-SUMIF(C10:M10,"欠",$C$4:$M$4)&lt;=0),"",ROUND(N10/($N$4-SUMIF(C10:M10,"欠",$C$4:$M$4))*100,0))</f>
        <v>75</v>
      </c>
      <c r="P10" s="17" t="str">
        <f aca="false">IF(O10="","",IF(O10&gt;=設定!$D$13,"A",IF(O10&gt;=設定!$E$13,"B","C")))</f>
        <v>B</v>
      </c>
      <c r="Q10" s="20" t="n">
        <v>34</v>
      </c>
      <c r="R10" s="19" t="n">
        <v>40</v>
      </c>
      <c r="S10" s="19" t="n">
        <v>29</v>
      </c>
      <c r="T10" s="19" t="n">
        <v>26</v>
      </c>
      <c r="U10" s="19" t="n">
        <v>32</v>
      </c>
      <c r="V10" s="19"/>
      <c r="W10" s="19"/>
      <c r="X10" s="19"/>
      <c r="Y10" s="19"/>
      <c r="Z10" s="19"/>
      <c r="AA10" s="17" t="n">
        <f aca="false">IF(COUNT(Q10:Z10)=0,"",SUM(Q10:Z10))</f>
        <v>161</v>
      </c>
      <c r="AB10" s="17" t="n">
        <f aca="false">IF(OR(AA10="",$AA$4-SUMIF(Q10:Z10,"欠",$Q$4:$Z$4)&lt;=0),"",ROUND(AA10/($AA$4-SUMIF(Q10:Z10,"欠",$Q$4:$Z$4))*100,0))</f>
        <v>64</v>
      </c>
      <c r="AC10" s="17" t="str">
        <f aca="false">IF(AB10="","",IF(AB10&gt;=設定!$D$13,"A",IF(AB10&gt;=設定!$E$13,"B","C")))</f>
        <v>B</v>
      </c>
      <c r="AD10" s="17" t="n">
        <f aca="false">IF(AND(N10="",AA10=""),"",IF(N10="",0,N10)+IF(AA10="",0,AA10))</f>
        <v>348</v>
      </c>
      <c r="AE10" s="17" t="n">
        <f aca="false">IF(AD10="","",IF($AD$4-SUMIF(C10:M10,"欠",$C$4:$M$4)-SUMIF(Q10:Z10,"欠",$Q$4:$Z$4)&lt;=0,"",ROUND(AD10/($AD$4-SUMIF(C10:M10,"欠",$C$4:$M$4)-SUMIF(Q10:Z10,"欠",$Q$4:$Z$4))*100,0)))</f>
        <v>70</v>
      </c>
      <c r="AF10" s="17" t="str">
        <f aca="false">IF(AE10="","",IF(AE10&gt;=設定!$D$13,"A",IF(AE10&gt;=設定!$E$13,"B","C")))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20" t="n">
        <v>36</v>
      </c>
      <c r="D11" s="19" t="n">
        <v>38</v>
      </c>
      <c r="E11" s="19" t="n">
        <v>44</v>
      </c>
      <c r="F11" s="19" t="n">
        <v>44</v>
      </c>
      <c r="G11" s="19" t="n">
        <v>35</v>
      </c>
      <c r="H11" s="19"/>
      <c r="I11" s="19"/>
      <c r="J11" s="19"/>
      <c r="K11" s="19"/>
      <c r="L11" s="19"/>
      <c r="M11" s="19"/>
      <c r="N11" s="17" t="n">
        <f aca="false">IF(COUNT(C11:M11)=0,"",SUM(C11:M11))</f>
        <v>197</v>
      </c>
      <c r="O11" s="17" t="n">
        <f aca="false">IF(OR(N11="",$N$4-SUMIF(C11:M11,"欠",$C$4:$M$4)&lt;=0),"",ROUND(N11/($N$4-SUMIF(C11:M11,"欠",$C$4:$M$4))*100,0))</f>
        <v>79</v>
      </c>
      <c r="P11" s="17" t="str">
        <f aca="false">IF(O11="","",IF(O11&gt;=設定!$D$13,"A",IF(O11&gt;=設定!$E$13,"B","C")))</f>
        <v>B</v>
      </c>
      <c r="Q11" s="20" t="n">
        <v>38</v>
      </c>
      <c r="R11" s="19" t="n">
        <v>39</v>
      </c>
      <c r="S11" s="19" t="n">
        <v>35</v>
      </c>
      <c r="T11" s="19" t="n">
        <v>39</v>
      </c>
      <c r="U11" s="19" t="n">
        <v>23</v>
      </c>
      <c r="V11" s="19"/>
      <c r="W11" s="19"/>
      <c r="X11" s="19"/>
      <c r="Y11" s="19"/>
      <c r="Z11" s="19"/>
      <c r="AA11" s="17" t="n">
        <f aca="false">IF(COUNT(Q11:Z11)=0,"",SUM(Q11:Z11))</f>
        <v>174</v>
      </c>
      <c r="AB11" s="17" t="n">
        <f aca="false">IF(OR(AA11="",$AA$4-SUMIF(Q11:Z11,"欠",$Q$4:$Z$4)&lt;=0),"",ROUND(AA11/($AA$4-SUMIF(Q11:Z11,"欠",$Q$4:$Z$4))*100,0))</f>
        <v>70</v>
      </c>
      <c r="AC11" s="17" t="str">
        <f aca="false">IF(AB11="","",IF(AB11&gt;=設定!$D$13,"A",IF(AB11&gt;=設定!$E$13,"B","C")))</f>
        <v>B</v>
      </c>
      <c r="AD11" s="17" t="n">
        <f aca="false">IF(AND(N11="",AA11=""),"",IF(N11="",0,N11)+IF(AA11="",0,AA11))</f>
        <v>371</v>
      </c>
      <c r="AE11" s="17" t="n">
        <f aca="false">IF(AD11="","",IF($AD$4-SUMIF(C11:M11,"欠",$C$4:$M$4)-SUMIF(Q11:Z11,"欠",$Q$4:$Z$4)&lt;=0,"",ROUND(AD11/($AD$4-SUMIF(C11:M11,"欠",$C$4:$M$4)-SUMIF(Q11:Z11,"欠",$Q$4:$Z$4))*100,0)))</f>
        <v>74</v>
      </c>
      <c r="AF11" s="17" t="str">
        <f aca="false">IF(AE11="","",IF(AE11&gt;=設定!$D$13,"A",IF(AE11&gt;=設定!$E$13,"B","C")))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20" t="n">
        <v>50</v>
      </c>
      <c r="D12" s="19" t="n">
        <v>41</v>
      </c>
      <c r="E12" s="19" t="n">
        <v>50</v>
      </c>
      <c r="F12" s="19" t="n">
        <v>49</v>
      </c>
      <c r="G12" s="19" t="n">
        <v>46</v>
      </c>
      <c r="H12" s="19"/>
      <c r="I12" s="19"/>
      <c r="J12" s="19"/>
      <c r="K12" s="19"/>
      <c r="L12" s="19"/>
      <c r="M12" s="19"/>
      <c r="N12" s="17" t="n">
        <f aca="false">IF(COUNT(C12:M12)=0,"",SUM(C12:M12))</f>
        <v>236</v>
      </c>
      <c r="O12" s="17" t="n">
        <f aca="false">IF(OR(N12="",$N$4-SUMIF(C12:M12,"欠",$C$4:$M$4)&lt;=0),"",ROUND(N12/($N$4-SUMIF(C12:M12,"欠",$C$4:$M$4))*100,0))</f>
        <v>94</v>
      </c>
      <c r="P12" s="17" t="str">
        <f aca="false">IF(O12="","",IF(O12&gt;=設定!$D$13,"A",IF(O12&gt;=設定!$E$13,"B","C")))</f>
        <v>A</v>
      </c>
      <c r="Q12" s="20" t="n">
        <v>49</v>
      </c>
      <c r="R12" s="19" t="n">
        <v>45</v>
      </c>
      <c r="S12" s="19" t="n">
        <v>47</v>
      </c>
      <c r="T12" s="19" t="n">
        <v>45</v>
      </c>
      <c r="U12" s="19" t="n">
        <v>38</v>
      </c>
      <c r="V12" s="19"/>
      <c r="W12" s="19"/>
      <c r="X12" s="19"/>
      <c r="Y12" s="19"/>
      <c r="Z12" s="19"/>
      <c r="AA12" s="17" t="n">
        <f aca="false">IF(COUNT(Q12:Z12)=0,"",SUM(Q12:Z12))</f>
        <v>224</v>
      </c>
      <c r="AB12" s="17" t="n">
        <f aca="false">IF(OR(AA12="",$AA$4-SUMIF(Q12:Z12,"欠",$Q$4:$Z$4)&lt;=0),"",ROUND(AA12/($AA$4-SUMIF(Q12:Z12,"欠",$Q$4:$Z$4))*100,0))</f>
        <v>90</v>
      </c>
      <c r="AC12" s="17" t="str">
        <f aca="false">IF(AB12="","",IF(AB12&gt;=設定!$D$13,"A",IF(AB12&gt;=設定!$E$13,"B","C")))</f>
        <v>A</v>
      </c>
      <c r="AD12" s="17" t="n">
        <f aca="false">IF(AND(N12="",AA12=""),"",IF(N12="",0,N12)+IF(AA12="",0,AA12))</f>
        <v>460</v>
      </c>
      <c r="AE12" s="17" t="n">
        <f aca="false">IF(AD12="","",IF($AD$4-SUMIF(C12:M12,"欠",$C$4:$M$4)-SUMIF(Q12:Z12,"欠",$Q$4:$Z$4)&lt;=0,"",ROUND(AD12/($AD$4-SUMIF(C12:M12,"欠",$C$4:$M$4)-SUMIF(Q12:Z12,"欠",$Q$4:$Z$4))*100,0)))</f>
        <v>92</v>
      </c>
      <c r="AF12" s="17" t="str">
        <f aca="false">IF(AE12="","",IF(AE12&gt;=設定!$D$13,"A",IF(AE12&gt;=設定!$E$13,"B","C")))</f>
        <v>A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20" t="n">
        <v>46</v>
      </c>
      <c r="D13" s="19" t="n">
        <v>45</v>
      </c>
      <c r="E13" s="19" t="n">
        <v>37</v>
      </c>
      <c r="F13" s="19" t="n">
        <v>43</v>
      </c>
      <c r="G13" s="19" t="n">
        <v>44</v>
      </c>
      <c r="H13" s="19"/>
      <c r="I13" s="19"/>
      <c r="J13" s="19"/>
      <c r="K13" s="19"/>
      <c r="L13" s="19"/>
      <c r="M13" s="19"/>
      <c r="N13" s="17" t="n">
        <f aca="false">IF(COUNT(C13:M13)=0,"",SUM(C13:M13))</f>
        <v>215</v>
      </c>
      <c r="O13" s="17" t="n">
        <f aca="false">IF(OR(N13="",$N$4-SUMIF(C13:M13,"欠",$C$4:$M$4)&lt;=0),"",ROUND(N13/($N$4-SUMIF(C13:M13,"欠",$C$4:$M$4))*100,0))</f>
        <v>86</v>
      </c>
      <c r="P13" s="17" t="str">
        <f aca="false">IF(O13="","",IF(O13&gt;=設定!$D$13,"A",IF(O13&gt;=設定!$E$13,"B","C")))</f>
        <v>B</v>
      </c>
      <c r="Q13" s="20" t="n">
        <v>39</v>
      </c>
      <c r="R13" s="19" t="n">
        <v>30</v>
      </c>
      <c r="S13" s="19" t="n">
        <v>33</v>
      </c>
      <c r="T13" s="19" t="n">
        <v>33</v>
      </c>
      <c r="U13" s="19" t="n">
        <v>35</v>
      </c>
      <c r="V13" s="19"/>
      <c r="W13" s="19"/>
      <c r="X13" s="19"/>
      <c r="Y13" s="19"/>
      <c r="Z13" s="19"/>
      <c r="AA13" s="17" t="n">
        <f aca="false">IF(COUNT(Q13:Z13)=0,"",SUM(Q13:Z13))</f>
        <v>170</v>
      </c>
      <c r="AB13" s="17" t="n">
        <f aca="false">IF(OR(AA13="",$AA$4-SUMIF(Q13:Z13,"欠",$Q$4:$Z$4)&lt;=0),"",ROUND(AA13/($AA$4-SUMIF(Q13:Z13,"欠",$Q$4:$Z$4))*100,0))</f>
        <v>68</v>
      </c>
      <c r="AC13" s="17" t="str">
        <f aca="false">IF(AB13="","",IF(AB13&gt;=設定!$D$13,"A",IF(AB13&gt;=設定!$E$13,"B","C")))</f>
        <v>B</v>
      </c>
      <c r="AD13" s="17" t="n">
        <f aca="false">IF(AND(N13="",AA13=""),"",IF(N13="",0,N13)+IF(AA13="",0,AA13))</f>
        <v>385</v>
      </c>
      <c r="AE13" s="17" t="n">
        <f aca="false">IF(AD13="","",IF($AD$4-SUMIF(C13:M13,"欠",$C$4:$M$4)-SUMIF(Q13:Z13,"欠",$Q$4:$Z$4)&lt;=0,"",ROUND(AD13/($AD$4-SUMIF(C13:M13,"欠",$C$4:$M$4)-SUMIF(Q13:Z13,"欠",$Q$4:$Z$4))*100,0)))</f>
        <v>77</v>
      </c>
      <c r="AF13" s="17" t="str">
        <f aca="false">IF(AE13="","",IF(AE13&gt;=設定!$D$13,"A",IF(AE13&gt;=設定!$E$13,"B","C")))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20" t="n">
        <v>41</v>
      </c>
      <c r="D14" s="19" t="n">
        <v>40</v>
      </c>
      <c r="E14" s="19" t="n">
        <v>46</v>
      </c>
      <c r="F14" s="19" t="n">
        <v>42</v>
      </c>
      <c r="G14" s="19" t="n">
        <v>49</v>
      </c>
      <c r="H14" s="19"/>
      <c r="I14" s="19"/>
      <c r="J14" s="19"/>
      <c r="K14" s="19"/>
      <c r="L14" s="19"/>
      <c r="M14" s="19"/>
      <c r="N14" s="17" t="n">
        <f aca="false">IF(COUNT(C14:M14)=0,"",SUM(C14:M14))</f>
        <v>218</v>
      </c>
      <c r="O14" s="17" t="n">
        <f aca="false">IF(OR(N14="",$N$4-SUMIF(C14:M14,"欠",$C$4:$M$4)&lt;=0),"",ROUND(N14/($N$4-SUMIF(C14:M14,"欠",$C$4:$M$4))*100,0))</f>
        <v>87</v>
      </c>
      <c r="P14" s="17" t="str">
        <f aca="false">IF(O14="","",IF(O14&gt;=設定!$D$13,"A",IF(O14&gt;=設定!$E$13,"B","C")))</f>
        <v>B</v>
      </c>
      <c r="Q14" s="20" t="n">
        <v>36</v>
      </c>
      <c r="R14" s="19" t="n">
        <v>48</v>
      </c>
      <c r="S14" s="19" t="n">
        <v>38</v>
      </c>
      <c r="T14" s="19" t="n">
        <v>43</v>
      </c>
      <c r="U14" s="19" t="n">
        <v>39</v>
      </c>
      <c r="V14" s="19"/>
      <c r="W14" s="19"/>
      <c r="X14" s="19"/>
      <c r="Y14" s="19"/>
      <c r="Z14" s="19"/>
      <c r="AA14" s="17" t="n">
        <f aca="false">IF(COUNT(Q14:Z14)=0,"",SUM(Q14:Z14))</f>
        <v>204</v>
      </c>
      <c r="AB14" s="17" t="n">
        <f aca="false">IF(OR(AA14="",$AA$4-SUMIF(Q14:Z14,"欠",$Q$4:$Z$4)&lt;=0),"",ROUND(AA14/($AA$4-SUMIF(Q14:Z14,"欠",$Q$4:$Z$4))*100,0))</f>
        <v>82</v>
      </c>
      <c r="AC14" s="17" t="str">
        <f aca="false">IF(AB14="","",IF(AB14&gt;=設定!$D$13,"A",IF(AB14&gt;=設定!$E$13,"B","C")))</f>
        <v>B</v>
      </c>
      <c r="AD14" s="17" t="n">
        <f aca="false">IF(AND(N14="",AA14=""),"",IF(N14="",0,N14)+IF(AA14="",0,AA14))</f>
        <v>422</v>
      </c>
      <c r="AE14" s="17" t="n">
        <f aca="false">IF(AD14="","",IF($AD$4-SUMIF(C14:M14,"欠",$C$4:$M$4)-SUMIF(Q14:Z14,"欠",$Q$4:$Z$4)&lt;=0,"",ROUND(AD14/($AD$4-SUMIF(C14:M14,"欠",$C$4:$M$4)-SUMIF(Q14:Z14,"欠",$Q$4:$Z$4))*100,0)))</f>
        <v>84</v>
      </c>
      <c r="AF14" s="17" t="str">
        <f aca="false">IF(AE14="","",IF(AE14&gt;=設定!$D$13,"A",IF(AE14&gt;=設定!$E$13,"B","C")))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20" t="n">
        <v>37</v>
      </c>
      <c r="D15" s="19" t="n">
        <v>31</v>
      </c>
      <c r="E15" s="19" t="n">
        <v>45</v>
      </c>
      <c r="F15" s="19" t="n">
        <v>42</v>
      </c>
      <c r="G15" s="19" t="n">
        <v>40</v>
      </c>
      <c r="H15" s="19"/>
      <c r="I15" s="19"/>
      <c r="J15" s="19"/>
      <c r="K15" s="19"/>
      <c r="L15" s="19"/>
      <c r="M15" s="19"/>
      <c r="N15" s="17" t="n">
        <f aca="false">IF(COUNT(C15:M15)=0,"",SUM(C15:M15))</f>
        <v>195</v>
      </c>
      <c r="O15" s="17" t="n">
        <f aca="false">IF(OR(N15="",$N$4-SUMIF(C15:M15,"欠",$C$4:$M$4)&lt;=0),"",ROUND(N15/($N$4-SUMIF(C15:M15,"欠",$C$4:$M$4))*100,0))</f>
        <v>78</v>
      </c>
      <c r="P15" s="17" t="str">
        <f aca="false">IF(O15="","",IF(O15&gt;=設定!$D$13,"A",IF(O15&gt;=設定!$E$13,"B","C")))</f>
        <v>B</v>
      </c>
      <c r="Q15" s="20" t="n">
        <v>42</v>
      </c>
      <c r="R15" s="19" t="n">
        <v>38</v>
      </c>
      <c r="S15" s="19" t="n">
        <v>42</v>
      </c>
      <c r="T15" s="19" t="n">
        <v>30</v>
      </c>
      <c r="U15" s="19" t="n">
        <v>34</v>
      </c>
      <c r="V15" s="19"/>
      <c r="W15" s="19"/>
      <c r="X15" s="19"/>
      <c r="Y15" s="19"/>
      <c r="Z15" s="19"/>
      <c r="AA15" s="17" t="n">
        <f aca="false">IF(COUNT(Q15:Z15)=0,"",SUM(Q15:Z15))</f>
        <v>186</v>
      </c>
      <c r="AB15" s="17" t="n">
        <f aca="false">IF(OR(AA15="",$AA$4-SUMIF(Q15:Z15,"欠",$Q$4:$Z$4)&lt;=0),"",ROUND(AA15/($AA$4-SUMIF(Q15:Z15,"欠",$Q$4:$Z$4))*100,0))</f>
        <v>74</v>
      </c>
      <c r="AC15" s="17" t="str">
        <f aca="false">IF(AB15="","",IF(AB15&gt;=設定!$D$13,"A",IF(AB15&gt;=設定!$E$13,"B","C")))</f>
        <v>B</v>
      </c>
      <c r="AD15" s="17" t="n">
        <f aca="false">IF(AND(N15="",AA15=""),"",IF(N15="",0,N15)+IF(AA15="",0,AA15))</f>
        <v>381</v>
      </c>
      <c r="AE15" s="17" t="n">
        <f aca="false">IF(AD15="","",IF($AD$4-SUMIF(C15:M15,"欠",$C$4:$M$4)-SUMIF(Q15:Z15,"欠",$Q$4:$Z$4)&lt;=0,"",ROUND(AD15/($AD$4-SUMIF(C15:M15,"欠",$C$4:$M$4)-SUMIF(Q15:Z15,"欠",$Q$4:$Z$4))*100,0)))</f>
        <v>76</v>
      </c>
      <c r="AF15" s="17" t="str">
        <f aca="false">IF(AE15="","",IF(AE15&gt;=設定!$D$13,"A",IF(AE15&gt;=設定!$E$13,"B","C")))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20" t="n">
        <v>47</v>
      </c>
      <c r="D16" s="19" t="n">
        <v>36</v>
      </c>
      <c r="E16" s="19" t="n">
        <v>40</v>
      </c>
      <c r="F16" s="19" t="n">
        <v>40</v>
      </c>
      <c r="G16" s="19" t="n">
        <v>33</v>
      </c>
      <c r="H16" s="19"/>
      <c r="I16" s="19"/>
      <c r="J16" s="19"/>
      <c r="K16" s="19"/>
      <c r="L16" s="19"/>
      <c r="M16" s="19"/>
      <c r="N16" s="17" t="n">
        <f aca="false">IF(COUNT(C16:M16)=0,"",SUM(C16:M16))</f>
        <v>196</v>
      </c>
      <c r="O16" s="17" t="n">
        <f aca="false">IF(OR(N16="",$N$4-SUMIF(C16:M16,"欠",$C$4:$M$4)&lt;=0),"",ROUND(N16/($N$4-SUMIF(C16:M16,"欠",$C$4:$M$4))*100,0))</f>
        <v>78</v>
      </c>
      <c r="P16" s="17" t="str">
        <f aca="false">IF(O16="","",IF(O16&gt;=設定!$D$13,"A",IF(O16&gt;=設定!$E$13,"B","C")))</f>
        <v>B</v>
      </c>
      <c r="Q16" s="20" t="n">
        <v>37</v>
      </c>
      <c r="R16" s="19" t="n">
        <v>37</v>
      </c>
      <c r="S16" s="19" t="n">
        <v>36</v>
      </c>
      <c r="T16" s="19" t="n">
        <v>37</v>
      </c>
      <c r="U16" s="19" t="n">
        <v>40</v>
      </c>
      <c r="V16" s="19"/>
      <c r="W16" s="19"/>
      <c r="X16" s="19"/>
      <c r="Y16" s="19"/>
      <c r="Z16" s="19"/>
      <c r="AA16" s="17" t="n">
        <f aca="false">IF(COUNT(Q16:Z16)=0,"",SUM(Q16:Z16))</f>
        <v>187</v>
      </c>
      <c r="AB16" s="17" t="n">
        <f aca="false">IF(OR(AA16="",$AA$4-SUMIF(Q16:Z16,"欠",$Q$4:$Z$4)&lt;=0),"",ROUND(AA16/($AA$4-SUMIF(Q16:Z16,"欠",$Q$4:$Z$4))*100,0))</f>
        <v>75</v>
      </c>
      <c r="AC16" s="17" t="str">
        <f aca="false">IF(AB16="","",IF(AB16&gt;=設定!$D$13,"A",IF(AB16&gt;=設定!$E$13,"B","C")))</f>
        <v>B</v>
      </c>
      <c r="AD16" s="17" t="n">
        <f aca="false">IF(AND(N16="",AA16=""),"",IF(N16="",0,N16)+IF(AA16="",0,AA16))</f>
        <v>383</v>
      </c>
      <c r="AE16" s="17" t="n">
        <f aca="false">IF(AD16="","",IF($AD$4-SUMIF(C16:M16,"欠",$C$4:$M$4)-SUMIF(Q16:Z16,"欠",$Q$4:$Z$4)&lt;=0,"",ROUND(AD16/($AD$4-SUMIF(C16:M16,"欠",$C$4:$M$4)-SUMIF(Q16:Z16,"欠",$Q$4:$Z$4))*100,0)))</f>
        <v>77</v>
      </c>
      <c r="AF16" s="17" t="str">
        <f aca="false">IF(AE16="","",IF(AE16&gt;=設定!$D$13,"A",IF(AE16&gt;=設定!$E$13,"B","C")))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20" t="n">
        <v>34</v>
      </c>
      <c r="D17" s="19" t="n">
        <v>27</v>
      </c>
      <c r="E17" s="19" t="n">
        <v>29</v>
      </c>
      <c r="F17" s="19" t="n">
        <v>37</v>
      </c>
      <c r="G17" s="19" t="n">
        <v>25</v>
      </c>
      <c r="H17" s="19"/>
      <c r="I17" s="19"/>
      <c r="J17" s="19"/>
      <c r="K17" s="19"/>
      <c r="L17" s="19"/>
      <c r="M17" s="19"/>
      <c r="N17" s="17" t="n">
        <f aca="false">IF(COUNT(C17:M17)=0,"",SUM(C17:M17))</f>
        <v>152</v>
      </c>
      <c r="O17" s="17" t="n">
        <f aca="false">IF(OR(N17="",$N$4-SUMIF(C17:M17,"欠",$C$4:$M$4)&lt;=0),"",ROUND(N17/($N$4-SUMIF(C17:M17,"欠",$C$4:$M$4))*100,0))</f>
        <v>61</v>
      </c>
      <c r="P17" s="17" t="str">
        <f aca="false">IF(O17="","",IF(O17&gt;=設定!$D$13,"A",IF(O17&gt;=設定!$E$13,"B","C")))</f>
        <v>B</v>
      </c>
      <c r="Q17" s="20" t="n">
        <v>30</v>
      </c>
      <c r="R17" s="19" t="n">
        <v>27</v>
      </c>
      <c r="S17" s="19" t="n">
        <v>30</v>
      </c>
      <c r="T17" s="19" t="n">
        <v>23</v>
      </c>
      <c r="U17" s="19" t="n">
        <v>27</v>
      </c>
      <c r="V17" s="19"/>
      <c r="W17" s="19"/>
      <c r="X17" s="19"/>
      <c r="Y17" s="19"/>
      <c r="Z17" s="19"/>
      <c r="AA17" s="17" t="n">
        <f aca="false">IF(COUNT(Q17:Z17)=0,"",SUM(Q17:Z17))</f>
        <v>137</v>
      </c>
      <c r="AB17" s="17" t="n">
        <f aca="false">IF(OR(AA17="",$AA$4-SUMIF(Q17:Z17,"欠",$Q$4:$Z$4)&lt;=0),"",ROUND(AA17/($AA$4-SUMIF(Q17:Z17,"欠",$Q$4:$Z$4))*100,0))</f>
        <v>55</v>
      </c>
      <c r="AC17" s="17" t="str">
        <f aca="false">IF(AB17="","",IF(AB17&gt;=設定!$D$13,"A",IF(AB17&gt;=設定!$E$13,"B","C")))</f>
        <v>C</v>
      </c>
      <c r="AD17" s="17" t="n">
        <f aca="false">IF(AND(N17="",AA17=""),"",IF(N17="",0,N17)+IF(AA17="",0,AA17))</f>
        <v>289</v>
      </c>
      <c r="AE17" s="17" t="n">
        <f aca="false">IF(AD17="","",IF($AD$4-SUMIF(C17:M17,"欠",$C$4:$M$4)-SUMIF(Q17:Z17,"欠",$Q$4:$Z$4)&lt;=0,"",ROUND(AD17/($AD$4-SUMIF(C17:M17,"欠",$C$4:$M$4)-SUMIF(Q17:Z17,"欠",$Q$4:$Z$4))*100,0)))</f>
        <v>58</v>
      </c>
      <c r="AF17" s="17" t="str">
        <f aca="false">IF(AE17="","",IF(AE17&gt;=設定!$D$13,"A",IF(AE17&gt;=設定!$E$13,"B","C")))</f>
        <v>C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20" t="n">
        <v>49</v>
      </c>
      <c r="D18" s="19" t="n">
        <v>46</v>
      </c>
      <c r="E18" s="19" t="n">
        <v>48</v>
      </c>
      <c r="F18" s="19" t="n">
        <v>40</v>
      </c>
      <c r="G18" s="19" t="n">
        <v>37</v>
      </c>
      <c r="H18" s="19"/>
      <c r="I18" s="19"/>
      <c r="J18" s="19"/>
      <c r="K18" s="19"/>
      <c r="L18" s="19"/>
      <c r="M18" s="19"/>
      <c r="N18" s="17" t="n">
        <f aca="false">IF(COUNT(C18:M18)=0,"",SUM(C18:M18))</f>
        <v>220</v>
      </c>
      <c r="O18" s="17" t="n">
        <f aca="false">IF(OR(N18="",$N$4-SUMIF(C18:M18,"欠",$C$4:$M$4)&lt;=0),"",ROUND(N18/($N$4-SUMIF(C18:M18,"欠",$C$4:$M$4))*100,0))</f>
        <v>88</v>
      </c>
      <c r="P18" s="17" t="str">
        <f aca="false">IF(O18="","",IF(O18&gt;=設定!$D$13,"A",IF(O18&gt;=設定!$E$13,"B","C")))</f>
        <v>B</v>
      </c>
      <c r="Q18" s="20" t="n">
        <v>34</v>
      </c>
      <c r="R18" s="19" t="n">
        <v>46</v>
      </c>
      <c r="S18" s="19" t="n">
        <v>44</v>
      </c>
      <c r="T18" s="19" t="n">
        <v>40</v>
      </c>
      <c r="U18" s="19" t="n">
        <v>41</v>
      </c>
      <c r="V18" s="19"/>
      <c r="W18" s="19"/>
      <c r="X18" s="19"/>
      <c r="Y18" s="19"/>
      <c r="Z18" s="19"/>
      <c r="AA18" s="17" t="n">
        <f aca="false">IF(COUNT(Q18:Z18)=0,"",SUM(Q18:Z18))</f>
        <v>205</v>
      </c>
      <c r="AB18" s="17" t="n">
        <f aca="false">IF(OR(AA18="",$AA$4-SUMIF(Q18:Z18,"欠",$Q$4:$Z$4)&lt;=0),"",ROUND(AA18/($AA$4-SUMIF(Q18:Z18,"欠",$Q$4:$Z$4))*100,0))</f>
        <v>82</v>
      </c>
      <c r="AC18" s="17" t="str">
        <f aca="false">IF(AB18="","",IF(AB18&gt;=設定!$D$13,"A",IF(AB18&gt;=設定!$E$13,"B","C")))</f>
        <v>B</v>
      </c>
      <c r="AD18" s="17" t="n">
        <f aca="false">IF(AND(N18="",AA18=""),"",IF(N18="",0,N18)+IF(AA18="",0,AA18))</f>
        <v>425</v>
      </c>
      <c r="AE18" s="17" t="n">
        <f aca="false">IF(AD18="","",IF($AD$4-SUMIF(C18:M18,"欠",$C$4:$M$4)-SUMIF(Q18:Z18,"欠",$Q$4:$Z$4)&lt;=0,"",ROUND(AD18/($AD$4-SUMIF(C18:M18,"欠",$C$4:$M$4)-SUMIF(Q18:Z18,"欠",$Q$4:$Z$4))*100,0)))</f>
        <v>85</v>
      </c>
      <c r="AF18" s="17" t="str">
        <f aca="false">IF(AE18="","",IF(AE18&gt;=設定!$D$13,"A",IF(AE18&gt;=設定!$E$13,"B","C")))</f>
        <v>B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20" t="n">
        <v>31</v>
      </c>
      <c r="D19" s="19" t="n">
        <v>28</v>
      </c>
      <c r="E19" s="19" t="n">
        <v>33</v>
      </c>
      <c r="F19" s="19" t="n">
        <v>19</v>
      </c>
      <c r="G19" s="19" t="n">
        <v>25</v>
      </c>
      <c r="H19" s="19"/>
      <c r="I19" s="19"/>
      <c r="J19" s="19"/>
      <c r="K19" s="19"/>
      <c r="L19" s="19"/>
      <c r="M19" s="19"/>
      <c r="N19" s="17" t="n">
        <f aca="false">IF(COUNT(C19:M19)=0,"",SUM(C19:M19))</f>
        <v>136</v>
      </c>
      <c r="O19" s="17" t="n">
        <f aca="false">IF(OR(N19="",$N$4-SUMIF(C19:M19,"欠",$C$4:$M$4)&lt;=0),"",ROUND(N19/($N$4-SUMIF(C19:M19,"欠",$C$4:$M$4))*100,0))</f>
        <v>54</v>
      </c>
      <c r="P19" s="17" t="str">
        <f aca="false">IF(O19="","",IF(O19&gt;=設定!$D$13,"A",IF(O19&gt;=設定!$E$13,"B","C")))</f>
        <v>C</v>
      </c>
      <c r="Q19" s="20" t="n">
        <v>21</v>
      </c>
      <c r="R19" s="19" t="n">
        <v>29</v>
      </c>
      <c r="S19" s="19" t="n">
        <v>21</v>
      </c>
      <c r="T19" s="19" t="n">
        <v>29</v>
      </c>
      <c r="U19" s="19" t="n">
        <v>20</v>
      </c>
      <c r="V19" s="19"/>
      <c r="W19" s="19"/>
      <c r="X19" s="19"/>
      <c r="Y19" s="19"/>
      <c r="Z19" s="19"/>
      <c r="AA19" s="17" t="n">
        <f aca="false">IF(COUNT(Q19:Z19)=0,"",SUM(Q19:Z19))</f>
        <v>120</v>
      </c>
      <c r="AB19" s="17" t="n">
        <f aca="false">IF(OR(AA19="",$AA$4-SUMIF(Q19:Z19,"欠",$Q$4:$Z$4)&lt;=0),"",ROUND(AA19/($AA$4-SUMIF(Q19:Z19,"欠",$Q$4:$Z$4))*100,0))</f>
        <v>48</v>
      </c>
      <c r="AC19" s="17" t="str">
        <f aca="false">IF(AB19="","",IF(AB19&gt;=設定!$D$13,"A",IF(AB19&gt;=設定!$E$13,"B","C")))</f>
        <v>C</v>
      </c>
      <c r="AD19" s="17" t="n">
        <f aca="false">IF(AND(N19="",AA19=""),"",IF(N19="",0,N19)+IF(AA19="",0,AA19))</f>
        <v>256</v>
      </c>
      <c r="AE19" s="17" t="n">
        <f aca="false">IF(AD19="","",IF($AD$4-SUMIF(C19:M19,"欠",$C$4:$M$4)-SUMIF(Q19:Z19,"欠",$Q$4:$Z$4)&lt;=0,"",ROUND(AD19/($AD$4-SUMIF(C19:M19,"欠",$C$4:$M$4)-SUMIF(Q19:Z19,"欠",$Q$4:$Z$4))*100,0)))</f>
        <v>51</v>
      </c>
      <c r="AF19" s="17" t="str">
        <f aca="false">IF(AE19="","",IF(AE19&gt;=設定!$D$13,"A",IF(AE19&gt;=設定!$E$13,"B","C")))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20" t="n">
        <v>50</v>
      </c>
      <c r="D20" s="19" t="n">
        <v>49</v>
      </c>
      <c r="E20" s="19" t="n">
        <v>50</v>
      </c>
      <c r="F20" s="19" t="n">
        <v>50</v>
      </c>
      <c r="G20" s="19" t="n">
        <v>48</v>
      </c>
      <c r="H20" s="19"/>
      <c r="I20" s="19"/>
      <c r="J20" s="19"/>
      <c r="K20" s="19"/>
      <c r="L20" s="19"/>
      <c r="M20" s="19"/>
      <c r="N20" s="17" t="n">
        <f aca="false">IF(COUNT(C20:M20)=0,"",SUM(C20:M20))</f>
        <v>247</v>
      </c>
      <c r="O20" s="17" t="n">
        <f aca="false">IF(OR(N20="",$N$4-SUMIF(C20:M20,"欠",$C$4:$M$4)&lt;=0),"",ROUND(N20/($N$4-SUMIF(C20:M20,"欠",$C$4:$M$4))*100,0))</f>
        <v>99</v>
      </c>
      <c r="P20" s="17" t="str">
        <f aca="false">IF(O20="","",IF(O20&gt;=設定!$D$13,"A",IF(O20&gt;=設定!$E$13,"B","C")))</f>
        <v>A</v>
      </c>
      <c r="Q20" s="20" t="n">
        <v>50</v>
      </c>
      <c r="R20" s="19" t="n">
        <v>44</v>
      </c>
      <c r="S20" s="19" t="n">
        <v>50</v>
      </c>
      <c r="T20" s="19" t="n">
        <v>50</v>
      </c>
      <c r="U20" s="19" t="n">
        <v>48</v>
      </c>
      <c r="V20" s="19"/>
      <c r="W20" s="19"/>
      <c r="X20" s="19"/>
      <c r="Y20" s="19"/>
      <c r="Z20" s="19"/>
      <c r="AA20" s="17" t="n">
        <f aca="false">IF(COUNT(Q20:Z20)=0,"",SUM(Q20:Z20))</f>
        <v>242</v>
      </c>
      <c r="AB20" s="17" t="n">
        <f aca="false">IF(OR(AA20="",$AA$4-SUMIF(Q20:Z20,"欠",$Q$4:$Z$4)&lt;=0),"",ROUND(AA20/($AA$4-SUMIF(Q20:Z20,"欠",$Q$4:$Z$4))*100,0))</f>
        <v>97</v>
      </c>
      <c r="AC20" s="17" t="str">
        <f aca="false">IF(AB20="","",IF(AB20&gt;=設定!$D$13,"A",IF(AB20&gt;=設定!$E$13,"B","C")))</f>
        <v>A</v>
      </c>
      <c r="AD20" s="17" t="n">
        <f aca="false">IF(AND(N20="",AA20=""),"",IF(N20="",0,N20)+IF(AA20="",0,AA20))</f>
        <v>489</v>
      </c>
      <c r="AE20" s="17" t="n">
        <f aca="false">IF(AD20="","",IF($AD$4-SUMIF(C20:M20,"欠",$C$4:$M$4)-SUMIF(Q20:Z20,"欠",$Q$4:$Z$4)&lt;=0,"",ROUND(AD20/($AD$4-SUMIF(C20:M20,"欠",$C$4:$M$4)-SUMIF(Q20:Z20,"欠",$Q$4:$Z$4))*100,0)))</f>
        <v>98</v>
      </c>
      <c r="AF20" s="17" t="str">
        <f aca="false">IF(AE20="","",IF(AE20&gt;=設定!$D$13,"A",IF(AE20&gt;=設定!$E$13,"B","C")))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20" t="n">
        <v>44</v>
      </c>
      <c r="D21" s="19" t="n">
        <v>48</v>
      </c>
      <c r="E21" s="19" t="n">
        <v>40</v>
      </c>
      <c r="F21" s="19" t="n">
        <v>38</v>
      </c>
      <c r="G21" s="19" t="n">
        <v>41</v>
      </c>
      <c r="H21" s="19"/>
      <c r="I21" s="19"/>
      <c r="J21" s="19"/>
      <c r="K21" s="19"/>
      <c r="L21" s="19"/>
      <c r="M21" s="19"/>
      <c r="N21" s="17" t="n">
        <f aca="false">IF(COUNT(C21:M21)=0,"",SUM(C21:M21))</f>
        <v>211</v>
      </c>
      <c r="O21" s="17" t="n">
        <f aca="false">IF(OR(N21="",$N$4-SUMIF(C21:M21,"欠",$C$4:$M$4)&lt;=0),"",ROUND(N21/($N$4-SUMIF(C21:M21,"欠",$C$4:$M$4))*100,0))</f>
        <v>84</v>
      </c>
      <c r="P21" s="17" t="str">
        <f aca="false">IF(O21="","",IF(O21&gt;=設定!$D$13,"A",IF(O21&gt;=設定!$E$13,"B","C")))</f>
        <v>B</v>
      </c>
      <c r="Q21" s="20" t="n">
        <v>32</v>
      </c>
      <c r="R21" s="19" t="n">
        <v>39</v>
      </c>
      <c r="S21" s="19" t="n">
        <v>31</v>
      </c>
      <c r="T21" s="19" t="n">
        <v>27</v>
      </c>
      <c r="U21" s="19" t="n">
        <v>41</v>
      </c>
      <c r="V21" s="19"/>
      <c r="W21" s="19"/>
      <c r="X21" s="19"/>
      <c r="Y21" s="19"/>
      <c r="Z21" s="19"/>
      <c r="AA21" s="17" t="n">
        <f aca="false">IF(COUNT(Q21:Z21)=0,"",SUM(Q21:Z21))</f>
        <v>170</v>
      </c>
      <c r="AB21" s="17" t="n">
        <f aca="false">IF(OR(AA21="",$AA$4-SUMIF(Q21:Z21,"欠",$Q$4:$Z$4)&lt;=0),"",ROUND(AA21/($AA$4-SUMIF(Q21:Z21,"欠",$Q$4:$Z$4))*100,0))</f>
        <v>68</v>
      </c>
      <c r="AC21" s="17" t="str">
        <f aca="false">IF(AB21="","",IF(AB21&gt;=設定!$D$13,"A",IF(AB21&gt;=設定!$E$13,"B","C")))</f>
        <v>B</v>
      </c>
      <c r="AD21" s="17" t="n">
        <f aca="false">IF(AND(N21="",AA21=""),"",IF(N21="",0,N21)+IF(AA21="",0,AA21))</f>
        <v>381</v>
      </c>
      <c r="AE21" s="17" t="n">
        <f aca="false">IF(AD21="","",IF($AD$4-SUMIF(C21:M21,"欠",$C$4:$M$4)-SUMIF(Q21:Z21,"欠",$Q$4:$Z$4)&lt;=0,"",ROUND(AD21/($AD$4-SUMIF(C21:M21,"欠",$C$4:$M$4)-SUMIF(Q21:Z21,"欠",$Q$4:$Z$4))*100,0)))</f>
        <v>76</v>
      </c>
      <c r="AF21" s="17" t="str">
        <f aca="false">IF(AE21="","",IF(AE21&gt;=設定!$D$13,"A",IF(AE21&gt;=設定!$E$13,"B","C")))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20" t="n">
        <v>50</v>
      </c>
      <c r="D22" s="19" t="n">
        <v>50</v>
      </c>
      <c r="E22" s="19" t="n">
        <v>50</v>
      </c>
      <c r="F22" s="19" t="n">
        <v>50</v>
      </c>
      <c r="G22" s="19" t="n">
        <v>50</v>
      </c>
      <c r="H22" s="19"/>
      <c r="I22" s="19"/>
      <c r="J22" s="19"/>
      <c r="K22" s="19"/>
      <c r="L22" s="19"/>
      <c r="M22" s="19"/>
      <c r="N22" s="17" t="n">
        <f aca="false">IF(COUNT(C22:M22)=0,"",SUM(C22:M22))</f>
        <v>250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IF(O22="","",IF(O22&gt;=設定!$D$13,"A",IF(O22&gt;=設定!$E$13,"B","C")))</f>
        <v>A</v>
      </c>
      <c r="Q22" s="20" t="n">
        <v>50</v>
      </c>
      <c r="R22" s="19" t="n">
        <v>50</v>
      </c>
      <c r="S22" s="19" t="n">
        <v>50</v>
      </c>
      <c r="T22" s="19" t="n">
        <v>50</v>
      </c>
      <c r="U22" s="19" t="n">
        <v>50</v>
      </c>
      <c r="V22" s="19"/>
      <c r="W22" s="19"/>
      <c r="X22" s="19"/>
      <c r="Y22" s="19"/>
      <c r="Z22" s="19"/>
      <c r="AA22" s="17" t="n">
        <f aca="false">IF(COUNT(Q22:Z22)=0,"",SUM(Q22:Z22))</f>
        <v>250</v>
      </c>
      <c r="AB22" s="17" t="n">
        <f aca="false">IF(OR(AA22="",$AA$4-SUMIF(Q22:Z22,"欠",$Q$4:$Z$4)&lt;=0),"",ROUND(AA22/($AA$4-SUMIF(Q22:Z22,"欠",$Q$4:$Z$4))*100,0))</f>
        <v>100</v>
      </c>
      <c r="AC22" s="17" t="str">
        <f aca="false">IF(AB22="","",IF(AB22&gt;=設定!$D$13,"A",IF(AB22&gt;=設定!$E$13,"B","C")))</f>
        <v>A</v>
      </c>
      <c r="AD22" s="17" t="n">
        <f aca="false">IF(AND(N22="",AA22=""),"",IF(N22="",0,N22)+IF(AA22="",0,AA22))</f>
        <v>500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IF(AE22="","",IF(AE22&gt;=設定!$D$13,"A",IF(AE22&gt;=設定!$E$13,"B","C")))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20" t="n">
        <v>45</v>
      </c>
      <c r="D23" s="19" t="n">
        <v>45</v>
      </c>
      <c r="E23" s="19" t="n">
        <v>46</v>
      </c>
      <c r="F23" s="19" t="n">
        <v>50</v>
      </c>
      <c r="G23" s="19" t="n">
        <v>49</v>
      </c>
      <c r="H23" s="19"/>
      <c r="I23" s="19"/>
      <c r="J23" s="19"/>
      <c r="K23" s="19"/>
      <c r="L23" s="19"/>
      <c r="M23" s="19"/>
      <c r="N23" s="17" t="n">
        <f aca="false">IF(COUNT(C23:M23)=0,"",SUM(C23:M23))</f>
        <v>235</v>
      </c>
      <c r="O23" s="17" t="n">
        <f aca="false">IF(OR(N23="",$N$4-SUMIF(C23:M23,"欠",$C$4:$M$4)&lt;=0),"",ROUND(N23/($N$4-SUMIF(C23:M23,"欠",$C$4:$M$4))*100,0))</f>
        <v>94</v>
      </c>
      <c r="P23" s="17" t="str">
        <f aca="false">IF(O23="","",IF(O23&gt;=設定!$D$13,"A",IF(O23&gt;=設定!$E$13,"B","C")))</f>
        <v>A</v>
      </c>
      <c r="Q23" s="20" t="n">
        <v>50</v>
      </c>
      <c r="R23" s="19" t="n">
        <v>45</v>
      </c>
      <c r="S23" s="19" t="n">
        <v>46</v>
      </c>
      <c r="T23" s="19" t="n">
        <v>40</v>
      </c>
      <c r="U23" s="19" t="n">
        <v>41</v>
      </c>
      <c r="V23" s="19"/>
      <c r="W23" s="19"/>
      <c r="X23" s="19"/>
      <c r="Y23" s="19"/>
      <c r="Z23" s="19"/>
      <c r="AA23" s="17" t="n">
        <f aca="false">IF(COUNT(Q23:Z23)=0,"",SUM(Q23:Z23))</f>
        <v>222</v>
      </c>
      <c r="AB23" s="17" t="n">
        <f aca="false">IF(OR(AA23="",$AA$4-SUMIF(Q23:Z23,"欠",$Q$4:$Z$4)&lt;=0),"",ROUND(AA23/($AA$4-SUMIF(Q23:Z23,"欠",$Q$4:$Z$4))*100,0))</f>
        <v>89</v>
      </c>
      <c r="AC23" s="17" t="str">
        <f aca="false">IF(AB23="","",IF(AB23&gt;=設定!$D$13,"A",IF(AB23&gt;=設定!$E$13,"B","C")))</f>
        <v>B</v>
      </c>
      <c r="AD23" s="17" t="n">
        <f aca="false">IF(AND(N23="",AA23=""),"",IF(N23="",0,N23)+IF(AA23="",0,AA23))</f>
        <v>457</v>
      </c>
      <c r="AE23" s="17" t="n">
        <f aca="false">IF(AD23="","",IF($AD$4-SUMIF(C23:M23,"欠",$C$4:$M$4)-SUMIF(Q23:Z23,"欠",$Q$4:$Z$4)&lt;=0,"",ROUND(AD23/($AD$4-SUMIF(C23:M23,"欠",$C$4:$M$4)-SUMIF(Q23:Z23,"欠",$Q$4:$Z$4))*100,0)))</f>
        <v>91</v>
      </c>
      <c r="AF23" s="17" t="str">
        <f aca="false">IF(AE23="","",IF(AE23&gt;=設定!$D$13,"A",IF(AE23&gt;=設定!$E$13,"B","C")))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20" t="n">
        <v>35</v>
      </c>
      <c r="D24" s="19" t="n">
        <v>32</v>
      </c>
      <c r="E24" s="19" t="n">
        <v>39</v>
      </c>
      <c r="F24" s="19" t="n">
        <v>38</v>
      </c>
      <c r="G24" s="19" t="n">
        <v>36</v>
      </c>
      <c r="H24" s="19"/>
      <c r="I24" s="19"/>
      <c r="J24" s="19"/>
      <c r="K24" s="19"/>
      <c r="L24" s="19"/>
      <c r="M24" s="19"/>
      <c r="N24" s="17" t="n">
        <f aca="false">IF(COUNT(C24:M24)=0,"",SUM(C24:M24))</f>
        <v>180</v>
      </c>
      <c r="O24" s="17" t="n">
        <f aca="false">IF(OR(N24="",$N$4-SUMIF(C24:M24,"欠",$C$4:$M$4)&lt;=0),"",ROUND(N24/($N$4-SUMIF(C24:M24,"欠",$C$4:$M$4))*100,0))</f>
        <v>72</v>
      </c>
      <c r="P24" s="17" t="str">
        <f aca="false">IF(O24="","",IF(O24&gt;=設定!$D$13,"A",IF(O24&gt;=設定!$E$13,"B","C")))</f>
        <v>B</v>
      </c>
      <c r="Q24" s="20" t="n">
        <v>32</v>
      </c>
      <c r="R24" s="19" t="n">
        <v>35</v>
      </c>
      <c r="S24" s="19" t="n">
        <v>29</v>
      </c>
      <c r="T24" s="19" t="n">
        <v>20</v>
      </c>
      <c r="U24" s="19" t="n">
        <v>30</v>
      </c>
      <c r="V24" s="19"/>
      <c r="W24" s="19"/>
      <c r="X24" s="19"/>
      <c r="Y24" s="19"/>
      <c r="Z24" s="19"/>
      <c r="AA24" s="17" t="n">
        <f aca="false">IF(COUNT(Q24:Z24)=0,"",SUM(Q24:Z24))</f>
        <v>146</v>
      </c>
      <c r="AB24" s="17" t="n">
        <f aca="false">IF(OR(AA24="",$AA$4-SUMIF(Q24:Z24,"欠",$Q$4:$Z$4)&lt;=0),"",ROUND(AA24/($AA$4-SUMIF(Q24:Z24,"欠",$Q$4:$Z$4))*100,0))</f>
        <v>58</v>
      </c>
      <c r="AC24" s="17" t="str">
        <f aca="false">IF(AB24="","",IF(AB24&gt;=設定!$D$13,"A",IF(AB24&gt;=設定!$E$13,"B","C")))</f>
        <v>C</v>
      </c>
      <c r="AD24" s="17" t="n">
        <f aca="false">IF(AND(N24="",AA24=""),"",IF(N24="",0,N24)+IF(AA24="",0,AA24))</f>
        <v>326</v>
      </c>
      <c r="AE24" s="17" t="n">
        <f aca="false">IF(AD24="","",IF($AD$4-SUMIF(C24:M24,"欠",$C$4:$M$4)-SUMIF(Q24:Z24,"欠",$Q$4:$Z$4)&lt;=0,"",ROUND(AD24/($AD$4-SUMIF(C24:M24,"欠",$C$4:$M$4)-SUMIF(Q24:Z24,"欠",$Q$4:$Z$4))*100,0)))</f>
        <v>65</v>
      </c>
      <c r="AF24" s="17" t="str">
        <f aca="false">IF(AE24="","",IF(AE24&gt;=設定!$D$13,"A",IF(AE24&gt;=設定!$E$13,"B","C")))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20" t="n">
        <v>44</v>
      </c>
      <c r="D25" s="19" t="n">
        <v>43</v>
      </c>
      <c r="E25" s="19" t="n">
        <v>46</v>
      </c>
      <c r="F25" s="19" t="n">
        <v>45</v>
      </c>
      <c r="G25" s="19" t="n">
        <v>48</v>
      </c>
      <c r="H25" s="19"/>
      <c r="I25" s="19"/>
      <c r="J25" s="19"/>
      <c r="K25" s="19"/>
      <c r="L25" s="19"/>
      <c r="M25" s="19"/>
      <c r="N25" s="17" t="n">
        <f aca="false">IF(COUNT(C25:M25)=0,"",SUM(C25:M25))</f>
        <v>226</v>
      </c>
      <c r="O25" s="17" t="n">
        <f aca="false">IF(OR(N25="",$N$4-SUMIF(C25:M25,"欠",$C$4:$M$4)&lt;=0),"",ROUND(N25/($N$4-SUMIF(C25:M25,"欠",$C$4:$M$4))*100,0))</f>
        <v>90</v>
      </c>
      <c r="P25" s="17" t="str">
        <f aca="false">IF(O25="","",IF(O25&gt;=設定!$D$13,"A",IF(O25&gt;=設定!$E$13,"B","C")))</f>
        <v>A</v>
      </c>
      <c r="Q25" s="20" t="n">
        <v>40</v>
      </c>
      <c r="R25" s="19" t="n">
        <v>46</v>
      </c>
      <c r="S25" s="19" t="n">
        <v>41</v>
      </c>
      <c r="T25" s="19" t="n">
        <v>50</v>
      </c>
      <c r="U25" s="19" t="n">
        <v>39</v>
      </c>
      <c r="V25" s="19"/>
      <c r="W25" s="19"/>
      <c r="X25" s="19"/>
      <c r="Y25" s="19"/>
      <c r="Z25" s="19"/>
      <c r="AA25" s="17" t="n">
        <f aca="false">IF(COUNT(Q25:Z25)=0,"",SUM(Q25:Z25))</f>
        <v>216</v>
      </c>
      <c r="AB25" s="17" t="n">
        <f aca="false">IF(OR(AA25="",$AA$4-SUMIF(Q25:Z25,"欠",$Q$4:$Z$4)&lt;=0),"",ROUND(AA25/($AA$4-SUMIF(Q25:Z25,"欠",$Q$4:$Z$4))*100,0))</f>
        <v>86</v>
      </c>
      <c r="AC25" s="17" t="str">
        <f aca="false">IF(AB25="","",IF(AB25&gt;=設定!$D$13,"A",IF(AB25&gt;=設定!$E$13,"B","C")))</f>
        <v>B</v>
      </c>
      <c r="AD25" s="17" t="n">
        <f aca="false">IF(AND(N25="",AA25=""),"",IF(N25="",0,N25)+IF(AA25="",0,AA25))</f>
        <v>442</v>
      </c>
      <c r="AE25" s="17" t="n">
        <f aca="false">IF(AD25="","",IF($AD$4-SUMIF(C25:M25,"欠",$C$4:$M$4)-SUMIF(Q25:Z25,"欠",$Q$4:$Z$4)&lt;=0,"",ROUND(AD25/($AD$4-SUMIF(C25:M25,"欠",$C$4:$M$4)-SUMIF(Q25:Z25,"欠",$Q$4:$Z$4))*100,0)))</f>
        <v>88</v>
      </c>
      <c r="AF25" s="17" t="str">
        <f aca="false">IF(AE25="","",IF(AE25&gt;=設定!$D$13,"A",IF(AE25&gt;=設定!$E$13,"B","C")))</f>
        <v>B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20" t="n">
        <v>43</v>
      </c>
      <c r="D26" s="19" t="n">
        <v>42</v>
      </c>
      <c r="E26" s="19" t="n">
        <v>41</v>
      </c>
      <c r="F26" s="19" t="n">
        <v>30</v>
      </c>
      <c r="G26" s="19" t="n">
        <v>41</v>
      </c>
      <c r="H26" s="19"/>
      <c r="I26" s="19"/>
      <c r="J26" s="19"/>
      <c r="K26" s="19"/>
      <c r="L26" s="19"/>
      <c r="M26" s="19"/>
      <c r="N26" s="17" t="n">
        <f aca="false">IF(COUNT(C26:M26)=0,"",SUM(C26:M26))</f>
        <v>197</v>
      </c>
      <c r="O26" s="17" t="n">
        <f aca="false">IF(OR(N26="",$N$4-SUMIF(C26:M26,"欠",$C$4:$M$4)&lt;=0),"",ROUND(N26/($N$4-SUMIF(C26:M26,"欠",$C$4:$M$4))*100,0))</f>
        <v>79</v>
      </c>
      <c r="P26" s="17" t="str">
        <f aca="false">IF(O26="","",IF(O26&gt;=設定!$D$13,"A",IF(O26&gt;=設定!$E$13,"B","C")))</f>
        <v>B</v>
      </c>
      <c r="Q26" s="20" t="n">
        <v>29</v>
      </c>
      <c r="R26" s="19" t="n">
        <v>21</v>
      </c>
      <c r="S26" s="19" t="n">
        <v>38</v>
      </c>
      <c r="T26" s="19" t="n">
        <v>36</v>
      </c>
      <c r="U26" s="19" t="n">
        <v>37</v>
      </c>
      <c r="V26" s="19"/>
      <c r="W26" s="19"/>
      <c r="X26" s="19"/>
      <c r="Y26" s="19"/>
      <c r="Z26" s="19"/>
      <c r="AA26" s="17" t="n">
        <f aca="false">IF(COUNT(Q26:Z26)=0,"",SUM(Q26:Z26))</f>
        <v>161</v>
      </c>
      <c r="AB26" s="17" t="n">
        <f aca="false">IF(OR(AA26="",$AA$4-SUMIF(Q26:Z26,"欠",$Q$4:$Z$4)&lt;=0),"",ROUND(AA26/($AA$4-SUMIF(Q26:Z26,"欠",$Q$4:$Z$4))*100,0))</f>
        <v>64</v>
      </c>
      <c r="AC26" s="17" t="str">
        <f aca="false">IF(AB26="","",IF(AB26&gt;=設定!$D$13,"A",IF(AB26&gt;=設定!$E$13,"B","C")))</f>
        <v>B</v>
      </c>
      <c r="AD26" s="17" t="n">
        <f aca="false">IF(AND(N26="",AA26=""),"",IF(N26="",0,N26)+IF(AA26="",0,AA26))</f>
        <v>358</v>
      </c>
      <c r="AE26" s="17" t="n">
        <f aca="false">IF(AD26="","",IF($AD$4-SUMIF(C26:M26,"欠",$C$4:$M$4)-SUMIF(Q26:Z26,"欠",$Q$4:$Z$4)&lt;=0,"",ROUND(AD26/($AD$4-SUMIF(C26:M26,"欠",$C$4:$M$4)-SUMIF(Q26:Z26,"欠",$Q$4:$Z$4))*100,0)))</f>
        <v>72</v>
      </c>
      <c r="AF26" s="17" t="str">
        <f aca="false">IF(AE26="","",IF(AE26&gt;=設定!$D$13,"A",IF(AE26&gt;=設定!$E$13,"B","C")))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20" t="n">
        <v>44</v>
      </c>
      <c r="D27" s="19" t="n">
        <v>40</v>
      </c>
      <c r="E27" s="19" t="n">
        <v>47</v>
      </c>
      <c r="F27" s="19" t="n">
        <v>43</v>
      </c>
      <c r="G27" s="19" t="n">
        <v>41</v>
      </c>
      <c r="H27" s="19"/>
      <c r="I27" s="19"/>
      <c r="J27" s="19"/>
      <c r="K27" s="19"/>
      <c r="L27" s="19"/>
      <c r="M27" s="19"/>
      <c r="N27" s="17" t="n">
        <f aca="false">IF(COUNT(C27:M27)=0,"",SUM(C27:M27))</f>
        <v>215</v>
      </c>
      <c r="O27" s="17" t="n">
        <f aca="false">IF(OR(N27="",$N$4-SUMIF(C27:M27,"欠",$C$4:$M$4)&lt;=0),"",ROUND(N27/($N$4-SUMIF(C27:M27,"欠",$C$4:$M$4))*100,0))</f>
        <v>86</v>
      </c>
      <c r="P27" s="17" t="str">
        <f aca="false">IF(O27="","",IF(O27&gt;=設定!$D$13,"A",IF(O27&gt;=設定!$E$13,"B","C")))</f>
        <v>B</v>
      </c>
      <c r="Q27" s="20" t="n">
        <v>40</v>
      </c>
      <c r="R27" s="19" t="n">
        <v>44</v>
      </c>
      <c r="S27" s="19" t="n">
        <v>36</v>
      </c>
      <c r="T27" s="19" t="n">
        <v>44</v>
      </c>
      <c r="U27" s="19" t="n">
        <v>33</v>
      </c>
      <c r="V27" s="19"/>
      <c r="W27" s="19"/>
      <c r="X27" s="19"/>
      <c r="Y27" s="19"/>
      <c r="Z27" s="19"/>
      <c r="AA27" s="17" t="n">
        <f aca="false">IF(COUNT(Q27:Z27)=0,"",SUM(Q27:Z27))</f>
        <v>197</v>
      </c>
      <c r="AB27" s="17" t="n">
        <f aca="false">IF(OR(AA27="",$AA$4-SUMIF(Q27:Z27,"欠",$Q$4:$Z$4)&lt;=0),"",ROUND(AA27/($AA$4-SUMIF(Q27:Z27,"欠",$Q$4:$Z$4))*100,0))</f>
        <v>79</v>
      </c>
      <c r="AC27" s="17" t="str">
        <f aca="false">IF(AB27="","",IF(AB27&gt;=設定!$D$13,"A",IF(AB27&gt;=設定!$E$13,"B","C")))</f>
        <v>B</v>
      </c>
      <c r="AD27" s="17" t="n">
        <f aca="false">IF(AND(N27="",AA27=""),"",IF(N27="",0,N27)+IF(AA27="",0,AA27))</f>
        <v>412</v>
      </c>
      <c r="AE27" s="17" t="n">
        <f aca="false">IF(AD27="","",IF($AD$4-SUMIF(C27:M27,"欠",$C$4:$M$4)-SUMIF(Q27:Z27,"欠",$Q$4:$Z$4)&lt;=0,"",ROUND(AD27/($AD$4-SUMIF(C27:M27,"欠",$C$4:$M$4)-SUMIF(Q27:Z27,"欠",$Q$4:$Z$4))*100,0)))</f>
        <v>82</v>
      </c>
      <c r="AF27" s="17" t="str">
        <f aca="false">IF(AE27="","",IF(AE27&gt;=設定!$D$13,"A",IF(AE27&gt;=設定!$E$13,"B","C")))</f>
        <v>B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20" t="n">
        <v>30</v>
      </c>
      <c r="D28" s="19" t="n">
        <v>31</v>
      </c>
      <c r="E28" s="19" t="n">
        <v>31</v>
      </c>
      <c r="F28" s="19" t="n">
        <v>31</v>
      </c>
      <c r="G28" s="19" t="n">
        <v>38</v>
      </c>
      <c r="H28" s="19"/>
      <c r="I28" s="19"/>
      <c r="J28" s="19"/>
      <c r="K28" s="19"/>
      <c r="L28" s="19"/>
      <c r="M28" s="19"/>
      <c r="N28" s="17" t="n">
        <f aca="false">IF(COUNT(C28:M28)=0,"",SUM(C28:M28))</f>
        <v>161</v>
      </c>
      <c r="O28" s="17" t="n">
        <f aca="false">IF(OR(N28="",$N$4-SUMIF(C28:M28,"欠",$C$4:$M$4)&lt;=0),"",ROUND(N28/($N$4-SUMIF(C28:M28,"欠",$C$4:$M$4))*100,0))</f>
        <v>64</v>
      </c>
      <c r="P28" s="17" t="str">
        <f aca="false">IF(O28="","",IF(O28&gt;=設定!$D$13,"A",IF(O28&gt;=設定!$E$13,"B","C")))</f>
        <v>B</v>
      </c>
      <c r="Q28" s="20" t="n">
        <v>29</v>
      </c>
      <c r="R28" s="19" t="n">
        <v>19</v>
      </c>
      <c r="S28" s="19" t="n">
        <v>25</v>
      </c>
      <c r="T28" s="19" t="n">
        <v>24</v>
      </c>
      <c r="U28" s="19" t="n">
        <v>34</v>
      </c>
      <c r="V28" s="19"/>
      <c r="W28" s="19"/>
      <c r="X28" s="19"/>
      <c r="Y28" s="19"/>
      <c r="Z28" s="19"/>
      <c r="AA28" s="17" t="n">
        <f aca="false">IF(COUNT(Q28:Z28)=0,"",SUM(Q28:Z28))</f>
        <v>131</v>
      </c>
      <c r="AB28" s="17" t="n">
        <f aca="false">IF(OR(AA28="",$AA$4-SUMIF(Q28:Z28,"欠",$Q$4:$Z$4)&lt;=0),"",ROUND(AA28/($AA$4-SUMIF(Q28:Z28,"欠",$Q$4:$Z$4))*100,0))</f>
        <v>52</v>
      </c>
      <c r="AC28" s="17" t="str">
        <f aca="false">IF(AB28="","",IF(AB28&gt;=設定!$D$13,"A",IF(AB28&gt;=設定!$E$13,"B","C")))</f>
        <v>C</v>
      </c>
      <c r="AD28" s="17" t="n">
        <f aca="false">IF(AND(N28="",AA28=""),"",IF(N28="",0,N28)+IF(AA28="",0,AA28))</f>
        <v>292</v>
      </c>
      <c r="AE28" s="17" t="n">
        <f aca="false">IF(AD28="","",IF($AD$4-SUMIF(C28:M28,"欠",$C$4:$M$4)-SUMIF(Q28:Z28,"欠",$Q$4:$Z$4)&lt;=0,"",ROUND(AD28/($AD$4-SUMIF(C28:M28,"欠",$C$4:$M$4)-SUMIF(Q28:Z28,"欠",$Q$4:$Z$4))*100,0)))</f>
        <v>58</v>
      </c>
      <c r="AF28" s="17" t="str">
        <f aca="false">IF(AE28="","",IF(AE28&gt;=設定!$D$13,"A",IF(AE28&gt;=設定!$E$13,"B","C")))</f>
        <v>C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20" t="n">
        <v>30</v>
      </c>
      <c r="D29" s="19" t="n">
        <v>38</v>
      </c>
      <c r="E29" s="19" t="n">
        <v>37</v>
      </c>
      <c r="F29" s="19" t="n">
        <v>38</v>
      </c>
      <c r="G29" s="19" t="n">
        <v>32</v>
      </c>
      <c r="H29" s="19"/>
      <c r="I29" s="19"/>
      <c r="J29" s="19"/>
      <c r="K29" s="19"/>
      <c r="L29" s="19"/>
      <c r="M29" s="19"/>
      <c r="N29" s="17" t="n">
        <f aca="false">IF(COUNT(C29:M29)=0,"",SUM(C29:M29))</f>
        <v>175</v>
      </c>
      <c r="O29" s="17" t="n">
        <f aca="false">IF(OR(N29="",$N$4-SUMIF(C29:M29,"欠",$C$4:$M$4)&lt;=0),"",ROUND(N29/($N$4-SUMIF(C29:M29,"欠",$C$4:$M$4))*100,0))</f>
        <v>70</v>
      </c>
      <c r="P29" s="17" t="str">
        <f aca="false">IF(O29="","",IF(O29&gt;=設定!$D$13,"A",IF(O29&gt;=設定!$E$13,"B","C")))</f>
        <v>B</v>
      </c>
      <c r="Q29" s="20" t="n">
        <v>24</v>
      </c>
      <c r="R29" s="19" t="n">
        <v>28</v>
      </c>
      <c r="S29" s="19" t="n">
        <v>25</v>
      </c>
      <c r="T29" s="19" t="n">
        <v>30</v>
      </c>
      <c r="U29" s="19" t="n">
        <v>45</v>
      </c>
      <c r="V29" s="19"/>
      <c r="W29" s="19"/>
      <c r="X29" s="19"/>
      <c r="Y29" s="19"/>
      <c r="Z29" s="19"/>
      <c r="AA29" s="17" t="n">
        <f aca="false">IF(COUNT(Q29:Z29)=0,"",SUM(Q29:Z29))</f>
        <v>152</v>
      </c>
      <c r="AB29" s="17" t="n">
        <f aca="false">IF(OR(AA29="",$AA$4-SUMIF(Q29:Z29,"欠",$Q$4:$Z$4)&lt;=0),"",ROUND(AA29/($AA$4-SUMIF(Q29:Z29,"欠",$Q$4:$Z$4))*100,0))</f>
        <v>61</v>
      </c>
      <c r="AC29" s="17" t="str">
        <f aca="false">IF(AB29="","",IF(AB29&gt;=設定!$D$13,"A",IF(AB29&gt;=設定!$E$13,"B","C")))</f>
        <v>B</v>
      </c>
      <c r="AD29" s="17" t="n">
        <f aca="false">IF(AND(N29="",AA29=""),"",IF(N29="",0,N29)+IF(AA29="",0,AA29))</f>
        <v>327</v>
      </c>
      <c r="AE29" s="17" t="n">
        <f aca="false">IF(AD29="","",IF($AD$4-SUMIF(C29:M29,"欠",$C$4:$M$4)-SUMIF(Q29:Z29,"欠",$Q$4:$Z$4)&lt;=0,"",ROUND(AD29/($AD$4-SUMIF(C29:M29,"欠",$C$4:$M$4)-SUMIF(Q29:Z29,"欠",$Q$4:$Z$4))*100,0)))</f>
        <v>65</v>
      </c>
      <c r="AF29" s="17" t="str">
        <f aca="false">IF(AE29="","",IF(AE29&gt;=設定!$D$13,"A",IF(AE29&gt;=設定!$E$13,"B","C")))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20" t="n">
        <v>37</v>
      </c>
      <c r="D30" s="19" t="n">
        <v>44</v>
      </c>
      <c r="E30" s="19" t="n">
        <v>46</v>
      </c>
      <c r="F30" s="19" t="n">
        <v>36</v>
      </c>
      <c r="G30" s="19" t="n">
        <v>37</v>
      </c>
      <c r="H30" s="19"/>
      <c r="I30" s="19"/>
      <c r="J30" s="19"/>
      <c r="K30" s="19"/>
      <c r="L30" s="19"/>
      <c r="M30" s="19"/>
      <c r="N30" s="17" t="n">
        <f aca="false">IF(COUNT(C30:M30)=0,"",SUM(C30:M30))</f>
        <v>200</v>
      </c>
      <c r="O30" s="17" t="n">
        <f aca="false">IF(OR(N30="",$N$4-SUMIF(C30:M30,"欠",$C$4:$M$4)&lt;=0),"",ROUND(N30/($N$4-SUMIF(C30:M30,"欠",$C$4:$M$4))*100,0))</f>
        <v>80</v>
      </c>
      <c r="P30" s="17" t="str">
        <f aca="false">IF(O30="","",IF(O30&gt;=設定!$D$13,"A",IF(O30&gt;=設定!$E$13,"B","C")))</f>
        <v>B</v>
      </c>
      <c r="Q30" s="20" t="n">
        <v>33</v>
      </c>
      <c r="R30" s="19" t="n">
        <v>35</v>
      </c>
      <c r="S30" s="19" t="n">
        <v>43</v>
      </c>
      <c r="T30" s="19" t="n">
        <v>35</v>
      </c>
      <c r="U30" s="19" t="n">
        <v>41</v>
      </c>
      <c r="V30" s="19"/>
      <c r="W30" s="19"/>
      <c r="X30" s="19"/>
      <c r="Y30" s="19"/>
      <c r="Z30" s="19"/>
      <c r="AA30" s="17" t="n">
        <f aca="false">IF(COUNT(Q30:Z30)=0,"",SUM(Q30:Z30))</f>
        <v>187</v>
      </c>
      <c r="AB30" s="17" t="n">
        <f aca="false">IF(OR(AA30="",$AA$4-SUMIF(Q30:Z30,"欠",$Q$4:$Z$4)&lt;=0),"",ROUND(AA30/($AA$4-SUMIF(Q30:Z30,"欠",$Q$4:$Z$4))*100,0))</f>
        <v>75</v>
      </c>
      <c r="AC30" s="17" t="str">
        <f aca="false">IF(AB30="","",IF(AB30&gt;=設定!$D$13,"A",IF(AB30&gt;=設定!$E$13,"B","C")))</f>
        <v>B</v>
      </c>
      <c r="AD30" s="17" t="n">
        <f aca="false">IF(AND(N30="",AA30=""),"",IF(N30="",0,N30)+IF(AA30="",0,AA30))</f>
        <v>387</v>
      </c>
      <c r="AE30" s="17" t="n">
        <f aca="false">IF(AD30="","",IF($AD$4-SUMIF(C30:M30,"欠",$C$4:$M$4)-SUMIF(Q30:Z30,"欠",$Q$4:$Z$4)&lt;=0,"",ROUND(AD30/($AD$4-SUMIF(C30:M30,"欠",$C$4:$M$4)-SUMIF(Q30:Z30,"欠",$Q$4:$Z$4))*100,0)))</f>
        <v>77</v>
      </c>
      <c r="AF30" s="17" t="str">
        <f aca="false">IF(AE30="","",IF(AE30&gt;=設定!$D$13,"A",IF(AE30&gt;=設定!$E$13,"B","C")))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20" t="n">
        <v>44</v>
      </c>
      <c r="D31" s="19" t="n">
        <v>43</v>
      </c>
      <c r="E31" s="19" t="n">
        <v>44</v>
      </c>
      <c r="F31" s="19" t="n">
        <v>36</v>
      </c>
      <c r="G31" s="19" t="n">
        <v>38</v>
      </c>
      <c r="H31" s="19"/>
      <c r="I31" s="19"/>
      <c r="J31" s="19"/>
      <c r="K31" s="19"/>
      <c r="L31" s="19"/>
      <c r="M31" s="19"/>
      <c r="N31" s="17" t="n">
        <f aca="false">IF(COUNT(C31:M31)=0,"",SUM(C31:M31))</f>
        <v>205</v>
      </c>
      <c r="O31" s="17" t="n">
        <f aca="false">IF(OR(N31="",$N$4-SUMIF(C31:M31,"欠",$C$4:$M$4)&lt;=0),"",ROUND(N31/($N$4-SUMIF(C31:M31,"欠",$C$4:$M$4))*100,0))</f>
        <v>82</v>
      </c>
      <c r="P31" s="17" t="str">
        <f aca="false">IF(O31="","",IF(O31&gt;=設定!$D$13,"A",IF(O31&gt;=設定!$E$13,"B","C")))</f>
        <v>B</v>
      </c>
      <c r="Q31" s="20" t="n">
        <v>44</v>
      </c>
      <c r="R31" s="19" t="n">
        <v>46</v>
      </c>
      <c r="S31" s="19" t="n">
        <v>32</v>
      </c>
      <c r="T31" s="19" t="n">
        <v>37</v>
      </c>
      <c r="U31" s="19" t="n">
        <v>29</v>
      </c>
      <c r="V31" s="19"/>
      <c r="W31" s="19"/>
      <c r="X31" s="19"/>
      <c r="Y31" s="19"/>
      <c r="Z31" s="19"/>
      <c r="AA31" s="17" t="n">
        <f aca="false">IF(COUNT(Q31:Z31)=0,"",SUM(Q31:Z31))</f>
        <v>188</v>
      </c>
      <c r="AB31" s="17" t="n">
        <f aca="false">IF(OR(AA31="",$AA$4-SUMIF(Q31:Z31,"欠",$Q$4:$Z$4)&lt;=0),"",ROUND(AA31/($AA$4-SUMIF(Q31:Z31,"欠",$Q$4:$Z$4))*100,0))</f>
        <v>75</v>
      </c>
      <c r="AC31" s="17" t="str">
        <f aca="false">IF(AB31="","",IF(AB31&gt;=設定!$D$13,"A",IF(AB31&gt;=設定!$E$13,"B","C")))</f>
        <v>B</v>
      </c>
      <c r="AD31" s="17" t="n">
        <f aca="false">IF(AND(N31="",AA31=""),"",IF(N31="",0,N31)+IF(AA31="",0,AA31))</f>
        <v>393</v>
      </c>
      <c r="AE31" s="17" t="n">
        <f aca="false">IF(AD31="","",IF($AD$4-SUMIF(C31:M31,"欠",$C$4:$M$4)-SUMIF(Q31:Z31,"欠",$Q$4:$Z$4)&lt;=0,"",ROUND(AD31/($AD$4-SUMIF(C31:M31,"欠",$C$4:$M$4)-SUMIF(Q31:Z31,"欠",$Q$4:$Z$4))*100,0)))</f>
        <v>79</v>
      </c>
      <c r="AF31" s="17" t="str">
        <f aca="false">IF(AE31="","",IF(AE31&gt;=設定!$D$13,"A",IF(AE31&gt;=設定!$E$13,"B","C")))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20" t="n">
        <v>34</v>
      </c>
      <c r="D32" s="19" t="n">
        <v>33</v>
      </c>
      <c r="E32" s="19" t="n">
        <v>33</v>
      </c>
      <c r="F32" s="19" t="n">
        <v>32</v>
      </c>
      <c r="G32" s="19" t="n">
        <v>28</v>
      </c>
      <c r="H32" s="19"/>
      <c r="I32" s="19"/>
      <c r="J32" s="19"/>
      <c r="K32" s="19"/>
      <c r="L32" s="19"/>
      <c r="M32" s="19"/>
      <c r="N32" s="17" t="n">
        <f aca="false">IF(COUNT(C32:M32)=0,"",SUM(C32:M32))</f>
        <v>160</v>
      </c>
      <c r="O32" s="17" t="n">
        <f aca="false">IF(OR(N32="",$N$4-SUMIF(C32:M32,"欠",$C$4:$M$4)&lt;=0),"",ROUND(N32/($N$4-SUMIF(C32:M32,"欠",$C$4:$M$4))*100,0))</f>
        <v>64</v>
      </c>
      <c r="P32" s="17" t="str">
        <f aca="false">IF(O32="","",IF(O32&gt;=設定!$D$13,"A",IF(O32&gt;=設定!$E$13,"B","C")))</f>
        <v>B</v>
      </c>
      <c r="Q32" s="20" t="n">
        <v>34</v>
      </c>
      <c r="R32" s="19" t="n">
        <v>34</v>
      </c>
      <c r="S32" s="19" t="n">
        <v>28</v>
      </c>
      <c r="T32" s="19" t="n">
        <v>36</v>
      </c>
      <c r="U32" s="19" t="n">
        <v>35</v>
      </c>
      <c r="V32" s="19"/>
      <c r="W32" s="19"/>
      <c r="X32" s="19"/>
      <c r="Y32" s="19"/>
      <c r="Z32" s="19"/>
      <c r="AA32" s="17" t="n">
        <f aca="false">IF(COUNT(Q32:Z32)=0,"",SUM(Q32:Z32))</f>
        <v>167</v>
      </c>
      <c r="AB32" s="17" t="n">
        <f aca="false">IF(OR(AA32="",$AA$4-SUMIF(Q32:Z32,"欠",$Q$4:$Z$4)&lt;=0),"",ROUND(AA32/($AA$4-SUMIF(Q32:Z32,"欠",$Q$4:$Z$4))*100,0))</f>
        <v>67</v>
      </c>
      <c r="AC32" s="17" t="str">
        <f aca="false">IF(AB32="","",IF(AB32&gt;=設定!$D$13,"A",IF(AB32&gt;=設定!$E$13,"B","C")))</f>
        <v>B</v>
      </c>
      <c r="AD32" s="17" t="n">
        <f aca="false">IF(AND(N32="",AA32=""),"",IF(N32="",0,N32)+IF(AA32="",0,AA32))</f>
        <v>327</v>
      </c>
      <c r="AE32" s="17" t="n">
        <f aca="false">IF(AD32="","",IF($AD$4-SUMIF(C32:M32,"欠",$C$4:$M$4)-SUMIF(Q32:Z32,"欠",$Q$4:$Z$4)&lt;=0,"",ROUND(AD32/($AD$4-SUMIF(C32:M32,"欠",$C$4:$M$4)-SUMIF(Q32:Z32,"欠",$Q$4:$Z$4))*100,0)))</f>
        <v>65</v>
      </c>
      <c r="AF32" s="17" t="str">
        <f aca="false">IF(AE32="","",IF(AE32&gt;=設定!$D$13,"A",IF(AE32&gt;=設定!$E$13,"B","C")))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20" t="n">
        <v>45</v>
      </c>
      <c r="D33" s="19" t="n">
        <v>48</v>
      </c>
      <c r="E33" s="19" t="n">
        <v>49</v>
      </c>
      <c r="F33" s="19" t="n">
        <v>50</v>
      </c>
      <c r="G33" s="19" t="n">
        <v>50</v>
      </c>
      <c r="H33" s="19"/>
      <c r="I33" s="19"/>
      <c r="J33" s="19"/>
      <c r="K33" s="19"/>
      <c r="L33" s="19"/>
      <c r="M33" s="19"/>
      <c r="N33" s="17" t="n">
        <f aca="false">IF(COUNT(C33:M33)=0,"",SUM(C33:M33))</f>
        <v>242</v>
      </c>
      <c r="O33" s="17" t="n">
        <f aca="false">IF(OR(N33="",$N$4-SUMIF(C33:M33,"欠",$C$4:$M$4)&lt;=0),"",ROUND(N33/($N$4-SUMIF(C33:M33,"欠",$C$4:$M$4))*100,0))</f>
        <v>97</v>
      </c>
      <c r="P33" s="17" t="str">
        <f aca="false">IF(O33="","",IF(O33&gt;=設定!$D$13,"A",IF(O33&gt;=設定!$E$13,"B","C")))</f>
        <v>A</v>
      </c>
      <c r="Q33" s="20" t="n">
        <v>43</v>
      </c>
      <c r="R33" s="19" t="n">
        <v>43</v>
      </c>
      <c r="S33" s="19" t="n">
        <v>50</v>
      </c>
      <c r="T33" s="19" t="n">
        <v>49</v>
      </c>
      <c r="U33" s="19" t="n">
        <v>41</v>
      </c>
      <c r="V33" s="19"/>
      <c r="W33" s="19"/>
      <c r="X33" s="19"/>
      <c r="Y33" s="19"/>
      <c r="Z33" s="19"/>
      <c r="AA33" s="17" t="n">
        <f aca="false">IF(COUNT(Q33:Z33)=0,"",SUM(Q33:Z33))</f>
        <v>226</v>
      </c>
      <c r="AB33" s="17" t="n">
        <f aca="false">IF(OR(AA33="",$AA$4-SUMIF(Q33:Z33,"欠",$Q$4:$Z$4)&lt;=0),"",ROUND(AA33/($AA$4-SUMIF(Q33:Z33,"欠",$Q$4:$Z$4))*100,0))</f>
        <v>90</v>
      </c>
      <c r="AC33" s="17" t="str">
        <f aca="false">IF(AB33="","",IF(AB33&gt;=設定!$D$13,"A",IF(AB33&gt;=設定!$E$13,"B","C")))</f>
        <v>A</v>
      </c>
      <c r="AD33" s="17" t="n">
        <f aca="false">IF(AND(N33="",AA33=""),"",IF(N33="",0,N33)+IF(AA33="",0,AA33))</f>
        <v>468</v>
      </c>
      <c r="AE33" s="17" t="n">
        <f aca="false">IF(AD33="","",IF($AD$4-SUMIF(C33:M33,"欠",$C$4:$M$4)-SUMIF(Q33:Z33,"欠",$Q$4:$Z$4)&lt;=0,"",ROUND(AD33/($AD$4-SUMIF(C33:M33,"欠",$C$4:$M$4)-SUMIF(Q33:Z33,"欠",$Q$4:$Z$4))*100,0)))</f>
        <v>94</v>
      </c>
      <c r="AF33" s="17" t="str">
        <f aca="false">IF(AE33="","",IF(AE33&gt;=設定!$D$13,"A",IF(AE33&gt;=設定!$E$13,"B","C")))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20" t="n">
        <v>46</v>
      </c>
      <c r="D34" s="19" t="n">
        <v>44</v>
      </c>
      <c r="E34" s="19" t="n">
        <v>47</v>
      </c>
      <c r="F34" s="19" t="n">
        <v>42</v>
      </c>
      <c r="G34" s="19" t="n">
        <v>47</v>
      </c>
      <c r="H34" s="19"/>
      <c r="I34" s="19"/>
      <c r="J34" s="19"/>
      <c r="K34" s="19"/>
      <c r="L34" s="19"/>
      <c r="M34" s="19"/>
      <c r="N34" s="17" t="n">
        <f aca="false">IF(COUNT(C34:M34)=0,"",SUM(C34:M34))</f>
        <v>226</v>
      </c>
      <c r="O34" s="17" t="n">
        <f aca="false">IF(OR(N34="",$N$4-SUMIF(C34:M34,"欠",$C$4:$M$4)&lt;=0),"",ROUND(N34/($N$4-SUMIF(C34:M34,"欠",$C$4:$M$4))*100,0))</f>
        <v>90</v>
      </c>
      <c r="P34" s="17" t="str">
        <f aca="false">IF(O34="","",IF(O34&gt;=設定!$D$13,"A",IF(O34&gt;=設定!$E$13,"B","C")))</f>
        <v>A</v>
      </c>
      <c r="Q34" s="20" t="n">
        <v>47</v>
      </c>
      <c r="R34" s="19" t="n">
        <v>33</v>
      </c>
      <c r="S34" s="19" t="n">
        <v>42</v>
      </c>
      <c r="T34" s="19" t="n">
        <v>39</v>
      </c>
      <c r="U34" s="19" t="n">
        <v>40</v>
      </c>
      <c r="V34" s="19"/>
      <c r="W34" s="19"/>
      <c r="X34" s="19"/>
      <c r="Y34" s="19"/>
      <c r="Z34" s="19"/>
      <c r="AA34" s="17" t="n">
        <f aca="false">IF(COUNT(Q34:Z34)=0,"",SUM(Q34:Z34))</f>
        <v>201</v>
      </c>
      <c r="AB34" s="17" t="n">
        <f aca="false">IF(OR(AA34="",$AA$4-SUMIF(Q34:Z34,"欠",$Q$4:$Z$4)&lt;=0),"",ROUND(AA34/($AA$4-SUMIF(Q34:Z34,"欠",$Q$4:$Z$4))*100,0))</f>
        <v>80</v>
      </c>
      <c r="AC34" s="17" t="str">
        <f aca="false">IF(AB34="","",IF(AB34&gt;=設定!$D$13,"A",IF(AB34&gt;=設定!$E$13,"B","C")))</f>
        <v>B</v>
      </c>
      <c r="AD34" s="17" t="n">
        <f aca="false">IF(AND(N34="",AA34=""),"",IF(N34="",0,N34)+IF(AA34="",0,AA34))</f>
        <v>427</v>
      </c>
      <c r="AE34" s="17" t="n">
        <f aca="false">IF(AD34="","",IF($AD$4-SUMIF(C34:M34,"欠",$C$4:$M$4)-SUMIF(Q34:Z34,"欠",$Q$4:$Z$4)&lt;=0,"",ROUND(AD34/($AD$4-SUMIF(C34:M34,"欠",$C$4:$M$4)-SUMIF(Q34:Z34,"欠",$Q$4:$Z$4))*100,0)))</f>
        <v>85</v>
      </c>
      <c r="AF34" s="17" t="str">
        <f aca="false">IF(AE34="","",IF(AE34&gt;=設定!$D$13,"A",IF(AE34&gt;=設定!$E$13,"B","C")))</f>
        <v>B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20" t="n">
        <v>45</v>
      </c>
      <c r="D35" s="19" t="n">
        <v>34</v>
      </c>
      <c r="E35" s="19" t="n">
        <v>37</v>
      </c>
      <c r="F35" s="19" t="n">
        <v>37</v>
      </c>
      <c r="G35" s="19" t="n">
        <v>33</v>
      </c>
      <c r="H35" s="19"/>
      <c r="I35" s="19"/>
      <c r="J35" s="19"/>
      <c r="K35" s="19"/>
      <c r="L35" s="19"/>
      <c r="M35" s="19"/>
      <c r="N35" s="17" t="n">
        <f aca="false">IF(COUNT(C35:M35)=0,"",SUM(C35:M35))</f>
        <v>186</v>
      </c>
      <c r="O35" s="17" t="n">
        <f aca="false">IF(OR(N35="",$N$4-SUMIF(C35:M35,"欠",$C$4:$M$4)&lt;=0),"",ROUND(N35/($N$4-SUMIF(C35:M35,"欠",$C$4:$M$4))*100,0))</f>
        <v>74</v>
      </c>
      <c r="P35" s="17" t="str">
        <f aca="false">IF(O35="","",IF(O35&gt;=設定!$D$13,"A",IF(O35&gt;=設定!$E$13,"B","C")))</f>
        <v>B</v>
      </c>
      <c r="Q35" s="20" t="n">
        <v>34</v>
      </c>
      <c r="R35" s="19" t="n">
        <v>39</v>
      </c>
      <c r="S35" s="19" t="n">
        <v>31</v>
      </c>
      <c r="T35" s="19" t="n">
        <v>37</v>
      </c>
      <c r="U35" s="19" t="n">
        <v>30</v>
      </c>
      <c r="V35" s="19"/>
      <c r="W35" s="19"/>
      <c r="X35" s="19"/>
      <c r="Y35" s="19"/>
      <c r="Z35" s="19"/>
      <c r="AA35" s="17" t="n">
        <f aca="false">IF(COUNT(Q35:Z35)=0,"",SUM(Q35:Z35))</f>
        <v>171</v>
      </c>
      <c r="AB35" s="17" t="n">
        <f aca="false">IF(OR(AA35="",$AA$4-SUMIF(Q35:Z35,"欠",$Q$4:$Z$4)&lt;=0),"",ROUND(AA35/($AA$4-SUMIF(Q35:Z35,"欠",$Q$4:$Z$4))*100,0))</f>
        <v>68</v>
      </c>
      <c r="AC35" s="17" t="str">
        <f aca="false">IF(AB35="","",IF(AB35&gt;=設定!$D$13,"A",IF(AB35&gt;=設定!$E$13,"B","C")))</f>
        <v>B</v>
      </c>
      <c r="AD35" s="17" t="n">
        <f aca="false">IF(AND(N35="",AA35=""),"",IF(N35="",0,N35)+IF(AA35="",0,AA35))</f>
        <v>357</v>
      </c>
      <c r="AE35" s="17" t="n">
        <f aca="false">IF(AD35="","",IF($AD$4-SUMIF(C35:M35,"欠",$C$4:$M$4)-SUMIF(Q35:Z35,"欠",$Q$4:$Z$4)&lt;=0,"",ROUND(AD35/($AD$4-SUMIF(C35:M35,"欠",$C$4:$M$4)-SUMIF(Q35:Z35,"欠",$Q$4:$Z$4))*100,0)))</f>
        <v>71</v>
      </c>
      <c r="AF35" s="17" t="str">
        <f aca="false">IF(AE35="","",IF(AE35&gt;=設定!$D$13,"A",IF(AE35&gt;=設定!$E$13,"B","C")))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20" t="n">
        <v>42</v>
      </c>
      <c r="D36" s="19" t="n">
        <v>50</v>
      </c>
      <c r="E36" s="19" t="n">
        <v>50</v>
      </c>
      <c r="F36" s="19" t="n">
        <v>41</v>
      </c>
      <c r="G36" s="19" t="n">
        <v>45</v>
      </c>
      <c r="H36" s="19"/>
      <c r="I36" s="19"/>
      <c r="J36" s="19"/>
      <c r="K36" s="19"/>
      <c r="L36" s="19"/>
      <c r="M36" s="19"/>
      <c r="N36" s="17" t="n">
        <f aca="false">IF(COUNT(C36:M36)=0,"",SUM(C36:M36))</f>
        <v>228</v>
      </c>
      <c r="O36" s="17" t="n">
        <f aca="false">IF(OR(N36="",$N$4-SUMIF(C36:M36,"欠",$C$4:$M$4)&lt;=0),"",ROUND(N36/($N$4-SUMIF(C36:M36,"欠",$C$4:$M$4))*100,0))</f>
        <v>91</v>
      </c>
      <c r="P36" s="17" t="str">
        <f aca="false">IF(O36="","",IF(O36&gt;=設定!$D$13,"A",IF(O36&gt;=設定!$E$13,"B","C")))</f>
        <v>A</v>
      </c>
      <c r="Q36" s="20" t="n">
        <v>38</v>
      </c>
      <c r="R36" s="19" t="n">
        <v>44</v>
      </c>
      <c r="S36" s="19" t="n">
        <v>45</v>
      </c>
      <c r="T36" s="19" t="n">
        <v>32</v>
      </c>
      <c r="U36" s="19" t="n">
        <v>44</v>
      </c>
      <c r="V36" s="19"/>
      <c r="W36" s="19"/>
      <c r="X36" s="19"/>
      <c r="Y36" s="19"/>
      <c r="Z36" s="19"/>
      <c r="AA36" s="17" t="n">
        <f aca="false">IF(COUNT(Q36:Z36)=0,"",SUM(Q36:Z36))</f>
        <v>203</v>
      </c>
      <c r="AB36" s="17" t="n">
        <f aca="false">IF(OR(AA36="",$AA$4-SUMIF(Q36:Z36,"欠",$Q$4:$Z$4)&lt;=0),"",ROUND(AA36/($AA$4-SUMIF(Q36:Z36,"欠",$Q$4:$Z$4))*100,0))</f>
        <v>81</v>
      </c>
      <c r="AC36" s="17" t="str">
        <f aca="false">IF(AB36="","",IF(AB36&gt;=設定!$D$13,"A",IF(AB36&gt;=設定!$E$13,"B","C")))</f>
        <v>B</v>
      </c>
      <c r="AD36" s="17" t="n">
        <f aca="false">IF(AND(N36="",AA36=""),"",IF(N36="",0,N36)+IF(AA36="",0,AA36))</f>
        <v>431</v>
      </c>
      <c r="AE36" s="17" t="n">
        <f aca="false">IF(AD36="","",IF($AD$4-SUMIF(C36:M36,"欠",$C$4:$M$4)-SUMIF(Q36:Z36,"欠",$Q$4:$Z$4)&lt;=0,"",ROUND(AD36/($AD$4-SUMIF(C36:M36,"欠",$C$4:$M$4)-SUMIF(Q36:Z36,"欠",$Q$4:$Z$4))*100,0)))</f>
        <v>86</v>
      </c>
      <c r="AF36" s="17" t="str">
        <f aca="false">IF(AE36="","",IF(AE36&gt;=設定!$D$13,"A",IF(AE36&gt;=設定!$E$13,"B","C")))</f>
        <v>B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20" t="n">
        <v>38</v>
      </c>
      <c r="D37" s="19" t="n">
        <v>36</v>
      </c>
      <c r="E37" s="19" t="n">
        <v>39</v>
      </c>
      <c r="F37" s="19" t="n">
        <v>40</v>
      </c>
      <c r="G37" s="19" t="n">
        <v>48</v>
      </c>
      <c r="H37" s="19"/>
      <c r="I37" s="19"/>
      <c r="J37" s="19"/>
      <c r="K37" s="19"/>
      <c r="L37" s="19"/>
      <c r="M37" s="19"/>
      <c r="N37" s="17" t="n">
        <f aca="false">IF(COUNT(C37:M37)=0,"",SUM(C37:M37))</f>
        <v>201</v>
      </c>
      <c r="O37" s="17" t="n">
        <f aca="false">IF(OR(N37="",$N$4-SUMIF(C37:M37,"欠",$C$4:$M$4)&lt;=0),"",ROUND(N37/($N$4-SUMIF(C37:M37,"欠",$C$4:$M$4))*100,0))</f>
        <v>80</v>
      </c>
      <c r="P37" s="17" t="str">
        <f aca="false">IF(O37="","",IF(O37&gt;=設定!$D$13,"A",IF(O37&gt;=設定!$E$13,"B","C")))</f>
        <v>B</v>
      </c>
      <c r="Q37" s="20" t="n">
        <v>39</v>
      </c>
      <c r="R37" s="19" t="n">
        <v>33</v>
      </c>
      <c r="S37" s="19" t="n">
        <v>35</v>
      </c>
      <c r="T37" s="19" t="n">
        <v>37</v>
      </c>
      <c r="U37" s="19" t="n">
        <v>30</v>
      </c>
      <c r="V37" s="19"/>
      <c r="W37" s="19"/>
      <c r="X37" s="19"/>
      <c r="Y37" s="19"/>
      <c r="Z37" s="19"/>
      <c r="AA37" s="17" t="n">
        <f aca="false">IF(COUNT(Q37:Z37)=0,"",SUM(Q37:Z37))</f>
        <v>174</v>
      </c>
      <c r="AB37" s="17" t="n">
        <f aca="false">IF(OR(AA37="",$AA$4-SUMIF(Q37:Z37,"欠",$Q$4:$Z$4)&lt;=0),"",ROUND(AA37/($AA$4-SUMIF(Q37:Z37,"欠",$Q$4:$Z$4))*100,0))</f>
        <v>70</v>
      </c>
      <c r="AC37" s="17" t="str">
        <f aca="false">IF(AB37="","",IF(AB37&gt;=設定!$D$13,"A",IF(AB37&gt;=設定!$E$13,"B","C")))</f>
        <v>B</v>
      </c>
      <c r="AD37" s="17" t="n">
        <f aca="false">IF(AND(N37="",AA37=""),"",IF(N37="",0,N37)+IF(AA37="",0,AA37))</f>
        <v>375</v>
      </c>
      <c r="AE37" s="17" t="n">
        <f aca="false">IF(AD37="","",IF($AD$4-SUMIF(C37:M37,"欠",$C$4:$M$4)-SUMIF(Q37:Z37,"欠",$Q$4:$Z$4)&lt;=0,"",ROUND(AD37/($AD$4-SUMIF(C37:M37,"欠",$C$4:$M$4)-SUMIF(Q37:Z37,"欠",$Q$4:$Z$4))*100,0)))</f>
        <v>75</v>
      </c>
      <c r="AF37" s="17" t="str">
        <f aca="false">IF(AE37="","",IF(AE37&gt;=設定!$D$13,"A",IF(AE37&gt;=設定!$E$13,"B","C")))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20" t="n">
        <v>32</v>
      </c>
      <c r="D38" s="19" t="n">
        <v>40</v>
      </c>
      <c r="E38" s="19" t="n">
        <v>42</v>
      </c>
      <c r="F38" s="19" t="n">
        <v>40</v>
      </c>
      <c r="G38" s="19" t="n">
        <v>39</v>
      </c>
      <c r="H38" s="19"/>
      <c r="I38" s="19"/>
      <c r="J38" s="19"/>
      <c r="K38" s="19"/>
      <c r="L38" s="19"/>
      <c r="M38" s="19"/>
      <c r="N38" s="17" t="n">
        <f aca="false">IF(COUNT(C38:M38)=0,"",SUM(C38:M38))</f>
        <v>193</v>
      </c>
      <c r="O38" s="17" t="n">
        <f aca="false">IF(OR(N38="",$N$4-SUMIF(C38:M38,"欠",$C$4:$M$4)&lt;=0),"",ROUND(N38/($N$4-SUMIF(C38:M38,"欠",$C$4:$M$4))*100,0))</f>
        <v>77</v>
      </c>
      <c r="P38" s="17" t="str">
        <f aca="false">IF(O38="","",IF(O38&gt;=設定!$D$13,"A",IF(O38&gt;=設定!$E$13,"B","C")))</f>
        <v>B</v>
      </c>
      <c r="Q38" s="20" t="n">
        <v>23</v>
      </c>
      <c r="R38" s="19" t="n">
        <v>33</v>
      </c>
      <c r="S38" s="19" t="n">
        <v>34</v>
      </c>
      <c r="T38" s="19" t="n">
        <v>33</v>
      </c>
      <c r="U38" s="19" t="n">
        <v>32</v>
      </c>
      <c r="V38" s="19"/>
      <c r="W38" s="19"/>
      <c r="X38" s="19"/>
      <c r="Y38" s="19"/>
      <c r="Z38" s="19"/>
      <c r="AA38" s="17" t="n">
        <f aca="false">IF(COUNT(Q38:Z38)=0,"",SUM(Q38:Z38))</f>
        <v>155</v>
      </c>
      <c r="AB38" s="17" t="n">
        <f aca="false">IF(OR(AA38="",$AA$4-SUMIF(Q38:Z38,"欠",$Q$4:$Z$4)&lt;=0),"",ROUND(AA38/($AA$4-SUMIF(Q38:Z38,"欠",$Q$4:$Z$4))*100,0))</f>
        <v>62</v>
      </c>
      <c r="AC38" s="17" t="str">
        <f aca="false">IF(AB38="","",IF(AB38&gt;=設定!$D$13,"A",IF(AB38&gt;=設定!$E$13,"B","C")))</f>
        <v>B</v>
      </c>
      <c r="AD38" s="17" t="n">
        <f aca="false">IF(AND(N38="",AA38=""),"",IF(N38="",0,N38)+IF(AA38="",0,AA38))</f>
        <v>348</v>
      </c>
      <c r="AE38" s="17" t="n">
        <f aca="false">IF(AD38="","",IF($AD$4-SUMIF(C38:M38,"欠",$C$4:$M$4)-SUMIF(Q38:Z38,"欠",$Q$4:$Z$4)&lt;=0,"",ROUND(AD38/($AD$4-SUMIF(C38:M38,"欠",$C$4:$M$4)-SUMIF(Q38:Z38,"欠",$Q$4:$Z$4))*100,0)))</f>
        <v>70</v>
      </c>
      <c r="AF38" s="17" t="str">
        <f aca="false">IF(AE38="","",IF(AE38&gt;=設定!$D$13,"A",IF(AE38&gt;=設定!$E$13,"B","C")))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20" t="n">
        <v>45</v>
      </c>
      <c r="D39" s="19" t="n">
        <v>40</v>
      </c>
      <c r="E39" s="19" t="n">
        <v>44</v>
      </c>
      <c r="F39" s="19" t="n">
        <v>44</v>
      </c>
      <c r="G39" s="19" t="n">
        <v>42</v>
      </c>
      <c r="H39" s="19"/>
      <c r="I39" s="19"/>
      <c r="J39" s="19"/>
      <c r="K39" s="19"/>
      <c r="L39" s="19"/>
      <c r="M39" s="19"/>
      <c r="N39" s="17" t="n">
        <f aca="false">IF(COUNT(C39:M39)=0,"",SUM(C39:M39))</f>
        <v>215</v>
      </c>
      <c r="O39" s="17" t="n">
        <f aca="false">IF(OR(N39="",$N$4-SUMIF(C39:M39,"欠",$C$4:$M$4)&lt;=0),"",ROUND(N39/($N$4-SUMIF(C39:M39,"欠",$C$4:$M$4))*100,0))</f>
        <v>86</v>
      </c>
      <c r="P39" s="17" t="str">
        <f aca="false">IF(O39="","",IF(O39&gt;=設定!$D$13,"A",IF(O39&gt;=設定!$E$13,"B","C")))</f>
        <v>B</v>
      </c>
      <c r="Q39" s="20" t="n">
        <v>40</v>
      </c>
      <c r="R39" s="19" t="n">
        <v>47</v>
      </c>
      <c r="S39" s="19" t="n">
        <v>34</v>
      </c>
      <c r="T39" s="19" t="n">
        <v>43</v>
      </c>
      <c r="U39" s="19" t="n">
        <v>40</v>
      </c>
      <c r="V39" s="19"/>
      <c r="W39" s="19"/>
      <c r="X39" s="19"/>
      <c r="Y39" s="19"/>
      <c r="Z39" s="19"/>
      <c r="AA39" s="17" t="n">
        <f aca="false">IF(COUNT(Q39:Z39)=0,"",SUM(Q39:Z39))</f>
        <v>204</v>
      </c>
      <c r="AB39" s="17" t="n">
        <f aca="false">IF(OR(AA39="",$AA$4-SUMIF(Q39:Z39,"欠",$Q$4:$Z$4)&lt;=0),"",ROUND(AA39/($AA$4-SUMIF(Q39:Z39,"欠",$Q$4:$Z$4))*100,0))</f>
        <v>82</v>
      </c>
      <c r="AC39" s="17" t="str">
        <f aca="false">IF(AB39="","",IF(AB39&gt;=設定!$D$13,"A",IF(AB39&gt;=設定!$E$13,"B","C")))</f>
        <v>B</v>
      </c>
      <c r="AD39" s="17" t="n">
        <f aca="false">IF(AND(N39="",AA39=""),"",IF(N39="",0,N39)+IF(AA39="",0,AA39))</f>
        <v>419</v>
      </c>
      <c r="AE39" s="17" t="n">
        <f aca="false">IF(AD39="","",IF($AD$4-SUMIF(C39:M39,"欠",$C$4:$M$4)-SUMIF(Q39:Z39,"欠",$Q$4:$Z$4)&lt;=0,"",ROUND(AD39/($AD$4-SUMIF(C39:M39,"欠",$C$4:$M$4)-SUMIF(Q39:Z39,"欠",$Q$4:$Z$4))*100,0)))</f>
        <v>84</v>
      </c>
      <c r="AF39" s="17" t="str">
        <f aca="false">IF(AE39="","",IF(AE39&gt;=設定!$D$13,"A",IF(AE39&gt;=設定!$E$13,"B","C")))</f>
        <v>B</v>
      </c>
    </row>
    <row r="40" s="30" customFormat="true" ht="19.5" hidden="false" customHeight="true" outlineLevel="0" collapsed="false">
      <c r="A40" s="35"/>
      <c r="B40" s="35" t="s">
        <v>81</v>
      </c>
      <c r="C40" s="35" t="n">
        <f aca="false">IF(COUNT(C5:C39)=0,"",ROUND(AVERAGE(C5:C39),1))</f>
        <v>41.7</v>
      </c>
      <c r="D40" s="35" t="n">
        <f aca="false">IF(COUNT(D5:D39)=0,"",ROUND(AVERAGE(D5:D39),1))</f>
        <v>40.9</v>
      </c>
      <c r="E40" s="35" t="n">
        <f aca="false">IF(COUNT(E5:E39)=0,"",ROUND(AVERAGE(E5:E39),1))</f>
        <v>42.5</v>
      </c>
      <c r="F40" s="35" t="n">
        <f aca="false">IF(COUNT(F5:F39)=0,"",ROUND(AVERAGE(F5:F39),1))</f>
        <v>41.2</v>
      </c>
      <c r="G40" s="35" t="n">
        <f aca="false">IF(COUNT(G5:G39)=0,"",ROUND(AVERAGE(G5:G39),1))</f>
        <v>41</v>
      </c>
      <c r="H40" s="35" t="str">
        <f aca="false">IF(COUNT(H5:H39)=0,"",ROUND(AVERAGE(H5:H39),1))</f>
        <v/>
      </c>
      <c r="I40" s="35" t="str">
        <f aca="false">IF(COUNT(I5:I39)=0,"",ROUND(AVERAGE(I5:I39),1))</f>
        <v/>
      </c>
      <c r="J40" s="35" t="str">
        <f aca="false">IF(COUNT(J5:J39)=0,"",ROUND(AVERAGE(J5:J39),1))</f>
        <v/>
      </c>
      <c r="K40" s="35" t="str">
        <f aca="false">IF(COUNT(K5:K39)=0,"",ROUND(AVERAGE(K5:K39),1))</f>
        <v/>
      </c>
      <c r="L40" s="35" t="str">
        <f aca="false">IF(COUNT(L5:L39)=0,"",ROUND(AVERAGE(L5:L39),1))</f>
        <v/>
      </c>
      <c r="M40" s="35" t="str">
        <f aca="false">IF(COUNT(M5:M39)=0,"",ROUND(AVERAGE(M5:M39),1))</f>
        <v/>
      </c>
      <c r="N40" s="35" t="n">
        <f aca="false">IF(COUNT(N5:N39)=0,"",ROUND(AVERAGE(N5:N39),1))</f>
        <v>206.2</v>
      </c>
      <c r="O40" s="35" t="n">
        <f aca="false">IF(COUNT(O5:O39)=0,"",ROUND(AVERAGE(O5:O39),1))</f>
        <v>82.9</v>
      </c>
      <c r="P40" s="35"/>
      <c r="Q40" s="35" t="n">
        <f aca="false">IF(COUNT(Q5:Q39)=0,"",ROUND(AVERAGE(Q5:Q39),1))</f>
        <v>37.6</v>
      </c>
      <c r="R40" s="35" t="n">
        <f aca="false">IF(COUNT(R5:R39)=0,"",ROUND(AVERAGE(R5:R39),1))</f>
        <v>38.7</v>
      </c>
      <c r="S40" s="35" t="n">
        <f aca="false">IF(COUNT(S5:S39)=0,"",ROUND(AVERAGE(S5:S39),1))</f>
        <v>37.7</v>
      </c>
      <c r="T40" s="35" t="n">
        <f aca="false">IF(COUNT(T5:T39)=0,"",ROUND(AVERAGE(T5:T39),1))</f>
        <v>37.5</v>
      </c>
      <c r="U40" s="35" t="n">
        <f aca="false">IF(COUNT(U5:U39)=0,"",ROUND(AVERAGE(U5:U39),1))</f>
        <v>37.1</v>
      </c>
      <c r="V40" s="35" t="str">
        <f aca="false">IF(COUNT(V5:V39)=0,"",ROUND(AVERAGE(V5:V39),1))</f>
        <v/>
      </c>
      <c r="W40" s="35" t="str">
        <f aca="false">IF(COUNT(W5:W39)=0,"",ROUND(AVERAGE(W5:W39),1))</f>
        <v/>
      </c>
      <c r="X40" s="35" t="str">
        <f aca="false">IF(COUNT(X5:X39)=0,"",ROUND(AVERAGE(X5:X39),1))</f>
        <v/>
      </c>
      <c r="Y40" s="35" t="str">
        <f aca="false">IF(COUNT(Y5:Y39)=0,"",ROUND(AVERAGE(Y5:Y39),1))</f>
        <v/>
      </c>
      <c r="Z40" s="35" t="str">
        <f aca="false">IF(COUNT(Z5:Z39)=0,"",ROUND(AVERAGE(Z5:Z39),1))</f>
        <v/>
      </c>
      <c r="AA40" s="35" t="n">
        <f aca="false">IF(COUNT(AA5:AA39)=0,"",ROUND(AVERAGE(AA5:AA39),1))</f>
        <v>187.5</v>
      </c>
      <c r="AB40" s="35" t="n">
        <f aca="false">IF(COUNT(AB5:AB39)=0,"",ROUND(AVERAGE(AB5:AB39),1))</f>
        <v>75.5</v>
      </c>
      <c r="AC40" s="35"/>
      <c r="AD40" s="35" t="n">
        <f aca="false">IF(COUNT(AD5:AD39)=0,"",ROUND(AVERAGE(AD5:AD39),1))</f>
        <v>393.7</v>
      </c>
      <c r="AE40" s="35" t="n">
        <f aca="false">IF(COUNT(AE5:AE39)=0,"",ROUND(AVERAGE(AE5:AE39),1))</f>
        <v>79.1</v>
      </c>
      <c r="AF40" s="35"/>
    </row>
    <row r="41" s="30" customFormat="true" ht="19.5" hidden="false" customHeight="true" outlineLevel="0" collapsed="false">
      <c r="A41" s="35"/>
      <c r="B41" s="35" t="s">
        <v>82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 t="n">
        <f aca="false">COUNTIF(P5:P39,"A")</f>
        <v>12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 t="n">
        <f aca="false">COUNTIF(AC5:AC39,"A")</f>
        <v>5</v>
      </c>
      <c r="AD41" s="35"/>
      <c r="AE41" s="35"/>
      <c r="AF41" s="35" t="n">
        <f aca="false">COUNTIF(AF5:AF39,"A")</f>
        <v>8</v>
      </c>
    </row>
    <row r="42" s="30" customFormat="true" ht="19.5" hidden="false" customHeight="true" outlineLevel="0" collapsed="false">
      <c r="A42" s="35"/>
      <c r="B42" s="35" t="s">
        <v>83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 t="n">
        <f aca="false">COUNTIF(P5:P39,"B")</f>
        <v>22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 t="n">
        <f aca="false">COUNTIF(AC5:AC39,"B")</f>
        <v>26</v>
      </c>
      <c r="AD42" s="35"/>
      <c r="AE42" s="35"/>
      <c r="AF42" s="35" t="n">
        <f aca="false">COUNTIF(AF5:AF39,"B")</f>
        <v>24</v>
      </c>
    </row>
    <row r="43" s="30" customFormat="true" ht="19.5" hidden="false" customHeight="true" outlineLevel="0" collapsed="false">
      <c r="A43" s="35"/>
      <c r="B43" s="35" t="s">
        <v>84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 t="n">
        <f aca="false">COUNTIF(P5:P39,"C")</f>
        <v>1</v>
      </c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 t="n">
        <f aca="false">COUNTIF(AC5:AC39,"C")</f>
        <v>4</v>
      </c>
      <c r="AD43" s="35"/>
      <c r="AE43" s="35"/>
      <c r="AF43" s="35" t="n">
        <f aca="false">COUNTIF(AF5:AF39,"C")</f>
        <v>3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134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customFormat="false" ht="19.5" hidden="false" customHeight="true" outlineLevel="0" collapsed="false">
      <c r="A2" s="36" t="s">
        <v>62</v>
      </c>
      <c r="B2" s="36"/>
      <c r="C2" s="36" t="s">
        <v>63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 t="s">
        <v>64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 t="s">
        <v>65</v>
      </c>
      <c r="AE2" s="36"/>
      <c r="AF2" s="36"/>
    </row>
    <row r="3" customFormat="false" ht="178.5" hidden="false" customHeight="true" outlineLevel="0" collapsed="false">
      <c r="A3" s="36" t="s">
        <v>66</v>
      </c>
      <c r="B3" s="36"/>
      <c r="C3" s="37" t="s">
        <v>135</v>
      </c>
      <c r="D3" s="37" t="s">
        <v>136</v>
      </c>
      <c r="E3" s="37" t="s">
        <v>137</v>
      </c>
      <c r="F3" s="37" t="s">
        <v>138</v>
      </c>
      <c r="G3" s="37" t="s">
        <v>139</v>
      </c>
      <c r="H3" s="37"/>
      <c r="I3" s="37"/>
      <c r="J3" s="37"/>
      <c r="K3" s="37"/>
      <c r="L3" s="37"/>
      <c r="M3" s="37"/>
      <c r="N3" s="38" t="s">
        <v>73</v>
      </c>
      <c r="O3" s="38" t="s">
        <v>74</v>
      </c>
      <c r="P3" s="38" t="s">
        <v>75</v>
      </c>
      <c r="Q3" s="37" t="s">
        <v>135</v>
      </c>
      <c r="R3" s="37" t="s">
        <v>136</v>
      </c>
      <c r="S3" s="37" t="s">
        <v>137</v>
      </c>
      <c r="T3" s="37" t="s">
        <v>138</v>
      </c>
      <c r="U3" s="37" t="s">
        <v>139</v>
      </c>
      <c r="V3" s="37"/>
      <c r="W3" s="37"/>
      <c r="X3" s="37"/>
      <c r="Y3" s="37"/>
      <c r="Z3" s="37"/>
      <c r="AA3" s="38" t="s">
        <v>73</v>
      </c>
      <c r="AB3" s="38" t="s">
        <v>74</v>
      </c>
      <c r="AC3" s="38" t="s">
        <v>75</v>
      </c>
      <c r="AD3" s="38" t="s">
        <v>76</v>
      </c>
      <c r="AE3" s="38" t="s">
        <v>77</v>
      </c>
      <c r="AF3" s="38" t="s">
        <v>78</v>
      </c>
    </row>
    <row r="4" customFormat="false" ht="21.75" hidden="false" customHeight="true" outlineLevel="0" collapsed="false">
      <c r="A4" s="36" t="s">
        <v>1</v>
      </c>
      <c r="B4" s="36" t="s">
        <v>79</v>
      </c>
      <c r="C4" s="39" t="n">
        <v>50</v>
      </c>
      <c r="D4" s="39" t="n">
        <v>50</v>
      </c>
      <c r="E4" s="39" t="n">
        <v>50</v>
      </c>
      <c r="F4" s="39" t="n">
        <v>50</v>
      </c>
      <c r="G4" s="39" t="n">
        <v>50</v>
      </c>
      <c r="H4" s="39"/>
      <c r="I4" s="39"/>
      <c r="J4" s="39"/>
      <c r="K4" s="39"/>
      <c r="L4" s="39"/>
      <c r="M4" s="39"/>
      <c r="N4" s="36" t="n">
        <f aca="false">SUM(C4:M4)</f>
        <v>250</v>
      </c>
      <c r="O4" s="36"/>
      <c r="P4" s="36"/>
      <c r="Q4" s="39" t="n">
        <v>50</v>
      </c>
      <c r="R4" s="39" t="n">
        <v>50</v>
      </c>
      <c r="S4" s="39" t="n">
        <v>50</v>
      </c>
      <c r="T4" s="39" t="n">
        <v>50</v>
      </c>
      <c r="U4" s="39" t="n">
        <v>50</v>
      </c>
      <c r="V4" s="39"/>
      <c r="W4" s="39"/>
      <c r="X4" s="39"/>
      <c r="Y4" s="39"/>
      <c r="Z4" s="39"/>
      <c r="AA4" s="36" t="n">
        <f aca="false">SUM(Q4:Z4)</f>
        <v>250</v>
      </c>
      <c r="AB4" s="36"/>
      <c r="AC4" s="36"/>
      <c r="AD4" s="36" t="n">
        <f aca="false">N4+AA4</f>
        <v>500</v>
      </c>
      <c r="AE4" s="36"/>
      <c r="AF4" s="36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50</v>
      </c>
      <c r="D5" s="19" t="n">
        <v>50</v>
      </c>
      <c r="E5" s="19" t="n">
        <v>50</v>
      </c>
      <c r="F5" s="19" t="n">
        <v>49</v>
      </c>
      <c r="G5" s="19" t="n">
        <v>50</v>
      </c>
      <c r="H5" s="19"/>
      <c r="I5" s="19"/>
      <c r="J5" s="19"/>
      <c r="K5" s="19"/>
      <c r="L5" s="19"/>
      <c r="M5" s="19"/>
      <c r="N5" s="17" t="n">
        <f aca="false">IF(COUNT(C5:M5)=0,"",SUM(C5:M5))</f>
        <v>249</v>
      </c>
      <c r="O5" s="17" t="n">
        <f aca="false">IF(OR(N5="",$N$4-SUMIF(C5:M5,"欠",$C$4:$M$4)&lt;=0),"",ROUND(N5/($N$4-SUMIF(C5:M5,"欠",$C$4:$M$4))*100,0))</f>
        <v>100</v>
      </c>
      <c r="P5" s="17" t="str">
        <f aca="false">IF(O5="","",IF(O5&gt;=設定!$D$14,"A",IF(O5&gt;=設定!$E$14,"B","C")))</f>
        <v>A</v>
      </c>
      <c r="Q5" s="19" t="n">
        <v>50</v>
      </c>
      <c r="R5" s="19" t="n">
        <v>44</v>
      </c>
      <c r="S5" s="19" t="n">
        <v>49</v>
      </c>
      <c r="T5" s="19" t="n">
        <v>44</v>
      </c>
      <c r="U5" s="19" t="n">
        <v>49</v>
      </c>
      <c r="V5" s="19"/>
      <c r="W5" s="19"/>
      <c r="X5" s="19"/>
      <c r="Y5" s="19"/>
      <c r="Z5" s="19"/>
      <c r="AA5" s="17" t="n">
        <f aca="false">IF(COUNT(Q5:Z5)=0,"",SUM(Q5:Z5))</f>
        <v>236</v>
      </c>
      <c r="AB5" s="17" t="n">
        <f aca="false">IF(OR(AA5="",$AA$4-SUMIF(Q5:Z5,"欠",$Q$4:$Z$4)&lt;=0),"",ROUND(AA5/($AA$4-SUMIF(Q5:Z5,"欠",$Q$4:$Z$4))*100,0))</f>
        <v>94</v>
      </c>
      <c r="AC5" s="17" t="str">
        <f aca="false">IF(AB5="","",IF(AB5&gt;=設定!$D$14,"A",IF(AB5&gt;=設定!$E$14,"B","C")))</f>
        <v>A</v>
      </c>
      <c r="AD5" s="17" t="n">
        <f aca="false">IF(AND(N5="",AA5=""),"",IF(N5="",0,N5)+IF(AA5="",0,AA5))</f>
        <v>485</v>
      </c>
      <c r="AE5" s="17" t="n">
        <f aca="false">IF(AD5="","",IF($AD$4-SUMIF(C5:M5,"欠",$C$4:$M$4)-SUMIF(Q5:Z5,"欠",$Q$4:$Z$4)&lt;=0,"",ROUND(AD5/($AD$4-SUMIF(C5:M5,"欠",$C$4:$M$4)-SUMIF(Q5:Z5,"欠",$Q$4:$Z$4))*100,0)))</f>
        <v>97</v>
      </c>
      <c r="AF5" s="17" t="str">
        <f aca="false">IF(AE5="","",IF(AE5&gt;=設定!$D$14,"A",IF(AE5&gt;=設定!$E$14,"B","C")))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38</v>
      </c>
      <c r="D6" s="19" t="n">
        <v>41</v>
      </c>
      <c r="E6" s="19" t="n">
        <v>48</v>
      </c>
      <c r="F6" s="19" t="n">
        <v>44</v>
      </c>
      <c r="G6" s="19" t="n">
        <v>45</v>
      </c>
      <c r="H6" s="19"/>
      <c r="I6" s="19"/>
      <c r="J6" s="19"/>
      <c r="K6" s="19"/>
      <c r="L6" s="19"/>
      <c r="M6" s="19"/>
      <c r="N6" s="17" t="n">
        <f aca="false">IF(COUNT(C6:M6)=0,"",SUM(C6:M6))</f>
        <v>216</v>
      </c>
      <c r="O6" s="17" t="n">
        <f aca="false">IF(OR(N6="",$N$4-SUMIF(C6:M6,"欠",$C$4:$M$4)&lt;=0),"",ROUND(N6/($N$4-SUMIF(C6:M6,"欠",$C$4:$M$4))*100,0))</f>
        <v>86</v>
      </c>
      <c r="P6" s="17" t="str">
        <f aca="false">IF(O6="","",IF(O6&gt;=設定!$D$14,"A",IF(O6&gt;=設定!$E$14,"B","C")))</f>
        <v>B</v>
      </c>
      <c r="Q6" s="19" t="n">
        <v>34</v>
      </c>
      <c r="R6" s="19" t="n">
        <v>32</v>
      </c>
      <c r="S6" s="19" t="n">
        <v>32</v>
      </c>
      <c r="T6" s="19" t="n">
        <v>38</v>
      </c>
      <c r="U6" s="19" t="n">
        <v>35</v>
      </c>
      <c r="V6" s="19"/>
      <c r="W6" s="19"/>
      <c r="X6" s="19"/>
      <c r="Y6" s="19"/>
      <c r="Z6" s="19"/>
      <c r="AA6" s="17" t="n">
        <f aca="false">IF(COUNT(Q6:Z6)=0,"",SUM(Q6:Z6))</f>
        <v>171</v>
      </c>
      <c r="AB6" s="17" t="n">
        <f aca="false">IF(OR(AA6="",$AA$4-SUMIF(Q6:Z6,"欠",$Q$4:$Z$4)&lt;=0),"",ROUND(AA6/($AA$4-SUMIF(Q6:Z6,"欠",$Q$4:$Z$4))*100,0))</f>
        <v>68</v>
      </c>
      <c r="AC6" s="17" t="str">
        <f aca="false">IF(AB6="","",IF(AB6&gt;=設定!$D$14,"A",IF(AB6&gt;=設定!$E$14,"B","C")))</f>
        <v>B</v>
      </c>
      <c r="AD6" s="17" t="n">
        <f aca="false">IF(AND(N6="",AA6=""),"",IF(N6="",0,N6)+IF(AA6="",0,AA6))</f>
        <v>387</v>
      </c>
      <c r="AE6" s="17" t="n">
        <f aca="false">IF(AD6="","",IF($AD$4-SUMIF(C6:M6,"欠",$C$4:$M$4)-SUMIF(Q6:Z6,"欠",$Q$4:$Z$4)&lt;=0,"",ROUND(AD6/($AD$4-SUMIF(C6:M6,"欠",$C$4:$M$4)-SUMIF(Q6:Z6,"欠",$Q$4:$Z$4))*100,0)))</f>
        <v>77</v>
      </c>
      <c r="AF6" s="17" t="str">
        <f aca="false">IF(AE6="","",IF(AE6&gt;=設定!$D$14,"A",IF(AE6&gt;=設定!$E$14,"B","C")))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45</v>
      </c>
      <c r="D7" s="19" t="n">
        <v>50</v>
      </c>
      <c r="E7" s="19" t="n">
        <v>49</v>
      </c>
      <c r="F7" s="19" t="n">
        <v>50</v>
      </c>
      <c r="G7" s="19" t="n">
        <v>49</v>
      </c>
      <c r="H7" s="19"/>
      <c r="I7" s="19"/>
      <c r="J7" s="19"/>
      <c r="K7" s="19"/>
      <c r="L7" s="19"/>
      <c r="M7" s="19"/>
      <c r="N7" s="17" t="n">
        <f aca="false">IF(COUNT(C7:M7)=0,"",SUM(C7:M7))</f>
        <v>243</v>
      </c>
      <c r="O7" s="17" t="n">
        <f aca="false">IF(OR(N7="",$N$4-SUMIF(C7:M7,"欠",$C$4:$M$4)&lt;=0),"",ROUND(N7/($N$4-SUMIF(C7:M7,"欠",$C$4:$M$4))*100,0))</f>
        <v>97</v>
      </c>
      <c r="P7" s="17" t="str">
        <f aca="false">IF(O7="","",IF(O7&gt;=設定!$D$14,"A",IF(O7&gt;=設定!$E$14,"B","C")))</f>
        <v>A</v>
      </c>
      <c r="Q7" s="19" t="n">
        <v>42</v>
      </c>
      <c r="R7" s="19" t="n">
        <v>46</v>
      </c>
      <c r="S7" s="19" t="n">
        <v>43</v>
      </c>
      <c r="T7" s="19" t="n">
        <v>41</v>
      </c>
      <c r="U7" s="19" t="n">
        <v>45</v>
      </c>
      <c r="V7" s="19"/>
      <c r="W7" s="19"/>
      <c r="X7" s="19"/>
      <c r="Y7" s="19"/>
      <c r="Z7" s="19"/>
      <c r="AA7" s="17" t="n">
        <f aca="false">IF(COUNT(Q7:Z7)=0,"",SUM(Q7:Z7))</f>
        <v>217</v>
      </c>
      <c r="AB7" s="17" t="n">
        <f aca="false">IF(OR(AA7="",$AA$4-SUMIF(Q7:Z7,"欠",$Q$4:$Z$4)&lt;=0),"",ROUND(AA7/($AA$4-SUMIF(Q7:Z7,"欠",$Q$4:$Z$4))*100,0))</f>
        <v>87</v>
      </c>
      <c r="AC7" s="17" t="str">
        <f aca="false">IF(AB7="","",IF(AB7&gt;=設定!$D$14,"A",IF(AB7&gt;=設定!$E$14,"B","C")))</f>
        <v>B</v>
      </c>
      <c r="AD7" s="17" t="n">
        <f aca="false">IF(AND(N7="",AA7=""),"",IF(N7="",0,N7)+IF(AA7="",0,AA7))</f>
        <v>460</v>
      </c>
      <c r="AE7" s="17" t="n">
        <f aca="false">IF(AD7="","",IF($AD$4-SUMIF(C7:M7,"欠",$C$4:$M$4)-SUMIF(Q7:Z7,"欠",$Q$4:$Z$4)&lt;=0,"",ROUND(AD7/($AD$4-SUMIF(C7:M7,"欠",$C$4:$M$4)-SUMIF(Q7:Z7,"欠",$Q$4:$Z$4))*100,0)))</f>
        <v>92</v>
      </c>
      <c r="AF7" s="17" t="str">
        <f aca="false">IF(AE7="","",IF(AE7&gt;=設定!$D$14,"A",IF(AE7&gt;=設定!$E$14,"B","C")))</f>
        <v>A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44</v>
      </c>
      <c r="D8" s="19" t="n">
        <v>46</v>
      </c>
      <c r="E8" s="19" t="n">
        <v>45</v>
      </c>
      <c r="F8" s="19" t="n">
        <v>43</v>
      </c>
      <c r="G8" s="19" t="n">
        <v>35</v>
      </c>
      <c r="H8" s="19"/>
      <c r="I8" s="19"/>
      <c r="J8" s="19"/>
      <c r="K8" s="19"/>
      <c r="L8" s="19"/>
      <c r="M8" s="19"/>
      <c r="N8" s="17" t="n">
        <f aca="false">IF(COUNT(C8:M8)=0,"",SUM(C8:M8))</f>
        <v>213</v>
      </c>
      <c r="O8" s="17" t="n">
        <f aca="false">IF(OR(N8="",$N$4-SUMIF(C8:M8,"欠",$C$4:$M$4)&lt;=0),"",ROUND(N8/($N$4-SUMIF(C8:M8,"欠",$C$4:$M$4))*100,0))</f>
        <v>85</v>
      </c>
      <c r="P8" s="17" t="str">
        <f aca="false">IF(O8="","",IF(O8&gt;=設定!$D$14,"A",IF(O8&gt;=設定!$E$14,"B","C")))</f>
        <v>B</v>
      </c>
      <c r="Q8" s="19" t="n">
        <v>37</v>
      </c>
      <c r="R8" s="19" t="n">
        <v>34</v>
      </c>
      <c r="S8" s="19" t="n">
        <v>39</v>
      </c>
      <c r="T8" s="19" t="n">
        <v>37</v>
      </c>
      <c r="U8" s="19" t="n">
        <v>39</v>
      </c>
      <c r="V8" s="19"/>
      <c r="W8" s="19"/>
      <c r="X8" s="19"/>
      <c r="Y8" s="19"/>
      <c r="Z8" s="19"/>
      <c r="AA8" s="17" t="n">
        <f aca="false">IF(COUNT(Q8:Z8)=0,"",SUM(Q8:Z8))</f>
        <v>186</v>
      </c>
      <c r="AB8" s="17" t="n">
        <f aca="false">IF(OR(AA8="",$AA$4-SUMIF(Q8:Z8,"欠",$Q$4:$Z$4)&lt;=0),"",ROUND(AA8/($AA$4-SUMIF(Q8:Z8,"欠",$Q$4:$Z$4))*100,0))</f>
        <v>74</v>
      </c>
      <c r="AC8" s="17" t="str">
        <f aca="false">IF(AB8="","",IF(AB8&gt;=設定!$D$14,"A",IF(AB8&gt;=設定!$E$14,"B","C")))</f>
        <v>B</v>
      </c>
      <c r="AD8" s="17" t="n">
        <f aca="false">IF(AND(N8="",AA8=""),"",IF(N8="",0,N8)+IF(AA8="",0,AA8))</f>
        <v>399</v>
      </c>
      <c r="AE8" s="17" t="n">
        <f aca="false">IF(AD8="","",IF($AD$4-SUMIF(C8:M8,"欠",$C$4:$M$4)-SUMIF(Q8:Z8,"欠",$Q$4:$Z$4)&lt;=0,"",ROUND(AD8/($AD$4-SUMIF(C8:M8,"欠",$C$4:$M$4)-SUMIF(Q8:Z8,"欠",$Q$4:$Z$4))*100,0)))</f>
        <v>80</v>
      </c>
      <c r="AF8" s="17" t="str">
        <f aca="false">IF(AE8="","",IF(AE8&gt;=設定!$D$14,"A",IF(AE8&gt;=設定!$E$14,"B","C")))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43</v>
      </c>
      <c r="D9" s="19" t="n">
        <v>47</v>
      </c>
      <c r="E9" s="19" t="n">
        <v>50</v>
      </c>
      <c r="F9" s="19" t="n">
        <v>49</v>
      </c>
      <c r="G9" s="19" t="n">
        <v>45</v>
      </c>
      <c r="H9" s="19"/>
      <c r="I9" s="19"/>
      <c r="J9" s="19"/>
      <c r="K9" s="19"/>
      <c r="L9" s="19"/>
      <c r="M9" s="19"/>
      <c r="N9" s="17" t="n">
        <f aca="false">IF(COUNT(C9:M9)=0,"",SUM(C9:M9))</f>
        <v>234</v>
      </c>
      <c r="O9" s="17" t="n">
        <f aca="false">IF(OR(N9="",$N$4-SUMIF(C9:M9,"欠",$C$4:$M$4)&lt;=0),"",ROUND(N9/($N$4-SUMIF(C9:M9,"欠",$C$4:$M$4))*100,0))</f>
        <v>94</v>
      </c>
      <c r="P9" s="17" t="str">
        <f aca="false">IF(O9="","",IF(O9&gt;=設定!$D$14,"A",IF(O9&gt;=設定!$E$14,"B","C")))</f>
        <v>A</v>
      </c>
      <c r="Q9" s="19" t="n">
        <v>49</v>
      </c>
      <c r="R9" s="19" t="n">
        <v>38</v>
      </c>
      <c r="S9" s="19" t="n">
        <v>42</v>
      </c>
      <c r="T9" s="19" t="n">
        <v>44</v>
      </c>
      <c r="U9" s="19" t="n">
        <v>41</v>
      </c>
      <c r="V9" s="19"/>
      <c r="W9" s="19"/>
      <c r="X9" s="19"/>
      <c r="Y9" s="19"/>
      <c r="Z9" s="19"/>
      <c r="AA9" s="17" t="n">
        <f aca="false">IF(COUNT(Q9:Z9)=0,"",SUM(Q9:Z9))</f>
        <v>214</v>
      </c>
      <c r="AB9" s="17" t="n">
        <f aca="false">IF(OR(AA9="",$AA$4-SUMIF(Q9:Z9,"欠",$Q$4:$Z$4)&lt;=0),"",ROUND(AA9/($AA$4-SUMIF(Q9:Z9,"欠",$Q$4:$Z$4))*100,0))</f>
        <v>86</v>
      </c>
      <c r="AC9" s="17" t="str">
        <f aca="false">IF(AB9="","",IF(AB9&gt;=設定!$D$14,"A",IF(AB9&gt;=設定!$E$14,"B","C")))</f>
        <v>B</v>
      </c>
      <c r="AD9" s="17" t="n">
        <f aca="false">IF(AND(N9="",AA9=""),"",IF(N9="",0,N9)+IF(AA9="",0,AA9))</f>
        <v>448</v>
      </c>
      <c r="AE9" s="17" t="n">
        <f aca="false">IF(AD9="","",IF($AD$4-SUMIF(C9:M9,"欠",$C$4:$M$4)-SUMIF(Q9:Z9,"欠",$Q$4:$Z$4)&lt;=0,"",ROUND(AD9/($AD$4-SUMIF(C9:M9,"欠",$C$4:$M$4)-SUMIF(Q9:Z9,"欠",$Q$4:$Z$4))*100,0)))</f>
        <v>90</v>
      </c>
      <c r="AF9" s="17" t="str">
        <f aca="false">IF(AE9="","",IF(AE9&gt;=設定!$D$14,"A",IF(AE9&gt;=設定!$E$14,"B","C")))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35</v>
      </c>
      <c r="D10" s="19" t="n">
        <v>41</v>
      </c>
      <c r="E10" s="19" t="n">
        <v>37</v>
      </c>
      <c r="F10" s="19" t="n">
        <v>34</v>
      </c>
      <c r="G10" s="19" t="n">
        <v>36</v>
      </c>
      <c r="H10" s="19"/>
      <c r="I10" s="19"/>
      <c r="J10" s="19"/>
      <c r="K10" s="19"/>
      <c r="L10" s="19"/>
      <c r="M10" s="19"/>
      <c r="N10" s="17" t="n">
        <f aca="false">IF(COUNT(C10:M10)=0,"",SUM(C10:M10))</f>
        <v>183</v>
      </c>
      <c r="O10" s="17" t="n">
        <f aca="false">IF(OR(N10="",$N$4-SUMIF(C10:M10,"欠",$C$4:$M$4)&lt;=0),"",ROUND(N10/($N$4-SUMIF(C10:M10,"欠",$C$4:$M$4))*100,0))</f>
        <v>73</v>
      </c>
      <c r="P10" s="17" t="str">
        <f aca="false">IF(O10="","",IF(O10&gt;=設定!$D$14,"A",IF(O10&gt;=設定!$E$14,"B","C")))</f>
        <v>B</v>
      </c>
      <c r="Q10" s="19" t="n">
        <v>34</v>
      </c>
      <c r="R10" s="19" t="n">
        <v>29</v>
      </c>
      <c r="S10" s="19" t="n">
        <v>30</v>
      </c>
      <c r="T10" s="19" t="n">
        <v>26</v>
      </c>
      <c r="U10" s="19" t="n">
        <v>26</v>
      </c>
      <c r="V10" s="19"/>
      <c r="W10" s="19"/>
      <c r="X10" s="19"/>
      <c r="Y10" s="19"/>
      <c r="Z10" s="19"/>
      <c r="AA10" s="17" t="n">
        <f aca="false">IF(COUNT(Q10:Z10)=0,"",SUM(Q10:Z10))</f>
        <v>145</v>
      </c>
      <c r="AB10" s="17" t="n">
        <f aca="false">IF(OR(AA10="",$AA$4-SUMIF(Q10:Z10,"欠",$Q$4:$Z$4)&lt;=0),"",ROUND(AA10/($AA$4-SUMIF(Q10:Z10,"欠",$Q$4:$Z$4))*100,0))</f>
        <v>58</v>
      </c>
      <c r="AC10" s="17" t="str">
        <f aca="false">IF(AB10="","",IF(AB10&gt;=設定!$D$14,"A",IF(AB10&gt;=設定!$E$14,"B","C")))</f>
        <v>C</v>
      </c>
      <c r="AD10" s="17" t="n">
        <f aca="false">IF(AND(N10="",AA10=""),"",IF(N10="",0,N10)+IF(AA10="",0,AA10))</f>
        <v>328</v>
      </c>
      <c r="AE10" s="17" t="n">
        <f aca="false">IF(AD10="","",IF($AD$4-SUMIF(C10:M10,"欠",$C$4:$M$4)-SUMIF(Q10:Z10,"欠",$Q$4:$Z$4)&lt;=0,"",ROUND(AD10/($AD$4-SUMIF(C10:M10,"欠",$C$4:$M$4)-SUMIF(Q10:Z10,"欠",$Q$4:$Z$4))*100,0)))</f>
        <v>66</v>
      </c>
      <c r="AF10" s="17" t="str">
        <f aca="false">IF(AE10="","",IF(AE10&gt;=設定!$D$14,"A",IF(AE10&gt;=設定!$E$14,"B","C")))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36</v>
      </c>
      <c r="D11" s="19" t="n">
        <v>41</v>
      </c>
      <c r="E11" s="19" t="n">
        <v>48</v>
      </c>
      <c r="F11" s="19" t="n">
        <v>39</v>
      </c>
      <c r="G11" s="19" t="n">
        <v>39</v>
      </c>
      <c r="H11" s="19"/>
      <c r="I11" s="19"/>
      <c r="J11" s="19"/>
      <c r="K11" s="19"/>
      <c r="L11" s="19"/>
      <c r="M11" s="19"/>
      <c r="N11" s="17" t="n">
        <f aca="false">IF(COUNT(C11:M11)=0,"",SUM(C11:M11))</f>
        <v>203</v>
      </c>
      <c r="O11" s="17" t="n">
        <f aca="false">IF(OR(N11="",$N$4-SUMIF(C11:M11,"欠",$C$4:$M$4)&lt;=0),"",ROUND(N11/($N$4-SUMIF(C11:M11,"欠",$C$4:$M$4))*100,0))</f>
        <v>81</v>
      </c>
      <c r="P11" s="17" t="str">
        <f aca="false">IF(O11="","",IF(O11&gt;=設定!$D$14,"A",IF(O11&gt;=設定!$E$14,"B","C")))</f>
        <v>B</v>
      </c>
      <c r="Q11" s="19" t="n">
        <v>34</v>
      </c>
      <c r="R11" s="19" t="n">
        <v>33</v>
      </c>
      <c r="S11" s="19" t="n">
        <v>34</v>
      </c>
      <c r="T11" s="19" t="n">
        <v>36</v>
      </c>
      <c r="U11" s="19" t="n">
        <v>39</v>
      </c>
      <c r="V11" s="19"/>
      <c r="W11" s="19"/>
      <c r="X11" s="19"/>
      <c r="Y11" s="19"/>
      <c r="Z11" s="19"/>
      <c r="AA11" s="17" t="n">
        <f aca="false">IF(COUNT(Q11:Z11)=0,"",SUM(Q11:Z11))</f>
        <v>176</v>
      </c>
      <c r="AB11" s="17" t="n">
        <f aca="false">IF(OR(AA11="",$AA$4-SUMIF(Q11:Z11,"欠",$Q$4:$Z$4)&lt;=0),"",ROUND(AA11/($AA$4-SUMIF(Q11:Z11,"欠",$Q$4:$Z$4))*100,0))</f>
        <v>70</v>
      </c>
      <c r="AC11" s="17" t="str">
        <f aca="false">IF(AB11="","",IF(AB11&gt;=設定!$D$14,"A",IF(AB11&gt;=設定!$E$14,"B","C")))</f>
        <v>B</v>
      </c>
      <c r="AD11" s="17" t="n">
        <f aca="false">IF(AND(N11="",AA11=""),"",IF(N11="",0,N11)+IF(AA11="",0,AA11))</f>
        <v>379</v>
      </c>
      <c r="AE11" s="17" t="n">
        <f aca="false">IF(AD11="","",IF($AD$4-SUMIF(C11:M11,"欠",$C$4:$M$4)-SUMIF(Q11:Z11,"欠",$Q$4:$Z$4)&lt;=0,"",ROUND(AD11/($AD$4-SUMIF(C11:M11,"欠",$C$4:$M$4)-SUMIF(Q11:Z11,"欠",$Q$4:$Z$4))*100,0)))</f>
        <v>76</v>
      </c>
      <c r="AF11" s="17" t="str">
        <f aca="false">IF(AE11="","",IF(AE11&gt;=設定!$D$14,"A",IF(AE11&gt;=設定!$E$14,"B","C")))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50</v>
      </c>
      <c r="D12" s="19" t="n">
        <v>50</v>
      </c>
      <c r="E12" s="19" t="n">
        <v>45</v>
      </c>
      <c r="F12" s="19" t="n">
        <v>42</v>
      </c>
      <c r="G12" s="19" t="n">
        <v>48</v>
      </c>
      <c r="H12" s="19"/>
      <c r="I12" s="19"/>
      <c r="J12" s="19"/>
      <c r="K12" s="19"/>
      <c r="L12" s="19"/>
      <c r="M12" s="19"/>
      <c r="N12" s="17" t="n">
        <f aca="false">IF(COUNT(C12:M12)=0,"",SUM(C12:M12))</f>
        <v>235</v>
      </c>
      <c r="O12" s="17" t="n">
        <f aca="false">IF(OR(N12="",$N$4-SUMIF(C12:M12,"欠",$C$4:$M$4)&lt;=0),"",ROUND(N12/($N$4-SUMIF(C12:M12,"欠",$C$4:$M$4))*100,0))</f>
        <v>94</v>
      </c>
      <c r="P12" s="17" t="str">
        <f aca="false">IF(O12="","",IF(O12&gt;=設定!$D$14,"A",IF(O12&gt;=設定!$E$14,"B","C")))</f>
        <v>A</v>
      </c>
      <c r="Q12" s="19" t="n">
        <v>42</v>
      </c>
      <c r="R12" s="19" t="n">
        <v>42</v>
      </c>
      <c r="S12" s="19" t="n">
        <v>37</v>
      </c>
      <c r="T12" s="19" t="n">
        <v>39</v>
      </c>
      <c r="U12" s="19" t="n">
        <v>39</v>
      </c>
      <c r="V12" s="19"/>
      <c r="W12" s="19"/>
      <c r="X12" s="19"/>
      <c r="Y12" s="19"/>
      <c r="Z12" s="19"/>
      <c r="AA12" s="17" t="n">
        <f aca="false">IF(COUNT(Q12:Z12)=0,"",SUM(Q12:Z12))</f>
        <v>199</v>
      </c>
      <c r="AB12" s="17" t="n">
        <f aca="false">IF(OR(AA12="",$AA$4-SUMIF(Q12:Z12,"欠",$Q$4:$Z$4)&lt;=0),"",ROUND(AA12/($AA$4-SUMIF(Q12:Z12,"欠",$Q$4:$Z$4))*100,0))</f>
        <v>80</v>
      </c>
      <c r="AC12" s="17" t="str">
        <f aca="false">IF(AB12="","",IF(AB12&gt;=設定!$D$14,"A",IF(AB12&gt;=設定!$E$14,"B","C")))</f>
        <v>B</v>
      </c>
      <c r="AD12" s="17" t="n">
        <f aca="false">IF(AND(N12="",AA12=""),"",IF(N12="",0,N12)+IF(AA12="",0,AA12))</f>
        <v>434</v>
      </c>
      <c r="AE12" s="17" t="n">
        <f aca="false">IF(AD12="","",IF($AD$4-SUMIF(C12:M12,"欠",$C$4:$M$4)-SUMIF(Q12:Z12,"欠",$Q$4:$Z$4)&lt;=0,"",ROUND(AD12/($AD$4-SUMIF(C12:M12,"欠",$C$4:$M$4)-SUMIF(Q12:Z12,"欠",$Q$4:$Z$4))*100,0)))</f>
        <v>87</v>
      </c>
      <c r="AF12" s="17" t="str">
        <f aca="false">IF(AE12="","",IF(AE12&gt;=設定!$D$14,"A",IF(AE12&gt;=設定!$E$14,"B","C")))</f>
        <v>B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39</v>
      </c>
      <c r="D13" s="19" t="n">
        <v>39</v>
      </c>
      <c r="E13" s="19" t="n">
        <v>41</v>
      </c>
      <c r="F13" s="19" t="n">
        <v>37</v>
      </c>
      <c r="G13" s="19" t="n">
        <v>40</v>
      </c>
      <c r="H13" s="19"/>
      <c r="I13" s="19"/>
      <c r="J13" s="19"/>
      <c r="K13" s="19"/>
      <c r="L13" s="19"/>
      <c r="M13" s="19"/>
      <c r="N13" s="17" t="n">
        <f aca="false">IF(COUNT(C13:M13)=0,"",SUM(C13:M13))</f>
        <v>196</v>
      </c>
      <c r="O13" s="17" t="n">
        <f aca="false">IF(OR(N13="",$N$4-SUMIF(C13:M13,"欠",$C$4:$M$4)&lt;=0),"",ROUND(N13/($N$4-SUMIF(C13:M13,"欠",$C$4:$M$4))*100,0))</f>
        <v>78</v>
      </c>
      <c r="P13" s="17" t="str">
        <f aca="false">IF(O13="","",IF(O13&gt;=設定!$D$14,"A",IF(O13&gt;=設定!$E$14,"B","C")))</f>
        <v>B</v>
      </c>
      <c r="Q13" s="19" t="n">
        <v>31</v>
      </c>
      <c r="R13" s="19" t="n">
        <v>37</v>
      </c>
      <c r="S13" s="19" t="n">
        <v>41</v>
      </c>
      <c r="T13" s="19" t="n">
        <v>34</v>
      </c>
      <c r="U13" s="19" t="n">
        <v>29</v>
      </c>
      <c r="V13" s="19"/>
      <c r="W13" s="19"/>
      <c r="X13" s="19"/>
      <c r="Y13" s="19"/>
      <c r="Z13" s="19"/>
      <c r="AA13" s="17" t="n">
        <f aca="false">IF(COUNT(Q13:Z13)=0,"",SUM(Q13:Z13))</f>
        <v>172</v>
      </c>
      <c r="AB13" s="17" t="n">
        <f aca="false">IF(OR(AA13="",$AA$4-SUMIF(Q13:Z13,"欠",$Q$4:$Z$4)&lt;=0),"",ROUND(AA13/($AA$4-SUMIF(Q13:Z13,"欠",$Q$4:$Z$4))*100,0))</f>
        <v>69</v>
      </c>
      <c r="AC13" s="17" t="str">
        <f aca="false">IF(AB13="","",IF(AB13&gt;=設定!$D$14,"A",IF(AB13&gt;=設定!$E$14,"B","C")))</f>
        <v>B</v>
      </c>
      <c r="AD13" s="17" t="n">
        <f aca="false">IF(AND(N13="",AA13=""),"",IF(N13="",0,N13)+IF(AA13="",0,AA13))</f>
        <v>368</v>
      </c>
      <c r="AE13" s="17" t="n">
        <f aca="false">IF(AD13="","",IF($AD$4-SUMIF(C13:M13,"欠",$C$4:$M$4)-SUMIF(Q13:Z13,"欠",$Q$4:$Z$4)&lt;=0,"",ROUND(AD13/($AD$4-SUMIF(C13:M13,"欠",$C$4:$M$4)-SUMIF(Q13:Z13,"欠",$Q$4:$Z$4))*100,0)))</f>
        <v>74</v>
      </c>
      <c r="AF13" s="17" t="str">
        <f aca="false">IF(AE13="","",IF(AE13&gt;=設定!$D$14,"A",IF(AE13&gt;=設定!$E$14,"B","C")))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46</v>
      </c>
      <c r="D14" s="19" t="n">
        <v>43</v>
      </c>
      <c r="E14" s="19" t="n">
        <v>48</v>
      </c>
      <c r="F14" s="19" t="n">
        <v>46</v>
      </c>
      <c r="G14" s="19" t="n">
        <v>46</v>
      </c>
      <c r="H14" s="19"/>
      <c r="I14" s="19"/>
      <c r="J14" s="19"/>
      <c r="K14" s="19"/>
      <c r="L14" s="19"/>
      <c r="M14" s="19"/>
      <c r="N14" s="17" t="n">
        <f aca="false">IF(COUNT(C14:M14)=0,"",SUM(C14:M14))</f>
        <v>229</v>
      </c>
      <c r="O14" s="17" t="n">
        <f aca="false">IF(OR(N14="",$N$4-SUMIF(C14:M14,"欠",$C$4:$M$4)&lt;=0),"",ROUND(N14/($N$4-SUMIF(C14:M14,"欠",$C$4:$M$4))*100,0))</f>
        <v>92</v>
      </c>
      <c r="P14" s="17" t="str">
        <f aca="false">IF(O14="","",IF(O14&gt;=設定!$D$14,"A",IF(O14&gt;=設定!$E$14,"B","C")))</f>
        <v>A</v>
      </c>
      <c r="Q14" s="19" t="n">
        <v>35</v>
      </c>
      <c r="R14" s="19" t="n">
        <v>36</v>
      </c>
      <c r="S14" s="19" t="n">
        <v>40</v>
      </c>
      <c r="T14" s="19" t="n">
        <v>38</v>
      </c>
      <c r="U14" s="19" t="n">
        <v>48</v>
      </c>
      <c r="V14" s="19"/>
      <c r="W14" s="19"/>
      <c r="X14" s="19"/>
      <c r="Y14" s="19"/>
      <c r="Z14" s="19"/>
      <c r="AA14" s="17" t="n">
        <f aca="false">IF(COUNT(Q14:Z14)=0,"",SUM(Q14:Z14))</f>
        <v>197</v>
      </c>
      <c r="AB14" s="17" t="n">
        <f aca="false">IF(OR(AA14="",$AA$4-SUMIF(Q14:Z14,"欠",$Q$4:$Z$4)&lt;=0),"",ROUND(AA14/($AA$4-SUMIF(Q14:Z14,"欠",$Q$4:$Z$4))*100,0))</f>
        <v>79</v>
      </c>
      <c r="AC14" s="17" t="str">
        <f aca="false">IF(AB14="","",IF(AB14&gt;=設定!$D$14,"A",IF(AB14&gt;=設定!$E$14,"B","C")))</f>
        <v>B</v>
      </c>
      <c r="AD14" s="17" t="n">
        <f aca="false">IF(AND(N14="",AA14=""),"",IF(N14="",0,N14)+IF(AA14="",0,AA14))</f>
        <v>426</v>
      </c>
      <c r="AE14" s="17" t="n">
        <f aca="false">IF(AD14="","",IF($AD$4-SUMIF(C14:M14,"欠",$C$4:$M$4)-SUMIF(Q14:Z14,"欠",$Q$4:$Z$4)&lt;=0,"",ROUND(AD14/($AD$4-SUMIF(C14:M14,"欠",$C$4:$M$4)-SUMIF(Q14:Z14,"欠",$Q$4:$Z$4))*100,0)))</f>
        <v>85</v>
      </c>
      <c r="AF14" s="17" t="str">
        <f aca="false">IF(AE14="","",IF(AE14&gt;=設定!$D$14,"A",IF(AE14&gt;=設定!$E$14,"B","C")))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46</v>
      </c>
      <c r="D15" s="19" t="n">
        <v>50</v>
      </c>
      <c r="E15" s="19" t="n">
        <v>38</v>
      </c>
      <c r="F15" s="19" t="n">
        <v>46</v>
      </c>
      <c r="G15" s="19" t="n">
        <v>48</v>
      </c>
      <c r="H15" s="19"/>
      <c r="I15" s="19"/>
      <c r="J15" s="19"/>
      <c r="K15" s="19"/>
      <c r="L15" s="19"/>
      <c r="M15" s="19"/>
      <c r="N15" s="17" t="n">
        <f aca="false">IF(COUNT(C15:M15)=0,"",SUM(C15:M15))</f>
        <v>228</v>
      </c>
      <c r="O15" s="17" t="n">
        <f aca="false">IF(OR(N15="",$N$4-SUMIF(C15:M15,"欠",$C$4:$M$4)&lt;=0),"",ROUND(N15/($N$4-SUMIF(C15:M15,"欠",$C$4:$M$4))*100,0))</f>
        <v>91</v>
      </c>
      <c r="P15" s="17" t="str">
        <f aca="false">IF(O15="","",IF(O15&gt;=設定!$D$14,"A",IF(O15&gt;=設定!$E$14,"B","C")))</f>
        <v>A</v>
      </c>
      <c r="Q15" s="19" t="n">
        <v>45</v>
      </c>
      <c r="R15" s="19" t="n">
        <v>39</v>
      </c>
      <c r="S15" s="19" t="n">
        <v>30</v>
      </c>
      <c r="T15" s="19" t="n">
        <v>31</v>
      </c>
      <c r="U15" s="19" t="n">
        <v>44</v>
      </c>
      <c r="V15" s="19"/>
      <c r="W15" s="19"/>
      <c r="X15" s="19"/>
      <c r="Y15" s="19"/>
      <c r="Z15" s="19"/>
      <c r="AA15" s="17" t="n">
        <f aca="false">IF(COUNT(Q15:Z15)=0,"",SUM(Q15:Z15))</f>
        <v>189</v>
      </c>
      <c r="AB15" s="17" t="n">
        <f aca="false">IF(OR(AA15="",$AA$4-SUMIF(Q15:Z15,"欠",$Q$4:$Z$4)&lt;=0),"",ROUND(AA15/($AA$4-SUMIF(Q15:Z15,"欠",$Q$4:$Z$4))*100,0))</f>
        <v>76</v>
      </c>
      <c r="AC15" s="17" t="str">
        <f aca="false">IF(AB15="","",IF(AB15&gt;=設定!$D$14,"A",IF(AB15&gt;=設定!$E$14,"B","C")))</f>
        <v>B</v>
      </c>
      <c r="AD15" s="17" t="n">
        <f aca="false">IF(AND(N15="",AA15=""),"",IF(N15="",0,N15)+IF(AA15="",0,AA15))</f>
        <v>417</v>
      </c>
      <c r="AE15" s="17" t="n">
        <f aca="false">IF(AD15="","",IF($AD$4-SUMIF(C15:M15,"欠",$C$4:$M$4)-SUMIF(Q15:Z15,"欠",$Q$4:$Z$4)&lt;=0,"",ROUND(AD15/($AD$4-SUMIF(C15:M15,"欠",$C$4:$M$4)-SUMIF(Q15:Z15,"欠",$Q$4:$Z$4))*100,0)))</f>
        <v>83</v>
      </c>
      <c r="AF15" s="17" t="str">
        <f aca="false">IF(AE15="","",IF(AE15&gt;=設定!$D$14,"A",IF(AE15&gt;=設定!$E$14,"B","C")))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39</v>
      </c>
      <c r="D16" s="19" t="n">
        <v>45</v>
      </c>
      <c r="E16" s="19" t="n">
        <v>40</v>
      </c>
      <c r="F16" s="19" t="n">
        <v>44</v>
      </c>
      <c r="G16" s="19" t="n">
        <v>41</v>
      </c>
      <c r="H16" s="19"/>
      <c r="I16" s="19"/>
      <c r="J16" s="19"/>
      <c r="K16" s="19"/>
      <c r="L16" s="19"/>
      <c r="M16" s="19"/>
      <c r="N16" s="17" t="n">
        <f aca="false">IF(COUNT(C16:M16)=0,"",SUM(C16:M16))</f>
        <v>209</v>
      </c>
      <c r="O16" s="17" t="n">
        <f aca="false">IF(OR(N16="",$N$4-SUMIF(C16:M16,"欠",$C$4:$M$4)&lt;=0),"",ROUND(N16/($N$4-SUMIF(C16:M16,"欠",$C$4:$M$4))*100,0))</f>
        <v>84</v>
      </c>
      <c r="P16" s="17" t="str">
        <f aca="false">IF(O16="","",IF(O16&gt;=設定!$D$14,"A",IF(O16&gt;=設定!$E$14,"B","C")))</f>
        <v>B</v>
      </c>
      <c r="Q16" s="19" t="n">
        <v>26</v>
      </c>
      <c r="R16" s="19" t="n">
        <v>38</v>
      </c>
      <c r="S16" s="19" t="n">
        <v>37</v>
      </c>
      <c r="T16" s="19" t="n">
        <v>33</v>
      </c>
      <c r="U16" s="19" t="n">
        <v>42</v>
      </c>
      <c r="V16" s="19"/>
      <c r="W16" s="19"/>
      <c r="X16" s="19"/>
      <c r="Y16" s="19"/>
      <c r="Z16" s="19"/>
      <c r="AA16" s="17" t="n">
        <f aca="false">IF(COUNT(Q16:Z16)=0,"",SUM(Q16:Z16))</f>
        <v>176</v>
      </c>
      <c r="AB16" s="17" t="n">
        <f aca="false">IF(OR(AA16="",$AA$4-SUMIF(Q16:Z16,"欠",$Q$4:$Z$4)&lt;=0),"",ROUND(AA16/($AA$4-SUMIF(Q16:Z16,"欠",$Q$4:$Z$4))*100,0))</f>
        <v>70</v>
      </c>
      <c r="AC16" s="17" t="str">
        <f aca="false">IF(AB16="","",IF(AB16&gt;=設定!$D$14,"A",IF(AB16&gt;=設定!$E$14,"B","C")))</f>
        <v>B</v>
      </c>
      <c r="AD16" s="17" t="n">
        <f aca="false">IF(AND(N16="",AA16=""),"",IF(N16="",0,N16)+IF(AA16="",0,AA16))</f>
        <v>385</v>
      </c>
      <c r="AE16" s="17" t="n">
        <f aca="false">IF(AD16="","",IF($AD$4-SUMIF(C16:M16,"欠",$C$4:$M$4)-SUMIF(Q16:Z16,"欠",$Q$4:$Z$4)&lt;=0,"",ROUND(AD16/($AD$4-SUMIF(C16:M16,"欠",$C$4:$M$4)-SUMIF(Q16:Z16,"欠",$Q$4:$Z$4))*100,0)))</f>
        <v>77</v>
      </c>
      <c r="AF16" s="17" t="str">
        <f aca="false">IF(AE16="","",IF(AE16&gt;=設定!$D$14,"A",IF(AE16&gt;=設定!$E$14,"B","C")))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29</v>
      </c>
      <c r="D17" s="19" t="n">
        <v>35</v>
      </c>
      <c r="E17" s="19" t="n">
        <v>43</v>
      </c>
      <c r="F17" s="19" t="n">
        <v>34</v>
      </c>
      <c r="G17" s="19" t="n">
        <v>36</v>
      </c>
      <c r="H17" s="19"/>
      <c r="I17" s="19"/>
      <c r="J17" s="19"/>
      <c r="K17" s="19"/>
      <c r="L17" s="19"/>
      <c r="M17" s="19"/>
      <c r="N17" s="17" t="n">
        <f aca="false">IF(COUNT(C17:M17)=0,"",SUM(C17:M17))</f>
        <v>177</v>
      </c>
      <c r="O17" s="17" t="n">
        <f aca="false">IF(OR(N17="",$N$4-SUMIF(C17:M17,"欠",$C$4:$M$4)&lt;=0),"",ROUND(N17/($N$4-SUMIF(C17:M17,"欠",$C$4:$M$4))*100,0))</f>
        <v>71</v>
      </c>
      <c r="P17" s="17" t="str">
        <f aca="false">IF(O17="","",IF(O17&gt;=設定!$D$14,"A",IF(O17&gt;=設定!$E$14,"B","C")))</f>
        <v>B</v>
      </c>
      <c r="Q17" s="19" t="n">
        <v>29</v>
      </c>
      <c r="R17" s="19" t="n">
        <v>28</v>
      </c>
      <c r="S17" s="19" t="n">
        <v>26</v>
      </c>
      <c r="T17" s="19" t="n">
        <v>29</v>
      </c>
      <c r="U17" s="19" t="n">
        <v>24</v>
      </c>
      <c r="V17" s="19"/>
      <c r="W17" s="19"/>
      <c r="X17" s="19"/>
      <c r="Y17" s="19"/>
      <c r="Z17" s="19"/>
      <c r="AA17" s="17" t="n">
        <f aca="false">IF(COUNT(Q17:Z17)=0,"",SUM(Q17:Z17))</f>
        <v>136</v>
      </c>
      <c r="AB17" s="17" t="n">
        <f aca="false">IF(OR(AA17="",$AA$4-SUMIF(Q17:Z17,"欠",$Q$4:$Z$4)&lt;=0),"",ROUND(AA17/($AA$4-SUMIF(Q17:Z17,"欠",$Q$4:$Z$4))*100,0))</f>
        <v>54</v>
      </c>
      <c r="AC17" s="17" t="str">
        <f aca="false">IF(AB17="","",IF(AB17&gt;=設定!$D$14,"A",IF(AB17&gt;=設定!$E$14,"B","C")))</f>
        <v>C</v>
      </c>
      <c r="AD17" s="17" t="n">
        <f aca="false">IF(AND(N17="",AA17=""),"",IF(N17="",0,N17)+IF(AA17="",0,AA17))</f>
        <v>313</v>
      </c>
      <c r="AE17" s="17" t="n">
        <f aca="false">IF(AD17="","",IF($AD$4-SUMIF(C17:M17,"欠",$C$4:$M$4)-SUMIF(Q17:Z17,"欠",$Q$4:$Z$4)&lt;=0,"",ROUND(AD17/($AD$4-SUMIF(C17:M17,"欠",$C$4:$M$4)-SUMIF(Q17:Z17,"欠",$Q$4:$Z$4))*100,0)))</f>
        <v>63</v>
      </c>
      <c r="AF17" s="17" t="str">
        <f aca="false">IF(AE17="","",IF(AE17&gt;=設定!$D$14,"A",IF(AE17&gt;=設定!$E$14,"B","C")))</f>
        <v>B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38</v>
      </c>
      <c r="D18" s="19" t="n">
        <v>39</v>
      </c>
      <c r="E18" s="19" t="n">
        <v>50</v>
      </c>
      <c r="F18" s="19" t="n">
        <v>46</v>
      </c>
      <c r="G18" s="19" t="n">
        <v>45</v>
      </c>
      <c r="H18" s="19"/>
      <c r="I18" s="19"/>
      <c r="J18" s="19"/>
      <c r="K18" s="19"/>
      <c r="L18" s="19"/>
      <c r="M18" s="19"/>
      <c r="N18" s="17" t="n">
        <f aca="false">IF(COUNT(C18:M18)=0,"",SUM(C18:M18))</f>
        <v>218</v>
      </c>
      <c r="O18" s="17" t="n">
        <f aca="false">IF(OR(N18="",$N$4-SUMIF(C18:M18,"欠",$C$4:$M$4)&lt;=0),"",ROUND(N18/($N$4-SUMIF(C18:M18,"欠",$C$4:$M$4))*100,0))</f>
        <v>87</v>
      </c>
      <c r="P18" s="17" t="str">
        <f aca="false">IF(O18="","",IF(O18&gt;=設定!$D$14,"A",IF(O18&gt;=設定!$E$14,"B","C")))</f>
        <v>B</v>
      </c>
      <c r="Q18" s="19" t="n">
        <v>42</v>
      </c>
      <c r="R18" s="19" t="n">
        <v>42</v>
      </c>
      <c r="S18" s="19" t="n">
        <v>37</v>
      </c>
      <c r="T18" s="19" t="n">
        <v>42</v>
      </c>
      <c r="U18" s="19" t="n">
        <v>34</v>
      </c>
      <c r="V18" s="19"/>
      <c r="W18" s="19"/>
      <c r="X18" s="19"/>
      <c r="Y18" s="19"/>
      <c r="Z18" s="19"/>
      <c r="AA18" s="17" t="n">
        <f aca="false">IF(COUNT(Q18:Z18)=0,"",SUM(Q18:Z18))</f>
        <v>197</v>
      </c>
      <c r="AB18" s="17" t="n">
        <f aca="false">IF(OR(AA18="",$AA$4-SUMIF(Q18:Z18,"欠",$Q$4:$Z$4)&lt;=0),"",ROUND(AA18/($AA$4-SUMIF(Q18:Z18,"欠",$Q$4:$Z$4))*100,0))</f>
        <v>79</v>
      </c>
      <c r="AC18" s="17" t="str">
        <f aca="false">IF(AB18="","",IF(AB18&gt;=設定!$D$14,"A",IF(AB18&gt;=設定!$E$14,"B","C")))</f>
        <v>B</v>
      </c>
      <c r="AD18" s="17" t="n">
        <f aca="false">IF(AND(N18="",AA18=""),"",IF(N18="",0,N18)+IF(AA18="",0,AA18))</f>
        <v>415</v>
      </c>
      <c r="AE18" s="17" t="n">
        <f aca="false">IF(AD18="","",IF($AD$4-SUMIF(C18:M18,"欠",$C$4:$M$4)-SUMIF(Q18:Z18,"欠",$Q$4:$Z$4)&lt;=0,"",ROUND(AD18/($AD$4-SUMIF(C18:M18,"欠",$C$4:$M$4)-SUMIF(Q18:Z18,"欠",$Q$4:$Z$4))*100,0)))</f>
        <v>83</v>
      </c>
      <c r="AF18" s="17" t="str">
        <f aca="false">IF(AE18="","",IF(AE18&gt;=設定!$D$14,"A",IF(AE18&gt;=設定!$E$14,"B","C")))</f>
        <v>B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32</v>
      </c>
      <c r="D19" s="19" t="n">
        <v>22</v>
      </c>
      <c r="E19" s="19" t="n">
        <v>28</v>
      </c>
      <c r="F19" s="19" t="n">
        <v>27</v>
      </c>
      <c r="G19" s="19" t="n">
        <v>27</v>
      </c>
      <c r="H19" s="19"/>
      <c r="I19" s="19"/>
      <c r="J19" s="19"/>
      <c r="K19" s="19"/>
      <c r="L19" s="19"/>
      <c r="M19" s="19"/>
      <c r="N19" s="17" t="n">
        <f aca="false">IF(COUNT(C19:M19)=0,"",SUM(C19:M19))</f>
        <v>136</v>
      </c>
      <c r="O19" s="17" t="n">
        <f aca="false">IF(OR(N19="",$N$4-SUMIF(C19:M19,"欠",$C$4:$M$4)&lt;=0),"",ROUND(N19/($N$4-SUMIF(C19:M19,"欠",$C$4:$M$4))*100,0))</f>
        <v>54</v>
      </c>
      <c r="P19" s="17" t="str">
        <f aca="false">IF(O19="","",IF(O19&gt;=設定!$D$14,"A",IF(O19&gt;=設定!$E$14,"B","C")))</f>
        <v>C</v>
      </c>
      <c r="Q19" s="19" t="n">
        <v>19</v>
      </c>
      <c r="R19" s="19" t="n">
        <v>25</v>
      </c>
      <c r="S19" s="19" t="n">
        <v>24</v>
      </c>
      <c r="T19" s="19" t="n">
        <v>20</v>
      </c>
      <c r="U19" s="19" t="n">
        <v>20</v>
      </c>
      <c r="V19" s="19"/>
      <c r="W19" s="19"/>
      <c r="X19" s="19"/>
      <c r="Y19" s="19"/>
      <c r="Z19" s="19"/>
      <c r="AA19" s="17" t="n">
        <f aca="false">IF(COUNT(Q19:Z19)=0,"",SUM(Q19:Z19))</f>
        <v>108</v>
      </c>
      <c r="AB19" s="17" t="n">
        <f aca="false">IF(OR(AA19="",$AA$4-SUMIF(Q19:Z19,"欠",$Q$4:$Z$4)&lt;=0),"",ROUND(AA19/($AA$4-SUMIF(Q19:Z19,"欠",$Q$4:$Z$4))*100,0))</f>
        <v>43</v>
      </c>
      <c r="AC19" s="17" t="str">
        <f aca="false">IF(AB19="","",IF(AB19&gt;=設定!$D$14,"A",IF(AB19&gt;=設定!$E$14,"B","C")))</f>
        <v>C</v>
      </c>
      <c r="AD19" s="17" t="n">
        <f aca="false">IF(AND(N19="",AA19=""),"",IF(N19="",0,N19)+IF(AA19="",0,AA19))</f>
        <v>244</v>
      </c>
      <c r="AE19" s="17" t="n">
        <f aca="false">IF(AD19="","",IF($AD$4-SUMIF(C19:M19,"欠",$C$4:$M$4)-SUMIF(Q19:Z19,"欠",$Q$4:$Z$4)&lt;=0,"",ROUND(AD19/($AD$4-SUMIF(C19:M19,"欠",$C$4:$M$4)-SUMIF(Q19:Z19,"欠",$Q$4:$Z$4))*100,0)))</f>
        <v>49</v>
      </c>
      <c r="AF19" s="17" t="str">
        <f aca="false">IF(AE19="","",IF(AE19&gt;=設定!$D$14,"A",IF(AE19&gt;=設定!$E$14,"B","C")))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50</v>
      </c>
      <c r="D20" s="19" t="n">
        <v>50</v>
      </c>
      <c r="E20" s="19" t="n">
        <v>50</v>
      </c>
      <c r="F20" s="19" t="n">
        <v>50</v>
      </c>
      <c r="G20" s="19" t="n">
        <v>50</v>
      </c>
      <c r="H20" s="19"/>
      <c r="I20" s="19"/>
      <c r="J20" s="19"/>
      <c r="K20" s="19"/>
      <c r="L20" s="19"/>
      <c r="M20" s="19"/>
      <c r="N20" s="17" t="n">
        <f aca="false">IF(COUNT(C20:M20)=0,"",SUM(C20:M20))</f>
        <v>250</v>
      </c>
      <c r="O20" s="17" t="n">
        <f aca="false">IF(OR(N20="",$N$4-SUMIF(C20:M20,"欠",$C$4:$M$4)&lt;=0),"",ROUND(N20/($N$4-SUMIF(C20:M20,"欠",$C$4:$M$4))*100,0))</f>
        <v>100</v>
      </c>
      <c r="P20" s="17" t="str">
        <f aca="false">IF(O20="","",IF(O20&gt;=設定!$D$14,"A",IF(O20&gt;=設定!$E$14,"B","C")))</f>
        <v>A</v>
      </c>
      <c r="Q20" s="19" t="n">
        <v>48</v>
      </c>
      <c r="R20" s="19" t="n">
        <v>50</v>
      </c>
      <c r="S20" s="19" t="n">
        <v>44</v>
      </c>
      <c r="T20" s="19" t="n">
        <v>49</v>
      </c>
      <c r="U20" s="19" t="n">
        <v>50</v>
      </c>
      <c r="V20" s="19"/>
      <c r="W20" s="19"/>
      <c r="X20" s="19"/>
      <c r="Y20" s="19"/>
      <c r="Z20" s="19"/>
      <c r="AA20" s="17" t="n">
        <f aca="false">IF(COUNT(Q20:Z20)=0,"",SUM(Q20:Z20))</f>
        <v>241</v>
      </c>
      <c r="AB20" s="17" t="n">
        <f aca="false">IF(OR(AA20="",$AA$4-SUMIF(Q20:Z20,"欠",$Q$4:$Z$4)&lt;=0),"",ROUND(AA20/($AA$4-SUMIF(Q20:Z20,"欠",$Q$4:$Z$4))*100,0))</f>
        <v>96</v>
      </c>
      <c r="AC20" s="17" t="str">
        <f aca="false">IF(AB20="","",IF(AB20&gt;=設定!$D$14,"A",IF(AB20&gt;=設定!$E$14,"B","C")))</f>
        <v>A</v>
      </c>
      <c r="AD20" s="17" t="n">
        <f aca="false">IF(AND(N20="",AA20=""),"",IF(N20="",0,N20)+IF(AA20="",0,AA20))</f>
        <v>491</v>
      </c>
      <c r="AE20" s="17" t="n">
        <f aca="false">IF(AD20="","",IF($AD$4-SUMIF(C20:M20,"欠",$C$4:$M$4)-SUMIF(Q20:Z20,"欠",$Q$4:$Z$4)&lt;=0,"",ROUND(AD20/($AD$4-SUMIF(C20:M20,"欠",$C$4:$M$4)-SUMIF(Q20:Z20,"欠",$Q$4:$Z$4))*100,0)))</f>
        <v>98</v>
      </c>
      <c r="AF20" s="17" t="str">
        <f aca="false">IF(AE20="","",IF(AE20&gt;=設定!$D$14,"A",IF(AE20&gt;=設定!$E$14,"B","C")))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40</v>
      </c>
      <c r="D21" s="19" t="n">
        <v>50</v>
      </c>
      <c r="E21" s="19" t="n">
        <v>40</v>
      </c>
      <c r="F21" s="19" t="n">
        <v>33</v>
      </c>
      <c r="G21" s="19" t="n">
        <v>44</v>
      </c>
      <c r="H21" s="19"/>
      <c r="I21" s="19"/>
      <c r="J21" s="19"/>
      <c r="K21" s="19"/>
      <c r="L21" s="19"/>
      <c r="M21" s="19"/>
      <c r="N21" s="17" t="n">
        <f aca="false">IF(COUNT(C21:M21)=0,"",SUM(C21:M21))</f>
        <v>207</v>
      </c>
      <c r="O21" s="17" t="n">
        <f aca="false">IF(OR(N21="",$N$4-SUMIF(C21:M21,"欠",$C$4:$M$4)&lt;=0),"",ROUND(N21/($N$4-SUMIF(C21:M21,"欠",$C$4:$M$4))*100,0))</f>
        <v>83</v>
      </c>
      <c r="P21" s="17" t="str">
        <f aca="false">IF(O21="","",IF(O21&gt;=設定!$D$14,"A",IF(O21&gt;=設定!$E$14,"B","C")))</f>
        <v>B</v>
      </c>
      <c r="Q21" s="19" t="n">
        <v>44</v>
      </c>
      <c r="R21" s="19" t="n">
        <v>33</v>
      </c>
      <c r="S21" s="19" t="n">
        <v>32</v>
      </c>
      <c r="T21" s="19" t="n">
        <v>38</v>
      </c>
      <c r="U21" s="19" t="n">
        <v>40</v>
      </c>
      <c r="V21" s="19"/>
      <c r="W21" s="19"/>
      <c r="X21" s="19"/>
      <c r="Y21" s="19"/>
      <c r="Z21" s="19"/>
      <c r="AA21" s="17" t="n">
        <f aca="false">IF(COUNT(Q21:Z21)=0,"",SUM(Q21:Z21))</f>
        <v>187</v>
      </c>
      <c r="AB21" s="17" t="n">
        <f aca="false">IF(OR(AA21="",$AA$4-SUMIF(Q21:Z21,"欠",$Q$4:$Z$4)&lt;=0),"",ROUND(AA21/($AA$4-SUMIF(Q21:Z21,"欠",$Q$4:$Z$4))*100,0))</f>
        <v>75</v>
      </c>
      <c r="AC21" s="17" t="str">
        <f aca="false">IF(AB21="","",IF(AB21&gt;=設定!$D$14,"A",IF(AB21&gt;=設定!$E$14,"B","C")))</f>
        <v>B</v>
      </c>
      <c r="AD21" s="17" t="n">
        <f aca="false">IF(AND(N21="",AA21=""),"",IF(N21="",0,N21)+IF(AA21="",0,AA21))</f>
        <v>394</v>
      </c>
      <c r="AE21" s="17" t="n">
        <f aca="false">IF(AD21="","",IF($AD$4-SUMIF(C21:M21,"欠",$C$4:$M$4)-SUMIF(Q21:Z21,"欠",$Q$4:$Z$4)&lt;=0,"",ROUND(AD21/($AD$4-SUMIF(C21:M21,"欠",$C$4:$M$4)-SUMIF(Q21:Z21,"欠",$Q$4:$Z$4))*100,0)))</f>
        <v>79</v>
      </c>
      <c r="AF21" s="17" t="str">
        <f aca="false">IF(AE21="","",IF(AE21&gt;=設定!$D$14,"A",IF(AE21&gt;=設定!$E$14,"B","C")))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50</v>
      </c>
      <c r="D22" s="19" t="n">
        <v>50</v>
      </c>
      <c r="E22" s="19" t="n">
        <v>50</v>
      </c>
      <c r="F22" s="19" t="n">
        <v>50</v>
      </c>
      <c r="G22" s="19" t="n">
        <v>50</v>
      </c>
      <c r="H22" s="19"/>
      <c r="I22" s="19"/>
      <c r="J22" s="19"/>
      <c r="K22" s="19"/>
      <c r="L22" s="19"/>
      <c r="M22" s="19"/>
      <c r="N22" s="17" t="n">
        <f aca="false">IF(COUNT(C22:M22)=0,"",SUM(C22:M22))</f>
        <v>250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IF(O22="","",IF(O22&gt;=設定!$D$14,"A",IF(O22&gt;=設定!$E$14,"B","C")))</f>
        <v>A</v>
      </c>
      <c r="Q22" s="19" t="n">
        <v>50</v>
      </c>
      <c r="R22" s="19" t="n">
        <v>49</v>
      </c>
      <c r="S22" s="19" t="n">
        <v>46</v>
      </c>
      <c r="T22" s="19" t="n">
        <v>50</v>
      </c>
      <c r="U22" s="19" t="n">
        <v>50</v>
      </c>
      <c r="V22" s="19"/>
      <c r="W22" s="19"/>
      <c r="X22" s="19"/>
      <c r="Y22" s="19"/>
      <c r="Z22" s="19"/>
      <c r="AA22" s="17" t="n">
        <f aca="false">IF(COUNT(Q22:Z22)=0,"",SUM(Q22:Z22))</f>
        <v>245</v>
      </c>
      <c r="AB22" s="17" t="n">
        <f aca="false">IF(OR(AA22="",$AA$4-SUMIF(Q22:Z22,"欠",$Q$4:$Z$4)&lt;=0),"",ROUND(AA22/($AA$4-SUMIF(Q22:Z22,"欠",$Q$4:$Z$4))*100,0))</f>
        <v>98</v>
      </c>
      <c r="AC22" s="17" t="str">
        <f aca="false">IF(AB22="","",IF(AB22&gt;=設定!$D$14,"A",IF(AB22&gt;=設定!$E$14,"B","C")))</f>
        <v>A</v>
      </c>
      <c r="AD22" s="17" t="n">
        <f aca="false">IF(AND(N22="",AA22=""),"",IF(N22="",0,N22)+IF(AA22="",0,AA22))</f>
        <v>495</v>
      </c>
      <c r="AE22" s="17" t="n">
        <f aca="false">IF(AD22="","",IF($AD$4-SUMIF(C22:M22,"欠",$C$4:$M$4)-SUMIF(Q22:Z22,"欠",$Q$4:$Z$4)&lt;=0,"",ROUND(AD22/($AD$4-SUMIF(C22:M22,"欠",$C$4:$M$4)-SUMIF(Q22:Z22,"欠",$Q$4:$Z$4))*100,0)))</f>
        <v>99</v>
      </c>
      <c r="AF22" s="17" t="str">
        <f aca="false">IF(AE22="","",IF(AE22&gt;=設定!$D$14,"A",IF(AE22&gt;=設定!$E$14,"B","C")))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50</v>
      </c>
      <c r="D23" s="19" t="n">
        <v>43</v>
      </c>
      <c r="E23" s="19" t="n">
        <v>50</v>
      </c>
      <c r="F23" s="19" t="n">
        <v>50</v>
      </c>
      <c r="G23" s="19" t="n">
        <v>48</v>
      </c>
      <c r="H23" s="19"/>
      <c r="I23" s="19"/>
      <c r="J23" s="19"/>
      <c r="K23" s="19"/>
      <c r="L23" s="19"/>
      <c r="M23" s="19"/>
      <c r="N23" s="17" t="n">
        <f aca="false">IF(COUNT(C23:M23)=0,"",SUM(C23:M23))</f>
        <v>241</v>
      </c>
      <c r="O23" s="17" t="n">
        <f aca="false">IF(OR(N23="",$N$4-SUMIF(C23:M23,"欠",$C$4:$M$4)&lt;=0),"",ROUND(N23/($N$4-SUMIF(C23:M23,"欠",$C$4:$M$4))*100,0))</f>
        <v>96</v>
      </c>
      <c r="P23" s="17" t="str">
        <f aca="false">IF(O23="","",IF(O23&gt;=設定!$D$14,"A",IF(O23&gt;=設定!$E$14,"B","C")))</f>
        <v>A</v>
      </c>
      <c r="Q23" s="19" t="n">
        <v>48</v>
      </c>
      <c r="R23" s="19" t="n">
        <v>41</v>
      </c>
      <c r="S23" s="19" t="n">
        <v>50</v>
      </c>
      <c r="T23" s="19" t="n">
        <v>38</v>
      </c>
      <c r="U23" s="19" t="n">
        <v>50</v>
      </c>
      <c r="V23" s="19"/>
      <c r="W23" s="19"/>
      <c r="X23" s="19"/>
      <c r="Y23" s="19"/>
      <c r="Z23" s="19"/>
      <c r="AA23" s="17" t="n">
        <f aca="false">IF(COUNT(Q23:Z23)=0,"",SUM(Q23:Z23))</f>
        <v>227</v>
      </c>
      <c r="AB23" s="17" t="n">
        <f aca="false">IF(OR(AA23="",$AA$4-SUMIF(Q23:Z23,"欠",$Q$4:$Z$4)&lt;=0),"",ROUND(AA23/($AA$4-SUMIF(Q23:Z23,"欠",$Q$4:$Z$4))*100,0))</f>
        <v>91</v>
      </c>
      <c r="AC23" s="17" t="str">
        <f aca="false">IF(AB23="","",IF(AB23&gt;=設定!$D$14,"A",IF(AB23&gt;=設定!$E$14,"B","C")))</f>
        <v>A</v>
      </c>
      <c r="AD23" s="17" t="n">
        <f aca="false">IF(AND(N23="",AA23=""),"",IF(N23="",0,N23)+IF(AA23="",0,AA23))</f>
        <v>468</v>
      </c>
      <c r="AE23" s="17" t="n">
        <f aca="false">IF(AD23="","",IF($AD$4-SUMIF(C23:M23,"欠",$C$4:$M$4)-SUMIF(Q23:Z23,"欠",$Q$4:$Z$4)&lt;=0,"",ROUND(AD23/($AD$4-SUMIF(C23:M23,"欠",$C$4:$M$4)-SUMIF(Q23:Z23,"欠",$Q$4:$Z$4))*100,0)))</f>
        <v>94</v>
      </c>
      <c r="AF23" s="17" t="str">
        <f aca="false">IF(AE23="","",IF(AE23&gt;=設定!$D$14,"A",IF(AE23&gt;=設定!$E$14,"B","C")))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29</v>
      </c>
      <c r="D24" s="19" t="n">
        <v>31</v>
      </c>
      <c r="E24" s="19" t="n">
        <v>36</v>
      </c>
      <c r="F24" s="19" t="n">
        <v>43</v>
      </c>
      <c r="G24" s="19" t="n">
        <v>40</v>
      </c>
      <c r="H24" s="19"/>
      <c r="I24" s="19"/>
      <c r="J24" s="19"/>
      <c r="K24" s="19"/>
      <c r="L24" s="19"/>
      <c r="M24" s="19"/>
      <c r="N24" s="17" t="n">
        <f aca="false">IF(COUNT(C24:M24)=0,"",SUM(C24:M24))</f>
        <v>179</v>
      </c>
      <c r="O24" s="17" t="n">
        <f aca="false">IF(OR(N24="",$N$4-SUMIF(C24:M24,"欠",$C$4:$M$4)&lt;=0),"",ROUND(N24/($N$4-SUMIF(C24:M24,"欠",$C$4:$M$4))*100,0))</f>
        <v>72</v>
      </c>
      <c r="P24" s="17" t="str">
        <f aca="false">IF(O24="","",IF(O24&gt;=設定!$D$14,"A",IF(O24&gt;=設定!$E$14,"B","C")))</f>
        <v>B</v>
      </c>
      <c r="Q24" s="19" t="n">
        <v>25</v>
      </c>
      <c r="R24" s="19" t="n">
        <v>23</v>
      </c>
      <c r="S24" s="19" t="n">
        <v>35</v>
      </c>
      <c r="T24" s="19" t="n">
        <v>34</v>
      </c>
      <c r="U24" s="19" t="n">
        <v>30</v>
      </c>
      <c r="V24" s="19"/>
      <c r="W24" s="19"/>
      <c r="X24" s="19"/>
      <c r="Y24" s="19"/>
      <c r="Z24" s="19"/>
      <c r="AA24" s="17" t="n">
        <f aca="false">IF(COUNT(Q24:Z24)=0,"",SUM(Q24:Z24))</f>
        <v>147</v>
      </c>
      <c r="AB24" s="17" t="n">
        <f aca="false">IF(OR(AA24="",$AA$4-SUMIF(Q24:Z24,"欠",$Q$4:$Z$4)&lt;=0),"",ROUND(AA24/($AA$4-SUMIF(Q24:Z24,"欠",$Q$4:$Z$4))*100,0))</f>
        <v>59</v>
      </c>
      <c r="AC24" s="17" t="str">
        <f aca="false">IF(AB24="","",IF(AB24&gt;=設定!$D$14,"A",IF(AB24&gt;=設定!$E$14,"B","C")))</f>
        <v>C</v>
      </c>
      <c r="AD24" s="17" t="n">
        <f aca="false">IF(AND(N24="",AA24=""),"",IF(N24="",0,N24)+IF(AA24="",0,AA24))</f>
        <v>326</v>
      </c>
      <c r="AE24" s="17" t="n">
        <f aca="false">IF(AD24="","",IF($AD$4-SUMIF(C24:M24,"欠",$C$4:$M$4)-SUMIF(Q24:Z24,"欠",$Q$4:$Z$4)&lt;=0,"",ROUND(AD24/($AD$4-SUMIF(C24:M24,"欠",$C$4:$M$4)-SUMIF(Q24:Z24,"欠",$Q$4:$Z$4))*100,0)))</f>
        <v>65</v>
      </c>
      <c r="AF24" s="17" t="str">
        <f aca="false">IF(AE24="","",IF(AE24&gt;=設定!$D$14,"A",IF(AE24&gt;=設定!$E$14,"B","C")))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45</v>
      </c>
      <c r="D25" s="19" t="n">
        <v>47</v>
      </c>
      <c r="E25" s="19" t="n">
        <v>50</v>
      </c>
      <c r="F25" s="19" t="n">
        <v>47</v>
      </c>
      <c r="G25" s="19" t="n">
        <v>47</v>
      </c>
      <c r="H25" s="19"/>
      <c r="I25" s="19"/>
      <c r="J25" s="19"/>
      <c r="K25" s="19"/>
      <c r="L25" s="19"/>
      <c r="M25" s="19"/>
      <c r="N25" s="17" t="n">
        <f aca="false">IF(COUNT(C25:M25)=0,"",SUM(C25:M25))</f>
        <v>236</v>
      </c>
      <c r="O25" s="17" t="n">
        <f aca="false">IF(OR(N25="",$N$4-SUMIF(C25:M25,"欠",$C$4:$M$4)&lt;=0),"",ROUND(N25/($N$4-SUMIF(C25:M25,"欠",$C$4:$M$4))*100,0))</f>
        <v>94</v>
      </c>
      <c r="P25" s="17" t="str">
        <f aca="false">IF(O25="","",IF(O25&gt;=設定!$D$14,"A",IF(O25&gt;=設定!$E$14,"B","C")))</f>
        <v>A</v>
      </c>
      <c r="Q25" s="19" t="n">
        <v>41</v>
      </c>
      <c r="R25" s="19" t="n">
        <v>45</v>
      </c>
      <c r="S25" s="19" t="n">
        <v>47</v>
      </c>
      <c r="T25" s="19" t="n">
        <v>43</v>
      </c>
      <c r="U25" s="19" t="n">
        <v>43</v>
      </c>
      <c r="V25" s="19"/>
      <c r="W25" s="19"/>
      <c r="X25" s="19"/>
      <c r="Y25" s="19"/>
      <c r="Z25" s="19"/>
      <c r="AA25" s="17" t="n">
        <f aca="false">IF(COUNT(Q25:Z25)=0,"",SUM(Q25:Z25))</f>
        <v>219</v>
      </c>
      <c r="AB25" s="17" t="n">
        <f aca="false">IF(OR(AA25="",$AA$4-SUMIF(Q25:Z25,"欠",$Q$4:$Z$4)&lt;=0),"",ROUND(AA25/($AA$4-SUMIF(Q25:Z25,"欠",$Q$4:$Z$4))*100,0))</f>
        <v>88</v>
      </c>
      <c r="AC25" s="17" t="str">
        <f aca="false">IF(AB25="","",IF(AB25&gt;=設定!$D$14,"A",IF(AB25&gt;=設定!$E$14,"B","C")))</f>
        <v>B</v>
      </c>
      <c r="AD25" s="17" t="n">
        <f aca="false">IF(AND(N25="",AA25=""),"",IF(N25="",0,N25)+IF(AA25="",0,AA25))</f>
        <v>455</v>
      </c>
      <c r="AE25" s="17" t="n">
        <f aca="false">IF(AD25="","",IF($AD$4-SUMIF(C25:M25,"欠",$C$4:$M$4)-SUMIF(Q25:Z25,"欠",$Q$4:$Z$4)&lt;=0,"",ROUND(AD25/($AD$4-SUMIF(C25:M25,"欠",$C$4:$M$4)-SUMIF(Q25:Z25,"欠",$Q$4:$Z$4))*100,0)))</f>
        <v>91</v>
      </c>
      <c r="AF25" s="17" t="str">
        <f aca="false">IF(AE25="","",IF(AE25&gt;=設定!$D$14,"A",IF(AE25&gt;=設定!$E$14,"B","C")))</f>
        <v>A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31</v>
      </c>
      <c r="D26" s="19" t="n">
        <v>45</v>
      </c>
      <c r="E26" s="19" t="n">
        <v>37</v>
      </c>
      <c r="F26" s="19" t="n">
        <v>42</v>
      </c>
      <c r="G26" s="19" t="n">
        <v>35</v>
      </c>
      <c r="H26" s="19"/>
      <c r="I26" s="19"/>
      <c r="J26" s="19"/>
      <c r="K26" s="19"/>
      <c r="L26" s="19"/>
      <c r="M26" s="19"/>
      <c r="N26" s="17" t="n">
        <f aca="false">IF(COUNT(C26:M26)=0,"",SUM(C26:M26))</f>
        <v>190</v>
      </c>
      <c r="O26" s="17" t="n">
        <f aca="false">IF(OR(N26="",$N$4-SUMIF(C26:M26,"欠",$C$4:$M$4)&lt;=0),"",ROUND(N26/($N$4-SUMIF(C26:M26,"欠",$C$4:$M$4))*100,0))</f>
        <v>76</v>
      </c>
      <c r="P26" s="17" t="str">
        <f aca="false">IF(O26="","",IF(O26&gt;=設定!$D$14,"A",IF(O26&gt;=設定!$E$14,"B","C")))</f>
        <v>B</v>
      </c>
      <c r="Q26" s="19" t="n">
        <v>32</v>
      </c>
      <c r="R26" s="19" t="n">
        <v>24</v>
      </c>
      <c r="S26" s="19" t="n">
        <v>31</v>
      </c>
      <c r="T26" s="19" t="n">
        <v>39</v>
      </c>
      <c r="U26" s="19" t="n">
        <v>36</v>
      </c>
      <c r="V26" s="19"/>
      <c r="W26" s="19"/>
      <c r="X26" s="19"/>
      <c r="Y26" s="19"/>
      <c r="Z26" s="19"/>
      <c r="AA26" s="17" t="n">
        <f aca="false">IF(COUNT(Q26:Z26)=0,"",SUM(Q26:Z26))</f>
        <v>162</v>
      </c>
      <c r="AB26" s="17" t="n">
        <f aca="false">IF(OR(AA26="",$AA$4-SUMIF(Q26:Z26,"欠",$Q$4:$Z$4)&lt;=0),"",ROUND(AA26/($AA$4-SUMIF(Q26:Z26,"欠",$Q$4:$Z$4))*100,0))</f>
        <v>65</v>
      </c>
      <c r="AC26" s="17" t="str">
        <f aca="false">IF(AB26="","",IF(AB26&gt;=設定!$D$14,"A",IF(AB26&gt;=設定!$E$14,"B","C")))</f>
        <v>B</v>
      </c>
      <c r="AD26" s="17" t="n">
        <f aca="false">IF(AND(N26="",AA26=""),"",IF(N26="",0,N26)+IF(AA26="",0,AA26))</f>
        <v>352</v>
      </c>
      <c r="AE26" s="17" t="n">
        <f aca="false">IF(AD26="","",IF($AD$4-SUMIF(C26:M26,"欠",$C$4:$M$4)-SUMIF(Q26:Z26,"欠",$Q$4:$Z$4)&lt;=0,"",ROUND(AD26/($AD$4-SUMIF(C26:M26,"欠",$C$4:$M$4)-SUMIF(Q26:Z26,"欠",$Q$4:$Z$4))*100,0)))</f>
        <v>70</v>
      </c>
      <c r="AF26" s="17" t="str">
        <f aca="false">IF(AE26="","",IF(AE26&gt;=設定!$D$14,"A",IF(AE26&gt;=設定!$E$14,"B","C")))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50</v>
      </c>
      <c r="D27" s="19" t="n">
        <v>46</v>
      </c>
      <c r="E27" s="19" t="n">
        <v>45</v>
      </c>
      <c r="F27" s="19" t="n">
        <v>47</v>
      </c>
      <c r="G27" s="19" t="n">
        <v>39</v>
      </c>
      <c r="H27" s="19"/>
      <c r="I27" s="19"/>
      <c r="J27" s="19"/>
      <c r="K27" s="19"/>
      <c r="L27" s="19"/>
      <c r="M27" s="19"/>
      <c r="N27" s="17" t="n">
        <f aca="false">IF(COUNT(C27:M27)=0,"",SUM(C27:M27))</f>
        <v>227</v>
      </c>
      <c r="O27" s="17" t="n">
        <f aca="false">IF(OR(N27="",$N$4-SUMIF(C27:M27,"欠",$C$4:$M$4)&lt;=0),"",ROUND(N27/($N$4-SUMIF(C27:M27,"欠",$C$4:$M$4))*100,0))</f>
        <v>91</v>
      </c>
      <c r="P27" s="17" t="str">
        <f aca="false">IF(O27="","",IF(O27&gt;=設定!$D$14,"A",IF(O27&gt;=設定!$E$14,"B","C")))</f>
        <v>A</v>
      </c>
      <c r="Q27" s="19" t="n">
        <v>50</v>
      </c>
      <c r="R27" s="19" t="n">
        <v>40</v>
      </c>
      <c r="S27" s="19" t="n">
        <v>36</v>
      </c>
      <c r="T27" s="19" t="n">
        <v>44</v>
      </c>
      <c r="U27" s="19" t="n">
        <v>36</v>
      </c>
      <c r="V27" s="19"/>
      <c r="W27" s="19"/>
      <c r="X27" s="19"/>
      <c r="Y27" s="19"/>
      <c r="Z27" s="19"/>
      <c r="AA27" s="17" t="n">
        <f aca="false">IF(COUNT(Q27:Z27)=0,"",SUM(Q27:Z27))</f>
        <v>206</v>
      </c>
      <c r="AB27" s="17" t="n">
        <f aca="false">IF(OR(AA27="",$AA$4-SUMIF(Q27:Z27,"欠",$Q$4:$Z$4)&lt;=0),"",ROUND(AA27/($AA$4-SUMIF(Q27:Z27,"欠",$Q$4:$Z$4))*100,0))</f>
        <v>82</v>
      </c>
      <c r="AC27" s="17" t="str">
        <f aca="false">IF(AB27="","",IF(AB27&gt;=設定!$D$14,"A",IF(AB27&gt;=設定!$E$14,"B","C")))</f>
        <v>B</v>
      </c>
      <c r="AD27" s="17" t="n">
        <f aca="false">IF(AND(N27="",AA27=""),"",IF(N27="",0,N27)+IF(AA27="",0,AA27))</f>
        <v>433</v>
      </c>
      <c r="AE27" s="17" t="n">
        <f aca="false">IF(AD27="","",IF($AD$4-SUMIF(C27:M27,"欠",$C$4:$M$4)-SUMIF(Q27:Z27,"欠",$Q$4:$Z$4)&lt;=0,"",ROUND(AD27/($AD$4-SUMIF(C27:M27,"欠",$C$4:$M$4)-SUMIF(Q27:Z27,"欠",$Q$4:$Z$4))*100,0)))</f>
        <v>87</v>
      </c>
      <c r="AF27" s="17" t="str">
        <f aca="false">IF(AE27="","",IF(AE27&gt;=設定!$D$14,"A",IF(AE27&gt;=設定!$E$14,"B","C")))</f>
        <v>B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31</v>
      </c>
      <c r="D28" s="19" t="n">
        <v>37</v>
      </c>
      <c r="E28" s="19" t="n">
        <v>41</v>
      </c>
      <c r="F28" s="19" t="n">
        <v>33</v>
      </c>
      <c r="G28" s="19" t="n">
        <v>32</v>
      </c>
      <c r="H28" s="19"/>
      <c r="I28" s="19"/>
      <c r="J28" s="19"/>
      <c r="K28" s="19"/>
      <c r="L28" s="19"/>
      <c r="M28" s="19"/>
      <c r="N28" s="17" t="n">
        <f aca="false">IF(COUNT(C28:M28)=0,"",SUM(C28:M28))</f>
        <v>174</v>
      </c>
      <c r="O28" s="17" t="n">
        <f aca="false">IF(OR(N28="",$N$4-SUMIF(C28:M28,"欠",$C$4:$M$4)&lt;=0),"",ROUND(N28/($N$4-SUMIF(C28:M28,"欠",$C$4:$M$4))*100,0))</f>
        <v>70</v>
      </c>
      <c r="P28" s="17" t="str">
        <f aca="false">IF(O28="","",IF(O28&gt;=設定!$D$14,"A",IF(O28&gt;=設定!$E$14,"B","C")))</f>
        <v>B</v>
      </c>
      <c r="Q28" s="19" t="n">
        <v>26</v>
      </c>
      <c r="R28" s="19" t="n">
        <v>20</v>
      </c>
      <c r="S28" s="19" t="n">
        <v>24</v>
      </c>
      <c r="T28" s="19" t="n">
        <v>37</v>
      </c>
      <c r="U28" s="19" t="n">
        <v>37</v>
      </c>
      <c r="V28" s="19"/>
      <c r="W28" s="19"/>
      <c r="X28" s="19"/>
      <c r="Y28" s="19"/>
      <c r="Z28" s="19"/>
      <c r="AA28" s="17" t="n">
        <f aca="false">IF(COUNT(Q28:Z28)=0,"",SUM(Q28:Z28))</f>
        <v>144</v>
      </c>
      <c r="AB28" s="17" t="n">
        <f aca="false">IF(OR(AA28="",$AA$4-SUMIF(Q28:Z28,"欠",$Q$4:$Z$4)&lt;=0),"",ROUND(AA28/($AA$4-SUMIF(Q28:Z28,"欠",$Q$4:$Z$4))*100,0))</f>
        <v>58</v>
      </c>
      <c r="AC28" s="17" t="str">
        <f aca="false">IF(AB28="","",IF(AB28&gt;=設定!$D$14,"A",IF(AB28&gt;=設定!$E$14,"B","C")))</f>
        <v>C</v>
      </c>
      <c r="AD28" s="17" t="n">
        <f aca="false">IF(AND(N28="",AA28=""),"",IF(N28="",0,N28)+IF(AA28="",0,AA28))</f>
        <v>318</v>
      </c>
      <c r="AE28" s="17" t="n">
        <f aca="false">IF(AD28="","",IF($AD$4-SUMIF(C28:M28,"欠",$C$4:$M$4)-SUMIF(Q28:Z28,"欠",$Q$4:$Z$4)&lt;=0,"",ROUND(AD28/($AD$4-SUMIF(C28:M28,"欠",$C$4:$M$4)-SUMIF(Q28:Z28,"欠",$Q$4:$Z$4))*100,0)))</f>
        <v>64</v>
      </c>
      <c r="AF28" s="17" t="str">
        <f aca="false">IF(AE28="","",IF(AE28&gt;=設定!$D$14,"A",IF(AE28&gt;=設定!$E$14,"B","C")))</f>
        <v>B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26</v>
      </c>
      <c r="D29" s="19" t="n">
        <v>34</v>
      </c>
      <c r="E29" s="19" t="n">
        <v>41</v>
      </c>
      <c r="F29" s="19" t="n">
        <v>42</v>
      </c>
      <c r="G29" s="19" t="n">
        <v>39</v>
      </c>
      <c r="H29" s="19"/>
      <c r="I29" s="19"/>
      <c r="J29" s="19"/>
      <c r="K29" s="19"/>
      <c r="L29" s="19"/>
      <c r="M29" s="19"/>
      <c r="N29" s="17" t="n">
        <f aca="false">IF(COUNT(C29:M29)=0,"",SUM(C29:M29))</f>
        <v>182</v>
      </c>
      <c r="O29" s="17" t="n">
        <f aca="false">IF(OR(N29="",$N$4-SUMIF(C29:M29,"欠",$C$4:$M$4)&lt;=0),"",ROUND(N29/($N$4-SUMIF(C29:M29,"欠",$C$4:$M$4))*100,0))</f>
        <v>73</v>
      </c>
      <c r="P29" s="17" t="str">
        <f aca="false">IF(O29="","",IF(O29&gt;=設定!$D$14,"A",IF(O29&gt;=設定!$E$14,"B","C")))</f>
        <v>B</v>
      </c>
      <c r="Q29" s="19" t="n">
        <v>35</v>
      </c>
      <c r="R29" s="19" t="n">
        <v>26</v>
      </c>
      <c r="S29" s="19" t="n">
        <v>38</v>
      </c>
      <c r="T29" s="19" t="n">
        <v>25</v>
      </c>
      <c r="U29" s="19" t="n">
        <v>21</v>
      </c>
      <c r="V29" s="19"/>
      <c r="W29" s="19"/>
      <c r="X29" s="19"/>
      <c r="Y29" s="19"/>
      <c r="Z29" s="19"/>
      <c r="AA29" s="17" t="n">
        <f aca="false">IF(COUNT(Q29:Z29)=0,"",SUM(Q29:Z29))</f>
        <v>145</v>
      </c>
      <c r="AB29" s="17" t="n">
        <f aca="false">IF(OR(AA29="",$AA$4-SUMIF(Q29:Z29,"欠",$Q$4:$Z$4)&lt;=0),"",ROUND(AA29/($AA$4-SUMIF(Q29:Z29,"欠",$Q$4:$Z$4))*100,0))</f>
        <v>58</v>
      </c>
      <c r="AC29" s="17" t="str">
        <f aca="false">IF(AB29="","",IF(AB29&gt;=設定!$D$14,"A",IF(AB29&gt;=設定!$E$14,"B","C")))</f>
        <v>C</v>
      </c>
      <c r="AD29" s="17" t="n">
        <f aca="false">IF(AND(N29="",AA29=""),"",IF(N29="",0,N29)+IF(AA29="",0,AA29))</f>
        <v>327</v>
      </c>
      <c r="AE29" s="17" t="n">
        <f aca="false">IF(AD29="","",IF($AD$4-SUMIF(C29:M29,"欠",$C$4:$M$4)-SUMIF(Q29:Z29,"欠",$Q$4:$Z$4)&lt;=0,"",ROUND(AD29/($AD$4-SUMIF(C29:M29,"欠",$C$4:$M$4)-SUMIF(Q29:Z29,"欠",$Q$4:$Z$4))*100,0)))</f>
        <v>65</v>
      </c>
      <c r="AF29" s="17" t="str">
        <f aca="false">IF(AE29="","",IF(AE29&gt;=設定!$D$14,"A",IF(AE29&gt;=設定!$E$14,"B","C")))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33</v>
      </c>
      <c r="D30" s="19" t="n">
        <v>41</v>
      </c>
      <c r="E30" s="19" t="n">
        <v>45</v>
      </c>
      <c r="F30" s="19" t="n">
        <v>45</v>
      </c>
      <c r="G30" s="19" t="n">
        <v>37</v>
      </c>
      <c r="H30" s="19"/>
      <c r="I30" s="19"/>
      <c r="J30" s="19"/>
      <c r="K30" s="19"/>
      <c r="L30" s="19"/>
      <c r="M30" s="19"/>
      <c r="N30" s="17" t="n">
        <f aca="false">IF(COUNT(C30:M30)=0,"",SUM(C30:M30))</f>
        <v>201</v>
      </c>
      <c r="O30" s="17" t="n">
        <f aca="false">IF(OR(N30="",$N$4-SUMIF(C30:M30,"欠",$C$4:$M$4)&lt;=0),"",ROUND(N30/($N$4-SUMIF(C30:M30,"欠",$C$4:$M$4))*100,0))</f>
        <v>80</v>
      </c>
      <c r="P30" s="17" t="str">
        <f aca="false">IF(O30="","",IF(O30&gt;=設定!$D$14,"A",IF(O30&gt;=設定!$E$14,"B","C")))</f>
        <v>B</v>
      </c>
      <c r="Q30" s="19" t="n">
        <v>44</v>
      </c>
      <c r="R30" s="19" t="n">
        <v>37</v>
      </c>
      <c r="S30" s="19" t="n">
        <v>26</v>
      </c>
      <c r="T30" s="19" t="n">
        <v>41</v>
      </c>
      <c r="U30" s="19" t="n">
        <v>37</v>
      </c>
      <c r="V30" s="19"/>
      <c r="W30" s="19"/>
      <c r="X30" s="19"/>
      <c r="Y30" s="19"/>
      <c r="Z30" s="19"/>
      <c r="AA30" s="17" t="n">
        <f aca="false">IF(COUNT(Q30:Z30)=0,"",SUM(Q30:Z30))</f>
        <v>185</v>
      </c>
      <c r="AB30" s="17" t="n">
        <f aca="false">IF(OR(AA30="",$AA$4-SUMIF(Q30:Z30,"欠",$Q$4:$Z$4)&lt;=0),"",ROUND(AA30/($AA$4-SUMIF(Q30:Z30,"欠",$Q$4:$Z$4))*100,0))</f>
        <v>74</v>
      </c>
      <c r="AC30" s="17" t="str">
        <f aca="false">IF(AB30="","",IF(AB30&gt;=設定!$D$14,"A",IF(AB30&gt;=設定!$E$14,"B","C")))</f>
        <v>B</v>
      </c>
      <c r="AD30" s="17" t="n">
        <f aca="false">IF(AND(N30="",AA30=""),"",IF(N30="",0,N30)+IF(AA30="",0,AA30))</f>
        <v>386</v>
      </c>
      <c r="AE30" s="17" t="n">
        <f aca="false">IF(AD30="","",IF($AD$4-SUMIF(C30:M30,"欠",$C$4:$M$4)-SUMIF(Q30:Z30,"欠",$Q$4:$Z$4)&lt;=0,"",ROUND(AD30/($AD$4-SUMIF(C30:M30,"欠",$C$4:$M$4)-SUMIF(Q30:Z30,"欠",$Q$4:$Z$4))*100,0)))</f>
        <v>77</v>
      </c>
      <c r="AF30" s="17" t="str">
        <f aca="false">IF(AE30="","",IF(AE30&gt;=設定!$D$14,"A",IF(AE30&gt;=設定!$E$14,"B","C")))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39</v>
      </c>
      <c r="D31" s="19" t="n">
        <v>47</v>
      </c>
      <c r="E31" s="20" t="s">
        <v>80</v>
      </c>
      <c r="F31" s="19" t="n">
        <v>36</v>
      </c>
      <c r="G31" s="19" t="n">
        <v>33</v>
      </c>
      <c r="H31" s="19"/>
      <c r="I31" s="19"/>
      <c r="J31" s="19"/>
      <c r="K31" s="19"/>
      <c r="L31" s="19"/>
      <c r="M31" s="19"/>
      <c r="N31" s="17" t="n">
        <f aca="false">IF(COUNT(C31:M31)=0,"",SUM(C31:M31))</f>
        <v>155</v>
      </c>
      <c r="O31" s="17" t="n">
        <f aca="false">IF(OR(N31="",$N$4-SUMIF(C31:M31,"欠",$C$4:$M$4)&lt;=0),"",ROUND(N31/($N$4-SUMIF(C31:M31,"欠",$C$4:$M$4))*100,0))</f>
        <v>78</v>
      </c>
      <c r="P31" s="17" t="str">
        <f aca="false">IF(O31="","",IF(O31&gt;=設定!$D$14,"A",IF(O31&gt;=設定!$E$14,"B","C")))</f>
        <v>B</v>
      </c>
      <c r="Q31" s="19" t="n">
        <v>38</v>
      </c>
      <c r="R31" s="19" t="n">
        <v>35</v>
      </c>
      <c r="S31" s="20" t="s">
        <v>80</v>
      </c>
      <c r="T31" s="19" t="n">
        <v>38</v>
      </c>
      <c r="U31" s="19" t="n">
        <v>34</v>
      </c>
      <c r="V31" s="19"/>
      <c r="W31" s="19"/>
      <c r="X31" s="19"/>
      <c r="Y31" s="19"/>
      <c r="Z31" s="19"/>
      <c r="AA31" s="17" t="n">
        <f aca="false">IF(COUNT(Q31:Z31)=0,"",SUM(Q31:Z31))</f>
        <v>145</v>
      </c>
      <c r="AB31" s="17" t="n">
        <f aca="false">IF(OR(AA31="",$AA$4-SUMIF(Q31:Z31,"欠",$Q$4:$Z$4)&lt;=0),"",ROUND(AA31/($AA$4-SUMIF(Q31:Z31,"欠",$Q$4:$Z$4))*100,0))</f>
        <v>73</v>
      </c>
      <c r="AC31" s="17" t="str">
        <f aca="false">IF(AB31="","",IF(AB31&gt;=設定!$D$14,"A",IF(AB31&gt;=設定!$E$14,"B","C")))</f>
        <v>B</v>
      </c>
      <c r="AD31" s="17" t="n">
        <f aca="false">IF(AND(N31="",AA31=""),"",IF(N31="",0,N31)+IF(AA31="",0,AA31))</f>
        <v>300</v>
      </c>
      <c r="AE31" s="17" t="n">
        <f aca="false">IF(AD31="","",IF($AD$4-SUMIF(C31:M31,"欠",$C$4:$M$4)-SUMIF(Q31:Z31,"欠",$Q$4:$Z$4)&lt;=0,"",ROUND(AD31/($AD$4-SUMIF(C31:M31,"欠",$C$4:$M$4)-SUMIF(Q31:Z31,"欠",$Q$4:$Z$4))*100,0)))</f>
        <v>75</v>
      </c>
      <c r="AF31" s="17" t="str">
        <f aca="false">IF(AE31="","",IF(AE31&gt;=設定!$D$14,"A",IF(AE31&gt;=設定!$E$14,"B","C")))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36</v>
      </c>
      <c r="D32" s="19" t="n">
        <v>34</v>
      </c>
      <c r="E32" s="20" t="n">
        <v>40</v>
      </c>
      <c r="F32" s="19" t="n">
        <v>39</v>
      </c>
      <c r="G32" s="19" t="n">
        <v>30</v>
      </c>
      <c r="H32" s="19"/>
      <c r="I32" s="19"/>
      <c r="J32" s="19"/>
      <c r="K32" s="19"/>
      <c r="L32" s="19"/>
      <c r="M32" s="19"/>
      <c r="N32" s="17" t="n">
        <f aca="false">IF(COUNT(C32:M32)=0,"",SUM(C32:M32))</f>
        <v>179</v>
      </c>
      <c r="O32" s="17" t="n">
        <f aca="false">IF(OR(N32="",$N$4-SUMIF(C32:M32,"欠",$C$4:$M$4)&lt;=0),"",ROUND(N32/($N$4-SUMIF(C32:M32,"欠",$C$4:$M$4))*100,0))</f>
        <v>72</v>
      </c>
      <c r="P32" s="17" t="str">
        <f aca="false">IF(O32="","",IF(O32&gt;=設定!$D$14,"A",IF(O32&gt;=設定!$E$14,"B","C")))</f>
        <v>B</v>
      </c>
      <c r="Q32" s="19" t="n">
        <v>32</v>
      </c>
      <c r="R32" s="19" t="n">
        <v>28</v>
      </c>
      <c r="S32" s="20" t="n">
        <v>35</v>
      </c>
      <c r="T32" s="19" t="n">
        <v>37</v>
      </c>
      <c r="U32" s="19" t="n">
        <v>28</v>
      </c>
      <c r="V32" s="19"/>
      <c r="W32" s="19"/>
      <c r="X32" s="19"/>
      <c r="Y32" s="19"/>
      <c r="Z32" s="19"/>
      <c r="AA32" s="17" t="n">
        <f aca="false">IF(COUNT(Q32:Z32)=0,"",SUM(Q32:Z32))</f>
        <v>160</v>
      </c>
      <c r="AB32" s="17" t="n">
        <f aca="false">IF(OR(AA32="",$AA$4-SUMIF(Q32:Z32,"欠",$Q$4:$Z$4)&lt;=0),"",ROUND(AA32/($AA$4-SUMIF(Q32:Z32,"欠",$Q$4:$Z$4))*100,0))</f>
        <v>64</v>
      </c>
      <c r="AC32" s="17" t="str">
        <f aca="false">IF(AB32="","",IF(AB32&gt;=設定!$D$14,"A",IF(AB32&gt;=設定!$E$14,"B","C")))</f>
        <v>B</v>
      </c>
      <c r="AD32" s="17" t="n">
        <f aca="false">IF(AND(N32="",AA32=""),"",IF(N32="",0,N32)+IF(AA32="",0,AA32))</f>
        <v>339</v>
      </c>
      <c r="AE32" s="17" t="n">
        <f aca="false">IF(AD32="","",IF($AD$4-SUMIF(C32:M32,"欠",$C$4:$M$4)-SUMIF(Q32:Z32,"欠",$Q$4:$Z$4)&lt;=0,"",ROUND(AD32/($AD$4-SUMIF(C32:M32,"欠",$C$4:$M$4)-SUMIF(Q32:Z32,"欠",$Q$4:$Z$4))*100,0)))</f>
        <v>68</v>
      </c>
      <c r="AF32" s="17" t="str">
        <f aca="false">IF(AE32="","",IF(AE32&gt;=設定!$D$14,"A",IF(AE32&gt;=設定!$E$14,"B","C")))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50</v>
      </c>
      <c r="D33" s="19" t="n">
        <v>50</v>
      </c>
      <c r="E33" s="20" t="n">
        <v>50</v>
      </c>
      <c r="F33" s="19" t="n">
        <v>44</v>
      </c>
      <c r="G33" s="19" t="n">
        <v>43</v>
      </c>
      <c r="H33" s="19"/>
      <c r="I33" s="19"/>
      <c r="J33" s="19"/>
      <c r="K33" s="19"/>
      <c r="L33" s="19"/>
      <c r="M33" s="19"/>
      <c r="N33" s="17" t="n">
        <f aca="false">IF(COUNT(C33:M33)=0,"",SUM(C33:M33))</f>
        <v>237</v>
      </c>
      <c r="O33" s="17" t="n">
        <f aca="false">IF(OR(N33="",$N$4-SUMIF(C33:M33,"欠",$C$4:$M$4)&lt;=0),"",ROUND(N33/($N$4-SUMIF(C33:M33,"欠",$C$4:$M$4))*100,0))</f>
        <v>95</v>
      </c>
      <c r="P33" s="17" t="str">
        <f aca="false">IF(O33="","",IF(O33&gt;=設定!$D$14,"A",IF(O33&gt;=設定!$E$14,"B","C")))</f>
        <v>A</v>
      </c>
      <c r="Q33" s="19" t="n">
        <v>42</v>
      </c>
      <c r="R33" s="19" t="n">
        <v>41</v>
      </c>
      <c r="S33" s="20" t="n">
        <v>46</v>
      </c>
      <c r="T33" s="19" t="n">
        <v>47</v>
      </c>
      <c r="U33" s="19" t="n">
        <v>40</v>
      </c>
      <c r="V33" s="19"/>
      <c r="W33" s="19"/>
      <c r="X33" s="19"/>
      <c r="Y33" s="19"/>
      <c r="Z33" s="19"/>
      <c r="AA33" s="17" t="n">
        <f aca="false">IF(COUNT(Q33:Z33)=0,"",SUM(Q33:Z33))</f>
        <v>216</v>
      </c>
      <c r="AB33" s="17" t="n">
        <f aca="false">IF(OR(AA33="",$AA$4-SUMIF(Q33:Z33,"欠",$Q$4:$Z$4)&lt;=0),"",ROUND(AA33/($AA$4-SUMIF(Q33:Z33,"欠",$Q$4:$Z$4))*100,0))</f>
        <v>86</v>
      </c>
      <c r="AC33" s="17" t="str">
        <f aca="false">IF(AB33="","",IF(AB33&gt;=設定!$D$14,"A",IF(AB33&gt;=設定!$E$14,"B","C")))</f>
        <v>B</v>
      </c>
      <c r="AD33" s="17" t="n">
        <f aca="false">IF(AND(N33="",AA33=""),"",IF(N33="",0,N33)+IF(AA33="",0,AA33))</f>
        <v>453</v>
      </c>
      <c r="AE33" s="17" t="n">
        <f aca="false">IF(AD33="","",IF($AD$4-SUMIF(C33:M33,"欠",$C$4:$M$4)-SUMIF(Q33:Z33,"欠",$Q$4:$Z$4)&lt;=0,"",ROUND(AD33/($AD$4-SUMIF(C33:M33,"欠",$C$4:$M$4)-SUMIF(Q33:Z33,"欠",$Q$4:$Z$4))*100,0)))</f>
        <v>91</v>
      </c>
      <c r="AF33" s="17" t="str">
        <f aca="false">IF(AE33="","",IF(AE33&gt;=設定!$D$14,"A",IF(AE33&gt;=設定!$E$14,"B","C")))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42</v>
      </c>
      <c r="D34" s="19" t="n">
        <v>47</v>
      </c>
      <c r="E34" s="20" t="n">
        <v>40</v>
      </c>
      <c r="F34" s="19" t="n">
        <v>42</v>
      </c>
      <c r="G34" s="19" t="n">
        <v>50</v>
      </c>
      <c r="H34" s="19"/>
      <c r="I34" s="19"/>
      <c r="J34" s="19"/>
      <c r="K34" s="19"/>
      <c r="L34" s="19"/>
      <c r="M34" s="19"/>
      <c r="N34" s="17" t="n">
        <f aca="false">IF(COUNT(C34:M34)=0,"",SUM(C34:M34))</f>
        <v>221</v>
      </c>
      <c r="O34" s="17" t="n">
        <f aca="false">IF(OR(N34="",$N$4-SUMIF(C34:M34,"欠",$C$4:$M$4)&lt;=0),"",ROUND(N34/($N$4-SUMIF(C34:M34,"欠",$C$4:$M$4))*100,0))</f>
        <v>88</v>
      </c>
      <c r="P34" s="17" t="str">
        <f aca="false">IF(O34="","",IF(O34&gt;=設定!$D$14,"A",IF(O34&gt;=設定!$E$14,"B","C")))</f>
        <v>B</v>
      </c>
      <c r="Q34" s="19" t="n">
        <v>34</v>
      </c>
      <c r="R34" s="19" t="n">
        <v>37</v>
      </c>
      <c r="S34" s="20" t="n">
        <v>42</v>
      </c>
      <c r="T34" s="19" t="n">
        <v>44</v>
      </c>
      <c r="U34" s="19" t="n">
        <v>43</v>
      </c>
      <c r="V34" s="19"/>
      <c r="W34" s="19"/>
      <c r="X34" s="19"/>
      <c r="Y34" s="19"/>
      <c r="Z34" s="19"/>
      <c r="AA34" s="17" t="n">
        <f aca="false">IF(COUNT(Q34:Z34)=0,"",SUM(Q34:Z34))</f>
        <v>200</v>
      </c>
      <c r="AB34" s="17" t="n">
        <f aca="false">IF(OR(AA34="",$AA$4-SUMIF(Q34:Z34,"欠",$Q$4:$Z$4)&lt;=0),"",ROUND(AA34/($AA$4-SUMIF(Q34:Z34,"欠",$Q$4:$Z$4))*100,0))</f>
        <v>80</v>
      </c>
      <c r="AC34" s="17" t="str">
        <f aca="false">IF(AB34="","",IF(AB34&gt;=設定!$D$14,"A",IF(AB34&gt;=設定!$E$14,"B","C")))</f>
        <v>B</v>
      </c>
      <c r="AD34" s="17" t="n">
        <f aca="false">IF(AND(N34="",AA34=""),"",IF(N34="",0,N34)+IF(AA34="",0,AA34))</f>
        <v>421</v>
      </c>
      <c r="AE34" s="17" t="n">
        <f aca="false">IF(AD34="","",IF($AD$4-SUMIF(C34:M34,"欠",$C$4:$M$4)-SUMIF(Q34:Z34,"欠",$Q$4:$Z$4)&lt;=0,"",ROUND(AD34/($AD$4-SUMIF(C34:M34,"欠",$C$4:$M$4)-SUMIF(Q34:Z34,"欠",$Q$4:$Z$4))*100,0)))</f>
        <v>84</v>
      </c>
      <c r="AF34" s="17" t="str">
        <f aca="false">IF(AE34="","",IF(AE34&gt;=設定!$D$14,"A",IF(AE34&gt;=設定!$E$14,"B","C")))</f>
        <v>B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46</v>
      </c>
      <c r="D35" s="19" t="n">
        <v>33</v>
      </c>
      <c r="E35" s="20" t="n">
        <v>44</v>
      </c>
      <c r="F35" s="19" t="n">
        <v>40</v>
      </c>
      <c r="G35" s="19" t="n">
        <v>36</v>
      </c>
      <c r="H35" s="19"/>
      <c r="I35" s="19"/>
      <c r="J35" s="19"/>
      <c r="K35" s="19"/>
      <c r="L35" s="19"/>
      <c r="M35" s="19"/>
      <c r="N35" s="17" t="n">
        <f aca="false">IF(COUNT(C35:M35)=0,"",SUM(C35:M35))</f>
        <v>199</v>
      </c>
      <c r="O35" s="17" t="n">
        <f aca="false">IF(OR(N35="",$N$4-SUMIF(C35:M35,"欠",$C$4:$M$4)&lt;=0),"",ROUND(N35/($N$4-SUMIF(C35:M35,"欠",$C$4:$M$4))*100,0))</f>
        <v>80</v>
      </c>
      <c r="P35" s="17" t="str">
        <f aca="false">IF(O35="","",IF(O35&gt;=設定!$D$14,"A",IF(O35&gt;=設定!$E$14,"B","C")))</f>
        <v>B</v>
      </c>
      <c r="Q35" s="19" t="n">
        <v>34</v>
      </c>
      <c r="R35" s="19" t="n">
        <v>37</v>
      </c>
      <c r="S35" s="20" t="n">
        <v>34</v>
      </c>
      <c r="T35" s="19" t="n">
        <v>35</v>
      </c>
      <c r="U35" s="19" t="n">
        <v>31</v>
      </c>
      <c r="V35" s="19"/>
      <c r="W35" s="19"/>
      <c r="X35" s="19"/>
      <c r="Y35" s="19"/>
      <c r="Z35" s="19"/>
      <c r="AA35" s="17" t="n">
        <f aca="false">IF(COUNT(Q35:Z35)=0,"",SUM(Q35:Z35))</f>
        <v>171</v>
      </c>
      <c r="AB35" s="17" t="n">
        <f aca="false">IF(OR(AA35="",$AA$4-SUMIF(Q35:Z35,"欠",$Q$4:$Z$4)&lt;=0),"",ROUND(AA35/($AA$4-SUMIF(Q35:Z35,"欠",$Q$4:$Z$4))*100,0))</f>
        <v>68</v>
      </c>
      <c r="AC35" s="17" t="str">
        <f aca="false">IF(AB35="","",IF(AB35&gt;=設定!$D$14,"A",IF(AB35&gt;=設定!$E$14,"B","C")))</f>
        <v>B</v>
      </c>
      <c r="AD35" s="17" t="n">
        <f aca="false">IF(AND(N35="",AA35=""),"",IF(N35="",0,N35)+IF(AA35="",0,AA35))</f>
        <v>370</v>
      </c>
      <c r="AE35" s="17" t="n">
        <f aca="false">IF(AD35="","",IF($AD$4-SUMIF(C35:M35,"欠",$C$4:$M$4)-SUMIF(Q35:Z35,"欠",$Q$4:$Z$4)&lt;=0,"",ROUND(AD35/($AD$4-SUMIF(C35:M35,"欠",$C$4:$M$4)-SUMIF(Q35:Z35,"欠",$Q$4:$Z$4))*100,0)))</f>
        <v>74</v>
      </c>
      <c r="AF35" s="17" t="str">
        <f aca="false">IF(AE35="","",IF(AE35&gt;=設定!$D$14,"A",IF(AE35&gt;=設定!$E$14,"B","C")))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45</v>
      </c>
      <c r="D36" s="19" t="n">
        <v>49</v>
      </c>
      <c r="E36" s="20" t="n">
        <v>49</v>
      </c>
      <c r="F36" s="19" t="n">
        <v>45</v>
      </c>
      <c r="G36" s="19" t="n">
        <v>50</v>
      </c>
      <c r="H36" s="19"/>
      <c r="I36" s="19"/>
      <c r="J36" s="19"/>
      <c r="K36" s="19"/>
      <c r="L36" s="19"/>
      <c r="M36" s="19"/>
      <c r="N36" s="17" t="n">
        <f aca="false">IF(COUNT(C36:M36)=0,"",SUM(C36:M36))</f>
        <v>238</v>
      </c>
      <c r="O36" s="17" t="n">
        <f aca="false">IF(OR(N36="",$N$4-SUMIF(C36:M36,"欠",$C$4:$M$4)&lt;=0),"",ROUND(N36/($N$4-SUMIF(C36:M36,"欠",$C$4:$M$4))*100,0))</f>
        <v>95</v>
      </c>
      <c r="P36" s="17" t="str">
        <f aca="false">IF(O36="","",IF(O36&gt;=設定!$D$14,"A",IF(O36&gt;=設定!$E$14,"B","C")))</f>
        <v>A</v>
      </c>
      <c r="Q36" s="19" t="n">
        <v>43</v>
      </c>
      <c r="R36" s="19" t="n">
        <v>49</v>
      </c>
      <c r="S36" s="20" t="n">
        <v>47</v>
      </c>
      <c r="T36" s="19" t="n">
        <v>40</v>
      </c>
      <c r="U36" s="19" t="n">
        <v>45</v>
      </c>
      <c r="V36" s="19"/>
      <c r="W36" s="19"/>
      <c r="X36" s="19"/>
      <c r="Y36" s="19"/>
      <c r="Z36" s="19"/>
      <c r="AA36" s="17" t="n">
        <f aca="false">IF(COUNT(Q36:Z36)=0,"",SUM(Q36:Z36))</f>
        <v>224</v>
      </c>
      <c r="AB36" s="17" t="n">
        <f aca="false">IF(OR(AA36="",$AA$4-SUMIF(Q36:Z36,"欠",$Q$4:$Z$4)&lt;=0),"",ROUND(AA36/($AA$4-SUMIF(Q36:Z36,"欠",$Q$4:$Z$4))*100,0))</f>
        <v>90</v>
      </c>
      <c r="AC36" s="17" t="str">
        <f aca="false">IF(AB36="","",IF(AB36&gt;=設定!$D$14,"A",IF(AB36&gt;=設定!$E$14,"B","C")))</f>
        <v>A</v>
      </c>
      <c r="AD36" s="17" t="n">
        <f aca="false">IF(AND(N36="",AA36=""),"",IF(N36="",0,N36)+IF(AA36="",0,AA36))</f>
        <v>462</v>
      </c>
      <c r="AE36" s="17" t="n">
        <f aca="false">IF(AD36="","",IF($AD$4-SUMIF(C36:M36,"欠",$C$4:$M$4)-SUMIF(Q36:Z36,"欠",$Q$4:$Z$4)&lt;=0,"",ROUND(AD36/($AD$4-SUMIF(C36:M36,"欠",$C$4:$M$4)-SUMIF(Q36:Z36,"欠",$Q$4:$Z$4))*100,0)))</f>
        <v>92</v>
      </c>
      <c r="AF36" s="17" t="str">
        <f aca="false">IF(AE36="","",IF(AE36&gt;=設定!$D$14,"A",IF(AE36&gt;=設定!$E$14,"B","C")))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43</v>
      </c>
      <c r="D37" s="19" t="n">
        <v>43</v>
      </c>
      <c r="E37" s="20" t="n">
        <v>48</v>
      </c>
      <c r="F37" s="19" t="n">
        <v>42</v>
      </c>
      <c r="G37" s="19" t="n">
        <v>41</v>
      </c>
      <c r="H37" s="19"/>
      <c r="I37" s="19"/>
      <c r="J37" s="19"/>
      <c r="K37" s="19"/>
      <c r="L37" s="19"/>
      <c r="M37" s="19"/>
      <c r="N37" s="17" t="n">
        <f aca="false">IF(COUNT(C37:M37)=0,"",SUM(C37:M37))</f>
        <v>217</v>
      </c>
      <c r="O37" s="17" t="n">
        <f aca="false">IF(OR(N37="",$N$4-SUMIF(C37:M37,"欠",$C$4:$M$4)&lt;=0),"",ROUND(N37/($N$4-SUMIF(C37:M37,"欠",$C$4:$M$4))*100,0))</f>
        <v>87</v>
      </c>
      <c r="P37" s="17" t="str">
        <f aca="false">IF(O37="","",IF(O37&gt;=設定!$D$14,"A",IF(O37&gt;=設定!$E$14,"B","C")))</f>
        <v>B</v>
      </c>
      <c r="Q37" s="19" t="n">
        <v>30</v>
      </c>
      <c r="R37" s="19" t="n">
        <v>36</v>
      </c>
      <c r="S37" s="20" t="n">
        <v>42</v>
      </c>
      <c r="T37" s="19" t="n">
        <v>38</v>
      </c>
      <c r="U37" s="19" t="n">
        <v>40</v>
      </c>
      <c r="V37" s="19"/>
      <c r="W37" s="19"/>
      <c r="X37" s="19"/>
      <c r="Y37" s="19"/>
      <c r="Z37" s="19"/>
      <c r="AA37" s="17" t="n">
        <f aca="false">IF(COUNT(Q37:Z37)=0,"",SUM(Q37:Z37))</f>
        <v>186</v>
      </c>
      <c r="AB37" s="17" t="n">
        <f aca="false">IF(OR(AA37="",$AA$4-SUMIF(Q37:Z37,"欠",$Q$4:$Z$4)&lt;=0),"",ROUND(AA37/($AA$4-SUMIF(Q37:Z37,"欠",$Q$4:$Z$4))*100,0))</f>
        <v>74</v>
      </c>
      <c r="AC37" s="17" t="str">
        <f aca="false">IF(AB37="","",IF(AB37&gt;=設定!$D$14,"A",IF(AB37&gt;=設定!$E$14,"B","C")))</f>
        <v>B</v>
      </c>
      <c r="AD37" s="17" t="n">
        <f aca="false">IF(AND(N37="",AA37=""),"",IF(N37="",0,N37)+IF(AA37="",0,AA37))</f>
        <v>403</v>
      </c>
      <c r="AE37" s="17" t="n">
        <f aca="false">IF(AD37="","",IF($AD$4-SUMIF(C37:M37,"欠",$C$4:$M$4)-SUMIF(Q37:Z37,"欠",$Q$4:$Z$4)&lt;=0,"",ROUND(AD37/($AD$4-SUMIF(C37:M37,"欠",$C$4:$M$4)-SUMIF(Q37:Z37,"欠",$Q$4:$Z$4))*100,0)))</f>
        <v>81</v>
      </c>
      <c r="AF37" s="17" t="str">
        <f aca="false">IF(AE37="","",IF(AE37&gt;=設定!$D$14,"A",IF(AE37&gt;=設定!$E$14,"B","C")))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44</v>
      </c>
      <c r="D38" s="19" t="n">
        <v>37</v>
      </c>
      <c r="E38" s="20" t="n">
        <v>39</v>
      </c>
      <c r="F38" s="19" t="n">
        <v>41</v>
      </c>
      <c r="G38" s="19" t="n">
        <v>35</v>
      </c>
      <c r="H38" s="19"/>
      <c r="I38" s="19"/>
      <c r="J38" s="19"/>
      <c r="K38" s="19"/>
      <c r="L38" s="19"/>
      <c r="M38" s="19"/>
      <c r="N38" s="17" t="n">
        <f aca="false">IF(COUNT(C38:M38)=0,"",SUM(C38:M38))</f>
        <v>196</v>
      </c>
      <c r="O38" s="17" t="n">
        <f aca="false">IF(OR(N38="",$N$4-SUMIF(C38:M38,"欠",$C$4:$M$4)&lt;=0),"",ROUND(N38/($N$4-SUMIF(C38:M38,"欠",$C$4:$M$4))*100,0))</f>
        <v>78</v>
      </c>
      <c r="P38" s="17" t="str">
        <f aca="false">IF(O38="","",IF(O38&gt;=設定!$D$14,"A",IF(O38&gt;=設定!$E$14,"B","C")))</f>
        <v>B</v>
      </c>
      <c r="Q38" s="19" t="n">
        <v>37</v>
      </c>
      <c r="R38" s="19" t="n">
        <v>36</v>
      </c>
      <c r="S38" s="20" t="n">
        <v>29</v>
      </c>
      <c r="T38" s="19" t="n">
        <v>44</v>
      </c>
      <c r="U38" s="19" t="n">
        <v>36</v>
      </c>
      <c r="V38" s="19"/>
      <c r="W38" s="19"/>
      <c r="X38" s="19"/>
      <c r="Y38" s="19"/>
      <c r="Z38" s="19"/>
      <c r="AA38" s="17" t="n">
        <f aca="false">IF(COUNT(Q38:Z38)=0,"",SUM(Q38:Z38))</f>
        <v>182</v>
      </c>
      <c r="AB38" s="17" t="n">
        <f aca="false">IF(OR(AA38="",$AA$4-SUMIF(Q38:Z38,"欠",$Q$4:$Z$4)&lt;=0),"",ROUND(AA38/($AA$4-SUMIF(Q38:Z38,"欠",$Q$4:$Z$4))*100,0))</f>
        <v>73</v>
      </c>
      <c r="AC38" s="17" t="str">
        <f aca="false">IF(AB38="","",IF(AB38&gt;=設定!$D$14,"A",IF(AB38&gt;=設定!$E$14,"B","C")))</f>
        <v>B</v>
      </c>
      <c r="AD38" s="17" t="n">
        <f aca="false">IF(AND(N38="",AA38=""),"",IF(N38="",0,N38)+IF(AA38="",0,AA38))</f>
        <v>378</v>
      </c>
      <c r="AE38" s="17" t="n">
        <f aca="false">IF(AD38="","",IF($AD$4-SUMIF(C38:M38,"欠",$C$4:$M$4)-SUMIF(Q38:Z38,"欠",$Q$4:$Z$4)&lt;=0,"",ROUND(AD38/($AD$4-SUMIF(C38:M38,"欠",$C$4:$M$4)-SUMIF(Q38:Z38,"欠",$Q$4:$Z$4))*100,0)))</f>
        <v>76</v>
      </c>
      <c r="AF38" s="17" t="str">
        <f aca="false">IF(AE38="","",IF(AE38&gt;=設定!$D$14,"A",IF(AE38&gt;=設定!$E$14,"B","C")))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49</v>
      </c>
      <c r="D39" s="19" t="n">
        <v>44</v>
      </c>
      <c r="E39" s="20" t="n">
        <v>50</v>
      </c>
      <c r="F39" s="19" t="n">
        <v>45</v>
      </c>
      <c r="G39" s="19" t="n">
        <v>48</v>
      </c>
      <c r="H39" s="19"/>
      <c r="I39" s="19"/>
      <c r="J39" s="19"/>
      <c r="K39" s="19"/>
      <c r="L39" s="19"/>
      <c r="M39" s="19"/>
      <c r="N39" s="17" t="n">
        <f aca="false">IF(COUNT(C39:M39)=0,"",SUM(C39:M39))</f>
        <v>236</v>
      </c>
      <c r="O39" s="17" t="n">
        <f aca="false">IF(OR(N39="",$N$4-SUMIF(C39:M39,"欠",$C$4:$M$4)&lt;=0),"",ROUND(N39/($N$4-SUMIF(C39:M39,"欠",$C$4:$M$4))*100,0))</f>
        <v>94</v>
      </c>
      <c r="P39" s="17" t="str">
        <f aca="false">IF(O39="","",IF(O39&gt;=設定!$D$14,"A",IF(O39&gt;=設定!$E$14,"B","C")))</f>
        <v>A</v>
      </c>
      <c r="Q39" s="19" t="n">
        <v>38</v>
      </c>
      <c r="R39" s="19" t="n">
        <v>31</v>
      </c>
      <c r="S39" s="20" t="n">
        <v>38</v>
      </c>
      <c r="T39" s="19" t="n">
        <v>37</v>
      </c>
      <c r="U39" s="19" t="n">
        <v>43</v>
      </c>
      <c r="V39" s="19"/>
      <c r="W39" s="19"/>
      <c r="X39" s="19"/>
      <c r="Y39" s="19"/>
      <c r="Z39" s="19"/>
      <c r="AA39" s="17" t="n">
        <f aca="false">IF(COUNT(Q39:Z39)=0,"",SUM(Q39:Z39))</f>
        <v>187</v>
      </c>
      <c r="AB39" s="17" t="n">
        <f aca="false">IF(OR(AA39="",$AA$4-SUMIF(Q39:Z39,"欠",$Q$4:$Z$4)&lt;=0),"",ROUND(AA39/($AA$4-SUMIF(Q39:Z39,"欠",$Q$4:$Z$4))*100,0))</f>
        <v>75</v>
      </c>
      <c r="AC39" s="17" t="str">
        <f aca="false">IF(AB39="","",IF(AB39&gt;=設定!$D$14,"A",IF(AB39&gt;=設定!$E$14,"B","C")))</f>
        <v>B</v>
      </c>
      <c r="AD39" s="17" t="n">
        <f aca="false">IF(AND(N39="",AA39=""),"",IF(N39="",0,N39)+IF(AA39="",0,AA39))</f>
        <v>423</v>
      </c>
      <c r="AE39" s="17" t="n">
        <f aca="false">IF(AD39="","",IF($AD$4-SUMIF(C39:M39,"欠",$C$4:$M$4)-SUMIF(Q39:Z39,"欠",$Q$4:$Z$4)&lt;=0,"",ROUND(AD39/($AD$4-SUMIF(C39:M39,"欠",$C$4:$M$4)-SUMIF(Q39:Z39,"欠",$Q$4:$Z$4))*100,0)))</f>
        <v>85</v>
      </c>
      <c r="AF39" s="17" t="str">
        <f aca="false">IF(AE39="","",IF(AE39&gt;=設定!$D$14,"A",IF(AE39&gt;=設定!$E$14,"B","C")))</f>
        <v>B</v>
      </c>
    </row>
    <row r="40" s="42" customFormat="true" ht="19.5" hidden="false" customHeight="true" outlineLevel="0" collapsed="false">
      <c r="A40" s="41"/>
      <c r="B40" s="41" t="s">
        <v>81</v>
      </c>
      <c r="C40" s="41" t="n">
        <f aca="false">IF(COUNT(C5:C39)=0,"",ROUND(AVERAGE(C5:C39),1))</f>
        <v>41.1</v>
      </c>
      <c r="D40" s="41" t="n">
        <f aca="false">IF(COUNT(D5:D39)=0,"",ROUND(AVERAGE(D5:D39),1))</f>
        <v>42.8</v>
      </c>
      <c r="E40" s="41" t="n">
        <f aca="false">IF(COUNT(E5:E39)=0,"",ROUND(AVERAGE(E5:E39),1))</f>
        <v>44.3</v>
      </c>
      <c r="F40" s="41" t="n">
        <f aca="false">IF(COUNT(F5:F39)=0,"",ROUND(AVERAGE(F5:F39),1))</f>
        <v>42.5</v>
      </c>
      <c r="G40" s="41" t="n">
        <f aca="false">IF(COUNT(G5:G39)=0,"",ROUND(AVERAGE(G5:G39),1))</f>
        <v>41.6</v>
      </c>
      <c r="H40" s="41" t="str">
        <f aca="false">IF(COUNT(H5:H39)=0,"",ROUND(AVERAGE(H5:H39),1))</f>
        <v/>
      </c>
      <c r="I40" s="41" t="str">
        <f aca="false">IF(COUNT(I5:I39)=0,"",ROUND(AVERAGE(I5:I39),1))</f>
        <v/>
      </c>
      <c r="J40" s="41" t="str">
        <f aca="false">IF(COUNT(J5:J39)=0,"",ROUND(AVERAGE(J5:J39),1))</f>
        <v/>
      </c>
      <c r="K40" s="41" t="str">
        <f aca="false">IF(COUNT(K5:K39)=0,"",ROUND(AVERAGE(K5:K39),1))</f>
        <v/>
      </c>
      <c r="L40" s="41" t="str">
        <f aca="false">IF(COUNT(L5:L39)=0,"",ROUND(AVERAGE(L5:L39),1))</f>
        <v/>
      </c>
      <c r="M40" s="41" t="str">
        <f aca="false">IF(COUNT(M5:M39)=0,"",ROUND(AVERAGE(M5:M39),1))</f>
        <v/>
      </c>
      <c r="N40" s="41" t="n">
        <f aca="false">IF(COUNT(N5:N39)=0,"",ROUND(AVERAGE(N5:N39),1))</f>
        <v>211</v>
      </c>
      <c r="O40" s="41" t="n">
        <f aca="false">IF(COUNT(O5:O39)=0,"",ROUND(AVERAGE(O5:O39),1))</f>
        <v>84.8</v>
      </c>
      <c r="P40" s="41"/>
      <c r="Q40" s="41" t="n">
        <f aca="false">IF(COUNT(Q5:Q39)=0,"",ROUND(AVERAGE(Q5:Q39),1))</f>
        <v>37.7</v>
      </c>
      <c r="R40" s="41" t="n">
        <f aca="false">IF(COUNT(R5:R39)=0,"",ROUND(AVERAGE(R5:R39),1))</f>
        <v>36</v>
      </c>
      <c r="S40" s="41" t="n">
        <f aca="false">IF(COUNT(S5:S39)=0,"",ROUND(AVERAGE(S5:S39),1))</f>
        <v>37.1</v>
      </c>
      <c r="T40" s="41" t="n">
        <f aca="false">IF(COUNT(T5:T39)=0,"",ROUND(AVERAGE(T5:T39),1))</f>
        <v>38</v>
      </c>
      <c r="U40" s="41" t="n">
        <f aca="false">IF(COUNT(U5:U39)=0,"",ROUND(AVERAGE(U5:U39),1))</f>
        <v>37.8</v>
      </c>
      <c r="V40" s="41" t="str">
        <f aca="false">IF(COUNT(V5:V39)=0,"",ROUND(AVERAGE(V5:V39),1))</f>
        <v/>
      </c>
      <c r="W40" s="41" t="str">
        <f aca="false">IF(COUNT(W5:W39)=0,"",ROUND(AVERAGE(W5:W39),1))</f>
        <v/>
      </c>
      <c r="X40" s="41" t="str">
        <f aca="false">IF(COUNT(X5:X39)=0,"",ROUND(AVERAGE(X5:X39),1))</f>
        <v/>
      </c>
      <c r="Y40" s="41" t="str">
        <f aca="false">IF(COUNT(Y5:Y39)=0,"",ROUND(AVERAGE(Y5:Y39),1))</f>
        <v/>
      </c>
      <c r="Z40" s="41" t="str">
        <f aca="false">IF(COUNT(Z5:Z39)=0,"",ROUND(AVERAGE(Z5:Z39),1))</f>
        <v/>
      </c>
      <c r="AA40" s="41" t="n">
        <f aca="false">IF(COUNT(AA5:AA39)=0,"",ROUND(AVERAGE(AA5:AA39),1))</f>
        <v>185.7</v>
      </c>
      <c r="AB40" s="41" t="n">
        <f aca="false">IF(COUNT(AB5:AB39)=0,"",ROUND(AVERAGE(AB5:AB39),1))</f>
        <v>74.7</v>
      </c>
      <c r="AC40" s="41"/>
      <c r="AD40" s="41" t="n">
        <f aca="false">IF(COUNT(AD5:AD39)=0,"",ROUND(AVERAGE(AD5:AD39),1))</f>
        <v>396.6</v>
      </c>
      <c r="AE40" s="41" t="n">
        <f aca="false">IF(COUNT(AE5:AE39)=0,"",ROUND(AVERAGE(AE5:AE39),1))</f>
        <v>79.8</v>
      </c>
      <c r="AF40" s="41"/>
    </row>
    <row r="41" s="42" customFormat="true" ht="19.5" hidden="false" customHeight="true" outlineLevel="0" collapsed="false">
      <c r="A41" s="41"/>
      <c r="B41" s="41" t="s">
        <v>82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f aca="false">COUNTIF(P5:P39,"A")</f>
        <v>14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 t="n">
        <f aca="false">COUNTIF(AC5:AC39,"A")</f>
        <v>5</v>
      </c>
      <c r="AD41" s="41"/>
      <c r="AE41" s="41"/>
      <c r="AF41" s="41" t="n">
        <f aca="false">COUNTIF(AF5:AF39,"A")</f>
        <v>9</v>
      </c>
    </row>
    <row r="42" s="42" customFormat="true" ht="19.5" hidden="false" customHeight="true" outlineLevel="0" collapsed="false">
      <c r="A42" s="41"/>
      <c r="B42" s="41" t="s">
        <v>83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 t="n">
        <f aca="false">COUNTIF(P5:P39,"B")</f>
        <v>20</v>
      </c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 t="n">
        <f aca="false">COUNTIF(AC5:AC39,"B")</f>
        <v>24</v>
      </c>
      <c r="AD42" s="41"/>
      <c r="AE42" s="41"/>
      <c r="AF42" s="41" t="n">
        <f aca="false">COUNTIF(AF5:AF39,"B")</f>
        <v>25</v>
      </c>
    </row>
    <row r="43" s="42" customFormat="true" ht="19.5" hidden="false" customHeight="true" outlineLevel="0" collapsed="false">
      <c r="A43" s="41"/>
      <c r="B43" s="41" t="s">
        <v>84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 t="n">
        <f aca="false">COUNTIF(P5:P39,"C")</f>
        <v>1</v>
      </c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 t="n">
        <f aca="false">COUNTIF(AC5:AC39,"C")</f>
        <v>6</v>
      </c>
      <c r="AD43" s="41"/>
      <c r="AE43" s="41"/>
      <c r="AF43" s="41" t="n">
        <f aca="false">COUNTIF(AF5:AF39,"C")</f>
        <v>1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140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customFormat="false" ht="19.5" hidden="false" customHeight="true" outlineLevel="0" collapsed="false">
      <c r="A2" s="43" t="s">
        <v>62</v>
      </c>
      <c r="B2" s="43"/>
      <c r="C2" s="43" t="s">
        <v>63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 t="s">
        <v>64</v>
      </c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 t="s">
        <v>65</v>
      </c>
      <c r="AE2" s="43"/>
      <c r="AF2" s="43"/>
    </row>
    <row r="3" customFormat="false" ht="178.5" hidden="false" customHeight="true" outlineLevel="0" collapsed="false">
      <c r="A3" s="43" t="s">
        <v>66</v>
      </c>
      <c r="B3" s="43"/>
      <c r="C3" s="44" t="s">
        <v>141</v>
      </c>
      <c r="D3" s="44" t="s">
        <v>142</v>
      </c>
      <c r="E3" s="44" t="s">
        <v>143</v>
      </c>
      <c r="F3" s="44"/>
      <c r="G3" s="44"/>
      <c r="H3" s="44"/>
      <c r="I3" s="44"/>
      <c r="J3" s="44"/>
      <c r="K3" s="44"/>
      <c r="L3" s="44"/>
      <c r="M3" s="44"/>
      <c r="N3" s="45" t="s">
        <v>73</v>
      </c>
      <c r="O3" s="45" t="s">
        <v>74</v>
      </c>
      <c r="P3" s="45" t="s">
        <v>75</v>
      </c>
      <c r="Q3" s="46" t="s">
        <v>144</v>
      </c>
      <c r="R3" s="46" t="s">
        <v>145</v>
      </c>
      <c r="S3" s="46" t="s">
        <v>146</v>
      </c>
      <c r="T3" s="46"/>
      <c r="U3" s="46"/>
      <c r="V3" s="46"/>
      <c r="W3" s="46"/>
      <c r="X3" s="46"/>
      <c r="Y3" s="46"/>
      <c r="Z3" s="46"/>
      <c r="AA3" s="45" t="s">
        <v>73</v>
      </c>
      <c r="AB3" s="45" t="s">
        <v>74</v>
      </c>
      <c r="AC3" s="45" t="s">
        <v>75</v>
      </c>
      <c r="AD3" s="45" t="s">
        <v>76</v>
      </c>
      <c r="AE3" s="45" t="s">
        <v>77</v>
      </c>
      <c r="AF3" s="45" t="s">
        <v>78</v>
      </c>
    </row>
    <row r="4" customFormat="false" ht="21.75" hidden="false" customHeight="true" outlineLevel="0" collapsed="false">
      <c r="A4" s="43" t="s">
        <v>1</v>
      </c>
      <c r="B4" s="43" t="s">
        <v>79</v>
      </c>
      <c r="C4" s="47" t="n">
        <v>60</v>
      </c>
      <c r="D4" s="47" t="n">
        <v>60</v>
      </c>
      <c r="E4" s="47" t="n">
        <v>60</v>
      </c>
      <c r="F4" s="47"/>
      <c r="G4" s="47"/>
      <c r="H4" s="47"/>
      <c r="I4" s="47"/>
      <c r="J4" s="47"/>
      <c r="K4" s="47"/>
      <c r="L4" s="47"/>
      <c r="M4" s="47"/>
      <c r="N4" s="43" t="n">
        <f aca="false">SUM(C4:M4)</f>
        <v>180</v>
      </c>
      <c r="O4" s="43"/>
      <c r="P4" s="43"/>
      <c r="Q4" s="47" t="n">
        <v>40</v>
      </c>
      <c r="R4" s="47" t="n">
        <v>40</v>
      </c>
      <c r="S4" s="47" t="n">
        <v>40</v>
      </c>
      <c r="T4" s="47"/>
      <c r="U4" s="47"/>
      <c r="V4" s="47"/>
      <c r="W4" s="47"/>
      <c r="X4" s="47"/>
      <c r="Y4" s="47"/>
      <c r="Z4" s="47"/>
      <c r="AA4" s="43" t="n">
        <f aca="false">SUM(Q4:Z4)</f>
        <v>120</v>
      </c>
      <c r="AB4" s="43"/>
      <c r="AC4" s="43"/>
      <c r="AD4" s="43" t="n">
        <f aca="false">N4+AA4</f>
        <v>300</v>
      </c>
      <c r="AE4" s="43"/>
      <c r="AF4" s="43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50</v>
      </c>
      <c r="D5" s="19" t="n">
        <v>60</v>
      </c>
      <c r="E5" s="19" t="n">
        <v>60</v>
      </c>
      <c r="F5" s="19"/>
      <c r="G5" s="19"/>
      <c r="H5" s="19"/>
      <c r="I5" s="19"/>
      <c r="J5" s="19"/>
      <c r="K5" s="19"/>
      <c r="L5" s="19"/>
      <c r="M5" s="19"/>
      <c r="N5" s="17" t="n">
        <f aca="false">IF(COUNT(C5:M5)=0,"",SUM(C5:M5))</f>
        <v>170</v>
      </c>
      <c r="O5" s="17" t="n">
        <f aca="false">IF(OR(N5="",$N$4-SUMIF(C5:M5,"欠",$C$4:$M$4)&lt;=0),"",ROUND(N5/($N$4-SUMIF(C5:M5,"欠",$C$4:$M$4))*100,0))</f>
        <v>94</v>
      </c>
      <c r="P5" s="17" t="str">
        <f aca="false">IF(O5="","",IF(O5&gt;=設定!$D$15,"A",IF(O5&gt;=設定!$E$15,"B","C")))</f>
        <v>A</v>
      </c>
      <c r="Q5" s="19" t="n">
        <v>36</v>
      </c>
      <c r="R5" s="19" t="n">
        <v>40</v>
      </c>
      <c r="S5" s="19" t="n">
        <v>38</v>
      </c>
      <c r="T5" s="19"/>
      <c r="U5" s="19"/>
      <c r="V5" s="19"/>
      <c r="W5" s="19"/>
      <c r="X5" s="19"/>
      <c r="Y5" s="19"/>
      <c r="Z5" s="19"/>
      <c r="AA5" s="17" t="n">
        <f aca="false">IF(COUNT(Q5:Z5)=0,"",SUM(Q5:Z5))</f>
        <v>114</v>
      </c>
      <c r="AB5" s="17" t="n">
        <f aca="false">IF(OR(AA5="",$AA$4-SUMIF(Q5:Z5,"欠",$Q$4:$Z$4)&lt;=0),"",ROUND(AA5/($AA$4-SUMIF(Q5:Z5,"欠",$Q$4:$Z$4))*100,0))</f>
        <v>95</v>
      </c>
      <c r="AC5" s="17" t="str">
        <f aca="false">IF(AB5="","",IF(AB5&gt;=設定!$D$15,"A",IF(AB5&gt;=設定!$E$15,"B","C")))</f>
        <v>A</v>
      </c>
      <c r="AD5" s="17" t="n">
        <f aca="false">IF(AND(N5="",AA5=""),"",IF(N5="",0,N5)+IF(AA5="",0,AA5))</f>
        <v>284</v>
      </c>
      <c r="AE5" s="17" t="n">
        <f aca="false">IF(AD5="","",IF($AD$4-SUMIF(C5:M5,"欠",$C$4:$M$4)-SUMIF(Q5:Z5,"欠",$Q$4:$Z$4)&lt;=0,"",ROUND(AD5/($AD$4-SUMIF(C5:M5,"欠",$C$4:$M$4)-SUMIF(Q5:Z5,"欠",$Q$4:$Z$4))*100,0)))</f>
        <v>95</v>
      </c>
      <c r="AF5" s="17" t="str">
        <f aca="false">IF(AE5="","",IF(AE5&gt;=設定!$D$15,"A",IF(AE5&gt;=設定!$E$15,"B","C")))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54</v>
      </c>
      <c r="D6" s="19" t="n">
        <v>54</v>
      </c>
      <c r="E6" s="19" t="n">
        <v>56</v>
      </c>
      <c r="F6" s="19"/>
      <c r="G6" s="19"/>
      <c r="H6" s="19"/>
      <c r="I6" s="19"/>
      <c r="J6" s="19"/>
      <c r="K6" s="19"/>
      <c r="L6" s="19"/>
      <c r="M6" s="19"/>
      <c r="N6" s="17" t="n">
        <f aca="false">IF(COUNT(C6:M6)=0,"",SUM(C6:M6))</f>
        <v>164</v>
      </c>
      <c r="O6" s="17" t="n">
        <f aca="false">IF(OR(N6="",$N$4-SUMIF(C6:M6,"欠",$C$4:$M$4)&lt;=0),"",ROUND(N6/($N$4-SUMIF(C6:M6,"欠",$C$4:$M$4))*100,0))</f>
        <v>91</v>
      </c>
      <c r="P6" s="17" t="str">
        <f aca="false">IF(O6="","",IF(O6&gt;=設定!$D$15,"A",IF(O6&gt;=設定!$E$15,"B","C")))</f>
        <v>A</v>
      </c>
      <c r="Q6" s="19" t="n">
        <v>26</v>
      </c>
      <c r="R6" s="19" t="n">
        <v>29</v>
      </c>
      <c r="S6" s="19" t="n">
        <v>25</v>
      </c>
      <c r="T6" s="19"/>
      <c r="U6" s="19"/>
      <c r="V6" s="19"/>
      <c r="W6" s="19"/>
      <c r="X6" s="19"/>
      <c r="Y6" s="19"/>
      <c r="Z6" s="19"/>
      <c r="AA6" s="17" t="n">
        <f aca="false">IF(COUNT(Q6:Z6)=0,"",SUM(Q6:Z6))</f>
        <v>80</v>
      </c>
      <c r="AB6" s="17" t="n">
        <f aca="false">IF(OR(AA6="",$AA$4-SUMIF(Q6:Z6,"欠",$Q$4:$Z$4)&lt;=0),"",ROUND(AA6/($AA$4-SUMIF(Q6:Z6,"欠",$Q$4:$Z$4))*100,0))</f>
        <v>67</v>
      </c>
      <c r="AC6" s="17" t="str">
        <f aca="false">IF(AB6="","",IF(AB6&gt;=設定!$D$15,"A",IF(AB6&gt;=設定!$E$15,"B","C")))</f>
        <v>B</v>
      </c>
      <c r="AD6" s="17" t="n">
        <f aca="false">IF(AND(N6="",AA6=""),"",IF(N6="",0,N6)+IF(AA6="",0,AA6))</f>
        <v>244</v>
      </c>
      <c r="AE6" s="17" t="n">
        <f aca="false">IF(AD6="","",IF($AD$4-SUMIF(C6:M6,"欠",$C$4:$M$4)-SUMIF(Q6:Z6,"欠",$Q$4:$Z$4)&lt;=0,"",ROUND(AD6/($AD$4-SUMIF(C6:M6,"欠",$C$4:$M$4)-SUMIF(Q6:Z6,"欠",$Q$4:$Z$4))*100,0)))</f>
        <v>81</v>
      </c>
      <c r="AF6" s="17" t="str">
        <f aca="false">IF(AE6="","",IF(AE6&gt;=設定!$D$15,"A",IF(AE6&gt;=設定!$E$15,"B","C")))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55</v>
      </c>
      <c r="D7" s="19" t="n">
        <v>60</v>
      </c>
      <c r="E7" s="19" t="n">
        <v>53</v>
      </c>
      <c r="F7" s="19"/>
      <c r="G7" s="19"/>
      <c r="H7" s="19"/>
      <c r="I7" s="19"/>
      <c r="J7" s="19"/>
      <c r="K7" s="19"/>
      <c r="L7" s="19"/>
      <c r="M7" s="19"/>
      <c r="N7" s="17" t="n">
        <f aca="false">IF(COUNT(C7:M7)=0,"",SUM(C7:M7))</f>
        <v>168</v>
      </c>
      <c r="O7" s="17" t="n">
        <f aca="false">IF(OR(N7="",$N$4-SUMIF(C7:M7,"欠",$C$4:$M$4)&lt;=0),"",ROUND(N7/($N$4-SUMIF(C7:M7,"欠",$C$4:$M$4))*100,0))</f>
        <v>93</v>
      </c>
      <c r="P7" s="17" t="str">
        <f aca="false">IF(O7="","",IF(O7&gt;=設定!$D$15,"A",IF(O7&gt;=設定!$E$15,"B","C")))</f>
        <v>A</v>
      </c>
      <c r="Q7" s="19" t="n">
        <v>31</v>
      </c>
      <c r="R7" s="19" t="n">
        <v>38</v>
      </c>
      <c r="S7" s="19" t="n">
        <v>30</v>
      </c>
      <c r="T7" s="19"/>
      <c r="U7" s="19"/>
      <c r="V7" s="19"/>
      <c r="W7" s="19"/>
      <c r="X7" s="19"/>
      <c r="Y7" s="19"/>
      <c r="Z7" s="19"/>
      <c r="AA7" s="17" t="n">
        <f aca="false">IF(COUNT(Q7:Z7)=0,"",SUM(Q7:Z7))</f>
        <v>99</v>
      </c>
      <c r="AB7" s="17" t="n">
        <f aca="false">IF(OR(AA7="",$AA$4-SUMIF(Q7:Z7,"欠",$Q$4:$Z$4)&lt;=0),"",ROUND(AA7/($AA$4-SUMIF(Q7:Z7,"欠",$Q$4:$Z$4))*100,0))</f>
        <v>83</v>
      </c>
      <c r="AC7" s="17" t="str">
        <f aca="false">IF(AB7="","",IF(AB7&gt;=設定!$D$15,"A",IF(AB7&gt;=設定!$E$15,"B","C")))</f>
        <v>B</v>
      </c>
      <c r="AD7" s="17" t="n">
        <f aca="false">IF(AND(N7="",AA7=""),"",IF(N7="",0,N7)+IF(AA7="",0,AA7))</f>
        <v>267</v>
      </c>
      <c r="AE7" s="17" t="n">
        <f aca="false">IF(AD7="","",IF($AD$4-SUMIF(C7:M7,"欠",$C$4:$M$4)-SUMIF(Q7:Z7,"欠",$Q$4:$Z$4)&lt;=0,"",ROUND(AD7/($AD$4-SUMIF(C7:M7,"欠",$C$4:$M$4)-SUMIF(Q7:Z7,"欠",$Q$4:$Z$4))*100,0)))</f>
        <v>89</v>
      </c>
      <c r="AF7" s="17" t="str">
        <f aca="false">IF(AE7="","",IF(AE7&gt;=設定!$D$15,"A",IF(AE7&gt;=設定!$E$15,"B","C")))</f>
        <v>B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54</v>
      </c>
      <c r="D8" s="19" t="n">
        <v>49</v>
      </c>
      <c r="E8" s="19" t="n">
        <v>51</v>
      </c>
      <c r="F8" s="19"/>
      <c r="G8" s="19"/>
      <c r="H8" s="19"/>
      <c r="I8" s="19"/>
      <c r="J8" s="19"/>
      <c r="K8" s="19"/>
      <c r="L8" s="19"/>
      <c r="M8" s="19"/>
      <c r="N8" s="17" t="n">
        <f aca="false">IF(COUNT(C8:M8)=0,"",SUM(C8:M8))</f>
        <v>154</v>
      </c>
      <c r="O8" s="17" t="n">
        <f aca="false">IF(OR(N8="",$N$4-SUMIF(C8:M8,"欠",$C$4:$M$4)&lt;=0),"",ROUND(N8/($N$4-SUMIF(C8:M8,"欠",$C$4:$M$4))*100,0))</f>
        <v>86</v>
      </c>
      <c r="P8" s="17" t="str">
        <f aca="false">IF(O8="","",IF(O8&gt;=設定!$D$15,"A",IF(O8&gt;=設定!$E$15,"B","C")))</f>
        <v>B</v>
      </c>
      <c r="Q8" s="19" t="n">
        <v>33</v>
      </c>
      <c r="R8" s="19" t="n">
        <v>26</v>
      </c>
      <c r="S8" s="19" t="n">
        <v>30</v>
      </c>
      <c r="T8" s="19"/>
      <c r="U8" s="19"/>
      <c r="V8" s="19"/>
      <c r="W8" s="19"/>
      <c r="X8" s="19"/>
      <c r="Y8" s="19"/>
      <c r="Z8" s="19"/>
      <c r="AA8" s="17" t="n">
        <f aca="false">IF(COUNT(Q8:Z8)=0,"",SUM(Q8:Z8))</f>
        <v>89</v>
      </c>
      <c r="AB8" s="17" t="n">
        <f aca="false">IF(OR(AA8="",$AA$4-SUMIF(Q8:Z8,"欠",$Q$4:$Z$4)&lt;=0),"",ROUND(AA8/($AA$4-SUMIF(Q8:Z8,"欠",$Q$4:$Z$4))*100,0))</f>
        <v>74</v>
      </c>
      <c r="AC8" s="17" t="str">
        <f aca="false">IF(AB8="","",IF(AB8&gt;=設定!$D$15,"A",IF(AB8&gt;=設定!$E$15,"B","C")))</f>
        <v>B</v>
      </c>
      <c r="AD8" s="17" t="n">
        <f aca="false">IF(AND(N8="",AA8=""),"",IF(N8="",0,N8)+IF(AA8="",0,AA8))</f>
        <v>243</v>
      </c>
      <c r="AE8" s="17" t="n">
        <f aca="false">IF(AD8="","",IF($AD$4-SUMIF(C8:M8,"欠",$C$4:$M$4)-SUMIF(Q8:Z8,"欠",$Q$4:$Z$4)&lt;=0,"",ROUND(AD8/($AD$4-SUMIF(C8:M8,"欠",$C$4:$M$4)-SUMIF(Q8:Z8,"欠",$Q$4:$Z$4))*100,0)))</f>
        <v>81</v>
      </c>
      <c r="AF8" s="17" t="str">
        <f aca="false">IF(AE8="","",IF(AE8&gt;=設定!$D$15,"A",IF(AE8&gt;=設定!$E$15,"B","C")))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60</v>
      </c>
      <c r="D9" s="19" t="n">
        <v>59</v>
      </c>
      <c r="E9" s="19" t="n">
        <v>56</v>
      </c>
      <c r="F9" s="19"/>
      <c r="G9" s="19"/>
      <c r="H9" s="19"/>
      <c r="I9" s="19"/>
      <c r="J9" s="19"/>
      <c r="K9" s="19"/>
      <c r="L9" s="19"/>
      <c r="M9" s="19"/>
      <c r="N9" s="17" t="n">
        <f aca="false">IF(COUNT(C9:M9)=0,"",SUM(C9:M9))</f>
        <v>175</v>
      </c>
      <c r="O9" s="17" t="n">
        <f aca="false">IF(OR(N9="",$N$4-SUMIF(C9:M9,"欠",$C$4:$M$4)&lt;=0),"",ROUND(N9/($N$4-SUMIF(C9:M9,"欠",$C$4:$M$4))*100,0))</f>
        <v>97</v>
      </c>
      <c r="P9" s="17" t="str">
        <f aca="false">IF(O9="","",IF(O9&gt;=設定!$D$15,"A",IF(O9&gt;=設定!$E$15,"B","C")))</f>
        <v>A</v>
      </c>
      <c r="Q9" s="19" t="n">
        <v>35</v>
      </c>
      <c r="R9" s="19" t="n">
        <v>39</v>
      </c>
      <c r="S9" s="19" t="n">
        <v>39</v>
      </c>
      <c r="T9" s="19"/>
      <c r="U9" s="19"/>
      <c r="V9" s="19"/>
      <c r="W9" s="19"/>
      <c r="X9" s="19"/>
      <c r="Y9" s="19"/>
      <c r="Z9" s="19"/>
      <c r="AA9" s="17" t="n">
        <f aca="false">IF(COUNT(Q9:Z9)=0,"",SUM(Q9:Z9))</f>
        <v>113</v>
      </c>
      <c r="AB9" s="17" t="n">
        <f aca="false">IF(OR(AA9="",$AA$4-SUMIF(Q9:Z9,"欠",$Q$4:$Z$4)&lt;=0),"",ROUND(AA9/($AA$4-SUMIF(Q9:Z9,"欠",$Q$4:$Z$4))*100,0))</f>
        <v>94</v>
      </c>
      <c r="AC9" s="17" t="str">
        <f aca="false">IF(AB9="","",IF(AB9&gt;=設定!$D$15,"A",IF(AB9&gt;=設定!$E$15,"B","C")))</f>
        <v>A</v>
      </c>
      <c r="AD9" s="17" t="n">
        <f aca="false">IF(AND(N9="",AA9=""),"",IF(N9="",0,N9)+IF(AA9="",0,AA9))</f>
        <v>288</v>
      </c>
      <c r="AE9" s="17" t="n">
        <f aca="false">IF(AD9="","",IF($AD$4-SUMIF(C9:M9,"欠",$C$4:$M$4)-SUMIF(Q9:Z9,"欠",$Q$4:$Z$4)&lt;=0,"",ROUND(AD9/($AD$4-SUMIF(C9:M9,"欠",$C$4:$M$4)-SUMIF(Q9:Z9,"欠",$Q$4:$Z$4))*100,0)))</f>
        <v>96</v>
      </c>
      <c r="AF9" s="17" t="str">
        <f aca="false">IF(AE9="","",IF(AE9&gt;=設定!$D$15,"A",IF(AE9&gt;=設定!$E$15,"B","C")))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44</v>
      </c>
      <c r="D10" s="19" t="n">
        <v>47</v>
      </c>
      <c r="E10" s="19" t="n">
        <v>45</v>
      </c>
      <c r="F10" s="19"/>
      <c r="G10" s="19"/>
      <c r="H10" s="19"/>
      <c r="I10" s="19"/>
      <c r="J10" s="19"/>
      <c r="K10" s="19"/>
      <c r="L10" s="19"/>
      <c r="M10" s="19"/>
      <c r="N10" s="17" t="n">
        <f aca="false">IF(COUNT(C10:M10)=0,"",SUM(C10:M10))</f>
        <v>136</v>
      </c>
      <c r="O10" s="17" t="n">
        <f aca="false">IF(OR(N10="",$N$4-SUMIF(C10:M10,"欠",$C$4:$M$4)&lt;=0),"",ROUND(N10/($N$4-SUMIF(C10:M10,"欠",$C$4:$M$4))*100,0))</f>
        <v>76</v>
      </c>
      <c r="P10" s="17" t="str">
        <f aca="false">IF(O10="","",IF(O10&gt;=設定!$D$15,"A",IF(O10&gt;=設定!$E$15,"B","C")))</f>
        <v>B</v>
      </c>
      <c r="Q10" s="19" t="n">
        <v>29</v>
      </c>
      <c r="R10" s="19" t="n">
        <v>25</v>
      </c>
      <c r="S10" s="19" t="n">
        <v>25</v>
      </c>
      <c r="T10" s="19"/>
      <c r="U10" s="19"/>
      <c r="V10" s="19"/>
      <c r="W10" s="19"/>
      <c r="X10" s="19"/>
      <c r="Y10" s="19"/>
      <c r="Z10" s="19"/>
      <c r="AA10" s="17" t="n">
        <f aca="false">IF(COUNT(Q10:Z10)=0,"",SUM(Q10:Z10))</f>
        <v>79</v>
      </c>
      <c r="AB10" s="17" t="n">
        <f aca="false">IF(OR(AA10="",$AA$4-SUMIF(Q10:Z10,"欠",$Q$4:$Z$4)&lt;=0),"",ROUND(AA10/($AA$4-SUMIF(Q10:Z10,"欠",$Q$4:$Z$4))*100,0))</f>
        <v>66</v>
      </c>
      <c r="AC10" s="17" t="str">
        <f aca="false">IF(AB10="","",IF(AB10&gt;=設定!$D$15,"A",IF(AB10&gt;=設定!$E$15,"B","C")))</f>
        <v>B</v>
      </c>
      <c r="AD10" s="17" t="n">
        <f aca="false">IF(AND(N10="",AA10=""),"",IF(N10="",0,N10)+IF(AA10="",0,AA10))</f>
        <v>215</v>
      </c>
      <c r="AE10" s="17" t="n">
        <f aca="false">IF(AD10="","",IF($AD$4-SUMIF(C10:M10,"欠",$C$4:$M$4)-SUMIF(Q10:Z10,"欠",$Q$4:$Z$4)&lt;=0,"",ROUND(AD10/($AD$4-SUMIF(C10:M10,"欠",$C$4:$M$4)-SUMIF(Q10:Z10,"欠",$Q$4:$Z$4))*100,0)))</f>
        <v>72</v>
      </c>
      <c r="AF10" s="17" t="str">
        <f aca="false">IF(AE10="","",IF(AE10&gt;=設定!$D$15,"A",IF(AE10&gt;=設定!$E$15,"B","C")))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41</v>
      </c>
      <c r="D11" s="19" t="n">
        <v>44</v>
      </c>
      <c r="E11" s="19" t="n">
        <v>40</v>
      </c>
      <c r="F11" s="19"/>
      <c r="G11" s="19"/>
      <c r="H11" s="19"/>
      <c r="I11" s="19"/>
      <c r="J11" s="19"/>
      <c r="K11" s="19"/>
      <c r="L11" s="19"/>
      <c r="M11" s="19"/>
      <c r="N11" s="17" t="n">
        <f aca="false">IF(COUNT(C11:M11)=0,"",SUM(C11:M11))</f>
        <v>125</v>
      </c>
      <c r="O11" s="17" t="n">
        <f aca="false">IF(OR(N11="",$N$4-SUMIF(C11:M11,"欠",$C$4:$M$4)&lt;=0),"",ROUND(N11/($N$4-SUMIF(C11:M11,"欠",$C$4:$M$4))*100,0))</f>
        <v>69</v>
      </c>
      <c r="P11" s="17" t="str">
        <f aca="false">IF(O11="","",IF(O11&gt;=設定!$D$15,"A",IF(O11&gt;=設定!$E$15,"B","C")))</f>
        <v>B</v>
      </c>
      <c r="Q11" s="19" t="n">
        <v>31</v>
      </c>
      <c r="R11" s="19" t="n">
        <v>32</v>
      </c>
      <c r="S11" s="19" t="n">
        <v>25</v>
      </c>
      <c r="T11" s="19"/>
      <c r="U11" s="19"/>
      <c r="V11" s="19"/>
      <c r="W11" s="19"/>
      <c r="X11" s="19"/>
      <c r="Y11" s="19"/>
      <c r="Z11" s="19"/>
      <c r="AA11" s="17" t="n">
        <f aca="false">IF(COUNT(Q11:Z11)=0,"",SUM(Q11:Z11))</f>
        <v>88</v>
      </c>
      <c r="AB11" s="17" t="n">
        <f aca="false">IF(OR(AA11="",$AA$4-SUMIF(Q11:Z11,"欠",$Q$4:$Z$4)&lt;=0),"",ROUND(AA11/($AA$4-SUMIF(Q11:Z11,"欠",$Q$4:$Z$4))*100,0))</f>
        <v>73</v>
      </c>
      <c r="AC11" s="17" t="str">
        <f aca="false">IF(AB11="","",IF(AB11&gt;=設定!$D$15,"A",IF(AB11&gt;=設定!$E$15,"B","C")))</f>
        <v>B</v>
      </c>
      <c r="AD11" s="17" t="n">
        <f aca="false">IF(AND(N11="",AA11=""),"",IF(N11="",0,N11)+IF(AA11="",0,AA11))</f>
        <v>213</v>
      </c>
      <c r="AE11" s="17" t="n">
        <f aca="false">IF(AD11="","",IF($AD$4-SUMIF(C11:M11,"欠",$C$4:$M$4)-SUMIF(Q11:Z11,"欠",$Q$4:$Z$4)&lt;=0,"",ROUND(AD11/($AD$4-SUMIF(C11:M11,"欠",$C$4:$M$4)-SUMIF(Q11:Z11,"欠",$Q$4:$Z$4))*100,0)))</f>
        <v>71</v>
      </c>
      <c r="AF11" s="17" t="str">
        <f aca="false">IF(AE11="","",IF(AE11&gt;=設定!$D$15,"A",IF(AE11&gt;=設定!$E$15,"B","C")))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56</v>
      </c>
      <c r="D12" s="19" t="n">
        <v>44</v>
      </c>
      <c r="E12" s="19" t="n">
        <v>55</v>
      </c>
      <c r="F12" s="19"/>
      <c r="G12" s="19"/>
      <c r="H12" s="19"/>
      <c r="I12" s="19"/>
      <c r="J12" s="19"/>
      <c r="K12" s="19"/>
      <c r="L12" s="19"/>
      <c r="M12" s="19"/>
      <c r="N12" s="17" t="n">
        <f aca="false">IF(COUNT(C12:M12)=0,"",SUM(C12:M12))</f>
        <v>155</v>
      </c>
      <c r="O12" s="17" t="n">
        <f aca="false">IF(OR(N12="",$N$4-SUMIF(C12:M12,"欠",$C$4:$M$4)&lt;=0),"",ROUND(N12/($N$4-SUMIF(C12:M12,"欠",$C$4:$M$4))*100,0))</f>
        <v>86</v>
      </c>
      <c r="P12" s="17" t="str">
        <f aca="false">IF(O12="","",IF(O12&gt;=設定!$D$15,"A",IF(O12&gt;=設定!$E$15,"B","C")))</f>
        <v>B</v>
      </c>
      <c r="Q12" s="19" t="n">
        <v>24</v>
      </c>
      <c r="R12" s="19" t="n">
        <v>34</v>
      </c>
      <c r="S12" s="19" t="n">
        <v>29</v>
      </c>
      <c r="T12" s="19"/>
      <c r="U12" s="19"/>
      <c r="V12" s="19"/>
      <c r="W12" s="19"/>
      <c r="X12" s="19"/>
      <c r="Y12" s="19"/>
      <c r="Z12" s="19"/>
      <c r="AA12" s="17" t="n">
        <f aca="false">IF(COUNT(Q12:Z12)=0,"",SUM(Q12:Z12))</f>
        <v>87</v>
      </c>
      <c r="AB12" s="17" t="n">
        <f aca="false">IF(OR(AA12="",$AA$4-SUMIF(Q12:Z12,"欠",$Q$4:$Z$4)&lt;=0),"",ROUND(AA12/($AA$4-SUMIF(Q12:Z12,"欠",$Q$4:$Z$4))*100,0))</f>
        <v>73</v>
      </c>
      <c r="AC12" s="17" t="str">
        <f aca="false">IF(AB12="","",IF(AB12&gt;=設定!$D$15,"A",IF(AB12&gt;=設定!$E$15,"B","C")))</f>
        <v>B</v>
      </c>
      <c r="AD12" s="17" t="n">
        <f aca="false">IF(AND(N12="",AA12=""),"",IF(N12="",0,N12)+IF(AA12="",0,AA12))</f>
        <v>242</v>
      </c>
      <c r="AE12" s="17" t="n">
        <f aca="false">IF(AD12="","",IF($AD$4-SUMIF(C12:M12,"欠",$C$4:$M$4)-SUMIF(Q12:Z12,"欠",$Q$4:$Z$4)&lt;=0,"",ROUND(AD12/($AD$4-SUMIF(C12:M12,"欠",$C$4:$M$4)-SUMIF(Q12:Z12,"欠",$Q$4:$Z$4))*100,0)))</f>
        <v>81</v>
      </c>
      <c r="AF12" s="17" t="str">
        <f aca="false">IF(AE12="","",IF(AE12&gt;=設定!$D$15,"A",IF(AE12&gt;=設定!$E$15,"B","C")))</f>
        <v>B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49</v>
      </c>
      <c r="D13" s="19" t="n">
        <v>48</v>
      </c>
      <c r="E13" s="19" t="n">
        <v>52</v>
      </c>
      <c r="F13" s="19"/>
      <c r="G13" s="19"/>
      <c r="H13" s="19"/>
      <c r="I13" s="19"/>
      <c r="J13" s="19"/>
      <c r="K13" s="19"/>
      <c r="L13" s="19"/>
      <c r="M13" s="19"/>
      <c r="N13" s="17" t="n">
        <f aca="false">IF(COUNT(C13:M13)=0,"",SUM(C13:M13))</f>
        <v>149</v>
      </c>
      <c r="O13" s="17" t="n">
        <f aca="false">IF(OR(N13="",$N$4-SUMIF(C13:M13,"欠",$C$4:$M$4)&lt;=0),"",ROUND(N13/($N$4-SUMIF(C13:M13,"欠",$C$4:$M$4))*100,0))</f>
        <v>83</v>
      </c>
      <c r="P13" s="17" t="str">
        <f aca="false">IF(O13="","",IF(O13&gt;=設定!$D$15,"A",IF(O13&gt;=設定!$E$15,"B","C")))</f>
        <v>B</v>
      </c>
      <c r="Q13" s="19" t="n">
        <v>28</v>
      </c>
      <c r="R13" s="19" t="n">
        <v>26</v>
      </c>
      <c r="S13" s="19" t="n">
        <v>31</v>
      </c>
      <c r="T13" s="19"/>
      <c r="U13" s="19"/>
      <c r="V13" s="19"/>
      <c r="W13" s="19"/>
      <c r="X13" s="19"/>
      <c r="Y13" s="19"/>
      <c r="Z13" s="19"/>
      <c r="AA13" s="17" t="n">
        <f aca="false">IF(COUNT(Q13:Z13)=0,"",SUM(Q13:Z13))</f>
        <v>85</v>
      </c>
      <c r="AB13" s="17" t="n">
        <f aca="false">IF(OR(AA13="",$AA$4-SUMIF(Q13:Z13,"欠",$Q$4:$Z$4)&lt;=0),"",ROUND(AA13/($AA$4-SUMIF(Q13:Z13,"欠",$Q$4:$Z$4))*100,0))</f>
        <v>71</v>
      </c>
      <c r="AC13" s="17" t="str">
        <f aca="false">IF(AB13="","",IF(AB13&gt;=設定!$D$15,"A",IF(AB13&gt;=設定!$E$15,"B","C")))</f>
        <v>B</v>
      </c>
      <c r="AD13" s="17" t="n">
        <f aca="false">IF(AND(N13="",AA13=""),"",IF(N13="",0,N13)+IF(AA13="",0,AA13))</f>
        <v>234</v>
      </c>
      <c r="AE13" s="17" t="n">
        <f aca="false">IF(AD13="","",IF($AD$4-SUMIF(C13:M13,"欠",$C$4:$M$4)-SUMIF(Q13:Z13,"欠",$Q$4:$Z$4)&lt;=0,"",ROUND(AD13/($AD$4-SUMIF(C13:M13,"欠",$C$4:$M$4)-SUMIF(Q13:Z13,"欠",$Q$4:$Z$4))*100,0)))</f>
        <v>78</v>
      </c>
      <c r="AF13" s="17" t="str">
        <f aca="false">IF(AE13="","",IF(AE13&gt;=設定!$D$15,"A",IF(AE13&gt;=設定!$E$15,"B","C")))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60</v>
      </c>
      <c r="D14" s="19" t="n">
        <v>48</v>
      </c>
      <c r="E14" s="19" t="n">
        <v>52</v>
      </c>
      <c r="F14" s="19"/>
      <c r="G14" s="19"/>
      <c r="H14" s="19"/>
      <c r="I14" s="19"/>
      <c r="J14" s="19"/>
      <c r="K14" s="19"/>
      <c r="L14" s="19"/>
      <c r="M14" s="19"/>
      <c r="N14" s="17" t="n">
        <f aca="false">IF(COUNT(C14:M14)=0,"",SUM(C14:M14))</f>
        <v>160</v>
      </c>
      <c r="O14" s="17" t="n">
        <f aca="false">IF(OR(N14="",$N$4-SUMIF(C14:M14,"欠",$C$4:$M$4)&lt;=0),"",ROUND(N14/($N$4-SUMIF(C14:M14,"欠",$C$4:$M$4))*100,0))</f>
        <v>89</v>
      </c>
      <c r="P14" s="17" t="str">
        <f aca="false">IF(O14="","",IF(O14&gt;=設定!$D$15,"A",IF(O14&gt;=設定!$E$15,"B","C")))</f>
        <v>B</v>
      </c>
      <c r="Q14" s="19" t="n">
        <v>32</v>
      </c>
      <c r="R14" s="19" t="n">
        <v>29</v>
      </c>
      <c r="S14" s="19" t="n">
        <v>27</v>
      </c>
      <c r="T14" s="19"/>
      <c r="U14" s="19"/>
      <c r="V14" s="19"/>
      <c r="W14" s="19"/>
      <c r="X14" s="19"/>
      <c r="Y14" s="19"/>
      <c r="Z14" s="19"/>
      <c r="AA14" s="17" t="n">
        <f aca="false">IF(COUNT(Q14:Z14)=0,"",SUM(Q14:Z14))</f>
        <v>88</v>
      </c>
      <c r="AB14" s="17" t="n">
        <f aca="false">IF(OR(AA14="",$AA$4-SUMIF(Q14:Z14,"欠",$Q$4:$Z$4)&lt;=0),"",ROUND(AA14/($AA$4-SUMIF(Q14:Z14,"欠",$Q$4:$Z$4))*100,0))</f>
        <v>73</v>
      </c>
      <c r="AC14" s="17" t="str">
        <f aca="false">IF(AB14="","",IF(AB14&gt;=設定!$D$15,"A",IF(AB14&gt;=設定!$E$15,"B","C")))</f>
        <v>B</v>
      </c>
      <c r="AD14" s="17" t="n">
        <f aca="false">IF(AND(N14="",AA14=""),"",IF(N14="",0,N14)+IF(AA14="",0,AA14))</f>
        <v>248</v>
      </c>
      <c r="AE14" s="17" t="n">
        <f aca="false">IF(AD14="","",IF($AD$4-SUMIF(C14:M14,"欠",$C$4:$M$4)-SUMIF(Q14:Z14,"欠",$Q$4:$Z$4)&lt;=0,"",ROUND(AD14/($AD$4-SUMIF(C14:M14,"欠",$C$4:$M$4)-SUMIF(Q14:Z14,"欠",$Q$4:$Z$4))*100,0)))</f>
        <v>83</v>
      </c>
      <c r="AF14" s="17" t="str">
        <f aca="false">IF(AE14="","",IF(AE14&gt;=設定!$D$15,"A",IF(AE14&gt;=設定!$E$15,"B","C")))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56</v>
      </c>
      <c r="D15" s="19" t="n">
        <v>44</v>
      </c>
      <c r="E15" s="19" t="n">
        <v>50</v>
      </c>
      <c r="F15" s="19"/>
      <c r="G15" s="19"/>
      <c r="H15" s="19"/>
      <c r="I15" s="19"/>
      <c r="J15" s="19"/>
      <c r="K15" s="19"/>
      <c r="L15" s="19"/>
      <c r="M15" s="19"/>
      <c r="N15" s="17" t="n">
        <f aca="false">IF(COUNT(C15:M15)=0,"",SUM(C15:M15))</f>
        <v>150</v>
      </c>
      <c r="O15" s="17" t="n">
        <f aca="false">IF(OR(N15="",$N$4-SUMIF(C15:M15,"欠",$C$4:$M$4)&lt;=0),"",ROUND(N15/($N$4-SUMIF(C15:M15,"欠",$C$4:$M$4))*100,0))</f>
        <v>83</v>
      </c>
      <c r="P15" s="17" t="str">
        <f aca="false">IF(O15="","",IF(O15&gt;=設定!$D$15,"A",IF(O15&gt;=設定!$E$15,"B","C")))</f>
        <v>B</v>
      </c>
      <c r="Q15" s="19" t="n">
        <v>36</v>
      </c>
      <c r="R15" s="19" t="n">
        <v>29</v>
      </c>
      <c r="S15" s="19" t="n">
        <v>30</v>
      </c>
      <c r="T15" s="19"/>
      <c r="U15" s="19"/>
      <c r="V15" s="19"/>
      <c r="W15" s="19"/>
      <c r="X15" s="19"/>
      <c r="Y15" s="19"/>
      <c r="Z15" s="19"/>
      <c r="AA15" s="17" t="n">
        <f aca="false">IF(COUNT(Q15:Z15)=0,"",SUM(Q15:Z15))</f>
        <v>95</v>
      </c>
      <c r="AB15" s="17" t="n">
        <f aca="false">IF(OR(AA15="",$AA$4-SUMIF(Q15:Z15,"欠",$Q$4:$Z$4)&lt;=0),"",ROUND(AA15/($AA$4-SUMIF(Q15:Z15,"欠",$Q$4:$Z$4))*100,0))</f>
        <v>79</v>
      </c>
      <c r="AC15" s="17" t="str">
        <f aca="false">IF(AB15="","",IF(AB15&gt;=設定!$D$15,"A",IF(AB15&gt;=設定!$E$15,"B","C")))</f>
        <v>B</v>
      </c>
      <c r="AD15" s="17" t="n">
        <f aca="false">IF(AND(N15="",AA15=""),"",IF(N15="",0,N15)+IF(AA15="",0,AA15))</f>
        <v>245</v>
      </c>
      <c r="AE15" s="17" t="n">
        <f aca="false">IF(AD15="","",IF($AD$4-SUMIF(C15:M15,"欠",$C$4:$M$4)-SUMIF(Q15:Z15,"欠",$Q$4:$Z$4)&lt;=0,"",ROUND(AD15/($AD$4-SUMIF(C15:M15,"欠",$C$4:$M$4)-SUMIF(Q15:Z15,"欠",$Q$4:$Z$4))*100,0)))</f>
        <v>82</v>
      </c>
      <c r="AF15" s="17" t="str">
        <f aca="false">IF(AE15="","",IF(AE15&gt;=設定!$D$15,"A",IF(AE15&gt;=設定!$E$15,"B","C")))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48</v>
      </c>
      <c r="D16" s="19" t="n">
        <v>53</v>
      </c>
      <c r="E16" s="19" t="n">
        <v>41</v>
      </c>
      <c r="F16" s="19"/>
      <c r="G16" s="19"/>
      <c r="H16" s="19"/>
      <c r="I16" s="19"/>
      <c r="J16" s="19"/>
      <c r="K16" s="19"/>
      <c r="L16" s="19"/>
      <c r="M16" s="19"/>
      <c r="N16" s="17" t="n">
        <f aca="false">IF(COUNT(C16:M16)=0,"",SUM(C16:M16))</f>
        <v>142</v>
      </c>
      <c r="O16" s="17" t="n">
        <f aca="false">IF(OR(N16="",$N$4-SUMIF(C16:M16,"欠",$C$4:$M$4)&lt;=0),"",ROUND(N16/($N$4-SUMIF(C16:M16,"欠",$C$4:$M$4))*100,0))</f>
        <v>79</v>
      </c>
      <c r="P16" s="17" t="str">
        <f aca="false">IF(O16="","",IF(O16&gt;=設定!$D$15,"A",IF(O16&gt;=設定!$E$15,"B","C")))</f>
        <v>B</v>
      </c>
      <c r="Q16" s="19" t="n">
        <v>29</v>
      </c>
      <c r="R16" s="19" t="n">
        <v>28</v>
      </c>
      <c r="S16" s="19" t="n">
        <v>28</v>
      </c>
      <c r="T16" s="19"/>
      <c r="U16" s="19"/>
      <c r="V16" s="19"/>
      <c r="W16" s="19"/>
      <c r="X16" s="19"/>
      <c r="Y16" s="19"/>
      <c r="Z16" s="19"/>
      <c r="AA16" s="17" t="n">
        <f aca="false">IF(COUNT(Q16:Z16)=0,"",SUM(Q16:Z16))</f>
        <v>85</v>
      </c>
      <c r="AB16" s="17" t="n">
        <f aca="false">IF(OR(AA16="",$AA$4-SUMIF(Q16:Z16,"欠",$Q$4:$Z$4)&lt;=0),"",ROUND(AA16/($AA$4-SUMIF(Q16:Z16,"欠",$Q$4:$Z$4))*100,0))</f>
        <v>71</v>
      </c>
      <c r="AC16" s="17" t="str">
        <f aca="false">IF(AB16="","",IF(AB16&gt;=設定!$D$15,"A",IF(AB16&gt;=設定!$E$15,"B","C")))</f>
        <v>B</v>
      </c>
      <c r="AD16" s="17" t="n">
        <f aca="false">IF(AND(N16="",AA16=""),"",IF(N16="",0,N16)+IF(AA16="",0,AA16))</f>
        <v>227</v>
      </c>
      <c r="AE16" s="17" t="n">
        <f aca="false">IF(AD16="","",IF($AD$4-SUMIF(C16:M16,"欠",$C$4:$M$4)-SUMIF(Q16:Z16,"欠",$Q$4:$Z$4)&lt;=0,"",ROUND(AD16/($AD$4-SUMIF(C16:M16,"欠",$C$4:$M$4)-SUMIF(Q16:Z16,"欠",$Q$4:$Z$4))*100,0)))</f>
        <v>76</v>
      </c>
      <c r="AF16" s="17" t="str">
        <f aca="false">IF(AE16="","",IF(AE16&gt;=設定!$D$15,"A",IF(AE16&gt;=設定!$E$15,"B","C")))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32</v>
      </c>
      <c r="D17" s="19" t="n">
        <v>40</v>
      </c>
      <c r="E17" s="19" t="n">
        <v>48</v>
      </c>
      <c r="F17" s="19"/>
      <c r="G17" s="19"/>
      <c r="H17" s="19"/>
      <c r="I17" s="19"/>
      <c r="J17" s="19"/>
      <c r="K17" s="19"/>
      <c r="L17" s="19"/>
      <c r="M17" s="19"/>
      <c r="N17" s="17" t="n">
        <f aca="false">IF(COUNT(C17:M17)=0,"",SUM(C17:M17))</f>
        <v>120</v>
      </c>
      <c r="O17" s="17" t="n">
        <f aca="false">IF(OR(N17="",$N$4-SUMIF(C17:M17,"欠",$C$4:$M$4)&lt;=0),"",ROUND(N17/($N$4-SUMIF(C17:M17,"欠",$C$4:$M$4))*100,0))</f>
        <v>67</v>
      </c>
      <c r="P17" s="17" t="str">
        <f aca="false">IF(O17="","",IF(O17&gt;=設定!$D$15,"A",IF(O17&gt;=設定!$E$15,"B","C")))</f>
        <v>B</v>
      </c>
      <c r="Q17" s="19" t="n">
        <v>21</v>
      </c>
      <c r="R17" s="19" t="n">
        <v>22</v>
      </c>
      <c r="S17" s="19" t="n">
        <v>26</v>
      </c>
      <c r="T17" s="19"/>
      <c r="U17" s="19"/>
      <c r="V17" s="19"/>
      <c r="W17" s="19"/>
      <c r="X17" s="19"/>
      <c r="Y17" s="19"/>
      <c r="Z17" s="19"/>
      <c r="AA17" s="17" t="n">
        <f aca="false">IF(COUNT(Q17:Z17)=0,"",SUM(Q17:Z17))</f>
        <v>69</v>
      </c>
      <c r="AB17" s="17" t="n">
        <f aca="false">IF(OR(AA17="",$AA$4-SUMIF(Q17:Z17,"欠",$Q$4:$Z$4)&lt;=0),"",ROUND(AA17/($AA$4-SUMIF(Q17:Z17,"欠",$Q$4:$Z$4))*100,0))</f>
        <v>57</v>
      </c>
      <c r="AC17" s="17" t="str">
        <f aca="false">IF(AB17="","",IF(AB17&gt;=設定!$D$15,"A",IF(AB17&gt;=設定!$E$15,"B","C")))</f>
        <v>C</v>
      </c>
      <c r="AD17" s="17" t="n">
        <f aca="false">IF(AND(N17="",AA17=""),"",IF(N17="",0,N17)+IF(AA17="",0,AA17))</f>
        <v>189</v>
      </c>
      <c r="AE17" s="17" t="n">
        <f aca="false">IF(AD17="","",IF($AD$4-SUMIF(C17:M17,"欠",$C$4:$M$4)-SUMIF(Q17:Z17,"欠",$Q$4:$Z$4)&lt;=0,"",ROUND(AD17/($AD$4-SUMIF(C17:M17,"欠",$C$4:$M$4)-SUMIF(Q17:Z17,"欠",$Q$4:$Z$4))*100,0)))</f>
        <v>63</v>
      </c>
      <c r="AF17" s="17" t="str">
        <f aca="false">IF(AE17="","",IF(AE17&gt;=設定!$D$15,"A",IF(AE17&gt;=設定!$E$15,"B","C")))</f>
        <v>B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52</v>
      </c>
      <c r="D18" s="19" t="n">
        <v>60</v>
      </c>
      <c r="E18" s="19" t="n">
        <v>60</v>
      </c>
      <c r="F18" s="19"/>
      <c r="G18" s="19"/>
      <c r="H18" s="19"/>
      <c r="I18" s="19"/>
      <c r="J18" s="19"/>
      <c r="K18" s="19"/>
      <c r="L18" s="19"/>
      <c r="M18" s="19"/>
      <c r="N18" s="17" t="n">
        <f aca="false">IF(COUNT(C18:M18)=0,"",SUM(C18:M18))</f>
        <v>172</v>
      </c>
      <c r="O18" s="17" t="n">
        <f aca="false">IF(OR(N18="",$N$4-SUMIF(C18:M18,"欠",$C$4:$M$4)&lt;=0),"",ROUND(N18/($N$4-SUMIF(C18:M18,"欠",$C$4:$M$4))*100,0))</f>
        <v>96</v>
      </c>
      <c r="P18" s="17" t="str">
        <f aca="false">IF(O18="","",IF(O18&gt;=設定!$D$15,"A",IF(O18&gt;=設定!$E$15,"B","C")))</f>
        <v>A</v>
      </c>
      <c r="Q18" s="19" t="n">
        <v>26</v>
      </c>
      <c r="R18" s="19" t="n">
        <v>34</v>
      </c>
      <c r="S18" s="19" t="n">
        <v>34</v>
      </c>
      <c r="T18" s="19"/>
      <c r="U18" s="19"/>
      <c r="V18" s="19"/>
      <c r="W18" s="19"/>
      <c r="X18" s="19"/>
      <c r="Y18" s="19"/>
      <c r="Z18" s="19"/>
      <c r="AA18" s="17" t="n">
        <f aca="false">IF(COUNT(Q18:Z18)=0,"",SUM(Q18:Z18))</f>
        <v>94</v>
      </c>
      <c r="AB18" s="17" t="n">
        <f aca="false">IF(OR(AA18="",$AA$4-SUMIF(Q18:Z18,"欠",$Q$4:$Z$4)&lt;=0),"",ROUND(AA18/($AA$4-SUMIF(Q18:Z18,"欠",$Q$4:$Z$4))*100,0))</f>
        <v>78</v>
      </c>
      <c r="AC18" s="17" t="str">
        <f aca="false">IF(AB18="","",IF(AB18&gt;=設定!$D$15,"A",IF(AB18&gt;=設定!$E$15,"B","C")))</f>
        <v>B</v>
      </c>
      <c r="AD18" s="17" t="n">
        <f aca="false">IF(AND(N18="",AA18=""),"",IF(N18="",0,N18)+IF(AA18="",0,AA18))</f>
        <v>266</v>
      </c>
      <c r="AE18" s="17" t="n">
        <f aca="false">IF(AD18="","",IF($AD$4-SUMIF(C18:M18,"欠",$C$4:$M$4)-SUMIF(Q18:Z18,"欠",$Q$4:$Z$4)&lt;=0,"",ROUND(AD18/($AD$4-SUMIF(C18:M18,"欠",$C$4:$M$4)-SUMIF(Q18:Z18,"欠",$Q$4:$Z$4))*100,0)))</f>
        <v>89</v>
      </c>
      <c r="AF18" s="17" t="str">
        <f aca="false">IF(AE18="","",IF(AE18&gt;=設定!$D$15,"A",IF(AE18&gt;=設定!$E$15,"B","C")))</f>
        <v>B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39</v>
      </c>
      <c r="D19" s="19" t="n">
        <v>33</v>
      </c>
      <c r="E19" s="19" t="n">
        <v>26</v>
      </c>
      <c r="F19" s="19"/>
      <c r="G19" s="19"/>
      <c r="H19" s="19"/>
      <c r="I19" s="19"/>
      <c r="J19" s="19"/>
      <c r="K19" s="19"/>
      <c r="L19" s="19"/>
      <c r="M19" s="19"/>
      <c r="N19" s="17" t="n">
        <f aca="false">IF(COUNT(C19:M19)=0,"",SUM(C19:M19))</f>
        <v>98</v>
      </c>
      <c r="O19" s="17" t="n">
        <f aca="false">IF(OR(N19="",$N$4-SUMIF(C19:M19,"欠",$C$4:$M$4)&lt;=0),"",ROUND(N19/($N$4-SUMIF(C19:M19,"欠",$C$4:$M$4))*100,0))</f>
        <v>54</v>
      </c>
      <c r="P19" s="17" t="str">
        <f aca="false">IF(O19="","",IF(O19&gt;=設定!$D$15,"A",IF(O19&gt;=設定!$E$15,"B","C")))</f>
        <v>C</v>
      </c>
      <c r="Q19" s="19" t="n">
        <v>23</v>
      </c>
      <c r="R19" s="19" t="n">
        <v>15</v>
      </c>
      <c r="S19" s="19" t="n">
        <v>15</v>
      </c>
      <c r="T19" s="19"/>
      <c r="U19" s="19"/>
      <c r="V19" s="19"/>
      <c r="W19" s="19"/>
      <c r="X19" s="19"/>
      <c r="Y19" s="19"/>
      <c r="Z19" s="19"/>
      <c r="AA19" s="17" t="n">
        <f aca="false">IF(COUNT(Q19:Z19)=0,"",SUM(Q19:Z19))</f>
        <v>53</v>
      </c>
      <c r="AB19" s="17" t="n">
        <f aca="false">IF(OR(AA19="",$AA$4-SUMIF(Q19:Z19,"欠",$Q$4:$Z$4)&lt;=0),"",ROUND(AA19/($AA$4-SUMIF(Q19:Z19,"欠",$Q$4:$Z$4))*100,0))</f>
        <v>44</v>
      </c>
      <c r="AC19" s="17" t="str">
        <f aca="false">IF(AB19="","",IF(AB19&gt;=設定!$D$15,"A",IF(AB19&gt;=設定!$E$15,"B","C")))</f>
        <v>C</v>
      </c>
      <c r="AD19" s="17" t="n">
        <f aca="false">IF(AND(N19="",AA19=""),"",IF(N19="",0,N19)+IF(AA19="",0,AA19))</f>
        <v>151</v>
      </c>
      <c r="AE19" s="17" t="n">
        <f aca="false">IF(AD19="","",IF($AD$4-SUMIF(C19:M19,"欠",$C$4:$M$4)-SUMIF(Q19:Z19,"欠",$Q$4:$Z$4)&lt;=0,"",ROUND(AD19/($AD$4-SUMIF(C19:M19,"欠",$C$4:$M$4)-SUMIF(Q19:Z19,"欠",$Q$4:$Z$4))*100,0)))</f>
        <v>50</v>
      </c>
      <c r="AF19" s="17" t="str">
        <f aca="false">IF(AE19="","",IF(AE19&gt;=設定!$D$15,"A",IF(AE19&gt;=設定!$E$15,"B","C")))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60</v>
      </c>
      <c r="D20" s="19" t="n">
        <v>60</v>
      </c>
      <c r="E20" s="19" t="n">
        <v>60</v>
      </c>
      <c r="F20" s="19"/>
      <c r="G20" s="19"/>
      <c r="H20" s="19"/>
      <c r="I20" s="19"/>
      <c r="J20" s="19"/>
      <c r="K20" s="19"/>
      <c r="L20" s="19"/>
      <c r="M20" s="19"/>
      <c r="N20" s="17" t="n">
        <f aca="false">IF(COUNT(C20:M20)=0,"",SUM(C20:M20))</f>
        <v>180</v>
      </c>
      <c r="O20" s="17" t="n">
        <f aca="false">IF(OR(N20="",$N$4-SUMIF(C20:M20,"欠",$C$4:$M$4)&lt;=0),"",ROUND(N20/($N$4-SUMIF(C20:M20,"欠",$C$4:$M$4))*100,0))</f>
        <v>100</v>
      </c>
      <c r="P20" s="17" t="str">
        <f aca="false">IF(O20="","",IF(O20&gt;=設定!$D$15,"A",IF(O20&gt;=設定!$E$15,"B","C")))</f>
        <v>A</v>
      </c>
      <c r="Q20" s="19" t="n">
        <v>40</v>
      </c>
      <c r="R20" s="19" t="n">
        <v>34</v>
      </c>
      <c r="S20" s="19" t="n">
        <v>38</v>
      </c>
      <c r="T20" s="19"/>
      <c r="U20" s="19"/>
      <c r="V20" s="19"/>
      <c r="W20" s="19"/>
      <c r="X20" s="19"/>
      <c r="Y20" s="19"/>
      <c r="Z20" s="19"/>
      <c r="AA20" s="17" t="n">
        <f aca="false">IF(COUNT(Q20:Z20)=0,"",SUM(Q20:Z20))</f>
        <v>112</v>
      </c>
      <c r="AB20" s="17" t="n">
        <f aca="false">IF(OR(AA20="",$AA$4-SUMIF(Q20:Z20,"欠",$Q$4:$Z$4)&lt;=0),"",ROUND(AA20/($AA$4-SUMIF(Q20:Z20,"欠",$Q$4:$Z$4))*100,0))</f>
        <v>93</v>
      </c>
      <c r="AC20" s="17" t="str">
        <f aca="false">IF(AB20="","",IF(AB20&gt;=設定!$D$15,"A",IF(AB20&gt;=設定!$E$15,"B","C")))</f>
        <v>A</v>
      </c>
      <c r="AD20" s="17" t="n">
        <f aca="false">IF(AND(N20="",AA20=""),"",IF(N20="",0,N20)+IF(AA20="",0,AA20))</f>
        <v>292</v>
      </c>
      <c r="AE20" s="17" t="n">
        <f aca="false">IF(AD20="","",IF($AD$4-SUMIF(C20:M20,"欠",$C$4:$M$4)-SUMIF(Q20:Z20,"欠",$Q$4:$Z$4)&lt;=0,"",ROUND(AD20/($AD$4-SUMIF(C20:M20,"欠",$C$4:$M$4)-SUMIF(Q20:Z20,"欠",$Q$4:$Z$4))*100,0)))</f>
        <v>97</v>
      </c>
      <c r="AF20" s="17" t="str">
        <f aca="false">IF(AE20="","",IF(AE20&gt;=設定!$D$15,"A",IF(AE20&gt;=設定!$E$15,"B","C")))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53</v>
      </c>
      <c r="D21" s="19" t="n">
        <v>51</v>
      </c>
      <c r="E21" s="19" t="n">
        <v>46</v>
      </c>
      <c r="F21" s="19"/>
      <c r="G21" s="19"/>
      <c r="H21" s="19"/>
      <c r="I21" s="19"/>
      <c r="J21" s="19"/>
      <c r="K21" s="19"/>
      <c r="L21" s="19"/>
      <c r="M21" s="19"/>
      <c r="N21" s="17" t="n">
        <f aca="false">IF(COUNT(C21:M21)=0,"",SUM(C21:M21))</f>
        <v>150</v>
      </c>
      <c r="O21" s="17" t="n">
        <f aca="false">IF(OR(N21="",$N$4-SUMIF(C21:M21,"欠",$C$4:$M$4)&lt;=0),"",ROUND(N21/($N$4-SUMIF(C21:M21,"欠",$C$4:$M$4))*100,0))</f>
        <v>83</v>
      </c>
      <c r="P21" s="17" t="str">
        <f aca="false">IF(O21="","",IF(O21&gt;=設定!$D$15,"A",IF(O21&gt;=設定!$E$15,"B","C")))</f>
        <v>B</v>
      </c>
      <c r="Q21" s="19" t="n">
        <v>32</v>
      </c>
      <c r="R21" s="19" t="n">
        <v>31</v>
      </c>
      <c r="S21" s="19" t="n">
        <v>29</v>
      </c>
      <c r="T21" s="19"/>
      <c r="U21" s="19"/>
      <c r="V21" s="19"/>
      <c r="W21" s="19"/>
      <c r="X21" s="19"/>
      <c r="Y21" s="19"/>
      <c r="Z21" s="19"/>
      <c r="AA21" s="17" t="n">
        <f aca="false">IF(COUNT(Q21:Z21)=0,"",SUM(Q21:Z21))</f>
        <v>92</v>
      </c>
      <c r="AB21" s="17" t="n">
        <f aca="false">IF(OR(AA21="",$AA$4-SUMIF(Q21:Z21,"欠",$Q$4:$Z$4)&lt;=0),"",ROUND(AA21/($AA$4-SUMIF(Q21:Z21,"欠",$Q$4:$Z$4))*100,0))</f>
        <v>77</v>
      </c>
      <c r="AC21" s="17" t="str">
        <f aca="false">IF(AB21="","",IF(AB21&gt;=設定!$D$15,"A",IF(AB21&gt;=設定!$E$15,"B","C")))</f>
        <v>B</v>
      </c>
      <c r="AD21" s="17" t="n">
        <f aca="false">IF(AND(N21="",AA21=""),"",IF(N21="",0,N21)+IF(AA21="",0,AA21))</f>
        <v>242</v>
      </c>
      <c r="AE21" s="17" t="n">
        <f aca="false">IF(AD21="","",IF($AD$4-SUMIF(C21:M21,"欠",$C$4:$M$4)-SUMIF(Q21:Z21,"欠",$Q$4:$Z$4)&lt;=0,"",ROUND(AD21/($AD$4-SUMIF(C21:M21,"欠",$C$4:$M$4)-SUMIF(Q21:Z21,"欠",$Q$4:$Z$4))*100,0)))</f>
        <v>81</v>
      </c>
      <c r="AF21" s="17" t="str">
        <f aca="false">IF(AE21="","",IF(AE21&gt;=設定!$D$15,"A",IF(AE21&gt;=設定!$E$15,"B","C")))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60</v>
      </c>
      <c r="D22" s="19" t="n">
        <v>60</v>
      </c>
      <c r="E22" s="19" t="n">
        <v>60</v>
      </c>
      <c r="F22" s="19"/>
      <c r="G22" s="19"/>
      <c r="H22" s="19"/>
      <c r="I22" s="19"/>
      <c r="J22" s="19"/>
      <c r="K22" s="19"/>
      <c r="L22" s="19"/>
      <c r="M22" s="19"/>
      <c r="N22" s="17" t="n">
        <f aca="false">IF(COUNT(C22:M22)=0,"",SUM(C22:M22))</f>
        <v>180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IF(O22="","",IF(O22&gt;=設定!$D$15,"A",IF(O22&gt;=設定!$E$15,"B","C")))</f>
        <v>A</v>
      </c>
      <c r="Q22" s="19" t="n">
        <v>40</v>
      </c>
      <c r="R22" s="19" t="n">
        <v>40</v>
      </c>
      <c r="S22" s="19" t="n">
        <v>40</v>
      </c>
      <c r="T22" s="19"/>
      <c r="U22" s="19"/>
      <c r="V22" s="19"/>
      <c r="W22" s="19"/>
      <c r="X22" s="19"/>
      <c r="Y22" s="19"/>
      <c r="Z22" s="19"/>
      <c r="AA22" s="17" t="n">
        <f aca="false">IF(COUNT(Q22:Z22)=0,"",SUM(Q22:Z22))</f>
        <v>120</v>
      </c>
      <c r="AB22" s="17" t="n">
        <f aca="false">IF(OR(AA22="",$AA$4-SUMIF(Q22:Z22,"欠",$Q$4:$Z$4)&lt;=0),"",ROUND(AA22/($AA$4-SUMIF(Q22:Z22,"欠",$Q$4:$Z$4))*100,0))</f>
        <v>100</v>
      </c>
      <c r="AC22" s="17" t="str">
        <f aca="false">IF(AB22="","",IF(AB22&gt;=設定!$D$15,"A",IF(AB22&gt;=設定!$E$15,"B","C")))</f>
        <v>A</v>
      </c>
      <c r="AD22" s="17" t="n">
        <f aca="false">IF(AND(N22="",AA22=""),"",IF(N22="",0,N22)+IF(AA22="",0,AA22))</f>
        <v>300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IF(AE22="","",IF(AE22&gt;=設定!$D$15,"A",IF(AE22&gt;=設定!$E$15,"B","C")))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58</v>
      </c>
      <c r="D23" s="19" t="n">
        <v>58</v>
      </c>
      <c r="E23" s="19" t="n">
        <v>55</v>
      </c>
      <c r="F23" s="19"/>
      <c r="G23" s="19"/>
      <c r="H23" s="19"/>
      <c r="I23" s="19"/>
      <c r="J23" s="19"/>
      <c r="K23" s="19"/>
      <c r="L23" s="19"/>
      <c r="M23" s="19"/>
      <c r="N23" s="17" t="n">
        <f aca="false">IF(COUNT(C23:M23)=0,"",SUM(C23:M23))</f>
        <v>171</v>
      </c>
      <c r="O23" s="17" t="n">
        <f aca="false">IF(OR(N23="",$N$4-SUMIF(C23:M23,"欠",$C$4:$M$4)&lt;=0),"",ROUND(N23/($N$4-SUMIF(C23:M23,"欠",$C$4:$M$4))*100,0))</f>
        <v>95</v>
      </c>
      <c r="P23" s="17" t="str">
        <f aca="false">IF(O23="","",IF(O23&gt;=設定!$D$15,"A",IF(O23&gt;=設定!$E$15,"B","C")))</f>
        <v>A</v>
      </c>
      <c r="Q23" s="19" t="n">
        <v>34</v>
      </c>
      <c r="R23" s="19" t="n">
        <v>29</v>
      </c>
      <c r="S23" s="19" t="n">
        <v>39</v>
      </c>
      <c r="T23" s="19"/>
      <c r="U23" s="19"/>
      <c r="V23" s="19"/>
      <c r="W23" s="19"/>
      <c r="X23" s="19"/>
      <c r="Y23" s="19"/>
      <c r="Z23" s="19"/>
      <c r="AA23" s="17" t="n">
        <f aca="false">IF(COUNT(Q23:Z23)=0,"",SUM(Q23:Z23))</f>
        <v>102</v>
      </c>
      <c r="AB23" s="17" t="n">
        <f aca="false">IF(OR(AA23="",$AA$4-SUMIF(Q23:Z23,"欠",$Q$4:$Z$4)&lt;=0),"",ROUND(AA23/($AA$4-SUMIF(Q23:Z23,"欠",$Q$4:$Z$4))*100,0))</f>
        <v>85</v>
      </c>
      <c r="AC23" s="17" t="str">
        <f aca="false">IF(AB23="","",IF(AB23&gt;=設定!$D$15,"A",IF(AB23&gt;=設定!$E$15,"B","C")))</f>
        <v>B</v>
      </c>
      <c r="AD23" s="17" t="n">
        <f aca="false">IF(AND(N23="",AA23=""),"",IF(N23="",0,N23)+IF(AA23="",0,AA23))</f>
        <v>273</v>
      </c>
      <c r="AE23" s="17" t="n">
        <f aca="false">IF(AD23="","",IF($AD$4-SUMIF(C23:M23,"欠",$C$4:$M$4)-SUMIF(Q23:Z23,"欠",$Q$4:$Z$4)&lt;=0,"",ROUND(AD23/($AD$4-SUMIF(C23:M23,"欠",$C$4:$M$4)-SUMIF(Q23:Z23,"欠",$Q$4:$Z$4))*100,0)))</f>
        <v>91</v>
      </c>
      <c r="AF23" s="17" t="str">
        <f aca="false">IF(AE23="","",IF(AE23&gt;=設定!$D$15,"A",IF(AE23&gt;=設定!$E$15,"B","C")))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34</v>
      </c>
      <c r="D24" s="19" t="n">
        <v>42</v>
      </c>
      <c r="E24" s="19" t="n">
        <v>47</v>
      </c>
      <c r="F24" s="19"/>
      <c r="G24" s="19"/>
      <c r="H24" s="19"/>
      <c r="I24" s="19"/>
      <c r="J24" s="19"/>
      <c r="K24" s="19"/>
      <c r="L24" s="19"/>
      <c r="M24" s="19"/>
      <c r="N24" s="17" t="n">
        <f aca="false">IF(COUNT(C24:M24)=0,"",SUM(C24:M24))</f>
        <v>123</v>
      </c>
      <c r="O24" s="17" t="n">
        <f aca="false">IF(OR(N24="",$N$4-SUMIF(C24:M24,"欠",$C$4:$M$4)&lt;=0),"",ROUND(N24/($N$4-SUMIF(C24:M24,"欠",$C$4:$M$4))*100,0))</f>
        <v>68</v>
      </c>
      <c r="P24" s="17" t="str">
        <f aca="false">IF(O24="","",IF(O24&gt;=設定!$D$15,"A",IF(O24&gt;=設定!$E$15,"B","C")))</f>
        <v>B</v>
      </c>
      <c r="Q24" s="19" t="n">
        <v>29</v>
      </c>
      <c r="R24" s="19" t="n">
        <v>18</v>
      </c>
      <c r="S24" s="19" t="n">
        <v>27</v>
      </c>
      <c r="T24" s="19"/>
      <c r="U24" s="19"/>
      <c r="V24" s="19"/>
      <c r="W24" s="19"/>
      <c r="X24" s="19"/>
      <c r="Y24" s="19"/>
      <c r="Z24" s="19"/>
      <c r="AA24" s="17" t="n">
        <f aca="false">IF(COUNT(Q24:Z24)=0,"",SUM(Q24:Z24))</f>
        <v>74</v>
      </c>
      <c r="AB24" s="17" t="n">
        <f aca="false">IF(OR(AA24="",$AA$4-SUMIF(Q24:Z24,"欠",$Q$4:$Z$4)&lt;=0),"",ROUND(AA24/($AA$4-SUMIF(Q24:Z24,"欠",$Q$4:$Z$4))*100,0))</f>
        <v>62</v>
      </c>
      <c r="AC24" s="17" t="str">
        <f aca="false">IF(AB24="","",IF(AB24&gt;=設定!$D$15,"A",IF(AB24&gt;=設定!$E$15,"B","C")))</f>
        <v>B</v>
      </c>
      <c r="AD24" s="17" t="n">
        <f aca="false">IF(AND(N24="",AA24=""),"",IF(N24="",0,N24)+IF(AA24="",0,AA24))</f>
        <v>197</v>
      </c>
      <c r="AE24" s="17" t="n">
        <f aca="false">IF(AD24="","",IF($AD$4-SUMIF(C24:M24,"欠",$C$4:$M$4)-SUMIF(Q24:Z24,"欠",$Q$4:$Z$4)&lt;=0,"",ROUND(AD24/($AD$4-SUMIF(C24:M24,"欠",$C$4:$M$4)-SUMIF(Q24:Z24,"欠",$Q$4:$Z$4))*100,0)))</f>
        <v>66</v>
      </c>
      <c r="AF24" s="17" t="str">
        <f aca="false">IF(AE24="","",IF(AE24&gt;=設定!$D$15,"A",IF(AE24&gt;=設定!$E$15,"B","C")))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54</v>
      </c>
      <c r="D25" s="19" t="n">
        <v>56</v>
      </c>
      <c r="E25" s="19" t="n">
        <v>58</v>
      </c>
      <c r="F25" s="19"/>
      <c r="G25" s="19"/>
      <c r="H25" s="19"/>
      <c r="I25" s="19"/>
      <c r="J25" s="19"/>
      <c r="K25" s="19"/>
      <c r="L25" s="19"/>
      <c r="M25" s="19"/>
      <c r="N25" s="17" t="n">
        <f aca="false">IF(COUNT(C25:M25)=0,"",SUM(C25:M25))</f>
        <v>168</v>
      </c>
      <c r="O25" s="17" t="n">
        <f aca="false">IF(OR(N25="",$N$4-SUMIF(C25:M25,"欠",$C$4:$M$4)&lt;=0),"",ROUND(N25/($N$4-SUMIF(C25:M25,"欠",$C$4:$M$4))*100,0))</f>
        <v>93</v>
      </c>
      <c r="P25" s="17" t="str">
        <f aca="false">IF(O25="","",IF(O25&gt;=設定!$D$15,"A",IF(O25&gt;=設定!$E$15,"B","C")))</f>
        <v>A</v>
      </c>
      <c r="Q25" s="19" t="n">
        <v>33</v>
      </c>
      <c r="R25" s="19" t="n">
        <v>37</v>
      </c>
      <c r="S25" s="19" t="n">
        <v>28</v>
      </c>
      <c r="T25" s="19"/>
      <c r="U25" s="19"/>
      <c r="V25" s="19"/>
      <c r="W25" s="19"/>
      <c r="X25" s="19"/>
      <c r="Y25" s="19"/>
      <c r="Z25" s="19"/>
      <c r="AA25" s="17" t="n">
        <f aca="false">IF(COUNT(Q25:Z25)=0,"",SUM(Q25:Z25))</f>
        <v>98</v>
      </c>
      <c r="AB25" s="17" t="n">
        <f aca="false">IF(OR(AA25="",$AA$4-SUMIF(Q25:Z25,"欠",$Q$4:$Z$4)&lt;=0),"",ROUND(AA25/($AA$4-SUMIF(Q25:Z25,"欠",$Q$4:$Z$4))*100,0))</f>
        <v>82</v>
      </c>
      <c r="AC25" s="17" t="str">
        <f aca="false">IF(AB25="","",IF(AB25&gt;=設定!$D$15,"A",IF(AB25&gt;=設定!$E$15,"B","C")))</f>
        <v>B</v>
      </c>
      <c r="AD25" s="17" t="n">
        <f aca="false">IF(AND(N25="",AA25=""),"",IF(N25="",0,N25)+IF(AA25="",0,AA25))</f>
        <v>266</v>
      </c>
      <c r="AE25" s="17" t="n">
        <f aca="false">IF(AD25="","",IF($AD$4-SUMIF(C25:M25,"欠",$C$4:$M$4)-SUMIF(Q25:Z25,"欠",$Q$4:$Z$4)&lt;=0,"",ROUND(AD25/($AD$4-SUMIF(C25:M25,"欠",$C$4:$M$4)-SUMIF(Q25:Z25,"欠",$Q$4:$Z$4))*100,0)))</f>
        <v>89</v>
      </c>
      <c r="AF25" s="17" t="str">
        <f aca="false">IF(AE25="","",IF(AE25&gt;=設定!$D$15,"A",IF(AE25&gt;=設定!$E$15,"B","C")))</f>
        <v>B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48</v>
      </c>
      <c r="D26" s="19" t="n">
        <v>46</v>
      </c>
      <c r="E26" s="19" t="n">
        <v>45</v>
      </c>
      <c r="F26" s="19"/>
      <c r="G26" s="19"/>
      <c r="H26" s="19"/>
      <c r="I26" s="19"/>
      <c r="J26" s="19"/>
      <c r="K26" s="19"/>
      <c r="L26" s="19"/>
      <c r="M26" s="19"/>
      <c r="N26" s="17" t="n">
        <f aca="false">IF(COUNT(C26:M26)=0,"",SUM(C26:M26))</f>
        <v>139</v>
      </c>
      <c r="O26" s="17" t="n">
        <f aca="false">IF(OR(N26="",$N$4-SUMIF(C26:M26,"欠",$C$4:$M$4)&lt;=0),"",ROUND(N26/($N$4-SUMIF(C26:M26,"欠",$C$4:$M$4))*100,0))</f>
        <v>77</v>
      </c>
      <c r="P26" s="17" t="str">
        <f aca="false">IF(O26="","",IF(O26&gt;=設定!$D$15,"A",IF(O26&gt;=設定!$E$15,"B","C")))</f>
        <v>B</v>
      </c>
      <c r="Q26" s="19" t="n">
        <v>20</v>
      </c>
      <c r="R26" s="19" t="n">
        <v>35</v>
      </c>
      <c r="S26" s="19" t="n">
        <v>28</v>
      </c>
      <c r="T26" s="19"/>
      <c r="U26" s="19"/>
      <c r="V26" s="19"/>
      <c r="W26" s="19"/>
      <c r="X26" s="19"/>
      <c r="Y26" s="19"/>
      <c r="Z26" s="19"/>
      <c r="AA26" s="17" t="n">
        <f aca="false">IF(COUNT(Q26:Z26)=0,"",SUM(Q26:Z26))</f>
        <v>83</v>
      </c>
      <c r="AB26" s="17" t="n">
        <f aca="false">IF(OR(AA26="",$AA$4-SUMIF(Q26:Z26,"欠",$Q$4:$Z$4)&lt;=0),"",ROUND(AA26/($AA$4-SUMIF(Q26:Z26,"欠",$Q$4:$Z$4))*100,0))</f>
        <v>69</v>
      </c>
      <c r="AC26" s="17" t="str">
        <f aca="false">IF(AB26="","",IF(AB26&gt;=設定!$D$15,"A",IF(AB26&gt;=設定!$E$15,"B","C")))</f>
        <v>B</v>
      </c>
      <c r="AD26" s="17" t="n">
        <f aca="false">IF(AND(N26="",AA26=""),"",IF(N26="",0,N26)+IF(AA26="",0,AA26))</f>
        <v>222</v>
      </c>
      <c r="AE26" s="17" t="n">
        <f aca="false">IF(AD26="","",IF($AD$4-SUMIF(C26:M26,"欠",$C$4:$M$4)-SUMIF(Q26:Z26,"欠",$Q$4:$Z$4)&lt;=0,"",ROUND(AD26/($AD$4-SUMIF(C26:M26,"欠",$C$4:$M$4)-SUMIF(Q26:Z26,"欠",$Q$4:$Z$4))*100,0)))</f>
        <v>74</v>
      </c>
      <c r="AF26" s="17" t="str">
        <f aca="false">IF(AE26="","",IF(AE26&gt;=設定!$D$15,"A",IF(AE26&gt;=設定!$E$15,"B","C")))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60</v>
      </c>
      <c r="D27" s="19" t="n">
        <v>60</v>
      </c>
      <c r="E27" s="19" t="n">
        <v>48</v>
      </c>
      <c r="F27" s="19"/>
      <c r="G27" s="19"/>
      <c r="H27" s="19"/>
      <c r="I27" s="19"/>
      <c r="J27" s="19"/>
      <c r="K27" s="19"/>
      <c r="L27" s="19"/>
      <c r="M27" s="19"/>
      <c r="N27" s="17" t="n">
        <f aca="false">IF(COUNT(C27:M27)=0,"",SUM(C27:M27))</f>
        <v>168</v>
      </c>
      <c r="O27" s="17" t="n">
        <f aca="false">IF(OR(N27="",$N$4-SUMIF(C27:M27,"欠",$C$4:$M$4)&lt;=0),"",ROUND(N27/($N$4-SUMIF(C27:M27,"欠",$C$4:$M$4))*100,0))</f>
        <v>93</v>
      </c>
      <c r="P27" s="17" t="str">
        <f aca="false">IF(O27="","",IF(O27&gt;=設定!$D$15,"A",IF(O27&gt;=設定!$E$15,"B","C")))</f>
        <v>A</v>
      </c>
      <c r="Q27" s="19" t="n">
        <v>28</v>
      </c>
      <c r="R27" s="19" t="n">
        <v>31</v>
      </c>
      <c r="S27" s="19" t="n">
        <v>37</v>
      </c>
      <c r="T27" s="19"/>
      <c r="U27" s="19"/>
      <c r="V27" s="19"/>
      <c r="W27" s="19"/>
      <c r="X27" s="19"/>
      <c r="Y27" s="19"/>
      <c r="Z27" s="19"/>
      <c r="AA27" s="17" t="n">
        <f aca="false">IF(COUNT(Q27:Z27)=0,"",SUM(Q27:Z27))</f>
        <v>96</v>
      </c>
      <c r="AB27" s="17" t="n">
        <f aca="false">IF(OR(AA27="",$AA$4-SUMIF(Q27:Z27,"欠",$Q$4:$Z$4)&lt;=0),"",ROUND(AA27/($AA$4-SUMIF(Q27:Z27,"欠",$Q$4:$Z$4))*100,0))</f>
        <v>80</v>
      </c>
      <c r="AC27" s="17" t="str">
        <f aca="false">IF(AB27="","",IF(AB27&gt;=設定!$D$15,"A",IF(AB27&gt;=設定!$E$15,"B","C")))</f>
        <v>B</v>
      </c>
      <c r="AD27" s="17" t="n">
        <f aca="false">IF(AND(N27="",AA27=""),"",IF(N27="",0,N27)+IF(AA27="",0,AA27))</f>
        <v>264</v>
      </c>
      <c r="AE27" s="17" t="n">
        <f aca="false">IF(AD27="","",IF($AD$4-SUMIF(C27:M27,"欠",$C$4:$M$4)-SUMIF(Q27:Z27,"欠",$Q$4:$Z$4)&lt;=0,"",ROUND(AD27/($AD$4-SUMIF(C27:M27,"欠",$C$4:$M$4)-SUMIF(Q27:Z27,"欠",$Q$4:$Z$4))*100,0)))</f>
        <v>88</v>
      </c>
      <c r="AF27" s="17" t="str">
        <f aca="false">IF(AE27="","",IF(AE27&gt;=設定!$D$15,"A",IF(AE27&gt;=設定!$E$15,"B","C")))</f>
        <v>B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32</v>
      </c>
      <c r="D28" s="19" t="n">
        <v>31</v>
      </c>
      <c r="E28" s="19" t="n">
        <v>33</v>
      </c>
      <c r="F28" s="19"/>
      <c r="G28" s="19"/>
      <c r="H28" s="19"/>
      <c r="I28" s="19"/>
      <c r="J28" s="19"/>
      <c r="K28" s="19"/>
      <c r="L28" s="19"/>
      <c r="M28" s="19"/>
      <c r="N28" s="17" t="n">
        <f aca="false">IF(COUNT(C28:M28)=0,"",SUM(C28:M28))</f>
        <v>96</v>
      </c>
      <c r="O28" s="17" t="n">
        <f aca="false">IF(OR(N28="",$N$4-SUMIF(C28:M28,"欠",$C$4:$M$4)&lt;=0),"",ROUND(N28/($N$4-SUMIF(C28:M28,"欠",$C$4:$M$4))*100,0))</f>
        <v>53</v>
      </c>
      <c r="P28" s="17" t="str">
        <f aca="false">IF(O28="","",IF(O28&gt;=設定!$D$15,"A",IF(O28&gt;=設定!$E$15,"B","C")))</f>
        <v>C</v>
      </c>
      <c r="Q28" s="19" t="n">
        <v>21</v>
      </c>
      <c r="R28" s="19" t="n">
        <v>20</v>
      </c>
      <c r="S28" s="19" t="n">
        <v>22</v>
      </c>
      <c r="T28" s="19"/>
      <c r="U28" s="19"/>
      <c r="V28" s="19"/>
      <c r="W28" s="19"/>
      <c r="X28" s="19"/>
      <c r="Y28" s="19"/>
      <c r="Z28" s="19"/>
      <c r="AA28" s="17" t="n">
        <f aca="false">IF(COUNT(Q28:Z28)=0,"",SUM(Q28:Z28))</f>
        <v>63</v>
      </c>
      <c r="AB28" s="17" t="n">
        <f aca="false">IF(OR(AA28="",$AA$4-SUMIF(Q28:Z28,"欠",$Q$4:$Z$4)&lt;=0),"",ROUND(AA28/($AA$4-SUMIF(Q28:Z28,"欠",$Q$4:$Z$4))*100,0))</f>
        <v>53</v>
      </c>
      <c r="AC28" s="17" t="str">
        <f aca="false">IF(AB28="","",IF(AB28&gt;=設定!$D$15,"A",IF(AB28&gt;=設定!$E$15,"B","C")))</f>
        <v>C</v>
      </c>
      <c r="AD28" s="17" t="n">
        <f aca="false">IF(AND(N28="",AA28=""),"",IF(N28="",0,N28)+IF(AA28="",0,AA28))</f>
        <v>159</v>
      </c>
      <c r="AE28" s="17" t="n">
        <f aca="false">IF(AD28="","",IF($AD$4-SUMIF(C28:M28,"欠",$C$4:$M$4)-SUMIF(Q28:Z28,"欠",$Q$4:$Z$4)&lt;=0,"",ROUND(AD28/($AD$4-SUMIF(C28:M28,"欠",$C$4:$M$4)-SUMIF(Q28:Z28,"欠",$Q$4:$Z$4))*100,0)))</f>
        <v>53</v>
      </c>
      <c r="AF28" s="17" t="str">
        <f aca="false">IF(AE28="","",IF(AE28&gt;=設定!$D$15,"A",IF(AE28&gt;=設定!$E$15,"B","C")))</f>
        <v>C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38</v>
      </c>
      <c r="D29" s="19" t="n">
        <v>33</v>
      </c>
      <c r="E29" s="19" t="n">
        <v>45</v>
      </c>
      <c r="F29" s="19"/>
      <c r="G29" s="19"/>
      <c r="H29" s="19"/>
      <c r="I29" s="19"/>
      <c r="J29" s="19"/>
      <c r="K29" s="19"/>
      <c r="L29" s="19"/>
      <c r="M29" s="19"/>
      <c r="N29" s="17" t="n">
        <f aca="false">IF(COUNT(C29:M29)=0,"",SUM(C29:M29))</f>
        <v>116</v>
      </c>
      <c r="O29" s="17" t="n">
        <f aca="false">IF(OR(N29="",$N$4-SUMIF(C29:M29,"欠",$C$4:$M$4)&lt;=0),"",ROUND(N29/($N$4-SUMIF(C29:M29,"欠",$C$4:$M$4))*100,0))</f>
        <v>64</v>
      </c>
      <c r="P29" s="17" t="str">
        <f aca="false">IF(O29="","",IF(O29&gt;=設定!$D$15,"A",IF(O29&gt;=設定!$E$15,"B","C")))</f>
        <v>B</v>
      </c>
      <c r="Q29" s="19" t="n">
        <v>26</v>
      </c>
      <c r="R29" s="19" t="n">
        <v>23</v>
      </c>
      <c r="S29" s="19" t="n">
        <v>26</v>
      </c>
      <c r="T29" s="19"/>
      <c r="U29" s="19"/>
      <c r="V29" s="19"/>
      <c r="W29" s="19"/>
      <c r="X29" s="19"/>
      <c r="Y29" s="19"/>
      <c r="Z29" s="19"/>
      <c r="AA29" s="17" t="n">
        <f aca="false">IF(COUNT(Q29:Z29)=0,"",SUM(Q29:Z29))</f>
        <v>75</v>
      </c>
      <c r="AB29" s="17" t="n">
        <f aca="false">IF(OR(AA29="",$AA$4-SUMIF(Q29:Z29,"欠",$Q$4:$Z$4)&lt;=0),"",ROUND(AA29/($AA$4-SUMIF(Q29:Z29,"欠",$Q$4:$Z$4))*100,0))</f>
        <v>63</v>
      </c>
      <c r="AC29" s="17" t="str">
        <f aca="false">IF(AB29="","",IF(AB29&gt;=設定!$D$15,"A",IF(AB29&gt;=設定!$E$15,"B","C")))</f>
        <v>B</v>
      </c>
      <c r="AD29" s="17" t="n">
        <f aca="false">IF(AND(N29="",AA29=""),"",IF(N29="",0,N29)+IF(AA29="",0,AA29))</f>
        <v>191</v>
      </c>
      <c r="AE29" s="17" t="n">
        <f aca="false">IF(AD29="","",IF($AD$4-SUMIF(C29:M29,"欠",$C$4:$M$4)-SUMIF(Q29:Z29,"欠",$Q$4:$Z$4)&lt;=0,"",ROUND(AD29/($AD$4-SUMIF(C29:M29,"欠",$C$4:$M$4)-SUMIF(Q29:Z29,"欠",$Q$4:$Z$4))*100,0)))</f>
        <v>64</v>
      </c>
      <c r="AF29" s="17" t="str">
        <f aca="false">IF(AE29="","",IF(AE29&gt;=設定!$D$15,"A",IF(AE29&gt;=設定!$E$15,"B","C")))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40</v>
      </c>
      <c r="D30" s="19" t="n">
        <v>60</v>
      </c>
      <c r="E30" s="19" t="n">
        <v>51</v>
      </c>
      <c r="F30" s="19"/>
      <c r="G30" s="19"/>
      <c r="H30" s="19"/>
      <c r="I30" s="19"/>
      <c r="J30" s="19"/>
      <c r="K30" s="19"/>
      <c r="L30" s="19"/>
      <c r="M30" s="19"/>
      <c r="N30" s="17" t="n">
        <f aca="false">IF(COUNT(C30:M30)=0,"",SUM(C30:M30))</f>
        <v>151</v>
      </c>
      <c r="O30" s="17" t="n">
        <f aca="false">IF(OR(N30="",$N$4-SUMIF(C30:M30,"欠",$C$4:$M$4)&lt;=0),"",ROUND(N30/($N$4-SUMIF(C30:M30,"欠",$C$4:$M$4))*100,0))</f>
        <v>84</v>
      </c>
      <c r="P30" s="17" t="str">
        <f aca="false">IF(O30="","",IF(O30&gt;=設定!$D$15,"A",IF(O30&gt;=設定!$E$15,"B","C")))</f>
        <v>B</v>
      </c>
      <c r="Q30" s="19" t="n">
        <v>34</v>
      </c>
      <c r="R30" s="19" t="n">
        <v>26</v>
      </c>
      <c r="S30" s="19" t="n">
        <v>28</v>
      </c>
      <c r="T30" s="19"/>
      <c r="U30" s="19"/>
      <c r="V30" s="19"/>
      <c r="W30" s="19"/>
      <c r="X30" s="19"/>
      <c r="Y30" s="19"/>
      <c r="Z30" s="19"/>
      <c r="AA30" s="17" t="n">
        <f aca="false">IF(COUNT(Q30:Z30)=0,"",SUM(Q30:Z30))</f>
        <v>88</v>
      </c>
      <c r="AB30" s="17" t="n">
        <f aca="false">IF(OR(AA30="",$AA$4-SUMIF(Q30:Z30,"欠",$Q$4:$Z$4)&lt;=0),"",ROUND(AA30/($AA$4-SUMIF(Q30:Z30,"欠",$Q$4:$Z$4))*100,0))</f>
        <v>73</v>
      </c>
      <c r="AC30" s="17" t="str">
        <f aca="false">IF(AB30="","",IF(AB30&gt;=設定!$D$15,"A",IF(AB30&gt;=設定!$E$15,"B","C")))</f>
        <v>B</v>
      </c>
      <c r="AD30" s="17" t="n">
        <f aca="false">IF(AND(N30="",AA30=""),"",IF(N30="",0,N30)+IF(AA30="",0,AA30))</f>
        <v>239</v>
      </c>
      <c r="AE30" s="17" t="n">
        <f aca="false">IF(AD30="","",IF($AD$4-SUMIF(C30:M30,"欠",$C$4:$M$4)-SUMIF(Q30:Z30,"欠",$Q$4:$Z$4)&lt;=0,"",ROUND(AD30/($AD$4-SUMIF(C30:M30,"欠",$C$4:$M$4)-SUMIF(Q30:Z30,"欠",$Q$4:$Z$4))*100,0)))</f>
        <v>80</v>
      </c>
      <c r="AF30" s="17" t="str">
        <f aca="false">IF(AE30="","",IF(AE30&gt;=設定!$D$15,"A",IF(AE30&gt;=設定!$E$15,"B","C")))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38</v>
      </c>
      <c r="D31" s="19" t="n">
        <v>37</v>
      </c>
      <c r="E31" s="19" t="n">
        <v>36</v>
      </c>
      <c r="F31" s="19"/>
      <c r="G31" s="19"/>
      <c r="H31" s="19"/>
      <c r="I31" s="19"/>
      <c r="J31" s="19"/>
      <c r="K31" s="19"/>
      <c r="L31" s="19"/>
      <c r="M31" s="19"/>
      <c r="N31" s="17" t="n">
        <f aca="false">IF(COUNT(C31:M31)=0,"",SUM(C31:M31))</f>
        <v>111</v>
      </c>
      <c r="O31" s="17" t="n">
        <f aca="false">IF(OR(N31="",$N$4-SUMIF(C31:M31,"欠",$C$4:$M$4)&lt;=0),"",ROUND(N31/($N$4-SUMIF(C31:M31,"欠",$C$4:$M$4))*100,0))</f>
        <v>62</v>
      </c>
      <c r="P31" s="17" t="str">
        <f aca="false">IF(O31="","",IF(O31&gt;=設定!$D$15,"A",IF(O31&gt;=設定!$E$15,"B","C")))</f>
        <v>B</v>
      </c>
      <c r="Q31" s="19" t="n">
        <v>36</v>
      </c>
      <c r="R31" s="19" t="n">
        <v>22</v>
      </c>
      <c r="S31" s="19" t="n">
        <v>27</v>
      </c>
      <c r="T31" s="19"/>
      <c r="U31" s="19"/>
      <c r="V31" s="19"/>
      <c r="W31" s="19"/>
      <c r="X31" s="19"/>
      <c r="Y31" s="19"/>
      <c r="Z31" s="19"/>
      <c r="AA31" s="17" t="n">
        <f aca="false">IF(COUNT(Q31:Z31)=0,"",SUM(Q31:Z31))</f>
        <v>85</v>
      </c>
      <c r="AB31" s="17" t="n">
        <f aca="false">IF(OR(AA31="",$AA$4-SUMIF(Q31:Z31,"欠",$Q$4:$Z$4)&lt;=0),"",ROUND(AA31/($AA$4-SUMIF(Q31:Z31,"欠",$Q$4:$Z$4))*100,0))</f>
        <v>71</v>
      </c>
      <c r="AC31" s="17" t="str">
        <f aca="false">IF(AB31="","",IF(AB31&gt;=設定!$D$15,"A",IF(AB31&gt;=設定!$E$15,"B","C")))</f>
        <v>B</v>
      </c>
      <c r="AD31" s="17" t="n">
        <f aca="false">IF(AND(N31="",AA31=""),"",IF(N31="",0,N31)+IF(AA31="",0,AA31))</f>
        <v>196</v>
      </c>
      <c r="AE31" s="17" t="n">
        <f aca="false">IF(AD31="","",IF($AD$4-SUMIF(C31:M31,"欠",$C$4:$M$4)-SUMIF(Q31:Z31,"欠",$Q$4:$Z$4)&lt;=0,"",ROUND(AD31/($AD$4-SUMIF(C31:M31,"欠",$C$4:$M$4)-SUMIF(Q31:Z31,"欠",$Q$4:$Z$4))*100,0)))</f>
        <v>65</v>
      </c>
      <c r="AF31" s="17" t="str">
        <f aca="false">IF(AE31="","",IF(AE31&gt;=設定!$D$15,"A",IF(AE31&gt;=設定!$E$15,"B","C")))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42</v>
      </c>
      <c r="D32" s="19" t="n">
        <v>44</v>
      </c>
      <c r="E32" s="19" t="n">
        <v>39</v>
      </c>
      <c r="F32" s="19"/>
      <c r="G32" s="19"/>
      <c r="H32" s="19"/>
      <c r="I32" s="19"/>
      <c r="J32" s="19"/>
      <c r="K32" s="19"/>
      <c r="L32" s="19"/>
      <c r="M32" s="19"/>
      <c r="N32" s="17" t="n">
        <f aca="false">IF(COUNT(C32:M32)=0,"",SUM(C32:M32))</f>
        <v>125</v>
      </c>
      <c r="O32" s="17" t="n">
        <f aca="false">IF(OR(N32="",$N$4-SUMIF(C32:M32,"欠",$C$4:$M$4)&lt;=0),"",ROUND(N32/($N$4-SUMIF(C32:M32,"欠",$C$4:$M$4))*100,0))</f>
        <v>69</v>
      </c>
      <c r="P32" s="17" t="str">
        <f aca="false">IF(O32="","",IF(O32&gt;=設定!$D$15,"A",IF(O32&gt;=設定!$E$15,"B","C")))</f>
        <v>B</v>
      </c>
      <c r="Q32" s="19" t="n">
        <v>21</v>
      </c>
      <c r="R32" s="19" t="n">
        <v>18</v>
      </c>
      <c r="S32" s="19" t="n">
        <v>28</v>
      </c>
      <c r="T32" s="19"/>
      <c r="U32" s="19"/>
      <c r="V32" s="19"/>
      <c r="W32" s="19"/>
      <c r="X32" s="19"/>
      <c r="Y32" s="19"/>
      <c r="Z32" s="19"/>
      <c r="AA32" s="17" t="n">
        <f aca="false">IF(COUNT(Q32:Z32)=0,"",SUM(Q32:Z32))</f>
        <v>67</v>
      </c>
      <c r="AB32" s="17" t="n">
        <f aca="false">IF(OR(AA32="",$AA$4-SUMIF(Q32:Z32,"欠",$Q$4:$Z$4)&lt;=0),"",ROUND(AA32/($AA$4-SUMIF(Q32:Z32,"欠",$Q$4:$Z$4))*100,0))</f>
        <v>56</v>
      </c>
      <c r="AC32" s="17" t="str">
        <f aca="false">IF(AB32="","",IF(AB32&gt;=設定!$D$15,"A",IF(AB32&gt;=設定!$E$15,"B","C")))</f>
        <v>C</v>
      </c>
      <c r="AD32" s="17" t="n">
        <f aca="false">IF(AND(N32="",AA32=""),"",IF(N32="",0,N32)+IF(AA32="",0,AA32))</f>
        <v>192</v>
      </c>
      <c r="AE32" s="17" t="n">
        <f aca="false">IF(AD32="","",IF($AD$4-SUMIF(C32:M32,"欠",$C$4:$M$4)-SUMIF(Q32:Z32,"欠",$Q$4:$Z$4)&lt;=0,"",ROUND(AD32/($AD$4-SUMIF(C32:M32,"欠",$C$4:$M$4)-SUMIF(Q32:Z32,"欠",$Q$4:$Z$4))*100,0)))</f>
        <v>64</v>
      </c>
      <c r="AF32" s="17" t="str">
        <f aca="false">IF(AE32="","",IF(AE32&gt;=設定!$D$15,"A",IF(AE32&gt;=設定!$E$15,"B","C")))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53</v>
      </c>
      <c r="D33" s="19" t="n">
        <v>60</v>
      </c>
      <c r="E33" s="19" t="n">
        <v>55</v>
      </c>
      <c r="F33" s="19"/>
      <c r="G33" s="19"/>
      <c r="H33" s="19"/>
      <c r="I33" s="19"/>
      <c r="J33" s="19"/>
      <c r="K33" s="19"/>
      <c r="L33" s="19"/>
      <c r="M33" s="19"/>
      <c r="N33" s="17" t="n">
        <f aca="false">IF(COUNT(C33:M33)=0,"",SUM(C33:M33))</f>
        <v>168</v>
      </c>
      <c r="O33" s="17" t="n">
        <f aca="false">IF(OR(N33="",$N$4-SUMIF(C33:M33,"欠",$C$4:$M$4)&lt;=0),"",ROUND(N33/($N$4-SUMIF(C33:M33,"欠",$C$4:$M$4))*100,0))</f>
        <v>93</v>
      </c>
      <c r="P33" s="17" t="str">
        <f aca="false">IF(O33="","",IF(O33&gt;=設定!$D$15,"A",IF(O33&gt;=設定!$E$15,"B","C")))</f>
        <v>A</v>
      </c>
      <c r="Q33" s="19" t="n">
        <v>39</v>
      </c>
      <c r="R33" s="19" t="n">
        <v>27</v>
      </c>
      <c r="S33" s="19" t="n">
        <v>38</v>
      </c>
      <c r="T33" s="19"/>
      <c r="U33" s="19"/>
      <c r="V33" s="19"/>
      <c r="W33" s="19"/>
      <c r="X33" s="19"/>
      <c r="Y33" s="19"/>
      <c r="Z33" s="19"/>
      <c r="AA33" s="17" t="n">
        <f aca="false">IF(COUNT(Q33:Z33)=0,"",SUM(Q33:Z33))</f>
        <v>104</v>
      </c>
      <c r="AB33" s="17" t="n">
        <f aca="false">IF(OR(AA33="",$AA$4-SUMIF(Q33:Z33,"欠",$Q$4:$Z$4)&lt;=0),"",ROUND(AA33/($AA$4-SUMIF(Q33:Z33,"欠",$Q$4:$Z$4))*100,0))</f>
        <v>87</v>
      </c>
      <c r="AC33" s="17" t="str">
        <f aca="false">IF(AB33="","",IF(AB33&gt;=設定!$D$15,"A",IF(AB33&gt;=設定!$E$15,"B","C")))</f>
        <v>B</v>
      </c>
      <c r="AD33" s="17" t="n">
        <f aca="false">IF(AND(N33="",AA33=""),"",IF(N33="",0,N33)+IF(AA33="",0,AA33))</f>
        <v>272</v>
      </c>
      <c r="AE33" s="17" t="n">
        <f aca="false">IF(AD33="","",IF($AD$4-SUMIF(C33:M33,"欠",$C$4:$M$4)-SUMIF(Q33:Z33,"欠",$Q$4:$Z$4)&lt;=0,"",ROUND(AD33/($AD$4-SUMIF(C33:M33,"欠",$C$4:$M$4)-SUMIF(Q33:Z33,"欠",$Q$4:$Z$4))*100,0)))</f>
        <v>91</v>
      </c>
      <c r="AF33" s="17" t="str">
        <f aca="false">IF(AE33="","",IF(AE33&gt;=設定!$D$15,"A",IF(AE33&gt;=設定!$E$15,"B","C")))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60</v>
      </c>
      <c r="D34" s="19" t="n">
        <v>55</v>
      </c>
      <c r="E34" s="19" t="n">
        <v>60</v>
      </c>
      <c r="F34" s="19"/>
      <c r="G34" s="19"/>
      <c r="H34" s="19"/>
      <c r="I34" s="19"/>
      <c r="J34" s="19"/>
      <c r="K34" s="19"/>
      <c r="L34" s="19"/>
      <c r="M34" s="19"/>
      <c r="N34" s="17" t="n">
        <f aca="false">IF(COUNT(C34:M34)=0,"",SUM(C34:M34))</f>
        <v>175</v>
      </c>
      <c r="O34" s="17" t="n">
        <f aca="false">IF(OR(N34="",$N$4-SUMIF(C34:M34,"欠",$C$4:$M$4)&lt;=0),"",ROUND(N34/($N$4-SUMIF(C34:M34,"欠",$C$4:$M$4))*100,0))</f>
        <v>97</v>
      </c>
      <c r="P34" s="17" t="str">
        <f aca="false">IF(O34="","",IF(O34&gt;=設定!$D$15,"A",IF(O34&gt;=設定!$E$15,"B","C")))</f>
        <v>A</v>
      </c>
      <c r="Q34" s="19" t="n">
        <v>38</v>
      </c>
      <c r="R34" s="19" t="n">
        <v>31</v>
      </c>
      <c r="S34" s="19" t="n">
        <v>34</v>
      </c>
      <c r="T34" s="19"/>
      <c r="U34" s="19"/>
      <c r="V34" s="19"/>
      <c r="W34" s="19"/>
      <c r="X34" s="19"/>
      <c r="Y34" s="19"/>
      <c r="Z34" s="19"/>
      <c r="AA34" s="17" t="n">
        <f aca="false">IF(COUNT(Q34:Z34)=0,"",SUM(Q34:Z34))</f>
        <v>103</v>
      </c>
      <c r="AB34" s="17" t="n">
        <f aca="false">IF(OR(AA34="",$AA$4-SUMIF(Q34:Z34,"欠",$Q$4:$Z$4)&lt;=0),"",ROUND(AA34/($AA$4-SUMIF(Q34:Z34,"欠",$Q$4:$Z$4))*100,0))</f>
        <v>86</v>
      </c>
      <c r="AC34" s="17" t="str">
        <f aca="false">IF(AB34="","",IF(AB34&gt;=設定!$D$15,"A",IF(AB34&gt;=設定!$E$15,"B","C")))</f>
        <v>B</v>
      </c>
      <c r="AD34" s="17" t="n">
        <f aca="false">IF(AND(N34="",AA34=""),"",IF(N34="",0,N34)+IF(AA34="",0,AA34))</f>
        <v>278</v>
      </c>
      <c r="AE34" s="17" t="n">
        <f aca="false">IF(AD34="","",IF($AD$4-SUMIF(C34:M34,"欠",$C$4:$M$4)-SUMIF(Q34:Z34,"欠",$Q$4:$Z$4)&lt;=0,"",ROUND(AD34/($AD$4-SUMIF(C34:M34,"欠",$C$4:$M$4)-SUMIF(Q34:Z34,"欠",$Q$4:$Z$4))*100,0)))</f>
        <v>93</v>
      </c>
      <c r="AF34" s="17" t="str">
        <f aca="false">IF(AE34="","",IF(AE34&gt;=設定!$D$15,"A",IF(AE34&gt;=設定!$E$15,"B","C")))</f>
        <v>A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44</v>
      </c>
      <c r="D35" s="19" t="n">
        <v>55</v>
      </c>
      <c r="E35" s="19" t="n">
        <v>56</v>
      </c>
      <c r="F35" s="19"/>
      <c r="G35" s="19"/>
      <c r="H35" s="19"/>
      <c r="I35" s="19"/>
      <c r="J35" s="19"/>
      <c r="K35" s="19"/>
      <c r="L35" s="19"/>
      <c r="M35" s="19"/>
      <c r="N35" s="17" t="n">
        <f aca="false">IF(COUNT(C35:M35)=0,"",SUM(C35:M35))</f>
        <v>155</v>
      </c>
      <c r="O35" s="17" t="n">
        <f aca="false">IF(OR(N35="",$N$4-SUMIF(C35:M35,"欠",$C$4:$M$4)&lt;=0),"",ROUND(N35/($N$4-SUMIF(C35:M35,"欠",$C$4:$M$4))*100,0))</f>
        <v>86</v>
      </c>
      <c r="P35" s="17" t="str">
        <f aca="false">IF(O35="","",IF(O35&gt;=設定!$D$15,"A",IF(O35&gt;=設定!$E$15,"B","C")))</f>
        <v>B</v>
      </c>
      <c r="Q35" s="19" t="n">
        <v>26</v>
      </c>
      <c r="R35" s="19" t="n">
        <v>32</v>
      </c>
      <c r="S35" s="19" t="n">
        <v>29</v>
      </c>
      <c r="T35" s="19"/>
      <c r="U35" s="19"/>
      <c r="V35" s="19"/>
      <c r="W35" s="19"/>
      <c r="X35" s="19"/>
      <c r="Y35" s="19"/>
      <c r="Z35" s="19"/>
      <c r="AA35" s="17" t="n">
        <f aca="false">IF(COUNT(Q35:Z35)=0,"",SUM(Q35:Z35))</f>
        <v>87</v>
      </c>
      <c r="AB35" s="17" t="n">
        <f aca="false">IF(OR(AA35="",$AA$4-SUMIF(Q35:Z35,"欠",$Q$4:$Z$4)&lt;=0),"",ROUND(AA35/($AA$4-SUMIF(Q35:Z35,"欠",$Q$4:$Z$4))*100,0))</f>
        <v>73</v>
      </c>
      <c r="AC35" s="17" t="str">
        <f aca="false">IF(AB35="","",IF(AB35&gt;=設定!$D$15,"A",IF(AB35&gt;=設定!$E$15,"B","C")))</f>
        <v>B</v>
      </c>
      <c r="AD35" s="17" t="n">
        <f aca="false">IF(AND(N35="",AA35=""),"",IF(N35="",0,N35)+IF(AA35="",0,AA35))</f>
        <v>242</v>
      </c>
      <c r="AE35" s="17" t="n">
        <f aca="false">IF(AD35="","",IF($AD$4-SUMIF(C35:M35,"欠",$C$4:$M$4)-SUMIF(Q35:Z35,"欠",$Q$4:$Z$4)&lt;=0,"",ROUND(AD35/($AD$4-SUMIF(C35:M35,"欠",$C$4:$M$4)-SUMIF(Q35:Z35,"欠",$Q$4:$Z$4))*100,0)))</f>
        <v>81</v>
      </c>
      <c r="AF35" s="17" t="str">
        <f aca="false">IF(AE35="","",IF(AE35&gt;=設定!$D$15,"A",IF(AE35&gt;=設定!$E$15,"B","C")))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49</v>
      </c>
      <c r="D36" s="19" t="n">
        <v>60</v>
      </c>
      <c r="E36" s="19" t="n">
        <v>60</v>
      </c>
      <c r="F36" s="19"/>
      <c r="G36" s="19"/>
      <c r="H36" s="19"/>
      <c r="I36" s="19"/>
      <c r="J36" s="19"/>
      <c r="K36" s="19"/>
      <c r="L36" s="19"/>
      <c r="M36" s="19"/>
      <c r="N36" s="17" t="n">
        <f aca="false">IF(COUNT(C36:M36)=0,"",SUM(C36:M36))</f>
        <v>169</v>
      </c>
      <c r="O36" s="17" t="n">
        <f aca="false">IF(OR(N36="",$N$4-SUMIF(C36:M36,"欠",$C$4:$M$4)&lt;=0),"",ROUND(N36/($N$4-SUMIF(C36:M36,"欠",$C$4:$M$4))*100,0))</f>
        <v>94</v>
      </c>
      <c r="P36" s="17" t="str">
        <f aca="false">IF(O36="","",IF(O36&gt;=設定!$D$15,"A",IF(O36&gt;=設定!$E$15,"B","C")))</f>
        <v>A</v>
      </c>
      <c r="Q36" s="19" t="n">
        <v>32</v>
      </c>
      <c r="R36" s="19" t="n">
        <v>39</v>
      </c>
      <c r="S36" s="19" t="n">
        <v>36</v>
      </c>
      <c r="T36" s="19"/>
      <c r="U36" s="19"/>
      <c r="V36" s="19"/>
      <c r="W36" s="19"/>
      <c r="X36" s="19"/>
      <c r="Y36" s="19"/>
      <c r="Z36" s="19"/>
      <c r="AA36" s="17" t="n">
        <f aca="false">IF(COUNT(Q36:Z36)=0,"",SUM(Q36:Z36))</f>
        <v>107</v>
      </c>
      <c r="AB36" s="17" t="n">
        <f aca="false">IF(OR(AA36="",$AA$4-SUMIF(Q36:Z36,"欠",$Q$4:$Z$4)&lt;=0),"",ROUND(AA36/($AA$4-SUMIF(Q36:Z36,"欠",$Q$4:$Z$4))*100,0))</f>
        <v>89</v>
      </c>
      <c r="AC36" s="17" t="str">
        <f aca="false">IF(AB36="","",IF(AB36&gt;=設定!$D$15,"A",IF(AB36&gt;=設定!$E$15,"B","C")))</f>
        <v>B</v>
      </c>
      <c r="AD36" s="17" t="n">
        <f aca="false">IF(AND(N36="",AA36=""),"",IF(N36="",0,N36)+IF(AA36="",0,AA36))</f>
        <v>276</v>
      </c>
      <c r="AE36" s="17" t="n">
        <f aca="false">IF(AD36="","",IF($AD$4-SUMIF(C36:M36,"欠",$C$4:$M$4)-SUMIF(Q36:Z36,"欠",$Q$4:$Z$4)&lt;=0,"",ROUND(AD36/($AD$4-SUMIF(C36:M36,"欠",$C$4:$M$4)-SUMIF(Q36:Z36,"欠",$Q$4:$Z$4))*100,0)))</f>
        <v>92</v>
      </c>
      <c r="AF36" s="17" t="str">
        <f aca="false">IF(AE36="","",IF(AE36&gt;=設定!$D$15,"A",IF(AE36&gt;=設定!$E$15,"B","C")))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53</v>
      </c>
      <c r="D37" s="19" t="n">
        <v>52</v>
      </c>
      <c r="E37" s="19" t="n">
        <v>52</v>
      </c>
      <c r="F37" s="19"/>
      <c r="G37" s="19"/>
      <c r="H37" s="19"/>
      <c r="I37" s="19"/>
      <c r="J37" s="19"/>
      <c r="K37" s="19"/>
      <c r="L37" s="19"/>
      <c r="M37" s="19"/>
      <c r="N37" s="17" t="n">
        <f aca="false">IF(COUNT(C37:M37)=0,"",SUM(C37:M37))</f>
        <v>157</v>
      </c>
      <c r="O37" s="17" t="n">
        <f aca="false">IF(OR(N37="",$N$4-SUMIF(C37:M37,"欠",$C$4:$M$4)&lt;=0),"",ROUND(N37/($N$4-SUMIF(C37:M37,"欠",$C$4:$M$4))*100,0))</f>
        <v>87</v>
      </c>
      <c r="P37" s="17" t="str">
        <f aca="false">IF(O37="","",IF(O37&gt;=設定!$D$15,"A",IF(O37&gt;=設定!$E$15,"B","C")))</f>
        <v>B</v>
      </c>
      <c r="Q37" s="19" t="n">
        <v>30</v>
      </c>
      <c r="R37" s="19" t="n">
        <v>28</v>
      </c>
      <c r="S37" s="19" t="n">
        <v>27</v>
      </c>
      <c r="T37" s="19"/>
      <c r="U37" s="19"/>
      <c r="V37" s="19"/>
      <c r="W37" s="19"/>
      <c r="X37" s="19"/>
      <c r="Y37" s="19"/>
      <c r="Z37" s="19"/>
      <c r="AA37" s="17" t="n">
        <f aca="false">IF(COUNT(Q37:Z37)=0,"",SUM(Q37:Z37))</f>
        <v>85</v>
      </c>
      <c r="AB37" s="17" t="n">
        <f aca="false">IF(OR(AA37="",$AA$4-SUMIF(Q37:Z37,"欠",$Q$4:$Z$4)&lt;=0),"",ROUND(AA37/($AA$4-SUMIF(Q37:Z37,"欠",$Q$4:$Z$4))*100,0))</f>
        <v>71</v>
      </c>
      <c r="AC37" s="17" t="str">
        <f aca="false">IF(AB37="","",IF(AB37&gt;=設定!$D$15,"A",IF(AB37&gt;=設定!$E$15,"B","C")))</f>
        <v>B</v>
      </c>
      <c r="AD37" s="17" t="n">
        <f aca="false">IF(AND(N37="",AA37=""),"",IF(N37="",0,N37)+IF(AA37="",0,AA37))</f>
        <v>242</v>
      </c>
      <c r="AE37" s="17" t="n">
        <f aca="false">IF(AD37="","",IF($AD$4-SUMIF(C37:M37,"欠",$C$4:$M$4)-SUMIF(Q37:Z37,"欠",$Q$4:$Z$4)&lt;=0,"",ROUND(AD37/($AD$4-SUMIF(C37:M37,"欠",$C$4:$M$4)-SUMIF(Q37:Z37,"欠",$Q$4:$Z$4))*100,0)))</f>
        <v>81</v>
      </c>
      <c r="AF37" s="17" t="str">
        <f aca="false">IF(AE37="","",IF(AE37&gt;=設定!$D$15,"A",IF(AE37&gt;=設定!$E$15,"B","C")))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60</v>
      </c>
      <c r="D38" s="19" t="n">
        <v>43</v>
      </c>
      <c r="E38" s="19" t="n">
        <v>38</v>
      </c>
      <c r="F38" s="19"/>
      <c r="G38" s="19"/>
      <c r="H38" s="19"/>
      <c r="I38" s="19"/>
      <c r="J38" s="19"/>
      <c r="K38" s="19"/>
      <c r="L38" s="19"/>
      <c r="M38" s="19"/>
      <c r="N38" s="17" t="n">
        <f aca="false">IF(COUNT(C38:M38)=0,"",SUM(C38:M38))</f>
        <v>141</v>
      </c>
      <c r="O38" s="17" t="n">
        <f aca="false">IF(OR(N38="",$N$4-SUMIF(C38:M38,"欠",$C$4:$M$4)&lt;=0),"",ROUND(N38/($N$4-SUMIF(C38:M38,"欠",$C$4:$M$4))*100,0))</f>
        <v>78</v>
      </c>
      <c r="P38" s="17" t="str">
        <f aca="false">IF(O38="","",IF(O38&gt;=設定!$D$15,"A",IF(O38&gt;=設定!$E$15,"B","C")))</f>
        <v>B</v>
      </c>
      <c r="Q38" s="19" t="n">
        <v>22</v>
      </c>
      <c r="R38" s="19" t="n">
        <v>26</v>
      </c>
      <c r="S38" s="19" t="n">
        <v>26</v>
      </c>
      <c r="T38" s="19"/>
      <c r="U38" s="19"/>
      <c r="V38" s="19"/>
      <c r="W38" s="19"/>
      <c r="X38" s="19"/>
      <c r="Y38" s="19"/>
      <c r="Z38" s="19"/>
      <c r="AA38" s="17" t="n">
        <f aca="false">IF(COUNT(Q38:Z38)=0,"",SUM(Q38:Z38))</f>
        <v>74</v>
      </c>
      <c r="AB38" s="17" t="n">
        <f aca="false">IF(OR(AA38="",$AA$4-SUMIF(Q38:Z38,"欠",$Q$4:$Z$4)&lt;=0),"",ROUND(AA38/($AA$4-SUMIF(Q38:Z38,"欠",$Q$4:$Z$4))*100,0))</f>
        <v>62</v>
      </c>
      <c r="AC38" s="17" t="str">
        <f aca="false">IF(AB38="","",IF(AB38&gt;=設定!$D$15,"A",IF(AB38&gt;=設定!$E$15,"B","C")))</f>
        <v>B</v>
      </c>
      <c r="AD38" s="17" t="n">
        <f aca="false">IF(AND(N38="",AA38=""),"",IF(N38="",0,N38)+IF(AA38="",0,AA38))</f>
        <v>215</v>
      </c>
      <c r="AE38" s="17" t="n">
        <f aca="false">IF(AD38="","",IF($AD$4-SUMIF(C38:M38,"欠",$C$4:$M$4)-SUMIF(Q38:Z38,"欠",$Q$4:$Z$4)&lt;=0,"",ROUND(AD38/($AD$4-SUMIF(C38:M38,"欠",$C$4:$M$4)-SUMIF(Q38:Z38,"欠",$Q$4:$Z$4))*100,0)))</f>
        <v>72</v>
      </c>
      <c r="AF38" s="17" t="str">
        <f aca="false">IF(AE38="","",IF(AE38&gt;=設定!$D$15,"A",IF(AE38&gt;=設定!$E$15,"B","C")))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55</v>
      </c>
      <c r="D39" s="19" t="n">
        <v>55</v>
      </c>
      <c r="E39" s="19" t="n">
        <v>59</v>
      </c>
      <c r="F39" s="19"/>
      <c r="G39" s="19"/>
      <c r="H39" s="19"/>
      <c r="I39" s="19"/>
      <c r="J39" s="19"/>
      <c r="K39" s="19"/>
      <c r="L39" s="19"/>
      <c r="M39" s="19"/>
      <c r="N39" s="17" t="n">
        <f aca="false">IF(COUNT(C39:M39)=0,"",SUM(C39:M39))</f>
        <v>169</v>
      </c>
      <c r="O39" s="17" t="n">
        <f aca="false">IF(OR(N39="",$N$4-SUMIF(C39:M39,"欠",$C$4:$M$4)&lt;=0),"",ROUND(N39/($N$4-SUMIF(C39:M39,"欠",$C$4:$M$4))*100,0))</f>
        <v>94</v>
      </c>
      <c r="P39" s="17" t="str">
        <f aca="false">IF(O39="","",IF(O39&gt;=設定!$D$15,"A",IF(O39&gt;=設定!$E$15,"B","C")))</f>
        <v>A</v>
      </c>
      <c r="Q39" s="19" t="n">
        <v>29</v>
      </c>
      <c r="R39" s="19" t="n">
        <v>32</v>
      </c>
      <c r="S39" s="19" t="n">
        <v>35</v>
      </c>
      <c r="T39" s="19"/>
      <c r="U39" s="19"/>
      <c r="V39" s="19"/>
      <c r="W39" s="19"/>
      <c r="X39" s="19"/>
      <c r="Y39" s="19"/>
      <c r="Z39" s="19"/>
      <c r="AA39" s="17" t="n">
        <f aca="false">IF(COUNT(Q39:Z39)=0,"",SUM(Q39:Z39))</f>
        <v>96</v>
      </c>
      <c r="AB39" s="17" t="n">
        <f aca="false">IF(OR(AA39="",$AA$4-SUMIF(Q39:Z39,"欠",$Q$4:$Z$4)&lt;=0),"",ROUND(AA39/($AA$4-SUMIF(Q39:Z39,"欠",$Q$4:$Z$4))*100,0))</f>
        <v>80</v>
      </c>
      <c r="AC39" s="17" t="str">
        <f aca="false">IF(AB39="","",IF(AB39&gt;=設定!$D$15,"A",IF(AB39&gt;=設定!$E$15,"B","C")))</f>
        <v>B</v>
      </c>
      <c r="AD39" s="17" t="n">
        <f aca="false">IF(AND(N39="",AA39=""),"",IF(N39="",0,N39)+IF(AA39="",0,AA39))</f>
        <v>265</v>
      </c>
      <c r="AE39" s="17" t="n">
        <f aca="false">IF(AD39="","",IF($AD$4-SUMIF(C39:M39,"欠",$C$4:$M$4)-SUMIF(Q39:Z39,"欠",$Q$4:$Z$4)&lt;=0,"",ROUND(AD39/($AD$4-SUMIF(C39:M39,"欠",$C$4:$M$4)-SUMIF(Q39:Z39,"欠",$Q$4:$Z$4))*100,0)))</f>
        <v>88</v>
      </c>
      <c r="AF39" s="17" t="str">
        <f aca="false">IF(AE39="","",IF(AE39&gt;=設定!$D$15,"A",IF(AE39&gt;=設定!$E$15,"B","C")))</f>
        <v>B</v>
      </c>
    </row>
    <row r="40" s="50" customFormat="true" ht="19.5" hidden="false" customHeight="true" outlineLevel="0" collapsed="false">
      <c r="A40" s="49"/>
      <c r="B40" s="49" t="s">
        <v>81</v>
      </c>
      <c r="C40" s="49" t="n">
        <f aca="false">IF(COUNT(C5:C39)=0,"",ROUND(AVERAGE(C5:C39),1))</f>
        <v>49.7</v>
      </c>
      <c r="D40" s="49" t="n">
        <f aca="false">IF(COUNT(D5:D39)=0,"",ROUND(AVERAGE(D5:D39),1))</f>
        <v>50.3</v>
      </c>
      <c r="E40" s="49" t="n">
        <f aca="false">IF(COUNT(E5:E39)=0,"",ROUND(AVERAGE(E5:E39),1))</f>
        <v>49.9</v>
      </c>
      <c r="F40" s="49" t="str">
        <f aca="false">IF(COUNT(F5:F39)=0,"",ROUND(AVERAGE(F5:F39),1))</f>
        <v/>
      </c>
      <c r="G40" s="49" t="str">
        <f aca="false">IF(COUNT(G5:G39)=0,"",ROUND(AVERAGE(G5:G39),1))</f>
        <v/>
      </c>
      <c r="H40" s="49" t="str">
        <f aca="false">IF(COUNT(H5:H39)=0,"",ROUND(AVERAGE(H5:H39),1))</f>
        <v/>
      </c>
      <c r="I40" s="49" t="str">
        <f aca="false">IF(COUNT(I5:I39)=0,"",ROUND(AVERAGE(I5:I39),1))</f>
        <v/>
      </c>
      <c r="J40" s="49" t="str">
        <f aca="false">IF(COUNT(J5:J39)=0,"",ROUND(AVERAGE(J5:J39),1))</f>
        <v/>
      </c>
      <c r="K40" s="49" t="str">
        <f aca="false">IF(COUNT(K5:K39)=0,"",ROUND(AVERAGE(K5:K39),1))</f>
        <v/>
      </c>
      <c r="L40" s="49" t="str">
        <f aca="false">IF(COUNT(L5:L39)=0,"",ROUND(AVERAGE(L5:L39),1))</f>
        <v/>
      </c>
      <c r="M40" s="49" t="str">
        <f aca="false">IF(COUNT(M5:M39)=0,"",ROUND(AVERAGE(M5:M39),1))</f>
        <v/>
      </c>
      <c r="N40" s="49" t="n">
        <f aca="false">IF(COUNT(N5:N39)=0,"",ROUND(AVERAGE(N5:N39),1))</f>
        <v>150</v>
      </c>
      <c r="O40" s="49" t="n">
        <f aca="false">IF(COUNT(O5:O39)=0,"",ROUND(AVERAGE(O5:O39),1))</f>
        <v>83.2</v>
      </c>
      <c r="P40" s="49"/>
      <c r="Q40" s="49" t="n">
        <f aca="false">IF(COUNT(Q5:Q39)=0,"",ROUND(AVERAGE(Q5:Q39),1))</f>
        <v>30</v>
      </c>
      <c r="R40" s="49" t="n">
        <f aca="false">IF(COUNT(R5:R39)=0,"",ROUND(AVERAGE(R5:R39),1))</f>
        <v>29.3</v>
      </c>
      <c r="S40" s="49" t="n">
        <f aca="false">IF(COUNT(S5:S39)=0,"",ROUND(AVERAGE(S5:S39),1))</f>
        <v>30.1</v>
      </c>
      <c r="T40" s="49" t="str">
        <f aca="false">IF(COUNT(T5:T39)=0,"",ROUND(AVERAGE(T5:T39),1))</f>
        <v/>
      </c>
      <c r="U40" s="49" t="str">
        <f aca="false">IF(COUNT(U5:U39)=0,"",ROUND(AVERAGE(U5:U39),1))</f>
        <v/>
      </c>
      <c r="V40" s="49" t="str">
        <f aca="false">IF(COUNT(V5:V39)=0,"",ROUND(AVERAGE(V5:V39),1))</f>
        <v/>
      </c>
      <c r="W40" s="49" t="str">
        <f aca="false">IF(COUNT(W5:W39)=0,"",ROUND(AVERAGE(W5:W39),1))</f>
        <v/>
      </c>
      <c r="X40" s="49" t="str">
        <f aca="false">IF(COUNT(X5:X39)=0,"",ROUND(AVERAGE(X5:X39),1))</f>
        <v/>
      </c>
      <c r="Y40" s="49" t="str">
        <f aca="false">IF(COUNT(Y5:Y39)=0,"",ROUND(AVERAGE(Y5:Y39),1))</f>
        <v/>
      </c>
      <c r="Z40" s="49" t="str">
        <f aca="false">IF(COUNT(Z5:Z39)=0,"",ROUND(AVERAGE(Z5:Z39),1))</f>
        <v/>
      </c>
      <c r="AA40" s="49" t="n">
        <f aca="false">IF(COUNT(AA5:AA39)=0,"",ROUND(AVERAGE(AA5:AA39),1))</f>
        <v>89.4</v>
      </c>
      <c r="AB40" s="49" t="n">
        <f aca="false">IF(COUNT(AB5:AB39)=0,"",ROUND(AVERAGE(AB5:AB39),1))</f>
        <v>74.6</v>
      </c>
      <c r="AC40" s="49"/>
      <c r="AD40" s="49" t="n">
        <f aca="false">IF(COUNT(AD5:AD39)=0,"",ROUND(AVERAGE(AD5:AD39),1))</f>
        <v>239.4</v>
      </c>
      <c r="AE40" s="49" t="n">
        <f aca="false">IF(COUNT(AE5:AE39)=0,"",ROUND(AVERAGE(AE5:AE39),1))</f>
        <v>79.9</v>
      </c>
      <c r="AF40" s="49"/>
    </row>
    <row r="41" s="50" customFormat="true" ht="19.5" hidden="false" customHeight="true" outlineLevel="0" collapsed="false">
      <c r="A41" s="49"/>
      <c r="B41" s="49" t="s">
        <v>82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 t="n">
        <f aca="false">COUNTIF(P5:P39,"A")</f>
        <v>14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 t="n">
        <f aca="false">COUNTIF(AC5:AC39,"A")</f>
        <v>4</v>
      </c>
      <c r="AD41" s="49"/>
      <c r="AE41" s="49"/>
      <c r="AF41" s="49" t="n">
        <f aca="false">COUNTIF(AF5:AF39,"A")</f>
        <v>8</v>
      </c>
    </row>
    <row r="42" s="50" customFormat="true" ht="19.5" hidden="false" customHeight="true" outlineLevel="0" collapsed="false">
      <c r="A42" s="49"/>
      <c r="B42" s="49" t="s">
        <v>83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n">
        <f aca="false">COUNTIF(P5:P39,"B")</f>
        <v>19</v>
      </c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 t="n">
        <f aca="false">COUNTIF(AC5:AC39,"B")</f>
        <v>27</v>
      </c>
      <c r="AD42" s="49"/>
      <c r="AE42" s="49"/>
      <c r="AF42" s="49" t="n">
        <f aca="false">COUNTIF(AF5:AF39,"B")</f>
        <v>25</v>
      </c>
    </row>
    <row r="43" s="50" customFormat="true" ht="19.5" hidden="false" customHeight="true" outlineLevel="0" collapsed="false">
      <c r="A43" s="49"/>
      <c r="B43" s="49" t="s">
        <v>84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 t="n">
        <f aca="false">COUNTIF(P5:P39,"C")</f>
        <v>2</v>
      </c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 t="n">
        <f aca="false">COUNTIF(AC5:AC39,"C")</f>
        <v>4</v>
      </c>
      <c r="AD43" s="49"/>
      <c r="AE43" s="49"/>
      <c r="AF43" s="49" t="n">
        <f aca="false">COUNTIF(AF5:AF39,"C")</f>
        <v>2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3.5" zeroHeight="false" outlineLevelRow="0" outlineLevelCol="0"/>
  <cols>
    <col collapsed="false" customWidth="true" hidden="false" outlineLevel="0" max="1" min="1" style="11" width="5"/>
    <col collapsed="false" customWidth="true" hidden="false" outlineLevel="0" max="2" min="2" style="11" width="17.57"/>
    <col collapsed="false" customWidth="true" hidden="false" outlineLevel="0" max="32" min="3" style="11" width="6.14"/>
    <col collapsed="false" customWidth="false" hidden="false" outlineLevel="0" max="16384" min="33" style="11" width="8.71"/>
  </cols>
  <sheetData>
    <row r="1" customFormat="false" ht="21.75" hidden="false" customHeight="true" outlineLevel="0" collapsed="false">
      <c r="A1" s="12" t="s">
        <v>147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customFormat="false" ht="19.5" hidden="false" customHeight="true" outlineLevel="0" collapsed="false">
      <c r="A2" s="51" t="s">
        <v>62</v>
      </c>
      <c r="B2" s="51"/>
      <c r="C2" s="51" t="s">
        <v>63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 t="s">
        <v>64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 t="s">
        <v>65</v>
      </c>
      <c r="AE2" s="51"/>
      <c r="AF2" s="51"/>
    </row>
    <row r="3" customFormat="false" ht="178.5" hidden="false" customHeight="true" outlineLevel="0" collapsed="false">
      <c r="A3" s="51" t="s">
        <v>66</v>
      </c>
      <c r="B3" s="51"/>
      <c r="C3" s="52" t="s">
        <v>148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3" t="s">
        <v>73</v>
      </c>
      <c r="O3" s="53" t="s">
        <v>74</v>
      </c>
      <c r="P3" s="53" t="s">
        <v>75</v>
      </c>
      <c r="Q3" s="52" t="s">
        <v>148</v>
      </c>
      <c r="R3" s="52"/>
      <c r="S3" s="52"/>
      <c r="T3" s="52"/>
      <c r="U3" s="52"/>
      <c r="V3" s="52"/>
      <c r="W3" s="52"/>
      <c r="X3" s="52"/>
      <c r="Y3" s="52"/>
      <c r="Z3" s="52"/>
      <c r="AA3" s="53" t="s">
        <v>73</v>
      </c>
      <c r="AB3" s="53" t="s">
        <v>74</v>
      </c>
      <c r="AC3" s="53" t="s">
        <v>75</v>
      </c>
      <c r="AD3" s="53" t="s">
        <v>76</v>
      </c>
      <c r="AE3" s="53" t="s">
        <v>77</v>
      </c>
      <c r="AF3" s="53" t="s">
        <v>78</v>
      </c>
    </row>
    <row r="4" customFormat="false" ht="21.75" hidden="false" customHeight="true" outlineLevel="0" collapsed="false">
      <c r="A4" s="51" t="s">
        <v>1</v>
      </c>
      <c r="B4" s="51" t="s">
        <v>79</v>
      </c>
      <c r="C4" s="54" t="n">
        <v>60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5" t="n">
        <f aca="false">SUM(C4:M4)</f>
        <v>60</v>
      </c>
      <c r="O4" s="55"/>
      <c r="P4" s="55"/>
      <c r="Q4" s="54" t="n">
        <v>40</v>
      </c>
      <c r="R4" s="54"/>
      <c r="S4" s="54"/>
      <c r="T4" s="54"/>
      <c r="U4" s="54"/>
      <c r="V4" s="54"/>
      <c r="W4" s="54"/>
      <c r="X4" s="54"/>
      <c r="Y4" s="54"/>
      <c r="Z4" s="54"/>
      <c r="AA4" s="51" t="n">
        <f aca="false">SUM(Q4:Z4)</f>
        <v>40</v>
      </c>
      <c r="AB4" s="51"/>
      <c r="AC4" s="51"/>
      <c r="AD4" s="51" t="n">
        <f aca="false">N4+AA4</f>
        <v>100</v>
      </c>
      <c r="AE4" s="51"/>
      <c r="AF4" s="51"/>
    </row>
    <row r="5" customFormat="false" ht="15" hidden="false" customHeight="true" outlineLevel="0" collapsed="false">
      <c r="A5" s="17" t="n">
        <v>1</v>
      </c>
      <c r="B5" s="18" t="str">
        <f aca="false">IF(名簿!B3="","",名簿!B3)</f>
        <v>石井 湊</v>
      </c>
      <c r="C5" s="19" t="n">
        <v>60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7" t="n">
        <f aca="false">IF(COUNT(C5:M5)=0,"",SUM(C5:M5))</f>
        <v>60</v>
      </c>
      <c r="O5" s="17" t="n">
        <f aca="false">IF(OR(N5="",$N$4-SUMIF(C5:M5,"欠",$C$4:$M$4)&lt;=0),"",ROUND(N5/($N$4-SUMIF(C5:M5,"欠",$C$4:$M$4))*100,0))</f>
        <v>100</v>
      </c>
      <c r="P5" s="17" t="str">
        <f aca="false">IF(O5="","",IF(O5&gt;=設定!$D$16,"A",IF(O5&gt;=設定!$E$16,"B","C")))</f>
        <v>A</v>
      </c>
      <c r="Q5" s="19" t="n">
        <v>40</v>
      </c>
      <c r="R5" s="19"/>
      <c r="S5" s="19"/>
      <c r="T5" s="19"/>
      <c r="U5" s="19"/>
      <c r="V5" s="19"/>
      <c r="W5" s="19"/>
      <c r="X5" s="19"/>
      <c r="Y5" s="19"/>
      <c r="Z5" s="19"/>
      <c r="AA5" s="17" t="n">
        <f aca="false">IF(COUNT(Q5:Z5)=0,"",SUM(Q5:Z5))</f>
        <v>40</v>
      </c>
      <c r="AB5" s="17" t="n">
        <f aca="false">IF(OR(AA5="",$AA$4-SUMIF(Q5:Z5,"欠",$Q$4:$Z$4)&lt;=0),"",ROUND(AA5/($AA$4-SUMIF(Q5:Z5,"欠",$Q$4:$Z$4))*100,0))</f>
        <v>100</v>
      </c>
      <c r="AC5" s="17" t="str">
        <f aca="false">IF(AB5="","",IF(AB5&gt;=設定!$D$16,"A",IF(AB5&gt;=設定!$E$16,"B","C")))</f>
        <v>A</v>
      </c>
      <c r="AD5" s="17" t="n">
        <f aca="false">IF(AND(N5="",AA5=""),"",IF(N5="",0,N5)+IF(AA5="",0,AA5))</f>
        <v>100</v>
      </c>
      <c r="AE5" s="17" t="n">
        <f aca="false">IF(AD5="","",IF($AD$4-SUMIF(C5:M5,"欠",$C$4:$M$4)-SUMIF(Q5:Z5,"欠",$Q$4:$Z$4)&lt;=0,"",ROUND(AD5/($AD$4-SUMIF(C5:M5,"欠",$C$4:$M$4)-SUMIF(Q5:Z5,"欠",$Q$4:$Z$4))*100,0)))</f>
        <v>100</v>
      </c>
      <c r="AF5" s="17" t="str">
        <f aca="false">IF(AE5="","",IF(AE5&gt;=設定!$D$16,"A",IF(AE5&gt;=設定!$E$16,"B","C")))</f>
        <v>A</v>
      </c>
    </row>
    <row r="6" customFormat="false" ht="15" hidden="false" customHeight="true" outlineLevel="0" collapsed="false">
      <c r="A6" s="17" t="n">
        <v>2</v>
      </c>
      <c r="B6" s="18" t="str">
        <f aca="false">IF(名簿!B4="","",名簿!B4)</f>
        <v>池田 さくら</v>
      </c>
      <c r="C6" s="19" t="n">
        <v>57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7" t="n">
        <f aca="false">IF(COUNT(C6:M6)=0,"",SUM(C6:M6))</f>
        <v>57</v>
      </c>
      <c r="O6" s="17" t="n">
        <f aca="false">IF(OR(N6="",$N$4-SUMIF(C6:M6,"欠",$C$4:$M$4)&lt;=0),"",ROUND(N6/($N$4-SUMIF(C6:M6,"欠",$C$4:$M$4))*100,0))</f>
        <v>95</v>
      </c>
      <c r="P6" s="17" t="str">
        <f aca="false">IF(O6="","",IF(O6&gt;=設定!$D$16,"A",IF(O6&gt;=設定!$E$16,"B","C")))</f>
        <v>A</v>
      </c>
      <c r="Q6" s="19" t="n">
        <v>27</v>
      </c>
      <c r="R6" s="19"/>
      <c r="S6" s="19"/>
      <c r="T6" s="19"/>
      <c r="U6" s="19"/>
      <c r="V6" s="19"/>
      <c r="W6" s="19"/>
      <c r="X6" s="19"/>
      <c r="Y6" s="19"/>
      <c r="Z6" s="19"/>
      <c r="AA6" s="17" t="n">
        <f aca="false">IF(COUNT(Q6:Z6)=0,"",SUM(Q6:Z6))</f>
        <v>27</v>
      </c>
      <c r="AB6" s="17" t="n">
        <f aca="false">IF(OR(AA6="",$AA$4-SUMIF(Q6:Z6,"欠",$Q$4:$Z$4)&lt;=0),"",ROUND(AA6/($AA$4-SUMIF(Q6:Z6,"欠",$Q$4:$Z$4))*100,0))</f>
        <v>68</v>
      </c>
      <c r="AC6" s="17" t="str">
        <f aca="false">IF(AB6="","",IF(AB6&gt;=設定!$D$16,"A",IF(AB6&gt;=設定!$E$16,"B","C")))</f>
        <v>B</v>
      </c>
      <c r="AD6" s="17" t="n">
        <f aca="false">IF(AND(N6="",AA6=""),"",IF(N6="",0,N6)+IF(AA6="",0,AA6))</f>
        <v>84</v>
      </c>
      <c r="AE6" s="17" t="n">
        <f aca="false">IF(AD6="","",IF($AD$4-SUMIF(C6:M6,"欠",$C$4:$M$4)-SUMIF(Q6:Z6,"欠",$Q$4:$Z$4)&lt;=0,"",ROUND(AD6/($AD$4-SUMIF(C6:M6,"欠",$C$4:$M$4)-SUMIF(Q6:Z6,"欠",$Q$4:$Z$4))*100,0)))</f>
        <v>84</v>
      </c>
      <c r="AF6" s="17" t="str">
        <f aca="false">IF(AE6="","",IF(AE6&gt;=設定!$D$16,"A",IF(AE6&gt;=設定!$E$16,"B","C")))</f>
        <v>B</v>
      </c>
    </row>
    <row r="7" customFormat="false" ht="15" hidden="false" customHeight="true" outlineLevel="0" collapsed="false">
      <c r="A7" s="17" t="n">
        <v>3</v>
      </c>
      <c r="B7" s="18" t="str">
        <f aca="false">IF(名簿!B5="","",名簿!B5)</f>
        <v>林 陽翔</v>
      </c>
      <c r="C7" s="19" t="n">
        <v>56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7" t="n">
        <f aca="false">IF(COUNT(C7:M7)=0,"",SUM(C7:M7))</f>
        <v>56</v>
      </c>
      <c r="O7" s="17" t="n">
        <f aca="false">IF(OR(N7="",$N$4-SUMIF(C7:M7,"欠",$C$4:$M$4)&lt;=0),"",ROUND(N7/($N$4-SUMIF(C7:M7,"欠",$C$4:$M$4))*100,0))</f>
        <v>93</v>
      </c>
      <c r="P7" s="17" t="str">
        <f aca="false">IF(O7="","",IF(O7&gt;=設定!$D$16,"A",IF(O7&gt;=設定!$E$16,"B","C")))</f>
        <v>A</v>
      </c>
      <c r="Q7" s="19" t="n">
        <v>28</v>
      </c>
      <c r="R7" s="19"/>
      <c r="S7" s="19"/>
      <c r="T7" s="19"/>
      <c r="U7" s="19"/>
      <c r="V7" s="19"/>
      <c r="W7" s="19"/>
      <c r="X7" s="19"/>
      <c r="Y7" s="19"/>
      <c r="Z7" s="19"/>
      <c r="AA7" s="17" t="n">
        <f aca="false">IF(COUNT(Q7:Z7)=0,"",SUM(Q7:Z7))</f>
        <v>28</v>
      </c>
      <c r="AB7" s="17" t="n">
        <f aca="false">IF(OR(AA7="",$AA$4-SUMIF(Q7:Z7,"欠",$Q$4:$Z$4)&lt;=0),"",ROUND(AA7/($AA$4-SUMIF(Q7:Z7,"欠",$Q$4:$Z$4))*100,0))</f>
        <v>70</v>
      </c>
      <c r="AC7" s="17" t="str">
        <f aca="false">IF(AB7="","",IF(AB7&gt;=設定!$D$16,"A",IF(AB7&gt;=設定!$E$16,"B","C")))</f>
        <v>B</v>
      </c>
      <c r="AD7" s="17" t="n">
        <f aca="false">IF(AND(N7="",AA7=""),"",IF(N7="",0,N7)+IF(AA7="",0,AA7))</f>
        <v>84</v>
      </c>
      <c r="AE7" s="17" t="n">
        <f aca="false">IF(AD7="","",IF($AD$4-SUMIF(C7:M7,"欠",$C$4:$M$4)-SUMIF(Q7:Z7,"欠",$Q$4:$Z$4)&lt;=0,"",ROUND(AD7/($AD$4-SUMIF(C7:M7,"欠",$C$4:$M$4)-SUMIF(Q7:Z7,"欠",$Q$4:$Z$4))*100,0)))</f>
        <v>84</v>
      </c>
      <c r="AF7" s="17" t="str">
        <f aca="false">IF(AE7="","",IF(AE7&gt;=設定!$D$16,"A",IF(AE7&gt;=設定!$E$16,"B","C")))</f>
        <v>B</v>
      </c>
    </row>
    <row r="8" customFormat="false" ht="15" hidden="false" customHeight="true" outlineLevel="0" collapsed="false">
      <c r="A8" s="17" t="n">
        <v>4</v>
      </c>
      <c r="B8" s="18" t="str">
        <f aca="false">IF(名簿!B6="","",名簿!B6)</f>
        <v>村上 凛</v>
      </c>
      <c r="C8" s="19" t="n">
        <v>42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7" t="n">
        <f aca="false">IF(COUNT(C8:M8)=0,"",SUM(C8:M8))</f>
        <v>42</v>
      </c>
      <c r="O8" s="17" t="n">
        <f aca="false">IF(OR(N8="",$N$4-SUMIF(C8:M8,"欠",$C$4:$M$4)&lt;=0),"",ROUND(N8/($N$4-SUMIF(C8:M8,"欠",$C$4:$M$4))*100,0))</f>
        <v>70</v>
      </c>
      <c r="P8" s="17" t="str">
        <f aca="false">IF(O8="","",IF(O8&gt;=設定!$D$16,"A",IF(O8&gt;=設定!$E$16,"B","C")))</f>
        <v>B</v>
      </c>
      <c r="Q8" s="19" t="n">
        <v>33</v>
      </c>
      <c r="R8" s="19"/>
      <c r="S8" s="19"/>
      <c r="T8" s="19"/>
      <c r="U8" s="19"/>
      <c r="V8" s="19"/>
      <c r="W8" s="19"/>
      <c r="X8" s="19"/>
      <c r="Y8" s="19"/>
      <c r="Z8" s="19"/>
      <c r="AA8" s="17" t="n">
        <f aca="false">IF(COUNT(Q8:Z8)=0,"",SUM(Q8:Z8))</f>
        <v>33</v>
      </c>
      <c r="AB8" s="17" t="n">
        <f aca="false">IF(OR(AA8="",$AA$4-SUMIF(Q8:Z8,"欠",$Q$4:$Z$4)&lt;=0),"",ROUND(AA8/($AA$4-SUMIF(Q8:Z8,"欠",$Q$4:$Z$4))*100,0))</f>
        <v>83</v>
      </c>
      <c r="AC8" s="17" t="str">
        <f aca="false">IF(AB8="","",IF(AB8&gt;=設定!$D$16,"A",IF(AB8&gt;=設定!$E$16,"B","C")))</f>
        <v>B</v>
      </c>
      <c r="AD8" s="17" t="n">
        <f aca="false">IF(AND(N8="",AA8=""),"",IF(N8="",0,N8)+IF(AA8="",0,AA8))</f>
        <v>75</v>
      </c>
      <c r="AE8" s="17" t="n">
        <f aca="false">IF(AD8="","",IF($AD$4-SUMIF(C8:M8,"欠",$C$4:$M$4)-SUMIF(Q8:Z8,"欠",$Q$4:$Z$4)&lt;=0,"",ROUND(AD8/($AD$4-SUMIF(C8:M8,"欠",$C$4:$M$4)-SUMIF(Q8:Z8,"欠",$Q$4:$Z$4))*100,0)))</f>
        <v>75</v>
      </c>
      <c r="AF8" s="17" t="str">
        <f aca="false">IF(AE8="","",IF(AE8&gt;=設定!$D$16,"A",IF(AE8&gt;=設定!$E$16,"B","C")))</f>
        <v>B</v>
      </c>
    </row>
    <row r="9" customFormat="false" ht="15" hidden="false" customHeight="true" outlineLevel="0" collapsed="false">
      <c r="A9" s="17" t="n">
        <v>5</v>
      </c>
      <c r="B9" s="18" t="str">
        <f aca="false">IF(名簿!B7="","",名簿!B7)</f>
        <v>中村 蓮</v>
      </c>
      <c r="C9" s="19" t="n">
        <v>60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7" t="n">
        <f aca="false">IF(COUNT(C9:M9)=0,"",SUM(C9:M9))</f>
        <v>60</v>
      </c>
      <c r="O9" s="17" t="n">
        <f aca="false">IF(OR(N9="",$N$4-SUMIF(C9:M9,"欠",$C$4:$M$4)&lt;=0),"",ROUND(N9/($N$4-SUMIF(C9:M9,"欠",$C$4:$M$4))*100,0))</f>
        <v>100</v>
      </c>
      <c r="P9" s="17" t="str">
        <f aca="false">IF(O9="","",IF(O9&gt;=設定!$D$16,"A",IF(O9&gt;=設定!$E$16,"B","C")))</f>
        <v>A</v>
      </c>
      <c r="Q9" s="19" t="n">
        <v>31</v>
      </c>
      <c r="R9" s="19"/>
      <c r="S9" s="19"/>
      <c r="T9" s="19"/>
      <c r="U9" s="19"/>
      <c r="V9" s="19"/>
      <c r="W9" s="19"/>
      <c r="X9" s="19"/>
      <c r="Y9" s="19"/>
      <c r="Z9" s="19"/>
      <c r="AA9" s="17" t="n">
        <f aca="false">IF(COUNT(Q9:Z9)=0,"",SUM(Q9:Z9))</f>
        <v>31</v>
      </c>
      <c r="AB9" s="17" t="n">
        <f aca="false">IF(OR(AA9="",$AA$4-SUMIF(Q9:Z9,"欠",$Q$4:$Z$4)&lt;=0),"",ROUND(AA9/($AA$4-SUMIF(Q9:Z9,"欠",$Q$4:$Z$4))*100,0))</f>
        <v>78</v>
      </c>
      <c r="AC9" s="17" t="str">
        <f aca="false">IF(AB9="","",IF(AB9&gt;=設定!$D$16,"A",IF(AB9&gt;=設定!$E$16,"B","C")))</f>
        <v>B</v>
      </c>
      <c r="AD9" s="17" t="n">
        <f aca="false">IF(AND(N9="",AA9=""),"",IF(N9="",0,N9)+IF(AA9="",0,AA9))</f>
        <v>91</v>
      </c>
      <c r="AE9" s="17" t="n">
        <f aca="false">IF(AD9="","",IF($AD$4-SUMIF(C9:M9,"欠",$C$4:$M$4)-SUMIF(Q9:Z9,"欠",$Q$4:$Z$4)&lt;=0,"",ROUND(AD9/($AD$4-SUMIF(C9:M9,"欠",$C$4:$M$4)-SUMIF(Q9:Z9,"欠",$Q$4:$Z$4))*100,0)))</f>
        <v>91</v>
      </c>
      <c r="AF9" s="17" t="str">
        <f aca="false">IF(AE9="","",IF(AE9&gt;=設定!$D$16,"A",IF(AE9&gt;=設定!$E$16,"B","C")))</f>
        <v>A</v>
      </c>
    </row>
    <row r="10" customFormat="false" ht="15" hidden="false" customHeight="true" outlineLevel="0" collapsed="false">
      <c r="A10" s="17" t="n">
        <v>6</v>
      </c>
      <c r="B10" s="18" t="str">
        <f aca="false">IF(名簿!B8="","",名簿!B8)</f>
        <v>小川 彩花</v>
      </c>
      <c r="C10" s="19" t="n">
        <v>42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7" t="n">
        <f aca="false">IF(COUNT(C10:M10)=0,"",SUM(C10:M10))</f>
        <v>42</v>
      </c>
      <c r="O10" s="17" t="n">
        <f aca="false">IF(OR(N10="",$N$4-SUMIF(C10:M10,"欠",$C$4:$M$4)&lt;=0),"",ROUND(N10/($N$4-SUMIF(C10:M10,"欠",$C$4:$M$4))*100,0))</f>
        <v>70</v>
      </c>
      <c r="P10" s="17" t="str">
        <f aca="false">IF(O10="","",IF(O10&gt;=設定!$D$16,"A",IF(O10&gt;=設定!$E$16,"B","C")))</f>
        <v>B</v>
      </c>
      <c r="Q10" s="19" t="n">
        <v>24</v>
      </c>
      <c r="R10" s="19"/>
      <c r="S10" s="19"/>
      <c r="T10" s="19"/>
      <c r="U10" s="19"/>
      <c r="V10" s="19"/>
      <c r="W10" s="19"/>
      <c r="X10" s="19"/>
      <c r="Y10" s="19"/>
      <c r="Z10" s="19"/>
      <c r="AA10" s="17" t="n">
        <f aca="false">IF(COUNT(Q10:Z10)=0,"",SUM(Q10:Z10))</f>
        <v>24</v>
      </c>
      <c r="AB10" s="17" t="n">
        <f aca="false">IF(OR(AA10="",$AA$4-SUMIF(Q10:Z10,"欠",$Q$4:$Z$4)&lt;=0),"",ROUND(AA10/($AA$4-SUMIF(Q10:Z10,"欠",$Q$4:$Z$4))*100,0))</f>
        <v>60</v>
      </c>
      <c r="AC10" s="17" t="str">
        <f aca="false">IF(AB10="","",IF(AB10&gt;=設定!$D$16,"A",IF(AB10&gt;=設定!$E$16,"B","C")))</f>
        <v>B</v>
      </c>
      <c r="AD10" s="17" t="n">
        <f aca="false">IF(AND(N10="",AA10=""),"",IF(N10="",0,N10)+IF(AA10="",0,AA10))</f>
        <v>66</v>
      </c>
      <c r="AE10" s="17" t="n">
        <f aca="false">IF(AD10="","",IF($AD$4-SUMIF(C10:M10,"欠",$C$4:$M$4)-SUMIF(Q10:Z10,"欠",$Q$4:$Z$4)&lt;=0,"",ROUND(AD10/($AD$4-SUMIF(C10:M10,"欠",$C$4:$M$4)-SUMIF(Q10:Z10,"欠",$Q$4:$Z$4))*100,0)))</f>
        <v>66</v>
      </c>
      <c r="AF10" s="17" t="str">
        <f aca="false">IF(AE10="","",IF(AE10&gt;=設定!$D$16,"A",IF(AE10&gt;=設定!$E$16,"B","C")))</f>
        <v>B</v>
      </c>
    </row>
    <row r="11" customFormat="false" ht="15" hidden="false" customHeight="true" outlineLevel="0" collapsed="false">
      <c r="A11" s="17" t="n">
        <v>7</v>
      </c>
      <c r="B11" s="18" t="str">
        <f aca="false">IF(名簿!B9="","",名簿!B9)</f>
        <v>近藤 蒼</v>
      </c>
      <c r="C11" s="19" t="n">
        <v>50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7" t="n">
        <f aca="false">IF(COUNT(C11:M11)=0,"",SUM(C11:M11))</f>
        <v>50</v>
      </c>
      <c r="O11" s="17" t="n">
        <f aca="false">IF(OR(N11="",$N$4-SUMIF(C11:M11,"欠",$C$4:$M$4)&lt;=0),"",ROUND(N11/($N$4-SUMIF(C11:M11,"欠",$C$4:$M$4))*100,0))</f>
        <v>83</v>
      </c>
      <c r="P11" s="17" t="str">
        <f aca="false">IF(O11="","",IF(O11&gt;=設定!$D$16,"A",IF(O11&gt;=設定!$E$16,"B","C")))</f>
        <v>B</v>
      </c>
      <c r="Q11" s="19" t="n">
        <v>23</v>
      </c>
      <c r="R11" s="19"/>
      <c r="S11" s="19"/>
      <c r="T11" s="19"/>
      <c r="U11" s="19"/>
      <c r="V11" s="19"/>
      <c r="W11" s="19"/>
      <c r="X11" s="19"/>
      <c r="Y11" s="19"/>
      <c r="Z11" s="19"/>
      <c r="AA11" s="17" t="n">
        <f aca="false">IF(COUNT(Q11:Z11)=0,"",SUM(Q11:Z11))</f>
        <v>23</v>
      </c>
      <c r="AB11" s="17" t="n">
        <f aca="false">IF(OR(AA11="",$AA$4-SUMIF(Q11:Z11,"欠",$Q$4:$Z$4)&lt;=0),"",ROUND(AA11/($AA$4-SUMIF(Q11:Z11,"欠",$Q$4:$Z$4))*100,0))</f>
        <v>57</v>
      </c>
      <c r="AC11" s="17" t="str">
        <f aca="false">IF(AB11="","",IF(AB11&gt;=設定!$D$16,"A",IF(AB11&gt;=設定!$E$16,"B","C")))</f>
        <v>C</v>
      </c>
      <c r="AD11" s="17" t="n">
        <f aca="false">IF(AND(N11="",AA11=""),"",IF(N11="",0,N11)+IF(AA11="",0,AA11))</f>
        <v>73</v>
      </c>
      <c r="AE11" s="17" t="n">
        <f aca="false">IF(AD11="","",IF($AD$4-SUMIF(C11:M11,"欠",$C$4:$M$4)-SUMIF(Q11:Z11,"欠",$Q$4:$Z$4)&lt;=0,"",ROUND(AD11/($AD$4-SUMIF(C11:M11,"欠",$C$4:$M$4)-SUMIF(Q11:Z11,"欠",$Q$4:$Z$4))*100,0)))</f>
        <v>73</v>
      </c>
      <c r="AF11" s="17" t="str">
        <f aca="false">IF(AE11="","",IF(AE11&gt;=設定!$D$16,"A",IF(AE11&gt;=設定!$E$16,"B","C")))</f>
        <v>B</v>
      </c>
    </row>
    <row r="12" customFormat="false" ht="15" hidden="false" customHeight="true" outlineLevel="0" collapsed="false">
      <c r="A12" s="17" t="n">
        <v>8</v>
      </c>
      <c r="B12" s="18" t="str">
        <f aca="false">IF(名簿!B10="","",名簿!B10)</f>
        <v>清水 莉子</v>
      </c>
      <c r="C12" s="19" t="n">
        <v>57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7" t="n">
        <f aca="false">IF(COUNT(C12:M12)=0,"",SUM(C12:M12))</f>
        <v>57</v>
      </c>
      <c r="O12" s="17" t="n">
        <f aca="false">IF(OR(N12="",$N$4-SUMIF(C12:M12,"欠",$C$4:$M$4)&lt;=0),"",ROUND(N12/($N$4-SUMIF(C12:M12,"欠",$C$4:$M$4))*100,0))</f>
        <v>95</v>
      </c>
      <c r="P12" s="17" t="str">
        <f aca="false">IF(O12="","",IF(O12&gt;=設定!$D$16,"A",IF(O12&gt;=設定!$E$16,"B","C")))</f>
        <v>A</v>
      </c>
      <c r="Q12" s="19" t="n">
        <v>31</v>
      </c>
      <c r="R12" s="19"/>
      <c r="S12" s="19"/>
      <c r="T12" s="19"/>
      <c r="U12" s="19"/>
      <c r="V12" s="19"/>
      <c r="W12" s="19"/>
      <c r="X12" s="19"/>
      <c r="Y12" s="19"/>
      <c r="Z12" s="19"/>
      <c r="AA12" s="17" t="n">
        <f aca="false">IF(COUNT(Q12:Z12)=0,"",SUM(Q12:Z12))</f>
        <v>31</v>
      </c>
      <c r="AB12" s="17" t="n">
        <f aca="false">IF(OR(AA12="",$AA$4-SUMIF(Q12:Z12,"欠",$Q$4:$Z$4)&lt;=0),"",ROUND(AA12/($AA$4-SUMIF(Q12:Z12,"欠",$Q$4:$Z$4))*100,0))</f>
        <v>78</v>
      </c>
      <c r="AC12" s="17" t="str">
        <f aca="false">IF(AB12="","",IF(AB12&gt;=設定!$D$16,"A",IF(AB12&gt;=設定!$E$16,"B","C")))</f>
        <v>B</v>
      </c>
      <c r="AD12" s="17" t="n">
        <f aca="false">IF(AND(N12="",AA12=""),"",IF(N12="",0,N12)+IF(AA12="",0,AA12))</f>
        <v>88</v>
      </c>
      <c r="AE12" s="17" t="n">
        <f aca="false">IF(AD12="","",IF($AD$4-SUMIF(C12:M12,"欠",$C$4:$M$4)-SUMIF(Q12:Z12,"欠",$Q$4:$Z$4)&lt;=0,"",ROUND(AD12/($AD$4-SUMIF(C12:M12,"欠",$C$4:$M$4)-SUMIF(Q12:Z12,"欠",$Q$4:$Z$4))*100,0)))</f>
        <v>88</v>
      </c>
      <c r="AF12" s="17" t="str">
        <f aca="false">IF(AE12="","",IF(AE12&gt;=設定!$D$16,"A",IF(AE12&gt;=設定!$E$16,"B","C")))</f>
        <v>B</v>
      </c>
    </row>
    <row r="13" customFormat="false" ht="15" hidden="false" customHeight="true" outlineLevel="0" collapsed="false">
      <c r="A13" s="17" t="n">
        <v>9</v>
      </c>
      <c r="B13" s="18" t="str">
        <f aca="false">IF(名簿!B11="","",名簿!B11)</f>
        <v>鈴木 海斗</v>
      </c>
      <c r="C13" s="19" t="n">
        <v>46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7" t="n">
        <f aca="false">IF(COUNT(C13:M13)=0,"",SUM(C13:M13))</f>
        <v>46</v>
      </c>
      <c r="O13" s="17" t="n">
        <f aca="false">IF(OR(N13="",$N$4-SUMIF(C13:M13,"欠",$C$4:$M$4)&lt;=0),"",ROUND(N13/($N$4-SUMIF(C13:M13,"欠",$C$4:$M$4))*100,0))</f>
        <v>77</v>
      </c>
      <c r="P13" s="17" t="str">
        <f aca="false">IF(O13="","",IF(O13&gt;=設定!$D$16,"A",IF(O13&gt;=設定!$E$16,"B","C")))</f>
        <v>B</v>
      </c>
      <c r="Q13" s="19" t="n">
        <v>29</v>
      </c>
      <c r="R13" s="19"/>
      <c r="S13" s="19"/>
      <c r="T13" s="19"/>
      <c r="U13" s="19"/>
      <c r="V13" s="19"/>
      <c r="W13" s="19"/>
      <c r="X13" s="19"/>
      <c r="Y13" s="19"/>
      <c r="Z13" s="19"/>
      <c r="AA13" s="17" t="n">
        <f aca="false">IF(COUNT(Q13:Z13)=0,"",SUM(Q13:Z13))</f>
        <v>29</v>
      </c>
      <c r="AB13" s="17" t="n">
        <f aca="false">IF(OR(AA13="",$AA$4-SUMIF(Q13:Z13,"欠",$Q$4:$Z$4)&lt;=0),"",ROUND(AA13/($AA$4-SUMIF(Q13:Z13,"欠",$Q$4:$Z$4))*100,0))</f>
        <v>73</v>
      </c>
      <c r="AC13" s="17" t="str">
        <f aca="false">IF(AB13="","",IF(AB13&gt;=設定!$D$16,"A",IF(AB13&gt;=設定!$E$16,"B","C")))</f>
        <v>B</v>
      </c>
      <c r="AD13" s="17" t="n">
        <f aca="false">IF(AND(N13="",AA13=""),"",IF(N13="",0,N13)+IF(AA13="",0,AA13))</f>
        <v>75</v>
      </c>
      <c r="AE13" s="17" t="n">
        <f aca="false">IF(AD13="","",IF($AD$4-SUMIF(C13:M13,"欠",$C$4:$M$4)-SUMIF(Q13:Z13,"欠",$Q$4:$Z$4)&lt;=0,"",ROUND(AD13/($AD$4-SUMIF(C13:M13,"欠",$C$4:$M$4)-SUMIF(Q13:Z13,"欠",$Q$4:$Z$4))*100,0)))</f>
        <v>75</v>
      </c>
      <c r="AF13" s="17" t="str">
        <f aca="false">IF(AE13="","",IF(AE13&gt;=設定!$D$16,"A",IF(AE13&gt;=設定!$E$16,"B","C")))</f>
        <v>B</v>
      </c>
    </row>
    <row r="14" customFormat="false" ht="15" hidden="false" customHeight="true" outlineLevel="0" collapsed="false">
      <c r="A14" s="17" t="n">
        <v>10</v>
      </c>
      <c r="B14" s="18" t="str">
        <f aca="false">IF(名簿!B12="","",名簿!B12)</f>
        <v>松本 さくら</v>
      </c>
      <c r="C14" s="19" t="n">
        <v>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7" t="n">
        <f aca="false">IF(COUNT(C14:M14)=0,"",SUM(C14:M14))</f>
        <v>52</v>
      </c>
      <c r="O14" s="17" t="n">
        <f aca="false">IF(OR(N14="",$N$4-SUMIF(C14:M14,"欠",$C$4:$M$4)&lt;=0),"",ROUND(N14/($N$4-SUMIF(C14:M14,"欠",$C$4:$M$4))*100,0))</f>
        <v>87</v>
      </c>
      <c r="P14" s="17" t="str">
        <f aca="false">IF(O14="","",IF(O14&gt;=設定!$D$16,"A",IF(O14&gt;=設定!$E$16,"B","C")))</f>
        <v>B</v>
      </c>
      <c r="Q14" s="19" t="n">
        <v>28</v>
      </c>
      <c r="R14" s="19"/>
      <c r="S14" s="19"/>
      <c r="T14" s="19"/>
      <c r="U14" s="19"/>
      <c r="V14" s="19"/>
      <c r="W14" s="19"/>
      <c r="X14" s="19"/>
      <c r="Y14" s="19"/>
      <c r="Z14" s="19"/>
      <c r="AA14" s="17" t="n">
        <f aca="false">IF(COUNT(Q14:Z14)=0,"",SUM(Q14:Z14))</f>
        <v>28</v>
      </c>
      <c r="AB14" s="17" t="n">
        <f aca="false">IF(OR(AA14="",$AA$4-SUMIF(Q14:Z14,"欠",$Q$4:$Z$4)&lt;=0),"",ROUND(AA14/($AA$4-SUMIF(Q14:Z14,"欠",$Q$4:$Z$4))*100,0))</f>
        <v>70</v>
      </c>
      <c r="AC14" s="17" t="str">
        <f aca="false">IF(AB14="","",IF(AB14&gt;=設定!$D$16,"A",IF(AB14&gt;=設定!$E$16,"B","C")))</f>
        <v>B</v>
      </c>
      <c r="AD14" s="17" t="n">
        <f aca="false">IF(AND(N14="",AA14=""),"",IF(N14="",0,N14)+IF(AA14="",0,AA14))</f>
        <v>80</v>
      </c>
      <c r="AE14" s="17" t="n">
        <f aca="false">IF(AD14="","",IF($AD$4-SUMIF(C14:M14,"欠",$C$4:$M$4)-SUMIF(Q14:Z14,"欠",$Q$4:$Z$4)&lt;=0,"",ROUND(AD14/($AD$4-SUMIF(C14:M14,"欠",$C$4:$M$4)-SUMIF(Q14:Z14,"欠",$Q$4:$Z$4))*100,0)))</f>
        <v>80</v>
      </c>
      <c r="AF14" s="17" t="str">
        <f aca="false">IF(AE14="","",IF(AE14&gt;=設定!$D$16,"A",IF(AE14&gt;=設定!$E$16,"B","C")))</f>
        <v>B</v>
      </c>
    </row>
    <row r="15" customFormat="false" ht="15" hidden="false" customHeight="true" outlineLevel="0" collapsed="false">
      <c r="A15" s="17" t="n">
        <v>11</v>
      </c>
      <c r="B15" s="18" t="str">
        <f aca="false">IF(名簿!B13="","",名簿!B13)</f>
        <v>岡田 健太</v>
      </c>
      <c r="C15" s="19" t="n">
        <v>60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7" t="n">
        <f aca="false">IF(COUNT(C15:M15)=0,"",SUM(C15:M15))</f>
        <v>60</v>
      </c>
      <c r="O15" s="17" t="n">
        <f aca="false">IF(OR(N15="",$N$4-SUMIF(C15:M15,"欠",$C$4:$M$4)&lt;=0),"",ROUND(N15/($N$4-SUMIF(C15:M15,"欠",$C$4:$M$4))*100,0))</f>
        <v>100</v>
      </c>
      <c r="P15" s="17" t="str">
        <f aca="false">IF(O15="","",IF(O15&gt;=設定!$D$16,"A",IF(O15&gt;=設定!$E$16,"B","C")))</f>
        <v>A</v>
      </c>
      <c r="Q15" s="19" t="n">
        <v>29</v>
      </c>
      <c r="R15" s="19"/>
      <c r="S15" s="19"/>
      <c r="T15" s="19"/>
      <c r="U15" s="19"/>
      <c r="V15" s="19"/>
      <c r="W15" s="19"/>
      <c r="X15" s="19"/>
      <c r="Y15" s="19"/>
      <c r="Z15" s="19"/>
      <c r="AA15" s="17" t="n">
        <f aca="false">IF(COUNT(Q15:Z15)=0,"",SUM(Q15:Z15))</f>
        <v>29</v>
      </c>
      <c r="AB15" s="17" t="n">
        <f aca="false">IF(OR(AA15="",$AA$4-SUMIF(Q15:Z15,"欠",$Q$4:$Z$4)&lt;=0),"",ROUND(AA15/($AA$4-SUMIF(Q15:Z15,"欠",$Q$4:$Z$4))*100,0))</f>
        <v>73</v>
      </c>
      <c r="AC15" s="17" t="str">
        <f aca="false">IF(AB15="","",IF(AB15&gt;=設定!$D$16,"A",IF(AB15&gt;=設定!$E$16,"B","C")))</f>
        <v>B</v>
      </c>
      <c r="AD15" s="17" t="n">
        <f aca="false">IF(AND(N15="",AA15=""),"",IF(N15="",0,N15)+IF(AA15="",0,AA15))</f>
        <v>89</v>
      </c>
      <c r="AE15" s="17" t="n">
        <f aca="false">IF(AD15="","",IF($AD$4-SUMIF(C15:M15,"欠",$C$4:$M$4)-SUMIF(Q15:Z15,"欠",$Q$4:$Z$4)&lt;=0,"",ROUND(AD15/($AD$4-SUMIF(C15:M15,"欠",$C$4:$M$4)-SUMIF(Q15:Z15,"欠",$Q$4:$Z$4))*100,0)))</f>
        <v>89</v>
      </c>
      <c r="AF15" s="17" t="str">
        <f aca="false">IF(AE15="","",IF(AE15&gt;=設定!$D$16,"A",IF(AE15&gt;=設定!$E$16,"B","C")))</f>
        <v>B</v>
      </c>
    </row>
    <row r="16" customFormat="false" ht="15" hidden="false" customHeight="true" outlineLevel="0" collapsed="false">
      <c r="A16" s="17" t="n">
        <v>12</v>
      </c>
      <c r="B16" s="18" t="str">
        <f aca="false">IF(名簿!B14="","",名簿!B14)</f>
        <v>佐々木 彩花</v>
      </c>
      <c r="C16" s="19" t="n">
        <v>52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7" t="n">
        <f aca="false">IF(COUNT(C16:M16)=0,"",SUM(C16:M16))</f>
        <v>52</v>
      </c>
      <c r="O16" s="17" t="n">
        <f aca="false">IF(OR(N16="",$N$4-SUMIF(C16:M16,"欠",$C$4:$M$4)&lt;=0),"",ROUND(N16/($N$4-SUMIF(C16:M16,"欠",$C$4:$M$4))*100,0))</f>
        <v>87</v>
      </c>
      <c r="P16" s="17" t="str">
        <f aca="false">IF(O16="","",IF(O16&gt;=設定!$D$16,"A",IF(O16&gt;=設定!$E$16,"B","C")))</f>
        <v>B</v>
      </c>
      <c r="Q16" s="19" t="n">
        <v>31</v>
      </c>
      <c r="R16" s="19"/>
      <c r="S16" s="19"/>
      <c r="T16" s="19"/>
      <c r="U16" s="19"/>
      <c r="V16" s="19"/>
      <c r="W16" s="19"/>
      <c r="X16" s="19"/>
      <c r="Y16" s="19"/>
      <c r="Z16" s="19"/>
      <c r="AA16" s="17" t="n">
        <f aca="false">IF(COUNT(Q16:Z16)=0,"",SUM(Q16:Z16))</f>
        <v>31</v>
      </c>
      <c r="AB16" s="17" t="n">
        <f aca="false">IF(OR(AA16="",$AA$4-SUMIF(Q16:Z16,"欠",$Q$4:$Z$4)&lt;=0),"",ROUND(AA16/($AA$4-SUMIF(Q16:Z16,"欠",$Q$4:$Z$4))*100,0))</f>
        <v>78</v>
      </c>
      <c r="AC16" s="17" t="str">
        <f aca="false">IF(AB16="","",IF(AB16&gt;=設定!$D$16,"A",IF(AB16&gt;=設定!$E$16,"B","C")))</f>
        <v>B</v>
      </c>
      <c r="AD16" s="17" t="n">
        <f aca="false">IF(AND(N16="",AA16=""),"",IF(N16="",0,N16)+IF(AA16="",0,AA16))</f>
        <v>83</v>
      </c>
      <c r="AE16" s="17" t="n">
        <f aca="false">IF(AD16="","",IF($AD$4-SUMIF(C16:M16,"欠",$C$4:$M$4)-SUMIF(Q16:Z16,"欠",$Q$4:$Z$4)&lt;=0,"",ROUND(AD16/($AD$4-SUMIF(C16:M16,"欠",$C$4:$M$4)-SUMIF(Q16:Z16,"欠",$Q$4:$Z$4))*100,0)))</f>
        <v>83</v>
      </c>
      <c r="AF16" s="17" t="str">
        <f aca="false">IF(AE16="","",IF(AE16&gt;=設定!$D$16,"A",IF(AE16&gt;=設定!$E$16,"B","C")))</f>
        <v>B</v>
      </c>
    </row>
    <row r="17" customFormat="false" ht="15" hidden="false" customHeight="true" outlineLevel="0" collapsed="false">
      <c r="A17" s="17" t="n">
        <v>13</v>
      </c>
      <c r="B17" s="18" t="str">
        <f aca="false">IF(名簿!B15="","",名簿!B15)</f>
        <v>石川 健太</v>
      </c>
      <c r="C17" s="19" t="n">
        <v>40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7" t="n">
        <f aca="false">IF(COUNT(C17:M17)=0,"",SUM(C17:M17))</f>
        <v>40</v>
      </c>
      <c r="O17" s="17" t="n">
        <f aca="false">IF(OR(N17="",$N$4-SUMIF(C17:M17,"欠",$C$4:$M$4)&lt;=0),"",ROUND(N17/($N$4-SUMIF(C17:M17,"欠",$C$4:$M$4))*100,0))</f>
        <v>67</v>
      </c>
      <c r="P17" s="17" t="str">
        <f aca="false">IF(O17="","",IF(O17&gt;=設定!$D$16,"A",IF(O17&gt;=設定!$E$16,"B","C")))</f>
        <v>B</v>
      </c>
      <c r="Q17" s="19" t="n">
        <v>22</v>
      </c>
      <c r="R17" s="19"/>
      <c r="S17" s="19"/>
      <c r="T17" s="19"/>
      <c r="U17" s="19"/>
      <c r="V17" s="19"/>
      <c r="W17" s="19"/>
      <c r="X17" s="19"/>
      <c r="Y17" s="19"/>
      <c r="Z17" s="19"/>
      <c r="AA17" s="17" t="n">
        <f aca="false">IF(COUNT(Q17:Z17)=0,"",SUM(Q17:Z17))</f>
        <v>22</v>
      </c>
      <c r="AB17" s="17" t="n">
        <f aca="false">IF(OR(AA17="",$AA$4-SUMIF(Q17:Z17,"欠",$Q$4:$Z$4)&lt;=0),"",ROUND(AA17/($AA$4-SUMIF(Q17:Z17,"欠",$Q$4:$Z$4))*100,0))</f>
        <v>55</v>
      </c>
      <c r="AC17" s="17" t="str">
        <f aca="false">IF(AB17="","",IF(AB17&gt;=設定!$D$16,"A",IF(AB17&gt;=設定!$E$16,"B","C")))</f>
        <v>C</v>
      </c>
      <c r="AD17" s="17" t="n">
        <f aca="false">IF(AND(N17="",AA17=""),"",IF(N17="",0,N17)+IF(AA17="",0,AA17))</f>
        <v>62</v>
      </c>
      <c r="AE17" s="17" t="n">
        <f aca="false">IF(AD17="","",IF($AD$4-SUMIF(C17:M17,"欠",$C$4:$M$4)-SUMIF(Q17:Z17,"欠",$Q$4:$Z$4)&lt;=0,"",ROUND(AD17/($AD$4-SUMIF(C17:M17,"欠",$C$4:$M$4)-SUMIF(Q17:Z17,"欠",$Q$4:$Z$4))*100,0)))</f>
        <v>62</v>
      </c>
      <c r="AF17" s="17" t="str">
        <f aca="false">IF(AE17="","",IF(AE17&gt;=設定!$D$16,"A",IF(AE17&gt;=設定!$E$16,"B","C")))</f>
        <v>B</v>
      </c>
    </row>
    <row r="18" customFormat="false" ht="15" hidden="false" customHeight="true" outlineLevel="0" collapsed="false">
      <c r="A18" s="17" t="n">
        <v>14</v>
      </c>
      <c r="B18" s="18" t="str">
        <f aca="false">IF(名簿!B16="","",名簿!B16)</f>
        <v>山崎 陽葵</v>
      </c>
      <c r="C18" s="19" t="n">
        <v>60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7" t="n">
        <f aca="false">IF(COUNT(C18:M18)=0,"",SUM(C18:M18))</f>
        <v>60</v>
      </c>
      <c r="O18" s="17" t="n">
        <f aca="false">IF(OR(N18="",$N$4-SUMIF(C18:M18,"欠",$C$4:$M$4)&lt;=0),"",ROUND(N18/($N$4-SUMIF(C18:M18,"欠",$C$4:$M$4))*100,0))</f>
        <v>100</v>
      </c>
      <c r="P18" s="17" t="str">
        <f aca="false">IF(O18="","",IF(O18&gt;=設定!$D$16,"A",IF(O18&gt;=設定!$E$16,"B","C")))</f>
        <v>A</v>
      </c>
      <c r="Q18" s="19" t="n">
        <v>36</v>
      </c>
      <c r="R18" s="19"/>
      <c r="S18" s="19"/>
      <c r="T18" s="19"/>
      <c r="U18" s="19"/>
      <c r="V18" s="19"/>
      <c r="W18" s="19"/>
      <c r="X18" s="19"/>
      <c r="Y18" s="19"/>
      <c r="Z18" s="19"/>
      <c r="AA18" s="17" t="n">
        <f aca="false">IF(COUNT(Q18:Z18)=0,"",SUM(Q18:Z18))</f>
        <v>36</v>
      </c>
      <c r="AB18" s="17" t="n">
        <f aca="false">IF(OR(AA18="",$AA$4-SUMIF(Q18:Z18,"欠",$Q$4:$Z$4)&lt;=0),"",ROUND(AA18/($AA$4-SUMIF(Q18:Z18,"欠",$Q$4:$Z$4))*100,0))</f>
        <v>90</v>
      </c>
      <c r="AC18" s="17" t="str">
        <f aca="false">IF(AB18="","",IF(AB18&gt;=設定!$D$16,"A",IF(AB18&gt;=設定!$E$16,"B","C")))</f>
        <v>A</v>
      </c>
      <c r="AD18" s="17" t="n">
        <f aca="false">IF(AND(N18="",AA18=""),"",IF(N18="",0,N18)+IF(AA18="",0,AA18))</f>
        <v>96</v>
      </c>
      <c r="AE18" s="17" t="n">
        <f aca="false">IF(AD18="","",IF($AD$4-SUMIF(C18:M18,"欠",$C$4:$M$4)-SUMIF(Q18:Z18,"欠",$Q$4:$Z$4)&lt;=0,"",ROUND(AD18/($AD$4-SUMIF(C18:M18,"欠",$C$4:$M$4)-SUMIF(Q18:Z18,"欠",$Q$4:$Z$4))*100,0)))</f>
        <v>96</v>
      </c>
      <c r="AF18" s="17" t="str">
        <f aca="false">IF(AE18="","",IF(AE18&gt;=設定!$D$16,"A",IF(AE18&gt;=設定!$E$16,"B","C")))</f>
        <v>A</v>
      </c>
    </row>
    <row r="19" customFormat="false" ht="15" hidden="false" customHeight="true" outlineLevel="0" collapsed="false">
      <c r="A19" s="17" t="n">
        <v>15</v>
      </c>
      <c r="B19" s="18" t="str">
        <f aca="false">IF(名簿!B17="","",名簿!B17)</f>
        <v>加藤 朝陽</v>
      </c>
      <c r="C19" s="19" t="n">
        <v>38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7" t="n">
        <f aca="false">IF(COUNT(C19:M19)=0,"",SUM(C19:M19))</f>
        <v>38</v>
      </c>
      <c r="O19" s="17" t="n">
        <f aca="false">IF(OR(N19="",$N$4-SUMIF(C19:M19,"欠",$C$4:$M$4)&lt;=0),"",ROUND(N19/($N$4-SUMIF(C19:M19,"欠",$C$4:$M$4))*100,0))</f>
        <v>63</v>
      </c>
      <c r="P19" s="17" t="str">
        <f aca="false">IF(O19="","",IF(O19&gt;=設定!$D$16,"A",IF(O19&gt;=設定!$E$16,"B","C")))</f>
        <v>B</v>
      </c>
      <c r="Q19" s="19" t="n">
        <v>17</v>
      </c>
      <c r="R19" s="19"/>
      <c r="S19" s="19"/>
      <c r="T19" s="19"/>
      <c r="U19" s="19"/>
      <c r="V19" s="19"/>
      <c r="W19" s="19"/>
      <c r="X19" s="19"/>
      <c r="Y19" s="19"/>
      <c r="Z19" s="19"/>
      <c r="AA19" s="17" t="n">
        <f aca="false">IF(COUNT(Q19:Z19)=0,"",SUM(Q19:Z19))</f>
        <v>17</v>
      </c>
      <c r="AB19" s="17" t="n">
        <f aca="false">IF(OR(AA19="",$AA$4-SUMIF(Q19:Z19,"欠",$Q$4:$Z$4)&lt;=0),"",ROUND(AA19/($AA$4-SUMIF(Q19:Z19,"欠",$Q$4:$Z$4))*100,0))</f>
        <v>43</v>
      </c>
      <c r="AC19" s="17" t="str">
        <f aca="false">IF(AB19="","",IF(AB19&gt;=設定!$D$16,"A",IF(AB19&gt;=設定!$E$16,"B","C")))</f>
        <v>C</v>
      </c>
      <c r="AD19" s="17" t="n">
        <f aca="false">IF(AND(N19="",AA19=""),"",IF(N19="",0,N19)+IF(AA19="",0,AA19))</f>
        <v>55</v>
      </c>
      <c r="AE19" s="17" t="n">
        <f aca="false">IF(AD19="","",IF($AD$4-SUMIF(C19:M19,"欠",$C$4:$M$4)-SUMIF(Q19:Z19,"欠",$Q$4:$Z$4)&lt;=0,"",ROUND(AD19/($AD$4-SUMIF(C19:M19,"欠",$C$4:$M$4)-SUMIF(Q19:Z19,"欠",$Q$4:$Z$4))*100,0)))</f>
        <v>55</v>
      </c>
      <c r="AF19" s="17" t="str">
        <f aca="false">IF(AE19="","",IF(AE19&gt;=設定!$D$16,"A",IF(AE19&gt;=設定!$E$16,"B","C")))</f>
        <v>C</v>
      </c>
    </row>
    <row r="20" customFormat="false" ht="15" hidden="false" customHeight="true" outlineLevel="0" collapsed="false">
      <c r="A20" s="17" t="n">
        <v>16</v>
      </c>
      <c r="B20" s="18" t="str">
        <f aca="false">IF(名簿!B18="","",名簿!B18)</f>
        <v>藤田 結愛</v>
      </c>
      <c r="C20" s="19" t="n">
        <v>60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7" t="n">
        <f aca="false">IF(COUNT(C20:M20)=0,"",SUM(C20:M20))</f>
        <v>60</v>
      </c>
      <c r="O20" s="17" t="n">
        <f aca="false">IF(OR(N20="",$N$4-SUMIF(C20:M20,"欠",$C$4:$M$4)&lt;=0),"",ROUND(N20/($N$4-SUMIF(C20:M20,"欠",$C$4:$M$4))*100,0))</f>
        <v>100</v>
      </c>
      <c r="P20" s="17" t="str">
        <f aca="false">IF(O20="","",IF(O20&gt;=設定!$D$16,"A",IF(O20&gt;=設定!$E$16,"B","C")))</f>
        <v>A</v>
      </c>
      <c r="Q20" s="19" t="n">
        <v>36</v>
      </c>
      <c r="R20" s="19"/>
      <c r="S20" s="19"/>
      <c r="T20" s="19"/>
      <c r="U20" s="19"/>
      <c r="V20" s="19"/>
      <c r="W20" s="19"/>
      <c r="X20" s="19"/>
      <c r="Y20" s="19"/>
      <c r="Z20" s="19"/>
      <c r="AA20" s="17" t="n">
        <f aca="false">IF(COUNT(Q20:Z20)=0,"",SUM(Q20:Z20))</f>
        <v>36</v>
      </c>
      <c r="AB20" s="17" t="n">
        <f aca="false">IF(OR(AA20="",$AA$4-SUMIF(Q20:Z20,"欠",$Q$4:$Z$4)&lt;=0),"",ROUND(AA20/($AA$4-SUMIF(Q20:Z20,"欠",$Q$4:$Z$4))*100,0))</f>
        <v>90</v>
      </c>
      <c r="AC20" s="17" t="str">
        <f aca="false">IF(AB20="","",IF(AB20&gt;=設定!$D$16,"A",IF(AB20&gt;=設定!$E$16,"B","C")))</f>
        <v>A</v>
      </c>
      <c r="AD20" s="17" t="n">
        <f aca="false">IF(AND(N20="",AA20=""),"",IF(N20="",0,N20)+IF(AA20="",0,AA20))</f>
        <v>96</v>
      </c>
      <c r="AE20" s="17" t="n">
        <f aca="false">IF(AD20="","",IF($AD$4-SUMIF(C20:M20,"欠",$C$4:$M$4)-SUMIF(Q20:Z20,"欠",$Q$4:$Z$4)&lt;=0,"",ROUND(AD20/($AD$4-SUMIF(C20:M20,"欠",$C$4:$M$4)-SUMIF(Q20:Z20,"欠",$Q$4:$Z$4))*100,0)))</f>
        <v>96</v>
      </c>
      <c r="AF20" s="17" t="str">
        <f aca="false">IF(AE20="","",IF(AE20&gt;=設定!$D$16,"A",IF(AE20&gt;=設定!$E$16,"B","C")))</f>
        <v>A</v>
      </c>
    </row>
    <row r="21" customFormat="false" ht="15" hidden="false" customHeight="true" outlineLevel="0" collapsed="false">
      <c r="A21" s="17" t="n">
        <v>17</v>
      </c>
      <c r="B21" s="18" t="str">
        <f aca="false">IF(名簿!B19="","",名簿!B19)</f>
        <v>田中 大和</v>
      </c>
      <c r="C21" s="19" t="n">
        <v>47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7" t="n">
        <f aca="false">IF(COUNT(C21:M21)=0,"",SUM(C21:M21))</f>
        <v>47</v>
      </c>
      <c r="O21" s="17" t="n">
        <f aca="false">IF(OR(N21="",$N$4-SUMIF(C21:M21,"欠",$C$4:$M$4)&lt;=0),"",ROUND(N21/($N$4-SUMIF(C21:M21,"欠",$C$4:$M$4))*100,0))</f>
        <v>78</v>
      </c>
      <c r="P21" s="17" t="str">
        <f aca="false">IF(O21="","",IF(O21&gt;=設定!$D$16,"A",IF(O21&gt;=設定!$E$16,"B","C")))</f>
        <v>B</v>
      </c>
      <c r="Q21" s="19" t="n">
        <v>31</v>
      </c>
      <c r="R21" s="19"/>
      <c r="S21" s="19"/>
      <c r="T21" s="19"/>
      <c r="U21" s="19"/>
      <c r="V21" s="19"/>
      <c r="W21" s="19"/>
      <c r="X21" s="19"/>
      <c r="Y21" s="19"/>
      <c r="Z21" s="19"/>
      <c r="AA21" s="17" t="n">
        <f aca="false">IF(COUNT(Q21:Z21)=0,"",SUM(Q21:Z21))</f>
        <v>31</v>
      </c>
      <c r="AB21" s="17" t="n">
        <f aca="false">IF(OR(AA21="",$AA$4-SUMIF(Q21:Z21,"欠",$Q$4:$Z$4)&lt;=0),"",ROUND(AA21/($AA$4-SUMIF(Q21:Z21,"欠",$Q$4:$Z$4))*100,0))</f>
        <v>78</v>
      </c>
      <c r="AC21" s="17" t="str">
        <f aca="false">IF(AB21="","",IF(AB21&gt;=設定!$D$16,"A",IF(AB21&gt;=設定!$E$16,"B","C")))</f>
        <v>B</v>
      </c>
      <c r="AD21" s="17" t="n">
        <f aca="false">IF(AND(N21="",AA21=""),"",IF(N21="",0,N21)+IF(AA21="",0,AA21))</f>
        <v>78</v>
      </c>
      <c r="AE21" s="17" t="n">
        <f aca="false">IF(AD21="","",IF($AD$4-SUMIF(C21:M21,"欠",$C$4:$M$4)-SUMIF(Q21:Z21,"欠",$Q$4:$Z$4)&lt;=0,"",ROUND(AD21/($AD$4-SUMIF(C21:M21,"欠",$C$4:$M$4)-SUMIF(Q21:Z21,"欠",$Q$4:$Z$4))*100,0)))</f>
        <v>78</v>
      </c>
      <c r="AF21" s="17" t="str">
        <f aca="false">IF(AE21="","",IF(AE21&gt;=設定!$D$16,"A",IF(AE21&gt;=設定!$E$16,"B","C")))</f>
        <v>B</v>
      </c>
    </row>
    <row r="22" customFormat="false" ht="15" hidden="false" customHeight="true" outlineLevel="0" collapsed="false">
      <c r="A22" s="17" t="n">
        <v>18</v>
      </c>
      <c r="B22" s="18" t="str">
        <f aca="false">IF(名簿!B20="","",名簿!B20)</f>
        <v>山口 心春</v>
      </c>
      <c r="C22" s="19" t="n">
        <v>60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7" t="n">
        <f aca="false">IF(COUNT(C22:M22)=0,"",SUM(C22:M22))</f>
        <v>60</v>
      </c>
      <c r="O22" s="17" t="n">
        <f aca="false">IF(OR(N22="",$N$4-SUMIF(C22:M22,"欠",$C$4:$M$4)&lt;=0),"",ROUND(N22/($N$4-SUMIF(C22:M22,"欠",$C$4:$M$4))*100,0))</f>
        <v>100</v>
      </c>
      <c r="P22" s="17" t="str">
        <f aca="false">IF(O22="","",IF(O22&gt;=設定!$D$16,"A",IF(O22&gt;=設定!$E$16,"B","C")))</f>
        <v>A</v>
      </c>
      <c r="Q22" s="19" t="n">
        <v>40</v>
      </c>
      <c r="R22" s="19"/>
      <c r="S22" s="19"/>
      <c r="T22" s="19"/>
      <c r="U22" s="19"/>
      <c r="V22" s="19"/>
      <c r="W22" s="19"/>
      <c r="X22" s="19"/>
      <c r="Y22" s="19"/>
      <c r="Z22" s="19"/>
      <c r="AA22" s="17" t="n">
        <f aca="false">IF(COUNT(Q22:Z22)=0,"",SUM(Q22:Z22))</f>
        <v>40</v>
      </c>
      <c r="AB22" s="17" t="n">
        <f aca="false">IF(OR(AA22="",$AA$4-SUMIF(Q22:Z22,"欠",$Q$4:$Z$4)&lt;=0),"",ROUND(AA22/($AA$4-SUMIF(Q22:Z22,"欠",$Q$4:$Z$4))*100,0))</f>
        <v>100</v>
      </c>
      <c r="AC22" s="17" t="str">
        <f aca="false">IF(AB22="","",IF(AB22&gt;=設定!$D$16,"A",IF(AB22&gt;=設定!$E$16,"B","C")))</f>
        <v>A</v>
      </c>
      <c r="AD22" s="17" t="n">
        <f aca="false">IF(AND(N22="",AA22=""),"",IF(N22="",0,N22)+IF(AA22="",0,AA22))</f>
        <v>100</v>
      </c>
      <c r="AE22" s="17" t="n">
        <f aca="false">IF(AD22="","",IF($AD$4-SUMIF(C22:M22,"欠",$C$4:$M$4)-SUMIF(Q22:Z22,"欠",$Q$4:$Z$4)&lt;=0,"",ROUND(AD22/($AD$4-SUMIF(C22:M22,"欠",$C$4:$M$4)-SUMIF(Q22:Z22,"欠",$Q$4:$Z$4))*100,0)))</f>
        <v>100</v>
      </c>
      <c r="AF22" s="17" t="str">
        <f aca="false">IF(AE22="","",IF(AE22&gt;=設定!$D$16,"A",IF(AE22&gt;=設定!$E$16,"B","C")))</f>
        <v>A</v>
      </c>
    </row>
    <row r="23" customFormat="false" ht="15" hidden="false" customHeight="true" outlineLevel="0" collapsed="false">
      <c r="A23" s="17" t="n">
        <v>19</v>
      </c>
      <c r="B23" s="18" t="str">
        <f aca="false">IF(名簿!B21="","",名簿!B21)</f>
        <v>山本 朝陽</v>
      </c>
      <c r="C23" s="19" t="n">
        <v>60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7" t="n">
        <f aca="false">IF(COUNT(C23:M23)=0,"",SUM(C23:M23))</f>
        <v>60</v>
      </c>
      <c r="O23" s="17" t="n">
        <f aca="false">IF(OR(N23="",$N$4-SUMIF(C23:M23,"欠",$C$4:$M$4)&lt;=0),"",ROUND(N23/($N$4-SUMIF(C23:M23,"欠",$C$4:$M$4))*100,0))</f>
        <v>100</v>
      </c>
      <c r="P23" s="17" t="str">
        <f aca="false">IF(O23="","",IF(O23&gt;=設定!$D$16,"A",IF(O23&gt;=設定!$E$16,"B","C")))</f>
        <v>A</v>
      </c>
      <c r="Q23" s="19" t="n">
        <v>35</v>
      </c>
      <c r="R23" s="19"/>
      <c r="S23" s="19"/>
      <c r="T23" s="19"/>
      <c r="U23" s="19"/>
      <c r="V23" s="19"/>
      <c r="W23" s="19"/>
      <c r="X23" s="19"/>
      <c r="Y23" s="19"/>
      <c r="Z23" s="19"/>
      <c r="AA23" s="17" t="n">
        <f aca="false">IF(COUNT(Q23:Z23)=0,"",SUM(Q23:Z23))</f>
        <v>35</v>
      </c>
      <c r="AB23" s="17" t="n">
        <f aca="false">IF(OR(AA23="",$AA$4-SUMIF(Q23:Z23,"欠",$Q$4:$Z$4)&lt;=0),"",ROUND(AA23/($AA$4-SUMIF(Q23:Z23,"欠",$Q$4:$Z$4))*100,0))</f>
        <v>88</v>
      </c>
      <c r="AC23" s="17" t="str">
        <f aca="false">IF(AB23="","",IF(AB23&gt;=設定!$D$16,"A",IF(AB23&gt;=設定!$E$16,"B","C")))</f>
        <v>B</v>
      </c>
      <c r="AD23" s="17" t="n">
        <f aca="false">IF(AND(N23="",AA23=""),"",IF(N23="",0,N23)+IF(AA23="",0,AA23))</f>
        <v>95</v>
      </c>
      <c r="AE23" s="17" t="n">
        <f aca="false">IF(AD23="","",IF($AD$4-SUMIF(C23:M23,"欠",$C$4:$M$4)-SUMIF(Q23:Z23,"欠",$Q$4:$Z$4)&lt;=0,"",ROUND(AD23/($AD$4-SUMIF(C23:M23,"欠",$C$4:$M$4)-SUMIF(Q23:Z23,"欠",$Q$4:$Z$4))*100,0)))</f>
        <v>95</v>
      </c>
      <c r="AF23" s="17" t="str">
        <f aca="false">IF(AE23="","",IF(AE23&gt;=設定!$D$16,"A",IF(AE23&gt;=設定!$E$16,"B","C")))</f>
        <v>A</v>
      </c>
    </row>
    <row r="24" customFormat="false" ht="15" hidden="false" customHeight="true" outlineLevel="0" collapsed="false">
      <c r="A24" s="17" t="n">
        <v>20</v>
      </c>
      <c r="B24" s="18" t="str">
        <f aca="false">IF(名簿!B22="","",名簿!B22)</f>
        <v>前田 彩花</v>
      </c>
      <c r="C24" s="19" t="n">
        <v>39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7" t="n">
        <f aca="false">IF(COUNT(C24:M24)=0,"",SUM(C24:M24))</f>
        <v>39</v>
      </c>
      <c r="O24" s="17" t="n">
        <f aca="false">IF(OR(N24="",$N$4-SUMIF(C24:M24,"欠",$C$4:$M$4)&lt;=0),"",ROUND(N24/($N$4-SUMIF(C24:M24,"欠",$C$4:$M$4))*100,0))</f>
        <v>65</v>
      </c>
      <c r="P24" s="17" t="str">
        <f aca="false">IF(O24="","",IF(O24&gt;=設定!$D$16,"A",IF(O24&gt;=設定!$E$16,"B","C")))</f>
        <v>B</v>
      </c>
      <c r="Q24" s="19" t="n">
        <v>33</v>
      </c>
      <c r="R24" s="19"/>
      <c r="S24" s="19"/>
      <c r="T24" s="19"/>
      <c r="U24" s="19"/>
      <c r="V24" s="19"/>
      <c r="W24" s="19"/>
      <c r="X24" s="19"/>
      <c r="Y24" s="19"/>
      <c r="Z24" s="19"/>
      <c r="AA24" s="17" t="n">
        <f aca="false">IF(COUNT(Q24:Z24)=0,"",SUM(Q24:Z24))</f>
        <v>33</v>
      </c>
      <c r="AB24" s="17" t="n">
        <f aca="false">IF(OR(AA24="",$AA$4-SUMIF(Q24:Z24,"欠",$Q$4:$Z$4)&lt;=0),"",ROUND(AA24/($AA$4-SUMIF(Q24:Z24,"欠",$Q$4:$Z$4))*100,0))</f>
        <v>83</v>
      </c>
      <c r="AC24" s="17" t="str">
        <f aca="false">IF(AB24="","",IF(AB24&gt;=設定!$D$16,"A",IF(AB24&gt;=設定!$E$16,"B","C")))</f>
        <v>B</v>
      </c>
      <c r="AD24" s="17" t="n">
        <f aca="false">IF(AND(N24="",AA24=""),"",IF(N24="",0,N24)+IF(AA24="",0,AA24))</f>
        <v>72</v>
      </c>
      <c r="AE24" s="17" t="n">
        <f aca="false">IF(AD24="","",IF($AD$4-SUMIF(C24:M24,"欠",$C$4:$M$4)-SUMIF(Q24:Z24,"欠",$Q$4:$Z$4)&lt;=0,"",ROUND(AD24/($AD$4-SUMIF(C24:M24,"欠",$C$4:$M$4)-SUMIF(Q24:Z24,"欠",$Q$4:$Z$4))*100,0)))</f>
        <v>72</v>
      </c>
      <c r="AF24" s="17" t="str">
        <f aca="false">IF(AE24="","",IF(AE24&gt;=設定!$D$16,"A",IF(AE24&gt;=設定!$E$16,"B","C")))</f>
        <v>B</v>
      </c>
    </row>
    <row r="25" customFormat="false" ht="15" hidden="false" customHeight="true" outlineLevel="0" collapsed="false">
      <c r="A25" s="17" t="n">
        <v>21</v>
      </c>
      <c r="B25" s="18" t="str">
        <f aca="false">IF(名簿!B23="","",名簿!B23)</f>
        <v>小林 湊</v>
      </c>
      <c r="C25" s="19" t="n">
        <v>59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7" t="n">
        <f aca="false">IF(COUNT(C25:M25)=0,"",SUM(C25:M25))</f>
        <v>59</v>
      </c>
      <c r="O25" s="17" t="n">
        <f aca="false">IF(OR(N25="",$N$4-SUMIF(C25:M25,"欠",$C$4:$M$4)&lt;=0),"",ROUND(N25/($N$4-SUMIF(C25:M25,"欠",$C$4:$M$4))*100,0))</f>
        <v>98</v>
      </c>
      <c r="P25" s="17" t="str">
        <f aca="false">IF(O25="","",IF(O25&gt;=設定!$D$16,"A",IF(O25&gt;=設定!$E$16,"B","C")))</f>
        <v>A</v>
      </c>
      <c r="Q25" s="19" t="n">
        <v>33</v>
      </c>
      <c r="R25" s="19"/>
      <c r="S25" s="19"/>
      <c r="T25" s="19"/>
      <c r="U25" s="19"/>
      <c r="V25" s="19"/>
      <c r="W25" s="19"/>
      <c r="X25" s="19"/>
      <c r="Y25" s="19"/>
      <c r="Z25" s="19"/>
      <c r="AA25" s="17" t="n">
        <f aca="false">IF(COUNT(Q25:Z25)=0,"",SUM(Q25:Z25))</f>
        <v>33</v>
      </c>
      <c r="AB25" s="17" t="n">
        <f aca="false">IF(OR(AA25="",$AA$4-SUMIF(Q25:Z25,"欠",$Q$4:$Z$4)&lt;=0),"",ROUND(AA25/($AA$4-SUMIF(Q25:Z25,"欠",$Q$4:$Z$4))*100,0))</f>
        <v>83</v>
      </c>
      <c r="AC25" s="17" t="str">
        <f aca="false">IF(AB25="","",IF(AB25&gt;=設定!$D$16,"A",IF(AB25&gt;=設定!$E$16,"B","C")))</f>
        <v>B</v>
      </c>
      <c r="AD25" s="17" t="n">
        <f aca="false">IF(AND(N25="",AA25=""),"",IF(N25="",0,N25)+IF(AA25="",0,AA25))</f>
        <v>92</v>
      </c>
      <c r="AE25" s="17" t="n">
        <f aca="false">IF(AD25="","",IF($AD$4-SUMIF(C25:M25,"欠",$C$4:$M$4)-SUMIF(Q25:Z25,"欠",$Q$4:$Z$4)&lt;=0,"",ROUND(AD25/($AD$4-SUMIF(C25:M25,"欠",$C$4:$M$4)-SUMIF(Q25:Z25,"欠",$Q$4:$Z$4))*100,0)))</f>
        <v>92</v>
      </c>
      <c r="AF25" s="17" t="str">
        <f aca="false">IF(AE25="","",IF(AE25&gt;=設定!$D$16,"A",IF(AE25&gt;=設定!$E$16,"B","C")))</f>
        <v>A</v>
      </c>
    </row>
    <row r="26" customFormat="false" ht="15" hidden="false" customHeight="true" outlineLevel="0" collapsed="false">
      <c r="A26" s="17" t="n">
        <v>22</v>
      </c>
      <c r="B26" s="18" t="str">
        <f aca="false">IF(名簿!B24="","",名簿!B24)</f>
        <v>後藤 結菜</v>
      </c>
      <c r="C26" s="19" t="n">
        <v>46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7" t="n">
        <f aca="false">IF(COUNT(C26:M26)=0,"",SUM(C26:M26))</f>
        <v>46</v>
      </c>
      <c r="O26" s="17" t="n">
        <f aca="false">IF(OR(N26="",$N$4-SUMIF(C26:M26,"欠",$C$4:$M$4)&lt;=0),"",ROUND(N26/($N$4-SUMIF(C26:M26,"欠",$C$4:$M$4))*100,0))</f>
        <v>77</v>
      </c>
      <c r="P26" s="17" t="str">
        <f aca="false">IF(O26="","",IF(O26&gt;=設定!$D$16,"A",IF(O26&gt;=設定!$E$16,"B","C")))</f>
        <v>B</v>
      </c>
      <c r="Q26" s="19" t="n">
        <v>23</v>
      </c>
      <c r="R26" s="19"/>
      <c r="S26" s="19"/>
      <c r="T26" s="19"/>
      <c r="U26" s="19"/>
      <c r="V26" s="19"/>
      <c r="W26" s="19"/>
      <c r="X26" s="19"/>
      <c r="Y26" s="19"/>
      <c r="Z26" s="19"/>
      <c r="AA26" s="17" t="n">
        <f aca="false">IF(COUNT(Q26:Z26)=0,"",SUM(Q26:Z26))</f>
        <v>23</v>
      </c>
      <c r="AB26" s="17" t="n">
        <f aca="false">IF(OR(AA26="",$AA$4-SUMIF(Q26:Z26,"欠",$Q$4:$Z$4)&lt;=0),"",ROUND(AA26/($AA$4-SUMIF(Q26:Z26,"欠",$Q$4:$Z$4))*100,0))</f>
        <v>57</v>
      </c>
      <c r="AC26" s="17" t="str">
        <f aca="false">IF(AB26="","",IF(AB26&gt;=設定!$D$16,"A",IF(AB26&gt;=設定!$E$16,"B","C")))</f>
        <v>C</v>
      </c>
      <c r="AD26" s="17" t="n">
        <f aca="false">IF(AND(N26="",AA26=""),"",IF(N26="",0,N26)+IF(AA26="",0,AA26))</f>
        <v>69</v>
      </c>
      <c r="AE26" s="17" t="n">
        <f aca="false">IF(AD26="","",IF($AD$4-SUMIF(C26:M26,"欠",$C$4:$M$4)-SUMIF(Q26:Z26,"欠",$Q$4:$Z$4)&lt;=0,"",ROUND(AD26/($AD$4-SUMIF(C26:M26,"欠",$C$4:$M$4)-SUMIF(Q26:Z26,"欠",$Q$4:$Z$4))*100,0)))</f>
        <v>69</v>
      </c>
      <c r="AF26" s="17" t="str">
        <f aca="false">IF(AE26="","",IF(AE26&gt;=設定!$D$16,"A",IF(AE26&gt;=設定!$E$16,"B","C")))</f>
        <v>B</v>
      </c>
    </row>
    <row r="27" customFormat="false" ht="15" hidden="false" customHeight="true" outlineLevel="0" collapsed="false">
      <c r="A27" s="17" t="n">
        <v>23</v>
      </c>
      <c r="B27" s="18" t="str">
        <f aca="false">IF(名簿!B25="","",名簿!B25)</f>
        <v>吉田 健太</v>
      </c>
      <c r="C27" s="19" t="n">
        <v>60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7" t="n">
        <f aca="false">IF(COUNT(C27:M27)=0,"",SUM(C27:M27))</f>
        <v>60</v>
      </c>
      <c r="O27" s="17" t="n">
        <f aca="false">IF(OR(N27="",$N$4-SUMIF(C27:M27,"欠",$C$4:$M$4)&lt;=0),"",ROUND(N27/($N$4-SUMIF(C27:M27,"欠",$C$4:$M$4))*100,0))</f>
        <v>100</v>
      </c>
      <c r="P27" s="17" t="str">
        <f aca="false">IF(O27="","",IF(O27&gt;=設定!$D$16,"A",IF(O27&gt;=設定!$E$16,"B","C")))</f>
        <v>A</v>
      </c>
      <c r="Q27" s="19" t="n">
        <v>31</v>
      </c>
      <c r="R27" s="19"/>
      <c r="S27" s="19"/>
      <c r="T27" s="19"/>
      <c r="U27" s="19"/>
      <c r="V27" s="19"/>
      <c r="W27" s="19"/>
      <c r="X27" s="19"/>
      <c r="Y27" s="19"/>
      <c r="Z27" s="19"/>
      <c r="AA27" s="17" t="n">
        <f aca="false">IF(COUNT(Q27:Z27)=0,"",SUM(Q27:Z27))</f>
        <v>31</v>
      </c>
      <c r="AB27" s="17" t="n">
        <f aca="false">IF(OR(AA27="",$AA$4-SUMIF(Q27:Z27,"欠",$Q$4:$Z$4)&lt;=0),"",ROUND(AA27/($AA$4-SUMIF(Q27:Z27,"欠",$Q$4:$Z$4))*100,0))</f>
        <v>78</v>
      </c>
      <c r="AC27" s="17" t="str">
        <f aca="false">IF(AB27="","",IF(AB27&gt;=設定!$D$16,"A",IF(AB27&gt;=設定!$E$16,"B","C")))</f>
        <v>B</v>
      </c>
      <c r="AD27" s="17" t="n">
        <f aca="false">IF(AND(N27="",AA27=""),"",IF(N27="",0,N27)+IF(AA27="",0,AA27))</f>
        <v>91</v>
      </c>
      <c r="AE27" s="17" t="n">
        <f aca="false">IF(AD27="","",IF($AD$4-SUMIF(C27:M27,"欠",$C$4:$M$4)-SUMIF(Q27:Z27,"欠",$Q$4:$Z$4)&lt;=0,"",ROUND(AD27/($AD$4-SUMIF(C27:M27,"欠",$C$4:$M$4)-SUMIF(Q27:Z27,"欠",$Q$4:$Z$4))*100,0)))</f>
        <v>91</v>
      </c>
      <c r="AF27" s="17" t="str">
        <f aca="false">IF(AE27="","",IF(AE27&gt;=設定!$D$16,"A",IF(AE27&gt;=設定!$E$16,"B","C")))</f>
        <v>A</v>
      </c>
    </row>
    <row r="28" customFormat="false" ht="15" hidden="false" customHeight="true" outlineLevel="0" collapsed="false">
      <c r="A28" s="17" t="n">
        <v>24</v>
      </c>
      <c r="B28" s="18" t="str">
        <f aca="false">IF(名簿!B26="","",名簿!B26)</f>
        <v>山田 楓</v>
      </c>
      <c r="C28" s="19" t="n">
        <v>34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7" t="n">
        <f aca="false">IF(COUNT(C28:M28)=0,"",SUM(C28:M28))</f>
        <v>34</v>
      </c>
      <c r="O28" s="17" t="n">
        <f aca="false">IF(OR(N28="",$N$4-SUMIF(C28:M28,"欠",$C$4:$M$4)&lt;=0),"",ROUND(N28/($N$4-SUMIF(C28:M28,"欠",$C$4:$M$4))*100,0))</f>
        <v>57</v>
      </c>
      <c r="P28" s="17" t="str">
        <f aca="false">IF(O28="","",IF(O28&gt;=設定!$D$16,"A",IF(O28&gt;=設定!$E$16,"B","C")))</f>
        <v>C</v>
      </c>
      <c r="Q28" s="19" t="n">
        <v>23</v>
      </c>
      <c r="R28" s="19"/>
      <c r="S28" s="19"/>
      <c r="T28" s="19"/>
      <c r="U28" s="19"/>
      <c r="V28" s="19"/>
      <c r="W28" s="19"/>
      <c r="X28" s="19"/>
      <c r="Y28" s="19"/>
      <c r="Z28" s="19"/>
      <c r="AA28" s="17" t="n">
        <f aca="false">IF(COUNT(Q28:Z28)=0,"",SUM(Q28:Z28))</f>
        <v>23</v>
      </c>
      <c r="AB28" s="17" t="n">
        <f aca="false">IF(OR(AA28="",$AA$4-SUMIF(Q28:Z28,"欠",$Q$4:$Z$4)&lt;=0),"",ROUND(AA28/($AA$4-SUMIF(Q28:Z28,"欠",$Q$4:$Z$4))*100,0))</f>
        <v>57</v>
      </c>
      <c r="AC28" s="17" t="str">
        <f aca="false">IF(AB28="","",IF(AB28&gt;=設定!$D$16,"A",IF(AB28&gt;=設定!$E$16,"B","C")))</f>
        <v>C</v>
      </c>
      <c r="AD28" s="17" t="n">
        <f aca="false">IF(AND(N28="",AA28=""),"",IF(N28="",0,N28)+IF(AA28="",0,AA28))</f>
        <v>57</v>
      </c>
      <c r="AE28" s="17" t="n">
        <f aca="false">IF(AD28="","",IF($AD$4-SUMIF(C28:M28,"欠",$C$4:$M$4)-SUMIF(Q28:Z28,"欠",$Q$4:$Z$4)&lt;=0,"",ROUND(AD28/($AD$4-SUMIF(C28:M28,"欠",$C$4:$M$4)-SUMIF(Q28:Z28,"欠",$Q$4:$Z$4))*100,0)))</f>
        <v>57</v>
      </c>
      <c r="AF28" s="17" t="str">
        <f aca="false">IF(AE28="","",IF(AE28&gt;=設定!$D$16,"A",IF(AE28&gt;=設定!$E$16,"B","C")))</f>
        <v>C</v>
      </c>
    </row>
    <row r="29" customFormat="false" ht="15" hidden="false" customHeight="true" outlineLevel="0" collapsed="false">
      <c r="A29" s="17" t="n">
        <v>25</v>
      </c>
      <c r="B29" s="18" t="str">
        <f aca="false">IF(名簿!B27="","",名簿!B27)</f>
        <v>橋本 蒼</v>
      </c>
      <c r="C29" s="19" t="n">
        <v>43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7" t="n">
        <f aca="false">IF(COUNT(C29:M29)=0,"",SUM(C29:M29))</f>
        <v>43</v>
      </c>
      <c r="O29" s="17" t="n">
        <f aca="false">IF(OR(N29="",$N$4-SUMIF(C29:M29,"欠",$C$4:$M$4)&lt;=0),"",ROUND(N29/($N$4-SUMIF(C29:M29,"欠",$C$4:$M$4))*100,0))</f>
        <v>72</v>
      </c>
      <c r="P29" s="17" t="str">
        <f aca="false">IF(O29="","",IF(O29&gt;=設定!$D$16,"A",IF(O29&gt;=設定!$E$16,"B","C")))</f>
        <v>B</v>
      </c>
      <c r="Q29" s="19" t="n">
        <v>22</v>
      </c>
      <c r="R29" s="19"/>
      <c r="S29" s="19"/>
      <c r="T29" s="19"/>
      <c r="U29" s="19"/>
      <c r="V29" s="19"/>
      <c r="W29" s="19"/>
      <c r="X29" s="19"/>
      <c r="Y29" s="19"/>
      <c r="Z29" s="19"/>
      <c r="AA29" s="17" t="n">
        <f aca="false">IF(COUNT(Q29:Z29)=0,"",SUM(Q29:Z29))</f>
        <v>22</v>
      </c>
      <c r="AB29" s="17" t="n">
        <f aca="false">IF(OR(AA29="",$AA$4-SUMIF(Q29:Z29,"欠",$Q$4:$Z$4)&lt;=0),"",ROUND(AA29/($AA$4-SUMIF(Q29:Z29,"欠",$Q$4:$Z$4))*100,0))</f>
        <v>55</v>
      </c>
      <c r="AC29" s="17" t="str">
        <f aca="false">IF(AB29="","",IF(AB29&gt;=設定!$D$16,"A",IF(AB29&gt;=設定!$E$16,"B","C")))</f>
        <v>C</v>
      </c>
      <c r="AD29" s="17" t="n">
        <f aca="false">IF(AND(N29="",AA29=""),"",IF(N29="",0,N29)+IF(AA29="",0,AA29))</f>
        <v>65</v>
      </c>
      <c r="AE29" s="17" t="n">
        <f aca="false">IF(AD29="","",IF($AD$4-SUMIF(C29:M29,"欠",$C$4:$M$4)-SUMIF(Q29:Z29,"欠",$Q$4:$Z$4)&lt;=0,"",ROUND(AD29/($AD$4-SUMIF(C29:M29,"欠",$C$4:$M$4)-SUMIF(Q29:Z29,"欠",$Q$4:$Z$4))*100,0)))</f>
        <v>65</v>
      </c>
      <c r="AF29" s="17" t="str">
        <f aca="false">IF(AE29="","",IF(AE29&gt;=設定!$D$16,"A",IF(AE29&gt;=設定!$E$16,"B","C")))</f>
        <v>B</v>
      </c>
    </row>
    <row r="30" customFormat="false" ht="15" hidden="false" customHeight="true" outlineLevel="0" collapsed="false">
      <c r="A30" s="17" t="n">
        <v>26</v>
      </c>
      <c r="B30" s="18" t="str">
        <f aca="false">IF(名簿!B28="","",名簿!B28)</f>
        <v>阿部 凛</v>
      </c>
      <c r="C30" s="19" t="n">
        <v>49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7" t="n">
        <f aca="false">IF(COUNT(C30:M30)=0,"",SUM(C30:M30))</f>
        <v>49</v>
      </c>
      <c r="O30" s="17" t="n">
        <f aca="false">IF(OR(N30="",$N$4-SUMIF(C30:M30,"欠",$C$4:$M$4)&lt;=0),"",ROUND(N30/($N$4-SUMIF(C30:M30,"欠",$C$4:$M$4))*100,0))</f>
        <v>82</v>
      </c>
      <c r="P30" s="17" t="str">
        <f aca="false">IF(O30="","",IF(O30&gt;=設定!$D$16,"A",IF(O30&gt;=設定!$E$16,"B","C")))</f>
        <v>B</v>
      </c>
      <c r="Q30" s="19" t="n">
        <v>29</v>
      </c>
      <c r="R30" s="19"/>
      <c r="S30" s="19"/>
      <c r="T30" s="19"/>
      <c r="U30" s="19"/>
      <c r="V30" s="19"/>
      <c r="W30" s="19"/>
      <c r="X30" s="19"/>
      <c r="Y30" s="19"/>
      <c r="Z30" s="19"/>
      <c r="AA30" s="17" t="n">
        <f aca="false">IF(COUNT(Q30:Z30)=0,"",SUM(Q30:Z30))</f>
        <v>29</v>
      </c>
      <c r="AB30" s="17" t="n">
        <f aca="false">IF(OR(AA30="",$AA$4-SUMIF(Q30:Z30,"欠",$Q$4:$Z$4)&lt;=0),"",ROUND(AA30/($AA$4-SUMIF(Q30:Z30,"欠",$Q$4:$Z$4))*100,0))</f>
        <v>73</v>
      </c>
      <c r="AC30" s="17" t="str">
        <f aca="false">IF(AB30="","",IF(AB30&gt;=設定!$D$16,"A",IF(AB30&gt;=設定!$E$16,"B","C")))</f>
        <v>B</v>
      </c>
      <c r="AD30" s="17" t="n">
        <f aca="false">IF(AND(N30="",AA30=""),"",IF(N30="",0,N30)+IF(AA30="",0,AA30))</f>
        <v>78</v>
      </c>
      <c r="AE30" s="17" t="n">
        <f aca="false">IF(AD30="","",IF($AD$4-SUMIF(C30:M30,"欠",$C$4:$M$4)-SUMIF(Q30:Z30,"欠",$Q$4:$Z$4)&lt;=0,"",ROUND(AD30/($AD$4-SUMIF(C30:M30,"欠",$C$4:$M$4)-SUMIF(Q30:Z30,"欠",$Q$4:$Z$4))*100,0)))</f>
        <v>78</v>
      </c>
      <c r="AF30" s="17" t="str">
        <f aca="false">IF(AE30="","",IF(AE30&gt;=設定!$D$16,"A",IF(AE30&gt;=設定!$E$16,"B","C")))</f>
        <v>B</v>
      </c>
    </row>
    <row r="31" customFormat="false" ht="15" hidden="false" customHeight="true" outlineLevel="0" collapsed="false">
      <c r="A31" s="17" t="n">
        <v>27</v>
      </c>
      <c r="B31" s="18" t="str">
        <f aca="false">IF(名簿!B29="","",名簿!B29)</f>
        <v>井上 悠人</v>
      </c>
      <c r="C31" s="19" t="n">
        <v>51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7" t="n">
        <f aca="false">IF(COUNT(C31:M31)=0,"",SUM(C31:M31))</f>
        <v>51</v>
      </c>
      <c r="O31" s="17" t="n">
        <f aca="false">IF(OR(N31="",$N$4-SUMIF(C31:M31,"欠",$C$4:$M$4)&lt;=0),"",ROUND(N31/($N$4-SUMIF(C31:M31,"欠",$C$4:$M$4))*100,0))</f>
        <v>85</v>
      </c>
      <c r="P31" s="17" t="str">
        <f aca="false">IF(O31="","",IF(O31&gt;=設定!$D$16,"A",IF(O31&gt;=設定!$E$16,"B","C")))</f>
        <v>B</v>
      </c>
      <c r="Q31" s="19" t="n">
        <v>32</v>
      </c>
      <c r="R31" s="19"/>
      <c r="S31" s="19"/>
      <c r="T31" s="19"/>
      <c r="U31" s="19"/>
      <c r="V31" s="19"/>
      <c r="W31" s="19"/>
      <c r="X31" s="19"/>
      <c r="Y31" s="19"/>
      <c r="Z31" s="19"/>
      <c r="AA31" s="17" t="n">
        <f aca="false">IF(COUNT(Q31:Z31)=0,"",SUM(Q31:Z31))</f>
        <v>32</v>
      </c>
      <c r="AB31" s="17" t="n">
        <f aca="false">IF(OR(AA31="",$AA$4-SUMIF(Q31:Z31,"欠",$Q$4:$Z$4)&lt;=0),"",ROUND(AA31/($AA$4-SUMIF(Q31:Z31,"欠",$Q$4:$Z$4))*100,0))</f>
        <v>80</v>
      </c>
      <c r="AC31" s="17" t="str">
        <f aca="false">IF(AB31="","",IF(AB31&gt;=設定!$D$16,"A",IF(AB31&gt;=設定!$E$16,"B","C")))</f>
        <v>B</v>
      </c>
      <c r="AD31" s="17" t="n">
        <f aca="false">IF(AND(N31="",AA31=""),"",IF(N31="",0,N31)+IF(AA31="",0,AA31))</f>
        <v>83</v>
      </c>
      <c r="AE31" s="17" t="n">
        <f aca="false">IF(AD31="","",IF($AD$4-SUMIF(C31:M31,"欠",$C$4:$M$4)-SUMIF(Q31:Z31,"欠",$Q$4:$Z$4)&lt;=0,"",ROUND(AD31/($AD$4-SUMIF(C31:M31,"欠",$C$4:$M$4)-SUMIF(Q31:Z31,"欠",$Q$4:$Z$4))*100,0)))</f>
        <v>83</v>
      </c>
      <c r="AF31" s="17" t="str">
        <f aca="false">IF(AE31="","",IF(AE31&gt;=設定!$D$16,"A",IF(AE31&gt;=設定!$E$16,"B","C")))</f>
        <v>B</v>
      </c>
    </row>
    <row r="32" customFormat="false" ht="15" hidden="false" customHeight="true" outlineLevel="0" collapsed="false">
      <c r="A32" s="17" t="n">
        <v>28</v>
      </c>
      <c r="B32" s="18" t="str">
        <f aca="false">IF(名簿!B30="","",名簿!B30)</f>
        <v>斎藤 心春</v>
      </c>
      <c r="C32" s="19" t="n">
        <v>35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7" t="n">
        <f aca="false">IF(COUNT(C32:M32)=0,"",SUM(C32:M32))</f>
        <v>35</v>
      </c>
      <c r="O32" s="17" t="n">
        <f aca="false">IF(OR(N32="",$N$4-SUMIF(C32:M32,"欠",$C$4:$M$4)&lt;=0),"",ROUND(N32/($N$4-SUMIF(C32:M32,"欠",$C$4:$M$4))*100,0))</f>
        <v>58</v>
      </c>
      <c r="P32" s="17" t="str">
        <f aca="false">IF(O32="","",IF(O32&gt;=設定!$D$16,"A",IF(O32&gt;=設定!$E$16,"B","C")))</f>
        <v>C</v>
      </c>
      <c r="Q32" s="19" t="n">
        <v>27</v>
      </c>
      <c r="R32" s="19"/>
      <c r="S32" s="19"/>
      <c r="T32" s="19"/>
      <c r="U32" s="19"/>
      <c r="V32" s="19"/>
      <c r="W32" s="19"/>
      <c r="X32" s="19"/>
      <c r="Y32" s="19"/>
      <c r="Z32" s="19"/>
      <c r="AA32" s="17" t="n">
        <f aca="false">IF(COUNT(Q32:Z32)=0,"",SUM(Q32:Z32))</f>
        <v>27</v>
      </c>
      <c r="AB32" s="17" t="n">
        <f aca="false">IF(OR(AA32="",$AA$4-SUMIF(Q32:Z32,"欠",$Q$4:$Z$4)&lt;=0),"",ROUND(AA32/($AA$4-SUMIF(Q32:Z32,"欠",$Q$4:$Z$4))*100,0))</f>
        <v>68</v>
      </c>
      <c r="AC32" s="17" t="str">
        <f aca="false">IF(AB32="","",IF(AB32&gt;=設定!$D$16,"A",IF(AB32&gt;=設定!$E$16,"B","C")))</f>
        <v>B</v>
      </c>
      <c r="AD32" s="17" t="n">
        <f aca="false">IF(AND(N32="",AA32=""),"",IF(N32="",0,N32)+IF(AA32="",0,AA32))</f>
        <v>62</v>
      </c>
      <c r="AE32" s="17" t="n">
        <f aca="false">IF(AD32="","",IF($AD$4-SUMIF(C32:M32,"欠",$C$4:$M$4)-SUMIF(Q32:Z32,"欠",$Q$4:$Z$4)&lt;=0,"",ROUND(AD32/($AD$4-SUMIF(C32:M32,"欠",$C$4:$M$4)-SUMIF(Q32:Z32,"欠",$Q$4:$Z$4))*100,0)))</f>
        <v>62</v>
      </c>
      <c r="AF32" s="17" t="str">
        <f aca="false">IF(AE32="","",IF(AE32&gt;=設定!$D$16,"A",IF(AE32&gt;=設定!$E$16,"B","C")))</f>
        <v>B</v>
      </c>
    </row>
    <row r="33" customFormat="false" ht="15" hidden="false" customHeight="true" outlineLevel="0" collapsed="false">
      <c r="A33" s="17" t="n">
        <v>29</v>
      </c>
      <c r="B33" s="18" t="str">
        <f aca="false">IF(名簿!B31="","",名簿!B31)</f>
        <v>森 蒼</v>
      </c>
      <c r="C33" s="19" t="n">
        <v>60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7" t="n">
        <f aca="false">IF(COUNT(C33:M33)=0,"",SUM(C33:M33))</f>
        <v>60</v>
      </c>
      <c r="O33" s="17" t="n">
        <f aca="false">IF(OR(N33="",$N$4-SUMIF(C33:M33,"欠",$C$4:$M$4)&lt;=0),"",ROUND(N33/($N$4-SUMIF(C33:M33,"欠",$C$4:$M$4))*100,0))</f>
        <v>100</v>
      </c>
      <c r="P33" s="17" t="str">
        <f aca="false">IF(O33="","",IF(O33&gt;=設定!$D$16,"A",IF(O33&gt;=設定!$E$16,"B","C")))</f>
        <v>A</v>
      </c>
      <c r="Q33" s="19" t="n">
        <v>32</v>
      </c>
      <c r="R33" s="19"/>
      <c r="S33" s="19"/>
      <c r="T33" s="19"/>
      <c r="U33" s="19"/>
      <c r="V33" s="19"/>
      <c r="W33" s="19"/>
      <c r="X33" s="19"/>
      <c r="Y33" s="19"/>
      <c r="Z33" s="19"/>
      <c r="AA33" s="17" t="n">
        <f aca="false">IF(COUNT(Q33:Z33)=0,"",SUM(Q33:Z33))</f>
        <v>32</v>
      </c>
      <c r="AB33" s="17" t="n">
        <f aca="false">IF(OR(AA33="",$AA$4-SUMIF(Q33:Z33,"欠",$Q$4:$Z$4)&lt;=0),"",ROUND(AA33/($AA$4-SUMIF(Q33:Z33,"欠",$Q$4:$Z$4))*100,0))</f>
        <v>80</v>
      </c>
      <c r="AC33" s="17" t="str">
        <f aca="false">IF(AB33="","",IF(AB33&gt;=設定!$D$16,"A",IF(AB33&gt;=設定!$E$16,"B","C")))</f>
        <v>B</v>
      </c>
      <c r="AD33" s="17" t="n">
        <f aca="false">IF(AND(N33="",AA33=""),"",IF(N33="",0,N33)+IF(AA33="",0,AA33))</f>
        <v>92</v>
      </c>
      <c r="AE33" s="17" t="n">
        <f aca="false">IF(AD33="","",IF($AD$4-SUMIF(C33:M33,"欠",$C$4:$M$4)-SUMIF(Q33:Z33,"欠",$Q$4:$Z$4)&lt;=0,"",ROUND(AD33/($AD$4-SUMIF(C33:M33,"欠",$C$4:$M$4)-SUMIF(Q33:Z33,"欠",$Q$4:$Z$4))*100,0)))</f>
        <v>92</v>
      </c>
      <c r="AF33" s="17" t="str">
        <f aca="false">IF(AE33="","",IF(AE33&gt;=設定!$D$16,"A",IF(AE33&gt;=設定!$E$16,"B","C")))</f>
        <v>A</v>
      </c>
    </row>
    <row r="34" customFormat="false" ht="15" hidden="false" customHeight="true" outlineLevel="0" collapsed="false">
      <c r="A34" s="17" t="n">
        <v>30</v>
      </c>
      <c r="B34" s="18" t="str">
        <f aca="false">IF(名簿!B32="","",名簿!B32)</f>
        <v>伊藤 咲良</v>
      </c>
      <c r="C34" s="19" t="n">
        <v>58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7" t="n">
        <f aca="false">IF(COUNT(C34:M34)=0,"",SUM(C34:M34))</f>
        <v>58</v>
      </c>
      <c r="O34" s="17" t="n">
        <f aca="false">IF(OR(N34="",$N$4-SUMIF(C34:M34,"欠",$C$4:$M$4)&lt;=0),"",ROUND(N34/($N$4-SUMIF(C34:M34,"欠",$C$4:$M$4))*100,0))</f>
        <v>97</v>
      </c>
      <c r="P34" s="17" t="str">
        <f aca="false">IF(O34="","",IF(O34&gt;=設定!$D$16,"A",IF(O34&gt;=設定!$E$16,"B","C")))</f>
        <v>A</v>
      </c>
      <c r="Q34" s="19" t="n">
        <v>36</v>
      </c>
      <c r="R34" s="19"/>
      <c r="S34" s="19"/>
      <c r="T34" s="19"/>
      <c r="U34" s="19"/>
      <c r="V34" s="19"/>
      <c r="W34" s="19"/>
      <c r="X34" s="19"/>
      <c r="Y34" s="19"/>
      <c r="Z34" s="19"/>
      <c r="AA34" s="17" t="n">
        <f aca="false">IF(COUNT(Q34:Z34)=0,"",SUM(Q34:Z34))</f>
        <v>36</v>
      </c>
      <c r="AB34" s="17" t="n">
        <f aca="false">IF(OR(AA34="",$AA$4-SUMIF(Q34:Z34,"欠",$Q$4:$Z$4)&lt;=0),"",ROUND(AA34/($AA$4-SUMIF(Q34:Z34,"欠",$Q$4:$Z$4))*100,0))</f>
        <v>90</v>
      </c>
      <c r="AC34" s="17" t="str">
        <f aca="false">IF(AB34="","",IF(AB34&gt;=設定!$D$16,"A",IF(AB34&gt;=設定!$E$16,"B","C")))</f>
        <v>A</v>
      </c>
      <c r="AD34" s="17" t="n">
        <f aca="false">IF(AND(N34="",AA34=""),"",IF(N34="",0,N34)+IF(AA34="",0,AA34))</f>
        <v>94</v>
      </c>
      <c r="AE34" s="17" t="n">
        <f aca="false">IF(AD34="","",IF($AD$4-SUMIF(C34:M34,"欠",$C$4:$M$4)-SUMIF(Q34:Z34,"欠",$Q$4:$Z$4)&lt;=0,"",ROUND(AD34/($AD$4-SUMIF(C34:M34,"欠",$C$4:$M$4)-SUMIF(Q34:Z34,"欠",$Q$4:$Z$4))*100,0)))</f>
        <v>94</v>
      </c>
      <c r="AF34" s="17" t="str">
        <f aca="false">IF(AE34="","",IF(AE34&gt;=設定!$D$16,"A",IF(AE34&gt;=設定!$E$16,"B","C")))</f>
        <v>A</v>
      </c>
    </row>
    <row r="35" customFormat="false" ht="15" hidden="false" customHeight="true" outlineLevel="0" collapsed="false">
      <c r="A35" s="17" t="n">
        <v>31</v>
      </c>
      <c r="B35" s="18" t="str">
        <f aca="false">IF(名簿!B33="","",名簿!B33)</f>
        <v>佐藤 海斗</v>
      </c>
      <c r="C35" s="19" t="n">
        <v>45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7" t="n">
        <f aca="false">IF(COUNT(C35:M35)=0,"",SUM(C35:M35))</f>
        <v>45</v>
      </c>
      <c r="O35" s="17" t="n">
        <f aca="false">IF(OR(N35="",$N$4-SUMIF(C35:M35,"欠",$C$4:$M$4)&lt;=0),"",ROUND(N35/($N$4-SUMIF(C35:M35,"欠",$C$4:$M$4))*100,0))</f>
        <v>75</v>
      </c>
      <c r="P35" s="17" t="str">
        <f aca="false">IF(O35="","",IF(O35&gt;=設定!$D$16,"A",IF(O35&gt;=設定!$E$16,"B","C")))</f>
        <v>B</v>
      </c>
      <c r="Q35" s="19" t="n">
        <v>31</v>
      </c>
      <c r="R35" s="19"/>
      <c r="S35" s="19"/>
      <c r="T35" s="19"/>
      <c r="U35" s="19"/>
      <c r="V35" s="19"/>
      <c r="W35" s="19"/>
      <c r="X35" s="19"/>
      <c r="Y35" s="19"/>
      <c r="Z35" s="19"/>
      <c r="AA35" s="17" t="n">
        <f aca="false">IF(COUNT(Q35:Z35)=0,"",SUM(Q35:Z35))</f>
        <v>31</v>
      </c>
      <c r="AB35" s="17" t="n">
        <f aca="false">IF(OR(AA35="",$AA$4-SUMIF(Q35:Z35,"欠",$Q$4:$Z$4)&lt;=0),"",ROUND(AA35/($AA$4-SUMIF(Q35:Z35,"欠",$Q$4:$Z$4))*100,0))</f>
        <v>78</v>
      </c>
      <c r="AC35" s="17" t="str">
        <f aca="false">IF(AB35="","",IF(AB35&gt;=設定!$D$16,"A",IF(AB35&gt;=設定!$E$16,"B","C")))</f>
        <v>B</v>
      </c>
      <c r="AD35" s="17" t="n">
        <f aca="false">IF(AND(N35="",AA35=""),"",IF(N35="",0,N35)+IF(AA35="",0,AA35))</f>
        <v>76</v>
      </c>
      <c r="AE35" s="17" t="n">
        <f aca="false">IF(AD35="","",IF($AD$4-SUMIF(C35:M35,"欠",$C$4:$M$4)-SUMIF(Q35:Z35,"欠",$Q$4:$Z$4)&lt;=0,"",ROUND(AD35/($AD$4-SUMIF(C35:M35,"欠",$C$4:$M$4)-SUMIF(Q35:Z35,"欠",$Q$4:$Z$4))*100,0)))</f>
        <v>76</v>
      </c>
      <c r="AF35" s="17" t="str">
        <f aca="false">IF(AE35="","",IF(AE35&gt;=設定!$D$16,"A",IF(AE35&gt;=設定!$E$16,"B","C")))</f>
        <v>B</v>
      </c>
    </row>
    <row r="36" customFormat="false" ht="15" hidden="false" customHeight="true" outlineLevel="0" collapsed="false">
      <c r="A36" s="17" t="n">
        <v>32</v>
      </c>
      <c r="B36" s="18" t="str">
        <f aca="false">IF(名簿!B34="","",名簿!B34)</f>
        <v>高橋 結愛</v>
      </c>
      <c r="C36" s="19" t="n">
        <v>59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7" t="n">
        <f aca="false">IF(COUNT(C36:M36)=0,"",SUM(C36:M36))</f>
        <v>59</v>
      </c>
      <c r="O36" s="17" t="n">
        <f aca="false">IF(OR(N36="",$N$4-SUMIF(C36:M36,"欠",$C$4:$M$4)&lt;=0),"",ROUND(N36/($N$4-SUMIF(C36:M36,"欠",$C$4:$M$4))*100,0))</f>
        <v>98</v>
      </c>
      <c r="P36" s="17" t="str">
        <f aca="false">IF(O36="","",IF(O36&gt;=設定!$D$16,"A",IF(O36&gt;=設定!$E$16,"B","C")))</f>
        <v>A</v>
      </c>
      <c r="Q36" s="19" t="n">
        <v>35</v>
      </c>
      <c r="R36" s="19"/>
      <c r="S36" s="19"/>
      <c r="T36" s="19"/>
      <c r="U36" s="19"/>
      <c r="V36" s="19"/>
      <c r="W36" s="19"/>
      <c r="X36" s="19"/>
      <c r="Y36" s="19"/>
      <c r="Z36" s="19"/>
      <c r="AA36" s="17" t="n">
        <f aca="false">IF(COUNT(Q36:Z36)=0,"",SUM(Q36:Z36))</f>
        <v>35</v>
      </c>
      <c r="AB36" s="17" t="n">
        <f aca="false">IF(OR(AA36="",$AA$4-SUMIF(Q36:Z36,"欠",$Q$4:$Z$4)&lt;=0),"",ROUND(AA36/($AA$4-SUMIF(Q36:Z36,"欠",$Q$4:$Z$4))*100,0))</f>
        <v>88</v>
      </c>
      <c r="AC36" s="17" t="str">
        <f aca="false">IF(AB36="","",IF(AB36&gt;=設定!$D$16,"A",IF(AB36&gt;=設定!$E$16,"B","C")))</f>
        <v>B</v>
      </c>
      <c r="AD36" s="17" t="n">
        <f aca="false">IF(AND(N36="",AA36=""),"",IF(N36="",0,N36)+IF(AA36="",0,AA36))</f>
        <v>94</v>
      </c>
      <c r="AE36" s="17" t="n">
        <f aca="false">IF(AD36="","",IF($AD$4-SUMIF(C36:M36,"欠",$C$4:$M$4)-SUMIF(Q36:Z36,"欠",$Q$4:$Z$4)&lt;=0,"",ROUND(AD36/($AD$4-SUMIF(C36:M36,"欠",$C$4:$M$4)-SUMIF(Q36:Z36,"欠",$Q$4:$Z$4))*100,0)))</f>
        <v>94</v>
      </c>
      <c r="AF36" s="17" t="str">
        <f aca="false">IF(AE36="","",IF(AE36&gt;=設定!$D$16,"A",IF(AE36&gt;=設定!$E$16,"B","C")))</f>
        <v>A</v>
      </c>
    </row>
    <row r="37" customFormat="false" ht="15" hidden="false" customHeight="true" outlineLevel="0" collapsed="false">
      <c r="A37" s="17" t="n">
        <v>33</v>
      </c>
      <c r="B37" s="18" t="str">
        <f aca="false">IF(名簿!B35="","",名簿!B35)</f>
        <v>木村 陽太</v>
      </c>
      <c r="C37" s="19" t="n">
        <v>58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7" t="n">
        <f aca="false">IF(COUNT(C37:M37)=0,"",SUM(C37:M37))</f>
        <v>58</v>
      </c>
      <c r="O37" s="17" t="n">
        <f aca="false">IF(OR(N37="",$N$4-SUMIF(C37:M37,"欠",$C$4:$M$4)&lt;=0),"",ROUND(N37/($N$4-SUMIF(C37:M37,"欠",$C$4:$M$4))*100,0))</f>
        <v>97</v>
      </c>
      <c r="P37" s="17" t="str">
        <f aca="false">IF(O37="","",IF(O37&gt;=設定!$D$16,"A",IF(O37&gt;=設定!$E$16,"B","C")))</f>
        <v>A</v>
      </c>
      <c r="Q37" s="19" t="n">
        <v>27</v>
      </c>
      <c r="R37" s="19"/>
      <c r="S37" s="19"/>
      <c r="T37" s="19"/>
      <c r="U37" s="19"/>
      <c r="V37" s="19"/>
      <c r="W37" s="19"/>
      <c r="X37" s="19"/>
      <c r="Y37" s="19"/>
      <c r="Z37" s="19"/>
      <c r="AA37" s="17" t="n">
        <f aca="false">IF(COUNT(Q37:Z37)=0,"",SUM(Q37:Z37))</f>
        <v>27</v>
      </c>
      <c r="AB37" s="17" t="n">
        <f aca="false">IF(OR(AA37="",$AA$4-SUMIF(Q37:Z37,"欠",$Q$4:$Z$4)&lt;=0),"",ROUND(AA37/($AA$4-SUMIF(Q37:Z37,"欠",$Q$4:$Z$4))*100,0))</f>
        <v>68</v>
      </c>
      <c r="AC37" s="17" t="str">
        <f aca="false">IF(AB37="","",IF(AB37&gt;=設定!$D$16,"A",IF(AB37&gt;=設定!$E$16,"B","C")))</f>
        <v>B</v>
      </c>
      <c r="AD37" s="17" t="n">
        <f aca="false">IF(AND(N37="",AA37=""),"",IF(N37="",0,N37)+IF(AA37="",0,AA37))</f>
        <v>85</v>
      </c>
      <c r="AE37" s="17" t="n">
        <f aca="false">IF(AD37="","",IF($AD$4-SUMIF(C37:M37,"欠",$C$4:$M$4)-SUMIF(Q37:Z37,"欠",$Q$4:$Z$4)&lt;=0,"",ROUND(AD37/($AD$4-SUMIF(C37:M37,"欠",$C$4:$M$4)-SUMIF(Q37:Z37,"欠",$Q$4:$Z$4))*100,0)))</f>
        <v>85</v>
      </c>
      <c r="AF37" s="17" t="str">
        <f aca="false">IF(AE37="","",IF(AE37&gt;=設定!$D$16,"A",IF(AE37&gt;=設定!$E$16,"B","C")))</f>
        <v>B</v>
      </c>
    </row>
    <row r="38" customFormat="false" ht="15" hidden="false" customHeight="true" outlineLevel="0" collapsed="false">
      <c r="A38" s="17" t="n">
        <v>34</v>
      </c>
      <c r="B38" s="18" t="str">
        <f aca="false">IF(名簿!B36="","",名簿!B36)</f>
        <v>長谷川 さくら</v>
      </c>
      <c r="C38" s="19" t="n">
        <v>46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7" t="n">
        <f aca="false">IF(COUNT(C38:M38)=0,"",SUM(C38:M38))</f>
        <v>46</v>
      </c>
      <c r="O38" s="17" t="n">
        <f aca="false">IF(OR(N38="",$N$4-SUMIF(C38:M38,"欠",$C$4:$M$4)&lt;=0),"",ROUND(N38/($N$4-SUMIF(C38:M38,"欠",$C$4:$M$4))*100,0))</f>
        <v>77</v>
      </c>
      <c r="P38" s="17" t="str">
        <f aca="false">IF(O38="","",IF(O38&gt;=設定!$D$16,"A",IF(O38&gt;=設定!$E$16,"B","C")))</f>
        <v>B</v>
      </c>
      <c r="Q38" s="19" t="n">
        <v>31</v>
      </c>
      <c r="R38" s="19"/>
      <c r="S38" s="19"/>
      <c r="T38" s="19"/>
      <c r="U38" s="19"/>
      <c r="V38" s="19"/>
      <c r="W38" s="19"/>
      <c r="X38" s="19"/>
      <c r="Y38" s="19"/>
      <c r="Z38" s="19"/>
      <c r="AA38" s="17" t="n">
        <f aca="false">IF(COUNT(Q38:Z38)=0,"",SUM(Q38:Z38))</f>
        <v>31</v>
      </c>
      <c r="AB38" s="17" t="n">
        <f aca="false">IF(OR(AA38="",$AA$4-SUMIF(Q38:Z38,"欠",$Q$4:$Z$4)&lt;=0),"",ROUND(AA38/($AA$4-SUMIF(Q38:Z38,"欠",$Q$4:$Z$4))*100,0))</f>
        <v>78</v>
      </c>
      <c r="AC38" s="17" t="str">
        <f aca="false">IF(AB38="","",IF(AB38&gt;=設定!$D$16,"A",IF(AB38&gt;=設定!$E$16,"B","C")))</f>
        <v>B</v>
      </c>
      <c r="AD38" s="17" t="n">
        <f aca="false">IF(AND(N38="",AA38=""),"",IF(N38="",0,N38)+IF(AA38="",0,AA38))</f>
        <v>77</v>
      </c>
      <c r="AE38" s="17" t="n">
        <f aca="false">IF(AD38="","",IF($AD$4-SUMIF(C38:M38,"欠",$C$4:$M$4)-SUMIF(Q38:Z38,"欠",$Q$4:$Z$4)&lt;=0,"",ROUND(AD38/($AD$4-SUMIF(C38:M38,"欠",$C$4:$M$4)-SUMIF(Q38:Z38,"欠",$Q$4:$Z$4))*100,0)))</f>
        <v>77</v>
      </c>
      <c r="AF38" s="17" t="str">
        <f aca="false">IF(AE38="","",IF(AE38&gt;=設定!$D$16,"A",IF(AE38&gt;=設定!$E$16,"B","C")))</f>
        <v>B</v>
      </c>
    </row>
    <row r="39" customFormat="false" ht="15" hidden="false" customHeight="true" outlineLevel="0" collapsed="false">
      <c r="A39" s="17" t="n">
        <v>35</v>
      </c>
      <c r="B39" s="18" t="str">
        <f aca="false">IF(名簿!B37="","",名簿!B37)</f>
        <v>渡辺 健太</v>
      </c>
      <c r="C39" s="19" t="n">
        <v>52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7" t="n">
        <f aca="false">IF(COUNT(C39:M39)=0,"",SUM(C39:M39))</f>
        <v>52</v>
      </c>
      <c r="O39" s="17" t="n">
        <f aca="false">IF(OR(N39="",$N$4-SUMIF(C39:M39,"欠",$C$4:$M$4)&lt;=0),"",ROUND(N39/($N$4-SUMIF(C39:M39,"欠",$C$4:$M$4))*100,0))</f>
        <v>87</v>
      </c>
      <c r="P39" s="17" t="str">
        <f aca="false">IF(O39="","",IF(O39&gt;=設定!$D$16,"A",IF(O39&gt;=設定!$E$16,"B","C")))</f>
        <v>B</v>
      </c>
      <c r="Q39" s="19" t="n">
        <v>37</v>
      </c>
      <c r="R39" s="19"/>
      <c r="S39" s="19"/>
      <c r="T39" s="19"/>
      <c r="U39" s="19"/>
      <c r="V39" s="19"/>
      <c r="W39" s="19"/>
      <c r="X39" s="19"/>
      <c r="Y39" s="19"/>
      <c r="Z39" s="19"/>
      <c r="AA39" s="17" t="n">
        <f aca="false">IF(COUNT(Q39:Z39)=0,"",SUM(Q39:Z39))</f>
        <v>37</v>
      </c>
      <c r="AB39" s="17" t="n">
        <f aca="false">IF(OR(AA39="",$AA$4-SUMIF(Q39:Z39,"欠",$Q$4:$Z$4)&lt;=0),"",ROUND(AA39/($AA$4-SUMIF(Q39:Z39,"欠",$Q$4:$Z$4))*100,0))</f>
        <v>93</v>
      </c>
      <c r="AC39" s="17" t="str">
        <f aca="false">IF(AB39="","",IF(AB39&gt;=設定!$D$16,"A",IF(AB39&gt;=設定!$E$16,"B","C")))</f>
        <v>A</v>
      </c>
      <c r="AD39" s="17" t="n">
        <f aca="false">IF(AND(N39="",AA39=""),"",IF(N39="",0,N39)+IF(AA39="",0,AA39))</f>
        <v>89</v>
      </c>
      <c r="AE39" s="17" t="n">
        <f aca="false">IF(AD39="","",IF($AD$4-SUMIF(C39:M39,"欠",$C$4:$M$4)-SUMIF(Q39:Z39,"欠",$Q$4:$Z$4)&lt;=0,"",ROUND(AD39/($AD$4-SUMIF(C39:M39,"欠",$C$4:$M$4)-SUMIF(Q39:Z39,"欠",$Q$4:$Z$4))*100,0)))</f>
        <v>89</v>
      </c>
      <c r="AF39" s="17" t="str">
        <f aca="false">IF(AE39="","",IF(AE39&gt;=設定!$D$16,"A",IF(AE39&gt;=設定!$E$16,"B","C")))</f>
        <v>B</v>
      </c>
    </row>
    <row r="40" s="58" customFormat="true" ht="19.5" hidden="false" customHeight="true" outlineLevel="0" collapsed="false">
      <c r="A40" s="57"/>
      <c r="B40" s="57" t="s">
        <v>81</v>
      </c>
      <c r="C40" s="57" t="n">
        <f aca="false">IF(COUNT(C5:C39)=0,"",ROUND(AVERAGE(C5:C39),1))</f>
        <v>51.2</v>
      </c>
      <c r="D40" s="57" t="str">
        <f aca="false">IF(COUNT(D5:D39)=0,"",ROUND(AVERAGE(D5:D39),1))</f>
        <v/>
      </c>
      <c r="E40" s="57" t="str">
        <f aca="false">IF(COUNT(E5:E39)=0,"",ROUND(AVERAGE(E5:E39),1))</f>
        <v/>
      </c>
      <c r="F40" s="57" t="str">
        <f aca="false">IF(COUNT(F5:F39)=0,"",ROUND(AVERAGE(F5:F39),1))</f>
        <v/>
      </c>
      <c r="G40" s="57" t="str">
        <f aca="false">IF(COUNT(G5:G39)=0,"",ROUND(AVERAGE(G5:G39),1))</f>
        <v/>
      </c>
      <c r="H40" s="57" t="str">
        <f aca="false">IF(COUNT(H5:H39)=0,"",ROUND(AVERAGE(H5:H39),1))</f>
        <v/>
      </c>
      <c r="I40" s="57" t="str">
        <f aca="false">IF(COUNT(I5:I39)=0,"",ROUND(AVERAGE(I5:I39),1))</f>
        <v/>
      </c>
      <c r="J40" s="57" t="str">
        <f aca="false">IF(COUNT(J5:J39)=0,"",ROUND(AVERAGE(J5:J39),1))</f>
        <v/>
      </c>
      <c r="K40" s="57" t="str">
        <f aca="false">IF(COUNT(K5:K39)=0,"",ROUND(AVERAGE(K5:K39),1))</f>
        <v/>
      </c>
      <c r="L40" s="57" t="str">
        <f aca="false">IF(COUNT(L5:L39)=0,"",ROUND(AVERAGE(L5:L39),1))</f>
        <v/>
      </c>
      <c r="M40" s="57" t="str">
        <f aca="false">IF(COUNT(M5:M39)=0,"",ROUND(AVERAGE(M5:M39),1))</f>
        <v/>
      </c>
      <c r="N40" s="57" t="n">
        <f aca="false">IF(COUNT(N5:N39)=0,"",ROUND(AVERAGE(N5:N39),1))</f>
        <v>51.2</v>
      </c>
      <c r="O40" s="57" t="n">
        <f aca="false">IF(COUNT(O5:O39)=0,"",ROUND(AVERAGE(O5:O39),1))</f>
        <v>85.4</v>
      </c>
      <c r="P40" s="57"/>
      <c r="Q40" s="57" t="n">
        <f aca="false">IF(COUNT(Q5:Q39)=0,"",ROUND(AVERAGE(Q5:Q39),1))</f>
        <v>30.1</v>
      </c>
      <c r="R40" s="57" t="str">
        <f aca="false">IF(COUNT(R5:R39)=0,"",ROUND(AVERAGE(R5:R39),1))</f>
        <v/>
      </c>
      <c r="S40" s="57" t="str">
        <f aca="false">IF(COUNT(S5:S39)=0,"",ROUND(AVERAGE(S5:S39),1))</f>
        <v/>
      </c>
      <c r="T40" s="57" t="str">
        <f aca="false">IF(COUNT(T5:T39)=0,"",ROUND(AVERAGE(T5:T39),1))</f>
        <v/>
      </c>
      <c r="U40" s="57" t="str">
        <f aca="false">IF(COUNT(U5:U39)=0,"",ROUND(AVERAGE(U5:U39),1))</f>
        <v/>
      </c>
      <c r="V40" s="57" t="str">
        <f aca="false">IF(COUNT(V5:V39)=0,"",ROUND(AVERAGE(V5:V39),1))</f>
        <v/>
      </c>
      <c r="W40" s="57" t="str">
        <f aca="false">IF(COUNT(W5:W39)=0,"",ROUND(AVERAGE(W5:W39),1))</f>
        <v/>
      </c>
      <c r="X40" s="57" t="str">
        <f aca="false">IF(COUNT(X5:X39)=0,"",ROUND(AVERAGE(X5:X39),1))</f>
        <v/>
      </c>
      <c r="Y40" s="57" t="str">
        <f aca="false">IF(COUNT(Y5:Y39)=0,"",ROUND(AVERAGE(Y5:Y39),1))</f>
        <v/>
      </c>
      <c r="Z40" s="57" t="str">
        <f aca="false">IF(COUNT(Z5:Z39)=0,"",ROUND(AVERAGE(Z5:Z39),1))</f>
        <v/>
      </c>
      <c r="AA40" s="57" t="n">
        <f aca="false">IF(COUNT(AA5:AA39)=0,"",ROUND(AVERAGE(AA5:AA39),1))</f>
        <v>30.1</v>
      </c>
      <c r="AB40" s="57" t="n">
        <f aca="false">IF(COUNT(AB5:AB39)=0,"",ROUND(AVERAGE(AB5:AB39),1))</f>
        <v>75.5</v>
      </c>
      <c r="AC40" s="57"/>
      <c r="AD40" s="57" t="n">
        <f aca="false">IF(COUNT(AD5:AD39)=0,"",ROUND(AVERAGE(AD5:AD39),1))</f>
        <v>81.3</v>
      </c>
      <c r="AE40" s="57" t="n">
        <f aca="false">IF(COUNT(AE5:AE39)=0,"",ROUND(AVERAGE(AE5:AE39),1))</f>
        <v>81.3</v>
      </c>
      <c r="AF40" s="57"/>
    </row>
    <row r="41" s="58" customFormat="true" ht="19.5" hidden="false" customHeight="true" outlineLevel="0" collapsed="false">
      <c r="A41" s="57"/>
      <c r="B41" s="57" t="s">
        <v>82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 t="n">
        <f aca="false">COUNTIF(P5:P39,"A")</f>
        <v>16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 t="n">
        <f aca="false">COUNTIF(AC5:AC39,"A")</f>
        <v>6</v>
      </c>
      <c r="AD41" s="57"/>
      <c r="AE41" s="57"/>
      <c r="AF41" s="57" t="n">
        <f aca="false">COUNTIF(AF5:AF39,"A")</f>
        <v>11</v>
      </c>
    </row>
    <row r="42" s="58" customFormat="true" ht="19.5" hidden="false" customHeight="true" outlineLevel="0" collapsed="false">
      <c r="A42" s="57"/>
      <c r="B42" s="57" t="s">
        <v>83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 t="n">
        <f aca="false">COUNTIF(P5:P39,"B")</f>
        <v>17</v>
      </c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 t="n">
        <f aca="false">COUNTIF(AC5:AC39,"B")</f>
        <v>23</v>
      </c>
      <c r="AD42" s="57"/>
      <c r="AE42" s="57"/>
      <c r="AF42" s="57" t="n">
        <f aca="false">COUNTIF(AF5:AF39,"B")</f>
        <v>22</v>
      </c>
    </row>
    <row r="43" s="58" customFormat="true" ht="19.5" hidden="false" customHeight="true" outlineLevel="0" collapsed="false">
      <c r="A43" s="57"/>
      <c r="B43" s="57" t="s">
        <v>84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 t="n">
        <f aca="false">COUNTIF(P5:P39,"C")</f>
        <v>2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 t="n">
        <f aca="false">COUNTIF(AC5:AC39,"C")</f>
        <v>6</v>
      </c>
      <c r="AD43" s="57"/>
      <c r="AE43" s="57"/>
      <c r="AF43" s="57" t="n">
        <f aca="false">COUNTIF(AF5:AF39,"C")</f>
        <v>2</v>
      </c>
    </row>
  </sheetData>
  <sheetProtection sheet="true"/>
  <mergeCells count="6">
    <mergeCell ref="A1:AF1"/>
    <mergeCell ref="A2:B2"/>
    <mergeCell ref="C2:P2"/>
    <mergeCell ref="Q2:AC2"/>
    <mergeCell ref="AD2:AF2"/>
    <mergeCell ref="A3:B3"/>
  </mergeCells>
  <conditionalFormatting sqref="P5:P39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conditionalFormatting sqref="AC5:AC39">
    <cfRule type="cellIs" priority="5" operator="equal" aboveAverage="0" equalAverage="0" bottom="0" percent="0" rank="0" text="" dxfId="0">
      <formula>"A"</formula>
    </cfRule>
    <cfRule type="cellIs" priority="6" operator="equal" aboveAverage="0" equalAverage="0" bottom="0" percent="0" rank="0" text="" dxfId="1">
      <formula>"B"</formula>
    </cfRule>
    <cfRule type="cellIs" priority="7" operator="equal" aboveAverage="0" equalAverage="0" bottom="0" percent="0" rank="0" text="" dxfId="2">
      <formula>"C"</formula>
    </cfRule>
  </conditionalFormatting>
  <conditionalFormatting sqref="AF5:AF39">
    <cfRule type="cellIs" priority="8" operator="equal" aboveAverage="0" equalAverage="0" bottom="0" percent="0" rank="0" text="" dxfId="0">
      <formula>"A"</formula>
    </cfRule>
    <cfRule type="cellIs" priority="9" operator="equal" aboveAverage="0" equalAverage="0" bottom="0" percent="0" rank="0" text="" dxfId="1">
      <formula>"B"</formula>
    </cfRule>
    <cfRule type="cellIs" priority="10" operator="equal" aboveAverage="0" equalAverage="0" bottom="0" percent="0" rank="0" text="" dxfId="2">
      <formula>"C"</formula>
    </cfRule>
  </conditionalFormatting>
  <conditionalFormatting sqref="A5:AF39">
    <cfRule type="expression" priority="11" aboveAverage="0" equalAverage="0" bottom="0" percent="0" rank="0" text="" dxfId="3">
      <formula>ISODD(ROW())</formula>
    </cfRule>
  </conditionalFormatting>
  <conditionalFormatting sqref="C5:M39 Q5:Z39">
    <cfRule type="cellIs" priority="12" operator="equal" aboveAverage="0" equalAverage="0" bottom="0" percent="0" rank="0" text="" dxfId="4">
      <formula>"欠"</formula>
    </cfRule>
  </conditionalFormatting>
  <dataValidations count="22">
    <dataValidation allowBlank="true" error="0以上の数値を入力してください。" errorStyle="stop" errorTitle="入力エラー" operator="greaterThanOrEqual" showDropDown="false" showErrorMessage="true" showInputMessage="false" sqref="C4:M4 Q4:Z4" type="decimal">
      <formula1>0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C5:C39" type="custom">
      <formula1>OR(C5="欠",AND(ISNUMBER(C5),C5&gt;=0,C5&lt;=$C$4))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D5:D39" type="custom">
      <formula1>OR(D5="欠",AND(ISNUMBER(D5),D5&gt;=0,D5&lt;=$D$4))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E5:E39" type="custom">
      <formula1>OR(E5="欠",AND(ISNUMBER(E5),E5&gt;=0,E5&lt;=$E$4))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F5:F39" type="custom">
      <formula1>OR(F5="欠",AND(ISNUMBER(F5),F5&gt;=0,F5&lt;=$F$4))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G5:G39" type="custom">
      <formula1>OR(G5="欠",AND(ISNUMBER(G5),G5&gt;=0,G5&lt;=$G$4))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H5:H39" type="custom">
      <formula1>OR(H5="欠",AND(ISNUMBER(H5),H5&gt;=0,H5&lt;=$H$4))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I5:I39" type="custom">
      <formula1>OR(I5="欠",AND(ISNUMBER(I5),I5&gt;=0,I5&lt;=$I$4))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J5:J39" type="custom">
      <formula1>OR(J5="欠",AND(ISNUMBER(J5),J5&gt;=0,J5&lt;=$J$4))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K5:K39" type="custom">
      <formula1>OR(K5="欠",AND(ISNUMBER(K5),K5&gt;=0,K5&lt;=$K$4))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L5:L39" type="custom">
      <formula1>OR(L5="欠",AND(ISNUMBER(L5),L5&gt;=0,L5&lt;=$L$4))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M5:M39" type="custom">
      <formula1>OR(M5="欠",AND(ISNUMBER(M5),M5&gt;=0,M5&lt;=$M$4))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Q5:Q39" type="custom">
      <formula1>OR(Q5="欠",AND(ISNUMBER(Q5),Q5&gt;=0,Q5&lt;=$Q$4))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R5:R39" type="custom">
      <formula1>OR(R5="欠",AND(ISNUMBER(R5),R5&gt;=0,R5&lt;=$R$4))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S5:S39" type="custom">
      <formula1>OR(S5="欠",AND(ISNUMBER(S5),S5&gt;=0,S5&lt;=$S$4))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T5:T39" type="custom">
      <formula1>OR(T5="欠",AND(ISNUMBER(T5),T5&gt;=0,T5&lt;=$T$4))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U5:U39" type="custom">
      <formula1>OR(U5="欠",AND(ISNUMBER(U5),U5&gt;=0,U5&lt;=$U$4))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V5:V39" type="custom">
      <formula1>OR(V5="欠",AND(ISNUMBER(V5),V5&gt;=0,V5&lt;=$V$4))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W5:W39" type="custom">
      <formula1>OR(W5="欠",AND(ISNUMBER(W5),W5&gt;=0,W5&lt;=$W$4))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X5:X39" type="custom">
      <formula1>OR(X5="欠",AND(ISNUMBER(X5),X5&gt;=0,X5&lt;=$X$4))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Y5:Y39" type="custom">
      <formula1>OR(Y5="欠",AND(ISNUMBER(Y5),Y5&gt;=0,Y5&lt;=$Y$4))</formula1>
      <formula2>0</formula2>
    </dataValidation>
    <dataValidation allowBlank="true" error="配点以内の数字か、「欠」を入力してください。" errorStyle="stop" errorTitle="入力エラー" operator="between" showDropDown="false" showErrorMessage="true" showInputMessage="false" sqref="Z5:Z39" type="custom">
      <formula1>OR(Z5="欠",AND(ISNUMBER(Z5),Z5&gt;=0,Z5&lt;=$Z$4))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26" min="3" style="0" width="8"/>
  </cols>
  <sheetData>
    <row r="1" customFormat="false" ht="19.4" hidden="false" customHeight="false" outlineLevel="0" collapsed="false">
      <c r="A1" s="59" t="s">
        <v>149</v>
      </c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50</v>
      </c>
      <c r="D2" s="2"/>
      <c r="E2" s="2"/>
      <c r="F2" s="2"/>
      <c r="G2" s="2" t="s">
        <v>51</v>
      </c>
      <c r="H2" s="2"/>
      <c r="I2" s="2"/>
      <c r="J2" s="2"/>
      <c r="K2" s="2" t="s">
        <v>52</v>
      </c>
      <c r="L2" s="2"/>
      <c r="M2" s="2"/>
      <c r="N2" s="2"/>
      <c r="O2" s="2" t="s">
        <v>53</v>
      </c>
      <c r="P2" s="2"/>
      <c r="Q2" s="2"/>
      <c r="R2" s="2"/>
      <c r="S2" s="2" t="s">
        <v>54</v>
      </c>
      <c r="T2" s="2"/>
      <c r="U2" s="2"/>
      <c r="V2" s="2"/>
      <c r="W2" s="2" t="s">
        <v>55</v>
      </c>
      <c r="X2" s="2"/>
      <c r="Y2" s="2"/>
      <c r="Z2" s="2"/>
    </row>
    <row r="3" customFormat="false" ht="60" hidden="false" customHeight="true" outlineLevel="0" collapsed="false">
      <c r="A3" s="2"/>
      <c r="B3" s="2"/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150</v>
      </c>
      <c r="H3" s="2" t="s">
        <v>151</v>
      </c>
      <c r="I3" s="2" t="s">
        <v>152</v>
      </c>
      <c r="J3" s="2" t="s">
        <v>153</v>
      </c>
      <c r="K3" s="2" t="s">
        <v>150</v>
      </c>
      <c r="L3" s="2" t="s">
        <v>151</v>
      </c>
      <c r="M3" s="2" t="s">
        <v>152</v>
      </c>
      <c r="N3" s="2" t="s">
        <v>153</v>
      </c>
      <c r="O3" s="2" t="s">
        <v>150</v>
      </c>
      <c r="P3" s="2" t="s">
        <v>151</v>
      </c>
      <c r="Q3" s="2" t="s">
        <v>152</v>
      </c>
      <c r="R3" s="2" t="s">
        <v>153</v>
      </c>
      <c r="S3" s="2" t="s">
        <v>150</v>
      </c>
      <c r="T3" s="2" t="s">
        <v>151</v>
      </c>
      <c r="U3" s="2" t="s">
        <v>152</v>
      </c>
      <c r="V3" s="2" t="s">
        <v>153</v>
      </c>
      <c r="W3" s="2" t="s">
        <v>150</v>
      </c>
      <c r="X3" s="2" t="s">
        <v>151</v>
      </c>
      <c r="Y3" s="2" t="s">
        <v>152</v>
      </c>
      <c r="Z3" s="2" t="s">
        <v>153</v>
      </c>
    </row>
    <row r="4" customFormat="false" ht="15" hidden="false" customHeight="false" outlineLevel="0" collapsed="false">
      <c r="A4" s="3" t="n">
        <v>1</v>
      </c>
      <c r="B4" s="60" t="str">
        <f aca="false">IF(名簿!B3="","",名簿!B3)</f>
        <v>石井 湊</v>
      </c>
      <c r="C4" s="3" t="n">
        <f aca="false">IF(AND('国語（前期）'!O5="",'国語（後期）'!O5=""),"",ROUND(IF('国語（前期）'!O5="",'国語（後期）'!O5,IF('国語（後期）'!O5="",'国語（前期）'!O5,('国語（前期）'!O5+'国語（後期）'!O5)/2)),0))</f>
        <v>100</v>
      </c>
      <c r="D4" s="3" t="str">
        <f aca="false">IF(C4="","",IF(C4&gt;=設定!$D$11,"A",IF(C4&gt;=設定!$E$11,"B","C")))</f>
        <v>A</v>
      </c>
      <c r="E4" s="3" t="n">
        <f aca="false">IF(AND('国語（前期）'!AB5="",'国語（後期）'!AB5=""),"",ROUND(IF('国語（前期）'!AB5="",'国語（後期）'!AB5,IF('国語（後期）'!AB5="",'国語（前期）'!AB5,('国語（前期）'!AB5+'国語（後期）'!AB5)/2)),0))</f>
        <v>99</v>
      </c>
      <c r="F4" s="3" t="str">
        <f aca="false">IF(E4="","",IF(E4&gt;=設定!$D$11,"A",IF(E4&gt;=設定!$E$11,"B","C")))</f>
        <v>A</v>
      </c>
      <c r="G4" s="3" t="n">
        <f aca="false">IF(AND('算数（前期）'!O5="",'算数（後期）'!O5=""),"",ROUND(IF('算数（前期）'!O5="",'算数（後期）'!O5,IF('算数（後期）'!O5="",'算数（前期）'!O5,('算数（前期）'!O5+'算数（後期）'!O5)/2)),0))</f>
        <v>100</v>
      </c>
      <c r="H4" s="3" t="str">
        <f aca="false">IF(G4="","",IF(G4&gt;=設定!$D$12,"A",IF(G4&gt;=設定!$E$12,"B","C")))</f>
        <v>A</v>
      </c>
      <c r="I4" s="3" t="n">
        <f aca="false">IF(AND('算数（前期）'!AB5="",'算数（後期）'!AB5=""),"",ROUND(IF('算数（前期）'!AB5="",'算数（後期）'!AB5,IF('算数（後期）'!AB5="",'算数（前期）'!AB5,('算数（前期）'!AB5+'算数（後期）'!AB5)/2)),0))</f>
        <v>93</v>
      </c>
      <c r="J4" s="3" t="str">
        <f aca="false">IF(I4="","",IF(I4&gt;=設定!$D$12,"A",IF(I4&gt;=設定!$E$12,"B","C")))</f>
        <v>A</v>
      </c>
      <c r="K4" s="3" t="n">
        <f aca="false">IF(AND('社会（前期）'!O5="",'社会（後期）'!O5=""),"",ROUND(IF('社会（前期）'!O5="",'社会（後期）'!O5,IF('社会（後期）'!O5="",'社会（前期）'!O5,('社会（前期）'!O5+'社会（後期）'!O5)/2)),0))</f>
        <v>97</v>
      </c>
      <c r="L4" s="3" t="str">
        <f aca="false">IF(K4="","",IF(K4&gt;=設定!$D$13,"A",IF(K4&gt;=設定!$E$13,"B","C")))</f>
        <v>A</v>
      </c>
      <c r="M4" s="3" t="n">
        <f aca="false">IF(AND('社会（前期）'!AB5="",'社会（後期）'!AB5=""),"",ROUND(IF('社会（前期）'!AB5="",'社会（後期）'!AB5,IF('社会（後期）'!AB5="",'社会（前期）'!AB5,('社会（前期）'!AB5+'社会（後期）'!AB5)/2)),0))</f>
        <v>96</v>
      </c>
      <c r="N4" s="3" t="str">
        <f aca="false">IF(M4="","",IF(M4&gt;=設定!$D$13,"A",IF(M4&gt;=設定!$E$13,"B","C")))</f>
        <v>A</v>
      </c>
      <c r="O4" s="3" t="n">
        <f aca="false">IF(AND('理科（前期）'!O5="",'理科（後期）'!O5=""),"",ROUND(IF('理科（前期）'!O5="",'理科（後期）'!O5,IF('理科（後期）'!O5="",'理科（前期）'!O5,('理科（前期）'!O5+'理科（後期）'!O5)/2)),0))</f>
        <v>100</v>
      </c>
      <c r="P4" s="3" t="str">
        <f aca="false">IF(O4="","",IF(O4&gt;=設定!$D$14,"A",IF(O4&gt;=設定!$E$14,"B","C")))</f>
        <v>A</v>
      </c>
      <c r="Q4" s="3" t="n">
        <f aca="false">IF(AND('理科（前期）'!AB5="",'理科（後期）'!AB5=""),"",ROUND(IF('理科（前期）'!AB5="",'理科（後期）'!AB5,IF('理科（後期）'!AB5="",'理科（前期）'!AB5,('理科（前期）'!AB5+'理科（後期）'!AB5)/2)),0))</f>
        <v>93</v>
      </c>
      <c r="R4" s="3" t="str">
        <f aca="false">IF(Q4="","",IF(Q4&gt;=設定!$D$14,"A",IF(Q4&gt;=設定!$E$14,"B","C")))</f>
        <v>A</v>
      </c>
      <c r="S4" s="3" t="n">
        <f aca="false">IF(AND('英語（前期）'!O5="",'英語（後期）'!O5=""),"",ROUND(IF('英語（前期）'!O5="",'英語（後期）'!O5,IF('英語（後期）'!O5="",'英語（前期）'!O5,('英語（前期）'!O5+'英語（後期）'!O5)/2)),0))</f>
        <v>97</v>
      </c>
      <c r="T4" s="3" t="str">
        <f aca="false">IF(S4="","",IF(S4&gt;=設定!$D$15,"A",IF(S4&gt;=設定!$E$15,"B","C")))</f>
        <v>A</v>
      </c>
      <c r="U4" s="3" t="n">
        <f aca="false">IF(AND('英語（前期）'!AB5="",'英語（後期）'!AB5=""),"",ROUND(IF('英語（前期）'!AB5="",'英語（後期）'!AB5,IF('英語（後期）'!AB5="",'英語（前期）'!AB5,('英語（前期）'!AB5+'英語（後期）'!AB5)/2)),0))</f>
        <v>97</v>
      </c>
      <c r="V4" s="3" t="str">
        <f aca="false">IF(U4="","",IF(U4&gt;=設定!$D$15,"A",IF(U4&gt;=設定!$E$15,"B","C")))</f>
        <v>A</v>
      </c>
      <c r="W4" s="3" t="n">
        <f aca="false">IF(AND('保健（前期）'!O5="",'保健（後期）'!O5=""),"",ROUND(IF('保健（前期）'!O5="",'保健（後期）'!O5,IF('保健（後期）'!O5="",'保健（前期）'!O5,('保健（前期）'!O5+'保健（後期）'!O5)/2)),0))</f>
        <v>100</v>
      </c>
      <c r="X4" s="3" t="str">
        <f aca="false">IF(W4="","",IF(W4&gt;=設定!$D$16,"A",IF(W4&gt;=設定!$E$16,"B","C")))</f>
        <v>A</v>
      </c>
      <c r="Y4" s="3" t="n">
        <f aca="false">IF(AND('保健（前期）'!AB5="",'保健（後期）'!AB5=""),"",ROUND(IF('保健（前期）'!AB5="",'保健（後期）'!AB5,IF('保健（後期）'!AB5="",'保健（前期）'!AB5,('保健（前期）'!AB5+'保健（後期）'!AB5)/2)),0))</f>
        <v>99</v>
      </c>
      <c r="Z4" s="3" t="str">
        <f aca="false">IF(Y4="","",IF(Y4&gt;=設定!$D$16,"A",IF(Y4&gt;=設定!$E$16,"B","C")))</f>
        <v>A</v>
      </c>
    </row>
    <row r="5" customFormat="false" ht="15" hidden="false" customHeight="false" outlineLevel="0" collapsed="false">
      <c r="A5" s="3" t="n">
        <v>2</v>
      </c>
      <c r="B5" s="60" t="str">
        <f aca="false">IF(名簿!B4="","",名簿!B4)</f>
        <v>池田 さくら</v>
      </c>
      <c r="C5" s="3" t="n">
        <f aca="false">IF(AND('国語（前期）'!O6="",'国語（後期）'!O6=""),"",ROUND(IF('国語（前期）'!O6="",'国語（後期）'!O6,IF('国語（後期）'!O6="",'国語（前期）'!O6,('国語（前期）'!O6+'国語（後期）'!O6)/2)),0))</f>
        <v>86</v>
      </c>
      <c r="D5" s="3" t="str">
        <f aca="false">IF(C5="","",IF(C5&gt;=設定!$D$11,"A",IF(C5&gt;=設定!$E$11,"B","C")))</f>
        <v>B</v>
      </c>
      <c r="E5" s="3" t="n">
        <f aca="false">IF(AND('国語（前期）'!AB6="",'国語（後期）'!AB6=""),"",ROUND(IF('国語（前期）'!AB6="",'国語（後期）'!AB6,IF('国語（後期）'!AB6="",'国語（前期）'!AB6,('国語（前期）'!AB6+'国語（後期）'!AB6)/2)),0))</f>
        <v>74</v>
      </c>
      <c r="F5" s="3" t="str">
        <f aca="false">IF(E5="","",IF(E5&gt;=設定!$D$11,"A",IF(E5&gt;=設定!$E$11,"B","C")))</f>
        <v>B</v>
      </c>
      <c r="G5" s="3" t="n">
        <f aca="false">IF(AND('算数（前期）'!O6="",'算数（後期）'!O6=""),"",ROUND(IF('算数（前期）'!O6="",'算数（後期）'!O6,IF('算数（後期）'!O6="",'算数（前期）'!O6,('算数（前期）'!O6+'算数（後期）'!O6)/2)),0))</f>
        <v>87</v>
      </c>
      <c r="H5" s="3" t="str">
        <f aca="false">IF(G5="","",IF(G5&gt;=設定!$D$12,"A",IF(G5&gt;=設定!$E$12,"B","C")))</f>
        <v>A</v>
      </c>
      <c r="I5" s="3" t="n">
        <f aca="false">IF(AND('算数（前期）'!AB6="",'算数（後期）'!AB6=""),"",ROUND(IF('算数（前期）'!AB6="",'算数（後期）'!AB6,IF('算数（後期）'!AB6="",'算数（前期）'!AB6,('算数（前期）'!AB6+'算数（後期）'!AB6)/2)),0))</f>
        <v>76</v>
      </c>
      <c r="J5" s="3" t="str">
        <f aca="false">IF(I5="","",IF(I5&gt;=設定!$D$12,"A",IF(I5&gt;=設定!$E$12,"B","C")))</f>
        <v>B</v>
      </c>
      <c r="K5" s="3" t="n">
        <f aca="false">IF(AND('社会（前期）'!O6="",'社会（後期）'!O6=""),"",ROUND(IF('社会（前期）'!O6="",'社会（後期）'!O6,IF('社会（後期）'!O6="",'社会（前期）'!O6,('社会（前期）'!O6+'社会（後期）'!O6)/2)),0))</f>
        <v>86</v>
      </c>
      <c r="L5" s="3" t="str">
        <f aca="false">IF(K5="","",IF(K5&gt;=設定!$D$13,"A",IF(K5&gt;=設定!$E$13,"B","C")))</f>
        <v>B</v>
      </c>
      <c r="M5" s="3" t="n">
        <f aca="false">IF(AND('社会（前期）'!AB6="",'社会（後期）'!AB6=""),"",ROUND(IF('社会（前期）'!AB6="",'社会（後期）'!AB6,IF('社会（後期）'!AB6="",'社会（前期）'!AB6,('社会（前期）'!AB6+'社会（後期）'!AB6)/2)),0))</f>
        <v>75</v>
      </c>
      <c r="N5" s="3" t="str">
        <f aca="false">IF(M5="","",IF(M5&gt;=設定!$D$13,"A",IF(M5&gt;=設定!$E$13,"B","C")))</f>
        <v>B</v>
      </c>
      <c r="O5" s="3" t="n">
        <f aca="false">IF(AND('理科（前期）'!O6="",'理科（後期）'!O6=""),"",ROUND(IF('理科（前期）'!O6="",'理科（後期）'!O6,IF('理科（後期）'!O6="",'理科（前期）'!O6,('理科（前期）'!O6+'理科（後期）'!O6)/2)),0))</f>
        <v>85</v>
      </c>
      <c r="P5" s="3" t="str">
        <f aca="false">IF(O5="","",IF(O5&gt;=設定!$D$14,"A",IF(O5&gt;=設定!$E$14,"B","C")))</f>
        <v>B</v>
      </c>
      <c r="Q5" s="3" t="n">
        <f aca="false">IF(AND('理科（前期）'!AB6="",'理科（後期）'!AB6=""),"",ROUND(IF('理科（前期）'!AB6="",'理科（後期）'!AB6,IF('理科（後期）'!AB6="",'理科（前期）'!AB6,('理科（前期）'!AB6+'理科（後期）'!AB6)/2)),0))</f>
        <v>73</v>
      </c>
      <c r="R5" s="3" t="str">
        <f aca="false">IF(Q5="","",IF(Q5&gt;=設定!$D$14,"A",IF(Q5&gt;=設定!$E$14,"B","C")))</f>
        <v>B</v>
      </c>
      <c r="S5" s="3" t="n">
        <f aca="false">IF(AND('英語（前期）'!O6="",'英語（後期）'!O6=""),"",ROUND(IF('英語（前期）'!O6="",'英語（後期）'!O6,IF('英語（後期）'!O6="",'英語（前期）'!O6,('英語（前期）'!O6+'英語（後期）'!O6)/2)),0))</f>
        <v>90</v>
      </c>
      <c r="T5" s="3" t="str">
        <f aca="false">IF(S5="","",IF(S5&gt;=設定!$D$15,"A",IF(S5&gt;=設定!$E$15,"B","C")))</f>
        <v>A</v>
      </c>
      <c r="U5" s="3" t="n">
        <f aca="false">IF(AND('英語（前期）'!AB6="",'英語（後期）'!AB6=""),"",ROUND(IF('英語（前期）'!AB6="",'英語（後期）'!AB6,IF('英語（後期）'!AB6="",'英語（前期）'!AB6,('英語（前期）'!AB6+'英語（後期）'!AB6)/2)),0))</f>
        <v>72</v>
      </c>
      <c r="V5" s="3" t="str">
        <f aca="false">IF(U5="","",IF(U5&gt;=設定!$D$15,"A",IF(U5&gt;=設定!$E$15,"B","C")))</f>
        <v>B</v>
      </c>
      <c r="W5" s="3" t="n">
        <f aca="false">IF(AND('保健（前期）'!O6="",'保健（後期）'!O6=""),"",ROUND(IF('保健（前期）'!O6="",'保健（後期）'!O6,IF('保健（後期）'!O6="",'保健（前期）'!O6,('保健（前期）'!O6+'保健（後期）'!O6)/2)),0))</f>
        <v>91</v>
      </c>
      <c r="X5" s="3" t="str">
        <f aca="false">IF(W5="","",IF(W5&gt;=設定!$D$16,"A",IF(W5&gt;=設定!$E$16,"B","C")))</f>
        <v>A</v>
      </c>
      <c r="Y5" s="3" t="n">
        <f aca="false">IF(AND('保健（前期）'!AB6="",'保健（後期）'!AB6=""),"",ROUND(IF('保健（前期）'!AB6="",'保健（後期）'!AB6,IF('保健（後期）'!AB6="",'保健（前期）'!AB6,('保健（前期）'!AB6+'保健（後期）'!AB6)/2)),0))</f>
        <v>77</v>
      </c>
      <c r="Z5" s="3" t="str">
        <f aca="false">IF(Y5="","",IF(Y5&gt;=設定!$D$16,"A",IF(Y5&gt;=設定!$E$16,"B","C")))</f>
        <v>B</v>
      </c>
    </row>
    <row r="6" customFormat="false" ht="15" hidden="false" customHeight="false" outlineLevel="0" collapsed="false">
      <c r="A6" s="3" t="n">
        <v>3</v>
      </c>
      <c r="B6" s="60" t="str">
        <f aca="false">IF(名簿!B5="","",名簿!B5)</f>
        <v>林 陽翔</v>
      </c>
      <c r="C6" s="3" t="n">
        <f aca="false">IF(AND('国語（前期）'!O7="",'国語（後期）'!O7=""),"",ROUND(IF('国語（前期）'!O7="",'国語（後期）'!O7,IF('国語（後期）'!O7="",'国語（前期）'!O7,('国語（前期）'!O7+'国語（後期）'!O7)/2)),0))</f>
        <v>92</v>
      </c>
      <c r="D6" s="3" t="str">
        <f aca="false">IF(C6="","",IF(C6&gt;=設定!$D$11,"A",IF(C6&gt;=設定!$E$11,"B","C")))</f>
        <v>A</v>
      </c>
      <c r="E6" s="3" t="n">
        <f aca="false">IF(AND('国語（前期）'!AB7="",'国語（後期）'!AB7=""),"",ROUND(IF('国語（前期）'!AB7="",'国語（後期）'!AB7,IF('国語（後期）'!AB7="",'国語（前期）'!AB7,('国語（前期）'!AB7+'国語（後期）'!AB7)/2)),0))</f>
        <v>86</v>
      </c>
      <c r="F6" s="3" t="str">
        <f aca="false">IF(E6="","",IF(E6&gt;=設定!$D$11,"A",IF(E6&gt;=設定!$E$11,"B","C")))</f>
        <v>B</v>
      </c>
      <c r="G6" s="3" t="n">
        <f aca="false">IF(AND('算数（前期）'!O7="",'算数（後期）'!O7=""),"",ROUND(IF('算数（前期）'!O7="",'算数（後期）'!O7,IF('算数（後期）'!O7="",'算数（前期）'!O7,('算数（前期）'!O7+'算数（後期）'!O7)/2)),0))</f>
        <v>95</v>
      </c>
      <c r="H6" s="3" t="str">
        <f aca="false">IF(G6="","",IF(G6&gt;=設定!$D$12,"A",IF(G6&gt;=設定!$E$12,"B","C")))</f>
        <v>A</v>
      </c>
      <c r="I6" s="3" t="n">
        <f aca="false">IF(AND('算数（前期）'!AB7="",'算数（後期）'!AB7=""),"",ROUND(IF('算数（前期）'!AB7="",'算数（後期）'!AB7,IF('算数（後期）'!AB7="",'算数（前期）'!AB7,('算数（前期）'!AB7+'算数（後期）'!AB7)/2)),0))</f>
        <v>84</v>
      </c>
      <c r="J6" s="3" t="str">
        <f aca="false">IF(I6="","",IF(I6&gt;=設定!$D$12,"A",IF(I6&gt;=設定!$E$12,"B","C")))</f>
        <v>B</v>
      </c>
      <c r="K6" s="3" t="n">
        <f aca="false">IF(AND('社会（前期）'!O7="",'社会（後期）'!O7=""),"",ROUND(IF('社会（前期）'!O7="",'社会（後期）'!O7,IF('社会（後期）'!O7="",'社会（前期）'!O7,('社会（前期）'!O7+'社会（後期）'!O7)/2)),0))</f>
        <v>96</v>
      </c>
      <c r="L6" s="3" t="str">
        <f aca="false">IF(K6="","",IF(K6&gt;=設定!$D$13,"A",IF(K6&gt;=設定!$E$13,"B","C")))</f>
        <v>A</v>
      </c>
      <c r="M6" s="3" t="n">
        <f aca="false">IF(AND('社会（前期）'!AB7="",'社会（後期）'!AB7=""),"",ROUND(IF('社会（前期）'!AB7="",'社会（後期）'!AB7,IF('社会（後期）'!AB7="",'社会（前期）'!AB7,('社会（前期）'!AB7+'社会（後期）'!AB7)/2)),0))</f>
        <v>87</v>
      </c>
      <c r="N6" s="3" t="str">
        <f aca="false">IF(M6="","",IF(M6&gt;=設定!$D$13,"A",IF(M6&gt;=設定!$E$13,"B","C")))</f>
        <v>B</v>
      </c>
      <c r="O6" s="3" t="n">
        <f aca="false">IF(AND('理科（前期）'!O7="",'理科（後期）'!O7=""),"",ROUND(IF('理科（前期）'!O7="",'理科（後期）'!O7,IF('理科（後期）'!O7="",'理科（前期）'!O7,('理科（前期）'!O7+'理科（後期）'!O7)/2)),0))</f>
        <v>95</v>
      </c>
      <c r="P6" s="3" t="str">
        <f aca="false">IF(O6="","",IF(O6&gt;=設定!$D$14,"A",IF(O6&gt;=設定!$E$14,"B","C")))</f>
        <v>A</v>
      </c>
      <c r="Q6" s="3" t="n">
        <f aca="false">IF(AND('理科（前期）'!AB7="",'理科（後期）'!AB7=""),"",ROUND(IF('理科（前期）'!AB7="",'理科（後期）'!AB7,IF('理科（後期）'!AB7="",'理科（前期）'!AB7,('理科（前期）'!AB7+'理科（後期）'!AB7)/2)),0))</f>
        <v>86</v>
      </c>
      <c r="R6" s="3" t="str">
        <f aca="false">IF(Q6="","",IF(Q6&gt;=設定!$D$14,"A",IF(Q6&gt;=設定!$E$14,"B","C")))</f>
        <v>B</v>
      </c>
      <c r="S6" s="3" t="n">
        <f aca="false">IF(AND('英語（前期）'!O7="",'英語（後期）'!O7=""),"",ROUND(IF('英語（前期）'!O7="",'英語（後期）'!O7,IF('英語（後期）'!O7="",'英語（前期）'!O7,('英語（前期）'!O7+'英語（後期）'!O7)/2)),0))</f>
        <v>94</v>
      </c>
      <c r="T6" s="3" t="str">
        <f aca="false">IF(S6="","",IF(S6&gt;=設定!$D$15,"A",IF(S6&gt;=設定!$E$15,"B","C")))</f>
        <v>A</v>
      </c>
      <c r="U6" s="3" t="n">
        <f aca="false">IF(AND('英語（前期）'!AB7="",'英語（後期）'!AB7=""),"",ROUND(IF('英語（前期）'!AB7="",'英語（後期）'!AB7,IF('英語（後期）'!AB7="",'英語（前期）'!AB7,('英語（前期）'!AB7+'英語（後期）'!AB7)/2)),0))</f>
        <v>77</v>
      </c>
      <c r="V6" s="3" t="str">
        <f aca="false">IF(U6="","",IF(U6&gt;=設定!$D$15,"A",IF(U6&gt;=設定!$E$15,"B","C")))</f>
        <v>B</v>
      </c>
      <c r="W6" s="3" t="n">
        <f aca="false">IF(AND('保健（前期）'!O7="",'保健（後期）'!O7=""),"",ROUND(IF('保健（前期）'!O7="",'保健（後期）'!O7,IF('保健（後期）'!O7="",'保健（前期）'!O7,('保健（前期）'!O7+'保健（後期）'!O7)/2)),0))</f>
        <v>90</v>
      </c>
      <c r="X6" s="3" t="str">
        <f aca="false">IF(W6="","",IF(W6&gt;=設定!$D$16,"A",IF(W6&gt;=設定!$E$16,"B","C")))</f>
        <v>A</v>
      </c>
      <c r="Y6" s="3" t="n">
        <f aca="false">IF(AND('保健（前期）'!AB7="",'保健（後期）'!AB7=""),"",ROUND(IF('保健（前期）'!AB7="",'保健（後期）'!AB7,IF('保健（後期）'!AB7="",'保健（前期）'!AB7,('保健（前期）'!AB7+'保健（後期）'!AB7)/2)),0))</f>
        <v>80</v>
      </c>
      <c r="Z6" s="3" t="str">
        <f aca="false">IF(Y6="","",IF(Y6&gt;=設定!$D$16,"A",IF(Y6&gt;=設定!$E$16,"B","C")))</f>
        <v>B</v>
      </c>
    </row>
    <row r="7" customFormat="false" ht="15" hidden="false" customHeight="false" outlineLevel="0" collapsed="false">
      <c r="A7" s="3" t="n">
        <v>4</v>
      </c>
      <c r="B7" s="60" t="str">
        <f aca="false">IF(名簿!B6="","",名簿!B6)</f>
        <v>村上 凛</v>
      </c>
      <c r="C7" s="3" t="n">
        <f aca="false">IF(AND('国語（前期）'!O8="",'国語（後期）'!O8=""),"",ROUND(IF('国語（前期）'!O8="",'国語（後期）'!O8,IF('国語（後期）'!O8="",'国語（前期）'!O8,('国語（前期）'!O8+'国語（後期）'!O8)/2)),0))</f>
        <v>81</v>
      </c>
      <c r="D7" s="3" t="str">
        <f aca="false">IF(C7="","",IF(C7&gt;=設定!$D$11,"A",IF(C7&gt;=設定!$E$11,"B","C")))</f>
        <v>B</v>
      </c>
      <c r="E7" s="3" t="n">
        <f aca="false">IF(AND('国語（前期）'!AB8="",'国語（後期）'!AB8=""),"",ROUND(IF('国語（前期）'!AB8="",'国語（後期）'!AB8,IF('国語（後期）'!AB8="",'国語（前期）'!AB8,('国語（前期）'!AB8+'国語（後期）'!AB8)/2)),0))</f>
        <v>73</v>
      </c>
      <c r="F7" s="3" t="str">
        <f aca="false">IF(E7="","",IF(E7&gt;=設定!$D$11,"A",IF(E7&gt;=設定!$E$11,"B","C")))</f>
        <v>B</v>
      </c>
      <c r="G7" s="3" t="n">
        <f aca="false">IF(AND('算数（前期）'!O8="",'算数（後期）'!O8=""),"",ROUND(IF('算数（前期）'!O8="",'算数（後期）'!O8,IF('算数（後期）'!O8="",'算数（前期）'!O8,('算数（前期）'!O8+'算数（後期）'!O8)/2)),0))</f>
        <v>82</v>
      </c>
      <c r="H7" s="3" t="str">
        <f aca="false">IF(G7="","",IF(G7&gt;=設定!$D$12,"A",IF(G7&gt;=設定!$E$12,"B","C")))</f>
        <v>B</v>
      </c>
      <c r="I7" s="3" t="n">
        <f aca="false">IF(AND('算数（前期）'!AB8="",'算数（後期）'!AB8=""),"",ROUND(IF('算数（前期）'!AB8="",'算数（後期）'!AB8,IF('算数（後期）'!AB8="",'算数（前期）'!AB8,('算数（前期）'!AB8+'算数（後期）'!AB8)/2)),0))</f>
        <v>78</v>
      </c>
      <c r="J7" s="3" t="str">
        <f aca="false">IF(I7="","",IF(I7&gt;=設定!$D$12,"A",IF(I7&gt;=設定!$E$12,"B","C")))</f>
        <v>B</v>
      </c>
      <c r="K7" s="3" t="n">
        <f aca="false">IF(AND('社会（前期）'!O8="",'社会（後期）'!O8=""),"",ROUND(IF('社会（前期）'!O8="",'社会（後期）'!O8,IF('社会（後期）'!O8="",'社会（前期）'!O8,('社会（前期）'!O8+'社会（後期）'!O8)/2)),0))</f>
        <v>85</v>
      </c>
      <c r="L7" s="3" t="str">
        <f aca="false">IF(K7="","",IF(K7&gt;=設定!$D$13,"A",IF(K7&gt;=設定!$E$13,"B","C")))</f>
        <v>B</v>
      </c>
      <c r="M7" s="3" t="n">
        <f aca="false">IF(AND('社会（前期）'!AB8="",'社会（後期）'!AB8=""),"",ROUND(IF('社会（前期）'!AB8="",'社会（後期）'!AB8,IF('社会（後期）'!AB8="",'社会（前期）'!AB8,('社会（前期）'!AB8+'社会（後期）'!AB8)/2)),0))</f>
        <v>78</v>
      </c>
      <c r="N7" s="3" t="str">
        <f aca="false">IF(M7="","",IF(M7&gt;=設定!$D$13,"A",IF(M7&gt;=設定!$E$13,"B","C")))</f>
        <v>B</v>
      </c>
      <c r="O7" s="3" t="n">
        <f aca="false">IF(AND('理科（前期）'!O8="",'理科（後期）'!O8=""),"",ROUND(IF('理科（前期）'!O8="",'理科（後期）'!O8,IF('理科（後期）'!O8="",'理科（前期）'!O8,('理科（前期）'!O8+'理科（後期）'!O8)/2)),0))</f>
        <v>85</v>
      </c>
      <c r="P7" s="3" t="str">
        <f aca="false">IF(O7="","",IF(O7&gt;=設定!$D$14,"A",IF(O7&gt;=設定!$E$14,"B","C")))</f>
        <v>B</v>
      </c>
      <c r="Q7" s="3" t="n">
        <f aca="false">IF(AND('理科（前期）'!AB8="",'理科（後期）'!AB8=""),"",ROUND(IF('理科（前期）'!AB8="",'理科（後期）'!AB8,IF('理科（後期）'!AB8="",'理科（前期）'!AB8,('理科（前期）'!AB8+'理科（後期）'!AB8)/2)),0))</f>
        <v>75</v>
      </c>
      <c r="R7" s="3" t="str">
        <f aca="false">IF(Q7="","",IF(Q7&gt;=設定!$D$14,"A",IF(Q7&gt;=設定!$E$14,"B","C")))</f>
        <v>B</v>
      </c>
      <c r="S7" s="3" t="n">
        <f aca="false">IF(AND('英語（前期）'!O8="",'英語（後期）'!O8=""),"",ROUND(IF('英語（前期）'!O8="",'英語（後期）'!O8,IF('英語（後期）'!O8="",'英語（前期）'!O8,('英語（前期）'!O8+'英語（後期）'!O8)/2)),0))</f>
        <v>88</v>
      </c>
      <c r="T7" s="3" t="str">
        <f aca="false">IF(S7="","",IF(S7&gt;=設定!$D$15,"A",IF(S7&gt;=設定!$E$15,"B","C")))</f>
        <v>B</v>
      </c>
      <c r="U7" s="3" t="n">
        <f aca="false">IF(AND('英語（前期）'!AB8="",'英語（後期）'!AB8=""),"",ROUND(IF('英語（前期）'!AB8="",'英語（後期）'!AB8,IF('英語（後期）'!AB8="",'英語（前期）'!AB8,('英語（前期）'!AB8+'英語（後期）'!AB8)/2)),0))</f>
        <v>79</v>
      </c>
      <c r="V7" s="3" t="str">
        <f aca="false">IF(U7="","",IF(U7&gt;=設定!$D$15,"A",IF(U7&gt;=設定!$E$15,"B","C")))</f>
        <v>B</v>
      </c>
      <c r="W7" s="3" t="n">
        <f aca="false">IF(AND('保健（前期）'!O8="",'保健（後期）'!O8=""),"",ROUND(IF('保健（前期）'!O8="",'保健（後期）'!O8,IF('保健（後期）'!O8="",'保健（前期）'!O8,('保健（前期）'!O8+'保健（後期）'!O8)/2)),0))</f>
        <v>79</v>
      </c>
      <c r="X7" s="3" t="str">
        <f aca="false">IF(W7="","",IF(W7&gt;=設定!$D$16,"A",IF(W7&gt;=設定!$E$16,"B","C")))</f>
        <v>B</v>
      </c>
      <c r="Y7" s="3" t="n">
        <f aca="false">IF(AND('保健（前期）'!AB8="",'保健（後期）'!AB8=""),"",ROUND(IF('保健（前期）'!AB8="",'保健（後期）'!AB8,IF('保健（後期）'!AB8="",'保健（前期）'!AB8,('保健（前期）'!AB8+'保健（後期）'!AB8)/2)),0))</f>
        <v>78</v>
      </c>
      <c r="Z7" s="3" t="str">
        <f aca="false">IF(Y7="","",IF(Y7&gt;=設定!$D$16,"A",IF(Y7&gt;=設定!$E$16,"B","C")))</f>
        <v>B</v>
      </c>
    </row>
    <row r="8" customFormat="false" ht="15" hidden="false" customHeight="false" outlineLevel="0" collapsed="false">
      <c r="A8" s="3" t="n">
        <v>5</v>
      </c>
      <c r="B8" s="60" t="str">
        <f aca="false">IF(名簿!B7="","",名簿!B7)</f>
        <v>中村 蓮</v>
      </c>
      <c r="C8" s="3" t="n">
        <f aca="false">IF(AND('国語（前期）'!O9="",'国語（後期）'!O9=""),"",ROUND(IF('国語（前期）'!O9="",'国語（後期）'!O9,IF('国語（後期）'!O9="",'国語（前期）'!O9,('国語（前期）'!O9+'国語（後期）'!O9)/2)),0))</f>
        <v>94</v>
      </c>
      <c r="D8" s="3" t="str">
        <f aca="false">IF(C8="","",IF(C8&gt;=設定!$D$11,"A",IF(C8&gt;=設定!$E$11,"B","C")))</f>
        <v>A</v>
      </c>
      <c r="E8" s="3" t="n">
        <f aca="false">IF(AND('国語（前期）'!AB9="",'国語（後期）'!AB9=""),"",ROUND(IF('国語（前期）'!AB9="",'国語（後期）'!AB9,IF('国語（後期）'!AB9="",'国語（前期）'!AB9,('国語（前期）'!AB9+'国語（後期）'!AB9)/2)),0))</f>
        <v>89</v>
      </c>
      <c r="F8" s="3" t="str">
        <f aca="false">IF(E8="","",IF(E8&gt;=設定!$D$11,"A",IF(E8&gt;=設定!$E$11,"B","C")))</f>
        <v>B</v>
      </c>
      <c r="G8" s="3" t="n">
        <f aca="false">IF(AND('算数（前期）'!O9="",'算数（後期）'!O9=""),"",ROUND(IF('算数（前期）'!O9="",'算数（後期）'!O9,IF('算数（後期）'!O9="",'算数（前期）'!O9,('算数（前期）'!O9+'算数（後期）'!O9)/2)),0))</f>
        <v>95</v>
      </c>
      <c r="H8" s="3" t="str">
        <f aca="false">IF(G8="","",IF(G8&gt;=設定!$D$12,"A",IF(G8&gt;=設定!$E$12,"B","C")))</f>
        <v>A</v>
      </c>
      <c r="I8" s="3" t="n">
        <f aca="false">IF(AND('算数（前期）'!AB9="",'算数（後期）'!AB9=""),"",ROUND(IF('算数（前期）'!AB9="",'算数（後期）'!AB9,IF('算数（後期）'!AB9="",'算数（前期）'!AB9,('算数（前期）'!AB9+'算数（後期）'!AB9)/2)),0))</f>
        <v>91</v>
      </c>
      <c r="J8" s="3" t="str">
        <f aca="false">IF(I8="","",IF(I8&gt;=設定!$D$12,"A",IF(I8&gt;=設定!$E$12,"B","C")))</f>
        <v>A</v>
      </c>
      <c r="K8" s="3" t="n">
        <f aca="false">IF(AND('社会（前期）'!O9="",'社会（後期）'!O9=""),"",ROUND(IF('社会（前期）'!O9="",'社会（後期）'!O9,IF('社会（後期）'!O9="",'社会（前期）'!O9,('社会（前期）'!O9+'社会（後期）'!O9)/2)),0))</f>
        <v>94</v>
      </c>
      <c r="L8" s="3" t="str">
        <f aca="false">IF(K8="","",IF(K8&gt;=設定!$D$13,"A",IF(K8&gt;=設定!$E$13,"B","C")))</f>
        <v>A</v>
      </c>
      <c r="M8" s="3" t="n">
        <f aca="false">IF(AND('社会（前期）'!AB9="",'社会（後期）'!AB9=""),"",ROUND(IF('社会（前期）'!AB9="",'社会（後期）'!AB9,IF('社会（後期）'!AB9="",'社会（前期）'!AB9,('社会（前期）'!AB9+'社会（後期）'!AB9)/2)),0))</f>
        <v>88</v>
      </c>
      <c r="N8" s="3" t="str">
        <f aca="false">IF(M8="","",IF(M8&gt;=設定!$D$13,"A",IF(M8&gt;=設定!$E$13,"B","C")))</f>
        <v>B</v>
      </c>
      <c r="O8" s="3" t="n">
        <f aca="false">IF(AND('理科（前期）'!O9="",'理科（後期）'!O9=""),"",ROUND(IF('理科（前期）'!O9="",'理科（後期）'!O9,IF('理科（後期）'!O9="",'理科（前期）'!O9,('理科（前期）'!O9+'理科（後期）'!O9)/2)),0))</f>
        <v>96</v>
      </c>
      <c r="P8" s="3" t="str">
        <f aca="false">IF(O8="","",IF(O8&gt;=設定!$D$14,"A",IF(O8&gt;=設定!$E$14,"B","C")))</f>
        <v>A</v>
      </c>
      <c r="Q8" s="3" t="n">
        <f aca="false">IF(AND('理科（前期）'!AB9="",'理科（後期）'!AB9=""),"",ROUND(IF('理科（前期）'!AB9="",'理科（後期）'!AB9,IF('理科（後期）'!AB9="",'理科（前期）'!AB9,('理科（前期）'!AB9+'理科（後期）'!AB9)/2)),0))</f>
        <v>87</v>
      </c>
      <c r="R8" s="3" t="str">
        <f aca="false">IF(Q8="","",IF(Q8&gt;=設定!$D$14,"A",IF(Q8&gt;=設定!$E$14,"B","C")))</f>
        <v>B</v>
      </c>
      <c r="S8" s="3" t="n">
        <f aca="false">IF(AND('英語（前期）'!O9="",'英語（後期）'!O9=""),"",ROUND(IF('英語（前期）'!O9="",'英語（後期）'!O9,IF('英語（後期）'!O9="",'英語（前期）'!O9,('英語（前期）'!O9+'英語（後期）'!O9)/2)),0))</f>
        <v>98</v>
      </c>
      <c r="T8" s="3" t="str">
        <f aca="false">IF(S8="","",IF(S8&gt;=設定!$D$15,"A",IF(S8&gt;=設定!$E$15,"B","C")))</f>
        <v>A</v>
      </c>
      <c r="U8" s="3" t="n">
        <f aca="false">IF(AND('英語（前期）'!AB9="",'英語（後期）'!AB9=""),"",ROUND(IF('英語（前期）'!AB9="",'英語（後期）'!AB9,IF('英語（後期）'!AB9="",'英語（前期）'!AB9,('英語（前期）'!AB9+'英語（後期）'!AB9)/2)),0))</f>
        <v>89</v>
      </c>
      <c r="V8" s="3" t="str">
        <f aca="false">IF(U8="","",IF(U8&gt;=設定!$D$15,"A",IF(U8&gt;=設定!$E$15,"B","C")))</f>
        <v>B</v>
      </c>
      <c r="W8" s="3" t="n">
        <f aca="false">IF(AND('保健（前期）'!O9="",'保健（後期）'!O9=""),"",ROUND(IF('保健（前期）'!O9="",'保健（後期）'!O9,IF('保健（後期）'!O9="",'保健（前期）'!O9,('保健（前期）'!O9+'保健（後期）'!O9)/2)),0))</f>
        <v>97</v>
      </c>
      <c r="X8" s="3" t="str">
        <f aca="false">IF(W8="","",IF(W8&gt;=設定!$D$16,"A",IF(W8&gt;=設定!$E$16,"B","C")))</f>
        <v>A</v>
      </c>
      <c r="Y8" s="3" t="n">
        <f aca="false">IF(AND('保健（前期）'!AB9="",'保健（後期）'!AB9=""),"",ROUND(IF('保健（前期）'!AB9="",'保健（後期）'!AB9,IF('保健（後期）'!AB9="",'保健（前期）'!AB9,('保健（前期）'!AB9+'保健（後期）'!AB9)/2)),0))</f>
        <v>88</v>
      </c>
      <c r="Z8" s="3" t="str">
        <f aca="false">IF(Y8="","",IF(Y8&gt;=設定!$D$16,"A",IF(Y8&gt;=設定!$E$16,"B","C")))</f>
        <v>B</v>
      </c>
    </row>
    <row r="9" customFormat="false" ht="15" hidden="false" customHeight="false" outlineLevel="0" collapsed="false">
      <c r="A9" s="3" t="n">
        <v>6</v>
      </c>
      <c r="B9" s="60" t="str">
        <f aca="false">IF(名簿!B8="","",名簿!B8)</f>
        <v>小川 彩花</v>
      </c>
      <c r="C9" s="3" t="n">
        <f aca="false">IF(AND('国語（前期）'!O10="",'国語（後期）'!O10=""),"",ROUND(IF('国語（前期）'!O10="",'国語（後期）'!O10,IF('国語（後期）'!O10="",'国語（前期）'!O10,('国語（前期）'!O10+'国語（後期）'!O10)/2)),0))</f>
        <v>69</v>
      </c>
      <c r="D9" s="3" t="str">
        <f aca="false">IF(C9="","",IF(C9&gt;=設定!$D$11,"A",IF(C9&gt;=設定!$E$11,"B","C")))</f>
        <v>B</v>
      </c>
      <c r="E9" s="3" t="n">
        <f aca="false">IF(AND('国語（前期）'!AB10="",'国語（後期）'!AB10=""),"",ROUND(IF('国語（前期）'!AB10="",'国語（後期）'!AB10,IF('国語（後期）'!AB10="",'国語（前期）'!AB10,('国語（前期）'!AB10+'国語（後期）'!AB10)/2)),0))</f>
        <v>60</v>
      </c>
      <c r="F9" s="3" t="str">
        <f aca="false">IF(E9="","",IF(E9&gt;=設定!$D$11,"A",IF(E9&gt;=設定!$E$11,"B","C")))</f>
        <v>B</v>
      </c>
      <c r="G9" s="3" t="n">
        <f aca="false">IF(AND('算数（前期）'!O10="",'算数（後期）'!O10=""),"",ROUND(IF('算数（前期）'!O10="",'算数（後期）'!O10,IF('算数（後期）'!O10="",'算数（前期）'!O10,('算数（前期）'!O10+'算数（後期）'!O10)/2)),0))</f>
        <v>75</v>
      </c>
      <c r="H9" s="3" t="str">
        <f aca="false">IF(G9="","",IF(G9&gt;=設定!$D$12,"A",IF(G9&gt;=設定!$E$12,"B","C")))</f>
        <v>B</v>
      </c>
      <c r="I9" s="3" t="n">
        <f aca="false">IF(AND('算数（前期）'!AB10="",'算数（後期）'!AB10=""),"",ROUND(IF('算数（前期）'!AB10="",'算数（後期）'!AB10,IF('算数（後期）'!AB10="",'算数（前期）'!AB10,('算数（前期）'!AB10+'算数（後期）'!AB10)/2)),0))</f>
        <v>63</v>
      </c>
      <c r="J9" s="3" t="str">
        <f aca="false">IF(I9="","",IF(I9&gt;=設定!$D$12,"A",IF(I9&gt;=設定!$E$12,"B","C")))</f>
        <v>B</v>
      </c>
      <c r="K9" s="3" t="n">
        <f aca="false">IF(AND('社会（前期）'!O10="",'社会（後期）'!O10=""),"",ROUND(IF('社会（前期）'!O10="",'社会（後期）'!O10,IF('社会（後期）'!O10="",'社会（前期）'!O10,('社会（前期）'!O10+'社会（後期）'!O10)/2)),0))</f>
        <v>73</v>
      </c>
      <c r="L9" s="3" t="str">
        <f aca="false">IF(K9="","",IF(K9&gt;=設定!$D$13,"A",IF(K9&gt;=設定!$E$13,"B","C")))</f>
        <v>B</v>
      </c>
      <c r="M9" s="3" t="n">
        <f aca="false">IF(AND('社会（前期）'!AB10="",'社会（後期）'!AB10=""),"",ROUND(IF('社会（前期）'!AB10="",'社会（後期）'!AB10,IF('社会（後期）'!AB10="",'社会（前期）'!AB10,('社会（前期）'!AB10+'社会（後期）'!AB10)/2)),0))</f>
        <v>65</v>
      </c>
      <c r="N9" s="3" t="str">
        <f aca="false">IF(M9="","",IF(M9&gt;=設定!$D$13,"A",IF(M9&gt;=設定!$E$13,"B","C")))</f>
        <v>B</v>
      </c>
      <c r="O9" s="3" t="n">
        <f aca="false">IF(AND('理科（前期）'!O10="",'理科（後期）'!O10=""),"",ROUND(IF('理科（前期）'!O10="",'理科（後期）'!O10,IF('理科（後期）'!O10="",'理科（前期）'!O10,('理科（前期）'!O10+'理科（後期）'!O10)/2)),0))</f>
        <v>74</v>
      </c>
      <c r="P9" s="3" t="str">
        <f aca="false">IF(O9="","",IF(O9&gt;=設定!$D$14,"A",IF(O9&gt;=設定!$E$14,"B","C")))</f>
        <v>B</v>
      </c>
      <c r="Q9" s="3" t="n">
        <f aca="false">IF(AND('理科（前期）'!AB10="",'理科（後期）'!AB10=""),"",ROUND(IF('理科（前期）'!AB10="",'理科（後期）'!AB10,IF('理科（後期）'!AB10="",'理科（前期）'!AB10,('理科（前期）'!AB10+'理科（後期）'!AB10)/2)),0))</f>
        <v>62</v>
      </c>
      <c r="R9" s="3" t="str">
        <f aca="false">IF(Q9="","",IF(Q9&gt;=設定!$D$14,"A",IF(Q9&gt;=設定!$E$14,"B","C")))</f>
        <v>B</v>
      </c>
      <c r="S9" s="3" t="n">
        <f aca="false">IF(AND('英語（前期）'!O10="",'英語（後期）'!O10=""),"",ROUND(IF('英語（前期）'!O10="",'英語（後期）'!O10,IF('英語（後期）'!O10="",'英語（前期）'!O10,('英語（前期）'!O10+'英語（後期）'!O10)/2)),0))</f>
        <v>78</v>
      </c>
      <c r="T9" s="3" t="str">
        <f aca="false">IF(S9="","",IF(S9&gt;=設定!$D$15,"A",IF(S9&gt;=設定!$E$15,"B","C")))</f>
        <v>B</v>
      </c>
      <c r="U9" s="3" t="n">
        <f aca="false">IF(AND('英語（前期）'!AB10="",'英語（後期）'!AB10=""),"",ROUND(IF('英語（前期）'!AB10="",'英語（後期）'!AB10,IF('英語（後期）'!AB10="",'英語（前期）'!AB10,('英語（前期）'!AB10+'英語（後期）'!AB10)/2)),0))</f>
        <v>66</v>
      </c>
      <c r="V9" s="3" t="str">
        <f aca="false">IF(U9="","",IF(U9&gt;=設定!$D$15,"A",IF(U9&gt;=設定!$E$15,"B","C")))</f>
        <v>B</v>
      </c>
      <c r="W9" s="3" t="n">
        <f aca="false">IF(AND('保健（前期）'!O10="",'保健（後期）'!O10=""),"",ROUND(IF('保健（前期）'!O10="",'保健（後期）'!O10,IF('保健（後期）'!O10="",'保健（前期）'!O10,('保健（前期）'!O10+'保健（後期）'!O10)/2)),0))</f>
        <v>76</v>
      </c>
      <c r="X9" s="3" t="str">
        <f aca="false">IF(W9="","",IF(W9&gt;=設定!$D$16,"A",IF(W9&gt;=設定!$E$16,"B","C")))</f>
        <v>B</v>
      </c>
      <c r="Y9" s="3" t="n">
        <f aca="false">IF(AND('保健（前期）'!AB10="",'保健（後期）'!AB10=""),"",ROUND(IF('保健（前期）'!AB10="",'保健（後期）'!AB10,IF('保健（後期）'!AB10="",'保健（前期）'!AB10,('保健（前期）'!AB10+'保健（後期）'!AB10)/2)),0))</f>
        <v>55</v>
      </c>
      <c r="Z9" s="3" t="str">
        <f aca="false">IF(Y9="","",IF(Y9&gt;=設定!$D$16,"A",IF(Y9&gt;=設定!$E$16,"B","C")))</f>
        <v>C</v>
      </c>
    </row>
    <row r="10" customFormat="false" ht="15" hidden="false" customHeight="false" outlineLevel="0" collapsed="false">
      <c r="A10" s="3" t="n">
        <v>7</v>
      </c>
      <c r="B10" s="60" t="str">
        <f aca="false">IF(名簿!B9="","",名簿!B9)</f>
        <v>近藤 蒼</v>
      </c>
      <c r="C10" s="3" t="n">
        <f aca="false">IF(AND('国語（前期）'!O11="",'国語（後期）'!O11=""),"",ROUND(IF('国語（前期）'!O11="",'国語（後期）'!O11,IF('国語（後期）'!O11="",'国語（前期）'!O11,('国語（前期）'!O11+'国語（後期）'!O11)/2)),0))</f>
        <v>82</v>
      </c>
      <c r="D10" s="3" t="str">
        <f aca="false">IF(C10="","",IF(C10&gt;=設定!$D$11,"A",IF(C10&gt;=設定!$E$11,"B","C")))</f>
        <v>B</v>
      </c>
      <c r="E10" s="3" t="n">
        <f aca="false">IF(AND('国語（前期）'!AB11="",'国語（後期）'!AB11=""),"",ROUND(IF('国語（前期）'!AB11="",'国語（後期）'!AB11,IF('国語（後期）'!AB11="",'国語（前期）'!AB11,('国語（前期）'!AB11+'国語（後期）'!AB11)/2)),0))</f>
        <v>69</v>
      </c>
      <c r="F10" s="3" t="str">
        <f aca="false">IF(E10="","",IF(E10&gt;=設定!$D$11,"A",IF(E10&gt;=設定!$E$11,"B","C")))</f>
        <v>B</v>
      </c>
      <c r="G10" s="3" t="n">
        <f aca="false">IF(AND('算数（前期）'!O11="",'算数（後期）'!O11=""),"",ROUND(IF('算数（前期）'!O11="",'算数（後期）'!O11,IF('算数（後期）'!O11="",'算数（前期）'!O11,('算数（前期）'!O11+'算数（後期）'!O11)/2)),0))</f>
        <v>82</v>
      </c>
      <c r="H10" s="3" t="str">
        <f aca="false">IF(G10="","",IF(G10&gt;=設定!$D$12,"A",IF(G10&gt;=設定!$E$12,"B","C")))</f>
        <v>B</v>
      </c>
      <c r="I10" s="3" t="n">
        <f aca="false">IF(AND('算数（前期）'!AB11="",'算数（後期）'!AB11=""),"",ROUND(IF('算数（前期）'!AB11="",'算数（後期）'!AB11,IF('算数（後期）'!AB11="",'算数（前期）'!AB11,('算数（前期）'!AB11+'算数（後期）'!AB11)/2)),0))</f>
        <v>74</v>
      </c>
      <c r="J10" s="3" t="str">
        <f aca="false">IF(I10="","",IF(I10&gt;=設定!$D$12,"A",IF(I10&gt;=設定!$E$12,"B","C")))</f>
        <v>B</v>
      </c>
      <c r="K10" s="3" t="n">
        <f aca="false">IF(AND('社会（前期）'!O11="",'社会（後期）'!O11=""),"",ROUND(IF('社会（前期）'!O11="",'社会（後期）'!O11,IF('社会（後期）'!O11="",'社会（前期）'!O11,('社会（前期）'!O11+'社会（後期）'!O11)/2)),0))</f>
        <v>77</v>
      </c>
      <c r="L10" s="3" t="str">
        <f aca="false">IF(K10="","",IF(K10&gt;=設定!$D$13,"A",IF(K10&gt;=設定!$E$13,"B","C")))</f>
        <v>B</v>
      </c>
      <c r="M10" s="3" t="n">
        <f aca="false">IF(AND('社会（前期）'!AB11="",'社会（後期）'!AB11=""),"",ROUND(IF('社会（前期）'!AB11="",'社会（後期）'!AB11,IF('社会（後期）'!AB11="",'社会（前期）'!AB11,('社会（前期）'!AB11+'社会（後期）'!AB11)/2)),0))</f>
        <v>68</v>
      </c>
      <c r="N10" s="3" t="str">
        <f aca="false">IF(M10="","",IF(M10&gt;=設定!$D$13,"A",IF(M10&gt;=設定!$E$13,"B","C")))</f>
        <v>B</v>
      </c>
      <c r="O10" s="3" t="n">
        <f aca="false">IF(AND('理科（前期）'!O11="",'理科（後期）'!O11=""),"",ROUND(IF('理科（前期）'!O11="",'理科（後期）'!O11,IF('理科（後期）'!O11="",'理科（前期）'!O11,('理科（前期）'!O11+'理科（後期）'!O11)/2)),0))</f>
        <v>79</v>
      </c>
      <c r="P10" s="3" t="str">
        <f aca="false">IF(O10="","",IF(O10&gt;=設定!$D$14,"A",IF(O10&gt;=設定!$E$14,"B","C")))</f>
        <v>B</v>
      </c>
      <c r="Q10" s="3" t="n">
        <f aca="false">IF(AND('理科（前期）'!AB11="",'理科（後期）'!AB11=""),"",ROUND(IF('理科（前期）'!AB11="",'理科（後期）'!AB11,IF('理科（後期）'!AB11="",'理科（前期）'!AB11,('理科（前期）'!AB11+'理科（後期）'!AB11)/2)),0))</f>
        <v>70</v>
      </c>
      <c r="R10" s="3" t="str">
        <f aca="false">IF(Q10="","",IF(Q10&gt;=設定!$D$14,"A",IF(Q10&gt;=設定!$E$14,"B","C")))</f>
        <v>B</v>
      </c>
      <c r="S10" s="3" t="n">
        <f aca="false">IF(AND('英語（前期）'!O11="",'英語（後期）'!O11=""),"",ROUND(IF('英語（前期）'!O11="",'英語（後期）'!O11,IF('英語（後期）'!O11="",'英語（前期）'!O11,('英語（前期）'!O11+'英語（後期）'!O11)/2)),0))</f>
        <v>74</v>
      </c>
      <c r="T10" s="3" t="str">
        <f aca="false">IF(S10="","",IF(S10&gt;=設定!$D$15,"A",IF(S10&gt;=設定!$E$15,"B","C")))</f>
        <v>B</v>
      </c>
      <c r="U10" s="3" t="n">
        <f aca="false">IF(AND('英語（前期）'!AB11="",'英語（後期）'!AB11=""),"",ROUND(IF('英語（前期）'!AB11="",'英語（後期）'!AB11,IF('英語（後期）'!AB11="",'英語（前期）'!AB11,('英語（前期）'!AB11+'英語（後期）'!AB11)/2)),0))</f>
        <v>71</v>
      </c>
      <c r="V10" s="3" t="str">
        <f aca="false">IF(U10="","",IF(U10&gt;=設定!$D$15,"A",IF(U10&gt;=設定!$E$15,"B","C")))</f>
        <v>B</v>
      </c>
      <c r="W10" s="3" t="n">
        <f aca="false">IF(AND('保健（前期）'!O11="",'保健（後期）'!O11=""),"",ROUND(IF('保健（前期）'!O11="",'保健（後期）'!O11,IF('保健（後期）'!O11="",'保健（前期）'!O11,('保健（前期）'!O11+'保健（後期）'!O11)/2)),0))</f>
        <v>74</v>
      </c>
      <c r="X10" s="3" t="str">
        <f aca="false">IF(W10="","",IF(W10&gt;=設定!$D$16,"A",IF(W10&gt;=設定!$E$16,"B","C")))</f>
        <v>B</v>
      </c>
      <c r="Y10" s="3" t="n">
        <f aca="false">IF(AND('保健（前期）'!AB11="",'保健（後期）'!AB11=""),"",ROUND(IF('保健（前期）'!AB11="",'保健（後期）'!AB11,IF('保健（後期）'!AB11="",'保健（前期）'!AB11,('保健（前期）'!AB11+'保健（後期）'!AB11)/2)),0))</f>
        <v>61</v>
      </c>
      <c r="Z10" s="3" t="str">
        <f aca="false">IF(Y10="","",IF(Y10&gt;=設定!$D$16,"A",IF(Y10&gt;=設定!$E$16,"B","C")))</f>
        <v>B</v>
      </c>
    </row>
    <row r="11" customFormat="false" ht="15" hidden="false" customHeight="false" outlineLevel="0" collapsed="false">
      <c r="A11" s="3" t="n">
        <v>8</v>
      </c>
      <c r="B11" s="60" t="str">
        <f aca="false">IF(名簿!B10="","",名簿!B10)</f>
        <v>清水 莉子</v>
      </c>
      <c r="C11" s="3" t="n">
        <f aca="false">IF(AND('国語（前期）'!O12="",'国語（後期）'!O12=""),"",ROUND(IF('国語（前期）'!O12="",'国語（後期）'!O12,IF('国語（後期）'!O12="",'国語（前期）'!O12,('国語（前期）'!O12+'国語（後期）'!O12)/2)),0))</f>
        <v>96</v>
      </c>
      <c r="D11" s="3" t="str">
        <f aca="false">IF(C11="","",IF(C11&gt;=設定!$D$11,"A",IF(C11&gt;=設定!$E$11,"B","C")))</f>
        <v>A</v>
      </c>
      <c r="E11" s="3" t="n">
        <f aca="false">IF(AND('国語（前期）'!AB12="",'国語（後期）'!AB12=""),"",ROUND(IF('国語（前期）'!AB12="",'国語（後期）'!AB12,IF('国語（後期）'!AB12="",'国語（前期）'!AB12,('国語（前期）'!AB12+'国語（後期）'!AB12)/2)),0))</f>
        <v>82</v>
      </c>
      <c r="F11" s="3" t="str">
        <f aca="false">IF(E11="","",IF(E11&gt;=設定!$D$11,"A",IF(E11&gt;=設定!$E$11,"B","C")))</f>
        <v>B</v>
      </c>
      <c r="G11" s="3" t="n">
        <f aca="false">IF(AND('算数（前期）'!O12="",'算数（後期）'!O12=""),"",ROUND(IF('算数（前期）'!O12="",'算数（後期）'!O12,IF('算数（後期）'!O12="",'算数（前期）'!O12,('算数（前期）'!O12+'算数（後期）'!O12)/2)),0))</f>
        <v>93</v>
      </c>
      <c r="H11" s="3" t="str">
        <f aca="false">IF(G11="","",IF(G11&gt;=設定!$D$12,"A",IF(G11&gt;=設定!$E$12,"B","C")))</f>
        <v>A</v>
      </c>
      <c r="I11" s="3" t="n">
        <f aca="false">IF(AND('算数（前期）'!AB12="",'算数（後期）'!AB12=""),"",ROUND(IF('算数（前期）'!AB12="",'算数（後期）'!AB12,IF('算数（後期）'!AB12="",'算数（前期）'!AB12,('算数（前期）'!AB12+'算数（後期）'!AB12)/2)),0))</f>
        <v>83</v>
      </c>
      <c r="J11" s="3" t="str">
        <f aca="false">IF(I11="","",IF(I11&gt;=設定!$D$12,"A",IF(I11&gt;=設定!$E$12,"B","C")))</f>
        <v>B</v>
      </c>
      <c r="K11" s="3" t="n">
        <f aca="false">IF(AND('社会（前期）'!O12="",'社会（後期）'!O12=""),"",ROUND(IF('社会（前期）'!O12="",'社会（後期）'!O12,IF('社会（後期）'!O12="",'社会（前期）'!O12,('社会（前期）'!O12+'社会（後期）'!O12)/2)),0))</f>
        <v>94</v>
      </c>
      <c r="L11" s="3" t="str">
        <f aca="false">IF(K11="","",IF(K11&gt;=設定!$D$13,"A",IF(K11&gt;=設定!$E$13,"B","C")))</f>
        <v>A</v>
      </c>
      <c r="M11" s="3" t="n">
        <f aca="false">IF(AND('社会（前期）'!AB12="",'社会（後期）'!AB12=""),"",ROUND(IF('社会（前期）'!AB12="",'社会（後期）'!AB12,IF('社会（後期）'!AB12="",'社会（前期）'!AB12,('社会（前期）'!AB12+'社会（後期）'!AB12)/2)),0))</f>
        <v>86</v>
      </c>
      <c r="N11" s="3" t="str">
        <f aca="false">IF(M11="","",IF(M11&gt;=設定!$D$13,"A",IF(M11&gt;=設定!$E$13,"B","C")))</f>
        <v>B</v>
      </c>
      <c r="O11" s="3" t="n">
        <f aca="false">IF(AND('理科（前期）'!O12="",'理科（後期）'!O12=""),"",ROUND(IF('理科（前期）'!O12="",'理科（後期）'!O12,IF('理科（後期）'!O12="",'理科（前期）'!O12,('理科（前期）'!O12+'理科（後期）'!O12)/2)),0))</f>
        <v>94</v>
      </c>
      <c r="P11" s="3" t="str">
        <f aca="false">IF(O11="","",IF(O11&gt;=設定!$D$14,"A",IF(O11&gt;=設定!$E$14,"B","C")))</f>
        <v>A</v>
      </c>
      <c r="Q11" s="3" t="n">
        <f aca="false">IF(AND('理科（前期）'!AB12="",'理科（後期）'!AB12=""),"",ROUND(IF('理科（前期）'!AB12="",'理科（後期）'!AB12,IF('理科（後期）'!AB12="",'理科（前期）'!AB12,('理科（前期）'!AB12+'理科（後期）'!AB12)/2)),0))</f>
        <v>85</v>
      </c>
      <c r="R11" s="3" t="str">
        <f aca="false">IF(Q11="","",IF(Q11&gt;=設定!$D$14,"A",IF(Q11&gt;=設定!$E$14,"B","C")))</f>
        <v>B</v>
      </c>
      <c r="S11" s="3" t="n">
        <f aca="false">IF(AND('英語（前期）'!O12="",'英語（後期）'!O12=""),"",ROUND(IF('英語（前期）'!O12="",'英語（後期）'!O12,IF('英語（後期）'!O12="",'英語（前期）'!O12,('英語（前期）'!O12+'英語（後期）'!O12)/2)),0))</f>
        <v>90</v>
      </c>
      <c r="T11" s="3" t="str">
        <f aca="false">IF(S11="","",IF(S11&gt;=設定!$D$15,"A",IF(S11&gt;=設定!$E$15,"B","C")))</f>
        <v>A</v>
      </c>
      <c r="U11" s="3" t="n">
        <f aca="false">IF(AND('英語（前期）'!AB12="",'英語（後期）'!AB12=""),"",ROUND(IF('英語（前期）'!AB12="",'英語（後期）'!AB12,IF('英語（後期）'!AB12="",'英語（前期）'!AB12,('英語（前期）'!AB12+'英語（後期）'!AB12)/2)),0))</f>
        <v>80</v>
      </c>
      <c r="V11" s="3" t="str">
        <f aca="false">IF(U11="","",IF(U11&gt;=設定!$D$15,"A",IF(U11&gt;=設定!$E$15,"B","C")))</f>
        <v>B</v>
      </c>
      <c r="W11" s="3" t="n">
        <f aca="false">IF(AND('保健（前期）'!O12="",'保健（後期）'!O12=""),"",ROUND(IF('保健（前期）'!O12="",'保健（後期）'!O12,IF('保健（後期）'!O12="",'保健（前期）'!O12,('保健（前期）'!O12+'保健（後期）'!O12)/2)),0))</f>
        <v>93</v>
      </c>
      <c r="X11" s="3" t="str">
        <f aca="false">IF(W11="","",IF(W11&gt;=設定!$D$16,"A",IF(W11&gt;=設定!$E$16,"B","C")))</f>
        <v>A</v>
      </c>
      <c r="Y11" s="3" t="n">
        <f aca="false">IF(AND('保健（前期）'!AB12="",'保健（後期）'!AB12=""),"",ROUND(IF('保健（前期）'!AB12="",'保健（後期）'!AB12,IF('保健（後期）'!AB12="",'保健（前期）'!AB12,('保健（前期）'!AB12+'保健（後期）'!AB12)/2)),0))</f>
        <v>86</v>
      </c>
      <c r="Z11" s="3" t="str">
        <f aca="false">IF(Y11="","",IF(Y11&gt;=設定!$D$16,"A",IF(Y11&gt;=設定!$E$16,"B","C")))</f>
        <v>B</v>
      </c>
    </row>
    <row r="12" customFormat="false" ht="15" hidden="false" customHeight="false" outlineLevel="0" collapsed="false">
      <c r="A12" s="3" t="n">
        <v>9</v>
      </c>
      <c r="B12" s="60" t="str">
        <f aca="false">IF(名簿!B11="","",名簿!B11)</f>
        <v>鈴木 海斗</v>
      </c>
      <c r="C12" s="3" t="n">
        <f aca="false">IF(AND('国語（前期）'!O13="",'国語（後期）'!O13=""),"",ROUND(IF('国語（前期）'!O13="",'国語（後期）'!O13,IF('国語（後期）'!O13="",'国語（前期）'!O13,('国語（前期）'!O13+'国語（後期）'!O13)/2)),0))</f>
        <v>77</v>
      </c>
      <c r="D12" s="3" t="str">
        <f aca="false">IF(C12="","",IF(C12&gt;=設定!$D$11,"A",IF(C12&gt;=設定!$E$11,"B","C")))</f>
        <v>B</v>
      </c>
      <c r="E12" s="3" t="n">
        <f aca="false">IF(AND('国語（前期）'!AB13="",'国語（後期）'!AB13=""),"",ROUND(IF('国語（前期）'!AB13="",'国語（後期）'!AB13,IF('国語（後期）'!AB13="",'国語（前期）'!AB13,('国語（前期）'!AB13+'国語（後期）'!AB13)/2)),0))</f>
        <v>67</v>
      </c>
      <c r="F12" s="3" t="str">
        <f aca="false">IF(E12="","",IF(E12&gt;=設定!$D$11,"A",IF(E12&gt;=設定!$E$11,"B","C")))</f>
        <v>B</v>
      </c>
      <c r="G12" s="3" t="n">
        <f aca="false">IF(AND('算数（前期）'!O13="",'算数（後期）'!O13=""),"",ROUND(IF('算数（前期）'!O13="",'算数（後期）'!O13,IF('算数（後期）'!O13="",'算数（前期）'!O13,('算数（前期）'!O13+'算数（後期）'!O13)/2)),0))</f>
        <v>75</v>
      </c>
      <c r="H12" s="3" t="str">
        <f aca="false">IF(G12="","",IF(G12&gt;=設定!$D$12,"A",IF(G12&gt;=設定!$E$12,"B","C")))</f>
        <v>B</v>
      </c>
      <c r="I12" s="3" t="n">
        <f aca="false">IF(AND('算数（前期）'!AB13="",'算数（後期）'!AB13=""),"",ROUND(IF('算数（前期）'!AB13="",'算数（後期）'!AB13,IF('算数（後期）'!AB13="",'算数（前期）'!AB13,('算数（前期）'!AB13+'算数（後期）'!AB13)/2)),0))</f>
        <v>71</v>
      </c>
      <c r="J12" s="3" t="str">
        <f aca="false">IF(I12="","",IF(I12&gt;=設定!$D$12,"A",IF(I12&gt;=設定!$E$12,"B","C")))</f>
        <v>B</v>
      </c>
      <c r="K12" s="3" t="n">
        <f aca="false">IF(AND('社会（前期）'!O13="",'社会（後期）'!O13=""),"",ROUND(IF('社会（前期）'!O13="",'社会（後期）'!O13,IF('社会（後期）'!O13="",'社会（前期）'!O13,('社会（前期）'!O13+'社会（後期）'!O13)/2)),0))</f>
        <v>80</v>
      </c>
      <c r="L12" s="3" t="str">
        <f aca="false">IF(K12="","",IF(K12&gt;=設定!$D$13,"A",IF(K12&gt;=設定!$E$13,"B","C")))</f>
        <v>B</v>
      </c>
      <c r="M12" s="3" t="n">
        <f aca="false">IF(AND('社会（前期）'!AB13="",'社会（後期）'!AB13=""),"",ROUND(IF('社会（前期）'!AB13="",'社会（後期）'!AB13,IF('社会（後期）'!AB13="",'社会（前期）'!AB13,('社会（前期）'!AB13+'社会（後期）'!AB13)/2)),0))</f>
        <v>66</v>
      </c>
      <c r="N12" s="3" t="str">
        <f aca="false">IF(M12="","",IF(M12&gt;=設定!$D$13,"A",IF(M12&gt;=設定!$E$13,"B","C")))</f>
        <v>B</v>
      </c>
      <c r="O12" s="3" t="n">
        <f aca="false">IF(AND('理科（前期）'!O13="",'理科（後期）'!O13=""),"",ROUND(IF('理科（前期）'!O13="",'理科（後期）'!O13,IF('理科（後期）'!O13="",'理科（前期）'!O13,('理科（前期）'!O13+'理科（後期）'!O13)/2)),0))</f>
        <v>78</v>
      </c>
      <c r="P12" s="3" t="str">
        <f aca="false">IF(O12="","",IF(O12&gt;=設定!$D$14,"A",IF(O12&gt;=設定!$E$14,"B","C")))</f>
        <v>B</v>
      </c>
      <c r="Q12" s="3" t="n">
        <f aca="false">IF(AND('理科（前期）'!AB13="",'理科（後期）'!AB13=""),"",ROUND(IF('理科（前期）'!AB13="",'理科（後期）'!AB13,IF('理科（後期）'!AB13="",'理科（前期）'!AB13,('理科（前期）'!AB13+'理科（後期）'!AB13)/2)),0))</f>
        <v>64</v>
      </c>
      <c r="R12" s="3" t="str">
        <f aca="false">IF(Q12="","",IF(Q12&gt;=設定!$D$14,"A",IF(Q12&gt;=設定!$E$14,"B","C")))</f>
        <v>B</v>
      </c>
      <c r="S12" s="3" t="n">
        <f aca="false">IF(AND('英語（前期）'!O13="",'英語（後期）'!O13=""),"",ROUND(IF('英語（前期）'!O13="",'英語（後期）'!O13,IF('英語（後期）'!O13="",'英語（前期）'!O13,('英語（前期）'!O13+'英語（後期）'!O13)/2)),0))</f>
        <v>78</v>
      </c>
      <c r="T12" s="3" t="str">
        <f aca="false">IF(S12="","",IF(S12&gt;=設定!$D$15,"A",IF(S12&gt;=設定!$E$15,"B","C")))</f>
        <v>B</v>
      </c>
      <c r="U12" s="3" t="n">
        <f aca="false">IF(AND('英語（前期）'!AB13="",'英語（後期）'!AB13=""),"",ROUND(IF('英語（前期）'!AB13="",'英語（後期）'!AB13,IF('英語（後期）'!AB13="",'英語（前期）'!AB13,('英語（前期）'!AB13+'英語（後期）'!AB13)/2)),0))</f>
        <v>70</v>
      </c>
      <c r="V12" s="3" t="str">
        <f aca="false">IF(U12="","",IF(U12&gt;=設定!$D$15,"A",IF(U12&gt;=設定!$E$15,"B","C")))</f>
        <v>B</v>
      </c>
      <c r="W12" s="3" t="n">
        <f aca="false">IF(AND('保健（前期）'!O13="",'保健（後期）'!O13=""),"",ROUND(IF('保健（前期）'!O13="",'保健（後期）'!O13,IF('保健（後期）'!O13="",'保健（前期）'!O13,('保健（前期）'!O13+'保健（後期）'!O13)/2)),0))</f>
        <v>72</v>
      </c>
      <c r="X12" s="3" t="str">
        <f aca="false">IF(W12="","",IF(W12&gt;=設定!$D$16,"A",IF(W12&gt;=設定!$E$16,"B","C")))</f>
        <v>B</v>
      </c>
      <c r="Y12" s="3" t="n">
        <f aca="false">IF(AND('保健（前期）'!AB13="",'保健（後期）'!AB13=""),"",ROUND(IF('保健（前期）'!AB13="",'保健（後期）'!AB13,IF('保健（後期）'!AB13="",'保健（前期）'!AB13,('保健（前期）'!AB13+'保健（後期）'!AB13)/2)),0))</f>
        <v>65</v>
      </c>
      <c r="Z12" s="3" t="str">
        <f aca="false">IF(Y12="","",IF(Y12&gt;=設定!$D$16,"A",IF(Y12&gt;=設定!$E$16,"B","C")))</f>
        <v>B</v>
      </c>
    </row>
    <row r="13" customFormat="false" ht="15" hidden="false" customHeight="false" outlineLevel="0" collapsed="false">
      <c r="A13" s="3" t="n">
        <v>10</v>
      </c>
      <c r="B13" s="60" t="str">
        <f aca="false">IF(名簿!B12="","",名簿!B12)</f>
        <v>松本 さくら</v>
      </c>
      <c r="C13" s="3" t="n">
        <f aca="false">IF(AND('国語（前期）'!O14="",'国語（後期）'!O14=""),"",ROUND(IF('国語（前期）'!O14="",'国語（後期）'!O14,IF('国語（後期）'!O14="",'国語（前期）'!O14,('国語（前期）'!O14+'国語（後期）'!O14)/2)),0))</f>
        <v>89</v>
      </c>
      <c r="D13" s="3" t="str">
        <f aca="false">IF(C13="","",IF(C13&gt;=設定!$D$11,"A",IF(C13&gt;=設定!$E$11,"B","C")))</f>
        <v>B</v>
      </c>
      <c r="E13" s="3" t="n">
        <f aca="false">IF(AND('国語（前期）'!AB14="",'国語（後期）'!AB14=""),"",ROUND(IF('国語（前期）'!AB14="",'国語（後期）'!AB14,IF('国語（後期）'!AB14="",'国語（前期）'!AB14,('国語（前期）'!AB14+'国語（後期）'!AB14)/2)),0))</f>
        <v>82</v>
      </c>
      <c r="F13" s="3" t="str">
        <f aca="false">IF(E13="","",IF(E13&gt;=設定!$D$11,"A",IF(E13&gt;=設定!$E$11,"B","C")))</f>
        <v>B</v>
      </c>
      <c r="G13" s="3" t="n">
        <f aca="false">IF(AND('算数（前期）'!O14="",'算数（後期）'!O14=""),"",ROUND(IF('算数（前期）'!O14="",'算数（後期）'!O14,IF('算数（後期）'!O14="",'算数（前期）'!O14,('算数（前期）'!O14+'算数（後期）'!O14)/2)),0))</f>
        <v>85</v>
      </c>
      <c r="H13" s="3" t="str">
        <f aca="false">IF(G13="","",IF(G13&gt;=設定!$D$12,"A",IF(G13&gt;=設定!$E$12,"B","C")))</f>
        <v>A</v>
      </c>
      <c r="I13" s="3" t="n">
        <f aca="false">IF(AND('算数（前期）'!AB14="",'算数（後期）'!AB14=""),"",ROUND(IF('算数（前期）'!AB14="",'算数（後期）'!AB14,IF('算数（後期）'!AB14="",'算数（前期）'!AB14,('算数（前期）'!AB14+'算数（後期）'!AB14)/2)),0))</f>
        <v>77</v>
      </c>
      <c r="J13" s="3" t="str">
        <f aca="false">IF(I13="","",IF(I13&gt;=設定!$D$12,"A",IF(I13&gt;=設定!$E$12,"B","C")))</f>
        <v>B</v>
      </c>
      <c r="K13" s="3" t="n">
        <f aca="false">IF(AND('社会（前期）'!O14="",'社会（後期）'!O14=""),"",ROUND(IF('社会（前期）'!O14="",'社会（後期）'!O14,IF('社会（後期）'!O14="",'社会（前期）'!O14,('社会（前期）'!O14+'社会（後期）'!O14)/2)),0))</f>
        <v>89</v>
      </c>
      <c r="L13" s="3" t="str">
        <f aca="false">IF(K13="","",IF(K13&gt;=設定!$D$13,"A",IF(K13&gt;=設定!$E$13,"B","C")))</f>
        <v>B</v>
      </c>
      <c r="M13" s="3" t="n">
        <f aca="false">IF(AND('社会（前期）'!AB14="",'社会（後期）'!AB14=""),"",ROUND(IF('社会（前期）'!AB14="",'社会（後期）'!AB14,IF('社会（後期）'!AB14="",'社会（前期）'!AB14,('社会（前期）'!AB14+'社会（後期）'!AB14)/2)),0))</f>
        <v>78</v>
      </c>
      <c r="N13" s="3" t="str">
        <f aca="false">IF(M13="","",IF(M13&gt;=設定!$D$13,"A",IF(M13&gt;=設定!$E$13,"B","C")))</f>
        <v>B</v>
      </c>
      <c r="O13" s="3" t="n">
        <f aca="false">IF(AND('理科（前期）'!O14="",'理科（後期）'!O14=""),"",ROUND(IF('理科（前期）'!O14="",'理科（後期）'!O14,IF('理科（後期）'!O14="",'理科（前期）'!O14,('理科（前期）'!O14+'理科（後期）'!O14)/2)),0))</f>
        <v>92</v>
      </c>
      <c r="P13" s="3" t="str">
        <f aca="false">IF(O13="","",IF(O13&gt;=設定!$D$14,"A",IF(O13&gt;=設定!$E$14,"B","C")))</f>
        <v>A</v>
      </c>
      <c r="Q13" s="3" t="n">
        <f aca="false">IF(AND('理科（前期）'!AB14="",'理科（後期）'!AB14=""),"",ROUND(IF('理科（前期）'!AB14="",'理科（後期）'!AB14,IF('理科（後期）'!AB14="",'理科（前期）'!AB14,('理科（前期）'!AB14+'理科（後期）'!AB14)/2)),0))</f>
        <v>80</v>
      </c>
      <c r="R13" s="3" t="str">
        <f aca="false">IF(Q13="","",IF(Q13&gt;=設定!$D$14,"A",IF(Q13&gt;=設定!$E$14,"B","C")))</f>
        <v>B</v>
      </c>
      <c r="S13" s="3" t="n">
        <f aca="false">IF(AND('英語（前期）'!O14="",'英語（後期）'!O14=""),"",ROUND(IF('英語（前期）'!O14="",'英語（後期）'!O14,IF('英語（後期）'!O14="",'英語（前期）'!O14,('英語（前期）'!O14+'英語（後期）'!O14)/2)),0))</f>
        <v>89</v>
      </c>
      <c r="T13" s="3" t="str">
        <f aca="false">IF(S13="","",IF(S13&gt;=設定!$D$15,"A",IF(S13&gt;=設定!$E$15,"B","C")))</f>
        <v>B</v>
      </c>
      <c r="U13" s="3" t="n">
        <f aca="false">IF(AND('英語（前期）'!AB14="",'英語（後期）'!AB14=""),"",ROUND(IF('英語（前期）'!AB14="",'英語（後期）'!AB14,IF('英語（後期）'!AB14="",'英語（前期）'!AB14,('英語（前期）'!AB14+'英語（後期）'!AB14)/2)),0))</f>
        <v>70</v>
      </c>
      <c r="V13" s="3" t="str">
        <f aca="false">IF(U13="","",IF(U13&gt;=設定!$D$15,"A",IF(U13&gt;=設定!$E$15,"B","C")))</f>
        <v>B</v>
      </c>
      <c r="W13" s="3" t="n">
        <f aca="false">IF(AND('保健（前期）'!O14="",'保健（後期）'!O14=""),"",ROUND(IF('保健（前期）'!O14="",'保健（後期）'!O14,IF('保健（後期）'!O14="",'保健（前期）'!O14,('保健（前期）'!O14+'保健（後期）'!O14)/2)),0))</f>
        <v>82</v>
      </c>
      <c r="X13" s="3" t="str">
        <f aca="false">IF(W13="","",IF(W13&gt;=設定!$D$16,"A",IF(W13&gt;=設定!$E$16,"B","C")))</f>
        <v>B</v>
      </c>
      <c r="Y13" s="3" t="n">
        <f aca="false">IF(AND('保健（前期）'!AB14="",'保健（後期）'!AB14=""),"",ROUND(IF('保健（前期）'!AB14="",'保健（後期）'!AB14,IF('保健（後期）'!AB14="",'保健（前期）'!AB14,('保健（前期）'!AB14+'保健（後期）'!AB14)/2)),0))</f>
        <v>68</v>
      </c>
      <c r="Z13" s="3" t="str">
        <f aca="false">IF(Y13="","",IF(Y13&gt;=設定!$D$16,"A",IF(Y13&gt;=設定!$E$16,"B","C")))</f>
        <v>B</v>
      </c>
    </row>
    <row r="14" customFormat="false" ht="15" hidden="false" customHeight="false" outlineLevel="0" collapsed="false">
      <c r="A14" s="3" t="n">
        <v>11</v>
      </c>
      <c r="B14" s="60" t="str">
        <f aca="false">IF(名簿!B13="","",名簿!B13)</f>
        <v>岡田 健太</v>
      </c>
      <c r="C14" s="3" t="n">
        <f aca="false">IF(AND('国語（前期）'!O15="",'国語（後期）'!O15=""),"",ROUND(IF('国語（前期）'!O15="",'国語（後期）'!O15,IF('国語（後期）'!O15="",'国語（前期）'!O15,('国語（前期）'!O15+'国語（後期）'!O15)/2)),0))</f>
        <v>88</v>
      </c>
      <c r="D14" s="3" t="str">
        <f aca="false">IF(C14="","",IF(C14&gt;=設定!$D$11,"A",IF(C14&gt;=設定!$E$11,"B","C")))</f>
        <v>B</v>
      </c>
      <c r="E14" s="3" t="n">
        <f aca="false">IF(AND('国語（前期）'!AB15="",'国語（後期）'!AB15=""),"",ROUND(IF('国語（前期）'!AB15="",'国語（後期）'!AB15,IF('国語（後期）'!AB15="",'国語（前期）'!AB15,('国語（前期）'!AB15+'国語（後期）'!AB15)/2)),0))</f>
        <v>82</v>
      </c>
      <c r="F14" s="3" t="str">
        <f aca="false">IF(E14="","",IF(E14&gt;=設定!$D$11,"A",IF(E14&gt;=設定!$E$11,"B","C")))</f>
        <v>B</v>
      </c>
      <c r="G14" s="3" t="n">
        <f aca="false">IF(AND('算数（前期）'!O15="",'算数（後期）'!O15=""),"",ROUND(IF('算数（前期）'!O15="",'算数（後期）'!O15,IF('算数（後期）'!O15="",'算数（前期）'!O15,('算数（前期）'!O15+'算数（後期）'!O15)/2)),0))</f>
        <v>89</v>
      </c>
      <c r="H14" s="3" t="str">
        <f aca="false">IF(G14="","",IF(G14&gt;=設定!$D$12,"A",IF(G14&gt;=設定!$E$12,"B","C")))</f>
        <v>A</v>
      </c>
      <c r="I14" s="3" t="n">
        <f aca="false">IF(AND('算数（前期）'!AB15="",'算数（後期）'!AB15=""),"",ROUND(IF('算数（前期）'!AB15="",'算数（後期）'!AB15,IF('算数（後期）'!AB15="",'算数（前期）'!AB15,('算数（前期）'!AB15+'算数（後期）'!AB15)/2)),0))</f>
        <v>78</v>
      </c>
      <c r="J14" s="3" t="str">
        <f aca="false">IF(I14="","",IF(I14&gt;=設定!$D$12,"A",IF(I14&gt;=設定!$E$12,"B","C")))</f>
        <v>B</v>
      </c>
      <c r="K14" s="3" t="n">
        <f aca="false">IF(AND('社会（前期）'!O15="",'社会（後期）'!O15=""),"",ROUND(IF('社会（前期）'!O15="",'社会（後期）'!O15,IF('社会（後期）'!O15="",'社会（前期）'!O15,('社会（前期）'!O15+'社会（後期）'!O15)/2)),0))</f>
        <v>80</v>
      </c>
      <c r="L14" s="3" t="str">
        <f aca="false">IF(K14="","",IF(K14&gt;=設定!$D$13,"A",IF(K14&gt;=設定!$E$13,"B","C")))</f>
        <v>B</v>
      </c>
      <c r="M14" s="3" t="n">
        <f aca="false">IF(AND('社会（前期）'!AB15="",'社会（後期）'!AB15=""),"",ROUND(IF('社会（前期）'!AB15="",'社会（後期）'!AB15,IF('社会（後期）'!AB15="",'社会（前期）'!AB15,('社会（前期）'!AB15+'社会（後期）'!AB15)/2)),0))</f>
        <v>77</v>
      </c>
      <c r="N14" s="3" t="str">
        <f aca="false">IF(M14="","",IF(M14&gt;=設定!$D$13,"A",IF(M14&gt;=設定!$E$13,"B","C")))</f>
        <v>B</v>
      </c>
      <c r="O14" s="3" t="n">
        <f aca="false">IF(AND('理科（前期）'!O15="",'理科（後期）'!O15=""),"",ROUND(IF('理科（前期）'!O15="",'理科（後期）'!O15,IF('理科（後期）'!O15="",'理科（前期）'!O15,('理科（前期）'!O15+'理科（後期）'!O15)/2)),0))</f>
        <v>89</v>
      </c>
      <c r="P14" s="3" t="str">
        <f aca="false">IF(O14="","",IF(O14&gt;=設定!$D$14,"A",IF(O14&gt;=設定!$E$14,"B","C")))</f>
        <v>B</v>
      </c>
      <c r="Q14" s="3" t="n">
        <f aca="false">IF(AND('理科（前期）'!AB15="",'理科（後期）'!AB15=""),"",ROUND(IF('理科（前期）'!AB15="",'理科（後期）'!AB15,IF('理科（後期）'!AB15="",'理科（前期）'!AB15,('理科（前期）'!AB15+'理科（後期）'!AB15)/2)),0))</f>
        <v>79</v>
      </c>
      <c r="R14" s="3" t="str">
        <f aca="false">IF(Q14="","",IF(Q14&gt;=設定!$D$14,"A",IF(Q14&gt;=設定!$E$14,"B","C")))</f>
        <v>B</v>
      </c>
      <c r="S14" s="3" t="n">
        <f aca="false">IF(AND('英語（前期）'!O15="",'英語（後期）'!O15=""),"",ROUND(IF('英語（前期）'!O15="",'英語（後期）'!O15,IF('英語（後期）'!O15="",'英語（前期）'!O15,('英語（前期）'!O15+'英語（後期）'!O15)/2)),0))</f>
        <v>87</v>
      </c>
      <c r="T14" s="3" t="str">
        <f aca="false">IF(S14="","",IF(S14&gt;=設定!$D$15,"A",IF(S14&gt;=設定!$E$15,"B","C")))</f>
        <v>B</v>
      </c>
      <c r="U14" s="3" t="n">
        <f aca="false">IF(AND('英語（前期）'!AB15="",'英語（後期）'!AB15=""),"",ROUND(IF('英語（前期）'!AB15="",'英語（後期）'!AB15,IF('英語（後期）'!AB15="",'英語（前期）'!AB15,('英語（前期）'!AB15+'英語（後期）'!AB15)/2)),0))</f>
        <v>78</v>
      </c>
      <c r="V14" s="3" t="str">
        <f aca="false">IF(U14="","",IF(U14&gt;=設定!$D$15,"A",IF(U14&gt;=設定!$E$15,"B","C")))</f>
        <v>B</v>
      </c>
      <c r="W14" s="3" t="n">
        <f aca="false">IF(AND('保健（前期）'!O15="",'保健（後期）'!O15=""),"",ROUND(IF('保健（前期）'!O15="",'保健（後期）'!O15,IF('保健（後期）'!O15="",'保健（前期）'!O15,('保健（前期）'!O15+'保健（後期）'!O15)/2)),0))</f>
        <v>94</v>
      </c>
      <c r="X14" s="3" t="str">
        <f aca="false">IF(W14="","",IF(W14&gt;=設定!$D$16,"A",IF(W14&gt;=設定!$E$16,"B","C")))</f>
        <v>A</v>
      </c>
      <c r="Y14" s="3" t="n">
        <f aca="false">IF(AND('保健（前期）'!AB15="",'保健（後期）'!AB15=""),"",ROUND(IF('保健（前期）'!AB15="",'保健（後期）'!AB15,IF('保健（後期）'!AB15="",'保健（前期）'!AB15,('保健（前期）'!AB15+'保健（後期）'!AB15)/2)),0))</f>
        <v>73</v>
      </c>
      <c r="Z14" s="3" t="str">
        <f aca="false">IF(Y14="","",IF(Y14&gt;=設定!$D$16,"A",IF(Y14&gt;=設定!$E$16,"B","C")))</f>
        <v>B</v>
      </c>
    </row>
    <row r="15" customFormat="false" ht="15" hidden="false" customHeight="false" outlineLevel="0" collapsed="false">
      <c r="A15" s="3" t="n">
        <v>12</v>
      </c>
      <c r="B15" s="60" t="str">
        <f aca="false">IF(名簿!B14="","",名簿!B14)</f>
        <v>佐々木 彩花</v>
      </c>
      <c r="C15" s="3" t="n">
        <f aca="false">IF(AND('国語（前期）'!O16="",'国語（後期）'!O16=""),"",ROUND(IF('国語（前期）'!O16="",'国語（後期）'!O16,IF('国語（後期）'!O16="",'国語（前期）'!O16,('国語（前期）'!O16+'国語（後期）'!O16)/2)),0))</f>
        <v>83</v>
      </c>
      <c r="D15" s="3" t="str">
        <f aca="false">IF(C15="","",IF(C15&gt;=設定!$D$11,"A",IF(C15&gt;=設定!$E$11,"B","C")))</f>
        <v>B</v>
      </c>
      <c r="E15" s="3" t="n">
        <f aca="false">IF(AND('国語（前期）'!AB16="",'国語（後期）'!AB16=""),"",ROUND(IF('国語（前期）'!AB16="",'国語（後期）'!AB16,IF('国語（後期）'!AB16="",'国語（前期）'!AB16,('国語（前期）'!AB16+'国語（後期）'!AB16)/2)),0))</f>
        <v>73</v>
      </c>
      <c r="F15" s="3" t="str">
        <f aca="false">IF(E15="","",IF(E15&gt;=設定!$D$11,"A",IF(E15&gt;=設定!$E$11,"B","C")))</f>
        <v>B</v>
      </c>
      <c r="G15" s="3" t="n">
        <f aca="false">IF(AND('算数（前期）'!O16="",'算数（後期）'!O16=""),"",ROUND(IF('算数（前期）'!O16="",'算数（後期）'!O16,IF('算数（後期）'!O16="",'算数（前期）'!O16,('算数（前期）'!O16+'算数（後期）'!O16)/2)),0))</f>
        <v>86</v>
      </c>
      <c r="H15" s="3" t="str">
        <f aca="false">IF(G15="","",IF(G15&gt;=設定!$D$12,"A",IF(G15&gt;=設定!$E$12,"B","C")))</f>
        <v>A</v>
      </c>
      <c r="I15" s="3" t="n">
        <f aca="false">IF(AND('算数（前期）'!AB16="",'算数（後期）'!AB16=""),"",ROUND(IF('算数（前期）'!AB16="",'算数（後期）'!AB16,IF('算数（後期）'!AB16="",'算数（前期）'!AB16,('算数（前期）'!AB16+'算数（後期）'!AB16)/2)),0))</f>
        <v>73</v>
      </c>
      <c r="J15" s="3" t="str">
        <f aca="false">IF(I15="","",IF(I15&gt;=設定!$D$12,"A",IF(I15&gt;=設定!$E$12,"B","C")))</f>
        <v>B</v>
      </c>
      <c r="K15" s="3" t="n">
        <f aca="false">IF(AND('社会（前期）'!O16="",'社会（後期）'!O16=""),"",ROUND(IF('社会（前期）'!O16="",'社会（後期）'!O16,IF('社会（後期）'!O16="",'社会（前期）'!O16,('社会（前期）'!O16+'社会（後期）'!O16)/2)),0))</f>
        <v>79</v>
      </c>
      <c r="L15" s="3" t="str">
        <f aca="false">IF(K15="","",IF(K15&gt;=設定!$D$13,"A",IF(K15&gt;=設定!$E$13,"B","C")))</f>
        <v>B</v>
      </c>
      <c r="M15" s="3" t="n">
        <f aca="false">IF(AND('社会（前期）'!AB16="",'社会（後期）'!AB16=""),"",ROUND(IF('社会（前期）'!AB16="",'社会（後期）'!AB16,IF('社会（後期）'!AB16="",'社会（前期）'!AB16,('社会（前期）'!AB16+'社会（後期）'!AB16)/2)),0))</f>
        <v>73</v>
      </c>
      <c r="N15" s="3" t="str">
        <f aca="false">IF(M15="","",IF(M15&gt;=設定!$D$13,"A",IF(M15&gt;=設定!$E$13,"B","C")))</f>
        <v>B</v>
      </c>
      <c r="O15" s="3" t="n">
        <f aca="false">IF(AND('理科（前期）'!O16="",'理科（後期）'!O16=""),"",ROUND(IF('理科（前期）'!O16="",'理科（後期）'!O16,IF('理科（後期）'!O16="",'理科（前期）'!O16,('理科（前期）'!O16+'理科（後期）'!O16)/2)),0))</f>
        <v>83</v>
      </c>
      <c r="P15" s="3" t="str">
        <f aca="false">IF(O15="","",IF(O15&gt;=設定!$D$14,"A",IF(O15&gt;=設定!$E$14,"B","C")))</f>
        <v>B</v>
      </c>
      <c r="Q15" s="3" t="n">
        <f aca="false">IF(AND('理科（前期）'!AB16="",'理科（後期）'!AB16=""),"",ROUND(IF('理科（前期）'!AB16="",'理科（後期）'!AB16,IF('理科（後期）'!AB16="",'理科（前期）'!AB16,('理科（前期）'!AB16+'理科（後期）'!AB16)/2)),0))</f>
        <v>72</v>
      </c>
      <c r="R15" s="3" t="str">
        <f aca="false">IF(Q15="","",IF(Q15&gt;=設定!$D$14,"A",IF(Q15&gt;=設定!$E$14,"B","C")))</f>
        <v>B</v>
      </c>
      <c r="S15" s="3" t="n">
        <f aca="false">IF(AND('英語（前期）'!O16="",'英語（後期）'!O16=""),"",ROUND(IF('英語（前期）'!O16="",'英語（後期）'!O16,IF('英語（後期）'!O16="",'英語（前期）'!O16,('英語（前期）'!O16+'英語（後期）'!O16)/2)),0))</f>
        <v>79</v>
      </c>
      <c r="T15" s="3" t="str">
        <f aca="false">IF(S15="","",IF(S15&gt;=設定!$D$15,"A",IF(S15&gt;=設定!$E$15,"B","C")))</f>
        <v>B</v>
      </c>
      <c r="U15" s="3" t="n">
        <f aca="false">IF(AND('英語（前期）'!AB16="",'英語（後期）'!AB16=""),"",ROUND(IF('英語（前期）'!AB16="",'英語（後期）'!AB16,IF('英語（後期）'!AB16="",'英語（前期）'!AB16,('英語（前期）'!AB16+'英語（後期）'!AB16)/2)),0))</f>
        <v>70</v>
      </c>
      <c r="V15" s="3" t="str">
        <f aca="false">IF(U15="","",IF(U15&gt;=設定!$D$15,"A",IF(U15&gt;=設定!$E$15,"B","C")))</f>
        <v>B</v>
      </c>
      <c r="W15" s="3" t="n">
        <f aca="false">IF(AND('保健（前期）'!O16="",'保健（後期）'!O16=""),"",ROUND(IF('保健（前期）'!O16="",'保健（後期）'!O16,IF('保健（後期）'!O16="",'保健（前期）'!O16,('保健（前期）'!O16+'保健（後期）'!O16)/2)),0))</f>
        <v>82</v>
      </c>
      <c r="X15" s="3" t="str">
        <f aca="false">IF(W15="","",IF(W15&gt;=設定!$D$16,"A",IF(W15&gt;=設定!$E$16,"B","C")))</f>
        <v>B</v>
      </c>
      <c r="Y15" s="3" t="n">
        <f aca="false">IF(AND('保健（前期）'!AB16="",'保健（後期）'!AB16=""),"",ROUND(IF('保健（前期）'!AB16="",'保健（後期）'!AB16,IF('保健（後期）'!AB16="",'保健（前期）'!AB16,('保健（前期）'!AB16+'保健（後期）'!AB16)/2)),0))</f>
        <v>82</v>
      </c>
      <c r="Z15" s="3" t="str">
        <f aca="false">IF(Y15="","",IF(Y15&gt;=設定!$D$16,"A",IF(Y15&gt;=設定!$E$16,"B","C")))</f>
        <v>B</v>
      </c>
    </row>
    <row r="16" customFormat="false" ht="15" hidden="false" customHeight="false" outlineLevel="0" collapsed="false">
      <c r="A16" s="3" t="n">
        <v>13</v>
      </c>
      <c r="B16" s="60" t="str">
        <f aca="false">IF(名簿!B15="","",名簿!B15)</f>
        <v>石川 健太</v>
      </c>
      <c r="C16" s="3" t="n">
        <f aca="false">IF(AND('国語（前期）'!O17="",'国語（後期）'!O17=""),"",ROUND(IF('国語（前期）'!O17="",'国語（後期）'!O17,IF('国語（後期）'!O17="",'国語（前期）'!O17,('国語（前期）'!O17+'国語（後期）'!O17)/2)),0))</f>
        <v>62</v>
      </c>
      <c r="D16" s="3" t="str">
        <f aca="false">IF(C16="","",IF(C16&gt;=設定!$D$11,"A",IF(C16&gt;=設定!$E$11,"B","C")))</f>
        <v>B</v>
      </c>
      <c r="E16" s="3" t="n">
        <f aca="false">IF(AND('国語（前期）'!AB17="",'国語（後期）'!AB17=""),"",ROUND(IF('国語（前期）'!AB17="",'国語（後期）'!AB17,IF('国語（後期）'!AB17="",'国語（前期）'!AB17,('国語（前期）'!AB17+'国語（後期）'!AB17)/2)),0))</f>
        <v>54</v>
      </c>
      <c r="F16" s="3" t="str">
        <f aca="false">IF(E16="","",IF(E16&gt;=設定!$D$11,"A",IF(E16&gt;=設定!$E$11,"B","C")))</f>
        <v>C</v>
      </c>
      <c r="G16" s="3" t="n">
        <f aca="false">IF(AND('算数（前期）'!O17="",'算数（後期）'!O17=""),"",ROUND(IF('算数（前期）'!O17="",'算数（後期）'!O17,IF('算数（後期）'!O17="",'算数（前期）'!O17,('算数（前期）'!O17+'算数（後期）'!O17)/2)),0))</f>
        <v>63</v>
      </c>
      <c r="H16" s="3" t="str">
        <f aca="false">IF(G16="","",IF(G16&gt;=設定!$D$12,"A",IF(G16&gt;=設定!$E$12,"B","C")))</f>
        <v>B</v>
      </c>
      <c r="I16" s="3" t="n">
        <f aca="false">IF(AND('算数（前期）'!AB17="",'算数（後期）'!AB17=""),"",ROUND(IF('算数（前期）'!AB17="",'算数（後期）'!AB17,IF('算数（後期）'!AB17="",'算数（前期）'!AB17,('算数（前期）'!AB17+'算数（後期）'!AB17)/2)),0))</f>
        <v>53</v>
      </c>
      <c r="J16" s="3" t="str">
        <f aca="false">IF(I16="","",IF(I16&gt;=設定!$D$12,"A",IF(I16&gt;=設定!$E$12,"B","C")))</f>
        <v>C</v>
      </c>
      <c r="K16" s="3" t="n">
        <f aca="false">IF(AND('社会（前期）'!O17="",'社会（後期）'!O17=""),"",ROUND(IF('社会（前期）'!O17="",'社会（後期）'!O17,IF('社会（後期）'!O17="",'社会（前期）'!O17,('社会（前期）'!O17+'社会（後期）'!O17)/2)),0))</f>
        <v>64</v>
      </c>
      <c r="L16" s="3" t="str">
        <f aca="false">IF(K16="","",IF(K16&gt;=設定!$D$13,"A",IF(K16&gt;=設定!$E$13,"B","C")))</f>
        <v>B</v>
      </c>
      <c r="M16" s="3" t="n">
        <f aca="false">IF(AND('社会（前期）'!AB17="",'社会（後期）'!AB17=""),"",ROUND(IF('社会（前期）'!AB17="",'社会（後期）'!AB17,IF('社会（後期）'!AB17="",'社会（前期）'!AB17,('社会（前期）'!AB17+'社会（後期）'!AB17)/2)),0))</f>
        <v>55</v>
      </c>
      <c r="N16" s="3" t="str">
        <f aca="false">IF(M16="","",IF(M16&gt;=設定!$D$13,"A",IF(M16&gt;=設定!$E$13,"B","C")))</f>
        <v>C</v>
      </c>
      <c r="O16" s="3" t="n">
        <f aca="false">IF(AND('理科（前期）'!O17="",'理科（後期）'!O17=""),"",ROUND(IF('理科（前期）'!O17="",'理科（後期）'!O17,IF('理科（後期）'!O17="",'理科（前期）'!O17,('理科（前期）'!O17+'理科（後期）'!O17)/2)),0))</f>
        <v>66</v>
      </c>
      <c r="P16" s="3" t="str">
        <f aca="false">IF(O16="","",IF(O16&gt;=設定!$D$14,"A",IF(O16&gt;=設定!$E$14,"B","C")))</f>
        <v>B</v>
      </c>
      <c r="Q16" s="3" t="n">
        <f aca="false">IF(AND('理科（前期）'!AB17="",'理科（後期）'!AB17=""),"",ROUND(IF('理科（前期）'!AB17="",'理科（後期）'!AB17,IF('理科（後期）'!AB17="",'理科（前期）'!AB17,('理科（前期）'!AB17+'理科（後期）'!AB17)/2)),0))</f>
        <v>56</v>
      </c>
      <c r="R16" s="3" t="str">
        <f aca="false">IF(Q16="","",IF(Q16&gt;=設定!$D$14,"A",IF(Q16&gt;=設定!$E$14,"B","C")))</f>
        <v>C</v>
      </c>
      <c r="S16" s="3" t="n">
        <f aca="false">IF(AND('英語（前期）'!O17="",'英語（後期）'!O17=""),"",ROUND(IF('英語（前期）'!O17="",'英語（後期）'!O17,IF('英語（後期）'!O17="",'英語（前期）'!O17,('英語（前期）'!O17+'英語（後期）'!O17)/2)),0))</f>
        <v>67</v>
      </c>
      <c r="T16" s="3" t="str">
        <f aca="false">IF(S16="","",IF(S16&gt;=設定!$D$15,"A",IF(S16&gt;=設定!$E$15,"B","C")))</f>
        <v>B</v>
      </c>
      <c r="U16" s="3" t="n">
        <f aca="false">IF(AND('英語（前期）'!AB17="",'英語（後期）'!AB17=""),"",ROUND(IF('英語（前期）'!AB17="",'英語（後期）'!AB17,IF('英語（後期）'!AB17="",'英語（前期）'!AB17,('英語（前期）'!AB17+'英語（後期）'!AB17)/2)),0))</f>
        <v>57</v>
      </c>
      <c r="V16" s="3" t="str">
        <f aca="false">IF(U16="","",IF(U16&gt;=設定!$D$15,"A",IF(U16&gt;=設定!$E$15,"B","C")))</f>
        <v>C</v>
      </c>
      <c r="W16" s="3" t="n">
        <f aca="false">IF(AND('保健（前期）'!O17="",'保健（後期）'!O17=""),"",ROUND(IF('保健（前期）'!O17="",'保健（後期）'!O17,IF('保健（後期）'!O17="",'保健（前期）'!O17,('保健（前期）'!O17+'保健（後期）'!O17)/2)),0))</f>
        <v>65</v>
      </c>
      <c r="X16" s="3" t="str">
        <f aca="false">IF(W16="","",IF(W16&gt;=設定!$D$16,"A",IF(W16&gt;=設定!$E$16,"B","C")))</f>
        <v>B</v>
      </c>
      <c r="Y16" s="3" t="n">
        <f aca="false">IF(AND('保健（前期）'!AB17="",'保健（後期）'!AB17=""),"",ROUND(IF('保健（前期）'!AB17="",'保健（後期）'!AB17,IF('保健（後期）'!AB17="",'保健（前期）'!AB17,('保健（前期）'!AB17+'保健（後期）'!AB17)/2)),0))</f>
        <v>50</v>
      </c>
      <c r="Z16" s="3" t="str">
        <f aca="false">IF(Y16="","",IF(Y16&gt;=設定!$D$16,"A",IF(Y16&gt;=設定!$E$16,"B","C")))</f>
        <v>C</v>
      </c>
    </row>
    <row r="17" customFormat="false" ht="15" hidden="false" customHeight="false" outlineLevel="0" collapsed="false">
      <c r="A17" s="3" t="n">
        <v>14</v>
      </c>
      <c r="B17" s="60" t="str">
        <f aca="false">IF(名簿!B16="","",名簿!B16)</f>
        <v>山崎 陽葵</v>
      </c>
      <c r="C17" s="3" t="n">
        <f aca="false">IF(AND('国語（前期）'!O18="",'国語（後期）'!O18=""),"",ROUND(IF('国語（前期）'!O18="",'国語（後期）'!O18,IF('国語（後期）'!O18="",'国語（前期）'!O18,('国語（前期）'!O18+'国語（後期）'!O18)/2)),0))</f>
        <v>90</v>
      </c>
      <c r="D17" s="3" t="str">
        <f aca="false">IF(C17="","",IF(C17&gt;=設定!$D$11,"A",IF(C17&gt;=設定!$E$11,"B","C")))</f>
        <v>A</v>
      </c>
      <c r="E17" s="3" t="n">
        <f aca="false">IF(AND('国語（前期）'!AB18="",'国語（後期）'!AB18=""),"",ROUND(IF('国語（前期）'!AB18="",'国語（後期）'!AB18,IF('国語（後期）'!AB18="",'国語（前期）'!AB18,('国語（前期）'!AB18+'国語（後期）'!AB18)/2)),0))</f>
        <v>84</v>
      </c>
      <c r="F17" s="3" t="str">
        <f aca="false">IF(E17="","",IF(E17&gt;=設定!$D$11,"A",IF(E17&gt;=設定!$E$11,"B","C")))</f>
        <v>B</v>
      </c>
      <c r="G17" s="3" t="n">
        <f aca="false">IF(AND('算数（前期）'!O18="",'算数（後期）'!O18=""),"",ROUND(IF('算数（前期）'!O18="",'算数（後期）'!O18,IF('算数（後期）'!O18="",'算数（前期）'!O18,('算数（前期）'!O18+'算数（後期）'!O18)/2)),0))</f>
        <v>93</v>
      </c>
      <c r="H17" s="3" t="str">
        <f aca="false">IF(G17="","",IF(G17&gt;=設定!$D$12,"A",IF(G17&gt;=設定!$E$12,"B","C")))</f>
        <v>A</v>
      </c>
      <c r="I17" s="3" t="n">
        <f aca="false">IF(AND('算数（前期）'!AB18="",'算数（後期）'!AB18=""),"",ROUND(IF('算数（前期）'!AB18="",'算数（後期）'!AB18,IF('算数（後期）'!AB18="",'算数（前期）'!AB18,('算数（前期）'!AB18+'算数（後期）'!AB18)/2)),0))</f>
        <v>83</v>
      </c>
      <c r="J17" s="3" t="str">
        <f aca="false">IF(I17="","",IF(I17&gt;=設定!$D$12,"A",IF(I17&gt;=設定!$E$12,"B","C")))</f>
        <v>B</v>
      </c>
      <c r="K17" s="3" t="n">
        <f aca="false">IF(AND('社会（前期）'!O18="",'社会（後期）'!O18=""),"",ROUND(IF('社会（前期）'!O18="",'社会（後期）'!O18,IF('社会（後期）'!O18="",'社会（前期）'!O18,('社会（前期）'!O18+'社会（後期）'!O18)/2)),0))</f>
        <v>91</v>
      </c>
      <c r="L17" s="3" t="str">
        <f aca="false">IF(K17="","",IF(K17&gt;=設定!$D$13,"A",IF(K17&gt;=設定!$E$13,"B","C")))</f>
        <v>A</v>
      </c>
      <c r="M17" s="3" t="n">
        <f aca="false">IF(AND('社会（前期）'!AB18="",'社会（後期）'!AB18=""),"",ROUND(IF('社会（前期）'!AB18="",'社会（後期）'!AB18,IF('社会（後期）'!AB18="",'社会（前期）'!AB18,('社会（前期）'!AB18+'社会（後期）'!AB18)/2)),0))</f>
        <v>85</v>
      </c>
      <c r="N17" s="3" t="str">
        <f aca="false">IF(M17="","",IF(M17&gt;=設定!$D$13,"A",IF(M17&gt;=設定!$E$13,"B","C")))</f>
        <v>B</v>
      </c>
      <c r="O17" s="3" t="n">
        <f aca="false">IF(AND('理科（前期）'!O18="",'理科（後期）'!O18=""),"",ROUND(IF('理科（前期）'!O18="",'理科（後期）'!O18,IF('理科（後期）'!O18="",'理科（前期）'!O18,('理科（前期）'!O18+'理科（後期）'!O18)/2)),0))</f>
        <v>87</v>
      </c>
      <c r="P17" s="3" t="str">
        <f aca="false">IF(O17="","",IF(O17&gt;=設定!$D$14,"A",IF(O17&gt;=設定!$E$14,"B","C")))</f>
        <v>B</v>
      </c>
      <c r="Q17" s="3" t="n">
        <f aca="false">IF(AND('理科（前期）'!AB18="",'理科（後期）'!AB18=""),"",ROUND(IF('理科（前期）'!AB18="",'理科（後期）'!AB18,IF('理科（後期）'!AB18="",'理科（前期）'!AB18,('理科（前期）'!AB18+'理科（後期）'!AB18)/2)),0))</f>
        <v>83</v>
      </c>
      <c r="R17" s="3" t="str">
        <f aca="false">IF(Q17="","",IF(Q17&gt;=設定!$D$14,"A",IF(Q17&gt;=設定!$E$14,"B","C")))</f>
        <v>B</v>
      </c>
      <c r="S17" s="3" t="n">
        <f aca="false">IF(AND('英語（前期）'!O18="",'英語（後期）'!O18=""),"",ROUND(IF('英語（前期）'!O18="",'英語（後期）'!O18,IF('英語（後期）'!O18="",'英語（前期）'!O18,('英語（前期）'!O18+'英語（後期）'!O18)/2)),0))</f>
        <v>98</v>
      </c>
      <c r="T17" s="3" t="str">
        <f aca="false">IF(S17="","",IF(S17&gt;=設定!$D$15,"A",IF(S17&gt;=設定!$E$15,"B","C")))</f>
        <v>A</v>
      </c>
      <c r="U17" s="3" t="n">
        <f aca="false">IF(AND('英語（前期）'!AB18="",'英語（後期）'!AB18=""),"",ROUND(IF('英語（前期）'!AB18="",'英語（後期）'!AB18,IF('英語（後期）'!AB18="",'英語（前期）'!AB18,('英語（前期）'!AB18+'英語（後期）'!AB18)/2)),0))</f>
        <v>81</v>
      </c>
      <c r="V17" s="3" t="str">
        <f aca="false">IF(U17="","",IF(U17&gt;=設定!$D$15,"A",IF(U17&gt;=設定!$E$15,"B","C")))</f>
        <v>B</v>
      </c>
      <c r="W17" s="3" t="n">
        <f aca="false">IF(AND('保健（前期）'!O18="",'保健（後期）'!O18=""),"",ROUND(IF('保健（前期）'!O18="",'保健（後期）'!O18,IF('保健（後期）'!O18="",'保健（前期）'!O18,('保健（前期）'!O18+'保健（後期）'!O18)/2)),0))</f>
        <v>90</v>
      </c>
      <c r="X17" s="3" t="str">
        <f aca="false">IF(W17="","",IF(W17&gt;=設定!$D$16,"A",IF(W17&gt;=設定!$E$16,"B","C")))</f>
        <v>A</v>
      </c>
      <c r="Y17" s="3" t="n">
        <f aca="false">IF(AND('保健（前期）'!AB18="",'保健（後期）'!AB18=""),"",ROUND(IF('保健（前期）'!AB18="",'保健（後期）'!AB18,IF('保健（後期）'!AB18="",'保健（前期）'!AB18,('保健（前期）'!AB18+'保健（後期）'!AB18)/2)),0))</f>
        <v>85</v>
      </c>
      <c r="Z17" s="3" t="str">
        <f aca="false">IF(Y17="","",IF(Y17&gt;=設定!$D$16,"A",IF(Y17&gt;=設定!$E$16,"B","C")))</f>
        <v>B</v>
      </c>
    </row>
    <row r="18" customFormat="false" ht="15" hidden="false" customHeight="false" outlineLevel="0" collapsed="false">
      <c r="A18" s="3" t="n">
        <v>15</v>
      </c>
      <c r="B18" s="60" t="str">
        <f aca="false">IF(名簿!B17="","",名簿!B17)</f>
        <v>加藤 朝陽</v>
      </c>
      <c r="C18" s="3" t="n">
        <f aca="false">IF(AND('国語（前期）'!O19="",'国語（後期）'!O19=""),"",ROUND(IF('国語（前期）'!O19="",'国語（後期）'!O19,IF('国語（後期）'!O19="",'国語（前期）'!O19,('国語（前期）'!O19+'国語（後期）'!O19)/2)),0))</f>
        <v>53</v>
      </c>
      <c r="D18" s="3" t="str">
        <f aca="false">IF(C18="","",IF(C18&gt;=設定!$D$11,"A",IF(C18&gt;=設定!$E$11,"B","C")))</f>
        <v>C</v>
      </c>
      <c r="E18" s="3" t="n">
        <f aca="false">IF(AND('国語（前期）'!AB19="",'国語（後期）'!AB19=""),"",ROUND(IF('国語（前期）'!AB19="",'国語（後期）'!AB19,IF('国語（後期）'!AB19="",'国語（前期）'!AB19,('国語（前期）'!AB19+'国語（後期）'!AB19)/2)),0))</f>
        <v>42</v>
      </c>
      <c r="F18" s="3" t="str">
        <f aca="false">IF(E18="","",IF(E18&gt;=設定!$D$11,"A",IF(E18&gt;=設定!$E$11,"B","C")))</f>
        <v>C</v>
      </c>
      <c r="G18" s="3" t="n">
        <f aca="false">IF(AND('算数（前期）'!O19="",'算数（後期）'!O19=""),"",ROUND(IF('算数（前期）'!O19="",'算数（後期）'!O19,IF('算数（後期）'!O19="",'算数（前期）'!O19,('算数（前期）'!O19+'算数（後期）'!O19)/2)),0))</f>
        <v>55</v>
      </c>
      <c r="H18" s="3" t="str">
        <f aca="false">IF(G18="","",IF(G18&gt;=設定!$D$12,"A",IF(G18&gt;=設定!$E$12,"B","C")))</f>
        <v>B</v>
      </c>
      <c r="I18" s="3" t="n">
        <f aca="false">IF(AND('算数（前期）'!AB19="",'算数（後期）'!AB19=""),"",ROUND(IF('算数（前期）'!AB19="",'算数（後期）'!AB19,IF('算数（後期）'!AB19="",'算数（前期）'!AB19,('算数（前期）'!AB19+'算数（後期）'!AB19)/2)),0))</f>
        <v>45</v>
      </c>
      <c r="J18" s="3" t="str">
        <f aca="false">IF(I18="","",IF(I18&gt;=設定!$D$12,"A",IF(I18&gt;=設定!$E$12,"B","C")))</f>
        <v>C</v>
      </c>
      <c r="K18" s="3" t="n">
        <f aca="false">IF(AND('社会（前期）'!O19="",'社会（後期）'!O19=""),"",ROUND(IF('社会（前期）'!O19="",'社会（後期）'!O19,IF('社会（後期）'!O19="",'社会（前期）'!O19,('社会（前期）'!O19+'社会（後期）'!O19)/2)),0))</f>
        <v>53</v>
      </c>
      <c r="L18" s="3" t="str">
        <f aca="false">IF(K18="","",IF(K18&gt;=設定!$D$13,"A",IF(K18&gt;=設定!$E$13,"B","C")))</f>
        <v>C</v>
      </c>
      <c r="M18" s="3" t="n">
        <f aca="false">IF(AND('社会（前期）'!AB19="",'社会（後期）'!AB19=""),"",ROUND(IF('社会（前期）'!AB19="",'社会（後期）'!AB19,IF('社会（後期）'!AB19="",'社会（前期）'!AB19,('社会（前期）'!AB19+'社会（後期）'!AB19)/2)),0))</f>
        <v>45</v>
      </c>
      <c r="N18" s="3" t="str">
        <f aca="false">IF(M18="","",IF(M18&gt;=設定!$D$13,"A",IF(M18&gt;=設定!$E$13,"B","C")))</f>
        <v>C</v>
      </c>
      <c r="O18" s="3" t="n">
        <f aca="false">IF(AND('理科（前期）'!O19="",'理科（後期）'!O19=""),"",ROUND(IF('理科（前期）'!O19="",'理科（後期）'!O19,IF('理科（後期）'!O19="",'理科（前期）'!O19,('理科（前期）'!O19+'理科（後期）'!O19)/2)),0))</f>
        <v>52</v>
      </c>
      <c r="P18" s="3" t="str">
        <f aca="false">IF(O18="","",IF(O18&gt;=設定!$D$14,"A",IF(O18&gt;=設定!$E$14,"B","C")))</f>
        <v>C</v>
      </c>
      <c r="Q18" s="3" t="n">
        <f aca="false">IF(AND('理科（前期）'!AB19="",'理科（後期）'!AB19=""),"",ROUND(IF('理科（前期）'!AB19="",'理科（後期）'!AB19,IF('理科（後期）'!AB19="",'理科（前期）'!AB19,('理科（前期）'!AB19+'理科（後期）'!AB19)/2)),0))</f>
        <v>44</v>
      </c>
      <c r="R18" s="3" t="str">
        <f aca="false">IF(Q18="","",IF(Q18&gt;=設定!$D$14,"A",IF(Q18&gt;=設定!$E$14,"B","C")))</f>
        <v>C</v>
      </c>
      <c r="S18" s="3" t="n">
        <f aca="false">IF(AND('英語（前期）'!O19="",'英語（後期）'!O19=""),"",ROUND(IF('英語（前期）'!O19="",'英語（後期）'!O19,IF('英語（後期）'!O19="",'英語（前期）'!O19,('英語（前期）'!O19+'英語（後期）'!O19)/2)),0))</f>
        <v>50</v>
      </c>
      <c r="T18" s="3" t="str">
        <f aca="false">IF(S18="","",IF(S18&gt;=設定!$D$15,"A",IF(S18&gt;=設定!$E$15,"B","C")))</f>
        <v>C</v>
      </c>
      <c r="U18" s="3" t="n">
        <f aca="false">IF(AND('英語（前期）'!AB19="",'英語（後期）'!AB19=""),"",ROUND(IF('英語（前期）'!AB19="",'英語（後期）'!AB19,IF('英語（後期）'!AB19="",'英語（前期）'!AB19,('英語（前期）'!AB19+'英語（後期）'!AB19)/2)),0))</f>
        <v>45</v>
      </c>
      <c r="V18" s="3" t="str">
        <f aca="false">IF(U18="","",IF(U18&gt;=設定!$D$15,"A",IF(U18&gt;=設定!$E$15,"B","C")))</f>
        <v>C</v>
      </c>
      <c r="W18" s="3" t="n">
        <f aca="false">IF(AND('保健（前期）'!O19="",'保健（後期）'!O19=""),"",ROUND(IF('保健（前期）'!O19="",'保健（後期）'!O19,IF('保健（後期）'!O19="",'保健（前期）'!O19,('保健（前期）'!O19+'保健（後期）'!O19)/2)),0))</f>
        <v>60</v>
      </c>
      <c r="X18" s="3" t="str">
        <f aca="false">IF(W18="","",IF(W18&gt;=設定!$D$16,"A",IF(W18&gt;=設定!$E$16,"B","C")))</f>
        <v>B</v>
      </c>
      <c r="Y18" s="3" t="n">
        <f aca="false">IF(AND('保健（前期）'!AB19="",'保健（後期）'!AB19=""),"",ROUND(IF('保健（前期）'!AB19="",'保健（後期）'!AB19,IF('保健（後期）'!AB19="",'保健（前期）'!AB19,('保健（前期）'!AB19+'保健（後期）'!AB19)/2)),0))</f>
        <v>39</v>
      </c>
      <c r="Z18" s="3" t="str">
        <f aca="false">IF(Y18="","",IF(Y18&gt;=設定!$D$16,"A",IF(Y18&gt;=設定!$E$16,"B","C")))</f>
        <v>C</v>
      </c>
    </row>
    <row r="19" customFormat="false" ht="15" hidden="false" customHeight="false" outlineLevel="0" collapsed="false">
      <c r="A19" s="3" t="n">
        <v>16</v>
      </c>
      <c r="B19" s="60" t="str">
        <f aca="false">IF(名簿!B18="","",名簿!B18)</f>
        <v>藤田 結愛</v>
      </c>
      <c r="C19" s="3" t="n">
        <f aca="false">IF(AND('国語（前期）'!O20="",'国語（後期）'!O20=""),"",ROUND(IF('国語（前期）'!O20="",'国語（後期）'!O20,IF('国語（後期）'!O20="",'国語（前期）'!O20,('国語（前期）'!O20+'国語（後期）'!O20)/2)),0))</f>
        <v>99</v>
      </c>
      <c r="D19" s="3" t="str">
        <f aca="false">IF(C19="","",IF(C19&gt;=設定!$D$11,"A",IF(C19&gt;=設定!$E$11,"B","C")))</f>
        <v>A</v>
      </c>
      <c r="E19" s="3" t="n">
        <f aca="false">IF(AND('国語（前期）'!AB20="",'国語（後期）'!AB20=""),"",ROUND(IF('国語（前期）'!AB20="",'国語（後期）'!AB20,IF('国語（後期）'!AB20="",'国語（前期）'!AB20,('国語（前期）'!AB20+'国語（後期）'!AB20)/2)),0))</f>
        <v>95</v>
      </c>
      <c r="F19" s="3" t="str">
        <f aca="false">IF(E19="","",IF(E19&gt;=設定!$D$11,"A",IF(E19&gt;=設定!$E$11,"B","C")))</f>
        <v>A</v>
      </c>
      <c r="G19" s="3" t="n">
        <f aca="false">IF(AND('算数（前期）'!O20="",'算数（後期）'!O20=""),"",ROUND(IF('算数（前期）'!O20="",'算数（後期）'!O20,IF('算数（後期）'!O20="",'算数（前期）'!O20,('算数（前期）'!O20+'算数（後期）'!O20)/2)),0))</f>
        <v>100</v>
      </c>
      <c r="H19" s="3" t="str">
        <f aca="false">IF(G19="","",IF(G19&gt;=設定!$D$12,"A",IF(G19&gt;=設定!$E$12,"B","C")))</f>
        <v>A</v>
      </c>
      <c r="I19" s="3" t="n">
        <f aca="false">IF(AND('算数（前期）'!AB20="",'算数（後期）'!AB20=""),"",ROUND(IF('算数（前期）'!AB20="",'算数（後期）'!AB20,IF('算数（後期）'!AB20="",'算数（前期）'!AB20,('算数（前期）'!AB20+'算数（後期）'!AB20)/2)),0))</f>
        <v>96</v>
      </c>
      <c r="J19" s="3" t="str">
        <f aca="false">IF(I19="","",IF(I19&gt;=設定!$D$12,"A",IF(I19&gt;=設定!$E$12,"B","C")))</f>
        <v>A</v>
      </c>
      <c r="K19" s="3" t="n">
        <f aca="false">IF(AND('社会（前期）'!O20="",'社会（後期）'!O20=""),"",ROUND(IF('社会（前期）'!O20="",'社会（後期）'!O20,IF('社会（後期）'!O20="",'社会（前期）'!O20,('社会（前期）'!O20+'社会（後期）'!O20)/2)),0))</f>
        <v>100</v>
      </c>
      <c r="L19" s="3" t="str">
        <f aca="false">IF(K19="","",IF(K19&gt;=設定!$D$13,"A",IF(K19&gt;=設定!$E$13,"B","C")))</f>
        <v>A</v>
      </c>
      <c r="M19" s="3" t="n">
        <f aca="false">IF(AND('社会（前期）'!AB20="",'社会（後期）'!AB20=""),"",ROUND(IF('社会（前期）'!AB20="",'社会（後期）'!AB20,IF('社会（後期）'!AB20="",'社会（前期）'!AB20,('社会（前期）'!AB20+'社会（後期）'!AB20)/2)),0))</f>
        <v>95</v>
      </c>
      <c r="N19" s="3" t="str">
        <f aca="false">IF(M19="","",IF(M19&gt;=設定!$D$13,"A",IF(M19&gt;=設定!$E$13,"B","C")))</f>
        <v>A</v>
      </c>
      <c r="O19" s="3" t="n">
        <f aca="false">IF(AND('理科（前期）'!O20="",'理科（後期）'!O20=""),"",ROUND(IF('理科（前期）'!O20="",'理科（後期）'!O20,IF('理科（後期）'!O20="",'理科（前期）'!O20,('理科（前期）'!O20+'理科（後期）'!O20)/2)),0))</f>
        <v>99</v>
      </c>
      <c r="P19" s="3" t="str">
        <f aca="false">IF(O19="","",IF(O19&gt;=設定!$D$14,"A",IF(O19&gt;=設定!$E$14,"B","C")))</f>
        <v>A</v>
      </c>
      <c r="Q19" s="3" t="n">
        <f aca="false">IF(AND('理科（前期）'!AB20="",'理科（後期）'!AB20=""),"",ROUND(IF('理科（前期）'!AB20="",'理科（後期）'!AB20,IF('理科（後期）'!AB20="",'理科（前期）'!AB20,('理科（前期）'!AB20+'理科（後期）'!AB20)/2)),0))</f>
        <v>94</v>
      </c>
      <c r="R19" s="3" t="str">
        <f aca="false">IF(Q19="","",IF(Q19&gt;=設定!$D$14,"A",IF(Q19&gt;=設定!$E$14,"B","C")))</f>
        <v>A</v>
      </c>
      <c r="S19" s="3" t="n">
        <f aca="false">IF(AND('英語（前期）'!O20="",'英語（後期）'!O20=""),"",ROUND(IF('英語（前期）'!O20="",'英語（後期）'!O20,IF('英語（後期）'!O20="",'英語（前期）'!O20,('英語（前期）'!O20+'英語（後期）'!O20)/2)),0))</f>
        <v>100</v>
      </c>
      <c r="T19" s="3" t="str">
        <f aca="false">IF(S19="","",IF(S19&gt;=設定!$D$15,"A",IF(S19&gt;=設定!$E$15,"B","C")))</f>
        <v>A</v>
      </c>
      <c r="U19" s="3" t="n">
        <f aca="false">IF(AND('英語（前期）'!AB20="",'英語（後期）'!AB20=""),"",ROUND(IF('英語（前期）'!AB20="",'英語（後期）'!AB20,IF('英語（後期）'!AB20="",'英語（前期）'!AB20,('英語（前期）'!AB20+'英語（後期）'!AB20)/2)),0))</f>
        <v>95</v>
      </c>
      <c r="V19" s="3" t="str">
        <f aca="false">IF(U19="","",IF(U19&gt;=設定!$D$15,"A",IF(U19&gt;=設定!$E$15,"B","C")))</f>
        <v>A</v>
      </c>
      <c r="W19" s="3" t="n">
        <f aca="false">IF(AND('保健（前期）'!O20="",'保健（後期）'!O20=""),"",ROUND(IF('保健（前期）'!O20="",'保健（後期）'!O20,IF('保健（後期）'!O20="",'保健（前期）'!O20,('保健（前期）'!O20+'保健（後期）'!O20)/2)),0))</f>
        <v>100</v>
      </c>
      <c r="X19" s="3" t="str">
        <f aca="false">IF(W19="","",IF(W19&gt;=設定!$D$16,"A",IF(W19&gt;=設定!$E$16,"B","C")))</f>
        <v>A</v>
      </c>
      <c r="Y19" s="3" t="n">
        <f aca="false">IF(AND('保健（前期）'!AB20="",'保健（後期）'!AB20=""),"",ROUND(IF('保健（前期）'!AB20="",'保健（後期）'!AB20,IF('保健（後期）'!AB20="",'保健（前期）'!AB20,('保健（前期）'!AB20+'保健（後期）'!AB20)/2)),0))</f>
        <v>92</v>
      </c>
      <c r="Z19" s="3" t="str">
        <f aca="false">IF(Y19="","",IF(Y19&gt;=設定!$D$16,"A",IF(Y19&gt;=設定!$E$16,"B","C")))</f>
        <v>A</v>
      </c>
    </row>
    <row r="20" customFormat="false" ht="15" hidden="false" customHeight="false" outlineLevel="0" collapsed="false">
      <c r="A20" s="3" t="n">
        <v>17</v>
      </c>
      <c r="B20" s="60" t="str">
        <f aca="false">IF(名簿!B19="","",名簿!B19)</f>
        <v>田中 大和</v>
      </c>
      <c r="C20" s="3" t="n">
        <f aca="false">IF(AND('国語（前期）'!O21="",'国語（後期）'!O21=""),"",ROUND(IF('国語（前期）'!O21="",'国語（後期）'!O21,IF('国語（後期）'!O21="",'国語（前期）'!O21,('国語（前期）'!O21+'国語（後期）'!O21)/2)),0))</f>
        <v>86</v>
      </c>
      <c r="D20" s="3" t="str">
        <f aca="false">IF(C20="","",IF(C20&gt;=設定!$D$11,"A",IF(C20&gt;=設定!$E$11,"B","C")))</f>
        <v>B</v>
      </c>
      <c r="E20" s="3" t="n">
        <f aca="false">IF(AND('国語（前期）'!AB21="",'国語（後期）'!AB21=""),"",ROUND(IF('国語（前期）'!AB21="",'国語（後期）'!AB21,IF('国語（後期）'!AB21="",'国語（前期）'!AB21,('国語（前期）'!AB21+'国語（後期）'!AB21)/2)),0))</f>
        <v>74</v>
      </c>
      <c r="F20" s="3" t="str">
        <f aca="false">IF(E20="","",IF(E20&gt;=設定!$D$11,"A",IF(E20&gt;=設定!$E$11,"B","C")))</f>
        <v>B</v>
      </c>
      <c r="G20" s="3" t="n">
        <f aca="false">IF(AND('算数（前期）'!O21="",'算数（後期）'!O21=""),"",ROUND(IF('算数（前期）'!O21="",'算数（後期）'!O21,IF('算数（後期）'!O21="",'算数（前期）'!O21,('算数（前期）'!O21+'算数（後期）'!O21)/2)),0))</f>
        <v>84</v>
      </c>
      <c r="H20" s="3" t="str">
        <f aca="false">IF(G20="","",IF(G20&gt;=設定!$D$12,"A",IF(G20&gt;=設定!$E$12,"B","C")))</f>
        <v>B</v>
      </c>
      <c r="I20" s="3" t="n">
        <f aca="false">IF(AND('算数（前期）'!AB21="",'算数（後期）'!AB21=""),"",ROUND(IF('算数（前期）'!AB21="",'算数（後期）'!AB21,IF('算数（後期）'!AB21="",'算数（前期）'!AB21,('算数（前期）'!AB21+'算数（後期）'!AB21)/2)),0))</f>
        <v>72</v>
      </c>
      <c r="J20" s="3" t="str">
        <f aca="false">IF(I20="","",IF(I20&gt;=設定!$D$12,"A",IF(I20&gt;=設定!$E$12,"B","C")))</f>
        <v>B</v>
      </c>
      <c r="K20" s="3" t="n">
        <f aca="false">IF(AND('社会（前期）'!O21="",'社会（後期）'!O21=""),"",ROUND(IF('社会（前期）'!O21="",'社会（後期）'!O21,IF('社会（後期）'!O21="",'社会（前期）'!O21,('社会（前期）'!O21+'社会（後期）'!O21)/2)),0))</f>
        <v>85</v>
      </c>
      <c r="L20" s="3" t="str">
        <f aca="false">IF(K20="","",IF(K20&gt;=設定!$D$13,"A",IF(K20&gt;=設定!$E$13,"B","C")))</f>
        <v>B</v>
      </c>
      <c r="M20" s="3" t="n">
        <f aca="false">IF(AND('社会（前期）'!AB21="",'社会（後期）'!AB21=""),"",ROUND(IF('社会（前期）'!AB21="",'社会（後期）'!AB21,IF('社会（後期）'!AB21="",'社会（前期）'!AB21,('社会（前期）'!AB21+'社会（後期）'!AB21)/2)),0))</f>
        <v>70</v>
      </c>
      <c r="N20" s="3" t="str">
        <f aca="false">IF(M20="","",IF(M20&gt;=設定!$D$13,"A",IF(M20&gt;=設定!$E$13,"B","C")))</f>
        <v>B</v>
      </c>
      <c r="O20" s="3" t="n">
        <f aca="false">IF(AND('理科（前期）'!O21="",'理科（後期）'!O21=""),"",ROUND(IF('理科（前期）'!O21="",'理科（後期）'!O21,IF('理科（後期）'!O21="",'理科（前期）'!O21,('理科（前期）'!O21+'理科（後期）'!O21)/2)),0))</f>
        <v>82</v>
      </c>
      <c r="P20" s="3" t="str">
        <f aca="false">IF(O20="","",IF(O20&gt;=設定!$D$14,"A",IF(O20&gt;=設定!$E$14,"B","C")))</f>
        <v>B</v>
      </c>
      <c r="Q20" s="3" t="n">
        <f aca="false">IF(AND('理科（前期）'!AB21="",'理科（後期）'!AB21=""),"",ROUND(IF('理科（前期）'!AB21="",'理科（後期）'!AB21,IF('理科（後期）'!AB21="",'理科（前期）'!AB21,('理科（前期）'!AB21+'理科（後期）'!AB21)/2)),0))</f>
        <v>75</v>
      </c>
      <c r="R20" s="3" t="str">
        <f aca="false">IF(Q20="","",IF(Q20&gt;=設定!$D$14,"A",IF(Q20&gt;=設定!$E$14,"B","C")))</f>
        <v>B</v>
      </c>
      <c r="S20" s="3" t="n">
        <f aca="false">IF(AND('英語（前期）'!O21="",'英語（後期）'!O21=""),"",ROUND(IF('英語（前期）'!O21="",'英語（後期）'!O21,IF('英語（後期）'!O21="",'英語（前期）'!O21,('英語（前期）'!O21+'英語（後期）'!O21)/2)),0))</f>
        <v>86</v>
      </c>
      <c r="T20" s="3" t="str">
        <f aca="false">IF(S20="","",IF(S20&gt;=設定!$D$15,"A",IF(S20&gt;=設定!$E$15,"B","C")))</f>
        <v>B</v>
      </c>
      <c r="U20" s="3" t="n">
        <f aca="false">IF(AND('英語（前期）'!AB21="",'英語（後期）'!AB21=""),"",ROUND(IF('英語（前期）'!AB21="",'英語（後期）'!AB21,IF('英語（後期）'!AB21="",'英語（前期）'!AB21,('英語（前期）'!AB21+'英語（後期）'!AB21)/2)),0))</f>
        <v>77</v>
      </c>
      <c r="V20" s="3" t="str">
        <f aca="false">IF(U20="","",IF(U20&gt;=設定!$D$15,"A",IF(U20&gt;=設定!$E$15,"B","C")))</f>
        <v>B</v>
      </c>
      <c r="W20" s="3" t="n">
        <f aca="false">IF(AND('保健（前期）'!O21="",'保健（後期）'!O21=""),"",ROUND(IF('保健（前期）'!O21="",'保健（後期）'!O21,IF('保健（後期）'!O21="",'保健（前期）'!O21,('保健（前期）'!O21+'保健（後期）'!O21)/2)),0))</f>
        <v>81</v>
      </c>
      <c r="X20" s="3" t="str">
        <f aca="false">IF(W20="","",IF(W20&gt;=設定!$D$16,"A",IF(W20&gt;=設定!$E$16,"B","C")))</f>
        <v>B</v>
      </c>
      <c r="Y20" s="3" t="n">
        <f aca="false">IF(AND('保健（前期）'!AB21="",'保健（後期）'!AB21=""),"",ROUND(IF('保健（前期）'!AB21="",'保健（後期）'!AB21,IF('保健（後期）'!AB21="",'保健（前期）'!AB21,('保健（前期）'!AB21+'保健（後期）'!AB21)/2)),0))</f>
        <v>79</v>
      </c>
      <c r="Z20" s="3" t="str">
        <f aca="false">IF(Y20="","",IF(Y20&gt;=設定!$D$16,"A",IF(Y20&gt;=設定!$E$16,"B","C")))</f>
        <v>B</v>
      </c>
    </row>
    <row r="21" customFormat="false" ht="15" hidden="false" customHeight="false" outlineLevel="0" collapsed="false">
      <c r="A21" s="3" t="n">
        <v>18</v>
      </c>
      <c r="B21" s="60" t="str">
        <f aca="false">IF(名簿!B20="","",名簿!B20)</f>
        <v>山口 心春</v>
      </c>
      <c r="C21" s="3" t="n">
        <f aca="false">IF(AND('国語（前期）'!O22="",'国語（後期）'!O22=""),"",ROUND(IF('国語（前期）'!O22="",'国語（後期）'!O22,IF('国語（後期）'!O22="",'国語（前期）'!O22,('国語（前期）'!O22+'国語（後期）'!O22)/2)),0))</f>
        <v>100</v>
      </c>
      <c r="D21" s="3" t="str">
        <f aca="false">IF(C21="","",IF(C21&gt;=設定!$D$11,"A",IF(C21&gt;=設定!$E$11,"B","C")))</f>
        <v>A</v>
      </c>
      <c r="E21" s="3" t="n">
        <f aca="false">IF(AND('国語（前期）'!AB22="",'国語（後期）'!AB22=""),"",ROUND(IF('国語（前期）'!AB22="",'国語（後期）'!AB22,IF('国語（後期）'!AB22="",'国語（前期）'!AB22,('国語（前期）'!AB22+'国語（後期）'!AB22)/2)),0))</f>
        <v>100</v>
      </c>
      <c r="F21" s="3" t="str">
        <f aca="false">IF(E21="","",IF(E21&gt;=設定!$D$11,"A",IF(E21&gt;=設定!$E$11,"B","C")))</f>
        <v>A</v>
      </c>
      <c r="G21" s="3" t="n">
        <f aca="false">IF(AND('算数（前期）'!O22="",'算数（後期）'!O22=""),"",ROUND(IF('算数（前期）'!O22="",'算数（後期）'!O22,IF('算数（後期）'!O22="",'算数（前期）'!O22,('算数（前期）'!O22+'算数（後期）'!O22)/2)),0))</f>
        <v>100</v>
      </c>
      <c r="H21" s="3" t="str">
        <f aca="false">IF(G21="","",IF(G21&gt;=設定!$D$12,"A",IF(G21&gt;=設定!$E$12,"B","C")))</f>
        <v>A</v>
      </c>
      <c r="I21" s="3" t="n">
        <f aca="false">IF(AND('算数（前期）'!AB22="",'算数（後期）'!AB22=""),"",ROUND(IF('算数（前期）'!AB22="",'算数（後期）'!AB22,IF('算数（後期）'!AB22="",'算数（前期）'!AB22,('算数（前期）'!AB22+'算数（後期）'!AB22)/2)),0))</f>
        <v>100</v>
      </c>
      <c r="J21" s="3" t="str">
        <f aca="false">IF(I21="","",IF(I21&gt;=設定!$D$12,"A",IF(I21&gt;=設定!$E$12,"B","C")))</f>
        <v>A</v>
      </c>
      <c r="K21" s="3" t="n">
        <f aca="false">IF(AND('社会（前期）'!O22="",'社会（後期）'!O22=""),"",ROUND(IF('社会（前期）'!O22="",'社会（後期）'!O22,IF('社会（後期）'!O22="",'社会（前期）'!O22,('社会（前期）'!O22+'社会（後期）'!O22)/2)),0))</f>
        <v>100</v>
      </c>
      <c r="L21" s="3" t="str">
        <f aca="false">IF(K21="","",IF(K21&gt;=設定!$D$13,"A",IF(K21&gt;=設定!$E$13,"B","C")))</f>
        <v>A</v>
      </c>
      <c r="M21" s="3" t="n">
        <f aca="false">IF(AND('社会（前期）'!AB22="",'社会（後期）'!AB22=""),"",ROUND(IF('社会（前期）'!AB22="",'社会（後期）'!AB22,IF('社会（後期）'!AB22="",'社会（前期）'!AB22,('社会（前期）'!AB22+'社会（後期）'!AB22)/2)),0))</f>
        <v>100</v>
      </c>
      <c r="N21" s="3" t="str">
        <f aca="false">IF(M21="","",IF(M21&gt;=設定!$D$13,"A",IF(M21&gt;=設定!$E$13,"B","C")))</f>
        <v>A</v>
      </c>
      <c r="O21" s="3" t="n">
        <f aca="false">IF(AND('理科（前期）'!O22="",'理科（後期）'!O22=""),"",ROUND(IF('理科（前期）'!O22="",'理科（後期）'!O22,IF('理科（後期）'!O22="",'理科（前期）'!O22,('理科（前期）'!O22+'理科（後期）'!O22)/2)),0))</f>
        <v>100</v>
      </c>
      <c r="P21" s="3" t="str">
        <f aca="false">IF(O21="","",IF(O21&gt;=設定!$D$14,"A",IF(O21&gt;=設定!$E$14,"B","C")))</f>
        <v>A</v>
      </c>
      <c r="Q21" s="3" t="n">
        <f aca="false">IF(AND('理科（前期）'!AB22="",'理科（後期）'!AB22=""),"",ROUND(IF('理科（前期）'!AB22="",'理科（後期）'!AB22,IF('理科（後期）'!AB22="",'理科（前期）'!AB22,('理科（前期）'!AB22+'理科（後期）'!AB22)/2)),0))</f>
        <v>99</v>
      </c>
      <c r="R21" s="3" t="str">
        <f aca="false">IF(Q21="","",IF(Q21&gt;=設定!$D$14,"A",IF(Q21&gt;=設定!$E$14,"B","C")))</f>
        <v>A</v>
      </c>
      <c r="S21" s="3" t="n">
        <f aca="false">IF(AND('英語（前期）'!O22="",'英語（後期）'!O22=""),"",ROUND(IF('英語（前期）'!O22="",'英語（後期）'!O22,IF('英語（後期）'!O22="",'英語（前期）'!O22,('英語（前期）'!O22+'英語（後期）'!O22)/2)),0))</f>
        <v>100</v>
      </c>
      <c r="T21" s="3" t="str">
        <f aca="false">IF(S21="","",IF(S21&gt;=設定!$D$15,"A",IF(S21&gt;=設定!$E$15,"B","C")))</f>
        <v>A</v>
      </c>
      <c r="U21" s="3" t="n">
        <f aca="false">IF(AND('英語（前期）'!AB22="",'英語（後期）'!AB22=""),"",ROUND(IF('英語（前期）'!AB22="",'英語（後期）'!AB22,IF('英語（後期）'!AB22="",'英語（前期）'!AB22,('英語（前期）'!AB22+'英語（後期）'!AB22)/2)),0))</f>
        <v>100</v>
      </c>
      <c r="V21" s="3" t="str">
        <f aca="false">IF(U21="","",IF(U21&gt;=設定!$D$15,"A",IF(U21&gt;=設定!$E$15,"B","C")))</f>
        <v>A</v>
      </c>
      <c r="W21" s="3" t="n">
        <f aca="false">IF(AND('保健（前期）'!O22="",'保健（後期）'!O22=""),"",ROUND(IF('保健（前期）'!O22="",'保健（後期）'!O22,IF('保健（後期）'!O22="",'保健（前期）'!O22,('保健（前期）'!O22+'保健（後期）'!O22)/2)),0))</f>
        <v>100</v>
      </c>
      <c r="X21" s="3" t="str">
        <f aca="false">IF(W21="","",IF(W21&gt;=設定!$D$16,"A",IF(W21&gt;=設定!$E$16,"B","C")))</f>
        <v>A</v>
      </c>
      <c r="Y21" s="3" t="n">
        <f aca="false">IF(AND('保健（前期）'!AB22="",'保健（後期）'!AB22=""),"",ROUND(IF('保健（前期）'!AB22="",'保健（後期）'!AB22,IF('保健（後期）'!AB22="",'保健（前期）'!AB22,('保健（前期）'!AB22+'保健（後期）'!AB22)/2)),0))</f>
        <v>100</v>
      </c>
      <c r="Z21" s="3" t="str">
        <f aca="false">IF(Y21="","",IF(Y21&gt;=設定!$D$16,"A",IF(Y21&gt;=設定!$E$16,"B","C")))</f>
        <v>A</v>
      </c>
    </row>
    <row r="22" customFormat="false" ht="15" hidden="false" customHeight="false" outlineLevel="0" collapsed="false">
      <c r="A22" s="3" t="n">
        <v>19</v>
      </c>
      <c r="B22" s="60" t="str">
        <f aca="false">IF(名簿!B21="","",名簿!B21)</f>
        <v>山本 朝陽</v>
      </c>
      <c r="C22" s="3" t="n">
        <f aca="false">IF(AND('国語（前期）'!O23="",'国語（後期）'!O23=""),"",ROUND(IF('国語（前期）'!O23="",'国語（後期）'!O23,IF('国語（後期）'!O23="",'国語（前期）'!O23,('国語（前期）'!O23+'国語（後期）'!O23)/2)),0))</f>
        <v>94</v>
      </c>
      <c r="D22" s="3" t="str">
        <f aca="false">IF(C22="","",IF(C22&gt;=設定!$D$11,"A",IF(C22&gt;=設定!$E$11,"B","C")))</f>
        <v>A</v>
      </c>
      <c r="E22" s="3" t="n">
        <f aca="false">IF(AND('国語（前期）'!AB23="",'国語（後期）'!AB23=""),"",ROUND(IF('国語（前期）'!AB23="",'国語（後期）'!AB23,IF('国語（後期）'!AB23="",'国語（前期）'!AB23,('国語（前期）'!AB23+'国語（後期）'!AB23)/2)),0))</f>
        <v>89</v>
      </c>
      <c r="F22" s="3" t="str">
        <f aca="false">IF(E22="","",IF(E22&gt;=設定!$D$11,"A",IF(E22&gt;=設定!$E$11,"B","C")))</f>
        <v>B</v>
      </c>
      <c r="G22" s="3" t="n">
        <f aca="false">IF(AND('算数（前期）'!O23="",'算数（後期）'!O23=""),"",ROUND(IF('算数（前期）'!O23="",'算数（後期）'!O23,IF('算数（後期）'!O23="",'算数（前期）'!O23,('算数（前期）'!O23+'算数（後期）'!O23)/2)),0))</f>
        <v>97</v>
      </c>
      <c r="H22" s="3" t="str">
        <f aca="false">IF(G22="","",IF(G22&gt;=設定!$D$12,"A",IF(G22&gt;=設定!$E$12,"B","C")))</f>
        <v>A</v>
      </c>
      <c r="I22" s="3" t="n">
        <f aca="false">IF(AND('算数（前期）'!AB23="",'算数（後期）'!AB23=""),"",ROUND(IF('算数（前期）'!AB23="",'算数（後期）'!AB23,IF('算数（後期）'!AB23="",'算数（前期）'!AB23,('算数（前期）'!AB23+'算数（後期）'!AB23)/2)),0))</f>
        <v>91</v>
      </c>
      <c r="J22" s="3" t="str">
        <f aca="false">IF(I22="","",IF(I22&gt;=設定!$D$12,"A",IF(I22&gt;=設定!$E$12,"B","C")))</f>
        <v>A</v>
      </c>
      <c r="K22" s="3" t="n">
        <f aca="false">IF(AND('社会（前期）'!O23="",'社会（後期）'!O23=""),"",ROUND(IF('社会（前期）'!O23="",'社会（後期）'!O23,IF('社会（後期）'!O23="",'社会（前期）'!O23,('社会（前期）'!O23+'社会（後期）'!O23)/2)),0))</f>
        <v>94</v>
      </c>
      <c r="L22" s="3" t="str">
        <f aca="false">IF(K22="","",IF(K22&gt;=設定!$D$13,"A",IF(K22&gt;=設定!$E$13,"B","C")))</f>
        <v>A</v>
      </c>
      <c r="M22" s="3" t="n">
        <f aca="false">IF(AND('社会（前期）'!AB23="",'社会（後期）'!AB23=""),"",ROUND(IF('社会（前期）'!AB23="",'社会（後期）'!AB23,IF('社会（後期）'!AB23="",'社会（前期）'!AB23,('社会（前期）'!AB23+'社会（後期）'!AB23)/2)),0))</f>
        <v>92</v>
      </c>
      <c r="N22" s="3" t="str">
        <f aca="false">IF(M22="","",IF(M22&gt;=設定!$D$13,"A",IF(M22&gt;=設定!$E$13,"B","C")))</f>
        <v>A</v>
      </c>
      <c r="O22" s="3" t="n">
        <f aca="false">IF(AND('理科（前期）'!O23="",'理科（後期）'!O23=""),"",ROUND(IF('理科（前期）'!O23="",'理科（後期）'!O23,IF('理科（後期）'!O23="",'理科（前期）'!O23,('理科（前期）'!O23+'理科（後期）'!O23)/2)),0))</f>
        <v>96</v>
      </c>
      <c r="P22" s="3" t="str">
        <f aca="false">IF(O22="","",IF(O22&gt;=設定!$D$14,"A",IF(O22&gt;=設定!$E$14,"B","C")))</f>
        <v>A</v>
      </c>
      <c r="Q22" s="3" t="n">
        <f aca="false">IF(AND('理科（前期）'!AB23="",'理科（後期）'!AB23=""),"",ROUND(IF('理科（前期）'!AB23="",'理科（後期）'!AB23,IF('理科（後期）'!AB23="",'理科（前期）'!AB23,('理科（前期）'!AB23+'理科（後期）'!AB23)/2)),0))</f>
        <v>92</v>
      </c>
      <c r="R22" s="3" t="str">
        <f aca="false">IF(Q22="","",IF(Q22&gt;=設定!$D$14,"A",IF(Q22&gt;=設定!$E$14,"B","C")))</f>
        <v>A</v>
      </c>
      <c r="S22" s="3" t="n">
        <f aca="false">IF(AND('英語（前期）'!O23="",'英語（後期）'!O23=""),"",ROUND(IF('英語（前期）'!O23="",'英語（後期）'!O23,IF('英語（後期）'!O23="",'英語（前期）'!O23,('英語（前期）'!O23+'英語（後期）'!O23)/2)),0))</f>
        <v>96</v>
      </c>
      <c r="T22" s="3" t="str">
        <f aca="false">IF(S22="","",IF(S22&gt;=設定!$D$15,"A",IF(S22&gt;=設定!$E$15,"B","C")))</f>
        <v>A</v>
      </c>
      <c r="U22" s="3" t="n">
        <f aca="false">IF(AND('英語（前期）'!AB23="",'英語（後期）'!AB23=""),"",ROUND(IF('英語（前期）'!AB23="",'英語（後期）'!AB23,IF('英語（後期）'!AB23="",'英語（前期）'!AB23,('英語（前期）'!AB23+'英語（後期）'!AB23)/2)),0))</f>
        <v>84</v>
      </c>
      <c r="V22" s="3" t="str">
        <f aca="false">IF(U22="","",IF(U22&gt;=設定!$D$15,"A",IF(U22&gt;=設定!$E$15,"B","C")))</f>
        <v>B</v>
      </c>
      <c r="W22" s="3" t="n">
        <f aca="false">IF(AND('保健（前期）'!O23="",'保健（後期）'!O23=""),"",ROUND(IF('保健（前期）'!O23="",'保健（後期）'!O23,IF('保健（後期）'!O23="",'保健（前期）'!O23,('保健（前期）'!O23+'保健（後期）'!O23)/2)),0))</f>
        <v>95</v>
      </c>
      <c r="X22" s="3" t="str">
        <f aca="false">IF(W22="","",IF(W22&gt;=設定!$D$16,"A",IF(W22&gt;=設定!$E$16,"B","C")))</f>
        <v>A</v>
      </c>
      <c r="Y22" s="3" t="n">
        <f aca="false">IF(AND('保健（前期）'!AB23="",'保健（後期）'!AB23=""),"",ROUND(IF('保健（前期）'!AB23="",'保健（後期）'!AB23,IF('保健（後期）'!AB23="",'保健（前期）'!AB23,('保健（前期）'!AB23+'保健（後期）'!AB23)/2)),0))</f>
        <v>87</v>
      </c>
      <c r="Z22" s="3" t="str">
        <f aca="false">IF(Y22="","",IF(Y22&gt;=設定!$D$16,"A",IF(Y22&gt;=設定!$E$16,"B","C")))</f>
        <v>B</v>
      </c>
    </row>
    <row r="23" customFormat="false" ht="15" hidden="false" customHeight="false" outlineLevel="0" collapsed="false">
      <c r="A23" s="3" t="n">
        <v>20</v>
      </c>
      <c r="B23" s="60" t="str">
        <f aca="false">IF(名簿!B22="","",名簿!B22)</f>
        <v>前田 彩花</v>
      </c>
      <c r="C23" s="3" t="n">
        <f aca="false">IF(AND('国語（前期）'!O24="",'国語（後期）'!O24=""),"",ROUND(IF('国語（前期）'!O24="",'国語（後期）'!O24,IF('国語（後期）'!O24="",'国語（前期）'!O24,('国語（前期）'!O24+'国語（後期）'!O24)/2)),0))</f>
        <v>71</v>
      </c>
      <c r="D23" s="3" t="str">
        <f aca="false">IF(C23="","",IF(C23&gt;=設定!$D$11,"A",IF(C23&gt;=設定!$E$11,"B","C")))</f>
        <v>B</v>
      </c>
      <c r="E23" s="3" t="n">
        <f aca="false">IF(AND('国語（前期）'!AB24="",'国語（後期）'!AB24=""),"",ROUND(IF('国語（前期）'!AB24="",'国語（後期）'!AB24,IF('国語（後期）'!AB24="",'国語（前期）'!AB24,('国語（前期）'!AB24+'国語（後期）'!AB24)/2)),0))</f>
        <v>59</v>
      </c>
      <c r="F23" s="3" t="str">
        <f aca="false">IF(E23="","",IF(E23&gt;=設定!$D$11,"A",IF(E23&gt;=設定!$E$11,"B","C")))</f>
        <v>C</v>
      </c>
      <c r="G23" s="3" t="n">
        <f aca="false">IF(AND('算数（前期）'!O24="",'算数（後期）'!O24=""),"",ROUND(IF('算数（前期）'!O24="",'算数（後期）'!O24,IF('算数（後期）'!O24="",'算数（前期）'!O24,('算数（前期）'!O24+'算数（後期）'!O24)/2)),0))</f>
        <v>71</v>
      </c>
      <c r="H23" s="3" t="str">
        <f aca="false">IF(G23="","",IF(G23&gt;=設定!$D$12,"A",IF(G23&gt;=設定!$E$12,"B","C")))</f>
        <v>B</v>
      </c>
      <c r="I23" s="3" t="n">
        <f aca="false">IF(AND('算数（前期）'!AB24="",'算数（後期）'!AB24=""),"",ROUND(IF('算数（前期）'!AB24="",'算数（後期）'!AB24,IF('算数（後期）'!AB24="",'算数（前期）'!AB24,('算数（前期）'!AB24+'算数（後期）'!AB24)/2)),0))</f>
        <v>61</v>
      </c>
      <c r="J23" s="3" t="str">
        <f aca="false">IF(I23="","",IF(I23&gt;=設定!$D$12,"A",IF(I23&gt;=設定!$E$12,"B","C")))</f>
        <v>B</v>
      </c>
      <c r="K23" s="3" t="n">
        <f aca="false">IF(AND('社会（前期）'!O24="",'社会（後期）'!O24=""),"",ROUND(IF('社会（前期）'!O24="",'社会（後期）'!O24,IF('社会（後期）'!O24="",'社会（前期）'!O24,('社会（前期）'!O24+'社会（後期）'!O24)/2)),0))</f>
        <v>74</v>
      </c>
      <c r="L23" s="3" t="str">
        <f aca="false">IF(K23="","",IF(K23&gt;=設定!$D$13,"A",IF(K23&gt;=設定!$E$13,"B","C")))</f>
        <v>B</v>
      </c>
      <c r="M23" s="3" t="n">
        <f aca="false">IF(AND('社会（前期）'!AB24="",'社会（後期）'!AB24=""),"",ROUND(IF('社会（前期）'!AB24="",'社会（後期）'!AB24,IF('社会（後期）'!AB24="",'社会（前期）'!AB24,('社会（前期）'!AB24+'社会（後期）'!AB24)/2)),0))</f>
        <v>64</v>
      </c>
      <c r="N23" s="3" t="str">
        <f aca="false">IF(M23="","",IF(M23&gt;=設定!$D$13,"A",IF(M23&gt;=設定!$E$13,"B","C")))</f>
        <v>B</v>
      </c>
      <c r="O23" s="3" t="n">
        <f aca="false">IF(AND('理科（前期）'!O24="",'理科（後期）'!O24=""),"",ROUND(IF('理科（前期）'!O24="",'理科（後期）'!O24,IF('理科（後期）'!O24="",'理科（前期）'!O24,('理科（前期）'!O24+'理科（後期）'!O24)/2)),0))</f>
        <v>73</v>
      </c>
      <c r="P23" s="3" t="str">
        <f aca="false">IF(O23="","",IF(O23&gt;=設定!$D$14,"A",IF(O23&gt;=設定!$E$14,"B","C")))</f>
        <v>B</v>
      </c>
      <c r="Q23" s="3" t="n">
        <f aca="false">IF(AND('理科（前期）'!AB24="",'理科（後期）'!AB24=""),"",ROUND(IF('理科（前期）'!AB24="",'理科（後期）'!AB24,IF('理科（後期）'!AB24="",'理科（前期）'!AB24,('理科（前期）'!AB24+'理科（後期）'!AB24)/2)),0))</f>
        <v>59</v>
      </c>
      <c r="R23" s="3" t="str">
        <f aca="false">IF(Q23="","",IF(Q23&gt;=設定!$D$14,"A",IF(Q23&gt;=設定!$E$14,"B","C")))</f>
        <v>C</v>
      </c>
      <c r="S23" s="3" t="n">
        <f aca="false">IF(AND('英語（前期）'!O24="",'英語（後期）'!O24=""),"",ROUND(IF('英語（前期）'!O24="",'英語（後期）'!O24,IF('英語（後期）'!O24="",'英語（前期）'!O24,('英語（前期）'!O24+'英語（後期）'!O24)/2)),0))</f>
        <v>71</v>
      </c>
      <c r="T23" s="3" t="str">
        <f aca="false">IF(S23="","",IF(S23&gt;=設定!$D$15,"A",IF(S23&gt;=設定!$E$15,"B","C")))</f>
        <v>B</v>
      </c>
      <c r="U23" s="3" t="n">
        <f aca="false">IF(AND('英語（前期）'!AB24="",'英語（後期）'!AB24=""),"",ROUND(IF('英語（前期）'!AB24="",'英語（後期）'!AB24,IF('英語（後期）'!AB24="",'英語（前期）'!AB24,('英語（前期）'!AB24+'英語（後期）'!AB24)/2)),0))</f>
        <v>63</v>
      </c>
      <c r="V23" s="3" t="str">
        <f aca="false">IF(U23="","",IF(U23&gt;=設定!$D$15,"A",IF(U23&gt;=設定!$E$15,"B","C")))</f>
        <v>B</v>
      </c>
      <c r="W23" s="3" t="n">
        <f aca="false">IF(AND('保健（前期）'!O24="",'保健（後期）'!O24=""),"",ROUND(IF('保健（前期）'!O24="",'保健（後期）'!O24,IF('保健（後期）'!O24="",'保健（前期）'!O24,('保健（前期）'!O24+'保健（後期）'!O24)/2)),0))</f>
        <v>73</v>
      </c>
      <c r="X23" s="3" t="str">
        <f aca="false">IF(W23="","",IF(W23&gt;=設定!$D$16,"A",IF(W23&gt;=設定!$E$16,"B","C")))</f>
        <v>B</v>
      </c>
      <c r="Y23" s="3" t="n">
        <f aca="false">IF(AND('保健（前期）'!AB24="",'保健（後期）'!AB24=""),"",ROUND(IF('保健（前期）'!AB24="",'保健（後期）'!AB24,IF('保健（後期）'!AB24="",'保健（前期）'!AB24,('保健（前期）'!AB24+'保健（後期）'!AB24)/2)),0))</f>
        <v>70</v>
      </c>
      <c r="Z23" s="3" t="str">
        <f aca="false">IF(Y23="","",IF(Y23&gt;=設定!$D$16,"A",IF(Y23&gt;=設定!$E$16,"B","C")))</f>
        <v>B</v>
      </c>
    </row>
    <row r="24" customFormat="false" ht="15" hidden="false" customHeight="false" outlineLevel="0" collapsed="false">
      <c r="A24" s="3" t="n">
        <v>21</v>
      </c>
      <c r="B24" s="60" t="str">
        <f aca="false">IF(名簿!B23="","",名簿!B23)</f>
        <v>小林 湊</v>
      </c>
      <c r="C24" s="3" t="n">
        <f aca="false">IF(AND('国語（前期）'!O25="",'国語（後期）'!O25=""),"",ROUND(IF('国語（前期）'!O25="",'国語（後期）'!O25,IF('国語（後期）'!O25="",'国語（前期）'!O25,('国語（前期）'!O25+'国語（後期）'!O25)/2)),0))</f>
        <v>92</v>
      </c>
      <c r="D24" s="3" t="str">
        <f aca="false">IF(C24="","",IF(C24&gt;=設定!$D$11,"A",IF(C24&gt;=設定!$E$11,"B","C")))</f>
        <v>A</v>
      </c>
      <c r="E24" s="3" t="n">
        <f aca="false">IF(AND('国語（前期）'!AB25="",'国語（後期）'!AB25=""),"",ROUND(IF('国語（前期）'!AB25="",'国語（後期）'!AB25,IF('国語（後期）'!AB25="",'国語（前期）'!AB25,('国語（前期）'!AB25+'国語（後期）'!AB25)/2)),0))</f>
        <v>85</v>
      </c>
      <c r="F24" s="3" t="str">
        <f aca="false">IF(E24="","",IF(E24&gt;=設定!$D$11,"A",IF(E24&gt;=設定!$E$11,"B","C")))</f>
        <v>B</v>
      </c>
      <c r="G24" s="3" t="n">
        <f aca="false">IF(AND('算数（前期）'!O25="",'算数（後期）'!O25=""),"",ROUND(IF('算数（前期）'!O25="",'算数（後期）'!O25,IF('算数（後期）'!O25="",'算数（前期）'!O25,('算数（前期）'!O25+'算数（後期）'!O25)/2)),0))</f>
        <v>91</v>
      </c>
      <c r="H24" s="3" t="str">
        <f aca="false">IF(G24="","",IF(G24&gt;=設定!$D$12,"A",IF(G24&gt;=設定!$E$12,"B","C")))</f>
        <v>A</v>
      </c>
      <c r="I24" s="3" t="n">
        <f aca="false">IF(AND('算数（前期）'!AB25="",'算数（後期）'!AB25=""),"",ROUND(IF('算数（前期）'!AB25="",'算数（後期）'!AB25,IF('算数（後期）'!AB25="",'算数（前期）'!AB25,('算数（前期）'!AB25+'算数（後期）'!AB25)/2)),0))</f>
        <v>82</v>
      </c>
      <c r="J24" s="3" t="str">
        <f aca="false">IF(I24="","",IF(I24&gt;=設定!$D$12,"A",IF(I24&gt;=設定!$E$12,"B","C")))</f>
        <v>B</v>
      </c>
      <c r="K24" s="3" t="n">
        <f aca="false">IF(AND('社会（前期）'!O25="",'社会（後期）'!O25=""),"",ROUND(IF('社会（前期）'!O25="",'社会（後期）'!O25,IF('社会（後期）'!O25="",'社会（前期）'!O25,('社会（前期）'!O25+'社会（後期）'!O25)/2)),0))</f>
        <v>91</v>
      </c>
      <c r="L24" s="3" t="str">
        <f aca="false">IF(K24="","",IF(K24&gt;=設定!$D$13,"A",IF(K24&gt;=設定!$E$13,"B","C")))</f>
        <v>A</v>
      </c>
      <c r="M24" s="3" t="n">
        <f aca="false">IF(AND('社会（前期）'!AB25="",'社会（後期）'!AB25=""),"",ROUND(IF('社会（前期）'!AB25="",'社会（後期）'!AB25,IF('社会（後期）'!AB25="",'社会（前期）'!AB25,('社会（前期）'!AB25+'社会（後期）'!AB25)/2)),0))</f>
        <v>85</v>
      </c>
      <c r="N24" s="3" t="str">
        <f aca="false">IF(M24="","",IF(M24&gt;=設定!$D$13,"A",IF(M24&gt;=設定!$E$13,"B","C")))</f>
        <v>B</v>
      </c>
      <c r="O24" s="3" t="n">
        <f aca="false">IF(AND('理科（前期）'!O25="",'理科（後期）'!O25=""),"",ROUND(IF('理科（前期）'!O25="",'理科（後期）'!O25,IF('理科（後期）'!O25="",'理科（前期）'!O25,('理科（前期）'!O25+'理科（後期）'!O25)/2)),0))</f>
        <v>94</v>
      </c>
      <c r="P24" s="3" t="str">
        <f aca="false">IF(O24="","",IF(O24&gt;=設定!$D$14,"A",IF(O24&gt;=設定!$E$14,"B","C")))</f>
        <v>A</v>
      </c>
      <c r="Q24" s="3" t="n">
        <f aca="false">IF(AND('理科（前期）'!AB25="",'理科（後期）'!AB25=""),"",ROUND(IF('理科（前期）'!AB25="",'理科（後期）'!AB25,IF('理科（後期）'!AB25="",'理科（前期）'!AB25,('理科（前期）'!AB25+'理科（後期）'!AB25)/2)),0))</f>
        <v>85</v>
      </c>
      <c r="R24" s="3" t="str">
        <f aca="false">IF(Q24="","",IF(Q24&gt;=設定!$D$14,"A",IF(Q24&gt;=設定!$E$14,"B","C")))</f>
        <v>B</v>
      </c>
      <c r="S24" s="3" t="n">
        <f aca="false">IF(AND('英語（前期）'!O25="",'英語（後期）'!O25=""),"",ROUND(IF('英語（前期）'!O25="",'英語（後期）'!O25,IF('英語（後期）'!O25="",'英語（前期）'!O25,('英語（前期）'!O25+'英語（後期）'!O25)/2)),0))</f>
        <v>95</v>
      </c>
      <c r="T24" s="3" t="str">
        <f aca="false">IF(S24="","",IF(S24&gt;=設定!$D$15,"A",IF(S24&gt;=設定!$E$15,"B","C")))</f>
        <v>A</v>
      </c>
      <c r="U24" s="3" t="n">
        <f aca="false">IF(AND('英語（前期）'!AB25="",'英語（後期）'!AB25=""),"",ROUND(IF('英語（前期）'!AB25="",'英語（後期）'!AB25,IF('英語（後期）'!AB25="",'英語（前期）'!AB25,('英語（前期）'!AB25+'英語（後期）'!AB25)/2)),0))</f>
        <v>88</v>
      </c>
      <c r="V24" s="3" t="str">
        <f aca="false">IF(U24="","",IF(U24&gt;=設定!$D$15,"A",IF(U24&gt;=設定!$E$15,"B","C")))</f>
        <v>B</v>
      </c>
      <c r="W24" s="3" t="n">
        <f aca="false">IF(AND('保健（前期）'!O25="",'保健（後期）'!O25=""),"",ROUND(IF('保健（前期）'!O25="",'保健（後期）'!O25,IF('保健（後期）'!O25="",'保健（前期）'!O25,('保健（前期）'!O25+'保健（後期）'!O25)/2)),0))</f>
        <v>93</v>
      </c>
      <c r="X24" s="3" t="str">
        <f aca="false">IF(W24="","",IF(W24&gt;=設定!$D$16,"A",IF(W24&gt;=設定!$E$16,"B","C")))</f>
        <v>A</v>
      </c>
      <c r="Y24" s="3" t="n">
        <f aca="false">IF(AND('保健（前期）'!AB25="",'保健（後期）'!AB25=""),"",ROUND(IF('保健（前期）'!AB25="",'保健（後期）'!AB25,IF('保健（後期）'!AB25="",'保健（前期）'!AB25,('保健（前期）'!AB25+'保健（後期）'!AB25)/2)),0))</f>
        <v>88</v>
      </c>
      <c r="Z24" s="3" t="str">
        <f aca="false">IF(Y24="","",IF(Y24&gt;=設定!$D$16,"A",IF(Y24&gt;=設定!$E$16,"B","C")))</f>
        <v>B</v>
      </c>
    </row>
    <row r="25" customFormat="false" ht="15" hidden="false" customHeight="false" outlineLevel="0" collapsed="false">
      <c r="A25" s="3" t="n">
        <v>22</v>
      </c>
      <c r="B25" s="60" t="str">
        <f aca="false">IF(名簿!B24="","",名簿!B24)</f>
        <v>後藤 結菜</v>
      </c>
      <c r="C25" s="3" t="n">
        <f aca="false">IF(AND('国語（前期）'!O26="",'国語（後期）'!O26=""),"",ROUND(IF('国語（前期）'!O26="",'国語（後期）'!O26,IF('国語（後期）'!O26="",'国語（前期）'!O26,('国語（前期）'!O26+'国語（後期）'!O26)/2)),0))</f>
        <v>77</v>
      </c>
      <c r="D25" s="3" t="str">
        <f aca="false">IF(C25="","",IF(C25&gt;=設定!$D$11,"A",IF(C25&gt;=設定!$E$11,"B","C")))</f>
        <v>B</v>
      </c>
      <c r="E25" s="3" t="n">
        <f aca="false">IF(AND('国語（前期）'!AB26="",'国語（後期）'!AB26=""),"",ROUND(IF('国語（前期）'!AB26="",'国語（後期）'!AB26,IF('国語（後期）'!AB26="",'国語（前期）'!AB26,('国語（前期）'!AB26+'国語（後期）'!AB26)/2)),0))</f>
        <v>60</v>
      </c>
      <c r="F25" s="3" t="str">
        <f aca="false">IF(E25="","",IF(E25&gt;=設定!$D$11,"A",IF(E25&gt;=設定!$E$11,"B","C")))</f>
        <v>B</v>
      </c>
      <c r="G25" s="3" t="n">
        <f aca="false">IF(AND('算数（前期）'!O26="",'算数（後期）'!O26=""),"",ROUND(IF('算数（前期）'!O26="",'算数（後期）'!O26,IF('算数（後期）'!O26="",'算数（前期）'!O26,('算数（前期）'!O26+'算数（後期）'!O26)/2)),0))</f>
        <v>72</v>
      </c>
      <c r="H25" s="3" t="str">
        <f aca="false">IF(G25="","",IF(G25&gt;=設定!$D$12,"A",IF(G25&gt;=設定!$E$12,"B","C")))</f>
        <v>B</v>
      </c>
      <c r="I25" s="3" t="n">
        <f aca="false">IF(AND('算数（前期）'!AB26="",'算数（後期）'!AB26=""),"",ROUND(IF('算数（前期）'!AB26="",'算数（後期）'!AB26,IF('算数（後期）'!AB26="",'算数（前期）'!AB26,('算数（前期）'!AB26+'算数（後期）'!AB26)/2)),0))</f>
        <v>63</v>
      </c>
      <c r="J25" s="3" t="str">
        <f aca="false">IF(I25="","",IF(I25&gt;=設定!$D$12,"A",IF(I25&gt;=設定!$E$12,"B","C")))</f>
        <v>B</v>
      </c>
      <c r="K25" s="3" t="n">
        <f aca="false">IF(AND('社会（前期）'!O26="",'社会（後期）'!O26=""),"",ROUND(IF('社会（前期）'!O26="",'社会（後期）'!O26,IF('社会（後期）'!O26="",'社会（前期）'!O26,('社会（前期）'!O26+'社会（後期）'!O26)/2)),0))</f>
        <v>77</v>
      </c>
      <c r="L25" s="3" t="str">
        <f aca="false">IF(K25="","",IF(K25&gt;=設定!$D$13,"A",IF(K25&gt;=設定!$E$13,"B","C")))</f>
        <v>B</v>
      </c>
      <c r="M25" s="3" t="n">
        <f aca="false">IF(AND('社会（前期）'!AB26="",'社会（後期）'!AB26=""),"",ROUND(IF('社会（前期）'!AB26="",'社会（後期）'!AB26,IF('社会（後期）'!AB26="",'社会（前期）'!AB26,('社会（前期）'!AB26+'社会（後期）'!AB26)/2)),0))</f>
        <v>63</v>
      </c>
      <c r="N25" s="3" t="str">
        <f aca="false">IF(M25="","",IF(M25&gt;=設定!$D$13,"A",IF(M25&gt;=設定!$E$13,"B","C")))</f>
        <v>B</v>
      </c>
      <c r="O25" s="3" t="n">
        <f aca="false">IF(AND('理科（前期）'!O26="",'理科（後期）'!O26=""),"",ROUND(IF('理科（前期）'!O26="",'理科（後期）'!O26,IF('理科（後期）'!O26="",'理科（前期）'!O26,('理科（前期）'!O26+'理科（後期）'!O26)/2)),0))</f>
        <v>77</v>
      </c>
      <c r="P25" s="3" t="str">
        <f aca="false">IF(O25="","",IF(O25&gt;=設定!$D$14,"A",IF(O25&gt;=設定!$E$14,"B","C")))</f>
        <v>B</v>
      </c>
      <c r="Q25" s="3" t="n">
        <f aca="false">IF(AND('理科（前期）'!AB26="",'理科（後期）'!AB26=""),"",ROUND(IF('理科（前期）'!AB26="",'理科（後期）'!AB26,IF('理科（後期）'!AB26="",'理科（前期）'!AB26,('理科（前期）'!AB26+'理科（後期）'!AB26)/2)),0))</f>
        <v>65</v>
      </c>
      <c r="R25" s="3" t="str">
        <f aca="false">IF(Q25="","",IF(Q25&gt;=設定!$D$14,"A",IF(Q25&gt;=設定!$E$14,"B","C")))</f>
        <v>B</v>
      </c>
      <c r="S25" s="3" t="n">
        <f aca="false">IF(AND('英語（前期）'!O26="",'英語（後期）'!O26=""),"",ROUND(IF('英語（前期）'!O26="",'英語（後期）'!O26,IF('英語（後期）'!O26="",'英語（前期）'!O26,('英語（前期）'!O26+'英語（後期）'!O26)/2)),0))</f>
        <v>74</v>
      </c>
      <c r="T25" s="3" t="str">
        <f aca="false">IF(S25="","",IF(S25&gt;=設定!$D$15,"A",IF(S25&gt;=設定!$E$15,"B","C")))</f>
        <v>B</v>
      </c>
      <c r="U25" s="3" t="n">
        <f aca="false">IF(AND('英語（前期）'!AB26="",'英語（後期）'!AB26=""),"",ROUND(IF('英語（前期）'!AB26="",'英語（後期）'!AB26,IF('英語（後期）'!AB26="",'英語（前期）'!AB26,('英語（前期）'!AB26+'英語（後期）'!AB26)/2)),0))</f>
        <v>69</v>
      </c>
      <c r="V25" s="3" t="str">
        <f aca="false">IF(U25="","",IF(U25&gt;=設定!$D$15,"A",IF(U25&gt;=設定!$E$15,"B","C")))</f>
        <v>B</v>
      </c>
      <c r="W25" s="3" t="n">
        <f aca="false">IF(AND('保健（前期）'!O26="",'保健（後期）'!O26=""),"",ROUND(IF('保健（前期）'!O26="",'保健（後期）'!O26,IF('保健（後期）'!O26="",'保健（前期）'!O26,('保健（前期）'!O26+'保健（後期）'!O26)/2)),0))</f>
        <v>73</v>
      </c>
      <c r="X25" s="3" t="str">
        <f aca="false">IF(W25="","",IF(W25&gt;=設定!$D$16,"A",IF(W25&gt;=設定!$E$16,"B","C")))</f>
        <v>B</v>
      </c>
      <c r="Y25" s="3" t="n">
        <f aca="false">IF(AND('保健（前期）'!AB26="",'保健（後期）'!AB26=""),"",ROUND(IF('保健（前期）'!AB26="",'保健（後期）'!AB26,IF('保健（後期）'!AB26="",'保健（前期）'!AB26,('保健（前期）'!AB26+'保健（後期）'!AB26)/2)),0))</f>
        <v>56</v>
      </c>
      <c r="Z25" s="3" t="str">
        <f aca="false">IF(Y25="","",IF(Y25&gt;=設定!$D$16,"A",IF(Y25&gt;=設定!$E$16,"B","C")))</f>
        <v>C</v>
      </c>
    </row>
    <row r="26" customFormat="false" ht="15" hidden="false" customHeight="false" outlineLevel="0" collapsed="false">
      <c r="A26" s="3" t="n">
        <v>23</v>
      </c>
      <c r="B26" s="60" t="str">
        <f aca="false">IF(名簿!B25="","",名簿!B25)</f>
        <v>吉田 健太</v>
      </c>
      <c r="C26" s="3" t="n">
        <f aca="false">IF(AND('国語（前期）'!O27="",'国語（後期）'!O27=""),"",ROUND(IF('国語（前期）'!O27="",'国語（後期）'!O27,IF('国語（後期）'!O27="",'国語（前期）'!O27,('国語（前期）'!O27+'国語（後期）'!O27)/2)),0))</f>
        <v>91</v>
      </c>
      <c r="D26" s="3" t="str">
        <f aca="false">IF(C26="","",IF(C26&gt;=設定!$D$11,"A",IF(C26&gt;=設定!$E$11,"B","C")))</f>
        <v>A</v>
      </c>
      <c r="E26" s="3" t="n">
        <f aca="false">IF(AND('国語（前期）'!AB27="",'国語（後期）'!AB27=""),"",ROUND(IF('国語（前期）'!AB27="",'国語（後期）'!AB27,IF('国語（後期）'!AB27="",'国語（前期）'!AB27,('国語（前期）'!AB27+'国語（後期）'!AB27)/2)),0))</f>
        <v>91</v>
      </c>
      <c r="F26" s="3" t="str">
        <f aca="false">IF(E26="","",IF(E26&gt;=設定!$D$11,"A",IF(E26&gt;=設定!$E$11,"B","C")))</f>
        <v>A</v>
      </c>
      <c r="G26" s="3" t="n">
        <f aca="false">IF(AND('算数（前期）'!O27="",'算数（後期）'!O27=""),"",ROUND(IF('算数（前期）'!O27="",'算数（後期）'!O27,IF('算数（後期）'!O27="",'算数（前期）'!O27,('算数（前期）'!O27+'算数（後期）'!O27)/2)),0))</f>
        <v>90</v>
      </c>
      <c r="H26" s="3" t="str">
        <f aca="false">IF(G26="","",IF(G26&gt;=設定!$D$12,"A",IF(G26&gt;=設定!$E$12,"B","C")))</f>
        <v>A</v>
      </c>
      <c r="I26" s="3" t="n">
        <f aca="false">IF(AND('算数（前期）'!AB27="",'算数（後期）'!AB27=""),"",ROUND(IF('算数（前期）'!AB27="",'算数（後期）'!AB27,IF('算数（後期）'!AB27="",'算数（前期）'!AB27,('算数（前期）'!AB27+'算数（後期）'!AB27)/2)),0))</f>
        <v>82</v>
      </c>
      <c r="J26" s="3" t="str">
        <f aca="false">IF(I26="","",IF(I26&gt;=設定!$D$12,"A",IF(I26&gt;=設定!$E$12,"B","C")))</f>
        <v>B</v>
      </c>
      <c r="K26" s="3" t="n">
        <f aca="false">IF(AND('社会（前期）'!O27="",'社会（後期）'!O27=""),"",ROUND(IF('社会（前期）'!O27="",'社会（後期）'!O27,IF('社会（後期）'!O27="",'社会（前期）'!O27,('社会（前期）'!O27+'社会（後期）'!O27)/2)),0))</f>
        <v>89</v>
      </c>
      <c r="L26" s="3" t="str">
        <f aca="false">IF(K26="","",IF(K26&gt;=設定!$D$13,"A",IF(K26&gt;=設定!$E$13,"B","C")))</f>
        <v>B</v>
      </c>
      <c r="M26" s="3" t="n">
        <f aca="false">IF(AND('社会（前期）'!AB27="",'社会（後期）'!AB27=""),"",ROUND(IF('社会（前期）'!AB27="",'社会（後期）'!AB27,IF('社会（後期）'!AB27="",'社会（前期）'!AB27,('社会（前期）'!AB27+'社会（後期）'!AB27)/2)),0))</f>
        <v>82</v>
      </c>
      <c r="N26" s="3" t="str">
        <f aca="false">IF(M26="","",IF(M26&gt;=設定!$D$13,"A",IF(M26&gt;=設定!$E$13,"B","C")))</f>
        <v>B</v>
      </c>
      <c r="O26" s="3" t="n">
        <f aca="false">IF(AND('理科（前期）'!O27="",'理科（後期）'!O27=""),"",ROUND(IF('理科（前期）'!O27="",'理科（後期）'!O27,IF('理科（後期）'!O27="",'理科（前期）'!O27,('理科（前期）'!O27+'理科（後期）'!O27)/2)),0))</f>
        <v>92</v>
      </c>
      <c r="P26" s="3" t="str">
        <f aca="false">IF(O26="","",IF(O26&gt;=設定!$D$14,"A",IF(O26&gt;=設定!$E$14,"B","C")))</f>
        <v>A</v>
      </c>
      <c r="Q26" s="3" t="n">
        <f aca="false">IF(AND('理科（前期）'!AB27="",'理科（後期）'!AB27=""),"",ROUND(IF('理科（前期）'!AB27="",'理科（後期）'!AB27,IF('理科（後期）'!AB27="",'理科（前期）'!AB27,('理科（前期）'!AB27+'理科（後期）'!AB27)/2)),0))</f>
        <v>83</v>
      </c>
      <c r="R26" s="3" t="str">
        <f aca="false">IF(Q26="","",IF(Q26&gt;=設定!$D$14,"A",IF(Q26&gt;=設定!$E$14,"B","C")))</f>
        <v>B</v>
      </c>
      <c r="S26" s="3" t="n">
        <f aca="false">IF(AND('英語（前期）'!O27="",'英語（後期）'!O27=""),"",ROUND(IF('英語（前期）'!O27="",'英語（後期）'!O27,IF('英語（後期）'!O27="",'英語（前期）'!O27,('英語（前期）'!O27+'英語（後期）'!O27)/2)),0))</f>
        <v>96</v>
      </c>
      <c r="T26" s="3" t="str">
        <f aca="false">IF(S26="","",IF(S26&gt;=設定!$D$15,"A",IF(S26&gt;=設定!$E$15,"B","C")))</f>
        <v>A</v>
      </c>
      <c r="U26" s="3" t="n">
        <f aca="false">IF(AND('英語（前期）'!AB27="",'英語（後期）'!AB27=""),"",ROUND(IF('英語（前期）'!AB27="",'英語（後期）'!AB27,IF('英語（後期）'!AB27="",'英語（前期）'!AB27,('英語（前期）'!AB27+'英語（後期）'!AB27)/2)),0))</f>
        <v>83</v>
      </c>
      <c r="V26" s="3" t="str">
        <f aca="false">IF(U26="","",IF(U26&gt;=設定!$D$15,"A",IF(U26&gt;=設定!$E$15,"B","C")))</f>
        <v>B</v>
      </c>
      <c r="W26" s="3" t="n">
        <f aca="false">IF(AND('保健（前期）'!O27="",'保健（後期）'!O27=""),"",ROUND(IF('保健（前期）'!O27="",'保健（後期）'!O27,IF('保健（後期）'!O27="",'保健（前期）'!O27,('保健（前期）'!O27+'保健（後期）'!O27)/2)),0))</f>
        <v>100</v>
      </c>
      <c r="X26" s="3" t="str">
        <f aca="false">IF(W26="","",IF(W26&gt;=設定!$D$16,"A",IF(W26&gt;=設定!$E$16,"B","C")))</f>
        <v>A</v>
      </c>
      <c r="Y26" s="3" t="n">
        <f aca="false">IF(AND('保健（前期）'!AB27="",'保健（後期）'!AB27=""),"",ROUND(IF('保健（前期）'!AB27="",'保健（後期）'!AB27,IF('保健（後期）'!AB27="",'保健（前期）'!AB27,('保健（前期）'!AB27+'保健（後期）'!AB27)/2)),0))</f>
        <v>77</v>
      </c>
      <c r="Z26" s="3" t="str">
        <f aca="false">IF(Y26="","",IF(Y26&gt;=設定!$D$16,"A",IF(Y26&gt;=設定!$E$16,"B","C")))</f>
        <v>B</v>
      </c>
    </row>
    <row r="27" customFormat="false" ht="15" hidden="false" customHeight="false" outlineLevel="0" collapsed="false">
      <c r="A27" s="3" t="n">
        <v>24</v>
      </c>
      <c r="B27" s="60" t="str">
        <f aca="false">IF(名簿!B26="","",名簿!B26)</f>
        <v>山田 楓</v>
      </c>
      <c r="C27" s="3" t="n">
        <f aca="false">IF(AND('国語（前期）'!O28="",'国語（後期）'!O28=""),"",ROUND(IF('国語（前期）'!O28="",'国語（後期）'!O28,IF('国語（後期）'!O28="",'国語（前期）'!O28,('国語（前期）'!O28+'国語（後期）'!O28)/2)),0))</f>
        <v>66</v>
      </c>
      <c r="D27" s="3" t="str">
        <f aca="false">IF(C27="","",IF(C27&gt;=設定!$D$11,"A",IF(C27&gt;=設定!$E$11,"B","C")))</f>
        <v>B</v>
      </c>
      <c r="E27" s="3" t="n">
        <f aca="false">IF(AND('国語（前期）'!AB28="",'国語（後期）'!AB28=""),"",ROUND(IF('国語（前期）'!AB28="",'国語（後期）'!AB28,IF('国語（後期）'!AB28="",'国語（前期）'!AB28,('国語（前期）'!AB28+'国語（後期）'!AB28)/2)),0))</f>
        <v>53</v>
      </c>
      <c r="F27" s="3" t="str">
        <f aca="false">IF(E27="","",IF(E27&gt;=設定!$D$11,"A",IF(E27&gt;=設定!$E$11,"B","C")))</f>
        <v>C</v>
      </c>
      <c r="G27" s="3" t="n">
        <f aca="false">IF(AND('算数（前期）'!O28="",'算数（後期）'!O28=""),"",ROUND(IF('算数（前期）'!O28="",'算数（後期）'!O28,IF('算数（後期）'!O28="",'算数（前期）'!O28,('算数（前期）'!O28+'算数（後期）'!O28)/2)),0))</f>
        <v>61</v>
      </c>
      <c r="H27" s="3" t="str">
        <f aca="false">IF(G27="","",IF(G27&gt;=設定!$D$12,"A",IF(G27&gt;=設定!$E$12,"B","C")))</f>
        <v>B</v>
      </c>
      <c r="I27" s="3" t="n">
        <f aca="false">IF(AND('算数（前期）'!AB28="",'算数（後期）'!AB28=""),"",ROUND(IF('算数（前期）'!AB28="",'算数（後期）'!AB28,IF('算数（後期）'!AB28="",'算数（前期）'!AB28,('算数（前期）'!AB28+'算数（後期）'!AB28)/2)),0))</f>
        <v>51</v>
      </c>
      <c r="J27" s="3" t="str">
        <f aca="false">IF(I27="","",IF(I27&gt;=設定!$D$12,"A",IF(I27&gt;=設定!$E$12,"B","C")))</f>
        <v>C</v>
      </c>
      <c r="K27" s="3" t="n">
        <f aca="false">IF(AND('社会（前期）'!O28="",'社会（後期）'!O28=""),"",ROUND(IF('社会（前期）'!O28="",'社会（後期）'!O28,IF('社会（後期）'!O28="",'社会（前期）'!O28,('社会（前期）'!O28+'社会（後期）'!O28)/2)),0))</f>
        <v>63</v>
      </c>
      <c r="L27" s="3" t="str">
        <f aca="false">IF(K27="","",IF(K27&gt;=設定!$D$13,"A",IF(K27&gt;=設定!$E$13,"B","C")))</f>
        <v>B</v>
      </c>
      <c r="M27" s="3" t="n">
        <f aca="false">IF(AND('社会（前期）'!AB28="",'社会（後期）'!AB28=""),"",ROUND(IF('社会（前期）'!AB28="",'社会（後期）'!AB28,IF('社会（後期）'!AB28="",'社会（前期）'!AB28,('社会（前期）'!AB28+'社会（後期）'!AB28)/2)),0))</f>
        <v>52</v>
      </c>
      <c r="N27" s="3" t="str">
        <f aca="false">IF(M27="","",IF(M27&gt;=設定!$D$13,"A",IF(M27&gt;=設定!$E$13,"B","C")))</f>
        <v>C</v>
      </c>
      <c r="O27" s="3" t="n">
        <f aca="false">IF(AND('理科（前期）'!O28="",'理科（後期）'!O28=""),"",ROUND(IF('理科（前期）'!O28="",'理科（後期）'!O28,IF('理科（後期）'!O28="",'理科（前期）'!O28,('理科（前期）'!O28+'理科（後期）'!O28)/2)),0))</f>
        <v>66</v>
      </c>
      <c r="P27" s="3" t="str">
        <f aca="false">IF(O27="","",IF(O27&gt;=設定!$D$14,"A",IF(O27&gt;=設定!$E$14,"B","C")))</f>
        <v>B</v>
      </c>
      <c r="Q27" s="3" t="n">
        <f aca="false">IF(AND('理科（前期）'!AB28="",'理科（後期）'!AB28=""),"",ROUND(IF('理科（前期）'!AB28="",'理科（後期）'!AB28,IF('理科（後期）'!AB28="",'理科（前期）'!AB28,('理科（前期）'!AB28+'理科（後期）'!AB28)/2)),0))</f>
        <v>57</v>
      </c>
      <c r="R27" s="3" t="str">
        <f aca="false">IF(Q27="","",IF(Q27&gt;=設定!$D$14,"A",IF(Q27&gt;=設定!$E$14,"B","C")))</f>
        <v>C</v>
      </c>
      <c r="S27" s="3" t="n">
        <f aca="false">IF(AND('英語（前期）'!O28="",'英語（後期）'!O28=""),"",ROUND(IF('英語（前期）'!O28="",'英語（後期）'!O28,IF('英語（後期）'!O28="",'英語（前期）'!O28,('英語（前期）'!O28+'英語（後期）'!O28)/2)),0))</f>
        <v>60</v>
      </c>
      <c r="T27" s="3" t="str">
        <f aca="false">IF(S27="","",IF(S27&gt;=設定!$D$15,"A",IF(S27&gt;=設定!$E$15,"B","C")))</f>
        <v>B</v>
      </c>
      <c r="U27" s="3" t="n">
        <f aca="false">IF(AND('英語（前期）'!AB28="",'英語（後期）'!AB28=""),"",ROUND(IF('英語（前期）'!AB28="",'英語（後期）'!AB28,IF('英語（後期）'!AB28="",'英語（前期）'!AB28,('英語（前期）'!AB28+'英語（後期）'!AB28)/2)),0))</f>
        <v>52</v>
      </c>
      <c r="V27" s="3" t="str">
        <f aca="false">IF(U27="","",IF(U27&gt;=設定!$D$15,"A",IF(U27&gt;=設定!$E$15,"B","C")))</f>
        <v>C</v>
      </c>
      <c r="W27" s="3" t="n">
        <f aca="false">IF(AND('保健（前期）'!O28="",'保健（後期）'!O28=""),"",ROUND(IF('保健（前期）'!O28="",'保健（後期）'!O28,IF('保健（後期）'!O28="",'保健（前期）'!O28,('保健（前期）'!O28+'保健（後期）'!O28)/2)),0))</f>
        <v>65</v>
      </c>
      <c r="X27" s="3" t="str">
        <f aca="false">IF(W27="","",IF(W27&gt;=設定!$D$16,"A",IF(W27&gt;=設定!$E$16,"B","C")))</f>
        <v>B</v>
      </c>
      <c r="Y27" s="3" t="n">
        <f aca="false">IF(AND('保健（前期）'!AB28="",'保健（後期）'!AB28=""),"",ROUND(IF('保健（前期）'!AB28="",'保健（後期）'!AB28,IF('保健（後期）'!AB28="",'保健（前期）'!AB28,('保健（前期）'!AB28+'保健（後期）'!AB28)/2)),0))</f>
        <v>55</v>
      </c>
      <c r="Z27" s="3" t="str">
        <f aca="false">IF(Y27="","",IF(Y27&gt;=設定!$D$16,"A",IF(Y27&gt;=設定!$E$16,"B","C")))</f>
        <v>C</v>
      </c>
    </row>
    <row r="28" customFormat="false" ht="15" hidden="false" customHeight="false" outlineLevel="0" collapsed="false">
      <c r="A28" s="3" t="n">
        <v>25</v>
      </c>
      <c r="B28" s="60" t="str">
        <f aca="false">IF(名簿!B27="","",名簿!B27)</f>
        <v>橋本 蒼</v>
      </c>
      <c r="C28" s="3" t="n">
        <f aca="false">IF(AND('国語（前期）'!O29="",'国語（後期）'!O29=""),"",ROUND(IF('国語（前期）'!O29="",'国語（後期）'!O29,IF('国語（後期）'!O29="",'国語（前期）'!O29,('国語（前期）'!O29+'国語（後期）'!O29)/2)),0))</f>
        <v>68</v>
      </c>
      <c r="D28" s="3" t="str">
        <f aca="false">IF(C28="","",IF(C28&gt;=設定!$D$11,"A",IF(C28&gt;=設定!$E$11,"B","C")))</f>
        <v>B</v>
      </c>
      <c r="E28" s="3" t="n">
        <f aca="false">IF(AND('国語（前期）'!AB29="",'国語（後期）'!AB29=""),"",ROUND(IF('国語（前期）'!AB29="",'国語（後期）'!AB29,IF('国語（後期）'!AB29="",'国語（前期）'!AB29,('国語（前期）'!AB29+'国語（後期）'!AB29)/2)),0))</f>
        <v>58</v>
      </c>
      <c r="F28" s="3" t="str">
        <f aca="false">IF(E28="","",IF(E28&gt;=設定!$D$11,"A",IF(E28&gt;=設定!$E$11,"B","C")))</f>
        <v>C</v>
      </c>
      <c r="G28" s="3" t="n">
        <f aca="false">IF(AND('算数（前期）'!O29="",'算数（後期）'!O29=""),"",ROUND(IF('算数（前期）'!O29="",'算数（後期）'!O29,IF('算数（後期）'!O29="",'算数（前期）'!O29,('算数（前期）'!O29+'算数（後期）'!O29)/2)),0))</f>
        <v>65</v>
      </c>
      <c r="H28" s="3" t="str">
        <f aca="false">IF(G28="","",IF(G28&gt;=設定!$D$12,"A",IF(G28&gt;=設定!$E$12,"B","C")))</f>
        <v>B</v>
      </c>
      <c r="I28" s="3" t="n">
        <f aca="false">IF(AND('算数（前期）'!AB29="",'算数（後期）'!AB29=""),"",ROUND(IF('算数（前期）'!AB29="",'算数（後期）'!AB29,IF('算数（後期）'!AB29="",'算数（前期）'!AB29,('算数（前期）'!AB29+'算数（後期）'!AB29)/2)),0))</f>
        <v>61</v>
      </c>
      <c r="J28" s="3" t="str">
        <f aca="false">IF(I28="","",IF(I28&gt;=設定!$D$12,"A",IF(I28&gt;=設定!$E$12,"B","C")))</f>
        <v>B</v>
      </c>
      <c r="K28" s="3" t="n">
        <f aca="false">IF(AND('社会（前期）'!O29="",'社会（後期）'!O29=""),"",ROUND(IF('社会（前期）'!O29="",'社会（後期）'!O29,IF('社会（後期）'!O29="",'社会（前期）'!O29,('社会（前期）'!O29+'社会（後期）'!O29)/2)),0))</f>
        <v>67</v>
      </c>
      <c r="L28" s="3" t="str">
        <f aca="false">IF(K28="","",IF(K28&gt;=設定!$D$13,"A",IF(K28&gt;=設定!$E$13,"B","C")))</f>
        <v>B</v>
      </c>
      <c r="M28" s="3" t="n">
        <f aca="false">IF(AND('社会（前期）'!AB29="",'社会（後期）'!AB29=""),"",ROUND(IF('社会（前期）'!AB29="",'社会（後期）'!AB29,IF('社会（後期）'!AB29="",'社会（前期）'!AB29,('社会（前期）'!AB29+'社会（後期）'!AB29)/2)),0))</f>
        <v>61</v>
      </c>
      <c r="N28" s="3" t="str">
        <f aca="false">IF(M28="","",IF(M28&gt;=設定!$D$13,"A",IF(M28&gt;=設定!$E$13,"B","C")))</f>
        <v>B</v>
      </c>
      <c r="O28" s="3" t="n">
        <f aca="false">IF(AND('理科（前期）'!O29="",'理科（後期）'!O29=""),"",ROUND(IF('理科（前期）'!O29="",'理科（後期）'!O29,IF('理科（後期）'!O29="",'理科（前期）'!O29,('理科（前期）'!O29+'理科（後期）'!O29)/2)),0))</f>
        <v>72</v>
      </c>
      <c r="P28" s="3" t="str">
        <f aca="false">IF(O28="","",IF(O28&gt;=設定!$D$14,"A",IF(O28&gt;=設定!$E$14,"B","C")))</f>
        <v>B</v>
      </c>
      <c r="Q28" s="3" t="n">
        <f aca="false">IF(AND('理科（前期）'!AB29="",'理科（後期）'!AB29=""),"",ROUND(IF('理科（前期）'!AB29="",'理科（後期）'!AB29,IF('理科（後期）'!AB29="",'理科（前期）'!AB29,('理科（前期）'!AB29+'理科（後期）'!AB29)/2)),0))</f>
        <v>60</v>
      </c>
      <c r="R28" s="3" t="str">
        <f aca="false">IF(Q28="","",IF(Q28&gt;=設定!$D$14,"A",IF(Q28&gt;=設定!$E$14,"B","C")))</f>
        <v>B</v>
      </c>
      <c r="S28" s="3" t="n">
        <f aca="false">IF(AND('英語（前期）'!O29="",'英語（後期）'!O29=""),"",ROUND(IF('英語（前期）'!O29="",'英語（後期）'!O29,IF('英語（後期）'!O29="",'英語（前期）'!O29,('英語（前期）'!O29+'英語（後期）'!O29)/2)),0))</f>
        <v>67</v>
      </c>
      <c r="T28" s="3" t="str">
        <f aca="false">IF(S28="","",IF(S28&gt;=設定!$D$15,"A",IF(S28&gt;=設定!$E$15,"B","C")))</f>
        <v>B</v>
      </c>
      <c r="U28" s="3" t="n">
        <f aca="false">IF(AND('英語（前期）'!AB29="",'英語（後期）'!AB29=""),"",ROUND(IF('英語（前期）'!AB29="",'英語（後期）'!AB29,IF('英語（後期）'!AB29="",'英語（前期）'!AB29,('英語（前期）'!AB29+'英語（後期）'!AB29)/2)),0))</f>
        <v>60</v>
      </c>
      <c r="V28" s="3" t="str">
        <f aca="false">IF(U28="","",IF(U28&gt;=設定!$D$15,"A",IF(U28&gt;=設定!$E$15,"B","C")))</f>
        <v>B</v>
      </c>
      <c r="W28" s="3" t="n">
        <f aca="false">IF(AND('保健（前期）'!O29="",'保健（後期）'!O29=""),"",ROUND(IF('保健（前期）'!O29="",'保健（後期）'!O29,IF('保健（後期）'!O29="",'保健（前期）'!O29,('保健（前期）'!O29+'保健（後期）'!O29)/2)),0))</f>
        <v>75</v>
      </c>
      <c r="X28" s="3" t="str">
        <f aca="false">IF(W28="","",IF(W28&gt;=設定!$D$16,"A",IF(W28&gt;=設定!$E$16,"B","C")))</f>
        <v>B</v>
      </c>
      <c r="Y28" s="3" t="n">
        <f aca="false">IF(AND('保健（前期）'!AB29="",'保健（後期）'!AB29=""),"",ROUND(IF('保健（前期）'!AB29="",'保健（後期）'!AB29,IF('保健（後期）'!AB29="",'保健（前期）'!AB29,('保健（前期）'!AB29+'保健（後期）'!AB29)/2)),0))</f>
        <v>56</v>
      </c>
      <c r="Z28" s="3" t="str">
        <f aca="false">IF(Y28="","",IF(Y28&gt;=設定!$D$16,"A",IF(Y28&gt;=設定!$E$16,"B","C")))</f>
        <v>C</v>
      </c>
    </row>
    <row r="29" customFormat="false" ht="15" hidden="false" customHeight="false" outlineLevel="0" collapsed="false">
      <c r="A29" s="3" t="n">
        <v>26</v>
      </c>
      <c r="B29" s="60" t="str">
        <f aca="false">IF(名簿!B28="","",名簿!B28)</f>
        <v>阿部 凛</v>
      </c>
      <c r="C29" s="3" t="n">
        <f aca="false">IF(AND('国語（前期）'!O30="",'国語（後期）'!O30=""),"",ROUND(IF('国語（前期）'!O30="",'国語（後期）'!O30,IF('国語（後期）'!O30="",'国語（前期）'!O30,('国語（前期）'!O30+'国語（後期）'!O30)/2)),0))</f>
        <v>80</v>
      </c>
      <c r="D29" s="3" t="str">
        <f aca="false">IF(C29="","",IF(C29&gt;=設定!$D$11,"A",IF(C29&gt;=設定!$E$11,"B","C")))</f>
        <v>B</v>
      </c>
      <c r="E29" s="3" t="n">
        <f aca="false">IF(AND('国語（前期）'!AB30="",'国語（後期）'!AB30=""),"",ROUND(IF('国語（前期）'!AB30="",'国語（後期）'!AB30,IF('国語（後期）'!AB30="",'国語（前期）'!AB30,('国語（前期）'!AB30+'国語（後期）'!AB30)/2)),0))</f>
        <v>71</v>
      </c>
      <c r="F29" s="3" t="str">
        <f aca="false">IF(E29="","",IF(E29&gt;=設定!$D$11,"A",IF(E29&gt;=設定!$E$11,"B","C")))</f>
        <v>B</v>
      </c>
      <c r="G29" s="3" t="n">
        <f aca="false">IF(AND('算数（前期）'!O30="",'算数（後期）'!O30=""),"",ROUND(IF('算数（前期）'!O30="",'算数（後期）'!O30,IF('算数（後期）'!O30="",'算数（前期）'!O30,('算数（前期）'!O30+'算数（後期）'!O30)/2)),0))</f>
        <v>81</v>
      </c>
      <c r="H29" s="3" t="str">
        <f aca="false">IF(G29="","",IF(G29&gt;=設定!$D$12,"A",IF(G29&gt;=設定!$E$12,"B","C")))</f>
        <v>B</v>
      </c>
      <c r="I29" s="3" t="n">
        <f aca="false">IF(AND('算数（前期）'!AB30="",'算数（後期）'!AB30=""),"",ROUND(IF('算数（前期）'!AB30="",'算数（後期）'!AB30,IF('算数（後期）'!AB30="",'算数（前期）'!AB30,('算数（前期）'!AB30+'算数（後期）'!AB30)/2)),0))</f>
        <v>69</v>
      </c>
      <c r="J29" s="3" t="str">
        <f aca="false">IF(I29="","",IF(I29&gt;=設定!$D$12,"A",IF(I29&gt;=設定!$E$12,"B","C")))</f>
        <v>B</v>
      </c>
      <c r="K29" s="3" t="n">
        <f aca="false">IF(AND('社会（前期）'!O30="",'社会（後期）'!O30=""),"",ROUND(IF('社会（前期）'!O30="",'社会（後期）'!O30,IF('社会（後期）'!O30="",'社会（前期）'!O30,('社会（前期）'!O30+'社会（後期）'!O30)/2)),0))</f>
        <v>83</v>
      </c>
      <c r="L29" s="3" t="str">
        <f aca="false">IF(K29="","",IF(K29&gt;=設定!$D$13,"A",IF(K29&gt;=設定!$E$13,"B","C")))</f>
        <v>B</v>
      </c>
      <c r="M29" s="3" t="n">
        <f aca="false">IF(AND('社会（前期）'!AB30="",'社会（後期）'!AB30=""),"",ROUND(IF('社会（前期）'!AB30="",'社会（後期）'!AB30,IF('社会（後期）'!AB30="",'社会（前期）'!AB30,('社会（前期）'!AB30+'社会（後期）'!AB30)/2)),0))</f>
        <v>72</v>
      </c>
      <c r="N29" s="3" t="str">
        <f aca="false">IF(M29="","",IF(M29&gt;=設定!$D$13,"A",IF(M29&gt;=設定!$E$13,"B","C")))</f>
        <v>B</v>
      </c>
      <c r="O29" s="3" t="n">
        <f aca="false">IF(AND('理科（前期）'!O30="",'理科（後期）'!O30=""),"",ROUND(IF('理科（前期）'!O30="",'理科（後期）'!O30,IF('理科（後期）'!O30="",'理科（前期）'!O30,('理科（前期）'!O30+'理科（後期）'!O30)/2)),0))</f>
        <v>83</v>
      </c>
      <c r="P29" s="3" t="str">
        <f aca="false">IF(O29="","",IF(O29&gt;=設定!$D$14,"A",IF(O29&gt;=設定!$E$14,"B","C")))</f>
        <v>B</v>
      </c>
      <c r="Q29" s="3" t="n">
        <f aca="false">IF(AND('理科（前期）'!AB30="",'理科（後期）'!AB30=""),"",ROUND(IF('理科（前期）'!AB30="",'理科（後期）'!AB30,IF('理科（後期）'!AB30="",'理科（前期）'!AB30,('理科（前期）'!AB30+'理科（後期）'!AB30)/2)),0))</f>
        <v>74</v>
      </c>
      <c r="R29" s="3" t="str">
        <f aca="false">IF(Q29="","",IF(Q29&gt;=設定!$D$14,"A",IF(Q29&gt;=設定!$E$14,"B","C")))</f>
        <v>B</v>
      </c>
      <c r="S29" s="3" t="n">
        <f aca="false">IF(AND('英語（前期）'!O30="",'英語（後期）'!O30=""),"",ROUND(IF('英語（前期）'!O30="",'英語（後期）'!O30,IF('英語（後期）'!O30="",'英語（前期）'!O30,('英語（前期）'!O30+'英語（後期）'!O30)/2)),0))</f>
        <v>83</v>
      </c>
      <c r="T29" s="3" t="str">
        <f aca="false">IF(S29="","",IF(S29&gt;=設定!$D$15,"A",IF(S29&gt;=設定!$E$15,"B","C")))</f>
        <v>B</v>
      </c>
      <c r="U29" s="3" t="n">
        <f aca="false">IF(AND('英語（前期）'!AB30="",'英語（後期）'!AB30=""),"",ROUND(IF('英語（前期）'!AB30="",'英語（後期）'!AB30,IF('英語（後期）'!AB30="",'英語（前期）'!AB30,('英語（前期）'!AB30+'英語（後期）'!AB30)/2)),0))</f>
        <v>73</v>
      </c>
      <c r="V29" s="3" t="str">
        <f aca="false">IF(U29="","",IF(U29&gt;=設定!$D$15,"A",IF(U29&gt;=設定!$E$15,"B","C")))</f>
        <v>B</v>
      </c>
      <c r="W29" s="3" t="n">
        <f aca="false">IF(AND('保健（前期）'!O30="",'保健（後期）'!O30=""),"",ROUND(IF('保健（前期）'!O30="",'保健（後期）'!O30,IF('保健（後期）'!O30="",'保健（前期）'!O30,('保健（前期）'!O30+'保健（後期）'!O30)/2)),0))</f>
        <v>83</v>
      </c>
      <c r="X29" s="3" t="str">
        <f aca="false">IF(W29="","",IF(W29&gt;=設定!$D$16,"A",IF(W29&gt;=設定!$E$16,"B","C")))</f>
        <v>B</v>
      </c>
      <c r="Y29" s="3" t="n">
        <f aca="false">IF(AND('保健（前期）'!AB30="",'保健（後期）'!AB30=""),"",ROUND(IF('保健（前期）'!AB30="",'保健（後期）'!AB30,IF('保健（後期）'!AB30="",'保健（前期）'!AB30,('保健（前期）'!AB30+'保健（後期）'!AB30)/2)),0))</f>
        <v>74</v>
      </c>
      <c r="Z29" s="3" t="str">
        <f aca="false">IF(Y29="","",IF(Y29&gt;=設定!$D$16,"A",IF(Y29&gt;=設定!$E$16,"B","C")))</f>
        <v>B</v>
      </c>
    </row>
    <row r="30" customFormat="false" ht="15" hidden="false" customHeight="false" outlineLevel="0" collapsed="false">
      <c r="A30" s="3" t="n">
        <v>27</v>
      </c>
      <c r="B30" s="60" t="str">
        <f aca="false">IF(名簿!B29="","",名簿!B29)</f>
        <v>井上 悠人</v>
      </c>
      <c r="C30" s="3" t="n">
        <f aca="false">IF(AND('国語（前期）'!O31="",'国語（後期）'!O31=""),"",ROUND(IF('国語（前期）'!O31="",'国語（後期）'!O31,IF('国語（後期）'!O31="",'国語（前期）'!O31,('国語（前期）'!O31+'国語（後期）'!O31)/2)),0))</f>
        <v>84</v>
      </c>
      <c r="D30" s="3" t="str">
        <f aca="false">IF(C30="","",IF(C30&gt;=設定!$D$11,"A",IF(C30&gt;=設定!$E$11,"B","C")))</f>
        <v>B</v>
      </c>
      <c r="E30" s="3" t="n">
        <f aca="false">IF(AND('国語（前期）'!AB31="",'国語（後期）'!AB31=""),"",ROUND(IF('国語（前期）'!AB31="",'国語（後期）'!AB31,IF('国語（後期）'!AB31="",'国語（前期）'!AB31,('国語（前期）'!AB31+'国語（後期）'!AB31)/2)),0))</f>
        <v>71</v>
      </c>
      <c r="F30" s="3" t="str">
        <f aca="false">IF(E30="","",IF(E30&gt;=設定!$D$11,"A",IF(E30&gt;=設定!$E$11,"B","C")))</f>
        <v>B</v>
      </c>
      <c r="G30" s="3" t="n">
        <f aca="false">IF(AND('算数（前期）'!O31="",'算数（後期）'!O31=""),"",ROUND(IF('算数（前期）'!O31="",'算数（後期）'!O31,IF('算数（後期）'!O31="",'算数（前期）'!O31,('算数（前期）'!O31+'算数（後期）'!O31)/2)),0))</f>
        <v>75</v>
      </c>
      <c r="H30" s="3" t="str">
        <f aca="false">IF(G30="","",IF(G30&gt;=設定!$D$12,"A",IF(G30&gt;=設定!$E$12,"B","C")))</f>
        <v>B</v>
      </c>
      <c r="I30" s="3" t="n">
        <f aca="false">IF(AND('算数（前期）'!AB31="",'算数（後期）'!AB31=""),"",ROUND(IF('算数（前期）'!AB31="",'算数（後期）'!AB31,IF('算数（後期）'!AB31="",'算数（前期）'!AB31,('算数（前期）'!AB31+'算数（後期）'!AB31)/2)),0))</f>
        <v>71</v>
      </c>
      <c r="J30" s="3" t="str">
        <f aca="false">IF(I30="","",IF(I30&gt;=設定!$D$12,"A",IF(I30&gt;=設定!$E$12,"B","C")))</f>
        <v>B</v>
      </c>
      <c r="K30" s="3" t="n">
        <f aca="false">IF(AND('社会（前期）'!O31="",'社会（後期）'!O31=""),"",ROUND(IF('社会（前期）'!O31="",'社会（後期）'!O31,IF('社会（後期）'!O31="",'社会（前期）'!O31,('社会（前期）'!O31+'社会（後期）'!O31)/2)),0))</f>
        <v>78</v>
      </c>
      <c r="L30" s="3" t="str">
        <f aca="false">IF(K30="","",IF(K30&gt;=設定!$D$13,"A",IF(K30&gt;=設定!$E$13,"B","C")))</f>
        <v>B</v>
      </c>
      <c r="M30" s="3" t="n">
        <f aca="false">IF(AND('社会（前期）'!AB31="",'社会（後期）'!AB31=""),"",ROUND(IF('社会（前期）'!AB31="",'社会（後期）'!AB31,IF('社会（後期）'!AB31="",'社会（前期）'!AB31,('社会（前期）'!AB31+'社会（後期）'!AB31)/2)),0))</f>
        <v>70</v>
      </c>
      <c r="N30" s="3" t="str">
        <f aca="false">IF(M30="","",IF(M30&gt;=設定!$D$13,"A",IF(M30&gt;=設定!$E$13,"B","C")))</f>
        <v>B</v>
      </c>
      <c r="O30" s="3" t="n">
        <f aca="false">IF(AND('理科（前期）'!O31="",'理科（後期）'!O31=""),"",ROUND(IF('理科（前期）'!O31="",'理科（後期）'!O31,IF('理科（後期）'!O31="",'理科（前期）'!O31,('理科（前期）'!O31+'理科（後期）'!O31)/2)),0))</f>
        <v>79</v>
      </c>
      <c r="P30" s="3" t="str">
        <f aca="false">IF(O30="","",IF(O30&gt;=設定!$D$14,"A",IF(O30&gt;=設定!$E$14,"B","C")))</f>
        <v>B</v>
      </c>
      <c r="Q30" s="3" t="n">
        <f aca="false">IF(AND('理科（前期）'!AB31="",'理科（後期）'!AB31=""),"",ROUND(IF('理科（前期）'!AB31="",'理科（後期）'!AB31,IF('理科（後期）'!AB31="",'理科（前期）'!AB31,('理科（前期）'!AB31+'理科（後期）'!AB31)/2)),0))</f>
        <v>70</v>
      </c>
      <c r="R30" s="3" t="str">
        <f aca="false">IF(Q30="","",IF(Q30&gt;=設定!$D$14,"A",IF(Q30&gt;=設定!$E$14,"B","C")))</f>
        <v>B</v>
      </c>
      <c r="S30" s="3" t="n">
        <f aca="false">IF(AND('英語（前期）'!O31="",'英語（後期）'!O31=""),"",ROUND(IF('英語（前期）'!O31="",'英語（後期）'!O31,IF('英語（後期）'!O31="",'英語（前期）'!O31,('英語（前期）'!O31+'英語（後期）'!O31)/2)),0))</f>
        <v>71</v>
      </c>
      <c r="T30" s="3" t="str">
        <f aca="false">IF(S30="","",IF(S30&gt;=設定!$D$15,"A",IF(S30&gt;=設定!$E$15,"B","C")))</f>
        <v>B</v>
      </c>
      <c r="U30" s="3" t="n">
        <f aca="false">IF(AND('英語（前期）'!AB31="",'英語（後期）'!AB31=""),"",ROUND(IF('英語（前期）'!AB31="",'英語（後期）'!AB31,IF('英語（後期）'!AB31="",'英語（前期）'!AB31,('英語（前期）'!AB31+'英語（後期）'!AB31)/2)),0))</f>
        <v>69</v>
      </c>
      <c r="V30" s="3" t="str">
        <f aca="false">IF(U30="","",IF(U30&gt;=設定!$D$15,"A",IF(U30&gt;=設定!$E$15,"B","C")))</f>
        <v>B</v>
      </c>
      <c r="W30" s="3" t="n">
        <f aca="false">IF(AND('保健（前期）'!O31="",'保健（後期）'!O31=""),"",ROUND(IF('保健（前期）'!O31="",'保健（後期）'!O31,IF('保健（後期）'!O31="",'保健（前期）'!O31,('保健（前期）'!O31+'保健（後期）'!O31)/2)),0))</f>
        <v>82</v>
      </c>
      <c r="X30" s="3" t="str">
        <f aca="false">IF(W30="","",IF(W30&gt;=設定!$D$16,"A",IF(W30&gt;=設定!$E$16,"B","C")))</f>
        <v>B</v>
      </c>
      <c r="Y30" s="3" t="n">
        <f aca="false">IF(AND('保健（前期）'!AB31="",'保健（後期）'!AB31=""),"",ROUND(IF('保健（前期）'!AB31="",'保健（後期）'!AB31,IF('保健（後期）'!AB31="",'保健（前期）'!AB31,('保健（前期）'!AB31+'保健（後期）'!AB31)/2)),0))</f>
        <v>70</v>
      </c>
      <c r="Z30" s="3" t="str">
        <f aca="false">IF(Y30="","",IF(Y30&gt;=設定!$D$16,"A",IF(Y30&gt;=設定!$E$16,"B","C")))</f>
        <v>B</v>
      </c>
    </row>
    <row r="31" customFormat="false" ht="15" hidden="false" customHeight="false" outlineLevel="0" collapsed="false">
      <c r="A31" s="3" t="n">
        <v>28</v>
      </c>
      <c r="B31" s="60" t="str">
        <f aca="false">IF(名簿!B30="","",名簿!B30)</f>
        <v>斎藤 心春</v>
      </c>
      <c r="C31" s="3" t="n">
        <f aca="false">IF(AND('国語（前期）'!O32="",'国語（後期）'!O32=""),"",ROUND(IF('国語（前期）'!O32="",'国語（後期）'!O32,IF('国語（後期）'!O32="",'国語（前期）'!O32,('国語（前期）'!O32+'国語（後期）'!O32)/2)),0))</f>
        <v>68</v>
      </c>
      <c r="D31" s="3" t="str">
        <f aca="false">IF(C31="","",IF(C31&gt;=設定!$D$11,"A",IF(C31&gt;=設定!$E$11,"B","C")))</f>
        <v>B</v>
      </c>
      <c r="E31" s="3" t="n">
        <f aca="false">IF(AND('国語（前期）'!AB32="",'国語（後期）'!AB32=""),"",ROUND(IF('国語（前期）'!AB32="",'国語（後期）'!AB32,IF('国語（後期）'!AB32="",'国語（前期）'!AB32,('国語（前期）'!AB32+'国語（後期）'!AB32)/2)),0))</f>
        <v>59</v>
      </c>
      <c r="F31" s="3" t="str">
        <f aca="false">IF(E31="","",IF(E31&gt;=設定!$D$11,"A",IF(E31&gt;=設定!$E$11,"B","C")))</f>
        <v>C</v>
      </c>
      <c r="G31" s="3" t="n">
        <f aca="false">IF(AND('算数（前期）'!O32="",'算数（後期）'!O32=""),"",ROUND(IF('算数（前期）'!O32="",'算数（後期）'!O32,IF('算数（後期）'!O32="",'算数（前期）'!O32,('算数（前期）'!O32+'算数（後期）'!O32)/2)),0))</f>
        <v>70</v>
      </c>
      <c r="H31" s="3" t="str">
        <f aca="false">IF(G31="","",IF(G31&gt;=設定!$D$12,"A",IF(G31&gt;=設定!$E$12,"B","C")))</f>
        <v>B</v>
      </c>
      <c r="I31" s="3" t="n">
        <f aca="false">IF(AND('算数（前期）'!AB32="",'算数（後期）'!AB32=""),"",ROUND(IF('算数（前期）'!AB32="",'算数（後期）'!AB32,IF('算数（後期）'!AB32="",'算数（前期）'!AB32,('算数（前期）'!AB32+'算数（後期）'!AB32)/2)),0))</f>
        <v>58</v>
      </c>
      <c r="J31" s="3" t="str">
        <f aca="false">IF(I31="","",IF(I31&gt;=設定!$D$12,"A",IF(I31&gt;=設定!$E$12,"B","C")))</f>
        <v>B</v>
      </c>
      <c r="K31" s="3" t="n">
        <f aca="false">IF(AND('社会（前期）'!O32="",'社会（後期）'!O32=""),"",ROUND(IF('社会（前期）'!O32="",'社会（後期）'!O32,IF('社会（後期）'!O32="",'社会（前期）'!O32,('社会（前期）'!O32+'社会（後期）'!O32)/2)),0))</f>
        <v>69</v>
      </c>
      <c r="L31" s="3" t="str">
        <f aca="false">IF(K31="","",IF(K31&gt;=設定!$D$13,"A",IF(K31&gt;=設定!$E$13,"B","C")))</f>
        <v>B</v>
      </c>
      <c r="M31" s="3" t="n">
        <f aca="false">IF(AND('社会（前期）'!AB32="",'社会（後期）'!AB32=""),"",ROUND(IF('社会（前期）'!AB32="",'社会（後期）'!AB32,IF('社会（後期）'!AB32="",'社会（前期）'!AB32,('社会（前期）'!AB32+'社会（後期）'!AB32)/2)),0))</f>
        <v>64</v>
      </c>
      <c r="N31" s="3" t="str">
        <f aca="false">IF(M31="","",IF(M31&gt;=設定!$D$13,"A",IF(M31&gt;=設定!$E$13,"B","C")))</f>
        <v>B</v>
      </c>
      <c r="O31" s="3" t="n">
        <f aca="false">IF(AND('理科（前期）'!O32="",'理科（後期）'!O32=""),"",ROUND(IF('理科（前期）'!O32="",'理科（後期）'!O32,IF('理科（後期）'!O32="",'理科（前期）'!O32,('理科（前期）'!O32+'理科（後期）'!O32)/2)),0))</f>
        <v>71</v>
      </c>
      <c r="P31" s="3" t="str">
        <f aca="false">IF(O31="","",IF(O31&gt;=設定!$D$14,"A",IF(O31&gt;=設定!$E$14,"B","C")))</f>
        <v>B</v>
      </c>
      <c r="Q31" s="3" t="n">
        <f aca="false">IF(AND('理科（前期）'!AB32="",'理科（後期）'!AB32=""),"",ROUND(IF('理科（前期）'!AB32="",'理科（後期）'!AB32,IF('理科（後期）'!AB32="",'理科（前期）'!AB32,('理科（前期）'!AB32+'理科（後期）'!AB32)/2)),0))</f>
        <v>60</v>
      </c>
      <c r="R31" s="3" t="str">
        <f aca="false">IF(Q31="","",IF(Q31&gt;=設定!$D$14,"A",IF(Q31&gt;=設定!$E$14,"B","C")))</f>
        <v>B</v>
      </c>
      <c r="S31" s="3" t="n">
        <f aca="false">IF(AND('英語（前期）'!O32="",'英語（後期）'!O32=""),"",ROUND(IF('英語（前期）'!O32="",'英語（後期）'!O32,IF('英語（後期）'!O32="",'英語（前期）'!O32,('英語（前期）'!O32+'英語（後期）'!O32)/2)),0))</f>
        <v>71</v>
      </c>
      <c r="T31" s="3" t="str">
        <f aca="false">IF(S31="","",IF(S31&gt;=設定!$D$15,"A",IF(S31&gt;=設定!$E$15,"B","C")))</f>
        <v>B</v>
      </c>
      <c r="U31" s="3" t="n">
        <f aca="false">IF(AND('英語（前期）'!AB32="",'英語（後期）'!AB32=""),"",ROUND(IF('英語（前期）'!AB32="",'英語（後期）'!AB32,IF('英語（後期）'!AB32="",'英語（前期）'!AB32,('英語（前期）'!AB32+'英語（後期）'!AB32)/2)),0))</f>
        <v>56</v>
      </c>
      <c r="V31" s="3" t="str">
        <f aca="false">IF(U31="","",IF(U31&gt;=設定!$D$15,"A",IF(U31&gt;=設定!$E$15,"B","C")))</f>
        <v>C</v>
      </c>
      <c r="W31" s="3" t="n">
        <f aca="false">IF(AND('保健（前期）'!O32="",'保健（後期）'!O32=""),"",ROUND(IF('保健（前期）'!O32="",'保健（後期）'!O32,IF('保健（後期）'!O32="",'保健（前期）'!O32,('保健（前期）'!O32+'保健（後期）'!O32)/2)),0))</f>
        <v>71</v>
      </c>
      <c r="X31" s="3" t="str">
        <f aca="false">IF(W31="","",IF(W31&gt;=設定!$D$16,"A",IF(W31&gt;=設定!$E$16,"B","C")))</f>
        <v>B</v>
      </c>
      <c r="Y31" s="3" t="n">
        <f aca="false">IF(AND('保健（前期）'!AB32="",'保健（後期）'!AB32=""),"",ROUND(IF('保健（前期）'!AB32="",'保健（後期）'!AB32,IF('保健（後期）'!AB32="",'保健（前期）'!AB32,('保健（前期）'!AB32+'保健（後期）'!AB32)/2)),0))</f>
        <v>62</v>
      </c>
      <c r="Z31" s="3" t="str">
        <f aca="false">IF(Y31="","",IF(Y31&gt;=設定!$D$16,"A",IF(Y31&gt;=設定!$E$16,"B","C")))</f>
        <v>B</v>
      </c>
    </row>
    <row r="32" customFormat="false" ht="15" hidden="false" customHeight="false" outlineLevel="0" collapsed="false">
      <c r="A32" s="3" t="n">
        <v>29</v>
      </c>
      <c r="B32" s="60" t="str">
        <f aca="false">IF(名簿!B31="","",名簿!B31)</f>
        <v>森 蒼</v>
      </c>
      <c r="C32" s="3" t="n">
        <f aca="false">IF(AND('国語（前期）'!O33="",'国語（後期）'!O33=""),"",ROUND(IF('国語（前期）'!O33="",'国語（後期）'!O33,IF('国語（後期）'!O33="",'国語（前期）'!O33,('国語（前期）'!O33+'国語（後期）'!O33)/2)),0))</f>
        <v>99</v>
      </c>
      <c r="D32" s="3" t="str">
        <f aca="false">IF(C32="","",IF(C32&gt;=設定!$D$11,"A",IF(C32&gt;=設定!$E$11,"B","C")))</f>
        <v>A</v>
      </c>
      <c r="E32" s="3" t="n">
        <f aca="false">IF(AND('国語（前期）'!AB33="",'国語（後期）'!AB33=""),"",ROUND(IF('国語（前期）'!AB33="",'国語（後期）'!AB33,IF('国語（後期）'!AB33="",'国語（前期）'!AB33,('国語（前期）'!AB33+'国語（後期）'!AB33)/2)),0))</f>
        <v>92</v>
      </c>
      <c r="F32" s="3" t="str">
        <f aca="false">IF(E32="","",IF(E32&gt;=設定!$D$11,"A",IF(E32&gt;=設定!$E$11,"B","C")))</f>
        <v>A</v>
      </c>
      <c r="G32" s="3" t="n">
        <f aca="false">IF(AND('算数（前期）'!O33="",'算数（後期）'!O33=""),"",ROUND(IF('算数（前期）'!O33="",'算数（後期）'!O33,IF('算数（後期）'!O33="",'算数（前期）'!O33,('算数（前期）'!O33+'算数（後期）'!O33)/2)),0))</f>
        <v>100</v>
      </c>
      <c r="H32" s="3" t="str">
        <f aca="false">IF(G32="","",IF(G32&gt;=設定!$D$12,"A",IF(G32&gt;=設定!$E$12,"B","C")))</f>
        <v>A</v>
      </c>
      <c r="I32" s="3" t="n">
        <f aca="false">IF(AND('算数（前期）'!AB33="",'算数（後期）'!AB33=""),"",ROUND(IF('算数（前期）'!AB33="",'算数（後期）'!AB33,IF('算数（後期）'!AB33="",'算数（前期）'!AB33,('算数（前期）'!AB33+'算数（後期）'!AB33)/2)),0))</f>
        <v>91</v>
      </c>
      <c r="J32" s="3" t="str">
        <f aca="false">IF(I32="","",IF(I32&gt;=設定!$D$12,"A",IF(I32&gt;=設定!$E$12,"B","C")))</f>
        <v>A</v>
      </c>
      <c r="K32" s="3" t="n">
        <f aca="false">IF(AND('社会（前期）'!O33="",'社会（後期）'!O33=""),"",ROUND(IF('社会（前期）'!O33="",'社会（後期）'!O33,IF('社会（後期）'!O33="",'社会（前期）'!O33,('社会（前期）'!O33+'社会（後期）'!O33)/2)),0))</f>
        <v>98</v>
      </c>
      <c r="L32" s="3" t="str">
        <f aca="false">IF(K32="","",IF(K32&gt;=設定!$D$13,"A",IF(K32&gt;=設定!$E$13,"B","C")))</f>
        <v>A</v>
      </c>
      <c r="M32" s="3" t="n">
        <f aca="false">IF(AND('社会（前期）'!AB33="",'社会（後期）'!AB33=""),"",ROUND(IF('社会（前期）'!AB33="",'社会（後期）'!AB33,IF('社会（後期）'!AB33="",'社会（前期）'!AB33,('社会（前期）'!AB33+'社会（後期）'!AB33)/2)),0))</f>
        <v>91</v>
      </c>
      <c r="N32" s="3" t="str">
        <f aca="false">IF(M32="","",IF(M32&gt;=設定!$D$13,"A",IF(M32&gt;=設定!$E$13,"B","C")))</f>
        <v>A</v>
      </c>
      <c r="O32" s="3" t="n">
        <f aca="false">IF(AND('理科（前期）'!O33="",'理科（後期）'!O33=""),"",ROUND(IF('理科（前期）'!O33="",'理科（後期）'!O33,IF('理科（後期）'!O33="",'理科（前期）'!O33,('理科（前期）'!O33+'理科（後期）'!O33)/2)),0))</f>
        <v>97</v>
      </c>
      <c r="P32" s="3" t="str">
        <f aca="false">IF(O32="","",IF(O32&gt;=設定!$D$14,"A",IF(O32&gt;=設定!$E$14,"B","C")))</f>
        <v>A</v>
      </c>
      <c r="Q32" s="3" t="n">
        <f aca="false">IF(AND('理科（前期）'!AB33="",'理科（後期）'!AB33=""),"",ROUND(IF('理科（前期）'!AB33="",'理科（後期）'!AB33,IF('理科（後期）'!AB33="",'理科（前期）'!AB33,('理科（前期）'!AB33+'理科（後期）'!AB33)/2)),0))</f>
        <v>87</v>
      </c>
      <c r="R32" s="3" t="str">
        <f aca="false">IF(Q32="","",IF(Q32&gt;=設定!$D$14,"A",IF(Q32&gt;=設定!$E$14,"B","C")))</f>
        <v>B</v>
      </c>
      <c r="S32" s="3" t="n">
        <f aca="false">IF(AND('英語（前期）'!O33="",'英語（後期）'!O33=""),"",ROUND(IF('英語（前期）'!O33="",'英語（後期）'!O33,IF('英語（後期）'!O33="",'英語（前期）'!O33,('英語（前期）'!O33+'英語（後期）'!O33)/2)),0))</f>
        <v>96</v>
      </c>
      <c r="T32" s="3" t="str">
        <f aca="false">IF(S32="","",IF(S32&gt;=設定!$D$15,"A",IF(S32&gt;=設定!$E$15,"B","C")))</f>
        <v>A</v>
      </c>
      <c r="U32" s="3" t="n">
        <f aca="false">IF(AND('英語（前期）'!AB33="",'英語（後期）'!AB33=""),"",ROUND(IF('英語（前期）'!AB33="",'英語（後期）'!AB33,IF('英語（後期）'!AB33="",'英語（前期）'!AB33,('英語（前期）'!AB33+'英語（後期）'!AB33)/2)),0))</f>
        <v>89</v>
      </c>
      <c r="V32" s="3" t="str">
        <f aca="false">IF(U32="","",IF(U32&gt;=設定!$D$15,"A",IF(U32&gt;=設定!$E$15,"B","C")))</f>
        <v>B</v>
      </c>
      <c r="W32" s="3" t="n">
        <f aca="false">IF(AND('保健（前期）'!O33="",'保健（後期）'!O33=""),"",ROUND(IF('保健（前期）'!O33="",'保健（後期）'!O33,IF('保健（後期）'!O33="",'保健（前期）'!O33,('保健（前期）'!O33+'保健（後期）'!O33)/2)),0))</f>
        <v>100</v>
      </c>
      <c r="X32" s="3" t="str">
        <f aca="false">IF(W32="","",IF(W32&gt;=設定!$D$16,"A",IF(W32&gt;=設定!$E$16,"B","C")))</f>
        <v>A</v>
      </c>
      <c r="Y32" s="3" t="n">
        <f aca="false">IF(AND('保健（前期）'!AB33="",'保健（後期）'!AB33=""),"",ROUND(IF('保健（前期）'!AB33="",'保健（後期）'!AB33,IF('保健（後期）'!AB33="",'保健（前期）'!AB33,('保健（前期）'!AB33+'保健（後期）'!AB33)/2)),0))</f>
        <v>83</v>
      </c>
      <c r="Z32" s="3" t="str">
        <f aca="false">IF(Y32="","",IF(Y32&gt;=設定!$D$16,"A",IF(Y32&gt;=設定!$E$16,"B","C")))</f>
        <v>B</v>
      </c>
    </row>
    <row r="33" customFormat="false" ht="15" hidden="false" customHeight="false" outlineLevel="0" collapsed="false">
      <c r="A33" s="3" t="n">
        <v>30</v>
      </c>
      <c r="B33" s="60" t="str">
        <f aca="false">IF(名簿!B32="","",名簿!B32)</f>
        <v>伊藤 咲良</v>
      </c>
      <c r="C33" s="3" t="n">
        <f aca="false">IF(AND('国語（前期）'!O34="",'国語（後期）'!O34=""),"",ROUND(IF('国語（前期）'!O34="",'国語（後期）'!O34,IF('国語（後期）'!O34="",'国語（前期）'!O34,('国語（前期）'!O34+'国語（後期）'!O34)/2)),0))</f>
        <v>90</v>
      </c>
      <c r="D33" s="3" t="str">
        <f aca="false">IF(C33="","",IF(C33&gt;=設定!$D$11,"A",IF(C33&gt;=設定!$E$11,"B","C")))</f>
        <v>A</v>
      </c>
      <c r="E33" s="3" t="n">
        <f aca="false">IF(AND('国語（前期）'!AB34="",'国語（後期）'!AB34=""),"",ROUND(IF('国語（前期）'!AB34="",'国語（後期）'!AB34,IF('国語（後期）'!AB34="",'国語（前期）'!AB34,('国語（前期）'!AB34+'国語（後期）'!AB34)/2)),0))</f>
        <v>80</v>
      </c>
      <c r="F33" s="3" t="str">
        <f aca="false">IF(E33="","",IF(E33&gt;=設定!$D$11,"A",IF(E33&gt;=設定!$E$11,"B","C")))</f>
        <v>B</v>
      </c>
      <c r="G33" s="3" t="n">
        <f aca="false">IF(AND('算数（前期）'!O34="",'算数（後期）'!O34=""),"",ROUND(IF('算数（前期）'!O34="",'算数（後期）'!O34,IF('算数（後期）'!O34="",'算数（前期）'!O34,('算数（前期）'!O34+'算数（後期）'!O34)/2)),0))</f>
        <v>97</v>
      </c>
      <c r="H33" s="3" t="str">
        <f aca="false">IF(G33="","",IF(G33&gt;=設定!$D$12,"A",IF(G33&gt;=設定!$E$12,"B","C")))</f>
        <v>A</v>
      </c>
      <c r="I33" s="3" t="n">
        <f aca="false">IF(AND('算数（前期）'!AB34="",'算数（後期）'!AB34=""),"",ROUND(IF('算数（前期）'!AB34="",'算数（後期）'!AB34,IF('算数（後期）'!AB34="",'算数（前期）'!AB34,('算数（前期）'!AB34+'算数（後期）'!AB34)/2)),0))</f>
        <v>86</v>
      </c>
      <c r="J33" s="3" t="str">
        <f aca="false">IF(I33="","",IF(I33&gt;=設定!$D$12,"A",IF(I33&gt;=設定!$E$12,"B","C")))</f>
        <v>A</v>
      </c>
      <c r="K33" s="3" t="n">
        <f aca="false">IF(AND('社会（前期）'!O34="",'社会（後期）'!O34=""),"",ROUND(IF('社会（前期）'!O34="",'社会（後期）'!O34,IF('社会（後期）'!O34="",'社会（前期）'!O34,('社会（前期）'!O34+'社会（後期）'!O34)/2)),0))</f>
        <v>92</v>
      </c>
      <c r="L33" s="3" t="str">
        <f aca="false">IF(K33="","",IF(K33&gt;=設定!$D$13,"A",IF(K33&gt;=設定!$E$13,"B","C")))</f>
        <v>A</v>
      </c>
      <c r="M33" s="3" t="n">
        <f aca="false">IF(AND('社会（前期）'!AB34="",'社会（後期）'!AB34=""),"",ROUND(IF('社会（前期）'!AB34="",'社会（後期）'!AB34,IF('社会（後期）'!AB34="",'社会（前期）'!AB34,('社会（前期）'!AB34+'社会（後期）'!AB34)/2)),0))</f>
        <v>80</v>
      </c>
      <c r="N33" s="3" t="str">
        <f aca="false">IF(M33="","",IF(M33&gt;=設定!$D$13,"A",IF(M33&gt;=設定!$E$13,"B","C")))</f>
        <v>B</v>
      </c>
      <c r="O33" s="3" t="n">
        <f aca="false">IF(AND('理科（前期）'!O34="",'理科（後期）'!O34=""),"",ROUND(IF('理科（前期）'!O34="",'理科（後期）'!O34,IF('理科（後期）'!O34="",'理科（前期）'!O34,('理科（前期）'!O34+'理科（後期）'!O34)/2)),0))</f>
        <v>88</v>
      </c>
      <c r="P33" s="3" t="str">
        <f aca="false">IF(O33="","",IF(O33&gt;=設定!$D$14,"A",IF(O33&gt;=設定!$E$14,"B","C")))</f>
        <v>B</v>
      </c>
      <c r="Q33" s="3" t="n">
        <f aca="false">IF(AND('理科（前期）'!AB34="",'理科（後期）'!AB34=""),"",ROUND(IF('理科（前期）'!AB34="",'理科（後期）'!AB34,IF('理科（後期）'!AB34="",'理科（前期）'!AB34,('理科（前期）'!AB34+'理科（後期）'!AB34)/2)),0))</f>
        <v>84</v>
      </c>
      <c r="R33" s="3" t="str">
        <f aca="false">IF(Q33="","",IF(Q33&gt;=設定!$D$14,"A",IF(Q33&gt;=設定!$E$14,"B","C")))</f>
        <v>B</v>
      </c>
      <c r="S33" s="3" t="n">
        <f aca="false">IF(AND('英語（前期）'!O34="",'英語（後期）'!O34=""),"",ROUND(IF('英語（前期）'!O34="",'英語（後期）'!O34,IF('英語（後期）'!O34="",'英語（前期）'!O34,('英語（前期）'!O34+'英語（後期）'!O34)/2)),0))</f>
        <v>94</v>
      </c>
      <c r="T33" s="3" t="str">
        <f aca="false">IF(S33="","",IF(S33&gt;=設定!$D$15,"A",IF(S33&gt;=設定!$E$15,"B","C")))</f>
        <v>A</v>
      </c>
      <c r="U33" s="3" t="n">
        <f aca="false">IF(AND('英語（前期）'!AB34="",'英語（後期）'!AB34=""),"",ROUND(IF('英語（前期）'!AB34="",'英語（後期）'!AB34,IF('英語（後期）'!AB34="",'英語（前期）'!AB34,('英語（前期）'!AB34+'英語（後期）'!AB34)/2)),0))</f>
        <v>89</v>
      </c>
      <c r="V33" s="3" t="str">
        <f aca="false">IF(U33="","",IF(U33&gt;=設定!$D$15,"A",IF(U33&gt;=設定!$E$15,"B","C")))</f>
        <v>B</v>
      </c>
      <c r="W33" s="3" t="n">
        <f aca="false">IF(AND('保健（前期）'!O34="",'保健（後期）'!O34=""),"",ROUND(IF('保健（前期）'!O34="",'保健（後期）'!O34,IF('保健（後期）'!O34="",'保健（前期）'!O34,('保健（前期）'!O34+'保健（後期）'!O34)/2)),0))</f>
        <v>96</v>
      </c>
      <c r="X33" s="3" t="str">
        <f aca="false">IF(W33="","",IF(W33&gt;=設定!$D$16,"A",IF(W33&gt;=設定!$E$16,"B","C")))</f>
        <v>A</v>
      </c>
      <c r="Y33" s="3" t="n">
        <f aca="false">IF(AND('保健（前期）'!AB34="",'保健（後期）'!AB34=""),"",ROUND(IF('保健（前期）'!AB34="",'保健（後期）'!AB34,IF('保健（後期）'!AB34="",'保健（前期）'!AB34,('保健（前期）'!AB34+'保健（後期）'!AB34)/2)),0))</f>
        <v>80</v>
      </c>
      <c r="Z33" s="3" t="str">
        <f aca="false">IF(Y33="","",IF(Y33&gt;=設定!$D$16,"A",IF(Y33&gt;=設定!$E$16,"B","C")))</f>
        <v>B</v>
      </c>
    </row>
    <row r="34" customFormat="false" ht="15" hidden="false" customHeight="false" outlineLevel="0" collapsed="false">
      <c r="A34" s="3" t="n">
        <v>31</v>
      </c>
      <c r="B34" s="60" t="str">
        <f aca="false">IF(名簿!B33="","",名簿!B33)</f>
        <v>佐藤 海斗</v>
      </c>
      <c r="C34" s="3" t="n">
        <f aca="false">IF(AND('国語（前期）'!O35="",'国語（後期）'!O35=""),"",ROUND(IF('国語（前期）'!O35="",'国語（後期）'!O35,IF('国語（後期）'!O35="",'国語（前期）'!O35,('国語（前期）'!O35+'国語（後期）'!O35)/2)),0))</f>
        <v>80</v>
      </c>
      <c r="D34" s="3" t="str">
        <f aca="false">IF(C34="","",IF(C34&gt;=設定!$D$11,"A",IF(C34&gt;=設定!$E$11,"B","C")))</f>
        <v>B</v>
      </c>
      <c r="E34" s="3" t="n">
        <f aca="false">IF(AND('国語（前期）'!AB35="",'国語（後期）'!AB35=""),"",ROUND(IF('国語（前期）'!AB35="",'国語（後期）'!AB35,IF('国語（後期）'!AB35="",'国語（前期）'!AB35,('国語（前期）'!AB35+'国語（後期）'!AB35)/2)),0))</f>
        <v>72</v>
      </c>
      <c r="F34" s="3" t="str">
        <f aca="false">IF(E34="","",IF(E34&gt;=設定!$D$11,"A",IF(E34&gt;=設定!$E$11,"B","C")))</f>
        <v>B</v>
      </c>
      <c r="G34" s="3" t="n">
        <f aca="false">IF(AND('算数（前期）'!O35="",'算数（後期）'!O35=""),"",ROUND(IF('算数（前期）'!O35="",'算数（後期）'!O35,IF('算数（後期）'!O35="",'算数（前期）'!O35,('算数（前期）'!O35+'算数（後期）'!O35)/2)),0))</f>
        <v>84</v>
      </c>
      <c r="H34" s="3" t="str">
        <f aca="false">IF(G34="","",IF(G34&gt;=設定!$D$12,"A",IF(G34&gt;=設定!$E$12,"B","C")))</f>
        <v>B</v>
      </c>
      <c r="I34" s="3" t="n">
        <f aca="false">IF(AND('算数（前期）'!AB35="",'算数（後期）'!AB35=""),"",ROUND(IF('算数（前期）'!AB35="",'算数（後期）'!AB35,IF('算数（後期）'!AB35="",'算数（前期）'!AB35,('算数（前期）'!AB35+'算数（後期）'!AB35)/2)),0))</f>
        <v>74</v>
      </c>
      <c r="J34" s="3" t="str">
        <f aca="false">IF(I34="","",IF(I34&gt;=設定!$D$12,"A",IF(I34&gt;=設定!$E$12,"B","C")))</f>
        <v>B</v>
      </c>
      <c r="K34" s="3" t="n">
        <f aca="false">IF(AND('社会（前期）'!O35="",'社会（後期）'!O35=""),"",ROUND(IF('社会（前期）'!O35="",'社会（後期）'!O35,IF('社会（後期）'!O35="",'社会（前期）'!O35,('社会（前期）'!O35+'社会（後期）'!O35)/2)),0))</f>
        <v>76</v>
      </c>
      <c r="L34" s="3" t="str">
        <f aca="false">IF(K34="","",IF(K34&gt;=設定!$D$13,"A",IF(K34&gt;=設定!$E$13,"B","C")))</f>
        <v>B</v>
      </c>
      <c r="M34" s="3" t="n">
        <f aca="false">IF(AND('社会（前期）'!AB35="",'社会（後期）'!AB35=""),"",ROUND(IF('社会（前期）'!AB35="",'社会（後期）'!AB35,IF('社会（後期）'!AB35="",'社会（前期）'!AB35,('社会（前期）'!AB35+'社会（後期）'!AB35)/2)),0))</f>
        <v>70</v>
      </c>
      <c r="N34" s="3" t="str">
        <f aca="false">IF(M34="","",IF(M34&gt;=設定!$D$13,"A",IF(M34&gt;=設定!$E$13,"B","C")))</f>
        <v>B</v>
      </c>
      <c r="O34" s="3" t="n">
        <f aca="false">IF(AND('理科（前期）'!O35="",'理科（後期）'!O35=""),"",ROUND(IF('理科（前期）'!O35="",'理科（後期）'!O35,IF('理科（後期）'!O35="",'理科（前期）'!O35,('理科（前期）'!O35+'理科（後期）'!O35)/2)),0))</f>
        <v>80</v>
      </c>
      <c r="P34" s="3" t="str">
        <f aca="false">IF(O34="","",IF(O34&gt;=設定!$D$14,"A",IF(O34&gt;=設定!$E$14,"B","C")))</f>
        <v>B</v>
      </c>
      <c r="Q34" s="3" t="n">
        <f aca="false">IF(AND('理科（前期）'!AB35="",'理科（後期）'!AB35=""),"",ROUND(IF('理科（前期）'!AB35="",'理科（後期）'!AB35,IF('理科（後期）'!AB35="",'理科（前期）'!AB35,('理科（前期）'!AB35+'理科（後期）'!AB35)/2)),0))</f>
        <v>72</v>
      </c>
      <c r="R34" s="3" t="str">
        <f aca="false">IF(Q34="","",IF(Q34&gt;=設定!$D$14,"A",IF(Q34&gt;=設定!$E$14,"B","C")))</f>
        <v>B</v>
      </c>
      <c r="S34" s="3" t="n">
        <f aca="false">IF(AND('英語（前期）'!O35="",'英語（後期）'!O35=""),"",ROUND(IF('英語（前期）'!O35="",'英語（後期）'!O35,IF('英語（後期）'!O35="",'英語（前期）'!O35,('英語（前期）'!O35+'英語（後期）'!O35)/2)),0))</f>
        <v>83</v>
      </c>
      <c r="T34" s="3" t="str">
        <f aca="false">IF(S34="","",IF(S34&gt;=設定!$D$15,"A",IF(S34&gt;=設定!$E$15,"B","C")))</f>
        <v>B</v>
      </c>
      <c r="U34" s="3" t="n">
        <f aca="false">IF(AND('英語（前期）'!AB35="",'英語（後期）'!AB35=""),"",ROUND(IF('英語（前期）'!AB35="",'英語（後期）'!AB35,IF('英語（後期）'!AB35="",'英語（前期）'!AB35,('英語（前期）'!AB35+'英語（後期）'!AB35)/2)),0))</f>
        <v>74</v>
      </c>
      <c r="V34" s="3" t="str">
        <f aca="false">IF(U34="","",IF(U34&gt;=設定!$D$15,"A",IF(U34&gt;=設定!$E$15,"B","C")))</f>
        <v>B</v>
      </c>
      <c r="W34" s="3" t="n">
        <f aca="false">IF(AND('保健（前期）'!O35="",'保健（後期）'!O35=""),"",ROUND(IF('保健（前期）'!O35="",'保健（後期）'!O35,IF('保健（後期）'!O35="",'保健（前期）'!O35,('保健（前期）'!O35+'保健（後期）'!O35)/2)),0))</f>
        <v>76</v>
      </c>
      <c r="X34" s="3" t="str">
        <f aca="false">IF(W34="","",IF(W34&gt;=設定!$D$16,"A",IF(W34&gt;=設定!$E$16,"B","C")))</f>
        <v>B</v>
      </c>
      <c r="Y34" s="3" t="n">
        <f aca="false">IF(AND('保健（前期）'!AB35="",'保健（後期）'!AB35=""),"",ROUND(IF('保健（前期）'!AB35="",'保健（後期）'!AB35,IF('保健（後期）'!AB35="",'保健（前期）'!AB35,('保健（前期）'!AB35+'保健（後期）'!AB35)/2)),0))</f>
        <v>83</v>
      </c>
      <c r="Z34" s="3" t="str">
        <f aca="false">IF(Y34="","",IF(Y34&gt;=設定!$D$16,"A",IF(Y34&gt;=設定!$E$16,"B","C")))</f>
        <v>B</v>
      </c>
    </row>
    <row r="35" customFormat="false" ht="15" hidden="false" customHeight="false" outlineLevel="0" collapsed="false">
      <c r="A35" s="3" t="n">
        <v>32</v>
      </c>
      <c r="B35" s="60" t="str">
        <f aca="false">IF(名簿!B34="","",名簿!B34)</f>
        <v>高橋 結愛</v>
      </c>
      <c r="C35" s="3" t="n">
        <f aca="false">IF(AND('国語（前期）'!O36="",'国語（後期）'!O36=""),"",ROUND(IF('国語（前期）'!O36="",'国語（後期）'!O36,IF('国語（後期）'!O36="",'国語（前期）'!O36,('国語（前期）'!O36+'国語（後期）'!O36)/2)),0))</f>
        <v>98</v>
      </c>
      <c r="D35" s="3" t="str">
        <f aca="false">IF(C35="","",IF(C35&gt;=設定!$D$11,"A",IF(C35&gt;=設定!$E$11,"B","C")))</f>
        <v>A</v>
      </c>
      <c r="E35" s="3" t="n">
        <f aca="false">IF(AND('国語（前期）'!AB36="",'国語（後期）'!AB36=""),"",ROUND(IF('国語（前期）'!AB36="",'国語（後期）'!AB36,IF('国語（後期）'!AB36="",'国語（前期）'!AB36,('国語（前期）'!AB36+'国語（後期）'!AB36)/2)),0))</f>
        <v>90</v>
      </c>
      <c r="F35" s="3" t="str">
        <f aca="false">IF(E35="","",IF(E35&gt;=設定!$D$11,"A",IF(E35&gt;=設定!$E$11,"B","C")))</f>
        <v>A</v>
      </c>
      <c r="G35" s="3" t="n">
        <f aca="false">IF(AND('算数（前期）'!O36="",'算数（後期）'!O36=""),"",ROUND(IF('算数（前期）'!O36="",'算数（後期）'!O36,IF('算数（後期）'!O36="",'算数（前期）'!O36,('算数（前期）'!O36+'算数（後期）'!O36)/2)),0))</f>
        <v>94</v>
      </c>
      <c r="H35" s="3" t="str">
        <f aca="false">IF(G35="","",IF(G35&gt;=設定!$D$12,"A",IF(G35&gt;=設定!$E$12,"B","C")))</f>
        <v>A</v>
      </c>
      <c r="I35" s="3" t="n">
        <f aca="false">IF(AND('算数（前期）'!AB36="",'算数（後期）'!AB36=""),"",ROUND(IF('算数（前期）'!AB36="",'算数（後期）'!AB36,IF('算数（後期）'!AB36="",'算数（前期）'!AB36,('算数（前期）'!AB36+'算数（後期）'!AB36)/2)),0))</f>
        <v>90</v>
      </c>
      <c r="J35" s="3" t="str">
        <f aca="false">IF(I35="","",IF(I35&gt;=設定!$D$12,"A",IF(I35&gt;=設定!$E$12,"B","C")))</f>
        <v>A</v>
      </c>
      <c r="K35" s="3" t="n">
        <f aca="false">IF(AND('社会（前期）'!O36="",'社会（後期）'!O36=""),"",ROUND(IF('社会（前期）'!O36="",'社会（後期）'!O36,IF('社会（後期）'!O36="",'社会（前期）'!O36,('社会（前期）'!O36+'社会（後期）'!O36)/2)),0))</f>
        <v>92</v>
      </c>
      <c r="L35" s="3" t="str">
        <f aca="false">IF(K35="","",IF(K35&gt;=設定!$D$13,"A",IF(K35&gt;=設定!$E$13,"B","C")))</f>
        <v>A</v>
      </c>
      <c r="M35" s="3" t="n">
        <f aca="false">IF(AND('社会（前期）'!AB36="",'社会（後期）'!AB36=""),"",ROUND(IF('社会（前期）'!AB36="",'社会（後期）'!AB36,IF('社会（後期）'!AB36="",'社会（前期）'!AB36,('社会（前期）'!AB36+'社会（後期）'!AB36)/2)),0))</f>
        <v>83</v>
      </c>
      <c r="N35" s="3" t="str">
        <f aca="false">IF(M35="","",IF(M35&gt;=設定!$D$13,"A",IF(M35&gt;=設定!$E$13,"B","C")))</f>
        <v>B</v>
      </c>
      <c r="O35" s="3" t="n">
        <f aca="false">IF(AND('理科（前期）'!O36="",'理科（後期）'!O36=""),"",ROUND(IF('理科（前期）'!O36="",'理科（後期）'!O36,IF('理科（後期）'!O36="",'理科（前期）'!O36,('理科（前期）'!O36+'理科（後期）'!O36)/2)),0))</f>
        <v>97</v>
      </c>
      <c r="P35" s="3" t="str">
        <f aca="false">IF(O35="","",IF(O35&gt;=設定!$D$14,"A",IF(O35&gt;=設定!$E$14,"B","C")))</f>
        <v>A</v>
      </c>
      <c r="Q35" s="3" t="n">
        <f aca="false">IF(AND('理科（前期）'!AB36="",'理科（後期）'!AB36=""),"",ROUND(IF('理科（前期）'!AB36="",'理科（後期）'!AB36,IF('理科（後期）'!AB36="",'理科（前期）'!AB36,('理科（前期）'!AB36+'理科（後期）'!AB36)/2)),0))</f>
        <v>91</v>
      </c>
      <c r="R35" s="3" t="str">
        <f aca="false">IF(Q35="","",IF(Q35&gt;=設定!$D$14,"A",IF(Q35&gt;=設定!$E$14,"B","C")))</f>
        <v>A</v>
      </c>
      <c r="S35" s="3" t="n">
        <f aca="false">IF(AND('英語（前期）'!O36="",'英語（後期）'!O36=""),"",ROUND(IF('英語（前期）'!O36="",'英語（後期）'!O36,IF('英語（後期）'!O36="",'英語（前期）'!O36,('英語（前期）'!O36+'英語（後期）'!O36)/2)),0))</f>
        <v>92</v>
      </c>
      <c r="T35" s="3" t="str">
        <f aca="false">IF(S35="","",IF(S35&gt;=設定!$D$15,"A",IF(S35&gt;=設定!$E$15,"B","C")))</f>
        <v>A</v>
      </c>
      <c r="U35" s="3" t="n">
        <f aca="false">IF(AND('英語（前期）'!AB36="",'英語（後期）'!AB36=""),"",ROUND(IF('英語（前期）'!AB36="",'英語（後期）'!AB36,IF('英語（後期）'!AB36="",'英語（前期）'!AB36,('英語（前期）'!AB36+'英語（後期）'!AB36)/2)),0))</f>
        <v>88</v>
      </c>
      <c r="V35" s="3" t="str">
        <f aca="false">IF(U35="","",IF(U35&gt;=設定!$D$15,"A",IF(U35&gt;=設定!$E$15,"B","C")))</f>
        <v>B</v>
      </c>
      <c r="W35" s="3" t="n">
        <f aca="false">IF(AND('保健（前期）'!O36="",'保健（後期）'!O36=""),"",ROUND(IF('保健（前期）'!O36="",'保健（後期）'!O36,IF('保健（後期）'!O36="",'保健（前期）'!O36,('保健（前期）'!O36+'保健（後期）'!O36)/2)),0))</f>
        <v>93</v>
      </c>
      <c r="X35" s="3" t="str">
        <f aca="false">IF(W35="","",IF(W35&gt;=設定!$D$16,"A",IF(W35&gt;=設定!$E$16,"B","C")))</f>
        <v>A</v>
      </c>
      <c r="Y35" s="3" t="n">
        <f aca="false">IF(AND('保健（前期）'!AB36="",'保健（後期）'!AB36=""),"",ROUND(IF('保健（前期）'!AB36="",'保健（後期）'!AB36,IF('保健（後期）'!AB36="",'保健（前期）'!AB36,('保健（前期）'!AB36+'保健（後期）'!AB36)/2)),0))</f>
        <v>92</v>
      </c>
      <c r="Z35" s="3" t="str">
        <f aca="false">IF(Y35="","",IF(Y35&gt;=設定!$D$16,"A",IF(Y35&gt;=設定!$E$16,"B","C")))</f>
        <v>A</v>
      </c>
    </row>
    <row r="36" customFormat="false" ht="15" hidden="false" customHeight="false" outlineLevel="0" collapsed="false">
      <c r="A36" s="3" t="n">
        <v>33</v>
      </c>
      <c r="B36" s="60" t="str">
        <f aca="false">IF(名簿!B35="","",名簿!B35)</f>
        <v>木村 陽太</v>
      </c>
      <c r="C36" s="3" t="n">
        <f aca="false">IF(AND('国語（前期）'!O37="",'国語（後期）'!O37=""),"",ROUND(IF('国語（前期）'!O37="",'国語（後期）'!O37,IF('国語（後期）'!O37="",'国語（前期）'!O37,('国語（前期）'!O37+'国語（後期）'!O37)/2)),0))</f>
        <v>82</v>
      </c>
      <c r="D36" s="3" t="str">
        <f aca="false">IF(C36="","",IF(C36&gt;=設定!$D$11,"A",IF(C36&gt;=設定!$E$11,"B","C")))</f>
        <v>B</v>
      </c>
      <c r="E36" s="3" t="n">
        <f aca="false">IF(AND('国語（前期）'!AB37="",'国語（後期）'!AB37=""),"",ROUND(IF('国語（前期）'!AB37="",'国語（後期）'!AB37,IF('国語（後期）'!AB37="",'国語（前期）'!AB37,('国語（前期）'!AB37+'国語（後期）'!AB37)/2)),0))</f>
        <v>73</v>
      </c>
      <c r="F36" s="3" t="str">
        <f aca="false">IF(E36="","",IF(E36&gt;=設定!$D$11,"A",IF(E36&gt;=設定!$E$11,"B","C")))</f>
        <v>B</v>
      </c>
      <c r="G36" s="3" t="n">
        <f aca="false">IF(AND('算数（前期）'!O37="",'算数（後期）'!O37=""),"",ROUND(IF('算数（前期）'!O37="",'算数（後期）'!O37,IF('算数（後期）'!O37="",'算数（前期）'!O37,('算数（前期）'!O37+'算数（後期）'!O37)/2)),0))</f>
        <v>82</v>
      </c>
      <c r="H36" s="3" t="str">
        <f aca="false">IF(G36="","",IF(G36&gt;=設定!$D$12,"A",IF(G36&gt;=設定!$E$12,"B","C")))</f>
        <v>B</v>
      </c>
      <c r="I36" s="3" t="n">
        <f aca="false">IF(AND('算数（前期）'!AB37="",'算数（後期）'!AB37=""),"",ROUND(IF('算数（前期）'!AB37="",'算数（後期）'!AB37,IF('算数（後期）'!AB37="",'算数（前期）'!AB37,('算数（前期）'!AB37+'算数（後期）'!AB37)/2)),0))</f>
        <v>75</v>
      </c>
      <c r="J36" s="3" t="str">
        <f aca="false">IF(I36="","",IF(I36&gt;=設定!$D$12,"A",IF(I36&gt;=設定!$E$12,"B","C")))</f>
        <v>B</v>
      </c>
      <c r="K36" s="3" t="n">
        <f aca="false">IF(AND('社会（前期）'!O37="",'社会（後期）'!O37=""),"",ROUND(IF('社会（前期）'!O37="",'社会（後期）'!O37,IF('社会（後期）'!O37="",'社会（前期）'!O37,('社会（前期）'!O37+'社会（後期）'!O37)/2)),0))</f>
        <v>82</v>
      </c>
      <c r="L36" s="3" t="str">
        <f aca="false">IF(K36="","",IF(K36&gt;=設定!$D$13,"A",IF(K36&gt;=設定!$E$13,"B","C")))</f>
        <v>B</v>
      </c>
      <c r="M36" s="3" t="n">
        <f aca="false">IF(AND('社会（前期）'!AB37="",'社会（後期）'!AB37=""),"",ROUND(IF('社会（前期）'!AB37="",'社会（後期）'!AB37,IF('社会（後期）'!AB37="",'社会（前期）'!AB37,('社会（前期）'!AB37+'社会（後期）'!AB37)/2)),0))</f>
        <v>71</v>
      </c>
      <c r="N36" s="3" t="str">
        <f aca="false">IF(M36="","",IF(M36&gt;=設定!$D$13,"A",IF(M36&gt;=設定!$E$13,"B","C")))</f>
        <v>B</v>
      </c>
      <c r="O36" s="3" t="n">
        <f aca="false">IF(AND('理科（前期）'!O37="",'理科（後期）'!O37=""),"",ROUND(IF('理科（前期）'!O37="",'理科（後期）'!O37,IF('理科（後期）'!O37="",'理科（前期）'!O37,('理科（前期）'!O37+'理科（後期）'!O37)/2)),0))</f>
        <v>88</v>
      </c>
      <c r="P36" s="3" t="str">
        <f aca="false">IF(O36="","",IF(O36&gt;=設定!$D$14,"A",IF(O36&gt;=設定!$E$14,"B","C")))</f>
        <v>B</v>
      </c>
      <c r="Q36" s="3" t="n">
        <f aca="false">IF(AND('理科（前期）'!AB37="",'理科（後期）'!AB37=""),"",ROUND(IF('理科（前期）'!AB37="",'理科（後期）'!AB37,IF('理科（後期）'!AB37="",'理科（前期）'!AB37,('理科（前期）'!AB37+'理科（後期）'!AB37)/2)),0))</f>
        <v>72</v>
      </c>
      <c r="R36" s="3" t="str">
        <f aca="false">IF(Q36="","",IF(Q36&gt;=設定!$D$14,"A",IF(Q36&gt;=設定!$E$14,"B","C")))</f>
        <v>B</v>
      </c>
      <c r="S36" s="3" t="n">
        <f aca="false">IF(AND('英語（前期）'!O37="",'英語（後期）'!O37=""),"",ROUND(IF('英語（前期）'!O37="",'英語（後期）'!O37,IF('英語（後期）'!O37="",'英語（前期）'!O37,('英語（前期）'!O37+'英語（後期）'!O37)/2)),0))</f>
        <v>83</v>
      </c>
      <c r="T36" s="3" t="str">
        <f aca="false">IF(S36="","",IF(S36&gt;=設定!$D$15,"A",IF(S36&gt;=設定!$E$15,"B","C")))</f>
        <v>B</v>
      </c>
      <c r="U36" s="3" t="n">
        <f aca="false">IF(AND('英語（前期）'!AB37="",'英語（後期）'!AB37=""),"",ROUND(IF('英語（前期）'!AB37="",'英語（後期）'!AB37,IF('英語（後期）'!AB37="",'英語（前期）'!AB37,('英語（前期）'!AB37+'英語（後期）'!AB37)/2)),0))</f>
        <v>73</v>
      </c>
      <c r="V36" s="3" t="str">
        <f aca="false">IF(U36="","",IF(U36&gt;=設定!$D$15,"A",IF(U36&gt;=設定!$E$15,"B","C")))</f>
        <v>B</v>
      </c>
      <c r="W36" s="3" t="n">
        <f aca="false">IF(AND('保健（前期）'!O37="",'保健（後期）'!O37=""),"",ROUND(IF('保健（前期）'!O37="",'保健（後期）'!O37,IF('保健（後期）'!O37="",'保健（前期）'!O37,('保健（前期）'!O37+'保健（後期）'!O37)/2)),0))</f>
        <v>87</v>
      </c>
      <c r="X36" s="3" t="str">
        <f aca="false">IF(W36="","",IF(W36&gt;=設定!$D$16,"A",IF(W36&gt;=設定!$E$16,"B","C")))</f>
        <v>B</v>
      </c>
      <c r="Y36" s="3" t="n">
        <f aca="false">IF(AND('保健（前期）'!AB37="",'保健（後期）'!AB37=""),"",ROUND(IF('保健（前期）'!AB37="",'保健（後期）'!AB37,IF('保健（後期）'!AB37="",'保健（前期）'!AB37,('保健（前期）'!AB37+'保健（後期）'!AB37)/2)),0))</f>
        <v>76</v>
      </c>
      <c r="Z36" s="3" t="str">
        <f aca="false">IF(Y36="","",IF(Y36&gt;=設定!$D$16,"A",IF(Y36&gt;=設定!$E$16,"B","C")))</f>
        <v>B</v>
      </c>
    </row>
    <row r="37" customFormat="false" ht="15" hidden="false" customHeight="false" outlineLevel="0" collapsed="false">
      <c r="A37" s="3" t="n">
        <v>34</v>
      </c>
      <c r="B37" s="60" t="str">
        <f aca="false">IF(名簿!B36="","",名簿!B36)</f>
        <v>長谷川 さくら</v>
      </c>
      <c r="C37" s="3" t="n">
        <f aca="false">IF(AND('国語（前期）'!O38="",'国語（後期）'!O38=""),"",ROUND(IF('国語（前期）'!O38="",'国語（後期）'!O38,IF('国語（後期）'!O38="",'国語（前期）'!O38,('国語（前期）'!O38+'国語（後期）'!O38)/2)),0))</f>
        <v>79</v>
      </c>
      <c r="D37" s="3" t="str">
        <f aca="false">IF(C37="","",IF(C37&gt;=設定!$D$11,"A",IF(C37&gt;=設定!$E$11,"B","C")))</f>
        <v>B</v>
      </c>
      <c r="E37" s="3" t="n">
        <f aca="false">IF(AND('国語（前期）'!AB38="",'国語（後期）'!AB38=""),"",ROUND(IF('国語（前期）'!AB38="",'国語（後期）'!AB38,IF('国語（後期）'!AB38="",'国語（前期）'!AB38,('国語（前期）'!AB38+'国語（後期）'!AB38)/2)),0))</f>
        <v>62</v>
      </c>
      <c r="F37" s="3" t="str">
        <f aca="false">IF(E37="","",IF(E37&gt;=設定!$D$11,"A",IF(E37&gt;=設定!$E$11,"B","C")))</f>
        <v>B</v>
      </c>
      <c r="G37" s="3" t="n">
        <f aca="false">IF(AND('算数（前期）'!O38="",'算数（後期）'!O38=""),"",ROUND(IF('算数（前期）'!O38="",'算数（後期）'!O38,IF('算数（後期）'!O38="",'算数（前期）'!O38,('算数（前期）'!O38+'算数（後期）'!O38)/2)),0))</f>
        <v>76</v>
      </c>
      <c r="H37" s="3" t="str">
        <f aca="false">IF(G37="","",IF(G37&gt;=設定!$D$12,"A",IF(G37&gt;=設定!$E$12,"B","C")))</f>
        <v>B</v>
      </c>
      <c r="I37" s="3" t="n">
        <f aca="false">IF(AND('算数（前期）'!AB38="",'算数（後期）'!AB38=""),"",ROUND(IF('算数（前期）'!AB38="",'算数（後期）'!AB38,IF('算数（後期）'!AB38="",'算数（前期）'!AB38,('算数（前期）'!AB38+'算数（後期）'!AB38)/2)),0))</f>
        <v>67</v>
      </c>
      <c r="J37" s="3" t="str">
        <f aca="false">IF(I37="","",IF(I37&gt;=設定!$D$12,"A",IF(I37&gt;=設定!$E$12,"B","C")))</f>
        <v>B</v>
      </c>
      <c r="K37" s="3" t="n">
        <f aca="false">IF(AND('社会（前期）'!O38="",'社会（後期）'!O38=""),"",ROUND(IF('社会（前期）'!O38="",'社会（後期）'!O38,IF('社会（後期）'!O38="",'社会（前期）'!O38,('社会（前期）'!O38+'社会（後期）'!O38)/2)),0))</f>
        <v>75</v>
      </c>
      <c r="L37" s="3" t="str">
        <f aca="false">IF(K37="","",IF(K37&gt;=設定!$D$13,"A",IF(K37&gt;=設定!$E$13,"B","C")))</f>
        <v>B</v>
      </c>
      <c r="M37" s="3" t="n">
        <f aca="false">IF(AND('社会（前期）'!AB38="",'社会（後期）'!AB38=""),"",ROUND(IF('社会（前期）'!AB38="",'社会（後期）'!AB38,IF('社会（後期）'!AB38="",'社会（前期）'!AB38,('社会（前期）'!AB38+'社会（後期）'!AB38)/2)),0))</f>
        <v>61</v>
      </c>
      <c r="N37" s="3" t="str">
        <f aca="false">IF(M37="","",IF(M37&gt;=設定!$D$13,"A",IF(M37&gt;=設定!$E$13,"B","C")))</f>
        <v>B</v>
      </c>
      <c r="O37" s="3" t="n">
        <f aca="false">IF(AND('理科（前期）'!O38="",'理科（後期）'!O38=""),"",ROUND(IF('理科（前期）'!O38="",'理科（後期）'!O38,IF('理科（後期）'!O38="",'理科（前期）'!O38,('理科（前期）'!O38+'理科（後期）'!O38)/2)),0))</f>
        <v>77</v>
      </c>
      <c r="P37" s="3" t="str">
        <f aca="false">IF(O37="","",IF(O37&gt;=設定!$D$14,"A",IF(O37&gt;=設定!$E$14,"B","C")))</f>
        <v>B</v>
      </c>
      <c r="Q37" s="3" t="n">
        <f aca="false">IF(AND('理科（前期）'!AB38="",'理科（後期）'!AB38=""),"",ROUND(IF('理科（前期）'!AB38="",'理科（後期）'!AB38,IF('理科（後期）'!AB38="",'理科（前期）'!AB38,('理科（前期）'!AB38+'理科（後期）'!AB38)/2)),0))</f>
        <v>70</v>
      </c>
      <c r="R37" s="3" t="str">
        <f aca="false">IF(Q37="","",IF(Q37&gt;=設定!$D$14,"A",IF(Q37&gt;=設定!$E$14,"B","C")))</f>
        <v>B</v>
      </c>
      <c r="S37" s="3" t="n">
        <f aca="false">IF(AND('英語（前期）'!O38="",'英語（後期）'!O38=""),"",ROUND(IF('英語（前期）'!O38="",'英語（後期）'!O38,IF('英語（後期）'!O38="",'英語（前期）'!O38,('英語（前期）'!O38+'英語（後期）'!O38)/2)),0))</f>
        <v>77</v>
      </c>
      <c r="T37" s="3" t="str">
        <f aca="false">IF(S37="","",IF(S37&gt;=設定!$D$15,"A",IF(S37&gt;=設定!$E$15,"B","C")))</f>
        <v>B</v>
      </c>
      <c r="U37" s="3" t="n">
        <f aca="false">IF(AND('英語（前期）'!AB38="",'英語（後期）'!AB38=""),"",ROUND(IF('英語（前期）'!AB38="",'英語（後期）'!AB38,IF('英語（後期）'!AB38="",'英語（前期）'!AB38,('英語（前期）'!AB38+'英語（後期）'!AB38)/2)),0))</f>
        <v>66</v>
      </c>
      <c r="V37" s="3" t="str">
        <f aca="false">IF(U37="","",IF(U37&gt;=設定!$D$15,"A",IF(U37&gt;=設定!$E$15,"B","C")))</f>
        <v>B</v>
      </c>
      <c r="W37" s="3" t="n">
        <f aca="false">IF(AND('保健（前期）'!O38="",'保健（後期）'!O38=""),"",ROUND(IF('保健（前期）'!O38="",'保健（後期）'!O38,IF('保健（後期）'!O38="",'保健（前期）'!O38,('保健（前期）'!O38+'保健（後期）'!O38)/2)),0))</f>
        <v>78</v>
      </c>
      <c r="X37" s="3" t="str">
        <f aca="false">IF(W37="","",IF(W37&gt;=設定!$D$16,"A",IF(W37&gt;=設定!$E$16,"B","C")))</f>
        <v>B</v>
      </c>
      <c r="Y37" s="3" t="n">
        <f aca="false">IF(AND('保健（前期）'!AB38="",'保健（後期）'!AB38=""),"",ROUND(IF('保健（前期）'!AB38="",'保健（後期）'!AB38,IF('保健（後期）'!AB38="",'保健（前期）'!AB38,('保健（前期）'!AB38+'保健（後期）'!AB38)/2)),0))</f>
        <v>72</v>
      </c>
      <c r="Z37" s="3" t="str">
        <f aca="false">IF(Y37="","",IF(Y37&gt;=設定!$D$16,"A",IF(Y37&gt;=設定!$E$16,"B","C")))</f>
        <v>B</v>
      </c>
    </row>
    <row r="38" customFormat="false" ht="15" hidden="false" customHeight="false" outlineLevel="0" collapsed="false">
      <c r="A38" s="3" t="n">
        <v>35</v>
      </c>
      <c r="B38" s="60" t="str">
        <f aca="false">IF(名簿!B37="","",名簿!B37)</f>
        <v>渡辺 健太</v>
      </c>
      <c r="C38" s="3" t="n">
        <f aca="false">IF(AND('国語（前期）'!O39="",'国語（後期）'!O39=""),"",ROUND(IF('国語（前期）'!O39="",'国語（後期）'!O39,IF('国語（後期）'!O39="",'国語（前期）'!O39,('国語（前期）'!O39+'国語（後期）'!O39)/2)),0))</f>
        <v>87</v>
      </c>
      <c r="D38" s="3" t="str">
        <f aca="false">IF(C38="","",IF(C38&gt;=設定!$D$11,"A",IF(C38&gt;=設定!$E$11,"B","C")))</f>
        <v>B</v>
      </c>
      <c r="E38" s="3" t="n">
        <f aca="false">IF(AND('国語（前期）'!AB39="",'国語（後期）'!AB39=""),"",ROUND(IF('国語（前期）'!AB39="",'国語（後期）'!AB39,IF('国語（後期）'!AB39="",'国語（前期）'!AB39,('国語（前期）'!AB39+'国語（後期）'!AB39)/2)),0))</f>
        <v>81</v>
      </c>
      <c r="F38" s="3" t="str">
        <f aca="false">IF(E38="","",IF(E38&gt;=設定!$D$11,"A",IF(E38&gt;=設定!$E$11,"B","C")))</f>
        <v>B</v>
      </c>
      <c r="G38" s="3" t="n">
        <f aca="false">IF(AND('算数（前期）'!O39="",'算数（後期）'!O39=""),"",ROUND(IF('算数（前期）'!O39="",'算数（後期）'!O39,IF('算数（後期）'!O39="",'算数（前期）'!O39,('算数（前期）'!O39+'算数（後期）'!O39)/2)),0))</f>
        <v>91</v>
      </c>
      <c r="H38" s="3" t="str">
        <f aca="false">IF(G38="","",IF(G38&gt;=設定!$D$12,"A",IF(G38&gt;=設定!$E$12,"B","C")))</f>
        <v>A</v>
      </c>
      <c r="I38" s="3" t="n">
        <f aca="false">IF(AND('算数（前期）'!AB39="",'算数（後期）'!AB39=""),"",ROUND(IF('算数（前期）'!AB39="",'算数（後期）'!AB39,IF('算数（後期）'!AB39="",'算数（前期）'!AB39,('算数（前期）'!AB39+'算数（後期）'!AB39)/2)),0))</f>
        <v>79</v>
      </c>
      <c r="J38" s="3" t="str">
        <f aca="false">IF(I38="","",IF(I38&gt;=設定!$D$12,"A",IF(I38&gt;=設定!$E$12,"B","C")))</f>
        <v>B</v>
      </c>
      <c r="K38" s="3" t="n">
        <f aca="false">IF(AND('社会（前期）'!O39="",'社会（後期）'!O39=""),"",ROUND(IF('社会（前期）'!O39="",'社会（後期）'!O39,IF('社会（後期）'!O39="",'社会（前期）'!O39,('社会（前期）'!O39+'社会（後期）'!O39)/2)),0))</f>
        <v>87</v>
      </c>
      <c r="L38" s="3" t="str">
        <f aca="false">IF(K38="","",IF(K38&gt;=設定!$D$13,"A",IF(K38&gt;=設定!$E$13,"B","C")))</f>
        <v>B</v>
      </c>
      <c r="M38" s="3" t="n">
        <f aca="false">IF(AND('社会（前期）'!AB39="",'社会（後期）'!AB39=""),"",ROUND(IF('社会（前期）'!AB39="",'社会（後期）'!AB39,IF('社会（後期）'!AB39="",'社会（前期）'!AB39,('社会（前期）'!AB39+'社会（後期）'!AB39)/2)),0))</f>
        <v>81</v>
      </c>
      <c r="N38" s="3" t="str">
        <f aca="false">IF(M38="","",IF(M38&gt;=設定!$D$13,"A",IF(M38&gt;=設定!$E$13,"B","C")))</f>
        <v>B</v>
      </c>
      <c r="O38" s="3" t="n">
        <f aca="false">IF(AND('理科（前期）'!O39="",'理科（後期）'!O39=""),"",ROUND(IF('理科（前期）'!O39="",'理科（後期）'!O39,IF('理科（後期）'!O39="",'理科（前期）'!O39,('理科（前期）'!O39+'理科（後期）'!O39)/2)),0))</f>
        <v>92</v>
      </c>
      <c r="P38" s="3" t="str">
        <f aca="false">IF(O38="","",IF(O38&gt;=設定!$D$14,"A",IF(O38&gt;=設定!$E$14,"B","C")))</f>
        <v>A</v>
      </c>
      <c r="Q38" s="3" t="n">
        <f aca="false">IF(AND('理科（前期）'!AB39="",'理科（後期）'!AB39=""),"",ROUND(IF('理科（前期）'!AB39="",'理科（後期）'!AB39,IF('理科（後期）'!AB39="",'理科（前期）'!AB39,('理科（前期）'!AB39+'理科（後期）'!AB39)/2)),0))</f>
        <v>81</v>
      </c>
      <c r="R38" s="3" t="str">
        <f aca="false">IF(Q38="","",IF(Q38&gt;=設定!$D$14,"A",IF(Q38&gt;=設定!$E$14,"B","C")))</f>
        <v>B</v>
      </c>
      <c r="S38" s="3" t="n">
        <f aca="false">IF(AND('英語（前期）'!O39="",'英語（後期）'!O39=""),"",ROUND(IF('英語（前期）'!O39="",'英語（後期）'!O39,IF('英語（後期）'!O39="",'英語（前期）'!O39,('英語（前期）'!O39+'英語（後期）'!O39)/2)),0))</f>
        <v>89</v>
      </c>
      <c r="T38" s="3" t="str">
        <f aca="false">IF(S38="","",IF(S38&gt;=設定!$D$15,"A",IF(S38&gt;=設定!$E$15,"B","C")))</f>
        <v>B</v>
      </c>
      <c r="U38" s="3" t="n">
        <f aca="false">IF(AND('英語（前期）'!AB39="",'英語（後期）'!AB39=""),"",ROUND(IF('英語（前期）'!AB39="",'英語（後期）'!AB39,IF('英語（後期）'!AB39="",'英語（前期）'!AB39,('英語（前期）'!AB39+'英語（後期）'!AB39)/2)),0))</f>
        <v>82</v>
      </c>
      <c r="V38" s="3" t="str">
        <f aca="false">IF(U38="","",IF(U38&gt;=設定!$D$15,"A",IF(U38&gt;=設定!$E$15,"B","C")))</f>
        <v>B</v>
      </c>
      <c r="W38" s="3" t="n">
        <f aca="false">IF(AND('保健（前期）'!O39="",'保健（後期）'!O39=""),"",ROUND(IF('保健（前期）'!O39="",'保健（後期）'!O39,IF('保健（後期）'!O39="",'保健（前期）'!O39,('保健（前期）'!O39+'保健（後期）'!O39)/2)),0))</f>
        <v>89</v>
      </c>
      <c r="X38" s="3" t="str">
        <f aca="false">IF(W38="","",IF(W38&gt;=設定!$D$16,"A",IF(W38&gt;=設定!$E$16,"B","C")))</f>
        <v>B</v>
      </c>
      <c r="Y38" s="3" t="n">
        <f aca="false">IF(AND('保健（前期）'!AB39="",'保健（後期）'!AB39=""),"",ROUND(IF('保健（前期）'!AB39="",'保健（後期）'!AB39,IF('保健（後期）'!AB39="",'保健（前期）'!AB39,('保健（前期）'!AB39+'保健（後期）'!AB39)/2)),0))</f>
        <v>93</v>
      </c>
      <c r="Z38" s="3" t="str">
        <f aca="false">IF(Y38="","",IF(Y38&gt;=設定!$D$16,"A",IF(Y38&gt;=設定!$E$16,"B","C")))</f>
        <v>A</v>
      </c>
    </row>
  </sheetData>
  <sheetProtection sheet="true"/>
  <mergeCells count="8">
    <mergeCell ref="A2:A3"/>
    <mergeCell ref="B2:B3"/>
    <mergeCell ref="C2:F2"/>
    <mergeCell ref="G2:J2"/>
    <mergeCell ref="K2:N2"/>
    <mergeCell ref="O2:R2"/>
    <mergeCell ref="S2:V2"/>
    <mergeCell ref="W2:Z2"/>
  </mergeCells>
  <conditionalFormatting sqref="D4:D38 F4:F38 H4:H38 J4:J38 L4:L38 N4:N38 P4:P38 R4:R38 T4:T38 V4:V38 X4:X38 Z4:Z38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"C"</formula>
    </cfRule>
  </conditionalFormatting>
  <conditionalFormatting sqref="A4:Z38">
    <cfRule type="expression" priority="5" aboveAverage="0" equalAverage="0" bottom="0" percent="0" rank="0" text="" dxfId="8">
      <formula>ISODD(ROW())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14" min="3" style="0" width="7"/>
  </cols>
  <sheetData>
    <row r="1" customFormat="false" ht="17.35" hidden="false" customHeight="false" outlineLevel="0" collapsed="false">
      <c r="A1" s="5" t="s">
        <v>154</v>
      </c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 t="s">
        <v>53</v>
      </c>
      <c r="J2" s="2"/>
      <c r="K2" s="2" t="s">
        <v>54</v>
      </c>
      <c r="L2" s="2"/>
      <c r="M2" s="2" t="s">
        <v>55</v>
      </c>
      <c r="N2" s="2"/>
    </row>
    <row r="3" customFormat="false" ht="48" hidden="false" customHeight="true" outlineLevel="0" collapsed="false">
      <c r="A3" s="2"/>
      <c r="B3" s="2"/>
      <c r="C3" s="2" t="s">
        <v>155</v>
      </c>
      <c r="D3" s="2" t="s">
        <v>156</v>
      </c>
      <c r="E3" s="2" t="s">
        <v>155</v>
      </c>
      <c r="F3" s="2" t="s">
        <v>156</v>
      </c>
      <c r="G3" s="2" t="s">
        <v>155</v>
      </c>
      <c r="H3" s="2" t="s">
        <v>156</v>
      </c>
      <c r="I3" s="2" t="s">
        <v>155</v>
      </c>
      <c r="J3" s="2" t="s">
        <v>156</v>
      </c>
      <c r="K3" s="2" t="s">
        <v>155</v>
      </c>
      <c r="L3" s="2" t="s">
        <v>156</v>
      </c>
      <c r="M3" s="2" t="s">
        <v>155</v>
      </c>
      <c r="N3" s="2" t="s">
        <v>156</v>
      </c>
    </row>
    <row r="4" customFormat="false" ht="15" hidden="false" customHeight="false" outlineLevel="0" collapsed="false">
      <c r="A4" s="3" t="n">
        <v>1</v>
      </c>
      <c r="B4" s="60" t="str">
        <f aca="false">IF(名簿!B3="","",名簿!B3)</f>
        <v>石井 湊</v>
      </c>
      <c r="C4" s="3" t="str">
        <f aca="false">'国語（前期）'!P5</f>
        <v>A</v>
      </c>
      <c r="D4" s="3" t="str">
        <f aca="false">'国語（前期）'!AC5</f>
        <v>A</v>
      </c>
      <c r="E4" s="3" t="str">
        <f aca="false">'算数（前期）'!P5</f>
        <v>A</v>
      </c>
      <c r="F4" s="3" t="str">
        <f aca="false">'算数（前期）'!AC5</f>
        <v>A</v>
      </c>
      <c r="G4" s="3" t="str">
        <f aca="false">'社会（前期）'!P5</f>
        <v>A</v>
      </c>
      <c r="H4" s="3" t="str">
        <f aca="false">'社会（前期）'!AC5</f>
        <v>A</v>
      </c>
      <c r="I4" s="3" t="str">
        <f aca="false">'理科（前期）'!P5</f>
        <v>A</v>
      </c>
      <c r="J4" s="3" t="str">
        <f aca="false">'理科（前期）'!AC5</f>
        <v>A</v>
      </c>
      <c r="K4" s="3" t="str">
        <f aca="false">'英語（前期）'!P5</f>
        <v>A</v>
      </c>
      <c r="L4" s="3" t="str">
        <f aca="false">'英語（前期）'!AC5</f>
        <v>A</v>
      </c>
      <c r="M4" s="3" t="str">
        <f aca="false">'保健（前期）'!P5</f>
        <v>A</v>
      </c>
      <c r="N4" s="3" t="str">
        <f aca="false">'保健（前期）'!AC5</f>
        <v>A</v>
      </c>
    </row>
    <row r="5" customFormat="false" ht="15" hidden="false" customHeight="false" outlineLevel="0" collapsed="false">
      <c r="A5" s="3" t="n">
        <v>2</v>
      </c>
      <c r="B5" s="60" t="str">
        <f aca="false">IF(名簿!B4="","",名簿!B4)</f>
        <v>池田 さくら</v>
      </c>
      <c r="C5" s="3" t="str">
        <f aca="false">'国語（前期）'!P6</f>
        <v>B</v>
      </c>
      <c r="D5" s="3" t="str">
        <f aca="false">'国語（前期）'!AC6</f>
        <v>B</v>
      </c>
      <c r="E5" s="3" t="str">
        <f aca="false">'算数（前期）'!P6</f>
        <v>A</v>
      </c>
      <c r="F5" s="3" t="str">
        <f aca="false">'算数（前期）'!AC6</f>
        <v>B</v>
      </c>
      <c r="G5" s="3" t="str">
        <f aca="false">'社会（前期）'!P6</f>
        <v>B</v>
      </c>
      <c r="H5" s="3" t="str">
        <f aca="false">'社会（前期）'!AC6</f>
        <v>B</v>
      </c>
      <c r="I5" s="3" t="str">
        <f aca="false">'理科（前期）'!P6</f>
        <v>B</v>
      </c>
      <c r="J5" s="3" t="str">
        <f aca="false">'理科（前期）'!AC6</f>
        <v>B</v>
      </c>
      <c r="K5" s="3" t="str">
        <f aca="false">'英語（前期）'!P6</f>
        <v>B</v>
      </c>
      <c r="L5" s="3" t="str">
        <f aca="false">'英語（前期）'!AC6</f>
        <v>B</v>
      </c>
      <c r="M5" s="3" t="str">
        <f aca="false">'保健（前期）'!P6</f>
        <v>B</v>
      </c>
      <c r="N5" s="3" t="str">
        <f aca="false">'保健（前期）'!AC6</f>
        <v>B</v>
      </c>
    </row>
    <row r="6" customFormat="false" ht="15" hidden="false" customHeight="false" outlineLevel="0" collapsed="false">
      <c r="A6" s="3" t="n">
        <v>3</v>
      </c>
      <c r="B6" s="60" t="str">
        <f aca="false">IF(名簿!B5="","",名簿!B5)</f>
        <v>林 陽翔</v>
      </c>
      <c r="C6" s="3" t="str">
        <f aca="false">'国語（前期）'!P7</f>
        <v>A</v>
      </c>
      <c r="D6" s="3" t="str">
        <f aca="false">'国語（前期）'!AC7</f>
        <v>B</v>
      </c>
      <c r="E6" s="3" t="str">
        <f aca="false">'算数（前期）'!P7</f>
        <v>A</v>
      </c>
      <c r="F6" s="3" t="str">
        <f aca="false">'算数（前期）'!AC7</f>
        <v>A</v>
      </c>
      <c r="G6" s="3" t="str">
        <f aca="false">'社会（前期）'!P7</f>
        <v>A</v>
      </c>
      <c r="H6" s="3" t="str">
        <f aca="false">'社会（前期）'!AC7</f>
        <v>B</v>
      </c>
      <c r="I6" s="3" t="str">
        <f aca="false">'理科（前期）'!P7</f>
        <v>A</v>
      </c>
      <c r="J6" s="3" t="str">
        <f aca="false">'理科（前期）'!AC7</f>
        <v>B</v>
      </c>
      <c r="K6" s="3" t="str">
        <f aca="false">'英語（前期）'!P7</f>
        <v>A</v>
      </c>
      <c r="L6" s="3" t="str">
        <f aca="false">'英語（前期）'!AC7</f>
        <v>B</v>
      </c>
      <c r="M6" s="3" t="str">
        <f aca="false">'保健（前期）'!P7</f>
        <v>B</v>
      </c>
      <c r="N6" s="3" t="str">
        <f aca="false">'保健（前期）'!AC7</f>
        <v>A</v>
      </c>
    </row>
    <row r="7" customFormat="false" ht="15" hidden="false" customHeight="false" outlineLevel="0" collapsed="false">
      <c r="A7" s="3" t="n">
        <v>4</v>
      </c>
      <c r="B7" s="60" t="str">
        <f aca="false">IF(名簿!B6="","",名簿!B6)</f>
        <v>村上 凛</v>
      </c>
      <c r="C7" s="3" t="str">
        <f aca="false">'国語（前期）'!P8</f>
        <v>B</v>
      </c>
      <c r="D7" s="3" t="str">
        <f aca="false">'国語（前期）'!AC8</f>
        <v>B</v>
      </c>
      <c r="E7" s="3" t="str">
        <f aca="false">'算数（前期）'!P8</f>
        <v>B</v>
      </c>
      <c r="F7" s="3" t="str">
        <f aca="false">'算数（前期）'!AC8</f>
        <v>B</v>
      </c>
      <c r="G7" s="3" t="str">
        <f aca="false">'社会（前期）'!P8</f>
        <v>B</v>
      </c>
      <c r="H7" s="3" t="str">
        <f aca="false">'社会（前期）'!AC8</f>
        <v>B</v>
      </c>
      <c r="I7" s="3" t="str">
        <f aca="false">'理科（前期）'!P8</f>
        <v>B</v>
      </c>
      <c r="J7" s="3" t="str">
        <f aca="false">'理科（前期）'!AC8</f>
        <v>B</v>
      </c>
      <c r="K7" s="3" t="str">
        <f aca="false">'英語（前期）'!P8</f>
        <v>B</v>
      </c>
      <c r="L7" s="3" t="str">
        <f aca="false">'英語（前期）'!AC8</f>
        <v>B</v>
      </c>
      <c r="M7" s="3" t="str">
        <f aca="false">'保健（前期）'!P8</f>
        <v>B</v>
      </c>
      <c r="N7" s="3" t="str">
        <f aca="false">'保健（前期）'!AC8</f>
        <v>B</v>
      </c>
    </row>
    <row r="8" customFormat="false" ht="15" hidden="false" customHeight="false" outlineLevel="0" collapsed="false">
      <c r="A8" s="3" t="n">
        <v>5</v>
      </c>
      <c r="B8" s="60" t="str">
        <f aca="false">IF(名簿!B7="","",名簿!B7)</f>
        <v>中村 蓮</v>
      </c>
      <c r="C8" s="3" t="str">
        <f aca="false">'国語（前期）'!P9</f>
        <v>A</v>
      </c>
      <c r="D8" s="3" t="str">
        <f aca="false">'国語（前期）'!AC9</f>
        <v>B</v>
      </c>
      <c r="E8" s="3" t="str">
        <f aca="false">'算数（前期）'!P9</f>
        <v>A</v>
      </c>
      <c r="F8" s="3" t="str">
        <f aca="false">'算数（前期）'!AC9</f>
        <v>A</v>
      </c>
      <c r="G8" s="3" t="str">
        <f aca="false">'社会（前期）'!P9</f>
        <v>A</v>
      </c>
      <c r="H8" s="3" t="str">
        <f aca="false">'社会（前期）'!AC9</f>
        <v>B</v>
      </c>
      <c r="I8" s="3" t="str">
        <f aca="false">'理科（前期）'!P9</f>
        <v>A</v>
      </c>
      <c r="J8" s="3" t="str">
        <f aca="false">'理科（前期）'!AC9</f>
        <v>B</v>
      </c>
      <c r="K8" s="3" t="str">
        <f aca="false">'英語（前期）'!P9</f>
        <v>A</v>
      </c>
      <c r="L8" s="3" t="str">
        <f aca="false">'英語（前期）'!AC9</f>
        <v>B</v>
      </c>
      <c r="M8" s="3" t="str">
        <f aca="false">'保健（前期）'!P9</f>
        <v>A</v>
      </c>
      <c r="N8" s="3" t="str">
        <f aca="false">'保健（前期）'!AC9</f>
        <v>A</v>
      </c>
    </row>
    <row r="9" customFormat="false" ht="15" hidden="false" customHeight="false" outlineLevel="0" collapsed="false">
      <c r="A9" s="3" t="n">
        <v>6</v>
      </c>
      <c r="B9" s="60" t="str">
        <f aca="false">IF(名簿!B8="","",名簿!B8)</f>
        <v>小川 彩花</v>
      </c>
      <c r="C9" s="3" t="str">
        <f aca="false">'国語（前期）'!P10</f>
        <v>B</v>
      </c>
      <c r="D9" s="3" t="str">
        <f aca="false">'国語（前期）'!AC10</f>
        <v>B</v>
      </c>
      <c r="E9" s="3" t="str">
        <f aca="false">'算数（前期）'!P10</f>
        <v>B</v>
      </c>
      <c r="F9" s="3" t="str">
        <f aca="false">'算数（前期）'!AC10</f>
        <v>B</v>
      </c>
      <c r="G9" s="3" t="str">
        <f aca="false">'社会（前期）'!P10</f>
        <v>B</v>
      </c>
      <c r="H9" s="3" t="str">
        <f aca="false">'社会（前期）'!AC10</f>
        <v>B</v>
      </c>
      <c r="I9" s="3" t="str">
        <f aca="false">'理科（前期）'!P10</f>
        <v>B</v>
      </c>
      <c r="J9" s="3" t="str">
        <f aca="false">'理科（前期）'!AC10</f>
        <v>B</v>
      </c>
      <c r="K9" s="3" t="str">
        <f aca="false">'英語（前期）'!P10</f>
        <v>B</v>
      </c>
      <c r="L9" s="3" t="str">
        <f aca="false">'英語（前期）'!AC10</f>
        <v>B</v>
      </c>
      <c r="M9" s="3" t="str">
        <f aca="false">'保健（前期）'!P10</f>
        <v>B</v>
      </c>
      <c r="N9" s="3" t="str">
        <f aca="false">'保健（前期）'!AC10</f>
        <v>C</v>
      </c>
    </row>
    <row r="10" customFormat="false" ht="15" hidden="false" customHeight="false" outlineLevel="0" collapsed="false">
      <c r="A10" s="3" t="n">
        <v>7</v>
      </c>
      <c r="B10" s="60" t="str">
        <f aca="false">IF(名簿!B9="","",名簿!B9)</f>
        <v>近藤 蒼</v>
      </c>
      <c r="C10" s="3" t="str">
        <f aca="false">'国語（前期）'!P11</f>
        <v>B</v>
      </c>
      <c r="D10" s="3" t="str">
        <f aca="false">'国語（前期）'!AC11</f>
        <v>B</v>
      </c>
      <c r="E10" s="3" t="str">
        <f aca="false">'算数（前期）'!P11</f>
        <v>B</v>
      </c>
      <c r="F10" s="3" t="str">
        <f aca="false">'算数（前期）'!AC11</f>
        <v>B</v>
      </c>
      <c r="G10" s="3" t="str">
        <f aca="false">'社会（前期）'!P11</f>
        <v>B</v>
      </c>
      <c r="H10" s="3" t="str">
        <f aca="false">'社会（前期）'!AC11</f>
        <v>B</v>
      </c>
      <c r="I10" s="3" t="str">
        <f aca="false">'理科（前期）'!P11</f>
        <v>B</v>
      </c>
      <c r="J10" s="3" t="str">
        <f aca="false">'理科（前期）'!AC11</f>
        <v>B</v>
      </c>
      <c r="K10" s="3" t="str">
        <f aca="false">'英語（前期）'!P11</f>
        <v>B</v>
      </c>
      <c r="L10" s="3" t="str">
        <f aca="false">'英語（前期）'!AC11</f>
        <v>B</v>
      </c>
      <c r="M10" s="3" t="str">
        <f aca="false">'保健（前期）'!P11</f>
        <v>B</v>
      </c>
      <c r="N10" s="3" t="str">
        <f aca="false">'保健（前期）'!AC11</f>
        <v>B</v>
      </c>
    </row>
    <row r="11" customFormat="false" ht="15" hidden="false" customHeight="false" outlineLevel="0" collapsed="false">
      <c r="A11" s="3" t="n">
        <v>8</v>
      </c>
      <c r="B11" s="60" t="str">
        <f aca="false">IF(名簿!B10="","",名簿!B10)</f>
        <v>清水 莉子</v>
      </c>
      <c r="C11" s="3" t="str">
        <f aca="false">'国語（前期）'!P12</f>
        <v>A</v>
      </c>
      <c r="D11" s="3" t="str">
        <f aca="false">'国語（前期）'!AC12</f>
        <v>B</v>
      </c>
      <c r="E11" s="3" t="str">
        <f aca="false">'算数（前期）'!P12</f>
        <v>A</v>
      </c>
      <c r="F11" s="3" t="str">
        <f aca="false">'算数（前期）'!AC12</f>
        <v>B</v>
      </c>
      <c r="G11" s="3" t="str">
        <f aca="false">'社会（前期）'!P12</f>
        <v>A</v>
      </c>
      <c r="H11" s="3" t="str">
        <f aca="false">'社会（前期）'!AC12</f>
        <v>B</v>
      </c>
      <c r="I11" s="3" t="str">
        <f aca="false">'理科（前期）'!P12</f>
        <v>A</v>
      </c>
      <c r="J11" s="3" t="str">
        <f aca="false">'理科（前期）'!AC12</f>
        <v>B</v>
      </c>
      <c r="K11" s="3" t="str">
        <f aca="false">'英語（前期）'!P12</f>
        <v>A</v>
      </c>
      <c r="L11" s="3" t="str">
        <f aca="false">'英語（前期）'!AC12</f>
        <v>B</v>
      </c>
      <c r="M11" s="3" t="str">
        <f aca="false">'保健（前期）'!P12</f>
        <v>A</v>
      </c>
      <c r="N11" s="3" t="str">
        <f aca="false">'保健（前期）'!AC12</f>
        <v>A</v>
      </c>
    </row>
    <row r="12" customFormat="false" ht="15" hidden="false" customHeight="false" outlineLevel="0" collapsed="false">
      <c r="A12" s="3" t="n">
        <v>9</v>
      </c>
      <c r="B12" s="60" t="str">
        <f aca="false">IF(名簿!B11="","",名簿!B11)</f>
        <v>鈴木 海斗</v>
      </c>
      <c r="C12" s="3" t="str">
        <f aca="false">'国語（前期）'!P13</f>
        <v>B</v>
      </c>
      <c r="D12" s="3" t="str">
        <f aca="false">'国語（前期）'!AC13</f>
        <v>B</v>
      </c>
      <c r="E12" s="3" t="str">
        <f aca="false">'算数（前期）'!P13</f>
        <v>B</v>
      </c>
      <c r="F12" s="3" t="str">
        <f aca="false">'算数（前期）'!AC13</f>
        <v>B</v>
      </c>
      <c r="G12" s="3" t="str">
        <f aca="false">'社会（前期）'!P13</f>
        <v>B</v>
      </c>
      <c r="H12" s="3" t="str">
        <f aca="false">'社会（前期）'!AC13</f>
        <v>B</v>
      </c>
      <c r="I12" s="3" t="str">
        <f aca="false">'理科（前期）'!P13</f>
        <v>B</v>
      </c>
      <c r="J12" s="3" t="str">
        <f aca="false">'理科（前期）'!AC13</f>
        <v>C</v>
      </c>
      <c r="K12" s="3" t="str">
        <f aca="false">'英語（前期）'!P13</f>
        <v>B</v>
      </c>
      <c r="L12" s="3" t="str">
        <f aca="false">'英語（前期）'!AC13</f>
        <v>B</v>
      </c>
      <c r="M12" s="3" t="str">
        <f aca="false">'保健（前期）'!P13</f>
        <v>B</v>
      </c>
      <c r="N12" s="3" t="str">
        <f aca="false">'保健（前期）'!AC13</f>
        <v>C</v>
      </c>
    </row>
    <row r="13" customFormat="false" ht="15" hidden="false" customHeight="false" outlineLevel="0" collapsed="false">
      <c r="A13" s="3" t="n">
        <v>10</v>
      </c>
      <c r="B13" s="60" t="str">
        <f aca="false">IF(名簿!B12="","",名簿!B12)</f>
        <v>松本 さくら</v>
      </c>
      <c r="C13" s="3" t="str">
        <f aca="false">'国語（前期）'!P14</f>
        <v>B</v>
      </c>
      <c r="D13" s="3" t="str">
        <f aca="false">'国語（前期）'!AC14</f>
        <v>B</v>
      </c>
      <c r="E13" s="3" t="str">
        <f aca="false">'算数（前期）'!P14</f>
        <v>A</v>
      </c>
      <c r="F13" s="3" t="str">
        <f aca="false">'算数（前期）'!AC14</f>
        <v>B</v>
      </c>
      <c r="G13" s="3" t="str">
        <f aca="false">'社会（前期）'!P14</f>
        <v>A</v>
      </c>
      <c r="H13" s="3" t="str">
        <f aca="false">'社会（前期）'!AC14</f>
        <v>B</v>
      </c>
      <c r="I13" s="3" t="str">
        <f aca="false">'理科（前期）'!P14</f>
        <v>A</v>
      </c>
      <c r="J13" s="3" t="str">
        <f aca="false">'理科（前期）'!AC14</f>
        <v>B</v>
      </c>
      <c r="K13" s="3" t="str">
        <f aca="false">'英語（前期）'!P14</f>
        <v>B</v>
      </c>
      <c r="L13" s="3" t="str">
        <f aca="false">'英語（前期）'!AC14</f>
        <v>B</v>
      </c>
      <c r="M13" s="3" t="str">
        <f aca="false">'保健（前期）'!P14</f>
        <v>B</v>
      </c>
      <c r="N13" s="3" t="str">
        <f aca="false">'保健（前期）'!AC14</f>
        <v>B</v>
      </c>
    </row>
    <row r="14" customFormat="false" ht="15" hidden="false" customHeight="false" outlineLevel="0" collapsed="false">
      <c r="A14" s="3" t="n">
        <v>11</v>
      </c>
      <c r="B14" s="60" t="str">
        <f aca="false">IF(名簿!B13="","",名簿!B13)</f>
        <v>岡田 健太</v>
      </c>
      <c r="C14" s="3" t="str">
        <f aca="false">'国語（前期）'!P15</f>
        <v>A</v>
      </c>
      <c r="D14" s="3" t="str">
        <f aca="false">'国語（前期）'!AC15</f>
        <v>B</v>
      </c>
      <c r="E14" s="3" t="str">
        <f aca="false">'算数（前期）'!P15</f>
        <v>A</v>
      </c>
      <c r="F14" s="3" t="str">
        <f aca="false">'算数（前期）'!AC15</f>
        <v>B</v>
      </c>
      <c r="G14" s="3" t="str">
        <f aca="false">'社会（前期）'!P15</f>
        <v>B</v>
      </c>
      <c r="H14" s="3" t="str">
        <f aca="false">'社会（前期）'!AC15</f>
        <v>B</v>
      </c>
      <c r="I14" s="3" t="str">
        <f aca="false">'理科（前期）'!P15</f>
        <v>B</v>
      </c>
      <c r="J14" s="3" t="str">
        <f aca="false">'理科（前期）'!AC15</f>
        <v>B</v>
      </c>
      <c r="K14" s="3" t="str">
        <f aca="false">'英語（前期）'!P15</f>
        <v>A</v>
      </c>
      <c r="L14" s="3" t="str">
        <f aca="false">'英語（前期）'!AC15</f>
        <v>B</v>
      </c>
      <c r="M14" s="3" t="str">
        <f aca="false">'保健（前期）'!P15</f>
        <v>B</v>
      </c>
      <c r="N14" s="3" t="str">
        <f aca="false">'保健（前期）'!AC15</f>
        <v>B</v>
      </c>
    </row>
    <row r="15" customFormat="false" ht="15" hidden="false" customHeight="false" outlineLevel="0" collapsed="false">
      <c r="A15" s="3" t="n">
        <v>12</v>
      </c>
      <c r="B15" s="60" t="str">
        <f aca="false">IF(名簿!B14="","",名簿!B14)</f>
        <v>佐々木 彩花</v>
      </c>
      <c r="C15" s="3" t="str">
        <f aca="false">'国語（前期）'!P16</f>
        <v>B</v>
      </c>
      <c r="D15" s="3" t="str">
        <f aca="false">'国語（前期）'!AC16</f>
        <v>B</v>
      </c>
      <c r="E15" s="3" t="str">
        <f aca="false">'算数（前期）'!P16</f>
        <v>A</v>
      </c>
      <c r="F15" s="3" t="str">
        <f aca="false">'算数（前期）'!AC16</f>
        <v>B</v>
      </c>
      <c r="G15" s="3" t="str">
        <f aca="false">'社会（前期）'!P16</f>
        <v>B</v>
      </c>
      <c r="H15" s="3" t="str">
        <f aca="false">'社会（前期）'!AC16</f>
        <v>B</v>
      </c>
      <c r="I15" s="3" t="str">
        <f aca="false">'理科（前期）'!P16</f>
        <v>B</v>
      </c>
      <c r="J15" s="3" t="str">
        <f aca="false">'理科（前期）'!AC16</f>
        <v>B</v>
      </c>
      <c r="K15" s="3" t="str">
        <f aca="false">'英語（前期）'!P16</f>
        <v>B</v>
      </c>
      <c r="L15" s="3" t="str">
        <f aca="false">'英語（前期）'!AC16</f>
        <v>B</v>
      </c>
      <c r="M15" s="3" t="str">
        <f aca="false">'保健（前期）'!P16</f>
        <v>B</v>
      </c>
      <c r="N15" s="3" t="str">
        <f aca="false">'保健（前期）'!AC16</f>
        <v>B</v>
      </c>
    </row>
    <row r="16" customFormat="false" ht="15" hidden="false" customHeight="false" outlineLevel="0" collapsed="false">
      <c r="A16" s="3" t="n">
        <v>13</v>
      </c>
      <c r="B16" s="60" t="str">
        <f aca="false">IF(名簿!B15="","",名簿!B15)</f>
        <v>石川 健太</v>
      </c>
      <c r="C16" s="3" t="str">
        <f aca="false">'国語（前期）'!P17</f>
        <v>B</v>
      </c>
      <c r="D16" s="3" t="str">
        <f aca="false">'国語（前期）'!AC17</f>
        <v>C</v>
      </c>
      <c r="E16" s="3" t="str">
        <f aca="false">'算数（前期）'!P17</f>
        <v>B</v>
      </c>
      <c r="F16" s="3" t="str">
        <f aca="false">'算数（前期）'!AC17</f>
        <v>C</v>
      </c>
      <c r="G16" s="3" t="str">
        <f aca="false">'社会（前期）'!P17</f>
        <v>B</v>
      </c>
      <c r="H16" s="3" t="str">
        <f aca="false">'社会（前期）'!AC17</f>
        <v>C</v>
      </c>
      <c r="I16" s="3" t="str">
        <f aca="false">'理科（前期）'!P17</f>
        <v>B</v>
      </c>
      <c r="J16" s="3" t="str">
        <f aca="false">'理科（前期）'!AC17</f>
        <v>C</v>
      </c>
      <c r="K16" s="3" t="str">
        <f aca="false">'英語（前期）'!P17</f>
        <v>B</v>
      </c>
      <c r="L16" s="3" t="str">
        <f aca="false">'英語（前期）'!AC17</f>
        <v>C</v>
      </c>
      <c r="M16" s="3" t="str">
        <f aca="false">'保健（前期）'!P17</f>
        <v>B</v>
      </c>
      <c r="N16" s="3" t="str">
        <f aca="false">'保健（前期）'!AC17</f>
        <v>C</v>
      </c>
    </row>
    <row r="17" customFormat="false" ht="15" hidden="false" customHeight="false" outlineLevel="0" collapsed="false">
      <c r="A17" s="3" t="n">
        <v>14</v>
      </c>
      <c r="B17" s="60" t="str">
        <f aca="false">IF(名簿!B16="","",名簿!B16)</f>
        <v>山崎 陽葵</v>
      </c>
      <c r="C17" s="3" t="str">
        <f aca="false">'国語（前期）'!P18</f>
        <v>B</v>
      </c>
      <c r="D17" s="3" t="str">
        <f aca="false">'国語（前期）'!AC18</f>
        <v>B</v>
      </c>
      <c r="E17" s="3" t="str">
        <f aca="false">'算数（前期）'!P18</f>
        <v>A</v>
      </c>
      <c r="F17" s="3" t="str">
        <f aca="false">'算数（前期）'!AC18</f>
        <v>B</v>
      </c>
      <c r="G17" s="3" t="str">
        <f aca="false">'社会（前期）'!P18</f>
        <v>A</v>
      </c>
      <c r="H17" s="3" t="str">
        <f aca="false">'社会（前期）'!AC18</f>
        <v>B</v>
      </c>
      <c r="I17" s="3" t="str">
        <f aca="false">'理科（前期）'!P18</f>
        <v>B</v>
      </c>
      <c r="J17" s="3" t="str">
        <f aca="false">'理科（前期）'!AC18</f>
        <v>B</v>
      </c>
      <c r="K17" s="3" t="str">
        <f aca="false">'英語（前期）'!P18</f>
        <v>A</v>
      </c>
      <c r="L17" s="3" t="str">
        <f aca="false">'英語（前期）'!AC18</f>
        <v>B</v>
      </c>
      <c r="M17" s="3" t="str">
        <f aca="false">'保健（前期）'!P18</f>
        <v>B</v>
      </c>
      <c r="N17" s="3" t="str">
        <f aca="false">'保健（前期）'!AC18</f>
        <v>B</v>
      </c>
    </row>
    <row r="18" customFormat="false" ht="15" hidden="false" customHeight="false" outlineLevel="0" collapsed="false">
      <c r="A18" s="3" t="n">
        <v>15</v>
      </c>
      <c r="B18" s="60" t="str">
        <f aca="false">IF(名簿!B17="","",名簿!B17)</f>
        <v>加藤 朝陽</v>
      </c>
      <c r="C18" s="3" t="str">
        <f aca="false">'国語（前期）'!P19</f>
        <v>C</v>
      </c>
      <c r="D18" s="3" t="str">
        <f aca="false">'国語（前期）'!AC19</f>
        <v>C</v>
      </c>
      <c r="E18" s="3" t="str">
        <f aca="false">'算数（前期）'!P19</f>
        <v>B</v>
      </c>
      <c r="F18" s="3" t="str">
        <f aca="false">'算数（前期）'!AC19</f>
        <v>C</v>
      </c>
      <c r="G18" s="3" t="str">
        <f aca="false">'社会（前期）'!P19</f>
        <v>C</v>
      </c>
      <c r="H18" s="3" t="str">
        <f aca="false">'社会（前期）'!AC19</f>
        <v>C</v>
      </c>
      <c r="I18" s="3" t="str">
        <f aca="false">'理科（前期）'!P19</f>
        <v>C</v>
      </c>
      <c r="J18" s="3" t="str">
        <f aca="false">'理科（前期）'!AC19</f>
        <v>C</v>
      </c>
      <c r="K18" s="3" t="str">
        <f aca="false">'英語（前期）'!P19</f>
        <v>C</v>
      </c>
      <c r="L18" s="3" t="str">
        <f aca="false">'英語（前期）'!AC19</f>
        <v>C</v>
      </c>
      <c r="M18" s="3" t="str">
        <f aca="false">'保健（前期）'!P19</f>
        <v>C</v>
      </c>
      <c r="N18" s="3" t="str">
        <f aca="false">'保健（前期）'!AC19</f>
        <v>C</v>
      </c>
    </row>
    <row r="19" customFormat="false" ht="15" hidden="false" customHeight="false" outlineLevel="0" collapsed="false">
      <c r="A19" s="3" t="n">
        <v>16</v>
      </c>
      <c r="B19" s="60" t="str">
        <f aca="false">IF(名簿!B18="","",名簿!B18)</f>
        <v>藤田 結愛</v>
      </c>
      <c r="C19" s="3" t="str">
        <f aca="false">'国語（前期）'!P20</f>
        <v>A</v>
      </c>
      <c r="D19" s="3" t="str">
        <f aca="false">'国語（前期）'!AC20</f>
        <v>A</v>
      </c>
      <c r="E19" s="3" t="str">
        <f aca="false">'算数（前期）'!P20</f>
        <v>A</v>
      </c>
      <c r="F19" s="3" t="str">
        <f aca="false">'算数（前期）'!AC20</f>
        <v>A</v>
      </c>
      <c r="G19" s="3" t="str">
        <f aca="false">'社会（前期）'!P20</f>
        <v>A</v>
      </c>
      <c r="H19" s="3" t="str">
        <f aca="false">'社会（前期）'!AC20</f>
        <v>A</v>
      </c>
      <c r="I19" s="3" t="str">
        <f aca="false">'理科（前期）'!P20</f>
        <v>A</v>
      </c>
      <c r="J19" s="3" t="str">
        <f aca="false">'理科（前期）'!AC20</f>
        <v>A</v>
      </c>
      <c r="K19" s="3" t="str">
        <f aca="false">'英語（前期）'!P20</f>
        <v>A</v>
      </c>
      <c r="L19" s="3" t="str">
        <f aca="false">'英語（前期）'!AC20</f>
        <v>A</v>
      </c>
      <c r="M19" s="3" t="str">
        <f aca="false">'保健（前期）'!P20</f>
        <v>A</v>
      </c>
      <c r="N19" s="3" t="str">
        <f aca="false">'保健（前期）'!AC20</f>
        <v>A</v>
      </c>
    </row>
    <row r="20" customFormat="false" ht="15" hidden="false" customHeight="false" outlineLevel="0" collapsed="false">
      <c r="A20" s="3" t="n">
        <v>17</v>
      </c>
      <c r="B20" s="60" t="str">
        <f aca="false">IF(名簿!B19="","",名簿!B19)</f>
        <v>田中 大和</v>
      </c>
      <c r="C20" s="3" t="str">
        <f aca="false">'国語（前期）'!P21</f>
        <v>B</v>
      </c>
      <c r="D20" s="3" t="str">
        <f aca="false">'国語（前期）'!AC21</f>
        <v>B</v>
      </c>
      <c r="E20" s="3" t="str">
        <f aca="false">'算数（前期）'!P21</f>
        <v>A</v>
      </c>
      <c r="F20" s="3" t="str">
        <f aca="false">'算数（前期）'!AC21</f>
        <v>B</v>
      </c>
      <c r="G20" s="3" t="str">
        <f aca="false">'社会（前期）'!P21</f>
        <v>B</v>
      </c>
      <c r="H20" s="3" t="str">
        <f aca="false">'社会（前期）'!AC21</f>
        <v>B</v>
      </c>
      <c r="I20" s="3" t="str">
        <f aca="false">'理科（前期）'!P21</f>
        <v>B</v>
      </c>
      <c r="J20" s="3" t="str">
        <f aca="false">'理科（前期）'!AC21</f>
        <v>B</v>
      </c>
      <c r="K20" s="3" t="str">
        <f aca="false">'英語（前期）'!P21</f>
        <v>B</v>
      </c>
      <c r="L20" s="3" t="str">
        <f aca="false">'英語（前期）'!AC21</f>
        <v>B</v>
      </c>
      <c r="M20" s="3" t="str">
        <f aca="false">'保健（前期）'!P21</f>
        <v>B</v>
      </c>
      <c r="N20" s="3" t="str">
        <f aca="false">'保健（前期）'!AC21</f>
        <v>B</v>
      </c>
    </row>
    <row r="21" customFormat="false" ht="15" hidden="false" customHeight="false" outlineLevel="0" collapsed="false">
      <c r="A21" s="3" t="n">
        <v>18</v>
      </c>
      <c r="B21" s="60" t="str">
        <f aca="false">IF(名簿!B20="","",名簿!B20)</f>
        <v>山口 心春</v>
      </c>
      <c r="C21" s="3" t="str">
        <f aca="false">'国語（前期）'!P22</f>
        <v>A</v>
      </c>
      <c r="D21" s="3" t="str">
        <f aca="false">'国語（前期）'!AC22</f>
        <v>A</v>
      </c>
      <c r="E21" s="3" t="str">
        <f aca="false">'算数（前期）'!P22</f>
        <v>A</v>
      </c>
      <c r="F21" s="3" t="str">
        <f aca="false">'算数（前期）'!AC22</f>
        <v>A</v>
      </c>
      <c r="G21" s="3" t="str">
        <f aca="false">'社会（前期）'!P22</f>
        <v>A</v>
      </c>
      <c r="H21" s="3" t="str">
        <f aca="false">'社会（前期）'!AC22</f>
        <v>A</v>
      </c>
      <c r="I21" s="3" t="str">
        <f aca="false">'理科（前期）'!P22</f>
        <v>A</v>
      </c>
      <c r="J21" s="3" t="str">
        <f aca="false">'理科（前期）'!AC22</f>
        <v>A</v>
      </c>
      <c r="K21" s="3" t="str">
        <f aca="false">'英語（前期）'!P22</f>
        <v>A</v>
      </c>
      <c r="L21" s="3" t="str">
        <f aca="false">'英語（前期）'!AC22</f>
        <v>A</v>
      </c>
      <c r="M21" s="3" t="str">
        <f aca="false">'保健（前期）'!P22</f>
        <v>A</v>
      </c>
      <c r="N21" s="3" t="str">
        <f aca="false">'保健（前期）'!AC22</f>
        <v>A</v>
      </c>
    </row>
    <row r="22" customFormat="false" ht="15" hidden="false" customHeight="false" outlineLevel="0" collapsed="false">
      <c r="A22" s="3" t="n">
        <v>19</v>
      </c>
      <c r="B22" s="60" t="str">
        <f aca="false">IF(名簿!B21="","",名簿!B21)</f>
        <v>山本 朝陽</v>
      </c>
      <c r="C22" s="3" t="str">
        <f aca="false">'国語（前期）'!P23</f>
        <v>A</v>
      </c>
      <c r="D22" s="3" t="str">
        <f aca="false">'国語（前期）'!AC23</f>
        <v>B</v>
      </c>
      <c r="E22" s="3" t="str">
        <f aca="false">'算数（前期）'!P23</f>
        <v>A</v>
      </c>
      <c r="F22" s="3" t="str">
        <f aca="false">'算数（前期）'!AC23</f>
        <v>A</v>
      </c>
      <c r="G22" s="3" t="str">
        <f aca="false">'社会（前期）'!P23</f>
        <v>A</v>
      </c>
      <c r="H22" s="3" t="str">
        <f aca="false">'社会（前期）'!AC23</f>
        <v>A</v>
      </c>
      <c r="I22" s="3" t="str">
        <f aca="false">'理科（前期）'!P23</f>
        <v>A</v>
      </c>
      <c r="J22" s="3" t="str">
        <f aca="false">'理科（前期）'!AC23</f>
        <v>A</v>
      </c>
      <c r="K22" s="3" t="str">
        <f aca="false">'英語（前期）'!P23</f>
        <v>A</v>
      </c>
      <c r="L22" s="3" t="str">
        <f aca="false">'英語（前期）'!AC23</f>
        <v>B</v>
      </c>
      <c r="M22" s="3" t="str">
        <f aca="false">'保健（前期）'!P23</f>
        <v>A</v>
      </c>
      <c r="N22" s="3" t="str">
        <f aca="false">'保健（前期）'!AC23</f>
        <v>B</v>
      </c>
    </row>
    <row r="23" customFormat="false" ht="15" hidden="false" customHeight="false" outlineLevel="0" collapsed="false">
      <c r="A23" s="3" t="n">
        <v>20</v>
      </c>
      <c r="B23" s="60" t="str">
        <f aca="false">IF(名簿!B22="","",名簿!B22)</f>
        <v>前田 彩花</v>
      </c>
      <c r="C23" s="3" t="str">
        <f aca="false">'国語（前期）'!P24</f>
        <v>B</v>
      </c>
      <c r="D23" s="3" t="str">
        <f aca="false">'国語（前期）'!AC24</f>
        <v>C</v>
      </c>
      <c r="E23" s="3" t="str">
        <f aca="false">'算数（前期）'!P24</f>
        <v>B</v>
      </c>
      <c r="F23" s="3" t="str">
        <f aca="false">'算数（前期）'!AC24</f>
        <v>B</v>
      </c>
      <c r="G23" s="3" t="str">
        <f aca="false">'社会（前期）'!P24</f>
        <v>B</v>
      </c>
      <c r="H23" s="3" t="str">
        <f aca="false">'社会（前期）'!AC24</f>
        <v>B</v>
      </c>
      <c r="I23" s="3" t="str">
        <f aca="false">'理科（前期）'!P24</f>
        <v>B</v>
      </c>
      <c r="J23" s="3" t="str">
        <f aca="false">'理科（前期）'!AC24</f>
        <v>C</v>
      </c>
      <c r="K23" s="3" t="str">
        <f aca="false">'英語（前期）'!P24</f>
        <v>B</v>
      </c>
      <c r="L23" s="3" t="str">
        <f aca="false">'英語（前期）'!AC24</f>
        <v>B</v>
      </c>
      <c r="M23" s="3" t="str">
        <f aca="false">'保健（前期）'!P24</f>
        <v>B</v>
      </c>
      <c r="N23" s="3" t="str">
        <f aca="false">'保健（前期）'!AC24</f>
        <v>C</v>
      </c>
    </row>
    <row r="24" customFormat="false" ht="15" hidden="false" customHeight="false" outlineLevel="0" collapsed="false">
      <c r="A24" s="3" t="n">
        <v>21</v>
      </c>
      <c r="B24" s="60" t="str">
        <f aca="false">IF(名簿!B23="","",名簿!B23)</f>
        <v>小林 湊</v>
      </c>
      <c r="C24" s="3" t="str">
        <f aca="false">'国語（前期）'!P25</f>
        <v>A</v>
      </c>
      <c r="D24" s="3" t="str">
        <f aca="false">'国語（前期）'!AC25</f>
        <v>B</v>
      </c>
      <c r="E24" s="3" t="str">
        <f aca="false">'算数（前期）'!P25</f>
        <v>A</v>
      </c>
      <c r="F24" s="3" t="str">
        <f aca="false">'算数（前期）'!AC25</f>
        <v>B</v>
      </c>
      <c r="G24" s="3" t="str">
        <f aca="false">'社会（前期）'!P25</f>
        <v>A</v>
      </c>
      <c r="H24" s="3" t="str">
        <f aca="false">'社会（前期）'!AC25</f>
        <v>B</v>
      </c>
      <c r="I24" s="3" t="str">
        <f aca="false">'理科（前期）'!P25</f>
        <v>A</v>
      </c>
      <c r="J24" s="3" t="str">
        <f aca="false">'理科（前期）'!AC25</f>
        <v>B</v>
      </c>
      <c r="K24" s="3" t="str">
        <f aca="false">'英語（前期）'!P25</f>
        <v>A</v>
      </c>
      <c r="L24" s="3" t="str">
        <f aca="false">'英語（前期）'!AC25</f>
        <v>A</v>
      </c>
      <c r="M24" s="3" t="str">
        <f aca="false">'保健（前期）'!P25</f>
        <v>B</v>
      </c>
      <c r="N24" s="3" t="str">
        <f aca="false">'保健（前期）'!AC25</f>
        <v>A</v>
      </c>
    </row>
    <row r="25" customFormat="false" ht="15" hidden="false" customHeight="false" outlineLevel="0" collapsed="false">
      <c r="A25" s="3" t="n">
        <v>22</v>
      </c>
      <c r="B25" s="60" t="str">
        <f aca="false">IF(名簿!B24="","",名簿!B24)</f>
        <v>後藤 結菜</v>
      </c>
      <c r="C25" s="3" t="str">
        <f aca="false">'国語（前期）'!P26</f>
        <v>B</v>
      </c>
      <c r="D25" s="3" t="str">
        <f aca="false">'国語（前期）'!AC26</f>
        <v>B</v>
      </c>
      <c r="E25" s="3" t="str">
        <f aca="false">'算数（前期）'!P26</f>
        <v>B</v>
      </c>
      <c r="F25" s="3" t="str">
        <f aca="false">'算数（前期）'!AC26</f>
        <v>B</v>
      </c>
      <c r="G25" s="3" t="str">
        <f aca="false">'社会（前期）'!P26</f>
        <v>B</v>
      </c>
      <c r="H25" s="3" t="str">
        <f aca="false">'社会（前期）'!AC26</f>
        <v>B</v>
      </c>
      <c r="I25" s="3" t="str">
        <f aca="false">'理科（前期）'!P26</f>
        <v>B</v>
      </c>
      <c r="J25" s="3" t="str">
        <f aca="false">'理科（前期）'!AC26</f>
        <v>B</v>
      </c>
      <c r="K25" s="3" t="str">
        <f aca="false">'英語（前期）'!P26</f>
        <v>B</v>
      </c>
      <c r="L25" s="3" t="str">
        <f aca="false">'英語（前期）'!AC26</f>
        <v>B</v>
      </c>
      <c r="M25" s="3" t="str">
        <f aca="false">'保健（前期）'!P26</f>
        <v>B</v>
      </c>
      <c r="N25" s="3" t="str">
        <f aca="false">'保健（前期）'!AC26</f>
        <v>C</v>
      </c>
    </row>
    <row r="26" customFormat="false" ht="15" hidden="false" customHeight="false" outlineLevel="0" collapsed="false">
      <c r="A26" s="3" t="n">
        <v>23</v>
      </c>
      <c r="B26" s="60" t="str">
        <f aca="false">IF(名簿!B25="","",名簿!B25)</f>
        <v>吉田 健太</v>
      </c>
      <c r="C26" s="3" t="str">
        <f aca="false">'国語（前期）'!P27</f>
        <v>A</v>
      </c>
      <c r="D26" s="3" t="str">
        <f aca="false">'国語（前期）'!AC27</f>
        <v>B</v>
      </c>
      <c r="E26" s="3" t="str">
        <f aca="false">'算数（前期）'!P27</f>
        <v>A</v>
      </c>
      <c r="F26" s="3" t="str">
        <f aca="false">'算数（前期）'!AC27</f>
        <v>A</v>
      </c>
      <c r="G26" s="3" t="str">
        <f aca="false">'社会（前期）'!P27</f>
        <v>A</v>
      </c>
      <c r="H26" s="3" t="str">
        <f aca="false">'社会（前期）'!AC27</f>
        <v>B</v>
      </c>
      <c r="I26" s="3" t="str">
        <f aca="false">'理科（前期）'!P27</f>
        <v>A</v>
      </c>
      <c r="J26" s="3" t="str">
        <f aca="false">'理科（前期）'!AC27</f>
        <v>B</v>
      </c>
      <c r="K26" s="3" t="str">
        <f aca="false">'英語（前期）'!P27</f>
        <v>A</v>
      </c>
      <c r="L26" s="3" t="str">
        <f aca="false">'英語（前期）'!AC27</f>
        <v>B</v>
      </c>
      <c r="M26" s="3" t="str">
        <f aca="false">'保健（前期）'!P27</f>
        <v>A</v>
      </c>
      <c r="N26" s="3" t="str">
        <f aca="false">'保健（前期）'!AC27</f>
        <v>B</v>
      </c>
    </row>
    <row r="27" customFormat="false" ht="15" hidden="false" customHeight="false" outlineLevel="0" collapsed="false">
      <c r="A27" s="3" t="n">
        <v>24</v>
      </c>
      <c r="B27" s="60" t="str">
        <f aca="false">IF(名簿!B26="","",名簿!B26)</f>
        <v>山田 楓</v>
      </c>
      <c r="C27" s="3" t="str">
        <f aca="false">'国語（前期）'!P28</f>
        <v>B</v>
      </c>
      <c r="D27" s="3" t="str">
        <f aca="false">'国語（前期）'!AC28</f>
        <v>C</v>
      </c>
      <c r="E27" s="3" t="str">
        <f aca="false">'算数（前期）'!P28</f>
        <v>B</v>
      </c>
      <c r="F27" s="3" t="str">
        <f aca="false">'算数（前期）'!AC28</f>
        <v>C</v>
      </c>
      <c r="G27" s="3" t="str">
        <f aca="false">'社会（前期）'!P28</f>
        <v>B</v>
      </c>
      <c r="H27" s="3" t="str">
        <f aca="false">'社会（前期）'!AC28</f>
        <v>C</v>
      </c>
      <c r="I27" s="3" t="str">
        <f aca="false">'理科（前期）'!P28</f>
        <v>B</v>
      </c>
      <c r="J27" s="3" t="str">
        <f aca="false">'理科（前期）'!AC28</f>
        <v>C</v>
      </c>
      <c r="K27" s="3" t="str">
        <f aca="false">'英語（前期）'!P28</f>
        <v>B</v>
      </c>
      <c r="L27" s="3" t="str">
        <f aca="false">'英語（前期）'!AC28</f>
        <v>C</v>
      </c>
      <c r="M27" s="3" t="str">
        <f aca="false">'保健（前期）'!P28</f>
        <v>B</v>
      </c>
      <c r="N27" s="3" t="str">
        <f aca="false">'保健（前期）'!AC28</f>
        <v>C</v>
      </c>
    </row>
    <row r="28" customFormat="false" ht="15" hidden="false" customHeight="false" outlineLevel="0" collapsed="false">
      <c r="A28" s="3" t="n">
        <v>25</v>
      </c>
      <c r="B28" s="60" t="str">
        <f aca="false">IF(名簿!B27="","",名簿!B27)</f>
        <v>橋本 蒼</v>
      </c>
      <c r="C28" s="3" t="str">
        <f aca="false">'国語（前期）'!P29</f>
        <v>B</v>
      </c>
      <c r="D28" s="3" t="str">
        <f aca="false">'国語（前期）'!AC29</f>
        <v>B</v>
      </c>
      <c r="E28" s="3" t="str">
        <f aca="false">'算数（前期）'!P29</f>
        <v>B</v>
      </c>
      <c r="F28" s="3" t="str">
        <f aca="false">'算数（前期）'!AC29</f>
        <v>B</v>
      </c>
      <c r="G28" s="3" t="str">
        <f aca="false">'社会（前期）'!P29</f>
        <v>B</v>
      </c>
      <c r="H28" s="3" t="str">
        <f aca="false">'社会（前期）'!AC29</f>
        <v>B</v>
      </c>
      <c r="I28" s="3" t="str">
        <f aca="false">'理科（前期）'!P29</f>
        <v>B</v>
      </c>
      <c r="J28" s="3" t="str">
        <f aca="false">'理科（前期）'!AC29</f>
        <v>B</v>
      </c>
      <c r="K28" s="3" t="str">
        <f aca="false">'英語（前期）'!P29</f>
        <v>B</v>
      </c>
      <c r="L28" s="3" t="str">
        <f aca="false">'英語（前期）'!AC29</f>
        <v>C</v>
      </c>
      <c r="M28" s="3" t="str">
        <f aca="false">'保健（前期）'!P29</f>
        <v>B</v>
      </c>
      <c r="N28" s="3" t="str">
        <f aca="false">'保健（前期）'!AC29</f>
        <v>C</v>
      </c>
    </row>
    <row r="29" customFormat="false" ht="15" hidden="false" customHeight="false" outlineLevel="0" collapsed="false">
      <c r="A29" s="3" t="n">
        <v>26</v>
      </c>
      <c r="B29" s="60" t="str">
        <f aca="false">IF(名簿!B28="","",名簿!B28)</f>
        <v>阿部 凛</v>
      </c>
      <c r="C29" s="3" t="str">
        <f aca="false">'国語（前期）'!P30</f>
        <v>B</v>
      </c>
      <c r="D29" s="3" t="str">
        <f aca="false">'国語（前期）'!AC30</f>
        <v>B</v>
      </c>
      <c r="E29" s="3" t="str">
        <f aca="false">'算数（前期）'!P30</f>
        <v>B</v>
      </c>
      <c r="F29" s="3" t="str">
        <f aca="false">'算数（前期）'!AC30</f>
        <v>B</v>
      </c>
      <c r="G29" s="3" t="str">
        <f aca="false">'社会（前期）'!P30</f>
        <v>B</v>
      </c>
      <c r="H29" s="3" t="str">
        <f aca="false">'社会（前期）'!AC30</f>
        <v>B</v>
      </c>
      <c r="I29" s="3" t="str">
        <f aca="false">'理科（前期）'!P30</f>
        <v>B</v>
      </c>
      <c r="J29" s="3" t="str">
        <f aca="false">'理科（前期）'!AC30</f>
        <v>B</v>
      </c>
      <c r="K29" s="3" t="str">
        <f aca="false">'英語（前期）'!P30</f>
        <v>B</v>
      </c>
      <c r="L29" s="3" t="str">
        <f aca="false">'英語（前期）'!AC30</f>
        <v>B</v>
      </c>
      <c r="M29" s="3" t="str">
        <f aca="false">'保健（前期）'!P30</f>
        <v>B</v>
      </c>
      <c r="N29" s="3" t="str">
        <f aca="false">'保健（前期）'!AC30</f>
        <v>B</v>
      </c>
    </row>
    <row r="30" customFormat="false" ht="15" hidden="false" customHeight="false" outlineLevel="0" collapsed="false">
      <c r="A30" s="3" t="n">
        <v>27</v>
      </c>
      <c r="B30" s="60" t="str">
        <f aca="false">IF(名簿!B29="","",名簿!B29)</f>
        <v>井上 悠人</v>
      </c>
      <c r="C30" s="3" t="str">
        <f aca="false">'国語（前期）'!P31</f>
        <v>B</v>
      </c>
      <c r="D30" s="3" t="str">
        <f aca="false">'国語（前期）'!AC31</f>
        <v>B</v>
      </c>
      <c r="E30" s="3" t="str">
        <f aca="false">'算数（前期）'!P31</f>
        <v>B</v>
      </c>
      <c r="F30" s="3" t="str">
        <f aca="false">'算数（前期）'!AC31</f>
        <v>B</v>
      </c>
      <c r="G30" s="3" t="str">
        <f aca="false">'社会（前期）'!P31</f>
        <v>B</v>
      </c>
      <c r="H30" s="3" t="str">
        <f aca="false">'社会（前期）'!AC31</f>
        <v>B</v>
      </c>
      <c r="I30" s="3" t="str">
        <f aca="false">'理科（前期）'!P31</f>
        <v>B</v>
      </c>
      <c r="J30" s="3" t="str">
        <f aca="false">'理科（前期）'!AC31</f>
        <v>B</v>
      </c>
      <c r="K30" s="3" t="str">
        <f aca="false">'英語（前期）'!P31</f>
        <v>B</v>
      </c>
      <c r="L30" s="3" t="str">
        <f aca="false">'英語（前期）'!AC31</f>
        <v>B</v>
      </c>
      <c r="M30" s="3" t="str">
        <f aca="false">'保健（前期）'!P31</f>
        <v>B</v>
      </c>
      <c r="N30" s="3" t="str">
        <f aca="false">'保健（前期）'!AC31</f>
        <v>B</v>
      </c>
    </row>
    <row r="31" customFormat="false" ht="15" hidden="false" customHeight="false" outlineLevel="0" collapsed="false">
      <c r="A31" s="3" t="n">
        <v>28</v>
      </c>
      <c r="B31" s="60" t="str">
        <f aca="false">IF(名簿!B30="","",名簿!B30)</f>
        <v>斎藤 心春</v>
      </c>
      <c r="C31" s="3" t="str">
        <f aca="false">'国語（前期）'!P32</f>
        <v>B</v>
      </c>
      <c r="D31" s="3" t="str">
        <f aca="false">'国語（前期）'!AC32</f>
        <v>C</v>
      </c>
      <c r="E31" s="3" t="str">
        <f aca="false">'算数（前期）'!P32</f>
        <v>B</v>
      </c>
      <c r="F31" s="3" t="str">
        <f aca="false">'算数（前期）'!AC32</f>
        <v>B</v>
      </c>
      <c r="G31" s="3" t="str">
        <f aca="false">'社会（前期）'!P32</f>
        <v>B</v>
      </c>
      <c r="H31" s="3" t="str">
        <f aca="false">'社会（前期）'!AC32</f>
        <v>B</v>
      </c>
      <c r="I31" s="3" t="str">
        <f aca="false">'理科（前期）'!P32</f>
        <v>B</v>
      </c>
      <c r="J31" s="3" t="str">
        <f aca="false">'理科（前期）'!AC32</f>
        <v>C</v>
      </c>
      <c r="K31" s="3" t="str">
        <f aca="false">'英語（前期）'!P32</f>
        <v>B</v>
      </c>
      <c r="L31" s="3" t="str">
        <f aca="false">'英語（前期）'!AC32</f>
        <v>C</v>
      </c>
      <c r="M31" s="3" t="str">
        <f aca="false">'保健（前期）'!P32</f>
        <v>B</v>
      </c>
      <c r="N31" s="3" t="str">
        <f aca="false">'保健（前期）'!AC32</f>
        <v>C</v>
      </c>
    </row>
    <row r="32" customFormat="false" ht="15" hidden="false" customHeight="false" outlineLevel="0" collapsed="false">
      <c r="A32" s="3" t="n">
        <v>29</v>
      </c>
      <c r="B32" s="60" t="str">
        <f aca="false">IF(名簿!B31="","",名簿!B31)</f>
        <v>森 蒼</v>
      </c>
      <c r="C32" s="3" t="str">
        <f aca="false">'国語（前期）'!P33</f>
        <v>A</v>
      </c>
      <c r="D32" s="3" t="str">
        <f aca="false">'国語（前期）'!AC33</f>
        <v>A</v>
      </c>
      <c r="E32" s="3" t="str">
        <f aca="false">'算数（前期）'!P33</f>
        <v>A</v>
      </c>
      <c r="F32" s="3" t="str">
        <f aca="false">'算数（前期）'!AC33</f>
        <v>A</v>
      </c>
      <c r="G32" s="3" t="str">
        <f aca="false">'社会（前期）'!P33</f>
        <v>A</v>
      </c>
      <c r="H32" s="3" t="str">
        <f aca="false">'社会（前期）'!AC33</f>
        <v>A</v>
      </c>
      <c r="I32" s="3" t="str">
        <f aca="false">'理科（前期）'!P33</f>
        <v>A</v>
      </c>
      <c r="J32" s="3" t="str">
        <f aca="false">'理科（前期）'!AC33</f>
        <v>B</v>
      </c>
      <c r="K32" s="3" t="str">
        <f aca="false">'英語（前期）'!P33</f>
        <v>A</v>
      </c>
      <c r="L32" s="3" t="str">
        <f aca="false">'英語（前期）'!AC33</f>
        <v>A</v>
      </c>
      <c r="M32" s="3" t="str">
        <f aca="false">'保健（前期）'!P33</f>
        <v>A</v>
      </c>
      <c r="N32" s="3" t="str">
        <f aca="false">'保健（前期）'!AC33</f>
        <v>B</v>
      </c>
    </row>
    <row r="33" customFormat="false" ht="15" hidden="false" customHeight="false" outlineLevel="0" collapsed="false">
      <c r="A33" s="3" t="n">
        <v>30</v>
      </c>
      <c r="B33" s="60" t="str">
        <f aca="false">IF(名簿!B32="","",名簿!B32)</f>
        <v>伊藤 咲良</v>
      </c>
      <c r="C33" s="3" t="str">
        <f aca="false">'国語（前期）'!P34</f>
        <v>A</v>
      </c>
      <c r="D33" s="3" t="str">
        <f aca="false">'国語（前期）'!AC34</f>
        <v>B</v>
      </c>
      <c r="E33" s="3" t="str">
        <f aca="false">'算数（前期）'!P34</f>
        <v>A</v>
      </c>
      <c r="F33" s="3" t="str">
        <f aca="false">'算数（前期）'!AC34</f>
        <v>A</v>
      </c>
      <c r="G33" s="3" t="str">
        <f aca="false">'社会（前期）'!P34</f>
        <v>A</v>
      </c>
      <c r="H33" s="3" t="str">
        <f aca="false">'社会（前期）'!AC34</f>
        <v>B</v>
      </c>
      <c r="I33" s="3" t="str">
        <f aca="false">'理科（前期）'!P34</f>
        <v>B</v>
      </c>
      <c r="J33" s="3" t="str">
        <f aca="false">'理科（前期）'!AC34</f>
        <v>B</v>
      </c>
      <c r="K33" s="3" t="str">
        <f aca="false">'英語（前期）'!P34</f>
        <v>A</v>
      </c>
      <c r="L33" s="3" t="str">
        <f aca="false">'英語（前期）'!AC34</f>
        <v>A</v>
      </c>
      <c r="M33" s="3" t="str">
        <f aca="false">'保健（前期）'!P34</f>
        <v>A</v>
      </c>
      <c r="N33" s="3" t="str">
        <f aca="false">'保健（前期）'!AC34</f>
        <v>B</v>
      </c>
    </row>
    <row r="34" customFormat="false" ht="15" hidden="false" customHeight="false" outlineLevel="0" collapsed="false">
      <c r="A34" s="3" t="n">
        <v>31</v>
      </c>
      <c r="B34" s="60" t="str">
        <f aca="false">IF(名簿!B33="","",名簿!B33)</f>
        <v>佐藤 海斗</v>
      </c>
      <c r="C34" s="3" t="str">
        <f aca="false">'国語（前期）'!P35</f>
        <v>B</v>
      </c>
      <c r="D34" s="3" t="str">
        <f aca="false">'国語（前期）'!AC35</f>
        <v>B</v>
      </c>
      <c r="E34" s="3" t="str">
        <f aca="false">'算数（前期）'!P35</f>
        <v>B</v>
      </c>
      <c r="F34" s="3" t="str">
        <f aca="false">'算数（前期）'!AC35</f>
        <v>B</v>
      </c>
      <c r="G34" s="3" t="str">
        <f aca="false">'社会（前期）'!P35</f>
        <v>B</v>
      </c>
      <c r="H34" s="3" t="str">
        <f aca="false">'社会（前期）'!AC35</f>
        <v>B</v>
      </c>
      <c r="I34" s="3" t="str">
        <f aca="false">'理科（前期）'!P35</f>
        <v>B</v>
      </c>
      <c r="J34" s="3" t="str">
        <f aca="false">'理科（前期）'!AC35</f>
        <v>B</v>
      </c>
      <c r="K34" s="3" t="str">
        <f aca="false">'英語（前期）'!P35</f>
        <v>B</v>
      </c>
      <c r="L34" s="3" t="str">
        <f aca="false">'英語（前期）'!AC35</f>
        <v>B</v>
      </c>
      <c r="M34" s="3" t="str">
        <f aca="false">'保健（前期）'!P35</f>
        <v>B</v>
      </c>
      <c r="N34" s="3" t="str">
        <f aca="false">'保健（前期）'!AC35</f>
        <v>B</v>
      </c>
    </row>
    <row r="35" customFormat="false" ht="15" hidden="false" customHeight="false" outlineLevel="0" collapsed="false">
      <c r="A35" s="3" t="n">
        <v>32</v>
      </c>
      <c r="B35" s="60" t="str">
        <f aca="false">IF(名簿!B34="","",名簿!B34)</f>
        <v>高橋 結愛</v>
      </c>
      <c r="C35" s="3" t="str">
        <f aca="false">'国語（前期）'!P36</f>
        <v>A</v>
      </c>
      <c r="D35" s="3" t="str">
        <f aca="false">'国語（前期）'!AC36</f>
        <v>B</v>
      </c>
      <c r="E35" s="3" t="str">
        <f aca="false">'算数（前期）'!P36</f>
        <v>A</v>
      </c>
      <c r="F35" s="3" t="str">
        <f aca="false">'算数（前期）'!AC36</f>
        <v>A</v>
      </c>
      <c r="G35" s="3" t="str">
        <f aca="false">'社会（前期）'!P36</f>
        <v>A</v>
      </c>
      <c r="H35" s="3" t="str">
        <f aca="false">'社会（前期）'!AC36</f>
        <v>B</v>
      </c>
      <c r="I35" s="3" t="str">
        <f aca="false">'理科（前期）'!P36</f>
        <v>A</v>
      </c>
      <c r="J35" s="3" t="str">
        <f aca="false">'理科（前期）'!AC36</f>
        <v>A</v>
      </c>
      <c r="K35" s="3" t="str">
        <f aca="false">'英語（前期）'!P36</f>
        <v>B</v>
      </c>
      <c r="L35" s="3" t="str">
        <f aca="false">'英語（前期）'!AC36</f>
        <v>B</v>
      </c>
      <c r="M35" s="3" t="str">
        <f aca="false">'保健（前期）'!P36</f>
        <v>B</v>
      </c>
      <c r="N35" s="3" t="str">
        <f aca="false">'保健（前期）'!AC36</f>
        <v>A</v>
      </c>
    </row>
    <row r="36" customFormat="false" ht="15" hidden="false" customHeight="false" outlineLevel="0" collapsed="false">
      <c r="A36" s="3" t="n">
        <v>33</v>
      </c>
      <c r="B36" s="60" t="str">
        <f aca="false">IF(名簿!B35="","",名簿!B35)</f>
        <v>木村 陽太</v>
      </c>
      <c r="C36" s="3" t="str">
        <f aca="false">'国語（前期）'!P37</f>
        <v>B</v>
      </c>
      <c r="D36" s="3" t="str">
        <f aca="false">'国語（前期）'!AC37</f>
        <v>B</v>
      </c>
      <c r="E36" s="3" t="str">
        <f aca="false">'算数（前期）'!P37</f>
        <v>B</v>
      </c>
      <c r="F36" s="3" t="str">
        <f aca="false">'算数（前期）'!AC37</f>
        <v>B</v>
      </c>
      <c r="G36" s="3" t="str">
        <f aca="false">'社会（前期）'!P37</f>
        <v>B</v>
      </c>
      <c r="H36" s="3" t="str">
        <f aca="false">'社会（前期）'!AC37</f>
        <v>B</v>
      </c>
      <c r="I36" s="3" t="str">
        <f aca="false">'理科（前期）'!P37</f>
        <v>B</v>
      </c>
      <c r="J36" s="3" t="str">
        <f aca="false">'理科（前期）'!AC37</f>
        <v>B</v>
      </c>
      <c r="K36" s="3" t="str">
        <f aca="false">'英語（前期）'!P37</f>
        <v>B</v>
      </c>
      <c r="L36" s="3" t="str">
        <f aca="false">'英語（前期）'!AC37</f>
        <v>B</v>
      </c>
      <c r="M36" s="3" t="str">
        <f aca="false">'保健（前期）'!P37</f>
        <v>B</v>
      </c>
      <c r="N36" s="3" t="str">
        <f aca="false">'保健（前期）'!AC37</f>
        <v>B</v>
      </c>
    </row>
    <row r="37" customFormat="false" ht="15" hidden="false" customHeight="false" outlineLevel="0" collapsed="false">
      <c r="A37" s="3" t="n">
        <v>34</v>
      </c>
      <c r="B37" s="60" t="str">
        <f aca="false">IF(名簿!B36="","",名簿!B36)</f>
        <v>長谷川 さくら</v>
      </c>
      <c r="C37" s="3" t="str">
        <f aca="false">'国語（前期）'!P38</f>
        <v>B</v>
      </c>
      <c r="D37" s="3" t="str">
        <f aca="false">'国語（前期）'!AC38</f>
        <v>B</v>
      </c>
      <c r="E37" s="3" t="str">
        <f aca="false">'算数（前期）'!P38</f>
        <v>B</v>
      </c>
      <c r="F37" s="3" t="str">
        <f aca="false">'算数（前期）'!AC38</f>
        <v>B</v>
      </c>
      <c r="G37" s="3" t="str">
        <f aca="false">'社会（前期）'!P38</f>
        <v>B</v>
      </c>
      <c r="H37" s="3" t="str">
        <f aca="false">'社会（前期）'!AC38</f>
        <v>B</v>
      </c>
      <c r="I37" s="3" t="str">
        <f aca="false">'理科（前期）'!P38</f>
        <v>B</v>
      </c>
      <c r="J37" s="3" t="str">
        <f aca="false">'理科（前期）'!AC38</f>
        <v>B</v>
      </c>
      <c r="K37" s="3" t="str">
        <f aca="false">'英語（前期）'!P38</f>
        <v>B</v>
      </c>
      <c r="L37" s="3" t="str">
        <f aca="false">'英語（前期）'!AC38</f>
        <v>B</v>
      </c>
      <c r="M37" s="3" t="str">
        <f aca="false">'保健（前期）'!P38</f>
        <v>B</v>
      </c>
      <c r="N37" s="3" t="str">
        <f aca="false">'保健（前期）'!AC38</f>
        <v>B</v>
      </c>
    </row>
    <row r="38" customFormat="false" ht="15" hidden="false" customHeight="false" outlineLevel="0" collapsed="false">
      <c r="A38" s="3" t="n">
        <v>35</v>
      </c>
      <c r="B38" s="60" t="str">
        <f aca="false">IF(名簿!B37="","",名簿!B37)</f>
        <v>渡辺 健太</v>
      </c>
      <c r="C38" s="3" t="str">
        <f aca="false">'国語（前期）'!P39</f>
        <v>B</v>
      </c>
      <c r="D38" s="3" t="str">
        <f aca="false">'国語（前期）'!AC39</f>
        <v>B</v>
      </c>
      <c r="E38" s="3" t="str">
        <f aca="false">'算数（前期）'!P39</f>
        <v>A</v>
      </c>
      <c r="F38" s="3" t="str">
        <f aca="false">'算数（前期）'!AC39</f>
        <v>B</v>
      </c>
      <c r="G38" s="3" t="str">
        <f aca="false">'社会（前期）'!P39</f>
        <v>B</v>
      </c>
      <c r="H38" s="3" t="str">
        <f aca="false">'社会（前期）'!AC39</f>
        <v>B</v>
      </c>
      <c r="I38" s="3" t="str">
        <f aca="false">'理科（前期）'!P39</f>
        <v>B</v>
      </c>
      <c r="J38" s="3" t="str">
        <f aca="false">'理科（前期）'!AC39</f>
        <v>B</v>
      </c>
      <c r="K38" s="3" t="str">
        <f aca="false">'英語（前期）'!P39</f>
        <v>B</v>
      </c>
      <c r="L38" s="3" t="str">
        <f aca="false">'英語（前期）'!AC39</f>
        <v>B</v>
      </c>
      <c r="M38" s="3" t="str">
        <f aca="false">'保健（前期）'!P39</f>
        <v>A</v>
      </c>
      <c r="N38" s="3" t="str">
        <f aca="false">'保健（前期）'!AC39</f>
        <v>A</v>
      </c>
    </row>
    <row r="39" customFormat="false" ht="15" hidden="false" customHeight="true" outlineLevel="0" collapsed="false">
      <c r="A39" s="2" t="s">
        <v>82</v>
      </c>
      <c r="B39" s="2"/>
      <c r="C39" s="2" t="n">
        <f aca="false">COUNTIF(C4:C38,"A")</f>
        <v>13</v>
      </c>
      <c r="D39" s="2" t="n">
        <f aca="false">COUNTIF(D4:D38,"A")</f>
        <v>4</v>
      </c>
      <c r="E39" s="2" t="n">
        <f aca="false">COUNTIF(E4:E38,"A")</f>
        <v>19</v>
      </c>
      <c r="F39" s="2" t="n">
        <f aca="false">COUNTIF(F4:F38,"A")</f>
        <v>10</v>
      </c>
      <c r="G39" s="2" t="n">
        <f aca="false">COUNTIF(G4:G38,"A")</f>
        <v>14</v>
      </c>
      <c r="H39" s="2" t="n">
        <f aca="false">COUNTIF(H4:H38,"A")</f>
        <v>5</v>
      </c>
      <c r="I39" s="2" t="n">
        <f aca="false">COUNTIF(I4:I38,"A")</f>
        <v>12</v>
      </c>
      <c r="J39" s="2" t="n">
        <f aca="false">COUNTIF(J4:J38,"A")</f>
        <v>5</v>
      </c>
      <c r="K39" s="2" t="n">
        <f aca="false">COUNTIF(K4:K38,"A")</f>
        <v>13</v>
      </c>
      <c r="L39" s="2" t="n">
        <f aca="false">COUNTIF(L4:L38,"A")</f>
        <v>6</v>
      </c>
      <c r="M39" s="2" t="n">
        <f aca="false">COUNTIF(M4:M38,"A")</f>
        <v>10</v>
      </c>
      <c r="N39" s="2" t="n">
        <f aca="false">COUNTIF(N4:N38,"A")</f>
        <v>9</v>
      </c>
    </row>
    <row r="40" customFormat="false" ht="15" hidden="false" customHeight="true" outlineLevel="0" collapsed="false">
      <c r="A40" s="2" t="s">
        <v>83</v>
      </c>
      <c r="B40" s="2"/>
      <c r="C40" s="2" t="n">
        <f aca="false">COUNTIF(C4:C38,"B")</f>
        <v>21</v>
      </c>
      <c r="D40" s="2" t="n">
        <f aca="false">COUNTIF(D4:D38,"B")</f>
        <v>26</v>
      </c>
      <c r="E40" s="2" t="n">
        <f aca="false">COUNTIF(E4:E38,"B")</f>
        <v>16</v>
      </c>
      <c r="F40" s="2" t="n">
        <f aca="false">COUNTIF(F4:F38,"B")</f>
        <v>22</v>
      </c>
      <c r="G40" s="2" t="n">
        <f aca="false">COUNTIF(G4:G38,"B")</f>
        <v>20</v>
      </c>
      <c r="H40" s="2" t="n">
        <f aca="false">COUNTIF(H4:H38,"B")</f>
        <v>27</v>
      </c>
      <c r="I40" s="2" t="n">
        <f aca="false">COUNTIF(I4:I38,"B")</f>
        <v>22</v>
      </c>
      <c r="J40" s="2" t="n">
        <f aca="false">COUNTIF(J4:J38,"B")</f>
        <v>24</v>
      </c>
      <c r="K40" s="2" t="n">
        <f aca="false">COUNTIF(K4:K38,"B")</f>
        <v>21</v>
      </c>
      <c r="L40" s="2" t="n">
        <f aca="false">COUNTIF(L4:L38,"B")</f>
        <v>24</v>
      </c>
      <c r="M40" s="2" t="n">
        <f aca="false">COUNTIF(M4:M38,"B")</f>
        <v>24</v>
      </c>
      <c r="N40" s="2" t="n">
        <f aca="false">COUNTIF(N4:N38,"B")</f>
        <v>17</v>
      </c>
    </row>
    <row r="41" customFormat="false" ht="15" hidden="false" customHeight="true" outlineLevel="0" collapsed="false">
      <c r="A41" s="2" t="s">
        <v>84</v>
      </c>
      <c r="B41" s="2"/>
      <c r="C41" s="2" t="n">
        <f aca="false">COUNTIF(C4:C38,"C")</f>
        <v>1</v>
      </c>
      <c r="D41" s="2" t="n">
        <f aca="false">COUNTIF(D4:D38,"C")</f>
        <v>5</v>
      </c>
      <c r="E41" s="2" t="n">
        <f aca="false">COUNTIF(E4:E38,"C")</f>
        <v>0</v>
      </c>
      <c r="F41" s="2" t="n">
        <f aca="false">COUNTIF(F4:F38,"C")</f>
        <v>3</v>
      </c>
      <c r="G41" s="2" t="n">
        <f aca="false">COUNTIF(G4:G38,"C")</f>
        <v>1</v>
      </c>
      <c r="H41" s="2" t="n">
        <f aca="false">COUNTIF(H4:H38,"C")</f>
        <v>3</v>
      </c>
      <c r="I41" s="2" t="n">
        <f aca="false">COUNTIF(I4:I38,"C")</f>
        <v>1</v>
      </c>
      <c r="J41" s="2" t="n">
        <f aca="false">COUNTIF(J4:J38,"C")</f>
        <v>6</v>
      </c>
      <c r="K41" s="2" t="n">
        <f aca="false">COUNTIF(K4:K38,"C")</f>
        <v>1</v>
      </c>
      <c r="L41" s="2" t="n">
        <f aca="false">COUNTIF(L4:L38,"C")</f>
        <v>5</v>
      </c>
      <c r="M41" s="2" t="n">
        <f aca="false">COUNTIF(M4:M38,"C")</f>
        <v>1</v>
      </c>
      <c r="N41" s="2" t="n">
        <f aca="false">COUNTIF(N4:N38,"C")</f>
        <v>9</v>
      </c>
    </row>
  </sheetData>
  <sheetProtection sheet="true"/>
  <mergeCells count="11">
    <mergeCell ref="A2:A3"/>
    <mergeCell ref="B2:B3"/>
    <mergeCell ref="C2:D2"/>
    <mergeCell ref="E2:F2"/>
    <mergeCell ref="G2:H2"/>
    <mergeCell ref="I2:J2"/>
    <mergeCell ref="K2:L2"/>
    <mergeCell ref="M2:N2"/>
    <mergeCell ref="A39:B39"/>
    <mergeCell ref="A40:B40"/>
    <mergeCell ref="A41:B41"/>
  </mergeCells>
  <conditionalFormatting sqref="C4:N38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"C"</formula>
    </cfRule>
  </conditionalFormatting>
  <conditionalFormatting sqref="A4:N38">
    <cfRule type="expression" priority="5" aboveAverage="0" equalAverage="0" bottom="0" percent="0" rank="0" text="" dxfId="8">
      <formula>ISODD(ROW())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14" min="3" style="0" width="7"/>
  </cols>
  <sheetData>
    <row r="1" customFormat="false" ht="17.35" hidden="false" customHeight="false" outlineLevel="0" collapsed="false">
      <c r="A1" s="5" t="s">
        <v>157</v>
      </c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 t="s">
        <v>53</v>
      </c>
      <c r="J2" s="2"/>
      <c r="K2" s="2" t="s">
        <v>54</v>
      </c>
      <c r="L2" s="2"/>
      <c r="M2" s="2" t="s">
        <v>55</v>
      </c>
      <c r="N2" s="2"/>
    </row>
    <row r="3" customFormat="false" ht="48" hidden="false" customHeight="true" outlineLevel="0" collapsed="false">
      <c r="A3" s="2"/>
      <c r="B3" s="2"/>
      <c r="C3" s="2" t="s">
        <v>155</v>
      </c>
      <c r="D3" s="2" t="s">
        <v>156</v>
      </c>
      <c r="E3" s="2" t="s">
        <v>155</v>
      </c>
      <c r="F3" s="2" t="s">
        <v>156</v>
      </c>
      <c r="G3" s="2" t="s">
        <v>155</v>
      </c>
      <c r="H3" s="2" t="s">
        <v>156</v>
      </c>
      <c r="I3" s="2" t="s">
        <v>155</v>
      </c>
      <c r="J3" s="2" t="s">
        <v>156</v>
      </c>
      <c r="K3" s="2" t="s">
        <v>155</v>
      </c>
      <c r="L3" s="2" t="s">
        <v>156</v>
      </c>
      <c r="M3" s="2" t="s">
        <v>155</v>
      </c>
      <c r="N3" s="2" t="s">
        <v>156</v>
      </c>
    </row>
    <row r="4" customFormat="false" ht="15" hidden="false" customHeight="false" outlineLevel="0" collapsed="false">
      <c r="A4" s="3" t="n">
        <v>1</v>
      </c>
      <c r="B4" s="60" t="str">
        <f aca="false">IF(名簿!B3="","",名簿!B3)</f>
        <v>石井 湊</v>
      </c>
      <c r="C4" s="3" t="str">
        <f aca="false">'国語（後期）'!P5</f>
        <v>A</v>
      </c>
      <c r="D4" s="3" t="str">
        <f aca="false">'国語（後期）'!AC5</f>
        <v>A</v>
      </c>
      <c r="E4" s="3" t="str">
        <f aca="false">'算数（後期）'!P5</f>
        <v>A</v>
      </c>
      <c r="F4" s="3" t="str">
        <f aca="false">'算数（後期）'!AC5</f>
        <v>A</v>
      </c>
      <c r="G4" s="3" t="str">
        <f aca="false">'社会（後期）'!P5</f>
        <v>A</v>
      </c>
      <c r="H4" s="3" t="str">
        <f aca="false">'社会（後期）'!AC5</f>
        <v>A</v>
      </c>
      <c r="I4" s="3" t="str">
        <f aca="false">'理科（後期）'!P5</f>
        <v>A</v>
      </c>
      <c r="J4" s="3" t="str">
        <f aca="false">'理科（後期）'!AC5</f>
        <v>A</v>
      </c>
      <c r="K4" s="3" t="str">
        <f aca="false">'英語（後期）'!P5</f>
        <v>A</v>
      </c>
      <c r="L4" s="3" t="str">
        <f aca="false">'英語（後期）'!AC5</f>
        <v>A</v>
      </c>
      <c r="M4" s="3" t="str">
        <f aca="false">'保健（後期）'!P5</f>
        <v>A</v>
      </c>
      <c r="N4" s="3" t="str">
        <f aca="false">'保健（後期）'!AC5</f>
        <v>A</v>
      </c>
    </row>
    <row r="5" customFormat="false" ht="15" hidden="false" customHeight="false" outlineLevel="0" collapsed="false">
      <c r="A5" s="3" t="n">
        <v>2</v>
      </c>
      <c r="B5" s="60" t="str">
        <f aca="false">IF(名簿!B4="","",名簿!B4)</f>
        <v>池田 さくら</v>
      </c>
      <c r="C5" s="3" t="str">
        <f aca="false">'国語（後期）'!P6</f>
        <v>B</v>
      </c>
      <c r="D5" s="3" t="str">
        <f aca="false">'国語（後期）'!AC6</f>
        <v>B</v>
      </c>
      <c r="E5" s="3" t="str">
        <f aca="false">'算数（後期）'!P6</f>
        <v>B</v>
      </c>
      <c r="F5" s="3" t="str">
        <f aca="false">'算数（後期）'!AC6</f>
        <v>B</v>
      </c>
      <c r="G5" s="3" t="str">
        <f aca="false">'社会（後期）'!P6</f>
        <v>A</v>
      </c>
      <c r="H5" s="3" t="str">
        <f aca="false">'社会（後期）'!AC6</f>
        <v>B</v>
      </c>
      <c r="I5" s="3" t="str">
        <f aca="false">'理科（後期）'!P6</f>
        <v>B</v>
      </c>
      <c r="J5" s="3" t="str">
        <f aca="false">'理科（後期）'!AC6</f>
        <v>B</v>
      </c>
      <c r="K5" s="3" t="str">
        <f aca="false">'英語（後期）'!P6</f>
        <v>A</v>
      </c>
      <c r="L5" s="3" t="str">
        <f aca="false">'英語（後期）'!AC6</f>
        <v>B</v>
      </c>
      <c r="M5" s="3" t="str">
        <f aca="false">'保健（後期）'!P6</f>
        <v>A</v>
      </c>
      <c r="N5" s="3" t="str">
        <f aca="false">'保健（後期）'!AC6</f>
        <v>B</v>
      </c>
    </row>
    <row r="6" customFormat="false" ht="15" hidden="false" customHeight="false" outlineLevel="0" collapsed="false">
      <c r="A6" s="3" t="n">
        <v>3</v>
      </c>
      <c r="B6" s="60" t="str">
        <f aca="false">IF(名簿!B5="","",名簿!B5)</f>
        <v>林 陽翔</v>
      </c>
      <c r="C6" s="3" t="str">
        <f aca="false">'国語（後期）'!P7</f>
        <v>A</v>
      </c>
      <c r="D6" s="3" t="str">
        <f aca="false">'国語（後期）'!AC7</f>
        <v>A</v>
      </c>
      <c r="E6" s="3" t="str">
        <f aca="false">'算数（後期）'!P7</f>
        <v>A</v>
      </c>
      <c r="F6" s="3" t="str">
        <f aca="false">'算数（後期）'!AC7</f>
        <v>B</v>
      </c>
      <c r="G6" s="3" t="str">
        <f aca="false">'社会（後期）'!P7</f>
        <v>A</v>
      </c>
      <c r="H6" s="3" t="str">
        <f aca="false">'社会（後期）'!AC7</f>
        <v>B</v>
      </c>
      <c r="I6" s="3" t="str">
        <f aca="false">'理科（後期）'!P7</f>
        <v>A</v>
      </c>
      <c r="J6" s="3" t="str">
        <f aca="false">'理科（後期）'!AC7</f>
        <v>B</v>
      </c>
      <c r="K6" s="3" t="str">
        <f aca="false">'英語（後期）'!P7</f>
        <v>A</v>
      </c>
      <c r="L6" s="3" t="str">
        <f aca="false">'英語（後期）'!AC7</f>
        <v>B</v>
      </c>
      <c r="M6" s="3" t="str">
        <f aca="false">'保健（後期）'!P7</f>
        <v>A</v>
      </c>
      <c r="N6" s="3" t="str">
        <f aca="false">'保健（後期）'!AC7</f>
        <v>B</v>
      </c>
    </row>
    <row r="7" customFormat="false" ht="15" hidden="false" customHeight="false" outlineLevel="0" collapsed="false">
      <c r="A7" s="3" t="n">
        <v>4</v>
      </c>
      <c r="B7" s="60" t="str">
        <f aca="false">IF(名簿!B6="","",名簿!B6)</f>
        <v>村上 凛</v>
      </c>
      <c r="C7" s="3" t="str">
        <f aca="false">'国語（後期）'!P8</f>
        <v>B</v>
      </c>
      <c r="D7" s="3" t="str">
        <f aca="false">'国語（後期）'!AC8</f>
        <v>B</v>
      </c>
      <c r="E7" s="3" t="str">
        <f aca="false">'算数（後期）'!P8</f>
        <v>B</v>
      </c>
      <c r="F7" s="3" t="str">
        <f aca="false">'算数（後期）'!AC8</f>
        <v>B</v>
      </c>
      <c r="G7" s="3" t="str">
        <f aca="false">'社会（後期）'!P8</f>
        <v>B</v>
      </c>
      <c r="H7" s="3" t="str">
        <f aca="false">'社会（後期）'!AC8</f>
        <v>B</v>
      </c>
      <c r="I7" s="3" t="str">
        <f aca="false">'理科（後期）'!P8</f>
        <v>B</v>
      </c>
      <c r="J7" s="3" t="str">
        <f aca="false">'理科（後期）'!AC8</f>
        <v>B</v>
      </c>
      <c r="K7" s="3" t="str">
        <f aca="false">'英語（後期）'!P8</f>
        <v>B</v>
      </c>
      <c r="L7" s="3" t="str">
        <f aca="false">'英語（後期）'!AC8</f>
        <v>B</v>
      </c>
      <c r="M7" s="3" t="str">
        <f aca="false">'保健（後期）'!P8</f>
        <v>B</v>
      </c>
      <c r="N7" s="3" t="str">
        <f aca="false">'保健（後期）'!AC8</f>
        <v>B</v>
      </c>
    </row>
    <row r="8" customFormat="false" ht="15" hidden="false" customHeight="false" outlineLevel="0" collapsed="false">
      <c r="A8" s="3" t="n">
        <v>5</v>
      </c>
      <c r="B8" s="60" t="str">
        <f aca="false">IF(名簿!B7="","",名簿!B7)</f>
        <v>中村 蓮</v>
      </c>
      <c r="C8" s="3" t="str">
        <f aca="false">'国語（後期）'!P9</f>
        <v>A</v>
      </c>
      <c r="D8" s="3" t="str">
        <f aca="false">'国語（後期）'!AC9</f>
        <v>B</v>
      </c>
      <c r="E8" s="3" t="str">
        <f aca="false">'算数（後期）'!P9</f>
        <v>A</v>
      </c>
      <c r="F8" s="3" t="str">
        <f aca="false">'算数（後期）'!AC9</f>
        <v>A</v>
      </c>
      <c r="G8" s="3" t="str">
        <f aca="false">'社会（後期）'!P9</f>
        <v>A</v>
      </c>
      <c r="H8" s="3" t="str">
        <f aca="false">'社会（後期）'!AC9</f>
        <v>B</v>
      </c>
      <c r="I8" s="3" t="str">
        <f aca="false">'理科（後期）'!P9</f>
        <v>A</v>
      </c>
      <c r="J8" s="3" t="str">
        <f aca="false">'理科（後期）'!AC9</f>
        <v>B</v>
      </c>
      <c r="K8" s="3" t="str">
        <f aca="false">'英語（後期）'!P9</f>
        <v>A</v>
      </c>
      <c r="L8" s="3" t="str">
        <f aca="false">'英語（後期）'!AC9</f>
        <v>A</v>
      </c>
      <c r="M8" s="3" t="str">
        <f aca="false">'保健（後期）'!P9</f>
        <v>A</v>
      </c>
      <c r="N8" s="3" t="str">
        <f aca="false">'保健（後期）'!AC9</f>
        <v>B</v>
      </c>
    </row>
    <row r="9" customFormat="false" ht="15" hidden="false" customHeight="false" outlineLevel="0" collapsed="false">
      <c r="A9" s="3" t="n">
        <v>6</v>
      </c>
      <c r="B9" s="60" t="str">
        <f aca="false">IF(名簿!B8="","",名簿!B8)</f>
        <v>小川 彩花</v>
      </c>
      <c r="C9" s="3" t="str">
        <f aca="false">'国語（後期）'!P10</f>
        <v>B</v>
      </c>
      <c r="D9" s="3" t="str">
        <f aca="false">'国語（後期）'!AC10</f>
        <v>C</v>
      </c>
      <c r="E9" s="3" t="str">
        <f aca="false">'算数（後期）'!P10</f>
        <v>B</v>
      </c>
      <c r="F9" s="3" t="str">
        <f aca="false">'算数（後期）'!AC10</f>
        <v>B</v>
      </c>
      <c r="G9" s="3" t="str">
        <f aca="false">'社会（後期）'!P10</f>
        <v>B</v>
      </c>
      <c r="H9" s="3" t="str">
        <f aca="false">'社会（後期）'!AC10</f>
        <v>B</v>
      </c>
      <c r="I9" s="3" t="str">
        <f aca="false">'理科（後期）'!P10</f>
        <v>B</v>
      </c>
      <c r="J9" s="3" t="str">
        <f aca="false">'理科（後期）'!AC10</f>
        <v>C</v>
      </c>
      <c r="K9" s="3" t="str">
        <f aca="false">'英語（後期）'!P10</f>
        <v>B</v>
      </c>
      <c r="L9" s="3" t="str">
        <f aca="false">'英語（後期）'!AC10</f>
        <v>B</v>
      </c>
      <c r="M9" s="3" t="str">
        <f aca="false">'保健（後期）'!P10</f>
        <v>B</v>
      </c>
      <c r="N9" s="3" t="str">
        <f aca="false">'保健（後期）'!AC10</f>
        <v>B</v>
      </c>
    </row>
    <row r="10" customFormat="false" ht="15" hidden="false" customHeight="false" outlineLevel="0" collapsed="false">
      <c r="A10" s="3" t="n">
        <v>7</v>
      </c>
      <c r="B10" s="60" t="str">
        <f aca="false">IF(名簿!B9="","",名簿!B9)</f>
        <v>近藤 蒼</v>
      </c>
      <c r="C10" s="3" t="str">
        <f aca="false">'国語（後期）'!P11</f>
        <v>B</v>
      </c>
      <c r="D10" s="3" t="str">
        <f aca="false">'国語（後期）'!AC11</f>
        <v>B</v>
      </c>
      <c r="E10" s="3" t="str">
        <f aca="false">'算数（後期）'!P11</f>
        <v>B</v>
      </c>
      <c r="F10" s="3" t="str">
        <f aca="false">'算数（後期）'!AC11</f>
        <v>B</v>
      </c>
      <c r="G10" s="3" t="str">
        <f aca="false">'社会（後期）'!P11</f>
        <v>B</v>
      </c>
      <c r="H10" s="3" t="str">
        <f aca="false">'社会（後期）'!AC11</f>
        <v>B</v>
      </c>
      <c r="I10" s="3" t="str">
        <f aca="false">'理科（後期）'!P11</f>
        <v>B</v>
      </c>
      <c r="J10" s="3" t="str">
        <f aca="false">'理科（後期）'!AC11</f>
        <v>B</v>
      </c>
      <c r="K10" s="3" t="str">
        <f aca="false">'英語（後期）'!P11</f>
        <v>B</v>
      </c>
      <c r="L10" s="3" t="str">
        <f aca="false">'英語（後期）'!AC11</f>
        <v>B</v>
      </c>
      <c r="M10" s="3" t="str">
        <f aca="false">'保健（後期）'!P11</f>
        <v>B</v>
      </c>
      <c r="N10" s="3" t="str">
        <f aca="false">'保健（後期）'!AC11</f>
        <v>C</v>
      </c>
    </row>
    <row r="11" customFormat="false" ht="15" hidden="false" customHeight="false" outlineLevel="0" collapsed="false">
      <c r="A11" s="3" t="n">
        <v>8</v>
      </c>
      <c r="B11" s="60" t="str">
        <f aca="false">IF(名簿!B10="","",名簿!B10)</f>
        <v>清水 莉子</v>
      </c>
      <c r="C11" s="3" t="str">
        <f aca="false">'国語（後期）'!P12</f>
        <v>A</v>
      </c>
      <c r="D11" s="3" t="str">
        <f aca="false">'国語（後期）'!AC12</f>
        <v>B</v>
      </c>
      <c r="E11" s="3" t="str">
        <f aca="false">'算数（後期）'!P12</f>
        <v>A</v>
      </c>
      <c r="F11" s="3" t="str">
        <f aca="false">'算数（後期）'!AC12</f>
        <v>A</v>
      </c>
      <c r="G11" s="3" t="str">
        <f aca="false">'社会（後期）'!P12</f>
        <v>A</v>
      </c>
      <c r="H11" s="3" t="str">
        <f aca="false">'社会（後期）'!AC12</f>
        <v>A</v>
      </c>
      <c r="I11" s="3" t="str">
        <f aca="false">'理科（後期）'!P12</f>
        <v>A</v>
      </c>
      <c r="J11" s="3" t="str">
        <f aca="false">'理科（後期）'!AC12</f>
        <v>B</v>
      </c>
      <c r="K11" s="3" t="str">
        <f aca="false">'英語（後期）'!P12</f>
        <v>B</v>
      </c>
      <c r="L11" s="3" t="str">
        <f aca="false">'英語（後期）'!AC12</f>
        <v>B</v>
      </c>
      <c r="M11" s="3" t="str">
        <f aca="false">'保健（後期）'!P12</f>
        <v>A</v>
      </c>
      <c r="N11" s="3" t="str">
        <f aca="false">'保健（後期）'!AC12</f>
        <v>B</v>
      </c>
    </row>
    <row r="12" customFormat="false" ht="15" hidden="false" customHeight="false" outlineLevel="0" collapsed="false">
      <c r="A12" s="3" t="n">
        <v>9</v>
      </c>
      <c r="B12" s="60" t="str">
        <f aca="false">IF(名簿!B11="","",名簿!B11)</f>
        <v>鈴木 海斗</v>
      </c>
      <c r="C12" s="3" t="str">
        <f aca="false">'国語（後期）'!P13</f>
        <v>B</v>
      </c>
      <c r="D12" s="3" t="str">
        <f aca="false">'国語（後期）'!AC13</f>
        <v>B</v>
      </c>
      <c r="E12" s="3" t="str">
        <f aca="false">'算数（後期）'!P13</f>
        <v>B</v>
      </c>
      <c r="F12" s="3" t="str">
        <f aca="false">'算数（後期）'!AC13</f>
        <v>B</v>
      </c>
      <c r="G12" s="3" t="str">
        <f aca="false">'社会（後期）'!P13</f>
        <v>B</v>
      </c>
      <c r="H12" s="3" t="str">
        <f aca="false">'社会（後期）'!AC13</f>
        <v>B</v>
      </c>
      <c r="I12" s="3" t="str">
        <f aca="false">'理科（後期）'!P13</f>
        <v>B</v>
      </c>
      <c r="J12" s="3" t="str">
        <f aca="false">'理科（後期）'!AC13</f>
        <v>B</v>
      </c>
      <c r="K12" s="3" t="str">
        <f aca="false">'英語（後期）'!P13</f>
        <v>B</v>
      </c>
      <c r="L12" s="3" t="str">
        <f aca="false">'英語（後期）'!AC13</f>
        <v>B</v>
      </c>
      <c r="M12" s="3" t="str">
        <f aca="false">'保健（後期）'!P13</f>
        <v>B</v>
      </c>
      <c r="N12" s="3" t="str">
        <f aca="false">'保健（後期）'!AC13</f>
        <v>B</v>
      </c>
    </row>
    <row r="13" customFormat="false" ht="15" hidden="false" customHeight="false" outlineLevel="0" collapsed="false">
      <c r="A13" s="3" t="n">
        <v>10</v>
      </c>
      <c r="B13" s="60" t="str">
        <f aca="false">IF(名簿!B12="","",名簿!B12)</f>
        <v>松本 さくら</v>
      </c>
      <c r="C13" s="3" t="str">
        <f aca="false">'国語（後期）'!P14</f>
        <v>A</v>
      </c>
      <c r="D13" s="3" t="str">
        <f aca="false">'国語（後期）'!AC14</f>
        <v>B</v>
      </c>
      <c r="E13" s="3" t="str">
        <f aca="false">'算数（後期）'!P14</f>
        <v>B</v>
      </c>
      <c r="F13" s="3" t="str">
        <f aca="false">'算数（後期）'!AC14</f>
        <v>B</v>
      </c>
      <c r="G13" s="3" t="str">
        <f aca="false">'社会（後期）'!P14</f>
        <v>B</v>
      </c>
      <c r="H13" s="3" t="str">
        <f aca="false">'社会（後期）'!AC14</f>
        <v>B</v>
      </c>
      <c r="I13" s="3" t="str">
        <f aca="false">'理科（後期）'!P14</f>
        <v>A</v>
      </c>
      <c r="J13" s="3" t="str">
        <f aca="false">'理科（後期）'!AC14</f>
        <v>B</v>
      </c>
      <c r="K13" s="3" t="str">
        <f aca="false">'英語（後期）'!P14</f>
        <v>B</v>
      </c>
      <c r="L13" s="3" t="str">
        <f aca="false">'英語（後期）'!AC14</f>
        <v>B</v>
      </c>
      <c r="M13" s="3" t="str">
        <f aca="false">'保健（後期）'!P14</f>
        <v>B</v>
      </c>
      <c r="N13" s="3" t="str">
        <f aca="false">'保健（後期）'!AC14</f>
        <v>B</v>
      </c>
    </row>
    <row r="14" customFormat="false" ht="15" hidden="false" customHeight="false" outlineLevel="0" collapsed="false">
      <c r="A14" s="3" t="n">
        <v>11</v>
      </c>
      <c r="B14" s="60" t="str">
        <f aca="false">IF(名簿!B13="","",名簿!B13)</f>
        <v>岡田 健太</v>
      </c>
      <c r="C14" s="3" t="str">
        <f aca="false">'国語（後期）'!P15</f>
        <v>B</v>
      </c>
      <c r="D14" s="3" t="str">
        <f aca="false">'国語（後期）'!AC15</f>
        <v>B</v>
      </c>
      <c r="E14" s="3" t="str">
        <f aca="false">'算数（後期）'!P15</f>
        <v>A</v>
      </c>
      <c r="F14" s="3" t="str">
        <f aca="false">'算数（後期）'!AC15</f>
        <v>B</v>
      </c>
      <c r="G14" s="3" t="str">
        <f aca="false">'社会（後期）'!P15</f>
        <v>B</v>
      </c>
      <c r="H14" s="3" t="str">
        <f aca="false">'社会（後期）'!AC15</f>
        <v>B</v>
      </c>
      <c r="I14" s="3" t="str">
        <f aca="false">'理科（後期）'!P15</f>
        <v>A</v>
      </c>
      <c r="J14" s="3" t="str">
        <f aca="false">'理科（後期）'!AC15</f>
        <v>B</v>
      </c>
      <c r="K14" s="3" t="str">
        <f aca="false">'英語（後期）'!P15</f>
        <v>B</v>
      </c>
      <c r="L14" s="3" t="str">
        <f aca="false">'英語（後期）'!AC15</f>
        <v>B</v>
      </c>
      <c r="M14" s="3" t="str">
        <f aca="false">'保健（後期）'!P15</f>
        <v>A</v>
      </c>
      <c r="N14" s="3" t="str">
        <f aca="false">'保健（後期）'!AC15</f>
        <v>B</v>
      </c>
    </row>
    <row r="15" customFormat="false" ht="15" hidden="false" customHeight="false" outlineLevel="0" collapsed="false">
      <c r="A15" s="3" t="n">
        <v>12</v>
      </c>
      <c r="B15" s="60" t="str">
        <f aca="false">IF(名簿!B14="","",名簿!B14)</f>
        <v>佐々木 彩花</v>
      </c>
      <c r="C15" s="3" t="str">
        <f aca="false">'国語（後期）'!P16</f>
        <v>B</v>
      </c>
      <c r="D15" s="3" t="str">
        <f aca="false">'国語（後期）'!AC16</f>
        <v>B</v>
      </c>
      <c r="E15" s="3" t="str">
        <f aca="false">'算数（後期）'!P16</f>
        <v>A</v>
      </c>
      <c r="F15" s="3" t="str">
        <f aca="false">'算数（後期）'!AC16</f>
        <v>B</v>
      </c>
      <c r="G15" s="3" t="str">
        <f aca="false">'社会（後期）'!P16</f>
        <v>B</v>
      </c>
      <c r="H15" s="3" t="str">
        <f aca="false">'社会（後期）'!AC16</f>
        <v>B</v>
      </c>
      <c r="I15" s="3" t="str">
        <f aca="false">'理科（後期）'!P16</f>
        <v>B</v>
      </c>
      <c r="J15" s="3" t="str">
        <f aca="false">'理科（後期）'!AC16</f>
        <v>B</v>
      </c>
      <c r="K15" s="3" t="str">
        <f aca="false">'英語（後期）'!P16</f>
        <v>B</v>
      </c>
      <c r="L15" s="3" t="str">
        <f aca="false">'英語（後期）'!AC16</f>
        <v>B</v>
      </c>
      <c r="M15" s="3" t="str">
        <f aca="false">'保健（後期）'!P16</f>
        <v>B</v>
      </c>
      <c r="N15" s="3" t="str">
        <f aca="false">'保健（後期）'!AC16</f>
        <v>B</v>
      </c>
    </row>
    <row r="16" customFormat="false" ht="15" hidden="false" customHeight="false" outlineLevel="0" collapsed="false">
      <c r="A16" s="3" t="n">
        <v>13</v>
      </c>
      <c r="B16" s="60" t="str">
        <f aca="false">IF(名簿!B15="","",名簿!B15)</f>
        <v>石川 健太</v>
      </c>
      <c r="C16" s="3" t="str">
        <f aca="false">'国語（後期）'!P17</f>
        <v>B</v>
      </c>
      <c r="D16" s="3" t="str">
        <f aca="false">'国語（後期）'!AC17</f>
        <v>C</v>
      </c>
      <c r="E16" s="3" t="str">
        <f aca="false">'算数（後期）'!P17</f>
        <v>B</v>
      </c>
      <c r="F16" s="3" t="str">
        <f aca="false">'算数（後期）'!AC17</f>
        <v>C</v>
      </c>
      <c r="G16" s="3" t="str">
        <f aca="false">'社会（後期）'!P17</f>
        <v>B</v>
      </c>
      <c r="H16" s="3" t="str">
        <f aca="false">'社会（後期）'!AC17</f>
        <v>C</v>
      </c>
      <c r="I16" s="3" t="str">
        <f aca="false">'理科（後期）'!P17</f>
        <v>B</v>
      </c>
      <c r="J16" s="3" t="str">
        <f aca="false">'理科（後期）'!AC17</f>
        <v>C</v>
      </c>
      <c r="K16" s="3" t="str">
        <f aca="false">'英語（後期）'!P17</f>
        <v>B</v>
      </c>
      <c r="L16" s="3" t="str">
        <f aca="false">'英語（後期）'!AC17</f>
        <v>C</v>
      </c>
      <c r="M16" s="3" t="str">
        <f aca="false">'保健（後期）'!P17</f>
        <v>B</v>
      </c>
      <c r="N16" s="3" t="str">
        <f aca="false">'保健（後期）'!AC17</f>
        <v>C</v>
      </c>
    </row>
    <row r="17" customFormat="false" ht="15" hidden="false" customHeight="false" outlineLevel="0" collapsed="false">
      <c r="A17" s="3" t="n">
        <v>14</v>
      </c>
      <c r="B17" s="60" t="str">
        <f aca="false">IF(名簿!B16="","",名簿!B16)</f>
        <v>山崎 陽葵</v>
      </c>
      <c r="C17" s="3" t="str">
        <f aca="false">'国語（後期）'!P18</f>
        <v>A</v>
      </c>
      <c r="D17" s="3" t="str">
        <f aca="false">'国語（後期）'!AC18</f>
        <v>B</v>
      </c>
      <c r="E17" s="3" t="str">
        <f aca="false">'算数（後期）'!P18</f>
        <v>A</v>
      </c>
      <c r="F17" s="3" t="str">
        <f aca="false">'算数（後期）'!AC18</f>
        <v>A</v>
      </c>
      <c r="G17" s="3" t="str">
        <f aca="false">'社会（後期）'!P18</f>
        <v>B</v>
      </c>
      <c r="H17" s="3" t="str">
        <f aca="false">'社会（後期）'!AC18</f>
        <v>B</v>
      </c>
      <c r="I17" s="3" t="str">
        <f aca="false">'理科（後期）'!P18</f>
        <v>B</v>
      </c>
      <c r="J17" s="3" t="str">
        <f aca="false">'理科（後期）'!AC18</f>
        <v>B</v>
      </c>
      <c r="K17" s="3" t="str">
        <f aca="false">'英語（後期）'!P18</f>
        <v>A</v>
      </c>
      <c r="L17" s="3" t="str">
        <f aca="false">'英語（後期）'!AC18</f>
        <v>B</v>
      </c>
      <c r="M17" s="3" t="str">
        <f aca="false">'保健（後期）'!P18</f>
        <v>A</v>
      </c>
      <c r="N17" s="3" t="str">
        <f aca="false">'保健（後期）'!AC18</f>
        <v>A</v>
      </c>
    </row>
    <row r="18" customFormat="false" ht="15" hidden="false" customHeight="false" outlineLevel="0" collapsed="false">
      <c r="A18" s="3" t="n">
        <v>15</v>
      </c>
      <c r="B18" s="60" t="str">
        <f aca="false">IF(名簿!B17="","",名簿!B17)</f>
        <v>加藤 朝陽</v>
      </c>
      <c r="C18" s="3" t="str">
        <f aca="false">'国語（後期）'!P19</f>
        <v>C</v>
      </c>
      <c r="D18" s="3" t="str">
        <f aca="false">'国語（後期）'!AC19</f>
        <v>C</v>
      </c>
      <c r="E18" s="3" t="str">
        <f aca="false">'算数（後期）'!P19</f>
        <v>C</v>
      </c>
      <c r="F18" s="3" t="str">
        <f aca="false">'算数（後期）'!AC19</f>
        <v>C</v>
      </c>
      <c r="G18" s="3" t="str">
        <f aca="false">'社会（後期）'!P19</f>
        <v>C</v>
      </c>
      <c r="H18" s="3" t="str">
        <f aca="false">'社会（後期）'!AC19</f>
        <v>C</v>
      </c>
      <c r="I18" s="3" t="str">
        <f aca="false">'理科（後期）'!P19</f>
        <v>C</v>
      </c>
      <c r="J18" s="3" t="str">
        <f aca="false">'理科（後期）'!AC19</f>
        <v>C</v>
      </c>
      <c r="K18" s="3" t="str">
        <f aca="false">'英語（後期）'!P19</f>
        <v>C</v>
      </c>
      <c r="L18" s="3" t="str">
        <f aca="false">'英語（後期）'!AC19</f>
        <v>C</v>
      </c>
      <c r="M18" s="3" t="str">
        <f aca="false">'保健（後期）'!P19</f>
        <v>B</v>
      </c>
      <c r="N18" s="3" t="str">
        <f aca="false">'保健（後期）'!AC19</f>
        <v>C</v>
      </c>
    </row>
    <row r="19" customFormat="false" ht="15" hidden="false" customHeight="false" outlineLevel="0" collapsed="false">
      <c r="A19" s="3" t="n">
        <v>16</v>
      </c>
      <c r="B19" s="60" t="str">
        <f aca="false">IF(名簿!B18="","",名簿!B18)</f>
        <v>藤田 結愛</v>
      </c>
      <c r="C19" s="3" t="str">
        <f aca="false">'国語（後期）'!P20</f>
        <v>A</v>
      </c>
      <c r="D19" s="3" t="str">
        <f aca="false">'国語（後期）'!AC20</f>
        <v>A</v>
      </c>
      <c r="E19" s="3" t="str">
        <f aca="false">'算数（後期）'!P20</f>
        <v>A</v>
      </c>
      <c r="F19" s="3" t="str">
        <f aca="false">'算数（後期）'!AC20</f>
        <v>A</v>
      </c>
      <c r="G19" s="3" t="str">
        <f aca="false">'社会（後期）'!P20</f>
        <v>A</v>
      </c>
      <c r="H19" s="3" t="str">
        <f aca="false">'社会（後期）'!AC20</f>
        <v>A</v>
      </c>
      <c r="I19" s="3" t="str">
        <f aca="false">'理科（後期）'!P20</f>
        <v>A</v>
      </c>
      <c r="J19" s="3" t="str">
        <f aca="false">'理科（後期）'!AC20</f>
        <v>A</v>
      </c>
      <c r="K19" s="3" t="str">
        <f aca="false">'英語（後期）'!P20</f>
        <v>A</v>
      </c>
      <c r="L19" s="3" t="str">
        <f aca="false">'英語（後期）'!AC20</f>
        <v>A</v>
      </c>
      <c r="M19" s="3" t="str">
        <f aca="false">'保健（後期）'!P20</f>
        <v>A</v>
      </c>
      <c r="N19" s="3" t="str">
        <f aca="false">'保健（後期）'!AC20</f>
        <v>A</v>
      </c>
    </row>
    <row r="20" customFormat="false" ht="15" hidden="false" customHeight="false" outlineLevel="0" collapsed="false">
      <c r="A20" s="3" t="n">
        <v>17</v>
      </c>
      <c r="B20" s="60" t="str">
        <f aca="false">IF(名簿!B19="","",名簿!B19)</f>
        <v>田中 大和</v>
      </c>
      <c r="C20" s="3" t="str">
        <f aca="false">'国語（後期）'!P21</f>
        <v>B</v>
      </c>
      <c r="D20" s="3" t="str">
        <f aca="false">'国語（後期）'!AC21</f>
        <v>B</v>
      </c>
      <c r="E20" s="3" t="str">
        <f aca="false">'算数（後期）'!P21</f>
        <v>B</v>
      </c>
      <c r="F20" s="3" t="str">
        <f aca="false">'算数（後期）'!AC21</f>
        <v>B</v>
      </c>
      <c r="G20" s="3" t="str">
        <f aca="false">'社会（後期）'!P21</f>
        <v>B</v>
      </c>
      <c r="H20" s="3" t="str">
        <f aca="false">'社会（後期）'!AC21</f>
        <v>B</v>
      </c>
      <c r="I20" s="3" t="str">
        <f aca="false">'理科（後期）'!P21</f>
        <v>B</v>
      </c>
      <c r="J20" s="3" t="str">
        <f aca="false">'理科（後期）'!AC21</f>
        <v>B</v>
      </c>
      <c r="K20" s="3" t="str">
        <f aca="false">'英語（後期）'!P21</f>
        <v>B</v>
      </c>
      <c r="L20" s="3" t="str">
        <f aca="false">'英語（後期）'!AC21</f>
        <v>B</v>
      </c>
      <c r="M20" s="3" t="str">
        <f aca="false">'保健（後期）'!P21</f>
        <v>B</v>
      </c>
      <c r="N20" s="3" t="str">
        <f aca="false">'保健（後期）'!AC21</f>
        <v>B</v>
      </c>
    </row>
    <row r="21" customFormat="false" ht="15" hidden="false" customHeight="false" outlineLevel="0" collapsed="false">
      <c r="A21" s="3" t="n">
        <v>18</v>
      </c>
      <c r="B21" s="60" t="str">
        <f aca="false">IF(名簿!B20="","",名簿!B20)</f>
        <v>山口 心春</v>
      </c>
      <c r="C21" s="3" t="str">
        <f aca="false">'国語（後期）'!P22</f>
        <v>A</v>
      </c>
      <c r="D21" s="3" t="str">
        <f aca="false">'国語（後期）'!AC22</f>
        <v>A</v>
      </c>
      <c r="E21" s="3" t="str">
        <f aca="false">'算数（後期）'!P22</f>
        <v>A</v>
      </c>
      <c r="F21" s="3" t="str">
        <f aca="false">'算数（後期）'!AC22</f>
        <v>A</v>
      </c>
      <c r="G21" s="3" t="str">
        <f aca="false">'社会（後期）'!P22</f>
        <v>A</v>
      </c>
      <c r="H21" s="3" t="str">
        <f aca="false">'社会（後期）'!AC22</f>
        <v>A</v>
      </c>
      <c r="I21" s="3" t="str">
        <f aca="false">'理科（後期）'!P22</f>
        <v>A</v>
      </c>
      <c r="J21" s="3" t="str">
        <f aca="false">'理科（後期）'!AC22</f>
        <v>A</v>
      </c>
      <c r="K21" s="3" t="str">
        <f aca="false">'英語（後期）'!P22</f>
        <v>A</v>
      </c>
      <c r="L21" s="3" t="str">
        <f aca="false">'英語（後期）'!AC22</f>
        <v>A</v>
      </c>
      <c r="M21" s="3" t="str">
        <f aca="false">'保健（後期）'!P22</f>
        <v>A</v>
      </c>
      <c r="N21" s="3" t="str">
        <f aca="false">'保健（後期）'!AC22</f>
        <v>A</v>
      </c>
    </row>
    <row r="22" customFormat="false" ht="15" hidden="false" customHeight="false" outlineLevel="0" collapsed="false">
      <c r="A22" s="3" t="n">
        <v>19</v>
      </c>
      <c r="B22" s="60" t="str">
        <f aca="false">IF(名簿!B21="","",名簿!B21)</f>
        <v>山本 朝陽</v>
      </c>
      <c r="C22" s="3" t="str">
        <f aca="false">'国語（後期）'!P23</f>
        <v>A</v>
      </c>
      <c r="D22" s="3" t="str">
        <f aca="false">'国語（後期）'!AC23</f>
        <v>A</v>
      </c>
      <c r="E22" s="3" t="str">
        <f aca="false">'算数（後期）'!P23</f>
        <v>A</v>
      </c>
      <c r="F22" s="3" t="str">
        <f aca="false">'算数（後期）'!AC23</f>
        <v>A</v>
      </c>
      <c r="G22" s="3" t="str">
        <f aca="false">'社会（後期）'!P23</f>
        <v>A</v>
      </c>
      <c r="H22" s="3" t="str">
        <f aca="false">'社会（後期）'!AC23</f>
        <v>B</v>
      </c>
      <c r="I22" s="3" t="str">
        <f aca="false">'理科（後期）'!P23</f>
        <v>A</v>
      </c>
      <c r="J22" s="3" t="str">
        <f aca="false">'理科（後期）'!AC23</f>
        <v>A</v>
      </c>
      <c r="K22" s="3" t="str">
        <f aca="false">'英語（後期）'!P23</f>
        <v>A</v>
      </c>
      <c r="L22" s="3" t="str">
        <f aca="false">'英語（後期）'!AC23</f>
        <v>B</v>
      </c>
      <c r="M22" s="3" t="str">
        <f aca="false">'保健（後期）'!P23</f>
        <v>A</v>
      </c>
      <c r="N22" s="3" t="str">
        <f aca="false">'保健（後期）'!AC23</f>
        <v>B</v>
      </c>
    </row>
    <row r="23" customFormat="false" ht="15" hidden="false" customHeight="false" outlineLevel="0" collapsed="false">
      <c r="A23" s="3" t="n">
        <v>20</v>
      </c>
      <c r="B23" s="60" t="str">
        <f aca="false">IF(名簿!B22="","",名簿!B22)</f>
        <v>前田 彩花</v>
      </c>
      <c r="C23" s="3" t="str">
        <f aca="false">'国語（後期）'!P24</f>
        <v>B</v>
      </c>
      <c r="D23" s="3" t="str">
        <f aca="false">'国語（後期）'!AC24</f>
        <v>C</v>
      </c>
      <c r="E23" s="3" t="str">
        <f aca="false">'算数（後期）'!P24</f>
        <v>B</v>
      </c>
      <c r="F23" s="3" t="str">
        <f aca="false">'算数（後期）'!AC24</f>
        <v>B</v>
      </c>
      <c r="G23" s="3" t="str">
        <f aca="false">'社会（後期）'!P24</f>
        <v>B</v>
      </c>
      <c r="H23" s="3" t="str">
        <f aca="false">'社会（後期）'!AC24</f>
        <v>C</v>
      </c>
      <c r="I23" s="3" t="str">
        <f aca="false">'理科（後期）'!P24</f>
        <v>B</v>
      </c>
      <c r="J23" s="3" t="str">
        <f aca="false">'理科（後期）'!AC24</f>
        <v>C</v>
      </c>
      <c r="K23" s="3" t="str">
        <f aca="false">'英語（後期）'!P24</f>
        <v>B</v>
      </c>
      <c r="L23" s="3" t="str">
        <f aca="false">'英語（後期）'!AC24</f>
        <v>B</v>
      </c>
      <c r="M23" s="3" t="str">
        <f aca="false">'保健（後期）'!P24</f>
        <v>B</v>
      </c>
      <c r="N23" s="3" t="str">
        <f aca="false">'保健（後期）'!AC24</f>
        <v>B</v>
      </c>
    </row>
    <row r="24" customFormat="false" ht="15" hidden="false" customHeight="false" outlineLevel="0" collapsed="false">
      <c r="A24" s="3" t="n">
        <v>21</v>
      </c>
      <c r="B24" s="60" t="str">
        <f aca="false">IF(名簿!B23="","",名簿!B23)</f>
        <v>小林 湊</v>
      </c>
      <c r="C24" s="3" t="str">
        <f aca="false">'国語（後期）'!P25</f>
        <v>A</v>
      </c>
      <c r="D24" s="3" t="str">
        <f aca="false">'国語（後期）'!AC25</f>
        <v>B</v>
      </c>
      <c r="E24" s="3" t="str">
        <f aca="false">'算数（後期）'!P25</f>
        <v>A</v>
      </c>
      <c r="F24" s="3" t="str">
        <f aca="false">'算数（後期）'!AC25</f>
        <v>B</v>
      </c>
      <c r="G24" s="3" t="str">
        <f aca="false">'社会（後期）'!P25</f>
        <v>A</v>
      </c>
      <c r="H24" s="3" t="str">
        <f aca="false">'社会（後期）'!AC25</f>
        <v>B</v>
      </c>
      <c r="I24" s="3" t="str">
        <f aca="false">'理科（後期）'!P25</f>
        <v>A</v>
      </c>
      <c r="J24" s="3" t="str">
        <f aca="false">'理科（後期）'!AC25</f>
        <v>B</v>
      </c>
      <c r="K24" s="3" t="str">
        <f aca="false">'英語（後期）'!P25</f>
        <v>A</v>
      </c>
      <c r="L24" s="3" t="str">
        <f aca="false">'英語（後期）'!AC25</f>
        <v>B</v>
      </c>
      <c r="M24" s="3" t="str">
        <f aca="false">'保健（後期）'!P25</f>
        <v>A</v>
      </c>
      <c r="N24" s="3" t="str">
        <f aca="false">'保健（後期）'!AC25</f>
        <v>B</v>
      </c>
    </row>
    <row r="25" customFormat="false" ht="15" hidden="false" customHeight="false" outlineLevel="0" collapsed="false">
      <c r="A25" s="3" t="n">
        <v>22</v>
      </c>
      <c r="B25" s="60" t="str">
        <f aca="false">IF(名簿!B24="","",名簿!B24)</f>
        <v>後藤 結菜</v>
      </c>
      <c r="C25" s="3" t="str">
        <f aca="false">'国語（後期）'!P26</f>
        <v>B</v>
      </c>
      <c r="D25" s="3" t="str">
        <f aca="false">'国語（後期）'!AC26</f>
        <v>C</v>
      </c>
      <c r="E25" s="3" t="str">
        <f aca="false">'算数（後期）'!P26</f>
        <v>B</v>
      </c>
      <c r="F25" s="3" t="str">
        <f aca="false">'算数（後期）'!AC26</f>
        <v>B</v>
      </c>
      <c r="G25" s="3" t="str">
        <f aca="false">'社会（後期）'!P26</f>
        <v>B</v>
      </c>
      <c r="H25" s="3" t="str">
        <f aca="false">'社会（後期）'!AC26</f>
        <v>B</v>
      </c>
      <c r="I25" s="3" t="str">
        <f aca="false">'理科（後期）'!P26</f>
        <v>B</v>
      </c>
      <c r="J25" s="3" t="str">
        <f aca="false">'理科（後期）'!AC26</f>
        <v>B</v>
      </c>
      <c r="K25" s="3" t="str">
        <f aca="false">'英語（後期）'!P26</f>
        <v>B</v>
      </c>
      <c r="L25" s="3" t="str">
        <f aca="false">'英語（後期）'!AC26</f>
        <v>B</v>
      </c>
      <c r="M25" s="3" t="str">
        <f aca="false">'保健（後期）'!P26</f>
        <v>B</v>
      </c>
      <c r="N25" s="3" t="str">
        <f aca="false">'保健（後期）'!AC26</f>
        <v>C</v>
      </c>
    </row>
    <row r="26" customFormat="false" ht="15" hidden="false" customHeight="false" outlineLevel="0" collapsed="false">
      <c r="A26" s="3" t="n">
        <v>23</v>
      </c>
      <c r="B26" s="60" t="str">
        <f aca="false">IF(名簿!B25="","",名簿!B25)</f>
        <v>吉田 健太</v>
      </c>
      <c r="C26" s="3" t="str">
        <f aca="false">'国語（後期）'!P27</f>
        <v>A</v>
      </c>
      <c r="D26" s="3" t="str">
        <f aca="false">'国語（後期）'!AC27</f>
        <v>A</v>
      </c>
      <c r="E26" s="3" t="str">
        <f aca="false">'算数（後期）'!P27</f>
        <v>A</v>
      </c>
      <c r="F26" s="3" t="str">
        <f aca="false">'算数（後期）'!AC27</f>
        <v>B</v>
      </c>
      <c r="G26" s="3" t="str">
        <f aca="false">'社会（後期）'!P27</f>
        <v>B</v>
      </c>
      <c r="H26" s="3" t="str">
        <f aca="false">'社会（後期）'!AC27</f>
        <v>B</v>
      </c>
      <c r="I26" s="3" t="str">
        <f aca="false">'理科（後期）'!P27</f>
        <v>A</v>
      </c>
      <c r="J26" s="3" t="str">
        <f aca="false">'理科（後期）'!AC27</f>
        <v>B</v>
      </c>
      <c r="K26" s="3" t="str">
        <f aca="false">'英語（後期）'!P27</f>
        <v>A</v>
      </c>
      <c r="L26" s="3" t="str">
        <f aca="false">'英語（後期）'!AC27</f>
        <v>B</v>
      </c>
      <c r="M26" s="3" t="str">
        <f aca="false">'保健（後期）'!P27</f>
        <v>A</v>
      </c>
      <c r="N26" s="3" t="str">
        <f aca="false">'保健（後期）'!AC27</f>
        <v>B</v>
      </c>
    </row>
    <row r="27" customFormat="false" ht="15" hidden="false" customHeight="false" outlineLevel="0" collapsed="false">
      <c r="A27" s="3" t="n">
        <v>24</v>
      </c>
      <c r="B27" s="60" t="str">
        <f aca="false">IF(名簿!B26="","",名簿!B26)</f>
        <v>山田 楓</v>
      </c>
      <c r="C27" s="3" t="str">
        <f aca="false">'国語（後期）'!P28</f>
        <v>B</v>
      </c>
      <c r="D27" s="3" t="str">
        <f aca="false">'国語（後期）'!AC28</f>
        <v>C</v>
      </c>
      <c r="E27" s="3" t="str">
        <f aca="false">'算数（後期）'!P28</f>
        <v>B</v>
      </c>
      <c r="F27" s="3" t="str">
        <f aca="false">'算数（後期）'!AC28</f>
        <v>C</v>
      </c>
      <c r="G27" s="3" t="str">
        <f aca="false">'社会（後期）'!P28</f>
        <v>B</v>
      </c>
      <c r="H27" s="3" t="str">
        <f aca="false">'社会（後期）'!AC28</f>
        <v>C</v>
      </c>
      <c r="I27" s="3" t="str">
        <f aca="false">'理科（後期）'!P28</f>
        <v>B</v>
      </c>
      <c r="J27" s="3" t="str">
        <f aca="false">'理科（後期）'!AC28</f>
        <v>C</v>
      </c>
      <c r="K27" s="3" t="str">
        <f aca="false">'英語（後期）'!P28</f>
        <v>C</v>
      </c>
      <c r="L27" s="3" t="str">
        <f aca="false">'英語（後期）'!AC28</f>
        <v>C</v>
      </c>
      <c r="M27" s="3" t="str">
        <f aca="false">'保健（後期）'!P28</f>
        <v>C</v>
      </c>
      <c r="N27" s="3" t="str">
        <f aca="false">'保健（後期）'!AC28</f>
        <v>C</v>
      </c>
    </row>
    <row r="28" customFormat="false" ht="15" hidden="false" customHeight="false" outlineLevel="0" collapsed="false">
      <c r="A28" s="3" t="n">
        <v>25</v>
      </c>
      <c r="B28" s="60" t="str">
        <f aca="false">IF(名簿!B27="","",名簿!B27)</f>
        <v>橋本 蒼</v>
      </c>
      <c r="C28" s="3" t="str">
        <f aca="false">'国語（後期）'!P29</f>
        <v>B</v>
      </c>
      <c r="D28" s="3" t="str">
        <f aca="false">'国語（後期）'!AC29</f>
        <v>C</v>
      </c>
      <c r="E28" s="3" t="str">
        <f aca="false">'算数（後期）'!P29</f>
        <v>B</v>
      </c>
      <c r="F28" s="3" t="str">
        <f aca="false">'算数（後期）'!AC29</f>
        <v>B</v>
      </c>
      <c r="G28" s="3" t="str">
        <f aca="false">'社会（後期）'!P29</f>
        <v>B</v>
      </c>
      <c r="H28" s="3" t="str">
        <f aca="false">'社会（後期）'!AC29</f>
        <v>B</v>
      </c>
      <c r="I28" s="3" t="str">
        <f aca="false">'理科（後期）'!P29</f>
        <v>B</v>
      </c>
      <c r="J28" s="3" t="str">
        <f aca="false">'理科（後期）'!AC29</f>
        <v>C</v>
      </c>
      <c r="K28" s="3" t="str">
        <f aca="false">'英語（後期）'!P29</f>
        <v>B</v>
      </c>
      <c r="L28" s="3" t="str">
        <f aca="false">'英語（後期）'!AC29</f>
        <v>B</v>
      </c>
      <c r="M28" s="3" t="str">
        <f aca="false">'保健（後期）'!P29</f>
        <v>B</v>
      </c>
      <c r="N28" s="3" t="str">
        <f aca="false">'保健（後期）'!AC29</f>
        <v>C</v>
      </c>
    </row>
    <row r="29" customFormat="false" ht="15" hidden="false" customHeight="false" outlineLevel="0" collapsed="false">
      <c r="A29" s="3" t="n">
        <v>26</v>
      </c>
      <c r="B29" s="60" t="str">
        <f aca="false">IF(名簿!B28="","",名簿!B28)</f>
        <v>阿部 凛</v>
      </c>
      <c r="C29" s="3" t="str">
        <f aca="false">'国語（後期）'!P30</f>
        <v>B</v>
      </c>
      <c r="D29" s="3" t="str">
        <f aca="false">'国語（後期）'!AC30</f>
        <v>B</v>
      </c>
      <c r="E29" s="3" t="str">
        <f aca="false">'算数（後期）'!P30</f>
        <v>B</v>
      </c>
      <c r="F29" s="3" t="str">
        <f aca="false">'算数（後期）'!AC30</f>
        <v>B</v>
      </c>
      <c r="G29" s="3" t="str">
        <f aca="false">'社会（後期）'!P30</f>
        <v>B</v>
      </c>
      <c r="H29" s="3" t="str">
        <f aca="false">'社会（後期）'!AC30</f>
        <v>B</v>
      </c>
      <c r="I29" s="3" t="str">
        <f aca="false">'理科（後期）'!P30</f>
        <v>B</v>
      </c>
      <c r="J29" s="3" t="str">
        <f aca="false">'理科（後期）'!AC30</f>
        <v>B</v>
      </c>
      <c r="K29" s="3" t="str">
        <f aca="false">'英語（後期）'!P30</f>
        <v>B</v>
      </c>
      <c r="L29" s="3" t="str">
        <f aca="false">'英語（後期）'!AC30</f>
        <v>B</v>
      </c>
      <c r="M29" s="3" t="str">
        <f aca="false">'保健（後期）'!P30</f>
        <v>B</v>
      </c>
      <c r="N29" s="3" t="str">
        <f aca="false">'保健（後期）'!AC30</f>
        <v>B</v>
      </c>
    </row>
    <row r="30" customFormat="false" ht="15" hidden="false" customHeight="false" outlineLevel="0" collapsed="false">
      <c r="A30" s="3" t="n">
        <v>27</v>
      </c>
      <c r="B30" s="60" t="str">
        <f aca="false">IF(名簿!B29="","",名簿!B29)</f>
        <v>井上 悠人</v>
      </c>
      <c r="C30" s="3" t="str">
        <f aca="false">'国語（後期）'!P31</f>
        <v>A</v>
      </c>
      <c r="D30" s="3" t="str">
        <f aca="false">'国語（後期）'!AC31</f>
        <v>B</v>
      </c>
      <c r="E30" s="3" t="str">
        <f aca="false">'算数（後期）'!P31</f>
        <v>B</v>
      </c>
      <c r="F30" s="3" t="str">
        <f aca="false">'算数（後期）'!AC31</f>
        <v>B</v>
      </c>
      <c r="G30" s="3" t="str">
        <f aca="false">'社会（後期）'!P31</f>
        <v>B</v>
      </c>
      <c r="H30" s="3" t="str">
        <f aca="false">'社会（後期）'!AC31</f>
        <v>B</v>
      </c>
      <c r="I30" s="3" t="str">
        <f aca="false">'理科（後期）'!P31</f>
        <v>B</v>
      </c>
      <c r="J30" s="3" t="str">
        <f aca="false">'理科（後期）'!AC31</f>
        <v>B</v>
      </c>
      <c r="K30" s="3" t="str">
        <f aca="false">'英語（後期）'!P31</f>
        <v>B</v>
      </c>
      <c r="L30" s="3" t="str">
        <f aca="false">'英語（後期）'!AC31</f>
        <v>B</v>
      </c>
      <c r="M30" s="3" t="str">
        <f aca="false">'保健（後期）'!P31</f>
        <v>B</v>
      </c>
      <c r="N30" s="3" t="str">
        <f aca="false">'保健（後期）'!AC31</f>
        <v>B</v>
      </c>
    </row>
    <row r="31" customFormat="false" ht="15" hidden="false" customHeight="false" outlineLevel="0" collapsed="false">
      <c r="A31" s="3" t="n">
        <v>28</v>
      </c>
      <c r="B31" s="60" t="str">
        <f aca="false">IF(名簿!B30="","",名簿!B30)</f>
        <v>斎藤 心春</v>
      </c>
      <c r="C31" s="3" t="str">
        <f aca="false">'国語（後期）'!P32</f>
        <v>B</v>
      </c>
      <c r="D31" s="3" t="str">
        <f aca="false">'国語（後期）'!AC32</f>
        <v>B</v>
      </c>
      <c r="E31" s="3" t="str">
        <f aca="false">'算数（後期）'!P32</f>
        <v>B</v>
      </c>
      <c r="F31" s="3" t="str">
        <f aca="false">'算数（後期）'!AC32</f>
        <v>B</v>
      </c>
      <c r="G31" s="3" t="str">
        <f aca="false">'社会（後期）'!P32</f>
        <v>B</v>
      </c>
      <c r="H31" s="3" t="str">
        <f aca="false">'社会（後期）'!AC32</f>
        <v>B</v>
      </c>
      <c r="I31" s="3" t="str">
        <f aca="false">'理科（後期）'!P32</f>
        <v>B</v>
      </c>
      <c r="J31" s="3" t="str">
        <f aca="false">'理科（後期）'!AC32</f>
        <v>B</v>
      </c>
      <c r="K31" s="3" t="str">
        <f aca="false">'英語（後期）'!P32</f>
        <v>B</v>
      </c>
      <c r="L31" s="3" t="str">
        <f aca="false">'英語（後期）'!AC32</f>
        <v>C</v>
      </c>
      <c r="M31" s="3" t="str">
        <f aca="false">'保健（後期）'!P32</f>
        <v>C</v>
      </c>
      <c r="N31" s="3" t="str">
        <f aca="false">'保健（後期）'!AC32</f>
        <v>B</v>
      </c>
    </row>
    <row r="32" customFormat="false" ht="15" hidden="false" customHeight="false" outlineLevel="0" collapsed="false">
      <c r="A32" s="3" t="n">
        <v>29</v>
      </c>
      <c r="B32" s="60" t="str">
        <f aca="false">IF(名簿!B31="","",名簿!B31)</f>
        <v>森 蒼</v>
      </c>
      <c r="C32" s="3" t="str">
        <f aca="false">'国語（後期）'!P33</f>
        <v>A</v>
      </c>
      <c r="D32" s="3" t="str">
        <f aca="false">'国語（後期）'!AC33</f>
        <v>B</v>
      </c>
      <c r="E32" s="3" t="str">
        <f aca="false">'算数（後期）'!P33</f>
        <v>A</v>
      </c>
      <c r="F32" s="3" t="str">
        <f aca="false">'算数（後期）'!AC33</f>
        <v>A</v>
      </c>
      <c r="G32" s="3" t="str">
        <f aca="false">'社会（後期）'!P33</f>
        <v>A</v>
      </c>
      <c r="H32" s="3" t="str">
        <f aca="false">'社会（後期）'!AC33</f>
        <v>A</v>
      </c>
      <c r="I32" s="3" t="str">
        <f aca="false">'理科（後期）'!P33</f>
        <v>A</v>
      </c>
      <c r="J32" s="3" t="str">
        <f aca="false">'理科（後期）'!AC33</f>
        <v>B</v>
      </c>
      <c r="K32" s="3" t="str">
        <f aca="false">'英語（後期）'!P33</f>
        <v>A</v>
      </c>
      <c r="L32" s="3" t="str">
        <f aca="false">'英語（後期）'!AC33</f>
        <v>B</v>
      </c>
      <c r="M32" s="3" t="str">
        <f aca="false">'保健（後期）'!P33</f>
        <v>A</v>
      </c>
      <c r="N32" s="3" t="str">
        <f aca="false">'保健（後期）'!AC33</f>
        <v>B</v>
      </c>
    </row>
    <row r="33" customFormat="false" ht="15" hidden="false" customHeight="false" outlineLevel="0" collapsed="false">
      <c r="A33" s="3" t="n">
        <v>30</v>
      </c>
      <c r="B33" s="60" t="str">
        <f aca="false">IF(名簿!B32="","",名簿!B32)</f>
        <v>伊藤 咲良</v>
      </c>
      <c r="C33" s="3" t="str">
        <f aca="false">'国語（後期）'!P34</f>
        <v>B</v>
      </c>
      <c r="D33" s="3" t="str">
        <f aca="false">'国語（後期）'!AC34</f>
        <v>B</v>
      </c>
      <c r="E33" s="3" t="str">
        <f aca="false">'算数（後期）'!P34</f>
        <v>A</v>
      </c>
      <c r="F33" s="3" t="str">
        <f aca="false">'算数（後期）'!AC34</f>
        <v>A</v>
      </c>
      <c r="G33" s="3" t="str">
        <f aca="false">'社会（後期）'!P34</f>
        <v>A</v>
      </c>
      <c r="H33" s="3" t="str">
        <f aca="false">'社会（後期）'!AC34</f>
        <v>B</v>
      </c>
      <c r="I33" s="3" t="str">
        <f aca="false">'理科（後期）'!P34</f>
        <v>B</v>
      </c>
      <c r="J33" s="3" t="str">
        <f aca="false">'理科（後期）'!AC34</f>
        <v>B</v>
      </c>
      <c r="K33" s="3" t="str">
        <f aca="false">'英語（後期）'!P34</f>
        <v>A</v>
      </c>
      <c r="L33" s="3" t="str">
        <f aca="false">'英語（後期）'!AC34</f>
        <v>B</v>
      </c>
      <c r="M33" s="3" t="str">
        <f aca="false">'保健（後期）'!P34</f>
        <v>A</v>
      </c>
      <c r="N33" s="3" t="str">
        <f aca="false">'保健（後期）'!AC34</f>
        <v>A</v>
      </c>
    </row>
    <row r="34" customFormat="false" ht="15" hidden="false" customHeight="false" outlineLevel="0" collapsed="false">
      <c r="A34" s="3" t="n">
        <v>31</v>
      </c>
      <c r="B34" s="60" t="str">
        <f aca="false">IF(名簿!B33="","",名簿!B33)</f>
        <v>佐藤 海斗</v>
      </c>
      <c r="C34" s="3" t="str">
        <f aca="false">'国語（後期）'!P35</f>
        <v>B</v>
      </c>
      <c r="D34" s="3" t="str">
        <f aca="false">'国語（後期）'!AC35</f>
        <v>B</v>
      </c>
      <c r="E34" s="3" t="str">
        <f aca="false">'算数（後期）'!P35</f>
        <v>A</v>
      </c>
      <c r="F34" s="3" t="str">
        <f aca="false">'算数（後期）'!AC35</f>
        <v>B</v>
      </c>
      <c r="G34" s="3" t="str">
        <f aca="false">'社会（後期）'!P35</f>
        <v>B</v>
      </c>
      <c r="H34" s="3" t="str">
        <f aca="false">'社会（後期）'!AC35</f>
        <v>B</v>
      </c>
      <c r="I34" s="3" t="str">
        <f aca="false">'理科（後期）'!P35</f>
        <v>B</v>
      </c>
      <c r="J34" s="3" t="str">
        <f aca="false">'理科（後期）'!AC35</f>
        <v>B</v>
      </c>
      <c r="K34" s="3" t="str">
        <f aca="false">'英語（後期）'!P35</f>
        <v>B</v>
      </c>
      <c r="L34" s="3" t="str">
        <f aca="false">'英語（後期）'!AC35</f>
        <v>B</v>
      </c>
      <c r="M34" s="3" t="str">
        <f aca="false">'保健（後期）'!P35</f>
        <v>B</v>
      </c>
      <c r="N34" s="3" t="str">
        <f aca="false">'保健（後期）'!AC35</f>
        <v>B</v>
      </c>
    </row>
    <row r="35" customFormat="false" ht="15" hidden="false" customHeight="false" outlineLevel="0" collapsed="false">
      <c r="A35" s="3" t="n">
        <v>32</v>
      </c>
      <c r="B35" s="60" t="str">
        <f aca="false">IF(名簿!B34="","",名簿!B34)</f>
        <v>高橋 結愛</v>
      </c>
      <c r="C35" s="3" t="str">
        <f aca="false">'国語（後期）'!P36</f>
        <v>A</v>
      </c>
      <c r="D35" s="3" t="str">
        <f aca="false">'国語（後期）'!AC36</f>
        <v>A</v>
      </c>
      <c r="E35" s="3" t="str">
        <f aca="false">'算数（後期）'!P36</f>
        <v>A</v>
      </c>
      <c r="F35" s="3" t="str">
        <f aca="false">'算数（後期）'!AC36</f>
        <v>A</v>
      </c>
      <c r="G35" s="3" t="str">
        <f aca="false">'社会（後期）'!P36</f>
        <v>A</v>
      </c>
      <c r="H35" s="3" t="str">
        <f aca="false">'社会（後期）'!AC36</f>
        <v>B</v>
      </c>
      <c r="I35" s="3" t="str">
        <f aca="false">'理科（後期）'!P36</f>
        <v>A</v>
      </c>
      <c r="J35" s="3" t="str">
        <f aca="false">'理科（後期）'!AC36</f>
        <v>A</v>
      </c>
      <c r="K35" s="3" t="str">
        <f aca="false">'英語（後期）'!P36</f>
        <v>A</v>
      </c>
      <c r="L35" s="3" t="str">
        <f aca="false">'英語（後期）'!AC36</f>
        <v>B</v>
      </c>
      <c r="M35" s="3" t="str">
        <f aca="false">'保健（後期）'!P36</f>
        <v>A</v>
      </c>
      <c r="N35" s="3" t="str">
        <f aca="false">'保健（後期）'!AC36</f>
        <v>B</v>
      </c>
    </row>
    <row r="36" customFormat="false" ht="15" hidden="false" customHeight="false" outlineLevel="0" collapsed="false">
      <c r="A36" s="3" t="n">
        <v>33</v>
      </c>
      <c r="B36" s="60" t="str">
        <f aca="false">IF(名簿!B35="","",名簿!B35)</f>
        <v>木村 陽太</v>
      </c>
      <c r="C36" s="3" t="str">
        <f aca="false">'国語（後期）'!P37</f>
        <v>B</v>
      </c>
      <c r="D36" s="3" t="str">
        <f aca="false">'国語（後期）'!AC37</f>
        <v>B</v>
      </c>
      <c r="E36" s="3" t="str">
        <f aca="false">'算数（後期）'!P37</f>
        <v>B</v>
      </c>
      <c r="F36" s="3" t="str">
        <f aca="false">'算数（後期）'!AC37</f>
        <v>B</v>
      </c>
      <c r="G36" s="3" t="str">
        <f aca="false">'社会（後期）'!P37</f>
        <v>B</v>
      </c>
      <c r="H36" s="3" t="str">
        <f aca="false">'社会（後期）'!AC37</f>
        <v>B</v>
      </c>
      <c r="I36" s="3" t="str">
        <f aca="false">'理科（後期）'!P37</f>
        <v>B</v>
      </c>
      <c r="J36" s="3" t="str">
        <f aca="false">'理科（後期）'!AC37</f>
        <v>B</v>
      </c>
      <c r="K36" s="3" t="str">
        <f aca="false">'英語（後期）'!P37</f>
        <v>B</v>
      </c>
      <c r="L36" s="3" t="str">
        <f aca="false">'英語（後期）'!AC37</f>
        <v>B</v>
      </c>
      <c r="M36" s="3" t="str">
        <f aca="false">'保健（後期）'!P37</f>
        <v>A</v>
      </c>
      <c r="N36" s="3" t="str">
        <f aca="false">'保健（後期）'!AC37</f>
        <v>B</v>
      </c>
    </row>
    <row r="37" customFormat="false" ht="15" hidden="false" customHeight="false" outlineLevel="0" collapsed="false">
      <c r="A37" s="3" t="n">
        <v>34</v>
      </c>
      <c r="B37" s="60" t="str">
        <f aca="false">IF(名簿!B36="","",名簿!B36)</f>
        <v>長谷川 さくら</v>
      </c>
      <c r="C37" s="3" t="str">
        <f aca="false">'国語（後期）'!P38</f>
        <v>B</v>
      </c>
      <c r="D37" s="3" t="str">
        <f aca="false">'国語（後期）'!AC38</f>
        <v>C</v>
      </c>
      <c r="E37" s="3" t="str">
        <f aca="false">'算数（後期）'!P38</f>
        <v>B</v>
      </c>
      <c r="F37" s="3" t="str">
        <f aca="false">'算数（後期）'!AC38</f>
        <v>B</v>
      </c>
      <c r="G37" s="3" t="str">
        <f aca="false">'社会（後期）'!P38</f>
        <v>B</v>
      </c>
      <c r="H37" s="3" t="str">
        <f aca="false">'社会（後期）'!AC38</f>
        <v>B</v>
      </c>
      <c r="I37" s="3" t="str">
        <f aca="false">'理科（後期）'!P38</f>
        <v>B</v>
      </c>
      <c r="J37" s="3" t="str">
        <f aca="false">'理科（後期）'!AC38</f>
        <v>B</v>
      </c>
      <c r="K37" s="3" t="str">
        <f aca="false">'英語（後期）'!P38</f>
        <v>B</v>
      </c>
      <c r="L37" s="3" t="str">
        <f aca="false">'英語（後期）'!AC38</f>
        <v>B</v>
      </c>
      <c r="M37" s="3" t="str">
        <f aca="false">'保健（後期）'!P38</f>
        <v>B</v>
      </c>
      <c r="N37" s="3" t="str">
        <f aca="false">'保健（後期）'!AC38</f>
        <v>B</v>
      </c>
    </row>
    <row r="38" customFormat="false" ht="15" hidden="false" customHeight="false" outlineLevel="0" collapsed="false">
      <c r="A38" s="3" t="n">
        <v>35</v>
      </c>
      <c r="B38" s="60" t="str">
        <f aca="false">IF(名簿!B37="","",名簿!B37)</f>
        <v>渡辺 健太</v>
      </c>
      <c r="C38" s="3" t="str">
        <f aca="false">'国語（後期）'!P39</f>
        <v>B</v>
      </c>
      <c r="D38" s="3" t="str">
        <f aca="false">'国語（後期）'!AC39</f>
        <v>B</v>
      </c>
      <c r="E38" s="3" t="str">
        <f aca="false">'算数（後期）'!P39</f>
        <v>A</v>
      </c>
      <c r="F38" s="3" t="str">
        <f aca="false">'算数（後期）'!AC39</f>
        <v>B</v>
      </c>
      <c r="G38" s="3" t="str">
        <f aca="false">'社会（後期）'!P39</f>
        <v>B</v>
      </c>
      <c r="H38" s="3" t="str">
        <f aca="false">'社会（後期）'!AC39</f>
        <v>B</v>
      </c>
      <c r="I38" s="3" t="str">
        <f aca="false">'理科（後期）'!P39</f>
        <v>A</v>
      </c>
      <c r="J38" s="3" t="str">
        <f aca="false">'理科（後期）'!AC39</f>
        <v>B</v>
      </c>
      <c r="K38" s="3" t="str">
        <f aca="false">'英語（後期）'!P39</f>
        <v>A</v>
      </c>
      <c r="L38" s="3" t="str">
        <f aca="false">'英語（後期）'!AC39</f>
        <v>B</v>
      </c>
      <c r="M38" s="3" t="str">
        <f aca="false">'保健（後期）'!P39</f>
        <v>B</v>
      </c>
      <c r="N38" s="3" t="str">
        <f aca="false">'保健（後期）'!AC39</f>
        <v>A</v>
      </c>
    </row>
    <row r="39" customFormat="false" ht="15" hidden="false" customHeight="true" outlineLevel="0" collapsed="false">
      <c r="A39" s="2" t="s">
        <v>82</v>
      </c>
      <c r="B39" s="2"/>
      <c r="C39" s="2" t="n">
        <f aca="false">COUNTIF(C4:C38,"A")</f>
        <v>14</v>
      </c>
      <c r="D39" s="2" t="n">
        <f aca="false">COUNTIF(D4:D38,"A")</f>
        <v>7</v>
      </c>
      <c r="E39" s="2" t="n">
        <f aca="false">COUNTIF(E4:E38,"A")</f>
        <v>17</v>
      </c>
      <c r="F39" s="2" t="n">
        <f aca="false">COUNTIF(F4:F38,"A")</f>
        <v>10</v>
      </c>
      <c r="G39" s="2" t="n">
        <f aca="false">COUNTIF(G4:G38,"A")</f>
        <v>12</v>
      </c>
      <c r="H39" s="2" t="n">
        <f aca="false">COUNTIF(H4:H38,"A")</f>
        <v>5</v>
      </c>
      <c r="I39" s="2" t="n">
        <f aca="false">COUNTIF(I4:I38,"A")</f>
        <v>14</v>
      </c>
      <c r="J39" s="2" t="n">
        <f aca="false">COUNTIF(J4:J38,"A")</f>
        <v>5</v>
      </c>
      <c r="K39" s="2" t="n">
        <f aca="false">COUNTIF(K4:K38,"A")</f>
        <v>14</v>
      </c>
      <c r="L39" s="2" t="n">
        <f aca="false">COUNTIF(L4:L38,"A")</f>
        <v>4</v>
      </c>
      <c r="M39" s="2" t="n">
        <f aca="false">COUNTIF(M4:M38,"A")</f>
        <v>16</v>
      </c>
      <c r="N39" s="2" t="n">
        <f aca="false">COUNTIF(N4:N38,"A")</f>
        <v>6</v>
      </c>
    </row>
    <row r="40" customFormat="false" ht="15" hidden="false" customHeight="true" outlineLevel="0" collapsed="false">
      <c r="A40" s="2" t="s">
        <v>83</v>
      </c>
      <c r="B40" s="2"/>
      <c r="C40" s="2" t="n">
        <f aca="false">COUNTIF(C4:C38,"B")</f>
        <v>20</v>
      </c>
      <c r="D40" s="2" t="n">
        <f aca="false">COUNTIF(D4:D38,"B")</f>
        <v>20</v>
      </c>
      <c r="E40" s="2" t="n">
        <f aca="false">COUNTIF(E4:E38,"B")</f>
        <v>17</v>
      </c>
      <c r="F40" s="2" t="n">
        <f aca="false">COUNTIF(F4:F38,"B")</f>
        <v>22</v>
      </c>
      <c r="G40" s="2" t="n">
        <f aca="false">COUNTIF(G4:G38,"B")</f>
        <v>22</v>
      </c>
      <c r="H40" s="2" t="n">
        <f aca="false">COUNTIF(H4:H38,"B")</f>
        <v>26</v>
      </c>
      <c r="I40" s="2" t="n">
        <f aca="false">COUNTIF(I4:I38,"B")</f>
        <v>20</v>
      </c>
      <c r="J40" s="2" t="n">
        <f aca="false">COUNTIF(J4:J38,"B")</f>
        <v>24</v>
      </c>
      <c r="K40" s="2" t="n">
        <f aca="false">COUNTIF(K4:K38,"B")</f>
        <v>19</v>
      </c>
      <c r="L40" s="2" t="n">
        <f aca="false">COUNTIF(L4:L38,"B")</f>
        <v>27</v>
      </c>
      <c r="M40" s="2" t="n">
        <f aca="false">COUNTIF(M4:M38,"B")</f>
        <v>17</v>
      </c>
      <c r="N40" s="2" t="n">
        <f aca="false">COUNTIF(N4:N38,"B")</f>
        <v>23</v>
      </c>
    </row>
    <row r="41" customFormat="false" ht="15" hidden="false" customHeight="true" outlineLevel="0" collapsed="false">
      <c r="A41" s="2" t="s">
        <v>84</v>
      </c>
      <c r="B41" s="2"/>
      <c r="C41" s="2" t="n">
        <f aca="false">COUNTIF(C4:C38,"C")</f>
        <v>1</v>
      </c>
      <c r="D41" s="2" t="n">
        <f aca="false">COUNTIF(D4:D38,"C")</f>
        <v>8</v>
      </c>
      <c r="E41" s="2" t="n">
        <f aca="false">COUNTIF(E4:E38,"C")</f>
        <v>1</v>
      </c>
      <c r="F41" s="2" t="n">
        <f aca="false">COUNTIF(F4:F38,"C")</f>
        <v>3</v>
      </c>
      <c r="G41" s="2" t="n">
        <f aca="false">COUNTIF(G4:G38,"C")</f>
        <v>1</v>
      </c>
      <c r="H41" s="2" t="n">
        <f aca="false">COUNTIF(H4:H38,"C")</f>
        <v>4</v>
      </c>
      <c r="I41" s="2" t="n">
        <f aca="false">COUNTIF(I4:I38,"C")</f>
        <v>1</v>
      </c>
      <c r="J41" s="2" t="n">
        <f aca="false">COUNTIF(J4:J38,"C")</f>
        <v>6</v>
      </c>
      <c r="K41" s="2" t="n">
        <f aca="false">COUNTIF(K4:K38,"C")</f>
        <v>2</v>
      </c>
      <c r="L41" s="2" t="n">
        <f aca="false">COUNTIF(L4:L38,"C")</f>
        <v>4</v>
      </c>
      <c r="M41" s="2" t="n">
        <f aca="false">COUNTIF(M4:M38,"C")</f>
        <v>2</v>
      </c>
      <c r="N41" s="2" t="n">
        <f aca="false">COUNTIF(N4:N38,"C")</f>
        <v>6</v>
      </c>
    </row>
  </sheetData>
  <sheetProtection sheet="true"/>
  <mergeCells count="11">
    <mergeCell ref="A2:A3"/>
    <mergeCell ref="B2:B3"/>
    <mergeCell ref="C2:D2"/>
    <mergeCell ref="E2:F2"/>
    <mergeCell ref="G2:H2"/>
    <mergeCell ref="I2:J2"/>
    <mergeCell ref="K2:L2"/>
    <mergeCell ref="M2:N2"/>
    <mergeCell ref="A39:B39"/>
    <mergeCell ref="A40:B40"/>
    <mergeCell ref="A41:B41"/>
  </mergeCells>
  <conditionalFormatting sqref="C4:N38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"C"</formula>
    </cfRule>
  </conditionalFormatting>
  <conditionalFormatting sqref="A4:N38">
    <cfRule type="expression" priority="5" aboveAverage="0" equalAverage="0" bottom="0" percent="0" rank="0" text="" dxfId="8">
      <formula>ISODD(ROW())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0"/>
  </cols>
  <sheetData>
    <row r="1" customFormat="false" ht="20.85" hidden="false" customHeight="true" outlineLevel="0" collapsed="false">
      <c r="A1" s="61" t="s">
        <v>158</v>
      </c>
      <c r="B1" s="61"/>
      <c r="C1" s="61"/>
      <c r="D1" s="61"/>
      <c r="E1" s="61"/>
      <c r="F1" s="61"/>
      <c r="G1" s="61"/>
      <c r="H1" s="61"/>
      <c r="I1" s="61"/>
    </row>
    <row r="3" customFormat="false" ht="25.5" hidden="false" customHeight="true" outlineLevel="0" collapsed="false">
      <c r="A3" s="2" t="s">
        <v>159</v>
      </c>
      <c r="B3" s="7" t="n">
        <v>8</v>
      </c>
      <c r="C3" s="2" t="s">
        <v>2</v>
      </c>
      <c r="D3" s="60" t="str">
        <f aca="false">IF(OR(B3="",B3&lt;1,B3&gt;35),"",IF(INDEX(名簿!$B$3:$B$37,B3)="","",INDEX(名簿!$B$3:$B$37,B3)))</f>
        <v>清水 莉子</v>
      </c>
      <c r="E3" s="60"/>
      <c r="F3" s="60"/>
      <c r="G3" s="62" t="s">
        <v>160</v>
      </c>
    </row>
    <row r="5" customFormat="false" ht="15" hidden="false" customHeight="false" outlineLevel="0" collapsed="false">
      <c r="A5" s="63" t="s">
        <v>161</v>
      </c>
    </row>
    <row r="6" customFormat="false" ht="15" hidden="false" customHeight="true" outlineLevel="0" collapsed="false">
      <c r="A6" s="2" t="s">
        <v>45</v>
      </c>
      <c r="B6" s="2" t="s">
        <v>63</v>
      </c>
      <c r="C6" s="2"/>
      <c r="D6" s="2"/>
      <c r="E6" s="2"/>
      <c r="F6" s="2" t="s">
        <v>64</v>
      </c>
      <c r="G6" s="2"/>
      <c r="H6" s="2"/>
      <c r="I6" s="2"/>
    </row>
    <row r="7" customFormat="false" ht="36" hidden="false" customHeight="true" outlineLevel="0" collapsed="false">
      <c r="A7" s="2"/>
      <c r="B7" s="2" t="s">
        <v>162</v>
      </c>
      <c r="C7" s="2" t="s">
        <v>163</v>
      </c>
      <c r="D7" s="2" t="s">
        <v>164</v>
      </c>
      <c r="E7" s="2" t="s">
        <v>165</v>
      </c>
      <c r="F7" s="2" t="s">
        <v>162</v>
      </c>
      <c r="G7" s="2" t="s">
        <v>163</v>
      </c>
      <c r="H7" s="2" t="s">
        <v>164</v>
      </c>
      <c r="I7" s="2" t="s">
        <v>165</v>
      </c>
    </row>
    <row r="8" customFormat="false" ht="25.5" hidden="false" customHeight="true" outlineLevel="0" collapsed="false">
      <c r="A8" s="64" t="s">
        <v>50</v>
      </c>
      <c r="B8" s="3" t="n">
        <f aca="false">IF(OR($B$3="",$B$3&lt;1,$B$3&gt;35),"",INDEX('国語（前期）'!$N$5:$N$39,$B$3))</f>
        <v>237</v>
      </c>
      <c r="C8" s="3" t="n">
        <f aca="false">IF(OR($B$3="",$B$3&lt;1,$B$3&gt;35),"",IF(INDEX('国語（前期）'!$N$5:$N$39,$B$3)="","",'国語（前期）'!$N$4-SUMIF(INDEX('国語（前期）'!$C$5:$M$39,$B$3,0),"欠",'国語（前期）'!$C$4:$M$4)))</f>
        <v>250</v>
      </c>
      <c r="D8" s="3" t="n">
        <f aca="false">IF(OR($B$3="",$B$3&lt;1,$B$3&gt;35),"",INDEX('国語（前期）'!$O$5:$O$39,$B$3))</f>
        <v>95</v>
      </c>
      <c r="E8" s="3" t="str">
        <f aca="false">IF(OR($B$3="",$B$3&lt;1,$B$3&gt;35),"",INDEX('国語（前期）'!$P$5:$P$39,$B$3))</f>
        <v>A</v>
      </c>
      <c r="F8" s="3" t="n">
        <f aca="false">IF(OR($B$3="",$B$3&lt;1,$B$3&gt;35),"",INDEX('国語（前期）'!$AA$5:$AA$39,$B$3))</f>
        <v>192</v>
      </c>
      <c r="G8" s="3" t="n">
        <f aca="false">IF(OR($B$3="",$B$3&lt;1,$B$3&gt;35),"",IF(INDEX('国語（前期）'!$AA$5:$AA$39,$B$3)="","",'国語（前期）'!$AA$4-SUMIF(INDEX('国語（前期）'!$Q$5:$Z$39,$B$3,0),"欠",'国語（前期）'!$Q$4:$Z$4)))</f>
        <v>250</v>
      </c>
      <c r="H8" s="3" t="n">
        <f aca="false">IF(OR($B$3="",$B$3&lt;1,$B$3&gt;35),"",INDEX('国語（前期）'!$AB$5:$AB$39,$B$3))</f>
        <v>77</v>
      </c>
      <c r="I8" s="3" t="str">
        <f aca="false">IF(OR($B$3="",$B$3&lt;1,$B$3&gt;35),"",INDEX('国語（前期）'!$AC$5:$AC$39,$B$3))</f>
        <v>B</v>
      </c>
    </row>
    <row r="9" customFormat="false" ht="25.5" hidden="false" customHeight="true" outlineLevel="0" collapsed="false">
      <c r="A9" s="64" t="s">
        <v>51</v>
      </c>
      <c r="B9" s="3" t="n">
        <f aca="false">IF(OR($B$3="",$B$3&lt;1,$B$3&gt;35),"",INDEX('算数（前期）'!$N$5:$N$39,$B$3))</f>
        <v>231</v>
      </c>
      <c r="C9" s="3" t="n">
        <f aca="false">IF(OR($B$3="",$B$3&lt;1,$B$3&gt;35),"",IF(INDEX('算数（前期）'!$N$5:$N$39,$B$3)="","",'算数（前期）'!$N$4-SUMIF(INDEX('算数（前期）'!$C$5:$M$39,$B$3,0),"欠",'算数（前期）'!$C$4:$M$4)))</f>
        <v>250</v>
      </c>
      <c r="D9" s="3" t="n">
        <f aca="false">IF(OR($B$3="",$B$3&lt;1,$B$3&gt;35),"",INDEX('算数（前期）'!$O$5:$O$39,$B$3))</f>
        <v>92</v>
      </c>
      <c r="E9" s="3" t="str">
        <f aca="false">IF(OR($B$3="",$B$3&lt;1,$B$3&gt;35),"",INDEX('算数（前期）'!$P$5:$P$39,$B$3))</f>
        <v>A</v>
      </c>
      <c r="F9" s="3" t="n">
        <f aca="false">IF(OR($B$3="",$B$3&lt;1,$B$3&gt;35),"",INDEX('算数（前期）'!$AA$5:$AA$39,$B$3))</f>
        <v>198</v>
      </c>
      <c r="G9" s="3" t="n">
        <f aca="false">IF(OR($B$3="",$B$3&lt;1,$B$3&gt;35),"",IF(INDEX('算数（前期）'!$AA$5:$AA$39,$B$3)="","",'算数（前期）'!$AA$4-SUMIF(INDEX('算数（前期）'!$Q$5:$Z$39,$B$3,0),"欠",'算数（前期）'!$Q$4:$Z$4)))</f>
        <v>250</v>
      </c>
      <c r="H9" s="3" t="n">
        <f aca="false">IF(OR($B$3="",$B$3&lt;1,$B$3&gt;35),"",INDEX('算数（前期）'!$AB$5:$AB$39,$B$3))</f>
        <v>79</v>
      </c>
      <c r="I9" s="3" t="str">
        <f aca="false">IF(OR($B$3="",$B$3&lt;1,$B$3&gt;35),"",INDEX('算数（前期）'!$AC$5:$AC$39,$B$3))</f>
        <v>B</v>
      </c>
    </row>
    <row r="10" customFormat="false" ht="25.5" hidden="false" customHeight="true" outlineLevel="0" collapsed="false">
      <c r="A10" s="64" t="s">
        <v>52</v>
      </c>
      <c r="B10" s="3" t="n">
        <f aca="false">IF(OR($B$3="",$B$3&lt;1,$B$3&gt;35),"",INDEX('社会（前期）'!$N$5:$N$39,$B$3))</f>
        <v>280</v>
      </c>
      <c r="C10" s="3" t="n">
        <f aca="false">IF(OR($B$3="",$B$3&lt;1,$B$3&gt;35),"",IF(INDEX('社会（前期）'!$N$5:$N$39,$B$3)="","",'社会（前期）'!$N$4-SUMIF(INDEX('社会（前期）'!$C$5:$M$39,$B$3,0),"欠",'社会（前期）'!$C$4:$M$4)))</f>
        <v>300</v>
      </c>
      <c r="D10" s="3" t="n">
        <f aca="false">IF(OR($B$3="",$B$3&lt;1,$B$3&gt;35),"",INDEX('社会（前期）'!$O$5:$O$39,$B$3))</f>
        <v>93</v>
      </c>
      <c r="E10" s="3" t="str">
        <f aca="false">IF(OR($B$3="",$B$3&lt;1,$B$3&gt;35),"",INDEX('社会（前期）'!$P$5:$P$39,$B$3))</f>
        <v>A</v>
      </c>
      <c r="F10" s="3" t="n">
        <f aca="false">IF(OR($B$3="",$B$3&lt;1,$B$3&gt;35),"",INDEX('社会（前期）'!$AA$5:$AA$39,$B$3))</f>
        <v>242</v>
      </c>
      <c r="G10" s="3" t="n">
        <f aca="false">IF(OR($B$3="",$B$3&lt;1,$B$3&gt;35),"",IF(INDEX('社会（前期）'!$AA$5:$AA$39,$B$3)="","",'社会（前期）'!$AA$4-SUMIF(INDEX('社会（前期）'!$Q$5:$Z$39,$B$3,0),"欠",'社会（前期）'!$Q$4:$Z$4)))</f>
        <v>300</v>
      </c>
      <c r="H10" s="3" t="n">
        <f aca="false">IF(OR($B$3="",$B$3&lt;1,$B$3&gt;35),"",INDEX('社会（前期）'!$AB$5:$AB$39,$B$3))</f>
        <v>81</v>
      </c>
      <c r="I10" s="3" t="str">
        <f aca="false">IF(OR($B$3="",$B$3&lt;1,$B$3&gt;35),"",INDEX('社会（前期）'!$AC$5:$AC$39,$B$3))</f>
        <v>B</v>
      </c>
    </row>
    <row r="11" customFormat="false" ht="25.5" hidden="false" customHeight="true" outlineLevel="0" collapsed="false">
      <c r="A11" s="64" t="s">
        <v>53</v>
      </c>
      <c r="B11" s="3" t="n">
        <f aca="false">IF(OR($B$3="",$B$3&lt;1,$B$3&gt;35),"",INDEX('理科（前期）'!$N$5:$N$39,$B$3))</f>
        <v>283</v>
      </c>
      <c r="C11" s="3" t="n">
        <f aca="false">IF(OR($B$3="",$B$3&lt;1,$B$3&gt;35),"",IF(INDEX('理科（前期）'!$N$5:$N$39,$B$3)="","",'理科（前期）'!$N$4-SUMIF(INDEX('理科（前期）'!$C$5:$M$39,$B$3,0),"欠",'理科（前期）'!$C$4:$M$4)))</f>
        <v>300</v>
      </c>
      <c r="D11" s="3" t="n">
        <f aca="false">IF(OR($B$3="",$B$3&lt;1,$B$3&gt;35),"",INDEX('理科（前期）'!$O$5:$O$39,$B$3))</f>
        <v>94</v>
      </c>
      <c r="E11" s="3" t="str">
        <f aca="false">IF(OR($B$3="",$B$3&lt;1,$B$3&gt;35),"",INDEX('理科（前期）'!$P$5:$P$39,$B$3))</f>
        <v>A</v>
      </c>
      <c r="F11" s="3" t="n">
        <f aca="false">IF(OR($B$3="",$B$3&lt;1,$B$3&gt;35),"",INDEX('理科（前期）'!$AA$5:$AA$39,$B$3))</f>
        <v>267</v>
      </c>
      <c r="G11" s="3" t="n">
        <f aca="false">IF(OR($B$3="",$B$3&lt;1,$B$3&gt;35),"",IF(INDEX('理科（前期）'!$AA$5:$AA$39,$B$3)="","",'理科（前期）'!$AA$4-SUMIF(INDEX('理科（前期）'!$Q$5:$Z$39,$B$3,0),"欠",'理科（前期）'!$Q$4:$Z$4)))</f>
        <v>300</v>
      </c>
      <c r="H11" s="3" t="n">
        <f aca="false">IF(OR($B$3="",$B$3&lt;1,$B$3&gt;35),"",INDEX('理科（前期）'!$AB$5:$AB$39,$B$3))</f>
        <v>89</v>
      </c>
      <c r="I11" s="3" t="str">
        <f aca="false">IF(OR($B$3="",$B$3&lt;1,$B$3&gt;35),"",INDEX('理科（前期）'!$AC$5:$AC$39,$B$3))</f>
        <v>B</v>
      </c>
    </row>
    <row r="12" customFormat="false" ht="25.5" hidden="false" customHeight="true" outlineLevel="0" collapsed="false">
      <c r="A12" s="64" t="s">
        <v>54</v>
      </c>
      <c r="B12" s="3" t="n">
        <f aca="false">IF(OR($B$3="",$B$3&lt;1,$B$3&gt;35),"",INDEX('英語（前期）'!$N$5:$N$39,$B$3))</f>
        <v>167</v>
      </c>
      <c r="C12" s="3" t="n">
        <f aca="false">IF(OR($B$3="",$B$3&lt;1,$B$3&gt;35),"",IF(INDEX('英語（前期）'!$N$5:$N$39,$B$3)="","",'英語（前期）'!$N$4-SUMIF(INDEX('英語（前期）'!$C$5:$M$39,$B$3,0),"欠",'英語（前期）'!$C$4:$M$4)))</f>
        <v>180</v>
      </c>
      <c r="D12" s="3" t="n">
        <f aca="false">IF(OR($B$3="",$B$3&lt;1,$B$3&gt;35),"",INDEX('英語（前期）'!$O$5:$O$39,$B$3))</f>
        <v>93</v>
      </c>
      <c r="E12" s="3" t="str">
        <f aca="false">IF(OR($B$3="",$B$3&lt;1,$B$3&gt;35),"",INDEX('英語（前期）'!$P$5:$P$39,$B$3))</f>
        <v>A</v>
      </c>
      <c r="F12" s="3" t="n">
        <f aca="false">IF(OR($B$3="",$B$3&lt;1,$B$3&gt;35),"",INDEX('英語（前期）'!$AA$5:$AA$39,$B$3))</f>
        <v>104</v>
      </c>
      <c r="G12" s="3" t="n">
        <f aca="false">IF(OR($B$3="",$B$3&lt;1,$B$3&gt;35),"",IF(INDEX('英語（前期）'!$AA$5:$AA$39,$B$3)="","",'英語（前期）'!$AA$4-SUMIF(INDEX('英語（前期）'!$Q$5:$Z$39,$B$3,0),"欠",'英語（前期）'!$Q$4:$Z$4)))</f>
        <v>120</v>
      </c>
      <c r="H12" s="3" t="n">
        <f aca="false">IF(OR($B$3="",$B$3&lt;1,$B$3&gt;35),"",INDEX('英語（前期）'!$AB$5:$AB$39,$B$3))</f>
        <v>87</v>
      </c>
      <c r="I12" s="3" t="str">
        <f aca="false">IF(OR($B$3="",$B$3&lt;1,$B$3&gt;35),"",INDEX('英語（前期）'!$AC$5:$AC$39,$B$3))</f>
        <v>B</v>
      </c>
    </row>
    <row r="13" customFormat="false" ht="25.5" hidden="false" customHeight="true" outlineLevel="0" collapsed="false">
      <c r="A13" s="64" t="s">
        <v>55</v>
      </c>
      <c r="B13" s="3" t="n">
        <f aca="false">IF(OR($B$3="",$B$3&lt;1,$B$3&gt;35),"",INDEX('保健（前期）'!$N$5:$N$39,$B$3))</f>
        <v>54</v>
      </c>
      <c r="C13" s="3" t="n">
        <f aca="false">IF(OR($B$3="",$B$3&lt;1,$B$3&gt;35),"",IF(INDEX('保健（前期）'!$N$5:$N$39,$B$3)="","",'保健（前期）'!$N$4-SUMIF(INDEX('保健（前期）'!$C$5:$M$39,$B$3,0),"欠",'保健（前期）'!$C$4:$M$4)))</f>
        <v>60</v>
      </c>
      <c r="D13" s="3" t="n">
        <f aca="false">IF(OR($B$3="",$B$3&lt;1,$B$3&gt;35),"",INDEX('保健（前期）'!$O$5:$O$39,$B$3))</f>
        <v>90</v>
      </c>
      <c r="E13" s="3" t="str">
        <f aca="false">IF(OR($B$3="",$B$3&lt;1,$B$3&gt;35),"",INDEX('保健（前期）'!$P$5:$P$39,$B$3))</f>
        <v>A</v>
      </c>
      <c r="F13" s="3" t="n">
        <f aca="false">IF(OR($B$3="",$B$3&lt;1,$B$3&gt;35),"",INDEX('保健（前期）'!$AA$5:$AA$39,$B$3))</f>
        <v>37</v>
      </c>
      <c r="G13" s="3" t="n">
        <f aca="false">IF(OR($B$3="",$B$3&lt;1,$B$3&gt;35),"",IF(INDEX('保健（前期）'!$AA$5:$AA$39,$B$3)="","",'保健（前期）'!$AA$4-SUMIF(INDEX('保健（前期）'!$Q$5:$Z$39,$B$3,0),"欠",'保健（前期）'!$Q$4:$Z$4)))</f>
        <v>40</v>
      </c>
      <c r="H13" s="3" t="n">
        <f aca="false">IF(OR($B$3="",$B$3&lt;1,$B$3&gt;35),"",INDEX('保健（前期）'!$AB$5:$AB$39,$B$3))</f>
        <v>93</v>
      </c>
      <c r="I13" s="3" t="str">
        <f aca="false">IF(OR($B$3="",$B$3&lt;1,$B$3&gt;35),"",INDEX('保健（前期）'!$AC$5:$AC$39,$B$3))</f>
        <v>A</v>
      </c>
    </row>
    <row r="15" customFormat="false" ht="15" hidden="false" customHeight="false" outlineLevel="0" collapsed="false">
      <c r="A15" s="63" t="s">
        <v>166</v>
      </c>
    </row>
    <row r="16" customFormat="false" ht="15" hidden="false" customHeight="true" outlineLevel="0" collapsed="false">
      <c r="A16" s="2" t="s">
        <v>45</v>
      </c>
      <c r="B16" s="2" t="s">
        <v>63</v>
      </c>
      <c r="C16" s="2"/>
      <c r="D16" s="2"/>
      <c r="E16" s="2"/>
      <c r="F16" s="2" t="s">
        <v>64</v>
      </c>
      <c r="G16" s="2"/>
      <c r="H16" s="2"/>
      <c r="I16" s="2"/>
    </row>
    <row r="17" customFormat="false" ht="36" hidden="false" customHeight="true" outlineLevel="0" collapsed="false">
      <c r="A17" s="2"/>
      <c r="B17" s="2" t="s">
        <v>162</v>
      </c>
      <c r="C17" s="2" t="s">
        <v>163</v>
      </c>
      <c r="D17" s="2" t="s">
        <v>164</v>
      </c>
      <c r="E17" s="2" t="s">
        <v>165</v>
      </c>
      <c r="F17" s="2" t="s">
        <v>162</v>
      </c>
      <c r="G17" s="2" t="s">
        <v>163</v>
      </c>
      <c r="H17" s="2" t="s">
        <v>164</v>
      </c>
      <c r="I17" s="2" t="s">
        <v>165</v>
      </c>
    </row>
    <row r="18" customFormat="false" ht="25.5" hidden="false" customHeight="true" outlineLevel="0" collapsed="false">
      <c r="A18" s="64" t="s">
        <v>50</v>
      </c>
      <c r="B18" s="3" t="n">
        <f aca="false">IF(OR($B$3="",$B$3&lt;1,$B$3&gt;35),"",INDEX('国語（後期）'!$N$5:$N$39,$B$3))</f>
        <v>192</v>
      </c>
      <c r="C18" s="3" t="n">
        <f aca="false">IF(OR($B$3="",$B$3&lt;1,$B$3&gt;35),"",IF(INDEX('国語（後期）'!$N$5:$N$39,$B$3)="","",'国語（後期）'!$N$4-SUMIF(INDEX('国語（後期）'!$C$5:$M$39,$B$3,0),"欠",'国語（後期）'!$C$4:$M$4)))</f>
        <v>200</v>
      </c>
      <c r="D18" s="3" t="n">
        <f aca="false">IF(OR($B$3="",$B$3&lt;1,$B$3&gt;35),"",INDEX('国語（後期）'!$O$5:$O$39,$B$3))</f>
        <v>96</v>
      </c>
      <c r="E18" s="3" t="str">
        <f aca="false">IF(OR($B$3="",$B$3&lt;1,$B$3&gt;35),"",INDEX('国語（後期）'!$P$5:$P$39,$B$3))</f>
        <v>A</v>
      </c>
      <c r="F18" s="3" t="n">
        <f aca="false">IF(OR($B$3="",$B$3&lt;1,$B$3&gt;35),"",INDEX('国語（後期）'!$AA$5:$AA$39,$B$3))</f>
        <v>173</v>
      </c>
      <c r="G18" s="3" t="n">
        <f aca="false">IF(OR($B$3="",$B$3&lt;1,$B$3&gt;35),"",IF(INDEX('国語（後期）'!$AA$5:$AA$39,$B$3)="","",'国語（後期）'!$AA$4-SUMIF(INDEX('国語（後期）'!$Q$5:$Z$39,$B$3,0),"欠",'国語（後期）'!$Q$4:$Z$4)))</f>
        <v>200</v>
      </c>
      <c r="H18" s="3" t="n">
        <f aca="false">IF(OR($B$3="",$B$3&lt;1,$B$3&gt;35),"",INDEX('国語（後期）'!$AB$5:$AB$39,$B$3))</f>
        <v>87</v>
      </c>
      <c r="I18" s="3" t="str">
        <f aca="false">IF(OR($B$3="",$B$3&lt;1,$B$3&gt;35),"",INDEX('国語（後期）'!$AC$5:$AC$39,$B$3))</f>
        <v>B</v>
      </c>
    </row>
    <row r="19" customFormat="false" ht="25.5" hidden="false" customHeight="true" outlineLevel="0" collapsed="false">
      <c r="A19" s="64" t="s">
        <v>51</v>
      </c>
      <c r="B19" s="3" t="n">
        <f aca="false">IF(OR($B$3="",$B$3&lt;1,$B$3&gt;35),"",INDEX('算数（後期）'!$N$5:$N$39,$B$3))</f>
        <v>278</v>
      </c>
      <c r="C19" s="3" t="n">
        <f aca="false">IF(OR($B$3="",$B$3&lt;1,$B$3&gt;35),"",IF(INDEX('算数（後期）'!$N$5:$N$39,$B$3)="","",'算数（後期）'!$N$4-SUMIF(INDEX('算数（後期）'!$C$5:$M$39,$B$3,0),"欠",'算数（後期）'!$C$4:$M$4)))</f>
        <v>300</v>
      </c>
      <c r="D19" s="3" t="n">
        <f aca="false">IF(OR($B$3="",$B$3&lt;1,$B$3&gt;35),"",INDEX('算数（後期）'!$O$5:$O$39,$B$3))</f>
        <v>93</v>
      </c>
      <c r="E19" s="3" t="str">
        <f aca="false">IF(OR($B$3="",$B$3&lt;1,$B$3&gt;35),"",INDEX('算数（後期）'!$P$5:$P$39,$B$3))</f>
        <v>A</v>
      </c>
      <c r="F19" s="3" t="n">
        <f aca="false">IF(OR($B$3="",$B$3&lt;1,$B$3&gt;35),"",INDEX('算数（後期）'!$AA$5:$AA$39,$B$3))</f>
        <v>257</v>
      </c>
      <c r="G19" s="3" t="n">
        <f aca="false">IF(OR($B$3="",$B$3&lt;1,$B$3&gt;35),"",IF(INDEX('算数（後期）'!$AA$5:$AA$39,$B$3)="","",'算数（後期）'!$AA$4-SUMIF(INDEX('算数（後期）'!$Q$5:$Z$39,$B$3,0),"欠",'算数（後期）'!$Q$4:$Z$4)))</f>
        <v>300</v>
      </c>
      <c r="H19" s="3" t="n">
        <f aca="false">IF(OR($B$3="",$B$3&lt;1,$B$3&gt;35),"",INDEX('算数（後期）'!$AB$5:$AB$39,$B$3))</f>
        <v>86</v>
      </c>
      <c r="I19" s="3" t="str">
        <f aca="false">IF(OR($B$3="",$B$3&lt;1,$B$3&gt;35),"",INDEX('算数（後期）'!$AC$5:$AC$39,$B$3))</f>
        <v>A</v>
      </c>
    </row>
    <row r="20" customFormat="false" ht="25.5" hidden="false" customHeight="true" outlineLevel="0" collapsed="false">
      <c r="A20" s="64" t="s">
        <v>52</v>
      </c>
      <c r="B20" s="3" t="n">
        <f aca="false">IF(OR($B$3="",$B$3&lt;1,$B$3&gt;35),"",INDEX('社会（後期）'!$N$5:$N$39,$B$3))</f>
        <v>236</v>
      </c>
      <c r="C20" s="3" t="n">
        <f aca="false">IF(OR($B$3="",$B$3&lt;1,$B$3&gt;35),"",IF(INDEX('社会（後期）'!$N$5:$N$39,$B$3)="","",'社会（後期）'!$N$4-SUMIF(INDEX('社会（後期）'!$C$5:$M$39,$B$3,0),"欠",'社会（後期）'!$C$4:$M$4)))</f>
        <v>250</v>
      </c>
      <c r="D20" s="3" t="n">
        <f aca="false">IF(OR($B$3="",$B$3&lt;1,$B$3&gt;35),"",INDEX('社会（後期）'!$O$5:$O$39,$B$3))</f>
        <v>94</v>
      </c>
      <c r="E20" s="3" t="str">
        <f aca="false">IF(OR($B$3="",$B$3&lt;1,$B$3&gt;35),"",INDEX('社会（後期）'!$P$5:$P$39,$B$3))</f>
        <v>A</v>
      </c>
      <c r="F20" s="3" t="n">
        <f aca="false">IF(OR($B$3="",$B$3&lt;1,$B$3&gt;35),"",INDEX('社会（後期）'!$AA$5:$AA$39,$B$3))</f>
        <v>224</v>
      </c>
      <c r="G20" s="3" t="n">
        <f aca="false">IF(OR($B$3="",$B$3&lt;1,$B$3&gt;35),"",IF(INDEX('社会（後期）'!$AA$5:$AA$39,$B$3)="","",'社会（後期）'!$AA$4-SUMIF(INDEX('社会（後期）'!$Q$5:$Z$39,$B$3,0),"欠",'社会（後期）'!$Q$4:$Z$4)))</f>
        <v>250</v>
      </c>
      <c r="H20" s="3" t="n">
        <f aca="false">IF(OR($B$3="",$B$3&lt;1,$B$3&gt;35),"",INDEX('社会（後期）'!$AB$5:$AB$39,$B$3))</f>
        <v>90</v>
      </c>
      <c r="I20" s="3" t="str">
        <f aca="false">IF(OR($B$3="",$B$3&lt;1,$B$3&gt;35),"",INDEX('社会（後期）'!$AC$5:$AC$39,$B$3))</f>
        <v>A</v>
      </c>
    </row>
    <row r="21" customFormat="false" ht="25.5" hidden="false" customHeight="true" outlineLevel="0" collapsed="false">
      <c r="A21" s="64" t="s">
        <v>53</v>
      </c>
      <c r="B21" s="3" t="n">
        <f aca="false">IF(OR($B$3="",$B$3&lt;1,$B$3&gt;35),"",INDEX('理科（後期）'!$N$5:$N$39,$B$3))</f>
        <v>235</v>
      </c>
      <c r="C21" s="3" t="n">
        <f aca="false">IF(OR($B$3="",$B$3&lt;1,$B$3&gt;35),"",IF(INDEX('理科（後期）'!$N$5:$N$39,$B$3)="","",'理科（後期）'!$N$4-SUMIF(INDEX('理科（後期）'!$C$5:$M$39,$B$3,0),"欠",'理科（後期）'!$C$4:$M$4)))</f>
        <v>250</v>
      </c>
      <c r="D21" s="3" t="n">
        <f aca="false">IF(OR($B$3="",$B$3&lt;1,$B$3&gt;35),"",INDEX('理科（後期）'!$O$5:$O$39,$B$3))</f>
        <v>94</v>
      </c>
      <c r="E21" s="3" t="str">
        <f aca="false">IF(OR($B$3="",$B$3&lt;1,$B$3&gt;35),"",INDEX('理科（後期）'!$P$5:$P$39,$B$3))</f>
        <v>A</v>
      </c>
      <c r="F21" s="3" t="n">
        <f aca="false">IF(OR($B$3="",$B$3&lt;1,$B$3&gt;35),"",INDEX('理科（後期）'!$AA$5:$AA$39,$B$3))</f>
        <v>199</v>
      </c>
      <c r="G21" s="3" t="n">
        <f aca="false">IF(OR($B$3="",$B$3&lt;1,$B$3&gt;35),"",IF(INDEX('理科（後期）'!$AA$5:$AA$39,$B$3)="","",'理科（後期）'!$AA$4-SUMIF(INDEX('理科（後期）'!$Q$5:$Z$39,$B$3,0),"欠",'理科（後期）'!$Q$4:$Z$4)))</f>
        <v>250</v>
      </c>
      <c r="H21" s="3" t="n">
        <f aca="false">IF(OR($B$3="",$B$3&lt;1,$B$3&gt;35),"",INDEX('理科（後期）'!$AB$5:$AB$39,$B$3))</f>
        <v>80</v>
      </c>
      <c r="I21" s="3" t="str">
        <f aca="false">IF(OR($B$3="",$B$3&lt;1,$B$3&gt;35),"",INDEX('理科（後期）'!$AC$5:$AC$39,$B$3))</f>
        <v>B</v>
      </c>
    </row>
    <row r="22" customFormat="false" ht="25.5" hidden="false" customHeight="true" outlineLevel="0" collapsed="false">
      <c r="A22" s="64" t="s">
        <v>54</v>
      </c>
      <c r="B22" s="3" t="n">
        <f aca="false">IF(OR($B$3="",$B$3&lt;1,$B$3&gt;35),"",INDEX('英語（後期）'!$N$5:$N$39,$B$3))</f>
        <v>155</v>
      </c>
      <c r="C22" s="3" t="n">
        <f aca="false">IF(OR($B$3="",$B$3&lt;1,$B$3&gt;35),"",IF(INDEX('英語（後期）'!$N$5:$N$39,$B$3)="","",'英語（後期）'!$N$4-SUMIF(INDEX('英語（後期）'!$C$5:$M$39,$B$3,0),"欠",'英語（後期）'!$C$4:$M$4)))</f>
        <v>180</v>
      </c>
      <c r="D22" s="3" t="n">
        <f aca="false">IF(OR($B$3="",$B$3&lt;1,$B$3&gt;35),"",INDEX('英語（後期）'!$O$5:$O$39,$B$3))</f>
        <v>86</v>
      </c>
      <c r="E22" s="3" t="str">
        <f aca="false">IF(OR($B$3="",$B$3&lt;1,$B$3&gt;35),"",INDEX('英語（後期）'!$P$5:$P$39,$B$3))</f>
        <v>B</v>
      </c>
      <c r="F22" s="3" t="n">
        <f aca="false">IF(OR($B$3="",$B$3&lt;1,$B$3&gt;35),"",INDEX('英語（後期）'!$AA$5:$AA$39,$B$3))</f>
        <v>87</v>
      </c>
      <c r="G22" s="3" t="n">
        <f aca="false">IF(OR($B$3="",$B$3&lt;1,$B$3&gt;35),"",IF(INDEX('英語（後期）'!$AA$5:$AA$39,$B$3)="","",'英語（後期）'!$AA$4-SUMIF(INDEX('英語（後期）'!$Q$5:$Z$39,$B$3,0),"欠",'英語（後期）'!$Q$4:$Z$4)))</f>
        <v>120</v>
      </c>
      <c r="H22" s="3" t="n">
        <f aca="false">IF(OR($B$3="",$B$3&lt;1,$B$3&gt;35),"",INDEX('英語（後期）'!$AB$5:$AB$39,$B$3))</f>
        <v>73</v>
      </c>
      <c r="I22" s="3" t="str">
        <f aca="false">IF(OR($B$3="",$B$3&lt;1,$B$3&gt;35),"",INDEX('英語（後期）'!$AC$5:$AC$39,$B$3))</f>
        <v>B</v>
      </c>
    </row>
    <row r="23" customFormat="false" ht="25.5" hidden="false" customHeight="true" outlineLevel="0" collapsed="false">
      <c r="A23" s="64" t="s">
        <v>55</v>
      </c>
      <c r="B23" s="3" t="n">
        <f aca="false">IF(OR($B$3="",$B$3&lt;1,$B$3&gt;35),"",INDEX('保健（後期）'!$N$5:$N$39,$B$3))</f>
        <v>57</v>
      </c>
      <c r="C23" s="3" t="n">
        <f aca="false">IF(OR($B$3="",$B$3&lt;1,$B$3&gt;35),"",IF(INDEX('保健（後期）'!$N$5:$N$39,$B$3)="","",'保健（後期）'!$N$4-SUMIF(INDEX('保健（後期）'!$C$5:$M$39,$B$3,0),"欠",'保健（後期）'!$C$4:$M$4)))</f>
        <v>60</v>
      </c>
      <c r="D23" s="3" t="n">
        <f aca="false">IF(OR($B$3="",$B$3&lt;1,$B$3&gt;35),"",INDEX('保健（後期）'!$O$5:$O$39,$B$3))</f>
        <v>95</v>
      </c>
      <c r="E23" s="3" t="str">
        <f aca="false">IF(OR($B$3="",$B$3&lt;1,$B$3&gt;35),"",INDEX('保健（後期）'!$P$5:$P$39,$B$3))</f>
        <v>A</v>
      </c>
      <c r="F23" s="3" t="n">
        <f aca="false">IF(OR($B$3="",$B$3&lt;1,$B$3&gt;35),"",INDEX('保健（後期）'!$AA$5:$AA$39,$B$3))</f>
        <v>31</v>
      </c>
      <c r="G23" s="3" t="n">
        <f aca="false">IF(OR($B$3="",$B$3&lt;1,$B$3&gt;35),"",IF(INDEX('保健（後期）'!$AA$5:$AA$39,$B$3)="","",'保健（後期）'!$AA$4-SUMIF(INDEX('保健（後期）'!$Q$5:$Z$39,$B$3,0),"欠",'保健（後期）'!$Q$4:$Z$4)))</f>
        <v>40</v>
      </c>
      <c r="H23" s="3" t="n">
        <f aca="false">IF(OR($B$3="",$B$3&lt;1,$B$3&gt;35),"",INDEX('保健（後期）'!$AB$5:$AB$39,$B$3))</f>
        <v>78</v>
      </c>
      <c r="I23" s="3" t="str">
        <f aca="false">IF(OR($B$3="",$B$3&lt;1,$B$3&gt;35),"",INDEX('保健（後期）'!$AC$5:$AC$39,$B$3))</f>
        <v>B</v>
      </c>
    </row>
  </sheetData>
  <sheetProtection sheet="true"/>
  <mergeCells count="8">
    <mergeCell ref="A1:I1"/>
    <mergeCell ref="D3:F3"/>
    <mergeCell ref="A6:A7"/>
    <mergeCell ref="B6:E6"/>
    <mergeCell ref="F6:I6"/>
    <mergeCell ref="A16:A17"/>
    <mergeCell ref="B16:E16"/>
    <mergeCell ref="F16:I16"/>
  </mergeCells>
  <conditionalFormatting sqref="E8:E13 E18:E23 I8:I13 I18:I23">
    <cfRule type="cellIs" priority="2" operator="equal" aboveAverage="0" equalAverage="0" bottom="0" percent="0" rank="0" text="" dxfId="5">
      <formula>"A"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"C"</formula>
    </cfRule>
  </conditionalFormatting>
  <dataValidations count="1">
    <dataValidation allowBlank="true" error="1から35までの番号を入れてください。" errorStyle="stop" errorTitle="入力エラー" operator="between" showDropDown="false" showErrorMessage="true" showInputMessage="false" sqref="B3" type="whole">
      <formula1>1</formula1>
      <formula2>35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2026-04-11T12:29:31Z</dcterms:created>
  <dc:creator>openpyxl</dc:creator>
  <dc:description/>
  <dc:language>en-US</dc:language>
  <cp:lastModifiedBy>馬場　久寿</cp:lastModifiedBy>
  <dcterms:modified xsi:type="dcterms:W3CDTF">2026-10-28T15:16:32Z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