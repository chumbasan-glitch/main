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設定" sheetId="2" state="visible" r:id="rId2"/>
    <sheet name="6年" sheetId="3" state="visible" r:id="rId3"/>
    <sheet name="5年" sheetId="4" state="visible" r:id="rId4"/>
    <sheet name="人数チェック" sheetId="5" state="visible" r:id="rId5"/>
    <sheet name="一覧名簿" sheetId="6" state="visible" r:id="rId6"/>
    <sheet name="委員会①" sheetId="7" state="visible" r:id="rId7"/>
    <sheet name="委員会②" sheetId="8" state="visible" r:id="rId8"/>
    <sheet name="委員会③" sheetId="9" state="visible" r:id="rId9"/>
    <sheet name="委員会④" sheetId="10" state="visible" r:id="rId10"/>
    <sheet name="委員会⑤" sheetId="11" state="visible" r:id="rId11"/>
    <sheet name="委員会⑥" sheetId="12" state="visible" r:id="rId12"/>
    <sheet name="委員会⑦" sheetId="13" state="visible" r:id="rId13"/>
    <sheet name="委員会⑧" sheetId="14" state="visible" r:id="rId14"/>
    <sheet name="委員会⑨" sheetId="15" state="visible" r:id="rId15"/>
    <sheet name="委員会⑩" sheetId="16" state="visible" r:id="rId16"/>
    <sheet name="委員会⑪" sheetId="17" state="visible" r:id="rId17"/>
    <sheet name="委員会⑫" sheetId="18" state="visible" r:id="rId18"/>
    <sheet name="委員会⑬" sheetId="19" state="visible" r:id="rId19"/>
    <sheet name="委員会⑭" sheetId="20" state="visible" r:id="rId20"/>
    <sheet name="委員会⑮" sheetId="21" state="visible" r:id="rId21"/>
    <sheet name="委員会⑯" sheetId="22" state="visible" r:id="rId22"/>
    <sheet name="委員会⑰" sheetId="23" state="visible" r:id="rId23"/>
    <sheet name="委員会⑱" sheetId="24" state="visible" r:id="rId24"/>
    <sheet name="委員会⑲" sheetId="25" state="visible" r:id="rId25"/>
    <sheet name="委員会⑳" sheetId="26" state="visible" r:id="rId26"/>
    <sheet name="計算用" sheetId="27" state="hidden" r:id="rId27"/>
  </sheets>
  <definedNames>
    <definedName name="_xlnm.Print_Area" localSheetId="2">'6年'!$A$1:$X$49</definedName>
    <definedName name="_xlnm.Print_Area" localSheetId="3">'5年'!$A$1:$X$49</definedName>
    <definedName name="_xlnm.Print_Area" localSheetId="5">'一覧名簿'!$A$1:$T$111</definedName>
    <definedName name="_xlnm.Print_Area" localSheetId="6">'委員会①'!$A$1:$O$54</definedName>
    <definedName name="_xlnm.Print_Area" localSheetId="7">'委員会②'!$A$1:$O$54</definedName>
    <definedName name="_xlnm.Print_Area" localSheetId="8">'委員会③'!$A$1:$O$54</definedName>
    <definedName name="_xlnm.Print_Area" localSheetId="9">'委員会④'!$A$1:$O$54</definedName>
    <definedName name="_xlnm.Print_Area" localSheetId="10">'委員会⑤'!$A$1:$O$54</definedName>
    <definedName name="_xlnm.Print_Area" localSheetId="11">'委員会⑥'!$A$1:$O$54</definedName>
    <definedName name="_xlnm.Print_Area" localSheetId="12">'委員会⑦'!$A$1:$O$54</definedName>
    <definedName name="_xlnm.Print_Area" localSheetId="13">'委員会⑧'!$A$1:$O$54</definedName>
    <definedName name="_xlnm.Print_Area" localSheetId="14">'委員会⑨'!$A$1:$O$54</definedName>
    <definedName name="_xlnm.Print_Area" localSheetId="15">'委員会⑩'!$A$1:$O$54</definedName>
    <definedName name="_xlnm.Print_Area" localSheetId="16">'委員会⑪'!$A$1:$O$54</definedName>
    <definedName name="_xlnm.Print_Area" localSheetId="17">'委員会⑫'!$A$1:$O$54</definedName>
    <definedName name="_xlnm.Print_Area" localSheetId="18">'委員会⑬'!$A$1:$O$54</definedName>
    <definedName name="_xlnm.Print_Area" localSheetId="19">'委員会⑭'!$A$1:$O$54</definedName>
    <definedName name="_xlnm.Print_Area" localSheetId="20">'委員会⑮'!$A$1:$O$54</definedName>
    <definedName name="_xlnm.Print_Area" localSheetId="21">'委員会⑯'!$A$1:$O$54</definedName>
    <definedName name="_xlnm.Print_Area" localSheetId="22">'委員会⑰'!$A$1:$O$54</definedName>
    <definedName name="_xlnm.Print_Area" localSheetId="23">'委員会⑱'!$A$1:$O$54</definedName>
    <definedName name="_xlnm.Print_Area" localSheetId="24">'委員会⑲'!$A$1:$O$54</definedName>
    <definedName name="_xlnm.Print_Area" localSheetId="25">'委員会⑳'!$A$1:$O$54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2"/>
    </font>
    <font>
      <name val="游ゴシック"/>
      <b val="1"/>
      <sz val="11"/>
    </font>
    <font>
      <name val="游ゴシック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color rgb="00808080"/>
      <sz val="9"/>
    </font>
    <font>
      <name val="游ゴシック"/>
      <b val="1"/>
      <sz val="13"/>
    </font>
    <font>
      <name val="游ゴシック"/>
      <sz val="10"/>
    </font>
    <font>
      <name val="游ゴシック"/>
      <sz val="9"/>
    </font>
    <font>
      <name val="游ゴシック"/>
      <b val="1"/>
      <sz val="9"/>
    </font>
  </fonts>
  <fills count="6">
    <fill>
      <patternFill/>
    </fill>
    <fill>
      <patternFill patternType="gray125"/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4" fillId="4" borderId="1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6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1" fillId="0" borderId="0" pivotButton="0" quotePrefix="0" xfId="0"/>
    <xf numFmtId="0" fontId="10" fillId="0" borderId="0" pivotButton="0" quotePrefix="0" xfId="0"/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dxfs count="13">
    <dxf>
      <font>
        <name val="游ゴシック"/>
        <b val="1"/>
        <color rgb="00000000"/>
      </font>
    </dxf>
    <dxf>
      <font>
        <name val="游ゴシック"/>
        <b val="1"/>
        <color rgb="00D00000"/>
      </font>
    </dxf>
    <dxf>
      <font>
        <name val="游ゴシック"/>
        <b val="1"/>
        <color rgb="000050D0"/>
      </font>
    </dxf>
    <dxf>
      <font>
        <name val="游ゴシック"/>
        <b val="1"/>
        <color rgb="00008A3E"/>
      </font>
    </dxf>
    <dxf>
      <font>
        <name val="游ゴシック"/>
        <b val="1"/>
        <color rgb="00BF8F00"/>
      </font>
    </dxf>
    <dxf>
      <font>
        <name val="游ゴシック"/>
        <b val="1"/>
        <color rgb="00E46C0A"/>
      </font>
    </dxf>
    <dxf>
      <font>
        <name val="游ゴシック"/>
        <b val="1"/>
        <color rgb="007030A0"/>
      </font>
    </dxf>
    <dxf>
      <font>
        <name val="游ゴシック"/>
        <b val="1"/>
        <color rgb="008B4513"/>
      </font>
    </dxf>
    <dxf>
      <fill>
        <patternFill patternType="solid">
          <fgColor rgb="FFF8CBAD"/>
          <bgColor rgb="FFF8CBAD"/>
        </patternFill>
      </fill>
    </dxf>
    <dxf>
      <font>
        <name val="游ゴシック"/>
        <b val="1"/>
        <color rgb="00C00000"/>
      </font>
      <fill>
        <patternFill patternType="solid">
          <fgColor rgb="FFF8CBAD"/>
          <bgColor rgb="FFF8CBAD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  <border>
        <left style="thin">
          <color rgb="00808080"/>
        </left>
        <right style="thin">
          <color rgb="00808080"/>
        </right>
        <top style="thin">
          <color rgb="00808080"/>
        </top>
        <bottom style="thin">
          <color rgb="00808080"/>
        </bottom>
      </border>
    </dxf>
    <dxf>
      <border>
        <left style="thin">
          <color rgb="00808080"/>
        </left>
        <right style="thin">
          <color rgb="00808080"/>
        </right>
        <top style="thin">
          <color rgb="00808080"/>
        </top>
        <bottom style="thin">
          <color rgb="0080808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C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00" customWidth="1" min="3" max="3"/>
  </cols>
  <sheetData>
    <row r="1">
      <c r="B1" s="1" t="inlineStr">
        <is>
          <t>委員会名簿作成ツール　使い方</t>
        </is>
      </c>
    </row>
    <row r="2"/>
    <row r="3">
      <c r="B3" s="2" t="inlineStr">
        <is>
          <t>■ 色のきまり（入力する人で色が分かれています）</t>
        </is>
      </c>
    </row>
    <row r="4">
      <c r="B4" s="3" t="inlineStr">
        <is>
          <t>うす紫</t>
        </is>
      </c>
      <c r="C4" s="4" t="inlineStr">
        <is>
          <t>＝委員会担当が入力する所（設定）</t>
        </is>
      </c>
    </row>
    <row r="5">
      <c r="B5" s="5" t="inlineStr">
        <is>
          <t>黄色</t>
        </is>
      </c>
      <c r="C5" s="4" t="inlineStr">
        <is>
          <t>＝担任が入力する所（6年・5年シートの名前と委員会）</t>
        </is>
      </c>
    </row>
    <row r="6">
      <c r="B6" s="4" t="inlineStr">
        <is>
          <t>それ以外のセルには数式が入っているので保護しています（「校閲」→「シート保護の解除」で外せます。パスワードなし）。各シートの左上にも、だれが入力するシートかを表示しています。</t>
        </is>
      </c>
    </row>
    <row r="7">
      <c r="B7" s="4" t="inlineStr"/>
    </row>
    <row r="8">
      <c r="B8" s="2" t="inlineStr">
        <is>
          <t>■ 【委員会担当】新年度のはじめにすること</t>
        </is>
      </c>
    </row>
    <row r="9">
      <c r="B9" s="4" t="inlineStr">
        <is>
          <t>① 【設定】年度、学年（6・5）、組（名前・色・人数）、委員会（名前・担当・活動場所）を入力します。</t>
        </is>
      </c>
    </row>
    <row r="10">
      <c r="C10" s="4" t="inlineStr">
        <is>
          <t xml:space="preserve">　 ・組の表に書いた組の数だけ、6年・5年シートに組の枠ができます。「人数」の数だけ、番号の枠ができます。</t>
        </is>
      </c>
    </row>
    <row r="11">
      <c r="C11" s="4" t="inlineStr">
        <is>
          <t xml:space="preserve">　 ・委員会を増やす：空いている行に書きこむ　　減らす：行の中身を消す　　名前を変える：書きかえる</t>
        </is>
      </c>
    </row>
    <row r="12">
      <c r="B12" s="4" t="inlineStr"/>
    </row>
    <row r="13">
      <c r="B13" s="2" t="inlineStr">
        <is>
          <t>■ 【担任】クラスで委員会を決めたらすること</t>
        </is>
      </c>
    </row>
    <row r="14">
      <c r="B14" s="4" t="inlineStr">
        <is>
          <t>② 【6年】【5年】自分の組の列に、子どもの「名前」と「委員会」（プルダウン）を入れます。番号は自動で入ります。</t>
        </is>
      </c>
    </row>
    <row r="15">
      <c r="C15" s="4" t="inlineStr">
        <is>
          <t xml:space="preserve">　 ・名前は、名簿からコピーして「値の貼り付け」をしてもかまいません。</t>
        </is>
      </c>
    </row>
    <row r="16">
      <c r="C16" s="4" t="inlineStr">
        <is>
          <t xml:space="preserve">　 ・名前があるのに委員会が空欄の所は、うすい赤になります。設定にない委員会名は赤になります。</t>
        </is>
      </c>
    </row>
    <row r="17">
      <c r="B17" s="4" t="inlineStr"/>
    </row>
    <row r="18">
      <c r="B18" s="2" t="inlineStr">
        <is>
          <t>■ 【委員会担当】全部の組が入力し終わったらすること</t>
        </is>
      </c>
    </row>
    <row r="19">
      <c r="B19" s="4" t="inlineStr">
        <is>
          <t>③ 【人数チェック】委員会ごとの人数（6年・5年）と、委員会が未入力の子の数を確かめます。</t>
        </is>
      </c>
    </row>
    <row r="20">
      <c r="B20" s="4" t="inlineStr">
        <is>
          <t>④ 【一覧名簿】【委員会①〜⑳】を印刷します。6年→5年、組の順、番号順に並びます。</t>
        </is>
      </c>
    </row>
    <row r="21">
      <c r="C21" s="4" t="inlineStr">
        <is>
          <t xml:space="preserve">　 ・一覧名簿はA3横。上段（①〜⑩）が1ページ目、下段（⑪〜⑳）が2ページ目です。委員会が10以下なら1ページ目だけ印刷します。</t>
        </is>
      </c>
    </row>
    <row r="22">
      <c r="C22" s="4" t="inlineStr">
        <is>
          <t xml:space="preserve">　 ・委員会①〜⑳のタブ名は、右クリック→「名前の変更」で「飼育」などに変えてもかまいません。</t>
        </is>
      </c>
    </row>
    <row r="23">
      <c r="B23" s="4" t="inlineStr"/>
    </row>
    <row r="24">
      <c r="B24" s="2" t="inlineStr">
        <is>
          <t>■ 上限</t>
        </is>
      </c>
    </row>
    <row r="25">
      <c r="B25" s="4" t="inlineStr">
        <is>
          <t>委員会 20／1学年の組 8／1組 45人／1つの委員会 50人</t>
        </is>
      </c>
    </row>
    <row r="26">
      <c r="B26" s="4" t="inlineStr"/>
    </row>
    <row r="27">
      <c r="B27" s="2" t="inlineStr">
        <is>
          <t>■ このファイルについて</t>
        </is>
      </c>
    </row>
    <row r="28">
      <c r="B28" s="4" t="inlineStr">
        <is>
          <t>これは白紙のファイルです。設定シートから入力してください。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7" customWidth="1" min="4" max="4"/>
    <col width="7" customWidth="1" min="5" max="5"/>
    <col width="3" customWidth="1" min="6" max="6"/>
    <col width="3" customWidth="1" min="7" max="7"/>
    <col width="6" customWidth="1" min="8" max="8"/>
    <col width="16" customWidth="1" min="9" max="9"/>
    <col width="12" customWidth="1" min="10" max="10"/>
    <col width="16" customWidth="1" min="11" max="11"/>
  </cols>
  <sheetData>
    <row r="1">
      <c r="A1" s="6" t="inlineStr">
        <is>
          <t>設定</t>
        </is>
      </c>
      <c r="D1" s="7" t="inlineStr">
        <is>
          <t>【入力：委員会担当】うす紫のセル</t>
        </is>
      </c>
      <c r="E1" s="32" t="n"/>
      <c r="F1" s="32" t="n"/>
      <c r="G1" s="32" t="n"/>
      <c r="H1" s="32" t="n"/>
      <c r="I1" s="32" t="n"/>
      <c r="J1" s="32" t="n"/>
      <c r="K1" s="33" t="n"/>
    </row>
    <row r="2"/>
    <row r="3">
      <c r="A3" s="8" t="inlineStr">
        <is>
          <t>年度</t>
        </is>
      </c>
      <c r="B3" s="9" t="n"/>
      <c r="C3" s="10" t="n"/>
    </row>
    <row r="4">
      <c r="A4" s="8" t="inlineStr">
        <is>
          <t>呼び名</t>
        </is>
      </c>
      <c r="B4" s="9" t="inlineStr">
        <is>
          <t>委員会</t>
        </is>
      </c>
    </row>
    <row r="5"/>
    <row r="6">
      <c r="A6" s="8" t="inlineStr">
        <is>
          <t>学年の設定</t>
        </is>
      </c>
    </row>
    <row r="7">
      <c r="A7" s="11" t="inlineStr">
        <is>
          <t>上の学年</t>
        </is>
      </c>
      <c r="B7" s="12" t="n">
        <v>6</v>
      </c>
    </row>
    <row r="8">
      <c r="A8" s="11" t="inlineStr">
        <is>
          <t>下の学年</t>
        </is>
      </c>
      <c r="B8" s="12" t="n">
        <v>5</v>
      </c>
    </row>
    <row r="9">
      <c r="A9" s="8" t="inlineStr">
        <is>
          <t>組の設定（上から並び順。学年ごとに最大8組）</t>
        </is>
      </c>
      <c r="H9" s="8" t="inlineStr">
        <is>
          <t>委員会の設定（上から順に「委員会①、②…」のシートに入ります）</t>
        </is>
      </c>
    </row>
    <row r="10">
      <c r="A10" s="13" t="inlineStr">
        <is>
          <t>学年</t>
        </is>
      </c>
      <c r="B10" s="13" t="inlineStr">
        <is>
          <t>組</t>
        </is>
      </c>
      <c r="C10" s="13" t="inlineStr">
        <is>
          <t>名簿での表示</t>
        </is>
      </c>
      <c r="D10" s="13" t="inlineStr">
        <is>
          <t>色</t>
        </is>
      </c>
      <c r="E10" s="13" t="inlineStr">
        <is>
          <t>人数</t>
        </is>
      </c>
      <c r="H10" s="13" t="inlineStr">
        <is>
          <t>No.</t>
        </is>
      </c>
      <c r="I10" s="13" t="inlineStr">
        <is>
          <t>委員会名</t>
        </is>
      </c>
      <c r="J10" s="13" t="inlineStr">
        <is>
          <t>担当</t>
        </is>
      </c>
      <c r="K10" s="13" t="inlineStr">
        <is>
          <t>活動場所</t>
        </is>
      </c>
    </row>
    <row r="11">
      <c r="A11" s="11">
        <f>$B$7</f>
        <v/>
      </c>
      <c r="B11" s="12" t="n"/>
      <c r="C11" s="12">
        <f>IF(B11="","",A11&amp;B11)</f>
        <v/>
      </c>
      <c r="D11" s="12" t="n"/>
      <c r="E11" s="12" t="n"/>
      <c r="H11" s="11" t="n">
        <v>1</v>
      </c>
      <c r="I11" s="12" t="n"/>
      <c r="J11" s="12" t="n"/>
      <c r="K11" s="12" t="n"/>
    </row>
    <row r="12">
      <c r="A12" s="11">
        <f>$B$7</f>
        <v/>
      </c>
      <c r="B12" s="12" t="n"/>
      <c r="C12" s="12">
        <f>IF(B12="","",A12&amp;B12)</f>
        <v/>
      </c>
      <c r="D12" s="12" t="n"/>
      <c r="E12" s="12" t="n"/>
      <c r="H12" s="11" t="n">
        <v>2</v>
      </c>
      <c r="I12" s="12" t="n"/>
      <c r="J12" s="12" t="n"/>
      <c r="K12" s="12" t="n"/>
    </row>
    <row r="13">
      <c r="A13" s="11">
        <f>$B$7</f>
        <v/>
      </c>
      <c r="B13" s="12" t="n"/>
      <c r="C13" s="12">
        <f>IF(B13="","",A13&amp;B13)</f>
        <v/>
      </c>
      <c r="D13" s="12" t="n"/>
      <c r="E13" s="12" t="n"/>
      <c r="H13" s="11" t="n">
        <v>3</v>
      </c>
      <c r="I13" s="12" t="n"/>
      <c r="J13" s="12" t="n"/>
      <c r="K13" s="12" t="n"/>
    </row>
    <row r="14">
      <c r="A14" s="11">
        <f>$B$7</f>
        <v/>
      </c>
      <c r="B14" s="12" t="n"/>
      <c r="C14" s="12">
        <f>IF(B14="","",A14&amp;B14)</f>
        <v/>
      </c>
      <c r="D14" s="12" t="n"/>
      <c r="E14" s="12" t="n"/>
      <c r="H14" s="11" t="n">
        <v>4</v>
      </c>
      <c r="I14" s="12" t="n"/>
      <c r="J14" s="12" t="n"/>
      <c r="K14" s="12" t="n"/>
    </row>
    <row r="15">
      <c r="A15" s="11">
        <f>$B$7</f>
        <v/>
      </c>
      <c r="B15" s="12" t="n"/>
      <c r="C15" s="12">
        <f>IF(B15="","",A15&amp;B15)</f>
        <v/>
      </c>
      <c r="D15" s="12" t="n"/>
      <c r="E15" s="12" t="n"/>
      <c r="H15" s="11" t="n">
        <v>5</v>
      </c>
      <c r="I15" s="12" t="n"/>
      <c r="J15" s="12" t="n"/>
      <c r="K15" s="12" t="n"/>
    </row>
    <row r="16">
      <c r="A16" s="11">
        <f>$B$7</f>
        <v/>
      </c>
      <c r="B16" s="12" t="n"/>
      <c r="C16" s="12">
        <f>IF(B16="","",A16&amp;B16)</f>
        <v/>
      </c>
      <c r="D16" s="12" t="n"/>
      <c r="E16" s="12" t="n"/>
      <c r="H16" s="11" t="n">
        <v>6</v>
      </c>
      <c r="I16" s="12" t="n"/>
      <c r="J16" s="12" t="n"/>
      <c r="K16" s="12" t="n"/>
    </row>
    <row r="17">
      <c r="A17" s="11">
        <f>$B$7</f>
        <v/>
      </c>
      <c r="B17" s="12" t="n"/>
      <c r="C17" s="12">
        <f>IF(B17="","",A17&amp;B17)</f>
        <v/>
      </c>
      <c r="D17" s="12" t="n"/>
      <c r="E17" s="12" t="n"/>
      <c r="H17" s="11" t="n">
        <v>7</v>
      </c>
      <c r="I17" s="12" t="n"/>
      <c r="J17" s="12" t="n"/>
      <c r="K17" s="12" t="n"/>
    </row>
    <row r="18">
      <c r="A18" s="11">
        <f>$B$7</f>
        <v/>
      </c>
      <c r="B18" s="12" t="n"/>
      <c r="C18" s="12">
        <f>IF(B18="","",A18&amp;B18)</f>
        <v/>
      </c>
      <c r="D18" s="12" t="n"/>
      <c r="E18" s="12" t="n"/>
      <c r="H18" s="11" t="n">
        <v>8</v>
      </c>
      <c r="I18" s="12" t="n"/>
      <c r="J18" s="12" t="n"/>
      <c r="K18" s="12" t="n"/>
    </row>
    <row r="19">
      <c r="A19" s="11">
        <f>$B$8</f>
        <v/>
      </c>
      <c r="B19" s="12" t="n"/>
      <c r="C19" s="12">
        <f>IF(B19="","",A19&amp;B19)</f>
        <v/>
      </c>
      <c r="D19" s="12" t="n"/>
      <c r="E19" s="12" t="n"/>
      <c r="H19" s="11" t="n">
        <v>9</v>
      </c>
      <c r="I19" s="12" t="n"/>
      <c r="J19" s="12" t="n"/>
      <c r="K19" s="12" t="n"/>
    </row>
    <row r="20">
      <c r="A20" s="11">
        <f>$B$8</f>
        <v/>
      </c>
      <c r="B20" s="12" t="n"/>
      <c r="C20" s="12">
        <f>IF(B20="","",A20&amp;B20)</f>
        <v/>
      </c>
      <c r="D20" s="12" t="n"/>
      <c r="E20" s="12" t="n"/>
      <c r="H20" s="11" t="n">
        <v>10</v>
      </c>
      <c r="I20" s="12" t="n"/>
      <c r="J20" s="12" t="n"/>
      <c r="K20" s="12" t="n"/>
    </row>
    <row r="21">
      <c r="A21" s="11">
        <f>$B$8</f>
        <v/>
      </c>
      <c r="B21" s="12" t="n"/>
      <c r="C21" s="12">
        <f>IF(B21="","",A21&amp;B21)</f>
        <v/>
      </c>
      <c r="D21" s="12" t="n"/>
      <c r="E21" s="12" t="n"/>
      <c r="H21" s="11" t="n">
        <v>11</v>
      </c>
      <c r="I21" s="12" t="n"/>
      <c r="J21" s="12" t="n"/>
      <c r="K21" s="12" t="n"/>
    </row>
    <row r="22">
      <c r="A22" s="11">
        <f>$B$8</f>
        <v/>
      </c>
      <c r="B22" s="12" t="n"/>
      <c r="C22" s="12">
        <f>IF(B22="","",A22&amp;B22)</f>
        <v/>
      </c>
      <c r="D22" s="12" t="n"/>
      <c r="E22" s="12" t="n"/>
      <c r="H22" s="11" t="n">
        <v>12</v>
      </c>
      <c r="I22" s="12" t="n"/>
      <c r="J22" s="12" t="n"/>
      <c r="K22" s="12" t="n"/>
    </row>
    <row r="23">
      <c r="A23" s="11">
        <f>$B$8</f>
        <v/>
      </c>
      <c r="B23" s="12" t="n"/>
      <c r="C23" s="12">
        <f>IF(B23="","",A23&amp;B23)</f>
        <v/>
      </c>
      <c r="D23" s="12" t="n"/>
      <c r="E23" s="12" t="n"/>
      <c r="H23" s="11" t="n">
        <v>13</v>
      </c>
      <c r="I23" s="12" t="n"/>
      <c r="J23" s="12" t="n"/>
      <c r="K23" s="12" t="n"/>
    </row>
    <row r="24">
      <c r="A24" s="11">
        <f>$B$8</f>
        <v/>
      </c>
      <c r="B24" s="12" t="n"/>
      <c r="C24" s="12">
        <f>IF(B24="","",A24&amp;B24)</f>
        <v/>
      </c>
      <c r="D24" s="12" t="n"/>
      <c r="E24" s="12" t="n"/>
      <c r="H24" s="11" t="n">
        <v>14</v>
      </c>
      <c r="I24" s="12" t="n"/>
      <c r="J24" s="12" t="n"/>
      <c r="K24" s="12" t="n"/>
    </row>
    <row r="25">
      <c r="A25" s="11">
        <f>$B$8</f>
        <v/>
      </c>
      <c r="B25" s="12" t="n"/>
      <c r="C25" s="12">
        <f>IF(B25="","",A25&amp;B25)</f>
        <v/>
      </c>
      <c r="D25" s="12" t="n"/>
      <c r="E25" s="12" t="n"/>
      <c r="H25" s="11" t="n">
        <v>15</v>
      </c>
      <c r="I25" s="12" t="n"/>
      <c r="J25" s="12" t="n"/>
      <c r="K25" s="12" t="n"/>
    </row>
    <row r="26">
      <c r="A26" s="11">
        <f>$B$8</f>
        <v/>
      </c>
      <c r="B26" s="12" t="n"/>
      <c r="C26" s="12">
        <f>IF(B26="","",A26&amp;B26)</f>
        <v/>
      </c>
      <c r="D26" s="12" t="n"/>
      <c r="E26" s="12" t="n"/>
      <c r="H26" s="11" t="n">
        <v>16</v>
      </c>
      <c r="I26" s="12" t="n"/>
      <c r="J26" s="12" t="n"/>
      <c r="K26" s="12" t="n"/>
    </row>
    <row r="27">
      <c r="H27" s="11" t="n">
        <v>17</v>
      </c>
      <c r="I27" s="12" t="n"/>
      <c r="J27" s="12" t="n"/>
      <c r="K27" s="12" t="n"/>
    </row>
    <row r="28">
      <c r="A28" s="14" t="inlineStr">
        <is>
          <t>※ 書いた組の数がクラス数になります。「人数」の数だけ番号の枠ができます（最大45人）。</t>
        </is>
      </c>
      <c r="H28" s="11" t="n">
        <v>18</v>
      </c>
      <c r="I28" s="12" t="n"/>
      <c r="J28" s="12" t="n"/>
      <c r="K28" s="12" t="n"/>
    </row>
    <row r="29">
      <c r="A29" s="14" t="inlineStr">
        <is>
          <t>※「名簿での表示」は「6-1」などに書きかえてもかまいません。「色」は組の文字の色です（空欄なら黒）。</t>
        </is>
      </c>
      <c r="H29" s="11" t="n">
        <v>19</v>
      </c>
      <c r="I29" s="12" t="n"/>
      <c r="J29" s="12" t="n"/>
      <c r="K29" s="12" t="n"/>
    </row>
    <row r="30">
      <c r="H30" s="11" t="n">
        <v>20</v>
      </c>
      <c r="I30" s="12" t="n"/>
      <c r="J30" s="12" t="n"/>
      <c r="K30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D1:K1"/>
    <mergeCell ref="B3:C3"/>
  </mergeCells>
  <conditionalFormatting sqref="B11:C26">
    <cfRule type="expression" priority="1" dxfId="0">
      <formula>$D11="黒"</formula>
    </cfRule>
    <cfRule type="expression" priority="2" dxfId="1">
      <formula>$D11="赤"</formula>
    </cfRule>
    <cfRule type="expression" priority="3" dxfId="2">
      <formula>$D11="青"</formula>
    </cfRule>
    <cfRule type="expression" priority="4" dxfId="3">
      <formula>$D11="緑"</formula>
    </cfRule>
    <cfRule type="expression" priority="5" dxfId="4">
      <formula>$D11="黄"</formula>
    </cfRule>
    <cfRule type="expression" priority="6" dxfId="5">
      <formula>$D11="橙"</formula>
    </cfRule>
    <cfRule type="expression" priority="7" dxfId="6">
      <formula>$D11="紫"</formula>
    </cfRule>
    <cfRule type="expression" priority="8" dxfId="7">
      <formula>$D11="茶"</formula>
    </cfRule>
  </conditionalFormatting>
  <conditionalFormatting sqref="I11:I30">
    <cfRule type="expression" priority="9" dxfId="8">
      <formula>AND(I11&lt;&gt;"",COUNTIF($I$11:$I$30,I11)&gt;1)</formula>
    </cfRule>
  </conditionalFormatting>
  <dataValidations count="2">
    <dataValidation sqref="D11:D26" showDropDown="0" showInputMessage="0" showErrorMessage="0" allowBlank="1" type="list">
      <formula1>"黒,赤,青,緑,黄,橙,紫,茶"</formula1>
    </dataValidation>
    <dataValidation sqref="E11:E26" showDropDown="0" showInputMessage="0" showErrorMessage="0" allowBlank="1" type="whole" operator="between">
      <formula1>0</formula1>
      <formula2>45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X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  <col width="5" customWidth="1" min="4" max="4"/>
    <col width="15" customWidth="1" min="5" max="5"/>
    <col width="11" customWidth="1" min="6" max="6"/>
    <col width="5" customWidth="1" min="7" max="7"/>
    <col width="15" customWidth="1" min="8" max="8"/>
    <col width="11" customWidth="1" min="9" max="9"/>
    <col width="5" customWidth="1" min="10" max="10"/>
    <col width="15" customWidth="1" min="11" max="11"/>
    <col width="11" customWidth="1" min="12" max="12"/>
    <col width="5" customWidth="1" min="13" max="13"/>
    <col width="15" customWidth="1" min="14" max="14"/>
    <col width="11" customWidth="1" min="15" max="15"/>
    <col width="5" customWidth="1" min="16" max="16"/>
    <col width="15" customWidth="1" min="17" max="17"/>
    <col width="11" customWidth="1" min="18" max="18"/>
    <col width="5" customWidth="1" min="19" max="19"/>
    <col width="15" customWidth="1" min="20" max="20"/>
    <col width="11" customWidth="1" min="21" max="21"/>
    <col width="5" customWidth="1" min="22" max="22"/>
    <col width="15" customWidth="1" min="23" max="23"/>
    <col width="11" customWidth="1" min="24" max="24"/>
  </cols>
  <sheetData>
    <row r="1">
      <c r="A1" s="1">
        <f>設定!$B$3&amp;"　"&amp;設定!$B$7&amp;"年　"&amp;設定!$B$4&amp;"入力"</f>
        <v/>
      </c>
      <c r="E1" s="15" t="inlineStr">
        <is>
          <t>【入力：担任】黄色のセル</t>
        </is>
      </c>
      <c r="F1" s="32" t="n"/>
      <c r="G1" s="32" t="n"/>
      <c r="H1" s="32" t="n"/>
      <c r="I1" s="32" t="n"/>
      <c r="J1" s="33" t="n"/>
    </row>
    <row r="2"/>
    <row r="3">
      <c r="A3" s="16">
        <f>IF(設定!$B$11="","",設定!$C$11)</f>
        <v/>
      </c>
      <c r="B3" s="32" t="n"/>
      <c r="C3" s="33" t="n"/>
      <c r="D3" s="16">
        <f>IF(設定!$B$12="","",設定!$C$12)</f>
        <v/>
      </c>
      <c r="E3" s="32" t="n"/>
      <c r="F3" s="33" t="n"/>
      <c r="G3" s="16">
        <f>IF(設定!$B$13="","",設定!$C$13)</f>
        <v/>
      </c>
      <c r="H3" s="32" t="n"/>
      <c r="I3" s="33" t="n"/>
      <c r="J3" s="16">
        <f>IF(設定!$B$14="","",設定!$C$14)</f>
        <v/>
      </c>
      <c r="K3" s="32" t="n"/>
      <c r="L3" s="33" t="n"/>
      <c r="M3" s="16">
        <f>IF(設定!$B$15="","",設定!$C$15)</f>
        <v/>
      </c>
      <c r="N3" s="32" t="n"/>
      <c r="O3" s="33" t="n"/>
      <c r="P3" s="16">
        <f>IF(設定!$B$16="","",設定!$C$16)</f>
        <v/>
      </c>
      <c r="Q3" s="32" t="n"/>
      <c r="R3" s="33" t="n"/>
      <c r="S3" s="16">
        <f>IF(設定!$B$17="","",設定!$C$17)</f>
        <v/>
      </c>
      <c r="T3" s="32" t="n"/>
      <c r="U3" s="33" t="n"/>
      <c r="V3" s="16">
        <f>IF(設定!$B$18="","",設定!$C$18)</f>
        <v/>
      </c>
      <c r="W3" s="32" t="n"/>
      <c r="X3" s="33" t="n"/>
    </row>
    <row r="4">
      <c r="A4" s="18" t="inlineStr">
        <is>
          <t>番号</t>
        </is>
      </c>
      <c r="B4" s="18" t="inlineStr">
        <is>
          <t>名前</t>
        </is>
      </c>
      <c r="C4" s="18" t="inlineStr">
        <is>
          <t>委員会</t>
        </is>
      </c>
      <c r="D4" s="18" t="inlineStr">
        <is>
          <t>番号</t>
        </is>
      </c>
      <c r="E4" s="18" t="inlineStr">
        <is>
          <t>名前</t>
        </is>
      </c>
      <c r="F4" s="18" t="inlineStr">
        <is>
          <t>委員会</t>
        </is>
      </c>
      <c r="G4" s="18" t="inlineStr">
        <is>
          <t>番号</t>
        </is>
      </c>
      <c r="H4" s="18" t="inlineStr">
        <is>
          <t>名前</t>
        </is>
      </c>
      <c r="I4" s="18" t="inlineStr">
        <is>
          <t>委員会</t>
        </is>
      </c>
      <c r="J4" s="18" t="inlineStr">
        <is>
          <t>番号</t>
        </is>
      </c>
      <c r="K4" s="18" t="inlineStr">
        <is>
          <t>名前</t>
        </is>
      </c>
      <c r="L4" s="18" t="inlineStr">
        <is>
          <t>委員会</t>
        </is>
      </c>
      <c r="M4" s="18" t="inlineStr">
        <is>
          <t>番号</t>
        </is>
      </c>
      <c r="N4" s="18" t="inlineStr">
        <is>
          <t>名前</t>
        </is>
      </c>
      <c r="O4" s="18" t="inlineStr">
        <is>
          <t>委員会</t>
        </is>
      </c>
      <c r="P4" s="18" t="inlineStr">
        <is>
          <t>番号</t>
        </is>
      </c>
      <c r="Q4" s="18" t="inlineStr">
        <is>
          <t>名前</t>
        </is>
      </c>
      <c r="R4" s="18" t="inlineStr">
        <is>
          <t>委員会</t>
        </is>
      </c>
      <c r="S4" s="18" t="inlineStr">
        <is>
          <t>番号</t>
        </is>
      </c>
      <c r="T4" s="18" t="inlineStr">
        <is>
          <t>名前</t>
        </is>
      </c>
      <c r="U4" s="18" t="inlineStr">
        <is>
          <t>委員会</t>
        </is>
      </c>
      <c r="V4" s="18" t="inlineStr">
        <is>
          <t>番号</t>
        </is>
      </c>
      <c r="W4" s="18" t="inlineStr">
        <is>
          <t>名前</t>
        </is>
      </c>
      <c r="X4" s="18" t="inlineStr">
        <is>
          <t>委員会</t>
        </is>
      </c>
    </row>
    <row r="5">
      <c r="A5" s="19">
        <f>IF(AND(設定!$B$11&lt;&gt;"",1&lt;=N(設定!$E$11)),1,"")</f>
        <v/>
      </c>
      <c r="B5" s="20" t="n"/>
      <c r="C5" s="21" t="n"/>
      <c r="D5" s="19">
        <f>IF(AND(設定!$B$12&lt;&gt;"",1&lt;=N(設定!$E$12)),1,"")</f>
        <v/>
      </c>
      <c r="E5" s="20" t="n"/>
      <c r="F5" s="21" t="n"/>
      <c r="G5" s="19">
        <f>IF(AND(設定!$B$13&lt;&gt;"",1&lt;=N(設定!$E$13)),1,"")</f>
        <v/>
      </c>
      <c r="H5" s="20" t="n"/>
      <c r="I5" s="21" t="n"/>
      <c r="J5" s="19">
        <f>IF(AND(設定!$B$14&lt;&gt;"",1&lt;=N(設定!$E$14)),1,"")</f>
        <v/>
      </c>
      <c r="K5" s="20" t="n"/>
      <c r="L5" s="21" t="n"/>
      <c r="M5" s="19">
        <f>IF(AND(設定!$B$15&lt;&gt;"",1&lt;=N(設定!$E$15)),1,"")</f>
        <v/>
      </c>
      <c r="N5" s="20" t="n"/>
      <c r="O5" s="21" t="n"/>
      <c r="P5" s="19">
        <f>IF(AND(設定!$B$16&lt;&gt;"",1&lt;=N(設定!$E$16)),1,"")</f>
        <v/>
      </c>
      <c r="Q5" s="20" t="n"/>
      <c r="R5" s="21" t="n"/>
      <c r="S5" s="19">
        <f>IF(AND(設定!$B$17&lt;&gt;"",1&lt;=N(設定!$E$17)),1,"")</f>
        <v/>
      </c>
      <c r="T5" s="20" t="n"/>
      <c r="U5" s="21" t="n"/>
      <c r="V5" s="19">
        <f>IF(AND(設定!$B$18&lt;&gt;"",1&lt;=N(設定!$E$18)),1,"")</f>
        <v/>
      </c>
      <c r="W5" s="20" t="n"/>
      <c r="X5" s="21" t="n"/>
    </row>
    <row r="6">
      <c r="A6" s="19">
        <f>IF(AND(設定!$B$11&lt;&gt;"",2&lt;=N(設定!$E$11)),2,"")</f>
        <v/>
      </c>
      <c r="B6" s="20" t="n"/>
      <c r="C6" s="21" t="n"/>
      <c r="D6" s="19">
        <f>IF(AND(設定!$B$12&lt;&gt;"",2&lt;=N(設定!$E$12)),2,"")</f>
        <v/>
      </c>
      <c r="E6" s="20" t="n"/>
      <c r="F6" s="21" t="n"/>
      <c r="G6" s="19">
        <f>IF(AND(設定!$B$13&lt;&gt;"",2&lt;=N(設定!$E$13)),2,"")</f>
        <v/>
      </c>
      <c r="H6" s="20" t="n"/>
      <c r="I6" s="21" t="n"/>
      <c r="J6" s="19">
        <f>IF(AND(設定!$B$14&lt;&gt;"",2&lt;=N(設定!$E$14)),2,"")</f>
        <v/>
      </c>
      <c r="K6" s="20" t="n"/>
      <c r="L6" s="21" t="n"/>
      <c r="M6" s="19">
        <f>IF(AND(設定!$B$15&lt;&gt;"",2&lt;=N(設定!$E$15)),2,"")</f>
        <v/>
      </c>
      <c r="N6" s="20" t="n"/>
      <c r="O6" s="21" t="n"/>
      <c r="P6" s="19">
        <f>IF(AND(設定!$B$16&lt;&gt;"",2&lt;=N(設定!$E$16)),2,"")</f>
        <v/>
      </c>
      <c r="Q6" s="20" t="n"/>
      <c r="R6" s="21" t="n"/>
      <c r="S6" s="19">
        <f>IF(AND(設定!$B$17&lt;&gt;"",2&lt;=N(設定!$E$17)),2,"")</f>
        <v/>
      </c>
      <c r="T6" s="20" t="n"/>
      <c r="U6" s="21" t="n"/>
      <c r="V6" s="19">
        <f>IF(AND(設定!$B$18&lt;&gt;"",2&lt;=N(設定!$E$18)),2,"")</f>
        <v/>
      </c>
      <c r="W6" s="20" t="n"/>
      <c r="X6" s="21" t="n"/>
    </row>
    <row r="7">
      <c r="A7" s="19">
        <f>IF(AND(設定!$B$11&lt;&gt;"",3&lt;=N(設定!$E$11)),3,"")</f>
        <v/>
      </c>
      <c r="B7" s="20" t="n"/>
      <c r="C7" s="21" t="n"/>
      <c r="D7" s="19">
        <f>IF(AND(設定!$B$12&lt;&gt;"",3&lt;=N(設定!$E$12)),3,"")</f>
        <v/>
      </c>
      <c r="E7" s="20" t="n"/>
      <c r="F7" s="21" t="n"/>
      <c r="G7" s="19">
        <f>IF(AND(設定!$B$13&lt;&gt;"",3&lt;=N(設定!$E$13)),3,"")</f>
        <v/>
      </c>
      <c r="H7" s="20" t="n"/>
      <c r="I7" s="21" t="n"/>
      <c r="J7" s="19">
        <f>IF(AND(設定!$B$14&lt;&gt;"",3&lt;=N(設定!$E$14)),3,"")</f>
        <v/>
      </c>
      <c r="K7" s="20" t="n"/>
      <c r="L7" s="21" t="n"/>
      <c r="M7" s="19">
        <f>IF(AND(設定!$B$15&lt;&gt;"",3&lt;=N(設定!$E$15)),3,"")</f>
        <v/>
      </c>
      <c r="N7" s="20" t="n"/>
      <c r="O7" s="21" t="n"/>
      <c r="P7" s="19">
        <f>IF(AND(設定!$B$16&lt;&gt;"",3&lt;=N(設定!$E$16)),3,"")</f>
        <v/>
      </c>
      <c r="Q7" s="20" t="n"/>
      <c r="R7" s="21" t="n"/>
      <c r="S7" s="19">
        <f>IF(AND(設定!$B$17&lt;&gt;"",3&lt;=N(設定!$E$17)),3,"")</f>
        <v/>
      </c>
      <c r="T7" s="20" t="n"/>
      <c r="U7" s="21" t="n"/>
      <c r="V7" s="19">
        <f>IF(AND(設定!$B$18&lt;&gt;"",3&lt;=N(設定!$E$18)),3,"")</f>
        <v/>
      </c>
      <c r="W7" s="20" t="n"/>
      <c r="X7" s="21" t="n"/>
    </row>
    <row r="8">
      <c r="A8" s="19">
        <f>IF(AND(設定!$B$11&lt;&gt;"",4&lt;=N(設定!$E$11)),4,"")</f>
        <v/>
      </c>
      <c r="B8" s="20" t="n"/>
      <c r="C8" s="21" t="n"/>
      <c r="D8" s="19">
        <f>IF(AND(設定!$B$12&lt;&gt;"",4&lt;=N(設定!$E$12)),4,"")</f>
        <v/>
      </c>
      <c r="E8" s="20" t="n"/>
      <c r="F8" s="21" t="n"/>
      <c r="G8" s="19">
        <f>IF(AND(設定!$B$13&lt;&gt;"",4&lt;=N(設定!$E$13)),4,"")</f>
        <v/>
      </c>
      <c r="H8" s="20" t="n"/>
      <c r="I8" s="21" t="n"/>
      <c r="J8" s="19">
        <f>IF(AND(設定!$B$14&lt;&gt;"",4&lt;=N(設定!$E$14)),4,"")</f>
        <v/>
      </c>
      <c r="K8" s="20" t="n"/>
      <c r="L8" s="21" t="n"/>
      <c r="M8" s="19">
        <f>IF(AND(設定!$B$15&lt;&gt;"",4&lt;=N(設定!$E$15)),4,"")</f>
        <v/>
      </c>
      <c r="N8" s="20" t="n"/>
      <c r="O8" s="21" t="n"/>
      <c r="P8" s="19">
        <f>IF(AND(設定!$B$16&lt;&gt;"",4&lt;=N(設定!$E$16)),4,"")</f>
        <v/>
      </c>
      <c r="Q8" s="20" t="n"/>
      <c r="R8" s="21" t="n"/>
      <c r="S8" s="19">
        <f>IF(AND(設定!$B$17&lt;&gt;"",4&lt;=N(設定!$E$17)),4,"")</f>
        <v/>
      </c>
      <c r="T8" s="20" t="n"/>
      <c r="U8" s="21" t="n"/>
      <c r="V8" s="19">
        <f>IF(AND(設定!$B$18&lt;&gt;"",4&lt;=N(設定!$E$18)),4,"")</f>
        <v/>
      </c>
      <c r="W8" s="20" t="n"/>
      <c r="X8" s="21" t="n"/>
    </row>
    <row r="9">
      <c r="A9" s="19">
        <f>IF(AND(設定!$B$11&lt;&gt;"",5&lt;=N(設定!$E$11)),5,"")</f>
        <v/>
      </c>
      <c r="B9" s="20" t="n"/>
      <c r="C9" s="21" t="n"/>
      <c r="D9" s="19">
        <f>IF(AND(設定!$B$12&lt;&gt;"",5&lt;=N(設定!$E$12)),5,"")</f>
        <v/>
      </c>
      <c r="E9" s="20" t="n"/>
      <c r="F9" s="21" t="n"/>
      <c r="G9" s="19">
        <f>IF(AND(設定!$B$13&lt;&gt;"",5&lt;=N(設定!$E$13)),5,"")</f>
        <v/>
      </c>
      <c r="H9" s="20" t="n"/>
      <c r="I9" s="21" t="n"/>
      <c r="J9" s="19">
        <f>IF(AND(設定!$B$14&lt;&gt;"",5&lt;=N(設定!$E$14)),5,"")</f>
        <v/>
      </c>
      <c r="K9" s="20" t="n"/>
      <c r="L9" s="21" t="n"/>
      <c r="M9" s="19">
        <f>IF(AND(設定!$B$15&lt;&gt;"",5&lt;=N(設定!$E$15)),5,"")</f>
        <v/>
      </c>
      <c r="N9" s="20" t="n"/>
      <c r="O9" s="21" t="n"/>
      <c r="P9" s="19">
        <f>IF(AND(設定!$B$16&lt;&gt;"",5&lt;=N(設定!$E$16)),5,"")</f>
        <v/>
      </c>
      <c r="Q9" s="20" t="n"/>
      <c r="R9" s="21" t="n"/>
      <c r="S9" s="19">
        <f>IF(AND(設定!$B$17&lt;&gt;"",5&lt;=N(設定!$E$17)),5,"")</f>
        <v/>
      </c>
      <c r="T9" s="20" t="n"/>
      <c r="U9" s="21" t="n"/>
      <c r="V9" s="19">
        <f>IF(AND(設定!$B$18&lt;&gt;"",5&lt;=N(設定!$E$18)),5,"")</f>
        <v/>
      </c>
      <c r="W9" s="20" t="n"/>
      <c r="X9" s="21" t="n"/>
    </row>
    <row r="10">
      <c r="A10" s="19">
        <f>IF(AND(設定!$B$11&lt;&gt;"",6&lt;=N(設定!$E$11)),6,"")</f>
        <v/>
      </c>
      <c r="B10" s="20" t="n"/>
      <c r="C10" s="21" t="n"/>
      <c r="D10" s="19">
        <f>IF(AND(設定!$B$12&lt;&gt;"",6&lt;=N(設定!$E$12)),6,"")</f>
        <v/>
      </c>
      <c r="E10" s="20" t="n"/>
      <c r="F10" s="21" t="n"/>
      <c r="G10" s="19">
        <f>IF(AND(設定!$B$13&lt;&gt;"",6&lt;=N(設定!$E$13)),6,"")</f>
        <v/>
      </c>
      <c r="H10" s="20" t="n"/>
      <c r="I10" s="21" t="n"/>
      <c r="J10" s="19">
        <f>IF(AND(設定!$B$14&lt;&gt;"",6&lt;=N(設定!$E$14)),6,"")</f>
        <v/>
      </c>
      <c r="K10" s="20" t="n"/>
      <c r="L10" s="21" t="n"/>
      <c r="M10" s="19">
        <f>IF(AND(設定!$B$15&lt;&gt;"",6&lt;=N(設定!$E$15)),6,"")</f>
        <v/>
      </c>
      <c r="N10" s="20" t="n"/>
      <c r="O10" s="21" t="n"/>
      <c r="P10" s="19">
        <f>IF(AND(設定!$B$16&lt;&gt;"",6&lt;=N(設定!$E$16)),6,"")</f>
        <v/>
      </c>
      <c r="Q10" s="20" t="n"/>
      <c r="R10" s="21" t="n"/>
      <c r="S10" s="19">
        <f>IF(AND(設定!$B$17&lt;&gt;"",6&lt;=N(設定!$E$17)),6,"")</f>
        <v/>
      </c>
      <c r="T10" s="20" t="n"/>
      <c r="U10" s="21" t="n"/>
      <c r="V10" s="19">
        <f>IF(AND(設定!$B$18&lt;&gt;"",6&lt;=N(設定!$E$18)),6,"")</f>
        <v/>
      </c>
      <c r="W10" s="20" t="n"/>
      <c r="X10" s="21" t="n"/>
    </row>
    <row r="11">
      <c r="A11" s="19">
        <f>IF(AND(設定!$B$11&lt;&gt;"",7&lt;=N(設定!$E$11)),7,"")</f>
        <v/>
      </c>
      <c r="B11" s="20" t="n"/>
      <c r="C11" s="21" t="n"/>
      <c r="D11" s="19">
        <f>IF(AND(設定!$B$12&lt;&gt;"",7&lt;=N(設定!$E$12)),7,"")</f>
        <v/>
      </c>
      <c r="E11" s="20" t="n"/>
      <c r="F11" s="21" t="n"/>
      <c r="G11" s="19">
        <f>IF(AND(設定!$B$13&lt;&gt;"",7&lt;=N(設定!$E$13)),7,"")</f>
        <v/>
      </c>
      <c r="H11" s="20" t="n"/>
      <c r="I11" s="21" t="n"/>
      <c r="J11" s="19">
        <f>IF(AND(設定!$B$14&lt;&gt;"",7&lt;=N(設定!$E$14)),7,"")</f>
        <v/>
      </c>
      <c r="K11" s="20" t="n"/>
      <c r="L11" s="21" t="n"/>
      <c r="M11" s="19">
        <f>IF(AND(設定!$B$15&lt;&gt;"",7&lt;=N(設定!$E$15)),7,"")</f>
        <v/>
      </c>
      <c r="N11" s="20" t="n"/>
      <c r="O11" s="21" t="n"/>
      <c r="P11" s="19">
        <f>IF(AND(設定!$B$16&lt;&gt;"",7&lt;=N(設定!$E$16)),7,"")</f>
        <v/>
      </c>
      <c r="Q11" s="20" t="n"/>
      <c r="R11" s="21" t="n"/>
      <c r="S11" s="19">
        <f>IF(AND(設定!$B$17&lt;&gt;"",7&lt;=N(設定!$E$17)),7,"")</f>
        <v/>
      </c>
      <c r="T11" s="20" t="n"/>
      <c r="U11" s="21" t="n"/>
      <c r="V11" s="19">
        <f>IF(AND(設定!$B$18&lt;&gt;"",7&lt;=N(設定!$E$18)),7,"")</f>
        <v/>
      </c>
      <c r="W11" s="20" t="n"/>
      <c r="X11" s="21" t="n"/>
    </row>
    <row r="12">
      <c r="A12" s="19">
        <f>IF(AND(設定!$B$11&lt;&gt;"",8&lt;=N(設定!$E$11)),8,"")</f>
        <v/>
      </c>
      <c r="B12" s="20" t="n"/>
      <c r="C12" s="21" t="n"/>
      <c r="D12" s="19">
        <f>IF(AND(設定!$B$12&lt;&gt;"",8&lt;=N(設定!$E$12)),8,"")</f>
        <v/>
      </c>
      <c r="E12" s="20" t="n"/>
      <c r="F12" s="21" t="n"/>
      <c r="G12" s="19">
        <f>IF(AND(設定!$B$13&lt;&gt;"",8&lt;=N(設定!$E$13)),8,"")</f>
        <v/>
      </c>
      <c r="H12" s="20" t="n"/>
      <c r="I12" s="21" t="n"/>
      <c r="J12" s="19">
        <f>IF(AND(設定!$B$14&lt;&gt;"",8&lt;=N(設定!$E$14)),8,"")</f>
        <v/>
      </c>
      <c r="K12" s="20" t="n"/>
      <c r="L12" s="21" t="n"/>
      <c r="M12" s="19">
        <f>IF(AND(設定!$B$15&lt;&gt;"",8&lt;=N(設定!$E$15)),8,"")</f>
        <v/>
      </c>
      <c r="N12" s="20" t="n"/>
      <c r="O12" s="21" t="n"/>
      <c r="P12" s="19">
        <f>IF(AND(設定!$B$16&lt;&gt;"",8&lt;=N(設定!$E$16)),8,"")</f>
        <v/>
      </c>
      <c r="Q12" s="20" t="n"/>
      <c r="R12" s="21" t="n"/>
      <c r="S12" s="19">
        <f>IF(AND(設定!$B$17&lt;&gt;"",8&lt;=N(設定!$E$17)),8,"")</f>
        <v/>
      </c>
      <c r="T12" s="20" t="n"/>
      <c r="U12" s="21" t="n"/>
      <c r="V12" s="19">
        <f>IF(AND(設定!$B$18&lt;&gt;"",8&lt;=N(設定!$E$18)),8,"")</f>
        <v/>
      </c>
      <c r="W12" s="20" t="n"/>
      <c r="X12" s="21" t="n"/>
    </row>
    <row r="13">
      <c r="A13" s="19">
        <f>IF(AND(設定!$B$11&lt;&gt;"",9&lt;=N(設定!$E$11)),9,"")</f>
        <v/>
      </c>
      <c r="B13" s="20" t="n"/>
      <c r="C13" s="21" t="n"/>
      <c r="D13" s="19">
        <f>IF(AND(設定!$B$12&lt;&gt;"",9&lt;=N(設定!$E$12)),9,"")</f>
        <v/>
      </c>
      <c r="E13" s="20" t="n"/>
      <c r="F13" s="21" t="n"/>
      <c r="G13" s="19">
        <f>IF(AND(設定!$B$13&lt;&gt;"",9&lt;=N(設定!$E$13)),9,"")</f>
        <v/>
      </c>
      <c r="H13" s="20" t="n"/>
      <c r="I13" s="21" t="n"/>
      <c r="J13" s="19">
        <f>IF(AND(設定!$B$14&lt;&gt;"",9&lt;=N(設定!$E$14)),9,"")</f>
        <v/>
      </c>
      <c r="K13" s="20" t="n"/>
      <c r="L13" s="21" t="n"/>
      <c r="M13" s="19">
        <f>IF(AND(設定!$B$15&lt;&gt;"",9&lt;=N(設定!$E$15)),9,"")</f>
        <v/>
      </c>
      <c r="N13" s="20" t="n"/>
      <c r="O13" s="21" t="n"/>
      <c r="P13" s="19">
        <f>IF(AND(設定!$B$16&lt;&gt;"",9&lt;=N(設定!$E$16)),9,"")</f>
        <v/>
      </c>
      <c r="Q13" s="20" t="n"/>
      <c r="R13" s="21" t="n"/>
      <c r="S13" s="19">
        <f>IF(AND(設定!$B$17&lt;&gt;"",9&lt;=N(設定!$E$17)),9,"")</f>
        <v/>
      </c>
      <c r="T13" s="20" t="n"/>
      <c r="U13" s="21" t="n"/>
      <c r="V13" s="19">
        <f>IF(AND(設定!$B$18&lt;&gt;"",9&lt;=N(設定!$E$18)),9,"")</f>
        <v/>
      </c>
      <c r="W13" s="20" t="n"/>
      <c r="X13" s="21" t="n"/>
    </row>
    <row r="14">
      <c r="A14" s="19">
        <f>IF(AND(設定!$B$11&lt;&gt;"",10&lt;=N(設定!$E$11)),10,"")</f>
        <v/>
      </c>
      <c r="B14" s="20" t="n"/>
      <c r="C14" s="21" t="n"/>
      <c r="D14" s="19">
        <f>IF(AND(設定!$B$12&lt;&gt;"",10&lt;=N(設定!$E$12)),10,"")</f>
        <v/>
      </c>
      <c r="E14" s="20" t="n"/>
      <c r="F14" s="21" t="n"/>
      <c r="G14" s="19">
        <f>IF(AND(設定!$B$13&lt;&gt;"",10&lt;=N(設定!$E$13)),10,"")</f>
        <v/>
      </c>
      <c r="H14" s="20" t="n"/>
      <c r="I14" s="21" t="n"/>
      <c r="J14" s="19">
        <f>IF(AND(設定!$B$14&lt;&gt;"",10&lt;=N(設定!$E$14)),10,"")</f>
        <v/>
      </c>
      <c r="K14" s="20" t="n"/>
      <c r="L14" s="21" t="n"/>
      <c r="M14" s="19">
        <f>IF(AND(設定!$B$15&lt;&gt;"",10&lt;=N(設定!$E$15)),10,"")</f>
        <v/>
      </c>
      <c r="N14" s="20" t="n"/>
      <c r="O14" s="21" t="n"/>
      <c r="P14" s="19">
        <f>IF(AND(設定!$B$16&lt;&gt;"",10&lt;=N(設定!$E$16)),10,"")</f>
        <v/>
      </c>
      <c r="Q14" s="20" t="n"/>
      <c r="R14" s="21" t="n"/>
      <c r="S14" s="19">
        <f>IF(AND(設定!$B$17&lt;&gt;"",10&lt;=N(設定!$E$17)),10,"")</f>
        <v/>
      </c>
      <c r="T14" s="20" t="n"/>
      <c r="U14" s="21" t="n"/>
      <c r="V14" s="19">
        <f>IF(AND(設定!$B$18&lt;&gt;"",10&lt;=N(設定!$E$18)),10,"")</f>
        <v/>
      </c>
      <c r="W14" s="20" t="n"/>
      <c r="X14" s="21" t="n"/>
    </row>
    <row r="15">
      <c r="A15" s="19">
        <f>IF(AND(設定!$B$11&lt;&gt;"",11&lt;=N(設定!$E$11)),11,"")</f>
        <v/>
      </c>
      <c r="B15" s="20" t="n"/>
      <c r="C15" s="21" t="n"/>
      <c r="D15" s="19">
        <f>IF(AND(設定!$B$12&lt;&gt;"",11&lt;=N(設定!$E$12)),11,"")</f>
        <v/>
      </c>
      <c r="E15" s="20" t="n"/>
      <c r="F15" s="21" t="n"/>
      <c r="G15" s="19">
        <f>IF(AND(設定!$B$13&lt;&gt;"",11&lt;=N(設定!$E$13)),11,"")</f>
        <v/>
      </c>
      <c r="H15" s="20" t="n"/>
      <c r="I15" s="21" t="n"/>
      <c r="J15" s="19">
        <f>IF(AND(設定!$B$14&lt;&gt;"",11&lt;=N(設定!$E$14)),11,"")</f>
        <v/>
      </c>
      <c r="K15" s="20" t="n"/>
      <c r="L15" s="21" t="n"/>
      <c r="M15" s="19">
        <f>IF(AND(設定!$B$15&lt;&gt;"",11&lt;=N(設定!$E$15)),11,"")</f>
        <v/>
      </c>
      <c r="N15" s="20" t="n"/>
      <c r="O15" s="21" t="n"/>
      <c r="P15" s="19">
        <f>IF(AND(設定!$B$16&lt;&gt;"",11&lt;=N(設定!$E$16)),11,"")</f>
        <v/>
      </c>
      <c r="Q15" s="20" t="n"/>
      <c r="R15" s="21" t="n"/>
      <c r="S15" s="19">
        <f>IF(AND(設定!$B$17&lt;&gt;"",11&lt;=N(設定!$E$17)),11,"")</f>
        <v/>
      </c>
      <c r="T15" s="20" t="n"/>
      <c r="U15" s="21" t="n"/>
      <c r="V15" s="19">
        <f>IF(AND(設定!$B$18&lt;&gt;"",11&lt;=N(設定!$E$18)),11,"")</f>
        <v/>
      </c>
      <c r="W15" s="20" t="n"/>
      <c r="X15" s="21" t="n"/>
    </row>
    <row r="16">
      <c r="A16" s="19">
        <f>IF(AND(設定!$B$11&lt;&gt;"",12&lt;=N(設定!$E$11)),12,"")</f>
        <v/>
      </c>
      <c r="B16" s="20" t="n"/>
      <c r="C16" s="21" t="n"/>
      <c r="D16" s="19">
        <f>IF(AND(設定!$B$12&lt;&gt;"",12&lt;=N(設定!$E$12)),12,"")</f>
        <v/>
      </c>
      <c r="E16" s="20" t="n"/>
      <c r="F16" s="21" t="n"/>
      <c r="G16" s="19">
        <f>IF(AND(設定!$B$13&lt;&gt;"",12&lt;=N(設定!$E$13)),12,"")</f>
        <v/>
      </c>
      <c r="H16" s="20" t="n"/>
      <c r="I16" s="21" t="n"/>
      <c r="J16" s="19">
        <f>IF(AND(設定!$B$14&lt;&gt;"",12&lt;=N(設定!$E$14)),12,"")</f>
        <v/>
      </c>
      <c r="K16" s="20" t="n"/>
      <c r="L16" s="21" t="n"/>
      <c r="M16" s="19">
        <f>IF(AND(設定!$B$15&lt;&gt;"",12&lt;=N(設定!$E$15)),12,"")</f>
        <v/>
      </c>
      <c r="N16" s="20" t="n"/>
      <c r="O16" s="21" t="n"/>
      <c r="P16" s="19">
        <f>IF(AND(設定!$B$16&lt;&gt;"",12&lt;=N(設定!$E$16)),12,"")</f>
        <v/>
      </c>
      <c r="Q16" s="20" t="n"/>
      <c r="R16" s="21" t="n"/>
      <c r="S16" s="19">
        <f>IF(AND(設定!$B$17&lt;&gt;"",12&lt;=N(設定!$E$17)),12,"")</f>
        <v/>
      </c>
      <c r="T16" s="20" t="n"/>
      <c r="U16" s="21" t="n"/>
      <c r="V16" s="19">
        <f>IF(AND(設定!$B$18&lt;&gt;"",12&lt;=N(設定!$E$18)),12,"")</f>
        <v/>
      </c>
      <c r="W16" s="20" t="n"/>
      <c r="X16" s="21" t="n"/>
    </row>
    <row r="17">
      <c r="A17" s="19">
        <f>IF(AND(設定!$B$11&lt;&gt;"",13&lt;=N(設定!$E$11)),13,"")</f>
        <v/>
      </c>
      <c r="B17" s="20" t="n"/>
      <c r="C17" s="21" t="n"/>
      <c r="D17" s="19">
        <f>IF(AND(設定!$B$12&lt;&gt;"",13&lt;=N(設定!$E$12)),13,"")</f>
        <v/>
      </c>
      <c r="E17" s="20" t="n"/>
      <c r="F17" s="21" t="n"/>
      <c r="G17" s="19">
        <f>IF(AND(設定!$B$13&lt;&gt;"",13&lt;=N(設定!$E$13)),13,"")</f>
        <v/>
      </c>
      <c r="H17" s="20" t="n"/>
      <c r="I17" s="21" t="n"/>
      <c r="J17" s="19">
        <f>IF(AND(設定!$B$14&lt;&gt;"",13&lt;=N(設定!$E$14)),13,"")</f>
        <v/>
      </c>
      <c r="K17" s="20" t="n"/>
      <c r="L17" s="21" t="n"/>
      <c r="M17" s="19">
        <f>IF(AND(設定!$B$15&lt;&gt;"",13&lt;=N(設定!$E$15)),13,"")</f>
        <v/>
      </c>
      <c r="N17" s="20" t="n"/>
      <c r="O17" s="21" t="n"/>
      <c r="P17" s="19">
        <f>IF(AND(設定!$B$16&lt;&gt;"",13&lt;=N(設定!$E$16)),13,"")</f>
        <v/>
      </c>
      <c r="Q17" s="20" t="n"/>
      <c r="R17" s="21" t="n"/>
      <c r="S17" s="19">
        <f>IF(AND(設定!$B$17&lt;&gt;"",13&lt;=N(設定!$E$17)),13,"")</f>
        <v/>
      </c>
      <c r="T17" s="20" t="n"/>
      <c r="U17" s="21" t="n"/>
      <c r="V17" s="19">
        <f>IF(AND(設定!$B$18&lt;&gt;"",13&lt;=N(設定!$E$18)),13,"")</f>
        <v/>
      </c>
      <c r="W17" s="20" t="n"/>
      <c r="X17" s="21" t="n"/>
    </row>
    <row r="18">
      <c r="A18" s="19">
        <f>IF(AND(設定!$B$11&lt;&gt;"",14&lt;=N(設定!$E$11)),14,"")</f>
        <v/>
      </c>
      <c r="B18" s="20" t="n"/>
      <c r="C18" s="21" t="n"/>
      <c r="D18" s="19">
        <f>IF(AND(設定!$B$12&lt;&gt;"",14&lt;=N(設定!$E$12)),14,"")</f>
        <v/>
      </c>
      <c r="E18" s="20" t="n"/>
      <c r="F18" s="21" t="n"/>
      <c r="G18" s="19">
        <f>IF(AND(設定!$B$13&lt;&gt;"",14&lt;=N(設定!$E$13)),14,"")</f>
        <v/>
      </c>
      <c r="H18" s="20" t="n"/>
      <c r="I18" s="21" t="n"/>
      <c r="J18" s="19">
        <f>IF(AND(設定!$B$14&lt;&gt;"",14&lt;=N(設定!$E$14)),14,"")</f>
        <v/>
      </c>
      <c r="K18" s="20" t="n"/>
      <c r="L18" s="21" t="n"/>
      <c r="M18" s="19">
        <f>IF(AND(設定!$B$15&lt;&gt;"",14&lt;=N(設定!$E$15)),14,"")</f>
        <v/>
      </c>
      <c r="N18" s="20" t="n"/>
      <c r="O18" s="21" t="n"/>
      <c r="P18" s="19">
        <f>IF(AND(設定!$B$16&lt;&gt;"",14&lt;=N(設定!$E$16)),14,"")</f>
        <v/>
      </c>
      <c r="Q18" s="20" t="n"/>
      <c r="R18" s="21" t="n"/>
      <c r="S18" s="19">
        <f>IF(AND(設定!$B$17&lt;&gt;"",14&lt;=N(設定!$E$17)),14,"")</f>
        <v/>
      </c>
      <c r="T18" s="20" t="n"/>
      <c r="U18" s="21" t="n"/>
      <c r="V18" s="19">
        <f>IF(AND(設定!$B$18&lt;&gt;"",14&lt;=N(設定!$E$18)),14,"")</f>
        <v/>
      </c>
      <c r="W18" s="20" t="n"/>
      <c r="X18" s="21" t="n"/>
    </row>
    <row r="19">
      <c r="A19" s="19">
        <f>IF(AND(設定!$B$11&lt;&gt;"",15&lt;=N(設定!$E$11)),15,"")</f>
        <v/>
      </c>
      <c r="B19" s="20" t="n"/>
      <c r="C19" s="21" t="n"/>
      <c r="D19" s="19">
        <f>IF(AND(設定!$B$12&lt;&gt;"",15&lt;=N(設定!$E$12)),15,"")</f>
        <v/>
      </c>
      <c r="E19" s="20" t="n"/>
      <c r="F19" s="21" t="n"/>
      <c r="G19" s="19">
        <f>IF(AND(設定!$B$13&lt;&gt;"",15&lt;=N(設定!$E$13)),15,"")</f>
        <v/>
      </c>
      <c r="H19" s="20" t="n"/>
      <c r="I19" s="21" t="n"/>
      <c r="J19" s="19">
        <f>IF(AND(設定!$B$14&lt;&gt;"",15&lt;=N(設定!$E$14)),15,"")</f>
        <v/>
      </c>
      <c r="K19" s="20" t="n"/>
      <c r="L19" s="21" t="n"/>
      <c r="M19" s="19">
        <f>IF(AND(設定!$B$15&lt;&gt;"",15&lt;=N(設定!$E$15)),15,"")</f>
        <v/>
      </c>
      <c r="N19" s="20" t="n"/>
      <c r="O19" s="21" t="n"/>
      <c r="P19" s="19">
        <f>IF(AND(設定!$B$16&lt;&gt;"",15&lt;=N(設定!$E$16)),15,"")</f>
        <v/>
      </c>
      <c r="Q19" s="20" t="n"/>
      <c r="R19" s="21" t="n"/>
      <c r="S19" s="19">
        <f>IF(AND(設定!$B$17&lt;&gt;"",15&lt;=N(設定!$E$17)),15,"")</f>
        <v/>
      </c>
      <c r="T19" s="20" t="n"/>
      <c r="U19" s="21" t="n"/>
      <c r="V19" s="19">
        <f>IF(AND(設定!$B$18&lt;&gt;"",15&lt;=N(設定!$E$18)),15,"")</f>
        <v/>
      </c>
      <c r="W19" s="20" t="n"/>
      <c r="X19" s="21" t="n"/>
    </row>
    <row r="20">
      <c r="A20" s="19">
        <f>IF(AND(設定!$B$11&lt;&gt;"",16&lt;=N(設定!$E$11)),16,"")</f>
        <v/>
      </c>
      <c r="B20" s="20" t="n"/>
      <c r="C20" s="21" t="n"/>
      <c r="D20" s="19">
        <f>IF(AND(設定!$B$12&lt;&gt;"",16&lt;=N(設定!$E$12)),16,"")</f>
        <v/>
      </c>
      <c r="E20" s="20" t="n"/>
      <c r="F20" s="21" t="n"/>
      <c r="G20" s="19">
        <f>IF(AND(設定!$B$13&lt;&gt;"",16&lt;=N(設定!$E$13)),16,"")</f>
        <v/>
      </c>
      <c r="H20" s="20" t="n"/>
      <c r="I20" s="21" t="n"/>
      <c r="J20" s="19">
        <f>IF(AND(設定!$B$14&lt;&gt;"",16&lt;=N(設定!$E$14)),16,"")</f>
        <v/>
      </c>
      <c r="K20" s="20" t="n"/>
      <c r="L20" s="21" t="n"/>
      <c r="M20" s="19">
        <f>IF(AND(設定!$B$15&lt;&gt;"",16&lt;=N(設定!$E$15)),16,"")</f>
        <v/>
      </c>
      <c r="N20" s="20" t="n"/>
      <c r="O20" s="21" t="n"/>
      <c r="P20" s="19">
        <f>IF(AND(設定!$B$16&lt;&gt;"",16&lt;=N(設定!$E$16)),16,"")</f>
        <v/>
      </c>
      <c r="Q20" s="20" t="n"/>
      <c r="R20" s="21" t="n"/>
      <c r="S20" s="19">
        <f>IF(AND(設定!$B$17&lt;&gt;"",16&lt;=N(設定!$E$17)),16,"")</f>
        <v/>
      </c>
      <c r="T20" s="20" t="n"/>
      <c r="U20" s="21" t="n"/>
      <c r="V20" s="19">
        <f>IF(AND(設定!$B$18&lt;&gt;"",16&lt;=N(設定!$E$18)),16,"")</f>
        <v/>
      </c>
      <c r="W20" s="20" t="n"/>
      <c r="X20" s="21" t="n"/>
    </row>
    <row r="21">
      <c r="A21" s="19">
        <f>IF(AND(設定!$B$11&lt;&gt;"",17&lt;=N(設定!$E$11)),17,"")</f>
        <v/>
      </c>
      <c r="B21" s="20" t="n"/>
      <c r="C21" s="21" t="n"/>
      <c r="D21" s="19">
        <f>IF(AND(設定!$B$12&lt;&gt;"",17&lt;=N(設定!$E$12)),17,"")</f>
        <v/>
      </c>
      <c r="E21" s="20" t="n"/>
      <c r="F21" s="21" t="n"/>
      <c r="G21" s="19">
        <f>IF(AND(設定!$B$13&lt;&gt;"",17&lt;=N(設定!$E$13)),17,"")</f>
        <v/>
      </c>
      <c r="H21" s="20" t="n"/>
      <c r="I21" s="21" t="n"/>
      <c r="J21" s="19">
        <f>IF(AND(設定!$B$14&lt;&gt;"",17&lt;=N(設定!$E$14)),17,"")</f>
        <v/>
      </c>
      <c r="K21" s="20" t="n"/>
      <c r="L21" s="21" t="n"/>
      <c r="M21" s="19">
        <f>IF(AND(設定!$B$15&lt;&gt;"",17&lt;=N(設定!$E$15)),17,"")</f>
        <v/>
      </c>
      <c r="N21" s="20" t="n"/>
      <c r="O21" s="21" t="n"/>
      <c r="P21" s="19">
        <f>IF(AND(設定!$B$16&lt;&gt;"",17&lt;=N(設定!$E$16)),17,"")</f>
        <v/>
      </c>
      <c r="Q21" s="20" t="n"/>
      <c r="R21" s="21" t="n"/>
      <c r="S21" s="19">
        <f>IF(AND(設定!$B$17&lt;&gt;"",17&lt;=N(設定!$E$17)),17,"")</f>
        <v/>
      </c>
      <c r="T21" s="20" t="n"/>
      <c r="U21" s="21" t="n"/>
      <c r="V21" s="19">
        <f>IF(AND(設定!$B$18&lt;&gt;"",17&lt;=N(設定!$E$18)),17,"")</f>
        <v/>
      </c>
      <c r="W21" s="20" t="n"/>
      <c r="X21" s="21" t="n"/>
    </row>
    <row r="22">
      <c r="A22" s="19">
        <f>IF(AND(設定!$B$11&lt;&gt;"",18&lt;=N(設定!$E$11)),18,"")</f>
        <v/>
      </c>
      <c r="B22" s="20" t="n"/>
      <c r="C22" s="21" t="n"/>
      <c r="D22" s="19">
        <f>IF(AND(設定!$B$12&lt;&gt;"",18&lt;=N(設定!$E$12)),18,"")</f>
        <v/>
      </c>
      <c r="E22" s="20" t="n"/>
      <c r="F22" s="21" t="n"/>
      <c r="G22" s="19">
        <f>IF(AND(設定!$B$13&lt;&gt;"",18&lt;=N(設定!$E$13)),18,"")</f>
        <v/>
      </c>
      <c r="H22" s="20" t="n"/>
      <c r="I22" s="21" t="n"/>
      <c r="J22" s="19">
        <f>IF(AND(設定!$B$14&lt;&gt;"",18&lt;=N(設定!$E$14)),18,"")</f>
        <v/>
      </c>
      <c r="K22" s="20" t="n"/>
      <c r="L22" s="21" t="n"/>
      <c r="M22" s="19">
        <f>IF(AND(設定!$B$15&lt;&gt;"",18&lt;=N(設定!$E$15)),18,"")</f>
        <v/>
      </c>
      <c r="N22" s="20" t="n"/>
      <c r="O22" s="21" t="n"/>
      <c r="P22" s="19">
        <f>IF(AND(設定!$B$16&lt;&gt;"",18&lt;=N(設定!$E$16)),18,"")</f>
        <v/>
      </c>
      <c r="Q22" s="20" t="n"/>
      <c r="R22" s="21" t="n"/>
      <c r="S22" s="19">
        <f>IF(AND(設定!$B$17&lt;&gt;"",18&lt;=N(設定!$E$17)),18,"")</f>
        <v/>
      </c>
      <c r="T22" s="20" t="n"/>
      <c r="U22" s="21" t="n"/>
      <c r="V22" s="19">
        <f>IF(AND(設定!$B$18&lt;&gt;"",18&lt;=N(設定!$E$18)),18,"")</f>
        <v/>
      </c>
      <c r="W22" s="20" t="n"/>
      <c r="X22" s="21" t="n"/>
    </row>
    <row r="23">
      <c r="A23" s="19">
        <f>IF(AND(設定!$B$11&lt;&gt;"",19&lt;=N(設定!$E$11)),19,"")</f>
        <v/>
      </c>
      <c r="B23" s="20" t="n"/>
      <c r="C23" s="21" t="n"/>
      <c r="D23" s="19">
        <f>IF(AND(設定!$B$12&lt;&gt;"",19&lt;=N(設定!$E$12)),19,"")</f>
        <v/>
      </c>
      <c r="E23" s="20" t="n"/>
      <c r="F23" s="21" t="n"/>
      <c r="G23" s="19">
        <f>IF(AND(設定!$B$13&lt;&gt;"",19&lt;=N(設定!$E$13)),19,"")</f>
        <v/>
      </c>
      <c r="H23" s="20" t="n"/>
      <c r="I23" s="21" t="n"/>
      <c r="J23" s="19">
        <f>IF(AND(設定!$B$14&lt;&gt;"",19&lt;=N(設定!$E$14)),19,"")</f>
        <v/>
      </c>
      <c r="K23" s="20" t="n"/>
      <c r="L23" s="21" t="n"/>
      <c r="M23" s="19">
        <f>IF(AND(設定!$B$15&lt;&gt;"",19&lt;=N(設定!$E$15)),19,"")</f>
        <v/>
      </c>
      <c r="N23" s="20" t="n"/>
      <c r="O23" s="21" t="n"/>
      <c r="P23" s="19">
        <f>IF(AND(設定!$B$16&lt;&gt;"",19&lt;=N(設定!$E$16)),19,"")</f>
        <v/>
      </c>
      <c r="Q23" s="20" t="n"/>
      <c r="R23" s="21" t="n"/>
      <c r="S23" s="19">
        <f>IF(AND(設定!$B$17&lt;&gt;"",19&lt;=N(設定!$E$17)),19,"")</f>
        <v/>
      </c>
      <c r="T23" s="20" t="n"/>
      <c r="U23" s="21" t="n"/>
      <c r="V23" s="19">
        <f>IF(AND(設定!$B$18&lt;&gt;"",19&lt;=N(設定!$E$18)),19,"")</f>
        <v/>
      </c>
      <c r="W23" s="20" t="n"/>
      <c r="X23" s="21" t="n"/>
    </row>
    <row r="24">
      <c r="A24" s="19">
        <f>IF(AND(設定!$B$11&lt;&gt;"",20&lt;=N(設定!$E$11)),20,"")</f>
        <v/>
      </c>
      <c r="B24" s="20" t="n"/>
      <c r="C24" s="21" t="n"/>
      <c r="D24" s="19">
        <f>IF(AND(設定!$B$12&lt;&gt;"",20&lt;=N(設定!$E$12)),20,"")</f>
        <v/>
      </c>
      <c r="E24" s="20" t="n"/>
      <c r="F24" s="21" t="n"/>
      <c r="G24" s="19">
        <f>IF(AND(設定!$B$13&lt;&gt;"",20&lt;=N(設定!$E$13)),20,"")</f>
        <v/>
      </c>
      <c r="H24" s="20" t="n"/>
      <c r="I24" s="21" t="n"/>
      <c r="J24" s="19">
        <f>IF(AND(設定!$B$14&lt;&gt;"",20&lt;=N(設定!$E$14)),20,"")</f>
        <v/>
      </c>
      <c r="K24" s="20" t="n"/>
      <c r="L24" s="21" t="n"/>
      <c r="M24" s="19">
        <f>IF(AND(設定!$B$15&lt;&gt;"",20&lt;=N(設定!$E$15)),20,"")</f>
        <v/>
      </c>
      <c r="N24" s="20" t="n"/>
      <c r="O24" s="21" t="n"/>
      <c r="P24" s="19">
        <f>IF(AND(設定!$B$16&lt;&gt;"",20&lt;=N(設定!$E$16)),20,"")</f>
        <v/>
      </c>
      <c r="Q24" s="20" t="n"/>
      <c r="R24" s="21" t="n"/>
      <c r="S24" s="19">
        <f>IF(AND(設定!$B$17&lt;&gt;"",20&lt;=N(設定!$E$17)),20,"")</f>
        <v/>
      </c>
      <c r="T24" s="20" t="n"/>
      <c r="U24" s="21" t="n"/>
      <c r="V24" s="19">
        <f>IF(AND(設定!$B$18&lt;&gt;"",20&lt;=N(設定!$E$18)),20,"")</f>
        <v/>
      </c>
      <c r="W24" s="20" t="n"/>
      <c r="X24" s="21" t="n"/>
    </row>
    <row r="25">
      <c r="A25" s="19">
        <f>IF(AND(設定!$B$11&lt;&gt;"",21&lt;=N(設定!$E$11)),21,"")</f>
        <v/>
      </c>
      <c r="B25" s="20" t="n"/>
      <c r="C25" s="21" t="n"/>
      <c r="D25" s="19">
        <f>IF(AND(設定!$B$12&lt;&gt;"",21&lt;=N(設定!$E$12)),21,"")</f>
        <v/>
      </c>
      <c r="E25" s="20" t="n"/>
      <c r="F25" s="21" t="n"/>
      <c r="G25" s="19">
        <f>IF(AND(設定!$B$13&lt;&gt;"",21&lt;=N(設定!$E$13)),21,"")</f>
        <v/>
      </c>
      <c r="H25" s="20" t="n"/>
      <c r="I25" s="21" t="n"/>
      <c r="J25" s="19">
        <f>IF(AND(設定!$B$14&lt;&gt;"",21&lt;=N(設定!$E$14)),21,"")</f>
        <v/>
      </c>
      <c r="K25" s="20" t="n"/>
      <c r="L25" s="21" t="n"/>
      <c r="M25" s="19">
        <f>IF(AND(設定!$B$15&lt;&gt;"",21&lt;=N(設定!$E$15)),21,"")</f>
        <v/>
      </c>
      <c r="N25" s="20" t="n"/>
      <c r="O25" s="21" t="n"/>
      <c r="P25" s="19">
        <f>IF(AND(設定!$B$16&lt;&gt;"",21&lt;=N(設定!$E$16)),21,"")</f>
        <v/>
      </c>
      <c r="Q25" s="20" t="n"/>
      <c r="R25" s="21" t="n"/>
      <c r="S25" s="19">
        <f>IF(AND(設定!$B$17&lt;&gt;"",21&lt;=N(設定!$E$17)),21,"")</f>
        <v/>
      </c>
      <c r="T25" s="20" t="n"/>
      <c r="U25" s="21" t="n"/>
      <c r="V25" s="19">
        <f>IF(AND(設定!$B$18&lt;&gt;"",21&lt;=N(設定!$E$18)),21,"")</f>
        <v/>
      </c>
      <c r="W25" s="20" t="n"/>
      <c r="X25" s="21" t="n"/>
    </row>
    <row r="26">
      <c r="A26" s="19">
        <f>IF(AND(設定!$B$11&lt;&gt;"",22&lt;=N(設定!$E$11)),22,"")</f>
        <v/>
      </c>
      <c r="B26" s="20" t="n"/>
      <c r="C26" s="21" t="n"/>
      <c r="D26" s="19">
        <f>IF(AND(設定!$B$12&lt;&gt;"",22&lt;=N(設定!$E$12)),22,"")</f>
        <v/>
      </c>
      <c r="E26" s="20" t="n"/>
      <c r="F26" s="21" t="n"/>
      <c r="G26" s="19">
        <f>IF(AND(設定!$B$13&lt;&gt;"",22&lt;=N(設定!$E$13)),22,"")</f>
        <v/>
      </c>
      <c r="H26" s="20" t="n"/>
      <c r="I26" s="21" t="n"/>
      <c r="J26" s="19">
        <f>IF(AND(設定!$B$14&lt;&gt;"",22&lt;=N(設定!$E$14)),22,"")</f>
        <v/>
      </c>
      <c r="K26" s="20" t="n"/>
      <c r="L26" s="21" t="n"/>
      <c r="M26" s="19">
        <f>IF(AND(設定!$B$15&lt;&gt;"",22&lt;=N(設定!$E$15)),22,"")</f>
        <v/>
      </c>
      <c r="N26" s="20" t="n"/>
      <c r="O26" s="21" t="n"/>
      <c r="P26" s="19">
        <f>IF(AND(設定!$B$16&lt;&gt;"",22&lt;=N(設定!$E$16)),22,"")</f>
        <v/>
      </c>
      <c r="Q26" s="20" t="n"/>
      <c r="R26" s="21" t="n"/>
      <c r="S26" s="19">
        <f>IF(AND(設定!$B$17&lt;&gt;"",22&lt;=N(設定!$E$17)),22,"")</f>
        <v/>
      </c>
      <c r="T26" s="20" t="n"/>
      <c r="U26" s="21" t="n"/>
      <c r="V26" s="19">
        <f>IF(AND(設定!$B$18&lt;&gt;"",22&lt;=N(設定!$E$18)),22,"")</f>
        <v/>
      </c>
      <c r="W26" s="20" t="n"/>
      <c r="X26" s="21" t="n"/>
    </row>
    <row r="27">
      <c r="A27" s="19">
        <f>IF(AND(設定!$B$11&lt;&gt;"",23&lt;=N(設定!$E$11)),23,"")</f>
        <v/>
      </c>
      <c r="B27" s="20" t="n"/>
      <c r="C27" s="21" t="n"/>
      <c r="D27" s="19">
        <f>IF(AND(設定!$B$12&lt;&gt;"",23&lt;=N(設定!$E$12)),23,"")</f>
        <v/>
      </c>
      <c r="E27" s="20" t="n"/>
      <c r="F27" s="21" t="n"/>
      <c r="G27" s="19">
        <f>IF(AND(設定!$B$13&lt;&gt;"",23&lt;=N(設定!$E$13)),23,"")</f>
        <v/>
      </c>
      <c r="H27" s="20" t="n"/>
      <c r="I27" s="21" t="n"/>
      <c r="J27" s="19">
        <f>IF(AND(設定!$B$14&lt;&gt;"",23&lt;=N(設定!$E$14)),23,"")</f>
        <v/>
      </c>
      <c r="K27" s="20" t="n"/>
      <c r="L27" s="21" t="n"/>
      <c r="M27" s="19">
        <f>IF(AND(設定!$B$15&lt;&gt;"",23&lt;=N(設定!$E$15)),23,"")</f>
        <v/>
      </c>
      <c r="N27" s="20" t="n"/>
      <c r="O27" s="21" t="n"/>
      <c r="P27" s="19">
        <f>IF(AND(設定!$B$16&lt;&gt;"",23&lt;=N(設定!$E$16)),23,"")</f>
        <v/>
      </c>
      <c r="Q27" s="20" t="n"/>
      <c r="R27" s="21" t="n"/>
      <c r="S27" s="19">
        <f>IF(AND(設定!$B$17&lt;&gt;"",23&lt;=N(設定!$E$17)),23,"")</f>
        <v/>
      </c>
      <c r="T27" s="20" t="n"/>
      <c r="U27" s="21" t="n"/>
      <c r="V27" s="19">
        <f>IF(AND(設定!$B$18&lt;&gt;"",23&lt;=N(設定!$E$18)),23,"")</f>
        <v/>
      </c>
      <c r="W27" s="20" t="n"/>
      <c r="X27" s="21" t="n"/>
    </row>
    <row r="28">
      <c r="A28" s="19">
        <f>IF(AND(設定!$B$11&lt;&gt;"",24&lt;=N(設定!$E$11)),24,"")</f>
        <v/>
      </c>
      <c r="B28" s="20" t="n"/>
      <c r="C28" s="21" t="n"/>
      <c r="D28" s="19">
        <f>IF(AND(設定!$B$12&lt;&gt;"",24&lt;=N(設定!$E$12)),24,"")</f>
        <v/>
      </c>
      <c r="E28" s="20" t="n"/>
      <c r="F28" s="21" t="n"/>
      <c r="G28" s="19">
        <f>IF(AND(設定!$B$13&lt;&gt;"",24&lt;=N(設定!$E$13)),24,"")</f>
        <v/>
      </c>
      <c r="H28" s="20" t="n"/>
      <c r="I28" s="21" t="n"/>
      <c r="J28" s="19">
        <f>IF(AND(設定!$B$14&lt;&gt;"",24&lt;=N(設定!$E$14)),24,"")</f>
        <v/>
      </c>
      <c r="K28" s="20" t="n"/>
      <c r="L28" s="21" t="n"/>
      <c r="M28" s="19">
        <f>IF(AND(設定!$B$15&lt;&gt;"",24&lt;=N(設定!$E$15)),24,"")</f>
        <v/>
      </c>
      <c r="N28" s="20" t="n"/>
      <c r="O28" s="21" t="n"/>
      <c r="P28" s="19">
        <f>IF(AND(設定!$B$16&lt;&gt;"",24&lt;=N(設定!$E$16)),24,"")</f>
        <v/>
      </c>
      <c r="Q28" s="20" t="n"/>
      <c r="R28" s="21" t="n"/>
      <c r="S28" s="19">
        <f>IF(AND(設定!$B$17&lt;&gt;"",24&lt;=N(設定!$E$17)),24,"")</f>
        <v/>
      </c>
      <c r="T28" s="20" t="n"/>
      <c r="U28" s="21" t="n"/>
      <c r="V28" s="19">
        <f>IF(AND(設定!$B$18&lt;&gt;"",24&lt;=N(設定!$E$18)),24,"")</f>
        <v/>
      </c>
      <c r="W28" s="20" t="n"/>
      <c r="X28" s="21" t="n"/>
    </row>
    <row r="29">
      <c r="A29" s="19">
        <f>IF(AND(設定!$B$11&lt;&gt;"",25&lt;=N(設定!$E$11)),25,"")</f>
        <v/>
      </c>
      <c r="B29" s="20" t="n"/>
      <c r="C29" s="21" t="n"/>
      <c r="D29" s="19">
        <f>IF(AND(設定!$B$12&lt;&gt;"",25&lt;=N(設定!$E$12)),25,"")</f>
        <v/>
      </c>
      <c r="E29" s="20" t="n"/>
      <c r="F29" s="21" t="n"/>
      <c r="G29" s="19">
        <f>IF(AND(設定!$B$13&lt;&gt;"",25&lt;=N(設定!$E$13)),25,"")</f>
        <v/>
      </c>
      <c r="H29" s="20" t="n"/>
      <c r="I29" s="21" t="n"/>
      <c r="J29" s="19">
        <f>IF(AND(設定!$B$14&lt;&gt;"",25&lt;=N(設定!$E$14)),25,"")</f>
        <v/>
      </c>
      <c r="K29" s="20" t="n"/>
      <c r="L29" s="21" t="n"/>
      <c r="M29" s="19">
        <f>IF(AND(設定!$B$15&lt;&gt;"",25&lt;=N(設定!$E$15)),25,"")</f>
        <v/>
      </c>
      <c r="N29" s="20" t="n"/>
      <c r="O29" s="21" t="n"/>
      <c r="P29" s="19">
        <f>IF(AND(設定!$B$16&lt;&gt;"",25&lt;=N(設定!$E$16)),25,"")</f>
        <v/>
      </c>
      <c r="Q29" s="20" t="n"/>
      <c r="R29" s="21" t="n"/>
      <c r="S29" s="19">
        <f>IF(AND(設定!$B$17&lt;&gt;"",25&lt;=N(設定!$E$17)),25,"")</f>
        <v/>
      </c>
      <c r="T29" s="20" t="n"/>
      <c r="U29" s="21" t="n"/>
      <c r="V29" s="19">
        <f>IF(AND(設定!$B$18&lt;&gt;"",25&lt;=N(設定!$E$18)),25,"")</f>
        <v/>
      </c>
      <c r="W29" s="20" t="n"/>
      <c r="X29" s="21" t="n"/>
    </row>
    <row r="30">
      <c r="A30" s="19">
        <f>IF(AND(設定!$B$11&lt;&gt;"",26&lt;=N(設定!$E$11)),26,"")</f>
        <v/>
      </c>
      <c r="B30" s="20" t="n"/>
      <c r="C30" s="21" t="n"/>
      <c r="D30" s="19">
        <f>IF(AND(設定!$B$12&lt;&gt;"",26&lt;=N(設定!$E$12)),26,"")</f>
        <v/>
      </c>
      <c r="E30" s="20" t="n"/>
      <c r="F30" s="21" t="n"/>
      <c r="G30" s="19">
        <f>IF(AND(設定!$B$13&lt;&gt;"",26&lt;=N(設定!$E$13)),26,"")</f>
        <v/>
      </c>
      <c r="H30" s="20" t="n"/>
      <c r="I30" s="21" t="n"/>
      <c r="J30" s="19">
        <f>IF(AND(設定!$B$14&lt;&gt;"",26&lt;=N(設定!$E$14)),26,"")</f>
        <v/>
      </c>
      <c r="K30" s="20" t="n"/>
      <c r="L30" s="21" t="n"/>
      <c r="M30" s="19">
        <f>IF(AND(設定!$B$15&lt;&gt;"",26&lt;=N(設定!$E$15)),26,"")</f>
        <v/>
      </c>
      <c r="N30" s="20" t="n"/>
      <c r="O30" s="21" t="n"/>
      <c r="P30" s="19">
        <f>IF(AND(設定!$B$16&lt;&gt;"",26&lt;=N(設定!$E$16)),26,"")</f>
        <v/>
      </c>
      <c r="Q30" s="20" t="n"/>
      <c r="R30" s="21" t="n"/>
      <c r="S30" s="19">
        <f>IF(AND(設定!$B$17&lt;&gt;"",26&lt;=N(設定!$E$17)),26,"")</f>
        <v/>
      </c>
      <c r="T30" s="20" t="n"/>
      <c r="U30" s="21" t="n"/>
      <c r="V30" s="19">
        <f>IF(AND(設定!$B$18&lt;&gt;"",26&lt;=N(設定!$E$18)),26,"")</f>
        <v/>
      </c>
      <c r="W30" s="20" t="n"/>
      <c r="X30" s="21" t="n"/>
    </row>
    <row r="31">
      <c r="A31" s="19">
        <f>IF(AND(設定!$B$11&lt;&gt;"",27&lt;=N(設定!$E$11)),27,"")</f>
        <v/>
      </c>
      <c r="B31" s="20" t="n"/>
      <c r="C31" s="21" t="n"/>
      <c r="D31" s="19">
        <f>IF(AND(設定!$B$12&lt;&gt;"",27&lt;=N(設定!$E$12)),27,"")</f>
        <v/>
      </c>
      <c r="E31" s="20" t="n"/>
      <c r="F31" s="21" t="n"/>
      <c r="G31" s="19">
        <f>IF(AND(設定!$B$13&lt;&gt;"",27&lt;=N(設定!$E$13)),27,"")</f>
        <v/>
      </c>
      <c r="H31" s="20" t="n"/>
      <c r="I31" s="21" t="n"/>
      <c r="J31" s="19">
        <f>IF(AND(設定!$B$14&lt;&gt;"",27&lt;=N(設定!$E$14)),27,"")</f>
        <v/>
      </c>
      <c r="K31" s="20" t="n"/>
      <c r="L31" s="21" t="n"/>
      <c r="M31" s="19">
        <f>IF(AND(設定!$B$15&lt;&gt;"",27&lt;=N(設定!$E$15)),27,"")</f>
        <v/>
      </c>
      <c r="N31" s="20" t="n"/>
      <c r="O31" s="21" t="n"/>
      <c r="P31" s="19">
        <f>IF(AND(設定!$B$16&lt;&gt;"",27&lt;=N(設定!$E$16)),27,"")</f>
        <v/>
      </c>
      <c r="Q31" s="20" t="n"/>
      <c r="R31" s="21" t="n"/>
      <c r="S31" s="19">
        <f>IF(AND(設定!$B$17&lt;&gt;"",27&lt;=N(設定!$E$17)),27,"")</f>
        <v/>
      </c>
      <c r="T31" s="20" t="n"/>
      <c r="U31" s="21" t="n"/>
      <c r="V31" s="19">
        <f>IF(AND(設定!$B$18&lt;&gt;"",27&lt;=N(設定!$E$18)),27,"")</f>
        <v/>
      </c>
      <c r="W31" s="20" t="n"/>
      <c r="X31" s="21" t="n"/>
    </row>
    <row r="32">
      <c r="A32" s="19">
        <f>IF(AND(設定!$B$11&lt;&gt;"",28&lt;=N(設定!$E$11)),28,"")</f>
        <v/>
      </c>
      <c r="B32" s="20" t="n"/>
      <c r="C32" s="21" t="n"/>
      <c r="D32" s="19">
        <f>IF(AND(設定!$B$12&lt;&gt;"",28&lt;=N(設定!$E$12)),28,"")</f>
        <v/>
      </c>
      <c r="E32" s="20" t="n"/>
      <c r="F32" s="21" t="n"/>
      <c r="G32" s="19">
        <f>IF(AND(設定!$B$13&lt;&gt;"",28&lt;=N(設定!$E$13)),28,"")</f>
        <v/>
      </c>
      <c r="H32" s="20" t="n"/>
      <c r="I32" s="21" t="n"/>
      <c r="J32" s="19">
        <f>IF(AND(設定!$B$14&lt;&gt;"",28&lt;=N(設定!$E$14)),28,"")</f>
        <v/>
      </c>
      <c r="K32" s="20" t="n"/>
      <c r="L32" s="21" t="n"/>
      <c r="M32" s="19">
        <f>IF(AND(設定!$B$15&lt;&gt;"",28&lt;=N(設定!$E$15)),28,"")</f>
        <v/>
      </c>
      <c r="N32" s="20" t="n"/>
      <c r="O32" s="21" t="n"/>
      <c r="P32" s="19">
        <f>IF(AND(設定!$B$16&lt;&gt;"",28&lt;=N(設定!$E$16)),28,"")</f>
        <v/>
      </c>
      <c r="Q32" s="20" t="n"/>
      <c r="R32" s="21" t="n"/>
      <c r="S32" s="19">
        <f>IF(AND(設定!$B$17&lt;&gt;"",28&lt;=N(設定!$E$17)),28,"")</f>
        <v/>
      </c>
      <c r="T32" s="20" t="n"/>
      <c r="U32" s="21" t="n"/>
      <c r="V32" s="19">
        <f>IF(AND(設定!$B$18&lt;&gt;"",28&lt;=N(設定!$E$18)),28,"")</f>
        <v/>
      </c>
      <c r="W32" s="20" t="n"/>
      <c r="X32" s="21" t="n"/>
    </row>
    <row r="33">
      <c r="A33" s="19">
        <f>IF(AND(設定!$B$11&lt;&gt;"",29&lt;=N(設定!$E$11)),29,"")</f>
        <v/>
      </c>
      <c r="B33" s="20" t="n"/>
      <c r="C33" s="21" t="n"/>
      <c r="D33" s="19">
        <f>IF(AND(設定!$B$12&lt;&gt;"",29&lt;=N(設定!$E$12)),29,"")</f>
        <v/>
      </c>
      <c r="E33" s="20" t="n"/>
      <c r="F33" s="21" t="n"/>
      <c r="G33" s="19">
        <f>IF(AND(設定!$B$13&lt;&gt;"",29&lt;=N(設定!$E$13)),29,"")</f>
        <v/>
      </c>
      <c r="H33" s="20" t="n"/>
      <c r="I33" s="21" t="n"/>
      <c r="J33" s="19">
        <f>IF(AND(設定!$B$14&lt;&gt;"",29&lt;=N(設定!$E$14)),29,"")</f>
        <v/>
      </c>
      <c r="K33" s="20" t="n"/>
      <c r="L33" s="21" t="n"/>
      <c r="M33" s="19">
        <f>IF(AND(設定!$B$15&lt;&gt;"",29&lt;=N(設定!$E$15)),29,"")</f>
        <v/>
      </c>
      <c r="N33" s="20" t="n"/>
      <c r="O33" s="21" t="n"/>
      <c r="P33" s="19">
        <f>IF(AND(設定!$B$16&lt;&gt;"",29&lt;=N(設定!$E$16)),29,"")</f>
        <v/>
      </c>
      <c r="Q33" s="20" t="n"/>
      <c r="R33" s="21" t="n"/>
      <c r="S33" s="19">
        <f>IF(AND(設定!$B$17&lt;&gt;"",29&lt;=N(設定!$E$17)),29,"")</f>
        <v/>
      </c>
      <c r="T33" s="20" t="n"/>
      <c r="U33" s="21" t="n"/>
      <c r="V33" s="19">
        <f>IF(AND(設定!$B$18&lt;&gt;"",29&lt;=N(設定!$E$18)),29,"")</f>
        <v/>
      </c>
      <c r="W33" s="20" t="n"/>
      <c r="X33" s="21" t="n"/>
    </row>
    <row r="34">
      <c r="A34" s="19">
        <f>IF(AND(設定!$B$11&lt;&gt;"",30&lt;=N(設定!$E$11)),30,"")</f>
        <v/>
      </c>
      <c r="B34" s="20" t="n"/>
      <c r="C34" s="21" t="n"/>
      <c r="D34" s="19">
        <f>IF(AND(設定!$B$12&lt;&gt;"",30&lt;=N(設定!$E$12)),30,"")</f>
        <v/>
      </c>
      <c r="E34" s="20" t="n"/>
      <c r="F34" s="21" t="n"/>
      <c r="G34" s="19">
        <f>IF(AND(設定!$B$13&lt;&gt;"",30&lt;=N(設定!$E$13)),30,"")</f>
        <v/>
      </c>
      <c r="H34" s="20" t="n"/>
      <c r="I34" s="21" t="n"/>
      <c r="J34" s="19">
        <f>IF(AND(設定!$B$14&lt;&gt;"",30&lt;=N(設定!$E$14)),30,"")</f>
        <v/>
      </c>
      <c r="K34" s="20" t="n"/>
      <c r="L34" s="21" t="n"/>
      <c r="M34" s="19">
        <f>IF(AND(設定!$B$15&lt;&gt;"",30&lt;=N(設定!$E$15)),30,"")</f>
        <v/>
      </c>
      <c r="N34" s="20" t="n"/>
      <c r="O34" s="21" t="n"/>
      <c r="P34" s="19">
        <f>IF(AND(設定!$B$16&lt;&gt;"",30&lt;=N(設定!$E$16)),30,"")</f>
        <v/>
      </c>
      <c r="Q34" s="20" t="n"/>
      <c r="R34" s="21" t="n"/>
      <c r="S34" s="19">
        <f>IF(AND(設定!$B$17&lt;&gt;"",30&lt;=N(設定!$E$17)),30,"")</f>
        <v/>
      </c>
      <c r="T34" s="20" t="n"/>
      <c r="U34" s="21" t="n"/>
      <c r="V34" s="19">
        <f>IF(AND(設定!$B$18&lt;&gt;"",30&lt;=N(設定!$E$18)),30,"")</f>
        <v/>
      </c>
      <c r="W34" s="20" t="n"/>
      <c r="X34" s="21" t="n"/>
    </row>
    <row r="35">
      <c r="A35" s="19">
        <f>IF(AND(設定!$B$11&lt;&gt;"",31&lt;=N(設定!$E$11)),31,"")</f>
        <v/>
      </c>
      <c r="B35" s="20" t="n"/>
      <c r="C35" s="21" t="n"/>
      <c r="D35" s="19">
        <f>IF(AND(設定!$B$12&lt;&gt;"",31&lt;=N(設定!$E$12)),31,"")</f>
        <v/>
      </c>
      <c r="E35" s="20" t="n"/>
      <c r="F35" s="21" t="n"/>
      <c r="G35" s="19">
        <f>IF(AND(設定!$B$13&lt;&gt;"",31&lt;=N(設定!$E$13)),31,"")</f>
        <v/>
      </c>
      <c r="H35" s="20" t="n"/>
      <c r="I35" s="21" t="n"/>
      <c r="J35" s="19">
        <f>IF(AND(設定!$B$14&lt;&gt;"",31&lt;=N(設定!$E$14)),31,"")</f>
        <v/>
      </c>
      <c r="K35" s="20" t="n"/>
      <c r="L35" s="21" t="n"/>
      <c r="M35" s="19">
        <f>IF(AND(設定!$B$15&lt;&gt;"",31&lt;=N(設定!$E$15)),31,"")</f>
        <v/>
      </c>
      <c r="N35" s="20" t="n"/>
      <c r="O35" s="21" t="n"/>
      <c r="P35" s="19">
        <f>IF(AND(設定!$B$16&lt;&gt;"",31&lt;=N(設定!$E$16)),31,"")</f>
        <v/>
      </c>
      <c r="Q35" s="20" t="n"/>
      <c r="R35" s="21" t="n"/>
      <c r="S35" s="19">
        <f>IF(AND(設定!$B$17&lt;&gt;"",31&lt;=N(設定!$E$17)),31,"")</f>
        <v/>
      </c>
      <c r="T35" s="20" t="n"/>
      <c r="U35" s="21" t="n"/>
      <c r="V35" s="19">
        <f>IF(AND(設定!$B$18&lt;&gt;"",31&lt;=N(設定!$E$18)),31,"")</f>
        <v/>
      </c>
      <c r="W35" s="20" t="n"/>
      <c r="X35" s="21" t="n"/>
    </row>
    <row r="36">
      <c r="A36" s="19">
        <f>IF(AND(設定!$B$11&lt;&gt;"",32&lt;=N(設定!$E$11)),32,"")</f>
        <v/>
      </c>
      <c r="B36" s="20" t="n"/>
      <c r="C36" s="21" t="n"/>
      <c r="D36" s="19">
        <f>IF(AND(設定!$B$12&lt;&gt;"",32&lt;=N(設定!$E$12)),32,"")</f>
        <v/>
      </c>
      <c r="E36" s="20" t="n"/>
      <c r="F36" s="21" t="n"/>
      <c r="G36" s="19">
        <f>IF(AND(設定!$B$13&lt;&gt;"",32&lt;=N(設定!$E$13)),32,"")</f>
        <v/>
      </c>
      <c r="H36" s="20" t="n"/>
      <c r="I36" s="21" t="n"/>
      <c r="J36" s="19">
        <f>IF(AND(設定!$B$14&lt;&gt;"",32&lt;=N(設定!$E$14)),32,"")</f>
        <v/>
      </c>
      <c r="K36" s="20" t="n"/>
      <c r="L36" s="21" t="n"/>
      <c r="M36" s="19">
        <f>IF(AND(設定!$B$15&lt;&gt;"",32&lt;=N(設定!$E$15)),32,"")</f>
        <v/>
      </c>
      <c r="N36" s="20" t="n"/>
      <c r="O36" s="21" t="n"/>
      <c r="P36" s="19">
        <f>IF(AND(設定!$B$16&lt;&gt;"",32&lt;=N(設定!$E$16)),32,"")</f>
        <v/>
      </c>
      <c r="Q36" s="20" t="n"/>
      <c r="R36" s="21" t="n"/>
      <c r="S36" s="19">
        <f>IF(AND(設定!$B$17&lt;&gt;"",32&lt;=N(設定!$E$17)),32,"")</f>
        <v/>
      </c>
      <c r="T36" s="20" t="n"/>
      <c r="U36" s="21" t="n"/>
      <c r="V36" s="19">
        <f>IF(AND(設定!$B$18&lt;&gt;"",32&lt;=N(設定!$E$18)),32,"")</f>
        <v/>
      </c>
      <c r="W36" s="20" t="n"/>
      <c r="X36" s="21" t="n"/>
    </row>
    <row r="37">
      <c r="A37" s="19">
        <f>IF(AND(設定!$B$11&lt;&gt;"",33&lt;=N(設定!$E$11)),33,"")</f>
        <v/>
      </c>
      <c r="B37" s="20" t="n"/>
      <c r="C37" s="21" t="n"/>
      <c r="D37" s="19">
        <f>IF(AND(設定!$B$12&lt;&gt;"",33&lt;=N(設定!$E$12)),33,"")</f>
        <v/>
      </c>
      <c r="E37" s="20" t="n"/>
      <c r="F37" s="21" t="n"/>
      <c r="G37" s="19">
        <f>IF(AND(設定!$B$13&lt;&gt;"",33&lt;=N(設定!$E$13)),33,"")</f>
        <v/>
      </c>
      <c r="H37" s="20" t="n"/>
      <c r="I37" s="21" t="n"/>
      <c r="J37" s="19">
        <f>IF(AND(設定!$B$14&lt;&gt;"",33&lt;=N(設定!$E$14)),33,"")</f>
        <v/>
      </c>
      <c r="K37" s="20" t="n"/>
      <c r="L37" s="21" t="n"/>
      <c r="M37" s="19">
        <f>IF(AND(設定!$B$15&lt;&gt;"",33&lt;=N(設定!$E$15)),33,"")</f>
        <v/>
      </c>
      <c r="N37" s="20" t="n"/>
      <c r="O37" s="21" t="n"/>
      <c r="P37" s="19">
        <f>IF(AND(設定!$B$16&lt;&gt;"",33&lt;=N(設定!$E$16)),33,"")</f>
        <v/>
      </c>
      <c r="Q37" s="20" t="n"/>
      <c r="R37" s="21" t="n"/>
      <c r="S37" s="19">
        <f>IF(AND(設定!$B$17&lt;&gt;"",33&lt;=N(設定!$E$17)),33,"")</f>
        <v/>
      </c>
      <c r="T37" s="20" t="n"/>
      <c r="U37" s="21" t="n"/>
      <c r="V37" s="19">
        <f>IF(AND(設定!$B$18&lt;&gt;"",33&lt;=N(設定!$E$18)),33,"")</f>
        <v/>
      </c>
      <c r="W37" s="20" t="n"/>
      <c r="X37" s="21" t="n"/>
    </row>
    <row r="38">
      <c r="A38" s="19">
        <f>IF(AND(設定!$B$11&lt;&gt;"",34&lt;=N(設定!$E$11)),34,"")</f>
        <v/>
      </c>
      <c r="B38" s="20" t="n"/>
      <c r="C38" s="21" t="n"/>
      <c r="D38" s="19">
        <f>IF(AND(設定!$B$12&lt;&gt;"",34&lt;=N(設定!$E$12)),34,"")</f>
        <v/>
      </c>
      <c r="E38" s="20" t="n"/>
      <c r="F38" s="21" t="n"/>
      <c r="G38" s="19">
        <f>IF(AND(設定!$B$13&lt;&gt;"",34&lt;=N(設定!$E$13)),34,"")</f>
        <v/>
      </c>
      <c r="H38" s="20" t="n"/>
      <c r="I38" s="21" t="n"/>
      <c r="J38" s="19">
        <f>IF(AND(設定!$B$14&lt;&gt;"",34&lt;=N(設定!$E$14)),34,"")</f>
        <v/>
      </c>
      <c r="K38" s="20" t="n"/>
      <c r="L38" s="21" t="n"/>
      <c r="M38" s="19">
        <f>IF(AND(設定!$B$15&lt;&gt;"",34&lt;=N(設定!$E$15)),34,"")</f>
        <v/>
      </c>
      <c r="N38" s="20" t="n"/>
      <c r="O38" s="21" t="n"/>
      <c r="P38" s="19">
        <f>IF(AND(設定!$B$16&lt;&gt;"",34&lt;=N(設定!$E$16)),34,"")</f>
        <v/>
      </c>
      <c r="Q38" s="20" t="n"/>
      <c r="R38" s="21" t="n"/>
      <c r="S38" s="19">
        <f>IF(AND(設定!$B$17&lt;&gt;"",34&lt;=N(設定!$E$17)),34,"")</f>
        <v/>
      </c>
      <c r="T38" s="20" t="n"/>
      <c r="U38" s="21" t="n"/>
      <c r="V38" s="19">
        <f>IF(AND(設定!$B$18&lt;&gt;"",34&lt;=N(設定!$E$18)),34,"")</f>
        <v/>
      </c>
      <c r="W38" s="20" t="n"/>
      <c r="X38" s="21" t="n"/>
    </row>
    <row r="39">
      <c r="A39" s="19">
        <f>IF(AND(設定!$B$11&lt;&gt;"",35&lt;=N(設定!$E$11)),35,"")</f>
        <v/>
      </c>
      <c r="B39" s="20" t="n"/>
      <c r="C39" s="21" t="n"/>
      <c r="D39" s="19">
        <f>IF(AND(設定!$B$12&lt;&gt;"",35&lt;=N(設定!$E$12)),35,"")</f>
        <v/>
      </c>
      <c r="E39" s="20" t="n"/>
      <c r="F39" s="21" t="n"/>
      <c r="G39" s="19">
        <f>IF(AND(設定!$B$13&lt;&gt;"",35&lt;=N(設定!$E$13)),35,"")</f>
        <v/>
      </c>
      <c r="H39" s="20" t="n"/>
      <c r="I39" s="21" t="n"/>
      <c r="J39" s="19">
        <f>IF(AND(設定!$B$14&lt;&gt;"",35&lt;=N(設定!$E$14)),35,"")</f>
        <v/>
      </c>
      <c r="K39" s="20" t="n"/>
      <c r="L39" s="21" t="n"/>
      <c r="M39" s="19">
        <f>IF(AND(設定!$B$15&lt;&gt;"",35&lt;=N(設定!$E$15)),35,"")</f>
        <v/>
      </c>
      <c r="N39" s="20" t="n"/>
      <c r="O39" s="21" t="n"/>
      <c r="P39" s="19">
        <f>IF(AND(設定!$B$16&lt;&gt;"",35&lt;=N(設定!$E$16)),35,"")</f>
        <v/>
      </c>
      <c r="Q39" s="20" t="n"/>
      <c r="R39" s="21" t="n"/>
      <c r="S39" s="19">
        <f>IF(AND(設定!$B$17&lt;&gt;"",35&lt;=N(設定!$E$17)),35,"")</f>
        <v/>
      </c>
      <c r="T39" s="20" t="n"/>
      <c r="U39" s="21" t="n"/>
      <c r="V39" s="19">
        <f>IF(AND(設定!$B$18&lt;&gt;"",35&lt;=N(設定!$E$18)),35,"")</f>
        <v/>
      </c>
      <c r="W39" s="20" t="n"/>
      <c r="X39" s="21" t="n"/>
    </row>
    <row r="40">
      <c r="A40" s="19">
        <f>IF(AND(設定!$B$11&lt;&gt;"",36&lt;=N(設定!$E$11)),36,"")</f>
        <v/>
      </c>
      <c r="B40" s="20" t="n"/>
      <c r="C40" s="21" t="n"/>
      <c r="D40" s="19">
        <f>IF(AND(設定!$B$12&lt;&gt;"",36&lt;=N(設定!$E$12)),36,"")</f>
        <v/>
      </c>
      <c r="E40" s="20" t="n"/>
      <c r="F40" s="21" t="n"/>
      <c r="G40" s="19">
        <f>IF(AND(設定!$B$13&lt;&gt;"",36&lt;=N(設定!$E$13)),36,"")</f>
        <v/>
      </c>
      <c r="H40" s="20" t="n"/>
      <c r="I40" s="21" t="n"/>
      <c r="J40" s="19">
        <f>IF(AND(設定!$B$14&lt;&gt;"",36&lt;=N(設定!$E$14)),36,"")</f>
        <v/>
      </c>
      <c r="K40" s="20" t="n"/>
      <c r="L40" s="21" t="n"/>
      <c r="M40" s="19">
        <f>IF(AND(設定!$B$15&lt;&gt;"",36&lt;=N(設定!$E$15)),36,"")</f>
        <v/>
      </c>
      <c r="N40" s="20" t="n"/>
      <c r="O40" s="21" t="n"/>
      <c r="P40" s="19">
        <f>IF(AND(設定!$B$16&lt;&gt;"",36&lt;=N(設定!$E$16)),36,"")</f>
        <v/>
      </c>
      <c r="Q40" s="20" t="n"/>
      <c r="R40" s="21" t="n"/>
      <c r="S40" s="19">
        <f>IF(AND(設定!$B$17&lt;&gt;"",36&lt;=N(設定!$E$17)),36,"")</f>
        <v/>
      </c>
      <c r="T40" s="20" t="n"/>
      <c r="U40" s="21" t="n"/>
      <c r="V40" s="19">
        <f>IF(AND(設定!$B$18&lt;&gt;"",36&lt;=N(設定!$E$18)),36,"")</f>
        <v/>
      </c>
      <c r="W40" s="20" t="n"/>
      <c r="X40" s="21" t="n"/>
    </row>
    <row r="41">
      <c r="A41" s="19">
        <f>IF(AND(設定!$B$11&lt;&gt;"",37&lt;=N(設定!$E$11)),37,"")</f>
        <v/>
      </c>
      <c r="B41" s="20" t="n"/>
      <c r="C41" s="21" t="n"/>
      <c r="D41" s="19">
        <f>IF(AND(設定!$B$12&lt;&gt;"",37&lt;=N(設定!$E$12)),37,"")</f>
        <v/>
      </c>
      <c r="E41" s="20" t="n"/>
      <c r="F41" s="21" t="n"/>
      <c r="G41" s="19">
        <f>IF(AND(設定!$B$13&lt;&gt;"",37&lt;=N(設定!$E$13)),37,"")</f>
        <v/>
      </c>
      <c r="H41" s="20" t="n"/>
      <c r="I41" s="21" t="n"/>
      <c r="J41" s="19">
        <f>IF(AND(設定!$B$14&lt;&gt;"",37&lt;=N(設定!$E$14)),37,"")</f>
        <v/>
      </c>
      <c r="K41" s="20" t="n"/>
      <c r="L41" s="21" t="n"/>
      <c r="M41" s="19">
        <f>IF(AND(設定!$B$15&lt;&gt;"",37&lt;=N(設定!$E$15)),37,"")</f>
        <v/>
      </c>
      <c r="N41" s="20" t="n"/>
      <c r="O41" s="21" t="n"/>
      <c r="P41" s="19">
        <f>IF(AND(設定!$B$16&lt;&gt;"",37&lt;=N(設定!$E$16)),37,"")</f>
        <v/>
      </c>
      <c r="Q41" s="20" t="n"/>
      <c r="R41" s="21" t="n"/>
      <c r="S41" s="19">
        <f>IF(AND(設定!$B$17&lt;&gt;"",37&lt;=N(設定!$E$17)),37,"")</f>
        <v/>
      </c>
      <c r="T41" s="20" t="n"/>
      <c r="U41" s="21" t="n"/>
      <c r="V41" s="19">
        <f>IF(AND(設定!$B$18&lt;&gt;"",37&lt;=N(設定!$E$18)),37,"")</f>
        <v/>
      </c>
      <c r="W41" s="20" t="n"/>
      <c r="X41" s="21" t="n"/>
    </row>
    <row r="42">
      <c r="A42" s="19">
        <f>IF(AND(設定!$B$11&lt;&gt;"",38&lt;=N(設定!$E$11)),38,"")</f>
        <v/>
      </c>
      <c r="B42" s="20" t="n"/>
      <c r="C42" s="21" t="n"/>
      <c r="D42" s="19">
        <f>IF(AND(設定!$B$12&lt;&gt;"",38&lt;=N(設定!$E$12)),38,"")</f>
        <v/>
      </c>
      <c r="E42" s="20" t="n"/>
      <c r="F42" s="21" t="n"/>
      <c r="G42" s="19">
        <f>IF(AND(設定!$B$13&lt;&gt;"",38&lt;=N(設定!$E$13)),38,"")</f>
        <v/>
      </c>
      <c r="H42" s="20" t="n"/>
      <c r="I42" s="21" t="n"/>
      <c r="J42" s="19">
        <f>IF(AND(設定!$B$14&lt;&gt;"",38&lt;=N(設定!$E$14)),38,"")</f>
        <v/>
      </c>
      <c r="K42" s="20" t="n"/>
      <c r="L42" s="21" t="n"/>
      <c r="M42" s="19">
        <f>IF(AND(設定!$B$15&lt;&gt;"",38&lt;=N(設定!$E$15)),38,"")</f>
        <v/>
      </c>
      <c r="N42" s="20" t="n"/>
      <c r="O42" s="21" t="n"/>
      <c r="P42" s="19">
        <f>IF(AND(設定!$B$16&lt;&gt;"",38&lt;=N(設定!$E$16)),38,"")</f>
        <v/>
      </c>
      <c r="Q42" s="20" t="n"/>
      <c r="R42" s="21" t="n"/>
      <c r="S42" s="19">
        <f>IF(AND(設定!$B$17&lt;&gt;"",38&lt;=N(設定!$E$17)),38,"")</f>
        <v/>
      </c>
      <c r="T42" s="20" t="n"/>
      <c r="U42" s="21" t="n"/>
      <c r="V42" s="19">
        <f>IF(AND(設定!$B$18&lt;&gt;"",38&lt;=N(設定!$E$18)),38,"")</f>
        <v/>
      </c>
      <c r="W42" s="20" t="n"/>
      <c r="X42" s="21" t="n"/>
    </row>
    <row r="43">
      <c r="A43" s="19">
        <f>IF(AND(設定!$B$11&lt;&gt;"",39&lt;=N(設定!$E$11)),39,"")</f>
        <v/>
      </c>
      <c r="B43" s="20" t="n"/>
      <c r="C43" s="21" t="n"/>
      <c r="D43" s="19">
        <f>IF(AND(設定!$B$12&lt;&gt;"",39&lt;=N(設定!$E$12)),39,"")</f>
        <v/>
      </c>
      <c r="E43" s="20" t="n"/>
      <c r="F43" s="21" t="n"/>
      <c r="G43" s="19">
        <f>IF(AND(設定!$B$13&lt;&gt;"",39&lt;=N(設定!$E$13)),39,"")</f>
        <v/>
      </c>
      <c r="H43" s="20" t="n"/>
      <c r="I43" s="21" t="n"/>
      <c r="J43" s="19">
        <f>IF(AND(設定!$B$14&lt;&gt;"",39&lt;=N(設定!$E$14)),39,"")</f>
        <v/>
      </c>
      <c r="K43" s="20" t="n"/>
      <c r="L43" s="21" t="n"/>
      <c r="M43" s="19">
        <f>IF(AND(設定!$B$15&lt;&gt;"",39&lt;=N(設定!$E$15)),39,"")</f>
        <v/>
      </c>
      <c r="N43" s="20" t="n"/>
      <c r="O43" s="21" t="n"/>
      <c r="P43" s="19">
        <f>IF(AND(設定!$B$16&lt;&gt;"",39&lt;=N(設定!$E$16)),39,"")</f>
        <v/>
      </c>
      <c r="Q43" s="20" t="n"/>
      <c r="R43" s="21" t="n"/>
      <c r="S43" s="19">
        <f>IF(AND(設定!$B$17&lt;&gt;"",39&lt;=N(設定!$E$17)),39,"")</f>
        <v/>
      </c>
      <c r="T43" s="20" t="n"/>
      <c r="U43" s="21" t="n"/>
      <c r="V43" s="19">
        <f>IF(AND(設定!$B$18&lt;&gt;"",39&lt;=N(設定!$E$18)),39,"")</f>
        <v/>
      </c>
      <c r="W43" s="20" t="n"/>
      <c r="X43" s="21" t="n"/>
    </row>
    <row r="44">
      <c r="A44" s="19">
        <f>IF(AND(設定!$B$11&lt;&gt;"",40&lt;=N(設定!$E$11)),40,"")</f>
        <v/>
      </c>
      <c r="B44" s="20" t="n"/>
      <c r="C44" s="21" t="n"/>
      <c r="D44" s="19">
        <f>IF(AND(設定!$B$12&lt;&gt;"",40&lt;=N(設定!$E$12)),40,"")</f>
        <v/>
      </c>
      <c r="E44" s="20" t="n"/>
      <c r="F44" s="21" t="n"/>
      <c r="G44" s="19">
        <f>IF(AND(設定!$B$13&lt;&gt;"",40&lt;=N(設定!$E$13)),40,"")</f>
        <v/>
      </c>
      <c r="H44" s="20" t="n"/>
      <c r="I44" s="21" t="n"/>
      <c r="J44" s="19">
        <f>IF(AND(設定!$B$14&lt;&gt;"",40&lt;=N(設定!$E$14)),40,"")</f>
        <v/>
      </c>
      <c r="K44" s="20" t="n"/>
      <c r="L44" s="21" t="n"/>
      <c r="M44" s="19">
        <f>IF(AND(設定!$B$15&lt;&gt;"",40&lt;=N(設定!$E$15)),40,"")</f>
        <v/>
      </c>
      <c r="N44" s="20" t="n"/>
      <c r="O44" s="21" t="n"/>
      <c r="P44" s="19">
        <f>IF(AND(設定!$B$16&lt;&gt;"",40&lt;=N(設定!$E$16)),40,"")</f>
        <v/>
      </c>
      <c r="Q44" s="20" t="n"/>
      <c r="R44" s="21" t="n"/>
      <c r="S44" s="19">
        <f>IF(AND(設定!$B$17&lt;&gt;"",40&lt;=N(設定!$E$17)),40,"")</f>
        <v/>
      </c>
      <c r="T44" s="20" t="n"/>
      <c r="U44" s="21" t="n"/>
      <c r="V44" s="19">
        <f>IF(AND(設定!$B$18&lt;&gt;"",40&lt;=N(設定!$E$18)),40,"")</f>
        <v/>
      </c>
      <c r="W44" s="20" t="n"/>
      <c r="X44" s="21" t="n"/>
    </row>
    <row r="45">
      <c r="A45" s="19">
        <f>IF(AND(設定!$B$11&lt;&gt;"",41&lt;=N(設定!$E$11)),41,"")</f>
        <v/>
      </c>
      <c r="B45" s="20" t="n"/>
      <c r="C45" s="21" t="n"/>
      <c r="D45" s="19">
        <f>IF(AND(設定!$B$12&lt;&gt;"",41&lt;=N(設定!$E$12)),41,"")</f>
        <v/>
      </c>
      <c r="E45" s="20" t="n"/>
      <c r="F45" s="21" t="n"/>
      <c r="G45" s="19">
        <f>IF(AND(設定!$B$13&lt;&gt;"",41&lt;=N(設定!$E$13)),41,"")</f>
        <v/>
      </c>
      <c r="H45" s="20" t="n"/>
      <c r="I45" s="21" t="n"/>
      <c r="J45" s="19">
        <f>IF(AND(設定!$B$14&lt;&gt;"",41&lt;=N(設定!$E$14)),41,"")</f>
        <v/>
      </c>
      <c r="K45" s="20" t="n"/>
      <c r="L45" s="21" t="n"/>
      <c r="M45" s="19">
        <f>IF(AND(設定!$B$15&lt;&gt;"",41&lt;=N(設定!$E$15)),41,"")</f>
        <v/>
      </c>
      <c r="N45" s="20" t="n"/>
      <c r="O45" s="21" t="n"/>
      <c r="P45" s="19">
        <f>IF(AND(設定!$B$16&lt;&gt;"",41&lt;=N(設定!$E$16)),41,"")</f>
        <v/>
      </c>
      <c r="Q45" s="20" t="n"/>
      <c r="R45" s="21" t="n"/>
      <c r="S45" s="19">
        <f>IF(AND(設定!$B$17&lt;&gt;"",41&lt;=N(設定!$E$17)),41,"")</f>
        <v/>
      </c>
      <c r="T45" s="20" t="n"/>
      <c r="U45" s="21" t="n"/>
      <c r="V45" s="19">
        <f>IF(AND(設定!$B$18&lt;&gt;"",41&lt;=N(設定!$E$18)),41,"")</f>
        <v/>
      </c>
      <c r="W45" s="20" t="n"/>
      <c r="X45" s="21" t="n"/>
    </row>
    <row r="46">
      <c r="A46" s="19">
        <f>IF(AND(設定!$B$11&lt;&gt;"",42&lt;=N(設定!$E$11)),42,"")</f>
        <v/>
      </c>
      <c r="B46" s="20" t="n"/>
      <c r="C46" s="21" t="n"/>
      <c r="D46" s="19">
        <f>IF(AND(設定!$B$12&lt;&gt;"",42&lt;=N(設定!$E$12)),42,"")</f>
        <v/>
      </c>
      <c r="E46" s="20" t="n"/>
      <c r="F46" s="21" t="n"/>
      <c r="G46" s="19">
        <f>IF(AND(設定!$B$13&lt;&gt;"",42&lt;=N(設定!$E$13)),42,"")</f>
        <v/>
      </c>
      <c r="H46" s="20" t="n"/>
      <c r="I46" s="21" t="n"/>
      <c r="J46" s="19">
        <f>IF(AND(設定!$B$14&lt;&gt;"",42&lt;=N(設定!$E$14)),42,"")</f>
        <v/>
      </c>
      <c r="K46" s="20" t="n"/>
      <c r="L46" s="21" t="n"/>
      <c r="M46" s="19">
        <f>IF(AND(設定!$B$15&lt;&gt;"",42&lt;=N(設定!$E$15)),42,"")</f>
        <v/>
      </c>
      <c r="N46" s="20" t="n"/>
      <c r="O46" s="21" t="n"/>
      <c r="P46" s="19">
        <f>IF(AND(設定!$B$16&lt;&gt;"",42&lt;=N(設定!$E$16)),42,"")</f>
        <v/>
      </c>
      <c r="Q46" s="20" t="n"/>
      <c r="R46" s="21" t="n"/>
      <c r="S46" s="19">
        <f>IF(AND(設定!$B$17&lt;&gt;"",42&lt;=N(設定!$E$17)),42,"")</f>
        <v/>
      </c>
      <c r="T46" s="20" t="n"/>
      <c r="U46" s="21" t="n"/>
      <c r="V46" s="19">
        <f>IF(AND(設定!$B$18&lt;&gt;"",42&lt;=N(設定!$E$18)),42,"")</f>
        <v/>
      </c>
      <c r="W46" s="20" t="n"/>
      <c r="X46" s="21" t="n"/>
    </row>
    <row r="47">
      <c r="A47" s="19">
        <f>IF(AND(設定!$B$11&lt;&gt;"",43&lt;=N(設定!$E$11)),43,"")</f>
        <v/>
      </c>
      <c r="B47" s="20" t="n"/>
      <c r="C47" s="21" t="n"/>
      <c r="D47" s="19">
        <f>IF(AND(設定!$B$12&lt;&gt;"",43&lt;=N(設定!$E$12)),43,"")</f>
        <v/>
      </c>
      <c r="E47" s="20" t="n"/>
      <c r="F47" s="21" t="n"/>
      <c r="G47" s="19">
        <f>IF(AND(設定!$B$13&lt;&gt;"",43&lt;=N(設定!$E$13)),43,"")</f>
        <v/>
      </c>
      <c r="H47" s="20" t="n"/>
      <c r="I47" s="21" t="n"/>
      <c r="J47" s="19">
        <f>IF(AND(設定!$B$14&lt;&gt;"",43&lt;=N(設定!$E$14)),43,"")</f>
        <v/>
      </c>
      <c r="K47" s="20" t="n"/>
      <c r="L47" s="21" t="n"/>
      <c r="M47" s="19">
        <f>IF(AND(設定!$B$15&lt;&gt;"",43&lt;=N(設定!$E$15)),43,"")</f>
        <v/>
      </c>
      <c r="N47" s="20" t="n"/>
      <c r="O47" s="21" t="n"/>
      <c r="P47" s="19">
        <f>IF(AND(設定!$B$16&lt;&gt;"",43&lt;=N(設定!$E$16)),43,"")</f>
        <v/>
      </c>
      <c r="Q47" s="20" t="n"/>
      <c r="R47" s="21" t="n"/>
      <c r="S47" s="19">
        <f>IF(AND(設定!$B$17&lt;&gt;"",43&lt;=N(設定!$E$17)),43,"")</f>
        <v/>
      </c>
      <c r="T47" s="20" t="n"/>
      <c r="U47" s="21" t="n"/>
      <c r="V47" s="19">
        <f>IF(AND(設定!$B$18&lt;&gt;"",43&lt;=N(設定!$E$18)),43,"")</f>
        <v/>
      </c>
      <c r="W47" s="20" t="n"/>
      <c r="X47" s="21" t="n"/>
    </row>
    <row r="48">
      <c r="A48" s="19">
        <f>IF(AND(設定!$B$11&lt;&gt;"",44&lt;=N(設定!$E$11)),44,"")</f>
        <v/>
      </c>
      <c r="B48" s="20" t="n"/>
      <c r="C48" s="21" t="n"/>
      <c r="D48" s="19">
        <f>IF(AND(設定!$B$12&lt;&gt;"",44&lt;=N(設定!$E$12)),44,"")</f>
        <v/>
      </c>
      <c r="E48" s="20" t="n"/>
      <c r="F48" s="21" t="n"/>
      <c r="G48" s="19">
        <f>IF(AND(設定!$B$13&lt;&gt;"",44&lt;=N(設定!$E$13)),44,"")</f>
        <v/>
      </c>
      <c r="H48" s="20" t="n"/>
      <c r="I48" s="21" t="n"/>
      <c r="J48" s="19">
        <f>IF(AND(設定!$B$14&lt;&gt;"",44&lt;=N(設定!$E$14)),44,"")</f>
        <v/>
      </c>
      <c r="K48" s="20" t="n"/>
      <c r="L48" s="21" t="n"/>
      <c r="M48" s="19">
        <f>IF(AND(設定!$B$15&lt;&gt;"",44&lt;=N(設定!$E$15)),44,"")</f>
        <v/>
      </c>
      <c r="N48" s="20" t="n"/>
      <c r="O48" s="21" t="n"/>
      <c r="P48" s="19">
        <f>IF(AND(設定!$B$16&lt;&gt;"",44&lt;=N(設定!$E$16)),44,"")</f>
        <v/>
      </c>
      <c r="Q48" s="20" t="n"/>
      <c r="R48" s="21" t="n"/>
      <c r="S48" s="19">
        <f>IF(AND(設定!$B$17&lt;&gt;"",44&lt;=N(設定!$E$17)),44,"")</f>
        <v/>
      </c>
      <c r="T48" s="20" t="n"/>
      <c r="U48" s="21" t="n"/>
      <c r="V48" s="19">
        <f>IF(AND(設定!$B$18&lt;&gt;"",44&lt;=N(設定!$E$18)),44,"")</f>
        <v/>
      </c>
      <c r="W48" s="20" t="n"/>
      <c r="X48" s="21" t="n"/>
    </row>
    <row r="49">
      <c r="A49" s="19">
        <f>IF(AND(設定!$B$11&lt;&gt;"",45&lt;=N(設定!$E$11)),45,"")</f>
        <v/>
      </c>
      <c r="B49" s="20" t="n"/>
      <c r="C49" s="21" t="n"/>
      <c r="D49" s="19">
        <f>IF(AND(設定!$B$12&lt;&gt;"",45&lt;=N(設定!$E$12)),45,"")</f>
        <v/>
      </c>
      <c r="E49" s="20" t="n"/>
      <c r="F49" s="21" t="n"/>
      <c r="G49" s="19">
        <f>IF(AND(設定!$B$13&lt;&gt;"",45&lt;=N(設定!$E$13)),45,"")</f>
        <v/>
      </c>
      <c r="H49" s="20" t="n"/>
      <c r="I49" s="21" t="n"/>
      <c r="J49" s="19">
        <f>IF(AND(設定!$B$14&lt;&gt;"",45&lt;=N(設定!$E$14)),45,"")</f>
        <v/>
      </c>
      <c r="K49" s="20" t="n"/>
      <c r="L49" s="21" t="n"/>
      <c r="M49" s="19">
        <f>IF(AND(設定!$B$15&lt;&gt;"",45&lt;=N(設定!$E$15)),45,"")</f>
        <v/>
      </c>
      <c r="N49" s="20" t="n"/>
      <c r="O49" s="21" t="n"/>
      <c r="P49" s="19">
        <f>IF(AND(設定!$B$16&lt;&gt;"",45&lt;=N(設定!$E$16)),45,"")</f>
        <v/>
      </c>
      <c r="Q49" s="20" t="n"/>
      <c r="R49" s="21" t="n"/>
      <c r="S49" s="19">
        <f>IF(AND(設定!$B$17&lt;&gt;"",45&lt;=N(設定!$E$17)),45,"")</f>
        <v/>
      </c>
      <c r="T49" s="20" t="n"/>
      <c r="U49" s="21" t="n"/>
      <c r="V49" s="19">
        <f>IF(AND(設定!$B$18&lt;&gt;"",45&lt;=N(設定!$E$18)),45,"")</f>
        <v/>
      </c>
      <c r="W49" s="20" t="n"/>
      <c r="X49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">
    <mergeCell ref="E1:J1"/>
    <mergeCell ref="M3:O3"/>
    <mergeCell ref="D3:F3"/>
    <mergeCell ref="A3:C3"/>
    <mergeCell ref="G3:I3"/>
    <mergeCell ref="S3:U3"/>
    <mergeCell ref="V3:X3"/>
    <mergeCell ref="J3:L3"/>
    <mergeCell ref="P3:R3"/>
  </mergeCells>
  <conditionalFormatting sqref="A3">
    <cfRule type="expression" priority="1" dxfId="0">
      <formula>設定!$D$11="黒"</formula>
    </cfRule>
    <cfRule type="expression" priority="2" dxfId="1">
      <formula>設定!$D$11="赤"</formula>
    </cfRule>
    <cfRule type="expression" priority="3" dxfId="2">
      <formula>設定!$D$11="青"</formula>
    </cfRule>
    <cfRule type="expression" priority="4" dxfId="3">
      <formula>設定!$D$11="緑"</formula>
    </cfRule>
    <cfRule type="expression" priority="5" dxfId="4">
      <formula>設定!$D$11="黄"</formula>
    </cfRule>
    <cfRule type="expression" priority="6" dxfId="5">
      <formula>設定!$D$11="橙"</formula>
    </cfRule>
    <cfRule type="expression" priority="7" dxfId="6">
      <formula>設定!$D$11="紫"</formula>
    </cfRule>
    <cfRule type="expression" priority="8" dxfId="7">
      <formula>設定!$D$11="茶"</formula>
    </cfRule>
  </conditionalFormatting>
  <conditionalFormatting sqref="C5:C49">
    <cfRule type="expression" priority="9" dxfId="9">
      <formula>AND(C5&lt;&gt;"",COUNTIF(設定!$I$11:$I$30,C5)=0)</formula>
    </cfRule>
  </conditionalFormatting>
  <conditionalFormatting sqref="B5:C49">
    <cfRule type="expression" priority="10" dxfId="10">
      <formula>AND($B5&lt;&gt;"",$C5="")</formula>
    </cfRule>
    <cfRule type="expression" priority="11" dxfId="11">
      <formula>AND(設定!$B$11&lt;&gt;"",ROW()-4&lt;=N(設定!$E$11))</formula>
    </cfRule>
  </conditionalFormatting>
  <conditionalFormatting sqref="A5:A49">
    <cfRule type="expression" priority="12" dxfId="12">
      <formula>AND(設定!$B$11&lt;&gt;"",ROW()-4&lt;=N(設定!$E$11))</formula>
    </cfRule>
  </conditionalFormatting>
  <conditionalFormatting sqref="D3">
    <cfRule type="expression" priority="13" dxfId="0">
      <formula>設定!$D$12="黒"</formula>
    </cfRule>
    <cfRule type="expression" priority="14" dxfId="1">
      <formula>設定!$D$12="赤"</formula>
    </cfRule>
    <cfRule type="expression" priority="15" dxfId="2">
      <formula>設定!$D$12="青"</formula>
    </cfRule>
    <cfRule type="expression" priority="16" dxfId="3">
      <formula>設定!$D$12="緑"</formula>
    </cfRule>
    <cfRule type="expression" priority="17" dxfId="4">
      <formula>設定!$D$12="黄"</formula>
    </cfRule>
    <cfRule type="expression" priority="18" dxfId="5">
      <formula>設定!$D$12="橙"</formula>
    </cfRule>
    <cfRule type="expression" priority="19" dxfId="6">
      <formula>設定!$D$12="紫"</formula>
    </cfRule>
    <cfRule type="expression" priority="20" dxfId="7">
      <formula>設定!$D$12="茶"</formula>
    </cfRule>
  </conditionalFormatting>
  <conditionalFormatting sqref="F5:F49">
    <cfRule type="expression" priority="21" dxfId="9">
      <formula>AND(F5&lt;&gt;"",COUNTIF(設定!$I$11:$I$30,F5)=0)</formula>
    </cfRule>
  </conditionalFormatting>
  <conditionalFormatting sqref="E5:F49">
    <cfRule type="expression" priority="22" dxfId="10">
      <formula>AND($E5&lt;&gt;"",$F5="")</formula>
    </cfRule>
    <cfRule type="expression" priority="23" dxfId="11">
      <formula>AND(設定!$B$12&lt;&gt;"",ROW()-4&lt;=N(設定!$E$12))</formula>
    </cfRule>
  </conditionalFormatting>
  <conditionalFormatting sqref="D5:D49">
    <cfRule type="expression" priority="24" dxfId="12">
      <formula>AND(設定!$B$12&lt;&gt;"",ROW()-4&lt;=N(設定!$E$12))</formula>
    </cfRule>
  </conditionalFormatting>
  <conditionalFormatting sqref="G3">
    <cfRule type="expression" priority="25" dxfId="0">
      <formula>設定!$D$13="黒"</formula>
    </cfRule>
    <cfRule type="expression" priority="26" dxfId="1">
      <formula>設定!$D$13="赤"</formula>
    </cfRule>
    <cfRule type="expression" priority="27" dxfId="2">
      <formula>設定!$D$13="青"</formula>
    </cfRule>
    <cfRule type="expression" priority="28" dxfId="3">
      <formula>設定!$D$13="緑"</formula>
    </cfRule>
    <cfRule type="expression" priority="29" dxfId="4">
      <formula>設定!$D$13="黄"</formula>
    </cfRule>
    <cfRule type="expression" priority="30" dxfId="5">
      <formula>設定!$D$13="橙"</formula>
    </cfRule>
    <cfRule type="expression" priority="31" dxfId="6">
      <formula>設定!$D$13="紫"</formula>
    </cfRule>
    <cfRule type="expression" priority="32" dxfId="7">
      <formula>設定!$D$13="茶"</formula>
    </cfRule>
  </conditionalFormatting>
  <conditionalFormatting sqref="I5:I49">
    <cfRule type="expression" priority="33" dxfId="9">
      <formula>AND(I5&lt;&gt;"",COUNTIF(設定!$I$11:$I$30,I5)=0)</formula>
    </cfRule>
  </conditionalFormatting>
  <conditionalFormatting sqref="H5:I49">
    <cfRule type="expression" priority="34" dxfId="10">
      <formula>AND($H5&lt;&gt;"",$I5="")</formula>
    </cfRule>
    <cfRule type="expression" priority="35" dxfId="11">
      <formula>AND(設定!$B$13&lt;&gt;"",ROW()-4&lt;=N(設定!$E$13))</formula>
    </cfRule>
  </conditionalFormatting>
  <conditionalFormatting sqref="G5:G49">
    <cfRule type="expression" priority="36" dxfId="12">
      <formula>AND(設定!$B$13&lt;&gt;"",ROW()-4&lt;=N(設定!$E$13))</formula>
    </cfRule>
  </conditionalFormatting>
  <conditionalFormatting sqref="J3">
    <cfRule type="expression" priority="37" dxfId="0">
      <formula>設定!$D$14="黒"</formula>
    </cfRule>
    <cfRule type="expression" priority="38" dxfId="1">
      <formula>設定!$D$14="赤"</formula>
    </cfRule>
    <cfRule type="expression" priority="39" dxfId="2">
      <formula>設定!$D$14="青"</formula>
    </cfRule>
    <cfRule type="expression" priority="40" dxfId="3">
      <formula>設定!$D$14="緑"</formula>
    </cfRule>
    <cfRule type="expression" priority="41" dxfId="4">
      <formula>設定!$D$14="黄"</formula>
    </cfRule>
    <cfRule type="expression" priority="42" dxfId="5">
      <formula>設定!$D$14="橙"</formula>
    </cfRule>
    <cfRule type="expression" priority="43" dxfId="6">
      <formula>設定!$D$14="紫"</formula>
    </cfRule>
    <cfRule type="expression" priority="44" dxfId="7">
      <formula>設定!$D$14="茶"</formula>
    </cfRule>
  </conditionalFormatting>
  <conditionalFormatting sqref="L5:L49">
    <cfRule type="expression" priority="45" dxfId="9">
      <formula>AND(L5&lt;&gt;"",COUNTIF(設定!$I$11:$I$30,L5)=0)</formula>
    </cfRule>
  </conditionalFormatting>
  <conditionalFormatting sqref="K5:L49">
    <cfRule type="expression" priority="46" dxfId="10">
      <formula>AND($K5&lt;&gt;"",$L5="")</formula>
    </cfRule>
    <cfRule type="expression" priority="47" dxfId="11">
      <formula>AND(設定!$B$14&lt;&gt;"",ROW()-4&lt;=N(設定!$E$14))</formula>
    </cfRule>
  </conditionalFormatting>
  <conditionalFormatting sqref="J5:J49">
    <cfRule type="expression" priority="48" dxfId="12">
      <formula>AND(設定!$B$14&lt;&gt;"",ROW()-4&lt;=N(設定!$E$14))</formula>
    </cfRule>
  </conditionalFormatting>
  <conditionalFormatting sqref="M3">
    <cfRule type="expression" priority="49" dxfId="0">
      <formula>設定!$D$15="黒"</formula>
    </cfRule>
    <cfRule type="expression" priority="50" dxfId="1">
      <formula>設定!$D$15="赤"</formula>
    </cfRule>
    <cfRule type="expression" priority="51" dxfId="2">
      <formula>設定!$D$15="青"</formula>
    </cfRule>
    <cfRule type="expression" priority="52" dxfId="3">
      <formula>設定!$D$15="緑"</formula>
    </cfRule>
    <cfRule type="expression" priority="53" dxfId="4">
      <formula>設定!$D$15="黄"</formula>
    </cfRule>
    <cfRule type="expression" priority="54" dxfId="5">
      <formula>設定!$D$15="橙"</formula>
    </cfRule>
    <cfRule type="expression" priority="55" dxfId="6">
      <formula>設定!$D$15="紫"</formula>
    </cfRule>
    <cfRule type="expression" priority="56" dxfId="7">
      <formula>設定!$D$15="茶"</formula>
    </cfRule>
  </conditionalFormatting>
  <conditionalFormatting sqref="O5:O49">
    <cfRule type="expression" priority="57" dxfId="9">
      <formula>AND(O5&lt;&gt;"",COUNTIF(設定!$I$11:$I$30,O5)=0)</formula>
    </cfRule>
  </conditionalFormatting>
  <conditionalFormatting sqref="N5:O49">
    <cfRule type="expression" priority="58" dxfId="10">
      <formula>AND($N5&lt;&gt;"",$O5="")</formula>
    </cfRule>
    <cfRule type="expression" priority="59" dxfId="11">
      <formula>AND(設定!$B$15&lt;&gt;"",ROW()-4&lt;=N(設定!$E$15))</formula>
    </cfRule>
  </conditionalFormatting>
  <conditionalFormatting sqref="M5:M49">
    <cfRule type="expression" priority="60" dxfId="12">
      <formula>AND(設定!$B$15&lt;&gt;"",ROW()-4&lt;=N(設定!$E$15))</formula>
    </cfRule>
  </conditionalFormatting>
  <conditionalFormatting sqref="P3">
    <cfRule type="expression" priority="61" dxfId="0">
      <formula>設定!$D$16="黒"</formula>
    </cfRule>
    <cfRule type="expression" priority="62" dxfId="1">
      <formula>設定!$D$16="赤"</formula>
    </cfRule>
    <cfRule type="expression" priority="63" dxfId="2">
      <formula>設定!$D$16="青"</formula>
    </cfRule>
    <cfRule type="expression" priority="64" dxfId="3">
      <formula>設定!$D$16="緑"</formula>
    </cfRule>
    <cfRule type="expression" priority="65" dxfId="4">
      <formula>設定!$D$16="黄"</formula>
    </cfRule>
    <cfRule type="expression" priority="66" dxfId="5">
      <formula>設定!$D$16="橙"</formula>
    </cfRule>
    <cfRule type="expression" priority="67" dxfId="6">
      <formula>設定!$D$16="紫"</formula>
    </cfRule>
    <cfRule type="expression" priority="68" dxfId="7">
      <formula>設定!$D$16="茶"</formula>
    </cfRule>
  </conditionalFormatting>
  <conditionalFormatting sqref="R5:R49">
    <cfRule type="expression" priority="69" dxfId="9">
      <formula>AND(R5&lt;&gt;"",COUNTIF(設定!$I$11:$I$30,R5)=0)</formula>
    </cfRule>
  </conditionalFormatting>
  <conditionalFormatting sqref="Q5:R49">
    <cfRule type="expression" priority="70" dxfId="10">
      <formula>AND($Q5&lt;&gt;"",$R5="")</formula>
    </cfRule>
    <cfRule type="expression" priority="71" dxfId="11">
      <formula>AND(設定!$B$16&lt;&gt;"",ROW()-4&lt;=N(設定!$E$16))</formula>
    </cfRule>
  </conditionalFormatting>
  <conditionalFormatting sqref="P5:P49">
    <cfRule type="expression" priority="72" dxfId="12">
      <formula>AND(設定!$B$16&lt;&gt;"",ROW()-4&lt;=N(設定!$E$16))</formula>
    </cfRule>
  </conditionalFormatting>
  <conditionalFormatting sqref="S3">
    <cfRule type="expression" priority="73" dxfId="0">
      <formula>設定!$D$17="黒"</formula>
    </cfRule>
    <cfRule type="expression" priority="74" dxfId="1">
      <formula>設定!$D$17="赤"</formula>
    </cfRule>
    <cfRule type="expression" priority="75" dxfId="2">
      <formula>設定!$D$17="青"</formula>
    </cfRule>
    <cfRule type="expression" priority="76" dxfId="3">
      <formula>設定!$D$17="緑"</formula>
    </cfRule>
    <cfRule type="expression" priority="77" dxfId="4">
      <formula>設定!$D$17="黄"</formula>
    </cfRule>
    <cfRule type="expression" priority="78" dxfId="5">
      <formula>設定!$D$17="橙"</formula>
    </cfRule>
    <cfRule type="expression" priority="79" dxfId="6">
      <formula>設定!$D$17="紫"</formula>
    </cfRule>
    <cfRule type="expression" priority="80" dxfId="7">
      <formula>設定!$D$17="茶"</formula>
    </cfRule>
  </conditionalFormatting>
  <conditionalFormatting sqref="U5:U49">
    <cfRule type="expression" priority="81" dxfId="9">
      <formula>AND(U5&lt;&gt;"",COUNTIF(設定!$I$11:$I$30,U5)=0)</formula>
    </cfRule>
  </conditionalFormatting>
  <conditionalFormatting sqref="T5:U49">
    <cfRule type="expression" priority="82" dxfId="10">
      <formula>AND($T5&lt;&gt;"",$U5="")</formula>
    </cfRule>
    <cfRule type="expression" priority="83" dxfId="11">
      <formula>AND(設定!$B$17&lt;&gt;"",ROW()-4&lt;=N(設定!$E$17))</formula>
    </cfRule>
  </conditionalFormatting>
  <conditionalFormatting sqref="S5:S49">
    <cfRule type="expression" priority="84" dxfId="12">
      <formula>AND(設定!$B$17&lt;&gt;"",ROW()-4&lt;=N(設定!$E$17))</formula>
    </cfRule>
  </conditionalFormatting>
  <conditionalFormatting sqref="V3">
    <cfRule type="expression" priority="85" dxfId="0">
      <formula>設定!$D$18="黒"</formula>
    </cfRule>
    <cfRule type="expression" priority="86" dxfId="1">
      <formula>設定!$D$18="赤"</formula>
    </cfRule>
    <cfRule type="expression" priority="87" dxfId="2">
      <formula>設定!$D$18="青"</formula>
    </cfRule>
    <cfRule type="expression" priority="88" dxfId="3">
      <formula>設定!$D$18="緑"</formula>
    </cfRule>
    <cfRule type="expression" priority="89" dxfId="4">
      <formula>設定!$D$18="黄"</formula>
    </cfRule>
    <cfRule type="expression" priority="90" dxfId="5">
      <formula>設定!$D$18="橙"</formula>
    </cfRule>
    <cfRule type="expression" priority="91" dxfId="6">
      <formula>設定!$D$18="紫"</formula>
    </cfRule>
    <cfRule type="expression" priority="92" dxfId="7">
      <formula>設定!$D$18="茶"</formula>
    </cfRule>
  </conditionalFormatting>
  <conditionalFormatting sqref="X5:X49">
    <cfRule type="expression" priority="93" dxfId="9">
      <formula>AND(X5&lt;&gt;"",COUNTIF(設定!$I$11:$I$30,X5)=0)</formula>
    </cfRule>
  </conditionalFormatting>
  <conditionalFormatting sqref="W5:X49">
    <cfRule type="expression" priority="94" dxfId="10">
      <formula>AND($W5&lt;&gt;"",$X5="")</formula>
    </cfRule>
    <cfRule type="expression" priority="95" dxfId="11">
      <formula>AND(設定!$B$18&lt;&gt;"",ROW()-4&lt;=N(設定!$E$18))</formula>
    </cfRule>
  </conditionalFormatting>
  <conditionalFormatting sqref="V5:V49">
    <cfRule type="expression" priority="96" dxfId="12">
      <formula>AND(設定!$B$18&lt;&gt;"",ROW()-4&lt;=N(設定!$E$18))</formula>
    </cfRule>
  </conditionalFormatting>
  <dataValidations count="8">
    <dataValidation sqref="C5:C49" showDropDown="0" showInputMessage="0" showErrorMessage="0" allowBlank="1" type="list">
      <formula1>設定!$I$11:$I$30</formula1>
    </dataValidation>
    <dataValidation sqref="F5:F49" showDropDown="0" showInputMessage="0" showErrorMessage="0" allowBlank="1" type="list">
      <formula1>設定!$I$11:$I$30</formula1>
    </dataValidation>
    <dataValidation sqref="I5:I49" showDropDown="0" showInputMessage="0" showErrorMessage="0" allowBlank="1" type="list">
      <formula1>設定!$I$11:$I$30</formula1>
    </dataValidation>
    <dataValidation sqref="L5:L49" showDropDown="0" showInputMessage="0" showErrorMessage="0" allowBlank="1" type="list">
      <formula1>設定!$I$11:$I$30</formula1>
    </dataValidation>
    <dataValidation sqref="O5:O49" showDropDown="0" showInputMessage="0" showErrorMessage="0" allowBlank="1" type="list">
      <formula1>設定!$I$11:$I$30</formula1>
    </dataValidation>
    <dataValidation sqref="R5:R49" showDropDown="0" showInputMessage="0" showErrorMessage="0" allowBlank="1" type="list">
      <formula1>設定!$I$11:$I$30</formula1>
    </dataValidation>
    <dataValidation sqref="U5:U49" showDropDown="0" showInputMessage="0" showErrorMessage="0" allowBlank="1" type="list">
      <formula1>設定!$I$11:$I$30</formula1>
    </dataValidation>
    <dataValidation sqref="X5:X49" showDropDown="0" showInputMessage="0" showErrorMessage="0" allowBlank="1" type="list">
      <formula1>設定!$I$11:$I$30</formula1>
    </dataValidation>
  </dataValidations>
  <printOptions horizontalCentered="1"/>
  <pageMargins left="0.75" right="0.75" top="1" bottom="1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X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  <col width="5" customWidth="1" min="4" max="4"/>
    <col width="15" customWidth="1" min="5" max="5"/>
    <col width="11" customWidth="1" min="6" max="6"/>
    <col width="5" customWidth="1" min="7" max="7"/>
    <col width="15" customWidth="1" min="8" max="8"/>
    <col width="11" customWidth="1" min="9" max="9"/>
    <col width="5" customWidth="1" min="10" max="10"/>
    <col width="15" customWidth="1" min="11" max="11"/>
    <col width="11" customWidth="1" min="12" max="12"/>
    <col width="5" customWidth="1" min="13" max="13"/>
    <col width="15" customWidth="1" min="14" max="14"/>
    <col width="11" customWidth="1" min="15" max="15"/>
    <col width="5" customWidth="1" min="16" max="16"/>
    <col width="15" customWidth="1" min="17" max="17"/>
    <col width="11" customWidth="1" min="18" max="18"/>
    <col width="5" customWidth="1" min="19" max="19"/>
    <col width="15" customWidth="1" min="20" max="20"/>
    <col width="11" customWidth="1" min="21" max="21"/>
    <col width="5" customWidth="1" min="22" max="22"/>
    <col width="15" customWidth="1" min="23" max="23"/>
    <col width="11" customWidth="1" min="24" max="24"/>
  </cols>
  <sheetData>
    <row r="1">
      <c r="A1" s="1">
        <f>設定!$B$3&amp;"　"&amp;設定!$B$8&amp;"年　"&amp;設定!$B$4&amp;"入力"</f>
        <v/>
      </c>
      <c r="E1" s="15" t="inlineStr">
        <is>
          <t>【入力：担任】黄色のセル</t>
        </is>
      </c>
      <c r="F1" s="32" t="n"/>
      <c r="G1" s="32" t="n"/>
      <c r="H1" s="32" t="n"/>
      <c r="I1" s="32" t="n"/>
      <c r="J1" s="33" t="n"/>
    </row>
    <row r="2"/>
    <row r="3">
      <c r="A3" s="16">
        <f>IF(設定!$B$19="","",設定!$C$19)</f>
        <v/>
      </c>
      <c r="B3" s="32" t="n"/>
      <c r="C3" s="33" t="n"/>
      <c r="D3" s="16">
        <f>IF(設定!$B$20="","",設定!$C$20)</f>
        <v/>
      </c>
      <c r="E3" s="32" t="n"/>
      <c r="F3" s="33" t="n"/>
      <c r="G3" s="16">
        <f>IF(設定!$B$21="","",設定!$C$21)</f>
        <v/>
      </c>
      <c r="H3" s="32" t="n"/>
      <c r="I3" s="33" t="n"/>
      <c r="J3" s="16">
        <f>IF(設定!$B$22="","",設定!$C$22)</f>
        <v/>
      </c>
      <c r="K3" s="32" t="n"/>
      <c r="L3" s="33" t="n"/>
      <c r="M3" s="16">
        <f>IF(設定!$B$23="","",設定!$C$23)</f>
        <v/>
      </c>
      <c r="N3" s="32" t="n"/>
      <c r="O3" s="33" t="n"/>
      <c r="P3" s="16">
        <f>IF(設定!$B$24="","",設定!$C$24)</f>
        <v/>
      </c>
      <c r="Q3" s="32" t="n"/>
      <c r="R3" s="33" t="n"/>
      <c r="S3" s="16">
        <f>IF(設定!$B$25="","",設定!$C$25)</f>
        <v/>
      </c>
      <c r="T3" s="32" t="n"/>
      <c r="U3" s="33" t="n"/>
      <c r="V3" s="16">
        <f>IF(設定!$B$26="","",設定!$C$26)</f>
        <v/>
      </c>
      <c r="W3" s="32" t="n"/>
      <c r="X3" s="33" t="n"/>
    </row>
    <row r="4">
      <c r="A4" s="18" t="inlineStr">
        <is>
          <t>番号</t>
        </is>
      </c>
      <c r="B4" s="18" t="inlineStr">
        <is>
          <t>名前</t>
        </is>
      </c>
      <c r="C4" s="18" t="inlineStr">
        <is>
          <t>委員会</t>
        </is>
      </c>
      <c r="D4" s="18" t="inlineStr">
        <is>
          <t>番号</t>
        </is>
      </c>
      <c r="E4" s="18" t="inlineStr">
        <is>
          <t>名前</t>
        </is>
      </c>
      <c r="F4" s="18" t="inlineStr">
        <is>
          <t>委員会</t>
        </is>
      </c>
      <c r="G4" s="18" t="inlineStr">
        <is>
          <t>番号</t>
        </is>
      </c>
      <c r="H4" s="18" t="inlineStr">
        <is>
          <t>名前</t>
        </is>
      </c>
      <c r="I4" s="18" t="inlineStr">
        <is>
          <t>委員会</t>
        </is>
      </c>
      <c r="J4" s="18" t="inlineStr">
        <is>
          <t>番号</t>
        </is>
      </c>
      <c r="K4" s="18" t="inlineStr">
        <is>
          <t>名前</t>
        </is>
      </c>
      <c r="L4" s="18" t="inlineStr">
        <is>
          <t>委員会</t>
        </is>
      </c>
      <c r="M4" s="18" t="inlineStr">
        <is>
          <t>番号</t>
        </is>
      </c>
      <c r="N4" s="18" t="inlineStr">
        <is>
          <t>名前</t>
        </is>
      </c>
      <c r="O4" s="18" t="inlineStr">
        <is>
          <t>委員会</t>
        </is>
      </c>
      <c r="P4" s="18" t="inlineStr">
        <is>
          <t>番号</t>
        </is>
      </c>
      <c r="Q4" s="18" t="inlineStr">
        <is>
          <t>名前</t>
        </is>
      </c>
      <c r="R4" s="18" t="inlineStr">
        <is>
          <t>委員会</t>
        </is>
      </c>
      <c r="S4" s="18" t="inlineStr">
        <is>
          <t>番号</t>
        </is>
      </c>
      <c r="T4" s="18" t="inlineStr">
        <is>
          <t>名前</t>
        </is>
      </c>
      <c r="U4" s="18" t="inlineStr">
        <is>
          <t>委員会</t>
        </is>
      </c>
      <c r="V4" s="18" t="inlineStr">
        <is>
          <t>番号</t>
        </is>
      </c>
      <c r="W4" s="18" t="inlineStr">
        <is>
          <t>名前</t>
        </is>
      </c>
      <c r="X4" s="18" t="inlineStr">
        <is>
          <t>委員会</t>
        </is>
      </c>
    </row>
    <row r="5">
      <c r="A5" s="19">
        <f>IF(AND(設定!$B$19&lt;&gt;"",1&lt;=N(設定!$E$19)),1,"")</f>
        <v/>
      </c>
      <c r="B5" s="20" t="n"/>
      <c r="C5" s="21" t="n"/>
      <c r="D5" s="19">
        <f>IF(AND(設定!$B$20&lt;&gt;"",1&lt;=N(設定!$E$20)),1,"")</f>
        <v/>
      </c>
      <c r="E5" s="20" t="n"/>
      <c r="F5" s="21" t="n"/>
      <c r="G5" s="19">
        <f>IF(AND(設定!$B$21&lt;&gt;"",1&lt;=N(設定!$E$21)),1,"")</f>
        <v/>
      </c>
      <c r="H5" s="20" t="n"/>
      <c r="I5" s="21" t="n"/>
      <c r="J5" s="19">
        <f>IF(AND(設定!$B$22&lt;&gt;"",1&lt;=N(設定!$E$22)),1,"")</f>
        <v/>
      </c>
      <c r="K5" s="20" t="n"/>
      <c r="L5" s="21" t="n"/>
      <c r="M5" s="19">
        <f>IF(AND(設定!$B$23&lt;&gt;"",1&lt;=N(設定!$E$23)),1,"")</f>
        <v/>
      </c>
      <c r="N5" s="20" t="n"/>
      <c r="O5" s="21" t="n"/>
      <c r="P5" s="19">
        <f>IF(AND(設定!$B$24&lt;&gt;"",1&lt;=N(設定!$E$24)),1,"")</f>
        <v/>
      </c>
      <c r="Q5" s="20" t="n"/>
      <c r="R5" s="21" t="n"/>
      <c r="S5" s="19">
        <f>IF(AND(設定!$B$25&lt;&gt;"",1&lt;=N(設定!$E$25)),1,"")</f>
        <v/>
      </c>
      <c r="T5" s="20" t="n"/>
      <c r="U5" s="21" t="n"/>
      <c r="V5" s="19">
        <f>IF(AND(設定!$B$26&lt;&gt;"",1&lt;=N(設定!$E$26)),1,"")</f>
        <v/>
      </c>
      <c r="W5" s="20" t="n"/>
      <c r="X5" s="21" t="n"/>
    </row>
    <row r="6">
      <c r="A6" s="19">
        <f>IF(AND(設定!$B$19&lt;&gt;"",2&lt;=N(設定!$E$19)),2,"")</f>
        <v/>
      </c>
      <c r="B6" s="20" t="n"/>
      <c r="C6" s="21" t="n"/>
      <c r="D6" s="19">
        <f>IF(AND(設定!$B$20&lt;&gt;"",2&lt;=N(設定!$E$20)),2,"")</f>
        <v/>
      </c>
      <c r="E6" s="20" t="n"/>
      <c r="F6" s="21" t="n"/>
      <c r="G6" s="19">
        <f>IF(AND(設定!$B$21&lt;&gt;"",2&lt;=N(設定!$E$21)),2,"")</f>
        <v/>
      </c>
      <c r="H6" s="20" t="n"/>
      <c r="I6" s="21" t="n"/>
      <c r="J6" s="19">
        <f>IF(AND(設定!$B$22&lt;&gt;"",2&lt;=N(設定!$E$22)),2,"")</f>
        <v/>
      </c>
      <c r="K6" s="20" t="n"/>
      <c r="L6" s="21" t="n"/>
      <c r="M6" s="19">
        <f>IF(AND(設定!$B$23&lt;&gt;"",2&lt;=N(設定!$E$23)),2,"")</f>
        <v/>
      </c>
      <c r="N6" s="20" t="n"/>
      <c r="O6" s="21" t="n"/>
      <c r="P6" s="19">
        <f>IF(AND(設定!$B$24&lt;&gt;"",2&lt;=N(設定!$E$24)),2,"")</f>
        <v/>
      </c>
      <c r="Q6" s="20" t="n"/>
      <c r="R6" s="21" t="n"/>
      <c r="S6" s="19">
        <f>IF(AND(設定!$B$25&lt;&gt;"",2&lt;=N(設定!$E$25)),2,"")</f>
        <v/>
      </c>
      <c r="T6" s="20" t="n"/>
      <c r="U6" s="21" t="n"/>
      <c r="V6" s="19">
        <f>IF(AND(設定!$B$26&lt;&gt;"",2&lt;=N(設定!$E$26)),2,"")</f>
        <v/>
      </c>
      <c r="W6" s="20" t="n"/>
      <c r="X6" s="21" t="n"/>
    </row>
    <row r="7">
      <c r="A7" s="19">
        <f>IF(AND(設定!$B$19&lt;&gt;"",3&lt;=N(設定!$E$19)),3,"")</f>
        <v/>
      </c>
      <c r="B7" s="20" t="n"/>
      <c r="C7" s="21" t="n"/>
      <c r="D7" s="19">
        <f>IF(AND(設定!$B$20&lt;&gt;"",3&lt;=N(設定!$E$20)),3,"")</f>
        <v/>
      </c>
      <c r="E7" s="20" t="n"/>
      <c r="F7" s="21" t="n"/>
      <c r="G7" s="19">
        <f>IF(AND(設定!$B$21&lt;&gt;"",3&lt;=N(設定!$E$21)),3,"")</f>
        <v/>
      </c>
      <c r="H7" s="20" t="n"/>
      <c r="I7" s="21" t="n"/>
      <c r="J7" s="19">
        <f>IF(AND(設定!$B$22&lt;&gt;"",3&lt;=N(設定!$E$22)),3,"")</f>
        <v/>
      </c>
      <c r="K7" s="20" t="n"/>
      <c r="L7" s="21" t="n"/>
      <c r="M7" s="19">
        <f>IF(AND(設定!$B$23&lt;&gt;"",3&lt;=N(設定!$E$23)),3,"")</f>
        <v/>
      </c>
      <c r="N7" s="20" t="n"/>
      <c r="O7" s="21" t="n"/>
      <c r="P7" s="19">
        <f>IF(AND(設定!$B$24&lt;&gt;"",3&lt;=N(設定!$E$24)),3,"")</f>
        <v/>
      </c>
      <c r="Q7" s="20" t="n"/>
      <c r="R7" s="21" t="n"/>
      <c r="S7" s="19">
        <f>IF(AND(設定!$B$25&lt;&gt;"",3&lt;=N(設定!$E$25)),3,"")</f>
        <v/>
      </c>
      <c r="T7" s="20" t="n"/>
      <c r="U7" s="21" t="n"/>
      <c r="V7" s="19">
        <f>IF(AND(設定!$B$26&lt;&gt;"",3&lt;=N(設定!$E$26)),3,"")</f>
        <v/>
      </c>
      <c r="W7" s="20" t="n"/>
      <c r="X7" s="21" t="n"/>
    </row>
    <row r="8">
      <c r="A8" s="19">
        <f>IF(AND(設定!$B$19&lt;&gt;"",4&lt;=N(設定!$E$19)),4,"")</f>
        <v/>
      </c>
      <c r="B8" s="20" t="n"/>
      <c r="C8" s="21" t="n"/>
      <c r="D8" s="19">
        <f>IF(AND(設定!$B$20&lt;&gt;"",4&lt;=N(設定!$E$20)),4,"")</f>
        <v/>
      </c>
      <c r="E8" s="20" t="n"/>
      <c r="F8" s="21" t="n"/>
      <c r="G8" s="19">
        <f>IF(AND(設定!$B$21&lt;&gt;"",4&lt;=N(設定!$E$21)),4,"")</f>
        <v/>
      </c>
      <c r="H8" s="20" t="n"/>
      <c r="I8" s="21" t="n"/>
      <c r="J8" s="19">
        <f>IF(AND(設定!$B$22&lt;&gt;"",4&lt;=N(設定!$E$22)),4,"")</f>
        <v/>
      </c>
      <c r="K8" s="20" t="n"/>
      <c r="L8" s="21" t="n"/>
      <c r="M8" s="19">
        <f>IF(AND(設定!$B$23&lt;&gt;"",4&lt;=N(設定!$E$23)),4,"")</f>
        <v/>
      </c>
      <c r="N8" s="20" t="n"/>
      <c r="O8" s="21" t="n"/>
      <c r="P8" s="19">
        <f>IF(AND(設定!$B$24&lt;&gt;"",4&lt;=N(設定!$E$24)),4,"")</f>
        <v/>
      </c>
      <c r="Q8" s="20" t="n"/>
      <c r="R8" s="21" t="n"/>
      <c r="S8" s="19">
        <f>IF(AND(設定!$B$25&lt;&gt;"",4&lt;=N(設定!$E$25)),4,"")</f>
        <v/>
      </c>
      <c r="T8" s="20" t="n"/>
      <c r="U8" s="21" t="n"/>
      <c r="V8" s="19">
        <f>IF(AND(設定!$B$26&lt;&gt;"",4&lt;=N(設定!$E$26)),4,"")</f>
        <v/>
      </c>
      <c r="W8" s="20" t="n"/>
      <c r="X8" s="21" t="n"/>
    </row>
    <row r="9">
      <c r="A9" s="19">
        <f>IF(AND(設定!$B$19&lt;&gt;"",5&lt;=N(設定!$E$19)),5,"")</f>
        <v/>
      </c>
      <c r="B9" s="20" t="n"/>
      <c r="C9" s="21" t="n"/>
      <c r="D9" s="19">
        <f>IF(AND(設定!$B$20&lt;&gt;"",5&lt;=N(設定!$E$20)),5,"")</f>
        <v/>
      </c>
      <c r="E9" s="20" t="n"/>
      <c r="F9" s="21" t="n"/>
      <c r="G9" s="19">
        <f>IF(AND(設定!$B$21&lt;&gt;"",5&lt;=N(設定!$E$21)),5,"")</f>
        <v/>
      </c>
      <c r="H9" s="20" t="n"/>
      <c r="I9" s="21" t="n"/>
      <c r="J9" s="19">
        <f>IF(AND(設定!$B$22&lt;&gt;"",5&lt;=N(設定!$E$22)),5,"")</f>
        <v/>
      </c>
      <c r="K9" s="20" t="n"/>
      <c r="L9" s="21" t="n"/>
      <c r="M9" s="19">
        <f>IF(AND(設定!$B$23&lt;&gt;"",5&lt;=N(設定!$E$23)),5,"")</f>
        <v/>
      </c>
      <c r="N9" s="20" t="n"/>
      <c r="O9" s="21" t="n"/>
      <c r="P9" s="19">
        <f>IF(AND(設定!$B$24&lt;&gt;"",5&lt;=N(設定!$E$24)),5,"")</f>
        <v/>
      </c>
      <c r="Q9" s="20" t="n"/>
      <c r="R9" s="21" t="n"/>
      <c r="S9" s="19">
        <f>IF(AND(設定!$B$25&lt;&gt;"",5&lt;=N(設定!$E$25)),5,"")</f>
        <v/>
      </c>
      <c r="T9" s="20" t="n"/>
      <c r="U9" s="21" t="n"/>
      <c r="V9" s="19">
        <f>IF(AND(設定!$B$26&lt;&gt;"",5&lt;=N(設定!$E$26)),5,"")</f>
        <v/>
      </c>
      <c r="W9" s="20" t="n"/>
      <c r="X9" s="21" t="n"/>
    </row>
    <row r="10">
      <c r="A10" s="19">
        <f>IF(AND(設定!$B$19&lt;&gt;"",6&lt;=N(設定!$E$19)),6,"")</f>
        <v/>
      </c>
      <c r="B10" s="20" t="n"/>
      <c r="C10" s="21" t="n"/>
      <c r="D10" s="19">
        <f>IF(AND(設定!$B$20&lt;&gt;"",6&lt;=N(設定!$E$20)),6,"")</f>
        <v/>
      </c>
      <c r="E10" s="20" t="n"/>
      <c r="F10" s="21" t="n"/>
      <c r="G10" s="19">
        <f>IF(AND(設定!$B$21&lt;&gt;"",6&lt;=N(設定!$E$21)),6,"")</f>
        <v/>
      </c>
      <c r="H10" s="20" t="n"/>
      <c r="I10" s="21" t="n"/>
      <c r="J10" s="19">
        <f>IF(AND(設定!$B$22&lt;&gt;"",6&lt;=N(設定!$E$22)),6,"")</f>
        <v/>
      </c>
      <c r="K10" s="20" t="n"/>
      <c r="L10" s="21" t="n"/>
      <c r="M10" s="19">
        <f>IF(AND(設定!$B$23&lt;&gt;"",6&lt;=N(設定!$E$23)),6,"")</f>
        <v/>
      </c>
      <c r="N10" s="20" t="n"/>
      <c r="O10" s="21" t="n"/>
      <c r="P10" s="19">
        <f>IF(AND(設定!$B$24&lt;&gt;"",6&lt;=N(設定!$E$24)),6,"")</f>
        <v/>
      </c>
      <c r="Q10" s="20" t="n"/>
      <c r="R10" s="21" t="n"/>
      <c r="S10" s="19">
        <f>IF(AND(設定!$B$25&lt;&gt;"",6&lt;=N(設定!$E$25)),6,"")</f>
        <v/>
      </c>
      <c r="T10" s="20" t="n"/>
      <c r="U10" s="21" t="n"/>
      <c r="V10" s="19">
        <f>IF(AND(設定!$B$26&lt;&gt;"",6&lt;=N(設定!$E$26)),6,"")</f>
        <v/>
      </c>
      <c r="W10" s="20" t="n"/>
      <c r="X10" s="21" t="n"/>
    </row>
    <row r="11">
      <c r="A11" s="19">
        <f>IF(AND(設定!$B$19&lt;&gt;"",7&lt;=N(設定!$E$19)),7,"")</f>
        <v/>
      </c>
      <c r="B11" s="20" t="n"/>
      <c r="C11" s="21" t="n"/>
      <c r="D11" s="19">
        <f>IF(AND(設定!$B$20&lt;&gt;"",7&lt;=N(設定!$E$20)),7,"")</f>
        <v/>
      </c>
      <c r="E11" s="20" t="n"/>
      <c r="F11" s="21" t="n"/>
      <c r="G11" s="19">
        <f>IF(AND(設定!$B$21&lt;&gt;"",7&lt;=N(設定!$E$21)),7,"")</f>
        <v/>
      </c>
      <c r="H11" s="20" t="n"/>
      <c r="I11" s="21" t="n"/>
      <c r="J11" s="19">
        <f>IF(AND(設定!$B$22&lt;&gt;"",7&lt;=N(設定!$E$22)),7,"")</f>
        <v/>
      </c>
      <c r="K11" s="20" t="n"/>
      <c r="L11" s="21" t="n"/>
      <c r="M11" s="19">
        <f>IF(AND(設定!$B$23&lt;&gt;"",7&lt;=N(設定!$E$23)),7,"")</f>
        <v/>
      </c>
      <c r="N11" s="20" t="n"/>
      <c r="O11" s="21" t="n"/>
      <c r="P11" s="19">
        <f>IF(AND(設定!$B$24&lt;&gt;"",7&lt;=N(設定!$E$24)),7,"")</f>
        <v/>
      </c>
      <c r="Q11" s="20" t="n"/>
      <c r="R11" s="21" t="n"/>
      <c r="S11" s="19">
        <f>IF(AND(設定!$B$25&lt;&gt;"",7&lt;=N(設定!$E$25)),7,"")</f>
        <v/>
      </c>
      <c r="T11" s="20" t="n"/>
      <c r="U11" s="21" t="n"/>
      <c r="V11" s="19">
        <f>IF(AND(設定!$B$26&lt;&gt;"",7&lt;=N(設定!$E$26)),7,"")</f>
        <v/>
      </c>
      <c r="W11" s="20" t="n"/>
      <c r="X11" s="21" t="n"/>
    </row>
    <row r="12">
      <c r="A12" s="19">
        <f>IF(AND(設定!$B$19&lt;&gt;"",8&lt;=N(設定!$E$19)),8,"")</f>
        <v/>
      </c>
      <c r="B12" s="20" t="n"/>
      <c r="C12" s="21" t="n"/>
      <c r="D12" s="19">
        <f>IF(AND(設定!$B$20&lt;&gt;"",8&lt;=N(設定!$E$20)),8,"")</f>
        <v/>
      </c>
      <c r="E12" s="20" t="n"/>
      <c r="F12" s="21" t="n"/>
      <c r="G12" s="19">
        <f>IF(AND(設定!$B$21&lt;&gt;"",8&lt;=N(設定!$E$21)),8,"")</f>
        <v/>
      </c>
      <c r="H12" s="20" t="n"/>
      <c r="I12" s="21" t="n"/>
      <c r="J12" s="19">
        <f>IF(AND(設定!$B$22&lt;&gt;"",8&lt;=N(設定!$E$22)),8,"")</f>
        <v/>
      </c>
      <c r="K12" s="20" t="n"/>
      <c r="L12" s="21" t="n"/>
      <c r="M12" s="19">
        <f>IF(AND(設定!$B$23&lt;&gt;"",8&lt;=N(設定!$E$23)),8,"")</f>
        <v/>
      </c>
      <c r="N12" s="20" t="n"/>
      <c r="O12" s="21" t="n"/>
      <c r="P12" s="19">
        <f>IF(AND(設定!$B$24&lt;&gt;"",8&lt;=N(設定!$E$24)),8,"")</f>
        <v/>
      </c>
      <c r="Q12" s="20" t="n"/>
      <c r="R12" s="21" t="n"/>
      <c r="S12" s="19">
        <f>IF(AND(設定!$B$25&lt;&gt;"",8&lt;=N(設定!$E$25)),8,"")</f>
        <v/>
      </c>
      <c r="T12" s="20" t="n"/>
      <c r="U12" s="21" t="n"/>
      <c r="V12" s="19">
        <f>IF(AND(設定!$B$26&lt;&gt;"",8&lt;=N(設定!$E$26)),8,"")</f>
        <v/>
      </c>
      <c r="W12" s="20" t="n"/>
      <c r="X12" s="21" t="n"/>
    </row>
    <row r="13">
      <c r="A13" s="19">
        <f>IF(AND(設定!$B$19&lt;&gt;"",9&lt;=N(設定!$E$19)),9,"")</f>
        <v/>
      </c>
      <c r="B13" s="20" t="n"/>
      <c r="C13" s="21" t="n"/>
      <c r="D13" s="19">
        <f>IF(AND(設定!$B$20&lt;&gt;"",9&lt;=N(設定!$E$20)),9,"")</f>
        <v/>
      </c>
      <c r="E13" s="20" t="n"/>
      <c r="F13" s="21" t="n"/>
      <c r="G13" s="19">
        <f>IF(AND(設定!$B$21&lt;&gt;"",9&lt;=N(設定!$E$21)),9,"")</f>
        <v/>
      </c>
      <c r="H13" s="20" t="n"/>
      <c r="I13" s="21" t="n"/>
      <c r="J13" s="19">
        <f>IF(AND(設定!$B$22&lt;&gt;"",9&lt;=N(設定!$E$22)),9,"")</f>
        <v/>
      </c>
      <c r="K13" s="20" t="n"/>
      <c r="L13" s="21" t="n"/>
      <c r="M13" s="19">
        <f>IF(AND(設定!$B$23&lt;&gt;"",9&lt;=N(設定!$E$23)),9,"")</f>
        <v/>
      </c>
      <c r="N13" s="20" t="n"/>
      <c r="O13" s="21" t="n"/>
      <c r="P13" s="19">
        <f>IF(AND(設定!$B$24&lt;&gt;"",9&lt;=N(設定!$E$24)),9,"")</f>
        <v/>
      </c>
      <c r="Q13" s="20" t="n"/>
      <c r="R13" s="21" t="n"/>
      <c r="S13" s="19">
        <f>IF(AND(設定!$B$25&lt;&gt;"",9&lt;=N(設定!$E$25)),9,"")</f>
        <v/>
      </c>
      <c r="T13" s="20" t="n"/>
      <c r="U13" s="21" t="n"/>
      <c r="V13" s="19">
        <f>IF(AND(設定!$B$26&lt;&gt;"",9&lt;=N(設定!$E$26)),9,"")</f>
        <v/>
      </c>
      <c r="W13" s="20" t="n"/>
      <c r="X13" s="21" t="n"/>
    </row>
    <row r="14">
      <c r="A14" s="19">
        <f>IF(AND(設定!$B$19&lt;&gt;"",10&lt;=N(設定!$E$19)),10,"")</f>
        <v/>
      </c>
      <c r="B14" s="20" t="n"/>
      <c r="C14" s="21" t="n"/>
      <c r="D14" s="19">
        <f>IF(AND(設定!$B$20&lt;&gt;"",10&lt;=N(設定!$E$20)),10,"")</f>
        <v/>
      </c>
      <c r="E14" s="20" t="n"/>
      <c r="F14" s="21" t="n"/>
      <c r="G14" s="19">
        <f>IF(AND(設定!$B$21&lt;&gt;"",10&lt;=N(設定!$E$21)),10,"")</f>
        <v/>
      </c>
      <c r="H14" s="20" t="n"/>
      <c r="I14" s="21" t="n"/>
      <c r="J14" s="19">
        <f>IF(AND(設定!$B$22&lt;&gt;"",10&lt;=N(設定!$E$22)),10,"")</f>
        <v/>
      </c>
      <c r="K14" s="20" t="n"/>
      <c r="L14" s="21" t="n"/>
      <c r="M14" s="19">
        <f>IF(AND(設定!$B$23&lt;&gt;"",10&lt;=N(設定!$E$23)),10,"")</f>
        <v/>
      </c>
      <c r="N14" s="20" t="n"/>
      <c r="O14" s="21" t="n"/>
      <c r="P14" s="19">
        <f>IF(AND(設定!$B$24&lt;&gt;"",10&lt;=N(設定!$E$24)),10,"")</f>
        <v/>
      </c>
      <c r="Q14" s="20" t="n"/>
      <c r="R14" s="21" t="n"/>
      <c r="S14" s="19">
        <f>IF(AND(設定!$B$25&lt;&gt;"",10&lt;=N(設定!$E$25)),10,"")</f>
        <v/>
      </c>
      <c r="T14" s="20" t="n"/>
      <c r="U14" s="21" t="n"/>
      <c r="V14" s="19">
        <f>IF(AND(設定!$B$26&lt;&gt;"",10&lt;=N(設定!$E$26)),10,"")</f>
        <v/>
      </c>
      <c r="W14" s="20" t="n"/>
      <c r="X14" s="21" t="n"/>
    </row>
    <row r="15">
      <c r="A15" s="19">
        <f>IF(AND(設定!$B$19&lt;&gt;"",11&lt;=N(設定!$E$19)),11,"")</f>
        <v/>
      </c>
      <c r="B15" s="20" t="n"/>
      <c r="C15" s="21" t="n"/>
      <c r="D15" s="19">
        <f>IF(AND(設定!$B$20&lt;&gt;"",11&lt;=N(設定!$E$20)),11,"")</f>
        <v/>
      </c>
      <c r="E15" s="20" t="n"/>
      <c r="F15" s="21" t="n"/>
      <c r="G15" s="19">
        <f>IF(AND(設定!$B$21&lt;&gt;"",11&lt;=N(設定!$E$21)),11,"")</f>
        <v/>
      </c>
      <c r="H15" s="20" t="n"/>
      <c r="I15" s="21" t="n"/>
      <c r="J15" s="19">
        <f>IF(AND(設定!$B$22&lt;&gt;"",11&lt;=N(設定!$E$22)),11,"")</f>
        <v/>
      </c>
      <c r="K15" s="20" t="n"/>
      <c r="L15" s="21" t="n"/>
      <c r="M15" s="19">
        <f>IF(AND(設定!$B$23&lt;&gt;"",11&lt;=N(設定!$E$23)),11,"")</f>
        <v/>
      </c>
      <c r="N15" s="20" t="n"/>
      <c r="O15" s="21" t="n"/>
      <c r="P15" s="19">
        <f>IF(AND(設定!$B$24&lt;&gt;"",11&lt;=N(設定!$E$24)),11,"")</f>
        <v/>
      </c>
      <c r="Q15" s="20" t="n"/>
      <c r="R15" s="21" t="n"/>
      <c r="S15" s="19">
        <f>IF(AND(設定!$B$25&lt;&gt;"",11&lt;=N(設定!$E$25)),11,"")</f>
        <v/>
      </c>
      <c r="T15" s="20" t="n"/>
      <c r="U15" s="21" t="n"/>
      <c r="V15" s="19">
        <f>IF(AND(設定!$B$26&lt;&gt;"",11&lt;=N(設定!$E$26)),11,"")</f>
        <v/>
      </c>
      <c r="W15" s="20" t="n"/>
      <c r="X15" s="21" t="n"/>
    </row>
    <row r="16">
      <c r="A16" s="19">
        <f>IF(AND(設定!$B$19&lt;&gt;"",12&lt;=N(設定!$E$19)),12,"")</f>
        <v/>
      </c>
      <c r="B16" s="20" t="n"/>
      <c r="C16" s="21" t="n"/>
      <c r="D16" s="19">
        <f>IF(AND(設定!$B$20&lt;&gt;"",12&lt;=N(設定!$E$20)),12,"")</f>
        <v/>
      </c>
      <c r="E16" s="20" t="n"/>
      <c r="F16" s="21" t="n"/>
      <c r="G16" s="19">
        <f>IF(AND(設定!$B$21&lt;&gt;"",12&lt;=N(設定!$E$21)),12,"")</f>
        <v/>
      </c>
      <c r="H16" s="20" t="n"/>
      <c r="I16" s="21" t="n"/>
      <c r="J16" s="19">
        <f>IF(AND(設定!$B$22&lt;&gt;"",12&lt;=N(設定!$E$22)),12,"")</f>
        <v/>
      </c>
      <c r="K16" s="20" t="n"/>
      <c r="L16" s="21" t="n"/>
      <c r="M16" s="19">
        <f>IF(AND(設定!$B$23&lt;&gt;"",12&lt;=N(設定!$E$23)),12,"")</f>
        <v/>
      </c>
      <c r="N16" s="20" t="n"/>
      <c r="O16" s="21" t="n"/>
      <c r="P16" s="19">
        <f>IF(AND(設定!$B$24&lt;&gt;"",12&lt;=N(設定!$E$24)),12,"")</f>
        <v/>
      </c>
      <c r="Q16" s="20" t="n"/>
      <c r="R16" s="21" t="n"/>
      <c r="S16" s="19">
        <f>IF(AND(設定!$B$25&lt;&gt;"",12&lt;=N(設定!$E$25)),12,"")</f>
        <v/>
      </c>
      <c r="T16" s="20" t="n"/>
      <c r="U16" s="21" t="n"/>
      <c r="V16" s="19">
        <f>IF(AND(設定!$B$26&lt;&gt;"",12&lt;=N(設定!$E$26)),12,"")</f>
        <v/>
      </c>
      <c r="W16" s="20" t="n"/>
      <c r="X16" s="21" t="n"/>
    </row>
    <row r="17">
      <c r="A17" s="19">
        <f>IF(AND(設定!$B$19&lt;&gt;"",13&lt;=N(設定!$E$19)),13,"")</f>
        <v/>
      </c>
      <c r="B17" s="20" t="n"/>
      <c r="C17" s="21" t="n"/>
      <c r="D17" s="19">
        <f>IF(AND(設定!$B$20&lt;&gt;"",13&lt;=N(設定!$E$20)),13,"")</f>
        <v/>
      </c>
      <c r="E17" s="20" t="n"/>
      <c r="F17" s="21" t="n"/>
      <c r="G17" s="19">
        <f>IF(AND(設定!$B$21&lt;&gt;"",13&lt;=N(設定!$E$21)),13,"")</f>
        <v/>
      </c>
      <c r="H17" s="20" t="n"/>
      <c r="I17" s="21" t="n"/>
      <c r="J17" s="19">
        <f>IF(AND(設定!$B$22&lt;&gt;"",13&lt;=N(設定!$E$22)),13,"")</f>
        <v/>
      </c>
      <c r="K17" s="20" t="n"/>
      <c r="L17" s="21" t="n"/>
      <c r="M17" s="19">
        <f>IF(AND(設定!$B$23&lt;&gt;"",13&lt;=N(設定!$E$23)),13,"")</f>
        <v/>
      </c>
      <c r="N17" s="20" t="n"/>
      <c r="O17" s="21" t="n"/>
      <c r="P17" s="19">
        <f>IF(AND(設定!$B$24&lt;&gt;"",13&lt;=N(設定!$E$24)),13,"")</f>
        <v/>
      </c>
      <c r="Q17" s="20" t="n"/>
      <c r="R17" s="21" t="n"/>
      <c r="S17" s="19">
        <f>IF(AND(設定!$B$25&lt;&gt;"",13&lt;=N(設定!$E$25)),13,"")</f>
        <v/>
      </c>
      <c r="T17" s="20" t="n"/>
      <c r="U17" s="21" t="n"/>
      <c r="V17" s="19">
        <f>IF(AND(設定!$B$26&lt;&gt;"",13&lt;=N(設定!$E$26)),13,"")</f>
        <v/>
      </c>
      <c r="W17" s="20" t="n"/>
      <c r="X17" s="21" t="n"/>
    </row>
    <row r="18">
      <c r="A18" s="19">
        <f>IF(AND(設定!$B$19&lt;&gt;"",14&lt;=N(設定!$E$19)),14,"")</f>
        <v/>
      </c>
      <c r="B18" s="20" t="n"/>
      <c r="C18" s="21" t="n"/>
      <c r="D18" s="19">
        <f>IF(AND(設定!$B$20&lt;&gt;"",14&lt;=N(設定!$E$20)),14,"")</f>
        <v/>
      </c>
      <c r="E18" s="20" t="n"/>
      <c r="F18" s="21" t="n"/>
      <c r="G18" s="19">
        <f>IF(AND(設定!$B$21&lt;&gt;"",14&lt;=N(設定!$E$21)),14,"")</f>
        <v/>
      </c>
      <c r="H18" s="20" t="n"/>
      <c r="I18" s="21" t="n"/>
      <c r="J18" s="19">
        <f>IF(AND(設定!$B$22&lt;&gt;"",14&lt;=N(設定!$E$22)),14,"")</f>
        <v/>
      </c>
      <c r="K18" s="20" t="n"/>
      <c r="L18" s="21" t="n"/>
      <c r="M18" s="19">
        <f>IF(AND(設定!$B$23&lt;&gt;"",14&lt;=N(設定!$E$23)),14,"")</f>
        <v/>
      </c>
      <c r="N18" s="20" t="n"/>
      <c r="O18" s="21" t="n"/>
      <c r="P18" s="19">
        <f>IF(AND(設定!$B$24&lt;&gt;"",14&lt;=N(設定!$E$24)),14,"")</f>
        <v/>
      </c>
      <c r="Q18" s="20" t="n"/>
      <c r="R18" s="21" t="n"/>
      <c r="S18" s="19">
        <f>IF(AND(設定!$B$25&lt;&gt;"",14&lt;=N(設定!$E$25)),14,"")</f>
        <v/>
      </c>
      <c r="T18" s="20" t="n"/>
      <c r="U18" s="21" t="n"/>
      <c r="V18" s="19">
        <f>IF(AND(設定!$B$26&lt;&gt;"",14&lt;=N(設定!$E$26)),14,"")</f>
        <v/>
      </c>
      <c r="W18" s="20" t="n"/>
      <c r="X18" s="21" t="n"/>
    </row>
    <row r="19">
      <c r="A19" s="19">
        <f>IF(AND(設定!$B$19&lt;&gt;"",15&lt;=N(設定!$E$19)),15,"")</f>
        <v/>
      </c>
      <c r="B19" s="20" t="n"/>
      <c r="C19" s="21" t="n"/>
      <c r="D19" s="19">
        <f>IF(AND(設定!$B$20&lt;&gt;"",15&lt;=N(設定!$E$20)),15,"")</f>
        <v/>
      </c>
      <c r="E19" s="20" t="n"/>
      <c r="F19" s="21" t="n"/>
      <c r="G19" s="19">
        <f>IF(AND(設定!$B$21&lt;&gt;"",15&lt;=N(設定!$E$21)),15,"")</f>
        <v/>
      </c>
      <c r="H19" s="20" t="n"/>
      <c r="I19" s="21" t="n"/>
      <c r="J19" s="19">
        <f>IF(AND(設定!$B$22&lt;&gt;"",15&lt;=N(設定!$E$22)),15,"")</f>
        <v/>
      </c>
      <c r="K19" s="20" t="n"/>
      <c r="L19" s="21" t="n"/>
      <c r="M19" s="19">
        <f>IF(AND(設定!$B$23&lt;&gt;"",15&lt;=N(設定!$E$23)),15,"")</f>
        <v/>
      </c>
      <c r="N19" s="20" t="n"/>
      <c r="O19" s="21" t="n"/>
      <c r="P19" s="19">
        <f>IF(AND(設定!$B$24&lt;&gt;"",15&lt;=N(設定!$E$24)),15,"")</f>
        <v/>
      </c>
      <c r="Q19" s="20" t="n"/>
      <c r="R19" s="21" t="n"/>
      <c r="S19" s="19">
        <f>IF(AND(設定!$B$25&lt;&gt;"",15&lt;=N(設定!$E$25)),15,"")</f>
        <v/>
      </c>
      <c r="T19" s="20" t="n"/>
      <c r="U19" s="21" t="n"/>
      <c r="V19" s="19">
        <f>IF(AND(設定!$B$26&lt;&gt;"",15&lt;=N(設定!$E$26)),15,"")</f>
        <v/>
      </c>
      <c r="W19" s="20" t="n"/>
      <c r="X19" s="21" t="n"/>
    </row>
    <row r="20">
      <c r="A20" s="19">
        <f>IF(AND(設定!$B$19&lt;&gt;"",16&lt;=N(設定!$E$19)),16,"")</f>
        <v/>
      </c>
      <c r="B20" s="20" t="n"/>
      <c r="C20" s="21" t="n"/>
      <c r="D20" s="19">
        <f>IF(AND(設定!$B$20&lt;&gt;"",16&lt;=N(設定!$E$20)),16,"")</f>
        <v/>
      </c>
      <c r="E20" s="20" t="n"/>
      <c r="F20" s="21" t="n"/>
      <c r="G20" s="19">
        <f>IF(AND(設定!$B$21&lt;&gt;"",16&lt;=N(設定!$E$21)),16,"")</f>
        <v/>
      </c>
      <c r="H20" s="20" t="n"/>
      <c r="I20" s="21" t="n"/>
      <c r="J20" s="19">
        <f>IF(AND(設定!$B$22&lt;&gt;"",16&lt;=N(設定!$E$22)),16,"")</f>
        <v/>
      </c>
      <c r="K20" s="20" t="n"/>
      <c r="L20" s="21" t="n"/>
      <c r="M20" s="19">
        <f>IF(AND(設定!$B$23&lt;&gt;"",16&lt;=N(設定!$E$23)),16,"")</f>
        <v/>
      </c>
      <c r="N20" s="20" t="n"/>
      <c r="O20" s="21" t="n"/>
      <c r="P20" s="19">
        <f>IF(AND(設定!$B$24&lt;&gt;"",16&lt;=N(設定!$E$24)),16,"")</f>
        <v/>
      </c>
      <c r="Q20" s="20" t="n"/>
      <c r="R20" s="21" t="n"/>
      <c r="S20" s="19">
        <f>IF(AND(設定!$B$25&lt;&gt;"",16&lt;=N(設定!$E$25)),16,"")</f>
        <v/>
      </c>
      <c r="T20" s="20" t="n"/>
      <c r="U20" s="21" t="n"/>
      <c r="V20" s="19">
        <f>IF(AND(設定!$B$26&lt;&gt;"",16&lt;=N(設定!$E$26)),16,"")</f>
        <v/>
      </c>
      <c r="W20" s="20" t="n"/>
      <c r="X20" s="21" t="n"/>
    </row>
    <row r="21">
      <c r="A21" s="19">
        <f>IF(AND(設定!$B$19&lt;&gt;"",17&lt;=N(設定!$E$19)),17,"")</f>
        <v/>
      </c>
      <c r="B21" s="20" t="n"/>
      <c r="C21" s="21" t="n"/>
      <c r="D21" s="19">
        <f>IF(AND(設定!$B$20&lt;&gt;"",17&lt;=N(設定!$E$20)),17,"")</f>
        <v/>
      </c>
      <c r="E21" s="20" t="n"/>
      <c r="F21" s="21" t="n"/>
      <c r="G21" s="19">
        <f>IF(AND(設定!$B$21&lt;&gt;"",17&lt;=N(設定!$E$21)),17,"")</f>
        <v/>
      </c>
      <c r="H21" s="20" t="n"/>
      <c r="I21" s="21" t="n"/>
      <c r="J21" s="19">
        <f>IF(AND(設定!$B$22&lt;&gt;"",17&lt;=N(設定!$E$22)),17,"")</f>
        <v/>
      </c>
      <c r="K21" s="20" t="n"/>
      <c r="L21" s="21" t="n"/>
      <c r="M21" s="19">
        <f>IF(AND(設定!$B$23&lt;&gt;"",17&lt;=N(設定!$E$23)),17,"")</f>
        <v/>
      </c>
      <c r="N21" s="20" t="n"/>
      <c r="O21" s="21" t="n"/>
      <c r="P21" s="19">
        <f>IF(AND(設定!$B$24&lt;&gt;"",17&lt;=N(設定!$E$24)),17,"")</f>
        <v/>
      </c>
      <c r="Q21" s="20" t="n"/>
      <c r="R21" s="21" t="n"/>
      <c r="S21" s="19">
        <f>IF(AND(設定!$B$25&lt;&gt;"",17&lt;=N(設定!$E$25)),17,"")</f>
        <v/>
      </c>
      <c r="T21" s="20" t="n"/>
      <c r="U21" s="21" t="n"/>
      <c r="V21" s="19">
        <f>IF(AND(設定!$B$26&lt;&gt;"",17&lt;=N(設定!$E$26)),17,"")</f>
        <v/>
      </c>
      <c r="W21" s="20" t="n"/>
      <c r="X21" s="21" t="n"/>
    </row>
    <row r="22">
      <c r="A22" s="19">
        <f>IF(AND(設定!$B$19&lt;&gt;"",18&lt;=N(設定!$E$19)),18,"")</f>
        <v/>
      </c>
      <c r="B22" s="20" t="n"/>
      <c r="C22" s="21" t="n"/>
      <c r="D22" s="19">
        <f>IF(AND(設定!$B$20&lt;&gt;"",18&lt;=N(設定!$E$20)),18,"")</f>
        <v/>
      </c>
      <c r="E22" s="20" t="n"/>
      <c r="F22" s="21" t="n"/>
      <c r="G22" s="19">
        <f>IF(AND(設定!$B$21&lt;&gt;"",18&lt;=N(設定!$E$21)),18,"")</f>
        <v/>
      </c>
      <c r="H22" s="20" t="n"/>
      <c r="I22" s="21" t="n"/>
      <c r="J22" s="19">
        <f>IF(AND(設定!$B$22&lt;&gt;"",18&lt;=N(設定!$E$22)),18,"")</f>
        <v/>
      </c>
      <c r="K22" s="20" t="n"/>
      <c r="L22" s="21" t="n"/>
      <c r="M22" s="19">
        <f>IF(AND(設定!$B$23&lt;&gt;"",18&lt;=N(設定!$E$23)),18,"")</f>
        <v/>
      </c>
      <c r="N22" s="20" t="n"/>
      <c r="O22" s="21" t="n"/>
      <c r="P22" s="19">
        <f>IF(AND(設定!$B$24&lt;&gt;"",18&lt;=N(設定!$E$24)),18,"")</f>
        <v/>
      </c>
      <c r="Q22" s="20" t="n"/>
      <c r="R22" s="21" t="n"/>
      <c r="S22" s="19">
        <f>IF(AND(設定!$B$25&lt;&gt;"",18&lt;=N(設定!$E$25)),18,"")</f>
        <v/>
      </c>
      <c r="T22" s="20" t="n"/>
      <c r="U22" s="21" t="n"/>
      <c r="V22" s="19">
        <f>IF(AND(設定!$B$26&lt;&gt;"",18&lt;=N(設定!$E$26)),18,"")</f>
        <v/>
      </c>
      <c r="W22" s="20" t="n"/>
      <c r="X22" s="21" t="n"/>
    </row>
    <row r="23">
      <c r="A23" s="19">
        <f>IF(AND(設定!$B$19&lt;&gt;"",19&lt;=N(設定!$E$19)),19,"")</f>
        <v/>
      </c>
      <c r="B23" s="20" t="n"/>
      <c r="C23" s="21" t="n"/>
      <c r="D23" s="19">
        <f>IF(AND(設定!$B$20&lt;&gt;"",19&lt;=N(設定!$E$20)),19,"")</f>
        <v/>
      </c>
      <c r="E23" s="20" t="n"/>
      <c r="F23" s="21" t="n"/>
      <c r="G23" s="19">
        <f>IF(AND(設定!$B$21&lt;&gt;"",19&lt;=N(設定!$E$21)),19,"")</f>
        <v/>
      </c>
      <c r="H23" s="20" t="n"/>
      <c r="I23" s="21" t="n"/>
      <c r="J23" s="19">
        <f>IF(AND(設定!$B$22&lt;&gt;"",19&lt;=N(設定!$E$22)),19,"")</f>
        <v/>
      </c>
      <c r="K23" s="20" t="n"/>
      <c r="L23" s="21" t="n"/>
      <c r="M23" s="19">
        <f>IF(AND(設定!$B$23&lt;&gt;"",19&lt;=N(設定!$E$23)),19,"")</f>
        <v/>
      </c>
      <c r="N23" s="20" t="n"/>
      <c r="O23" s="21" t="n"/>
      <c r="P23" s="19">
        <f>IF(AND(設定!$B$24&lt;&gt;"",19&lt;=N(設定!$E$24)),19,"")</f>
        <v/>
      </c>
      <c r="Q23" s="20" t="n"/>
      <c r="R23" s="21" t="n"/>
      <c r="S23" s="19">
        <f>IF(AND(設定!$B$25&lt;&gt;"",19&lt;=N(設定!$E$25)),19,"")</f>
        <v/>
      </c>
      <c r="T23" s="20" t="n"/>
      <c r="U23" s="21" t="n"/>
      <c r="V23" s="19">
        <f>IF(AND(設定!$B$26&lt;&gt;"",19&lt;=N(設定!$E$26)),19,"")</f>
        <v/>
      </c>
      <c r="W23" s="20" t="n"/>
      <c r="X23" s="21" t="n"/>
    </row>
    <row r="24">
      <c r="A24" s="19">
        <f>IF(AND(設定!$B$19&lt;&gt;"",20&lt;=N(設定!$E$19)),20,"")</f>
        <v/>
      </c>
      <c r="B24" s="20" t="n"/>
      <c r="C24" s="21" t="n"/>
      <c r="D24" s="19">
        <f>IF(AND(設定!$B$20&lt;&gt;"",20&lt;=N(設定!$E$20)),20,"")</f>
        <v/>
      </c>
      <c r="E24" s="20" t="n"/>
      <c r="F24" s="21" t="n"/>
      <c r="G24" s="19">
        <f>IF(AND(設定!$B$21&lt;&gt;"",20&lt;=N(設定!$E$21)),20,"")</f>
        <v/>
      </c>
      <c r="H24" s="20" t="n"/>
      <c r="I24" s="21" t="n"/>
      <c r="J24" s="19">
        <f>IF(AND(設定!$B$22&lt;&gt;"",20&lt;=N(設定!$E$22)),20,"")</f>
        <v/>
      </c>
      <c r="K24" s="20" t="n"/>
      <c r="L24" s="21" t="n"/>
      <c r="M24" s="19">
        <f>IF(AND(設定!$B$23&lt;&gt;"",20&lt;=N(設定!$E$23)),20,"")</f>
        <v/>
      </c>
      <c r="N24" s="20" t="n"/>
      <c r="O24" s="21" t="n"/>
      <c r="P24" s="19">
        <f>IF(AND(設定!$B$24&lt;&gt;"",20&lt;=N(設定!$E$24)),20,"")</f>
        <v/>
      </c>
      <c r="Q24" s="20" t="n"/>
      <c r="R24" s="21" t="n"/>
      <c r="S24" s="19">
        <f>IF(AND(設定!$B$25&lt;&gt;"",20&lt;=N(設定!$E$25)),20,"")</f>
        <v/>
      </c>
      <c r="T24" s="20" t="n"/>
      <c r="U24" s="21" t="n"/>
      <c r="V24" s="19">
        <f>IF(AND(設定!$B$26&lt;&gt;"",20&lt;=N(設定!$E$26)),20,"")</f>
        <v/>
      </c>
      <c r="W24" s="20" t="n"/>
      <c r="X24" s="21" t="n"/>
    </row>
    <row r="25">
      <c r="A25" s="19">
        <f>IF(AND(設定!$B$19&lt;&gt;"",21&lt;=N(設定!$E$19)),21,"")</f>
        <v/>
      </c>
      <c r="B25" s="20" t="n"/>
      <c r="C25" s="21" t="n"/>
      <c r="D25" s="19">
        <f>IF(AND(設定!$B$20&lt;&gt;"",21&lt;=N(設定!$E$20)),21,"")</f>
        <v/>
      </c>
      <c r="E25" s="20" t="n"/>
      <c r="F25" s="21" t="n"/>
      <c r="G25" s="19">
        <f>IF(AND(設定!$B$21&lt;&gt;"",21&lt;=N(設定!$E$21)),21,"")</f>
        <v/>
      </c>
      <c r="H25" s="20" t="n"/>
      <c r="I25" s="21" t="n"/>
      <c r="J25" s="19">
        <f>IF(AND(設定!$B$22&lt;&gt;"",21&lt;=N(設定!$E$22)),21,"")</f>
        <v/>
      </c>
      <c r="K25" s="20" t="n"/>
      <c r="L25" s="21" t="n"/>
      <c r="M25" s="19">
        <f>IF(AND(設定!$B$23&lt;&gt;"",21&lt;=N(設定!$E$23)),21,"")</f>
        <v/>
      </c>
      <c r="N25" s="20" t="n"/>
      <c r="O25" s="21" t="n"/>
      <c r="P25" s="19">
        <f>IF(AND(設定!$B$24&lt;&gt;"",21&lt;=N(設定!$E$24)),21,"")</f>
        <v/>
      </c>
      <c r="Q25" s="20" t="n"/>
      <c r="R25" s="21" t="n"/>
      <c r="S25" s="19">
        <f>IF(AND(設定!$B$25&lt;&gt;"",21&lt;=N(設定!$E$25)),21,"")</f>
        <v/>
      </c>
      <c r="T25" s="20" t="n"/>
      <c r="U25" s="21" t="n"/>
      <c r="V25" s="19">
        <f>IF(AND(設定!$B$26&lt;&gt;"",21&lt;=N(設定!$E$26)),21,"")</f>
        <v/>
      </c>
      <c r="W25" s="20" t="n"/>
      <c r="X25" s="21" t="n"/>
    </row>
    <row r="26">
      <c r="A26" s="19">
        <f>IF(AND(設定!$B$19&lt;&gt;"",22&lt;=N(設定!$E$19)),22,"")</f>
        <v/>
      </c>
      <c r="B26" s="20" t="n"/>
      <c r="C26" s="21" t="n"/>
      <c r="D26" s="19">
        <f>IF(AND(設定!$B$20&lt;&gt;"",22&lt;=N(設定!$E$20)),22,"")</f>
        <v/>
      </c>
      <c r="E26" s="20" t="n"/>
      <c r="F26" s="21" t="n"/>
      <c r="G26" s="19">
        <f>IF(AND(設定!$B$21&lt;&gt;"",22&lt;=N(設定!$E$21)),22,"")</f>
        <v/>
      </c>
      <c r="H26" s="20" t="n"/>
      <c r="I26" s="21" t="n"/>
      <c r="J26" s="19">
        <f>IF(AND(設定!$B$22&lt;&gt;"",22&lt;=N(設定!$E$22)),22,"")</f>
        <v/>
      </c>
      <c r="K26" s="20" t="n"/>
      <c r="L26" s="21" t="n"/>
      <c r="M26" s="19">
        <f>IF(AND(設定!$B$23&lt;&gt;"",22&lt;=N(設定!$E$23)),22,"")</f>
        <v/>
      </c>
      <c r="N26" s="20" t="n"/>
      <c r="O26" s="21" t="n"/>
      <c r="P26" s="19">
        <f>IF(AND(設定!$B$24&lt;&gt;"",22&lt;=N(設定!$E$24)),22,"")</f>
        <v/>
      </c>
      <c r="Q26" s="20" t="n"/>
      <c r="R26" s="21" t="n"/>
      <c r="S26" s="19">
        <f>IF(AND(設定!$B$25&lt;&gt;"",22&lt;=N(設定!$E$25)),22,"")</f>
        <v/>
      </c>
      <c r="T26" s="20" t="n"/>
      <c r="U26" s="21" t="n"/>
      <c r="V26" s="19">
        <f>IF(AND(設定!$B$26&lt;&gt;"",22&lt;=N(設定!$E$26)),22,"")</f>
        <v/>
      </c>
      <c r="W26" s="20" t="n"/>
      <c r="X26" s="21" t="n"/>
    </row>
    <row r="27">
      <c r="A27" s="19">
        <f>IF(AND(設定!$B$19&lt;&gt;"",23&lt;=N(設定!$E$19)),23,"")</f>
        <v/>
      </c>
      <c r="B27" s="20" t="n"/>
      <c r="C27" s="21" t="n"/>
      <c r="D27" s="19">
        <f>IF(AND(設定!$B$20&lt;&gt;"",23&lt;=N(設定!$E$20)),23,"")</f>
        <v/>
      </c>
      <c r="E27" s="20" t="n"/>
      <c r="F27" s="21" t="n"/>
      <c r="G27" s="19">
        <f>IF(AND(設定!$B$21&lt;&gt;"",23&lt;=N(設定!$E$21)),23,"")</f>
        <v/>
      </c>
      <c r="H27" s="20" t="n"/>
      <c r="I27" s="21" t="n"/>
      <c r="J27" s="19">
        <f>IF(AND(設定!$B$22&lt;&gt;"",23&lt;=N(設定!$E$22)),23,"")</f>
        <v/>
      </c>
      <c r="K27" s="20" t="n"/>
      <c r="L27" s="21" t="n"/>
      <c r="M27" s="19">
        <f>IF(AND(設定!$B$23&lt;&gt;"",23&lt;=N(設定!$E$23)),23,"")</f>
        <v/>
      </c>
      <c r="N27" s="20" t="n"/>
      <c r="O27" s="21" t="n"/>
      <c r="P27" s="19">
        <f>IF(AND(設定!$B$24&lt;&gt;"",23&lt;=N(設定!$E$24)),23,"")</f>
        <v/>
      </c>
      <c r="Q27" s="20" t="n"/>
      <c r="R27" s="21" t="n"/>
      <c r="S27" s="19">
        <f>IF(AND(設定!$B$25&lt;&gt;"",23&lt;=N(設定!$E$25)),23,"")</f>
        <v/>
      </c>
      <c r="T27" s="20" t="n"/>
      <c r="U27" s="21" t="n"/>
      <c r="V27" s="19">
        <f>IF(AND(設定!$B$26&lt;&gt;"",23&lt;=N(設定!$E$26)),23,"")</f>
        <v/>
      </c>
      <c r="W27" s="20" t="n"/>
      <c r="X27" s="21" t="n"/>
    </row>
    <row r="28">
      <c r="A28" s="19">
        <f>IF(AND(設定!$B$19&lt;&gt;"",24&lt;=N(設定!$E$19)),24,"")</f>
        <v/>
      </c>
      <c r="B28" s="20" t="n"/>
      <c r="C28" s="21" t="n"/>
      <c r="D28" s="19">
        <f>IF(AND(設定!$B$20&lt;&gt;"",24&lt;=N(設定!$E$20)),24,"")</f>
        <v/>
      </c>
      <c r="E28" s="20" t="n"/>
      <c r="F28" s="21" t="n"/>
      <c r="G28" s="19">
        <f>IF(AND(設定!$B$21&lt;&gt;"",24&lt;=N(設定!$E$21)),24,"")</f>
        <v/>
      </c>
      <c r="H28" s="20" t="n"/>
      <c r="I28" s="21" t="n"/>
      <c r="J28" s="19">
        <f>IF(AND(設定!$B$22&lt;&gt;"",24&lt;=N(設定!$E$22)),24,"")</f>
        <v/>
      </c>
      <c r="K28" s="20" t="n"/>
      <c r="L28" s="21" t="n"/>
      <c r="M28" s="19">
        <f>IF(AND(設定!$B$23&lt;&gt;"",24&lt;=N(設定!$E$23)),24,"")</f>
        <v/>
      </c>
      <c r="N28" s="20" t="n"/>
      <c r="O28" s="21" t="n"/>
      <c r="P28" s="19">
        <f>IF(AND(設定!$B$24&lt;&gt;"",24&lt;=N(設定!$E$24)),24,"")</f>
        <v/>
      </c>
      <c r="Q28" s="20" t="n"/>
      <c r="R28" s="21" t="n"/>
      <c r="S28" s="19">
        <f>IF(AND(設定!$B$25&lt;&gt;"",24&lt;=N(設定!$E$25)),24,"")</f>
        <v/>
      </c>
      <c r="T28" s="20" t="n"/>
      <c r="U28" s="21" t="n"/>
      <c r="V28" s="19">
        <f>IF(AND(設定!$B$26&lt;&gt;"",24&lt;=N(設定!$E$26)),24,"")</f>
        <v/>
      </c>
      <c r="W28" s="20" t="n"/>
      <c r="X28" s="21" t="n"/>
    </row>
    <row r="29">
      <c r="A29" s="19">
        <f>IF(AND(設定!$B$19&lt;&gt;"",25&lt;=N(設定!$E$19)),25,"")</f>
        <v/>
      </c>
      <c r="B29" s="20" t="n"/>
      <c r="C29" s="21" t="n"/>
      <c r="D29" s="19">
        <f>IF(AND(設定!$B$20&lt;&gt;"",25&lt;=N(設定!$E$20)),25,"")</f>
        <v/>
      </c>
      <c r="E29" s="20" t="n"/>
      <c r="F29" s="21" t="n"/>
      <c r="G29" s="19">
        <f>IF(AND(設定!$B$21&lt;&gt;"",25&lt;=N(設定!$E$21)),25,"")</f>
        <v/>
      </c>
      <c r="H29" s="20" t="n"/>
      <c r="I29" s="21" t="n"/>
      <c r="J29" s="19">
        <f>IF(AND(設定!$B$22&lt;&gt;"",25&lt;=N(設定!$E$22)),25,"")</f>
        <v/>
      </c>
      <c r="K29" s="20" t="n"/>
      <c r="L29" s="21" t="n"/>
      <c r="M29" s="19">
        <f>IF(AND(設定!$B$23&lt;&gt;"",25&lt;=N(設定!$E$23)),25,"")</f>
        <v/>
      </c>
      <c r="N29" s="20" t="n"/>
      <c r="O29" s="21" t="n"/>
      <c r="P29" s="19">
        <f>IF(AND(設定!$B$24&lt;&gt;"",25&lt;=N(設定!$E$24)),25,"")</f>
        <v/>
      </c>
      <c r="Q29" s="20" t="n"/>
      <c r="R29" s="21" t="n"/>
      <c r="S29" s="19">
        <f>IF(AND(設定!$B$25&lt;&gt;"",25&lt;=N(設定!$E$25)),25,"")</f>
        <v/>
      </c>
      <c r="T29" s="20" t="n"/>
      <c r="U29" s="21" t="n"/>
      <c r="V29" s="19">
        <f>IF(AND(設定!$B$26&lt;&gt;"",25&lt;=N(設定!$E$26)),25,"")</f>
        <v/>
      </c>
      <c r="W29" s="20" t="n"/>
      <c r="X29" s="21" t="n"/>
    </row>
    <row r="30">
      <c r="A30" s="19">
        <f>IF(AND(設定!$B$19&lt;&gt;"",26&lt;=N(設定!$E$19)),26,"")</f>
        <v/>
      </c>
      <c r="B30" s="20" t="n"/>
      <c r="C30" s="21" t="n"/>
      <c r="D30" s="19">
        <f>IF(AND(設定!$B$20&lt;&gt;"",26&lt;=N(設定!$E$20)),26,"")</f>
        <v/>
      </c>
      <c r="E30" s="20" t="n"/>
      <c r="F30" s="21" t="n"/>
      <c r="G30" s="19">
        <f>IF(AND(設定!$B$21&lt;&gt;"",26&lt;=N(設定!$E$21)),26,"")</f>
        <v/>
      </c>
      <c r="H30" s="20" t="n"/>
      <c r="I30" s="21" t="n"/>
      <c r="J30" s="19">
        <f>IF(AND(設定!$B$22&lt;&gt;"",26&lt;=N(設定!$E$22)),26,"")</f>
        <v/>
      </c>
      <c r="K30" s="20" t="n"/>
      <c r="L30" s="21" t="n"/>
      <c r="M30" s="19">
        <f>IF(AND(設定!$B$23&lt;&gt;"",26&lt;=N(設定!$E$23)),26,"")</f>
        <v/>
      </c>
      <c r="N30" s="20" t="n"/>
      <c r="O30" s="21" t="n"/>
      <c r="P30" s="19">
        <f>IF(AND(設定!$B$24&lt;&gt;"",26&lt;=N(設定!$E$24)),26,"")</f>
        <v/>
      </c>
      <c r="Q30" s="20" t="n"/>
      <c r="R30" s="21" t="n"/>
      <c r="S30" s="19">
        <f>IF(AND(設定!$B$25&lt;&gt;"",26&lt;=N(設定!$E$25)),26,"")</f>
        <v/>
      </c>
      <c r="T30" s="20" t="n"/>
      <c r="U30" s="21" t="n"/>
      <c r="V30" s="19">
        <f>IF(AND(設定!$B$26&lt;&gt;"",26&lt;=N(設定!$E$26)),26,"")</f>
        <v/>
      </c>
      <c r="W30" s="20" t="n"/>
      <c r="X30" s="21" t="n"/>
    </row>
    <row r="31">
      <c r="A31" s="19">
        <f>IF(AND(設定!$B$19&lt;&gt;"",27&lt;=N(設定!$E$19)),27,"")</f>
        <v/>
      </c>
      <c r="B31" s="20" t="n"/>
      <c r="C31" s="21" t="n"/>
      <c r="D31" s="19">
        <f>IF(AND(設定!$B$20&lt;&gt;"",27&lt;=N(設定!$E$20)),27,"")</f>
        <v/>
      </c>
      <c r="E31" s="20" t="n"/>
      <c r="F31" s="21" t="n"/>
      <c r="G31" s="19">
        <f>IF(AND(設定!$B$21&lt;&gt;"",27&lt;=N(設定!$E$21)),27,"")</f>
        <v/>
      </c>
      <c r="H31" s="20" t="n"/>
      <c r="I31" s="21" t="n"/>
      <c r="J31" s="19">
        <f>IF(AND(設定!$B$22&lt;&gt;"",27&lt;=N(設定!$E$22)),27,"")</f>
        <v/>
      </c>
      <c r="K31" s="20" t="n"/>
      <c r="L31" s="21" t="n"/>
      <c r="M31" s="19">
        <f>IF(AND(設定!$B$23&lt;&gt;"",27&lt;=N(設定!$E$23)),27,"")</f>
        <v/>
      </c>
      <c r="N31" s="20" t="n"/>
      <c r="O31" s="21" t="n"/>
      <c r="P31" s="19">
        <f>IF(AND(設定!$B$24&lt;&gt;"",27&lt;=N(設定!$E$24)),27,"")</f>
        <v/>
      </c>
      <c r="Q31" s="20" t="n"/>
      <c r="R31" s="21" t="n"/>
      <c r="S31" s="19">
        <f>IF(AND(設定!$B$25&lt;&gt;"",27&lt;=N(設定!$E$25)),27,"")</f>
        <v/>
      </c>
      <c r="T31" s="20" t="n"/>
      <c r="U31" s="21" t="n"/>
      <c r="V31" s="19">
        <f>IF(AND(設定!$B$26&lt;&gt;"",27&lt;=N(設定!$E$26)),27,"")</f>
        <v/>
      </c>
      <c r="W31" s="20" t="n"/>
      <c r="X31" s="21" t="n"/>
    </row>
    <row r="32">
      <c r="A32" s="19">
        <f>IF(AND(設定!$B$19&lt;&gt;"",28&lt;=N(設定!$E$19)),28,"")</f>
        <v/>
      </c>
      <c r="B32" s="20" t="n"/>
      <c r="C32" s="21" t="n"/>
      <c r="D32" s="19">
        <f>IF(AND(設定!$B$20&lt;&gt;"",28&lt;=N(設定!$E$20)),28,"")</f>
        <v/>
      </c>
      <c r="E32" s="20" t="n"/>
      <c r="F32" s="21" t="n"/>
      <c r="G32" s="19">
        <f>IF(AND(設定!$B$21&lt;&gt;"",28&lt;=N(設定!$E$21)),28,"")</f>
        <v/>
      </c>
      <c r="H32" s="20" t="n"/>
      <c r="I32" s="21" t="n"/>
      <c r="J32" s="19">
        <f>IF(AND(設定!$B$22&lt;&gt;"",28&lt;=N(設定!$E$22)),28,"")</f>
        <v/>
      </c>
      <c r="K32" s="20" t="n"/>
      <c r="L32" s="21" t="n"/>
      <c r="M32" s="19">
        <f>IF(AND(設定!$B$23&lt;&gt;"",28&lt;=N(設定!$E$23)),28,"")</f>
        <v/>
      </c>
      <c r="N32" s="20" t="n"/>
      <c r="O32" s="21" t="n"/>
      <c r="P32" s="19">
        <f>IF(AND(設定!$B$24&lt;&gt;"",28&lt;=N(設定!$E$24)),28,"")</f>
        <v/>
      </c>
      <c r="Q32" s="20" t="n"/>
      <c r="R32" s="21" t="n"/>
      <c r="S32" s="19">
        <f>IF(AND(設定!$B$25&lt;&gt;"",28&lt;=N(設定!$E$25)),28,"")</f>
        <v/>
      </c>
      <c r="T32" s="20" t="n"/>
      <c r="U32" s="21" t="n"/>
      <c r="V32" s="19">
        <f>IF(AND(設定!$B$26&lt;&gt;"",28&lt;=N(設定!$E$26)),28,"")</f>
        <v/>
      </c>
      <c r="W32" s="20" t="n"/>
      <c r="X32" s="21" t="n"/>
    </row>
    <row r="33">
      <c r="A33" s="19">
        <f>IF(AND(設定!$B$19&lt;&gt;"",29&lt;=N(設定!$E$19)),29,"")</f>
        <v/>
      </c>
      <c r="B33" s="20" t="n"/>
      <c r="C33" s="21" t="n"/>
      <c r="D33" s="19">
        <f>IF(AND(設定!$B$20&lt;&gt;"",29&lt;=N(設定!$E$20)),29,"")</f>
        <v/>
      </c>
      <c r="E33" s="20" t="n"/>
      <c r="F33" s="21" t="n"/>
      <c r="G33" s="19">
        <f>IF(AND(設定!$B$21&lt;&gt;"",29&lt;=N(設定!$E$21)),29,"")</f>
        <v/>
      </c>
      <c r="H33" s="20" t="n"/>
      <c r="I33" s="21" t="n"/>
      <c r="J33" s="19">
        <f>IF(AND(設定!$B$22&lt;&gt;"",29&lt;=N(設定!$E$22)),29,"")</f>
        <v/>
      </c>
      <c r="K33" s="20" t="n"/>
      <c r="L33" s="21" t="n"/>
      <c r="M33" s="19">
        <f>IF(AND(設定!$B$23&lt;&gt;"",29&lt;=N(設定!$E$23)),29,"")</f>
        <v/>
      </c>
      <c r="N33" s="20" t="n"/>
      <c r="O33" s="21" t="n"/>
      <c r="P33" s="19">
        <f>IF(AND(設定!$B$24&lt;&gt;"",29&lt;=N(設定!$E$24)),29,"")</f>
        <v/>
      </c>
      <c r="Q33" s="20" t="n"/>
      <c r="R33" s="21" t="n"/>
      <c r="S33" s="19">
        <f>IF(AND(設定!$B$25&lt;&gt;"",29&lt;=N(設定!$E$25)),29,"")</f>
        <v/>
      </c>
      <c r="T33" s="20" t="n"/>
      <c r="U33" s="21" t="n"/>
      <c r="V33" s="19">
        <f>IF(AND(設定!$B$26&lt;&gt;"",29&lt;=N(設定!$E$26)),29,"")</f>
        <v/>
      </c>
      <c r="W33" s="20" t="n"/>
      <c r="X33" s="21" t="n"/>
    </row>
    <row r="34">
      <c r="A34" s="19">
        <f>IF(AND(設定!$B$19&lt;&gt;"",30&lt;=N(設定!$E$19)),30,"")</f>
        <v/>
      </c>
      <c r="B34" s="20" t="n"/>
      <c r="C34" s="21" t="n"/>
      <c r="D34" s="19">
        <f>IF(AND(設定!$B$20&lt;&gt;"",30&lt;=N(設定!$E$20)),30,"")</f>
        <v/>
      </c>
      <c r="E34" s="20" t="n"/>
      <c r="F34" s="21" t="n"/>
      <c r="G34" s="19">
        <f>IF(AND(設定!$B$21&lt;&gt;"",30&lt;=N(設定!$E$21)),30,"")</f>
        <v/>
      </c>
      <c r="H34" s="20" t="n"/>
      <c r="I34" s="21" t="n"/>
      <c r="J34" s="19">
        <f>IF(AND(設定!$B$22&lt;&gt;"",30&lt;=N(設定!$E$22)),30,"")</f>
        <v/>
      </c>
      <c r="K34" s="20" t="n"/>
      <c r="L34" s="21" t="n"/>
      <c r="M34" s="19">
        <f>IF(AND(設定!$B$23&lt;&gt;"",30&lt;=N(設定!$E$23)),30,"")</f>
        <v/>
      </c>
      <c r="N34" s="20" t="n"/>
      <c r="O34" s="21" t="n"/>
      <c r="P34" s="19">
        <f>IF(AND(設定!$B$24&lt;&gt;"",30&lt;=N(設定!$E$24)),30,"")</f>
        <v/>
      </c>
      <c r="Q34" s="20" t="n"/>
      <c r="R34" s="21" t="n"/>
      <c r="S34" s="19">
        <f>IF(AND(設定!$B$25&lt;&gt;"",30&lt;=N(設定!$E$25)),30,"")</f>
        <v/>
      </c>
      <c r="T34" s="20" t="n"/>
      <c r="U34" s="21" t="n"/>
      <c r="V34" s="19">
        <f>IF(AND(設定!$B$26&lt;&gt;"",30&lt;=N(設定!$E$26)),30,"")</f>
        <v/>
      </c>
      <c r="W34" s="20" t="n"/>
      <c r="X34" s="21" t="n"/>
    </row>
    <row r="35">
      <c r="A35" s="19">
        <f>IF(AND(設定!$B$19&lt;&gt;"",31&lt;=N(設定!$E$19)),31,"")</f>
        <v/>
      </c>
      <c r="B35" s="20" t="n"/>
      <c r="C35" s="21" t="n"/>
      <c r="D35" s="19">
        <f>IF(AND(設定!$B$20&lt;&gt;"",31&lt;=N(設定!$E$20)),31,"")</f>
        <v/>
      </c>
      <c r="E35" s="20" t="n"/>
      <c r="F35" s="21" t="n"/>
      <c r="G35" s="19">
        <f>IF(AND(設定!$B$21&lt;&gt;"",31&lt;=N(設定!$E$21)),31,"")</f>
        <v/>
      </c>
      <c r="H35" s="20" t="n"/>
      <c r="I35" s="21" t="n"/>
      <c r="J35" s="19">
        <f>IF(AND(設定!$B$22&lt;&gt;"",31&lt;=N(設定!$E$22)),31,"")</f>
        <v/>
      </c>
      <c r="K35" s="20" t="n"/>
      <c r="L35" s="21" t="n"/>
      <c r="M35" s="19">
        <f>IF(AND(設定!$B$23&lt;&gt;"",31&lt;=N(設定!$E$23)),31,"")</f>
        <v/>
      </c>
      <c r="N35" s="20" t="n"/>
      <c r="O35" s="21" t="n"/>
      <c r="P35" s="19">
        <f>IF(AND(設定!$B$24&lt;&gt;"",31&lt;=N(設定!$E$24)),31,"")</f>
        <v/>
      </c>
      <c r="Q35" s="20" t="n"/>
      <c r="R35" s="21" t="n"/>
      <c r="S35" s="19">
        <f>IF(AND(設定!$B$25&lt;&gt;"",31&lt;=N(設定!$E$25)),31,"")</f>
        <v/>
      </c>
      <c r="T35" s="20" t="n"/>
      <c r="U35" s="21" t="n"/>
      <c r="V35" s="19">
        <f>IF(AND(設定!$B$26&lt;&gt;"",31&lt;=N(設定!$E$26)),31,"")</f>
        <v/>
      </c>
      <c r="W35" s="20" t="n"/>
      <c r="X35" s="21" t="n"/>
    </row>
    <row r="36">
      <c r="A36" s="19">
        <f>IF(AND(設定!$B$19&lt;&gt;"",32&lt;=N(設定!$E$19)),32,"")</f>
        <v/>
      </c>
      <c r="B36" s="20" t="n"/>
      <c r="C36" s="21" t="n"/>
      <c r="D36" s="19">
        <f>IF(AND(設定!$B$20&lt;&gt;"",32&lt;=N(設定!$E$20)),32,"")</f>
        <v/>
      </c>
      <c r="E36" s="20" t="n"/>
      <c r="F36" s="21" t="n"/>
      <c r="G36" s="19">
        <f>IF(AND(設定!$B$21&lt;&gt;"",32&lt;=N(設定!$E$21)),32,"")</f>
        <v/>
      </c>
      <c r="H36" s="20" t="n"/>
      <c r="I36" s="21" t="n"/>
      <c r="J36" s="19">
        <f>IF(AND(設定!$B$22&lt;&gt;"",32&lt;=N(設定!$E$22)),32,"")</f>
        <v/>
      </c>
      <c r="K36" s="20" t="n"/>
      <c r="L36" s="21" t="n"/>
      <c r="M36" s="19">
        <f>IF(AND(設定!$B$23&lt;&gt;"",32&lt;=N(設定!$E$23)),32,"")</f>
        <v/>
      </c>
      <c r="N36" s="20" t="n"/>
      <c r="O36" s="21" t="n"/>
      <c r="P36" s="19">
        <f>IF(AND(設定!$B$24&lt;&gt;"",32&lt;=N(設定!$E$24)),32,"")</f>
        <v/>
      </c>
      <c r="Q36" s="20" t="n"/>
      <c r="R36" s="21" t="n"/>
      <c r="S36" s="19">
        <f>IF(AND(設定!$B$25&lt;&gt;"",32&lt;=N(設定!$E$25)),32,"")</f>
        <v/>
      </c>
      <c r="T36" s="20" t="n"/>
      <c r="U36" s="21" t="n"/>
      <c r="V36" s="19">
        <f>IF(AND(設定!$B$26&lt;&gt;"",32&lt;=N(設定!$E$26)),32,"")</f>
        <v/>
      </c>
      <c r="W36" s="20" t="n"/>
      <c r="X36" s="21" t="n"/>
    </row>
    <row r="37">
      <c r="A37" s="19">
        <f>IF(AND(設定!$B$19&lt;&gt;"",33&lt;=N(設定!$E$19)),33,"")</f>
        <v/>
      </c>
      <c r="B37" s="20" t="n"/>
      <c r="C37" s="21" t="n"/>
      <c r="D37" s="19">
        <f>IF(AND(設定!$B$20&lt;&gt;"",33&lt;=N(設定!$E$20)),33,"")</f>
        <v/>
      </c>
      <c r="E37" s="20" t="n"/>
      <c r="F37" s="21" t="n"/>
      <c r="G37" s="19">
        <f>IF(AND(設定!$B$21&lt;&gt;"",33&lt;=N(設定!$E$21)),33,"")</f>
        <v/>
      </c>
      <c r="H37" s="20" t="n"/>
      <c r="I37" s="21" t="n"/>
      <c r="J37" s="19">
        <f>IF(AND(設定!$B$22&lt;&gt;"",33&lt;=N(設定!$E$22)),33,"")</f>
        <v/>
      </c>
      <c r="K37" s="20" t="n"/>
      <c r="L37" s="21" t="n"/>
      <c r="M37" s="19">
        <f>IF(AND(設定!$B$23&lt;&gt;"",33&lt;=N(設定!$E$23)),33,"")</f>
        <v/>
      </c>
      <c r="N37" s="20" t="n"/>
      <c r="O37" s="21" t="n"/>
      <c r="P37" s="19">
        <f>IF(AND(設定!$B$24&lt;&gt;"",33&lt;=N(設定!$E$24)),33,"")</f>
        <v/>
      </c>
      <c r="Q37" s="20" t="n"/>
      <c r="R37" s="21" t="n"/>
      <c r="S37" s="19">
        <f>IF(AND(設定!$B$25&lt;&gt;"",33&lt;=N(設定!$E$25)),33,"")</f>
        <v/>
      </c>
      <c r="T37" s="20" t="n"/>
      <c r="U37" s="21" t="n"/>
      <c r="V37" s="19">
        <f>IF(AND(設定!$B$26&lt;&gt;"",33&lt;=N(設定!$E$26)),33,"")</f>
        <v/>
      </c>
      <c r="W37" s="20" t="n"/>
      <c r="X37" s="21" t="n"/>
    </row>
    <row r="38">
      <c r="A38" s="19">
        <f>IF(AND(設定!$B$19&lt;&gt;"",34&lt;=N(設定!$E$19)),34,"")</f>
        <v/>
      </c>
      <c r="B38" s="20" t="n"/>
      <c r="C38" s="21" t="n"/>
      <c r="D38" s="19">
        <f>IF(AND(設定!$B$20&lt;&gt;"",34&lt;=N(設定!$E$20)),34,"")</f>
        <v/>
      </c>
      <c r="E38" s="20" t="n"/>
      <c r="F38" s="21" t="n"/>
      <c r="G38" s="19">
        <f>IF(AND(設定!$B$21&lt;&gt;"",34&lt;=N(設定!$E$21)),34,"")</f>
        <v/>
      </c>
      <c r="H38" s="20" t="n"/>
      <c r="I38" s="21" t="n"/>
      <c r="J38" s="19">
        <f>IF(AND(設定!$B$22&lt;&gt;"",34&lt;=N(設定!$E$22)),34,"")</f>
        <v/>
      </c>
      <c r="K38" s="20" t="n"/>
      <c r="L38" s="21" t="n"/>
      <c r="M38" s="19">
        <f>IF(AND(設定!$B$23&lt;&gt;"",34&lt;=N(設定!$E$23)),34,"")</f>
        <v/>
      </c>
      <c r="N38" s="20" t="n"/>
      <c r="O38" s="21" t="n"/>
      <c r="P38" s="19">
        <f>IF(AND(設定!$B$24&lt;&gt;"",34&lt;=N(設定!$E$24)),34,"")</f>
        <v/>
      </c>
      <c r="Q38" s="20" t="n"/>
      <c r="R38" s="21" t="n"/>
      <c r="S38" s="19">
        <f>IF(AND(設定!$B$25&lt;&gt;"",34&lt;=N(設定!$E$25)),34,"")</f>
        <v/>
      </c>
      <c r="T38" s="20" t="n"/>
      <c r="U38" s="21" t="n"/>
      <c r="V38" s="19">
        <f>IF(AND(設定!$B$26&lt;&gt;"",34&lt;=N(設定!$E$26)),34,"")</f>
        <v/>
      </c>
      <c r="W38" s="20" t="n"/>
      <c r="X38" s="21" t="n"/>
    </row>
    <row r="39">
      <c r="A39" s="19">
        <f>IF(AND(設定!$B$19&lt;&gt;"",35&lt;=N(設定!$E$19)),35,"")</f>
        <v/>
      </c>
      <c r="B39" s="20" t="n"/>
      <c r="C39" s="21" t="n"/>
      <c r="D39" s="19">
        <f>IF(AND(設定!$B$20&lt;&gt;"",35&lt;=N(設定!$E$20)),35,"")</f>
        <v/>
      </c>
      <c r="E39" s="20" t="n"/>
      <c r="F39" s="21" t="n"/>
      <c r="G39" s="19">
        <f>IF(AND(設定!$B$21&lt;&gt;"",35&lt;=N(設定!$E$21)),35,"")</f>
        <v/>
      </c>
      <c r="H39" s="20" t="n"/>
      <c r="I39" s="21" t="n"/>
      <c r="J39" s="19">
        <f>IF(AND(設定!$B$22&lt;&gt;"",35&lt;=N(設定!$E$22)),35,"")</f>
        <v/>
      </c>
      <c r="K39" s="20" t="n"/>
      <c r="L39" s="21" t="n"/>
      <c r="M39" s="19">
        <f>IF(AND(設定!$B$23&lt;&gt;"",35&lt;=N(設定!$E$23)),35,"")</f>
        <v/>
      </c>
      <c r="N39" s="20" t="n"/>
      <c r="O39" s="21" t="n"/>
      <c r="P39" s="19">
        <f>IF(AND(設定!$B$24&lt;&gt;"",35&lt;=N(設定!$E$24)),35,"")</f>
        <v/>
      </c>
      <c r="Q39" s="20" t="n"/>
      <c r="R39" s="21" t="n"/>
      <c r="S39" s="19">
        <f>IF(AND(設定!$B$25&lt;&gt;"",35&lt;=N(設定!$E$25)),35,"")</f>
        <v/>
      </c>
      <c r="T39" s="20" t="n"/>
      <c r="U39" s="21" t="n"/>
      <c r="V39" s="19">
        <f>IF(AND(設定!$B$26&lt;&gt;"",35&lt;=N(設定!$E$26)),35,"")</f>
        <v/>
      </c>
      <c r="W39" s="20" t="n"/>
      <c r="X39" s="21" t="n"/>
    </row>
    <row r="40">
      <c r="A40" s="19">
        <f>IF(AND(設定!$B$19&lt;&gt;"",36&lt;=N(設定!$E$19)),36,"")</f>
        <v/>
      </c>
      <c r="B40" s="20" t="n"/>
      <c r="C40" s="21" t="n"/>
      <c r="D40" s="19">
        <f>IF(AND(設定!$B$20&lt;&gt;"",36&lt;=N(設定!$E$20)),36,"")</f>
        <v/>
      </c>
      <c r="E40" s="20" t="n"/>
      <c r="F40" s="21" t="n"/>
      <c r="G40" s="19">
        <f>IF(AND(設定!$B$21&lt;&gt;"",36&lt;=N(設定!$E$21)),36,"")</f>
        <v/>
      </c>
      <c r="H40" s="20" t="n"/>
      <c r="I40" s="21" t="n"/>
      <c r="J40" s="19">
        <f>IF(AND(設定!$B$22&lt;&gt;"",36&lt;=N(設定!$E$22)),36,"")</f>
        <v/>
      </c>
      <c r="K40" s="20" t="n"/>
      <c r="L40" s="21" t="n"/>
      <c r="M40" s="19">
        <f>IF(AND(設定!$B$23&lt;&gt;"",36&lt;=N(設定!$E$23)),36,"")</f>
        <v/>
      </c>
      <c r="N40" s="20" t="n"/>
      <c r="O40" s="21" t="n"/>
      <c r="P40" s="19">
        <f>IF(AND(設定!$B$24&lt;&gt;"",36&lt;=N(設定!$E$24)),36,"")</f>
        <v/>
      </c>
      <c r="Q40" s="20" t="n"/>
      <c r="R40" s="21" t="n"/>
      <c r="S40" s="19">
        <f>IF(AND(設定!$B$25&lt;&gt;"",36&lt;=N(設定!$E$25)),36,"")</f>
        <v/>
      </c>
      <c r="T40" s="20" t="n"/>
      <c r="U40" s="21" t="n"/>
      <c r="V40" s="19">
        <f>IF(AND(設定!$B$26&lt;&gt;"",36&lt;=N(設定!$E$26)),36,"")</f>
        <v/>
      </c>
      <c r="W40" s="20" t="n"/>
      <c r="X40" s="21" t="n"/>
    </row>
    <row r="41">
      <c r="A41" s="19">
        <f>IF(AND(設定!$B$19&lt;&gt;"",37&lt;=N(設定!$E$19)),37,"")</f>
        <v/>
      </c>
      <c r="B41" s="20" t="n"/>
      <c r="C41" s="21" t="n"/>
      <c r="D41" s="19">
        <f>IF(AND(設定!$B$20&lt;&gt;"",37&lt;=N(設定!$E$20)),37,"")</f>
        <v/>
      </c>
      <c r="E41" s="20" t="n"/>
      <c r="F41" s="21" t="n"/>
      <c r="G41" s="19">
        <f>IF(AND(設定!$B$21&lt;&gt;"",37&lt;=N(設定!$E$21)),37,"")</f>
        <v/>
      </c>
      <c r="H41" s="20" t="n"/>
      <c r="I41" s="21" t="n"/>
      <c r="J41" s="19">
        <f>IF(AND(設定!$B$22&lt;&gt;"",37&lt;=N(設定!$E$22)),37,"")</f>
        <v/>
      </c>
      <c r="K41" s="20" t="n"/>
      <c r="L41" s="21" t="n"/>
      <c r="M41" s="19">
        <f>IF(AND(設定!$B$23&lt;&gt;"",37&lt;=N(設定!$E$23)),37,"")</f>
        <v/>
      </c>
      <c r="N41" s="20" t="n"/>
      <c r="O41" s="21" t="n"/>
      <c r="P41" s="19">
        <f>IF(AND(設定!$B$24&lt;&gt;"",37&lt;=N(設定!$E$24)),37,"")</f>
        <v/>
      </c>
      <c r="Q41" s="20" t="n"/>
      <c r="R41" s="21" t="n"/>
      <c r="S41" s="19">
        <f>IF(AND(設定!$B$25&lt;&gt;"",37&lt;=N(設定!$E$25)),37,"")</f>
        <v/>
      </c>
      <c r="T41" s="20" t="n"/>
      <c r="U41" s="21" t="n"/>
      <c r="V41" s="19">
        <f>IF(AND(設定!$B$26&lt;&gt;"",37&lt;=N(設定!$E$26)),37,"")</f>
        <v/>
      </c>
      <c r="W41" s="20" t="n"/>
      <c r="X41" s="21" t="n"/>
    </row>
    <row r="42">
      <c r="A42" s="19">
        <f>IF(AND(設定!$B$19&lt;&gt;"",38&lt;=N(設定!$E$19)),38,"")</f>
        <v/>
      </c>
      <c r="B42" s="20" t="n"/>
      <c r="C42" s="21" t="n"/>
      <c r="D42" s="19">
        <f>IF(AND(設定!$B$20&lt;&gt;"",38&lt;=N(設定!$E$20)),38,"")</f>
        <v/>
      </c>
      <c r="E42" s="20" t="n"/>
      <c r="F42" s="21" t="n"/>
      <c r="G42" s="19">
        <f>IF(AND(設定!$B$21&lt;&gt;"",38&lt;=N(設定!$E$21)),38,"")</f>
        <v/>
      </c>
      <c r="H42" s="20" t="n"/>
      <c r="I42" s="21" t="n"/>
      <c r="J42" s="19">
        <f>IF(AND(設定!$B$22&lt;&gt;"",38&lt;=N(設定!$E$22)),38,"")</f>
        <v/>
      </c>
      <c r="K42" s="20" t="n"/>
      <c r="L42" s="21" t="n"/>
      <c r="M42" s="19">
        <f>IF(AND(設定!$B$23&lt;&gt;"",38&lt;=N(設定!$E$23)),38,"")</f>
        <v/>
      </c>
      <c r="N42" s="20" t="n"/>
      <c r="O42" s="21" t="n"/>
      <c r="P42" s="19">
        <f>IF(AND(設定!$B$24&lt;&gt;"",38&lt;=N(設定!$E$24)),38,"")</f>
        <v/>
      </c>
      <c r="Q42" s="20" t="n"/>
      <c r="R42" s="21" t="n"/>
      <c r="S42" s="19">
        <f>IF(AND(設定!$B$25&lt;&gt;"",38&lt;=N(設定!$E$25)),38,"")</f>
        <v/>
      </c>
      <c r="T42" s="20" t="n"/>
      <c r="U42" s="21" t="n"/>
      <c r="V42" s="19">
        <f>IF(AND(設定!$B$26&lt;&gt;"",38&lt;=N(設定!$E$26)),38,"")</f>
        <v/>
      </c>
      <c r="W42" s="20" t="n"/>
      <c r="X42" s="21" t="n"/>
    </row>
    <row r="43">
      <c r="A43" s="19">
        <f>IF(AND(設定!$B$19&lt;&gt;"",39&lt;=N(設定!$E$19)),39,"")</f>
        <v/>
      </c>
      <c r="B43" s="20" t="n"/>
      <c r="C43" s="21" t="n"/>
      <c r="D43" s="19">
        <f>IF(AND(設定!$B$20&lt;&gt;"",39&lt;=N(設定!$E$20)),39,"")</f>
        <v/>
      </c>
      <c r="E43" s="20" t="n"/>
      <c r="F43" s="21" t="n"/>
      <c r="G43" s="19">
        <f>IF(AND(設定!$B$21&lt;&gt;"",39&lt;=N(設定!$E$21)),39,"")</f>
        <v/>
      </c>
      <c r="H43" s="20" t="n"/>
      <c r="I43" s="21" t="n"/>
      <c r="J43" s="19">
        <f>IF(AND(設定!$B$22&lt;&gt;"",39&lt;=N(設定!$E$22)),39,"")</f>
        <v/>
      </c>
      <c r="K43" s="20" t="n"/>
      <c r="L43" s="21" t="n"/>
      <c r="M43" s="19">
        <f>IF(AND(設定!$B$23&lt;&gt;"",39&lt;=N(設定!$E$23)),39,"")</f>
        <v/>
      </c>
      <c r="N43" s="20" t="n"/>
      <c r="O43" s="21" t="n"/>
      <c r="P43" s="19">
        <f>IF(AND(設定!$B$24&lt;&gt;"",39&lt;=N(設定!$E$24)),39,"")</f>
        <v/>
      </c>
      <c r="Q43" s="20" t="n"/>
      <c r="R43" s="21" t="n"/>
      <c r="S43" s="19">
        <f>IF(AND(設定!$B$25&lt;&gt;"",39&lt;=N(設定!$E$25)),39,"")</f>
        <v/>
      </c>
      <c r="T43" s="20" t="n"/>
      <c r="U43" s="21" t="n"/>
      <c r="V43" s="19">
        <f>IF(AND(設定!$B$26&lt;&gt;"",39&lt;=N(設定!$E$26)),39,"")</f>
        <v/>
      </c>
      <c r="W43" s="20" t="n"/>
      <c r="X43" s="21" t="n"/>
    </row>
    <row r="44">
      <c r="A44" s="19">
        <f>IF(AND(設定!$B$19&lt;&gt;"",40&lt;=N(設定!$E$19)),40,"")</f>
        <v/>
      </c>
      <c r="B44" s="20" t="n"/>
      <c r="C44" s="21" t="n"/>
      <c r="D44" s="19">
        <f>IF(AND(設定!$B$20&lt;&gt;"",40&lt;=N(設定!$E$20)),40,"")</f>
        <v/>
      </c>
      <c r="E44" s="20" t="n"/>
      <c r="F44" s="21" t="n"/>
      <c r="G44" s="19">
        <f>IF(AND(設定!$B$21&lt;&gt;"",40&lt;=N(設定!$E$21)),40,"")</f>
        <v/>
      </c>
      <c r="H44" s="20" t="n"/>
      <c r="I44" s="21" t="n"/>
      <c r="J44" s="19">
        <f>IF(AND(設定!$B$22&lt;&gt;"",40&lt;=N(設定!$E$22)),40,"")</f>
        <v/>
      </c>
      <c r="K44" s="20" t="n"/>
      <c r="L44" s="21" t="n"/>
      <c r="M44" s="19">
        <f>IF(AND(設定!$B$23&lt;&gt;"",40&lt;=N(設定!$E$23)),40,"")</f>
        <v/>
      </c>
      <c r="N44" s="20" t="n"/>
      <c r="O44" s="21" t="n"/>
      <c r="P44" s="19">
        <f>IF(AND(設定!$B$24&lt;&gt;"",40&lt;=N(設定!$E$24)),40,"")</f>
        <v/>
      </c>
      <c r="Q44" s="20" t="n"/>
      <c r="R44" s="21" t="n"/>
      <c r="S44" s="19">
        <f>IF(AND(設定!$B$25&lt;&gt;"",40&lt;=N(設定!$E$25)),40,"")</f>
        <v/>
      </c>
      <c r="T44" s="20" t="n"/>
      <c r="U44" s="21" t="n"/>
      <c r="V44" s="19">
        <f>IF(AND(設定!$B$26&lt;&gt;"",40&lt;=N(設定!$E$26)),40,"")</f>
        <v/>
      </c>
      <c r="W44" s="20" t="n"/>
      <c r="X44" s="21" t="n"/>
    </row>
    <row r="45">
      <c r="A45" s="19">
        <f>IF(AND(設定!$B$19&lt;&gt;"",41&lt;=N(設定!$E$19)),41,"")</f>
        <v/>
      </c>
      <c r="B45" s="20" t="n"/>
      <c r="C45" s="21" t="n"/>
      <c r="D45" s="19">
        <f>IF(AND(設定!$B$20&lt;&gt;"",41&lt;=N(設定!$E$20)),41,"")</f>
        <v/>
      </c>
      <c r="E45" s="20" t="n"/>
      <c r="F45" s="21" t="n"/>
      <c r="G45" s="19">
        <f>IF(AND(設定!$B$21&lt;&gt;"",41&lt;=N(設定!$E$21)),41,"")</f>
        <v/>
      </c>
      <c r="H45" s="20" t="n"/>
      <c r="I45" s="21" t="n"/>
      <c r="J45" s="19">
        <f>IF(AND(設定!$B$22&lt;&gt;"",41&lt;=N(設定!$E$22)),41,"")</f>
        <v/>
      </c>
      <c r="K45" s="20" t="n"/>
      <c r="L45" s="21" t="n"/>
      <c r="M45" s="19">
        <f>IF(AND(設定!$B$23&lt;&gt;"",41&lt;=N(設定!$E$23)),41,"")</f>
        <v/>
      </c>
      <c r="N45" s="20" t="n"/>
      <c r="O45" s="21" t="n"/>
      <c r="P45" s="19">
        <f>IF(AND(設定!$B$24&lt;&gt;"",41&lt;=N(設定!$E$24)),41,"")</f>
        <v/>
      </c>
      <c r="Q45" s="20" t="n"/>
      <c r="R45" s="21" t="n"/>
      <c r="S45" s="19">
        <f>IF(AND(設定!$B$25&lt;&gt;"",41&lt;=N(設定!$E$25)),41,"")</f>
        <v/>
      </c>
      <c r="T45" s="20" t="n"/>
      <c r="U45" s="21" t="n"/>
      <c r="V45" s="19">
        <f>IF(AND(設定!$B$26&lt;&gt;"",41&lt;=N(設定!$E$26)),41,"")</f>
        <v/>
      </c>
      <c r="W45" s="20" t="n"/>
      <c r="X45" s="21" t="n"/>
    </row>
    <row r="46">
      <c r="A46" s="19">
        <f>IF(AND(設定!$B$19&lt;&gt;"",42&lt;=N(設定!$E$19)),42,"")</f>
        <v/>
      </c>
      <c r="B46" s="20" t="n"/>
      <c r="C46" s="21" t="n"/>
      <c r="D46" s="19">
        <f>IF(AND(設定!$B$20&lt;&gt;"",42&lt;=N(設定!$E$20)),42,"")</f>
        <v/>
      </c>
      <c r="E46" s="20" t="n"/>
      <c r="F46" s="21" t="n"/>
      <c r="G46" s="19">
        <f>IF(AND(設定!$B$21&lt;&gt;"",42&lt;=N(設定!$E$21)),42,"")</f>
        <v/>
      </c>
      <c r="H46" s="20" t="n"/>
      <c r="I46" s="21" t="n"/>
      <c r="J46" s="19">
        <f>IF(AND(設定!$B$22&lt;&gt;"",42&lt;=N(設定!$E$22)),42,"")</f>
        <v/>
      </c>
      <c r="K46" s="20" t="n"/>
      <c r="L46" s="21" t="n"/>
      <c r="M46" s="19">
        <f>IF(AND(設定!$B$23&lt;&gt;"",42&lt;=N(設定!$E$23)),42,"")</f>
        <v/>
      </c>
      <c r="N46" s="20" t="n"/>
      <c r="O46" s="21" t="n"/>
      <c r="P46" s="19">
        <f>IF(AND(設定!$B$24&lt;&gt;"",42&lt;=N(設定!$E$24)),42,"")</f>
        <v/>
      </c>
      <c r="Q46" s="20" t="n"/>
      <c r="R46" s="21" t="n"/>
      <c r="S46" s="19">
        <f>IF(AND(設定!$B$25&lt;&gt;"",42&lt;=N(設定!$E$25)),42,"")</f>
        <v/>
      </c>
      <c r="T46" s="20" t="n"/>
      <c r="U46" s="21" t="n"/>
      <c r="V46" s="19">
        <f>IF(AND(設定!$B$26&lt;&gt;"",42&lt;=N(設定!$E$26)),42,"")</f>
        <v/>
      </c>
      <c r="W46" s="20" t="n"/>
      <c r="X46" s="21" t="n"/>
    </row>
    <row r="47">
      <c r="A47" s="19">
        <f>IF(AND(設定!$B$19&lt;&gt;"",43&lt;=N(設定!$E$19)),43,"")</f>
        <v/>
      </c>
      <c r="B47" s="20" t="n"/>
      <c r="C47" s="21" t="n"/>
      <c r="D47" s="19">
        <f>IF(AND(設定!$B$20&lt;&gt;"",43&lt;=N(設定!$E$20)),43,"")</f>
        <v/>
      </c>
      <c r="E47" s="20" t="n"/>
      <c r="F47" s="21" t="n"/>
      <c r="G47" s="19">
        <f>IF(AND(設定!$B$21&lt;&gt;"",43&lt;=N(設定!$E$21)),43,"")</f>
        <v/>
      </c>
      <c r="H47" s="20" t="n"/>
      <c r="I47" s="21" t="n"/>
      <c r="J47" s="19">
        <f>IF(AND(設定!$B$22&lt;&gt;"",43&lt;=N(設定!$E$22)),43,"")</f>
        <v/>
      </c>
      <c r="K47" s="20" t="n"/>
      <c r="L47" s="21" t="n"/>
      <c r="M47" s="19">
        <f>IF(AND(設定!$B$23&lt;&gt;"",43&lt;=N(設定!$E$23)),43,"")</f>
        <v/>
      </c>
      <c r="N47" s="20" t="n"/>
      <c r="O47" s="21" t="n"/>
      <c r="P47" s="19">
        <f>IF(AND(設定!$B$24&lt;&gt;"",43&lt;=N(設定!$E$24)),43,"")</f>
        <v/>
      </c>
      <c r="Q47" s="20" t="n"/>
      <c r="R47" s="21" t="n"/>
      <c r="S47" s="19">
        <f>IF(AND(設定!$B$25&lt;&gt;"",43&lt;=N(設定!$E$25)),43,"")</f>
        <v/>
      </c>
      <c r="T47" s="20" t="n"/>
      <c r="U47" s="21" t="n"/>
      <c r="V47" s="19">
        <f>IF(AND(設定!$B$26&lt;&gt;"",43&lt;=N(設定!$E$26)),43,"")</f>
        <v/>
      </c>
      <c r="W47" s="20" t="n"/>
      <c r="X47" s="21" t="n"/>
    </row>
    <row r="48">
      <c r="A48" s="19">
        <f>IF(AND(設定!$B$19&lt;&gt;"",44&lt;=N(設定!$E$19)),44,"")</f>
        <v/>
      </c>
      <c r="B48" s="20" t="n"/>
      <c r="C48" s="21" t="n"/>
      <c r="D48" s="19">
        <f>IF(AND(設定!$B$20&lt;&gt;"",44&lt;=N(設定!$E$20)),44,"")</f>
        <v/>
      </c>
      <c r="E48" s="20" t="n"/>
      <c r="F48" s="21" t="n"/>
      <c r="G48" s="19">
        <f>IF(AND(設定!$B$21&lt;&gt;"",44&lt;=N(設定!$E$21)),44,"")</f>
        <v/>
      </c>
      <c r="H48" s="20" t="n"/>
      <c r="I48" s="21" t="n"/>
      <c r="J48" s="19">
        <f>IF(AND(設定!$B$22&lt;&gt;"",44&lt;=N(設定!$E$22)),44,"")</f>
        <v/>
      </c>
      <c r="K48" s="20" t="n"/>
      <c r="L48" s="21" t="n"/>
      <c r="M48" s="19">
        <f>IF(AND(設定!$B$23&lt;&gt;"",44&lt;=N(設定!$E$23)),44,"")</f>
        <v/>
      </c>
      <c r="N48" s="20" t="n"/>
      <c r="O48" s="21" t="n"/>
      <c r="P48" s="19">
        <f>IF(AND(設定!$B$24&lt;&gt;"",44&lt;=N(設定!$E$24)),44,"")</f>
        <v/>
      </c>
      <c r="Q48" s="20" t="n"/>
      <c r="R48" s="21" t="n"/>
      <c r="S48" s="19">
        <f>IF(AND(設定!$B$25&lt;&gt;"",44&lt;=N(設定!$E$25)),44,"")</f>
        <v/>
      </c>
      <c r="T48" s="20" t="n"/>
      <c r="U48" s="21" t="n"/>
      <c r="V48" s="19">
        <f>IF(AND(設定!$B$26&lt;&gt;"",44&lt;=N(設定!$E$26)),44,"")</f>
        <v/>
      </c>
      <c r="W48" s="20" t="n"/>
      <c r="X48" s="21" t="n"/>
    </row>
    <row r="49">
      <c r="A49" s="19">
        <f>IF(AND(設定!$B$19&lt;&gt;"",45&lt;=N(設定!$E$19)),45,"")</f>
        <v/>
      </c>
      <c r="B49" s="20" t="n"/>
      <c r="C49" s="21" t="n"/>
      <c r="D49" s="19">
        <f>IF(AND(設定!$B$20&lt;&gt;"",45&lt;=N(設定!$E$20)),45,"")</f>
        <v/>
      </c>
      <c r="E49" s="20" t="n"/>
      <c r="F49" s="21" t="n"/>
      <c r="G49" s="19">
        <f>IF(AND(設定!$B$21&lt;&gt;"",45&lt;=N(設定!$E$21)),45,"")</f>
        <v/>
      </c>
      <c r="H49" s="20" t="n"/>
      <c r="I49" s="21" t="n"/>
      <c r="J49" s="19">
        <f>IF(AND(設定!$B$22&lt;&gt;"",45&lt;=N(設定!$E$22)),45,"")</f>
        <v/>
      </c>
      <c r="K49" s="20" t="n"/>
      <c r="L49" s="21" t="n"/>
      <c r="M49" s="19">
        <f>IF(AND(設定!$B$23&lt;&gt;"",45&lt;=N(設定!$E$23)),45,"")</f>
        <v/>
      </c>
      <c r="N49" s="20" t="n"/>
      <c r="O49" s="21" t="n"/>
      <c r="P49" s="19">
        <f>IF(AND(設定!$B$24&lt;&gt;"",45&lt;=N(設定!$E$24)),45,"")</f>
        <v/>
      </c>
      <c r="Q49" s="20" t="n"/>
      <c r="R49" s="21" t="n"/>
      <c r="S49" s="19">
        <f>IF(AND(設定!$B$25&lt;&gt;"",45&lt;=N(設定!$E$25)),45,"")</f>
        <v/>
      </c>
      <c r="T49" s="20" t="n"/>
      <c r="U49" s="21" t="n"/>
      <c r="V49" s="19">
        <f>IF(AND(設定!$B$26&lt;&gt;"",45&lt;=N(設定!$E$26)),45,"")</f>
        <v/>
      </c>
      <c r="W49" s="20" t="n"/>
      <c r="X49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">
    <mergeCell ref="E1:J1"/>
    <mergeCell ref="M3:O3"/>
    <mergeCell ref="D3:F3"/>
    <mergeCell ref="A3:C3"/>
    <mergeCell ref="G3:I3"/>
    <mergeCell ref="S3:U3"/>
    <mergeCell ref="V3:X3"/>
    <mergeCell ref="J3:L3"/>
    <mergeCell ref="P3:R3"/>
  </mergeCells>
  <conditionalFormatting sqref="A3">
    <cfRule type="expression" priority="1" dxfId="0">
      <formula>設定!$D$19="黒"</formula>
    </cfRule>
    <cfRule type="expression" priority="2" dxfId="1">
      <formula>設定!$D$19="赤"</formula>
    </cfRule>
    <cfRule type="expression" priority="3" dxfId="2">
      <formula>設定!$D$19="青"</formula>
    </cfRule>
    <cfRule type="expression" priority="4" dxfId="3">
      <formula>設定!$D$19="緑"</formula>
    </cfRule>
    <cfRule type="expression" priority="5" dxfId="4">
      <formula>設定!$D$19="黄"</formula>
    </cfRule>
    <cfRule type="expression" priority="6" dxfId="5">
      <formula>設定!$D$19="橙"</formula>
    </cfRule>
    <cfRule type="expression" priority="7" dxfId="6">
      <formula>設定!$D$19="紫"</formula>
    </cfRule>
    <cfRule type="expression" priority="8" dxfId="7">
      <formula>設定!$D$19="茶"</formula>
    </cfRule>
  </conditionalFormatting>
  <conditionalFormatting sqref="C5:C49">
    <cfRule type="expression" priority="9" dxfId="9">
      <formula>AND(C5&lt;&gt;"",COUNTIF(設定!$I$11:$I$30,C5)=0)</formula>
    </cfRule>
  </conditionalFormatting>
  <conditionalFormatting sqref="B5:C49">
    <cfRule type="expression" priority="10" dxfId="10">
      <formula>AND($B5&lt;&gt;"",$C5="")</formula>
    </cfRule>
    <cfRule type="expression" priority="11" dxfId="11">
      <formula>AND(設定!$B$19&lt;&gt;"",ROW()-4&lt;=N(設定!$E$19))</formula>
    </cfRule>
  </conditionalFormatting>
  <conditionalFormatting sqref="A5:A49">
    <cfRule type="expression" priority="12" dxfId="12">
      <formula>AND(設定!$B$19&lt;&gt;"",ROW()-4&lt;=N(設定!$E$19))</formula>
    </cfRule>
  </conditionalFormatting>
  <conditionalFormatting sqref="D3">
    <cfRule type="expression" priority="13" dxfId="0">
      <formula>設定!$D$20="黒"</formula>
    </cfRule>
    <cfRule type="expression" priority="14" dxfId="1">
      <formula>設定!$D$20="赤"</formula>
    </cfRule>
    <cfRule type="expression" priority="15" dxfId="2">
      <formula>設定!$D$20="青"</formula>
    </cfRule>
    <cfRule type="expression" priority="16" dxfId="3">
      <formula>設定!$D$20="緑"</formula>
    </cfRule>
    <cfRule type="expression" priority="17" dxfId="4">
      <formula>設定!$D$20="黄"</formula>
    </cfRule>
    <cfRule type="expression" priority="18" dxfId="5">
      <formula>設定!$D$20="橙"</formula>
    </cfRule>
    <cfRule type="expression" priority="19" dxfId="6">
      <formula>設定!$D$20="紫"</formula>
    </cfRule>
    <cfRule type="expression" priority="20" dxfId="7">
      <formula>設定!$D$20="茶"</formula>
    </cfRule>
  </conditionalFormatting>
  <conditionalFormatting sqref="F5:F49">
    <cfRule type="expression" priority="21" dxfId="9">
      <formula>AND(F5&lt;&gt;"",COUNTIF(設定!$I$11:$I$30,F5)=0)</formula>
    </cfRule>
  </conditionalFormatting>
  <conditionalFormatting sqref="E5:F49">
    <cfRule type="expression" priority="22" dxfId="10">
      <formula>AND($E5&lt;&gt;"",$F5="")</formula>
    </cfRule>
    <cfRule type="expression" priority="23" dxfId="11">
      <formula>AND(設定!$B$20&lt;&gt;"",ROW()-4&lt;=N(設定!$E$20))</formula>
    </cfRule>
  </conditionalFormatting>
  <conditionalFormatting sqref="D5:D49">
    <cfRule type="expression" priority="24" dxfId="12">
      <formula>AND(設定!$B$20&lt;&gt;"",ROW()-4&lt;=N(設定!$E$20))</formula>
    </cfRule>
  </conditionalFormatting>
  <conditionalFormatting sqref="G3">
    <cfRule type="expression" priority="25" dxfId="0">
      <formula>設定!$D$21="黒"</formula>
    </cfRule>
    <cfRule type="expression" priority="26" dxfId="1">
      <formula>設定!$D$21="赤"</formula>
    </cfRule>
    <cfRule type="expression" priority="27" dxfId="2">
      <formula>設定!$D$21="青"</formula>
    </cfRule>
    <cfRule type="expression" priority="28" dxfId="3">
      <formula>設定!$D$21="緑"</formula>
    </cfRule>
    <cfRule type="expression" priority="29" dxfId="4">
      <formula>設定!$D$21="黄"</formula>
    </cfRule>
    <cfRule type="expression" priority="30" dxfId="5">
      <formula>設定!$D$21="橙"</formula>
    </cfRule>
    <cfRule type="expression" priority="31" dxfId="6">
      <formula>設定!$D$21="紫"</formula>
    </cfRule>
    <cfRule type="expression" priority="32" dxfId="7">
      <formula>設定!$D$21="茶"</formula>
    </cfRule>
  </conditionalFormatting>
  <conditionalFormatting sqref="I5:I49">
    <cfRule type="expression" priority="33" dxfId="9">
      <formula>AND(I5&lt;&gt;"",COUNTIF(設定!$I$11:$I$30,I5)=0)</formula>
    </cfRule>
  </conditionalFormatting>
  <conditionalFormatting sqref="H5:I49">
    <cfRule type="expression" priority="34" dxfId="10">
      <formula>AND($H5&lt;&gt;"",$I5="")</formula>
    </cfRule>
    <cfRule type="expression" priority="35" dxfId="11">
      <formula>AND(設定!$B$21&lt;&gt;"",ROW()-4&lt;=N(設定!$E$21))</formula>
    </cfRule>
  </conditionalFormatting>
  <conditionalFormatting sqref="G5:G49">
    <cfRule type="expression" priority="36" dxfId="12">
      <formula>AND(設定!$B$21&lt;&gt;"",ROW()-4&lt;=N(設定!$E$21))</formula>
    </cfRule>
  </conditionalFormatting>
  <conditionalFormatting sqref="J3">
    <cfRule type="expression" priority="37" dxfId="0">
      <formula>設定!$D$22="黒"</formula>
    </cfRule>
    <cfRule type="expression" priority="38" dxfId="1">
      <formula>設定!$D$22="赤"</formula>
    </cfRule>
    <cfRule type="expression" priority="39" dxfId="2">
      <formula>設定!$D$22="青"</formula>
    </cfRule>
    <cfRule type="expression" priority="40" dxfId="3">
      <formula>設定!$D$22="緑"</formula>
    </cfRule>
    <cfRule type="expression" priority="41" dxfId="4">
      <formula>設定!$D$22="黄"</formula>
    </cfRule>
    <cfRule type="expression" priority="42" dxfId="5">
      <formula>設定!$D$22="橙"</formula>
    </cfRule>
    <cfRule type="expression" priority="43" dxfId="6">
      <formula>設定!$D$22="紫"</formula>
    </cfRule>
    <cfRule type="expression" priority="44" dxfId="7">
      <formula>設定!$D$22="茶"</formula>
    </cfRule>
  </conditionalFormatting>
  <conditionalFormatting sqref="L5:L49">
    <cfRule type="expression" priority="45" dxfId="9">
      <formula>AND(L5&lt;&gt;"",COUNTIF(設定!$I$11:$I$30,L5)=0)</formula>
    </cfRule>
  </conditionalFormatting>
  <conditionalFormatting sqref="K5:L49">
    <cfRule type="expression" priority="46" dxfId="10">
      <formula>AND($K5&lt;&gt;"",$L5="")</formula>
    </cfRule>
    <cfRule type="expression" priority="47" dxfId="11">
      <formula>AND(設定!$B$22&lt;&gt;"",ROW()-4&lt;=N(設定!$E$22))</formula>
    </cfRule>
  </conditionalFormatting>
  <conditionalFormatting sqref="J5:J49">
    <cfRule type="expression" priority="48" dxfId="12">
      <formula>AND(設定!$B$22&lt;&gt;"",ROW()-4&lt;=N(設定!$E$22))</formula>
    </cfRule>
  </conditionalFormatting>
  <conditionalFormatting sqref="M3">
    <cfRule type="expression" priority="49" dxfId="0">
      <formula>設定!$D$23="黒"</formula>
    </cfRule>
    <cfRule type="expression" priority="50" dxfId="1">
      <formula>設定!$D$23="赤"</formula>
    </cfRule>
    <cfRule type="expression" priority="51" dxfId="2">
      <formula>設定!$D$23="青"</formula>
    </cfRule>
    <cfRule type="expression" priority="52" dxfId="3">
      <formula>設定!$D$23="緑"</formula>
    </cfRule>
    <cfRule type="expression" priority="53" dxfId="4">
      <formula>設定!$D$23="黄"</formula>
    </cfRule>
    <cfRule type="expression" priority="54" dxfId="5">
      <formula>設定!$D$23="橙"</formula>
    </cfRule>
    <cfRule type="expression" priority="55" dxfId="6">
      <formula>設定!$D$23="紫"</formula>
    </cfRule>
    <cfRule type="expression" priority="56" dxfId="7">
      <formula>設定!$D$23="茶"</formula>
    </cfRule>
  </conditionalFormatting>
  <conditionalFormatting sqref="O5:O49">
    <cfRule type="expression" priority="57" dxfId="9">
      <formula>AND(O5&lt;&gt;"",COUNTIF(設定!$I$11:$I$30,O5)=0)</formula>
    </cfRule>
  </conditionalFormatting>
  <conditionalFormatting sqref="N5:O49">
    <cfRule type="expression" priority="58" dxfId="10">
      <formula>AND($N5&lt;&gt;"",$O5="")</formula>
    </cfRule>
    <cfRule type="expression" priority="59" dxfId="11">
      <formula>AND(設定!$B$23&lt;&gt;"",ROW()-4&lt;=N(設定!$E$23))</formula>
    </cfRule>
  </conditionalFormatting>
  <conditionalFormatting sqref="M5:M49">
    <cfRule type="expression" priority="60" dxfId="12">
      <formula>AND(設定!$B$23&lt;&gt;"",ROW()-4&lt;=N(設定!$E$23))</formula>
    </cfRule>
  </conditionalFormatting>
  <conditionalFormatting sqref="P3">
    <cfRule type="expression" priority="61" dxfId="0">
      <formula>設定!$D$24="黒"</formula>
    </cfRule>
    <cfRule type="expression" priority="62" dxfId="1">
      <formula>設定!$D$24="赤"</formula>
    </cfRule>
    <cfRule type="expression" priority="63" dxfId="2">
      <formula>設定!$D$24="青"</formula>
    </cfRule>
    <cfRule type="expression" priority="64" dxfId="3">
      <formula>設定!$D$24="緑"</formula>
    </cfRule>
    <cfRule type="expression" priority="65" dxfId="4">
      <formula>設定!$D$24="黄"</formula>
    </cfRule>
    <cfRule type="expression" priority="66" dxfId="5">
      <formula>設定!$D$24="橙"</formula>
    </cfRule>
    <cfRule type="expression" priority="67" dxfId="6">
      <formula>設定!$D$24="紫"</formula>
    </cfRule>
    <cfRule type="expression" priority="68" dxfId="7">
      <formula>設定!$D$24="茶"</formula>
    </cfRule>
  </conditionalFormatting>
  <conditionalFormatting sqref="R5:R49">
    <cfRule type="expression" priority="69" dxfId="9">
      <formula>AND(R5&lt;&gt;"",COUNTIF(設定!$I$11:$I$30,R5)=0)</formula>
    </cfRule>
  </conditionalFormatting>
  <conditionalFormatting sqref="Q5:R49">
    <cfRule type="expression" priority="70" dxfId="10">
      <formula>AND($Q5&lt;&gt;"",$R5="")</formula>
    </cfRule>
    <cfRule type="expression" priority="71" dxfId="11">
      <formula>AND(設定!$B$24&lt;&gt;"",ROW()-4&lt;=N(設定!$E$24))</formula>
    </cfRule>
  </conditionalFormatting>
  <conditionalFormatting sqref="P5:P49">
    <cfRule type="expression" priority="72" dxfId="12">
      <formula>AND(設定!$B$24&lt;&gt;"",ROW()-4&lt;=N(設定!$E$24))</formula>
    </cfRule>
  </conditionalFormatting>
  <conditionalFormatting sqref="S3">
    <cfRule type="expression" priority="73" dxfId="0">
      <formula>設定!$D$25="黒"</formula>
    </cfRule>
    <cfRule type="expression" priority="74" dxfId="1">
      <formula>設定!$D$25="赤"</formula>
    </cfRule>
    <cfRule type="expression" priority="75" dxfId="2">
      <formula>設定!$D$25="青"</formula>
    </cfRule>
    <cfRule type="expression" priority="76" dxfId="3">
      <formula>設定!$D$25="緑"</formula>
    </cfRule>
    <cfRule type="expression" priority="77" dxfId="4">
      <formula>設定!$D$25="黄"</formula>
    </cfRule>
    <cfRule type="expression" priority="78" dxfId="5">
      <formula>設定!$D$25="橙"</formula>
    </cfRule>
    <cfRule type="expression" priority="79" dxfId="6">
      <formula>設定!$D$25="紫"</formula>
    </cfRule>
    <cfRule type="expression" priority="80" dxfId="7">
      <formula>設定!$D$25="茶"</formula>
    </cfRule>
  </conditionalFormatting>
  <conditionalFormatting sqref="U5:U49">
    <cfRule type="expression" priority="81" dxfId="9">
      <formula>AND(U5&lt;&gt;"",COUNTIF(設定!$I$11:$I$30,U5)=0)</formula>
    </cfRule>
  </conditionalFormatting>
  <conditionalFormatting sqref="T5:U49">
    <cfRule type="expression" priority="82" dxfId="10">
      <formula>AND($T5&lt;&gt;"",$U5="")</formula>
    </cfRule>
    <cfRule type="expression" priority="83" dxfId="11">
      <formula>AND(設定!$B$25&lt;&gt;"",ROW()-4&lt;=N(設定!$E$25))</formula>
    </cfRule>
  </conditionalFormatting>
  <conditionalFormatting sqref="S5:S49">
    <cfRule type="expression" priority="84" dxfId="12">
      <formula>AND(設定!$B$25&lt;&gt;"",ROW()-4&lt;=N(設定!$E$25))</formula>
    </cfRule>
  </conditionalFormatting>
  <conditionalFormatting sqref="V3">
    <cfRule type="expression" priority="85" dxfId="0">
      <formula>設定!$D$26="黒"</formula>
    </cfRule>
    <cfRule type="expression" priority="86" dxfId="1">
      <formula>設定!$D$26="赤"</formula>
    </cfRule>
    <cfRule type="expression" priority="87" dxfId="2">
      <formula>設定!$D$26="青"</formula>
    </cfRule>
    <cfRule type="expression" priority="88" dxfId="3">
      <formula>設定!$D$26="緑"</formula>
    </cfRule>
    <cfRule type="expression" priority="89" dxfId="4">
      <formula>設定!$D$26="黄"</formula>
    </cfRule>
    <cfRule type="expression" priority="90" dxfId="5">
      <formula>設定!$D$26="橙"</formula>
    </cfRule>
    <cfRule type="expression" priority="91" dxfId="6">
      <formula>設定!$D$26="紫"</formula>
    </cfRule>
    <cfRule type="expression" priority="92" dxfId="7">
      <formula>設定!$D$26="茶"</formula>
    </cfRule>
  </conditionalFormatting>
  <conditionalFormatting sqref="X5:X49">
    <cfRule type="expression" priority="93" dxfId="9">
      <formula>AND(X5&lt;&gt;"",COUNTIF(設定!$I$11:$I$30,X5)=0)</formula>
    </cfRule>
  </conditionalFormatting>
  <conditionalFormatting sqref="W5:X49">
    <cfRule type="expression" priority="94" dxfId="10">
      <formula>AND($W5&lt;&gt;"",$X5="")</formula>
    </cfRule>
    <cfRule type="expression" priority="95" dxfId="11">
      <formula>AND(設定!$B$26&lt;&gt;"",ROW()-4&lt;=N(設定!$E$26))</formula>
    </cfRule>
  </conditionalFormatting>
  <conditionalFormatting sqref="V5:V49">
    <cfRule type="expression" priority="96" dxfId="12">
      <formula>AND(設定!$B$26&lt;&gt;"",ROW()-4&lt;=N(設定!$E$26))</formula>
    </cfRule>
  </conditionalFormatting>
  <dataValidations count="8">
    <dataValidation sqref="C5:C49" showDropDown="0" showInputMessage="0" showErrorMessage="0" allowBlank="1" type="list">
      <formula1>設定!$I$11:$I$30</formula1>
    </dataValidation>
    <dataValidation sqref="F5:F49" showDropDown="0" showInputMessage="0" showErrorMessage="0" allowBlank="1" type="list">
      <formula1>設定!$I$11:$I$30</formula1>
    </dataValidation>
    <dataValidation sqref="I5:I49" showDropDown="0" showInputMessage="0" showErrorMessage="0" allowBlank="1" type="list">
      <formula1>設定!$I$11:$I$30</formula1>
    </dataValidation>
    <dataValidation sqref="L5:L49" showDropDown="0" showInputMessage="0" showErrorMessage="0" allowBlank="1" type="list">
      <formula1>設定!$I$11:$I$30</formula1>
    </dataValidation>
    <dataValidation sqref="O5:O49" showDropDown="0" showInputMessage="0" showErrorMessage="0" allowBlank="1" type="list">
      <formula1>設定!$I$11:$I$30</formula1>
    </dataValidation>
    <dataValidation sqref="R5:R49" showDropDown="0" showInputMessage="0" showErrorMessage="0" allowBlank="1" type="list">
      <formula1>設定!$I$11:$I$30</formula1>
    </dataValidation>
    <dataValidation sqref="U5:U49" showDropDown="0" showInputMessage="0" showErrorMessage="0" allowBlank="1" type="list">
      <formula1>設定!$I$11:$I$30</formula1>
    </dataValidation>
    <dataValidation sqref="X5:X49" showDropDown="0" showInputMessage="0" showErrorMessage="0" allowBlank="1" type="list">
      <formula1>設定!$I$11:$I$30</formula1>
    </dataValidation>
  </dataValidations>
  <printOptions horizontalCentered="1"/>
  <pageMargins left="0.75" right="0.75" top="1" bottom="1" header="0.5" footer="0.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9" customWidth="1" min="4" max="4"/>
    <col width="9" customWidth="1" min="5" max="5"/>
  </cols>
  <sheetData>
    <row r="1">
      <c r="A1" s="6" t="inlineStr">
        <is>
          <t>人数チェック</t>
        </is>
      </c>
      <c r="D1" s="22" t="inlineStr">
        <is>
          <t>【入力なし】見る・印刷するだけ</t>
        </is>
      </c>
      <c r="E1" s="32" t="n"/>
      <c r="F1" s="32" t="n"/>
      <c r="G1" s="32" t="n"/>
      <c r="H1" s="33" t="n"/>
    </row>
    <row r="2"/>
    <row r="3">
      <c r="B3" s="8" t="inlineStr">
        <is>
          <t>委員会が未入力の子</t>
        </is>
      </c>
      <c r="C3" s="23">
        <f>設定!$B$7&amp;"年 "&amp;SUMIFS(計算用!$I$2:$I$721,計算用!$H$2:$H$721,設定!$B$7)&amp;"人"</f>
        <v/>
      </c>
      <c r="D3" s="23">
        <f>設定!$B$8&amp;"年 "&amp;SUMIFS(計算用!$I$2:$I$721,計算用!$H$2:$H$721,設定!$B$8)&amp;"人"</f>
        <v/>
      </c>
    </row>
    <row r="4">
      <c r="B4" s="8" t="inlineStr">
        <is>
          <t>設定にない委員会名</t>
        </is>
      </c>
      <c r="C4" s="23">
        <f>SUM(計算用!$J$2:$J$721)&amp;"件"</f>
        <v/>
      </c>
    </row>
    <row r="5"/>
    <row r="6">
      <c r="A6" s="13" t="inlineStr">
        <is>
          <t>No.</t>
        </is>
      </c>
      <c r="B6" s="13" t="inlineStr">
        <is>
          <t>委員会</t>
        </is>
      </c>
      <c r="C6" s="13">
        <f>設定!$B$7&amp;"年"</f>
        <v/>
      </c>
      <c r="D6" s="13">
        <f>設定!$B$8&amp;"年"</f>
        <v/>
      </c>
      <c r="E6" s="13" t="inlineStr">
        <is>
          <t>合計</t>
        </is>
      </c>
    </row>
    <row r="7">
      <c r="A7" s="24" t="n">
        <v>1</v>
      </c>
      <c r="B7" s="24">
        <f>IF(設定!I11="","",設定!I11)</f>
        <v/>
      </c>
      <c r="C7" s="24">
        <f>IF(B7="","",COUNTIFS(計算用!$H$2:$H$721,設定!$B$7,計算用!$D$2:$D$721,B7))</f>
        <v/>
      </c>
      <c r="D7" s="24">
        <f>IF(B7="","",COUNTIFS(計算用!$H$2:$H$721,設定!$B$8,計算用!$D$2:$D$721,B7))</f>
        <v/>
      </c>
      <c r="E7" s="23">
        <f>IF(B7="","",C7+D7)</f>
        <v/>
      </c>
    </row>
    <row r="8">
      <c r="A8" s="24" t="n">
        <v>2</v>
      </c>
      <c r="B8" s="24">
        <f>IF(設定!I12="","",設定!I12)</f>
        <v/>
      </c>
      <c r="C8" s="24">
        <f>IF(B8="","",COUNTIFS(計算用!$H$2:$H$721,設定!$B$7,計算用!$D$2:$D$721,B8))</f>
        <v/>
      </c>
      <c r="D8" s="24">
        <f>IF(B8="","",COUNTIFS(計算用!$H$2:$H$721,設定!$B$8,計算用!$D$2:$D$721,B8))</f>
        <v/>
      </c>
      <c r="E8" s="23">
        <f>IF(B8="","",C8+D8)</f>
        <v/>
      </c>
    </row>
    <row r="9">
      <c r="A9" s="24" t="n">
        <v>3</v>
      </c>
      <c r="B9" s="24">
        <f>IF(設定!I13="","",設定!I13)</f>
        <v/>
      </c>
      <c r="C9" s="24">
        <f>IF(B9="","",COUNTIFS(計算用!$H$2:$H$721,設定!$B$7,計算用!$D$2:$D$721,B9))</f>
        <v/>
      </c>
      <c r="D9" s="24">
        <f>IF(B9="","",COUNTIFS(計算用!$H$2:$H$721,設定!$B$8,計算用!$D$2:$D$721,B9))</f>
        <v/>
      </c>
      <c r="E9" s="23">
        <f>IF(B9="","",C9+D9)</f>
        <v/>
      </c>
    </row>
    <row r="10">
      <c r="A10" s="24" t="n">
        <v>4</v>
      </c>
      <c r="B10" s="24">
        <f>IF(設定!I14="","",設定!I14)</f>
        <v/>
      </c>
      <c r="C10" s="24">
        <f>IF(B10="","",COUNTIFS(計算用!$H$2:$H$721,設定!$B$7,計算用!$D$2:$D$721,B10))</f>
        <v/>
      </c>
      <c r="D10" s="24">
        <f>IF(B10="","",COUNTIFS(計算用!$H$2:$H$721,設定!$B$8,計算用!$D$2:$D$721,B10))</f>
        <v/>
      </c>
      <c r="E10" s="23">
        <f>IF(B10="","",C10+D10)</f>
        <v/>
      </c>
    </row>
    <row r="11">
      <c r="A11" s="24" t="n">
        <v>5</v>
      </c>
      <c r="B11" s="24">
        <f>IF(設定!I15="","",設定!I15)</f>
        <v/>
      </c>
      <c r="C11" s="24">
        <f>IF(B11="","",COUNTIFS(計算用!$H$2:$H$721,設定!$B$7,計算用!$D$2:$D$721,B11))</f>
        <v/>
      </c>
      <c r="D11" s="24">
        <f>IF(B11="","",COUNTIFS(計算用!$H$2:$H$721,設定!$B$8,計算用!$D$2:$D$721,B11))</f>
        <v/>
      </c>
      <c r="E11" s="23">
        <f>IF(B11="","",C11+D11)</f>
        <v/>
      </c>
    </row>
    <row r="12">
      <c r="A12" s="24" t="n">
        <v>6</v>
      </c>
      <c r="B12" s="24">
        <f>IF(設定!I16="","",設定!I16)</f>
        <v/>
      </c>
      <c r="C12" s="24">
        <f>IF(B12="","",COUNTIFS(計算用!$H$2:$H$721,設定!$B$7,計算用!$D$2:$D$721,B12))</f>
        <v/>
      </c>
      <c r="D12" s="24">
        <f>IF(B12="","",COUNTIFS(計算用!$H$2:$H$721,設定!$B$8,計算用!$D$2:$D$721,B12))</f>
        <v/>
      </c>
      <c r="E12" s="23">
        <f>IF(B12="","",C12+D12)</f>
        <v/>
      </c>
    </row>
    <row r="13">
      <c r="A13" s="24" t="n">
        <v>7</v>
      </c>
      <c r="B13" s="24">
        <f>IF(設定!I17="","",設定!I17)</f>
        <v/>
      </c>
      <c r="C13" s="24">
        <f>IF(B13="","",COUNTIFS(計算用!$H$2:$H$721,設定!$B$7,計算用!$D$2:$D$721,B13))</f>
        <v/>
      </c>
      <c r="D13" s="24">
        <f>IF(B13="","",COUNTIFS(計算用!$H$2:$H$721,設定!$B$8,計算用!$D$2:$D$721,B13))</f>
        <v/>
      </c>
      <c r="E13" s="23">
        <f>IF(B13="","",C13+D13)</f>
        <v/>
      </c>
    </row>
    <row r="14">
      <c r="A14" s="24" t="n">
        <v>8</v>
      </c>
      <c r="B14" s="24">
        <f>IF(設定!I18="","",設定!I18)</f>
        <v/>
      </c>
      <c r="C14" s="24">
        <f>IF(B14="","",COUNTIFS(計算用!$H$2:$H$721,設定!$B$7,計算用!$D$2:$D$721,B14))</f>
        <v/>
      </c>
      <c r="D14" s="24">
        <f>IF(B14="","",COUNTIFS(計算用!$H$2:$H$721,設定!$B$8,計算用!$D$2:$D$721,B14))</f>
        <v/>
      </c>
      <c r="E14" s="23">
        <f>IF(B14="","",C14+D14)</f>
        <v/>
      </c>
    </row>
    <row r="15">
      <c r="A15" s="24" t="n">
        <v>9</v>
      </c>
      <c r="B15" s="24">
        <f>IF(設定!I19="","",設定!I19)</f>
        <v/>
      </c>
      <c r="C15" s="24">
        <f>IF(B15="","",COUNTIFS(計算用!$H$2:$H$721,設定!$B$7,計算用!$D$2:$D$721,B15))</f>
        <v/>
      </c>
      <c r="D15" s="24">
        <f>IF(B15="","",COUNTIFS(計算用!$H$2:$H$721,設定!$B$8,計算用!$D$2:$D$721,B15))</f>
        <v/>
      </c>
      <c r="E15" s="23">
        <f>IF(B15="","",C15+D15)</f>
        <v/>
      </c>
    </row>
    <row r="16">
      <c r="A16" s="24" t="n">
        <v>10</v>
      </c>
      <c r="B16" s="24">
        <f>IF(設定!I20="","",設定!I20)</f>
        <v/>
      </c>
      <c r="C16" s="24">
        <f>IF(B16="","",COUNTIFS(計算用!$H$2:$H$721,設定!$B$7,計算用!$D$2:$D$721,B16))</f>
        <v/>
      </c>
      <c r="D16" s="24">
        <f>IF(B16="","",COUNTIFS(計算用!$H$2:$H$721,設定!$B$8,計算用!$D$2:$D$721,B16))</f>
        <v/>
      </c>
      <c r="E16" s="23">
        <f>IF(B16="","",C16+D16)</f>
        <v/>
      </c>
    </row>
    <row r="17">
      <c r="A17" s="24" t="n">
        <v>11</v>
      </c>
      <c r="B17" s="24">
        <f>IF(設定!I21="","",設定!I21)</f>
        <v/>
      </c>
      <c r="C17" s="24">
        <f>IF(B17="","",COUNTIFS(計算用!$H$2:$H$721,設定!$B$7,計算用!$D$2:$D$721,B17))</f>
        <v/>
      </c>
      <c r="D17" s="24">
        <f>IF(B17="","",COUNTIFS(計算用!$H$2:$H$721,設定!$B$8,計算用!$D$2:$D$721,B17))</f>
        <v/>
      </c>
      <c r="E17" s="23">
        <f>IF(B17="","",C17+D17)</f>
        <v/>
      </c>
    </row>
    <row r="18">
      <c r="A18" s="24" t="n">
        <v>12</v>
      </c>
      <c r="B18" s="24">
        <f>IF(設定!I22="","",設定!I22)</f>
        <v/>
      </c>
      <c r="C18" s="24">
        <f>IF(B18="","",COUNTIFS(計算用!$H$2:$H$721,設定!$B$7,計算用!$D$2:$D$721,B18))</f>
        <v/>
      </c>
      <c r="D18" s="24">
        <f>IF(B18="","",COUNTIFS(計算用!$H$2:$H$721,設定!$B$8,計算用!$D$2:$D$721,B18))</f>
        <v/>
      </c>
      <c r="E18" s="23">
        <f>IF(B18="","",C18+D18)</f>
        <v/>
      </c>
    </row>
    <row r="19">
      <c r="A19" s="24" t="n">
        <v>13</v>
      </c>
      <c r="B19" s="24">
        <f>IF(設定!I23="","",設定!I23)</f>
        <v/>
      </c>
      <c r="C19" s="24">
        <f>IF(B19="","",COUNTIFS(計算用!$H$2:$H$721,設定!$B$7,計算用!$D$2:$D$721,B19))</f>
        <v/>
      </c>
      <c r="D19" s="24">
        <f>IF(B19="","",COUNTIFS(計算用!$H$2:$H$721,設定!$B$8,計算用!$D$2:$D$721,B19))</f>
        <v/>
      </c>
      <c r="E19" s="23">
        <f>IF(B19="","",C19+D19)</f>
        <v/>
      </c>
    </row>
    <row r="20">
      <c r="A20" s="24" t="n">
        <v>14</v>
      </c>
      <c r="B20" s="24">
        <f>IF(設定!I24="","",設定!I24)</f>
        <v/>
      </c>
      <c r="C20" s="24">
        <f>IF(B20="","",COUNTIFS(計算用!$H$2:$H$721,設定!$B$7,計算用!$D$2:$D$721,B20))</f>
        <v/>
      </c>
      <c r="D20" s="24">
        <f>IF(B20="","",COUNTIFS(計算用!$H$2:$H$721,設定!$B$8,計算用!$D$2:$D$721,B20))</f>
        <v/>
      </c>
      <c r="E20" s="23">
        <f>IF(B20="","",C20+D20)</f>
        <v/>
      </c>
    </row>
    <row r="21">
      <c r="A21" s="24" t="n">
        <v>15</v>
      </c>
      <c r="B21" s="24">
        <f>IF(設定!I25="","",設定!I25)</f>
        <v/>
      </c>
      <c r="C21" s="24">
        <f>IF(B21="","",COUNTIFS(計算用!$H$2:$H$721,設定!$B$7,計算用!$D$2:$D$721,B21))</f>
        <v/>
      </c>
      <c r="D21" s="24">
        <f>IF(B21="","",COUNTIFS(計算用!$H$2:$H$721,設定!$B$8,計算用!$D$2:$D$721,B21))</f>
        <v/>
      </c>
      <c r="E21" s="23">
        <f>IF(B21="","",C21+D21)</f>
        <v/>
      </c>
    </row>
    <row r="22">
      <c r="A22" s="24" t="n">
        <v>16</v>
      </c>
      <c r="B22" s="24">
        <f>IF(設定!I26="","",設定!I26)</f>
        <v/>
      </c>
      <c r="C22" s="24">
        <f>IF(B22="","",COUNTIFS(計算用!$H$2:$H$721,設定!$B$7,計算用!$D$2:$D$721,B22))</f>
        <v/>
      </c>
      <c r="D22" s="24">
        <f>IF(B22="","",COUNTIFS(計算用!$H$2:$H$721,設定!$B$8,計算用!$D$2:$D$721,B22))</f>
        <v/>
      </c>
      <c r="E22" s="23">
        <f>IF(B22="","",C22+D22)</f>
        <v/>
      </c>
    </row>
    <row r="23">
      <c r="A23" s="24" t="n">
        <v>17</v>
      </c>
      <c r="B23" s="24">
        <f>IF(設定!I27="","",設定!I27)</f>
        <v/>
      </c>
      <c r="C23" s="24">
        <f>IF(B23="","",COUNTIFS(計算用!$H$2:$H$721,設定!$B$7,計算用!$D$2:$D$721,B23))</f>
        <v/>
      </c>
      <c r="D23" s="24">
        <f>IF(B23="","",COUNTIFS(計算用!$H$2:$H$721,設定!$B$8,計算用!$D$2:$D$721,B23))</f>
        <v/>
      </c>
      <c r="E23" s="23">
        <f>IF(B23="","",C23+D23)</f>
        <v/>
      </c>
    </row>
    <row r="24">
      <c r="A24" s="24" t="n">
        <v>18</v>
      </c>
      <c r="B24" s="24">
        <f>IF(設定!I28="","",設定!I28)</f>
        <v/>
      </c>
      <c r="C24" s="24">
        <f>IF(B24="","",COUNTIFS(計算用!$H$2:$H$721,設定!$B$7,計算用!$D$2:$D$721,B24))</f>
        <v/>
      </c>
      <c r="D24" s="24">
        <f>IF(B24="","",COUNTIFS(計算用!$H$2:$H$721,設定!$B$8,計算用!$D$2:$D$721,B24))</f>
        <v/>
      </c>
      <c r="E24" s="23">
        <f>IF(B24="","",C24+D24)</f>
        <v/>
      </c>
    </row>
    <row r="25">
      <c r="A25" s="24" t="n">
        <v>19</v>
      </c>
      <c r="B25" s="24">
        <f>IF(設定!I29="","",設定!I29)</f>
        <v/>
      </c>
      <c r="C25" s="24">
        <f>IF(B25="","",COUNTIFS(計算用!$H$2:$H$721,設定!$B$7,計算用!$D$2:$D$721,B25))</f>
        <v/>
      </c>
      <c r="D25" s="24">
        <f>IF(B25="","",COUNTIFS(計算用!$H$2:$H$721,設定!$B$8,計算用!$D$2:$D$721,B25))</f>
        <v/>
      </c>
      <c r="E25" s="23">
        <f>IF(B25="","",C25+D25)</f>
        <v/>
      </c>
    </row>
    <row r="26">
      <c r="A26" s="24" t="n">
        <v>20</v>
      </c>
      <c r="B26" s="24">
        <f>IF(設定!I30="","",設定!I30)</f>
        <v/>
      </c>
      <c r="C26" s="24">
        <f>IF(B26="","",COUNTIFS(計算用!$H$2:$H$721,設定!$B$7,計算用!$D$2:$D$721,B26))</f>
        <v/>
      </c>
      <c r="D26" s="24">
        <f>IF(B26="","",COUNTIFS(計算用!$H$2:$H$721,設定!$B$8,計算用!$D$2:$D$721,B26))</f>
        <v/>
      </c>
      <c r="E26" s="23">
        <f>IF(B26="","",C26+D26)</f>
        <v/>
      </c>
    </row>
    <row r="27"/>
    <row r="28">
      <c r="A28" s="14" t="inlineStr">
        <is>
          <t>※ 未入力の子や設定にない委員会名は、6年・5年シートでうすい赤・赤になっています。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D1:H1"/>
  </mergeCells>
  <conditionalFormatting sqref="C3:D3">
    <cfRule type="expression" priority="1" dxfId="8">
      <formula>VALUE(MID(C3,FIND(" ",C3)+1,LEN(C3)-FIND(" ",C3)-1))&gt;0</formula>
    </cfRule>
  </conditionalFormatting>
  <conditionalFormatting sqref="C4">
    <cfRule type="expression" priority="2" dxfId="8">
      <formula>VALUE(LEFT(C4,LEN(C4)-1))&gt;0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V11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5" customWidth="1" min="3" max="3"/>
    <col width="13" customWidth="1" min="4" max="4"/>
    <col width="5" customWidth="1" min="5" max="5"/>
    <col width="13" customWidth="1" min="6" max="6"/>
    <col width="5" customWidth="1" min="7" max="7"/>
    <col width="13" customWidth="1" min="8" max="8"/>
    <col width="5" customWidth="1" min="9" max="9"/>
    <col width="13" customWidth="1" min="10" max="10"/>
    <col width="5" customWidth="1" min="11" max="11"/>
    <col width="13" customWidth="1" min="12" max="12"/>
    <col width="5" customWidth="1" min="13" max="13"/>
    <col width="13" customWidth="1" min="14" max="14"/>
    <col width="5" customWidth="1" min="15" max="15"/>
    <col width="13" customWidth="1" min="16" max="16"/>
    <col width="5" customWidth="1" min="17" max="17"/>
    <col width="13" customWidth="1" min="18" max="18"/>
    <col width="5" customWidth="1" min="19" max="19"/>
    <col width="13" customWidth="1" min="20" max="20"/>
    <col width="30" customWidth="1" min="22" max="22"/>
  </cols>
  <sheetData>
    <row r="1">
      <c r="A1" s="1">
        <f>設定!B3&amp;"　全"&amp;設定!B4&amp;"担当者および児童名簿"</f>
        <v/>
      </c>
      <c r="V1" s="22" t="inlineStr">
        <is>
          <t>【入力なし】見る・印刷するだけ</t>
        </is>
      </c>
    </row>
    <row r="2"/>
    <row r="3">
      <c r="A3" s="18">
        <f>IF(設定!$I$11="","",設定!$I$11&amp;"（"&amp;人数チェック!$E$7&amp;"名）")</f>
        <v/>
      </c>
      <c r="B3" s="33" t="n"/>
      <c r="C3" s="18">
        <f>IF(設定!$I$12="","",設定!$I$12&amp;"（"&amp;人数チェック!$E$8&amp;"名）")</f>
        <v/>
      </c>
      <c r="D3" s="33" t="n"/>
      <c r="E3" s="18">
        <f>IF(設定!$I$13="","",設定!$I$13&amp;"（"&amp;人数チェック!$E$9&amp;"名）")</f>
        <v/>
      </c>
      <c r="F3" s="33" t="n"/>
      <c r="G3" s="18">
        <f>IF(設定!$I$14="","",設定!$I$14&amp;"（"&amp;人数チェック!$E$10&amp;"名）")</f>
        <v/>
      </c>
      <c r="H3" s="33" t="n"/>
      <c r="I3" s="18">
        <f>IF(設定!$I$15="","",設定!$I$15&amp;"（"&amp;人数チェック!$E$11&amp;"名）")</f>
        <v/>
      </c>
      <c r="J3" s="33" t="n"/>
      <c r="K3" s="18">
        <f>IF(設定!$I$16="","",設定!$I$16&amp;"（"&amp;人数チェック!$E$12&amp;"名）")</f>
        <v/>
      </c>
      <c r="L3" s="33" t="n"/>
      <c r="M3" s="18">
        <f>IF(設定!$I$17="","",設定!$I$17&amp;"（"&amp;人数チェック!$E$13&amp;"名）")</f>
        <v/>
      </c>
      <c r="N3" s="33" t="n"/>
      <c r="O3" s="18">
        <f>IF(設定!$I$18="","",設定!$I$18&amp;"（"&amp;人数チェック!$E$14&amp;"名）")</f>
        <v/>
      </c>
      <c r="P3" s="33" t="n"/>
      <c r="Q3" s="18">
        <f>IF(設定!$I$19="","",設定!$I$19&amp;"（"&amp;人数チェック!$E$15&amp;"名）")</f>
        <v/>
      </c>
      <c r="R3" s="33" t="n"/>
      <c r="S3" s="18">
        <f>IF(設定!$I$20="","",設定!$I$20&amp;"（"&amp;人数チェック!$E$16&amp;"名）")</f>
        <v/>
      </c>
      <c r="T3" s="33" t="n"/>
    </row>
    <row r="4">
      <c r="A4" s="25">
        <f>IF(設定!$I$11="","","担当："&amp;設定!$J$11)</f>
        <v/>
      </c>
      <c r="B4" s="33" t="n"/>
      <c r="C4" s="25">
        <f>IF(設定!$I$12="","","担当："&amp;設定!$J$12)</f>
        <v/>
      </c>
      <c r="D4" s="33" t="n"/>
      <c r="E4" s="25">
        <f>IF(設定!$I$13="","","担当："&amp;設定!$J$13)</f>
        <v/>
      </c>
      <c r="F4" s="33" t="n"/>
      <c r="G4" s="25">
        <f>IF(設定!$I$14="","","担当："&amp;設定!$J$14)</f>
        <v/>
      </c>
      <c r="H4" s="33" t="n"/>
      <c r="I4" s="25">
        <f>IF(設定!$I$15="","","担当："&amp;設定!$J$15)</f>
        <v/>
      </c>
      <c r="J4" s="33" t="n"/>
      <c r="K4" s="25">
        <f>IF(設定!$I$16="","","担当："&amp;設定!$J$16)</f>
        <v/>
      </c>
      <c r="L4" s="33" t="n"/>
      <c r="M4" s="25">
        <f>IF(設定!$I$17="","","担当："&amp;設定!$J$17)</f>
        <v/>
      </c>
      <c r="N4" s="33" t="n"/>
      <c r="O4" s="25">
        <f>IF(設定!$I$18="","","担当："&amp;設定!$J$18)</f>
        <v/>
      </c>
      <c r="P4" s="33" t="n"/>
      <c r="Q4" s="25">
        <f>IF(設定!$I$19="","","担当："&amp;設定!$J$19)</f>
        <v/>
      </c>
      <c r="R4" s="33" t="n"/>
      <c r="S4" s="25">
        <f>IF(設定!$I$20="","","担当："&amp;設定!$J$20)</f>
        <v/>
      </c>
      <c r="T4" s="33" t="n"/>
    </row>
    <row r="5">
      <c r="A5" s="25">
        <f>IF(設定!$I$11="","","場所："&amp;設定!$K$11)</f>
        <v/>
      </c>
      <c r="B5" s="33" t="n"/>
      <c r="C5" s="25">
        <f>IF(設定!$I$12="","","場所："&amp;設定!$K$12)</f>
        <v/>
      </c>
      <c r="D5" s="33" t="n"/>
      <c r="E5" s="25">
        <f>IF(設定!$I$13="","","場所："&amp;設定!$K$13)</f>
        <v/>
      </c>
      <c r="F5" s="33" t="n"/>
      <c r="G5" s="25">
        <f>IF(設定!$I$14="","","場所："&amp;設定!$K$14)</f>
        <v/>
      </c>
      <c r="H5" s="33" t="n"/>
      <c r="I5" s="25">
        <f>IF(設定!$I$15="","","場所："&amp;設定!$K$15)</f>
        <v/>
      </c>
      <c r="J5" s="33" t="n"/>
      <c r="K5" s="25">
        <f>IF(設定!$I$16="","","場所："&amp;設定!$K$16)</f>
        <v/>
      </c>
      <c r="L5" s="33" t="n"/>
      <c r="M5" s="25">
        <f>IF(設定!$I$17="","","場所："&amp;設定!$K$17)</f>
        <v/>
      </c>
      <c r="N5" s="33" t="n"/>
      <c r="O5" s="25">
        <f>IF(設定!$I$18="","","場所："&amp;設定!$K$18)</f>
        <v/>
      </c>
      <c r="P5" s="33" t="n"/>
      <c r="Q5" s="25">
        <f>IF(設定!$I$19="","","場所："&amp;設定!$K$19)</f>
        <v/>
      </c>
      <c r="R5" s="33" t="n"/>
      <c r="S5" s="25">
        <f>IF(設定!$I$20="","","場所："&amp;設定!$K$20)</f>
        <v/>
      </c>
      <c r="T5" s="33" t="n"/>
    </row>
    <row r="6">
      <c r="A6" s="18" t="inlineStr">
        <is>
          <t>組</t>
        </is>
      </c>
      <c r="B6" s="18" t="inlineStr">
        <is>
          <t>名前</t>
        </is>
      </c>
      <c r="C6" s="18" t="inlineStr">
        <is>
          <t>組</t>
        </is>
      </c>
      <c r="D6" s="18" t="inlineStr">
        <is>
          <t>名前</t>
        </is>
      </c>
      <c r="E6" s="18" t="inlineStr">
        <is>
          <t>組</t>
        </is>
      </c>
      <c r="F6" s="18" t="inlineStr">
        <is>
          <t>名前</t>
        </is>
      </c>
      <c r="G6" s="18" t="inlineStr">
        <is>
          <t>組</t>
        </is>
      </c>
      <c r="H6" s="18" t="inlineStr">
        <is>
          <t>名前</t>
        </is>
      </c>
      <c r="I6" s="18" t="inlineStr">
        <is>
          <t>組</t>
        </is>
      </c>
      <c r="J6" s="18" t="inlineStr">
        <is>
          <t>名前</t>
        </is>
      </c>
      <c r="K6" s="18" t="inlineStr">
        <is>
          <t>組</t>
        </is>
      </c>
      <c r="L6" s="18" t="inlineStr">
        <is>
          <t>名前</t>
        </is>
      </c>
      <c r="M6" s="18" t="inlineStr">
        <is>
          <t>組</t>
        </is>
      </c>
      <c r="N6" s="18" t="inlineStr">
        <is>
          <t>名前</t>
        </is>
      </c>
      <c r="O6" s="18" t="inlineStr">
        <is>
          <t>組</t>
        </is>
      </c>
      <c r="P6" s="18" t="inlineStr">
        <is>
          <t>名前</t>
        </is>
      </c>
      <c r="Q6" s="18" t="inlineStr">
        <is>
          <t>組</t>
        </is>
      </c>
      <c r="R6" s="18" t="inlineStr">
        <is>
          <t>名前</t>
        </is>
      </c>
      <c r="S6" s="18" t="inlineStr">
        <is>
          <t>組</t>
        </is>
      </c>
      <c r="T6" s="18" t="inlineStr">
        <is>
          <t>名前</t>
        </is>
      </c>
    </row>
    <row r="7">
      <c r="A7" s="25">
        <f>IF(計算用!$M$2="","",INDEX(計算用!$A$2:$A$721,計算用!$M$2))</f>
        <v/>
      </c>
      <c r="B7" s="26">
        <f>IF(計算用!$M$2="","",INDEX(計算用!$C$2:$C$721,計算用!$M$2))</f>
        <v/>
      </c>
      <c r="C7" s="25">
        <f>IF(計算用!$N$2="","",INDEX(計算用!$A$2:$A$721,計算用!$N$2))</f>
        <v/>
      </c>
      <c r="D7" s="26">
        <f>IF(計算用!$N$2="","",INDEX(計算用!$C$2:$C$721,計算用!$N$2))</f>
        <v/>
      </c>
      <c r="E7" s="25">
        <f>IF(計算用!$O$2="","",INDEX(計算用!$A$2:$A$721,計算用!$O$2))</f>
        <v/>
      </c>
      <c r="F7" s="26">
        <f>IF(計算用!$O$2="","",INDEX(計算用!$C$2:$C$721,計算用!$O$2))</f>
        <v/>
      </c>
      <c r="G7" s="25">
        <f>IF(計算用!$P$2="","",INDEX(計算用!$A$2:$A$721,計算用!$P$2))</f>
        <v/>
      </c>
      <c r="H7" s="26">
        <f>IF(計算用!$P$2="","",INDEX(計算用!$C$2:$C$721,計算用!$P$2))</f>
        <v/>
      </c>
      <c r="I7" s="25">
        <f>IF(計算用!$Q$2="","",INDEX(計算用!$A$2:$A$721,計算用!$Q$2))</f>
        <v/>
      </c>
      <c r="J7" s="26">
        <f>IF(計算用!$Q$2="","",INDEX(計算用!$C$2:$C$721,計算用!$Q$2))</f>
        <v/>
      </c>
      <c r="K7" s="25">
        <f>IF(計算用!$R$2="","",INDEX(計算用!$A$2:$A$721,計算用!$R$2))</f>
        <v/>
      </c>
      <c r="L7" s="26">
        <f>IF(計算用!$R$2="","",INDEX(計算用!$C$2:$C$721,計算用!$R$2))</f>
        <v/>
      </c>
      <c r="M7" s="25">
        <f>IF(計算用!$S$2="","",INDEX(計算用!$A$2:$A$721,計算用!$S$2))</f>
        <v/>
      </c>
      <c r="N7" s="26">
        <f>IF(計算用!$S$2="","",INDEX(計算用!$C$2:$C$721,計算用!$S$2))</f>
        <v/>
      </c>
      <c r="O7" s="25">
        <f>IF(計算用!$T$2="","",INDEX(計算用!$A$2:$A$721,計算用!$T$2))</f>
        <v/>
      </c>
      <c r="P7" s="26">
        <f>IF(計算用!$T$2="","",INDEX(計算用!$C$2:$C$721,計算用!$T$2))</f>
        <v/>
      </c>
      <c r="Q7" s="25">
        <f>IF(計算用!$U$2="","",INDEX(計算用!$A$2:$A$721,計算用!$U$2))</f>
        <v/>
      </c>
      <c r="R7" s="26">
        <f>IF(計算用!$U$2="","",INDEX(計算用!$C$2:$C$721,計算用!$U$2))</f>
        <v/>
      </c>
      <c r="S7" s="25">
        <f>IF(計算用!$V$2="","",INDEX(計算用!$A$2:$A$721,計算用!$V$2))</f>
        <v/>
      </c>
      <c r="T7" s="26">
        <f>IF(計算用!$V$2="","",INDEX(計算用!$C$2:$C$721,計算用!$V$2))</f>
        <v/>
      </c>
    </row>
    <row r="8">
      <c r="A8" s="25">
        <f>IF(計算用!$M$3="","",INDEX(計算用!$A$2:$A$721,計算用!$M$3))</f>
        <v/>
      </c>
      <c r="B8" s="26">
        <f>IF(計算用!$M$3="","",INDEX(計算用!$C$2:$C$721,計算用!$M$3))</f>
        <v/>
      </c>
      <c r="C8" s="25">
        <f>IF(計算用!$N$3="","",INDEX(計算用!$A$2:$A$721,計算用!$N$3))</f>
        <v/>
      </c>
      <c r="D8" s="26">
        <f>IF(計算用!$N$3="","",INDEX(計算用!$C$2:$C$721,計算用!$N$3))</f>
        <v/>
      </c>
      <c r="E8" s="25">
        <f>IF(計算用!$O$3="","",INDEX(計算用!$A$2:$A$721,計算用!$O$3))</f>
        <v/>
      </c>
      <c r="F8" s="26">
        <f>IF(計算用!$O$3="","",INDEX(計算用!$C$2:$C$721,計算用!$O$3))</f>
        <v/>
      </c>
      <c r="G8" s="25">
        <f>IF(計算用!$P$3="","",INDEX(計算用!$A$2:$A$721,計算用!$P$3))</f>
        <v/>
      </c>
      <c r="H8" s="26">
        <f>IF(計算用!$P$3="","",INDEX(計算用!$C$2:$C$721,計算用!$P$3))</f>
        <v/>
      </c>
      <c r="I8" s="25">
        <f>IF(計算用!$Q$3="","",INDEX(計算用!$A$2:$A$721,計算用!$Q$3))</f>
        <v/>
      </c>
      <c r="J8" s="26">
        <f>IF(計算用!$Q$3="","",INDEX(計算用!$C$2:$C$721,計算用!$Q$3))</f>
        <v/>
      </c>
      <c r="K8" s="25">
        <f>IF(計算用!$R$3="","",INDEX(計算用!$A$2:$A$721,計算用!$R$3))</f>
        <v/>
      </c>
      <c r="L8" s="26">
        <f>IF(計算用!$R$3="","",INDEX(計算用!$C$2:$C$721,計算用!$R$3))</f>
        <v/>
      </c>
      <c r="M8" s="25">
        <f>IF(計算用!$S$3="","",INDEX(計算用!$A$2:$A$721,計算用!$S$3))</f>
        <v/>
      </c>
      <c r="N8" s="26">
        <f>IF(計算用!$S$3="","",INDEX(計算用!$C$2:$C$721,計算用!$S$3))</f>
        <v/>
      </c>
      <c r="O8" s="25">
        <f>IF(計算用!$T$3="","",INDEX(計算用!$A$2:$A$721,計算用!$T$3))</f>
        <v/>
      </c>
      <c r="P8" s="26">
        <f>IF(計算用!$T$3="","",INDEX(計算用!$C$2:$C$721,計算用!$T$3))</f>
        <v/>
      </c>
      <c r="Q8" s="25">
        <f>IF(計算用!$U$3="","",INDEX(計算用!$A$2:$A$721,計算用!$U$3))</f>
        <v/>
      </c>
      <c r="R8" s="26">
        <f>IF(計算用!$U$3="","",INDEX(計算用!$C$2:$C$721,計算用!$U$3))</f>
        <v/>
      </c>
      <c r="S8" s="25">
        <f>IF(計算用!$V$3="","",INDEX(計算用!$A$2:$A$721,計算用!$V$3))</f>
        <v/>
      </c>
      <c r="T8" s="26">
        <f>IF(計算用!$V$3="","",INDEX(計算用!$C$2:$C$721,計算用!$V$3))</f>
        <v/>
      </c>
    </row>
    <row r="9">
      <c r="A9" s="25">
        <f>IF(計算用!$M$4="","",INDEX(計算用!$A$2:$A$721,計算用!$M$4))</f>
        <v/>
      </c>
      <c r="B9" s="26">
        <f>IF(計算用!$M$4="","",INDEX(計算用!$C$2:$C$721,計算用!$M$4))</f>
        <v/>
      </c>
      <c r="C9" s="25">
        <f>IF(計算用!$N$4="","",INDEX(計算用!$A$2:$A$721,計算用!$N$4))</f>
        <v/>
      </c>
      <c r="D9" s="26">
        <f>IF(計算用!$N$4="","",INDEX(計算用!$C$2:$C$721,計算用!$N$4))</f>
        <v/>
      </c>
      <c r="E9" s="25">
        <f>IF(計算用!$O$4="","",INDEX(計算用!$A$2:$A$721,計算用!$O$4))</f>
        <v/>
      </c>
      <c r="F9" s="26">
        <f>IF(計算用!$O$4="","",INDEX(計算用!$C$2:$C$721,計算用!$O$4))</f>
        <v/>
      </c>
      <c r="G9" s="25">
        <f>IF(計算用!$P$4="","",INDEX(計算用!$A$2:$A$721,計算用!$P$4))</f>
        <v/>
      </c>
      <c r="H9" s="26">
        <f>IF(計算用!$P$4="","",INDEX(計算用!$C$2:$C$721,計算用!$P$4))</f>
        <v/>
      </c>
      <c r="I9" s="25">
        <f>IF(計算用!$Q$4="","",INDEX(計算用!$A$2:$A$721,計算用!$Q$4))</f>
        <v/>
      </c>
      <c r="J9" s="26">
        <f>IF(計算用!$Q$4="","",INDEX(計算用!$C$2:$C$721,計算用!$Q$4))</f>
        <v/>
      </c>
      <c r="K9" s="25">
        <f>IF(計算用!$R$4="","",INDEX(計算用!$A$2:$A$721,計算用!$R$4))</f>
        <v/>
      </c>
      <c r="L9" s="26">
        <f>IF(計算用!$R$4="","",INDEX(計算用!$C$2:$C$721,計算用!$R$4))</f>
        <v/>
      </c>
      <c r="M9" s="25">
        <f>IF(計算用!$S$4="","",INDEX(計算用!$A$2:$A$721,計算用!$S$4))</f>
        <v/>
      </c>
      <c r="N9" s="26">
        <f>IF(計算用!$S$4="","",INDEX(計算用!$C$2:$C$721,計算用!$S$4))</f>
        <v/>
      </c>
      <c r="O9" s="25">
        <f>IF(計算用!$T$4="","",INDEX(計算用!$A$2:$A$721,計算用!$T$4))</f>
        <v/>
      </c>
      <c r="P9" s="26">
        <f>IF(計算用!$T$4="","",INDEX(計算用!$C$2:$C$721,計算用!$T$4))</f>
        <v/>
      </c>
      <c r="Q9" s="25">
        <f>IF(計算用!$U$4="","",INDEX(計算用!$A$2:$A$721,計算用!$U$4))</f>
        <v/>
      </c>
      <c r="R9" s="26">
        <f>IF(計算用!$U$4="","",INDEX(計算用!$C$2:$C$721,計算用!$U$4))</f>
        <v/>
      </c>
      <c r="S9" s="25">
        <f>IF(計算用!$V$4="","",INDEX(計算用!$A$2:$A$721,計算用!$V$4))</f>
        <v/>
      </c>
      <c r="T9" s="26">
        <f>IF(計算用!$V$4="","",INDEX(計算用!$C$2:$C$721,計算用!$V$4))</f>
        <v/>
      </c>
    </row>
    <row r="10">
      <c r="A10" s="25">
        <f>IF(計算用!$M$5="","",INDEX(計算用!$A$2:$A$721,計算用!$M$5))</f>
        <v/>
      </c>
      <c r="B10" s="26">
        <f>IF(計算用!$M$5="","",INDEX(計算用!$C$2:$C$721,計算用!$M$5))</f>
        <v/>
      </c>
      <c r="C10" s="25">
        <f>IF(計算用!$N$5="","",INDEX(計算用!$A$2:$A$721,計算用!$N$5))</f>
        <v/>
      </c>
      <c r="D10" s="26">
        <f>IF(計算用!$N$5="","",INDEX(計算用!$C$2:$C$721,計算用!$N$5))</f>
        <v/>
      </c>
      <c r="E10" s="25">
        <f>IF(計算用!$O$5="","",INDEX(計算用!$A$2:$A$721,計算用!$O$5))</f>
        <v/>
      </c>
      <c r="F10" s="26">
        <f>IF(計算用!$O$5="","",INDEX(計算用!$C$2:$C$721,計算用!$O$5))</f>
        <v/>
      </c>
      <c r="G10" s="25">
        <f>IF(計算用!$P$5="","",INDEX(計算用!$A$2:$A$721,計算用!$P$5))</f>
        <v/>
      </c>
      <c r="H10" s="26">
        <f>IF(計算用!$P$5="","",INDEX(計算用!$C$2:$C$721,計算用!$P$5))</f>
        <v/>
      </c>
      <c r="I10" s="25">
        <f>IF(計算用!$Q$5="","",INDEX(計算用!$A$2:$A$721,計算用!$Q$5))</f>
        <v/>
      </c>
      <c r="J10" s="26">
        <f>IF(計算用!$Q$5="","",INDEX(計算用!$C$2:$C$721,計算用!$Q$5))</f>
        <v/>
      </c>
      <c r="K10" s="25">
        <f>IF(計算用!$R$5="","",INDEX(計算用!$A$2:$A$721,計算用!$R$5))</f>
        <v/>
      </c>
      <c r="L10" s="26">
        <f>IF(計算用!$R$5="","",INDEX(計算用!$C$2:$C$721,計算用!$R$5))</f>
        <v/>
      </c>
      <c r="M10" s="25">
        <f>IF(計算用!$S$5="","",INDEX(計算用!$A$2:$A$721,計算用!$S$5))</f>
        <v/>
      </c>
      <c r="N10" s="26">
        <f>IF(計算用!$S$5="","",INDEX(計算用!$C$2:$C$721,計算用!$S$5))</f>
        <v/>
      </c>
      <c r="O10" s="25">
        <f>IF(計算用!$T$5="","",INDEX(計算用!$A$2:$A$721,計算用!$T$5))</f>
        <v/>
      </c>
      <c r="P10" s="26">
        <f>IF(計算用!$T$5="","",INDEX(計算用!$C$2:$C$721,計算用!$T$5))</f>
        <v/>
      </c>
      <c r="Q10" s="25">
        <f>IF(計算用!$U$5="","",INDEX(計算用!$A$2:$A$721,計算用!$U$5))</f>
        <v/>
      </c>
      <c r="R10" s="26">
        <f>IF(計算用!$U$5="","",INDEX(計算用!$C$2:$C$721,計算用!$U$5))</f>
        <v/>
      </c>
      <c r="S10" s="25">
        <f>IF(計算用!$V$5="","",INDEX(計算用!$A$2:$A$721,計算用!$V$5))</f>
        <v/>
      </c>
      <c r="T10" s="26">
        <f>IF(計算用!$V$5="","",INDEX(計算用!$C$2:$C$721,計算用!$V$5))</f>
        <v/>
      </c>
    </row>
    <row r="11">
      <c r="A11" s="25">
        <f>IF(計算用!$M$6="","",INDEX(計算用!$A$2:$A$721,計算用!$M$6))</f>
        <v/>
      </c>
      <c r="B11" s="26">
        <f>IF(計算用!$M$6="","",INDEX(計算用!$C$2:$C$721,計算用!$M$6))</f>
        <v/>
      </c>
      <c r="C11" s="25">
        <f>IF(計算用!$N$6="","",INDEX(計算用!$A$2:$A$721,計算用!$N$6))</f>
        <v/>
      </c>
      <c r="D11" s="26">
        <f>IF(計算用!$N$6="","",INDEX(計算用!$C$2:$C$721,計算用!$N$6))</f>
        <v/>
      </c>
      <c r="E11" s="25">
        <f>IF(計算用!$O$6="","",INDEX(計算用!$A$2:$A$721,計算用!$O$6))</f>
        <v/>
      </c>
      <c r="F11" s="26">
        <f>IF(計算用!$O$6="","",INDEX(計算用!$C$2:$C$721,計算用!$O$6))</f>
        <v/>
      </c>
      <c r="G11" s="25">
        <f>IF(計算用!$P$6="","",INDEX(計算用!$A$2:$A$721,計算用!$P$6))</f>
        <v/>
      </c>
      <c r="H11" s="26">
        <f>IF(計算用!$P$6="","",INDEX(計算用!$C$2:$C$721,計算用!$P$6))</f>
        <v/>
      </c>
      <c r="I11" s="25">
        <f>IF(計算用!$Q$6="","",INDEX(計算用!$A$2:$A$721,計算用!$Q$6))</f>
        <v/>
      </c>
      <c r="J11" s="26">
        <f>IF(計算用!$Q$6="","",INDEX(計算用!$C$2:$C$721,計算用!$Q$6))</f>
        <v/>
      </c>
      <c r="K11" s="25">
        <f>IF(計算用!$R$6="","",INDEX(計算用!$A$2:$A$721,計算用!$R$6))</f>
        <v/>
      </c>
      <c r="L11" s="26">
        <f>IF(計算用!$R$6="","",INDEX(計算用!$C$2:$C$721,計算用!$R$6))</f>
        <v/>
      </c>
      <c r="M11" s="25">
        <f>IF(計算用!$S$6="","",INDEX(計算用!$A$2:$A$721,計算用!$S$6))</f>
        <v/>
      </c>
      <c r="N11" s="26">
        <f>IF(計算用!$S$6="","",INDEX(計算用!$C$2:$C$721,計算用!$S$6))</f>
        <v/>
      </c>
      <c r="O11" s="25">
        <f>IF(計算用!$T$6="","",INDEX(計算用!$A$2:$A$721,計算用!$T$6))</f>
        <v/>
      </c>
      <c r="P11" s="26">
        <f>IF(計算用!$T$6="","",INDEX(計算用!$C$2:$C$721,計算用!$T$6))</f>
        <v/>
      </c>
      <c r="Q11" s="25">
        <f>IF(計算用!$U$6="","",INDEX(計算用!$A$2:$A$721,計算用!$U$6))</f>
        <v/>
      </c>
      <c r="R11" s="26">
        <f>IF(計算用!$U$6="","",INDEX(計算用!$C$2:$C$721,計算用!$U$6))</f>
        <v/>
      </c>
      <c r="S11" s="25">
        <f>IF(計算用!$V$6="","",INDEX(計算用!$A$2:$A$721,計算用!$V$6))</f>
        <v/>
      </c>
      <c r="T11" s="26">
        <f>IF(計算用!$V$6="","",INDEX(計算用!$C$2:$C$721,計算用!$V$6))</f>
        <v/>
      </c>
    </row>
    <row r="12">
      <c r="A12" s="25">
        <f>IF(計算用!$M$7="","",INDEX(計算用!$A$2:$A$721,計算用!$M$7))</f>
        <v/>
      </c>
      <c r="B12" s="26">
        <f>IF(計算用!$M$7="","",INDEX(計算用!$C$2:$C$721,計算用!$M$7))</f>
        <v/>
      </c>
      <c r="C12" s="25">
        <f>IF(計算用!$N$7="","",INDEX(計算用!$A$2:$A$721,計算用!$N$7))</f>
        <v/>
      </c>
      <c r="D12" s="26">
        <f>IF(計算用!$N$7="","",INDEX(計算用!$C$2:$C$721,計算用!$N$7))</f>
        <v/>
      </c>
      <c r="E12" s="25">
        <f>IF(計算用!$O$7="","",INDEX(計算用!$A$2:$A$721,計算用!$O$7))</f>
        <v/>
      </c>
      <c r="F12" s="26">
        <f>IF(計算用!$O$7="","",INDEX(計算用!$C$2:$C$721,計算用!$O$7))</f>
        <v/>
      </c>
      <c r="G12" s="25">
        <f>IF(計算用!$P$7="","",INDEX(計算用!$A$2:$A$721,計算用!$P$7))</f>
        <v/>
      </c>
      <c r="H12" s="26">
        <f>IF(計算用!$P$7="","",INDEX(計算用!$C$2:$C$721,計算用!$P$7))</f>
        <v/>
      </c>
      <c r="I12" s="25">
        <f>IF(計算用!$Q$7="","",INDEX(計算用!$A$2:$A$721,計算用!$Q$7))</f>
        <v/>
      </c>
      <c r="J12" s="26">
        <f>IF(計算用!$Q$7="","",INDEX(計算用!$C$2:$C$721,計算用!$Q$7))</f>
        <v/>
      </c>
      <c r="K12" s="25">
        <f>IF(計算用!$R$7="","",INDEX(計算用!$A$2:$A$721,計算用!$R$7))</f>
        <v/>
      </c>
      <c r="L12" s="26">
        <f>IF(計算用!$R$7="","",INDEX(計算用!$C$2:$C$721,計算用!$R$7))</f>
        <v/>
      </c>
      <c r="M12" s="25">
        <f>IF(計算用!$S$7="","",INDEX(計算用!$A$2:$A$721,計算用!$S$7))</f>
        <v/>
      </c>
      <c r="N12" s="26">
        <f>IF(計算用!$S$7="","",INDEX(計算用!$C$2:$C$721,計算用!$S$7))</f>
        <v/>
      </c>
      <c r="O12" s="25">
        <f>IF(計算用!$T$7="","",INDEX(計算用!$A$2:$A$721,計算用!$T$7))</f>
        <v/>
      </c>
      <c r="P12" s="26">
        <f>IF(計算用!$T$7="","",INDEX(計算用!$C$2:$C$721,計算用!$T$7))</f>
        <v/>
      </c>
      <c r="Q12" s="25">
        <f>IF(計算用!$U$7="","",INDEX(計算用!$A$2:$A$721,計算用!$U$7))</f>
        <v/>
      </c>
      <c r="R12" s="26">
        <f>IF(計算用!$U$7="","",INDEX(計算用!$C$2:$C$721,計算用!$U$7))</f>
        <v/>
      </c>
      <c r="S12" s="25">
        <f>IF(計算用!$V$7="","",INDEX(計算用!$A$2:$A$721,計算用!$V$7))</f>
        <v/>
      </c>
      <c r="T12" s="26">
        <f>IF(計算用!$V$7="","",INDEX(計算用!$C$2:$C$721,計算用!$V$7))</f>
        <v/>
      </c>
    </row>
    <row r="13">
      <c r="A13" s="25">
        <f>IF(計算用!$M$8="","",INDEX(計算用!$A$2:$A$721,計算用!$M$8))</f>
        <v/>
      </c>
      <c r="B13" s="26">
        <f>IF(計算用!$M$8="","",INDEX(計算用!$C$2:$C$721,計算用!$M$8))</f>
        <v/>
      </c>
      <c r="C13" s="25">
        <f>IF(計算用!$N$8="","",INDEX(計算用!$A$2:$A$721,計算用!$N$8))</f>
        <v/>
      </c>
      <c r="D13" s="26">
        <f>IF(計算用!$N$8="","",INDEX(計算用!$C$2:$C$721,計算用!$N$8))</f>
        <v/>
      </c>
      <c r="E13" s="25">
        <f>IF(計算用!$O$8="","",INDEX(計算用!$A$2:$A$721,計算用!$O$8))</f>
        <v/>
      </c>
      <c r="F13" s="26">
        <f>IF(計算用!$O$8="","",INDEX(計算用!$C$2:$C$721,計算用!$O$8))</f>
        <v/>
      </c>
      <c r="G13" s="25">
        <f>IF(計算用!$P$8="","",INDEX(計算用!$A$2:$A$721,計算用!$P$8))</f>
        <v/>
      </c>
      <c r="H13" s="26">
        <f>IF(計算用!$P$8="","",INDEX(計算用!$C$2:$C$721,計算用!$P$8))</f>
        <v/>
      </c>
      <c r="I13" s="25">
        <f>IF(計算用!$Q$8="","",INDEX(計算用!$A$2:$A$721,計算用!$Q$8))</f>
        <v/>
      </c>
      <c r="J13" s="26">
        <f>IF(計算用!$Q$8="","",INDEX(計算用!$C$2:$C$721,計算用!$Q$8))</f>
        <v/>
      </c>
      <c r="K13" s="25">
        <f>IF(計算用!$R$8="","",INDEX(計算用!$A$2:$A$721,計算用!$R$8))</f>
        <v/>
      </c>
      <c r="L13" s="26">
        <f>IF(計算用!$R$8="","",INDEX(計算用!$C$2:$C$721,計算用!$R$8))</f>
        <v/>
      </c>
      <c r="M13" s="25">
        <f>IF(計算用!$S$8="","",INDEX(計算用!$A$2:$A$721,計算用!$S$8))</f>
        <v/>
      </c>
      <c r="N13" s="26">
        <f>IF(計算用!$S$8="","",INDEX(計算用!$C$2:$C$721,計算用!$S$8))</f>
        <v/>
      </c>
      <c r="O13" s="25">
        <f>IF(計算用!$T$8="","",INDEX(計算用!$A$2:$A$721,計算用!$T$8))</f>
        <v/>
      </c>
      <c r="P13" s="26">
        <f>IF(計算用!$T$8="","",INDEX(計算用!$C$2:$C$721,計算用!$T$8))</f>
        <v/>
      </c>
      <c r="Q13" s="25">
        <f>IF(計算用!$U$8="","",INDEX(計算用!$A$2:$A$721,計算用!$U$8))</f>
        <v/>
      </c>
      <c r="R13" s="26">
        <f>IF(計算用!$U$8="","",INDEX(計算用!$C$2:$C$721,計算用!$U$8))</f>
        <v/>
      </c>
      <c r="S13" s="25">
        <f>IF(計算用!$V$8="","",INDEX(計算用!$A$2:$A$721,計算用!$V$8))</f>
        <v/>
      </c>
      <c r="T13" s="26">
        <f>IF(計算用!$V$8="","",INDEX(計算用!$C$2:$C$721,計算用!$V$8))</f>
        <v/>
      </c>
    </row>
    <row r="14">
      <c r="A14" s="25">
        <f>IF(計算用!$M$9="","",INDEX(計算用!$A$2:$A$721,計算用!$M$9))</f>
        <v/>
      </c>
      <c r="B14" s="26">
        <f>IF(計算用!$M$9="","",INDEX(計算用!$C$2:$C$721,計算用!$M$9))</f>
        <v/>
      </c>
      <c r="C14" s="25">
        <f>IF(計算用!$N$9="","",INDEX(計算用!$A$2:$A$721,計算用!$N$9))</f>
        <v/>
      </c>
      <c r="D14" s="26">
        <f>IF(計算用!$N$9="","",INDEX(計算用!$C$2:$C$721,計算用!$N$9))</f>
        <v/>
      </c>
      <c r="E14" s="25">
        <f>IF(計算用!$O$9="","",INDEX(計算用!$A$2:$A$721,計算用!$O$9))</f>
        <v/>
      </c>
      <c r="F14" s="26">
        <f>IF(計算用!$O$9="","",INDEX(計算用!$C$2:$C$721,計算用!$O$9))</f>
        <v/>
      </c>
      <c r="G14" s="25">
        <f>IF(計算用!$P$9="","",INDEX(計算用!$A$2:$A$721,計算用!$P$9))</f>
        <v/>
      </c>
      <c r="H14" s="26">
        <f>IF(計算用!$P$9="","",INDEX(計算用!$C$2:$C$721,計算用!$P$9))</f>
        <v/>
      </c>
      <c r="I14" s="25">
        <f>IF(計算用!$Q$9="","",INDEX(計算用!$A$2:$A$721,計算用!$Q$9))</f>
        <v/>
      </c>
      <c r="J14" s="26">
        <f>IF(計算用!$Q$9="","",INDEX(計算用!$C$2:$C$721,計算用!$Q$9))</f>
        <v/>
      </c>
      <c r="K14" s="25">
        <f>IF(計算用!$R$9="","",INDEX(計算用!$A$2:$A$721,計算用!$R$9))</f>
        <v/>
      </c>
      <c r="L14" s="26">
        <f>IF(計算用!$R$9="","",INDEX(計算用!$C$2:$C$721,計算用!$R$9))</f>
        <v/>
      </c>
      <c r="M14" s="25">
        <f>IF(計算用!$S$9="","",INDEX(計算用!$A$2:$A$721,計算用!$S$9))</f>
        <v/>
      </c>
      <c r="N14" s="26">
        <f>IF(計算用!$S$9="","",INDEX(計算用!$C$2:$C$721,計算用!$S$9))</f>
        <v/>
      </c>
      <c r="O14" s="25">
        <f>IF(計算用!$T$9="","",INDEX(計算用!$A$2:$A$721,計算用!$T$9))</f>
        <v/>
      </c>
      <c r="P14" s="26">
        <f>IF(計算用!$T$9="","",INDEX(計算用!$C$2:$C$721,計算用!$T$9))</f>
        <v/>
      </c>
      <c r="Q14" s="25">
        <f>IF(計算用!$U$9="","",INDEX(計算用!$A$2:$A$721,計算用!$U$9))</f>
        <v/>
      </c>
      <c r="R14" s="26">
        <f>IF(計算用!$U$9="","",INDEX(計算用!$C$2:$C$721,計算用!$U$9))</f>
        <v/>
      </c>
      <c r="S14" s="25">
        <f>IF(計算用!$V$9="","",INDEX(計算用!$A$2:$A$721,計算用!$V$9))</f>
        <v/>
      </c>
      <c r="T14" s="26">
        <f>IF(計算用!$V$9="","",INDEX(計算用!$C$2:$C$721,計算用!$V$9))</f>
        <v/>
      </c>
    </row>
    <row r="15">
      <c r="A15" s="25">
        <f>IF(計算用!$M$10="","",INDEX(計算用!$A$2:$A$721,計算用!$M$10))</f>
        <v/>
      </c>
      <c r="B15" s="26">
        <f>IF(計算用!$M$10="","",INDEX(計算用!$C$2:$C$721,計算用!$M$10))</f>
        <v/>
      </c>
      <c r="C15" s="25">
        <f>IF(計算用!$N$10="","",INDEX(計算用!$A$2:$A$721,計算用!$N$10))</f>
        <v/>
      </c>
      <c r="D15" s="26">
        <f>IF(計算用!$N$10="","",INDEX(計算用!$C$2:$C$721,計算用!$N$10))</f>
        <v/>
      </c>
      <c r="E15" s="25">
        <f>IF(計算用!$O$10="","",INDEX(計算用!$A$2:$A$721,計算用!$O$10))</f>
        <v/>
      </c>
      <c r="F15" s="26">
        <f>IF(計算用!$O$10="","",INDEX(計算用!$C$2:$C$721,計算用!$O$10))</f>
        <v/>
      </c>
      <c r="G15" s="25">
        <f>IF(計算用!$P$10="","",INDEX(計算用!$A$2:$A$721,計算用!$P$10))</f>
        <v/>
      </c>
      <c r="H15" s="26">
        <f>IF(計算用!$P$10="","",INDEX(計算用!$C$2:$C$721,計算用!$P$10))</f>
        <v/>
      </c>
      <c r="I15" s="25">
        <f>IF(計算用!$Q$10="","",INDEX(計算用!$A$2:$A$721,計算用!$Q$10))</f>
        <v/>
      </c>
      <c r="J15" s="26">
        <f>IF(計算用!$Q$10="","",INDEX(計算用!$C$2:$C$721,計算用!$Q$10))</f>
        <v/>
      </c>
      <c r="K15" s="25">
        <f>IF(計算用!$R$10="","",INDEX(計算用!$A$2:$A$721,計算用!$R$10))</f>
        <v/>
      </c>
      <c r="L15" s="26">
        <f>IF(計算用!$R$10="","",INDEX(計算用!$C$2:$C$721,計算用!$R$10))</f>
        <v/>
      </c>
      <c r="M15" s="25">
        <f>IF(計算用!$S$10="","",INDEX(計算用!$A$2:$A$721,計算用!$S$10))</f>
        <v/>
      </c>
      <c r="N15" s="26">
        <f>IF(計算用!$S$10="","",INDEX(計算用!$C$2:$C$721,計算用!$S$10))</f>
        <v/>
      </c>
      <c r="O15" s="25">
        <f>IF(計算用!$T$10="","",INDEX(計算用!$A$2:$A$721,計算用!$T$10))</f>
        <v/>
      </c>
      <c r="P15" s="26">
        <f>IF(計算用!$T$10="","",INDEX(計算用!$C$2:$C$721,計算用!$T$10))</f>
        <v/>
      </c>
      <c r="Q15" s="25">
        <f>IF(計算用!$U$10="","",INDEX(計算用!$A$2:$A$721,計算用!$U$10))</f>
        <v/>
      </c>
      <c r="R15" s="26">
        <f>IF(計算用!$U$10="","",INDEX(計算用!$C$2:$C$721,計算用!$U$10))</f>
        <v/>
      </c>
      <c r="S15" s="25">
        <f>IF(計算用!$V$10="","",INDEX(計算用!$A$2:$A$721,計算用!$V$10))</f>
        <v/>
      </c>
      <c r="T15" s="26">
        <f>IF(計算用!$V$10="","",INDEX(計算用!$C$2:$C$721,計算用!$V$10))</f>
        <v/>
      </c>
    </row>
    <row r="16">
      <c r="A16" s="25">
        <f>IF(計算用!$M$11="","",INDEX(計算用!$A$2:$A$721,計算用!$M$11))</f>
        <v/>
      </c>
      <c r="B16" s="26">
        <f>IF(計算用!$M$11="","",INDEX(計算用!$C$2:$C$721,計算用!$M$11))</f>
        <v/>
      </c>
      <c r="C16" s="25">
        <f>IF(計算用!$N$11="","",INDEX(計算用!$A$2:$A$721,計算用!$N$11))</f>
        <v/>
      </c>
      <c r="D16" s="26">
        <f>IF(計算用!$N$11="","",INDEX(計算用!$C$2:$C$721,計算用!$N$11))</f>
        <v/>
      </c>
      <c r="E16" s="25">
        <f>IF(計算用!$O$11="","",INDEX(計算用!$A$2:$A$721,計算用!$O$11))</f>
        <v/>
      </c>
      <c r="F16" s="26">
        <f>IF(計算用!$O$11="","",INDEX(計算用!$C$2:$C$721,計算用!$O$11))</f>
        <v/>
      </c>
      <c r="G16" s="25">
        <f>IF(計算用!$P$11="","",INDEX(計算用!$A$2:$A$721,計算用!$P$11))</f>
        <v/>
      </c>
      <c r="H16" s="26">
        <f>IF(計算用!$P$11="","",INDEX(計算用!$C$2:$C$721,計算用!$P$11))</f>
        <v/>
      </c>
      <c r="I16" s="25">
        <f>IF(計算用!$Q$11="","",INDEX(計算用!$A$2:$A$721,計算用!$Q$11))</f>
        <v/>
      </c>
      <c r="J16" s="26">
        <f>IF(計算用!$Q$11="","",INDEX(計算用!$C$2:$C$721,計算用!$Q$11))</f>
        <v/>
      </c>
      <c r="K16" s="25">
        <f>IF(計算用!$R$11="","",INDEX(計算用!$A$2:$A$721,計算用!$R$11))</f>
        <v/>
      </c>
      <c r="L16" s="26">
        <f>IF(計算用!$R$11="","",INDEX(計算用!$C$2:$C$721,計算用!$R$11))</f>
        <v/>
      </c>
      <c r="M16" s="25">
        <f>IF(計算用!$S$11="","",INDEX(計算用!$A$2:$A$721,計算用!$S$11))</f>
        <v/>
      </c>
      <c r="N16" s="26">
        <f>IF(計算用!$S$11="","",INDEX(計算用!$C$2:$C$721,計算用!$S$11))</f>
        <v/>
      </c>
      <c r="O16" s="25">
        <f>IF(計算用!$T$11="","",INDEX(計算用!$A$2:$A$721,計算用!$T$11))</f>
        <v/>
      </c>
      <c r="P16" s="26">
        <f>IF(計算用!$T$11="","",INDEX(計算用!$C$2:$C$721,計算用!$T$11))</f>
        <v/>
      </c>
      <c r="Q16" s="25">
        <f>IF(計算用!$U$11="","",INDEX(計算用!$A$2:$A$721,計算用!$U$11))</f>
        <v/>
      </c>
      <c r="R16" s="26">
        <f>IF(計算用!$U$11="","",INDEX(計算用!$C$2:$C$721,計算用!$U$11))</f>
        <v/>
      </c>
      <c r="S16" s="25">
        <f>IF(計算用!$V$11="","",INDEX(計算用!$A$2:$A$721,計算用!$V$11))</f>
        <v/>
      </c>
      <c r="T16" s="26">
        <f>IF(計算用!$V$11="","",INDEX(計算用!$C$2:$C$721,計算用!$V$11))</f>
        <v/>
      </c>
    </row>
    <row r="17">
      <c r="A17" s="25">
        <f>IF(計算用!$M$12="","",INDEX(計算用!$A$2:$A$721,計算用!$M$12))</f>
        <v/>
      </c>
      <c r="B17" s="26">
        <f>IF(計算用!$M$12="","",INDEX(計算用!$C$2:$C$721,計算用!$M$12))</f>
        <v/>
      </c>
      <c r="C17" s="25">
        <f>IF(計算用!$N$12="","",INDEX(計算用!$A$2:$A$721,計算用!$N$12))</f>
        <v/>
      </c>
      <c r="D17" s="26">
        <f>IF(計算用!$N$12="","",INDEX(計算用!$C$2:$C$721,計算用!$N$12))</f>
        <v/>
      </c>
      <c r="E17" s="25">
        <f>IF(計算用!$O$12="","",INDEX(計算用!$A$2:$A$721,計算用!$O$12))</f>
        <v/>
      </c>
      <c r="F17" s="26">
        <f>IF(計算用!$O$12="","",INDEX(計算用!$C$2:$C$721,計算用!$O$12))</f>
        <v/>
      </c>
      <c r="G17" s="25">
        <f>IF(計算用!$P$12="","",INDEX(計算用!$A$2:$A$721,計算用!$P$12))</f>
        <v/>
      </c>
      <c r="H17" s="26">
        <f>IF(計算用!$P$12="","",INDEX(計算用!$C$2:$C$721,計算用!$P$12))</f>
        <v/>
      </c>
      <c r="I17" s="25">
        <f>IF(計算用!$Q$12="","",INDEX(計算用!$A$2:$A$721,計算用!$Q$12))</f>
        <v/>
      </c>
      <c r="J17" s="26">
        <f>IF(計算用!$Q$12="","",INDEX(計算用!$C$2:$C$721,計算用!$Q$12))</f>
        <v/>
      </c>
      <c r="K17" s="25">
        <f>IF(計算用!$R$12="","",INDEX(計算用!$A$2:$A$721,計算用!$R$12))</f>
        <v/>
      </c>
      <c r="L17" s="26">
        <f>IF(計算用!$R$12="","",INDEX(計算用!$C$2:$C$721,計算用!$R$12))</f>
        <v/>
      </c>
      <c r="M17" s="25">
        <f>IF(計算用!$S$12="","",INDEX(計算用!$A$2:$A$721,計算用!$S$12))</f>
        <v/>
      </c>
      <c r="N17" s="26">
        <f>IF(計算用!$S$12="","",INDEX(計算用!$C$2:$C$721,計算用!$S$12))</f>
        <v/>
      </c>
      <c r="O17" s="25">
        <f>IF(計算用!$T$12="","",INDEX(計算用!$A$2:$A$721,計算用!$T$12))</f>
        <v/>
      </c>
      <c r="P17" s="26">
        <f>IF(計算用!$T$12="","",INDEX(計算用!$C$2:$C$721,計算用!$T$12))</f>
        <v/>
      </c>
      <c r="Q17" s="25">
        <f>IF(計算用!$U$12="","",INDEX(計算用!$A$2:$A$721,計算用!$U$12))</f>
        <v/>
      </c>
      <c r="R17" s="26">
        <f>IF(計算用!$U$12="","",INDEX(計算用!$C$2:$C$721,計算用!$U$12))</f>
        <v/>
      </c>
      <c r="S17" s="25">
        <f>IF(計算用!$V$12="","",INDEX(計算用!$A$2:$A$721,計算用!$V$12))</f>
        <v/>
      </c>
      <c r="T17" s="26">
        <f>IF(計算用!$V$12="","",INDEX(計算用!$C$2:$C$721,計算用!$V$12))</f>
        <v/>
      </c>
    </row>
    <row r="18">
      <c r="A18" s="25">
        <f>IF(計算用!$M$13="","",INDEX(計算用!$A$2:$A$721,計算用!$M$13))</f>
        <v/>
      </c>
      <c r="B18" s="26">
        <f>IF(計算用!$M$13="","",INDEX(計算用!$C$2:$C$721,計算用!$M$13))</f>
        <v/>
      </c>
      <c r="C18" s="25">
        <f>IF(計算用!$N$13="","",INDEX(計算用!$A$2:$A$721,計算用!$N$13))</f>
        <v/>
      </c>
      <c r="D18" s="26">
        <f>IF(計算用!$N$13="","",INDEX(計算用!$C$2:$C$721,計算用!$N$13))</f>
        <v/>
      </c>
      <c r="E18" s="25">
        <f>IF(計算用!$O$13="","",INDEX(計算用!$A$2:$A$721,計算用!$O$13))</f>
        <v/>
      </c>
      <c r="F18" s="26">
        <f>IF(計算用!$O$13="","",INDEX(計算用!$C$2:$C$721,計算用!$O$13))</f>
        <v/>
      </c>
      <c r="G18" s="25">
        <f>IF(計算用!$P$13="","",INDEX(計算用!$A$2:$A$721,計算用!$P$13))</f>
        <v/>
      </c>
      <c r="H18" s="26">
        <f>IF(計算用!$P$13="","",INDEX(計算用!$C$2:$C$721,計算用!$P$13))</f>
        <v/>
      </c>
      <c r="I18" s="25">
        <f>IF(計算用!$Q$13="","",INDEX(計算用!$A$2:$A$721,計算用!$Q$13))</f>
        <v/>
      </c>
      <c r="J18" s="26">
        <f>IF(計算用!$Q$13="","",INDEX(計算用!$C$2:$C$721,計算用!$Q$13))</f>
        <v/>
      </c>
      <c r="K18" s="25">
        <f>IF(計算用!$R$13="","",INDEX(計算用!$A$2:$A$721,計算用!$R$13))</f>
        <v/>
      </c>
      <c r="L18" s="26">
        <f>IF(計算用!$R$13="","",INDEX(計算用!$C$2:$C$721,計算用!$R$13))</f>
        <v/>
      </c>
      <c r="M18" s="25">
        <f>IF(計算用!$S$13="","",INDEX(計算用!$A$2:$A$721,計算用!$S$13))</f>
        <v/>
      </c>
      <c r="N18" s="26">
        <f>IF(計算用!$S$13="","",INDEX(計算用!$C$2:$C$721,計算用!$S$13))</f>
        <v/>
      </c>
      <c r="O18" s="25">
        <f>IF(計算用!$T$13="","",INDEX(計算用!$A$2:$A$721,計算用!$T$13))</f>
        <v/>
      </c>
      <c r="P18" s="26">
        <f>IF(計算用!$T$13="","",INDEX(計算用!$C$2:$C$721,計算用!$T$13))</f>
        <v/>
      </c>
      <c r="Q18" s="25">
        <f>IF(計算用!$U$13="","",INDEX(計算用!$A$2:$A$721,計算用!$U$13))</f>
        <v/>
      </c>
      <c r="R18" s="26">
        <f>IF(計算用!$U$13="","",INDEX(計算用!$C$2:$C$721,計算用!$U$13))</f>
        <v/>
      </c>
      <c r="S18" s="25">
        <f>IF(計算用!$V$13="","",INDEX(計算用!$A$2:$A$721,計算用!$V$13))</f>
        <v/>
      </c>
      <c r="T18" s="26">
        <f>IF(計算用!$V$13="","",INDEX(計算用!$C$2:$C$721,計算用!$V$13))</f>
        <v/>
      </c>
    </row>
    <row r="19">
      <c r="A19" s="25">
        <f>IF(計算用!$M$14="","",INDEX(計算用!$A$2:$A$721,計算用!$M$14))</f>
        <v/>
      </c>
      <c r="B19" s="26">
        <f>IF(計算用!$M$14="","",INDEX(計算用!$C$2:$C$721,計算用!$M$14))</f>
        <v/>
      </c>
      <c r="C19" s="25">
        <f>IF(計算用!$N$14="","",INDEX(計算用!$A$2:$A$721,計算用!$N$14))</f>
        <v/>
      </c>
      <c r="D19" s="26">
        <f>IF(計算用!$N$14="","",INDEX(計算用!$C$2:$C$721,計算用!$N$14))</f>
        <v/>
      </c>
      <c r="E19" s="25">
        <f>IF(計算用!$O$14="","",INDEX(計算用!$A$2:$A$721,計算用!$O$14))</f>
        <v/>
      </c>
      <c r="F19" s="26">
        <f>IF(計算用!$O$14="","",INDEX(計算用!$C$2:$C$721,計算用!$O$14))</f>
        <v/>
      </c>
      <c r="G19" s="25">
        <f>IF(計算用!$P$14="","",INDEX(計算用!$A$2:$A$721,計算用!$P$14))</f>
        <v/>
      </c>
      <c r="H19" s="26">
        <f>IF(計算用!$P$14="","",INDEX(計算用!$C$2:$C$721,計算用!$P$14))</f>
        <v/>
      </c>
      <c r="I19" s="25">
        <f>IF(計算用!$Q$14="","",INDEX(計算用!$A$2:$A$721,計算用!$Q$14))</f>
        <v/>
      </c>
      <c r="J19" s="26">
        <f>IF(計算用!$Q$14="","",INDEX(計算用!$C$2:$C$721,計算用!$Q$14))</f>
        <v/>
      </c>
      <c r="K19" s="25">
        <f>IF(計算用!$R$14="","",INDEX(計算用!$A$2:$A$721,計算用!$R$14))</f>
        <v/>
      </c>
      <c r="L19" s="26">
        <f>IF(計算用!$R$14="","",INDEX(計算用!$C$2:$C$721,計算用!$R$14))</f>
        <v/>
      </c>
      <c r="M19" s="25">
        <f>IF(計算用!$S$14="","",INDEX(計算用!$A$2:$A$721,計算用!$S$14))</f>
        <v/>
      </c>
      <c r="N19" s="26">
        <f>IF(計算用!$S$14="","",INDEX(計算用!$C$2:$C$721,計算用!$S$14))</f>
        <v/>
      </c>
      <c r="O19" s="25">
        <f>IF(計算用!$T$14="","",INDEX(計算用!$A$2:$A$721,計算用!$T$14))</f>
        <v/>
      </c>
      <c r="P19" s="26">
        <f>IF(計算用!$T$14="","",INDEX(計算用!$C$2:$C$721,計算用!$T$14))</f>
        <v/>
      </c>
      <c r="Q19" s="25">
        <f>IF(計算用!$U$14="","",INDEX(計算用!$A$2:$A$721,計算用!$U$14))</f>
        <v/>
      </c>
      <c r="R19" s="26">
        <f>IF(計算用!$U$14="","",INDEX(計算用!$C$2:$C$721,計算用!$U$14))</f>
        <v/>
      </c>
      <c r="S19" s="25">
        <f>IF(計算用!$V$14="","",INDEX(計算用!$A$2:$A$721,計算用!$V$14))</f>
        <v/>
      </c>
      <c r="T19" s="26">
        <f>IF(計算用!$V$14="","",INDEX(計算用!$C$2:$C$721,計算用!$V$14))</f>
        <v/>
      </c>
    </row>
    <row r="20">
      <c r="A20" s="25">
        <f>IF(計算用!$M$15="","",INDEX(計算用!$A$2:$A$721,計算用!$M$15))</f>
        <v/>
      </c>
      <c r="B20" s="26">
        <f>IF(計算用!$M$15="","",INDEX(計算用!$C$2:$C$721,計算用!$M$15))</f>
        <v/>
      </c>
      <c r="C20" s="25">
        <f>IF(計算用!$N$15="","",INDEX(計算用!$A$2:$A$721,計算用!$N$15))</f>
        <v/>
      </c>
      <c r="D20" s="26">
        <f>IF(計算用!$N$15="","",INDEX(計算用!$C$2:$C$721,計算用!$N$15))</f>
        <v/>
      </c>
      <c r="E20" s="25">
        <f>IF(計算用!$O$15="","",INDEX(計算用!$A$2:$A$721,計算用!$O$15))</f>
        <v/>
      </c>
      <c r="F20" s="26">
        <f>IF(計算用!$O$15="","",INDEX(計算用!$C$2:$C$721,計算用!$O$15))</f>
        <v/>
      </c>
      <c r="G20" s="25">
        <f>IF(計算用!$P$15="","",INDEX(計算用!$A$2:$A$721,計算用!$P$15))</f>
        <v/>
      </c>
      <c r="H20" s="26">
        <f>IF(計算用!$P$15="","",INDEX(計算用!$C$2:$C$721,計算用!$P$15))</f>
        <v/>
      </c>
      <c r="I20" s="25">
        <f>IF(計算用!$Q$15="","",INDEX(計算用!$A$2:$A$721,計算用!$Q$15))</f>
        <v/>
      </c>
      <c r="J20" s="26">
        <f>IF(計算用!$Q$15="","",INDEX(計算用!$C$2:$C$721,計算用!$Q$15))</f>
        <v/>
      </c>
      <c r="K20" s="25">
        <f>IF(計算用!$R$15="","",INDEX(計算用!$A$2:$A$721,計算用!$R$15))</f>
        <v/>
      </c>
      <c r="L20" s="26">
        <f>IF(計算用!$R$15="","",INDEX(計算用!$C$2:$C$721,計算用!$R$15))</f>
        <v/>
      </c>
      <c r="M20" s="25">
        <f>IF(計算用!$S$15="","",INDEX(計算用!$A$2:$A$721,計算用!$S$15))</f>
        <v/>
      </c>
      <c r="N20" s="26">
        <f>IF(計算用!$S$15="","",INDEX(計算用!$C$2:$C$721,計算用!$S$15))</f>
        <v/>
      </c>
      <c r="O20" s="25">
        <f>IF(計算用!$T$15="","",INDEX(計算用!$A$2:$A$721,計算用!$T$15))</f>
        <v/>
      </c>
      <c r="P20" s="26">
        <f>IF(計算用!$T$15="","",INDEX(計算用!$C$2:$C$721,計算用!$T$15))</f>
        <v/>
      </c>
      <c r="Q20" s="25">
        <f>IF(計算用!$U$15="","",INDEX(計算用!$A$2:$A$721,計算用!$U$15))</f>
        <v/>
      </c>
      <c r="R20" s="26">
        <f>IF(計算用!$U$15="","",INDEX(計算用!$C$2:$C$721,計算用!$U$15))</f>
        <v/>
      </c>
      <c r="S20" s="25">
        <f>IF(計算用!$V$15="","",INDEX(計算用!$A$2:$A$721,計算用!$V$15))</f>
        <v/>
      </c>
      <c r="T20" s="26">
        <f>IF(計算用!$V$15="","",INDEX(計算用!$C$2:$C$721,計算用!$V$15))</f>
        <v/>
      </c>
    </row>
    <row r="21">
      <c r="A21" s="25">
        <f>IF(計算用!$M$16="","",INDEX(計算用!$A$2:$A$721,計算用!$M$16))</f>
        <v/>
      </c>
      <c r="B21" s="26">
        <f>IF(計算用!$M$16="","",INDEX(計算用!$C$2:$C$721,計算用!$M$16))</f>
        <v/>
      </c>
      <c r="C21" s="25">
        <f>IF(計算用!$N$16="","",INDEX(計算用!$A$2:$A$721,計算用!$N$16))</f>
        <v/>
      </c>
      <c r="D21" s="26">
        <f>IF(計算用!$N$16="","",INDEX(計算用!$C$2:$C$721,計算用!$N$16))</f>
        <v/>
      </c>
      <c r="E21" s="25">
        <f>IF(計算用!$O$16="","",INDEX(計算用!$A$2:$A$721,計算用!$O$16))</f>
        <v/>
      </c>
      <c r="F21" s="26">
        <f>IF(計算用!$O$16="","",INDEX(計算用!$C$2:$C$721,計算用!$O$16))</f>
        <v/>
      </c>
      <c r="G21" s="25">
        <f>IF(計算用!$P$16="","",INDEX(計算用!$A$2:$A$721,計算用!$P$16))</f>
        <v/>
      </c>
      <c r="H21" s="26">
        <f>IF(計算用!$P$16="","",INDEX(計算用!$C$2:$C$721,計算用!$P$16))</f>
        <v/>
      </c>
      <c r="I21" s="25">
        <f>IF(計算用!$Q$16="","",INDEX(計算用!$A$2:$A$721,計算用!$Q$16))</f>
        <v/>
      </c>
      <c r="J21" s="26">
        <f>IF(計算用!$Q$16="","",INDEX(計算用!$C$2:$C$721,計算用!$Q$16))</f>
        <v/>
      </c>
      <c r="K21" s="25">
        <f>IF(計算用!$R$16="","",INDEX(計算用!$A$2:$A$721,計算用!$R$16))</f>
        <v/>
      </c>
      <c r="L21" s="26">
        <f>IF(計算用!$R$16="","",INDEX(計算用!$C$2:$C$721,計算用!$R$16))</f>
        <v/>
      </c>
      <c r="M21" s="25">
        <f>IF(計算用!$S$16="","",INDEX(計算用!$A$2:$A$721,計算用!$S$16))</f>
        <v/>
      </c>
      <c r="N21" s="26">
        <f>IF(計算用!$S$16="","",INDEX(計算用!$C$2:$C$721,計算用!$S$16))</f>
        <v/>
      </c>
      <c r="O21" s="25">
        <f>IF(計算用!$T$16="","",INDEX(計算用!$A$2:$A$721,計算用!$T$16))</f>
        <v/>
      </c>
      <c r="P21" s="26">
        <f>IF(計算用!$T$16="","",INDEX(計算用!$C$2:$C$721,計算用!$T$16))</f>
        <v/>
      </c>
      <c r="Q21" s="25">
        <f>IF(計算用!$U$16="","",INDEX(計算用!$A$2:$A$721,計算用!$U$16))</f>
        <v/>
      </c>
      <c r="R21" s="26">
        <f>IF(計算用!$U$16="","",INDEX(計算用!$C$2:$C$721,計算用!$U$16))</f>
        <v/>
      </c>
      <c r="S21" s="25">
        <f>IF(計算用!$V$16="","",INDEX(計算用!$A$2:$A$721,計算用!$V$16))</f>
        <v/>
      </c>
      <c r="T21" s="26">
        <f>IF(計算用!$V$16="","",INDEX(計算用!$C$2:$C$721,計算用!$V$16))</f>
        <v/>
      </c>
    </row>
    <row r="22">
      <c r="A22" s="25">
        <f>IF(計算用!$M$17="","",INDEX(計算用!$A$2:$A$721,計算用!$M$17))</f>
        <v/>
      </c>
      <c r="B22" s="26">
        <f>IF(計算用!$M$17="","",INDEX(計算用!$C$2:$C$721,計算用!$M$17))</f>
        <v/>
      </c>
      <c r="C22" s="25">
        <f>IF(計算用!$N$17="","",INDEX(計算用!$A$2:$A$721,計算用!$N$17))</f>
        <v/>
      </c>
      <c r="D22" s="26">
        <f>IF(計算用!$N$17="","",INDEX(計算用!$C$2:$C$721,計算用!$N$17))</f>
        <v/>
      </c>
      <c r="E22" s="25">
        <f>IF(計算用!$O$17="","",INDEX(計算用!$A$2:$A$721,計算用!$O$17))</f>
        <v/>
      </c>
      <c r="F22" s="26">
        <f>IF(計算用!$O$17="","",INDEX(計算用!$C$2:$C$721,計算用!$O$17))</f>
        <v/>
      </c>
      <c r="G22" s="25">
        <f>IF(計算用!$P$17="","",INDEX(計算用!$A$2:$A$721,計算用!$P$17))</f>
        <v/>
      </c>
      <c r="H22" s="26">
        <f>IF(計算用!$P$17="","",INDEX(計算用!$C$2:$C$721,計算用!$P$17))</f>
        <v/>
      </c>
      <c r="I22" s="25">
        <f>IF(計算用!$Q$17="","",INDEX(計算用!$A$2:$A$721,計算用!$Q$17))</f>
        <v/>
      </c>
      <c r="J22" s="26">
        <f>IF(計算用!$Q$17="","",INDEX(計算用!$C$2:$C$721,計算用!$Q$17))</f>
        <v/>
      </c>
      <c r="K22" s="25">
        <f>IF(計算用!$R$17="","",INDEX(計算用!$A$2:$A$721,計算用!$R$17))</f>
        <v/>
      </c>
      <c r="L22" s="26">
        <f>IF(計算用!$R$17="","",INDEX(計算用!$C$2:$C$721,計算用!$R$17))</f>
        <v/>
      </c>
      <c r="M22" s="25">
        <f>IF(計算用!$S$17="","",INDEX(計算用!$A$2:$A$721,計算用!$S$17))</f>
        <v/>
      </c>
      <c r="N22" s="26">
        <f>IF(計算用!$S$17="","",INDEX(計算用!$C$2:$C$721,計算用!$S$17))</f>
        <v/>
      </c>
      <c r="O22" s="25">
        <f>IF(計算用!$T$17="","",INDEX(計算用!$A$2:$A$721,計算用!$T$17))</f>
        <v/>
      </c>
      <c r="P22" s="26">
        <f>IF(計算用!$T$17="","",INDEX(計算用!$C$2:$C$721,計算用!$T$17))</f>
        <v/>
      </c>
      <c r="Q22" s="25">
        <f>IF(計算用!$U$17="","",INDEX(計算用!$A$2:$A$721,計算用!$U$17))</f>
        <v/>
      </c>
      <c r="R22" s="26">
        <f>IF(計算用!$U$17="","",INDEX(計算用!$C$2:$C$721,計算用!$U$17))</f>
        <v/>
      </c>
      <c r="S22" s="25">
        <f>IF(計算用!$V$17="","",INDEX(計算用!$A$2:$A$721,計算用!$V$17))</f>
        <v/>
      </c>
      <c r="T22" s="26">
        <f>IF(計算用!$V$17="","",INDEX(計算用!$C$2:$C$721,計算用!$V$17))</f>
        <v/>
      </c>
    </row>
    <row r="23">
      <c r="A23" s="25">
        <f>IF(計算用!$M$18="","",INDEX(計算用!$A$2:$A$721,計算用!$M$18))</f>
        <v/>
      </c>
      <c r="B23" s="26">
        <f>IF(計算用!$M$18="","",INDEX(計算用!$C$2:$C$721,計算用!$M$18))</f>
        <v/>
      </c>
      <c r="C23" s="25">
        <f>IF(計算用!$N$18="","",INDEX(計算用!$A$2:$A$721,計算用!$N$18))</f>
        <v/>
      </c>
      <c r="D23" s="26">
        <f>IF(計算用!$N$18="","",INDEX(計算用!$C$2:$C$721,計算用!$N$18))</f>
        <v/>
      </c>
      <c r="E23" s="25">
        <f>IF(計算用!$O$18="","",INDEX(計算用!$A$2:$A$721,計算用!$O$18))</f>
        <v/>
      </c>
      <c r="F23" s="26">
        <f>IF(計算用!$O$18="","",INDEX(計算用!$C$2:$C$721,計算用!$O$18))</f>
        <v/>
      </c>
      <c r="G23" s="25">
        <f>IF(計算用!$P$18="","",INDEX(計算用!$A$2:$A$721,計算用!$P$18))</f>
        <v/>
      </c>
      <c r="H23" s="26">
        <f>IF(計算用!$P$18="","",INDEX(計算用!$C$2:$C$721,計算用!$P$18))</f>
        <v/>
      </c>
      <c r="I23" s="25">
        <f>IF(計算用!$Q$18="","",INDEX(計算用!$A$2:$A$721,計算用!$Q$18))</f>
        <v/>
      </c>
      <c r="J23" s="26">
        <f>IF(計算用!$Q$18="","",INDEX(計算用!$C$2:$C$721,計算用!$Q$18))</f>
        <v/>
      </c>
      <c r="K23" s="25">
        <f>IF(計算用!$R$18="","",INDEX(計算用!$A$2:$A$721,計算用!$R$18))</f>
        <v/>
      </c>
      <c r="L23" s="26">
        <f>IF(計算用!$R$18="","",INDEX(計算用!$C$2:$C$721,計算用!$R$18))</f>
        <v/>
      </c>
      <c r="M23" s="25">
        <f>IF(計算用!$S$18="","",INDEX(計算用!$A$2:$A$721,計算用!$S$18))</f>
        <v/>
      </c>
      <c r="N23" s="26">
        <f>IF(計算用!$S$18="","",INDEX(計算用!$C$2:$C$721,計算用!$S$18))</f>
        <v/>
      </c>
      <c r="O23" s="25">
        <f>IF(計算用!$T$18="","",INDEX(計算用!$A$2:$A$721,計算用!$T$18))</f>
        <v/>
      </c>
      <c r="P23" s="26">
        <f>IF(計算用!$T$18="","",INDEX(計算用!$C$2:$C$721,計算用!$T$18))</f>
        <v/>
      </c>
      <c r="Q23" s="25">
        <f>IF(計算用!$U$18="","",INDEX(計算用!$A$2:$A$721,計算用!$U$18))</f>
        <v/>
      </c>
      <c r="R23" s="26">
        <f>IF(計算用!$U$18="","",INDEX(計算用!$C$2:$C$721,計算用!$U$18))</f>
        <v/>
      </c>
      <c r="S23" s="25">
        <f>IF(計算用!$V$18="","",INDEX(計算用!$A$2:$A$721,計算用!$V$18))</f>
        <v/>
      </c>
      <c r="T23" s="26">
        <f>IF(計算用!$V$18="","",INDEX(計算用!$C$2:$C$721,計算用!$V$18))</f>
        <v/>
      </c>
    </row>
    <row r="24">
      <c r="A24" s="25">
        <f>IF(計算用!$M$19="","",INDEX(計算用!$A$2:$A$721,計算用!$M$19))</f>
        <v/>
      </c>
      <c r="B24" s="26">
        <f>IF(計算用!$M$19="","",INDEX(計算用!$C$2:$C$721,計算用!$M$19))</f>
        <v/>
      </c>
      <c r="C24" s="25">
        <f>IF(計算用!$N$19="","",INDEX(計算用!$A$2:$A$721,計算用!$N$19))</f>
        <v/>
      </c>
      <c r="D24" s="26">
        <f>IF(計算用!$N$19="","",INDEX(計算用!$C$2:$C$721,計算用!$N$19))</f>
        <v/>
      </c>
      <c r="E24" s="25">
        <f>IF(計算用!$O$19="","",INDEX(計算用!$A$2:$A$721,計算用!$O$19))</f>
        <v/>
      </c>
      <c r="F24" s="26">
        <f>IF(計算用!$O$19="","",INDEX(計算用!$C$2:$C$721,計算用!$O$19))</f>
        <v/>
      </c>
      <c r="G24" s="25">
        <f>IF(計算用!$P$19="","",INDEX(計算用!$A$2:$A$721,計算用!$P$19))</f>
        <v/>
      </c>
      <c r="H24" s="26">
        <f>IF(計算用!$P$19="","",INDEX(計算用!$C$2:$C$721,計算用!$P$19))</f>
        <v/>
      </c>
      <c r="I24" s="25">
        <f>IF(計算用!$Q$19="","",INDEX(計算用!$A$2:$A$721,計算用!$Q$19))</f>
        <v/>
      </c>
      <c r="J24" s="26">
        <f>IF(計算用!$Q$19="","",INDEX(計算用!$C$2:$C$721,計算用!$Q$19))</f>
        <v/>
      </c>
      <c r="K24" s="25">
        <f>IF(計算用!$R$19="","",INDEX(計算用!$A$2:$A$721,計算用!$R$19))</f>
        <v/>
      </c>
      <c r="L24" s="26">
        <f>IF(計算用!$R$19="","",INDEX(計算用!$C$2:$C$721,計算用!$R$19))</f>
        <v/>
      </c>
      <c r="M24" s="25">
        <f>IF(計算用!$S$19="","",INDEX(計算用!$A$2:$A$721,計算用!$S$19))</f>
        <v/>
      </c>
      <c r="N24" s="26">
        <f>IF(計算用!$S$19="","",INDEX(計算用!$C$2:$C$721,計算用!$S$19))</f>
        <v/>
      </c>
      <c r="O24" s="25">
        <f>IF(計算用!$T$19="","",INDEX(計算用!$A$2:$A$721,計算用!$T$19))</f>
        <v/>
      </c>
      <c r="P24" s="26">
        <f>IF(計算用!$T$19="","",INDEX(計算用!$C$2:$C$721,計算用!$T$19))</f>
        <v/>
      </c>
      <c r="Q24" s="25">
        <f>IF(計算用!$U$19="","",INDEX(計算用!$A$2:$A$721,計算用!$U$19))</f>
        <v/>
      </c>
      <c r="R24" s="26">
        <f>IF(計算用!$U$19="","",INDEX(計算用!$C$2:$C$721,計算用!$U$19))</f>
        <v/>
      </c>
      <c r="S24" s="25">
        <f>IF(計算用!$V$19="","",INDEX(計算用!$A$2:$A$721,計算用!$V$19))</f>
        <v/>
      </c>
      <c r="T24" s="26">
        <f>IF(計算用!$V$19="","",INDEX(計算用!$C$2:$C$721,計算用!$V$19))</f>
        <v/>
      </c>
    </row>
    <row r="25">
      <c r="A25" s="25">
        <f>IF(計算用!$M$20="","",INDEX(計算用!$A$2:$A$721,計算用!$M$20))</f>
        <v/>
      </c>
      <c r="B25" s="26">
        <f>IF(計算用!$M$20="","",INDEX(計算用!$C$2:$C$721,計算用!$M$20))</f>
        <v/>
      </c>
      <c r="C25" s="25">
        <f>IF(計算用!$N$20="","",INDEX(計算用!$A$2:$A$721,計算用!$N$20))</f>
        <v/>
      </c>
      <c r="D25" s="26">
        <f>IF(計算用!$N$20="","",INDEX(計算用!$C$2:$C$721,計算用!$N$20))</f>
        <v/>
      </c>
      <c r="E25" s="25">
        <f>IF(計算用!$O$20="","",INDEX(計算用!$A$2:$A$721,計算用!$O$20))</f>
        <v/>
      </c>
      <c r="F25" s="26">
        <f>IF(計算用!$O$20="","",INDEX(計算用!$C$2:$C$721,計算用!$O$20))</f>
        <v/>
      </c>
      <c r="G25" s="25">
        <f>IF(計算用!$P$20="","",INDEX(計算用!$A$2:$A$721,計算用!$P$20))</f>
        <v/>
      </c>
      <c r="H25" s="26">
        <f>IF(計算用!$P$20="","",INDEX(計算用!$C$2:$C$721,計算用!$P$20))</f>
        <v/>
      </c>
      <c r="I25" s="25">
        <f>IF(計算用!$Q$20="","",INDEX(計算用!$A$2:$A$721,計算用!$Q$20))</f>
        <v/>
      </c>
      <c r="J25" s="26">
        <f>IF(計算用!$Q$20="","",INDEX(計算用!$C$2:$C$721,計算用!$Q$20))</f>
        <v/>
      </c>
      <c r="K25" s="25">
        <f>IF(計算用!$R$20="","",INDEX(計算用!$A$2:$A$721,計算用!$R$20))</f>
        <v/>
      </c>
      <c r="L25" s="26">
        <f>IF(計算用!$R$20="","",INDEX(計算用!$C$2:$C$721,計算用!$R$20))</f>
        <v/>
      </c>
      <c r="M25" s="25">
        <f>IF(計算用!$S$20="","",INDEX(計算用!$A$2:$A$721,計算用!$S$20))</f>
        <v/>
      </c>
      <c r="N25" s="26">
        <f>IF(計算用!$S$20="","",INDEX(計算用!$C$2:$C$721,計算用!$S$20))</f>
        <v/>
      </c>
      <c r="O25" s="25">
        <f>IF(計算用!$T$20="","",INDEX(計算用!$A$2:$A$721,計算用!$T$20))</f>
        <v/>
      </c>
      <c r="P25" s="26">
        <f>IF(計算用!$T$20="","",INDEX(計算用!$C$2:$C$721,計算用!$T$20))</f>
        <v/>
      </c>
      <c r="Q25" s="25">
        <f>IF(計算用!$U$20="","",INDEX(計算用!$A$2:$A$721,計算用!$U$20))</f>
        <v/>
      </c>
      <c r="R25" s="26">
        <f>IF(計算用!$U$20="","",INDEX(計算用!$C$2:$C$721,計算用!$U$20))</f>
        <v/>
      </c>
      <c r="S25" s="25">
        <f>IF(計算用!$V$20="","",INDEX(計算用!$A$2:$A$721,計算用!$V$20))</f>
        <v/>
      </c>
      <c r="T25" s="26">
        <f>IF(計算用!$V$20="","",INDEX(計算用!$C$2:$C$721,計算用!$V$20))</f>
        <v/>
      </c>
    </row>
    <row r="26">
      <c r="A26" s="25">
        <f>IF(計算用!$M$21="","",INDEX(計算用!$A$2:$A$721,計算用!$M$21))</f>
        <v/>
      </c>
      <c r="B26" s="26">
        <f>IF(計算用!$M$21="","",INDEX(計算用!$C$2:$C$721,計算用!$M$21))</f>
        <v/>
      </c>
      <c r="C26" s="25">
        <f>IF(計算用!$N$21="","",INDEX(計算用!$A$2:$A$721,計算用!$N$21))</f>
        <v/>
      </c>
      <c r="D26" s="26">
        <f>IF(計算用!$N$21="","",INDEX(計算用!$C$2:$C$721,計算用!$N$21))</f>
        <v/>
      </c>
      <c r="E26" s="25">
        <f>IF(計算用!$O$21="","",INDEX(計算用!$A$2:$A$721,計算用!$O$21))</f>
        <v/>
      </c>
      <c r="F26" s="26">
        <f>IF(計算用!$O$21="","",INDEX(計算用!$C$2:$C$721,計算用!$O$21))</f>
        <v/>
      </c>
      <c r="G26" s="25">
        <f>IF(計算用!$P$21="","",INDEX(計算用!$A$2:$A$721,計算用!$P$21))</f>
        <v/>
      </c>
      <c r="H26" s="26">
        <f>IF(計算用!$P$21="","",INDEX(計算用!$C$2:$C$721,計算用!$P$21))</f>
        <v/>
      </c>
      <c r="I26" s="25">
        <f>IF(計算用!$Q$21="","",INDEX(計算用!$A$2:$A$721,計算用!$Q$21))</f>
        <v/>
      </c>
      <c r="J26" s="26">
        <f>IF(計算用!$Q$21="","",INDEX(計算用!$C$2:$C$721,計算用!$Q$21))</f>
        <v/>
      </c>
      <c r="K26" s="25">
        <f>IF(計算用!$R$21="","",INDEX(計算用!$A$2:$A$721,計算用!$R$21))</f>
        <v/>
      </c>
      <c r="L26" s="26">
        <f>IF(計算用!$R$21="","",INDEX(計算用!$C$2:$C$721,計算用!$R$21))</f>
        <v/>
      </c>
      <c r="M26" s="25">
        <f>IF(計算用!$S$21="","",INDEX(計算用!$A$2:$A$721,計算用!$S$21))</f>
        <v/>
      </c>
      <c r="N26" s="26">
        <f>IF(計算用!$S$21="","",INDEX(計算用!$C$2:$C$721,計算用!$S$21))</f>
        <v/>
      </c>
      <c r="O26" s="25">
        <f>IF(計算用!$T$21="","",INDEX(計算用!$A$2:$A$721,計算用!$T$21))</f>
        <v/>
      </c>
      <c r="P26" s="26">
        <f>IF(計算用!$T$21="","",INDEX(計算用!$C$2:$C$721,計算用!$T$21))</f>
        <v/>
      </c>
      <c r="Q26" s="25">
        <f>IF(計算用!$U$21="","",INDEX(計算用!$A$2:$A$721,計算用!$U$21))</f>
        <v/>
      </c>
      <c r="R26" s="26">
        <f>IF(計算用!$U$21="","",INDEX(計算用!$C$2:$C$721,計算用!$U$21))</f>
        <v/>
      </c>
      <c r="S26" s="25">
        <f>IF(計算用!$V$21="","",INDEX(計算用!$A$2:$A$721,計算用!$V$21))</f>
        <v/>
      </c>
      <c r="T26" s="26">
        <f>IF(計算用!$V$21="","",INDEX(計算用!$C$2:$C$721,計算用!$V$21))</f>
        <v/>
      </c>
    </row>
    <row r="27">
      <c r="A27" s="25">
        <f>IF(計算用!$M$22="","",INDEX(計算用!$A$2:$A$721,計算用!$M$22))</f>
        <v/>
      </c>
      <c r="B27" s="26">
        <f>IF(計算用!$M$22="","",INDEX(計算用!$C$2:$C$721,計算用!$M$22))</f>
        <v/>
      </c>
      <c r="C27" s="25">
        <f>IF(計算用!$N$22="","",INDEX(計算用!$A$2:$A$721,計算用!$N$22))</f>
        <v/>
      </c>
      <c r="D27" s="26">
        <f>IF(計算用!$N$22="","",INDEX(計算用!$C$2:$C$721,計算用!$N$22))</f>
        <v/>
      </c>
      <c r="E27" s="25">
        <f>IF(計算用!$O$22="","",INDEX(計算用!$A$2:$A$721,計算用!$O$22))</f>
        <v/>
      </c>
      <c r="F27" s="26">
        <f>IF(計算用!$O$22="","",INDEX(計算用!$C$2:$C$721,計算用!$O$22))</f>
        <v/>
      </c>
      <c r="G27" s="25">
        <f>IF(計算用!$P$22="","",INDEX(計算用!$A$2:$A$721,計算用!$P$22))</f>
        <v/>
      </c>
      <c r="H27" s="26">
        <f>IF(計算用!$P$22="","",INDEX(計算用!$C$2:$C$721,計算用!$P$22))</f>
        <v/>
      </c>
      <c r="I27" s="25">
        <f>IF(計算用!$Q$22="","",INDEX(計算用!$A$2:$A$721,計算用!$Q$22))</f>
        <v/>
      </c>
      <c r="J27" s="26">
        <f>IF(計算用!$Q$22="","",INDEX(計算用!$C$2:$C$721,計算用!$Q$22))</f>
        <v/>
      </c>
      <c r="K27" s="25">
        <f>IF(計算用!$R$22="","",INDEX(計算用!$A$2:$A$721,計算用!$R$22))</f>
        <v/>
      </c>
      <c r="L27" s="26">
        <f>IF(計算用!$R$22="","",INDEX(計算用!$C$2:$C$721,計算用!$R$22))</f>
        <v/>
      </c>
      <c r="M27" s="25">
        <f>IF(計算用!$S$22="","",INDEX(計算用!$A$2:$A$721,計算用!$S$22))</f>
        <v/>
      </c>
      <c r="N27" s="26">
        <f>IF(計算用!$S$22="","",INDEX(計算用!$C$2:$C$721,計算用!$S$22))</f>
        <v/>
      </c>
      <c r="O27" s="25">
        <f>IF(計算用!$T$22="","",INDEX(計算用!$A$2:$A$721,計算用!$T$22))</f>
        <v/>
      </c>
      <c r="P27" s="26">
        <f>IF(計算用!$T$22="","",INDEX(計算用!$C$2:$C$721,計算用!$T$22))</f>
        <v/>
      </c>
      <c r="Q27" s="25">
        <f>IF(計算用!$U$22="","",INDEX(計算用!$A$2:$A$721,計算用!$U$22))</f>
        <v/>
      </c>
      <c r="R27" s="26">
        <f>IF(計算用!$U$22="","",INDEX(計算用!$C$2:$C$721,計算用!$U$22))</f>
        <v/>
      </c>
      <c r="S27" s="25">
        <f>IF(計算用!$V$22="","",INDEX(計算用!$A$2:$A$721,計算用!$V$22))</f>
        <v/>
      </c>
      <c r="T27" s="26">
        <f>IF(計算用!$V$22="","",INDEX(計算用!$C$2:$C$721,計算用!$V$22))</f>
        <v/>
      </c>
    </row>
    <row r="28">
      <c r="A28" s="25">
        <f>IF(計算用!$M$23="","",INDEX(計算用!$A$2:$A$721,計算用!$M$23))</f>
        <v/>
      </c>
      <c r="B28" s="26">
        <f>IF(計算用!$M$23="","",INDEX(計算用!$C$2:$C$721,計算用!$M$23))</f>
        <v/>
      </c>
      <c r="C28" s="25">
        <f>IF(計算用!$N$23="","",INDEX(計算用!$A$2:$A$721,計算用!$N$23))</f>
        <v/>
      </c>
      <c r="D28" s="26">
        <f>IF(計算用!$N$23="","",INDEX(計算用!$C$2:$C$721,計算用!$N$23))</f>
        <v/>
      </c>
      <c r="E28" s="25">
        <f>IF(計算用!$O$23="","",INDEX(計算用!$A$2:$A$721,計算用!$O$23))</f>
        <v/>
      </c>
      <c r="F28" s="26">
        <f>IF(計算用!$O$23="","",INDEX(計算用!$C$2:$C$721,計算用!$O$23))</f>
        <v/>
      </c>
      <c r="G28" s="25">
        <f>IF(計算用!$P$23="","",INDEX(計算用!$A$2:$A$721,計算用!$P$23))</f>
        <v/>
      </c>
      <c r="H28" s="26">
        <f>IF(計算用!$P$23="","",INDEX(計算用!$C$2:$C$721,計算用!$P$23))</f>
        <v/>
      </c>
      <c r="I28" s="25">
        <f>IF(計算用!$Q$23="","",INDEX(計算用!$A$2:$A$721,計算用!$Q$23))</f>
        <v/>
      </c>
      <c r="J28" s="26">
        <f>IF(計算用!$Q$23="","",INDEX(計算用!$C$2:$C$721,計算用!$Q$23))</f>
        <v/>
      </c>
      <c r="K28" s="25">
        <f>IF(計算用!$R$23="","",INDEX(計算用!$A$2:$A$721,計算用!$R$23))</f>
        <v/>
      </c>
      <c r="L28" s="26">
        <f>IF(計算用!$R$23="","",INDEX(計算用!$C$2:$C$721,計算用!$R$23))</f>
        <v/>
      </c>
      <c r="M28" s="25">
        <f>IF(計算用!$S$23="","",INDEX(計算用!$A$2:$A$721,計算用!$S$23))</f>
        <v/>
      </c>
      <c r="N28" s="26">
        <f>IF(計算用!$S$23="","",INDEX(計算用!$C$2:$C$721,計算用!$S$23))</f>
        <v/>
      </c>
      <c r="O28" s="25">
        <f>IF(計算用!$T$23="","",INDEX(計算用!$A$2:$A$721,計算用!$T$23))</f>
        <v/>
      </c>
      <c r="P28" s="26">
        <f>IF(計算用!$T$23="","",INDEX(計算用!$C$2:$C$721,計算用!$T$23))</f>
        <v/>
      </c>
      <c r="Q28" s="25">
        <f>IF(計算用!$U$23="","",INDEX(計算用!$A$2:$A$721,計算用!$U$23))</f>
        <v/>
      </c>
      <c r="R28" s="26">
        <f>IF(計算用!$U$23="","",INDEX(計算用!$C$2:$C$721,計算用!$U$23))</f>
        <v/>
      </c>
      <c r="S28" s="25">
        <f>IF(計算用!$V$23="","",INDEX(計算用!$A$2:$A$721,計算用!$V$23))</f>
        <v/>
      </c>
      <c r="T28" s="26">
        <f>IF(計算用!$V$23="","",INDEX(計算用!$C$2:$C$721,計算用!$V$23))</f>
        <v/>
      </c>
    </row>
    <row r="29">
      <c r="A29" s="25">
        <f>IF(計算用!$M$24="","",INDEX(計算用!$A$2:$A$721,計算用!$M$24))</f>
        <v/>
      </c>
      <c r="B29" s="26">
        <f>IF(計算用!$M$24="","",INDEX(計算用!$C$2:$C$721,計算用!$M$24))</f>
        <v/>
      </c>
      <c r="C29" s="25">
        <f>IF(計算用!$N$24="","",INDEX(計算用!$A$2:$A$721,計算用!$N$24))</f>
        <v/>
      </c>
      <c r="D29" s="26">
        <f>IF(計算用!$N$24="","",INDEX(計算用!$C$2:$C$721,計算用!$N$24))</f>
        <v/>
      </c>
      <c r="E29" s="25">
        <f>IF(計算用!$O$24="","",INDEX(計算用!$A$2:$A$721,計算用!$O$24))</f>
        <v/>
      </c>
      <c r="F29" s="26">
        <f>IF(計算用!$O$24="","",INDEX(計算用!$C$2:$C$721,計算用!$O$24))</f>
        <v/>
      </c>
      <c r="G29" s="25">
        <f>IF(計算用!$P$24="","",INDEX(計算用!$A$2:$A$721,計算用!$P$24))</f>
        <v/>
      </c>
      <c r="H29" s="26">
        <f>IF(計算用!$P$24="","",INDEX(計算用!$C$2:$C$721,計算用!$P$24))</f>
        <v/>
      </c>
      <c r="I29" s="25">
        <f>IF(計算用!$Q$24="","",INDEX(計算用!$A$2:$A$721,計算用!$Q$24))</f>
        <v/>
      </c>
      <c r="J29" s="26">
        <f>IF(計算用!$Q$24="","",INDEX(計算用!$C$2:$C$721,計算用!$Q$24))</f>
        <v/>
      </c>
      <c r="K29" s="25">
        <f>IF(計算用!$R$24="","",INDEX(計算用!$A$2:$A$721,計算用!$R$24))</f>
        <v/>
      </c>
      <c r="L29" s="26">
        <f>IF(計算用!$R$24="","",INDEX(計算用!$C$2:$C$721,計算用!$R$24))</f>
        <v/>
      </c>
      <c r="M29" s="25">
        <f>IF(計算用!$S$24="","",INDEX(計算用!$A$2:$A$721,計算用!$S$24))</f>
        <v/>
      </c>
      <c r="N29" s="26">
        <f>IF(計算用!$S$24="","",INDEX(計算用!$C$2:$C$721,計算用!$S$24))</f>
        <v/>
      </c>
      <c r="O29" s="25">
        <f>IF(計算用!$T$24="","",INDEX(計算用!$A$2:$A$721,計算用!$T$24))</f>
        <v/>
      </c>
      <c r="P29" s="26">
        <f>IF(計算用!$T$24="","",INDEX(計算用!$C$2:$C$721,計算用!$T$24))</f>
        <v/>
      </c>
      <c r="Q29" s="25">
        <f>IF(計算用!$U$24="","",INDEX(計算用!$A$2:$A$721,計算用!$U$24))</f>
        <v/>
      </c>
      <c r="R29" s="26">
        <f>IF(計算用!$U$24="","",INDEX(計算用!$C$2:$C$721,計算用!$U$24))</f>
        <v/>
      </c>
      <c r="S29" s="25">
        <f>IF(計算用!$V$24="","",INDEX(計算用!$A$2:$A$721,計算用!$V$24))</f>
        <v/>
      </c>
      <c r="T29" s="26">
        <f>IF(計算用!$V$24="","",INDEX(計算用!$C$2:$C$721,計算用!$V$24))</f>
        <v/>
      </c>
    </row>
    <row r="30">
      <c r="A30" s="25">
        <f>IF(計算用!$M$25="","",INDEX(計算用!$A$2:$A$721,計算用!$M$25))</f>
        <v/>
      </c>
      <c r="B30" s="26">
        <f>IF(計算用!$M$25="","",INDEX(計算用!$C$2:$C$721,計算用!$M$25))</f>
        <v/>
      </c>
      <c r="C30" s="25">
        <f>IF(計算用!$N$25="","",INDEX(計算用!$A$2:$A$721,計算用!$N$25))</f>
        <v/>
      </c>
      <c r="D30" s="26">
        <f>IF(計算用!$N$25="","",INDEX(計算用!$C$2:$C$721,計算用!$N$25))</f>
        <v/>
      </c>
      <c r="E30" s="25">
        <f>IF(計算用!$O$25="","",INDEX(計算用!$A$2:$A$721,計算用!$O$25))</f>
        <v/>
      </c>
      <c r="F30" s="26">
        <f>IF(計算用!$O$25="","",INDEX(計算用!$C$2:$C$721,計算用!$O$25))</f>
        <v/>
      </c>
      <c r="G30" s="25">
        <f>IF(計算用!$P$25="","",INDEX(計算用!$A$2:$A$721,計算用!$P$25))</f>
        <v/>
      </c>
      <c r="H30" s="26">
        <f>IF(計算用!$P$25="","",INDEX(計算用!$C$2:$C$721,計算用!$P$25))</f>
        <v/>
      </c>
      <c r="I30" s="25">
        <f>IF(計算用!$Q$25="","",INDEX(計算用!$A$2:$A$721,計算用!$Q$25))</f>
        <v/>
      </c>
      <c r="J30" s="26">
        <f>IF(計算用!$Q$25="","",INDEX(計算用!$C$2:$C$721,計算用!$Q$25))</f>
        <v/>
      </c>
      <c r="K30" s="25">
        <f>IF(計算用!$R$25="","",INDEX(計算用!$A$2:$A$721,計算用!$R$25))</f>
        <v/>
      </c>
      <c r="L30" s="26">
        <f>IF(計算用!$R$25="","",INDEX(計算用!$C$2:$C$721,計算用!$R$25))</f>
        <v/>
      </c>
      <c r="M30" s="25">
        <f>IF(計算用!$S$25="","",INDEX(計算用!$A$2:$A$721,計算用!$S$25))</f>
        <v/>
      </c>
      <c r="N30" s="26">
        <f>IF(計算用!$S$25="","",INDEX(計算用!$C$2:$C$721,計算用!$S$25))</f>
        <v/>
      </c>
      <c r="O30" s="25">
        <f>IF(計算用!$T$25="","",INDEX(計算用!$A$2:$A$721,計算用!$T$25))</f>
        <v/>
      </c>
      <c r="P30" s="26">
        <f>IF(計算用!$T$25="","",INDEX(計算用!$C$2:$C$721,計算用!$T$25))</f>
        <v/>
      </c>
      <c r="Q30" s="25">
        <f>IF(計算用!$U$25="","",INDEX(計算用!$A$2:$A$721,計算用!$U$25))</f>
        <v/>
      </c>
      <c r="R30" s="26">
        <f>IF(計算用!$U$25="","",INDEX(計算用!$C$2:$C$721,計算用!$U$25))</f>
        <v/>
      </c>
      <c r="S30" s="25">
        <f>IF(計算用!$V$25="","",INDEX(計算用!$A$2:$A$721,計算用!$V$25))</f>
        <v/>
      </c>
      <c r="T30" s="26">
        <f>IF(計算用!$V$25="","",INDEX(計算用!$C$2:$C$721,計算用!$V$25))</f>
        <v/>
      </c>
    </row>
    <row r="31">
      <c r="A31" s="25">
        <f>IF(計算用!$M$26="","",INDEX(計算用!$A$2:$A$721,計算用!$M$26))</f>
        <v/>
      </c>
      <c r="B31" s="26">
        <f>IF(計算用!$M$26="","",INDEX(計算用!$C$2:$C$721,計算用!$M$26))</f>
        <v/>
      </c>
      <c r="C31" s="25">
        <f>IF(計算用!$N$26="","",INDEX(計算用!$A$2:$A$721,計算用!$N$26))</f>
        <v/>
      </c>
      <c r="D31" s="26">
        <f>IF(計算用!$N$26="","",INDEX(計算用!$C$2:$C$721,計算用!$N$26))</f>
        <v/>
      </c>
      <c r="E31" s="25">
        <f>IF(計算用!$O$26="","",INDEX(計算用!$A$2:$A$721,計算用!$O$26))</f>
        <v/>
      </c>
      <c r="F31" s="26">
        <f>IF(計算用!$O$26="","",INDEX(計算用!$C$2:$C$721,計算用!$O$26))</f>
        <v/>
      </c>
      <c r="G31" s="25">
        <f>IF(計算用!$P$26="","",INDEX(計算用!$A$2:$A$721,計算用!$P$26))</f>
        <v/>
      </c>
      <c r="H31" s="26">
        <f>IF(計算用!$P$26="","",INDEX(計算用!$C$2:$C$721,計算用!$P$26))</f>
        <v/>
      </c>
      <c r="I31" s="25">
        <f>IF(計算用!$Q$26="","",INDEX(計算用!$A$2:$A$721,計算用!$Q$26))</f>
        <v/>
      </c>
      <c r="J31" s="26">
        <f>IF(計算用!$Q$26="","",INDEX(計算用!$C$2:$C$721,計算用!$Q$26))</f>
        <v/>
      </c>
      <c r="K31" s="25">
        <f>IF(計算用!$R$26="","",INDEX(計算用!$A$2:$A$721,計算用!$R$26))</f>
        <v/>
      </c>
      <c r="L31" s="26">
        <f>IF(計算用!$R$26="","",INDEX(計算用!$C$2:$C$721,計算用!$R$26))</f>
        <v/>
      </c>
      <c r="M31" s="25">
        <f>IF(計算用!$S$26="","",INDEX(計算用!$A$2:$A$721,計算用!$S$26))</f>
        <v/>
      </c>
      <c r="N31" s="26">
        <f>IF(計算用!$S$26="","",INDEX(計算用!$C$2:$C$721,計算用!$S$26))</f>
        <v/>
      </c>
      <c r="O31" s="25">
        <f>IF(計算用!$T$26="","",INDEX(計算用!$A$2:$A$721,計算用!$T$26))</f>
        <v/>
      </c>
      <c r="P31" s="26">
        <f>IF(計算用!$T$26="","",INDEX(計算用!$C$2:$C$721,計算用!$T$26))</f>
        <v/>
      </c>
      <c r="Q31" s="25">
        <f>IF(計算用!$U$26="","",INDEX(計算用!$A$2:$A$721,計算用!$U$26))</f>
        <v/>
      </c>
      <c r="R31" s="26">
        <f>IF(計算用!$U$26="","",INDEX(計算用!$C$2:$C$721,計算用!$U$26))</f>
        <v/>
      </c>
      <c r="S31" s="25">
        <f>IF(計算用!$V$26="","",INDEX(計算用!$A$2:$A$721,計算用!$V$26))</f>
        <v/>
      </c>
      <c r="T31" s="26">
        <f>IF(計算用!$V$26="","",INDEX(計算用!$C$2:$C$721,計算用!$V$26))</f>
        <v/>
      </c>
    </row>
    <row r="32">
      <c r="A32" s="25">
        <f>IF(計算用!$M$27="","",INDEX(計算用!$A$2:$A$721,計算用!$M$27))</f>
        <v/>
      </c>
      <c r="B32" s="26">
        <f>IF(計算用!$M$27="","",INDEX(計算用!$C$2:$C$721,計算用!$M$27))</f>
        <v/>
      </c>
      <c r="C32" s="25">
        <f>IF(計算用!$N$27="","",INDEX(計算用!$A$2:$A$721,計算用!$N$27))</f>
        <v/>
      </c>
      <c r="D32" s="26">
        <f>IF(計算用!$N$27="","",INDEX(計算用!$C$2:$C$721,計算用!$N$27))</f>
        <v/>
      </c>
      <c r="E32" s="25">
        <f>IF(計算用!$O$27="","",INDEX(計算用!$A$2:$A$721,計算用!$O$27))</f>
        <v/>
      </c>
      <c r="F32" s="26">
        <f>IF(計算用!$O$27="","",INDEX(計算用!$C$2:$C$721,計算用!$O$27))</f>
        <v/>
      </c>
      <c r="G32" s="25">
        <f>IF(計算用!$P$27="","",INDEX(計算用!$A$2:$A$721,計算用!$P$27))</f>
        <v/>
      </c>
      <c r="H32" s="26">
        <f>IF(計算用!$P$27="","",INDEX(計算用!$C$2:$C$721,計算用!$P$27))</f>
        <v/>
      </c>
      <c r="I32" s="25">
        <f>IF(計算用!$Q$27="","",INDEX(計算用!$A$2:$A$721,計算用!$Q$27))</f>
        <v/>
      </c>
      <c r="J32" s="26">
        <f>IF(計算用!$Q$27="","",INDEX(計算用!$C$2:$C$721,計算用!$Q$27))</f>
        <v/>
      </c>
      <c r="K32" s="25">
        <f>IF(計算用!$R$27="","",INDEX(計算用!$A$2:$A$721,計算用!$R$27))</f>
        <v/>
      </c>
      <c r="L32" s="26">
        <f>IF(計算用!$R$27="","",INDEX(計算用!$C$2:$C$721,計算用!$R$27))</f>
        <v/>
      </c>
      <c r="M32" s="25">
        <f>IF(計算用!$S$27="","",INDEX(計算用!$A$2:$A$721,計算用!$S$27))</f>
        <v/>
      </c>
      <c r="N32" s="26">
        <f>IF(計算用!$S$27="","",INDEX(計算用!$C$2:$C$721,計算用!$S$27))</f>
        <v/>
      </c>
      <c r="O32" s="25">
        <f>IF(計算用!$T$27="","",INDEX(計算用!$A$2:$A$721,計算用!$T$27))</f>
        <v/>
      </c>
      <c r="P32" s="26">
        <f>IF(計算用!$T$27="","",INDEX(計算用!$C$2:$C$721,計算用!$T$27))</f>
        <v/>
      </c>
      <c r="Q32" s="25">
        <f>IF(計算用!$U$27="","",INDEX(計算用!$A$2:$A$721,計算用!$U$27))</f>
        <v/>
      </c>
      <c r="R32" s="26">
        <f>IF(計算用!$U$27="","",INDEX(計算用!$C$2:$C$721,計算用!$U$27))</f>
        <v/>
      </c>
      <c r="S32" s="25">
        <f>IF(計算用!$V$27="","",INDEX(計算用!$A$2:$A$721,計算用!$V$27))</f>
        <v/>
      </c>
      <c r="T32" s="26">
        <f>IF(計算用!$V$27="","",INDEX(計算用!$C$2:$C$721,計算用!$V$27))</f>
        <v/>
      </c>
    </row>
    <row r="33">
      <c r="A33" s="25">
        <f>IF(計算用!$M$28="","",INDEX(計算用!$A$2:$A$721,計算用!$M$28))</f>
        <v/>
      </c>
      <c r="B33" s="26">
        <f>IF(計算用!$M$28="","",INDEX(計算用!$C$2:$C$721,計算用!$M$28))</f>
        <v/>
      </c>
      <c r="C33" s="25">
        <f>IF(計算用!$N$28="","",INDEX(計算用!$A$2:$A$721,計算用!$N$28))</f>
        <v/>
      </c>
      <c r="D33" s="26">
        <f>IF(計算用!$N$28="","",INDEX(計算用!$C$2:$C$721,計算用!$N$28))</f>
        <v/>
      </c>
      <c r="E33" s="25">
        <f>IF(計算用!$O$28="","",INDEX(計算用!$A$2:$A$721,計算用!$O$28))</f>
        <v/>
      </c>
      <c r="F33" s="26">
        <f>IF(計算用!$O$28="","",INDEX(計算用!$C$2:$C$721,計算用!$O$28))</f>
        <v/>
      </c>
      <c r="G33" s="25">
        <f>IF(計算用!$P$28="","",INDEX(計算用!$A$2:$A$721,計算用!$P$28))</f>
        <v/>
      </c>
      <c r="H33" s="26">
        <f>IF(計算用!$P$28="","",INDEX(計算用!$C$2:$C$721,計算用!$P$28))</f>
        <v/>
      </c>
      <c r="I33" s="25">
        <f>IF(計算用!$Q$28="","",INDEX(計算用!$A$2:$A$721,計算用!$Q$28))</f>
        <v/>
      </c>
      <c r="J33" s="26">
        <f>IF(計算用!$Q$28="","",INDEX(計算用!$C$2:$C$721,計算用!$Q$28))</f>
        <v/>
      </c>
      <c r="K33" s="25">
        <f>IF(計算用!$R$28="","",INDEX(計算用!$A$2:$A$721,計算用!$R$28))</f>
        <v/>
      </c>
      <c r="L33" s="26">
        <f>IF(計算用!$R$28="","",INDEX(計算用!$C$2:$C$721,計算用!$R$28))</f>
        <v/>
      </c>
      <c r="M33" s="25">
        <f>IF(計算用!$S$28="","",INDEX(計算用!$A$2:$A$721,計算用!$S$28))</f>
        <v/>
      </c>
      <c r="N33" s="26">
        <f>IF(計算用!$S$28="","",INDEX(計算用!$C$2:$C$721,計算用!$S$28))</f>
        <v/>
      </c>
      <c r="O33" s="25">
        <f>IF(計算用!$T$28="","",INDEX(計算用!$A$2:$A$721,計算用!$T$28))</f>
        <v/>
      </c>
      <c r="P33" s="26">
        <f>IF(計算用!$T$28="","",INDEX(計算用!$C$2:$C$721,計算用!$T$28))</f>
        <v/>
      </c>
      <c r="Q33" s="25">
        <f>IF(計算用!$U$28="","",INDEX(計算用!$A$2:$A$721,計算用!$U$28))</f>
        <v/>
      </c>
      <c r="R33" s="26">
        <f>IF(計算用!$U$28="","",INDEX(計算用!$C$2:$C$721,計算用!$U$28))</f>
        <v/>
      </c>
      <c r="S33" s="25">
        <f>IF(計算用!$V$28="","",INDEX(計算用!$A$2:$A$721,計算用!$V$28))</f>
        <v/>
      </c>
      <c r="T33" s="26">
        <f>IF(計算用!$V$28="","",INDEX(計算用!$C$2:$C$721,計算用!$V$28))</f>
        <v/>
      </c>
    </row>
    <row r="34">
      <c r="A34" s="25">
        <f>IF(計算用!$M$29="","",INDEX(計算用!$A$2:$A$721,計算用!$M$29))</f>
        <v/>
      </c>
      <c r="B34" s="26">
        <f>IF(計算用!$M$29="","",INDEX(計算用!$C$2:$C$721,計算用!$M$29))</f>
        <v/>
      </c>
      <c r="C34" s="25">
        <f>IF(計算用!$N$29="","",INDEX(計算用!$A$2:$A$721,計算用!$N$29))</f>
        <v/>
      </c>
      <c r="D34" s="26">
        <f>IF(計算用!$N$29="","",INDEX(計算用!$C$2:$C$721,計算用!$N$29))</f>
        <v/>
      </c>
      <c r="E34" s="25">
        <f>IF(計算用!$O$29="","",INDEX(計算用!$A$2:$A$721,計算用!$O$29))</f>
        <v/>
      </c>
      <c r="F34" s="26">
        <f>IF(計算用!$O$29="","",INDEX(計算用!$C$2:$C$721,計算用!$O$29))</f>
        <v/>
      </c>
      <c r="G34" s="25">
        <f>IF(計算用!$P$29="","",INDEX(計算用!$A$2:$A$721,計算用!$P$29))</f>
        <v/>
      </c>
      <c r="H34" s="26">
        <f>IF(計算用!$P$29="","",INDEX(計算用!$C$2:$C$721,計算用!$P$29))</f>
        <v/>
      </c>
      <c r="I34" s="25">
        <f>IF(計算用!$Q$29="","",INDEX(計算用!$A$2:$A$721,計算用!$Q$29))</f>
        <v/>
      </c>
      <c r="J34" s="26">
        <f>IF(計算用!$Q$29="","",INDEX(計算用!$C$2:$C$721,計算用!$Q$29))</f>
        <v/>
      </c>
      <c r="K34" s="25">
        <f>IF(計算用!$R$29="","",INDEX(計算用!$A$2:$A$721,計算用!$R$29))</f>
        <v/>
      </c>
      <c r="L34" s="26">
        <f>IF(計算用!$R$29="","",INDEX(計算用!$C$2:$C$721,計算用!$R$29))</f>
        <v/>
      </c>
      <c r="M34" s="25">
        <f>IF(計算用!$S$29="","",INDEX(計算用!$A$2:$A$721,計算用!$S$29))</f>
        <v/>
      </c>
      <c r="N34" s="26">
        <f>IF(計算用!$S$29="","",INDEX(計算用!$C$2:$C$721,計算用!$S$29))</f>
        <v/>
      </c>
      <c r="O34" s="25">
        <f>IF(計算用!$T$29="","",INDEX(計算用!$A$2:$A$721,計算用!$T$29))</f>
        <v/>
      </c>
      <c r="P34" s="26">
        <f>IF(計算用!$T$29="","",INDEX(計算用!$C$2:$C$721,計算用!$T$29))</f>
        <v/>
      </c>
      <c r="Q34" s="25">
        <f>IF(計算用!$U$29="","",INDEX(計算用!$A$2:$A$721,計算用!$U$29))</f>
        <v/>
      </c>
      <c r="R34" s="26">
        <f>IF(計算用!$U$29="","",INDEX(計算用!$C$2:$C$721,計算用!$U$29))</f>
        <v/>
      </c>
      <c r="S34" s="25">
        <f>IF(計算用!$V$29="","",INDEX(計算用!$A$2:$A$721,計算用!$V$29))</f>
        <v/>
      </c>
      <c r="T34" s="26">
        <f>IF(計算用!$V$29="","",INDEX(計算用!$C$2:$C$721,計算用!$V$29))</f>
        <v/>
      </c>
    </row>
    <row r="35">
      <c r="A35" s="25">
        <f>IF(計算用!$M$30="","",INDEX(計算用!$A$2:$A$721,計算用!$M$30))</f>
        <v/>
      </c>
      <c r="B35" s="26">
        <f>IF(計算用!$M$30="","",INDEX(計算用!$C$2:$C$721,計算用!$M$30))</f>
        <v/>
      </c>
      <c r="C35" s="25">
        <f>IF(計算用!$N$30="","",INDEX(計算用!$A$2:$A$721,計算用!$N$30))</f>
        <v/>
      </c>
      <c r="D35" s="26">
        <f>IF(計算用!$N$30="","",INDEX(計算用!$C$2:$C$721,計算用!$N$30))</f>
        <v/>
      </c>
      <c r="E35" s="25">
        <f>IF(計算用!$O$30="","",INDEX(計算用!$A$2:$A$721,計算用!$O$30))</f>
        <v/>
      </c>
      <c r="F35" s="26">
        <f>IF(計算用!$O$30="","",INDEX(計算用!$C$2:$C$721,計算用!$O$30))</f>
        <v/>
      </c>
      <c r="G35" s="25">
        <f>IF(計算用!$P$30="","",INDEX(計算用!$A$2:$A$721,計算用!$P$30))</f>
        <v/>
      </c>
      <c r="H35" s="26">
        <f>IF(計算用!$P$30="","",INDEX(計算用!$C$2:$C$721,計算用!$P$30))</f>
        <v/>
      </c>
      <c r="I35" s="25">
        <f>IF(計算用!$Q$30="","",INDEX(計算用!$A$2:$A$721,計算用!$Q$30))</f>
        <v/>
      </c>
      <c r="J35" s="26">
        <f>IF(計算用!$Q$30="","",INDEX(計算用!$C$2:$C$721,計算用!$Q$30))</f>
        <v/>
      </c>
      <c r="K35" s="25">
        <f>IF(計算用!$R$30="","",INDEX(計算用!$A$2:$A$721,計算用!$R$30))</f>
        <v/>
      </c>
      <c r="L35" s="26">
        <f>IF(計算用!$R$30="","",INDEX(計算用!$C$2:$C$721,計算用!$R$30))</f>
        <v/>
      </c>
      <c r="M35" s="25">
        <f>IF(計算用!$S$30="","",INDEX(計算用!$A$2:$A$721,計算用!$S$30))</f>
        <v/>
      </c>
      <c r="N35" s="26">
        <f>IF(計算用!$S$30="","",INDEX(計算用!$C$2:$C$721,計算用!$S$30))</f>
        <v/>
      </c>
      <c r="O35" s="25">
        <f>IF(計算用!$T$30="","",INDEX(計算用!$A$2:$A$721,計算用!$T$30))</f>
        <v/>
      </c>
      <c r="P35" s="26">
        <f>IF(計算用!$T$30="","",INDEX(計算用!$C$2:$C$721,計算用!$T$30))</f>
        <v/>
      </c>
      <c r="Q35" s="25">
        <f>IF(計算用!$U$30="","",INDEX(計算用!$A$2:$A$721,計算用!$U$30))</f>
        <v/>
      </c>
      <c r="R35" s="26">
        <f>IF(計算用!$U$30="","",INDEX(計算用!$C$2:$C$721,計算用!$U$30))</f>
        <v/>
      </c>
      <c r="S35" s="25">
        <f>IF(計算用!$V$30="","",INDEX(計算用!$A$2:$A$721,計算用!$V$30))</f>
        <v/>
      </c>
      <c r="T35" s="26">
        <f>IF(計算用!$V$30="","",INDEX(計算用!$C$2:$C$721,計算用!$V$30))</f>
        <v/>
      </c>
    </row>
    <row r="36">
      <c r="A36" s="25">
        <f>IF(計算用!$M$31="","",INDEX(計算用!$A$2:$A$721,計算用!$M$31))</f>
        <v/>
      </c>
      <c r="B36" s="26">
        <f>IF(計算用!$M$31="","",INDEX(計算用!$C$2:$C$721,計算用!$M$31))</f>
        <v/>
      </c>
      <c r="C36" s="25">
        <f>IF(計算用!$N$31="","",INDEX(計算用!$A$2:$A$721,計算用!$N$31))</f>
        <v/>
      </c>
      <c r="D36" s="26">
        <f>IF(計算用!$N$31="","",INDEX(計算用!$C$2:$C$721,計算用!$N$31))</f>
        <v/>
      </c>
      <c r="E36" s="25">
        <f>IF(計算用!$O$31="","",INDEX(計算用!$A$2:$A$721,計算用!$O$31))</f>
        <v/>
      </c>
      <c r="F36" s="26">
        <f>IF(計算用!$O$31="","",INDEX(計算用!$C$2:$C$721,計算用!$O$31))</f>
        <v/>
      </c>
      <c r="G36" s="25">
        <f>IF(計算用!$P$31="","",INDEX(計算用!$A$2:$A$721,計算用!$P$31))</f>
        <v/>
      </c>
      <c r="H36" s="26">
        <f>IF(計算用!$P$31="","",INDEX(計算用!$C$2:$C$721,計算用!$P$31))</f>
        <v/>
      </c>
      <c r="I36" s="25">
        <f>IF(計算用!$Q$31="","",INDEX(計算用!$A$2:$A$721,計算用!$Q$31))</f>
        <v/>
      </c>
      <c r="J36" s="26">
        <f>IF(計算用!$Q$31="","",INDEX(計算用!$C$2:$C$721,計算用!$Q$31))</f>
        <v/>
      </c>
      <c r="K36" s="25">
        <f>IF(計算用!$R$31="","",INDEX(計算用!$A$2:$A$721,計算用!$R$31))</f>
        <v/>
      </c>
      <c r="L36" s="26">
        <f>IF(計算用!$R$31="","",INDEX(計算用!$C$2:$C$721,計算用!$R$31))</f>
        <v/>
      </c>
      <c r="M36" s="25">
        <f>IF(計算用!$S$31="","",INDEX(計算用!$A$2:$A$721,計算用!$S$31))</f>
        <v/>
      </c>
      <c r="N36" s="26">
        <f>IF(計算用!$S$31="","",INDEX(計算用!$C$2:$C$721,計算用!$S$31))</f>
        <v/>
      </c>
      <c r="O36" s="25">
        <f>IF(計算用!$T$31="","",INDEX(計算用!$A$2:$A$721,計算用!$T$31))</f>
        <v/>
      </c>
      <c r="P36" s="26">
        <f>IF(計算用!$T$31="","",INDEX(計算用!$C$2:$C$721,計算用!$T$31))</f>
        <v/>
      </c>
      <c r="Q36" s="25">
        <f>IF(計算用!$U$31="","",INDEX(計算用!$A$2:$A$721,計算用!$U$31))</f>
        <v/>
      </c>
      <c r="R36" s="26">
        <f>IF(計算用!$U$31="","",INDEX(計算用!$C$2:$C$721,計算用!$U$31))</f>
        <v/>
      </c>
      <c r="S36" s="25">
        <f>IF(計算用!$V$31="","",INDEX(計算用!$A$2:$A$721,計算用!$V$31))</f>
        <v/>
      </c>
      <c r="T36" s="26">
        <f>IF(計算用!$V$31="","",INDEX(計算用!$C$2:$C$721,計算用!$V$31))</f>
        <v/>
      </c>
    </row>
    <row r="37">
      <c r="A37" s="25">
        <f>IF(計算用!$M$32="","",INDEX(計算用!$A$2:$A$721,計算用!$M$32))</f>
        <v/>
      </c>
      <c r="B37" s="26">
        <f>IF(計算用!$M$32="","",INDEX(計算用!$C$2:$C$721,計算用!$M$32))</f>
        <v/>
      </c>
      <c r="C37" s="25">
        <f>IF(計算用!$N$32="","",INDEX(計算用!$A$2:$A$721,計算用!$N$32))</f>
        <v/>
      </c>
      <c r="D37" s="26">
        <f>IF(計算用!$N$32="","",INDEX(計算用!$C$2:$C$721,計算用!$N$32))</f>
        <v/>
      </c>
      <c r="E37" s="25">
        <f>IF(計算用!$O$32="","",INDEX(計算用!$A$2:$A$721,計算用!$O$32))</f>
        <v/>
      </c>
      <c r="F37" s="26">
        <f>IF(計算用!$O$32="","",INDEX(計算用!$C$2:$C$721,計算用!$O$32))</f>
        <v/>
      </c>
      <c r="G37" s="25">
        <f>IF(計算用!$P$32="","",INDEX(計算用!$A$2:$A$721,計算用!$P$32))</f>
        <v/>
      </c>
      <c r="H37" s="26">
        <f>IF(計算用!$P$32="","",INDEX(計算用!$C$2:$C$721,計算用!$P$32))</f>
        <v/>
      </c>
      <c r="I37" s="25">
        <f>IF(計算用!$Q$32="","",INDEX(計算用!$A$2:$A$721,計算用!$Q$32))</f>
        <v/>
      </c>
      <c r="J37" s="26">
        <f>IF(計算用!$Q$32="","",INDEX(計算用!$C$2:$C$721,計算用!$Q$32))</f>
        <v/>
      </c>
      <c r="K37" s="25">
        <f>IF(計算用!$R$32="","",INDEX(計算用!$A$2:$A$721,計算用!$R$32))</f>
        <v/>
      </c>
      <c r="L37" s="26">
        <f>IF(計算用!$R$32="","",INDEX(計算用!$C$2:$C$721,計算用!$R$32))</f>
        <v/>
      </c>
      <c r="M37" s="25">
        <f>IF(計算用!$S$32="","",INDEX(計算用!$A$2:$A$721,計算用!$S$32))</f>
        <v/>
      </c>
      <c r="N37" s="26">
        <f>IF(計算用!$S$32="","",INDEX(計算用!$C$2:$C$721,計算用!$S$32))</f>
        <v/>
      </c>
      <c r="O37" s="25">
        <f>IF(計算用!$T$32="","",INDEX(計算用!$A$2:$A$721,計算用!$T$32))</f>
        <v/>
      </c>
      <c r="P37" s="26">
        <f>IF(計算用!$T$32="","",INDEX(計算用!$C$2:$C$721,計算用!$T$32))</f>
        <v/>
      </c>
      <c r="Q37" s="25">
        <f>IF(計算用!$U$32="","",INDEX(計算用!$A$2:$A$721,計算用!$U$32))</f>
        <v/>
      </c>
      <c r="R37" s="26">
        <f>IF(計算用!$U$32="","",INDEX(計算用!$C$2:$C$721,計算用!$U$32))</f>
        <v/>
      </c>
      <c r="S37" s="25">
        <f>IF(計算用!$V$32="","",INDEX(計算用!$A$2:$A$721,計算用!$V$32))</f>
        <v/>
      </c>
      <c r="T37" s="26">
        <f>IF(計算用!$V$32="","",INDEX(計算用!$C$2:$C$721,計算用!$V$32))</f>
        <v/>
      </c>
    </row>
    <row r="38">
      <c r="A38" s="25">
        <f>IF(計算用!$M$33="","",INDEX(計算用!$A$2:$A$721,計算用!$M$33))</f>
        <v/>
      </c>
      <c r="B38" s="26">
        <f>IF(計算用!$M$33="","",INDEX(計算用!$C$2:$C$721,計算用!$M$33))</f>
        <v/>
      </c>
      <c r="C38" s="25">
        <f>IF(計算用!$N$33="","",INDEX(計算用!$A$2:$A$721,計算用!$N$33))</f>
        <v/>
      </c>
      <c r="D38" s="26">
        <f>IF(計算用!$N$33="","",INDEX(計算用!$C$2:$C$721,計算用!$N$33))</f>
        <v/>
      </c>
      <c r="E38" s="25">
        <f>IF(計算用!$O$33="","",INDEX(計算用!$A$2:$A$721,計算用!$O$33))</f>
        <v/>
      </c>
      <c r="F38" s="26">
        <f>IF(計算用!$O$33="","",INDEX(計算用!$C$2:$C$721,計算用!$O$33))</f>
        <v/>
      </c>
      <c r="G38" s="25">
        <f>IF(計算用!$P$33="","",INDEX(計算用!$A$2:$A$721,計算用!$P$33))</f>
        <v/>
      </c>
      <c r="H38" s="26">
        <f>IF(計算用!$P$33="","",INDEX(計算用!$C$2:$C$721,計算用!$P$33))</f>
        <v/>
      </c>
      <c r="I38" s="25">
        <f>IF(計算用!$Q$33="","",INDEX(計算用!$A$2:$A$721,計算用!$Q$33))</f>
        <v/>
      </c>
      <c r="J38" s="26">
        <f>IF(計算用!$Q$33="","",INDEX(計算用!$C$2:$C$721,計算用!$Q$33))</f>
        <v/>
      </c>
      <c r="K38" s="25">
        <f>IF(計算用!$R$33="","",INDEX(計算用!$A$2:$A$721,計算用!$R$33))</f>
        <v/>
      </c>
      <c r="L38" s="26">
        <f>IF(計算用!$R$33="","",INDEX(計算用!$C$2:$C$721,計算用!$R$33))</f>
        <v/>
      </c>
      <c r="M38" s="25">
        <f>IF(計算用!$S$33="","",INDEX(計算用!$A$2:$A$721,計算用!$S$33))</f>
        <v/>
      </c>
      <c r="N38" s="26">
        <f>IF(計算用!$S$33="","",INDEX(計算用!$C$2:$C$721,計算用!$S$33))</f>
        <v/>
      </c>
      <c r="O38" s="25">
        <f>IF(計算用!$T$33="","",INDEX(計算用!$A$2:$A$721,計算用!$T$33))</f>
        <v/>
      </c>
      <c r="P38" s="26">
        <f>IF(計算用!$T$33="","",INDEX(計算用!$C$2:$C$721,計算用!$T$33))</f>
        <v/>
      </c>
      <c r="Q38" s="25">
        <f>IF(計算用!$U$33="","",INDEX(計算用!$A$2:$A$721,計算用!$U$33))</f>
        <v/>
      </c>
      <c r="R38" s="26">
        <f>IF(計算用!$U$33="","",INDEX(計算用!$C$2:$C$721,計算用!$U$33))</f>
        <v/>
      </c>
      <c r="S38" s="25">
        <f>IF(計算用!$V$33="","",INDEX(計算用!$A$2:$A$721,計算用!$V$33))</f>
        <v/>
      </c>
      <c r="T38" s="26">
        <f>IF(計算用!$V$33="","",INDEX(計算用!$C$2:$C$721,計算用!$V$33))</f>
        <v/>
      </c>
    </row>
    <row r="39">
      <c r="A39" s="25">
        <f>IF(計算用!$M$34="","",INDEX(計算用!$A$2:$A$721,計算用!$M$34))</f>
        <v/>
      </c>
      <c r="B39" s="26">
        <f>IF(計算用!$M$34="","",INDEX(計算用!$C$2:$C$721,計算用!$M$34))</f>
        <v/>
      </c>
      <c r="C39" s="25">
        <f>IF(計算用!$N$34="","",INDEX(計算用!$A$2:$A$721,計算用!$N$34))</f>
        <v/>
      </c>
      <c r="D39" s="26">
        <f>IF(計算用!$N$34="","",INDEX(計算用!$C$2:$C$721,計算用!$N$34))</f>
        <v/>
      </c>
      <c r="E39" s="25">
        <f>IF(計算用!$O$34="","",INDEX(計算用!$A$2:$A$721,計算用!$O$34))</f>
        <v/>
      </c>
      <c r="F39" s="26">
        <f>IF(計算用!$O$34="","",INDEX(計算用!$C$2:$C$721,計算用!$O$34))</f>
        <v/>
      </c>
      <c r="G39" s="25">
        <f>IF(計算用!$P$34="","",INDEX(計算用!$A$2:$A$721,計算用!$P$34))</f>
        <v/>
      </c>
      <c r="H39" s="26">
        <f>IF(計算用!$P$34="","",INDEX(計算用!$C$2:$C$721,計算用!$P$34))</f>
        <v/>
      </c>
      <c r="I39" s="25">
        <f>IF(計算用!$Q$34="","",INDEX(計算用!$A$2:$A$721,計算用!$Q$34))</f>
        <v/>
      </c>
      <c r="J39" s="26">
        <f>IF(計算用!$Q$34="","",INDEX(計算用!$C$2:$C$721,計算用!$Q$34))</f>
        <v/>
      </c>
      <c r="K39" s="25">
        <f>IF(計算用!$R$34="","",INDEX(計算用!$A$2:$A$721,計算用!$R$34))</f>
        <v/>
      </c>
      <c r="L39" s="26">
        <f>IF(計算用!$R$34="","",INDEX(計算用!$C$2:$C$721,計算用!$R$34))</f>
        <v/>
      </c>
      <c r="M39" s="25">
        <f>IF(計算用!$S$34="","",INDEX(計算用!$A$2:$A$721,計算用!$S$34))</f>
        <v/>
      </c>
      <c r="N39" s="26">
        <f>IF(計算用!$S$34="","",INDEX(計算用!$C$2:$C$721,計算用!$S$34))</f>
        <v/>
      </c>
      <c r="O39" s="25">
        <f>IF(計算用!$T$34="","",INDEX(計算用!$A$2:$A$721,計算用!$T$34))</f>
        <v/>
      </c>
      <c r="P39" s="26">
        <f>IF(計算用!$T$34="","",INDEX(計算用!$C$2:$C$721,計算用!$T$34))</f>
        <v/>
      </c>
      <c r="Q39" s="25">
        <f>IF(計算用!$U$34="","",INDEX(計算用!$A$2:$A$721,計算用!$U$34))</f>
        <v/>
      </c>
      <c r="R39" s="26">
        <f>IF(計算用!$U$34="","",INDEX(計算用!$C$2:$C$721,計算用!$U$34))</f>
        <v/>
      </c>
      <c r="S39" s="25">
        <f>IF(計算用!$V$34="","",INDEX(計算用!$A$2:$A$721,計算用!$V$34))</f>
        <v/>
      </c>
      <c r="T39" s="26">
        <f>IF(計算用!$V$34="","",INDEX(計算用!$C$2:$C$721,計算用!$V$34))</f>
        <v/>
      </c>
    </row>
    <row r="40">
      <c r="A40" s="25">
        <f>IF(計算用!$M$35="","",INDEX(計算用!$A$2:$A$721,計算用!$M$35))</f>
        <v/>
      </c>
      <c r="B40" s="26">
        <f>IF(計算用!$M$35="","",INDEX(計算用!$C$2:$C$721,計算用!$M$35))</f>
        <v/>
      </c>
      <c r="C40" s="25">
        <f>IF(計算用!$N$35="","",INDEX(計算用!$A$2:$A$721,計算用!$N$35))</f>
        <v/>
      </c>
      <c r="D40" s="26">
        <f>IF(計算用!$N$35="","",INDEX(計算用!$C$2:$C$721,計算用!$N$35))</f>
        <v/>
      </c>
      <c r="E40" s="25">
        <f>IF(計算用!$O$35="","",INDEX(計算用!$A$2:$A$721,計算用!$O$35))</f>
        <v/>
      </c>
      <c r="F40" s="26">
        <f>IF(計算用!$O$35="","",INDEX(計算用!$C$2:$C$721,計算用!$O$35))</f>
        <v/>
      </c>
      <c r="G40" s="25">
        <f>IF(計算用!$P$35="","",INDEX(計算用!$A$2:$A$721,計算用!$P$35))</f>
        <v/>
      </c>
      <c r="H40" s="26">
        <f>IF(計算用!$P$35="","",INDEX(計算用!$C$2:$C$721,計算用!$P$35))</f>
        <v/>
      </c>
      <c r="I40" s="25">
        <f>IF(計算用!$Q$35="","",INDEX(計算用!$A$2:$A$721,計算用!$Q$35))</f>
        <v/>
      </c>
      <c r="J40" s="26">
        <f>IF(計算用!$Q$35="","",INDEX(計算用!$C$2:$C$721,計算用!$Q$35))</f>
        <v/>
      </c>
      <c r="K40" s="25">
        <f>IF(計算用!$R$35="","",INDEX(計算用!$A$2:$A$721,計算用!$R$35))</f>
        <v/>
      </c>
      <c r="L40" s="26">
        <f>IF(計算用!$R$35="","",INDEX(計算用!$C$2:$C$721,計算用!$R$35))</f>
        <v/>
      </c>
      <c r="M40" s="25">
        <f>IF(計算用!$S$35="","",INDEX(計算用!$A$2:$A$721,計算用!$S$35))</f>
        <v/>
      </c>
      <c r="N40" s="26">
        <f>IF(計算用!$S$35="","",INDEX(計算用!$C$2:$C$721,計算用!$S$35))</f>
        <v/>
      </c>
      <c r="O40" s="25">
        <f>IF(計算用!$T$35="","",INDEX(計算用!$A$2:$A$721,計算用!$T$35))</f>
        <v/>
      </c>
      <c r="P40" s="26">
        <f>IF(計算用!$T$35="","",INDEX(計算用!$C$2:$C$721,計算用!$T$35))</f>
        <v/>
      </c>
      <c r="Q40" s="25">
        <f>IF(計算用!$U$35="","",INDEX(計算用!$A$2:$A$721,計算用!$U$35))</f>
        <v/>
      </c>
      <c r="R40" s="26">
        <f>IF(計算用!$U$35="","",INDEX(計算用!$C$2:$C$721,計算用!$U$35))</f>
        <v/>
      </c>
      <c r="S40" s="25">
        <f>IF(計算用!$V$35="","",INDEX(計算用!$A$2:$A$721,計算用!$V$35))</f>
        <v/>
      </c>
      <c r="T40" s="26">
        <f>IF(計算用!$V$35="","",INDEX(計算用!$C$2:$C$721,計算用!$V$35))</f>
        <v/>
      </c>
    </row>
    <row r="41">
      <c r="A41" s="25">
        <f>IF(計算用!$M$36="","",INDEX(計算用!$A$2:$A$721,計算用!$M$36))</f>
        <v/>
      </c>
      <c r="B41" s="26">
        <f>IF(計算用!$M$36="","",INDEX(計算用!$C$2:$C$721,計算用!$M$36))</f>
        <v/>
      </c>
      <c r="C41" s="25">
        <f>IF(計算用!$N$36="","",INDEX(計算用!$A$2:$A$721,計算用!$N$36))</f>
        <v/>
      </c>
      <c r="D41" s="26">
        <f>IF(計算用!$N$36="","",INDEX(計算用!$C$2:$C$721,計算用!$N$36))</f>
        <v/>
      </c>
      <c r="E41" s="25">
        <f>IF(計算用!$O$36="","",INDEX(計算用!$A$2:$A$721,計算用!$O$36))</f>
        <v/>
      </c>
      <c r="F41" s="26">
        <f>IF(計算用!$O$36="","",INDEX(計算用!$C$2:$C$721,計算用!$O$36))</f>
        <v/>
      </c>
      <c r="G41" s="25">
        <f>IF(計算用!$P$36="","",INDEX(計算用!$A$2:$A$721,計算用!$P$36))</f>
        <v/>
      </c>
      <c r="H41" s="26">
        <f>IF(計算用!$P$36="","",INDEX(計算用!$C$2:$C$721,計算用!$P$36))</f>
        <v/>
      </c>
      <c r="I41" s="25">
        <f>IF(計算用!$Q$36="","",INDEX(計算用!$A$2:$A$721,計算用!$Q$36))</f>
        <v/>
      </c>
      <c r="J41" s="26">
        <f>IF(計算用!$Q$36="","",INDEX(計算用!$C$2:$C$721,計算用!$Q$36))</f>
        <v/>
      </c>
      <c r="K41" s="25">
        <f>IF(計算用!$R$36="","",INDEX(計算用!$A$2:$A$721,計算用!$R$36))</f>
        <v/>
      </c>
      <c r="L41" s="26">
        <f>IF(計算用!$R$36="","",INDEX(計算用!$C$2:$C$721,計算用!$R$36))</f>
        <v/>
      </c>
      <c r="M41" s="25">
        <f>IF(計算用!$S$36="","",INDEX(計算用!$A$2:$A$721,計算用!$S$36))</f>
        <v/>
      </c>
      <c r="N41" s="26">
        <f>IF(計算用!$S$36="","",INDEX(計算用!$C$2:$C$721,計算用!$S$36))</f>
        <v/>
      </c>
      <c r="O41" s="25">
        <f>IF(計算用!$T$36="","",INDEX(計算用!$A$2:$A$721,計算用!$T$36))</f>
        <v/>
      </c>
      <c r="P41" s="26">
        <f>IF(計算用!$T$36="","",INDEX(計算用!$C$2:$C$721,計算用!$T$36))</f>
        <v/>
      </c>
      <c r="Q41" s="25">
        <f>IF(計算用!$U$36="","",INDEX(計算用!$A$2:$A$721,計算用!$U$36))</f>
        <v/>
      </c>
      <c r="R41" s="26">
        <f>IF(計算用!$U$36="","",INDEX(計算用!$C$2:$C$721,計算用!$U$36))</f>
        <v/>
      </c>
      <c r="S41" s="25">
        <f>IF(計算用!$V$36="","",INDEX(計算用!$A$2:$A$721,計算用!$V$36))</f>
        <v/>
      </c>
      <c r="T41" s="26">
        <f>IF(計算用!$V$36="","",INDEX(計算用!$C$2:$C$721,計算用!$V$36))</f>
        <v/>
      </c>
    </row>
    <row r="42">
      <c r="A42" s="25">
        <f>IF(計算用!$M$37="","",INDEX(計算用!$A$2:$A$721,計算用!$M$37))</f>
        <v/>
      </c>
      <c r="B42" s="26">
        <f>IF(計算用!$M$37="","",INDEX(計算用!$C$2:$C$721,計算用!$M$37))</f>
        <v/>
      </c>
      <c r="C42" s="25">
        <f>IF(計算用!$N$37="","",INDEX(計算用!$A$2:$A$721,計算用!$N$37))</f>
        <v/>
      </c>
      <c r="D42" s="26">
        <f>IF(計算用!$N$37="","",INDEX(計算用!$C$2:$C$721,計算用!$N$37))</f>
        <v/>
      </c>
      <c r="E42" s="25">
        <f>IF(計算用!$O$37="","",INDEX(計算用!$A$2:$A$721,計算用!$O$37))</f>
        <v/>
      </c>
      <c r="F42" s="26">
        <f>IF(計算用!$O$37="","",INDEX(計算用!$C$2:$C$721,計算用!$O$37))</f>
        <v/>
      </c>
      <c r="G42" s="25">
        <f>IF(計算用!$P$37="","",INDEX(計算用!$A$2:$A$721,計算用!$P$37))</f>
        <v/>
      </c>
      <c r="H42" s="26">
        <f>IF(計算用!$P$37="","",INDEX(計算用!$C$2:$C$721,計算用!$P$37))</f>
        <v/>
      </c>
      <c r="I42" s="25">
        <f>IF(計算用!$Q$37="","",INDEX(計算用!$A$2:$A$721,計算用!$Q$37))</f>
        <v/>
      </c>
      <c r="J42" s="26">
        <f>IF(計算用!$Q$37="","",INDEX(計算用!$C$2:$C$721,計算用!$Q$37))</f>
        <v/>
      </c>
      <c r="K42" s="25">
        <f>IF(計算用!$R$37="","",INDEX(計算用!$A$2:$A$721,計算用!$R$37))</f>
        <v/>
      </c>
      <c r="L42" s="26">
        <f>IF(計算用!$R$37="","",INDEX(計算用!$C$2:$C$721,計算用!$R$37))</f>
        <v/>
      </c>
      <c r="M42" s="25">
        <f>IF(計算用!$S$37="","",INDEX(計算用!$A$2:$A$721,計算用!$S$37))</f>
        <v/>
      </c>
      <c r="N42" s="26">
        <f>IF(計算用!$S$37="","",INDEX(計算用!$C$2:$C$721,計算用!$S$37))</f>
        <v/>
      </c>
      <c r="O42" s="25">
        <f>IF(計算用!$T$37="","",INDEX(計算用!$A$2:$A$721,計算用!$T$37))</f>
        <v/>
      </c>
      <c r="P42" s="26">
        <f>IF(計算用!$T$37="","",INDEX(計算用!$C$2:$C$721,計算用!$T$37))</f>
        <v/>
      </c>
      <c r="Q42" s="25">
        <f>IF(計算用!$U$37="","",INDEX(計算用!$A$2:$A$721,計算用!$U$37))</f>
        <v/>
      </c>
      <c r="R42" s="26">
        <f>IF(計算用!$U$37="","",INDEX(計算用!$C$2:$C$721,計算用!$U$37))</f>
        <v/>
      </c>
      <c r="S42" s="25">
        <f>IF(計算用!$V$37="","",INDEX(計算用!$A$2:$A$721,計算用!$V$37))</f>
        <v/>
      </c>
      <c r="T42" s="26">
        <f>IF(計算用!$V$37="","",INDEX(計算用!$C$2:$C$721,計算用!$V$37))</f>
        <v/>
      </c>
    </row>
    <row r="43">
      <c r="A43" s="25">
        <f>IF(計算用!$M$38="","",INDEX(計算用!$A$2:$A$721,計算用!$M$38))</f>
        <v/>
      </c>
      <c r="B43" s="26">
        <f>IF(計算用!$M$38="","",INDEX(計算用!$C$2:$C$721,計算用!$M$38))</f>
        <v/>
      </c>
      <c r="C43" s="25">
        <f>IF(計算用!$N$38="","",INDEX(計算用!$A$2:$A$721,計算用!$N$38))</f>
        <v/>
      </c>
      <c r="D43" s="26">
        <f>IF(計算用!$N$38="","",INDEX(計算用!$C$2:$C$721,計算用!$N$38))</f>
        <v/>
      </c>
      <c r="E43" s="25">
        <f>IF(計算用!$O$38="","",INDEX(計算用!$A$2:$A$721,計算用!$O$38))</f>
        <v/>
      </c>
      <c r="F43" s="26">
        <f>IF(計算用!$O$38="","",INDEX(計算用!$C$2:$C$721,計算用!$O$38))</f>
        <v/>
      </c>
      <c r="G43" s="25">
        <f>IF(計算用!$P$38="","",INDEX(計算用!$A$2:$A$721,計算用!$P$38))</f>
        <v/>
      </c>
      <c r="H43" s="26">
        <f>IF(計算用!$P$38="","",INDEX(計算用!$C$2:$C$721,計算用!$P$38))</f>
        <v/>
      </c>
      <c r="I43" s="25">
        <f>IF(計算用!$Q$38="","",INDEX(計算用!$A$2:$A$721,計算用!$Q$38))</f>
        <v/>
      </c>
      <c r="J43" s="26">
        <f>IF(計算用!$Q$38="","",INDEX(計算用!$C$2:$C$721,計算用!$Q$38))</f>
        <v/>
      </c>
      <c r="K43" s="25">
        <f>IF(計算用!$R$38="","",INDEX(計算用!$A$2:$A$721,計算用!$R$38))</f>
        <v/>
      </c>
      <c r="L43" s="26">
        <f>IF(計算用!$R$38="","",INDEX(計算用!$C$2:$C$721,計算用!$R$38))</f>
        <v/>
      </c>
      <c r="M43" s="25">
        <f>IF(計算用!$S$38="","",INDEX(計算用!$A$2:$A$721,計算用!$S$38))</f>
        <v/>
      </c>
      <c r="N43" s="26">
        <f>IF(計算用!$S$38="","",INDEX(計算用!$C$2:$C$721,計算用!$S$38))</f>
        <v/>
      </c>
      <c r="O43" s="25">
        <f>IF(計算用!$T$38="","",INDEX(計算用!$A$2:$A$721,計算用!$T$38))</f>
        <v/>
      </c>
      <c r="P43" s="26">
        <f>IF(計算用!$T$38="","",INDEX(計算用!$C$2:$C$721,計算用!$T$38))</f>
        <v/>
      </c>
      <c r="Q43" s="25">
        <f>IF(計算用!$U$38="","",INDEX(計算用!$A$2:$A$721,計算用!$U$38))</f>
        <v/>
      </c>
      <c r="R43" s="26">
        <f>IF(計算用!$U$38="","",INDEX(計算用!$C$2:$C$721,計算用!$U$38))</f>
        <v/>
      </c>
      <c r="S43" s="25">
        <f>IF(計算用!$V$38="","",INDEX(計算用!$A$2:$A$721,計算用!$V$38))</f>
        <v/>
      </c>
      <c r="T43" s="26">
        <f>IF(計算用!$V$38="","",INDEX(計算用!$C$2:$C$721,計算用!$V$38))</f>
        <v/>
      </c>
    </row>
    <row r="44">
      <c r="A44" s="25">
        <f>IF(計算用!$M$39="","",INDEX(計算用!$A$2:$A$721,計算用!$M$39))</f>
        <v/>
      </c>
      <c r="B44" s="26">
        <f>IF(計算用!$M$39="","",INDEX(計算用!$C$2:$C$721,計算用!$M$39))</f>
        <v/>
      </c>
      <c r="C44" s="25">
        <f>IF(計算用!$N$39="","",INDEX(計算用!$A$2:$A$721,計算用!$N$39))</f>
        <v/>
      </c>
      <c r="D44" s="26">
        <f>IF(計算用!$N$39="","",INDEX(計算用!$C$2:$C$721,計算用!$N$39))</f>
        <v/>
      </c>
      <c r="E44" s="25">
        <f>IF(計算用!$O$39="","",INDEX(計算用!$A$2:$A$721,計算用!$O$39))</f>
        <v/>
      </c>
      <c r="F44" s="26">
        <f>IF(計算用!$O$39="","",INDEX(計算用!$C$2:$C$721,計算用!$O$39))</f>
        <v/>
      </c>
      <c r="G44" s="25">
        <f>IF(計算用!$P$39="","",INDEX(計算用!$A$2:$A$721,計算用!$P$39))</f>
        <v/>
      </c>
      <c r="H44" s="26">
        <f>IF(計算用!$P$39="","",INDEX(計算用!$C$2:$C$721,計算用!$P$39))</f>
        <v/>
      </c>
      <c r="I44" s="25">
        <f>IF(計算用!$Q$39="","",INDEX(計算用!$A$2:$A$721,計算用!$Q$39))</f>
        <v/>
      </c>
      <c r="J44" s="26">
        <f>IF(計算用!$Q$39="","",INDEX(計算用!$C$2:$C$721,計算用!$Q$39))</f>
        <v/>
      </c>
      <c r="K44" s="25">
        <f>IF(計算用!$R$39="","",INDEX(計算用!$A$2:$A$721,計算用!$R$39))</f>
        <v/>
      </c>
      <c r="L44" s="26">
        <f>IF(計算用!$R$39="","",INDEX(計算用!$C$2:$C$721,計算用!$R$39))</f>
        <v/>
      </c>
      <c r="M44" s="25">
        <f>IF(計算用!$S$39="","",INDEX(計算用!$A$2:$A$721,計算用!$S$39))</f>
        <v/>
      </c>
      <c r="N44" s="26">
        <f>IF(計算用!$S$39="","",INDEX(計算用!$C$2:$C$721,計算用!$S$39))</f>
        <v/>
      </c>
      <c r="O44" s="25">
        <f>IF(計算用!$T$39="","",INDEX(計算用!$A$2:$A$721,計算用!$T$39))</f>
        <v/>
      </c>
      <c r="P44" s="26">
        <f>IF(計算用!$T$39="","",INDEX(計算用!$C$2:$C$721,計算用!$T$39))</f>
        <v/>
      </c>
      <c r="Q44" s="25">
        <f>IF(計算用!$U$39="","",INDEX(計算用!$A$2:$A$721,計算用!$U$39))</f>
        <v/>
      </c>
      <c r="R44" s="26">
        <f>IF(計算用!$U$39="","",INDEX(計算用!$C$2:$C$721,計算用!$U$39))</f>
        <v/>
      </c>
      <c r="S44" s="25">
        <f>IF(計算用!$V$39="","",INDEX(計算用!$A$2:$A$721,計算用!$V$39))</f>
        <v/>
      </c>
      <c r="T44" s="26">
        <f>IF(計算用!$V$39="","",INDEX(計算用!$C$2:$C$721,計算用!$V$39))</f>
        <v/>
      </c>
    </row>
    <row r="45">
      <c r="A45" s="25">
        <f>IF(計算用!$M$40="","",INDEX(計算用!$A$2:$A$721,計算用!$M$40))</f>
        <v/>
      </c>
      <c r="B45" s="26">
        <f>IF(計算用!$M$40="","",INDEX(計算用!$C$2:$C$721,計算用!$M$40))</f>
        <v/>
      </c>
      <c r="C45" s="25">
        <f>IF(計算用!$N$40="","",INDEX(計算用!$A$2:$A$721,計算用!$N$40))</f>
        <v/>
      </c>
      <c r="D45" s="26">
        <f>IF(計算用!$N$40="","",INDEX(計算用!$C$2:$C$721,計算用!$N$40))</f>
        <v/>
      </c>
      <c r="E45" s="25">
        <f>IF(計算用!$O$40="","",INDEX(計算用!$A$2:$A$721,計算用!$O$40))</f>
        <v/>
      </c>
      <c r="F45" s="26">
        <f>IF(計算用!$O$40="","",INDEX(計算用!$C$2:$C$721,計算用!$O$40))</f>
        <v/>
      </c>
      <c r="G45" s="25">
        <f>IF(計算用!$P$40="","",INDEX(計算用!$A$2:$A$721,計算用!$P$40))</f>
        <v/>
      </c>
      <c r="H45" s="26">
        <f>IF(計算用!$P$40="","",INDEX(計算用!$C$2:$C$721,計算用!$P$40))</f>
        <v/>
      </c>
      <c r="I45" s="25">
        <f>IF(計算用!$Q$40="","",INDEX(計算用!$A$2:$A$721,計算用!$Q$40))</f>
        <v/>
      </c>
      <c r="J45" s="26">
        <f>IF(計算用!$Q$40="","",INDEX(計算用!$C$2:$C$721,計算用!$Q$40))</f>
        <v/>
      </c>
      <c r="K45" s="25">
        <f>IF(計算用!$R$40="","",INDEX(計算用!$A$2:$A$721,計算用!$R$40))</f>
        <v/>
      </c>
      <c r="L45" s="26">
        <f>IF(計算用!$R$40="","",INDEX(計算用!$C$2:$C$721,計算用!$R$40))</f>
        <v/>
      </c>
      <c r="M45" s="25">
        <f>IF(計算用!$S$40="","",INDEX(計算用!$A$2:$A$721,計算用!$S$40))</f>
        <v/>
      </c>
      <c r="N45" s="26">
        <f>IF(計算用!$S$40="","",INDEX(計算用!$C$2:$C$721,計算用!$S$40))</f>
        <v/>
      </c>
      <c r="O45" s="25">
        <f>IF(計算用!$T$40="","",INDEX(計算用!$A$2:$A$721,計算用!$T$40))</f>
        <v/>
      </c>
      <c r="P45" s="26">
        <f>IF(計算用!$T$40="","",INDEX(計算用!$C$2:$C$721,計算用!$T$40))</f>
        <v/>
      </c>
      <c r="Q45" s="25">
        <f>IF(計算用!$U$40="","",INDEX(計算用!$A$2:$A$721,計算用!$U$40))</f>
        <v/>
      </c>
      <c r="R45" s="26">
        <f>IF(計算用!$U$40="","",INDEX(計算用!$C$2:$C$721,計算用!$U$40))</f>
        <v/>
      </c>
      <c r="S45" s="25">
        <f>IF(計算用!$V$40="","",INDEX(計算用!$A$2:$A$721,計算用!$V$40))</f>
        <v/>
      </c>
      <c r="T45" s="26">
        <f>IF(計算用!$V$40="","",INDEX(計算用!$C$2:$C$721,計算用!$V$40))</f>
        <v/>
      </c>
    </row>
    <row r="46">
      <c r="A46" s="25">
        <f>IF(計算用!$M$41="","",INDEX(計算用!$A$2:$A$721,計算用!$M$41))</f>
        <v/>
      </c>
      <c r="B46" s="26">
        <f>IF(計算用!$M$41="","",INDEX(計算用!$C$2:$C$721,計算用!$M$41))</f>
        <v/>
      </c>
      <c r="C46" s="25">
        <f>IF(計算用!$N$41="","",INDEX(計算用!$A$2:$A$721,計算用!$N$41))</f>
        <v/>
      </c>
      <c r="D46" s="26">
        <f>IF(計算用!$N$41="","",INDEX(計算用!$C$2:$C$721,計算用!$N$41))</f>
        <v/>
      </c>
      <c r="E46" s="25">
        <f>IF(計算用!$O$41="","",INDEX(計算用!$A$2:$A$721,計算用!$O$41))</f>
        <v/>
      </c>
      <c r="F46" s="26">
        <f>IF(計算用!$O$41="","",INDEX(計算用!$C$2:$C$721,計算用!$O$41))</f>
        <v/>
      </c>
      <c r="G46" s="25">
        <f>IF(計算用!$P$41="","",INDEX(計算用!$A$2:$A$721,計算用!$P$41))</f>
        <v/>
      </c>
      <c r="H46" s="26">
        <f>IF(計算用!$P$41="","",INDEX(計算用!$C$2:$C$721,計算用!$P$41))</f>
        <v/>
      </c>
      <c r="I46" s="25">
        <f>IF(計算用!$Q$41="","",INDEX(計算用!$A$2:$A$721,計算用!$Q$41))</f>
        <v/>
      </c>
      <c r="J46" s="26">
        <f>IF(計算用!$Q$41="","",INDEX(計算用!$C$2:$C$721,計算用!$Q$41))</f>
        <v/>
      </c>
      <c r="K46" s="25">
        <f>IF(計算用!$R$41="","",INDEX(計算用!$A$2:$A$721,計算用!$R$41))</f>
        <v/>
      </c>
      <c r="L46" s="26">
        <f>IF(計算用!$R$41="","",INDEX(計算用!$C$2:$C$721,計算用!$R$41))</f>
        <v/>
      </c>
      <c r="M46" s="25">
        <f>IF(計算用!$S$41="","",INDEX(計算用!$A$2:$A$721,計算用!$S$41))</f>
        <v/>
      </c>
      <c r="N46" s="26">
        <f>IF(計算用!$S$41="","",INDEX(計算用!$C$2:$C$721,計算用!$S$41))</f>
        <v/>
      </c>
      <c r="O46" s="25">
        <f>IF(計算用!$T$41="","",INDEX(計算用!$A$2:$A$721,計算用!$T$41))</f>
        <v/>
      </c>
      <c r="P46" s="26">
        <f>IF(計算用!$T$41="","",INDEX(計算用!$C$2:$C$721,計算用!$T$41))</f>
        <v/>
      </c>
      <c r="Q46" s="25">
        <f>IF(計算用!$U$41="","",INDEX(計算用!$A$2:$A$721,計算用!$U$41))</f>
        <v/>
      </c>
      <c r="R46" s="26">
        <f>IF(計算用!$U$41="","",INDEX(計算用!$C$2:$C$721,計算用!$U$41))</f>
        <v/>
      </c>
      <c r="S46" s="25">
        <f>IF(計算用!$V$41="","",INDEX(計算用!$A$2:$A$721,計算用!$V$41))</f>
        <v/>
      </c>
      <c r="T46" s="26">
        <f>IF(計算用!$V$41="","",INDEX(計算用!$C$2:$C$721,計算用!$V$41))</f>
        <v/>
      </c>
    </row>
    <row r="47">
      <c r="A47" s="25">
        <f>IF(計算用!$M$42="","",INDEX(計算用!$A$2:$A$721,計算用!$M$42))</f>
        <v/>
      </c>
      <c r="B47" s="26">
        <f>IF(計算用!$M$42="","",INDEX(計算用!$C$2:$C$721,計算用!$M$42))</f>
        <v/>
      </c>
      <c r="C47" s="25">
        <f>IF(計算用!$N$42="","",INDEX(計算用!$A$2:$A$721,計算用!$N$42))</f>
        <v/>
      </c>
      <c r="D47" s="26">
        <f>IF(計算用!$N$42="","",INDEX(計算用!$C$2:$C$721,計算用!$N$42))</f>
        <v/>
      </c>
      <c r="E47" s="25">
        <f>IF(計算用!$O$42="","",INDEX(計算用!$A$2:$A$721,計算用!$O$42))</f>
        <v/>
      </c>
      <c r="F47" s="26">
        <f>IF(計算用!$O$42="","",INDEX(計算用!$C$2:$C$721,計算用!$O$42))</f>
        <v/>
      </c>
      <c r="G47" s="25">
        <f>IF(計算用!$P$42="","",INDEX(計算用!$A$2:$A$721,計算用!$P$42))</f>
        <v/>
      </c>
      <c r="H47" s="26">
        <f>IF(計算用!$P$42="","",INDEX(計算用!$C$2:$C$721,計算用!$P$42))</f>
        <v/>
      </c>
      <c r="I47" s="25">
        <f>IF(計算用!$Q$42="","",INDEX(計算用!$A$2:$A$721,計算用!$Q$42))</f>
        <v/>
      </c>
      <c r="J47" s="26">
        <f>IF(計算用!$Q$42="","",INDEX(計算用!$C$2:$C$721,計算用!$Q$42))</f>
        <v/>
      </c>
      <c r="K47" s="25">
        <f>IF(計算用!$R$42="","",INDEX(計算用!$A$2:$A$721,計算用!$R$42))</f>
        <v/>
      </c>
      <c r="L47" s="26">
        <f>IF(計算用!$R$42="","",INDEX(計算用!$C$2:$C$721,計算用!$R$42))</f>
        <v/>
      </c>
      <c r="M47" s="25">
        <f>IF(計算用!$S$42="","",INDEX(計算用!$A$2:$A$721,計算用!$S$42))</f>
        <v/>
      </c>
      <c r="N47" s="26">
        <f>IF(計算用!$S$42="","",INDEX(計算用!$C$2:$C$721,計算用!$S$42))</f>
        <v/>
      </c>
      <c r="O47" s="25">
        <f>IF(計算用!$T$42="","",INDEX(計算用!$A$2:$A$721,計算用!$T$42))</f>
        <v/>
      </c>
      <c r="P47" s="26">
        <f>IF(計算用!$T$42="","",INDEX(計算用!$C$2:$C$721,計算用!$T$42))</f>
        <v/>
      </c>
      <c r="Q47" s="25">
        <f>IF(計算用!$U$42="","",INDEX(計算用!$A$2:$A$721,計算用!$U$42))</f>
        <v/>
      </c>
      <c r="R47" s="26">
        <f>IF(計算用!$U$42="","",INDEX(計算用!$C$2:$C$721,計算用!$U$42))</f>
        <v/>
      </c>
      <c r="S47" s="25">
        <f>IF(計算用!$V$42="","",INDEX(計算用!$A$2:$A$721,計算用!$V$42))</f>
        <v/>
      </c>
      <c r="T47" s="26">
        <f>IF(計算用!$V$42="","",INDEX(計算用!$C$2:$C$721,計算用!$V$42))</f>
        <v/>
      </c>
    </row>
    <row r="48">
      <c r="A48" s="25">
        <f>IF(計算用!$M$43="","",INDEX(計算用!$A$2:$A$721,計算用!$M$43))</f>
        <v/>
      </c>
      <c r="B48" s="26">
        <f>IF(計算用!$M$43="","",INDEX(計算用!$C$2:$C$721,計算用!$M$43))</f>
        <v/>
      </c>
      <c r="C48" s="25">
        <f>IF(計算用!$N$43="","",INDEX(計算用!$A$2:$A$721,計算用!$N$43))</f>
        <v/>
      </c>
      <c r="D48" s="26">
        <f>IF(計算用!$N$43="","",INDEX(計算用!$C$2:$C$721,計算用!$N$43))</f>
        <v/>
      </c>
      <c r="E48" s="25">
        <f>IF(計算用!$O$43="","",INDEX(計算用!$A$2:$A$721,計算用!$O$43))</f>
        <v/>
      </c>
      <c r="F48" s="26">
        <f>IF(計算用!$O$43="","",INDEX(計算用!$C$2:$C$721,計算用!$O$43))</f>
        <v/>
      </c>
      <c r="G48" s="25">
        <f>IF(計算用!$P$43="","",INDEX(計算用!$A$2:$A$721,計算用!$P$43))</f>
        <v/>
      </c>
      <c r="H48" s="26">
        <f>IF(計算用!$P$43="","",INDEX(計算用!$C$2:$C$721,計算用!$P$43))</f>
        <v/>
      </c>
      <c r="I48" s="25">
        <f>IF(計算用!$Q$43="","",INDEX(計算用!$A$2:$A$721,計算用!$Q$43))</f>
        <v/>
      </c>
      <c r="J48" s="26">
        <f>IF(計算用!$Q$43="","",INDEX(計算用!$C$2:$C$721,計算用!$Q$43))</f>
        <v/>
      </c>
      <c r="K48" s="25">
        <f>IF(計算用!$R$43="","",INDEX(計算用!$A$2:$A$721,計算用!$R$43))</f>
        <v/>
      </c>
      <c r="L48" s="26">
        <f>IF(計算用!$R$43="","",INDEX(計算用!$C$2:$C$721,計算用!$R$43))</f>
        <v/>
      </c>
      <c r="M48" s="25">
        <f>IF(計算用!$S$43="","",INDEX(計算用!$A$2:$A$721,計算用!$S$43))</f>
        <v/>
      </c>
      <c r="N48" s="26">
        <f>IF(計算用!$S$43="","",INDEX(計算用!$C$2:$C$721,計算用!$S$43))</f>
        <v/>
      </c>
      <c r="O48" s="25">
        <f>IF(計算用!$T$43="","",INDEX(計算用!$A$2:$A$721,計算用!$T$43))</f>
        <v/>
      </c>
      <c r="P48" s="26">
        <f>IF(計算用!$T$43="","",INDEX(計算用!$C$2:$C$721,計算用!$T$43))</f>
        <v/>
      </c>
      <c r="Q48" s="25">
        <f>IF(計算用!$U$43="","",INDEX(計算用!$A$2:$A$721,計算用!$U$43))</f>
        <v/>
      </c>
      <c r="R48" s="26">
        <f>IF(計算用!$U$43="","",INDEX(計算用!$C$2:$C$721,計算用!$U$43))</f>
        <v/>
      </c>
      <c r="S48" s="25">
        <f>IF(計算用!$V$43="","",INDEX(計算用!$A$2:$A$721,計算用!$V$43))</f>
        <v/>
      </c>
      <c r="T48" s="26">
        <f>IF(計算用!$V$43="","",INDEX(計算用!$C$2:$C$721,計算用!$V$43))</f>
        <v/>
      </c>
    </row>
    <row r="49">
      <c r="A49" s="25">
        <f>IF(計算用!$M$44="","",INDEX(計算用!$A$2:$A$721,計算用!$M$44))</f>
        <v/>
      </c>
      <c r="B49" s="26">
        <f>IF(計算用!$M$44="","",INDEX(計算用!$C$2:$C$721,計算用!$M$44))</f>
        <v/>
      </c>
      <c r="C49" s="25">
        <f>IF(計算用!$N$44="","",INDEX(計算用!$A$2:$A$721,計算用!$N$44))</f>
        <v/>
      </c>
      <c r="D49" s="26">
        <f>IF(計算用!$N$44="","",INDEX(計算用!$C$2:$C$721,計算用!$N$44))</f>
        <v/>
      </c>
      <c r="E49" s="25">
        <f>IF(計算用!$O$44="","",INDEX(計算用!$A$2:$A$721,計算用!$O$44))</f>
        <v/>
      </c>
      <c r="F49" s="26">
        <f>IF(計算用!$O$44="","",INDEX(計算用!$C$2:$C$721,計算用!$O$44))</f>
        <v/>
      </c>
      <c r="G49" s="25">
        <f>IF(計算用!$P$44="","",INDEX(計算用!$A$2:$A$721,計算用!$P$44))</f>
        <v/>
      </c>
      <c r="H49" s="26">
        <f>IF(計算用!$P$44="","",INDEX(計算用!$C$2:$C$721,計算用!$P$44))</f>
        <v/>
      </c>
      <c r="I49" s="25">
        <f>IF(計算用!$Q$44="","",INDEX(計算用!$A$2:$A$721,計算用!$Q$44))</f>
        <v/>
      </c>
      <c r="J49" s="26">
        <f>IF(計算用!$Q$44="","",INDEX(計算用!$C$2:$C$721,計算用!$Q$44))</f>
        <v/>
      </c>
      <c r="K49" s="25">
        <f>IF(計算用!$R$44="","",INDEX(計算用!$A$2:$A$721,計算用!$R$44))</f>
        <v/>
      </c>
      <c r="L49" s="26">
        <f>IF(計算用!$R$44="","",INDEX(計算用!$C$2:$C$721,計算用!$R$44))</f>
        <v/>
      </c>
      <c r="M49" s="25">
        <f>IF(計算用!$S$44="","",INDEX(計算用!$A$2:$A$721,計算用!$S$44))</f>
        <v/>
      </c>
      <c r="N49" s="26">
        <f>IF(計算用!$S$44="","",INDEX(計算用!$C$2:$C$721,計算用!$S$44))</f>
        <v/>
      </c>
      <c r="O49" s="25">
        <f>IF(計算用!$T$44="","",INDEX(計算用!$A$2:$A$721,計算用!$T$44))</f>
        <v/>
      </c>
      <c r="P49" s="26">
        <f>IF(計算用!$T$44="","",INDEX(計算用!$C$2:$C$721,計算用!$T$44))</f>
        <v/>
      </c>
      <c r="Q49" s="25">
        <f>IF(計算用!$U$44="","",INDEX(計算用!$A$2:$A$721,計算用!$U$44))</f>
        <v/>
      </c>
      <c r="R49" s="26">
        <f>IF(計算用!$U$44="","",INDEX(計算用!$C$2:$C$721,計算用!$U$44))</f>
        <v/>
      </c>
      <c r="S49" s="25">
        <f>IF(計算用!$V$44="","",INDEX(計算用!$A$2:$A$721,計算用!$V$44))</f>
        <v/>
      </c>
      <c r="T49" s="26">
        <f>IF(計算用!$V$44="","",INDEX(計算用!$C$2:$C$721,計算用!$V$44))</f>
        <v/>
      </c>
    </row>
    <row r="50">
      <c r="A50" s="25">
        <f>IF(計算用!$M$45="","",INDEX(計算用!$A$2:$A$721,計算用!$M$45))</f>
        <v/>
      </c>
      <c r="B50" s="26">
        <f>IF(計算用!$M$45="","",INDEX(計算用!$C$2:$C$721,計算用!$M$45))</f>
        <v/>
      </c>
      <c r="C50" s="25">
        <f>IF(計算用!$N$45="","",INDEX(計算用!$A$2:$A$721,計算用!$N$45))</f>
        <v/>
      </c>
      <c r="D50" s="26">
        <f>IF(計算用!$N$45="","",INDEX(計算用!$C$2:$C$721,計算用!$N$45))</f>
        <v/>
      </c>
      <c r="E50" s="25">
        <f>IF(計算用!$O$45="","",INDEX(計算用!$A$2:$A$721,計算用!$O$45))</f>
        <v/>
      </c>
      <c r="F50" s="26">
        <f>IF(計算用!$O$45="","",INDEX(計算用!$C$2:$C$721,計算用!$O$45))</f>
        <v/>
      </c>
      <c r="G50" s="25">
        <f>IF(計算用!$P$45="","",INDEX(計算用!$A$2:$A$721,計算用!$P$45))</f>
        <v/>
      </c>
      <c r="H50" s="26">
        <f>IF(計算用!$P$45="","",INDEX(計算用!$C$2:$C$721,計算用!$P$45))</f>
        <v/>
      </c>
      <c r="I50" s="25">
        <f>IF(計算用!$Q$45="","",INDEX(計算用!$A$2:$A$721,計算用!$Q$45))</f>
        <v/>
      </c>
      <c r="J50" s="26">
        <f>IF(計算用!$Q$45="","",INDEX(計算用!$C$2:$C$721,計算用!$Q$45))</f>
        <v/>
      </c>
      <c r="K50" s="25">
        <f>IF(計算用!$R$45="","",INDEX(計算用!$A$2:$A$721,計算用!$R$45))</f>
        <v/>
      </c>
      <c r="L50" s="26">
        <f>IF(計算用!$R$45="","",INDEX(計算用!$C$2:$C$721,計算用!$R$45))</f>
        <v/>
      </c>
      <c r="M50" s="25">
        <f>IF(計算用!$S$45="","",INDEX(計算用!$A$2:$A$721,計算用!$S$45))</f>
        <v/>
      </c>
      <c r="N50" s="26">
        <f>IF(計算用!$S$45="","",INDEX(計算用!$C$2:$C$721,計算用!$S$45))</f>
        <v/>
      </c>
      <c r="O50" s="25">
        <f>IF(計算用!$T$45="","",INDEX(計算用!$A$2:$A$721,計算用!$T$45))</f>
        <v/>
      </c>
      <c r="P50" s="26">
        <f>IF(計算用!$T$45="","",INDEX(計算用!$C$2:$C$721,計算用!$T$45))</f>
        <v/>
      </c>
      <c r="Q50" s="25">
        <f>IF(計算用!$U$45="","",INDEX(計算用!$A$2:$A$721,計算用!$U$45))</f>
        <v/>
      </c>
      <c r="R50" s="26">
        <f>IF(計算用!$U$45="","",INDEX(計算用!$C$2:$C$721,計算用!$U$45))</f>
        <v/>
      </c>
      <c r="S50" s="25">
        <f>IF(計算用!$V$45="","",INDEX(計算用!$A$2:$A$721,計算用!$V$45))</f>
        <v/>
      </c>
      <c r="T50" s="26">
        <f>IF(計算用!$V$45="","",INDEX(計算用!$C$2:$C$721,計算用!$V$45))</f>
        <v/>
      </c>
    </row>
    <row r="51">
      <c r="A51" s="25">
        <f>IF(計算用!$M$46="","",INDEX(計算用!$A$2:$A$721,計算用!$M$46))</f>
        <v/>
      </c>
      <c r="B51" s="26">
        <f>IF(計算用!$M$46="","",INDEX(計算用!$C$2:$C$721,計算用!$M$46))</f>
        <v/>
      </c>
      <c r="C51" s="25">
        <f>IF(計算用!$N$46="","",INDEX(計算用!$A$2:$A$721,計算用!$N$46))</f>
        <v/>
      </c>
      <c r="D51" s="26">
        <f>IF(計算用!$N$46="","",INDEX(計算用!$C$2:$C$721,計算用!$N$46))</f>
        <v/>
      </c>
      <c r="E51" s="25">
        <f>IF(計算用!$O$46="","",INDEX(計算用!$A$2:$A$721,計算用!$O$46))</f>
        <v/>
      </c>
      <c r="F51" s="26">
        <f>IF(計算用!$O$46="","",INDEX(計算用!$C$2:$C$721,計算用!$O$46))</f>
        <v/>
      </c>
      <c r="G51" s="25">
        <f>IF(計算用!$P$46="","",INDEX(計算用!$A$2:$A$721,計算用!$P$46))</f>
        <v/>
      </c>
      <c r="H51" s="26">
        <f>IF(計算用!$P$46="","",INDEX(計算用!$C$2:$C$721,計算用!$P$46))</f>
        <v/>
      </c>
      <c r="I51" s="25">
        <f>IF(計算用!$Q$46="","",INDEX(計算用!$A$2:$A$721,計算用!$Q$46))</f>
        <v/>
      </c>
      <c r="J51" s="26">
        <f>IF(計算用!$Q$46="","",INDEX(計算用!$C$2:$C$721,計算用!$Q$46))</f>
        <v/>
      </c>
      <c r="K51" s="25">
        <f>IF(計算用!$R$46="","",INDEX(計算用!$A$2:$A$721,計算用!$R$46))</f>
        <v/>
      </c>
      <c r="L51" s="26">
        <f>IF(計算用!$R$46="","",INDEX(計算用!$C$2:$C$721,計算用!$R$46))</f>
        <v/>
      </c>
      <c r="M51" s="25">
        <f>IF(計算用!$S$46="","",INDEX(計算用!$A$2:$A$721,計算用!$S$46))</f>
        <v/>
      </c>
      <c r="N51" s="26">
        <f>IF(計算用!$S$46="","",INDEX(計算用!$C$2:$C$721,計算用!$S$46))</f>
        <v/>
      </c>
      <c r="O51" s="25">
        <f>IF(計算用!$T$46="","",INDEX(計算用!$A$2:$A$721,計算用!$T$46))</f>
        <v/>
      </c>
      <c r="P51" s="26">
        <f>IF(計算用!$T$46="","",INDEX(計算用!$C$2:$C$721,計算用!$T$46))</f>
        <v/>
      </c>
      <c r="Q51" s="25">
        <f>IF(計算用!$U$46="","",INDEX(計算用!$A$2:$A$721,計算用!$U$46))</f>
        <v/>
      </c>
      <c r="R51" s="26">
        <f>IF(計算用!$U$46="","",INDEX(計算用!$C$2:$C$721,計算用!$U$46))</f>
        <v/>
      </c>
      <c r="S51" s="25">
        <f>IF(計算用!$V$46="","",INDEX(計算用!$A$2:$A$721,計算用!$V$46))</f>
        <v/>
      </c>
      <c r="T51" s="26">
        <f>IF(計算用!$V$46="","",INDEX(計算用!$C$2:$C$721,計算用!$V$46))</f>
        <v/>
      </c>
    </row>
    <row r="52">
      <c r="A52" s="25">
        <f>IF(計算用!$M$47="","",INDEX(計算用!$A$2:$A$721,計算用!$M$47))</f>
        <v/>
      </c>
      <c r="B52" s="26">
        <f>IF(計算用!$M$47="","",INDEX(計算用!$C$2:$C$721,計算用!$M$47))</f>
        <v/>
      </c>
      <c r="C52" s="25">
        <f>IF(計算用!$N$47="","",INDEX(計算用!$A$2:$A$721,計算用!$N$47))</f>
        <v/>
      </c>
      <c r="D52" s="26">
        <f>IF(計算用!$N$47="","",INDEX(計算用!$C$2:$C$721,計算用!$N$47))</f>
        <v/>
      </c>
      <c r="E52" s="25">
        <f>IF(計算用!$O$47="","",INDEX(計算用!$A$2:$A$721,計算用!$O$47))</f>
        <v/>
      </c>
      <c r="F52" s="26">
        <f>IF(計算用!$O$47="","",INDEX(計算用!$C$2:$C$721,計算用!$O$47))</f>
        <v/>
      </c>
      <c r="G52" s="25">
        <f>IF(計算用!$P$47="","",INDEX(計算用!$A$2:$A$721,計算用!$P$47))</f>
        <v/>
      </c>
      <c r="H52" s="26">
        <f>IF(計算用!$P$47="","",INDEX(計算用!$C$2:$C$721,計算用!$P$47))</f>
        <v/>
      </c>
      <c r="I52" s="25">
        <f>IF(計算用!$Q$47="","",INDEX(計算用!$A$2:$A$721,計算用!$Q$47))</f>
        <v/>
      </c>
      <c r="J52" s="26">
        <f>IF(計算用!$Q$47="","",INDEX(計算用!$C$2:$C$721,計算用!$Q$47))</f>
        <v/>
      </c>
      <c r="K52" s="25">
        <f>IF(計算用!$R$47="","",INDEX(計算用!$A$2:$A$721,計算用!$R$47))</f>
        <v/>
      </c>
      <c r="L52" s="26">
        <f>IF(計算用!$R$47="","",INDEX(計算用!$C$2:$C$721,計算用!$R$47))</f>
        <v/>
      </c>
      <c r="M52" s="25">
        <f>IF(計算用!$S$47="","",INDEX(計算用!$A$2:$A$721,計算用!$S$47))</f>
        <v/>
      </c>
      <c r="N52" s="26">
        <f>IF(計算用!$S$47="","",INDEX(計算用!$C$2:$C$721,計算用!$S$47))</f>
        <v/>
      </c>
      <c r="O52" s="25">
        <f>IF(計算用!$T$47="","",INDEX(計算用!$A$2:$A$721,計算用!$T$47))</f>
        <v/>
      </c>
      <c r="P52" s="26">
        <f>IF(計算用!$T$47="","",INDEX(計算用!$C$2:$C$721,計算用!$T$47))</f>
        <v/>
      </c>
      <c r="Q52" s="25">
        <f>IF(計算用!$U$47="","",INDEX(計算用!$A$2:$A$721,計算用!$U$47))</f>
        <v/>
      </c>
      <c r="R52" s="26">
        <f>IF(計算用!$U$47="","",INDEX(計算用!$C$2:$C$721,計算用!$U$47))</f>
        <v/>
      </c>
      <c r="S52" s="25">
        <f>IF(計算用!$V$47="","",INDEX(計算用!$A$2:$A$721,計算用!$V$47))</f>
        <v/>
      </c>
      <c r="T52" s="26">
        <f>IF(計算用!$V$47="","",INDEX(計算用!$C$2:$C$721,計算用!$V$47))</f>
        <v/>
      </c>
    </row>
    <row r="53">
      <c r="A53" s="25">
        <f>IF(計算用!$M$48="","",INDEX(計算用!$A$2:$A$721,計算用!$M$48))</f>
        <v/>
      </c>
      <c r="B53" s="26">
        <f>IF(計算用!$M$48="","",INDEX(計算用!$C$2:$C$721,計算用!$M$48))</f>
        <v/>
      </c>
      <c r="C53" s="25">
        <f>IF(計算用!$N$48="","",INDEX(計算用!$A$2:$A$721,計算用!$N$48))</f>
        <v/>
      </c>
      <c r="D53" s="26">
        <f>IF(計算用!$N$48="","",INDEX(計算用!$C$2:$C$721,計算用!$N$48))</f>
        <v/>
      </c>
      <c r="E53" s="25">
        <f>IF(計算用!$O$48="","",INDEX(計算用!$A$2:$A$721,計算用!$O$48))</f>
        <v/>
      </c>
      <c r="F53" s="26">
        <f>IF(計算用!$O$48="","",INDEX(計算用!$C$2:$C$721,計算用!$O$48))</f>
        <v/>
      </c>
      <c r="G53" s="25">
        <f>IF(計算用!$P$48="","",INDEX(計算用!$A$2:$A$721,計算用!$P$48))</f>
        <v/>
      </c>
      <c r="H53" s="26">
        <f>IF(計算用!$P$48="","",INDEX(計算用!$C$2:$C$721,計算用!$P$48))</f>
        <v/>
      </c>
      <c r="I53" s="25">
        <f>IF(計算用!$Q$48="","",INDEX(計算用!$A$2:$A$721,計算用!$Q$48))</f>
        <v/>
      </c>
      <c r="J53" s="26">
        <f>IF(計算用!$Q$48="","",INDEX(計算用!$C$2:$C$721,計算用!$Q$48))</f>
        <v/>
      </c>
      <c r="K53" s="25">
        <f>IF(計算用!$R$48="","",INDEX(計算用!$A$2:$A$721,計算用!$R$48))</f>
        <v/>
      </c>
      <c r="L53" s="26">
        <f>IF(計算用!$R$48="","",INDEX(計算用!$C$2:$C$721,計算用!$R$48))</f>
        <v/>
      </c>
      <c r="M53" s="25">
        <f>IF(計算用!$S$48="","",INDEX(計算用!$A$2:$A$721,計算用!$S$48))</f>
        <v/>
      </c>
      <c r="N53" s="26">
        <f>IF(計算用!$S$48="","",INDEX(計算用!$C$2:$C$721,計算用!$S$48))</f>
        <v/>
      </c>
      <c r="O53" s="25">
        <f>IF(計算用!$T$48="","",INDEX(計算用!$A$2:$A$721,計算用!$T$48))</f>
        <v/>
      </c>
      <c r="P53" s="26">
        <f>IF(計算用!$T$48="","",INDEX(計算用!$C$2:$C$721,計算用!$T$48))</f>
        <v/>
      </c>
      <c r="Q53" s="25">
        <f>IF(計算用!$U$48="","",INDEX(計算用!$A$2:$A$721,計算用!$U$48))</f>
        <v/>
      </c>
      <c r="R53" s="26">
        <f>IF(計算用!$U$48="","",INDEX(計算用!$C$2:$C$721,計算用!$U$48))</f>
        <v/>
      </c>
      <c r="S53" s="25">
        <f>IF(計算用!$V$48="","",INDEX(計算用!$A$2:$A$721,計算用!$V$48))</f>
        <v/>
      </c>
      <c r="T53" s="26">
        <f>IF(計算用!$V$48="","",INDEX(計算用!$C$2:$C$721,計算用!$V$48))</f>
        <v/>
      </c>
    </row>
    <row r="54">
      <c r="A54" s="25">
        <f>IF(計算用!$M$49="","",INDEX(計算用!$A$2:$A$721,計算用!$M$49))</f>
        <v/>
      </c>
      <c r="B54" s="26">
        <f>IF(計算用!$M$49="","",INDEX(計算用!$C$2:$C$721,計算用!$M$49))</f>
        <v/>
      </c>
      <c r="C54" s="25">
        <f>IF(計算用!$N$49="","",INDEX(計算用!$A$2:$A$721,計算用!$N$49))</f>
        <v/>
      </c>
      <c r="D54" s="26">
        <f>IF(計算用!$N$49="","",INDEX(計算用!$C$2:$C$721,計算用!$N$49))</f>
        <v/>
      </c>
      <c r="E54" s="25">
        <f>IF(計算用!$O$49="","",INDEX(計算用!$A$2:$A$721,計算用!$O$49))</f>
        <v/>
      </c>
      <c r="F54" s="26">
        <f>IF(計算用!$O$49="","",INDEX(計算用!$C$2:$C$721,計算用!$O$49))</f>
        <v/>
      </c>
      <c r="G54" s="25">
        <f>IF(計算用!$P$49="","",INDEX(計算用!$A$2:$A$721,計算用!$P$49))</f>
        <v/>
      </c>
      <c r="H54" s="26">
        <f>IF(計算用!$P$49="","",INDEX(計算用!$C$2:$C$721,計算用!$P$49))</f>
        <v/>
      </c>
      <c r="I54" s="25">
        <f>IF(計算用!$Q$49="","",INDEX(計算用!$A$2:$A$721,計算用!$Q$49))</f>
        <v/>
      </c>
      <c r="J54" s="26">
        <f>IF(計算用!$Q$49="","",INDEX(計算用!$C$2:$C$721,計算用!$Q$49))</f>
        <v/>
      </c>
      <c r="K54" s="25">
        <f>IF(計算用!$R$49="","",INDEX(計算用!$A$2:$A$721,計算用!$R$49))</f>
        <v/>
      </c>
      <c r="L54" s="26">
        <f>IF(計算用!$R$49="","",INDEX(計算用!$C$2:$C$721,計算用!$R$49))</f>
        <v/>
      </c>
      <c r="M54" s="25">
        <f>IF(計算用!$S$49="","",INDEX(計算用!$A$2:$A$721,計算用!$S$49))</f>
        <v/>
      </c>
      <c r="N54" s="26">
        <f>IF(計算用!$S$49="","",INDEX(計算用!$C$2:$C$721,計算用!$S$49))</f>
        <v/>
      </c>
      <c r="O54" s="25">
        <f>IF(計算用!$T$49="","",INDEX(計算用!$A$2:$A$721,計算用!$T$49))</f>
        <v/>
      </c>
      <c r="P54" s="26">
        <f>IF(計算用!$T$49="","",INDEX(計算用!$C$2:$C$721,計算用!$T$49))</f>
        <v/>
      </c>
      <c r="Q54" s="25">
        <f>IF(計算用!$U$49="","",INDEX(計算用!$A$2:$A$721,計算用!$U$49))</f>
        <v/>
      </c>
      <c r="R54" s="26">
        <f>IF(計算用!$U$49="","",INDEX(計算用!$C$2:$C$721,計算用!$U$49))</f>
        <v/>
      </c>
      <c r="S54" s="25">
        <f>IF(計算用!$V$49="","",INDEX(計算用!$A$2:$A$721,計算用!$V$49))</f>
        <v/>
      </c>
      <c r="T54" s="26">
        <f>IF(計算用!$V$49="","",INDEX(計算用!$C$2:$C$721,計算用!$V$49))</f>
        <v/>
      </c>
    </row>
    <row r="55">
      <c r="A55" s="25">
        <f>IF(計算用!$M$50="","",INDEX(計算用!$A$2:$A$721,計算用!$M$50))</f>
        <v/>
      </c>
      <c r="B55" s="26">
        <f>IF(計算用!$M$50="","",INDEX(計算用!$C$2:$C$721,計算用!$M$50))</f>
        <v/>
      </c>
      <c r="C55" s="25">
        <f>IF(計算用!$N$50="","",INDEX(計算用!$A$2:$A$721,計算用!$N$50))</f>
        <v/>
      </c>
      <c r="D55" s="26">
        <f>IF(計算用!$N$50="","",INDEX(計算用!$C$2:$C$721,計算用!$N$50))</f>
        <v/>
      </c>
      <c r="E55" s="25">
        <f>IF(計算用!$O$50="","",INDEX(計算用!$A$2:$A$721,計算用!$O$50))</f>
        <v/>
      </c>
      <c r="F55" s="26">
        <f>IF(計算用!$O$50="","",INDEX(計算用!$C$2:$C$721,計算用!$O$50))</f>
        <v/>
      </c>
      <c r="G55" s="25">
        <f>IF(計算用!$P$50="","",INDEX(計算用!$A$2:$A$721,計算用!$P$50))</f>
        <v/>
      </c>
      <c r="H55" s="26">
        <f>IF(計算用!$P$50="","",INDEX(計算用!$C$2:$C$721,計算用!$P$50))</f>
        <v/>
      </c>
      <c r="I55" s="25">
        <f>IF(計算用!$Q$50="","",INDEX(計算用!$A$2:$A$721,計算用!$Q$50))</f>
        <v/>
      </c>
      <c r="J55" s="26">
        <f>IF(計算用!$Q$50="","",INDEX(計算用!$C$2:$C$721,計算用!$Q$50))</f>
        <v/>
      </c>
      <c r="K55" s="25">
        <f>IF(計算用!$R$50="","",INDEX(計算用!$A$2:$A$721,計算用!$R$50))</f>
        <v/>
      </c>
      <c r="L55" s="26">
        <f>IF(計算用!$R$50="","",INDEX(計算用!$C$2:$C$721,計算用!$R$50))</f>
        <v/>
      </c>
      <c r="M55" s="25">
        <f>IF(計算用!$S$50="","",INDEX(計算用!$A$2:$A$721,計算用!$S$50))</f>
        <v/>
      </c>
      <c r="N55" s="26">
        <f>IF(計算用!$S$50="","",INDEX(計算用!$C$2:$C$721,計算用!$S$50))</f>
        <v/>
      </c>
      <c r="O55" s="25">
        <f>IF(計算用!$T$50="","",INDEX(計算用!$A$2:$A$721,計算用!$T$50))</f>
        <v/>
      </c>
      <c r="P55" s="26">
        <f>IF(計算用!$T$50="","",INDEX(計算用!$C$2:$C$721,計算用!$T$50))</f>
        <v/>
      </c>
      <c r="Q55" s="25">
        <f>IF(計算用!$U$50="","",INDEX(計算用!$A$2:$A$721,計算用!$U$50))</f>
        <v/>
      </c>
      <c r="R55" s="26">
        <f>IF(計算用!$U$50="","",INDEX(計算用!$C$2:$C$721,計算用!$U$50))</f>
        <v/>
      </c>
      <c r="S55" s="25">
        <f>IF(計算用!$V$50="","",INDEX(計算用!$A$2:$A$721,計算用!$V$50))</f>
        <v/>
      </c>
      <c r="T55" s="26">
        <f>IF(計算用!$V$50="","",INDEX(計算用!$C$2:$C$721,計算用!$V$50))</f>
        <v/>
      </c>
    </row>
    <row r="56">
      <c r="A56" s="25">
        <f>IF(計算用!$M$51="","",INDEX(計算用!$A$2:$A$721,計算用!$M$51))</f>
        <v/>
      </c>
      <c r="B56" s="26">
        <f>IF(計算用!$M$51="","",INDEX(計算用!$C$2:$C$721,計算用!$M$51))</f>
        <v/>
      </c>
      <c r="C56" s="25">
        <f>IF(計算用!$N$51="","",INDEX(計算用!$A$2:$A$721,計算用!$N$51))</f>
        <v/>
      </c>
      <c r="D56" s="26">
        <f>IF(計算用!$N$51="","",INDEX(計算用!$C$2:$C$721,計算用!$N$51))</f>
        <v/>
      </c>
      <c r="E56" s="25">
        <f>IF(計算用!$O$51="","",INDEX(計算用!$A$2:$A$721,計算用!$O$51))</f>
        <v/>
      </c>
      <c r="F56" s="26">
        <f>IF(計算用!$O$51="","",INDEX(計算用!$C$2:$C$721,計算用!$O$51))</f>
        <v/>
      </c>
      <c r="G56" s="25">
        <f>IF(計算用!$P$51="","",INDEX(計算用!$A$2:$A$721,計算用!$P$51))</f>
        <v/>
      </c>
      <c r="H56" s="26">
        <f>IF(計算用!$P$51="","",INDEX(計算用!$C$2:$C$721,計算用!$P$51))</f>
        <v/>
      </c>
      <c r="I56" s="25">
        <f>IF(計算用!$Q$51="","",INDEX(計算用!$A$2:$A$721,計算用!$Q$51))</f>
        <v/>
      </c>
      <c r="J56" s="26">
        <f>IF(計算用!$Q$51="","",INDEX(計算用!$C$2:$C$721,計算用!$Q$51))</f>
        <v/>
      </c>
      <c r="K56" s="25">
        <f>IF(計算用!$R$51="","",INDEX(計算用!$A$2:$A$721,計算用!$R$51))</f>
        <v/>
      </c>
      <c r="L56" s="26">
        <f>IF(計算用!$R$51="","",INDEX(計算用!$C$2:$C$721,計算用!$R$51))</f>
        <v/>
      </c>
      <c r="M56" s="25">
        <f>IF(計算用!$S$51="","",INDEX(計算用!$A$2:$A$721,計算用!$S$51))</f>
        <v/>
      </c>
      <c r="N56" s="26">
        <f>IF(計算用!$S$51="","",INDEX(計算用!$C$2:$C$721,計算用!$S$51))</f>
        <v/>
      </c>
      <c r="O56" s="25">
        <f>IF(計算用!$T$51="","",INDEX(計算用!$A$2:$A$721,計算用!$T$51))</f>
        <v/>
      </c>
      <c r="P56" s="26">
        <f>IF(計算用!$T$51="","",INDEX(計算用!$C$2:$C$721,計算用!$T$51))</f>
        <v/>
      </c>
      <c r="Q56" s="25">
        <f>IF(計算用!$U$51="","",INDEX(計算用!$A$2:$A$721,計算用!$U$51))</f>
        <v/>
      </c>
      <c r="R56" s="26">
        <f>IF(計算用!$U$51="","",INDEX(計算用!$C$2:$C$721,計算用!$U$51))</f>
        <v/>
      </c>
      <c r="S56" s="25">
        <f>IF(計算用!$V$51="","",INDEX(計算用!$A$2:$A$721,計算用!$V$51))</f>
        <v/>
      </c>
      <c r="T56" s="26">
        <f>IF(計算用!$V$51="","",INDEX(計算用!$C$2:$C$721,計算用!$V$51))</f>
        <v/>
      </c>
    </row>
    <row r="57"/>
    <row r="58">
      <c r="A58" s="18">
        <f>IF(設定!$I$21="","",設定!$I$21&amp;"（"&amp;人数チェック!$E$17&amp;"名）")</f>
        <v/>
      </c>
      <c r="B58" s="33" t="n"/>
      <c r="C58" s="18">
        <f>IF(設定!$I$22="","",設定!$I$22&amp;"（"&amp;人数チェック!$E$18&amp;"名）")</f>
        <v/>
      </c>
      <c r="D58" s="33" t="n"/>
      <c r="E58" s="18">
        <f>IF(設定!$I$23="","",設定!$I$23&amp;"（"&amp;人数チェック!$E$19&amp;"名）")</f>
        <v/>
      </c>
      <c r="F58" s="33" t="n"/>
      <c r="G58" s="18">
        <f>IF(設定!$I$24="","",設定!$I$24&amp;"（"&amp;人数チェック!$E$20&amp;"名）")</f>
        <v/>
      </c>
      <c r="H58" s="33" t="n"/>
      <c r="I58" s="18">
        <f>IF(設定!$I$25="","",設定!$I$25&amp;"（"&amp;人数チェック!$E$21&amp;"名）")</f>
        <v/>
      </c>
      <c r="J58" s="33" t="n"/>
      <c r="K58" s="18">
        <f>IF(設定!$I$26="","",設定!$I$26&amp;"（"&amp;人数チェック!$E$22&amp;"名）")</f>
        <v/>
      </c>
      <c r="L58" s="33" t="n"/>
      <c r="M58" s="18">
        <f>IF(設定!$I$27="","",設定!$I$27&amp;"（"&amp;人数チェック!$E$23&amp;"名）")</f>
        <v/>
      </c>
      <c r="N58" s="33" t="n"/>
      <c r="O58" s="18">
        <f>IF(設定!$I$28="","",設定!$I$28&amp;"（"&amp;人数チェック!$E$24&amp;"名）")</f>
        <v/>
      </c>
      <c r="P58" s="33" t="n"/>
      <c r="Q58" s="18">
        <f>IF(設定!$I$29="","",設定!$I$29&amp;"（"&amp;人数チェック!$E$25&amp;"名）")</f>
        <v/>
      </c>
      <c r="R58" s="33" t="n"/>
      <c r="S58" s="18">
        <f>IF(設定!$I$30="","",設定!$I$30&amp;"（"&amp;人数チェック!$E$26&amp;"名）")</f>
        <v/>
      </c>
      <c r="T58" s="33" t="n"/>
    </row>
    <row r="59">
      <c r="A59" s="25">
        <f>IF(設定!$I$21="","","担当："&amp;設定!$J$21)</f>
        <v/>
      </c>
      <c r="B59" s="33" t="n"/>
      <c r="C59" s="25">
        <f>IF(設定!$I$22="","","担当："&amp;設定!$J$22)</f>
        <v/>
      </c>
      <c r="D59" s="33" t="n"/>
      <c r="E59" s="25">
        <f>IF(設定!$I$23="","","担当："&amp;設定!$J$23)</f>
        <v/>
      </c>
      <c r="F59" s="33" t="n"/>
      <c r="G59" s="25">
        <f>IF(設定!$I$24="","","担当："&amp;設定!$J$24)</f>
        <v/>
      </c>
      <c r="H59" s="33" t="n"/>
      <c r="I59" s="25">
        <f>IF(設定!$I$25="","","担当："&amp;設定!$J$25)</f>
        <v/>
      </c>
      <c r="J59" s="33" t="n"/>
      <c r="K59" s="25">
        <f>IF(設定!$I$26="","","担当："&amp;設定!$J$26)</f>
        <v/>
      </c>
      <c r="L59" s="33" t="n"/>
      <c r="M59" s="25">
        <f>IF(設定!$I$27="","","担当："&amp;設定!$J$27)</f>
        <v/>
      </c>
      <c r="N59" s="33" t="n"/>
      <c r="O59" s="25">
        <f>IF(設定!$I$28="","","担当："&amp;設定!$J$28)</f>
        <v/>
      </c>
      <c r="P59" s="33" t="n"/>
      <c r="Q59" s="25">
        <f>IF(設定!$I$29="","","担当："&amp;設定!$J$29)</f>
        <v/>
      </c>
      <c r="R59" s="33" t="n"/>
      <c r="S59" s="25">
        <f>IF(設定!$I$30="","","担当："&amp;設定!$J$30)</f>
        <v/>
      </c>
      <c r="T59" s="33" t="n"/>
    </row>
    <row r="60">
      <c r="A60" s="25">
        <f>IF(設定!$I$21="","","場所："&amp;設定!$K$21)</f>
        <v/>
      </c>
      <c r="B60" s="33" t="n"/>
      <c r="C60" s="25">
        <f>IF(設定!$I$22="","","場所："&amp;設定!$K$22)</f>
        <v/>
      </c>
      <c r="D60" s="33" t="n"/>
      <c r="E60" s="25">
        <f>IF(設定!$I$23="","","場所："&amp;設定!$K$23)</f>
        <v/>
      </c>
      <c r="F60" s="33" t="n"/>
      <c r="G60" s="25">
        <f>IF(設定!$I$24="","","場所："&amp;設定!$K$24)</f>
        <v/>
      </c>
      <c r="H60" s="33" t="n"/>
      <c r="I60" s="25">
        <f>IF(設定!$I$25="","","場所："&amp;設定!$K$25)</f>
        <v/>
      </c>
      <c r="J60" s="33" t="n"/>
      <c r="K60" s="25">
        <f>IF(設定!$I$26="","","場所："&amp;設定!$K$26)</f>
        <v/>
      </c>
      <c r="L60" s="33" t="n"/>
      <c r="M60" s="25">
        <f>IF(設定!$I$27="","","場所："&amp;設定!$K$27)</f>
        <v/>
      </c>
      <c r="N60" s="33" t="n"/>
      <c r="O60" s="25">
        <f>IF(設定!$I$28="","","場所："&amp;設定!$K$28)</f>
        <v/>
      </c>
      <c r="P60" s="33" t="n"/>
      <c r="Q60" s="25">
        <f>IF(設定!$I$29="","","場所："&amp;設定!$K$29)</f>
        <v/>
      </c>
      <c r="R60" s="33" t="n"/>
      <c r="S60" s="25">
        <f>IF(設定!$I$30="","","場所："&amp;設定!$K$30)</f>
        <v/>
      </c>
      <c r="T60" s="33" t="n"/>
    </row>
    <row r="61">
      <c r="A61" s="18" t="inlineStr">
        <is>
          <t>組</t>
        </is>
      </c>
      <c r="B61" s="18" t="inlineStr">
        <is>
          <t>名前</t>
        </is>
      </c>
      <c r="C61" s="18" t="inlineStr">
        <is>
          <t>組</t>
        </is>
      </c>
      <c r="D61" s="18" t="inlineStr">
        <is>
          <t>名前</t>
        </is>
      </c>
      <c r="E61" s="18" t="inlineStr">
        <is>
          <t>組</t>
        </is>
      </c>
      <c r="F61" s="18" t="inlineStr">
        <is>
          <t>名前</t>
        </is>
      </c>
      <c r="G61" s="18" t="inlineStr">
        <is>
          <t>組</t>
        </is>
      </c>
      <c r="H61" s="18" t="inlineStr">
        <is>
          <t>名前</t>
        </is>
      </c>
      <c r="I61" s="18" t="inlineStr">
        <is>
          <t>組</t>
        </is>
      </c>
      <c r="J61" s="18" t="inlineStr">
        <is>
          <t>名前</t>
        </is>
      </c>
      <c r="K61" s="18" t="inlineStr">
        <is>
          <t>組</t>
        </is>
      </c>
      <c r="L61" s="18" t="inlineStr">
        <is>
          <t>名前</t>
        </is>
      </c>
      <c r="M61" s="18" t="inlineStr">
        <is>
          <t>組</t>
        </is>
      </c>
      <c r="N61" s="18" t="inlineStr">
        <is>
          <t>名前</t>
        </is>
      </c>
      <c r="O61" s="18" t="inlineStr">
        <is>
          <t>組</t>
        </is>
      </c>
      <c r="P61" s="18" t="inlineStr">
        <is>
          <t>名前</t>
        </is>
      </c>
      <c r="Q61" s="18" t="inlineStr">
        <is>
          <t>組</t>
        </is>
      </c>
      <c r="R61" s="18" t="inlineStr">
        <is>
          <t>名前</t>
        </is>
      </c>
      <c r="S61" s="18" t="inlineStr">
        <is>
          <t>組</t>
        </is>
      </c>
      <c r="T61" s="18" t="inlineStr">
        <is>
          <t>名前</t>
        </is>
      </c>
    </row>
    <row r="62">
      <c r="A62" s="25">
        <f>IF(計算用!$W$2="","",INDEX(計算用!$A$2:$A$721,計算用!$W$2))</f>
        <v/>
      </c>
      <c r="B62" s="26">
        <f>IF(計算用!$W$2="","",INDEX(計算用!$C$2:$C$721,計算用!$W$2))</f>
        <v/>
      </c>
      <c r="C62" s="25">
        <f>IF(計算用!$X$2="","",INDEX(計算用!$A$2:$A$721,計算用!$X$2))</f>
        <v/>
      </c>
      <c r="D62" s="26">
        <f>IF(計算用!$X$2="","",INDEX(計算用!$C$2:$C$721,計算用!$X$2))</f>
        <v/>
      </c>
      <c r="E62" s="25">
        <f>IF(計算用!$Y$2="","",INDEX(計算用!$A$2:$A$721,計算用!$Y$2))</f>
        <v/>
      </c>
      <c r="F62" s="26">
        <f>IF(計算用!$Y$2="","",INDEX(計算用!$C$2:$C$721,計算用!$Y$2))</f>
        <v/>
      </c>
      <c r="G62" s="25">
        <f>IF(計算用!$Z$2="","",INDEX(計算用!$A$2:$A$721,計算用!$Z$2))</f>
        <v/>
      </c>
      <c r="H62" s="26">
        <f>IF(計算用!$Z$2="","",INDEX(計算用!$C$2:$C$721,計算用!$Z$2))</f>
        <v/>
      </c>
      <c r="I62" s="25">
        <f>IF(計算用!$AA$2="","",INDEX(計算用!$A$2:$A$721,計算用!$AA$2))</f>
        <v/>
      </c>
      <c r="J62" s="26">
        <f>IF(計算用!$AA$2="","",INDEX(計算用!$C$2:$C$721,計算用!$AA$2))</f>
        <v/>
      </c>
      <c r="K62" s="25">
        <f>IF(計算用!$AB$2="","",INDEX(計算用!$A$2:$A$721,計算用!$AB$2))</f>
        <v/>
      </c>
      <c r="L62" s="26">
        <f>IF(計算用!$AB$2="","",INDEX(計算用!$C$2:$C$721,計算用!$AB$2))</f>
        <v/>
      </c>
      <c r="M62" s="25">
        <f>IF(計算用!$AC$2="","",INDEX(計算用!$A$2:$A$721,計算用!$AC$2))</f>
        <v/>
      </c>
      <c r="N62" s="26">
        <f>IF(計算用!$AC$2="","",INDEX(計算用!$C$2:$C$721,計算用!$AC$2))</f>
        <v/>
      </c>
      <c r="O62" s="25">
        <f>IF(計算用!$AD$2="","",INDEX(計算用!$A$2:$A$721,計算用!$AD$2))</f>
        <v/>
      </c>
      <c r="P62" s="26">
        <f>IF(計算用!$AD$2="","",INDEX(計算用!$C$2:$C$721,計算用!$AD$2))</f>
        <v/>
      </c>
      <c r="Q62" s="25">
        <f>IF(計算用!$AE$2="","",INDEX(計算用!$A$2:$A$721,計算用!$AE$2))</f>
        <v/>
      </c>
      <c r="R62" s="26">
        <f>IF(計算用!$AE$2="","",INDEX(計算用!$C$2:$C$721,計算用!$AE$2))</f>
        <v/>
      </c>
      <c r="S62" s="25">
        <f>IF(計算用!$AF$2="","",INDEX(計算用!$A$2:$A$721,計算用!$AF$2))</f>
        <v/>
      </c>
      <c r="T62" s="26">
        <f>IF(計算用!$AF$2="","",INDEX(計算用!$C$2:$C$721,計算用!$AF$2))</f>
        <v/>
      </c>
    </row>
    <row r="63">
      <c r="A63" s="25">
        <f>IF(計算用!$W$3="","",INDEX(計算用!$A$2:$A$721,計算用!$W$3))</f>
        <v/>
      </c>
      <c r="B63" s="26">
        <f>IF(計算用!$W$3="","",INDEX(計算用!$C$2:$C$721,計算用!$W$3))</f>
        <v/>
      </c>
      <c r="C63" s="25">
        <f>IF(計算用!$X$3="","",INDEX(計算用!$A$2:$A$721,計算用!$X$3))</f>
        <v/>
      </c>
      <c r="D63" s="26">
        <f>IF(計算用!$X$3="","",INDEX(計算用!$C$2:$C$721,計算用!$X$3))</f>
        <v/>
      </c>
      <c r="E63" s="25">
        <f>IF(計算用!$Y$3="","",INDEX(計算用!$A$2:$A$721,計算用!$Y$3))</f>
        <v/>
      </c>
      <c r="F63" s="26">
        <f>IF(計算用!$Y$3="","",INDEX(計算用!$C$2:$C$721,計算用!$Y$3))</f>
        <v/>
      </c>
      <c r="G63" s="25">
        <f>IF(計算用!$Z$3="","",INDEX(計算用!$A$2:$A$721,計算用!$Z$3))</f>
        <v/>
      </c>
      <c r="H63" s="26">
        <f>IF(計算用!$Z$3="","",INDEX(計算用!$C$2:$C$721,計算用!$Z$3))</f>
        <v/>
      </c>
      <c r="I63" s="25">
        <f>IF(計算用!$AA$3="","",INDEX(計算用!$A$2:$A$721,計算用!$AA$3))</f>
        <v/>
      </c>
      <c r="J63" s="26">
        <f>IF(計算用!$AA$3="","",INDEX(計算用!$C$2:$C$721,計算用!$AA$3))</f>
        <v/>
      </c>
      <c r="K63" s="25">
        <f>IF(計算用!$AB$3="","",INDEX(計算用!$A$2:$A$721,計算用!$AB$3))</f>
        <v/>
      </c>
      <c r="L63" s="26">
        <f>IF(計算用!$AB$3="","",INDEX(計算用!$C$2:$C$721,計算用!$AB$3))</f>
        <v/>
      </c>
      <c r="M63" s="25">
        <f>IF(計算用!$AC$3="","",INDEX(計算用!$A$2:$A$721,計算用!$AC$3))</f>
        <v/>
      </c>
      <c r="N63" s="26">
        <f>IF(計算用!$AC$3="","",INDEX(計算用!$C$2:$C$721,計算用!$AC$3))</f>
        <v/>
      </c>
      <c r="O63" s="25">
        <f>IF(計算用!$AD$3="","",INDEX(計算用!$A$2:$A$721,計算用!$AD$3))</f>
        <v/>
      </c>
      <c r="P63" s="26">
        <f>IF(計算用!$AD$3="","",INDEX(計算用!$C$2:$C$721,計算用!$AD$3))</f>
        <v/>
      </c>
      <c r="Q63" s="25">
        <f>IF(計算用!$AE$3="","",INDEX(計算用!$A$2:$A$721,計算用!$AE$3))</f>
        <v/>
      </c>
      <c r="R63" s="26">
        <f>IF(計算用!$AE$3="","",INDEX(計算用!$C$2:$C$721,計算用!$AE$3))</f>
        <v/>
      </c>
      <c r="S63" s="25">
        <f>IF(計算用!$AF$3="","",INDEX(計算用!$A$2:$A$721,計算用!$AF$3))</f>
        <v/>
      </c>
      <c r="T63" s="26">
        <f>IF(計算用!$AF$3="","",INDEX(計算用!$C$2:$C$721,計算用!$AF$3))</f>
        <v/>
      </c>
    </row>
    <row r="64">
      <c r="A64" s="25">
        <f>IF(計算用!$W$4="","",INDEX(計算用!$A$2:$A$721,計算用!$W$4))</f>
        <v/>
      </c>
      <c r="B64" s="26">
        <f>IF(計算用!$W$4="","",INDEX(計算用!$C$2:$C$721,計算用!$W$4))</f>
        <v/>
      </c>
      <c r="C64" s="25">
        <f>IF(計算用!$X$4="","",INDEX(計算用!$A$2:$A$721,計算用!$X$4))</f>
        <v/>
      </c>
      <c r="D64" s="26">
        <f>IF(計算用!$X$4="","",INDEX(計算用!$C$2:$C$721,計算用!$X$4))</f>
        <v/>
      </c>
      <c r="E64" s="25">
        <f>IF(計算用!$Y$4="","",INDEX(計算用!$A$2:$A$721,計算用!$Y$4))</f>
        <v/>
      </c>
      <c r="F64" s="26">
        <f>IF(計算用!$Y$4="","",INDEX(計算用!$C$2:$C$721,計算用!$Y$4))</f>
        <v/>
      </c>
      <c r="G64" s="25">
        <f>IF(計算用!$Z$4="","",INDEX(計算用!$A$2:$A$721,計算用!$Z$4))</f>
        <v/>
      </c>
      <c r="H64" s="26">
        <f>IF(計算用!$Z$4="","",INDEX(計算用!$C$2:$C$721,計算用!$Z$4))</f>
        <v/>
      </c>
      <c r="I64" s="25">
        <f>IF(計算用!$AA$4="","",INDEX(計算用!$A$2:$A$721,計算用!$AA$4))</f>
        <v/>
      </c>
      <c r="J64" s="26">
        <f>IF(計算用!$AA$4="","",INDEX(計算用!$C$2:$C$721,計算用!$AA$4))</f>
        <v/>
      </c>
      <c r="K64" s="25">
        <f>IF(計算用!$AB$4="","",INDEX(計算用!$A$2:$A$721,計算用!$AB$4))</f>
        <v/>
      </c>
      <c r="L64" s="26">
        <f>IF(計算用!$AB$4="","",INDEX(計算用!$C$2:$C$721,計算用!$AB$4))</f>
        <v/>
      </c>
      <c r="M64" s="25">
        <f>IF(計算用!$AC$4="","",INDEX(計算用!$A$2:$A$721,計算用!$AC$4))</f>
        <v/>
      </c>
      <c r="N64" s="26">
        <f>IF(計算用!$AC$4="","",INDEX(計算用!$C$2:$C$721,計算用!$AC$4))</f>
        <v/>
      </c>
      <c r="O64" s="25">
        <f>IF(計算用!$AD$4="","",INDEX(計算用!$A$2:$A$721,計算用!$AD$4))</f>
        <v/>
      </c>
      <c r="P64" s="26">
        <f>IF(計算用!$AD$4="","",INDEX(計算用!$C$2:$C$721,計算用!$AD$4))</f>
        <v/>
      </c>
      <c r="Q64" s="25">
        <f>IF(計算用!$AE$4="","",INDEX(計算用!$A$2:$A$721,計算用!$AE$4))</f>
        <v/>
      </c>
      <c r="R64" s="26">
        <f>IF(計算用!$AE$4="","",INDEX(計算用!$C$2:$C$721,計算用!$AE$4))</f>
        <v/>
      </c>
      <c r="S64" s="25">
        <f>IF(計算用!$AF$4="","",INDEX(計算用!$A$2:$A$721,計算用!$AF$4))</f>
        <v/>
      </c>
      <c r="T64" s="26">
        <f>IF(計算用!$AF$4="","",INDEX(計算用!$C$2:$C$721,計算用!$AF$4))</f>
        <v/>
      </c>
    </row>
    <row r="65">
      <c r="A65" s="25">
        <f>IF(計算用!$W$5="","",INDEX(計算用!$A$2:$A$721,計算用!$W$5))</f>
        <v/>
      </c>
      <c r="B65" s="26">
        <f>IF(計算用!$W$5="","",INDEX(計算用!$C$2:$C$721,計算用!$W$5))</f>
        <v/>
      </c>
      <c r="C65" s="25">
        <f>IF(計算用!$X$5="","",INDEX(計算用!$A$2:$A$721,計算用!$X$5))</f>
        <v/>
      </c>
      <c r="D65" s="26">
        <f>IF(計算用!$X$5="","",INDEX(計算用!$C$2:$C$721,計算用!$X$5))</f>
        <v/>
      </c>
      <c r="E65" s="25">
        <f>IF(計算用!$Y$5="","",INDEX(計算用!$A$2:$A$721,計算用!$Y$5))</f>
        <v/>
      </c>
      <c r="F65" s="26">
        <f>IF(計算用!$Y$5="","",INDEX(計算用!$C$2:$C$721,計算用!$Y$5))</f>
        <v/>
      </c>
      <c r="G65" s="25">
        <f>IF(計算用!$Z$5="","",INDEX(計算用!$A$2:$A$721,計算用!$Z$5))</f>
        <v/>
      </c>
      <c r="H65" s="26">
        <f>IF(計算用!$Z$5="","",INDEX(計算用!$C$2:$C$721,計算用!$Z$5))</f>
        <v/>
      </c>
      <c r="I65" s="25">
        <f>IF(計算用!$AA$5="","",INDEX(計算用!$A$2:$A$721,計算用!$AA$5))</f>
        <v/>
      </c>
      <c r="J65" s="26">
        <f>IF(計算用!$AA$5="","",INDEX(計算用!$C$2:$C$721,計算用!$AA$5))</f>
        <v/>
      </c>
      <c r="K65" s="25">
        <f>IF(計算用!$AB$5="","",INDEX(計算用!$A$2:$A$721,計算用!$AB$5))</f>
        <v/>
      </c>
      <c r="L65" s="26">
        <f>IF(計算用!$AB$5="","",INDEX(計算用!$C$2:$C$721,計算用!$AB$5))</f>
        <v/>
      </c>
      <c r="M65" s="25">
        <f>IF(計算用!$AC$5="","",INDEX(計算用!$A$2:$A$721,計算用!$AC$5))</f>
        <v/>
      </c>
      <c r="N65" s="26">
        <f>IF(計算用!$AC$5="","",INDEX(計算用!$C$2:$C$721,計算用!$AC$5))</f>
        <v/>
      </c>
      <c r="O65" s="25">
        <f>IF(計算用!$AD$5="","",INDEX(計算用!$A$2:$A$721,計算用!$AD$5))</f>
        <v/>
      </c>
      <c r="P65" s="26">
        <f>IF(計算用!$AD$5="","",INDEX(計算用!$C$2:$C$721,計算用!$AD$5))</f>
        <v/>
      </c>
      <c r="Q65" s="25">
        <f>IF(計算用!$AE$5="","",INDEX(計算用!$A$2:$A$721,計算用!$AE$5))</f>
        <v/>
      </c>
      <c r="R65" s="26">
        <f>IF(計算用!$AE$5="","",INDEX(計算用!$C$2:$C$721,計算用!$AE$5))</f>
        <v/>
      </c>
      <c r="S65" s="25">
        <f>IF(計算用!$AF$5="","",INDEX(計算用!$A$2:$A$721,計算用!$AF$5))</f>
        <v/>
      </c>
      <c r="T65" s="26">
        <f>IF(計算用!$AF$5="","",INDEX(計算用!$C$2:$C$721,計算用!$AF$5))</f>
        <v/>
      </c>
    </row>
    <row r="66">
      <c r="A66" s="25">
        <f>IF(計算用!$W$6="","",INDEX(計算用!$A$2:$A$721,計算用!$W$6))</f>
        <v/>
      </c>
      <c r="B66" s="26">
        <f>IF(計算用!$W$6="","",INDEX(計算用!$C$2:$C$721,計算用!$W$6))</f>
        <v/>
      </c>
      <c r="C66" s="25">
        <f>IF(計算用!$X$6="","",INDEX(計算用!$A$2:$A$721,計算用!$X$6))</f>
        <v/>
      </c>
      <c r="D66" s="26">
        <f>IF(計算用!$X$6="","",INDEX(計算用!$C$2:$C$721,計算用!$X$6))</f>
        <v/>
      </c>
      <c r="E66" s="25">
        <f>IF(計算用!$Y$6="","",INDEX(計算用!$A$2:$A$721,計算用!$Y$6))</f>
        <v/>
      </c>
      <c r="F66" s="26">
        <f>IF(計算用!$Y$6="","",INDEX(計算用!$C$2:$C$721,計算用!$Y$6))</f>
        <v/>
      </c>
      <c r="G66" s="25">
        <f>IF(計算用!$Z$6="","",INDEX(計算用!$A$2:$A$721,計算用!$Z$6))</f>
        <v/>
      </c>
      <c r="H66" s="26">
        <f>IF(計算用!$Z$6="","",INDEX(計算用!$C$2:$C$721,計算用!$Z$6))</f>
        <v/>
      </c>
      <c r="I66" s="25">
        <f>IF(計算用!$AA$6="","",INDEX(計算用!$A$2:$A$721,計算用!$AA$6))</f>
        <v/>
      </c>
      <c r="J66" s="26">
        <f>IF(計算用!$AA$6="","",INDEX(計算用!$C$2:$C$721,計算用!$AA$6))</f>
        <v/>
      </c>
      <c r="K66" s="25">
        <f>IF(計算用!$AB$6="","",INDEX(計算用!$A$2:$A$721,計算用!$AB$6))</f>
        <v/>
      </c>
      <c r="L66" s="26">
        <f>IF(計算用!$AB$6="","",INDEX(計算用!$C$2:$C$721,計算用!$AB$6))</f>
        <v/>
      </c>
      <c r="M66" s="25">
        <f>IF(計算用!$AC$6="","",INDEX(計算用!$A$2:$A$721,計算用!$AC$6))</f>
        <v/>
      </c>
      <c r="N66" s="26">
        <f>IF(計算用!$AC$6="","",INDEX(計算用!$C$2:$C$721,計算用!$AC$6))</f>
        <v/>
      </c>
      <c r="O66" s="25">
        <f>IF(計算用!$AD$6="","",INDEX(計算用!$A$2:$A$721,計算用!$AD$6))</f>
        <v/>
      </c>
      <c r="P66" s="26">
        <f>IF(計算用!$AD$6="","",INDEX(計算用!$C$2:$C$721,計算用!$AD$6))</f>
        <v/>
      </c>
      <c r="Q66" s="25">
        <f>IF(計算用!$AE$6="","",INDEX(計算用!$A$2:$A$721,計算用!$AE$6))</f>
        <v/>
      </c>
      <c r="R66" s="26">
        <f>IF(計算用!$AE$6="","",INDEX(計算用!$C$2:$C$721,計算用!$AE$6))</f>
        <v/>
      </c>
      <c r="S66" s="25">
        <f>IF(計算用!$AF$6="","",INDEX(計算用!$A$2:$A$721,計算用!$AF$6))</f>
        <v/>
      </c>
      <c r="T66" s="26">
        <f>IF(計算用!$AF$6="","",INDEX(計算用!$C$2:$C$721,計算用!$AF$6))</f>
        <v/>
      </c>
    </row>
    <row r="67">
      <c r="A67" s="25">
        <f>IF(計算用!$W$7="","",INDEX(計算用!$A$2:$A$721,計算用!$W$7))</f>
        <v/>
      </c>
      <c r="B67" s="26">
        <f>IF(計算用!$W$7="","",INDEX(計算用!$C$2:$C$721,計算用!$W$7))</f>
        <v/>
      </c>
      <c r="C67" s="25">
        <f>IF(計算用!$X$7="","",INDEX(計算用!$A$2:$A$721,計算用!$X$7))</f>
        <v/>
      </c>
      <c r="D67" s="26">
        <f>IF(計算用!$X$7="","",INDEX(計算用!$C$2:$C$721,計算用!$X$7))</f>
        <v/>
      </c>
      <c r="E67" s="25">
        <f>IF(計算用!$Y$7="","",INDEX(計算用!$A$2:$A$721,計算用!$Y$7))</f>
        <v/>
      </c>
      <c r="F67" s="26">
        <f>IF(計算用!$Y$7="","",INDEX(計算用!$C$2:$C$721,計算用!$Y$7))</f>
        <v/>
      </c>
      <c r="G67" s="25">
        <f>IF(計算用!$Z$7="","",INDEX(計算用!$A$2:$A$721,計算用!$Z$7))</f>
        <v/>
      </c>
      <c r="H67" s="26">
        <f>IF(計算用!$Z$7="","",INDEX(計算用!$C$2:$C$721,計算用!$Z$7))</f>
        <v/>
      </c>
      <c r="I67" s="25">
        <f>IF(計算用!$AA$7="","",INDEX(計算用!$A$2:$A$721,計算用!$AA$7))</f>
        <v/>
      </c>
      <c r="J67" s="26">
        <f>IF(計算用!$AA$7="","",INDEX(計算用!$C$2:$C$721,計算用!$AA$7))</f>
        <v/>
      </c>
      <c r="K67" s="25">
        <f>IF(計算用!$AB$7="","",INDEX(計算用!$A$2:$A$721,計算用!$AB$7))</f>
        <v/>
      </c>
      <c r="L67" s="26">
        <f>IF(計算用!$AB$7="","",INDEX(計算用!$C$2:$C$721,計算用!$AB$7))</f>
        <v/>
      </c>
      <c r="M67" s="25">
        <f>IF(計算用!$AC$7="","",INDEX(計算用!$A$2:$A$721,計算用!$AC$7))</f>
        <v/>
      </c>
      <c r="N67" s="26">
        <f>IF(計算用!$AC$7="","",INDEX(計算用!$C$2:$C$721,計算用!$AC$7))</f>
        <v/>
      </c>
      <c r="O67" s="25">
        <f>IF(計算用!$AD$7="","",INDEX(計算用!$A$2:$A$721,計算用!$AD$7))</f>
        <v/>
      </c>
      <c r="P67" s="26">
        <f>IF(計算用!$AD$7="","",INDEX(計算用!$C$2:$C$721,計算用!$AD$7))</f>
        <v/>
      </c>
      <c r="Q67" s="25">
        <f>IF(計算用!$AE$7="","",INDEX(計算用!$A$2:$A$721,計算用!$AE$7))</f>
        <v/>
      </c>
      <c r="R67" s="26">
        <f>IF(計算用!$AE$7="","",INDEX(計算用!$C$2:$C$721,計算用!$AE$7))</f>
        <v/>
      </c>
      <c r="S67" s="25">
        <f>IF(計算用!$AF$7="","",INDEX(計算用!$A$2:$A$721,計算用!$AF$7))</f>
        <v/>
      </c>
      <c r="T67" s="26">
        <f>IF(計算用!$AF$7="","",INDEX(計算用!$C$2:$C$721,計算用!$AF$7))</f>
        <v/>
      </c>
    </row>
    <row r="68">
      <c r="A68" s="25">
        <f>IF(計算用!$W$8="","",INDEX(計算用!$A$2:$A$721,計算用!$W$8))</f>
        <v/>
      </c>
      <c r="B68" s="26">
        <f>IF(計算用!$W$8="","",INDEX(計算用!$C$2:$C$721,計算用!$W$8))</f>
        <v/>
      </c>
      <c r="C68" s="25">
        <f>IF(計算用!$X$8="","",INDEX(計算用!$A$2:$A$721,計算用!$X$8))</f>
        <v/>
      </c>
      <c r="D68" s="26">
        <f>IF(計算用!$X$8="","",INDEX(計算用!$C$2:$C$721,計算用!$X$8))</f>
        <v/>
      </c>
      <c r="E68" s="25">
        <f>IF(計算用!$Y$8="","",INDEX(計算用!$A$2:$A$721,計算用!$Y$8))</f>
        <v/>
      </c>
      <c r="F68" s="26">
        <f>IF(計算用!$Y$8="","",INDEX(計算用!$C$2:$C$721,計算用!$Y$8))</f>
        <v/>
      </c>
      <c r="G68" s="25">
        <f>IF(計算用!$Z$8="","",INDEX(計算用!$A$2:$A$721,計算用!$Z$8))</f>
        <v/>
      </c>
      <c r="H68" s="26">
        <f>IF(計算用!$Z$8="","",INDEX(計算用!$C$2:$C$721,計算用!$Z$8))</f>
        <v/>
      </c>
      <c r="I68" s="25">
        <f>IF(計算用!$AA$8="","",INDEX(計算用!$A$2:$A$721,計算用!$AA$8))</f>
        <v/>
      </c>
      <c r="J68" s="26">
        <f>IF(計算用!$AA$8="","",INDEX(計算用!$C$2:$C$721,計算用!$AA$8))</f>
        <v/>
      </c>
      <c r="K68" s="25">
        <f>IF(計算用!$AB$8="","",INDEX(計算用!$A$2:$A$721,計算用!$AB$8))</f>
        <v/>
      </c>
      <c r="L68" s="26">
        <f>IF(計算用!$AB$8="","",INDEX(計算用!$C$2:$C$721,計算用!$AB$8))</f>
        <v/>
      </c>
      <c r="M68" s="25">
        <f>IF(計算用!$AC$8="","",INDEX(計算用!$A$2:$A$721,計算用!$AC$8))</f>
        <v/>
      </c>
      <c r="N68" s="26">
        <f>IF(計算用!$AC$8="","",INDEX(計算用!$C$2:$C$721,計算用!$AC$8))</f>
        <v/>
      </c>
      <c r="O68" s="25">
        <f>IF(計算用!$AD$8="","",INDEX(計算用!$A$2:$A$721,計算用!$AD$8))</f>
        <v/>
      </c>
      <c r="P68" s="26">
        <f>IF(計算用!$AD$8="","",INDEX(計算用!$C$2:$C$721,計算用!$AD$8))</f>
        <v/>
      </c>
      <c r="Q68" s="25">
        <f>IF(計算用!$AE$8="","",INDEX(計算用!$A$2:$A$721,計算用!$AE$8))</f>
        <v/>
      </c>
      <c r="R68" s="26">
        <f>IF(計算用!$AE$8="","",INDEX(計算用!$C$2:$C$721,計算用!$AE$8))</f>
        <v/>
      </c>
      <c r="S68" s="25">
        <f>IF(計算用!$AF$8="","",INDEX(計算用!$A$2:$A$721,計算用!$AF$8))</f>
        <v/>
      </c>
      <c r="T68" s="26">
        <f>IF(計算用!$AF$8="","",INDEX(計算用!$C$2:$C$721,計算用!$AF$8))</f>
        <v/>
      </c>
    </row>
    <row r="69">
      <c r="A69" s="25">
        <f>IF(計算用!$W$9="","",INDEX(計算用!$A$2:$A$721,計算用!$W$9))</f>
        <v/>
      </c>
      <c r="B69" s="26">
        <f>IF(計算用!$W$9="","",INDEX(計算用!$C$2:$C$721,計算用!$W$9))</f>
        <v/>
      </c>
      <c r="C69" s="25">
        <f>IF(計算用!$X$9="","",INDEX(計算用!$A$2:$A$721,計算用!$X$9))</f>
        <v/>
      </c>
      <c r="D69" s="26">
        <f>IF(計算用!$X$9="","",INDEX(計算用!$C$2:$C$721,計算用!$X$9))</f>
        <v/>
      </c>
      <c r="E69" s="25">
        <f>IF(計算用!$Y$9="","",INDEX(計算用!$A$2:$A$721,計算用!$Y$9))</f>
        <v/>
      </c>
      <c r="F69" s="26">
        <f>IF(計算用!$Y$9="","",INDEX(計算用!$C$2:$C$721,計算用!$Y$9))</f>
        <v/>
      </c>
      <c r="G69" s="25">
        <f>IF(計算用!$Z$9="","",INDEX(計算用!$A$2:$A$721,計算用!$Z$9))</f>
        <v/>
      </c>
      <c r="H69" s="26">
        <f>IF(計算用!$Z$9="","",INDEX(計算用!$C$2:$C$721,計算用!$Z$9))</f>
        <v/>
      </c>
      <c r="I69" s="25">
        <f>IF(計算用!$AA$9="","",INDEX(計算用!$A$2:$A$721,計算用!$AA$9))</f>
        <v/>
      </c>
      <c r="J69" s="26">
        <f>IF(計算用!$AA$9="","",INDEX(計算用!$C$2:$C$721,計算用!$AA$9))</f>
        <v/>
      </c>
      <c r="K69" s="25">
        <f>IF(計算用!$AB$9="","",INDEX(計算用!$A$2:$A$721,計算用!$AB$9))</f>
        <v/>
      </c>
      <c r="L69" s="26">
        <f>IF(計算用!$AB$9="","",INDEX(計算用!$C$2:$C$721,計算用!$AB$9))</f>
        <v/>
      </c>
      <c r="M69" s="25">
        <f>IF(計算用!$AC$9="","",INDEX(計算用!$A$2:$A$721,計算用!$AC$9))</f>
        <v/>
      </c>
      <c r="N69" s="26">
        <f>IF(計算用!$AC$9="","",INDEX(計算用!$C$2:$C$721,計算用!$AC$9))</f>
        <v/>
      </c>
      <c r="O69" s="25">
        <f>IF(計算用!$AD$9="","",INDEX(計算用!$A$2:$A$721,計算用!$AD$9))</f>
        <v/>
      </c>
      <c r="P69" s="26">
        <f>IF(計算用!$AD$9="","",INDEX(計算用!$C$2:$C$721,計算用!$AD$9))</f>
        <v/>
      </c>
      <c r="Q69" s="25">
        <f>IF(計算用!$AE$9="","",INDEX(計算用!$A$2:$A$721,計算用!$AE$9))</f>
        <v/>
      </c>
      <c r="R69" s="26">
        <f>IF(計算用!$AE$9="","",INDEX(計算用!$C$2:$C$721,計算用!$AE$9))</f>
        <v/>
      </c>
      <c r="S69" s="25">
        <f>IF(計算用!$AF$9="","",INDEX(計算用!$A$2:$A$721,計算用!$AF$9))</f>
        <v/>
      </c>
      <c r="T69" s="26">
        <f>IF(計算用!$AF$9="","",INDEX(計算用!$C$2:$C$721,計算用!$AF$9))</f>
        <v/>
      </c>
    </row>
    <row r="70">
      <c r="A70" s="25">
        <f>IF(計算用!$W$10="","",INDEX(計算用!$A$2:$A$721,計算用!$W$10))</f>
        <v/>
      </c>
      <c r="B70" s="26">
        <f>IF(計算用!$W$10="","",INDEX(計算用!$C$2:$C$721,計算用!$W$10))</f>
        <v/>
      </c>
      <c r="C70" s="25">
        <f>IF(計算用!$X$10="","",INDEX(計算用!$A$2:$A$721,計算用!$X$10))</f>
        <v/>
      </c>
      <c r="D70" s="26">
        <f>IF(計算用!$X$10="","",INDEX(計算用!$C$2:$C$721,計算用!$X$10))</f>
        <v/>
      </c>
      <c r="E70" s="25">
        <f>IF(計算用!$Y$10="","",INDEX(計算用!$A$2:$A$721,計算用!$Y$10))</f>
        <v/>
      </c>
      <c r="F70" s="26">
        <f>IF(計算用!$Y$10="","",INDEX(計算用!$C$2:$C$721,計算用!$Y$10))</f>
        <v/>
      </c>
      <c r="G70" s="25">
        <f>IF(計算用!$Z$10="","",INDEX(計算用!$A$2:$A$721,計算用!$Z$10))</f>
        <v/>
      </c>
      <c r="H70" s="26">
        <f>IF(計算用!$Z$10="","",INDEX(計算用!$C$2:$C$721,計算用!$Z$10))</f>
        <v/>
      </c>
      <c r="I70" s="25">
        <f>IF(計算用!$AA$10="","",INDEX(計算用!$A$2:$A$721,計算用!$AA$10))</f>
        <v/>
      </c>
      <c r="J70" s="26">
        <f>IF(計算用!$AA$10="","",INDEX(計算用!$C$2:$C$721,計算用!$AA$10))</f>
        <v/>
      </c>
      <c r="K70" s="25">
        <f>IF(計算用!$AB$10="","",INDEX(計算用!$A$2:$A$721,計算用!$AB$10))</f>
        <v/>
      </c>
      <c r="L70" s="26">
        <f>IF(計算用!$AB$10="","",INDEX(計算用!$C$2:$C$721,計算用!$AB$10))</f>
        <v/>
      </c>
      <c r="M70" s="25">
        <f>IF(計算用!$AC$10="","",INDEX(計算用!$A$2:$A$721,計算用!$AC$10))</f>
        <v/>
      </c>
      <c r="N70" s="26">
        <f>IF(計算用!$AC$10="","",INDEX(計算用!$C$2:$C$721,計算用!$AC$10))</f>
        <v/>
      </c>
      <c r="O70" s="25">
        <f>IF(計算用!$AD$10="","",INDEX(計算用!$A$2:$A$721,計算用!$AD$10))</f>
        <v/>
      </c>
      <c r="P70" s="26">
        <f>IF(計算用!$AD$10="","",INDEX(計算用!$C$2:$C$721,計算用!$AD$10))</f>
        <v/>
      </c>
      <c r="Q70" s="25">
        <f>IF(計算用!$AE$10="","",INDEX(計算用!$A$2:$A$721,計算用!$AE$10))</f>
        <v/>
      </c>
      <c r="R70" s="26">
        <f>IF(計算用!$AE$10="","",INDEX(計算用!$C$2:$C$721,計算用!$AE$10))</f>
        <v/>
      </c>
      <c r="S70" s="25">
        <f>IF(計算用!$AF$10="","",INDEX(計算用!$A$2:$A$721,計算用!$AF$10))</f>
        <v/>
      </c>
      <c r="T70" s="26">
        <f>IF(計算用!$AF$10="","",INDEX(計算用!$C$2:$C$721,計算用!$AF$10))</f>
        <v/>
      </c>
    </row>
    <row r="71">
      <c r="A71" s="25">
        <f>IF(計算用!$W$11="","",INDEX(計算用!$A$2:$A$721,計算用!$W$11))</f>
        <v/>
      </c>
      <c r="B71" s="26">
        <f>IF(計算用!$W$11="","",INDEX(計算用!$C$2:$C$721,計算用!$W$11))</f>
        <v/>
      </c>
      <c r="C71" s="25">
        <f>IF(計算用!$X$11="","",INDEX(計算用!$A$2:$A$721,計算用!$X$11))</f>
        <v/>
      </c>
      <c r="D71" s="26">
        <f>IF(計算用!$X$11="","",INDEX(計算用!$C$2:$C$721,計算用!$X$11))</f>
        <v/>
      </c>
      <c r="E71" s="25">
        <f>IF(計算用!$Y$11="","",INDEX(計算用!$A$2:$A$721,計算用!$Y$11))</f>
        <v/>
      </c>
      <c r="F71" s="26">
        <f>IF(計算用!$Y$11="","",INDEX(計算用!$C$2:$C$721,計算用!$Y$11))</f>
        <v/>
      </c>
      <c r="G71" s="25">
        <f>IF(計算用!$Z$11="","",INDEX(計算用!$A$2:$A$721,計算用!$Z$11))</f>
        <v/>
      </c>
      <c r="H71" s="26">
        <f>IF(計算用!$Z$11="","",INDEX(計算用!$C$2:$C$721,計算用!$Z$11))</f>
        <v/>
      </c>
      <c r="I71" s="25">
        <f>IF(計算用!$AA$11="","",INDEX(計算用!$A$2:$A$721,計算用!$AA$11))</f>
        <v/>
      </c>
      <c r="J71" s="26">
        <f>IF(計算用!$AA$11="","",INDEX(計算用!$C$2:$C$721,計算用!$AA$11))</f>
        <v/>
      </c>
      <c r="K71" s="25">
        <f>IF(計算用!$AB$11="","",INDEX(計算用!$A$2:$A$721,計算用!$AB$11))</f>
        <v/>
      </c>
      <c r="L71" s="26">
        <f>IF(計算用!$AB$11="","",INDEX(計算用!$C$2:$C$721,計算用!$AB$11))</f>
        <v/>
      </c>
      <c r="M71" s="25">
        <f>IF(計算用!$AC$11="","",INDEX(計算用!$A$2:$A$721,計算用!$AC$11))</f>
        <v/>
      </c>
      <c r="N71" s="26">
        <f>IF(計算用!$AC$11="","",INDEX(計算用!$C$2:$C$721,計算用!$AC$11))</f>
        <v/>
      </c>
      <c r="O71" s="25">
        <f>IF(計算用!$AD$11="","",INDEX(計算用!$A$2:$A$721,計算用!$AD$11))</f>
        <v/>
      </c>
      <c r="P71" s="26">
        <f>IF(計算用!$AD$11="","",INDEX(計算用!$C$2:$C$721,計算用!$AD$11))</f>
        <v/>
      </c>
      <c r="Q71" s="25">
        <f>IF(計算用!$AE$11="","",INDEX(計算用!$A$2:$A$721,計算用!$AE$11))</f>
        <v/>
      </c>
      <c r="R71" s="26">
        <f>IF(計算用!$AE$11="","",INDEX(計算用!$C$2:$C$721,計算用!$AE$11))</f>
        <v/>
      </c>
      <c r="S71" s="25">
        <f>IF(計算用!$AF$11="","",INDEX(計算用!$A$2:$A$721,計算用!$AF$11))</f>
        <v/>
      </c>
      <c r="T71" s="26">
        <f>IF(計算用!$AF$11="","",INDEX(計算用!$C$2:$C$721,計算用!$AF$11))</f>
        <v/>
      </c>
    </row>
    <row r="72">
      <c r="A72" s="25">
        <f>IF(計算用!$W$12="","",INDEX(計算用!$A$2:$A$721,計算用!$W$12))</f>
        <v/>
      </c>
      <c r="B72" s="26">
        <f>IF(計算用!$W$12="","",INDEX(計算用!$C$2:$C$721,計算用!$W$12))</f>
        <v/>
      </c>
      <c r="C72" s="25">
        <f>IF(計算用!$X$12="","",INDEX(計算用!$A$2:$A$721,計算用!$X$12))</f>
        <v/>
      </c>
      <c r="D72" s="26">
        <f>IF(計算用!$X$12="","",INDEX(計算用!$C$2:$C$721,計算用!$X$12))</f>
        <v/>
      </c>
      <c r="E72" s="25">
        <f>IF(計算用!$Y$12="","",INDEX(計算用!$A$2:$A$721,計算用!$Y$12))</f>
        <v/>
      </c>
      <c r="F72" s="26">
        <f>IF(計算用!$Y$12="","",INDEX(計算用!$C$2:$C$721,計算用!$Y$12))</f>
        <v/>
      </c>
      <c r="G72" s="25">
        <f>IF(計算用!$Z$12="","",INDEX(計算用!$A$2:$A$721,計算用!$Z$12))</f>
        <v/>
      </c>
      <c r="H72" s="26">
        <f>IF(計算用!$Z$12="","",INDEX(計算用!$C$2:$C$721,計算用!$Z$12))</f>
        <v/>
      </c>
      <c r="I72" s="25">
        <f>IF(計算用!$AA$12="","",INDEX(計算用!$A$2:$A$721,計算用!$AA$12))</f>
        <v/>
      </c>
      <c r="J72" s="26">
        <f>IF(計算用!$AA$12="","",INDEX(計算用!$C$2:$C$721,計算用!$AA$12))</f>
        <v/>
      </c>
      <c r="K72" s="25">
        <f>IF(計算用!$AB$12="","",INDEX(計算用!$A$2:$A$721,計算用!$AB$12))</f>
        <v/>
      </c>
      <c r="L72" s="26">
        <f>IF(計算用!$AB$12="","",INDEX(計算用!$C$2:$C$721,計算用!$AB$12))</f>
        <v/>
      </c>
      <c r="M72" s="25">
        <f>IF(計算用!$AC$12="","",INDEX(計算用!$A$2:$A$721,計算用!$AC$12))</f>
        <v/>
      </c>
      <c r="N72" s="26">
        <f>IF(計算用!$AC$12="","",INDEX(計算用!$C$2:$C$721,計算用!$AC$12))</f>
        <v/>
      </c>
      <c r="O72" s="25">
        <f>IF(計算用!$AD$12="","",INDEX(計算用!$A$2:$A$721,計算用!$AD$12))</f>
        <v/>
      </c>
      <c r="P72" s="26">
        <f>IF(計算用!$AD$12="","",INDEX(計算用!$C$2:$C$721,計算用!$AD$12))</f>
        <v/>
      </c>
      <c r="Q72" s="25">
        <f>IF(計算用!$AE$12="","",INDEX(計算用!$A$2:$A$721,計算用!$AE$12))</f>
        <v/>
      </c>
      <c r="R72" s="26">
        <f>IF(計算用!$AE$12="","",INDEX(計算用!$C$2:$C$721,計算用!$AE$12))</f>
        <v/>
      </c>
      <c r="S72" s="25">
        <f>IF(計算用!$AF$12="","",INDEX(計算用!$A$2:$A$721,計算用!$AF$12))</f>
        <v/>
      </c>
      <c r="T72" s="26">
        <f>IF(計算用!$AF$12="","",INDEX(計算用!$C$2:$C$721,計算用!$AF$12))</f>
        <v/>
      </c>
    </row>
    <row r="73">
      <c r="A73" s="25">
        <f>IF(計算用!$W$13="","",INDEX(計算用!$A$2:$A$721,計算用!$W$13))</f>
        <v/>
      </c>
      <c r="B73" s="26">
        <f>IF(計算用!$W$13="","",INDEX(計算用!$C$2:$C$721,計算用!$W$13))</f>
        <v/>
      </c>
      <c r="C73" s="25">
        <f>IF(計算用!$X$13="","",INDEX(計算用!$A$2:$A$721,計算用!$X$13))</f>
        <v/>
      </c>
      <c r="D73" s="26">
        <f>IF(計算用!$X$13="","",INDEX(計算用!$C$2:$C$721,計算用!$X$13))</f>
        <v/>
      </c>
      <c r="E73" s="25">
        <f>IF(計算用!$Y$13="","",INDEX(計算用!$A$2:$A$721,計算用!$Y$13))</f>
        <v/>
      </c>
      <c r="F73" s="26">
        <f>IF(計算用!$Y$13="","",INDEX(計算用!$C$2:$C$721,計算用!$Y$13))</f>
        <v/>
      </c>
      <c r="G73" s="25">
        <f>IF(計算用!$Z$13="","",INDEX(計算用!$A$2:$A$721,計算用!$Z$13))</f>
        <v/>
      </c>
      <c r="H73" s="26">
        <f>IF(計算用!$Z$13="","",INDEX(計算用!$C$2:$C$721,計算用!$Z$13))</f>
        <v/>
      </c>
      <c r="I73" s="25">
        <f>IF(計算用!$AA$13="","",INDEX(計算用!$A$2:$A$721,計算用!$AA$13))</f>
        <v/>
      </c>
      <c r="J73" s="26">
        <f>IF(計算用!$AA$13="","",INDEX(計算用!$C$2:$C$721,計算用!$AA$13))</f>
        <v/>
      </c>
      <c r="K73" s="25">
        <f>IF(計算用!$AB$13="","",INDEX(計算用!$A$2:$A$721,計算用!$AB$13))</f>
        <v/>
      </c>
      <c r="L73" s="26">
        <f>IF(計算用!$AB$13="","",INDEX(計算用!$C$2:$C$721,計算用!$AB$13))</f>
        <v/>
      </c>
      <c r="M73" s="25">
        <f>IF(計算用!$AC$13="","",INDEX(計算用!$A$2:$A$721,計算用!$AC$13))</f>
        <v/>
      </c>
      <c r="N73" s="26">
        <f>IF(計算用!$AC$13="","",INDEX(計算用!$C$2:$C$721,計算用!$AC$13))</f>
        <v/>
      </c>
      <c r="O73" s="25">
        <f>IF(計算用!$AD$13="","",INDEX(計算用!$A$2:$A$721,計算用!$AD$13))</f>
        <v/>
      </c>
      <c r="P73" s="26">
        <f>IF(計算用!$AD$13="","",INDEX(計算用!$C$2:$C$721,計算用!$AD$13))</f>
        <v/>
      </c>
      <c r="Q73" s="25">
        <f>IF(計算用!$AE$13="","",INDEX(計算用!$A$2:$A$721,計算用!$AE$13))</f>
        <v/>
      </c>
      <c r="R73" s="26">
        <f>IF(計算用!$AE$13="","",INDEX(計算用!$C$2:$C$721,計算用!$AE$13))</f>
        <v/>
      </c>
      <c r="S73" s="25">
        <f>IF(計算用!$AF$13="","",INDEX(計算用!$A$2:$A$721,計算用!$AF$13))</f>
        <v/>
      </c>
      <c r="T73" s="26">
        <f>IF(計算用!$AF$13="","",INDEX(計算用!$C$2:$C$721,計算用!$AF$13))</f>
        <v/>
      </c>
    </row>
    <row r="74">
      <c r="A74" s="25">
        <f>IF(計算用!$W$14="","",INDEX(計算用!$A$2:$A$721,計算用!$W$14))</f>
        <v/>
      </c>
      <c r="B74" s="26">
        <f>IF(計算用!$W$14="","",INDEX(計算用!$C$2:$C$721,計算用!$W$14))</f>
        <v/>
      </c>
      <c r="C74" s="25">
        <f>IF(計算用!$X$14="","",INDEX(計算用!$A$2:$A$721,計算用!$X$14))</f>
        <v/>
      </c>
      <c r="D74" s="26">
        <f>IF(計算用!$X$14="","",INDEX(計算用!$C$2:$C$721,計算用!$X$14))</f>
        <v/>
      </c>
      <c r="E74" s="25">
        <f>IF(計算用!$Y$14="","",INDEX(計算用!$A$2:$A$721,計算用!$Y$14))</f>
        <v/>
      </c>
      <c r="F74" s="26">
        <f>IF(計算用!$Y$14="","",INDEX(計算用!$C$2:$C$721,計算用!$Y$14))</f>
        <v/>
      </c>
      <c r="G74" s="25">
        <f>IF(計算用!$Z$14="","",INDEX(計算用!$A$2:$A$721,計算用!$Z$14))</f>
        <v/>
      </c>
      <c r="H74" s="26">
        <f>IF(計算用!$Z$14="","",INDEX(計算用!$C$2:$C$721,計算用!$Z$14))</f>
        <v/>
      </c>
      <c r="I74" s="25">
        <f>IF(計算用!$AA$14="","",INDEX(計算用!$A$2:$A$721,計算用!$AA$14))</f>
        <v/>
      </c>
      <c r="J74" s="26">
        <f>IF(計算用!$AA$14="","",INDEX(計算用!$C$2:$C$721,計算用!$AA$14))</f>
        <v/>
      </c>
      <c r="K74" s="25">
        <f>IF(計算用!$AB$14="","",INDEX(計算用!$A$2:$A$721,計算用!$AB$14))</f>
        <v/>
      </c>
      <c r="L74" s="26">
        <f>IF(計算用!$AB$14="","",INDEX(計算用!$C$2:$C$721,計算用!$AB$14))</f>
        <v/>
      </c>
      <c r="M74" s="25">
        <f>IF(計算用!$AC$14="","",INDEX(計算用!$A$2:$A$721,計算用!$AC$14))</f>
        <v/>
      </c>
      <c r="N74" s="26">
        <f>IF(計算用!$AC$14="","",INDEX(計算用!$C$2:$C$721,計算用!$AC$14))</f>
        <v/>
      </c>
      <c r="O74" s="25">
        <f>IF(計算用!$AD$14="","",INDEX(計算用!$A$2:$A$721,計算用!$AD$14))</f>
        <v/>
      </c>
      <c r="P74" s="26">
        <f>IF(計算用!$AD$14="","",INDEX(計算用!$C$2:$C$721,計算用!$AD$14))</f>
        <v/>
      </c>
      <c r="Q74" s="25">
        <f>IF(計算用!$AE$14="","",INDEX(計算用!$A$2:$A$721,計算用!$AE$14))</f>
        <v/>
      </c>
      <c r="R74" s="26">
        <f>IF(計算用!$AE$14="","",INDEX(計算用!$C$2:$C$721,計算用!$AE$14))</f>
        <v/>
      </c>
      <c r="S74" s="25">
        <f>IF(計算用!$AF$14="","",INDEX(計算用!$A$2:$A$721,計算用!$AF$14))</f>
        <v/>
      </c>
      <c r="T74" s="26">
        <f>IF(計算用!$AF$14="","",INDEX(計算用!$C$2:$C$721,計算用!$AF$14))</f>
        <v/>
      </c>
    </row>
    <row r="75">
      <c r="A75" s="25">
        <f>IF(計算用!$W$15="","",INDEX(計算用!$A$2:$A$721,計算用!$W$15))</f>
        <v/>
      </c>
      <c r="B75" s="26">
        <f>IF(計算用!$W$15="","",INDEX(計算用!$C$2:$C$721,計算用!$W$15))</f>
        <v/>
      </c>
      <c r="C75" s="25">
        <f>IF(計算用!$X$15="","",INDEX(計算用!$A$2:$A$721,計算用!$X$15))</f>
        <v/>
      </c>
      <c r="D75" s="26">
        <f>IF(計算用!$X$15="","",INDEX(計算用!$C$2:$C$721,計算用!$X$15))</f>
        <v/>
      </c>
      <c r="E75" s="25">
        <f>IF(計算用!$Y$15="","",INDEX(計算用!$A$2:$A$721,計算用!$Y$15))</f>
        <v/>
      </c>
      <c r="F75" s="26">
        <f>IF(計算用!$Y$15="","",INDEX(計算用!$C$2:$C$721,計算用!$Y$15))</f>
        <v/>
      </c>
      <c r="G75" s="25">
        <f>IF(計算用!$Z$15="","",INDEX(計算用!$A$2:$A$721,計算用!$Z$15))</f>
        <v/>
      </c>
      <c r="H75" s="26">
        <f>IF(計算用!$Z$15="","",INDEX(計算用!$C$2:$C$721,計算用!$Z$15))</f>
        <v/>
      </c>
      <c r="I75" s="25">
        <f>IF(計算用!$AA$15="","",INDEX(計算用!$A$2:$A$721,計算用!$AA$15))</f>
        <v/>
      </c>
      <c r="J75" s="26">
        <f>IF(計算用!$AA$15="","",INDEX(計算用!$C$2:$C$721,計算用!$AA$15))</f>
        <v/>
      </c>
      <c r="K75" s="25">
        <f>IF(計算用!$AB$15="","",INDEX(計算用!$A$2:$A$721,計算用!$AB$15))</f>
        <v/>
      </c>
      <c r="L75" s="26">
        <f>IF(計算用!$AB$15="","",INDEX(計算用!$C$2:$C$721,計算用!$AB$15))</f>
        <v/>
      </c>
      <c r="M75" s="25">
        <f>IF(計算用!$AC$15="","",INDEX(計算用!$A$2:$A$721,計算用!$AC$15))</f>
        <v/>
      </c>
      <c r="N75" s="26">
        <f>IF(計算用!$AC$15="","",INDEX(計算用!$C$2:$C$721,計算用!$AC$15))</f>
        <v/>
      </c>
      <c r="O75" s="25">
        <f>IF(計算用!$AD$15="","",INDEX(計算用!$A$2:$A$721,計算用!$AD$15))</f>
        <v/>
      </c>
      <c r="P75" s="26">
        <f>IF(計算用!$AD$15="","",INDEX(計算用!$C$2:$C$721,計算用!$AD$15))</f>
        <v/>
      </c>
      <c r="Q75" s="25">
        <f>IF(計算用!$AE$15="","",INDEX(計算用!$A$2:$A$721,計算用!$AE$15))</f>
        <v/>
      </c>
      <c r="R75" s="26">
        <f>IF(計算用!$AE$15="","",INDEX(計算用!$C$2:$C$721,計算用!$AE$15))</f>
        <v/>
      </c>
      <c r="S75" s="25">
        <f>IF(計算用!$AF$15="","",INDEX(計算用!$A$2:$A$721,計算用!$AF$15))</f>
        <v/>
      </c>
      <c r="T75" s="26">
        <f>IF(計算用!$AF$15="","",INDEX(計算用!$C$2:$C$721,計算用!$AF$15))</f>
        <v/>
      </c>
    </row>
    <row r="76">
      <c r="A76" s="25">
        <f>IF(計算用!$W$16="","",INDEX(計算用!$A$2:$A$721,計算用!$W$16))</f>
        <v/>
      </c>
      <c r="B76" s="26">
        <f>IF(計算用!$W$16="","",INDEX(計算用!$C$2:$C$721,計算用!$W$16))</f>
        <v/>
      </c>
      <c r="C76" s="25">
        <f>IF(計算用!$X$16="","",INDEX(計算用!$A$2:$A$721,計算用!$X$16))</f>
        <v/>
      </c>
      <c r="D76" s="26">
        <f>IF(計算用!$X$16="","",INDEX(計算用!$C$2:$C$721,計算用!$X$16))</f>
        <v/>
      </c>
      <c r="E76" s="25">
        <f>IF(計算用!$Y$16="","",INDEX(計算用!$A$2:$A$721,計算用!$Y$16))</f>
        <v/>
      </c>
      <c r="F76" s="26">
        <f>IF(計算用!$Y$16="","",INDEX(計算用!$C$2:$C$721,計算用!$Y$16))</f>
        <v/>
      </c>
      <c r="G76" s="25">
        <f>IF(計算用!$Z$16="","",INDEX(計算用!$A$2:$A$721,計算用!$Z$16))</f>
        <v/>
      </c>
      <c r="H76" s="26">
        <f>IF(計算用!$Z$16="","",INDEX(計算用!$C$2:$C$721,計算用!$Z$16))</f>
        <v/>
      </c>
      <c r="I76" s="25">
        <f>IF(計算用!$AA$16="","",INDEX(計算用!$A$2:$A$721,計算用!$AA$16))</f>
        <v/>
      </c>
      <c r="J76" s="26">
        <f>IF(計算用!$AA$16="","",INDEX(計算用!$C$2:$C$721,計算用!$AA$16))</f>
        <v/>
      </c>
      <c r="K76" s="25">
        <f>IF(計算用!$AB$16="","",INDEX(計算用!$A$2:$A$721,計算用!$AB$16))</f>
        <v/>
      </c>
      <c r="L76" s="26">
        <f>IF(計算用!$AB$16="","",INDEX(計算用!$C$2:$C$721,計算用!$AB$16))</f>
        <v/>
      </c>
      <c r="M76" s="25">
        <f>IF(計算用!$AC$16="","",INDEX(計算用!$A$2:$A$721,計算用!$AC$16))</f>
        <v/>
      </c>
      <c r="N76" s="26">
        <f>IF(計算用!$AC$16="","",INDEX(計算用!$C$2:$C$721,計算用!$AC$16))</f>
        <v/>
      </c>
      <c r="O76" s="25">
        <f>IF(計算用!$AD$16="","",INDEX(計算用!$A$2:$A$721,計算用!$AD$16))</f>
        <v/>
      </c>
      <c r="P76" s="26">
        <f>IF(計算用!$AD$16="","",INDEX(計算用!$C$2:$C$721,計算用!$AD$16))</f>
        <v/>
      </c>
      <c r="Q76" s="25">
        <f>IF(計算用!$AE$16="","",INDEX(計算用!$A$2:$A$721,計算用!$AE$16))</f>
        <v/>
      </c>
      <c r="R76" s="26">
        <f>IF(計算用!$AE$16="","",INDEX(計算用!$C$2:$C$721,計算用!$AE$16))</f>
        <v/>
      </c>
      <c r="S76" s="25">
        <f>IF(計算用!$AF$16="","",INDEX(計算用!$A$2:$A$721,計算用!$AF$16))</f>
        <v/>
      </c>
      <c r="T76" s="26">
        <f>IF(計算用!$AF$16="","",INDEX(計算用!$C$2:$C$721,計算用!$AF$16))</f>
        <v/>
      </c>
    </row>
    <row r="77">
      <c r="A77" s="25">
        <f>IF(計算用!$W$17="","",INDEX(計算用!$A$2:$A$721,計算用!$W$17))</f>
        <v/>
      </c>
      <c r="B77" s="26">
        <f>IF(計算用!$W$17="","",INDEX(計算用!$C$2:$C$721,計算用!$W$17))</f>
        <v/>
      </c>
      <c r="C77" s="25">
        <f>IF(計算用!$X$17="","",INDEX(計算用!$A$2:$A$721,計算用!$X$17))</f>
        <v/>
      </c>
      <c r="D77" s="26">
        <f>IF(計算用!$X$17="","",INDEX(計算用!$C$2:$C$721,計算用!$X$17))</f>
        <v/>
      </c>
      <c r="E77" s="25">
        <f>IF(計算用!$Y$17="","",INDEX(計算用!$A$2:$A$721,計算用!$Y$17))</f>
        <v/>
      </c>
      <c r="F77" s="26">
        <f>IF(計算用!$Y$17="","",INDEX(計算用!$C$2:$C$721,計算用!$Y$17))</f>
        <v/>
      </c>
      <c r="G77" s="25">
        <f>IF(計算用!$Z$17="","",INDEX(計算用!$A$2:$A$721,計算用!$Z$17))</f>
        <v/>
      </c>
      <c r="H77" s="26">
        <f>IF(計算用!$Z$17="","",INDEX(計算用!$C$2:$C$721,計算用!$Z$17))</f>
        <v/>
      </c>
      <c r="I77" s="25">
        <f>IF(計算用!$AA$17="","",INDEX(計算用!$A$2:$A$721,計算用!$AA$17))</f>
        <v/>
      </c>
      <c r="J77" s="26">
        <f>IF(計算用!$AA$17="","",INDEX(計算用!$C$2:$C$721,計算用!$AA$17))</f>
        <v/>
      </c>
      <c r="K77" s="25">
        <f>IF(計算用!$AB$17="","",INDEX(計算用!$A$2:$A$721,計算用!$AB$17))</f>
        <v/>
      </c>
      <c r="L77" s="26">
        <f>IF(計算用!$AB$17="","",INDEX(計算用!$C$2:$C$721,計算用!$AB$17))</f>
        <v/>
      </c>
      <c r="M77" s="25">
        <f>IF(計算用!$AC$17="","",INDEX(計算用!$A$2:$A$721,計算用!$AC$17))</f>
        <v/>
      </c>
      <c r="N77" s="26">
        <f>IF(計算用!$AC$17="","",INDEX(計算用!$C$2:$C$721,計算用!$AC$17))</f>
        <v/>
      </c>
      <c r="O77" s="25">
        <f>IF(計算用!$AD$17="","",INDEX(計算用!$A$2:$A$721,計算用!$AD$17))</f>
        <v/>
      </c>
      <c r="P77" s="26">
        <f>IF(計算用!$AD$17="","",INDEX(計算用!$C$2:$C$721,計算用!$AD$17))</f>
        <v/>
      </c>
      <c r="Q77" s="25">
        <f>IF(計算用!$AE$17="","",INDEX(計算用!$A$2:$A$721,計算用!$AE$17))</f>
        <v/>
      </c>
      <c r="R77" s="26">
        <f>IF(計算用!$AE$17="","",INDEX(計算用!$C$2:$C$721,計算用!$AE$17))</f>
        <v/>
      </c>
      <c r="S77" s="25">
        <f>IF(計算用!$AF$17="","",INDEX(計算用!$A$2:$A$721,計算用!$AF$17))</f>
        <v/>
      </c>
      <c r="T77" s="26">
        <f>IF(計算用!$AF$17="","",INDEX(計算用!$C$2:$C$721,計算用!$AF$17))</f>
        <v/>
      </c>
    </row>
    <row r="78">
      <c r="A78" s="25">
        <f>IF(計算用!$W$18="","",INDEX(計算用!$A$2:$A$721,計算用!$W$18))</f>
        <v/>
      </c>
      <c r="B78" s="26">
        <f>IF(計算用!$W$18="","",INDEX(計算用!$C$2:$C$721,計算用!$W$18))</f>
        <v/>
      </c>
      <c r="C78" s="25">
        <f>IF(計算用!$X$18="","",INDEX(計算用!$A$2:$A$721,計算用!$X$18))</f>
        <v/>
      </c>
      <c r="D78" s="26">
        <f>IF(計算用!$X$18="","",INDEX(計算用!$C$2:$C$721,計算用!$X$18))</f>
        <v/>
      </c>
      <c r="E78" s="25">
        <f>IF(計算用!$Y$18="","",INDEX(計算用!$A$2:$A$721,計算用!$Y$18))</f>
        <v/>
      </c>
      <c r="F78" s="26">
        <f>IF(計算用!$Y$18="","",INDEX(計算用!$C$2:$C$721,計算用!$Y$18))</f>
        <v/>
      </c>
      <c r="G78" s="25">
        <f>IF(計算用!$Z$18="","",INDEX(計算用!$A$2:$A$721,計算用!$Z$18))</f>
        <v/>
      </c>
      <c r="H78" s="26">
        <f>IF(計算用!$Z$18="","",INDEX(計算用!$C$2:$C$721,計算用!$Z$18))</f>
        <v/>
      </c>
      <c r="I78" s="25">
        <f>IF(計算用!$AA$18="","",INDEX(計算用!$A$2:$A$721,計算用!$AA$18))</f>
        <v/>
      </c>
      <c r="J78" s="26">
        <f>IF(計算用!$AA$18="","",INDEX(計算用!$C$2:$C$721,計算用!$AA$18))</f>
        <v/>
      </c>
      <c r="K78" s="25">
        <f>IF(計算用!$AB$18="","",INDEX(計算用!$A$2:$A$721,計算用!$AB$18))</f>
        <v/>
      </c>
      <c r="L78" s="26">
        <f>IF(計算用!$AB$18="","",INDEX(計算用!$C$2:$C$721,計算用!$AB$18))</f>
        <v/>
      </c>
      <c r="M78" s="25">
        <f>IF(計算用!$AC$18="","",INDEX(計算用!$A$2:$A$721,計算用!$AC$18))</f>
        <v/>
      </c>
      <c r="N78" s="26">
        <f>IF(計算用!$AC$18="","",INDEX(計算用!$C$2:$C$721,計算用!$AC$18))</f>
        <v/>
      </c>
      <c r="O78" s="25">
        <f>IF(計算用!$AD$18="","",INDEX(計算用!$A$2:$A$721,計算用!$AD$18))</f>
        <v/>
      </c>
      <c r="P78" s="26">
        <f>IF(計算用!$AD$18="","",INDEX(計算用!$C$2:$C$721,計算用!$AD$18))</f>
        <v/>
      </c>
      <c r="Q78" s="25">
        <f>IF(計算用!$AE$18="","",INDEX(計算用!$A$2:$A$721,計算用!$AE$18))</f>
        <v/>
      </c>
      <c r="R78" s="26">
        <f>IF(計算用!$AE$18="","",INDEX(計算用!$C$2:$C$721,計算用!$AE$18))</f>
        <v/>
      </c>
      <c r="S78" s="25">
        <f>IF(計算用!$AF$18="","",INDEX(計算用!$A$2:$A$721,計算用!$AF$18))</f>
        <v/>
      </c>
      <c r="T78" s="26">
        <f>IF(計算用!$AF$18="","",INDEX(計算用!$C$2:$C$721,計算用!$AF$18))</f>
        <v/>
      </c>
    </row>
    <row r="79">
      <c r="A79" s="25">
        <f>IF(計算用!$W$19="","",INDEX(計算用!$A$2:$A$721,計算用!$W$19))</f>
        <v/>
      </c>
      <c r="B79" s="26">
        <f>IF(計算用!$W$19="","",INDEX(計算用!$C$2:$C$721,計算用!$W$19))</f>
        <v/>
      </c>
      <c r="C79" s="25">
        <f>IF(計算用!$X$19="","",INDEX(計算用!$A$2:$A$721,計算用!$X$19))</f>
        <v/>
      </c>
      <c r="D79" s="26">
        <f>IF(計算用!$X$19="","",INDEX(計算用!$C$2:$C$721,計算用!$X$19))</f>
        <v/>
      </c>
      <c r="E79" s="25">
        <f>IF(計算用!$Y$19="","",INDEX(計算用!$A$2:$A$721,計算用!$Y$19))</f>
        <v/>
      </c>
      <c r="F79" s="26">
        <f>IF(計算用!$Y$19="","",INDEX(計算用!$C$2:$C$721,計算用!$Y$19))</f>
        <v/>
      </c>
      <c r="G79" s="25">
        <f>IF(計算用!$Z$19="","",INDEX(計算用!$A$2:$A$721,計算用!$Z$19))</f>
        <v/>
      </c>
      <c r="H79" s="26">
        <f>IF(計算用!$Z$19="","",INDEX(計算用!$C$2:$C$721,計算用!$Z$19))</f>
        <v/>
      </c>
      <c r="I79" s="25">
        <f>IF(計算用!$AA$19="","",INDEX(計算用!$A$2:$A$721,計算用!$AA$19))</f>
        <v/>
      </c>
      <c r="J79" s="26">
        <f>IF(計算用!$AA$19="","",INDEX(計算用!$C$2:$C$721,計算用!$AA$19))</f>
        <v/>
      </c>
      <c r="K79" s="25">
        <f>IF(計算用!$AB$19="","",INDEX(計算用!$A$2:$A$721,計算用!$AB$19))</f>
        <v/>
      </c>
      <c r="L79" s="26">
        <f>IF(計算用!$AB$19="","",INDEX(計算用!$C$2:$C$721,計算用!$AB$19))</f>
        <v/>
      </c>
      <c r="M79" s="25">
        <f>IF(計算用!$AC$19="","",INDEX(計算用!$A$2:$A$721,計算用!$AC$19))</f>
        <v/>
      </c>
      <c r="N79" s="26">
        <f>IF(計算用!$AC$19="","",INDEX(計算用!$C$2:$C$721,計算用!$AC$19))</f>
        <v/>
      </c>
      <c r="O79" s="25">
        <f>IF(計算用!$AD$19="","",INDEX(計算用!$A$2:$A$721,計算用!$AD$19))</f>
        <v/>
      </c>
      <c r="P79" s="26">
        <f>IF(計算用!$AD$19="","",INDEX(計算用!$C$2:$C$721,計算用!$AD$19))</f>
        <v/>
      </c>
      <c r="Q79" s="25">
        <f>IF(計算用!$AE$19="","",INDEX(計算用!$A$2:$A$721,計算用!$AE$19))</f>
        <v/>
      </c>
      <c r="R79" s="26">
        <f>IF(計算用!$AE$19="","",INDEX(計算用!$C$2:$C$721,計算用!$AE$19))</f>
        <v/>
      </c>
      <c r="S79" s="25">
        <f>IF(計算用!$AF$19="","",INDEX(計算用!$A$2:$A$721,計算用!$AF$19))</f>
        <v/>
      </c>
      <c r="T79" s="26">
        <f>IF(計算用!$AF$19="","",INDEX(計算用!$C$2:$C$721,計算用!$AF$19))</f>
        <v/>
      </c>
    </row>
    <row r="80">
      <c r="A80" s="25">
        <f>IF(計算用!$W$20="","",INDEX(計算用!$A$2:$A$721,計算用!$W$20))</f>
        <v/>
      </c>
      <c r="B80" s="26">
        <f>IF(計算用!$W$20="","",INDEX(計算用!$C$2:$C$721,計算用!$W$20))</f>
        <v/>
      </c>
      <c r="C80" s="25">
        <f>IF(計算用!$X$20="","",INDEX(計算用!$A$2:$A$721,計算用!$X$20))</f>
        <v/>
      </c>
      <c r="D80" s="26">
        <f>IF(計算用!$X$20="","",INDEX(計算用!$C$2:$C$721,計算用!$X$20))</f>
        <v/>
      </c>
      <c r="E80" s="25">
        <f>IF(計算用!$Y$20="","",INDEX(計算用!$A$2:$A$721,計算用!$Y$20))</f>
        <v/>
      </c>
      <c r="F80" s="26">
        <f>IF(計算用!$Y$20="","",INDEX(計算用!$C$2:$C$721,計算用!$Y$20))</f>
        <v/>
      </c>
      <c r="G80" s="25">
        <f>IF(計算用!$Z$20="","",INDEX(計算用!$A$2:$A$721,計算用!$Z$20))</f>
        <v/>
      </c>
      <c r="H80" s="26">
        <f>IF(計算用!$Z$20="","",INDEX(計算用!$C$2:$C$721,計算用!$Z$20))</f>
        <v/>
      </c>
      <c r="I80" s="25">
        <f>IF(計算用!$AA$20="","",INDEX(計算用!$A$2:$A$721,計算用!$AA$20))</f>
        <v/>
      </c>
      <c r="J80" s="26">
        <f>IF(計算用!$AA$20="","",INDEX(計算用!$C$2:$C$721,計算用!$AA$20))</f>
        <v/>
      </c>
      <c r="K80" s="25">
        <f>IF(計算用!$AB$20="","",INDEX(計算用!$A$2:$A$721,計算用!$AB$20))</f>
        <v/>
      </c>
      <c r="L80" s="26">
        <f>IF(計算用!$AB$20="","",INDEX(計算用!$C$2:$C$721,計算用!$AB$20))</f>
        <v/>
      </c>
      <c r="M80" s="25">
        <f>IF(計算用!$AC$20="","",INDEX(計算用!$A$2:$A$721,計算用!$AC$20))</f>
        <v/>
      </c>
      <c r="N80" s="26">
        <f>IF(計算用!$AC$20="","",INDEX(計算用!$C$2:$C$721,計算用!$AC$20))</f>
        <v/>
      </c>
      <c r="O80" s="25">
        <f>IF(計算用!$AD$20="","",INDEX(計算用!$A$2:$A$721,計算用!$AD$20))</f>
        <v/>
      </c>
      <c r="P80" s="26">
        <f>IF(計算用!$AD$20="","",INDEX(計算用!$C$2:$C$721,計算用!$AD$20))</f>
        <v/>
      </c>
      <c r="Q80" s="25">
        <f>IF(計算用!$AE$20="","",INDEX(計算用!$A$2:$A$721,計算用!$AE$20))</f>
        <v/>
      </c>
      <c r="R80" s="26">
        <f>IF(計算用!$AE$20="","",INDEX(計算用!$C$2:$C$721,計算用!$AE$20))</f>
        <v/>
      </c>
      <c r="S80" s="25">
        <f>IF(計算用!$AF$20="","",INDEX(計算用!$A$2:$A$721,計算用!$AF$20))</f>
        <v/>
      </c>
      <c r="T80" s="26">
        <f>IF(計算用!$AF$20="","",INDEX(計算用!$C$2:$C$721,計算用!$AF$20))</f>
        <v/>
      </c>
    </row>
    <row r="81">
      <c r="A81" s="25">
        <f>IF(計算用!$W$21="","",INDEX(計算用!$A$2:$A$721,計算用!$W$21))</f>
        <v/>
      </c>
      <c r="B81" s="26">
        <f>IF(計算用!$W$21="","",INDEX(計算用!$C$2:$C$721,計算用!$W$21))</f>
        <v/>
      </c>
      <c r="C81" s="25">
        <f>IF(計算用!$X$21="","",INDEX(計算用!$A$2:$A$721,計算用!$X$21))</f>
        <v/>
      </c>
      <c r="D81" s="26">
        <f>IF(計算用!$X$21="","",INDEX(計算用!$C$2:$C$721,計算用!$X$21))</f>
        <v/>
      </c>
      <c r="E81" s="25">
        <f>IF(計算用!$Y$21="","",INDEX(計算用!$A$2:$A$721,計算用!$Y$21))</f>
        <v/>
      </c>
      <c r="F81" s="26">
        <f>IF(計算用!$Y$21="","",INDEX(計算用!$C$2:$C$721,計算用!$Y$21))</f>
        <v/>
      </c>
      <c r="G81" s="25">
        <f>IF(計算用!$Z$21="","",INDEX(計算用!$A$2:$A$721,計算用!$Z$21))</f>
        <v/>
      </c>
      <c r="H81" s="26">
        <f>IF(計算用!$Z$21="","",INDEX(計算用!$C$2:$C$721,計算用!$Z$21))</f>
        <v/>
      </c>
      <c r="I81" s="25">
        <f>IF(計算用!$AA$21="","",INDEX(計算用!$A$2:$A$721,計算用!$AA$21))</f>
        <v/>
      </c>
      <c r="J81" s="26">
        <f>IF(計算用!$AA$21="","",INDEX(計算用!$C$2:$C$721,計算用!$AA$21))</f>
        <v/>
      </c>
      <c r="K81" s="25">
        <f>IF(計算用!$AB$21="","",INDEX(計算用!$A$2:$A$721,計算用!$AB$21))</f>
        <v/>
      </c>
      <c r="L81" s="26">
        <f>IF(計算用!$AB$21="","",INDEX(計算用!$C$2:$C$721,計算用!$AB$21))</f>
        <v/>
      </c>
      <c r="M81" s="25">
        <f>IF(計算用!$AC$21="","",INDEX(計算用!$A$2:$A$721,計算用!$AC$21))</f>
        <v/>
      </c>
      <c r="N81" s="26">
        <f>IF(計算用!$AC$21="","",INDEX(計算用!$C$2:$C$721,計算用!$AC$21))</f>
        <v/>
      </c>
      <c r="O81" s="25">
        <f>IF(計算用!$AD$21="","",INDEX(計算用!$A$2:$A$721,計算用!$AD$21))</f>
        <v/>
      </c>
      <c r="P81" s="26">
        <f>IF(計算用!$AD$21="","",INDEX(計算用!$C$2:$C$721,計算用!$AD$21))</f>
        <v/>
      </c>
      <c r="Q81" s="25">
        <f>IF(計算用!$AE$21="","",INDEX(計算用!$A$2:$A$721,計算用!$AE$21))</f>
        <v/>
      </c>
      <c r="R81" s="26">
        <f>IF(計算用!$AE$21="","",INDEX(計算用!$C$2:$C$721,計算用!$AE$21))</f>
        <v/>
      </c>
      <c r="S81" s="25">
        <f>IF(計算用!$AF$21="","",INDEX(計算用!$A$2:$A$721,計算用!$AF$21))</f>
        <v/>
      </c>
      <c r="T81" s="26">
        <f>IF(計算用!$AF$21="","",INDEX(計算用!$C$2:$C$721,計算用!$AF$21))</f>
        <v/>
      </c>
    </row>
    <row r="82">
      <c r="A82" s="25">
        <f>IF(計算用!$W$22="","",INDEX(計算用!$A$2:$A$721,計算用!$W$22))</f>
        <v/>
      </c>
      <c r="B82" s="26">
        <f>IF(計算用!$W$22="","",INDEX(計算用!$C$2:$C$721,計算用!$W$22))</f>
        <v/>
      </c>
      <c r="C82" s="25">
        <f>IF(計算用!$X$22="","",INDEX(計算用!$A$2:$A$721,計算用!$X$22))</f>
        <v/>
      </c>
      <c r="D82" s="26">
        <f>IF(計算用!$X$22="","",INDEX(計算用!$C$2:$C$721,計算用!$X$22))</f>
        <v/>
      </c>
      <c r="E82" s="25">
        <f>IF(計算用!$Y$22="","",INDEX(計算用!$A$2:$A$721,計算用!$Y$22))</f>
        <v/>
      </c>
      <c r="F82" s="26">
        <f>IF(計算用!$Y$22="","",INDEX(計算用!$C$2:$C$721,計算用!$Y$22))</f>
        <v/>
      </c>
      <c r="G82" s="25">
        <f>IF(計算用!$Z$22="","",INDEX(計算用!$A$2:$A$721,計算用!$Z$22))</f>
        <v/>
      </c>
      <c r="H82" s="26">
        <f>IF(計算用!$Z$22="","",INDEX(計算用!$C$2:$C$721,計算用!$Z$22))</f>
        <v/>
      </c>
      <c r="I82" s="25">
        <f>IF(計算用!$AA$22="","",INDEX(計算用!$A$2:$A$721,計算用!$AA$22))</f>
        <v/>
      </c>
      <c r="J82" s="26">
        <f>IF(計算用!$AA$22="","",INDEX(計算用!$C$2:$C$721,計算用!$AA$22))</f>
        <v/>
      </c>
      <c r="K82" s="25">
        <f>IF(計算用!$AB$22="","",INDEX(計算用!$A$2:$A$721,計算用!$AB$22))</f>
        <v/>
      </c>
      <c r="L82" s="26">
        <f>IF(計算用!$AB$22="","",INDEX(計算用!$C$2:$C$721,計算用!$AB$22))</f>
        <v/>
      </c>
      <c r="M82" s="25">
        <f>IF(計算用!$AC$22="","",INDEX(計算用!$A$2:$A$721,計算用!$AC$22))</f>
        <v/>
      </c>
      <c r="N82" s="26">
        <f>IF(計算用!$AC$22="","",INDEX(計算用!$C$2:$C$721,計算用!$AC$22))</f>
        <v/>
      </c>
      <c r="O82" s="25">
        <f>IF(計算用!$AD$22="","",INDEX(計算用!$A$2:$A$721,計算用!$AD$22))</f>
        <v/>
      </c>
      <c r="P82" s="26">
        <f>IF(計算用!$AD$22="","",INDEX(計算用!$C$2:$C$721,計算用!$AD$22))</f>
        <v/>
      </c>
      <c r="Q82" s="25">
        <f>IF(計算用!$AE$22="","",INDEX(計算用!$A$2:$A$721,計算用!$AE$22))</f>
        <v/>
      </c>
      <c r="R82" s="26">
        <f>IF(計算用!$AE$22="","",INDEX(計算用!$C$2:$C$721,計算用!$AE$22))</f>
        <v/>
      </c>
      <c r="S82" s="25">
        <f>IF(計算用!$AF$22="","",INDEX(計算用!$A$2:$A$721,計算用!$AF$22))</f>
        <v/>
      </c>
      <c r="T82" s="26">
        <f>IF(計算用!$AF$22="","",INDEX(計算用!$C$2:$C$721,計算用!$AF$22))</f>
        <v/>
      </c>
    </row>
    <row r="83">
      <c r="A83" s="25">
        <f>IF(計算用!$W$23="","",INDEX(計算用!$A$2:$A$721,計算用!$W$23))</f>
        <v/>
      </c>
      <c r="B83" s="26">
        <f>IF(計算用!$W$23="","",INDEX(計算用!$C$2:$C$721,計算用!$W$23))</f>
        <v/>
      </c>
      <c r="C83" s="25">
        <f>IF(計算用!$X$23="","",INDEX(計算用!$A$2:$A$721,計算用!$X$23))</f>
        <v/>
      </c>
      <c r="D83" s="26">
        <f>IF(計算用!$X$23="","",INDEX(計算用!$C$2:$C$721,計算用!$X$23))</f>
        <v/>
      </c>
      <c r="E83" s="25">
        <f>IF(計算用!$Y$23="","",INDEX(計算用!$A$2:$A$721,計算用!$Y$23))</f>
        <v/>
      </c>
      <c r="F83" s="26">
        <f>IF(計算用!$Y$23="","",INDEX(計算用!$C$2:$C$721,計算用!$Y$23))</f>
        <v/>
      </c>
      <c r="G83" s="25">
        <f>IF(計算用!$Z$23="","",INDEX(計算用!$A$2:$A$721,計算用!$Z$23))</f>
        <v/>
      </c>
      <c r="H83" s="26">
        <f>IF(計算用!$Z$23="","",INDEX(計算用!$C$2:$C$721,計算用!$Z$23))</f>
        <v/>
      </c>
      <c r="I83" s="25">
        <f>IF(計算用!$AA$23="","",INDEX(計算用!$A$2:$A$721,計算用!$AA$23))</f>
        <v/>
      </c>
      <c r="J83" s="26">
        <f>IF(計算用!$AA$23="","",INDEX(計算用!$C$2:$C$721,計算用!$AA$23))</f>
        <v/>
      </c>
      <c r="K83" s="25">
        <f>IF(計算用!$AB$23="","",INDEX(計算用!$A$2:$A$721,計算用!$AB$23))</f>
        <v/>
      </c>
      <c r="L83" s="26">
        <f>IF(計算用!$AB$23="","",INDEX(計算用!$C$2:$C$721,計算用!$AB$23))</f>
        <v/>
      </c>
      <c r="M83" s="25">
        <f>IF(計算用!$AC$23="","",INDEX(計算用!$A$2:$A$721,計算用!$AC$23))</f>
        <v/>
      </c>
      <c r="N83" s="26">
        <f>IF(計算用!$AC$23="","",INDEX(計算用!$C$2:$C$721,計算用!$AC$23))</f>
        <v/>
      </c>
      <c r="O83" s="25">
        <f>IF(計算用!$AD$23="","",INDEX(計算用!$A$2:$A$721,計算用!$AD$23))</f>
        <v/>
      </c>
      <c r="P83" s="26">
        <f>IF(計算用!$AD$23="","",INDEX(計算用!$C$2:$C$721,計算用!$AD$23))</f>
        <v/>
      </c>
      <c r="Q83" s="25">
        <f>IF(計算用!$AE$23="","",INDEX(計算用!$A$2:$A$721,計算用!$AE$23))</f>
        <v/>
      </c>
      <c r="R83" s="26">
        <f>IF(計算用!$AE$23="","",INDEX(計算用!$C$2:$C$721,計算用!$AE$23))</f>
        <v/>
      </c>
      <c r="S83" s="25">
        <f>IF(計算用!$AF$23="","",INDEX(計算用!$A$2:$A$721,計算用!$AF$23))</f>
        <v/>
      </c>
      <c r="T83" s="26">
        <f>IF(計算用!$AF$23="","",INDEX(計算用!$C$2:$C$721,計算用!$AF$23))</f>
        <v/>
      </c>
    </row>
    <row r="84">
      <c r="A84" s="25">
        <f>IF(計算用!$W$24="","",INDEX(計算用!$A$2:$A$721,計算用!$W$24))</f>
        <v/>
      </c>
      <c r="B84" s="26">
        <f>IF(計算用!$W$24="","",INDEX(計算用!$C$2:$C$721,計算用!$W$24))</f>
        <v/>
      </c>
      <c r="C84" s="25">
        <f>IF(計算用!$X$24="","",INDEX(計算用!$A$2:$A$721,計算用!$X$24))</f>
        <v/>
      </c>
      <c r="D84" s="26">
        <f>IF(計算用!$X$24="","",INDEX(計算用!$C$2:$C$721,計算用!$X$24))</f>
        <v/>
      </c>
      <c r="E84" s="25">
        <f>IF(計算用!$Y$24="","",INDEX(計算用!$A$2:$A$721,計算用!$Y$24))</f>
        <v/>
      </c>
      <c r="F84" s="26">
        <f>IF(計算用!$Y$24="","",INDEX(計算用!$C$2:$C$721,計算用!$Y$24))</f>
        <v/>
      </c>
      <c r="G84" s="25">
        <f>IF(計算用!$Z$24="","",INDEX(計算用!$A$2:$A$721,計算用!$Z$24))</f>
        <v/>
      </c>
      <c r="H84" s="26">
        <f>IF(計算用!$Z$24="","",INDEX(計算用!$C$2:$C$721,計算用!$Z$24))</f>
        <v/>
      </c>
      <c r="I84" s="25">
        <f>IF(計算用!$AA$24="","",INDEX(計算用!$A$2:$A$721,計算用!$AA$24))</f>
        <v/>
      </c>
      <c r="J84" s="26">
        <f>IF(計算用!$AA$24="","",INDEX(計算用!$C$2:$C$721,計算用!$AA$24))</f>
        <v/>
      </c>
      <c r="K84" s="25">
        <f>IF(計算用!$AB$24="","",INDEX(計算用!$A$2:$A$721,計算用!$AB$24))</f>
        <v/>
      </c>
      <c r="L84" s="26">
        <f>IF(計算用!$AB$24="","",INDEX(計算用!$C$2:$C$721,計算用!$AB$24))</f>
        <v/>
      </c>
      <c r="M84" s="25">
        <f>IF(計算用!$AC$24="","",INDEX(計算用!$A$2:$A$721,計算用!$AC$24))</f>
        <v/>
      </c>
      <c r="N84" s="26">
        <f>IF(計算用!$AC$24="","",INDEX(計算用!$C$2:$C$721,計算用!$AC$24))</f>
        <v/>
      </c>
      <c r="O84" s="25">
        <f>IF(計算用!$AD$24="","",INDEX(計算用!$A$2:$A$721,計算用!$AD$24))</f>
        <v/>
      </c>
      <c r="P84" s="26">
        <f>IF(計算用!$AD$24="","",INDEX(計算用!$C$2:$C$721,計算用!$AD$24))</f>
        <v/>
      </c>
      <c r="Q84" s="25">
        <f>IF(計算用!$AE$24="","",INDEX(計算用!$A$2:$A$721,計算用!$AE$24))</f>
        <v/>
      </c>
      <c r="R84" s="26">
        <f>IF(計算用!$AE$24="","",INDEX(計算用!$C$2:$C$721,計算用!$AE$24))</f>
        <v/>
      </c>
      <c r="S84" s="25">
        <f>IF(計算用!$AF$24="","",INDEX(計算用!$A$2:$A$721,計算用!$AF$24))</f>
        <v/>
      </c>
      <c r="T84" s="26">
        <f>IF(計算用!$AF$24="","",INDEX(計算用!$C$2:$C$721,計算用!$AF$24))</f>
        <v/>
      </c>
    </row>
    <row r="85">
      <c r="A85" s="25">
        <f>IF(計算用!$W$25="","",INDEX(計算用!$A$2:$A$721,計算用!$W$25))</f>
        <v/>
      </c>
      <c r="B85" s="26">
        <f>IF(計算用!$W$25="","",INDEX(計算用!$C$2:$C$721,計算用!$W$25))</f>
        <v/>
      </c>
      <c r="C85" s="25">
        <f>IF(計算用!$X$25="","",INDEX(計算用!$A$2:$A$721,計算用!$X$25))</f>
        <v/>
      </c>
      <c r="D85" s="26">
        <f>IF(計算用!$X$25="","",INDEX(計算用!$C$2:$C$721,計算用!$X$25))</f>
        <v/>
      </c>
      <c r="E85" s="25">
        <f>IF(計算用!$Y$25="","",INDEX(計算用!$A$2:$A$721,計算用!$Y$25))</f>
        <v/>
      </c>
      <c r="F85" s="26">
        <f>IF(計算用!$Y$25="","",INDEX(計算用!$C$2:$C$721,計算用!$Y$25))</f>
        <v/>
      </c>
      <c r="G85" s="25">
        <f>IF(計算用!$Z$25="","",INDEX(計算用!$A$2:$A$721,計算用!$Z$25))</f>
        <v/>
      </c>
      <c r="H85" s="26">
        <f>IF(計算用!$Z$25="","",INDEX(計算用!$C$2:$C$721,計算用!$Z$25))</f>
        <v/>
      </c>
      <c r="I85" s="25">
        <f>IF(計算用!$AA$25="","",INDEX(計算用!$A$2:$A$721,計算用!$AA$25))</f>
        <v/>
      </c>
      <c r="J85" s="26">
        <f>IF(計算用!$AA$25="","",INDEX(計算用!$C$2:$C$721,計算用!$AA$25))</f>
        <v/>
      </c>
      <c r="K85" s="25">
        <f>IF(計算用!$AB$25="","",INDEX(計算用!$A$2:$A$721,計算用!$AB$25))</f>
        <v/>
      </c>
      <c r="L85" s="26">
        <f>IF(計算用!$AB$25="","",INDEX(計算用!$C$2:$C$721,計算用!$AB$25))</f>
        <v/>
      </c>
      <c r="M85" s="25">
        <f>IF(計算用!$AC$25="","",INDEX(計算用!$A$2:$A$721,計算用!$AC$25))</f>
        <v/>
      </c>
      <c r="N85" s="26">
        <f>IF(計算用!$AC$25="","",INDEX(計算用!$C$2:$C$721,計算用!$AC$25))</f>
        <v/>
      </c>
      <c r="O85" s="25">
        <f>IF(計算用!$AD$25="","",INDEX(計算用!$A$2:$A$721,計算用!$AD$25))</f>
        <v/>
      </c>
      <c r="P85" s="26">
        <f>IF(計算用!$AD$25="","",INDEX(計算用!$C$2:$C$721,計算用!$AD$25))</f>
        <v/>
      </c>
      <c r="Q85" s="25">
        <f>IF(計算用!$AE$25="","",INDEX(計算用!$A$2:$A$721,計算用!$AE$25))</f>
        <v/>
      </c>
      <c r="R85" s="26">
        <f>IF(計算用!$AE$25="","",INDEX(計算用!$C$2:$C$721,計算用!$AE$25))</f>
        <v/>
      </c>
      <c r="S85" s="25">
        <f>IF(計算用!$AF$25="","",INDEX(計算用!$A$2:$A$721,計算用!$AF$25))</f>
        <v/>
      </c>
      <c r="T85" s="26">
        <f>IF(計算用!$AF$25="","",INDEX(計算用!$C$2:$C$721,計算用!$AF$25))</f>
        <v/>
      </c>
    </row>
    <row r="86">
      <c r="A86" s="25">
        <f>IF(計算用!$W$26="","",INDEX(計算用!$A$2:$A$721,計算用!$W$26))</f>
        <v/>
      </c>
      <c r="B86" s="26">
        <f>IF(計算用!$W$26="","",INDEX(計算用!$C$2:$C$721,計算用!$W$26))</f>
        <v/>
      </c>
      <c r="C86" s="25">
        <f>IF(計算用!$X$26="","",INDEX(計算用!$A$2:$A$721,計算用!$X$26))</f>
        <v/>
      </c>
      <c r="D86" s="26">
        <f>IF(計算用!$X$26="","",INDEX(計算用!$C$2:$C$721,計算用!$X$26))</f>
        <v/>
      </c>
      <c r="E86" s="25">
        <f>IF(計算用!$Y$26="","",INDEX(計算用!$A$2:$A$721,計算用!$Y$26))</f>
        <v/>
      </c>
      <c r="F86" s="26">
        <f>IF(計算用!$Y$26="","",INDEX(計算用!$C$2:$C$721,計算用!$Y$26))</f>
        <v/>
      </c>
      <c r="G86" s="25">
        <f>IF(計算用!$Z$26="","",INDEX(計算用!$A$2:$A$721,計算用!$Z$26))</f>
        <v/>
      </c>
      <c r="H86" s="26">
        <f>IF(計算用!$Z$26="","",INDEX(計算用!$C$2:$C$721,計算用!$Z$26))</f>
        <v/>
      </c>
      <c r="I86" s="25">
        <f>IF(計算用!$AA$26="","",INDEX(計算用!$A$2:$A$721,計算用!$AA$26))</f>
        <v/>
      </c>
      <c r="J86" s="26">
        <f>IF(計算用!$AA$26="","",INDEX(計算用!$C$2:$C$721,計算用!$AA$26))</f>
        <v/>
      </c>
      <c r="K86" s="25">
        <f>IF(計算用!$AB$26="","",INDEX(計算用!$A$2:$A$721,計算用!$AB$26))</f>
        <v/>
      </c>
      <c r="L86" s="26">
        <f>IF(計算用!$AB$26="","",INDEX(計算用!$C$2:$C$721,計算用!$AB$26))</f>
        <v/>
      </c>
      <c r="M86" s="25">
        <f>IF(計算用!$AC$26="","",INDEX(計算用!$A$2:$A$721,計算用!$AC$26))</f>
        <v/>
      </c>
      <c r="N86" s="26">
        <f>IF(計算用!$AC$26="","",INDEX(計算用!$C$2:$C$721,計算用!$AC$26))</f>
        <v/>
      </c>
      <c r="O86" s="25">
        <f>IF(計算用!$AD$26="","",INDEX(計算用!$A$2:$A$721,計算用!$AD$26))</f>
        <v/>
      </c>
      <c r="P86" s="26">
        <f>IF(計算用!$AD$26="","",INDEX(計算用!$C$2:$C$721,計算用!$AD$26))</f>
        <v/>
      </c>
      <c r="Q86" s="25">
        <f>IF(計算用!$AE$26="","",INDEX(計算用!$A$2:$A$721,計算用!$AE$26))</f>
        <v/>
      </c>
      <c r="R86" s="26">
        <f>IF(計算用!$AE$26="","",INDEX(計算用!$C$2:$C$721,計算用!$AE$26))</f>
        <v/>
      </c>
      <c r="S86" s="25">
        <f>IF(計算用!$AF$26="","",INDEX(計算用!$A$2:$A$721,計算用!$AF$26))</f>
        <v/>
      </c>
      <c r="T86" s="26">
        <f>IF(計算用!$AF$26="","",INDEX(計算用!$C$2:$C$721,計算用!$AF$26))</f>
        <v/>
      </c>
    </row>
    <row r="87">
      <c r="A87" s="25">
        <f>IF(計算用!$W$27="","",INDEX(計算用!$A$2:$A$721,計算用!$W$27))</f>
        <v/>
      </c>
      <c r="B87" s="26">
        <f>IF(計算用!$W$27="","",INDEX(計算用!$C$2:$C$721,計算用!$W$27))</f>
        <v/>
      </c>
      <c r="C87" s="25">
        <f>IF(計算用!$X$27="","",INDEX(計算用!$A$2:$A$721,計算用!$X$27))</f>
        <v/>
      </c>
      <c r="D87" s="26">
        <f>IF(計算用!$X$27="","",INDEX(計算用!$C$2:$C$721,計算用!$X$27))</f>
        <v/>
      </c>
      <c r="E87" s="25">
        <f>IF(計算用!$Y$27="","",INDEX(計算用!$A$2:$A$721,計算用!$Y$27))</f>
        <v/>
      </c>
      <c r="F87" s="26">
        <f>IF(計算用!$Y$27="","",INDEX(計算用!$C$2:$C$721,計算用!$Y$27))</f>
        <v/>
      </c>
      <c r="G87" s="25">
        <f>IF(計算用!$Z$27="","",INDEX(計算用!$A$2:$A$721,計算用!$Z$27))</f>
        <v/>
      </c>
      <c r="H87" s="26">
        <f>IF(計算用!$Z$27="","",INDEX(計算用!$C$2:$C$721,計算用!$Z$27))</f>
        <v/>
      </c>
      <c r="I87" s="25">
        <f>IF(計算用!$AA$27="","",INDEX(計算用!$A$2:$A$721,計算用!$AA$27))</f>
        <v/>
      </c>
      <c r="J87" s="26">
        <f>IF(計算用!$AA$27="","",INDEX(計算用!$C$2:$C$721,計算用!$AA$27))</f>
        <v/>
      </c>
      <c r="K87" s="25">
        <f>IF(計算用!$AB$27="","",INDEX(計算用!$A$2:$A$721,計算用!$AB$27))</f>
        <v/>
      </c>
      <c r="L87" s="26">
        <f>IF(計算用!$AB$27="","",INDEX(計算用!$C$2:$C$721,計算用!$AB$27))</f>
        <v/>
      </c>
      <c r="M87" s="25">
        <f>IF(計算用!$AC$27="","",INDEX(計算用!$A$2:$A$721,計算用!$AC$27))</f>
        <v/>
      </c>
      <c r="N87" s="26">
        <f>IF(計算用!$AC$27="","",INDEX(計算用!$C$2:$C$721,計算用!$AC$27))</f>
        <v/>
      </c>
      <c r="O87" s="25">
        <f>IF(計算用!$AD$27="","",INDEX(計算用!$A$2:$A$721,計算用!$AD$27))</f>
        <v/>
      </c>
      <c r="P87" s="26">
        <f>IF(計算用!$AD$27="","",INDEX(計算用!$C$2:$C$721,計算用!$AD$27))</f>
        <v/>
      </c>
      <c r="Q87" s="25">
        <f>IF(計算用!$AE$27="","",INDEX(計算用!$A$2:$A$721,計算用!$AE$27))</f>
        <v/>
      </c>
      <c r="R87" s="26">
        <f>IF(計算用!$AE$27="","",INDEX(計算用!$C$2:$C$721,計算用!$AE$27))</f>
        <v/>
      </c>
      <c r="S87" s="25">
        <f>IF(計算用!$AF$27="","",INDEX(計算用!$A$2:$A$721,計算用!$AF$27))</f>
        <v/>
      </c>
      <c r="T87" s="26">
        <f>IF(計算用!$AF$27="","",INDEX(計算用!$C$2:$C$721,計算用!$AF$27))</f>
        <v/>
      </c>
    </row>
    <row r="88">
      <c r="A88" s="25">
        <f>IF(計算用!$W$28="","",INDEX(計算用!$A$2:$A$721,計算用!$W$28))</f>
        <v/>
      </c>
      <c r="B88" s="26">
        <f>IF(計算用!$W$28="","",INDEX(計算用!$C$2:$C$721,計算用!$W$28))</f>
        <v/>
      </c>
      <c r="C88" s="25">
        <f>IF(計算用!$X$28="","",INDEX(計算用!$A$2:$A$721,計算用!$X$28))</f>
        <v/>
      </c>
      <c r="D88" s="26">
        <f>IF(計算用!$X$28="","",INDEX(計算用!$C$2:$C$721,計算用!$X$28))</f>
        <v/>
      </c>
      <c r="E88" s="25">
        <f>IF(計算用!$Y$28="","",INDEX(計算用!$A$2:$A$721,計算用!$Y$28))</f>
        <v/>
      </c>
      <c r="F88" s="26">
        <f>IF(計算用!$Y$28="","",INDEX(計算用!$C$2:$C$721,計算用!$Y$28))</f>
        <v/>
      </c>
      <c r="G88" s="25">
        <f>IF(計算用!$Z$28="","",INDEX(計算用!$A$2:$A$721,計算用!$Z$28))</f>
        <v/>
      </c>
      <c r="H88" s="26">
        <f>IF(計算用!$Z$28="","",INDEX(計算用!$C$2:$C$721,計算用!$Z$28))</f>
        <v/>
      </c>
      <c r="I88" s="25">
        <f>IF(計算用!$AA$28="","",INDEX(計算用!$A$2:$A$721,計算用!$AA$28))</f>
        <v/>
      </c>
      <c r="J88" s="26">
        <f>IF(計算用!$AA$28="","",INDEX(計算用!$C$2:$C$721,計算用!$AA$28))</f>
        <v/>
      </c>
      <c r="K88" s="25">
        <f>IF(計算用!$AB$28="","",INDEX(計算用!$A$2:$A$721,計算用!$AB$28))</f>
        <v/>
      </c>
      <c r="L88" s="26">
        <f>IF(計算用!$AB$28="","",INDEX(計算用!$C$2:$C$721,計算用!$AB$28))</f>
        <v/>
      </c>
      <c r="M88" s="25">
        <f>IF(計算用!$AC$28="","",INDEX(計算用!$A$2:$A$721,計算用!$AC$28))</f>
        <v/>
      </c>
      <c r="N88" s="26">
        <f>IF(計算用!$AC$28="","",INDEX(計算用!$C$2:$C$721,計算用!$AC$28))</f>
        <v/>
      </c>
      <c r="O88" s="25">
        <f>IF(計算用!$AD$28="","",INDEX(計算用!$A$2:$A$721,計算用!$AD$28))</f>
        <v/>
      </c>
      <c r="P88" s="26">
        <f>IF(計算用!$AD$28="","",INDEX(計算用!$C$2:$C$721,計算用!$AD$28))</f>
        <v/>
      </c>
      <c r="Q88" s="25">
        <f>IF(計算用!$AE$28="","",INDEX(計算用!$A$2:$A$721,計算用!$AE$28))</f>
        <v/>
      </c>
      <c r="R88" s="26">
        <f>IF(計算用!$AE$28="","",INDEX(計算用!$C$2:$C$721,計算用!$AE$28))</f>
        <v/>
      </c>
      <c r="S88" s="25">
        <f>IF(計算用!$AF$28="","",INDEX(計算用!$A$2:$A$721,計算用!$AF$28))</f>
        <v/>
      </c>
      <c r="T88" s="26">
        <f>IF(計算用!$AF$28="","",INDEX(計算用!$C$2:$C$721,計算用!$AF$28))</f>
        <v/>
      </c>
    </row>
    <row r="89">
      <c r="A89" s="25">
        <f>IF(計算用!$W$29="","",INDEX(計算用!$A$2:$A$721,計算用!$W$29))</f>
        <v/>
      </c>
      <c r="B89" s="26">
        <f>IF(計算用!$W$29="","",INDEX(計算用!$C$2:$C$721,計算用!$W$29))</f>
        <v/>
      </c>
      <c r="C89" s="25">
        <f>IF(計算用!$X$29="","",INDEX(計算用!$A$2:$A$721,計算用!$X$29))</f>
        <v/>
      </c>
      <c r="D89" s="26">
        <f>IF(計算用!$X$29="","",INDEX(計算用!$C$2:$C$721,計算用!$X$29))</f>
        <v/>
      </c>
      <c r="E89" s="25">
        <f>IF(計算用!$Y$29="","",INDEX(計算用!$A$2:$A$721,計算用!$Y$29))</f>
        <v/>
      </c>
      <c r="F89" s="26">
        <f>IF(計算用!$Y$29="","",INDEX(計算用!$C$2:$C$721,計算用!$Y$29))</f>
        <v/>
      </c>
      <c r="G89" s="25">
        <f>IF(計算用!$Z$29="","",INDEX(計算用!$A$2:$A$721,計算用!$Z$29))</f>
        <v/>
      </c>
      <c r="H89" s="26">
        <f>IF(計算用!$Z$29="","",INDEX(計算用!$C$2:$C$721,計算用!$Z$29))</f>
        <v/>
      </c>
      <c r="I89" s="25">
        <f>IF(計算用!$AA$29="","",INDEX(計算用!$A$2:$A$721,計算用!$AA$29))</f>
        <v/>
      </c>
      <c r="J89" s="26">
        <f>IF(計算用!$AA$29="","",INDEX(計算用!$C$2:$C$721,計算用!$AA$29))</f>
        <v/>
      </c>
      <c r="K89" s="25">
        <f>IF(計算用!$AB$29="","",INDEX(計算用!$A$2:$A$721,計算用!$AB$29))</f>
        <v/>
      </c>
      <c r="L89" s="26">
        <f>IF(計算用!$AB$29="","",INDEX(計算用!$C$2:$C$721,計算用!$AB$29))</f>
        <v/>
      </c>
      <c r="M89" s="25">
        <f>IF(計算用!$AC$29="","",INDEX(計算用!$A$2:$A$721,計算用!$AC$29))</f>
        <v/>
      </c>
      <c r="N89" s="26">
        <f>IF(計算用!$AC$29="","",INDEX(計算用!$C$2:$C$721,計算用!$AC$29))</f>
        <v/>
      </c>
      <c r="O89" s="25">
        <f>IF(計算用!$AD$29="","",INDEX(計算用!$A$2:$A$721,計算用!$AD$29))</f>
        <v/>
      </c>
      <c r="P89" s="26">
        <f>IF(計算用!$AD$29="","",INDEX(計算用!$C$2:$C$721,計算用!$AD$29))</f>
        <v/>
      </c>
      <c r="Q89" s="25">
        <f>IF(計算用!$AE$29="","",INDEX(計算用!$A$2:$A$721,計算用!$AE$29))</f>
        <v/>
      </c>
      <c r="R89" s="26">
        <f>IF(計算用!$AE$29="","",INDEX(計算用!$C$2:$C$721,計算用!$AE$29))</f>
        <v/>
      </c>
      <c r="S89" s="25">
        <f>IF(計算用!$AF$29="","",INDEX(計算用!$A$2:$A$721,計算用!$AF$29))</f>
        <v/>
      </c>
      <c r="T89" s="26">
        <f>IF(計算用!$AF$29="","",INDEX(計算用!$C$2:$C$721,計算用!$AF$29))</f>
        <v/>
      </c>
    </row>
    <row r="90">
      <c r="A90" s="25">
        <f>IF(計算用!$W$30="","",INDEX(計算用!$A$2:$A$721,計算用!$W$30))</f>
        <v/>
      </c>
      <c r="B90" s="26">
        <f>IF(計算用!$W$30="","",INDEX(計算用!$C$2:$C$721,計算用!$W$30))</f>
        <v/>
      </c>
      <c r="C90" s="25">
        <f>IF(計算用!$X$30="","",INDEX(計算用!$A$2:$A$721,計算用!$X$30))</f>
        <v/>
      </c>
      <c r="D90" s="26">
        <f>IF(計算用!$X$30="","",INDEX(計算用!$C$2:$C$721,計算用!$X$30))</f>
        <v/>
      </c>
      <c r="E90" s="25">
        <f>IF(計算用!$Y$30="","",INDEX(計算用!$A$2:$A$721,計算用!$Y$30))</f>
        <v/>
      </c>
      <c r="F90" s="26">
        <f>IF(計算用!$Y$30="","",INDEX(計算用!$C$2:$C$721,計算用!$Y$30))</f>
        <v/>
      </c>
      <c r="G90" s="25">
        <f>IF(計算用!$Z$30="","",INDEX(計算用!$A$2:$A$721,計算用!$Z$30))</f>
        <v/>
      </c>
      <c r="H90" s="26">
        <f>IF(計算用!$Z$30="","",INDEX(計算用!$C$2:$C$721,計算用!$Z$30))</f>
        <v/>
      </c>
      <c r="I90" s="25">
        <f>IF(計算用!$AA$30="","",INDEX(計算用!$A$2:$A$721,計算用!$AA$30))</f>
        <v/>
      </c>
      <c r="J90" s="26">
        <f>IF(計算用!$AA$30="","",INDEX(計算用!$C$2:$C$721,計算用!$AA$30))</f>
        <v/>
      </c>
      <c r="K90" s="25">
        <f>IF(計算用!$AB$30="","",INDEX(計算用!$A$2:$A$721,計算用!$AB$30))</f>
        <v/>
      </c>
      <c r="L90" s="26">
        <f>IF(計算用!$AB$30="","",INDEX(計算用!$C$2:$C$721,計算用!$AB$30))</f>
        <v/>
      </c>
      <c r="M90" s="25">
        <f>IF(計算用!$AC$30="","",INDEX(計算用!$A$2:$A$721,計算用!$AC$30))</f>
        <v/>
      </c>
      <c r="N90" s="26">
        <f>IF(計算用!$AC$30="","",INDEX(計算用!$C$2:$C$721,計算用!$AC$30))</f>
        <v/>
      </c>
      <c r="O90" s="25">
        <f>IF(計算用!$AD$30="","",INDEX(計算用!$A$2:$A$721,計算用!$AD$30))</f>
        <v/>
      </c>
      <c r="P90" s="26">
        <f>IF(計算用!$AD$30="","",INDEX(計算用!$C$2:$C$721,計算用!$AD$30))</f>
        <v/>
      </c>
      <c r="Q90" s="25">
        <f>IF(計算用!$AE$30="","",INDEX(計算用!$A$2:$A$721,計算用!$AE$30))</f>
        <v/>
      </c>
      <c r="R90" s="26">
        <f>IF(計算用!$AE$30="","",INDEX(計算用!$C$2:$C$721,計算用!$AE$30))</f>
        <v/>
      </c>
      <c r="S90" s="25">
        <f>IF(計算用!$AF$30="","",INDEX(計算用!$A$2:$A$721,計算用!$AF$30))</f>
        <v/>
      </c>
      <c r="T90" s="26">
        <f>IF(計算用!$AF$30="","",INDEX(計算用!$C$2:$C$721,計算用!$AF$30))</f>
        <v/>
      </c>
    </row>
    <row r="91">
      <c r="A91" s="25">
        <f>IF(計算用!$W$31="","",INDEX(計算用!$A$2:$A$721,計算用!$W$31))</f>
        <v/>
      </c>
      <c r="B91" s="26">
        <f>IF(計算用!$W$31="","",INDEX(計算用!$C$2:$C$721,計算用!$W$31))</f>
        <v/>
      </c>
      <c r="C91" s="25">
        <f>IF(計算用!$X$31="","",INDEX(計算用!$A$2:$A$721,計算用!$X$31))</f>
        <v/>
      </c>
      <c r="D91" s="26">
        <f>IF(計算用!$X$31="","",INDEX(計算用!$C$2:$C$721,計算用!$X$31))</f>
        <v/>
      </c>
      <c r="E91" s="25">
        <f>IF(計算用!$Y$31="","",INDEX(計算用!$A$2:$A$721,計算用!$Y$31))</f>
        <v/>
      </c>
      <c r="F91" s="26">
        <f>IF(計算用!$Y$31="","",INDEX(計算用!$C$2:$C$721,計算用!$Y$31))</f>
        <v/>
      </c>
      <c r="G91" s="25">
        <f>IF(計算用!$Z$31="","",INDEX(計算用!$A$2:$A$721,計算用!$Z$31))</f>
        <v/>
      </c>
      <c r="H91" s="26">
        <f>IF(計算用!$Z$31="","",INDEX(計算用!$C$2:$C$721,計算用!$Z$31))</f>
        <v/>
      </c>
      <c r="I91" s="25">
        <f>IF(計算用!$AA$31="","",INDEX(計算用!$A$2:$A$721,計算用!$AA$31))</f>
        <v/>
      </c>
      <c r="J91" s="26">
        <f>IF(計算用!$AA$31="","",INDEX(計算用!$C$2:$C$721,計算用!$AA$31))</f>
        <v/>
      </c>
      <c r="K91" s="25">
        <f>IF(計算用!$AB$31="","",INDEX(計算用!$A$2:$A$721,計算用!$AB$31))</f>
        <v/>
      </c>
      <c r="L91" s="26">
        <f>IF(計算用!$AB$31="","",INDEX(計算用!$C$2:$C$721,計算用!$AB$31))</f>
        <v/>
      </c>
      <c r="M91" s="25">
        <f>IF(計算用!$AC$31="","",INDEX(計算用!$A$2:$A$721,計算用!$AC$31))</f>
        <v/>
      </c>
      <c r="N91" s="26">
        <f>IF(計算用!$AC$31="","",INDEX(計算用!$C$2:$C$721,計算用!$AC$31))</f>
        <v/>
      </c>
      <c r="O91" s="25">
        <f>IF(計算用!$AD$31="","",INDEX(計算用!$A$2:$A$721,計算用!$AD$31))</f>
        <v/>
      </c>
      <c r="P91" s="26">
        <f>IF(計算用!$AD$31="","",INDEX(計算用!$C$2:$C$721,計算用!$AD$31))</f>
        <v/>
      </c>
      <c r="Q91" s="25">
        <f>IF(計算用!$AE$31="","",INDEX(計算用!$A$2:$A$721,計算用!$AE$31))</f>
        <v/>
      </c>
      <c r="R91" s="26">
        <f>IF(計算用!$AE$31="","",INDEX(計算用!$C$2:$C$721,計算用!$AE$31))</f>
        <v/>
      </c>
      <c r="S91" s="25">
        <f>IF(計算用!$AF$31="","",INDEX(計算用!$A$2:$A$721,計算用!$AF$31))</f>
        <v/>
      </c>
      <c r="T91" s="26">
        <f>IF(計算用!$AF$31="","",INDEX(計算用!$C$2:$C$721,計算用!$AF$31))</f>
        <v/>
      </c>
    </row>
    <row r="92">
      <c r="A92" s="25">
        <f>IF(計算用!$W$32="","",INDEX(計算用!$A$2:$A$721,計算用!$W$32))</f>
        <v/>
      </c>
      <c r="B92" s="26">
        <f>IF(計算用!$W$32="","",INDEX(計算用!$C$2:$C$721,計算用!$W$32))</f>
        <v/>
      </c>
      <c r="C92" s="25">
        <f>IF(計算用!$X$32="","",INDEX(計算用!$A$2:$A$721,計算用!$X$32))</f>
        <v/>
      </c>
      <c r="D92" s="26">
        <f>IF(計算用!$X$32="","",INDEX(計算用!$C$2:$C$721,計算用!$X$32))</f>
        <v/>
      </c>
      <c r="E92" s="25">
        <f>IF(計算用!$Y$32="","",INDEX(計算用!$A$2:$A$721,計算用!$Y$32))</f>
        <v/>
      </c>
      <c r="F92" s="26">
        <f>IF(計算用!$Y$32="","",INDEX(計算用!$C$2:$C$721,計算用!$Y$32))</f>
        <v/>
      </c>
      <c r="G92" s="25">
        <f>IF(計算用!$Z$32="","",INDEX(計算用!$A$2:$A$721,計算用!$Z$32))</f>
        <v/>
      </c>
      <c r="H92" s="26">
        <f>IF(計算用!$Z$32="","",INDEX(計算用!$C$2:$C$721,計算用!$Z$32))</f>
        <v/>
      </c>
      <c r="I92" s="25">
        <f>IF(計算用!$AA$32="","",INDEX(計算用!$A$2:$A$721,計算用!$AA$32))</f>
        <v/>
      </c>
      <c r="J92" s="26">
        <f>IF(計算用!$AA$32="","",INDEX(計算用!$C$2:$C$721,計算用!$AA$32))</f>
        <v/>
      </c>
      <c r="K92" s="25">
        <f>IF(計算用!$AB$32="","",INDEX(計算用!$A$2:$A$721,計算用!$AB$32))</f>
        <v/>
      </c>
      <c r="L92" s="26">
        <f>IF(計算用!$AB$32="","",INDEX(計算用!$C$2:$C$721,計算用!$AB$32))</f>
        <v/>
      </c>
      <c r="M92" s="25">
        <f>IF(計算用!$AC$32="","",INDEX(計算用!$A$2:$A$721,計算用!$AC$32))</f>
        <v/>
      </c>
      <c r="N92" s="26">
        <f>IF(計算用!$AC$32="","",INDEX(計算用!$C$2:$C$721,計算用!$AC$32))</f>
        <v/>
      </c>
      <c r="O92" s="25">
        <f>IF(計算用!$AD$32="","",INDEX(計算用!$A$2:$A$721,計算用!$AD$32))</f>
        <v/>
      </c>
      <c r="P92" s="26">
        <f>IF(計算用!$AD$32="","",INDEX(計算用!$C$2:$C$721,計算用!$AD$32))</f>
        <v/>
      </c>
      <c r="Q92" s="25">
        <f>IF(計算用!$AE$32="","",INDEX(計算用!$A$2:$A$721,計算用!$AE$32))</f>
        <v/>
      </c>
      <c r="R92" s="26">
        <f>IF(計算用!$AE$32="","",INDEX(計算用!$C$2:$C$721,計算用!$AE$32))</f>
        <v/>
      </c>
      <c r="S92" s="25">
        <f>IF(計算用!$AF$32="","",INDEX(計算用!$A$2:$A$721,計算用!$AF$32))</f>
        <v/>
      </c>
      <c r="T92" s="26">
        <f>IF(計算用!$AF$32="","",INDEX(計算用!$C$2:$C$721,計算用!$AF$32))</f>
        <v/>
      </c>
    </row>
    <row r="93">
      <c r="A93" s="25">
        <f>IF(計算用!$W$33="","",INDEX(計算用!$A$2:$A$721,計算用!$W$33))</f>
        <v/>
      </c>
      <c r="B93" s="26">
        <f>IF(計算用!$W$33="","",INDEX(計算用!$C$2:$C$721,計算用!$W$33))</f>
        <v/>
      </c>
      <c r="C93" s="25">
        <f>IF(計算用!$X$33="","",INDEX(計算用!$A$2:$A$721,計算用!$X$33))</f>
        <v/>
      </c>
      <c r="D93" s="26">
        <f>IF(計算用!$X$33="","",INDEX(計算用!$C$2:$C$721,計算用!$X$33))</f>
        <v/>
      </c>
      <c r="E93" s="25">
        <f>IF(計算用!$Y$33="","",INDEX(計算用!$A$2:$A$721,計算用!$Y$33))</f>
        <v/>
      </c>
      <c r="F93" s="26">
        <f>IF(計算用!$Y$33="","",INDEX(計算用!$C$2:$C$721,計算用!$Y$33))</f>
        <v/>
      </c>
      <c r="G93" s="25">
        <f>IF(計算用!$Z$33="","",INDEX(計算用!$A$2:$A$721,計算用!$Z$33))</f>
        <v/>
      </c>
      <c r="H93" s="26">
        <f>IF(計算用!$Z$33="","",INDEX(計算用!$C$2:$C$721,計算用!$Z$33))</f>
        <v/>
      </c>
      <c r="I93" s="25">
        <f>IF(計算用!$AA$33="","",INDEX(計算用!$A$2:$A$721,計算用!$AA$33))</f>
        <v/>
      </c>
      <c r="J93" s="26">
        <f>IF(計算用!$AA$33="","",INDEX(計算用!$C$2:$C$721,計算用!$AA$33))</f>
        <v/>
      </c>
      <c r="K93" s="25">
        <f>IF(計算用!$AB$33="","",INDEX(計算用!$A$2:$A$721,計算用!$AB$33))</f>
        <v/>
      </c>
      <c r="L93" s="26">
        <f>IF(計算用!$AB$33="","",INDEX(計算用!$C$2:$C$721,計算用!$AB$33))</f>
        <v/>
      </c>
      <c r="M93" s="25">
        <f>IF(計算用!$AC$33="","",INDEX(計算用!$A$2:$A$721,計算用!$AC$33))</f>
        <v/>
      </c>
      <c r="N93" s="26">
        <f>IF(計算用!$AC$33="","",INDEX(計算用!$C$2:$C$721,計算用!$AC$33))</f>
        <v/>
      </c>
      <c r="O93" s="25">
        <f>IF(計算用!$AD$33="","",INDEX(計算用!$A$2:$A$721,計算用!$AD$33))</f>
        <v/>
      </c>
      <c r="P93" s="26">
        <f>IF(計算用!$AD$33="","",INDEX(計算用!$C$2:$C$721,計算用!$AD$33))</f>
        <v/>
      </c>
      <c r="Q93" s="25">
        <f>IF(計算用!$AE$33="","",INDEX(計算用!$A$2:$A$721,計算用!$AE$33))</f>
        <v/>
      </c>
      <c r="R93" s="26">
        <f>IF(計算用!$AE$33="","",INDEX(計算用!$C$2:$C$721,計算用!$AE$33))</f>
        <v/>
      </c>
      <c r="S93" s="25">
        <f>IF(計算用!$AF$33="","",INDEX(計算用!$A$2:$A$721,計算用!$AF$33))</f>
        <v/>
      </c>
      <c r="T93" s="26">
        <f>IF(計算用!$AF$33="","",INDEX(計算用!$C$2:$C$721,計算用!$AF$33))</f>
        <v/>
      </c>
    </row>
    <row r="94">
      <c r="A94" s="25">
        <f>IF(計算用!$W$34="","",INDEX(計算用!$A$2:$A$721,計算用!$W$34))</f>
        <v/>
      </c>
      <c r="B94" s="26">
        <f>IF(計算用!$W$34="","",INDEX(計算用!$C$2:$C$721,計算用!$W$34))</f>
        <v/>
      </c>
      <c r="C94" s="25">
        <f>IF(計算用!$X$34="","",INDEX(計算用!$A$2:$A$721,計算用!$X$34))</f>
        <v/>
      </c>
      <c r="D94" s="26">
        <f>IF(計算用!$X$34="","",INDEX(計算用!$C$2:$C$721,計算用!$X$34))</f>
        <v/>
      </c>
      <c r="E94" s="25">
        <f>IF(計算用!$Y$34="","",INDEX(計算用!$A$2:$A$721,計算用!$Y$34))</f>
        <v/>
      </c>
      <c r="F94" s="26">
        <f>IF(計算用!$Y$34="","",INDEX(計算用!$C$2:$C$721,計算用!$Y$34))</f>
        <v/>
      </c>
      <c r="G94" s="25">
        <f>IF(計算用!$Z$34="","",INDEX(計算用!$A$2:$A$721,計算用!$Z$34))</f>
        <v/>
      </c>
      <c r="H94" s="26">
        <f>IF(計算用!$Z$34="","",INDEX(計算用!$C$2:$C$721,計算用!$Z$34))</f>
        <v/>
      </c>
      <c r="I94" s="25">
        <f>IF(計算用!$AA$34="","",INDEX(計算用!$A$2:$A$721,計算用!$AA$34))</f>
        <v/>
      </c>
      <c r="J94" s="26">
        <f>IF(計算用!$AA$34="","",INDEX(計算用!$C$2:$C$721,計算用!$AA$34))</f>
        <v/>
      </c>
      <c r="K94" s="25">
        <f>IF(計算用!$AB$34="","",INDEX(計算用!$A$2:$A$721,計算用!$AB$34))</f>
        <v/>
      </c>
      <c r="L94" s="26">
        <f>IF(計算用!$AB$34="","",INDEX(計算用!$C$2:$C$721,計算用!$AB$34))</f>
        <v/>
      </c>
      <c r="M94" s="25">
        <f>IF(計算用!$AC$34="","",INDEX(計算用!$A$2:$A$721,計算用!$AC$34))</f>
        <v/>
      </c>
      <c r="N94" s="26">
        <f>IF(計算用!$AC$34="","",INDEX(計算用!$C$2:$C$721,計算用!$AC$34))</f>
        <v/>
      </c>
      <c r="O94" s="25">
        <f>IF(計算用!$AD$34="","",INDEX(計算用!$A$2:$A$721,計算用!$AD$34))</f>
        <v/>
      </c>
      <c r="P94" s="26">
        <f>IF(計算用!$AD$34="","",INDEX(計算用!$C$2:$C$721,計算用!$AD$34))</f>
        <v/>
      </c>
      <c r="Q94" s="25">
        <f>IF(計算用!$AE$34="","",INDEX(計算用!$A$2:$A$721,計算用!$AE$34))</f>
        <v/>
      </c>
      <c r="R94" s="26">
        <f>IF(計算用!$AE$34="","",INDEX(計算用!$C$2:$C$721,計算用!$AE$34))</f>
        <v/>
      </c>
      <c r="S94" s="25">
        <f>IF(計算用!$AF$34="","",INDEX(計算用!$A$2:$A$721,計算用!$AF$34))</f>
        <v/>
      </c>
      <c r="T94" s="26">
        <f>IF(計算用!$AF$34="","",INDEX(計算用!$C$2:$C$721,計算用!$AF$34))</f>
        <v/>
      </c>
    </row>
    <row r="95">
      <c r="A95" s="25">
        <f>IF(計算用!$W$35="","",INDEX(計算用!$A$2:$A$721,計算用!$W$35))</f>
        <v/>
      </c>
      <c r="B95" s="26">
        <f>IF(計算用!$W$35="","",INDEX(計算用!$C$2:$C$721,計算用!$W$35))</f>
        <v/>
      </c>
      <c r="C95" s="25">
        <f>IF(計算用!$X$35="","",INDEX(計算用!$A$2:$A$721,計算用!$X$35))</f>
        <v/>
      </c>
      <c r="D95" s="26">
        <f>IF(計算用!$X$35="","",INDEX(計算用!$C$2:$C$721,計算用!$X$35))</f>
        <v/>
      </c>
      <c r="E95" s="25">
        <f>IF(計算用!$Y$35="","",INDEX(計算用!$A$2:$A$721,計算用!$Y$35))</f>
        <v/>
      </c>
      <c r="F95" s="26">
        <f>IF(計算用!$Y$35="","",INDEX(計算用!$C$2:$C$721,計算用!$Y$35))</f>
        <v/>
      </c>
      <c r="G95" s="25">
        <f>IF(計算用!$Z$35="","",INDEX(計算用!$A$2:$A$721,計算用!$Z$35))</f>
        <v/>
      </c>
      <c r="H95" s="26">
        <f>IF(計算用!$Z$35="","",INDEX(計算用!$C$2:$C$721,計算用!$Z$35))</f>
        <v/>
      </c>
      <c r="I95" s="25">
        <f>IF(計算用!$AA$35="","",INDEX(計算用!$A$2:$A$721,計算用!$AA$35))</f>
        <v/>
      </c>
      <c r="J95" s="26">
        <f>IF(計算用!$AA$35="","",INDEX(計算用!$C$2:$C$721,計算用!$AA$35))</f>
        <v/>
      </c>
      <c r="K95" s="25">
        <f>IF(計算用!$AB$35="","",INDEX(計算用!$A$2:$A$721,計算用!$AB$35))</f>
        <v/>
      </c>
      <c r="L95" s="26">
        <f>IF(計算用!$AB$35="","",INDEX(計算用!$C$2:$C$721,計算用!$AB$35))</f>
        <v/>
      </c>
      <c r="M95" s="25">
        <f>IF(計算用!$AC$35="","",INDEX(計算用!$A$2:$A$721,計算用!$AC$35))</f>
        <v/>
      </c>
      <c r="N95" s="26">
        <f>IF(計算用!$AC$35="","",INDEX(計算用!$C$2:$C$721,計算用!$AC$35))</f>
        <v/>
      </c>
      <c r="O95" s="25">
        <f>IF(計算用!$AD$35="","",INDEX(計算用!$A$2:$A$721,計算用!$AD$35))</f>
        <v/>
      </c>
      <c r="P95" s="26">
        <f>IF(計算用!$AD$35="","",INDEX(計算用!$C$2:$C$721,計算用!$AD$35))</f>
        <v/>
      </c>
      <c r="Q95" s="25">
        <f>IF(計算用!$AE$35="","",INDEX(計算用!$A$2:$A$721,計算用!$AE$35))</f>
        <v/>
      </c>
      <c r="R95" s="26">
        <f>IF(計算用!$AE$35="","",INDEX(計算用!$C$2:$C$721,計算用!$AE$35))</f>
        <v/>
      </c>
      <c r="S95" s="25">
        <f>IF(計算用!$AF$35="","",INDEX(計算用!$A$2:$A$721,計算用!$AF$35))</f>
        <v/>
      </c>
      <c r="T95" s="26">
        <f>IF(計算用!$AF$35="","",INDEX(計算用!$C$2:$C$721,計算用!$AF$35))</f>
        <v/>
      </c>
    </row>
    <row r="96">
      <c r="A96" s="25">
        <f>IF(計算用!$W$36="","",INDEX(計算用!$A$2:$A$721,計算用!$W$36))</f>
        <v/>
      </c>
      <c r="B96" s="26">
        <f>IF(計算用!$W$36="","",INDEX(計算用!$C$2:$C$721,計算用!$W$36))</f>
        <v/>
      </c>
      <c r="C96" s="25">
        <f>IF(計算用!$X$36="","",INDEX(計算用!$A$2:$A$721,計算用!$X$36))</f>
        <v/>
      </c>
      <c r="D96" s="26">
        <f>IF(計算用!$X$36="","",INDEX(計算用!$C$2:$C$721,計算用!$X$36))</f>
        <v/>
      </c>
      <c r="E96" s="25">
        <f>IF(計算用!$Y$36="","",INDEX(計算用!$A$2:$A$721,計算用!$Y$36))</f>
        <v/>
      </c>
      <c r="F96" s="26">
        <f>IF(計算用!$Y$36="","",INDEX(計算用!$C$2:$C$721,計算用!$Y$36))</f>
        <v/>
      </c>
      <c r="G96" s="25">
        <f>IF(計算用!$Z$36="","",INDEX(計算用!$A$2:$A$721,計算用!$Z$36))</f>
        <v/>
      </c>
      <c r="H96" s="26">
        <f>IF(計算用!$Z$36="","",INDEX(計算用!$C$2:$C$721,計算用!$Z$36))</f>
        <v/>
      </c>
      <c r="I96" s="25">
        <f>IF(計算用!$AA$36="","",INDEX(計算用!$A$2:$A$721,計算用!$AA$36))</f>
        <v/>
      </c>
      <c r="J96" s="26">
        <f>IF(計算用!$AA$36="","",INDEX(計算用!$C$2:$C$721,計算用!$AA$36))</f>
        <v/>
      </c>
      <c r="K96" s="25">
        <f>IF(計算用!$AB$36="","",INDEX(計算用!$A$2:$A$721,計算用!$AB$36))</f>
        <v/>
      </c>
      <c r="L96" s="26">
        <f>IF(計算用!$AB$36="","",INDEX(計算用!$C$2:$C$721,計算用!$AB$36))</f>
        <v/>
      </c>
      <c r="M96" s="25">
        <f>IF(計算用!$AC$36="","",INDEX(計算用!$A$2:$A$721,計算用!$AC$36))</f>
        <v/>
      </c>
      <c r="N96" s="26">
        <f>IF(計算用!$AC$36="","",INDEX(計算用!$C$2:$C$721,計算用!$AC$36))</f>
        <v/>
      </c>
      <c r="O96" s="25">
        <f>IF(計算用!$AD$36="","",INDEX(計算用!$A$2:$A$721,計算用!$AD$36))</f>
        <v/>
      </c>
      <c r="P96" s="26">
        <f>IF(計算用!$AD$36="","",INDEX(計算用!$C$2:$C$721,計算用!$AD$36))</f>
        <v/>
      </c>
      <c r="Q96" s="25">
        <f>IF(計算用!$AE$36="","",INDEX(計算用!$A$2:$A$721,計算用!$AE$36))</f>
        <v/>
      </c>
      <c r="R96" s="26">
        <f>IF(計算用!$AE$36="","",INDEX(計算用!$C$2:$C$721,計算用!$AE$36))</f>
        <v/>
      </c>
      <c r="S96" s="25">
        <f>IF(計算用!$AF$36="","",INDEX(計算用!$A$2:$A$721,計算用!$AF$36))</f>
        <v/>
      </c>
      <c r="T96" s="26">
        <f>IF(計算用!$AF$36="","",INDEX(計算用!$C$2:$C$721,計算用!$AF$36))</f>
        <v/>
      </c>
    </row>
    <row r="97">
      <c r="A97" s="25">
        <f>IF(計算用!$W$37="","",INDEX(計算用!$A$2:$A$721,計算用!$W$37))</f>
        <v/>
      </c>
      <c r="B97" s="26">
        <f>IF(計算用!$W$37="","",INDEX(計算用!$C$2:$C$721,計算用!$W$37))</f>
        <v/>
      </c>
      <c r="C97" s="25">
        <f>IF(計算用!$X$37="","",INDEX(計算用!$A$2:$A$721,計算用!$X$37))</f>
        <v/>
      </c>
      <c r="D97" s="26">
        <f>IF(計算用!$X$37="","",INDEX(計算用!$C$2:$C$721,計算用!$X$37))</f>
        <v/>
      </c>
      <c r="E97" s="25">
        <f>IF(計算用!$Y$37="","",INDEX(計算用!$A$2:$A$721,計算用!$Y$37))</f>
        <v/>
      </c>
      <c r="F97" s="26">
        <f>IF(計算用!$Y$37="","",INDEX(計算用!$C$2:$C$721,計算用!$Y$37))</f>
        <v/>
      </c>
      <c r="G97" s="25">
        <f>IF(計算用!$Z$37="","",INDEX(計算用!$A$2:$A$721,計算用!$Z$37))</f>
        <v/>
      </c>
      <c r="H97" s="26">
        <f>IF(計算用!$Z$37="","",INDEX(計算用!$C$2:$C$721,計算用!$Z$37))</f>
        <v/>
      </c>
      <c r="I97" s="25">
        <f>IF(計算用!$AA$37="","",INDEX(計算用!$A$2:$A$721,計算用!$AA$37))</f>
        <v/>
      </c>
      <c r="J97" s="26">
        <f>IF(計算用!$AA$37="","",INDEX(計算用!$C$2:$C$721,計算用!$AA$37))</f>
        <v/>
      </c>
      <c r="K97" s="25">
        <f>IF(計算用!$AB$37="","",INDEX(計算用!$A$2:$A$721,計算用!$AB$37))</f>
        <v/>
      </c>
      <c r="L97" s="26">
        <f>IF(計算用!$AB$37="","",INDEX(計算用!$C$2:$C$721,計算用!$AB$37))</f>
        <v/>
      </c>
      <c r="M97" s="25">
        <f>IF(計算用!$AC$37="","",INDEX(計算用!$A$2:$A$721,計算用!$AC$37))</f>
        <v/>
      </c>
      <c r="N97" s="26">
        <f>IF(計算用!$AC$37="","",INDEX(計算用!$C$2:$C$721,計算用!$AC$37))</f>
        <v/>
      </c>
      <c r="O97" s="25">
        <f>IF(計算用!$AD$37="","",INDEX(計算用!$A$2:$A$721,計算用!$AD$37))</f>
        <v/>
      </c>
      <c r="P97" s="26">
        <f>IF(計算用!$AD$37="","",INDEX(計算用!$C$2:$C$721,計算用!$AD$37))</f>
        <v/>
      </c>
      <c r="Q97" s="25">
        <f>IF(計算用!$AE$37="","",INDEX(計算用!$A$2:$A$721,計算用!$AE$37))</f>
        <v/>
      </c>
      <c r="R97" s="26">
        <f>IF(計算用!$AE$37="","",INDEX(計算用!$C$2:$C$721,計算用!$AE$37))</f>
        <v/>
      </c>
      <c r="S97" s="25">
        <f>IF(計算用!$AF$37="","",INDEX(計算用!$A$2:$A$721,計算用!$AF$37))</f>
        <v/>
      </c>
      <c r="T97" s="26">
        <f>IF(計算用!$AF$37="","",INDEX(計算用!$C$2:$C$721,計算用!$AF$37))</f>
        <v/>
      </c>
    </row>
    <row r="98">
      <c r="A98" s="25">
        <f>IF(計算用!$W$38="","",INDEX(計算用!$A$2:$A$721,計算用!$W$38))</f>
        <v/>
      </c>
      <c r="B98" s="26">
        <f>IF(計算用!$W$38="","",INDEX(計算用!$C$2:$C$721,計算用!$W$38))</f>
        <v/>
      </c>
      <c r="C98" s="25">
        <f>IF(計算用!$X$38="","",INDEX(計算用!$A$2:$A$721,計算用!$X$38))</f>
        <v/>
      </c>
      <c r="D98" s="26">
        <f>IF(計算用!$X$38="","",INDEX(計算用!$C$2:$C$721,計算用!$X$38))</f>
        <v/>
      </c>
      <c r="E98" s="25">
        <f>IF(計算用!$Y$38="","",INDEX(計算用!$A$2:$A$721,計算用!$Y$38))</f>
        <v/>
      </c>
      <c r="F98" s="26">
        <f>IF(計算用!$Y$38="","",INDEX(計算用!$C$2:$C$721,計算用!$Y$38))</f>
        <v/>
      </c>
      <c r="G98" s="25">
        <f>IF(計算用!$Z$38="","",INDEX(計算用!$A$2:$A$721,計算用!$Z$38))</f>
        <v/>
      </c>
      <c r="H98" s="26">
        <f>IF(計算用!$Z$38="","",INDEX(計算用!$C$2:$C$721,計算用!$Z$38))</f>
        <v/>
      </c>
      <c r="I98" s="25">
        <f>IF(計算用!$AA$38="","",INDEX(計算用!$A$2:$A$721,計算用!$AA$38))</f>
        <v/>
      </c>
      <c r="J98" s="26">
        <f>IF(計算用!$AA$38="","",INDEX(計算用!$C$2:$C$721,計算用!$AA$38))</f>
        <v/>
      </c>
      <c r="K98" s="25">
        <f>IF(計算用!$AB$38="","",INDEX(計算用!$A$2:$A$721,計算用!$AB$38))</f>
        <v/>
      </c>
      <c r="L98" s="26">
        <f>IF(計算用!$AB$38="","",INDEX(計算用!$C$2:$C$721,計算用!$AB$38))</f>
        <v/>
      </c>
      <c r="M98" s="25">
        <f>IF(計算用!$AC$38="","",INDEX(計算用!$A$2:$A$721,計算用!$AC$38))</f>
        <v/>
      </c>
      <c r="N98" s="26">
        <f>IF(計算用!$AC$38="","",INDEX(計算用!$C$2:$C$721,計算用!$AC$38))</f>
        <v/>
      </c>
      <c r="O98" s="25">
        <f>IF(計算用!$AD$38="","",INDEX(計算用!$A$2:$A$721,計算用!$AD$38))</f>
        <v/>
      </c>
      <c r="P98" s="26">
        <f>IF(計算用!$AD$38="","",INDEX(計算用!$C$2:$C$721,計算用!$AD$38))</f>
        <v/>
      </c>
      <c r="Q98" s="25">
        <f>IF(計算用!$AE$38="","",INDEX(計算用!$A$2:$A$721,計算用!$AE$38))</f>
        <v/>
      </c>
      <c r="R98" s="26">
        <f>IF(計算用!$AE$38="","",INDEX(計算用!$C$2:$C$721,計算用!$AE$38))</f>
        <v/>
      </c>
      <c r="S98" s="25">
        <f>IF(計算用!$AF$38="","",INDEX(計算用!$A$2:$A$721,計算用!$AF$38))</f>
        <v/>
      </c>
      <c r="T98" s="26">
        <f>IF(計算用!$AF$38="","",INDEX(計算用!$C$2:$C$721,計算用!$AF$38))</f>
        <v/>
      </c>
    </row>
    <row r="99">
      <c r="A99" s="25">
        <f>IF(計算用!$W$39="","",INDEX(計算用!$A$2:$A$721,計算用!$W$39))</f>
        <v/>
      </c>
      <c r="B99" s="26">
        <f>IF(計算用!$W$39="","",INDEX(計算用!$C$2:$C$721,計算用!$W$39))</f>
        <v/>
      </c>
      <c r="C99" s="25">
        <f>IF(計算用!$X$39="","",INDEX(計算用!$A$2:$A$721,計算用!$X$39))</f>
        <v/>
      </c>
      <c r="D99" s="26">
        <f>IF(計算用!$X$39="","",INDEX(計算用!$C$2:$C$721,計算用!$X$39))</f>
        <v/>
      </c>
      <c r="E99" s="25">
        <f>IF(計算用!$Y$39="","",INDEX(計算用!$A$2:$A$721,計算用!$Y$39))</f>
        <v/>
      </c>
      <c r="F99" s="26">
        <f>IF(計算用!$Y$39="","",INDEX(計算用!$C$2:$C$721,計算用!$Y$39))</f>
        <v/>
      </c>
      <c r="G99" s="25">
        <f>IF(計算用!$Z$39="","",INDEX(計算用!$A$2:$A$721,計算用!$Z$39))</f>
        <v/>
      </c>
      <c r="H99" s="26">
        <f>IF(計算用!$Z$39="","",INDEX(計算用!$C$2:$C$721,計算用!$Z$39))</f>
        <v/>
      </c>
      <c r="I99" s="25">
        <f>IF(計算用!$AA$39="","",INDEX(計算用!$A$2:$A$721,計算用!$AA$39))</f>
        <v/>
      </c>
      <c r="J99" s="26">
        <f>IF(計算用!$AA$39="","",INDEX(計算用!$C$2:$C$721,計算用!$AA$39))</f>
        <v/>
      </c>
      <c r="K99" s="25">
        <f>IF(計算用!$AB$39="","",INDEX(計算用!$A$2:$A$721,計算用!$AB$39))</f>
        <v/>
      </c>
      <c r="L99" s="26">
        <f>IF(計算用!$AB$39="","",INDEX(計算用!$C$2:$C$721,計算用!$AB$39))</f>
        <v/>
      </c>
      <c r="M99" s="25">
        <f>IF(計算用!$AC$39="","",INDEX(計算用!$A$2:$A$721,計算用!$AC$39))</f>
        <v/>
      </c>
      <c r="N99" s="26">
        <f>IF(計算用!$AC$39="","",INDEX(計算用!$C$2:$C$721,計算用!$AC$39))</f>
        <v/>
      </c>
      <c r="O99" s="25">
        <f>IF(計算用!$AD$39="","",INDEX(計算用!$A$2:$A$721,計算用!$AD$39))</f>
        <v/>
      </c>
      <c r="P99" s="26">
        <f>IF(計算用!$AD$39="","",INDEX(計算用!$C$2:$C$721,計算用!$AD$39))</f>
        <v/>
      </c>
      <c r="Q99" s="25">
        <f>IF(計算用!$AE$39="","",INDEX(計算用!$A$2:$A$721,計算用!$AE$39))</f>
        <v/>
      </c>
      <c r="R99" s="26">
        <f>IF(計算用!$AE$39="","",INDEX(計算用!$C$2:$C$721,計算用!$AE$39))</f>
        <v/>
      </c>
      <c r="S99" s="25">
        <f>IF(計算用!$AF$39="","",INDEX(計算用!$A$2:$A$721,計算用!$AF$39))</f>
        <v/>
      </c>
      <c r="T99" s="26">
        <f>IF(計算用!$AF$39="","",INDEX(計算用!$C$2:$C$721,計算用!$AF$39))</f>
        <v/>
      </c>
    </row>
    <row r="100">
      <c r="A100" s="25">
        <f>IF(計算用!$W$40="","",INDEX(計算用!$A$2:$A$721,計算用!$W$40))</f>
        <v/>
      </c>
      <c r="B100" s="26">
        <f>IF(計算用!$W$40="","",INDEX(計算用!$C$2:$C$721,計算用!$W$40))</f>
        <v/>
      </c>
      <c r="C100" s="25">
        <f>IF(計算用!$X$40="","",INDEX(計算用!$A$2:$A$721,計算用!$X$40))</f>
        <v/>
      </c>
      <c r="D100" s="26">
        <f>IF(計算用!$X$40="","",INDEX(計算用!$C$2:$C$721,計算用!$X$40))</f>
        <v/>
      </c>
      <c r="E100" s="25">
        <f>IF(計算用!$Y$40="","",INDEX(計算用!$A$2:$A$721,計算用!$Y$40))</f>
        <v/>
      </c>
      <c r="F100" s="26">
        <f>IF(計算用!$Y$40="","",INDEX(計算用!$C$2:$C$721,計算用!$Y$40))</f>
        <v/>
      </c>
      <c r="G100" s="25">
        <f>IF(計算用!$Z$40="","",INDEX(計算用!$A$2:$A$721,計算用!$Z$40))</f>
        <v/>
      </c>
      <c r="H100" s="26">
        <f>IF(計算用!$Z$40="","",INDEX(計算用!$C$2:$C$721,計算用!$Z$40))</f>
        <v/>
      </c>
      <c r="I100" s="25">
        <f>IF(計算用!$AA$40="","",INDEX(計算用!$A$2:$A$721,計算用!$AA$40))</f>
        <v/>
      </c>
      <c r="J100" s="26">
        <f>IF(計算用!$AA$40="","",INDEX(計算用!$C$2:$C$721,計算用!$AA$40))</f>
        <v/>
      </c>
      <c r="K100" s="25">
        <f>IF(計算用!$AB$40="","",INDEX(計算用!$A$2:$A$721,計算用!$AB$40))</f>
        <v/>
      </c>
      <c r="L100" s="26">
        <f>IF(計算用!$AB$40="","",INDEX(計算用!$C$2:$C$721,計算用!$AB$40))</f>
        <v/>
      </c>
      <c r="M100" s="25">
        <f>IF(計算用!$AC$40="","",INDEX(計算用!$A$2:$A$721,計算用!$AC$40))</f>
        <v/>
      </c>
      <c r="N100" s="26">
        <f>IF(計算用!$AC$40="","",INDEX(計算用!$C$2:$C$721,計算用!$AC$40))</f>
        <v/>
      </c>
      <c r="O100" s="25">
        <f>IF(計算用!$AD$40="","",INDEX(計算用!$A$2:$A$721,計算用!$AD$40))</f>
        <v/>
      </c>
      <c r="P100" s="26">
        <f>IF(計算用!$AD$40="","",INDEX(計算用!$C$2:$C$721,計算用!$AD$40))</f>
        <v/>
      </c>
      <c r="Q100" s="25">
        <f>IF(計算用!$AE$40="","",INDEX(計算用!$A$2:$A$721,計算用!$AE$40))</f>
        <v/>
      </c>
      <c r="R100" s="26">
        <f>IF(計算用!$AE$40="","",INDEX(計算用!$C$2:$C$721,計算用!$AE$40))</f>
        <v/>
      </c>
      <c r="S100" s="25">
        <f>IF(計算用!$AF$40="","",INDEX(計算用!$A$2:$A$721,計算用!$AF$40))</f>
        <v/>
      </c>
      <c r="T100" s="26">
        <f>IF(計算用!$AF$40="","",INDEX(計算用!$C$2:$C$721,計算用!$AF$40))</f>
        <v/>
      </c>
    </row>
    <row r="101">
      <c r="A101" s="25">
        <f>IF(計算用!$W$41="","",INDEX(計算用!$A$2:$A$721,計算用!$W$41))</f>
        <v/>
      </c>
      <c r="B101" s="26">
        <f>IF(計算用!$W$41="","",INDEX(計算用!$C$2:$C$721,計算用!$W$41))</f>
        <v/>
      </c>
      <c r="C101" s="25">
        <f>IF(計算用!$X$41="","",INDEX(計算用!$A$2:$A$721,計算用!$X$41))</f>
        <v/>
      </c>
      <c r="D101" s="26">
        <f>IF(計算用!$X$41="","",INDEX(計算用!$C$2:$C$721,計算用!$X$41))</f>
        <v/>
      </c>
      <c r="E101" s="25">
        <f>IF(計算用!$Y$41="","",INDEX(計算用!$A$2:$A$721,計算用!$Y$41))</f>
        <v/>
      </c>
      <c r="F101" s="26">
        <f>IF(計算用!$Y$41="","",INDEX(計算用!$C$2:$C$721,計算用!$Y$41))</f>
        <v/>
      </c>
      <c r="G101" s="25">
        <f>IF(計算用!$Z$41="","",INDEX(計算用!$A$2:$A$721,計算用!$Z$41))</f>
        <v/>
      </c>
      <c r="H101" s="26">
        <f>IF(計算用!$Z$41="","",INDEX(計算用!$C$2:$C$721,計算用!$Z$41))</f>
        <v/>
      </c>
      <c r="I101" s="25">
        <f>IF(計算用!$AA$41="","",INDEX(計算用!$A$2:$A$721,計算用!$AA$41))</f>
        <v/>
      </c>
      <c r="J101" s="26">
        <f>IF(計算用!$AA$41="","",INDEX(計算用!$C$2:$C$721,計算用!$AA$41))</f>
        <v/>
      </c>
      <c r="K101" s="25">
        <f>IF(計算用!$AB$41="","",INDEX(計算用!$A$2:$A$721,計算用!$AB$41))</f>
        <v/>
      </c>
      <c r="L101" s="26">
        <f>IF(計算用!$AB$41="","",INDEX(計算用!$C$2:$C$721,計算用!$AB$41))</f>
        <v/>
      </c>
      <c r="M101" s="25">
        <f>IF(計算用!$AC$41="","",INDEX(計算用!$A$2:$A$721,計算用!$AC$41))</f>
        <v/>
      </c>
      <c r="N101" s="26">
        <f>IF(計算用!$AC$41="","",INDEX(計算用!$C$2:$C$721,計算用!$AC$41))</f>
        <v/>
      </c>
      <c r="O101" s="25">
        <f>IF(計算用!$AD$41="","",INDEX(計算用!$A$2:$A$721,計算用!$AD$41))</f>
        <v/>
      </c>
      <c r="P101" s="26">
        <f>IF(計算用!$AD$41="","",INDEX(計算用!$C$2:$C$721,計算用!$AD$41))</f>
        <v/>
      </c>
      <c r="Q101" s="25">
        <f>IF(計算用!$AE$41="","",INDEX(計算用!$A$2:$A$721,計算用!$AE$41))</f>
        <v/>
      </c>
      <c r="R101" s="26">
        <f>IF(計算用!$AE$41="","",INDEX(計算用!$C$2:$C$721,計算用!$AE$41))</f>
        <v/>
      </c>
      <c r="S101" s="25">
        <f>IF(計算用!$AF$41="","",INDEX(計算用!$A$2:$A$721,計算用!$AF$41))</f>
        <v/>
      </c>
      <c r="T101" s="26">
        <f>IF(計算用!$AF$41="","",INDEX(計算用!$C$2:$C$721,計算用!$AF$41))</f>
        <v/>
      </c>
    </row>
    <row r="102">
      <c r="A102" s="25">
        <f>IF(計算用!$W$42="","",INDEX(計算用!$A$2:$A$721,計算用!$W$42))</f>
        <v/>
      </c>
      <c r="B102" s="26">
        <f>IF(計算用!$W$42="","",INDEX(計算用!$C$2:$C$721,計算用!$W$42))</f>
        <v/>
      </c>
      <c r="C102" s="25">
        <f>IF(計算用!$X$42="","",INDEX(計算用!$A$2:$A$721,計算用!$X$42))</f>
        <v/>
      </c>
      <c r="D102" s="26">
        <f>IF(計算用!$X$42="","",INDEX(計算用!$C$2:$C$721,計算用!$X$42))</f>
        <v/>
      </c>
      <c r="E102" s="25">
        <f>IF(計算用!$Y$42="","",INDEX(計算用!$A$2:$A$721,計算用!$Y$42))</f>
        <v/>
      </c>
      <c r="F102" s="26">
        <f>IF(計算用!$Y$42="","",INDEX(計算用!$C$2:$C$721,計算用!$Y$42))</f>
        <v/>
      </c>
      <c r="G102" s="25">
        <f>IF(計算用!$Z$42="","",INDEX(計算用!$A$2:$A$721,計算用!$Z$42))</f>
        <v/>
      </c>
      <c r="H102" s="26">
        <f>IF(計算用!$Z$42="","",INDEX(計算用!$C$2:$C$721,計算用!$Z$42))</f>
        <v/>
      </c>
      <c r="I102" s="25">
        <f>IF(計算用!$AA$42="","",INDEX(計算用!$A$2:$A$721,計算用!$AA$42))</f>
        <v/>
      </c>
      <c r="J102" s="26">
        <f>IF(計算用!$AA$42="","",INDEX(計算用!$C$2:$C$721,計算用!$AA$42))</f>
        <v/>
      </c>
      <c r="K102" s="25">
        <f>IF(計算用!$AB$42="","",INDEX(計算用!$A$2:$A$721,計算用!$AB$42))</f>
        <v/>
      </c>
      <c r="L102" s="26">
        <f>IF(計算用!$AB$42="","",INDEX(計算用!$C$2:$C$721,計算用!$AB$42))</f>
        <v/>
      </c>
      <c r="M102" s="25">
        <f>IF(計算用!$AC$42="","",INDEX(計算用!$A$2:$A$721,計算用!$AC$42))</f>
        <v/>
      </c>
      <c r="N102" s="26">
        <f>IF(計算用!$AC$42="","",INDEX(計算用!$C$2:$C$721,計算用!$AC$42))</f>
        <v/>
      </c>
      <c r="O102" s="25">
        <f>IF(計算用!$AD$42="","",INDEX(計算用!$A$2:$A$721,計算用!$AD$42))</f>
        <v/>
      </c>
      <c r="P102" s="26">
        <f>IF(計算用!$AD$42="","",INDEX(計算用!$C$2:$C$721,計算用!$AD$42))</f>
        <v/>
      </c>
      <c r="Q102" s="25">
        <f>IF(計算用!$AE$42="","",INDEX(計算用!$A$2:$A$721,計算用!$AE$42))</f>
        <v/>
      </c>
      <c r="R102" s="26">
        <f>IF(計算用!$AE$42="","",INDEX(計算用!$C$2:$C$721,計算用!$AE$42))</f>
        <v/>
      </c>
      <c r="S102" s="25">
        <f>IF(計算用!$AF$42="","",INDEX(計算用!$A$2:$A$721,計算用!$AF$42))</f>
        <v/>
      </c>
      <c r="T102" s="26">
        <f>IF(計算用!$AF$42="","",INDEX(計算用!$C$2:$C$721,計算用!$AF$42))</f>
        <v/>
      </c>
    </row>
    <row r="103">
      <c r="A103" s="25">
        <f>IF(計算用!$W$43="","",INDEX(計算用!$A$2:$A$721,計算用!$W$43))</f>
        <v/>
      </c>
      <c r="B103" s="26">
        <f>IF(計算用!$W$43="","",INDEX(計算用!$C$2:$C$721,計算用!$W$43))</f>
        <v/>
      </c>
      <c r="C103" s="25">
        <f>IF(計算用!$X$43="","",INDEX(計算用!$A$2:$A$721,計算用!$X$43))</f>
        <v/>
      </c>
      <c r="D103" s="26">
        <f>IF(計算用!$X$43="","",INDEX(計算用!$C$2:$C$721,計算用!$X$43))</f>
        <v/>
      </c>
      <c r="E103" s="25">
        <f>IF(計算用!$Y$43="","",INDEX(計算用!$A$2:$A$721,計算用!$Y$43))</f>
        <v/>
      </c>
      <c r="F103" s="26">
        <f>IF(計算用!$Y$43="","",INDEX(計算用!$C$2:$C$721,計算用!$Y$43))</f>
        <v/>
      </c>
      <c r="G103" s="25">
        <f>IF(計算用!$Z$43="","",INDEX(計算用!$A$2:$A$721,計算用!$Z$43))</f>
        <v/>
      </c>
      <c r="H103" s="26">
        <f>IF(計算用!$Z$43="","",INDEX(計算用!$C$2:$C$721,計算用!$Z$43))</f>
        <v/>
      </c>
      <c r="I103" s="25">
        <f>IF(計算用!$AA$43="","",INDEX(計算用!$A$2:$A$721,計算用!$AA$43))</f>
        <v/>
      </c>
      <c r="J103" s="26">
        <f>IF(計算用!$AA$43="","",INDEX(計算用!$C$2:$C$721,計算用!$AA$43))</f>
        <v/>
      </c>
      <c r="K103" s="25">
        <f>IF(計算用!$AB$43="","",INDEX(計算用!$A$2:$A$721,計算用!$AB$43))</f>
        <v/>
      </c>
      <c r="L103" s="26">
        <f>IF(計算用!$AB$43="","",INDEX(計算用!$C$2:$C$721,計算用!$AB$43))</f>
        <v/>
      </c>
      <c r="M103" s="25">
        <f>IF(計算用!$AC$43="","",INDEX(計算用!$A$2:$A$721,計算用!$AC$43))</f>
        <v/>
      </c>
      <c r="N103" s="26">
        <f>IF(計算用!$AC$43="","",INDEX(計算用!$C$2:$C$721,計算用!$AC$43))</f>
        <v/>
      </c>
      <c r="O103" s="25">
        <f>IF(計算用!$AD$43="","",INDEX(計算用!$A$2:$A$721,計算用!$AD$43))</f>
        <v/>
      </c>
      <c r="P103" s="26">
        <f>IF(計算用!$AD$43="","",INDEX(計算用!$C$2:$C$721,計算用!$AD$43))</f>
        <v/>
      </c>
      <c r="Q103" s="25">
        <f>IF(計算用!$AE$43="","",INDEX(計算用!$A$2:$A$721,計算用!$AE$43))</f>
        <v/>
      </c>
      <c r="R103" s="26">
        <f>IF(計算用!$AE$43="","",INDEX(計算用!$C$2:$C$721,計算用!$AE$43))</f>
        <v/>
      </c>
      <c r="S103" s="25">
        <f>IF(計算用!$AF$43="","",INDEX(計算用!$A$2:$A$721,計算用!$AF$43))</f>
        <v/>
      </c>
      <c r="T103" s="26">
        <f>IF(計算用!$AF$43="","",INDEX(計算用!$C$2:$C$721,計算用!$AF$43))</f>
        <v/>
      </c>
    </row>
    <row r="104">
      <c r="A104" s="25">
        <f>IF(計算用!$W$44="","",INDEX(計算用!$A$2:$A$721,計算用!$W$44))</f>
        <v/>
      </c>
      <c r="B104" s="26">
        <f>IF(計算用!$W$44="","",INDEX(計算用!$C$2:$C$721,計算用!$W$44))</f>
        <v/>
      </c>
      <c r="C104" s="25">
        <f>IF(計算用!$X$44="","",INDEX(計算用!$A$2:$A$721,計算用!$X$44))</f>
        <v/>
      </c>
      <c r="D104" s="26">
        <f>IF(計算用!$X$44="","",INDEX(計算用!$C$2:$C$721,計算用!$X$44))</f>
        <v/>
      </c>
      <c r="E104" s="25">
        <f>IF(計算用!$Y$44="","",INDEX(計算用!$A$2:$A$721,計算用!$Y$44))</f>
        <v/>
      </c>
      <c r="F104" s="26">
        <f>IF(計算用!$Y$44="","",INDEX(計算用!$C$2:$C$721,計算用!$Y$44))</f>
        <v/>
      </c>
      <c r="G104" s="25">
        <f>IF(計算用!$Z$44="","",INDEX(計算用!$A$2:$A$721,計算用!$Z$44))</f>
        <v/>
      </c>
      <c r="H104" s="26">
        <f>IF(計算用!$Z$44="","",INDEX(計算用!$C$2:$C$721,計算用!$Z$44))</f>
        <v/>
      </c>
      <c r="I104" s="25">
        <f>IF(計算用!$AA$44="","",INDEX(計算用!$A$2:$A$721,計算用!$AA$44))</f>
        <v/>
      </c>
      <c r="J104" s="26">
        <f>IF(計算用!$AA$44="","",INDEX(計算用!$C$2:$C$721,計算用!$AA$44))</f>
        <v/>
      </c>
      <c r="K104" s="25">
        <f>IF(計算用!$AB$44="","",INDEX(計算用!$A$2:$A$721,計算用!$AB$44))</f>
        <v/>
      </c>
      <c r="L104" s="26">
        <f>IF(計算用!$AB$44="","",INDEX(計算用!$C$2:$C$721,計算用!$AB$44))</f>
        <v/>
      </c>
      <c r="M104" s="25">
        <f>IF(計算用!$AC$44="","",INDEX(計算用!$A$2:$A$721,計算用!$AC$44))</f>
        <v/>
      </c>
      <c r="N104" s="26">
        <f>IF(計算用!$AC$44="","",INDEX(計算用!$C$2:$C$721,計算用!$AC$44))</f>
        <v/>
      </c>
      <c r="O104" s="25">
        <f>IF(計算用!$AD$44="","",INDEX(計算用!$A$2:$A$721,計算用!$AD$44))</f>
        <v/>
      </c>
      <c r="P104" s="26">
        <f>IF(計算用!$AD$44="","",INDEX(計算用!$C$2:$C$721,計算用!$AD$44))</f>
        <v/>
      </c>
      <c r="Q104" s="25">
        <f>IF(計算用!$AE$44="","",INDEX(計算用!$A$2:$A$721,計算用!$AE$44))</f>
        <v/>
      </c>
      <c r="R104" s="26">
        <f>IF(計算用!$AE$44="","",INDEX(計算用!$C$2:$C$721,計算用!$AE$44))</f>
        <v/>
      </c>
      <c r="S104" s="25">
        <f>IF(計算用!$AF$44="","",INDEX(計算用!$A$2:$A$721,計算用!$AF$44))</f>
        <v/>
      </c>
      <c r="T104" s="26">
        <f>IF(計算用!$AF$44="","",INDEX(計算用!$C$2:$C$721,計算用!$AF$44))</f>
        <v/>
      </c>
    </row>
    <row r="105">
      <c r="A105" s="25">
        <f>IF(計算用!$W$45="","",INDEX(計算用!$A$2:$A$721,計算用!$W$45))</f>
        <v/>
      </c>
      <c r="B105" s="26">
        <f>IF(計算用!$W$45="","",INDEX(計算用!$C$2:$C$721,計算用!$W$45))</f>
        <v/>
      </c>
      <c r="C105" s="25">
        <f>IF(計算用!$X$45="","",INDEX(計算用!$A$2:$A$721,計算用!$X$45))</f>
        <v/>
      </c>
      <c r="D105" s="26">
        <f>IF(計算用!$X$45="","",INDEX(計算用!$C$2:$C$721,計算用!$X$45))</f>
        <v/>
      </c>
      <c r="E105" s="25">
        <f>IF(計算用!$Y$45="","",INDEX(計算用!$A$2:$A$721,計算用!$Y$45))</f>
        <v/>
      </c>
      <c r="F105" s="26">
        <f>IF(計算用!$Y$45="","",INDEX(計算用!$C$2:$C$721,計算用!$Y$45))</f>
        <v/>
      </c>
      <c r="G105" s="25">
        <f>IF(計算用!$Z$45="","",INDEX(計算用!$A$2:$A$721,計算用!$Z$45))</f>
        <v/>
      </c>
      <c r="H105" s="26">
        <f>IF(計算用!$Z$45="","",INDEX(計算用!$C$2:$C$721,計算用!$Z$45))</f>
        <v/>
      </c>
      <c r="I105" s="25">
        <f>IF(計算用!$AA$45="","",INDEX(計算用!$A$2:$A$721,計算用!$AA$45))</f>
        <v/>
      </c>
      <c r="J105" s="26">
        <f>IF(計算用!$AA$45="","",INDEX(計算用!$C$2:$C$721,計算用!$AA$45))</f>
        <v/>
      </c>
      <c r="K105" s="25">
        <f>IF(計算用!$AB$45="","",INDEX(計算用!$A$2:$A$721,計算用!$AB$45))</f>
        <v/>
      </c>
      <c r="L105" s="26">
        <f>IF(計算用!$AB$45="","",INDEX(計算用!$C$2:$C$721,計算用!$AB$45))</f>
        <v/>
      </c>
      <c r="M105" s="25">
        <f>IF(計算用!$AC$45="","",INDEX(計算用!$A$2:$A$721,計算用!$AC$45))</f>
        <v/>
      </c>
      <c r="N105" s="26">
        <f>IF(計算用!$AC$45="","",INDEX(計算用!$C$2:$C$721,計算用!$AC$45))</f>
        <v/>
      </c>
      <c r="O105" s="25">
        <f>IF(計算用!$AD$45="","",INDEX(計算用!$A$2:$A$721,計算用!$AD$45))</f>
        <v/>
      </c>
      <c r="P105" s="26">
        <f>IF(計算用!$AD$45="","",INDEX(計算用!$C$2:$C$721,計算用!$AD$45))</f>
        <v/>
      </c>
      <c r="Q105" s="25">
        <f>IF(計算用!$AE$45="","",INDEX(計算用!$A$2:$A$721,計算用!$AE$45))</f>
        <v/>
      </c>
      <c r="R105" s="26">
        <f>IF(計算用!$AE$45="","",INDEX(計算用!$C$2:$C$721,計算用!$AE$45))</f>
        <v/>
      </c>
      <c r="S105" s="25">
        <f>IF(計算用!$AF$45="","",INDEX(計算用!$A$2:$A$721,計算用!$AF$45))</f>
        <v/>
      </c>
      <c r="T105" s="26">
        <f>IF(計算用!$AF$45="","",INDEX(計算用!$C$2:$C$721,計算用!$AF$45))</f>
        <v/>
      </c>
    </row>
    <row r="106">
      <c r="A106" s="25">
        <f>IF(計算用!$W$46="","",INDEX(計算用!$A$2:$A$721,計算用!$W$46))</f>
        <v/>
      </c>
      <c r="B106" s="26">
        <f>IF(計算用!$W$46="","",INDEX(計算用!$C$2:$C$721,計算用!$W$46))</f>
        <v/>
      </c>
      <c r="C106" s="25">
        <f>IF(計算用!$X$46="","",INDEX(計算用!$A$2:$A$721,計算用!$X$46))</f>
        <v/>
      </c>
      <c r="D106" s="26">
        <f>IF(計算用!$X$46="","",INDEX(計算用!$C$2:$C$721,計算用!$X$46))</f>
        <v/>
      </c>
      <c r="E106" s="25">
        <f>IF(計算用!$Y$46="","",INDEX(計算用!$A$2:$A$721,計算用!$Y$46))</f>
        <v/>
      </c>
      <c r="F106" s="26">
        <f>IF(計算用!$Y$46="","",INDEX(計算用!$C$2:$C$721,計算用!$Y$46))</f>
        <v/>
      </c>
      <c r="G106" s="25">
        <f>IF(計算用!$Z$46="","",INDEX(計算用!$A$2:$A$721,計算用!$Z$46))</f>
        <v/>
      </c>
      <c r="H106" s="26">
        <f>IF(計算用!$Z$46="","",INDEX(計算用!$C$2:$C$721,計算用!$Z$46))</f>
        <v/>
      </c>
      <c r="I106" s="25">
        <f>IF(計算用!$AA$46="","",INDEX(計算用!$A$2:$A$721,計算用!$AA$46))</f>
        <v/>
      </c>
      <c r="J106" s="26">
        <f>IF(計算用!$AA$46="","",INDEX(計算用!$C$2:$C$721,計算用!$AA$46))</f>
        <v/>
      </c>
      <c r="K106" s="25">
        <f>IF(計算用!$AB$46="","",INDEX(計算用!$A$2:$A$721,計算用!$AB$46))</f>
        <v/>
      </c>
      <c r="L106" s="26">
        <f>IF(計算用!$AB$46="","",INDEX(計算用!$C$2:$C$721,計算用!$AB$46))</f>
        <v/>
      </c>
      <c r="M106" s="25">
        <f>IF(計算用!$AC$46="","",INDEX(計算用!$A$2:$A$721,計算用!$AC$46))</f>
        <v/>
      </c>
      <c r="N106" s="26">
        <f>IF(計算用!$AC$46="","",INDEX(計算用!$C$2:$C$721,計算用!$AC$46))</f>
        <v/>
      </c>
      <c r="O106" s="25">
        <f>IF(計算用!$AD$46="","",INDEX(計算用!$A$2:$A$721,計算用!$AD$46))</f>
        <v/>
      </c>
      <c r="P106" s="26">
        <f>IF(計算用!$AD$46="","",INDEX(計算用!$C$2:$C$721,計算用!$AD$46))</f>
        <v/>
      </c>
      <c r="Q106" s="25">
        <f>IF(計算用!$AE$46="","",INDEX(計算用!$A$2:$A$721,計算用!$AE$46))</f>
        <v/>
      </c>
      <c r="R106" s="26">
        <f>IF(計算用!$AE$46="","",INDEX(計算用!$C$2:$C$721,計算用!$AE$46))</f>
        <v/>
      </c>
      <c r="S106" s="25">
        <f>IF(計算用!$AF$46="","",INDEX(計算用!$A$2:$A$721,計算用!$AF$46))</f>
        <v/>
      </c>
      <c r="T106" s="26">
        <f>IF(計算用!$AF$46="","",INDEX(計算用!$C$2:$C$721,計算用!$AF$46))</f>
        <v/>
      </c>
    </row>
    <row r="107">
      <c r="A107" s="25">
        <f>IF(計算用!$W$47="","",INDEX(計算用!$A$2:$A$721,計算用!$W$47))</f>
        <v/>
      </c>
      <c r="B107" s="26">
        <f>IF(計算用!$W$47="","",INDEX(計算用!$C$2:$C$721,計算用!$W$47))</f>
        <v/>
      </c>
      <c r="C107" s="25">
        <f>IF(計算用!$X$47="","",INDEX(計算用!$A$2:$A$721,計算用!$X$47))</f>
        <v/>
      </c>
      <c r="D107" s="26">
        <f>IF(計算用!$X$47="","",INDEX(計算用!$C$2:$C$721,計算用!$X$47))</f>
        <v/>
      </c>
      <c r="E107" s="25">
        <f>IF(計算用!$Y$47="","",INDEX(計算用!$A$2:$A$721,計算用!$Y$47))</f>
        <v/>
      </c>
      <c r="F107" s="26">
        <f>IF(計算用!$Y$47="","",INDEX(計算用!$C$2:$C$721,計算用!$Y$47))</f>
        <v/>
      </c>
      <c r="G107" s="25">
        <f>IF(計算用!$Z$47="","",INDEX(計算用!$A$2:$A$721,計算用!$Z$47))</f>
        <v/>
      </c>
      <c r="H107" s="26">
        <f>IF(計算用!$Z$47="","",INDEX(計算用!$C$2:$C$721,計算用!$Z$47))</f>
        <v/>
      </c>
      <c r="I107" s="25">
        <f>IF(計算用!$AA$47="","",INDEX(計算用!$A$2:$A$721,計算用!$AA$47))</f>
        <v/>
      </c>
      <c r="J107" s="26">
        <f>IF(計算用!$AA$47="","",INDEX(計算用!$C$2:$C$721,計算用!$AA$47))</f>
        <v/>
      </c>
      <c r="K107" s="25">
        <f>IF(計算用!$AB$47="","",INDEX(計算用!$A$2:$A$721,計算用!$AB$47))</f>
        <v/>
      </c>
      <c r="L107" s="26">
        <f>IF(計算用!$AB$47="","",INDEX(計算用!$C$2:$C$721,計算用!$AB$47))</f>
        <v/>
      </c>
      <c r="M107" s="25">
        <f>IF(計算用!$AC$47="","",INDEX(計算用!$A$2:$A$721,計算用!$AC$47))</f>
        <v/>
      </c>
      <c r="N107" s="26">
        <f>IF(計算用!$AC$47="","",INDEX(計算用!$C$2:$C$721,計算用!$AC$47))</f>
        <v/>
      </c>
      <c r="O107" s="25">
        <f>IF(計算用!$AD$47="","",INDEX(計算用!$A$2:$A$721,計算用!$AD$47))</f>
        <v/>
      </c>
      <c r="P107" s="26">
        <f>IF(計算用!$AD$47="","",INDEX(計算用!$C$2:$C$721,計算用!$AD$47))</f>
        <v/>
      </c>
      <c r="Q107" s="25">
        <f>IF(計算用!$AE$47="","",INDEX(計算用!$A$2:$A$721,計算用!$AE$47))</f>
        <v/>
      </c>
      <c r="R107" s="26">
        <f>IF(計算用!$AE$47="","",INDEX(計算用!$C$2:$C$721,計算用!$AE$47))</f>
        <v/>
      </c>
      <c r="S107" s="25">
        <f>IF(計算用!$AF$47="","",INDEX(計算用!$A$2:$A$721,計算用!$AF$47))</f>
        <v/>
      </c>
      <c r="T107" s="26">
        <f>IF(計算用!$AF$47="","",INDEX(計算用!$C$2:$C$721,計算用!$AF$47))</f>
        <v/>
      </c>
    </row>
    <row r="108">
      <c r="A108" s="25">
        <f>IF(計算用!$W$48="","",INDEX(計算用!$A$2:$A$721,計算用!$W$48))</f>
        <v/>
      </c>
      <c r="B108" s="26">
        <f>IF(計算用!$W$48="","",INDEX(計算用!$C$2:$C$721,計算用!$W$48))</f>
        <v/>
      </c>
      <c r="C108" s="25">
        <f>IF(計算用!$X$48="","",INDEX(計算用!$A$2:$A$721,計算用!$X$48))</f>
        <v/>
      </c>
      <c r="D108" s="26">
        <f>IF(計算用!$X$48="","",INDEX(計算用!$C$2:$C$721,計算用!$X$48))</f>
        <v/>
      </c>
      <c r="E108" s="25">
        <f>IF(計算用!$Y$48="","",INDEX(計算用!$A$2:$A$721,計算用!$Y$48))</f>
        <v/>
      </c>
      <c r="F108" s="26">
        <f>IF(計算用!$Y$48="","",INDEX(計算用!$C$2:$C$721,計算用!$Y$48))</f>
        <v/>
      </c>
      <c r="G108" s="25">
        <f>IF(計算用!$Z$48="","",INDEX(計算用!$A$2:$A$721,計算用!$Z$48))</f>
        <v/>
      </c>
      <c r="H108" s="26">
        <f>IF(計算用!$Z$48="","",INDEX(計算用!$C$2:$C$721,計算用!$Z$48))</f>
        <v/>
      </c>
      <c r="I108" s="25">
        <f>IF(計算用!$AA$48="","",INDEX(計算用!$A$2:$A$721,計算用!$AA$48))</f>
        <v/>
      </c>
      <c r="J108" s="26">
        <f>IF(計算用!$AA$48="","",INDEX(計算用!$C$2:$C$721,計算用!$AA$48))</f>
        <v/>
      </c>
      <c r="K108" s="25">
        <f>IF(計算用!$AB$48="","",INDEX(計算用!$A$2:$A$721,計算用!$AB$48))</f>
        <v/>
      </c>
      <c r="L108" s="26">
        <f>IF(計算用!$AB$48="","",INDEX(計算用!$C$2:$C$721,計算用!$AB$48))</f>
        <v/>
      </c>
      <c r="M108" s="25">
        <f>IF(計算用!$AC$48="","",INDEX(計算用!$A$2:$A$721,計算用!$AC$48))</f>
        <v/>
      </c>
      <c r="N108" s="26">
        <f>IF(計算用!$AC$48="","",INDEX(計算用!$C$2:$C$721,計算用!$AC$48))</f>
        <v/>
      </c>
      <c r="O108" s="25">
        <f>IF(計算用!$AD$48="","",INDEX(計算用!$A$2:$A$721,計算用!$AD$48))</f>
        <v/>
      </c>
      <c r="P108" s="26">
        <f>IF(計算用!$AD$48="","",INDEX(計算用!$C$2:$C$721,計算用!$AD$48))</f>
        <v/>
      </c>
      <c r="Q108" s="25">
        <f>IF(計算用!$AE$48="","",INDEX(計算用!$A$2:$A$721,計算用!$AE$48))</f>
        <v/>
      </c>
      <c r="R108" s="26">
        <f>IF(計算用!$AE$48="","",INDEX(計算用!$C$2:$C$721,計算用!$AE$48))</f>
        <v/>
      </c>
      <c r="S108" s="25">
        <f>IF(計算用!$AF$48="","",INDEX(計算用!$A$2:$A$721,計算用!$AF$48))</f>
        <v/>
      </c>
      <c r="T108" s="26">
        <f>IF(計算用!$AF$48="","",INDEX(計算用!$C$2:$C$721,計算用!$AF$48))</f>
        <v/>
      </c>
    </row>
    <row r="109">
      <c r="A109" s="25">
        <f>IF(計算用!$W$49="","",INDEX(計算用!$A$2:$A$721,計算用!$W$49))</f>
        <v/>
      </c>
      <c r="B109" s="26">
        <f>IF(計算用!$W$49="","",INDEX(計算用!$C$2:$C$721,計算用!$W$49))</f>
        <v/>
      </c>
      <c r="C109" s="25">
        <f>IF(計算用!$X$49="","",INDEX(計算用!$A$2:$A$721,計算用!$X$49))</f>
        <v/>
      </c>
      <c r="D109" s="26">
        <f>IF(計算用!$X$49="","",INDEX(計算用!$C$2:$C$721,計算用!$X$49))</f>
        <v/>
      </c>
      <c r="E109" s="25">
        <f>IF(計算用!$Y$49="","",INDEX(計算用!$A$2:$A$721,計算用!$Y$49))</f>
        <v/>
      </c>
      <c r="F109" s="26">
        <f>IF(計算用!$Y$49="","",INDEX(計算用!$C$2:$C$721,計算用!$Y$49))</f>
        <v/>
      </c>
      <c r="G109" s="25">
        <f>IF(計算用!$Z$49="","",INDEX(計算用!$A$2:$A$721,計算用!$Z$49))</f>
        <v/>
      </c>
      <c r="H109" s="26">
        <f>IF(計算用!$Z$49="","",INDEX(計算用!$C$2:$C$721,計算用!$Z$49))</f>
        <v/>
      </c>
      <c r="I109" s="25">
        <f>IF(計算用!$AA$49="","",INDEX(計算用!$A$2:$A$721,計算用!$AA$49))</f>
        <v/>
      </c>
      <c r="J109" s="26">
        <f>IF(計算用!$AA$49="","",INDEX(計算用!$C$2:$C$721,計算用!$AA$49))</f>
        <v/>
      </c>
      <c r="K109" s="25">
        <f>IF(計算用!$AB$49="","",INDEX(計算用!$A$2:$A$721,計算用!$AB$49))</f>
        <v/>
      </c>
      <c r="L109" s="26">
        <f>IF(計算用!$AB$49="","",INDEX(計算用!$C$2:$C$721,計算用!$AB$49))</f>
        <v/>
      </c>
      <c r="M109" s="25">
        <f>IF(計算用!$AC$49="","",INDEX(計算用!$A$2:$A$721,計算用!$AC$49))</f>
        <v/>
      </c>
      <c r="N109" s="26">
        <f>IF(計算用!$AC$49="","",INDEX(計算用!$C$2:$C$721,計算用!$AC$49))</f>
        <v/>
      </c>
      <c r="O109" s="25">
        <f>IF(計算用!$AD$49="","",INDEX(計算用!$A$2:$A$721,計算用!$AD$49))</f>
        <v/>
      </c>
      <c r="P109" s="26">
        <f>IF(計算用!$AD$49="","",INDEX(計算用!$C$2:$C$721,計算用!$AD$49))</f>
        <v/>
      </c>
      <c r="Q109" s="25">
        <f>IF(計算用!$AE$49="","",INDEX(計算用!$A$2:$A$721,計算用!$AE$49))</f>
        <v/>
      </c>
      <c r="R109" s="26">
        <f>IF(計算用!$AE$49="","",INDEX(計算用!$C$2:$C$721,計算用!$AE$49))</f>
        <v/>
      </c>
      <c r="S109" s="25">
        <f>IF(計算用!$AF$49="","",INDEX(計算用!$A$2:$A$721,計算用!$AF$49))</f>
        <v/>
      </c>
      <c r="T109" s="26">
        <f>IF(計算用!$AF$49="","",INDEX(計算用!$C$2:$C$721,計算用!$AF$49))</f>
        <v/>
      </c>
    </row>
    <row r="110">
      <c r="A110" s="25">
        <f>IF(計算用!$W$50="","",INDEX(計算用!$A$2:$A$721,計算用!$W$50))</f>
        <v/>
      </c>
      <c r="B110" s="26">
        <f>IF(計算用!$W$50="","",INDEX(計算用!$C$2:$C$721,計算用!$W$50))</f>
        <v/>
      </c>
      <c r="C110" s="25">
        <f>IF(計算用!$X$50="","",INDEX(計算用!$A$2:$A$721,計算用!$X$50))</f>
        <v/>
      </c>
      <c r="D110" s="26">
        <f>IF(計算用!$X$50="","",INDEX(計算用!$C$2:$C$721,計算用!$X$50))</f>
        <v/>
      </c>
      <c r="E110" s="25">
        <f>IF(計算用!$Y$50="","",INDEX(計算用!$A$2:$A$721,計算用!$Y$50))</f>
        <v/>
      </c>
      <c r="F110" s="26">
        <f>IF(計算用!$Y$50="","",INDEX(計算用!$C$2:$C$721,計算用!$Y$50))</f>
        <v/>
      </c>
      <c r="G110" s="25">
        <f>IF(計算用!$Z$50="","",INDEX(計算用!$A$2:$A$721,計算用!$Z$50))</f>
        <v/>
      </c>
      <c r="H110" s="26">
        <f>IF(計算用!$Z$50="","",INDEX(計算用!$C$2:$C$721,計算用!$Z$50))</f>
        <v/>
      </c>
      <c r="I110" s="25">
        <f>IF(計算用!$AA$50="","",INDEX(計算用!$A$2:$A$721,計算用!$AA$50))</f>
        <v/>
      </c>
      <c r="J110" s="26">
        <f>IF(計算用!$AA$50="","",INDEX(計算用!$C$2:$C$721,計算用!$AA$50))</f>
        <v/>
      </c>
      <c r="K110" s="25">
        <f>IF(計算用!$AB$50="","",INDEX(計算用!$A$2:$A$721,計算用!$AB$50))</f>
        <v/>
      </c>
      <c r="L110" s="26">
        <f>IF(計算用!$AB$50="","",INDEX(計算用!$C$2:$C$721,計算用!$AB$50))</f>
        <v/>
      </c>
      <c r="M110" s="25">
        <f>IF(計算用!$AC$50="","",INDEX(計算用!$A$2:$A$721,計算用!$AC$50))</f>
        <v/>
      </c>
      <c r="N110" s="26">
        <f>IF(計算用!$AC$50="","",INDEX(計算用!$C$2:$C$721,計算用!$AC$50))</f>
        <v/>
      </c>
      <c r="O110" s="25">
        <f>IF(計算用!$AD$50="","",INDEX(計算用!$A$2:$A$721,計算用!$AD$50))</f>
        <v/>
      </c>
      <c r="P110" s="26">
        <f>IF(計算用!$AD$50="","",INDEX(計算用!$C$2:$C$721,計算用!$AD$50))</f>
        <v/>
      </c>
      <c r="Q110" s="25">
        <f>IF(計算用!$AE$50="","",INDEX(計算用!$A$2:$A$721,計算用!$AE$50))</f>
        <v/>
      </c>
      <c r="R110" s="26">
        <f>IF(計算用!$AE$50="","",INDEX(計算用!$C$2:$C$721,計算用!$AE$50))</f>
        <v/>
      </c>
      <c r="S110" s="25">
        <f>IF(計算用!$AF$50="","",INDEX(計算用!$A$2:$A$721,計算用!$AF$50))</f>
        <v/>
      </c>
      <c r="T110" s="26">
        <f>IF(計算用!$AF$50="","",INDEX(計算用!$C$2:$C$721,計算用!$AF$50))</f>
        <v/>
      </c>
    </row>
    <row r="111">
      <c r="A111" s="25">
        <f>IF(計算用!$W$51="","",INDEX(計算用!$A$2:$A$721,計算用!$W$51))</f>
        <v/>
      </c>
      <c r="B111" s="26">
        <f>IF(計算用!$W$51="","",INDEX(計算用!$C$2:$C$721,計算用!$W$51))</f>
        <v/>
      </c>
      <c r="C111" s="25">
        <f>IF(計算用!$X$51="","",INDEX(計算用!$A$2:$A$721,計算用!$X$51))</f>
        <v/>
      </c>
      <c r="D111" s="26">
        <f>IF(計算用!$X$51="","",INDEX(計算用!$C$2:$C$721,計算用!$X$51))</f>
        <v/>
      </c>
      <c r="E111" s="25">
        <f>IF(計算用!$Y$51="","",INDEX(計算用!$A$2:$A$721,計算用!$Y$51))</f>
        <v/>
      </c>
      <c r="F111" s="26">
        <f>IF(計算用!$Y$51="","",INDEX(計算用!$C$2:$C$721,計算用!$Y$51))</f>
        <v/>
      </c>
      <c r="G111" s="25">
        <f>IF(計算用!$Z$51="","",INDEX(計算用!$A$2:$A$721,計算用!$Z$51))</f>
        <v/>
      </c>
      <c r="H111" s="26">
        <f>IF(計算用!$Z$51="","",INDEX(計算用!$C$2:$C$721,計算用!$Z$51))</f>
        <v/>
      </c>
      <c r="I111" s="25">
        <f>IF(計算用!$AA$51="","",INDEX(計算用!$A$2:$A$721,計算用!$AA$51))</f>
        <v/>
      </c>
      <c r="J111" s="26">
        <f>IF(計算用!$AA$51="","",INDEX(計算用!$C$2:$C$721,計算用!$AA$51))</f>
        <v/>
      </c>
      <c r="K111" s="25">
        <f>IF(計算用!$AB$51="","",INDEX(計算用!$A$2:$A$721,計算用!$AB$51))</f>
        <v/>
      </c>
      <c r="L111" s="26">
        <f>IF(計算用!$AB$51="","",INDEX(計算用!$C$2:$C$721,計算用!$AB$51))</f>
        <v/>
      </c>
      <c r="M111" s="25">
        <f>IF(計算用!$AC$51="","",INDEX(計算用!$A$2:$A$721,計算用!$AC$51))</f>
        <v/>
      </c>
      <c r="N111" s="26">
        <f>IF(計算用!$AC$51="","",INDEX(計算用!$C$2:$C$721,計算用!$AC$51))</f>
        <v/>
      </c>
      <c r="O111" s="25">
        <f>IF(計算用!$AD$51="","",INDEX(計算用!$A$2:$A$721,計算用!$AD$51))</f>
        <v/>
      </c>
      <c r="P111" s="26">
        <f>IF(計算用!$AD$51="","",INDEX(計算用!$C$2:$C$721,計算用!$AD$51))</f>
        <v/>
      </c>
      <c r="Q111" s="25">
        <f>IF(計算用!$AE$51="","",INDEX(計算用!$A$2:$A$721,計算用!$AE$51))</f>
        <v/>
      </c>
      <c r="R111" s="26">
        <f>IF(計算用!$AE$51="","",INDEX(計算用!$C$2:$C$721,計算用!$AE$51))</f>
        <v/>
      </c>
      <c r="S111" s="25">
        <f>IF(計算用!$AF$51="","",INDEX(計算用!$A$2:$A$721,計算用!$AF$51))</f>
        <v/>
      </c>
      <c r="T111" s="26">
        <f>IF(計算用!$AF$51="","",INDEX(計算用!$C$2:$C$721,計算用!$AF$51))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0">
    <mergeCell ref="G59:H59"/>
    <mergeCell ref="O3:P3"/>
    <mergeCell ref="Q3:R3"/>
    <mergeCell ref="A59:B59"/>
    <mergeCell ref="A60:B60"/>
    <mergeCell ref="M59:N59"/>
    <mergeCell ref="S59:T59"/>
    <mergeCell ref="A58:B58"/>
    <mergeCell ref="C5:D5"/>
    <mergeCell ref="C58:D58"/>
    <mergeCell ref="E5:F5"/>
    <mergeCell ref="K5:L5"/>
    <mergeCell ref="M5:N5"/>
    <mergeCell ref="S58:T58"/>
    <mergeCell ref="S3:T3"/>
    <mergeCell ref="C4:D4"/>
    <mergeCell ref="K60:L60"/>
    <mergeCell ref="E4:F4"/>
    <mergeCell ref="M60:N60"/>
    <mergeCell ref="O5:P5"/>
    <mergeCell ref="Q5:R5"/>
    <mergeCell ref="Q58:R58"/>
    <mergeCell ref="M58:N58"/>
    <mergeCell ref="E60:F60"/>
    <mergeCell ref="O4:P4"/>
    <mergeCell ref="A3:B3"/>
    <mergeCell ref="G3:H3"/>
    <mergeCell ref="Q4:R4"/>
    <mergeCell ref="I58:J58"/>
    <mergeCell ref="I3:J3"/>
    <mergeCell ref="C59:D59"/>
    <mergeCell ref="K58:L58"/>
    <mergeCell ref="E59:F59"/>
    <mergeCell ref="K59:L59"/>
    <mergeCell ref="Q60:R60"/>
    <mergeCell ref="C60:D60"/>
    <mergeCell ref="O59:P59"/>
    <mergeCell ref="I60:J60"/>
    <mergeCell ref="Q59:R59"/>
    <mergeCell ref="E58:F58"/>
    <mergeCell ref="A5:B5"/>
    <mergeCell ref="G5:H5"/>
    <mergeCell ref="G58:H58"/>
    <mergeCell ref="I5:J5"/>
    <mergeCell ref="M3:N3"/>
    <mergeCell ref="O58:P58"/>
    <mergeCell ref="A4:B4"/>
    <mergeCell ref="G4:H4"/>
    <mergeCell ref="O60:P60"/>
    <mergeCell ref="I4:J4"/>
    <mergeCell ref="S5:T5"/>
    <mergeCell ref="I59:J59"/>
    <mergeCell ref="G60:H60"/>
    <mergeCell ref="K4:L4"/>
    <mergeCell ref="S60:T60"/>
    <mergeCell ref="C3:D3"/>
    <mergeCell ref="M4:N4"/>
    <mergeCell ref="S4:T4"/>
    <mergeCell ref="E3:F3"/>
    <mergeCell ref="K3:L3"/>
  </mergeCells>
  <conditionalFormatting sqref="A7:A56">
    <cfRule type="expression" priority="1" dxfId="0">
      <formula>IFERROR(INDEX(設定!$D$11:$D$26,MATCH(A7,設定!$C$11:$C$26,0)),"")="黒"</formula>
    </cfRule>
    <cfRule type="expression" priority="2" dxfId="1">
      <formula>IFERROR(INDEX(設定!$D$11:$D$26,MATCH(A7,設定!$C$11:$C$26,0)),"")="赤"</formula>
    </cfRule>
    <cfRule type="expression" priority="3" dxfId="2">
      <formula>IFERROR(INDEX(設定!$D$11:$D$26,MATCH(A7,設定!$C$11:$C$26,0)),"")="青"</formula>
    </cfRule>
    <cfRule type="expression" priority="4" dxfId="3">
      <formula>IFERROR(INDEX(設定!$D$11:$D$26,MATCH(A7,設定!$C$11:$C$26,0)),"")="緑"</formula>
    </cfRule>
    <cfRule type="expression" priority="5" dxfId="4">
      <formula>IFERROR(INDEX(設定!$D$11:$D$26,MATCH(A7,設定!$C$11:$C$26,0)),"")="黄"</formula>
    </cfRule>
    <cfRule type="expression" priority="6" dxfId="5">
      <formula>IFERROR(INDEX(設定!$D$11:$D$26,MATCH(A7,設定!$C$11:$C$26,0)),"")="橙"</formula>
    </cfRule>
    <cfRule type="expression" priority="7" dxfId="6">
      <formula>IFERROR(INDEX(設定!$D$11:$D$26,MATCH(A7,設定!$C$11:$C$26,0)),"")="紫"</formula>
    </cfRule>
    <cfRule type="expression" priority="8" dxfId="7">
      <formula>IFERROR(INDEX(設定!$D$11:$D$26,MATCH(A7,設定!$C$11:$C$26,0)),"")="茶"</formula>
    </cfRule>
  </conditionalFormatting>
  <conditionalFormatting sqref="C7:C56">
    <cfRule type="expression" priority="9" dxfId="0">
      <formula>IFERROR(INDEX(設定!$D$11:$D$26,MATCH(C7,設定!$C$11:$C$26,0)),"")="黒"</formula>
    </cfRule>
    <cfRule type="expression" priority="10" dxfId="1">
      <formula>IFERROR(INDEX(設定!$D$11:$D$26,MATCH(C7,設定!$C$11:$C$26,0)),"")="赤"</formula>
    </cfRule>
    <cfRule type="expression" priority="11" dxfId="2">
      <formula>IFERROR(INDEX(設定!$D$11:$D$26,MATCH(C7,設定!$C$11:$C$26,0)),"")="青"</formula>
    </cfRule>
    <cfRule type="expression" priority="12" dxfId="3">
      <formula>IFERROR(INDEX(設定!$D$11:$D$26,MATCH(C7,設定!$C$11:$C$26,0)),"")="緑"</formula>
    </cfRule>
    <cfRule type="expression" priority="13" dxfId="4">
      <formula>IFERROR(INDEX(設定!$D$11:$D$26,MATCH(C7,設定!$C$11:$C$26,0)),"")="黄"</formula>
    </cfRule>
    <cfRule type="expression" priority="14" dxfId="5">
      <formula>IFERROR(INDEX(設定!$D$11:$D$26,MATCH(C7,設定!$C$11:$C$26,0)),"")="橙"</formula>
    </cfRule>
    <cfRule type="expression" priority="15" dxfId="6">
      <formula>IFERROR(INDEX(設定!$D$11:$D$26,MATCH(C7,設定!$C$11:$C$26,0)),"")="紫"</formula>
    </cfRule>
    <cfRule type="expression" priority="16" dxfId="7">
      <formula>IFERROR(INDEX(設定!$D$11:$D$26,MATCH(C7,設定!$C$11:$C$26,0)),"")="茶"</formula>
    </cfRule>
  </conditionalFormatting>
  <conditionalFormatting sqref="E7:E56">
    <cfRule type="expression" priority="17" dxfId="0">
      <formula>IFERROR(INDEX(設定!$D$11:$D$26,MATCH(E7,設定!$C$11:$C$26,0)),"")="黒"</formula>
    </cfRule>
    <cfRule type="expression" priority="18" dxfId="1">
      <formula>IFERROR(INDEX(設定!$D$11:$D$26,MATCH(E7,設定!$C$11:$C$26,0)),"")="赤"</formula>
    </cfRule>
    <cfRule type="expression" priority="19" dxfId="2">
      <formula>IFERROR(INDEX(設定!$D$11:$D$26,MATCH(E7,設定!$C$11:$C$26,0)),"")="青"</formula>
    </cfRule>
    <cfRule type="expression" priority="20" dxfId="3">
      <formula>IFERROR(INDEX(設定!$D$11:$D$26,MATCH(E7,設定!$C$11:$C$26,0)),"")="緑"</formula>
    </cfRule>
    <cfRule type="expression" priority="21" dxfId="4">
      <formula>IFERROR(INDEX(設定!$D$11:$D$26,MATCH(E7,設定!$C$11:$C$26,0)),"")="黄"</formula>
    </cfRule>
    <cfRule type="expression" priority="22" dxfId="5">
      <formula>IFERROR(INDEX(設定!$D$11:$D$26,MATCH(E7,設定!$C$11:$C$26,0)),"")="橙"</formula>
    </cfRule>
    <cfRule type="expression" priority="23" dxfId="6">
      <formula>IFERROR(INDEX(設定!$D$11:$D$26,MATCH(E7,設定!$C$11:$C$26,0)),"")="紫"</formula>
    </cfRule>
    <cfRule type="expression" priority="24" dxfId="7">
      <formula>IFERROR(INDEX(設定!$D$11:$D$26,MATCH(E7,設定!$C$11:$C$26,0)),"")="茶"</formula>
    </cfRule>
  </conditionalFormatting>
  <conditionalFormatting sqref="G7:G56">
    <cfRule type="expression" priority="25" dxfId="0">
      <formula>IFERROR(INDEX(設定!$D$11:$D$26,MATCH(G7,設定!$C$11:$C$26,0)),"")="黒"</formula>
    </cfRule>
    <cfRule type="expression" priority="26" dxfId="1">
      <formula>IFERROR(INDEX(設定!$D$11:$D$26,MATCH(G7,設定!$C$11:$C$26,0)),"")="赤"</formula>
    </cfRule>
    <cfRule type="expression" priority="27" dxfId="2">
      <formula>IFERROR(INDEX(設定!$D$11:$D$26,MATCH(G7,設定!$C$11:$C$26,0)),"")="青"</formula>
    </cfRule>
    <cfRule type="expression" priority="28" dxfId="3">
      <formula>IFERROR(INDEX(設定!$D$11:$D$26,MATCH(G7,設定!$C$11:$C$26,0)),"")="緑"</formula>
    </cfRule>
    <cfRule type="expression" priority="29" dxfId="4">
      <formula>IFERROR(INDEX(設定!$D$11:$D$26,MATCH(G7,設定!$C$11:$C$26,0)),"")="黄"</formula>
    </cfRule>
    <cfRule type="expression" priority="30" dxfId="5">
      <formula>IFERROR(INDEX(設定!$D$11:$D$26,MATCH(G7,設定!$C$11:$C$26,0)),"")="橙"</formula>
    </cfRule>
    <cfRule type="expression" priority="31" dxfId="6">
      <formula>IFERROR(INDEX(設定!$D$11:$D$26,MATCH(G7,設定!$C$11:$C$26,0)),"")="紫"</formula>
    </cfRule>
    <cfRule type="expression" priority="32" dxfId="7">
      <formula>IFERROR(INDEX(設定!$D$11:$D$26,MATCH(G7,設定!$C$11:$C$26,0)),"")="茶"</formula>
    </cfRule>
  </conditionalFormatting>
  <conditionalFormatting sqref="I7:I56">
    <cfRule type="expression" priority="33" dxfId="0">
      <formula>IFERROR(INDEX(設定!$D$11:$D$26,MATCH(I7,設定!$C$11:$C$26,0)),"")="黒"</formula>
    </cfRule>
    <cfRule type="expression" priority="34" dxfId="1">
      <formula>IFERROR(INDEX(設定!$D$11:$D$26,MATCH(I7,設定!$C$11:$C$26,0)),"")="赤"</formula>
    </cfRule>
    <cfRule type="expression" priority="35" dxfId="2">
      <formula>IFERROR(INDEX(設定!$D$11:$D$26,MATCH(I7,設定!$C$11:$C$26,0)),"")="青"</formula>
    </cfRule>
    <cfRule type="expression" priority="36" dxfId="3">
      <formula>IFERROR(INDEX(設定!$D$11:$D$26,MATCH(I7,設定!$C$11:$C$26,0)),"")="緑"</formula>
    </cfRule>
    <cfRule type="expression" priority="37" dxfId="4">
      <formula>IFERROR(INDEX(設定!$D$11:$D$26,MATCH(I7,設定!$C$11:$C$26,0)),"")="黄"</formula>
    </cfRule>
    <cfRule type="expression" priority="38" dxfId="5">
      <formula>IFERROR(INDEX(設定!$D$11:$D$26,MATCH(I7,設定!$C$11:$C$26,0)),"")="橙"</formula>
    </cfRule>
    <cfRule type="expression" priority="39" dxfId="6">
      <formula>IFERROR(INDEX(設定!$D$11:$D$26,MATCH(I7,設定!$C$11:$C$26,0)),"")="紫"</formula>
    </cfRule>
    <cfRule type="expression" priority="40" dxfId="7">
      <formula>IFERROR(INDEX(設定!$D$11:$D$26,MATCH(I7,設定!$C$11:$C$26,0)),"")="茶"</formula>
    </cfRule>
  </conditionalFormatting>
  <conditionalFormatting sqref="K7:K56">
    <cfRule type="expression" priority="41" dxfId="0">
      <formula>IFERROR(INDEX(設定!$D$11:$D$26,MATCH(K7,設定!$C$11:$C$26,0)),"")="黒"</formula>
    </cfRule>
    <cfRule type="expression" priority="42" dxfId="1">
      <formula>IFERROR(INDEX(設定!$D$11:$D$26,MATCH(K7,設定!$C$11:$C$26,0)),"")="赤"</formula>
    </cfRule>
    <cfRule type="expression" priority="43" dxfId="2">
      <formula>IFERROR(INDEX(設定!$D$11:$D$26,MATCH(K7,設定!$C$11:$C$26,0)),"")="青"</formula>
    </cfRule>
    <cfRule type="expression" priority="44" dxfId="3">
      <formula>IFERROR(INDEX(設定!$D$11:$D$26,MATCH(K7,設定!$C$11:$C$26,0)),"")="緑"</formula>
    </cfRule>
    <cfRule type="expression" priority="45" dxfId="4">
      <formula>IFERROR(INDEX(設定!$D$11:$D$26,MATCH(K7,設定!$C$11:$C$26,0)),"")="黄"</formula>
    </cfRule>
    <cfRule type="expression" priority="46" dxfId="5">
      <formula>IFERROR(INDEX(設定!$D$11:$D$26,MATCH(K7,設定!$C$11:$C$26,0)),"")="橙"</formula>
    </cfRule>
    <cfRule type="expression" priority="47" dxfId="6">
      <formula>IFERROR(INDEX(設定!$D$11:$D$26,MATCH(K7,設定!$C$11:$C$26,0)),"")="紫"</formula>
    </cfRule>
    <cfRule type="expression" priority="48" dxfId="7">
      <formula>IFERROR(INDEX(設定!$D$11:$D$26,MATCH(K7,設定!$C$11:$C$26,0)),"")="茶"</formula>
    </cfRule>
  </conditionalFormatting>
  <conditionalFormatting sqref="M7:M56">
    <cfRule type="expression" priority="49" dxfId="0">
      <formula>IFERROR(INDEX(設定!$D$11:$D$26,MATCH(M7,設定!$C$11:$C$26,0)),"")="黒"</formula>
    </cfRule>
    <cfRule type="expression" priority="50" dxfId="1">
      <formula>IFERROR(INDEX(設定!$D$11:$D$26,MATCH(M7,設定!$C$11:$C$26,0)),"")="赤"</formula>
    </cfRule>
    <cfRule type="expression" priority="51" dxfId="2">
      <formula>IFERROR(INDEX(設定!$D$11:$D$26,MATCH(M7,設定!$C$11:$C$26,0)),"")="青"</formula>
    </cfRule>
    <cfRule type="expression" priority="52" dxfId="3">
      <formula>IFERROR(INDEX(設定!$D$11:$D$26,MATCH(M7,設定!$C$11:$C$26,0)),"")="緑"</formula>
    </cfRule>
    <cfRule type="expression" priority="53" dxfId="4">
      <formula>IFERROR(INDEX(設定!$D$11:$D$26,MATCH(M7,設定!$C$11:$C$26,0)),"")="黄"</formula>
    </cfRule>
    <cfRule type="expression" priority="54" dxfId="5">
      <formula>IFERROR(INDEX(設定!$D$11:$D$26,MATCH(M7,設定!$C$11:$C$26,0)),"")="橙"</formula>
    </cfRule>
    <cfRule type="expression" priority="55" dxfId="6">
      <formula>IFERROR(INDEX(設定!$D$11:$D$26,MATCH(M7,設定!$C$11:$C$26,0)),"")="紫"</formula>
    </cfRule>
    <cfRule type="expression" priority="56" dxfId="7">
      <formula>IFERROR(INDEX(設定!$D$11:$D$26,MATCH(M7,設定!$C$11:$C$26,0)),"")="茶"</formula>
    </cfRule>
  </conditionalFormatting>
  <conditionalFormatting sqref="O7:O56">
    <cfRule type="expression" priority="57" dxfId="0">
      <formula>IFERROR(INDEX(設定!$D$11:$D$26,MATCH(O7,設定!$C$11:$C$26,0)),"")="黒"</formula>
    </cfRule>
    <cfRule type="expression" priority="58" dxfId="1">
      <formula>IFERROR(INDEX(設定!$D$11:$D$26,MATCH(O7,設定!$C$11:$C$26,0)),"")="赤"</formula>
    </cfRule>
    <cfRule type="expression" priority="59" dxfId="2">
      <formula>IFERROR(INDEX(設定!$D$11:$D$26,MATCH(O7,設定!$C$11:$C$26,0)),"")="青"</formula>
    </cfRule>
    <cfRule type="expression" priority="60" dxfId="3">
      <formula>IFERROR(INDEX(設定!$D$11:$D$26,MATCH(O7,設定!$C$11:$C$26,0)),"")="緑"</formula>
    </cfRule>
    <cfRule type="expression" priority="61" dxfId="4">
      <formula>IFERROR(INDEX(設定!$D$11:$D$26,MATCH(O7,設定!$C$11:$C$26,0)),"")="黄"</formula>
    </cfRule>
    <cfRule type="expression" priority="62" dxfId="5">
      <formula>IFERROR(INDEX(設定!$D$11:$D$26,MATCH(O7,設定!$C$11:$C$26,0)),"")="橙"</formula>
    </cfRule>
    <cfRule type="expression" priority="63" dxfId="6">
      <formula>IFERROR(INDEX(設定!$D$11:$D$26,MATCH(O7,設定!$C$11:$C$26,0)),"")="紫"</formula>
    </cfRule>
    <cfRule type="expression" priority="64" dxfId="7">
      <formula>IFERROR(INDEX(設定!$D$11:$D$26,MATCH(O7,設定!$C$11:$C$26,0)),"")="茶"</formula>
    </cfRule>
  </conditionalFormatting>
  <conditionalFormatting sqref="Q7:Q56">
    <cfRule type="expression" priority="65" dxfId="0">
      <formula>IFERROR(INDEX(設定!$D$11:$D$26,MATCH(Q7,設定!$C$11:$C$26,0)),"")="黒"</formula>
    </cfRule>
    <cfRule type="expression" priority="66" dxfId="1">
      <formula>IFERROR(INDEX(設定!$D$11:$D$26,MATCH(Q7,設定!$C$11:$C$26,0)),"")="赤"</formula>
    </cfRule>
    <cfRule type="expression" priority="67" dxfId="2">
      <formula>IFERROR(INDEX(設定!$D$11:$D$26,MATCH(Q7,設定!$C$11:$C$26,0)),"")="青"</formula>
    </cfRule>
    <cfRule type="expression" priority="68" dxfId="3">
      <formula>IFERROR(INDEX(設定!$D$11:$D$26,MATCH(Q7,設定!$C$11:$C$26,0)),"")="緑"</formula>
    </cfRule>
    <cfRule type="expression" priority="69" dxfId="4">
      <formula>IFERROR(INDEX(設定!$D$11:$D$26,MATCH(Q7,設定!$C$11:$C$26,0)),"")="黄"</formula>
    </cfRule>
    <cfRule type="expression" priority="70" dxfId="5">
      <formula>IFERROR(INDEX(設定!$D$11:$D$26,MATCH(Q7,設定!$C$11:$C$26,0)),"")="橙"</formula>
    </cfRule>
    <cfRule type="expression" priority="71" dxfId="6">
      <formula>IFERROR(INDEX(設定!$D$11:$D$26,MATCH(Q7,設定!$C$11:$C$26,0)),"")="紫"</formula>
    </cfRule>
    <cfRule type="expression" priority="72" dxfId="7">
      <formula>IFERROR(INDEX(設定!$D$11:$D$26,MATCH(Q7,設定!$C$11:$C$26,0)),"")="茶"</formula>
    </cfRule>
  </conditionalFormatting>
  <conditionalFormatting sqref="S7:S56">
    <cfRule type="expression" priority="73" dxfId="0">
      <formula>IFERROR(INDEX(設定!$D$11:$D$26,MATCH(S7,設定!$C$11:$C$26,0)),"")="黒"</formula>
    </cfRule>
    <cfRule type="expression" priority="74" dxfId="1">
      <formula>IFERROR(INDEX(設定!$D$11:$D$26,MATCH(S7,設定!$C$11:$C$26,0)),"")="赤"</formula>
    </cfRule>
    <cfRule type="expression" priority="75" dxfId="2">
      <formula>IFERROR(INDEX(設定!$D$11:$D$26,MATCH(S7,設定!$C$11:$C$26,0)),"")="青"</formula>
    </cfRule>
    <cfRule type="expression" priority="76" dxfId="3">
      <formula>IFERROR(INDEX(設定!$D$11:$D$26,MATCH(S7,設定!$C$11:$C$26,0)),"")="緑"</formula>
    </cfRule>
    <cfRule type="expression" priority="77" dxfId="4">
      <formula>IFERROR(INDEX(設定!$D$11:$D$26,MATCH(S7,設定!$C$11:$C$26,0)),"")="黄"</formula>
    </cfRule>
    <cfRule type="expression" priority="78" dxfId="5">
      <formula>IFERROR(INDEX(設定!$D$11:$D$26,MATCH(S7,設定!$C$11:$C$26,0)),"")="橙"</formula>
    </cfRule>
    <cfRule type="expression" priority="79" dxfId="6">
      <formula>IFERROR(INDEX(設定!$D$11:$D$26,MATCH(S7,設定!$C$11:$C$26,0)),"")="紫"</formula>
    </cfRule>
    <cfRule type="expression" priority="80" dxfId="7">
      <formula>IFERROR(INDEX(設定!$D$11:$D$26,MATCH(S7,設定!$C$11:$C$26,0)),"")="茶"</formula>
    </cfRule>
  </conditionalFormatting>
  <conditionalFormatting sqref="A62:A111">
    <cfRule type="expression" priority="81" dxfId="0">
      <formula>IFERROR(INDEX(設定!$D$11:$D$26,MATCH(A62,設定!$C$11:$C$26,0)),"")="黒"</formula>
    </cfRule>
    <cfRule type="expression" priority="82" dxfId="1">
      <formula>IFERROR(INDEX(設定!$D$11:$D$26,MATCH(A62,設定!$C$11:$C$26,0)),"")="赤"</formula>
    </cfRule>
    <cfRule type="expression" priority="83" dxfId="2">
      <formula>IFERROR(INDEX(設定!$D$11:$D$26,MATCH(A62,設定!$C$11:$C$26,0)),"")="青"</formula>
    </cfRule>
    <cfRule type="expression" priority="84" dxfId="3">
      <formula>IFERROR(INDEX(設定!$D$11:$D$26,MATCH(A62,設定!$C$11:$C$26,0)),"")="緑"</formula>
    </cfRule>
    <cfRule type="expression" priority="85" dxfId="4">
      <formula>IFERROR(INDEX(設定!$D$11:$D$26,MATCH(A62,設定!$C$11:$C$26,0)),"")="黄"</formula>
    </cfRule>
    <cfRule type="expression" priority="86" dxfId="5">
      <formula>IFERROR(INDEX(設定!$D$11:$D$26,MATCH(A62,設定!$C$11:$C$26,0)),"")="橙"</formula>
    </cfRule>
    <cfRule type="expression" priority="87" dxfId="6">
      <formula>IFERROR(INDEX(設定!$D$11:$D$26,MATCH(A62,設定!$C$11:$C$26,0)),"")="紫"</formula>
    </cfRule>
    <cfRule type="expression" priority="88" dxfId="7">
      <formula>IFERROR(INDEX(設定!$D$11:$D$26,MATCH(A62,設定!$C$11:$C$26,0)),"")="茶"</formula>
    </cfRule>
  </conditionalFormatting>
  <conditionalFormatting sqref="C62:C111">
    <cfRule type="expression" priority="89" dxfId="0">
      <formula>IFERROR(INDEX(設定!$D$11:$D$26,MATCH(C62,設定!$C$11:$C$26,0)),"")="黒"</formula>
    </cfRule>
    <cfRule type="expression" priority="90" dxfId="1">
      <formula>IFERROR(INDEX(設定!$D$11:$D$26,MATCH(C62,設定!$C$11:$C$26,0)),"")="赤"</formula>
    </cfRule>
    <cfRule type="expression" priority="91" dxfId="2">
      <formula>IFERROR(INDEX(設定!$D$11:$D$26,MATCH(C62,設定!$C$11:$C$26,0)),"")="青"</formula>
    </cfRule>
    <cfRule type="expression" priority="92" dxfId="3">
      <formula>IFERROR(INDEX(設定!$D$11:$D$26,MATCH(C62,設定!$C$11:$C$26,0)),"")="緑"</formula>
    </cfRule>
    <cfRule type="expression" priority="93" dxfId="4">
      <formula>IFERROR(INDEX(設定!$D$11:$D$26,MATCH(C62,設定!$C$11:$C$26,0)),"")="黄"</formula>
    </cfRule>
    <cfRule type="expression" priority="94" dxfId="5">
      <formula>IFERROR(INDEX(設定!$D$11:$D$26,MATCH(C62,設定!$C$11:$C$26,0)),"")="橙"</formula>
    </cfRule>
    <cfRule type="expression" priority="95" dxfId="6">
      <formula>IFERROR(INDEX(設定!$D$11:$D$26,MATCH(C62,設定!$C$11:$C$26,0)),"")="紫"</formula>
    </cfRule>
    <cfRule type="expression" priority="96" dxfId="7">
      <formula>IFERROR(INDEX(設定!$D$11:$D$26,MATCH(C62,設定!$C$11:$C$26,0)),"")="茶"</formula>
    </cfRule>
  </conditionalFormatting>
  <conditionalFormatting sqref="E62:E111">
    <cfRule type="expression" priority="97" dxfId="0">
      <formula>IFERROR(INDEX(設定!$D$11:$D$26,MATCH(E62,設定!$C$11:$C$26,0)),"")="黒"</formula>
    </cfRule>
    <cfRule type="expression" priority="98" dxfId="1">
      <formula>IFERROR(INDEX(設定!$D$11:$D$26,MATCH(E62,設定!$C$11:$C$26,0)),"")="赤"</formula>
    </cfRule>
    <cfRule type="expression" priority="99" dxfId="2">
      <formula>IFERROR(INDEX(設定!$D$11:$D$26,MATCH(E62,設定!$C$11:$C$26,0)),"")="青"</formula>
    </cfRule>
    <cfRule type="expression" priority="100" dxfId="3">
      <formula>IFERROR(INDEX(設定!$D$11:$D$26,MATCH(E62,設定!$C$11:$C$26,0)),"")="緑"</formula>
    </cfRule>
    <cfRule type="expression" priority="101" dxfId="4">
      <formula>IFERROR(INDEX(設定!$D$11:$D$26,MATCH(E62,設定!$C$11:$C$26,0)),"")="黄"</formula>
    </cfRule>
    <cfRule type="expression" priority="102" dxfId="5">
      <formula>IFERROR(INDEX(設定!$D$11:$D$26,MATCH(E62,設定!$C$11:$C$26,0)),"")="橙"</formula>
    </cfRule>
    <cfRule type="expression" priority="103" dxfId="6">
      <formula>IFERROR(INDEX(設定!$D$11:$D$26,MATCH(E62,設定!$C$11:$C$26,0)),"")="紫"</formula>
    </cfRule>
    <cfRule type="expression" priority="104" dxfId="7">
      <formula>IFERROR(INDEX(設定!$D$11:$D$26,MATCH(E62,設定!$C$11:$C$26,0)),"")="茶"</formula>
    </cfRule>
  </conditionalFormatting>
  <conditionalFormatting sqref="G62:G111">
    <cfRule type="expression" priority="105" dxfId="0">
      <formula>IFERROR(INDEX(設定!$D$11:$D$26,MATCH(G62,設定!$C$11:$C$26,0)),"")="黒"</formula>
    </cfRule>
    <cfRule type="expression" priority="106" dxfId="1">
      <formula>IFERROR(INDEX(設定!$D$11:$D$26,MATCH(G62,設定!$C$11:$C$26,0)),"")="赤"</formula>
    </cfRule>
    <cfRule type="expression" priority="107" dxfId="2">
      <formula>IFERROR(INDEX(設定!$D$11:$D$26,MATCH(G62,設定!$C$11:$C$26,0)),"")="青"</formula>
    </cfRule>
    <cfRule type="expression" priority="108" dxfId="3">
      <formula>IFERROR(INDEX(設定!$D$11:$D$26,MATCH(G62,設定!$C$11:$C$26,0)),"")="緑"</formula>
    </cfRule>
    <cfRule type="expression" priority="109" dxfId="4">
      <formula>IFERROR(INDEX(設定!$D$11:$D$26,MATCH(G62,設定!$C$11:$C$26,0)),"")="黄"</formula>
    </cfRule>
    <cfRule type="expression" priority="110" dxfId="5">
      <formula>IFERROR(INDEX(設定!$D$11:$D$26,MATCH(G62,設定!$C$11:$C$26,0)),"")="橙"</formula>
    </cfRule>
    <cfRule type="expression" priority="111" dxfId="6">
      <formula>IFERROR(INDEX(設定!$D$11:$D$26,MATCH(G62,設定!$C$11:$C$26,0)),"")="紫"</formula>
    </cfRule>
    <cfRule type="expression" priority="112" dxfId="7">
      <formula>IFERROR(INDEX(設定!$D$11:$D$26,MATCH(G62,設定!$C$11:$C$26,0)),"")="茶"</formula>
    </cfRule>
  </conditionalFormatting>
  <conditionalFormatting sqref="I62:I111">
    <cfRule type="expression" priority="113" dxfId="0">
      <formula>IFERROR(INDEX(設定!$D$11:$D$26,MATCH(I62,設定!$C$11:$C$26,0)),"")="黒"</formula>
    </cfRule>
    <cfRule type="expression" priority="114" dxfId="1">
      <formula>IFERROR(INDEX(設定!$D$11:$D$26,MATCH(I62,設定!$C$11:$C$26,0)),"")="赤"</formula>
    </cfRule>
    <cfRule type="expression" priority="115" dxfId="2">
      <formula>IFERROR(INDEX(設定!$D$11:$D$26,MATCH(I62,設定!$C$11:$C$26,0)),"")="青"</formula>
    </cfRule>
    <cfRule type="expression" priority="116" dxfId="3">
      <formula>IFERROR(INDEX(設定!$D$11:$D$26,MATCH(I62,設定!$C$11:$C$26,0)),"")="緑"</formula>
    </cfRule>
    <cfRule type="expression" priority="117" dxfId="4">
      <formula>IFERROR(INDEX(設定!$D$11:$D$26,MATCH(I62,設定!$C$11:$C$26,0)),"")="黄"</formula>
    </cfRule>
    <cfRule type="expression" priority="118" dxfId="5">
      <formula>IFERROR(INDEX(設定!$D$11:$D$26,MATCH(I62,設定!$C$11:$C$26,0)),"")="橙"</formula>
    </cfRule>
    <cfRule type="expression" priority="119" dxfId="6">
      <formula>IFERROR(INDEX(設定!$D$11:$D$26,MATCH(I62,設定!$C$11:$C$26,0)),"")="紫"</formula>
    </cfRule>
    <cfRule type="expression" priority="120" dxfId="7">
      <formula>IFERROR(INDEX(設定!$D$11:$D$26,MATCH(I62,設定!$C$11:$C$26,0)),"")="茶"</formula>
    </cfRule>
  </conditionalFormatting>
  <conditionalFormatting sqref="K62:K111">
    <cfRule type="expression" priority="121" dxfId="0">
      <formula>IFERROR(INDEX(設定!$D$11:$D$26,MATCH(K62,設定!$C$11:$C$26,0)),"")="黒"</formula>
    </cfRule>
    <cfRule type="expression" priority="122" dxfId="1">
      <formula>IFERROR(INDEX(設定!$D$11:$D$26,MATCH(K62,設定!$C$11:$C$26,0)),"")="赤"</formula>
    </cfRule>
    <cfRule type="expression" priority="123" dxfId="2">
      <formula>IFERROR(INDEX(設定!$D$11:$D$26,MATCH(K62,設定!$C$11:$C$26,0)),"")="青"</formula>
    </cfRule>
    <cfRule type="expression" priority="124" dxfId="3">
      <formula>IFERROR(INDEX(設定!$D$11:$D$26,MATCH(K62,設定!$C$11:$C$26,0)),"")="緑"</formula>
    </cfRule>
    <cfRule type="expression" priority="125" dxfId="4">
      <formula>IFERROR(INDEX(設定!$D$11:$D$26,MATCH(K62,設定!$C$11:$C$26,0)),"")="黄"</formula>
    </cfRule>
    <cfRule type="expression" priority="126" dxfId="5">
      <formula>IFERROR(INDEX(設定!$D$11:$D$26,MATCH(K62,設定!$C$11:$C$26,0)),"")="橙"</formula>
    </cfRule>
    <cfRule type="expression" priority="127" dxfId="6">
      <formula>IFERROR(INDEX(設定!$D$11:$D$26,MATCH(K62,設定!$C$11:$C$26,0)),"")="紫"</formula>
    </cfRule>
    <cfRule type="expression" priority="128" dxfId="7">
      <formula>IFERROR(INDEX(設定!$D$11:$D$26,MATCH(K62,設定!$C$11:$C$26,0)),"")="茶"</formula>
    </cfRule>
  </conditionalFormatting>
  <conditionalFormatting sqref="M62:M111">
    <cfRule type="expression" priority="129" dxfId="0">
      <formula>IFERROR(INDEX(設定!$D$11:$D$26,MATCH(M62,設定!$C$11:$C$26,0)),"")="黒"</formula>
    </cfRule>
    <cfRule type="expression" priority="130" dxfId="1">
      <formula>IFERROR(INDEX(設定!$D$11:$D$26,MATCH(M62,設定!$C$11:$C$26,0)),"")="赤"</formula>
    </cfRule>
    <cfRule type="expression" priority="131" dxfId="2">
      <formula>IFERROR(INDEX(設定!$D$11:$D$26,MATCH(M62,設定!$C$11:$C$26,0)),"")="青"</formula>
    </cfRule>
    <cfRule type="expression" priority="132" dxfId="3">
      <formula>IFERROR(INDEX(設定!$D$11:$D$26,MATCH(M62,設定!$C$11:$C$26,0)),"")="緑"</formula>
    </cfRule>
    <cfRule type="expression" priority="133" dxfId="4">
      <formula>IFERROR(INDEX(設定!$D$11:$D$26,MATCH(M62,設定!$C$11:$C$26,0)),"")="黄"</formula>
    </cfRule>
    <cfRule type="expression" priority="134" dxfId="5">
      <formula>IFERROR(INDEX(設定!$D$11:$D$26,MATCH(M62,設定!$C$11:$C$26,0)),"")="橙"</formula>
    </cfRule>
    <cfRule type="expression" priority="135" dxfId="6">
      <formula>IFERROR(INDEX(設定!$D$11:$D$26,MATCH(M62,設定!$C$11:$C$26,0)),"")="紫"</formula>
    </cfRule>
    <cfRule type="expression" priority="136" dxfId="7">
      <formula>IFERROR(INDEX(設定!$D$11:$D$26,MATCH(M62,設定!$C$11:$C$26,0)),"")="茶"</formula>
    </cfRule>
  </conditionalFormatting>
  <conditionalFormatting sqref="O62:O111">
    <cfRule type="expression" priority="137" dxfId="0">
      <formula>IFERROR(INDEX(設定!$D$11:$D$26,MATCH(O62,設定!$C$11:$C$26,0)),"")="黒"</formula>
    </cfRule>
    <cfRule type="expression" priority="138" dxfId="1">
      <formula>IFERROR(INDEX(設定!$D$11:$D$26,MATCH(O62,設定!$C$11:$C$26,0)),"")="赤"</formula>
    </cfRule>
    <cfRule type="expression" priority="139" dxfId="2">
      <formula>IFERROR(INDEX(設定!$D$11:$D$26,MATCH(O62,設定!$C$11:$C$26,0)),"")="青"</formula>
    </cfRule>
    <cfRule type="expression" priority="140" dxfId="3">
      <formula>IFERROR(INDEX(設定!$D$11:$D$26,MATCH(O62,設定!$C$11:$C$26,0)),"")="緑"</formula>
    </cfRule>
    <cfRule type="expression" priority="141" dxfId="4">
      <formula>IFERROR(INDEX(設定!$D$11:$D$26,MATCH(O62,設定!$C$11:$C$26,0)),"")="黄"</formula>
    </cfRule>
    <cfRule type="expression" priority="142" dxfId="5">
      <formula>IFERROR(INDEX(設定!$D$11:$D$26,MATCH(O62,設定!$C$11:$C$26,0)),"")="橙"</formula>
    </cfRule>
    <cfRule type="expression" priority="143" dxfId="6">
      <formula>IFERROR(INDEX(設定!$D$11:$D$26,MATCH(O62,設定!$C$11:$C$26,0)),"")="紫"</formula>
    </cfRule>
    <cfRule type="expression" priority="144" dxfId="7">
      <formula>IFERROR(INDEX(設定!$D$11:$D$26,MATCH(O62,設定!$C$11:$C$26,0)),"")="茶"</formula>
    </cfRule>
  </conditionalFormatting>
  <conditionalFormatting sqref="Q62:Q111">
    <cfRule type="expression" priority="145" dxfId="0">
      <formula>IFERROR(INDEX(設定!$D$11:$D$26,MATCH(Q62,設定!$C$11:$C$26,0)),"")="黒"</formula>
    </cfRule>
    <cfRule type="expression" priority="146" dxfId="1">
      <formula>IFERROR(INDEX(設定!$D$11:$D$26,MATCH(Q62,設定!$C$11:$C$26,0)),"")="赤"</formula>
    </cfRule>
    <cfRule type="expression" priority="147" dxfId="2">
      <formula>IFERROR(INDEX(設定!$D$11:$D$26,MATCH(Q62,設定!$C$11:$C$26,0)),"")="青"</formula>
    </cfRule>
    <cfRule type="expression" priority="148" dxfId="3">
      <formula>IFERROR(INDEX(設定!$D$11:$D$26,MATCH(Q62,設定!$C$11:$C$26,0)),"")="緑"</formula>
    </cfRule>
    <cfRule type="expression" priority="149" dxfId="4">
      <formula>IFERROR(INDEX(設定!$D$11:$D$26,MATCH(Q62,設定!$C$11:$C$26,0)),"")="黄"</formula>
    </cfRule>
    <cfRule type="expression" priority="150" dxfId="5">
      <formula>IFERROR(INDEX(設定!$D$11:$D$26,MATCH(Q62,設定!$C$11:$C$26,0)),"")="橙"</formula>
    </cfRule>
    <cfRule type="expression" priority="151" dxfId="6">
      <formula>IFERROR(INDEX(設定!$D$11:$D$26,MATCH(Q62,設定!$C$11:$C$26,0)),"")="紫"</formula>
    </cfRule>
    <cfRule type="expression" priority="152" dxfId="7">
      <formula>IFERROR(INDEX(設定!$D$11:$D$26,MATCH(Q62,設定!$C$11:$C$26,0)),"")="茶"</formula>
    </cfRule>
  </conditionalFormatting>
  <conditionalFormatting sqref="S62:S111">
    <cfRule type="expression" priority="153" dxfId="0">
      <formula>IFERROR(INDEX(設定!$D$11:$D$26,MATCH(S62,設定!$C$11:$C$26,0)),"")="黒"</formula>
    </cfRule>
    <cfRule type="expression" priority="154" dxfId="1">
      <formula>IFERROR(INDEX(設定!$D$11:$D$26,MATCH(S62,設定!$C$11:$C$26,0)),"")="赤"</formula>
    </cfRule>
    <cfRule type="expression" priority="155" dxfId="2">
      <formula>IFERROR(INDEX(設定!$D$11:$D$26,MATCH(S62,設定!$C$11:$C$26,0)),"")="青"</formula>
    </cfRule>
    <cfRule type="expression" priority="156" dxfId="3">
      <formula>IFERROR(INDEX(設定!$D$11:$D$26,MATCH(S62,設定!$C$11:$C$26,0)),"")="緑"</formula>
    </cfRule>
    <cfRule type="expression" priority="157" dxfId="4">
      <formula>IFERROR(INDEX(設定!$D$11:$D$26,MATCH(S62,設定!$C$11:$C$26,0)),"")="黄"</formula>
    </cfRule>
    <cfRule type="expression" priority="158" dxfId="5">
      <formula>IFERROR(INDEX(設定!$D$11:$D$26,MATCH(S62,設定!$C$11:$C$26,0)),"")="橙"</formula>
    </cfRule>
    <cfRule type="expression" priority="159" dxfId="6">
      <formula>IFERROR(INDEX(設定!$D$11:$D$26,MATCH(S62,設定!$C$11:$C$26,0)),"")="紫"</formula>
    </cfRule>
    <cfRule type="expression" priority="160" dxfId="7">
      <formula>IFERROR(INDEX(設定!$D$11:$D$26,MATCH(S62,設定!$C$11:$C$26,0)),"")="茶"</formula>
    </cfRule>
  </conditionalFormatting>
  <printOptions horizontalCentered="1"/>
  <pageMargins left="0.4" right="0.4" top="0.4" bottom="0.4" header="0.5" footer="0.5"/>
  <pageSetup orientation="landscape" paperSize="8" fitToHeight="0" fitToWidth="1"/>
  <rowBreaks count="1" manualBreakCount="1">
    <brk id="57" min="0" max="16383" man="1"/>
  </rowBreaks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IF(設定!$I$11="","",設定!$B$3&amp;"　"&amp;設定!$I$11&amp;設定!$B$4&amp;"名簿")</f>
        <v/>
      </c>
      <c r="Q1" s="22" t="inlineStr">
        <is>
          <t>【入力なし】見る・印刷するだけ</t>
        </is>
      </c>
    </row>
    <row r="2">
      <c r="A2" s="28">
        <f>IF(設定!$I$11="","","担当："&amp;設定!$J$11&amp;"　　活動場所："&amp;設定!$K$11&amp;"　　人数："&amp;人数チェック!$E$7&amp;"名（"&amp;設定!$B$7&amp;"年"&amp;人数チェック!$C$7&amp;"・"&amp;設定!$B$8&amp;"年"&amp;人数チェック!$D$7&amp;"）")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IF(計算用!$M$2="","",1)</f>
        <v/>
      </c>
      <c r="B5" s="24">
        <f>IF(計算用!$M$2="","",INDEX(計算用!$A$2:$A$721,計算用!$M$2))</f>
        <v/>
      </c>
      <c r="C5" s="24">
        <f>IF(計算用!$M$2="","",INDEX(計算用!$B$2:$B$721,計算用!$M$2))</f>
        <v/>
      </c>
      <c r="D5" s="29">
        <f>IF(計算用!$M$2="","",INDEX(計算用!$C$2:$C$721,計算用!$M$2))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IF(計算用!$M$3="","",2)</f>
        <v/>
      </c>
      <c r="B6" s="24">
        <f>IF(計算用!$M$3="","",INDEX(計算用!$A$2:$A$721,計算用!$M$3))</f>
        <v/>
      </c>
      <c r="C6" s="24">
        <f>IF(計算用!$M$3="","",INDEX(計算用!$B$2:$B$721,計算用!$M$3))</f>
        <v/>
      </c>
      <c r="D6" s="29">
        <f>IF(計算用!$M$3="","",INDEX(計算用!$C$2:$C$721,計算用!$M$3))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IF(計算用!$M$4="","",3)</f>
        <v/>
      </c>
      <c r="B7" s="24">
        <f>IF(計算用!$M$4="","",INDEX(計算用!$A$2:$A$721,計算用!$M$4))</f>
        <v/>
      </c>
      <c r="C7" s="24">
        <f>IF(計算用!$M$4="","",INDEX(計算用!$B$2:$B$721,計算用!$M$4))</f>
        <v/>
      </c>
      <c r="D7" s="29">
        <f>IF(計算用!$M$4="","",INDEX(計算用!$C$2:$C$721,計算用!$M$4))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IF(計算用!$M$5="","",4)</f>
        <v/>
      </c>
      <c r="B8" s="24">
        <f>IF(計算用!$M$5="","",INDEX(計算用!$A$2:$A$721,計算用!$M$5))</f>
        <v/>
      </c>
      <c r="C8" s="24">
        <f>IF(計算用!$M$5="","",INDEX(計算用!$B$2:$B$721,計算用!$M$5))</f>
        <v/>
      </c>
      <c r="D8" s="29">
        <f>IF(計算用!$M$5="","",INDEX(計算用!$C$2:$C$721,計算用!$M$5))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IF(計算用!$M$6="","",5)</f>
        <v/>
      </c>
      <c r="B9" s="24">
        <f>IF(計算用!$M$6="","",INDEX(計算用!$A$2:$A$721,計算用!$M$6))</f>
        <v/>
      </c>
      <c r="C9" s="24">
        <f>IF(計算用!$M$6="","",INDEX(計算用!$B$2:$B$721,計算用!$M$6))</f>
        <v/>
      </c>
      <c r="D9" s="29">
        <f>IF(計算用!$M$6="","",INDEX(計算用!$C$2:$C$721,計算用!$M$6))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IF(計算用!$M$7="","",6)</f>
        <v/>
      </c>
      <c r="B10" s="24">
        <f>IF(計算用!$M$7="","",INDEX(計算用!$A$2:$A$721,計算用!$M$7))</f>
        <v/>
      </c>
      <c r="C10" s="24">
        <f>IF(計算用!$M$7="","",INDEX(計算用!$B$2:$B$721,計算用!$M$7))</f>
        <v/>
      </c>
      <c r="D10" s="29">
        <f>IF(計算用!$M$7="","",INDEX(計算用!$C$2:$C$721,計算用!$M$7))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IF(計算用!$M$8="","",7)</f>
        <v/>
      </c>
      <c r="B11" s="24">
        <f>IF(計算用!$M$8="","",INDEX(計算用!$A$2:$A$721,計算用!$M$8))</f>
        <v/>
      </c>
      <c r="C11" s="24">
        <f>IF(計算用!$M$8="","",INDEX(計算用!$B$2:$B$721,計算用!$M$8))</f>
        <v/>
      </c>
      <c r="D11" s="29">
        <f>IF(計算用!$M$8="","",INDEX(計算用!$C$2:$C$721,計算用!$M$8))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IF(計算用!$M$9="","",8)</f>
        <v/>
      </c>
      <c r="B12" s="24">
        <f>IF(計算用!$M$9="","",INDEX(計算用!$A$2:$A$721,計算用!$M$9))</f>
        <v/>
      </c>
      <c r="C12" s="24">
        <f>IF(計算用!$M$9="","",INDEX(計算用!$B$2:$B$721,計算用!$M$9))</f>
        <v/>
      </c>
      <c r="D12" s="29">
        <f>IF(計算用!$M$9="","",INDEX(計算用!$C$2:$C$721,計算用!$M$9))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IF(計算用!$M$10="","",9)</f>
        <v/>
      </c>
      <c r="B13" s="24">
        <f>IF(計算用!$M$10="","",INDEX(計算用!$A$2:$A$721,計算用!$M$10))</f>
        <v/>
      </c>
      <c r="C13" s="24">
        <f>IF(計算用!$M$10="","",INDEX(計算用!$B$2:$B$721,計算用!$M$10))</f>
        <v/>
      </c>
      <c r="D13" s="29">
        <f>IF(計算用!$M$10="","",INDEX(計算用!$C$2:$C$721,計算用!$M$10))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IF(計算用!$M$11="","",10)</f>
        <v/>
      </c>
      <c r="B14" s="24">
        <f>IF(計算用!$M$11="","",INDEX(計算用!$A$2:$A$721,計算用!$M$11))</f>
        <v/>
      </c>
      <c r="C14" s="24">
        <f>IF(計算用!$M$11="","",INDEX(計算用!$B$2:$B$721,計算用!$M$11))</f>
        <v/>
      </c>
      <c r="D14" s="29">
        <f>IF(計算用!$M$11="","",INDEX(計算用!$C$2:$C$721,計算用!$M$11))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IF(計算用!$M$12="","",11)</f>
        <v/>
      </c>
      <c r="B15" s="24">
        <f>IF(計算用!$M$12="","",INDEX(計算用!$A$2:$A$721,計算用!$M$12))</f>
        <v/>
      </c>
      <c r="C15" s="24">
        <f>IF(計算用!$M$12="","",INDEX(計算用!$B$2:$B$721,計算用!$M$12))</f>
        <v/>
      </c>
      <c r="D15" s="29">
        <f>IF(計算用!$M$12="","",INDEX(計算用!$C$2:$C$721,計算用!$M$12))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IF(計算用!$M$13="","",12)</f>
        <v/>
      </c>
      <c r="B16" s="24">
        <f>IF(計算用!$M$13="","",INDEX(計算用!$A$2:$A$721,計算用!$M$13))</f>
        <v/>
      </c>
      <c r="C16" s="24">
        <f>IF(計算用!$M$13="","",INDEX(計算用!$B$2:$B$721,計算用!$M$13))</f>
        <v/>
      </c>
      <c r="D16" s="29">
        <f>IF(計算用!$M$13="","",INDEX(計算用!$C$2:$C$721,計算用!$M$13))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IF(計算用!$M$14="","",13)</f>
        <v/>
      </c>
      <c r="B17" s="24">
        <f>IF(計算用!$M$14="","",INDEX(計算用!$A$2:$A$721,計算用!$M$14))</f>
        <v/>
      </c>
      <c r="C17" s="24">
        <f>IF(計算用!$M$14="","",INDEX(計算用!$B$2:$B$721,計算用!$M$14))</f>
        <v/>
      </c>
      <c r="D17" s="29">
        <f>IF(計算用!$M$14="","",INDEX(計算用!$C$2:$C$721,計算用!$M$14))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IF(計算用!$M$15="","",14)</f>
        <v/>
      </c>
      <c r="B18" s="24">
        <f>IF(計算用!$M$15="","",INDEX(計算用!$A$2:$A$721,計算用!$M$15))</f>
        <v/>
      </c>
      <c r="C18" s="24">
        <f>IF(計算用!$M$15="","",INDEX(計算用!$B$2:$B$721,計算用!$M$15))</f>
        <v/>
      </c>
      <c r="D18" s="29">
        <f>IF(計算用!$M$15="","",INDEX(計算用!$C$2:$C$721,計算用!$M$15))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IF(計算用!$M$16="","",15)</f>
        <v/>
      </c>
      <c r="B19" s="24">
        <f>IF(計算用!$M$16="","",INDEX(計算用!$A$2:$A$721,計算用!$M$16))</f>
        <v/>
      </c>
      <c r="C19" s="24">
        <f>IF(計算用!$M$16="","",INDEX(計算用!$B$2:$B$721,計算用!$M$16))</f>
        <v/>
      </c>
      <c r="D19" s="29">
        <f>IF(計算用!$M$16="","",INDEX(計算用!$C$2:$C$721,計算用!$M$16))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IF(計算用!$M$17="","",16)</f>
        <v/>
      </c>
      <c r="B20" s="24">
        <f>IF(計算用!$M$17="","",INDEX(計算用!$A$2:$A$721,計算用!$M$17))</f>
        <v/>
      </c>
      <c r="C20" s="24">
        <f>IF(計算用!$M$17="","",INDEX(計算用!$B$2:$B$721,計算用!$M$17))</f>
        <v/>
      </c>
      <c r="D20" s="29">
        <f>IF(計算用!$M$17="","",INDEX(計算用!$C$2:$C$721,計算用!$M$17))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IF(計算用!$M$18="","",17)</f>
        <v/>
      </c>
      <c r="B21" s="24">
        <f>IF(計算用!$M$18="","",INDEX(計算用!$A$2:$A$721,計算用!$M$18))</f>
        <v/>
      </c>
      <c r="C21" s="24">
        <f>IF(計算用!$M$18="","",INDEX(計算用!$B$2:$B$721,計算用!$M$18))</f>
        <v/>
      </c>
      <c r="D21" s="29">
        <f>IF(計算用!$M$18="","",INDEX(計算用!$C$2:$C$721,計算用!$M$18))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IF(計算用!$M$19="","",18)</f>
        <v/>
      </c>
      <c r="B22" s="24">
        <f>IF(計算用!$M$19="","",INDEX(計算用!$A$2:$A$721,計算用!$M$19))</f>
        <v/>
      </c>
      <c r="C22" s="24">
        <f>IF(計算用!$M$19="","",INDEX(計算用!$B$2:$B$721,計算用!$M$19))</f>
        <v/>
      </c>
      <c r="D22" s="29">
        <f>IF(計算用!$M$19="","",INDEX(計算用!$C$2:$C$721,計算用!$M$19))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IF(計算用!$M$20="","",19)</f>
        <v/>
      </c>
      <c r="B23" s="24">
        <f>IF(計算用!$M$20="","",INDEX(計算用!$A$2:$A$721,計算用!$M$20))</f>
        <v/>
      </c>
      <c r="C23" s="24">
        <f>IF(計算用!$M$20="","",INDEX(計算用!$B$2:$B$721,計算用!$M$20))</f>
        <v/>
      </c>
      <c r="D23" s="29">
        <f>IF(計算用!$M$20="","",INDEX(計算用!$C$2:$C$721,計算用!$M$20))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IF(計算用!$M$21="","",20)</f>
        <v/>
      </c>
      <c r="B24" s="24">
        <f>IF(計算用!$M$21="","",INDEX(計算用!$A$2:$A$721,計算用!$M$21))</f>
        <v/>
      </c>
      <c r="C24" s="24">
        <f>IF(計算用!$M$21="","",INDEX(計算用!$B$2:$B$721,計算用!$M$21))</f>
        <v/>
      </c>
      <c r="D24" s="29">
        <f>IF(計算用!$M$21="","",INDEX(計算用!$C$2:$C$721,計算用!$M$21))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IF(計算用!$M$22="","",21)</f>
        <v/>
      </c>
      <c r="B25" s="24">
        <f>IF(計算用!$M$22="","",INDEX(計算用!$A$2:$A$721,計算用!$M$22))</f>
        <v/>
      </c>
      <c r="C25" s="24">
        <f>IF(計算用!$M$22="","",INDEX(計算用!$B$2:$B$721,計算用!$M$22))</f>
        <v/>
      </c>
      <c r="D25" s="29">
        <f>IF(計算用!$M$22="","",INDEX(計算用!$C$2:$C$721,計算用!$M$22))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IF(計算用!$M$23="","",22)</f>
        <v/>
      </c>
      <c r="B26" s="24">
        <f>IF(計算用!$M$23="","",INDEX(計算用!$A$2:$A$721,計算用!$M$23))</f>
        <v/>
      </c>
      <c r="C26" s="24">
        <f>IF(計算用!$M$23="","",INDEX(計算用!$B$2:$B$721,計算用!$M$23))</f>
        <v/>
      </c>
      <c r="D26" s="29">
        <f>IF(計算用!$M$23="","",INDEX(計算用!$C$2:$C$721,計算用!$M$23))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IF(計算用!$M$24="","",23)</f>
        <v/>
      </c>
      <c r="B27" s="24">
        <f>IF(計算用!$M$24="","",INDEX(計算用!$A$2:$A$721,計算用!$M$24))</f>
        <v/>
      </c>
      <c r="C27" s="24">
        <f>IF(計算用!$M$24="","",INDEX(計算用!$B$2:$B$721,計算用!$M$24))</f>
        <v/>
      </c>
      <c r="D27" s="29">
        <f>IF(計算用!$M$24="","",INDEX(計算用!$C$2:$C$721,計算用!$M$24))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IF(計算用!$M$25="","",24)</f>
        <v/>
      </c>
      <c r="B28" s="24">
        <f>IF(計算用!$M$25="","",INDEX(計算用!$A$2:$A$721,計算用!$M$25))</f>
        <v/>
      </c>
      <c r="C28" s="24">
        <f>IF(計算用!$M$25="","",INDEX(計算用!$B$2:$B$721,計算用!$M$25))</f>
        <v/>
      </c>
      <c r="D28" s="29">
        <f>IF(計算用!$M$25="","",INDEX(計算用!$C$2:$C$721,計算用!$M$25))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IF(計算用!$M$26="","",25)</f>
        <v/>
      </c>
      <c r="B29" s="24">
        <f>IF(計算用!$M$26="","",INDEX(計算用!$A$2:$A$721,計算用!$M$26))</f>
        <v/>
      </c>
      <c r="C29" s="24">
        <f>IF(計算用!$M$26="","",INDEX(計算用!$B$2:$B$721,計算用!$M$26))</f>
        <v/>
      </c>
      <c r="D29" s="29">
        <f>IF(計算用!$M$26="","",INDEX(計算用!$C$2:$C$721,計算用!$M$26))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IF(計算用!$M$27="","",26)</f>
        <v/>
      </c>
      <c r="B30" s="24">
        <f>IF(計算用!$M$27="","",INDEX(計算用!$A$2:$A$721,計算用!$M$27))</f>
        <v/>
      </c>
      <c r="C30" s="24">
        <f>IF(計算用!$M$27="","",INDEX(計算用!$B$2:$B$721,計算用!$M$27))</f>
        <v/>
      </c>
      <c r="D30" s="29">
        <f>IF(計算用!$M$27="","",INDEX(計算用!$C$2:$C$721,計算用!$M$27))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IF(計算用!$M$28="","",27)</f>
        <v/>
      </c>
      <c r="B31" s="24">
        <f>IF(計算用!$M$28="","",INDEX(計算用!$A$2:$A$721,計算用!$M$28))</f>
        <v/>
      </c>
      <c r="C31" s="24">
        <f>IF(計算用!$M$28="","",INDEX(計算用!$B$2:$B$721,計算用!$M$28))</f>
        <v/>
      </c>
      <c r="D31" s="29">
        <f>IF(計算用!$M$28="","",INDEX(計算用!$C$2:$C$721,計算用!$M$28))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IF(計算用!$M$29="","",28)</f>
        <v/>
      </c>
      <c r="B32" s="24">
        <f>IF(計算用!$M$29="","",INDEX(計算用!$A$2:$A$721,計算用!$M$29))</f>
        <v/>
      </c>
      <c r="C32" s="24">
        <f>IF(計算用!$M$29="","",INDEX(計算用!$B$2:$B$721,計算用!$M$29))</f>
        <v/>
      </c>
      <c r="D32" s="29">
        <f>IF(計算用!$M$29="","",INDEX(計算用!$C$2:$C$721,計算用!$M$29))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IF(計算用!$M$30="","",29)</f>
        <v/>
      </c>
      <c r="B33" s="24">
        <f>IF(計算用!$M$30="","",INDEX(計算用!$A$2:$A$721,計算用!$M$30))</f>
        <v/>
      </c>
      <c r="C33" s="24">
        <f>IF(計算用!$M$30="","",INDEX(計算用!$B$2:$B$721,計算用!$M$30))</f>
        <v/>
      </c>
      <c r="D33" s="29">
        <f>IF(計算用!$M$30="","",INDEX(計算用!$C$2:$C$721,計算用!$M$30))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IF(計算用!$M$31="","",30)</f>
        <v/>
      </c>
      <c r="B34" s="24">
        <f>IF(計算用!$M$31="","",INDEX(計算用!$A$2:$A$721,計算用!$M$31))</f>
        <v/>
      </c>
      <c r="C34" s="24">
        <f>IF(計算用!$M$31="","",INDEX(計算用!$B$2:$B$721,計算用!$M$31))</f>
        <v/>
      </c>
      <c r="D34" s="29">
        <f>IF(計算用!$M$31="","",INDEX(計算用!$C$2:$C$721,計算用!$M$31))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IF(計算用!$M$32="","",31)</f>
        <v/>
      </c>
      <c r="B35" s="24">
        <f>IF(計算用!$M$32="","",INDEX(計算用!$A$2:$A$721,計算用!$M$32))</f>
        <v/>
      </c>
      <c r="C35" s="24">
        <f>IF(計算用!$M$32="","",INDEX(計算用!$B$2:$B$721,計算用!$M$32))</f>
        <v/>
      </c>
      <c r="D35" s="29">
        <f>IF(計算用!$M$32="","",INDEX(計算用!$C$2:$C$721,計算用!$M$32))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IF(計算用!$M$33="","",32)</f>
        <v/>
      </c>
      <c r="B36" s="24">
        <f>IF(計算用!$M$33="","",INDEX(計算用!$A$2:$A$721,計算用!$M$33))</f>
        <v/>
      </c>
      <c r="C36" s="24">
        <f>IF(計算用!$M$33="","",INDEX(計算用!$B$2:$B$721,計算用!$M$33))</f>
        <v/>
      </c>
      <c r="D36" s="29">
        <f>IF(計算用!$M$33="","",INDEX(計算用!$C$2:$C$721,計算用!$M$33))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IF(計算用!$M$34="","",33)</f>
        <v/>
      </c>
      <c r="B37" s="24">
        <f>IF(計算用!$M$34="","",INDEX(計算用!$A$2:$A$721,計算用!$M$34))</f>
        <v/>
      </c>
      <c r="C37" s="24">
        <f>IF(計算用!$M$34="","",INDEX(計算用!$B$2:$B$721,計算用!$M$34))</f>
        <v/>
      </c>
      <c r="D37" s="29">
        <f>IF(計算用!$M$34="","",INDEX(計算用!$C$2:$C$721,計算用!$M$34))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IF(計算用!$M$35="","",34)</f>
        <v/>
      </c>
      <c r="B38" s="24">
        <f>IF(計算用!$M$35="","",INDEX(計算用!$A$2:$A$721,計算用!$M$35))</f>
        <v/>
      </c>
      <c r="C38" s="24">
        <f>IF(計算用!$M$35="","",INDEX(計算用!$B$2:$B$721,計算用!$M$35))</f>
        <v/>
      </c>
      <c r="D38" s="29">
        <f>IF(計算用!$M$35="","",INDEX(計算用!$C$2:$C$721,計算用!$M$35))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IF(計算用!$M$36="","",35)</f>
        <v/>
      </c>
      <c r="B39" s="24">
        <f>IF(計算用!$M$36="","",INDEX(計算用!$A$2:$A$721,計算用!$M$36))</f>
        <v/>
      </c>
      <c r="C39" s="24">
        <f>IF(計算用!$M$36="","",INDEX(計算用!$B$2:$B$721,計算用!$M$36))</f>
        <v/>
      </c>
      <c r="D39" s="29">
        <f>IF(計算用!$M$36="","",INDEX(計算用!$C$2:$C$721,計算用!$M$36))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IF(計算用!$M$37="","",36)</f>
        <v/>
      </c>
      <c r="B40" s="24">
        <f>IF(計算用!$M$37="","",INDEX(計算用!$A$2:$A$721,計算用!$M$37))</f>
        <v/>
      </c>
      <c r="C40" s="24">
        <f>IF(計算用!$M$37="","",INDEX(計算用!$B$2:$B$721,計算用!$M$37))</f>
        <v/>
      </c>
      <c r="D40" s="29">
        <f>IF(計算用!$M$37="","",INDEX(計算用!$C$2:$C$721,計算用!$M$37))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IF(計算用!$M$38="","",37)</f>
        <v/>
      </c>
      <c r="B41" s="24">
        <f>IF(計算用!$M$38="","",INDEX(計算用!$A$2:$A$721,計算用!$M$38))</f>
        <v/>
      </c>
      <c r="C41" s="24">
        <f>IF(計算用!$M$38="","",INDEX(計算用!$B$2:$B$721,計算用!$M$38))</f>
        <v/>
      </c>
      <c r="D41" s="29">
        <f>IF(計算用!$M$38="","",INDEX(計算用!$C$2:$C$721,計算用!$M$38))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IF(計算用!$M$39="","",38)</f>
        <v/>
      </c>
      <c r="B42" s="24">
        <f>IF(計算用!$M$39="","",INDEX(計算用!$A$2:$A$721,計算用!$M$39))</f>
        <v/>
      </c>
      <c r="C42" s="24">
        <f>IF(計算用!$M$39="","",INDEX(計算用!$B$2:$B$721,計算用!$M$39))</f>
        <v/>
      </c>
      <c r="D42" s="29">
        <f>IF(計算用!$M$39="","",INDEX(計算用!$C$2:$C$721,計算用!$M$39))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IF(計算用!$M$40="","",39)</f>
        <v/>
      </c>
      <c r="B43" s="24">
        <f>IF(計算用!$M$40="","",INDEX(計算用!$A$2:$A$721,計算用!$M$40))</f>
        <v/>
      </c>
      <c r="C43" s="24">
        <f>IF(計算用!$M$40="","",INDEX(計算用!$B$2:$B$721,計算用!$M$40))</f>
        <v/>
      </c>
      <c r="D43" s="29">
        <f>IF(計算用!$M$40="","",INDEX(計算用!$C$2:$C$721,計算用!$M$40))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IF(計算用!$M$41="","",40)</f>
        <v/>
      </c>
      <c r="B44" s="24">
        <f>IF(計算用!$M$41="","",INDEX(計算用!$A$2:$A$721,計算用!$M$41))</f>
        <v/>
      </c>
      <c r="C44" s="24">
        <f>IF(計算用!$M$41="","",INDEX(計算用!$B$2:$B$721,計算用!$M$41))</f>
        <v/>
      </c>
      <c r="D44" s="29">
        <f>IF(計算用!$M$41="","",INDEX(計算用!$C$2:$C$721,計算用!$M$41))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IF(計算用!$M$42="","",41)</f>
        <v/>
      </c>
      <c r="B45" s="24">
        <f>IF(計算用!$M$42="","",INDEX(計算用!$A$2:$A$721,計算用!$M$42))</f>
        <v/>
      </c>
      <c r="C45" s="24">
        <f>IF(計算用!$M$42="","",INDEX(計算用!$B$2:$B$721,計算用!$M$42))</f>
        <v/>
      </c>
      <c r="D45" s="29">
        <f>IF(計算用!$M$42="","",INDEX(計算用!$C$2:$C$721,計算用!$M$42))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IF(計算用!$M$43="","",42)</f>
        <v/>
      </c>
      <c r="B46" s="24">
        <f>IF(計算用!$M$43="","",INDEX(計算用!$A$2:$A$721,計算用!$M$43))</f>
        <v/>
      </c>
      <c r="C46" s="24">
        <f>IF(計算用!$M$43="","",INDEX(計算用!$B$2:$B$721,計算用!$M$43))</f>
        <v/>
      </c>
      <c r="D46" s="29">
        <f>IF(計算用!$M$43="","",INDEX(計算用!$C$2:$C$721,計算用!$M$43))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IF(計算用!$M$44="","",43)</f>
        <v/>
      </c>
      <c r="B47" s="24">
        <f>IF(計算用!$M$44="","",INDEX(計算用!$A$2:$A$721,計算用!$M$44))</f>
        <v/>
      </c>
      <c r="C47" s="24">
        <f>IF(計算用!$M$44="","",INDEX(計算用!$B$2:$B$721,計算用!$M$44))</f>
        <v/>
      </c>
      <c r="D47" s="29">
        <f>IF(計算用!$M$44="","",INDEX(計算用!$C$2:$C$721,計算用!$M$44))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IF(計算用!$M$45="","",44)</f>
        <v/>
      </c>
      <c r="B48" s="24">
        <f>IF(計算用!$M$45="","",INDEX(計算用!$A$2:$A$721,計算用!$M$45))</f>
        <v/>
      </c>
      <c r="C48" s="24">
        <f>IF(計算用!$M$45="","",INDEX(計算用!$B$2:$B$721,計算用!$M$45))</f>
        <v/>
      </c>
      <c r="D48" s="29">
        <f>IF(計算用!$M$45="","",INDEX(計算用!$C$2:$C$721,計算用!$M$45))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IF(計算用!$M$46="","",45)</f>
        <v/>
      </c>
      <c r="B49" s="24">
        <f>IF(計算用!$M$46="","",INDEX(計算用!$A$2:$A$721,計算用!$M$46))</f>
        <v/>
      </c>
      <c r="C49" s="24">
        <f>IF(計算用!$M$46="","",INDEX(計算用!$B$2:$B$721,計算用!$M$46))</f>
        <v/>
      </c>
      <c r="D49" s="29">
        <f>IF(計算用!$M$46="","",INDEX(計算用!$C$2:$C$721,計算用!$M$46))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IF(計算用!$M$47="","",46)</f>
        <v/>
      </c>
      <c r="B50" s="24">
        <f>IF(計算用!$M$47="","",INDEX(計算用!$A$2:$A$721,計算用!$M$47))</f>
        <v/>
      </c>
      <c r="C50" s="24">
        <f>IF(計算用!$M$47="","",INDEX(計算用!$B$2:$B$721,計算用!$M$47))</f>
        <v/>
      </c>
      <c r="D50" s="29">
        <f>IF(計算用!$M$47="","",INDEX(計算用!$C$2:$C$721,計算用!$M$47))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IF(計算用!$M$48="","",47)</f>
        <v/>
      </c>
      <c r="B51" s="24">
        <f>IF(計算用!$M$48="","",INDEX(計算用!$A$2:$A$721,計算用!$M$48))</f>
        <v/>
      </c>
      <c r="C51" s="24">
        <f>IF(計算用!$M$48="","",INDEX(計算用!$B$2:$B$721,計算用!$M$48))</f>
        <v/>
      </c>
      <c r="D51" s="29">
        <f>IF(計算用!$M$48="","",INDEX(計算用!$C$2:$C$721,計算用!$M$48))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IF(計算用!$M$49="","",48)</f>
        <v/>
      </c>
      <c r="B52" s="24">
        <f>IF(計算用!$M$49="","",INDEX(計算用!$A$2:$A$721,計算用!$M$49))</f>
        <v/>
      </c>
      <c r="C52" s="24">
        <f>IF(計算用!$M$49="","",INDEX(計算用!$B$2:$B$721,計算用!$M$49))</f>
        <v/>
      </c>
      <c r="D52" s="29">
        <f>IF(計算用!$M$49="","",INDEX(計算用!$C$2:$C$721,計算用!$M$49))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IF(計算用!$M$50="","",49)</f>
        <v/>
      </c>
      <c r="B53" s="24">
        <f>IF(計算用!$M$50="","",INDEX(計算用!$A$2:$A$721,計算用!$M$50))</f>
        <v/>
      </c>
      <c r="C53" s="24">
        <f>IF(計算用!$M$50="","",INDEX(計算用!$B$2:$B$721,計算用!$M$50))</f>
        <v/>
      </c>
      <c r="D53" s="29">
        <f>IF(計算用!$M$50="","",INDEX(計算用!$C$2:$C$721,計算用!$M$50))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IF(計算用!$M$51="","",50)</f>
        <v/>
      </c>
      <c r="B54" s="24">
        <f>IF(計算用!$M$51="","",INDEX(計算用!$A$2:$A$721,計算用!$M$51))</f>
        <v/>
      </c>
      <c r="C54" s="24">
        <f>IF(計算用!$M$51="","",INDEX(計算用!$B$2:$B$721,計算用!$M$51))</f>
        <v/>
      </c>
      <c r="D54" s="29">
        <f>IF(計算用!$M$51="","",INDEX(計算用!$C$2:$C$721,計算用!$M$51))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IF(設定!$I$12="","",設定!$B$3&amp;"　"&amp;設定!$I$12&amp;設定!$B$4&amp;"名簿")</f>
        <v/>
      </c>
      <c r="Q1" s="22" t="inlineStr">
        <is>
          <t>【入力なし】見る・印刷するだけ</t>
        </is>
      </c>
    </row>
    <row r="2">
      <c r="A2" s="28">
        <f>IF(設定!$I$12="","","担当："&amp;設定!$J$12&amp;"　　活動場所："&amp;設定!$K$12&amp;"　　人数："&amp;人数チェック!$E$8&amp;"名（"&amp;設定!$B$7&amp;"年"&amp;人数チェック!$C$8&amp;"・"&amp;設定!$B$8&amp;"年"&amp;人数チェック!$D$8&amp;"）")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IF(計算用!$N$2="","",1)</f>
        <v/>
      </c>
      <c r="B5" s="24">
        <f>IF(計算用!$N$2="","",INDEX(計算用!$A$2:$A$721,計算用!$N$2))</f>
        <v/>
      </c>
      <c r="C5" s="24">
        <f>IF(計算用!$N$2="","",INDEX(計算用!$B$2:$B$721,計算用!$N$2))</f>
        <v/>
      </c>
      <c r="D5" s="29">
        <f>IF(計算用!$N$2="","",INDEX(計算用!$C$2:$C$721,計算用!$N$2))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IF(計算用!$N$3="","",2)</f>
        <v/>
      </c>
      <c r="B6" s="24">
        <f>IF(計算用!$N$3="","",INDEX(計算用!$A$2:$A$721,計算用!$N$3))</f>
        <v/>
      </c>
      <c r="C6" s="24">
        <f>IF(計算用!$N$3="","",INDEX(計算用!$B$2:$B$721,計算用!$N$3))</f>
        <v/>
      </c>
      <c r="D6" s="29">
        <f>IF(計算用!$N$3="","",INDEX(計算用!$C$2:$C$721,計算用!$N$3))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IF(計算用!$N$4="","",3)</f>
        <v/>
      </c>
      <c r="B7" s="24">
        <f>IF(計算用!$N$4="","",INDEX(計算用!$A$2:$A$721,計算用!$N$4))</f>
        <v/>
      </c>
      <c r="C7" s="24">
        <f>IF(計算用!$N$4="","",INDEX(計算用!$B$2:$B$721,計算用!$N$4))</f>
        <v/>
      </c>
      <c r="D7" s="29">
        <f>IF(計算用!$N$4="","",INDEX(計算用!$C$2:$C$721,計算用!$N$4))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IF(計算用!$N$5="","",4)</f>
        <v/>
      </c>
      <c r="B8" s="24">
        <f>IF(計算用!$N$5="","",INDEX(計算用!$A$2:$A$721,計算用!$N$5))</f>
        <v/>
      </c>
      <c r="C8" s="24">
        <f>IF(計算用!$N$5="","",INDEX(計算用!$B$2:$B$721,計算用!$N$5))</f>
        <v/>
      </c>
      <c r="D8" s="29">
        <f>IF(計算用!$N$5="","",INDEX(計算用!$C$2:$C$721,計算用!$N$5))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IF(計算用!$N$6="","",5)</f>
        <v/>
      </c>
      <c r="B9" s="24">
        <f>IF(計算用!$N$6="","",INDEX(計算用!$A$2:$A$721,計算用!$N$6))</f>
        <v/>
      </c>
      <c r="C9" s="24">
        <f>IF(計算用!$N$6="","",INDEX(計算用!$B$2:$B$721,計算用!$N$6))</f>
        <v/>
      </c>
      <c r="D9" s="29">
        <f>IF(計算用!$N$6="","",INDEX(計算用!$C$2:$C$721,計算用!$N$6))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IF(計算用!$N$7="","",6)</f>
        <v/>
      </c>
      <c r="B10" s="24">
        <f>IF(計算用!$N$7="","",INDEX(計算用!$A$2:$A$721,計算用!$N$7))</f>
        <v/>
      </c>
      <c r="C10" s="24">
        <f>IF(計算用!$N$7="","",INDEX(計算用!$B$2:$B$721,計算用!$N$7))</f>
        <v/>
      </c>
      <c r="D10" s="29">
        <f>IF(計算用!$N$7="","",INDEX(計算用!$C$2:$C$721,計算用!$N$7))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IF(計算用!$N$8="","",7)</f>
        <v/>
      </c>
      <c r="B11" s="24">
        <f>IF(計算用!$N$8="","",INDEX(計算用!$A$2:$A$721,計算用!$N$8))</f>
        <v/>
      </c>
      <c r="C11" s="24">
        <f>IF(計算用!$N$8="","",INDEX(計算用!$B$2:$B$721,計算用!$N$8))</f>
        <v/>
      </c>
      <c r="D11" s="29">
        <f>IF(計算用!$N$8="","",INDEX(計算用!$C$2:$C$721,計算用!$N$8))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IF(計算用!$N$9="","",8)</f>
        <v/>
      </c>
      <c r="B12" s="24">
        <f>IF(計算用!$N$9="","",INDEX(計算用!$A$2:$A$721,計算用!$N$9))</f>
        <v/>
      </c>
      <c r="C12" s="24">
        <f>IF(計算用!$N$9="","",INDEX(計算用!$B$2:$B$721,計算用!$N$9))</f>
        <v/>
      </c>
      <c r="D12" s="29">
        <f>IF(計算用!$N$9="","",INDEX(計算用!$C$2:$C$721,計算用!$N$9))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IF(計算用!$N$10="","",9)</f>
        <v/>
      </c>
      <c r="B13" s="24">
        <f>IF(計算用!$N$10="","",INDEX(計算用!$A$2:$A$721,計算用!$N$10))</f>
        <v/>
      </c>
      <c r="C13" s="24">
        <f>IF(計算用!$N$10="","",INDEX(計算用!$B$2:$B$721,計算用!$N$10))</f>
        <v/>
      </c>
      <c r="D13" s="29">
        <f>IF(計算用!$N$10="","",INDEX(計算用!$C$2:$C$721,計算用!$N$10))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IF(計算用!$N$11="","",10)</f>
        <v/>
      </c>
      <c r="B14" s="24">
        <f>IF(計算用!$N$11="","",INDEX(計算用!$A$2:$A$721,計算用!$N$11))</f>
        <v/>
      </c>
      <c r="C14" s="24">
        <f>IF(計算用!$N$11="","",INDEX(計算用!$B$2:$B$721,計算用!$N$11))</f>
        <v/>
      </c>
      <c r="D14" s="29">
        <f>IF(計算用!$N$11="","",INDEX(計算用!$C$2:$C$721,計算用!$N$11))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IF(計算用!$N$12="","",11)</f>
        <v/>
      </c>
      <c r="B15" s="24">
        <f>IF(計算用!$N$12="","",INDEX(計算用!$A$2:$A$721,計算用!$N$12))</f>
        <v/>
      </c>
      <c r="C15" s="24">
        <f>IF(計算用!$N$12="","",INDEX(計算用!$B$2:$B$721,計算用!$N$12))</f>
        <v/>
      </c>
      <c r="D15" s="29">
        <f>IF(計算用!$N$12="","",INDEX(計算用!$C$2:$C$721,計算用!$N$12))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IF(計算用!$N$13="","",12)</f>
        <v/>
      </c>
      <c r="B16" s="24">
        <f>IF(計算用!$N$13="","",INDEX(計算用!$A$2:$A$721,計算用!$N$13))</f>
        <v/>
      </c>
      <c r="C16" s="24">
        <f>IF(計算用!$N$13="","",INDEX(計算用!$B$2:$B$721,計算用!$N$13))</f>
        <v/>
      </c>
      <c r="D16" s="29">
        <f>IF(計算用!$N$13="","",INDEX(計算用!$C$2:$C$721,計算用!$N$13))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IF(計算用!$N$14="","",13)</f>
        <v/>
      </c>
      <c r="B17" s="24">
        <f>IF(計算用!$N$14="","",INDEX(計算用!$A$2:$A$721,計算用!$N$14))</f>
        <v/>
      </c>
      <c r="C17" s="24">
        <f>IF(計算用!$N$14="","",INDEX(計算用!$B$2:$B$721,計算用!$N$14))</f>
        <v/>
      </c>
      <c r="D17" s="29">
        <f>IF(計算用!$N$14="","",INDEX(計算用!$C$2:$C$721,計算用!$N$14))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IF(計算用!$N$15="","",14)</f>
        <v/>
      </c>
      <c r="B18" s="24">
        <f>IF(計算用!$N$15="","",INDEX(計算用!$A$2:$A$721,計算用!$N$15))</f>
        <v/>
      </c>
      <c r="C18" s="24">
        <f>IF(計算用!$N$15="","",INDEX(計算用!$B$2:$B$721,計算用!$N$15))</f>
        <v/>
      </c>
      <c r="D18" s="29">
        <f>IF(計算用!$N$15="","",INDEX(計算用!$C$2:$C$721,計算用!$N$15))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IF(計算用!$N$16="","",15)</f>
        <v/>
      </c>
      <c r="B19" s="24">
        <f>IF(計算用!$N$16="","",INDEX(計算用!$A$2:$A$721,計算用!$N$16))</f>
        <v/>
      </c>
      <c r="C19" s="24">
        <f>IF(計算用!$N$16="","",INDEX(計算用!$B$2:$B$721,計算用!$N$16))</f>
        <v/>
      </c>
      <c r="D19" s="29">
        <f>IF(計算用!$N$16="","",INDEX(計算用!$C$2:$C$721,計算用!$N$16))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IF(計算用!$N$17="","",16)</f>
        <v/>
      </c>
      <c r="B20" s="24">
        <f>IF(計算用!$N$17="","",INDEX(計算用!$A$2:$A$721,計算用!$N$17))</f>
        <v/>
      </c>
      <c r="C20" s="24">
        <f>IF(計算用!$N$17="","",INDEX(計算用!$B$2:$B$721,計算用!$N$17))</f>
        <v/>
      </c>
      <c r="D20" s="29">
        <f>IF(計算用!$N$17="","",INDEX(計算用!$C$2:$C$721,計算用!$N$17))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IF(計算用!$N$18="","",17)</f>
        <v/>
      </c>
      <c r="B21" s="24">
        <f>IF(計算用!$N$18="","",INDEX(計算用!$A$2:$A$721,計算用!$N$18))</f>
        <v/>
      </c>
      <c r="C21" s="24">
        <f>IF(計算用!$N$18="","",INDEX(計算用!$B$2:$B$721,計算用!$N$18))</f>
        <v/>
      </c>
      <c r="D21" s="29">
        <f>IF(計算用!$N$18="","",INDEX(計算用!$C$2:$C$721,計算用!$N$18))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IF(計算用!$N$19="","",18)</f>
        <v/>
      </c>
      <c r="B22" s="24">
        <f>IF(計算用!$N$19="","",INDEX(計算用!$A$2:$A$721,計算用!$N$19))</f>
        <v/>
      </c>
      <c r="C22" s="24">
        <f>IF(計算用!$N$19="","",INDEX(計算用!$B$2:$B$721,計算用!$N$19))</f>
        <v/>
      </c>
      <c r="D22" s="29">
        <f>IF(計算用!$N$19="","",INDEX(計算用!$C$2:$C$721,計算用!$N$19))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IF(計算用!$N$20="","",19)</f>
        <v/>
      </c>
      <c r="B23" s="24">
        <f>IF(計算用!$N$20="","",INDEX(計算用!$A$2:$A$721,計算用!$N$20))</f>
        <v/>
      </c>
      <c r="C23" s="24">
        <f>IF(計算用!$N$20="","",INDEX(計算用!$B$2:$B$721,計算用!$N$20))</f>
        <v/>
      </c>
      <c r="D23" s="29">
        <f>IF(計算用!$N$20="","",INDEX(計算用!$C$2:$C$721,計算用!$N$20))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IF(計算用!$N$21="","",20)</f>
        <v/>
      </c>
      <c r="B24" s="24">
        <f>IF(計算用!$N$21="","",INDEX(計算用!$A$2:$A$721,計算用!$N$21))</f>
        <v/>
      </c>
      <c r="C24" s="24">
        <f>IF(計算用!$N$21="","",INDEX(計算用!$B$2:$B$721,計算用!$N$21))</f>
        <v/>
      </c>
      <c r="D24" s="29">
        <f>IF(計算用!$N$21="","",INDEX(計算用!$C$2:$C$721,計算用!$N$21))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IF(計算用!$N$22="","",21)</f>
        <v/>
      </c>
      <c r="B25" s="24">
        <f>IF(計算用!$N$22="","",INDEX(計算用!$A$2:$A$721,計算用!$N$22))</f>
        <v/>
      </c>
      <c r="C25" s="24">
        <f>IF(計算用!$N$22="","",INDEX(計算用!$B$2:$B$721,計算用!$N$22))</f>
        <v/>
      </c>
      <c r="D25" s="29">
        <f>IF(計算用!$N$22="","",INDEX(計算用!$C$2:$C$721,計算用!$N$22))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IF(計算用!$N$23="","",22)</f>
        <v/>
      </c>
      <c r="B26" s="24">
        <f>IF(計算用!$N$23="","",INDEX(計算用!$A$2:$A$721,計算用!$N$23))</f>
        <v/>
      </c>
      <c r="C26" s="24">
        <f>IF(計算用!$N$23="","",INDEX(計算用!$B$2:$B$721,計算用!$N$23))</f>
        <v/>
      </c>
      <c r="D26" s="29">
        <f>IF(計算用!$N$23="","",INDEX(計算用!$C$2:$C$721,計算用!$N$23))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IF(計算用!$N$24="","",23)</f>
        <v/>
      </c>
      <c r="B27" s="24">
        <f>IF(計算用!$N$24="","",INDEX(計算用!$A$2:$A$721,計算用!$N$24))</f>
        <v/>
      </c>
      <c r="C27" s="24">
        <f>IF(計算用!$N$24="","",INDEX(計算用!$B$2:$B$721,計算用!$N$24))</f>
        <v/>
      </c>
      <c r="D27" s="29">
        <f>IF(計算用!$N$24="","",INDEX(計算用!$C$2:$C$721,計算用!$N$24))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IF(計算用!$N$25="","",24)</f>
        <v/>
      </c>
      <c r="B28" s="24">
        <f>IF(計算用!$N$25="","",INDEX(計算用!$A$2:$A$721,計算用!$N$25))</f>
        <v/>
      </c>
      <c r="C28" s="24">
        <f>IF(計算用!$N$25="","",INDEX(計算用!$B$2:$B$721,計算用!$N$25))</f>
        <v/>
      </c>
      <c r="D28" s="29">
        <f>IF(計算用!$N$25="","",INDEX(計算用!$C$2:$C$721,計算用!$N$25))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IF(計算用!$N$26="","",25)</f>
        <v/>
      </c>
      <c r="B29" s="24">
        <f>IF(計算用!$N$26="","",INDEX(計算用!$A$2:$A$721,計算用!$N$26))</f>
        <v/>
      </c>
      <c r="C29" s="24">
        <f>IF(計算用!$N$26="","",INDEX(計算用!$B$2:$B$721,計算用!$N$26))</f>
        <v/>
      </c>
      <c r="D29" s="29">
        <f>IF(計算用!$N$26="","",INDEX(計算用!$C$2:$C$721,計算用!$N$26))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IF(計算用!$N$27="","",26)</f>
        <v/>
      </c>
      <c r="B30" s="24">
        <f>IF(計算用!$N$27="","",INDEX(計算用!$A$2:$A$721,計算用!$N$27))</f>
        <v/>
      </c>
      <c r="C30" s="24">
        <f>IF(計算用!$N$27="","",INDEX(計算用!$B$2:$B$721,計算用!$N$27))</f>
        <v/>
      </c>
      <c r="D30" s="29">
        <f>IF(計算用!$N$27="","",INDEX(計算用!$C$2:$C$721,計算用!$N$27))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IF(計算用!$N$28="","",27)</f>
        <v/>
      </c>
      <c r="B31" s="24">
        <f>IF(計算用!$N$28="","",INDEX(計算用!$A$2:$A$721,計算用!$N$28))</f>
        <v/>
      </c>
      <c r="C31" s="24">
        <f>IF(計算用!$N$28="","",INDEX(計算用!$B$2:$B$721,計算用!$N$28))</f>
        <v/>
      </c>
      <c r="D31" s="29">
        <f>IF(計算用!$N$28="","",INDEX(計算用!$C$2:$C$721,計算用!$N$28))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IF(計算用!$N$29="","",28)</f>
        <v/>
      </c>
      <c r="B32" s="24">
        <f>IF(計算用!$N$29="","",INDEX(計算用!$A$2:$A$721,計算用!$N$29))</f>
        <v/>
      </c>
      <c r="C32" s="24">
        <f>IF(計算用!$N$29="","",INDEX(計算用!$B$2:$B$721,計算用!$N$29))</f>
        <v/>
      </c>
      <c r="D32" s="29">
        <f>IF(計算用!$N$29="","",INDEX(計算用!$C$2:$C$721,計算用!$N$29))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IF(計算用!$N$30="","",29)</f>
        <v/>
      </c>
      <c r="B33" s="24">
        <f>IF(計算用!$N$30="","",INDEX(計算用!$A$2:$A$721,計算用!$N$30))</f>
        <v/>
      </c>
      <c r="C33" s="24">
        <f>IF(計算用!$N$30="","",INDEX(計算用!$B$2:$B$721,計算用!$N$30))</f>
        <v/>
      </c>
      <c r="D33" s="29">
        <f>IF(計算用!$N$30="","",INDEX(計算用!$C$2:$C$721,計算用!$N$30))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IF(計算用!$N$31="","",30)</f>
        <v/>
      </c>
      <c r="B34" s="24">
        <f>IF(計算用!$N$31="","",INDEX(計算用!$A$2:$A$721,計算用!$N$31))</f>
        <v/>
      </c>
      <c r="C34" s="24">
        <f>IF(計算用!$N$31="","",INDEX(計算用!$B$2:$B$721,計算用!$N$31))</f>
        <v/>
      </c>
      <c r="D34" s="29">
        <f>IF(計算用!$N$31="","",INDEX(計算用!$C$2:$C$721,計算用!$N$31))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IF(計算用!$N$32="","",31)</f>
        <v/>
      </c>
      <c r="B35" s="24">
        <f>IF(計算用!$N$32="","",INDEX(計算用!$A$2:$A$721,計算用!$N$32))</f>
        <v/>
      </c>
      <c r="C35" s="24">
        <f>IF(計算用!$N$32="","",INDEX(計算用!$B$2:$B$721,計算用!$N$32))</f>
        <v/>
      </c>
      <c r="D35" s="29">
        <f>IF(計算用!$N$32="","",INDEX(計算用!$C$2:$C$721,計算用!$N$32))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IF(計算用!$N$33="","",32)</f>
        <v/>
      </c>
      <c r="B36" s="24">
        <f>IF(計算用!$N$33="","",INDEX(計算用!$A$2:$A$721,計算用!$N$33))</f>
        <v/>
      </c>
      <c r="C36" s="24">
        <f>IF(計算用!$N$33="","",INDEX(計算用!$B$2:$B$721,計算用!$N$33))</f>
        <v/>
      </c>
      <c r="D36" s="29">
        <f>IF(計算用!$N$33="","",INDEX(計算用!$C$2:$C$721,計算用!$N$33))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IF(計算用!$N$34="","",33)</f>
        <v/>
      </c>
      <c r="B37" s="24">
        <f>IF(計算用!$N$34="","",INDEX(計算用!$A$2:$A$721,計算用!$N$34))</f>
        <v/>
      </c>
      <c r="C37" s="24">
        <f>IF(計算用!$N$34="","",INDEX(計算用!$B$2:$B$721,計算用!$N$34))</f>
        <v/>
      </c>
      <c r="D37" s="29">
        <f>IF(計算用!$N$34="","",INDEX(計算用!$C$2:$C$721,計算用!$N$34))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IF(計算用!$N$35="","",34)</f>
        <v/>
      </c>
      <c r="B38" s="24">
        <f>IF(計算用!$N$35="","",INDEX(計算用!$A$2:$A$721,計算用!$N$35))</f>
        <v/>
      </c>
      <c r="C38" s="24">
        <f>IF(計算用!$N$35="","",INDEX(計算用!$B$2:$B$721,計算用!$N$35))</f>
        <v/>
      </c>
      <c r="D38" s="29">
        <f>IF(計算用!$N$35="","",INDEX(計算用!$C$2:$C$721,計算用!$N$35))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IF(計算用!$N$36="","",35)</f>
        <v/>
      </c>
      <c r="B39" s="24">
        <f>IF(計算用!$N$36="","",INDEX(計算用!$A$2:$A$721,計算用!$N$36))</f>
        <v/>
      </c>
      <c r="C39" s="24">
        <f>IF(計算用!$N$36="","",INDEX(計算用!$B$2:$B$721,計算用!$N$36))</f>
        <v/>
      </c>
      <c r="D39" s="29">
        <f>IF(計算用!$N$36="","",INDEX(計算用!$C$2:$C$721,計算用!$N$36))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IF(計算用!$N$37="","",36)</f>
        <v/>
      </c>
      <c r="B40" s="24">
        <f>IF(計算用!$N$37="","",INDEX(計算用!$A$2:$A$721,計算用!$N$37))</f>
        <v/>
      </c>
      <c r="C40" s="24">
        <f>IF(計算用!$N$37="","",INDEX(計算用!$B$2:$B$721,計算用!$N$37))</f>
        <v/>
      </c>
      <c r="D40" s="29">
        <f>IF(計算用!$N$37="","",INDEX(計算用!$C$2:$C$721,計算用!$N$37))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IF(計算用!$N$38="","",37)</f>
        <v/>
      </c>
      <c r="B41" s="24">
        <f>IF(計算用!$N$38="","",INDEX(計算用!$A$2:$A$721,計算用!$N$38))</f>
        <v/>
      </c>
      <c r="C41" s="24">
        <f>IF(計算用!$N$38="","",INDEX(計算用!$B$2:$B$721,計算用!$N$38))</f>
        <v/>
      </c>
      <c r="D41" s="29">
        <f>IF(計算用!$N$38="","",INDEX(計算用!$C$2:$C$721,計算用!$N$38))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IF(計算用!$N$39="","",38)</f>
        <v/>
      </c>
      <c r="B42" s="24">
        <f>IF(計算用!$N$39="","",INDEX(計算用!$A$2:$A$721,計算用!$N$39))</f>
        <v/>
      </c>
      <c r="C42" s="24">
        <f>IF(計算用!$N$39="","",INDEX(計算用!$B$2:$B$721,計算用!$N$39))</f>
        <v/>
      </c>
      <c r="D42" s="29">
        <f>IF(計算用!$N$39="","",INDEX(計算用!$C$2:$C$721,計算用!$N$39))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IF(計算用!$N$40="","",39)</f>
        <v/>
      </c>
      <c r="B43" s="24">
        <f>IF(計算用!$N$40="","",INDEX(計算用!$A$2:$A$721,計算用!$N$40))</f>
        <v/>
      </c>
      <c r="C43" s="24">
        <f>IF(計算用!$N$40="","",INDEX(計算用!$B$2:$B$721,計算用!$N$40))</f>
        <v/>
      </c>
      <c r="D43" s="29">
        <f>IF(計算用!$N$40="","",INDEX(計算用!$C$2:$C$721,計算用!$N$40))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IF(計算用!$N$41="","",40)</f>
        <v/>
      </c>
      <c r="B44" s="24">
        <f>IF(計算用!$N$41="","",INDEX(計算用!$A$2:$A$721,計算用!$N$41))</f>
        <v/>
      </c>
      <c r="C44" s="24">
        <f>IF(計算用!$N$41="","",INDEX(計算用!$B$2:$B$721,計算用!$N$41))</f>
        <v/>
      </c>
      <c r="D44" s="29">
        <f>IF(計算用!$N$41="","",INDEX(計算用!$C$2:$C$721,計算用!$N$41))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IF(計算用!$N$42="","",41)</f>
        <v/>
      </c>
      <c r="B45" s="24">
        <f>IF(計算用!$N$42="","",INDEX(計算用!$A$2:$A$721,計算用!$N$42))</f>
        <v/>
      </c>
      <c r="C45" s="24">
        <f>IF(計算用!$N$42="","",INDEX(計算用!$B$2:$B$721,計算用!$N$42))</f>
        <v/>
      </c>
      <c r="D45" s="29">
        <f>IF(計算用!$N$42="","",INDEX(計算用!$C$2:$C$721,計算用!$N$42))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IF(計算用!$N$43="","",42)</f>
        <v/>
      </c>
      <c r="B46" s="24">
        <f>IF(計算用!$N$43="","",INDEX(計算用!$A$2:$A$721,計算用!$N$43))</f>
        <v/>
      </c>
      <c r="C46" s="24">
        <f>IF(計算用!$N$43="","",INDEX(計算用!$B$2:$B$721,計算用!$N$43))</f>
        <v/>
      </c>
      <c r="D46" s="29">
        <f>IF(計算用!$N$43="","",INDEX(計算用!$C$2:$C$721,計算用!$N$43))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IF(計算用!$N$44="","",43)</f>
        <v/>
      </c>
      <c r="B47" s="24">
        <f>IF(計算用!$N$44="","",INDEX(計算用!$A$2:$A$721,計算用!$N$44))</f>
        <v/>
      </c>
      <c r="C47" s="24">
        <f>IF(計算用!$N$44="","",INDEX(計算用!$B$2:$B$721,計算用!$N$44))</f>
        <v/>
      </c>
      <c r="D47" s="29">
        <f>IF(計算用!$N$44="","",INDEX(計算用!$C$2:$C$721,計算用!$N$44))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IF(計算用!$N$45="","",44)</f>
        <v/>
      </c>
      <c r="B48" s="24">
        <f>IF(計算用!$N$45="","",INDEX(計算用!$A$2:$A$721,計算用!$N$45))</f>
        <v/>
      </c>
      <c r="C48" s="24">
        <f>IF(計算用!$N$45="","",INDEX(計算用!$B$2:$B$721,計算用!$N$45))</f>
        <v/>
      </c>
      <c r="D48" s="29">
        <f>IF(計算用!$N$45="","",INDEX(計算用!$C$2:$C$721,計算用!$N$45))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IF(計算用!$N$46="","",45)</f>
        <v/>
      </c>
      <c r="B49" s="24">
        <f>IF(計算用!$N$46="","",INDEX(計算用!$A$2:$A$721,計算用!$N$46))</f>
        <v/>
      </c>
      <c r="C49" s="24">
        <f>IF(計算用!$N$46="","",INDEX(計算用!$B$2:$B$721,計算用!$N$46))</f>
        <v/>
      </c>
      <c r="D49" s="29">
        <f>IF(計算用!$N$46="","",INDEX(計算用!$C$2:$C$721,計算用!$N$46))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IF(計算用!$N$47="","",46)</f>
        <v/>
      </c>
      <c r="B50" s="24">
        <f>IF(計算用!$N$47="","",INDEX(計算用!$A$2:$A$721,計算用!$N$47))</f>
        <v/>
      </c>
      <c r="C50" s="24">
        <f>IF(計算用!$N$47="","",INDEX(計算用!$B$2:$B$721,計算用!$N$47))</f>
        <v/>
      </c>
      <c r="D50" s="29">
        <f>IF(計算用!$N$47="","",INDEX(計算用!$C$2:$C$721,計算用!$N$47))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IF(計算用!$N$48="","",47)</f>
        <v/>
      </c>
      <c r="B51" s="24">
        <f>IF(計算用!$N$48="","",INDEX(計算用!$A$2:$A$721,計算用!$N$48))</f>
        <v/>
      </c>
      <c r="C51" s="24">
        <f>IF(計算用!$N$48="","",INDEX(計算用!$B$2:$B$721,計算用!$N$48))</f>
        <v/>
      </c>
      <c r="D51" s="29">
        <f>IF(計算用!$N$48="","",INDEX(計算用!$C$2:$C$721,計算用!$N$48))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IF(計算用!$N$49="","",48)</f>
        <v/>
      </c>
      <c r="B52" s="24">
        <f>IF(計算用!$N$49="","",INDEX(計算用!$A$2:$A$721,計算用!$N$49))</f>
        <v/>
      </c>
      <c r="C52" s="24">
        <f>IF(計算用!$N$49="","",INDEX(計算用!$B$2:$B$721,計算用!$N$49))</f>
        <v/>
      </c>
      <c r="D52" s="29">
        <f>IF(計算用!$N$49="","",INDEX(計算用!$C$2:$C$721,計算用!$N$49))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IF(計算用!$N$50="","",49)</f>
        <v/>
      </c>
      <c r="B53" s="24">
        <f>IF(計算用!$N$50="","",INDEX(計算用!$A$2:$A$721,計算用!$N$50))</f>
        <v/>
      </c>
      <c r="C53" s="24">
        <f>IF(計算用!$N$50="","",INDEX(計算用!$B$2:$B$721,計算用!$N$50))</f>
        <v/>
      </c>
      <c r="D53" s="29">
        <f>IF(計算用!$N$50="","",INDEX(計算用!$C$2:$C$721,計算用!$N$50))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IF(計算用!$N$51="","",50)</f>
        <v/>
      </c>
      <c r="B54" s="24">
        <f>IF(計算用!$N$51="","",INDEX(計算用!$A$2:$A$721,計算用!$N$51))</f>
        <v/>
      </c>
      <c r="C54" s="24">
        <f>IF(計算用!$N$51="","",INDEX(計算用!$B$2:$B$721,計算用!$N$51))</f>
        <v/>
      </c>
      <c r="D54" s="29">
        <f>IF(計算用!$N$51="","",INDEX(計算用!$C$2:$C$721,計算用!$N$51))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IF(設定!$I$13="","",設定!$B$3&amp;"　"&amp;設定!$I$13&amp;設定!$B$4&amp;"名簿")</f>
        <v/>
      </c>
      <c r="Q1" s="22" t="inlineStr">
        <is>
          <t>【入力なし】見る・印刷するだけ</t>
        </is>
      </c>
    </row>
    <row r="2">
      <c r="A2" s="28">
        <f>IF(設定!$I$13="","","担当："&amp;設定!$J$13&amp;"　　活動場所："&amp;設定!$K$13&amp;"　　人数："&amp;人数チェック!$E$9&amp;"名（"&amp;設定!$B$7&amp;"年"&amp;人数チェック!$C$9&amp;"・"&amp;設定!$B$8&amp;"年"&amp;人数チェック!$D$9&amp;"）")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IF(計算用!$O$2="","",1)</f>
        <v/>
      </c>
      <c r="B5" s="24">
        <f>IF(計算用!$O$2="","",INDEX(計算用!$A$2:$A$721,計算用!$O$2))</f>
        <v/>
      </c>
      <c r="C5" s="24">
        <f>IF(計算用!$O$2="","",INDEX(計算用!$B$2:$B$721,計算用!$O$2))</f>
        <v/>
      </c>
      <c r="D5" s="29">
        <f>IF(計算用!$O$2="","",INDEX(計算用!$C$2:$C$721,計算用!$O$2))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IF(計算用!$O$3="","",2)</f>
        <v/>
      </c>
      <c r="B6" s="24">
        <f>IF(計算用!$O$3="","",INDEX(計算用!$A$2:$A$721,計算用!$O$3))</f>
        <v/>
      </c>
      <c r="C6" s="24">
        <f>IF(計算用!$O$3="","",INDEX(計算用!$B$2:$B$721,計算用!$O$3))</f>
        <v/>
      </c>
      <c r="D6" s="29">
        <f>IF(計算用!$O$3="","",INDEX(計算用!$C$2:$C$721,計算用!$O$3))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IF(計算用!$O$4="","",3)</f>
        <v/>
      </c>
      <c r="B7" s="24">
        <f>IF(計算用!$O$4="","",INDEX(計算用!$A$2:$A$721,計算用!$O$4))</f>
        <v/>
      </c>
      <c r="C7" s="24">
        <f>IF(計算用!$O$4="","",INDEX(計算用!$B$2:$B$721,計算用!$O$4))</f>
        <v/>
      </c>
      <c r="D7" s="29">
        <f>IF(計算用!$O$4="","",INDEX(計算用!$C$2:$C$721,計算用!$O$4))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IF(計算用!$O$5="","",4)</f>
        <v/>
      </c>
      <c r="B8" s="24">
        <f>IF(計算用!$O$5="","",INDEX(計算用!$A$2:$A$721,計算用!$O$5))</f>
        <v/>
      </c>
      <c r="C8" s="24">
        <f>IF(計算用!$O$5="","",INDEX(計算用!$B$2:$B$721,計算用!$O$5))</f>
        <v/>
      </c>
      <c r="D8" s="29">
        <f>IF(計算用!$O$5="","",INDEX(計算用!$C$2:$C$721,計算用!$O$5))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IF(計算用!$O$6="","",5)</f>
        <v/>
      </c>
      <c r="B9" s="24">
        <f>IF(計算用!$O$6="","",INDEX(計算用!$A$2:$A$721,計算用!$O$6))</f>
        <v/>
      </c>
      <c r="C9" s="24">
        <f>IF(計算用!$O$6="","",INDEX(計算用!$B$2:$B$721,計算用!$O$6))</f>
        <v/>
      </c>
      <c r="D9" s="29">
        <f>IF(計算用!$O$6="","",INDEX(計算用!$C$2:$C$721,計算用!$O$6))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IF(計算用!$O$7="","",6)</f>
        <v/>
      </c>
      <c r="B10" s="24">
        <f>IF(計算用!$O$7="","",INDEX(計算用!$A$2:$A$721,計算用!$O$7))</f>
        <v/>
      </c>
      <c r="C10" s="24">
        <f>IF(計算用!$O$7="","",INDEX(計算用!$B$2:$B$721,計算用!$O$7))</f>
        <v/>
      </c>
      <c r="D10" s="29">
        <f>IF(計算用!$O$7="","",INDEX(計算用!$C$2:$C$721,計算用!$O$7))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IF(計算用!$O$8="","",7)</f>
        <v/>
      </c>
      <c r="B11" s="24">
        <f>IF(計算用!$O$8="","",INDEX(計算用!$A$2:$A$721,計算用!$O$8))</f>
        <v/>
      </c>
      <c r="C11" s="24">
        <f>IF(計算用!$O$8="","",INDEX(計算用!$B$2:$B$721,計算用!$O$8))</f>
        <v/>
      </c>
      <c r="D11" s="29">
        <f>IF(計算用!$O$8="","",INDEX(計算用!$C$2:$C$721,計算用!$O$8))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IF(計算用!$O$9="","",8)</f>
        <v/>
      </c>
      <c r="B12" s="24">
        <f>IF(計算用!$O$9="","",INDEX(計算用!$A$2:$A$721,計算用!$O$9))</f>
        <v/>
      </c>
      <c r="C12" s="24">
        <f>IF(計算用!$O$9="","",INDEX(計算用!$B$2:$B$721,計算用!$O$9))</f>
        <v/>
      </c>
      <c r="D12" s="29">
        <f>IF(計算用!$O$9="","",INDEX(計算用!$C$2:$C$721,計算用!$O$9))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IF(計算用!$O$10="","",9)</f>
        <v/>
      </c>
      <c r="B13" s="24">
        <f>IF(計算用!$O$10="","",INDEX(計算用!$A$2:$A$721,計算用!$O$10))</f>
        <v/>
      </c>
      <c r="C13" s="24">
        <f>IF(計算用!$O$10="","",INDEX(計算用!$B$2:$B$721,計算用!$O$10))</f>
        <v/>
      </c>
      <c r="D13" s="29">
        <f>IF(計算用!$O$10="","",INDEX(計算用!$C$2:$C$721,計算用!$O$10))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IF(計算用!$O$11="","",10)</f>
        <v/>
      </c>
      <c r="B14" s="24">
        <f>IF(計算用!$O$11="","",INDEX(計算用!$A$2:$A$721,計算用!$O$11))</f>
        <v/>
      </c>
      <c r="C14" s="24">
        <f>IF(計算用!$O$11="","",INDEX(計算用!$B$2:$B$721,計算用!$O$11))</f>
        <v/>
      </c>
      <c r="D14" s="29">
        <f>IF(計算用!$O$11="","",INDEX(計算用!$C$2:$C$721,計算用!$O$11))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IF(計算用!$O$12="","",11)</f>
        <v/>
      </c>
      <c r="B15" s="24">
        <f>IF(計算用!$O$12="","",INDEX(計算用!$A$2:$A$721,計算用!$O$12))</f>
        <v/>
      </c>
      <c r="C15" s="24">
        <f>IF(計算用!$O$12="","",INDEX(計算用!$B$2:$B$721,計算用!$O$12))</f>
        <v/>
      </c>
      <c r="D15" s="29">
        <f>IF(計算用!$O$12="","",INDEX(計算用!$C$2:$C$721,計算用!$O$12))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IF(計算用!$O$13="","",12)</f>
        <v/>
      </c>
      <c r="B16" s="24">
        <f>IF(計算用!$O$13="","",INDEX(計算用!$A$2:$A$721,計算用!$O$13))</f>
        <v/>
      </c>
      <c r="C16" s="24">
        <f>IF(計算用!$O$13="","",INDEX(計算用!$B$2:$B$721,計算用!$O$13))</f>
        <v/>
      </c>
      <c r="D16" s="29">
        <f>IF(計算用!$O$13="","",INDEX(計算用!$C$2:$C$721,計算用!$O$13))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IF(計算用!$O$14="","",13)</f>
        <v/>
      </c>
      <c r="B17" s="24">
        <f>IF(計算用!$O$14="","",INDEX(計算用!$A$2:$A$721,計算用!$O$14))</f>
        <v/>
      </c>
      <c r="C17" s="24">
        <f>IF(計算用!$O$14="","",INDEX(計算用!$B$2:$B$721,計算用!$O$14))</f>
        <v/>
      </c>
      <c r="D17" s="29">
        <f>IF(計算用!$O$14="","",INDEX(計算用!$C$2:$C$721,計算用!$O$14))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IF(計算用!$O$15="","",14)</f>
        <v/>
      </c>
      <c r="B18" s="24">
        <f>IF(計算用!$O$15="","",INDEX(計算用!$A$2:$A$721,計算用!$O$15))</f>
        <v/>
      </c>
      <c r="C18" s="24">
        <f>IF(計算用!$O$15="","",INDEX(計算用!$B$2:$B$721,計算用!$O$15))</f>
        <v/>
      </c>
      <c r="D18" s="29">
        <f>IF(計算用!$O$15="","",INDEX(計算用!$C$2:$C$721,計算用!$O$15))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IF(計算用!$O$16="","",15)</f>
        <v/>
      </c>
      <c r="B19" s="24">
        <f>IF(計算用!$O$16="","",INDEX(計算用!$A$2:$A$721,計算用!$O$16))</f>
        <v/>
      </c>
      <c r="C19" s="24">
        <f>IF(計算用!$O$16="","",INDEX(計算用!$B$2:$B$721,計算用!$O$16))</f>
        <v/>
      </c>
      <c r="D19" s="29">
        <f>IF(計算用!$O$16="","",INDEX(計算用!$C$2:$C$721,計算用!$O$16))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IF(計算用!$O$17="","",16)</f>
        <v/>
      </c>
      <c r="B20" s="24">
        <f>IF(計算用!$O$17="","",INDEX(計算用!$A$2:$A$721,計算用!$O$17))</f>
        <v/>
      </c>
      <c r="C20" s="24">
        <f>IF(計算用!$O$17="","",INDEX(計算用!$B$2:$B$721,計算用!$O$17))</f>
        <v/>
      </c>
      <c r="D20" s="29">
        <f>IF(計算用!$O$17="","",INDEX(計算用!$C$2:$C$721,計算用!$O$17))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IF(計算用!$O$18="","",17)</f>
        <v/>
      </c>
      <c r="B21" s="24">
        <f>IF(計算用!$O$18="","",INDEX(計算用!$A$2:$A$721,計算用!$O$18))</f>
        <v/>
      </c>
      <c r="C21" s="24">
        <f>IF(計算用!$O$18="","",INDEX(計算用!$B$2:$B$721,計算用!$O$18))</f>
        <v/>
      </c>
      <c r="D21" s="29">
        <f>IF(計算用!$O$18="","",INDEX(計算用!$C$2:$C$721,計算用!$O$18))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IF(計算用!$O$19="","",18)</f>
        <v/>
      </c>
      <c r="B22" s="24">
        <f>IF(計算用!$O$19="","",INDEX(計算用!$A$2:$A$721,計算用!$O$19))</f>
        <v/>
      </c>
      <c r="C22" s="24">
        <f>IF(計算用!$O$19="","",INDEX(計算用!$B$2:$B$721,計算用!$O$19))</f>
        <v/>
      </c>
      <c r="D22" s="29">
        <f>IF(計算用!$O$19="","",INDEX(計算用!$C$2:$C$721,計算用!$O$19))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IF(計算用!$O$20="","",19)</f>
        <v/>
      </c>
      <c r="B23" s="24">
        <f>IF(計算用!$O$20="","",INDEX(計算用!$A$2:$A$721,計算用!$O$20))</f>
        <v/>
      </c>
      <c r="C23" s="24">
        <f>IF(計算用!$O$20="","",INDEX(計算用!$B$2:$B$721,計算用!$O$20))</f>
        <v/>
      </c>
      <c r="D23" s="29">
        <f>IF(計算用!$O$20="","",INDEX(計算用!$C$2:$C$721,計算用!$O$20))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IF(計算用!$O$21="","",20)</f>
        <v/>
      </c>
      <c r="B24" s="24">
        <f>IF(計算用!$O$21="","",INDEX(計算用!$A$2:$A$721,計算用!$O$21))</f>
        <v/>
      </c>
      <c r="C24" s="24">
        <f>IF(計算用!$O$21="","",INDEX(計算用!$B$2:$B$721,計算用!$O$21))</f>
        <v/>
      </c>
      <c r="D24" s="29">
        <f>IF(計算用!$O$21="","",INDEX(計算用!$C$2:$C$721,計算用!$O$21))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IF(計算用!$O$22="","",21)</f>
        <v/>
      </c>
      <c r="B25" s="24">
        <f>IF(計算用!$O$22="","",INDEX(計算用!$A$2:$A$721,計算用!$O$22))</f>
        <v/>
      </c>
      <c r="C25" s="24">
        <f>IF(計算用!$O$22="","",INDEX(計算用!$B$2:$B$721,計算用!$O$22))</f>
        <v/>
      </c>
      <c r="D25" s="29">
        <f>IF(計算用!$O$22="","",INDEX(計算用!$C$2:$C$721,計算用!$O$22))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IF(計算用!$O$23="","",22)</f>
        <v/>
      </c>
      <c r="B26" s="24">
        <f>IF(計算用!$O$23="","",INDEX(計算用!$A$2:$A$721,計算用!$O$23))</f>
        <v/>
      </c>
      <c r="C26" s="24">
        <f>IF(計算用!$O$23="","",INDEX(計算用!$B$2:$B$721,計算用!$O$23))</f>
        <v/>
      </c>
      <c r="D26" s="29">
        <f>IF(計算用!$O$23="","",INDEX(計算用!$C$2:$C$721,計算用!$O$23))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IF(計算用!$O$24="","",23)</f>
        <v/>
      </c>
      <c r="B27" s="24">
        <f>IF(計算用!$O$24="","",INDEX(計算用!$A$2:$A$721,計算用!$O$24))</f>
        <v/>
      </c>
      <c r="C27" s="24">
        <f>IF(計算用!$O$24="","",INDEX(計算用!$B$2:$B$721,計算用!$O$24))</f>
        <v/>
      </c>
      <c r="D27" s="29">
        <f>IF(計算用!$O$24="","",INDEX(計算用!$C$2:$C$721,計算用!$O$24))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IF(計算用!$O$25="","",24)</f>
        <v/>
      </c>
      <c r="B28" s="24">
        <f>IF(計算用!$O$25="","",INDEX(計算用!$A$2:$A$721,計算用!$O$25))</f>
        <v/>
      </c>
      <c r="C28" s="24">
        <f>IF(計算用!$O$25="","",INDEX(計算用!$B$2:$B$721,計算用!$O$25))</f>
        <v/>
      </c>
      <c r="D28" s="29">
        <f>IF(計算用!$O$25="","",INDEX(計算用!$C$2:$C$721,計算用!$O$25))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IF(計算用!$O$26="","",25)</f>
        <v/>
      </c>
      <c r="B29" s="24">
        <f>IF(計算用!$O$26="","",INDEX(計算用!$A$2:$A$721,計算用!$O$26))</f>
        <v/>
      </c>
      <c r="C29" s="24">
        <f>IF(計算用!$O$26="","",INDEX(計算用!$B$2:$B$721,計算用!$O$26))</f>
        <v/>
      </c>
      <c r="D29" s="29">
        <f>IF(計算用!$O$26="","",INDEX(計算用!$C$2:$C$721,計算用!$O$26))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IF(計算用!$O$27="","",26)</f>
        <v/>
      </c>
      <c r="B30" s="24">
        <f>IF(計算用!$O$27="","",INDEX(計算用!$A$2:$A$721,計算用!$O$27))</f>
        <v/>
      </c>
      <c r="C30" s="24">
        <f>IF(計算用!$O$27="","",INDEX(計算用!$B$2:$B$721,計算用!$O$27))</f>
        <v/>
      </c>
      <c r="D30" s="29">
        <f>IF(計算用!$O$27="","",INDEX(計算用!$C$2:$C$721,計算用!$O$27))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IF(計算用!$O$28="","",27)</f>
        <v/>
      </c>
      <c r="B31" s="24">
        <f>IF(計算用!$O$28="","",INDEX(計算用!$A$2:$A$721,計算用!$O$28))</f>
        <v/>
      </c>
      <c r="C31" s="24">
        <f>IF(計算用!$O$28="","",INDEX(計算用!$B$2:$B$721,計算用!$O$28))</f>
        <v/>
      </c>
      <c r="D31" s="29">
        <f>IF(計算用!$O$28="","",INDEX(計算用!$C$2:$C$721,計算用!$O$28))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IF(計算用!$O$29="","",28)</f>
        <v/>
      </c>
      <c r="B32" s="24">
        <f>IF(計算用!$O$29="","",INDEX(計算用!$A$2:$A$721,計算用!$O$29))</f>
        <v/>
      </c>
      <c r="C32" s="24">
        <f>IF(計算用!$O$29="","",INDEX(計算用!$B$2:$B$721,計算用!$O$29))</f>
        <v/>
      </c>
      <c r="D32" s="29">
        <f>IF(計算用!$O$29="","",INDEX(計算用!$C$2:$C$721,計算用!$O$29))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IF(計算用!$O$30="","",29)</f>
        <v/>
      </c>
      <c r="B33" s="24">
        <f>IF(計算用!$O$30="","",INDEX(計算用!$A$2:$A$721,計算用!$O$30))</f>
        <v/>
      </c>
      <c r="C33" s="24">
        <f>IF(計算用!$O$30="","",INDEX(計算用!$B$2:$B$721,計算用!$O$30))</f>
        <v/>
      </c>
      <c r="D33" s="29">
        <f>IF(計算用!$O$30="","",INDEX(計算用!$C$2:$C$721,計算用!$O$30))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IF(計算用!$O$31="","",30)</f>
        <v/>
      </c>
      <c r="B34" s="24">
        <f>IF(計算用!$O$31="","",INDEX(計算用!$A$2:$A$721,計算用!$O$31))</f>
        <v/>
      </c>
      <c r="C34" s="24">
        <f>IF(計算用!$O$31="","",INDEX(計算用!$B$2:$B$721,計算用!$O$31))</f>
        <v/>
      </c>
      <c r="D34" s="29">
        <f>IF(計算用!$O$31="","",INDEX(計算用!$C$2:$C$721,計算用!$O$31))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IF(計算用!$O$32="","",31)</f>
        <v/>
      </c>
      <c r="B35" s="24">
        <f>IF(計算用!$O$32="","",INDEX(計算用!$A$2:$A$721,計算用!$O$32))</f>
        <v/>
      </c>
      <c r="C35" s="24">
        <f>IF(計算用!$O$32="","",INDEX(計算用!$B$2:$B$721,計算用!$O$32))</f>
        <v/>
      </c>
      <c r="D35" s="29">
        <f>IF(計算用!$O$32="","",INDEX(計算用!$C$2:$C$721,計算用!$O$32))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IF(計算用!$O$33="","",32)</f>
        <v/>
      </c>
      <c r="B36" s="24">
        <f>IF(計算用!$O$33="","",INDEX(計算用!$A$2:$A$721,計算用!$O$33))</f>
        <v/>
      </c>
      <c r="C36" s="24">
        <f>IF(計算用!$O$33="","",INDEX(計算用!$B$2:$B$721,計算用!$O$33))</f>
        <v/>
      </c>
      <c r="D36" s="29">
        <f>IF(計算用!$O$33="","",INDEX(計算用!$C$2:$C$721,計算用!$O$33))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IF(計算用!$O$34="","",33)</f>
        <v/>
      </c>
      <c r="B37" s="24">
        <f>IF(計算用!$O$34="","",INDEX(計算用!$A$2:$A$721,計算用!$O$34))</f>
        <v/>
      </c>
      <c r="C37" s="24">
        <f>IF(計算用!$O$34="","",INDEX(計算用!$B$2:$B$721,計算用!$O$34))</f>
        <v/>
      </c>
      <c r="D37" s="29">
        <f>IF(計算用!$O$34="","",INDEX(計算用!$C$2:$C$721,計算用!$O$34))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IF(計算用!$O$35="","",34)</f>
        <v/>
      </c>
      <c r="B38" s="24">
        <f>IF(計算用!$O$35="","",INDEX(計算用!$A$2:$A$721,計算用!$O$35))</f>
        <v/>
      </c>
      <c r="C38" s="24">
        <f>IF(計算用!$O$35="","",INDEX(計算用!$B$2:$B$721,計算用!$O$35))</f>
        <v/>
      </c>
      <c r="D38" s="29">
        <f>IF(計算用!$O$35="","",INDEX(計算用!$C$2:$C$721,計算用!$O$35))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IF(計算用!$O$36="","",35)</f>
        <v/>
      </c>
      <c r="B39" s="24">
        <f>IF(計算用!$O$36="","",INDEX(計算用!$A$2:$A$721,計算用!$O$36))</f>
        <v/>
      </c>
      <c r="C39" s="24">
        <f>IF(計算用!$O$36="","",INDEX(計算用!$B$2:$B$721,計算用!$O$36))</f>
        <v/>
      </c>
      <c r="D39" s="29">
        <f>IF(計算用!$O$36="","",INDEX(計算用!$C$2:$C$721,計算用!$O$36))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IF(計算用!$O$37="","",36)</f>
        <v/>
      </c>
      <c r="B40" s="24">
        <f>IF(計算用!$O$37="","",INDEX(計算用!$A$2:$A$721,計算用!$O$37))</f>
        <v/>
      </c>
      <c r="C40" s="24">
        <f>IF(計算用!$O$37="","",INDEX(計算用!$B$2:$B$721,計算用!$O$37))</f>
        <v/>
      </c>
      <c r="D40" s="29">
        <f>IF(計算用!$O$37="","",INDEX(計算用!$C$2:$C$721,計算用!$O$37))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IF(計算用!$O$38="","",37)</f>
        <v/>
      </c>
      <c r="B41" s="24">
        <f>IF(計算用!$O$38="","",INDEX(計算用!$A$2:$A$721,計算用!$O$38))</f>
        <v/>
      </c>
      <c r="C41" s="24">
        <f>IF(計算用!$O$38="","",INDEX(計算用!$B$2:$B$721,計算用!$O$38))</f>
        <v/>
      </c>
      <c r="D41" s="29">
        <f>IF(計算用!$O$38="","",INDEX(計算用!$C$2:$C$721,計算用!$O$38))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IF(計算用!$O$39="","",38)</f>
        <v/>
      </c>
      <c r="B42" s="24">
        <f>IF(計算用!$O$39="","",INDEX(計算用!$A$2:$A$721,計算用!$O$39))</f>
        <v/>
      </c>
      <c r="C42" s="24">
        <f>IF(計算用!$O$39="","",INDEX(計算用!$B$2:$B$721,計算用!$O$39))</f>
        <v/>
      </c>
      <c r="D42" s="29">
        <f>IF(計算用!$O$39="","",INDEX(計算用!$C$2:$C$721,計算用!$O$39))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IF(計算用!$O$40="","",39)</f>
        <v/>
      </c>
      <c r="B43" s="24">
        <f>IF(計算用!$O$40="","",INDEX(計算用!$A$2:$A$721,計算用!$O$40))</f>
        <v/>
      </c>
      <c r="C43" s="24">
        <f>IF(計算用!$O$40="","",INDEX(計算用!$B$2:$B$721,計算用!$O$40))</f>
        <v/>
      </c>
      <c r="D43" s="29">
        <f>IF(計算用!$O$40="","",INDEX(計算用!$C$2:$C$721,計算用!$O$40))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IF(計算用!$O$41="","",40)</f>
        <v/>
      </c>
      <c r="B44" s="24">
        <f>IF(計算用!$O$41="","",INDEX(計算用!$A$2:$A$721,計算用!$O$41))</f>
        <v/>
      </c>
      <c r="C44" s="24">
        <f>IF(計算用!$O$41="","",INDEX(計算用!$B$2:$B$721,計算用!$O$41))</f>
        <v/>
      </c>
      <c r="D44" s="29">
        <f>IF(計算用!$O$41="","",INDEX(計算用!$C$2:$C$721,計算用!$O$41))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IF(計算用!$O$42="","",41)</f>
        <v/>
      </c>
      <c r="B45" s="24">
        <f>IF(計算用!$O$42="","",INDEX(計算用!$A$2:$A$721,計算用!$O$42))</f>
        <v/>
      </c>
      <c r="C45" s="24">
        <f>IF(計算用!$O$42="","",INDEX(計算用!$B$2:$B$721,計算用!$O$42))</f>
        <v/>
      </c>
      <c r="D45" s="29">
        <f>IF(計算用!$O$42="","",INDEX(計算用!$C$2:$C$721,計算用!$O$42))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IF(計算用!$O$43="","",42)</f>
        <v/>
      </c>
      <c r="B46" s="24">
        <f>IF(計算用!$O$43="","",INDEX(計算用!$A$2:$A$721,計算用!$O$43))</f>
        <v/>
      </c>
      <c r="C46" s="24">
        <f>IF(計算用!$O$43="","",INDEX(計算用!$B$2:$B$721,計算用!$O$43))</f>
        <v/>
      </c>
      <c r="D46" s="29">
        <f>IF(計算用!$O$43="","",INDEX(計算用!$C$2:$C$721,計算用!$O$43))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IF(計算用!$O$44="","",43)</f>
        <v/>
      </c>
      <c r="B47" s="24">
        <f>IF(計算用!$O$44="","",INDEX(計算用!$A$2:$A$721,計算用!$O$44))</f>
        <v/>
      </c>
      <c r="C47" s="24">
        <f>IF(計算用!$O$44="","",INDEX(計算用!$B$2:$B$721,計算用!$O$44))</f>
        <v/>
      </c>
      <c r="D47" s="29">
        <f>IF(計算用!$O$44="","",INDEX(計算用!$C$2:$C$721,計算用!$O$44))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IF(計算用!$O$45="","",44)</f>
        <v/>
      </c>
      <c r="B48" s="24">
        <f>IF(計算用!$O$45="","",INDEX(計算用!$A$2:$A$721,計算用!$O$45))</f>
        <v/>
      </c>
      <c r="C48" s="24">
        <f>IF(計算用!$O$45="","",INDEX(計算用!$B$2:$B$721,計算用!$O$45))</f>
        <v/>
      </c>
      <c r="D48" s="29">
        <f>IF(計算用!$O$45="","",INDEX(計算用!$C$2:$C$721,計算用!$O$45))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IF(計算用!$O$46="","",45)</f>
        <v/>
      </c>
      <c r="B49" s="24">
        <f>IF(計算用!$O$46="","",INDEX(計算用!$A$2:$A$721,計算用!$O$46))</f>
        <v/>
      </c>
      <c r="C49" s="24">
        <f>IF(計算用!$O$46="","",INDEX(計算用!$B$2:$B$721,計算用!$O$46))</f>
        <v/>
      </c>
      <c r="D49" s="29">
        <f>IF(計算用!$O$46="","",INDEX(計算用!$C$2:$C$721,計算用!$O$46))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IF(計算用!$O$47="","",46)</f>
        <v/>
      </c>
      <c r="B50" s="24">
        <f>IF(計算用!$O$47="","",INDEX(計算用!$A$2:$A$721,計算用!$O$47))</f>
        <v/>
      </c>
      <c r="C50" s="24">
        <f>IF(計算用!$O$47="","",INDEX(計算用!$B$2:$B$721,計算用!$O$47))</f>
        <v/>
      </c>
      <c r="D50" s="29">
        <f>IF(計算用!$O$47="","",INDEX(計算用!$C$2:$C$721,計算用!$O$47))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IF(計算用!$O$48="","",47)</f>
        <v/>
      </c>
      <c r="B51" s="24">
        <f>IF(計算用!$O$48="","",INDEX(計算用!$A$2:$A$721,計算用!$O$48))</f>
        <v/>
      </c>
      <c r="C51" s="24">
        <f>IF(計算用!$O$48="","",INDEX(計算用!$B$2:$B$721,計算用!$O$48))</f>
        <v/>
      </c>
      <c r="D51" s="29">
        <f>IF(計算用!$O$48="","",INDEX(計算用!$C$2:$C$721,計算用!$O$48))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IF(計算用!$O$49="","",48)</f>
        <v/>
      </c>
      <c r="B52" s="24">
        <f>IF(計算用!$O$49="","",INDEX(計算用!$A$2:$A$721,計算用!$O$49))</f>
        <v/>
      </c>
      <c r="C52" s="24">
        <f>IF(計算用!$O$49="","",INDEX(計算用!$B$2:$B$721,計算用!$O$49))</f>
        <v/>
      </c>
      <c r="D52" s="29">
        <f>IF(計算用!$O$49="","",INDEX(計算用!$C$2:$C$721,計算用!$O$49))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IF(計算用!$O$50="","",49)</f>
        <v/>
      </c>
      <c r="B53" s="24">
        <f>IF(計算用!$O$50="","",INDEX(計算用!$A$2:$A$721,計算用!$O$50))</f>
        <v/>
      </c>
      <c r="C53" s="24">
        <f>IF(計算用!$O$50="","",INDEX(計算用!$B$2:$B$721,計算用!$O$50))</f>
        <v/>
      </c>
      <c r="D53" s="29">
        <f>IF(計算用!$O$50="","",INDEX(計算用!$C$2:$C$721,計算用!$O$50))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IF(計算用!$O$51="","",50)</f>
        <v/>
      </c>
      <c r="B54" s="24">
        <f>IF(計算用!$O$51="","",INDEX(計算用!$A$2:$A$721,計算用!$O$51))</f>
        <v/>
      </c>
      <c r="C54" s="24">
        <f>IF(計算用!$O$51="","",INDEX(計算用!$B$2:$B$721,計算用!$O$51))</f>
        <v/>
      </c>
      <c r="D54" s="29">
        <f>IF(計算用!$O$51="","",INDEX(計算用!$C$2:$C$721,計算用!$O$51))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IF(設定!$I$14="","",設定!$B$3&amp;"　"&amp;設定!$I$14&amp;設定!$B$4&amp;"名簿")</f>
        <v/>
      </c>
      <c r="Q1" s="22" t="inlineStr">
        <is>
          <t>【入力なし】見る・印刷するだけ</t>
        </is>
      </c>
    </row>
    <row r="2">
      <c r="A2" s="28">
        <f>IF(設定!$I$14="","","担当："&amp;設定!$J$14&amp;"　　活動場所："&amp;設定!$K$14&amp;"　　人数："&amp;人数チェック!$E$10&amp;"名（"&amp;設定!$B$7&amp;"年"&amp;人数チェック!$C$10&amp;"・"&amp;設定!$B$8&amp;"年"&amp;人数チェック!$D$10&amp;"）")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IF(計算用!$P$2="","",1)</f>
        <v/>
      </c>
      <c r="B5" s="24">
        <f>IF(計算用!$P$2="","",INDEX(計算用!$A$2:$A$721,計算用!$P$2))</f>
        <v/>
      </c>
      <c r="C5" s="24">
        <f>IF(計算用!$P$2="","",INDEX(計算用!$B$2:$B$721,計算用!$P$2))</f>
        <v/>
      </c>
      <c r="D5" s="29">
        <f>IF(計算用!$P$2="","",INDEX(計算用!$C$2:$C$721,計算用!$P$2))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IF(計算用!$P$3="","",2)</f>
        <v/>
      </c>
      <c r="B6" s="24">
        <f>IF(計算用!$P$3="","",INDEX(計算用!$A$2:$A$721,計算用!$P$3))</f>
        <v/>
      </c>
      <c r="C6" s="24">
        <f>IF(計算用!$P$3="","",INDEX(計算用!$B$2:$B$721,計算用!$P$3))</f>
        <v/>
      </c>
      <c r="D6" s="29">
        <f>IF(計算用!$P$3="","",INDEX(計算用!$C$2:$C$721,計算用!$P$3))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IF(計算用!$P$4="","",3)</f>
        <v/>
      </c>
      <c r="B7" s="24">
        <f>IF(計算用!$P$4="","",INDEX(計算用!$A$2:$A$721,計算用!$P$4))</f>
        <v/>
      </c>
      <c r="C7" s="24">
        <f>IF(計算用!$P$4="","",INDEX(計算用!$B$2:$B$721,計算用!$P$4))</f>
        <v/>
      </c>
      <c r="D7" s="29">
        <f>IF(計算用!$P$4="","",INDEX(計算用!$C$2:$C$721,計算用!$P$4))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IF(計算用!$P$5="","",4)</f>
        <v/>
      </c>
      <c r="B8" s="24">
        <f>IF(計算用!$P$5="","",INDEX(計算用!$A$2:$A$721,計算用!$P$5))</f>
        <v/>
      </c>
      <c r="C8" s="24">
        <f>IF(計算用!$P$5="","",INDEX(計算用!$B$2:$B$721,計算用!$P$5))</f>
        <v/>
      </c>
      <c r="D8" s="29">
        <f>IF(計算用!$P$5="","",INDEX(計算用!$C$2:$C$721,計算用!$P$5))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IF(計算用!$P$6="","",5)</f>
        <v/>
      </c>
      <c r="B9" s="24">
        <f>IF(計算用!$P$6="","",INDEX(計算用!$A$2:$A$721,計算用!$P$6))</f>
        <v/>
      </c>
      <c r="C9" s="24">
        <f>IF(計算用!$P$6="","",INDEX(計算用!$B$2:$B$721,計算用!$P$6))</f>
        <v/>
      </c>
      <c r="D9" s="29">
        <f>IF(計算用!$P$6="","",INDEX(計算用!$C$2:$C$721,計算用!$P$6))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IF(計算用!$P$7="","",6)</f>
        <v/>
      </c>
      <c r="B10" s="24">
        <f>IF(計算用!$P$7="","",INDEX(計算用!$A$2:$A$721,計算用!$P$7))</f>
        <v/>
      </c>
      <c r="C10" s="24">
        <f>IF(計算用!$P$7="","",INDEX(計算用!$B$2:$B$721,計算用!$P$7))</f>
        <v/>
      </c>
      <c r="D10" s="29">
        <f>IF(計算用!$P$7="","",INDEX(計算用!$C$2:$C$721,計算用!$P$7))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IF(計算用!$P$8="","",7)</f>
        <v/>
      </c>
      <c r="B11" s="24">
        <f>IF(計算用!$P$8="","",INDEX(計算用!$A$2:$A$721,計算用!$P$8))</f>
        <v/>
      </c>
      <c r="C11" s="24">
        <f>IF(計算用!$P$8="","",INDEX(計算用!$B$2:$B$721,計算用!$P$8))</f>
        <v/>
      </c>
      <c r="D11" s="29">
        <f>IF(計算用!$P$8="","",INDEX(計算用!$C$2:$C$721,計算用!$P$8))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IF(計算用!$P$9="","",8)</f>
        <v/>
      </c>
      <c r="B12" s="24">
        <f>IF(計算用!$P$9="","",INDEX(計算用!$A$2:$A$721,計算用!$P$9))</f>
        <v/>
      </c>
      <c r="C12" s="24">
        <f>IF(計算用!$P$9="","",INDEX(計算用!$B$2:$B$721,計算用!$P$9))</f>
        <v/>
      </c>
      <c r="D12" s="29">
        <f>IF(計算用!$P$9="","",INDEX(計算用!$C$2:$C$721,計算用!$P$9))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IF(計算用!$P$10="","",9)</f>
        <v/>
      </c>
      <c r="B13" s="24">
        <f>IF(計算用!$P$10="","",INDEX(計算用!$A$2:$A$721,計算用!$P$10))</f>
        <v/>
      </c>
      <c r="C13" s="24">
        <f>IF(計算用!$P$10="","",INDEX(計算用!$B$2:$B$721,計算用!$P$10))</f>
        <v/>
      </c>
      <c r="D13" s="29">
        <f>IF(計算用!$P$10="","",INDEX(計算用!$C$2:$C$721,計算用!$P$10))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IF(計算用!$P$11="","",10)</f>
        <v/>
      </c>
      <c r="B14" s="24">
        <f>IF(計算用!$P$11="","",INDEX(計算用!$A$2:$A$721,計算用!$P$11))</f>
        <v/>
      </c>
      <c r="C14" s="24">
        <f>IF(計算用!$P$11="","",INDEX(計算用!$B$2:$B$721,計算用!$P$11))</f>
        <v/>
      </c>
      <c r="D14" s="29">
        <f>IF(計算用!$P$11="","",INDEX(計算用!$C$2:$C$721,計算用!$P$11))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IF(計算用!$P$12="","",11)</f>
        <v/>
      </c>
      <c r="B15" s="24">
        <f>IF(計算用!$P$12="","",INDEX(計算用!$A$2:$A$721,計算用!$P$12))</f>
        <v/>
      </c>
      <c r="C15" s="24">
        <f>IF(計算用!$P$12="","",INDEX(計算用!$B$2:$B$721,計算用!$P$12))</f>
        <v/>
      </c>
      <c r="D15" s="29">
        <f>IF(計算用!$P$12="","",INDEX(計算用!$C$2:$C$721,計算用!$P$12))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IF(計算用!$P$13="","",12)</f>
        <v/>
      </c>
      <c r="B16" s="24">
        <f>IF(計算用!$P$13="","",INDEX(計算用!$A$2:$A$721,計算用!$P$13))</f>
        <v/>
      </c>
      <c r="C16" s="24">
        <f>IF(計算用!$P$13="","",INDEX(計算用!$B$2:$B$721,計算用!$P$13))</f>
        <v/>
      </c>
      <c r="D16" s="29">
        <f>IF(計算用!$P$13="","",INDEX(計算用!$C$2:$C$721,計算用!$P$13))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IF(計算用!$P$14="","",13)</f>
        <v/>
      </c>
      <c r="B17" s="24">
        <f>IF(計算用!$P$14="","",INDEX(計算用!$A$2:$A$721,計算用!$P$14))</f>
        <v/>
      </c>
      <c r="C17" s="24">
        <f>IF(計算用!$P$14="","",INDEX(計算用!$B$2:$B$721,計算用!$P$14))</f>
        <v/>
      </c>
      <c r="D17" s="29">
        <f>IF(計算用!$P$14="","",INDEX(計算用!$C$2:$C$721,計算用!$P$14))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IF(計算用!$P$15="","",14)</f>
        <v/>
      </c>
      <c r="B18" s="24">
        <f>IF(計算用!$P$15="","",INDEX(計算用!$A$2:$A$721,計算用!$P$15))</f>
        <v/>
      </c>
      <c r="C18" s="24">
        <f>IF(計算用!$P$15="","",INDEX(計算用!$B$2:$B$721,計算用!$P$15))</f>
        <v/>
      </c>
      <c r="D18" s="29">
        <f>IF(計算用!$P$15="","",INDEX(計算用!$C$2:$C$721,計算用!$P$15))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IF(計算用!$P$16="","",15)</f>
        <v/>
      </c>
      <c r="B19" s="24">
        <f>IF(計算用!$P$16="","",INDEX(計算用!$A$2:$A$721,計算用!$P$16))</f>
        <v/>
      </c>
      <c r="C19" s="24">
        <f>IF(計算用!$P$16="","",INDEX(計算用!$B$2:$B$721,計算用!$P$16))</f>
        <v/>
      </c>
      <c r="D19" s="29">
        <f>IF(計算用!$P$16="","",INDEX(計算用!$C$2:$C$721,計算用!$P$16))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IF(計算用!$P$17="","",16)</f>
        <v/>
      </c>
      <c r="B20" s="24">
        <f>IF(計算用!$P$17="","",INDEX(計算用!$A$2:$A$721,計算用!$P$17))</f>
        <v/>
      </c>
      <c r="C20" s="24">
        <f>IF(計算用!$P$17="","",INDEX(計算用!$B$2:$B$721,計算用!$P$17))</f>
        <v/>
      </c>
      <c r="D20" s="29">
        <f>IF(計算用!$P$17="","",INDEX(計算用!$C$2:$C$721,計算用!$P$17))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IF(計算用!$P$18="","",17)</f>
        <v/>
      </c>
      <c r="B21" s="24">
        <f>IF(計算用!$P$18="","",INDEX(計算用!$A$2:$A$721,計算用!$P$18))</f>
        <v/>
      </c>
      <c r="C21" s="24">
        <f>IF(計算用!$P$18="","",INDEX(計算用!$B$2:$B$721,計算用!$P$18))</f>
        <v/>
      </c>
      <c r="D21" s="29">
        <f>IF(計算用!$P$18="","",INDEX(計算用!$C$2:$C$721,計算用!$P$18))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IF(計算用!$P$19="","",18)</f>
        <v/>
      </c>
      <c r="B22" s="24">
        <f>IF(計算用!$P$19="","",INDEX(計算用!$A$2:$A$721,計算用!$P$19))</f>
        <v/>
      </c>
      <c r="C22" s="24">
        <f>IF(計算用!$P$19="","",INDEX(計算用!$B$2:$B$721,計算用!$P$19))</f>
        <v/>
      </c>
      <c r="D22" s="29">
        <f>IF(計算用!$P$19="","",INDEX(計算用!$C$2:$C$721,計算用!$P$19))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IF(計算用!$P$20="","",19)</f>
        <v/>
      </c>
      <c r="B23" s="24">
        <f>IF(計算用!$P$20="","",INDEX(計算用!$A$2:$A$721,計算用!$P$20))</f>
        <v/>
      </c>
      <c r="C23" s="24">
        <f>IF(計算用!$P$20="","",INDEX(計算用!$B$2:$B$721,計算用!$P$20))</f>
        <v/>
      </c>
      <c r="D23" s="29">
        <f>IF(計算用!$P$20="","",INDEX(計算用!$C$2:$C$721,計算用!$P$20))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IF(計算用!$P$21="","",20)</f>
        <v/>
      </c>
      <c r="B24" s="24">
        <f>IF(計算用!$P$21="","",INDEX(計算用!$A$2:$A$721,計算用!$P$21))</f>
        <v/>
      </c>
      <c r="C24" s="24">
        <f>IF(計算用!$P$21="","",INDEX(計算用!$B$2:$B$721,計算用!$P$21))</f>
        <v/>
      </c>
      <c r="D24" s="29">
        <f>IF(計算用!$P$21="","",INDEX(計算用!$C$2:$C$721,計算用!$P$21))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IF(計算用!$P$22="","",21)</f>
        <v/>
      </c>
      <c r="B25" s="24">
        <f>IF(計算用!$P$22="","",INDEX(計算用!$A$2:$A$721,計算用!$P$22))</f>
        <v/>
      </c>
      <c r="C25" s="24">
        <f>IF(計算用!$P$22="","",INDEX(計算用!$B$2:$B$721,計算用!$P$22))</f>
        <v/>
      </c>
      <c r="D25" s="29">
        <f>IF(計算用!$P$22="","",INDEX(計算用!$C$2:$C$721,計算用!$P$22))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IF(計算用!$P$23="","",22)</f>
        <v/>
      </c>
      <c r="B26" s="24">
        <f>IF(計算用!$P$23="","",INDEX(計算用!$A$2:$A$721,計算用!$P$23))</f>
        <v/>
      </c>
      <c r="C26" s="24">
        <f>IF(計算用!$P$23="","",INDEX(計算用!$B$2:$B$721,計算用!$P$23))</f>
        <v/>
      </c>
      <c r="D26" s="29">
        <f>IF(計算用!$P$23="","",INDEX(計算用!$C$2:$C$721,計算用!$P$23))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IF(計算用!$P$24="","",23)</f>
        <v/>
      </c>
      <c r="B27" s="24">
        <f>IF(計算用!$P$24="","",INDEX(計算用!$A$2:$A$721,計算用!$P$24))</f>
        <v/>
      </c>
      <c r="C27" s="24">
        <f>IF(計算用!$P$24="","",INDEX(計算用!$B$2:$B$721,計算用!$P$24))</f>
        <v/>
      </c>
      <c r="D27" s="29">
        <f>IF(計算用!$P$24="","",INDEX(計算用!$C$2:$C$721,計算用!$P$24))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IF(計算用!$P$25="","",24)</f>
        <v/>
      </c>
      <c r="B28" s="24">
        <f>IF(計算用!$P$25="","",INDEX(計算用!$A$2:$A$721,計算用!$P$25))</f>
        <v/>
      </c>
      <c r="C28" s="24">
        <f>IF(計算用!$P$25="","",INDEX(計算用!$B$2:$B$721,計算用!$P$25))</f>
        <v/>
      </c>
      <c r="D28" s="29">
        <f>IF(計算用!$P$25="","",INDEX(計算用!$C$2:$C$721,計算用!$P$25))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IF(計算用!$P$26="","",25)</f>
        <v/>
      </c>
      <c r="B29" s="24">
        <f>IF(計算用!$P$26="","",INDEX(計算用!$A$2:$A$721,計算用!$P$26))</f>
        <v/>
      </c>
      <c r="C29" s="24">
        <f>IF(計算用!$P$26="","",INDEX(計算用!$B$2:$B$721,計算用!$P$26))</f>
        <v/>
      </c>
      <c r="D29" s="29">
        <f>IF(計算用!$P$26="","",INDEX(計算用!$C$2:$C$721,計算用!$P$26))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IF(計算用!$P$27="","",26)</f>
        <v/>
      </c>
      <c r="B30" s="24">
        <f>IF(計算用!$P$27="","",INDEX(計算用!$A$2:$A$721,計算用!$P$27))</f>
        <v/>
      </c>
      <c r="C30" s="24">
        <f>IF(計算用!$P$27="","",INDEX(計算用!$B$2:$B$721,計算用!$P$27))</f>
        <v/>
      </c>
      <c r="D30" s="29">
        <f>IF(計算用!$P$27="","",INDEX(計算用!$C$2:$C$721,計算用!$P$27))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IF(計算用!$P$28="","",27)</f>
        <v/>
      </c>
      <c r="B31" s="24">
        <f>IF(計算用!$P$28="","",INDEX(計算用!$A$2:$A$721,計算用!$P$28))</f>
        <v/>
      </c>
      <c r="C31" s="24">
        <f>IF(計算用!$P$28="","",INDEX(計算用!$B$2:$B$721,計算用!$P$28))</f>
        <v/>
      </c>
      <c r="D31" s="29">
        <f>IF(計算用!$P$28="","",INDEX(計算用!$C$2:$C$721,計算用!$P$28))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IF(計算用!$P$29="","",28)</f>
        <v/>
      </c>
      <c r="B32" s="24">
        <f>IF(計算用!$P$29="","",INDEX(計算用!$A$2:$A$721,計算用!$P$29))</f>
        <v/>
      </c>
      <c r="C32" s="24">
        <f>IF(計算用!$P$29="","",INDEX(計算用!$B$2:$B$721,計算用!$P$29))</f>
        <v/>
      </c>
      <c r="D32" s="29">
        <f>IF(計算用!$P$29="","",INDEX(計算用!$C$2:$C$721,計算用!$P$29))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IF(計算用!$P$30="","",29)</f>
        <v/>
      </c>
      <c r="B33" s="24">
        <f>IF(計算用!$P$30="","",INDEX(計算用!$A$2:$A$721,計算用!$P$30))</f>
        <v/>
      </c>
      <c r="C33" s="24">
        <f>IF(計算用!$P$30="","",INDEX(計算用!$B$2:$B$721,計算用!$P$30))</f>
        <v/>
      </c>
      <c r="D33" s="29">
        <f>IF(計算用!$P$30="","",INDEX(計算用!$C$2:$C$721,計算用!$P$30))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IF(計算用!$P$31="","",30)</f>
        <v/>
      </c>
      <c r="B34" s="24">
        <f>IF(計算用!$P$31="","",INDEX(計算用!$A$2:$A$721,計算用!$P$31))</f>
        <v/>
      </c>
      <c r="C34" s="24">
        <f>IF(計算用!$P$31="","",INDEX(計算用!$B$2:$B$721,計算用!$P$31))</f>
        <v/>
      </c>
      <c r="D34" s="29">
        <f>IF(計算用!$P$31="","",INDEX(計算用!$C$2:$C$721,計算用!$P$31))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IF(計算用!$P$32="","",31)</f>
        <v/>
      </c>
      <c r="B35" s="24">
        <f>IF(計算用!$P$32="","",INDEX(計算用!$A$2:$A$721,計算用!$P$32))</f>
        <v/>
      </c>
      <c r="C35" s="24">
        <f>IF(計算用!$P$32="","",INDEX(計算用!$B$2:$B$721,計算用!$P$32))</f>
        <v/>
      </c>
      <c r="D35" s="29">
        <f>IF(計算用!$P$32="","",INDEX(計算用!$C$2:$C$721,計算用!$P$32))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IF(計算用!$P$33="","",32)</f>
        <v/>
      </c>
      <c r="B36" s="24">
        <f>IF(計算用!$P$33="","",INDEX(計算用!$A$2:$A$721,計算用!$P$33))</f>
        <v/>
      </c>
      <c r="C36" s="24">
        <f>IF(計算用!$P$33="","",INDEX(計算用!$B$2:$B$721,計算用!$P$33))</f>
        <v/>
      </c>
      <c r="D36" s="29">
        <f>IF(計算用!$P$33="","",INDEX(計算用!$C$2:$C$721,計算用!$P$33))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IF(計算用!$P$34="","",33)</f>
        <v/>
      </c>
      <c r="B37" s="24">
        <f>IF(計算用!$P$34="","",INDEX(計算用!$A$2:$A$721,計算用!$P$34))</f>
        <v/>
      </c>
      <c r="C37" s="24">
        <f>IF(計算用!$P$34="","",INDEX(計算用!$B$2:$B$721,計算用!$P$34))</f>
        <v/>
      </c>
      <c r="D37" s="29">
        <f>IF(計算用!$P$34="","",INDEX(計算用!$C$2:$C$721,計算用!$P$34))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IF(計算用!$P$35="","",34)</f>
        <v/>
      </c>
      <c r="B38" s="24">
        <f>IF(計算用!$P$35="","",INDEX(計算用!$A$2:$A$721,計算用!$P$35))</f>
        <v/>
      </c>
      <c r="C38" s="24">
        <f>IF(計算用!$P$35="","",INDEX(計算用!$B$2:$B$721,計算用!$P$35))</f>
        <v/>
      </c>
      <c r="D38" s="29">
        <f>IF(計算用!$P$35="","",INDEX(計算用!$C$2:$C$721,計算用!$P$35))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IF(計算用!$P$36="","",35)</f>
        <v/>
      </c>
      <c r="B39" s="24">
        <f>IF(計算用!$P$36="","",INDEX(計算用!$A$2:$A$721,計算用!$P$36))</f>
        <v/>
      </c>
      <c r="C39" s="24">
        <f>IF(計算用!$P$36="","",INDEX(計算用!$B$2:$B$721,計算用!$P$36))</f>
        <v/>
      </c>
      <c r="D39" s="29">
        <f>IF(計算用!$P$36="","",INDEX(計算用!$C$2:$C$721,計算用!$P$36))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IF(計算用!$P$37="","",36)</f>
        <v/>
      </c>
      <c r="B40" s="24">
        <f>IF(計算用!$P$37="","",INDEX(計算用!$A$2:$A$721,計算用!$P$37))</f>
        <v/>
      </c>
      <c r="C40" s="24">
        <f>IF(計算用!$P$37="","",INDEX(計算用!$B$2:$B$721,計算用!$P$37))</f>
        <v/>
      </c>
      <c r="D40" s="29">
        <f>IF(計算用!$P$37="","",INDEX(計算用!$C$2:$C$721,計算用!$P$37))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IF(計算用!$P$38="","",37)</f>
        <v/>
      </c>
      <c r="B41" s="24">
        <f>IF(計算用!$P$38="","",INDEX(計算用!$A$2:$A$721,計算用!$P$38))</f>
        <v/>
      </c>
      <c r="C41" s="24">
        <f>IF(計算用!$P$38="","",INDEX(計算用!$B$2:$B$721,計算用!$P$38))</f>
        <v/>
      </c>
      <c r="D41" s="29">
        <f>IF(計算用!$P$38="","",INDEX(計算用!$C$2:$C$721,計算用!$P$38))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IF(計算用!$P$39="","",38)</f>
        <v/>
      </c>
      <c r="B42" s="24">
        <f>IF(計算用!$P$39="","",INDEX(計算用!$A$2:$A$721,計算用!$P$39))</f>
        <v/>
      </c>
      <c r="C42" s="24">
        <f>IF(計算用!$P$39="","",INDEX(計算用!$B$2:$B$721,計算用!$P$39))</f>
        <v/>
      </c>
      <c r="D42" s="29">
        <f>IF(計算用!$P$39="","",INDEX(計算用!$C$2:$C$721,計算用!$P$39))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IF(計算用!$P$40="","",39)</f>
        <v/>
      </c>
      <c r="B43" s="24">
        <f>IF(計算用!$P$40="","",INDEX(計算用!$A$2:$A$721,計算用!$P$40))</f>
        <v/>
      </c>
      <c r="C43" s="24">
        <f>IF(計算用!$P$40="","",INDEX(計算用!$B$2:$B$721,計算用!$P$40))</f>
        <v/>
      </c>
      <c r="D43" s="29">
        <f>IF(計算用!$P$40="","",INDEX(計算用!$C$2:$C$721,計算用!$P$40))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IF(計算用!$P$41="","",40)</f>
        <v/>
      </c>
      <c r="B44" s="24">
        <f>IF(計算用!$P$41="","",INDEX(計算用!$A$2:$A$721,計算用!$P$41))</f>
        <v/>
      </c>
      <c r="C44" s="24">
        <f>IF(計算用!$P$41="","",INDEX(計算用!$B$2:$B$721,計算用!$P$41))</f>
        <v/>
      </c>
      <c r="D44" s="29">
        <f>IF(計算用!$P$41="","",INDEX(計算用!$C$2:$C$721,計算用!$P$41))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IF(計算用!$P$42="","",41)</f>
        <v/>
      </c>
      <c r="B45" s="24">
        <f>IF(計算用!$P$42="","",INDEX(計算用!$A$2:$A$721,計算用!$P$42))</f>
        <v/>
      </c>
      <c r="C45" s="24">
        <f>IF(計算用!$P$42="","",INDEX(計算用!$B$2:$B$721,計算用!$P$42))</f>
        <v/>
      </c>
      <c r="D45" s="29">
        <f>IF(計算用!$P$42="","",INDEX(計算用!$C$2:$C$721,計算用!$P$42))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IF(計算用!$P$43="","",42)</f>
        <v/>
      </c>
      <c r="B46" s="24">
        <f>IF(計算用!$P$43="","",INDEX(計算用!$A$2:$A$721,計算用!$P$43))</f>
        <v/>
      </c>
      <c r="C46" s="24">
        <f>IF(計算用!$P$43="","",INDEX(計算用!$B$2:$B$721,計算用!$P$43))</f>
        <v/>
      </c>
      <c r="D46" s="29">
        <f>IF(計算用!$P$43="","",INDEX(計算用!$C$2:$C$721,計算用!$P$43))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IF(計算用!$P$44="","",43)</f>
        <v/>
      </c>
      <c r="B47" s="24">
        <f>IF(計算用!$P$44="","",INDEX(計算用!$A$2:$A$721,計算用!$P$44))</f>
        <v/>
      </c>
      <c r="C47" s="24">
        <f>IF(計算用!$P$44="","",INDEX(計算用!$B$2:$B$721,計算用!$P$44))</f>
        <v/>
      </c>
      <c r="D47" s="29">
        <f>IF(計算用!$P$44="","",INDEX(計算用!$C$2:$C$721,計算用!$P$44))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IF(計算用!$P$45="","",44)</f>
        <v/>
      </c>
      <c r="B48" s="24">
        <f>IF(計算用!$P$45="","",INDEX(計算用!$A$2:$A$721,計算用!$P$45))</f>
        <v/>
      </c>
      <c r="C48" s="24">
        <f>IF(計算用!$P$45="","",INDEX(計算用!$B$2:$B$721,計算用!$P$45))</f>
        <v/>
      </c>
      <c r="D48" s="29">
        <f>IF(計算用!$P$45="","",INDEX(計算用!$C$2:$C$721,計算用!$P$45))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IF(計算用!$P$46="","",45)</f>
        <v/>
      </c>
      <c r="B49" s="24">
        <f>IF(計算用!$P$46="","",INDEX(計算用!$A$2:$A$721,計算用!$P$46))</f>
        <v/>
      </c>
      <c r="C49" s="24">
        <f>IF(計算用!$P$46="","",INDEX(計算用!$B$2:$B$721,計算用!$P$46))</f>
        <v/>
      </c>
      <c r="D49" s="29">
        <f>IF(計算用!$P$46="","",INDEX(計算用!$C$2:$C$721,計算用!$P$46))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IF(計算用!$P$47="","",46)</f>
        <v/>
      </c>
      <c r="B50" s="24">
        <f>IF(計算用!$P$47="","",INDEX(計算用!$A$2:$A$721,計算用!$P$47))</f>
        <v/>
      </c>
      <c r="C50" s="24">
        <f>IF(計算用!$P$47="","",INDEX(計算用!$B$2:$B$721,計算用!$P$47))</f>
        <v/>
      </c>
      <c r="D50" s="29">
        <f>IF(計算用!$P$47="","",INDEX(計算用!$C$2:$C$721,計算用!$P$47))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IF(計算用!$P$48="","",47)</f>
        <v/>
      </c>
      <c r="B51" s="24">
        <f>IF(計算用!$P$48="","",INDEX(計算用!$A$2:$A$721,計算用!$P$48))</f>
        <v/>
      </c>
      <c r="C51" s="24">
        <f>IF(計算用!$P$48="","",INDEX(計算用!$B$2:$B$721,計算用!$P$48))</f>
        <v/>
      </c>
      <c r="D51" s="29">
        <f>IF(計算用!$P$48="","",INDEX(計算用!$C$2:$C$721,計算用!$P$48))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IF(計算用!$P$49="","",48)</f>
        <v/>
      </c>
      <c r="B52" s="24">
        <f>IF(計算用!$P$49="","",INDEX(計算用!$A$2:$A$721,計算用!$P$49))</f>
        <v/>
      </c>
      <c r="C52" s="24">
        <f>IF(計算用!$P$49="","",INDEX(計算用!$B$2:$B$721,計算用!$P$49))</f>
        <v/>
      </c>
      <c r="D52" s="29">
        <f>IF(計算用!$P$49="","",INDEX(計算用!$C$2:$C$721,計算用!$P$49))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IF(計算用!$P$50="","",49)</f>
        <v/>
      </c>
      <c r="B53" s="24">
        <f>IF(計算用!$P$50="","",INDEX(計算用!$A$2:$A$721,計算用!$P$50))</f>
        <v/>
      </c>
      <c r="C53" s="24">
        <f>IF(計算用!$P$50="","",INDEX(計算用!$B$2:$B$721,計算用!$P$50))</f>
        <v/>
      </c>
      <c r="D53" s="29">
        <f>IF(計算用!$P$50="","",INDEX(計算用!$C$2:$C$721,計算用!$P$50))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IF(計算用!$P$51="","",50)</f>
        <v/>
      </c>
      <c r="B54" s="24">
        <f>IF(計算用!$P$51="","",INDEX(計算用!$A$2:$A$721,計算用!$P$51))</f>
        <v/>
      </c>
      <c r="C54" s="24">
        <f>IF(計算用!$P$51="","",INDEX(計算用!$B$2:$B$721,計算用!$P$51))</f>
        <v/>
      </c>
      <c r="D54" s="29">
        <f>IF(計算用!$P$51="","",INDEX(計算用!$C$2:$C$721,計算用!$P$51))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IF(設定!$I$15="","",設定!$B$3&amp;"　"&amp;設定!$I$15&amp;設定!$B$4&amp;"名簿")</f>
        <v/>
      </c>
      <c r="Q1" s="22" t="inlineStr">
        <is>
          <t>【入力なし】見る・印刷するだけ</t>
        </is>
      </c>
    </row>
    <row r="2">
      <c r="A2" s="28">
        <f>IF(設定!$I$15="","","担当："&amp;設定!$J$15&amp;"　　活動場所："&amp;設定!$K$15&amp;"　　人数："&amp;人数チェック!$E$11&amp;"名（"&amp;設定!$B$7&amp;"年"&amp;人数チェック!$C$11&amp;"・"&amp;設定!$B$8&amp;"年"&amp;人数チェック!$D$11&amp;"）")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IF(計算用!$Q$2="","",1)</f>
        <v/>
      </c>
      <c r="B5" s="24">
        <f>IF(計算用!$Q$2="","",INDEX(計算用!$A$2:$A$721,計算用!$Q$2))</f>
        <v/>
      </c>
      <c r="C5" s="24">
        <f>IF(計算用!$Q$2="","",INDEX(計算用!$B$2:$B$721,計算用!$Q$2))</f>
        <v/>
      </c>
      <c r="D5" s="29">
        <f>IF(計算用!$Q$2="","",INDEX(計算用!$C$2:$C$721,計算用!$Q$2))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IF(計算用!$Q$3="","",2)</f>
        <v/>
      </c>
      <c r="B6" s="24">
        <f>IF(計算用!$Q$3="","",INDEX(計算用!$A$2:$A$721,計算用!$Q$3))</f>
        <v/>
      </c>
      <c r="C6" s="24">
        <f>IF(計算用!$Q$3="","",INDEX(計算用!$B$2:$B$721,計算用!$Q$3))</f>
        <v/>
      </c>
      <c r="D6" s="29">
        <f>IF(計算用!$Q$3="","",INDEX(計算用!$C$2:$C$721,計算用!$Q$3))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IF(計算用!$Q$4="","",3)</f>
        <v/>
      </c>
      <c r="B7" s="24">
        <f>IF(計算用!$Q$4="","",INDEX(計算用!$A$2:$A$721,計算用!$Q$4))</f>
        <v/>
      </c>
      <c r="C7" s="24">
        <f>IF(計算用!$Q$4="","",INDEX(計算用!$B$2:$B$721,計算用!$Q$4))</f>
        <v/>
      </c>
      <c r="D7" s="29">
        <f>IF(計算用!$Q$4="","",INDEX(計算用!$C$2:$C$721,計算用!$Q$4))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IF(計算用!$Q$5="","",4)</f>
        <v/>
      </c>
      <c r="B8" s="24">
        <f>IF(計算用!$Q$5="","",INDEX(計算用!$A$2:$A$721,計算用!$Q$5))</f>
        <v/>
      </c>
      <c r="C8" s="24">
        <f>IF(計算用!$Q$5="","",INDEX(計算用!$B$2:$B$721,計算用!$Q$5))</f>
        <v/>
      </c>
      <c r="D8" s="29">
        <f>IF(計算用!$Q$5="","",INDEX(計算用!$C$2:$C$721,計算用!$Q$5))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IF(計算用!$Q$6="","",5)</f>
        <v/>
      </c>
      <c r="B9" s="24">
        <f>IF(計算用!$Q$6="","",INDEX(計算用!$A$2:$A$721,計算用!$Q$6))</f>
        <v/>
      </c>
      <c r="C9" s="24">
        <f>IF(計算用!$Q$6="","",INDEX(計算用!$B$2:$B$721,計算用!$Q$6))</f>
        <v/>
      </c>
      <c r="D9" s="29">
        <f>IF(計算用!$Q$6="","",INDEX(計算用!$C$2:$C$721,計算用!$Q$6))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IF(計算用!$Q$7="","",6)</f>
        <v/>
      </c>
      <c r="B10" s="24">
        <f>IF(計算用!$Q$7="","",INDEX(計算用!$A$2:$A$721,計算用!$Q$7))</f>
        <v/>
      </c>
      <c r="C10" s="24">
        <f>IF(計算用!$Q$7="","",INDEX(計算用!$B$2:$B$721,計算用!$Q$7))</f>
        <v/>
      </c>
      <c r="D10" s="29">
        <f>IF(計算用!$Q$7="","",INDEX(計算用!$C$2:$C$721,計算用!$Q$7))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IF(計算用!$Q$8="","",7)</f>
        <v/>
      </c>
      <c r="B11" s="24">
        <f>IF(計算用!$Q$8="","",INDEX(計算用!$A$2:$A$721,計算用!$Q$8))</f>
        <v/>
      </c>
      <c r="C11" s="24">
        <f>IF(計算用!$Q$8="","",INDEX(計算用!$B$2:$B$721,計算用!$Q$8))</f>
        <v/>
      </c>
      <c r="D11" s="29">
        <f>IF(計算用!$Q$8="","",INDEX(計算用!$C$2:$C$721,計算用!$Q$8))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IF(計算用!$Q$9="","",8)</f>
        <v/>
      </c>
      <c r="B12" s="24">
        <f>IF(計算用!$Q$9="","",INDEX(計算用!$A$2:$A$721,計算用!$Q$9))</f>
        <v/>
      </c>
      <c r="C12" s="24">
        <f>IF(計算用!$Q$9="","",INDEX(計算用!$B$2:$B$721,計算用!$Q$9))</f>
        <v/>
      </c>
      <c r="D12" s="29">
        <f>IF(計算用!$Q$9="","",INDEX(計算用!$C$2:$C$721,計算用!$Q$9))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IF(計算用!$Q$10="","",9)</f>
        <v/>
      </c>
      <c r="B13" s="24">
        <f>IF(計算用!$Q$10="","",INDEX(計算用!$A$2:$A$721,計算用!$Q$10))</f>
        <v/>
      </c>
      <c r="C13" s="24">
        <f>IF(計算用!$Q$10="","",INDEX(計算用!$B$2:$B$721,計算用!$Q$10))</f>
        <v/>
      </c>
      <c r="D13" s="29">
        <f>IF(計算用!$Q$10="","",INDEX(計算用!$C$2:$C$721,計算用!$Q$10))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IF(計算用!$Q$11="","",10)</f>
        <v/>
      </c>
      <c r="B14" s="24">
        <f>IF(計算用!$Q$11="","",INDEX(計算用!$A$2:$A$721,計算用!$Q$11))</f>
        <v/>
      </c>
      <c r="C14" s="24">
        <f>IF(計算用!$Q$11="","",INDEX(計算用!$B$2:$B$721,計算用!$Q$11))</f>
        <v/>
      </c>
      <c r="D14" s="29">
        <f>IF(計算用!$Q$11="","",INDEX(計算用!$C$2:$C$721,計算用!$Q$11))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IF(計算用!$Q$12="","",11)</f>
        <v/>
      </c>
      <c r="B15" s="24">
        <f>IF(計算用!$Q$12="","",INDEX(計算用!$A$2:$A$721,計算用!$Q$12))</f>
        <v/>
      </c>
      <c r="C15" s="24">
        <f>IF(計算用!$Q$12="","",INDEX(計算用!$B$2:$B$721,計算用!$Q$12))</f>
        <v/>
      </c>
      <c r="D15" s="29">
        <f>IF(計算用!$Q$12="","",INDEX(計算用!$C$2:$C$721,計算用!$Q$12))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IF(計算用!$Q$13="","",12)</f>
        <v/>
      </c>
      <c r="B16" s="24">
        <f>IF(計算用!$Q$13="","",INDEX(計算用!$A$2:$A$721,計算用!$Q$13))</f>
        <v/>
      </c>
      <c r="C16" s="24">
        <f>IF(計算用!$Q$13="","",INDEX(計算用!$B$2:$B$721,計算用!$Q$13))</f>
        <v/>
      </c>
      <c r="D16" s="29">
        <f>IF(計算用!$Q$13="","",INDEX(計算用!$C$2:$C$721,計算用!$Q$13))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IF(計算用!$Q$14="","",13)</f>
        <v/>
      </c>
      <c r="B17" s="24">
        <f>IF(計算用!$Q$14="","",INDEX(計算用!$A$2:$A$721,計算用!$Q$14))</f>
        <v/>
      </c>
      <c r="C17" s="24">
        <f>IF(計算用!$Q$14="","",INDEX(計算用!$B$2:$B$721,計算用!$Q$14))</f>
        <v/>
      </c>
      <c r="D17" s="29">
        <f>IF(計算用!$Q$14="","",INDEX(計算用!$C$2:$C$721,計算用!$Q$14))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IF(計算用!$Q$15="","",14)</f>
        <v/>
      </c>
      <c r="B18" s="24">
        <f>IF(計算用!$Q$15="","",INDEX(計算用!$A$2:$A$721,計算用!$Q$15))</f>
        <v/>
      </c>
      <c r="C18" s="24">
        <f>IF(計算用!$Q$15="","",INDEX(計算用!$B$2:$B$721,計算用!$Q$15))</f>
        <v/>
      </c>
      <c r="D18" s="29">
        <f>IF(計算用!$Q$15="","",INDEX(計算用!$C$2:$C$721,計算用!$Q$15))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IF(計算用!$Q$16="","",15)</f>
        <v/>
      </c>
      <c r="B19" s="24">
        <f>IF(計算用!$Q$16="","",INDEX(計算用!$A$2:$A$721,計算用!$Q$16))</f>
        <v/>
      </c>
      <c r="C19" s="24">
        <f>IF(計算用!$Q$16="","",INDEX(計算用!$B$2:$B$721,計算用!$Q$16))</f>
        <v/>
      </c>
      <c r="D19" s="29">
        <f>IF(計算用!$Q$16="","",INDEX(計算用!$C$2:$C$721,計算用!$Q$16))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IF(計算用!$Q$17="","",16)</f>
        <v/>
      </c>
      <c r="B20" s="24">
        <f>IF(計算用!$Q$17="","",INDEX(計算用!$A$2:$A$721,計算用!$Q$17))</f>
        <v/>
      </c>
      <c r="C20" s="24">
        <f>IF(計算用!$Q$17="","",INDEX(計算用!$B$2:$B$721,計算用!$Q$17))</f>
        <v/>
      </c>
      <c r="D20" s="29">
        <f>IF(計算用!$Q$17="","",INDEX(計算用!$C$2:$C$721,計算用!$Q$17))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IF(計算用!$Q$18="","",17)</f>
        <v/>
      </c>
      <c r="B21" s="24">
        <f>IF(計算用!$Q$18="","",INDEX(計算用!$A$2:$A$721,計算用!$Q$18))</f>
        <v/>
      </c>
      <c r="C21" s="24">
        <f>IF(計算用!$Q$18="","",INDEX(計算用!$B$2:$B$721,計算用!$Q$18))</f>
        <v/>
      </c>
      <c r="D21" s="29">
        <f>IF(計算用!$Q$18="","",INDEX(計算用!$C$2:$C$721,計算用!$Q$18))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IF(計算用!$Q$19="","",18)</f>
        <v/>
      </c>
      <c r="B22" s="24">
        <f>IF(計算用!$Q$19="","",INDEX(計算用!$A$2:$A$721,計算用!$Q$19))</f>
        <v/>
      </c>
      <c r="C22" s="24">
        <f>IF(計算用!$Q$19="","",INDEX(計算用!$B$2:$B$721,計算用!$Q$19))</f>
        <v/>
      </c>
      <c r="D22" s="29">
        <f>IF(計算用!$Q$19="","",INDEX(計算用!$C$2:$C$721,計算用!$Q$19))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IF(計算用!$Q$20="","",19)</f>
        <v/>
      </c>
      <c r="B23" s="24">
        <f>IF(計算用!$Q$20="","",INDEX(計算用!$A$2:$A$721,計算用!$Q$20))</f>
        <v/>
      </c>
      <c r="C23" s="24">
        <f>IF(計算用!$Q$20="","",INDEX(計算用!$B$2:$B$721,計算用!$Q$20))</f>
        <v/>
      </c>
      <c r="D23" s="29">
        <f>IF(計算用!$Q$20="","",INDEX(計算用!$C$2:$C$721,計算用!$Q$20))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IF(計算用!$Q$21="","",20)</f>
        <v/>
      </c>
      <c r="B24" s="24">
        <f>IF(計算用!$Q$21="","",INDEX(計算用!$A$2:$A$721,計算用!$Q$21))</f>
        <v/>
      </c>
      <c r="C24" s="24">
        <f>IF(計算用!$Q$21="","",INDEX(計算用!$B$2:$B$721,計算用!$Q$21))</f>
        <v/>
      </c>
      <c r="D24" s="29">
        <f>IF(計算用!$Q$21="","",INDEX(計算用!$C$2:$C$721,計算用!$Q$21))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IF(計算用!$Q$22="","",21)</f>
        <v/>
      </c>
      <c r="B25" s="24">
        <f>IF(計算用!$Q$22="","",INDEX(計算用!$A$2:$A$721,計算用!$Q$22))</f>
        <v/>
      </c>
      <c r="C25" s="24">
        <f>IF(計算用!$Q$22="","",INDEX(計算用!$B$2:$B$721,計算用!$Q$22))</f>
        <v/>
      </c>
      <c r="D25" s="29">
        <f>IF(計算用!$Q$22="","",INDEX(計算用!$C$2:$C$721,計算用!$Q$22))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IF(計算用!$Q$23="","",22)</f>
        <v/>
      </c>
      <c r="B26" s="24">
        <f>IF(計算用!$Q$23="","",INDEX(計算用!$A$2:$A$721,計算用!$Q$23))</f>
        <v/>
      </c>
      <c r="C26" s="24">
        <f>IF(計算用!$Q$23="","",INDEX(計算用!$B$2:$B$721,計算用!$Q$23))</f>
        <v/>
      </c>
      <c r="D26" s="29">
        <f>IF(計算用!$Q$23="","",INDEX(計算用!$C$2:$C$721,計算用!$Q$23))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IF(計算用!$Q$24="","",23)</f>
        <v/>
      </c>
      <c r="B27" s="24">
        <f>IF(計算用!$Q$24="","",INDEX(計算用!$A$2:$A$721,計算用!$Q$24))</f>
        <v/>
      </c>
      <c r="C27" s="24">
        <f>IF(計算用!$Q$24="","",INDEX(計算用!$B$2:$B$721,計算用!$Q$24))</f>
        <v/>
      </c>
      <c r="D27" s="29">
        <f>IF(計算用!$Q$24="","",INDEX(計算用!$C$2:$C$721,計算用!$Q$24))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IF(計算用!$Q$25="","",24)</f>
        <v/>
      </c>
      <c r="B28" s="24">
        <f>IF(計算用!$Q$25="","",INDEX(計算用!$A$2:$A$721,計算用!$Q$25))</f>
        <v/>
      </c>
      <c r="C28" s="24">
        <f>IF(計算用!$Q$25="","",INDEX(計算用!$B$2:$B$721,計算用!$Q$25))</f>
        <v/>
      </c>
      <c r="D28" s="29">
        <f>IF(計算用!$Q$25="","",INDEX(計算用!$C$2:$C$721,計算用!$Q$25))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IF(計算用!$Q$26="","",25)</f>
        <v/>
      </c>
      <c r="B29" s="24">
        <f>IF(計算用!$Q$26="","",INDEX(計算用!$A$2:$A$721,計算用!$Q$26))</f>
        <v/>
      </c>
      <c r="C29" s="24">
        <f>IF(計算用!$Q$26="","",INDEX(計算用!$B$2:$B$721,計算用!$Q$26))</f>
        <v/>
      </c>
      <c r="D29" s="29">
        <f>IF(計算用!$Q$26="","",INDEX(計算用!$C$2:$C$721,計算用!$Q$26))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IF(計算用!$Q$27="","",26)</f>
        <v/>
      </c>
      <c r="B30" s="24">
        <f>IF(計算用!$Q$27="","",INDEX(計算用!$A$2:$A$721,計算用!$Q$27))</f>
        <v/>
      </c>
      <c r="C30" s="24">
        <f>IF(計算用!$Q$27="","",INDEX(計算用!$B$2:$B$721,計算用!$Q$27))</f>
        <v/>
      </c>
      <c r="D30" s="29">
        <f>IF(計算用!$Q$27="","",INDEX(計算用!$C$2:$C$721,計算用!$Q$27))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IF(計算用!$Q$28="","",27)</f>
        <v/>
      </c>
      <c r="B31" s="24">
        <f>IF(計算用!$Q$28="","",INDEX(計算用!$A$2:$A$721,計算用!$Q$28))</f>
        <v/>
      </c>
      <c r="C31" s="24">
        <f>IF(計算用!$Q$28="","",INDEX(計算用!$B$2:$B$721,計算用!$Q$28))</f>
        <v/>
      </c>
      <c r="D31" s="29">
        <f>IF(計算用!$Q$28="","",INDEX(計算用!$C$2:$C$721,計算用!$Q$28))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IF(計算用!$Q$29="","",28)</f>
        <v/>
      </c>
      <c r="B32" s="24">
        <f>IF(計算用!$Q$29="","",INDEX(計算用!$A$2:$A$721,計算用!$Q$29))</f>
        <v/>
      </c>
      <c r="C32" s="24">
        <f>IF(計算用!$Q$29="","",INDEX(計算用!$B$2:$B$721,計算用!$Q$29))</f>
        <v/>
      </c>
      <c r="D32" s="29">
        <f>IF(計算用!$Q$29="","",INDEX(計算用!$C$2:$C$721,計算用!$Q$29))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IF(計算用!$Q$30="","",29)</f>
        <v/>
      </c>
      <c r="B33" s="24">
        <f>IF(計算用!$Q$30="","",INDEX(計算用!$A$2:$A$721,計算用!$Q$30))</f>
        <v/>
      </c>
      <c r="C33" s="24">
        <f>IF(計算用!$Q$30="","",INDEX(計算用!$B$2:$B$721,計算用!$Q$30))</f>
        <v/>
      </c>
      <c r="D33" s="29">
        <f>IF(計算用!$Q$30="","",INDEX(計算用!$C$2:$C$721,計算用!$Q$30))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IF(計算用!$Q$31="","",30)</f>
        <v/>
      </c>
      <c r="B34" s="24">
        <f>IF(計算用!$Q$31="","",INDEX(計算用!$A$2:$A$721,計算用!$Q$31))</f>
        <v/>
      </c>
      <c r="C34" s="24">
        <f>IF(計算用!$Q$31="","",INDEX(計算用!$B$2:$B$721,計算用!$Q$31))</f>
        <v/>
      </c>
      <c r="D34" s="29">
        <f>IF(計算用!$Q$31="","",INDEX(計算用!$C$2:$C$721,計算用!$Q$31))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IF(計算用!$Q$32="","",31)</f>
        <v/>
      </c>
      <c r="B35" s="24">
        <f>IF(計算用!$Q$32="","",INDEX(計算用!$A$2:$A$721,計算用!$Q$32))</f>
        <v/>
      </c>
      <c r="C35" s="24">
        <f>IF(計算用!$Q$32="","",INDEX(計算用!$B$2:$B$721,計算用!$Q$32))</f>
        <v/>
      </c>
      <c r="D35" s="29">
        <f>IF(計算用!$Q$32="","",INDEX(計算用!$C$2:$C$721,計算用!$Q$32))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IF(計算用!$Q$33="","",32)</f>
        <v/>
      </c>
      <c r="B36" s="24">
        <f>IF(計算用!$Q$33="","",INDEX(計算用!$A$2:$A$721,計算用!$Q$33))</f>
        <v/>
      </c>
      <c r="C36" s="24">
        <f>IF(計算用!$Q$33="","",INDEX(計算用!$B$2:$B$721,計算用!$Q$33))</f>
        <v/>
      </c>
      <c r="D36" s="29">
        <f>IF(計算用!$Q$33="","",INDEX(計算用!$C$2:$C$721,計算用!$Q$33))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IF(計算用!$Q$34="","",33)</f>
        <v/>
      </c>
      <c r="B37" s="24">
        <f>IF(計算用!$Q$34="","",INDEX(計算用!$A$2:$A$721,計算用!$Q$34))</f>
        <v/>
      </c>
      <c r="C37" s="24">
        <f>IF(計算用!$Q$34="","",INDEX(計算用!$B$2:$B$721,計算用!$Q$34))</f>
        <v/>
      </c>
      <c r="D37" s="29">
        <f>IF(計算用!$Q$34="","",INDEX(計算用!$C$2:$C$721,計算用!$Q$34))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IF(計算用!$Q$35="","",34)</f>
        <v/>
      </c>
      <c r="B38" s="24">
        <f>IF(計算用!$Q$35="","",INDEX(計算用!$A$2:$A$721,計算用!$Q$35))</f>
        <v/>
      </c>
      <c r="C38" s="24">
        <f>IF(計算用!$Q$35="","",INDEX(計算用!$B$2:$B$721,計算用!$Q$35))</f>
        <v/>
      </c>
      <c r="D38" s="29">
        <f>IF(計算用!$Q$35="","",INDEX(計算用!$C$2:$C$721,計算用!$Q$35))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IF(計算用!$Q$36="","",35)</f>
        <v/>
      </c>
      <c r="B39" s="24">
        <f>IF(計算用!$Q$36="","",INDEX(計算用!$A$2:$A$721,計算用!$Q$36))</f>
        <v/>
      </c>
      <c r="C39" s="24">
        <f>IF(計算用!$Q$36="","",INDEX(計算用!$B$2:$B$721,計算用!$Q$36))</f>
        <v/>
      </c>
      <c r="D39" s="29">
        <f>IF(計算用!$Q$36="","",INDEX(計算用!$C$2:$C$721,計算用!$Q$36))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IF(計算用!$Q$37="","",36)</f>
        <v/>
      </c>
      <c r="B40" s="24">
        <f>IF(計算用!$Q$37="","",INDEX(計算用!$A$2:$A$721,計算用!$Q$37))</f>
        <v/>
      </c>
      <c r="C40" s="24">
        <f>IF(計算用!$Q$37="","",INDEX(計算用!$B$2:$B$721,計算用!$Q$37))</f>
        <v/>
      </c>
      <c r="D40" s="29">
        <f>IF(計算用!$Q$37="","",INDEX(計算用!$C$2:$C$721,計算用!$Q$37))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IF(計算用!$Q$38="","",37)</f>
        <v/>
      </c>
      <c r="B41" s="24">
        <f>IF(計算用!$Q$38="","",INDEX(計算用!$A$2:$A$721,計算用!$Q$38))</f>
        <v/>
      </c>
      <c r="C41" s="24">
        <f>IF(計算用!$Q$38="","",INDEX(計算用!$B$2:$B$721,計算用!$Q$38))</f>
        <v/>
      </c>
      <c r="D41" s="29">
        <f>IF(計算用!$Q$38="","",INDEX(計算用!$C$2:$C$721,計算用!$Q$38))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IF(計算用!$Q$39="","",38)</f>
        <v/>
      </c>
      <c r="B42" s="24">
        <f>IF(計算用!$Q$39="","",INDEX(計算用!$A$2:$A$721,計算用!$Q$39))</f>
        <v/>
      </c>
      <c r="C42" s="24">
        <f>IF(計算用!$Q$39="","",INDEX(計算用!$B$2:$B$721,計算用!$Q$39))</f>
        <v/>
      </c>
      <c r="D42" s="29">
        <f>IF(計算用!$Q$39="","",INDEX(計算用!$C$2:$C$721,計算用!$Q$39))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IF(計算用!$Q$40="","",39)</f>
        <v/>
      </c>
      <c r="B43" s="24">
        <f>IF(計算用!$Q$40="","",INDEX(計算用!$A$2:$A$721,計算用!$Q$40))</f>
        <v/>
      </c>
      <c r="C43" s="24">
        <f>IF(計算用!$Q$40="","",INDEX(計算用!$B$2:$B$721,計算用!$Q$40))</f>
        <v/>
      </c>
      <c r="D43" s="29">
        <f>IF(計算用!$Q$40="","",INDEX(計算用!$C$2:$C$721,計算用!$Q$40))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IF(計算用!$Q$41="","",40)</f>
        <v/>
      </c>
      <c r="B44" s="24">
        <f>IF(計算用!$Q$41="","",INDEX(計算用!$A$2:$A$721,計算用!$Q$41))</f>
        <v/>
      </c>
      <c r="C44" s="24">
        <f>IF(計算用!$Q$41="","",INDEX(計算用!$B$2:$B$721,計算用!$Q$41))</f>
        <v/>
      </c>
      <c r="D44" s="29">
        <f>IF(計算用!$Q$41="","",INDEX(計算用!$C$2:$C$721,計算用!$Q$41))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IF(計算用!$Q$42="","",41)</f>
        <v/>
      </c>
      <c r="B45" s="24">
        <f>IF(計算用!$Q$42="","",INDEX(計算用!$A$2:$A$721,計算用!$Q$42))</f>
        <v/>
      </c>
      <c r="C45" s="24">
        <f>IF(計算用!$Q$42="","",INDEX(計算用!$B$2:$B$721,計算用!$Q$42))</f>
        <v/>
      </c>
      <c r="D45" s="29">
        <f>IF(計算用!$Q$42="","",INDEX(計算用!$C$2:$C$721,計算用!$Q$42))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IF(計算用!$Q$43="","",42)</f>
        <v/>
      </c>
      <c r="B46" s="24">
        <f>IF(計算用!$Q$43="","",INDEX(計算用!$A$2:$A$721,計算用!$Q$43))</f>
        <v/>
      </c>
      <c r="C46" s="24">
        <f>IF(計算用!$Q$43="","",INDEX(計算用!$B$2:$B$721,計算用!$Q$43))</f>
        <v/>
      </c>
      <c r="D46" s="29">
        <f>IF(計算用!$Q$43="","",INDEX(計算用!$C$2:$C$721,計算用!$Q$43))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IF(計算用!$Q$44="","",43)</f>
        <v/>
      </c>
      <c r="B47" s="24">
        <f>IF(計算用!$Q$44="","",INDEX(計算用!$A$2:$A$721,計算用!$Q$44))</f>
        <v/>
      </c>
      <c r="C47" s="24">
        <f>IF(計算用!$Q$44="","",INDEX(計算用!$B$2:$B$721,計算用!$Q$44))</f>
        <v/>
      </c>
      <c r="D47" s="29">
        <f>IF(計算用!$Q$44="","",INDEX(計算用!$C$2:$C$721,計算用!$Q$44))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IF(計算用!$Q$45="","",44)</f>
        <v/>
      </c>
      <c r="B48" s="24">
        <f>IF(計算用!$Q$45="","",INDEX(計算用!$A$2:$A$721,計算用!$Q$45))</f>
        <v/>
      </c>
      <c r="C48" s="24">
        <f>IF(計算用!$Q$45="","",INDEX(計算用!$B$2:$B$721,計算用!$Q$45))</f>
        <v/>
      </c>
      <c r="D48" s="29">
        <f>IF(計算用!$Q$45="","",INDEX(計算用!$C$2:$C$721,計算用!$Q$45))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IF(計算用!$Q$46="","",45)</f>
        <v/>
      </c>
      <c r="B49" s="24">
        <f>IF(計算用!$Q$46="","",INDEX(計算用!$A$2:$A$721,計算用!$Q$46))</f>
        <v/>
      </c>
      <c r="C49" s="24">
        <f>IF(計算用!$Q$46="","",INDEX(計算用!$B$2:$B$721,計算用!$Q$46))</f>
        <v/>
      </c>
      <c r="D49" s="29">
        <f>IF(計算用!$Q$46="","",INDEX(計算用!$C$2:$C$721,計算用!$Q$46))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IF(計算用!$Q$47="","",46)</f>
        <v/>
      </c>
      <c r="B50" s="24">
        <f>IF(計算用!$Q$47="","",INDEX(計算用!$A$2:$A$721,計算用!$Q$47))</f>
        <v/>
      </c>
      <c r="C50" s="24">
        <f>IF(計算用!$Q$47="","",INDEX(計算用!$B$2:$B$721,計算用!$Q$47))</f>
        <v/>
      </c>
      <c r="D50" s="29">
        <f>IF(計算用!$Q$47="","",INDEX(計算用!$C$2:$C$721,計算用!$Q$47))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IF(計算用!$Q$48="","",47)</f>
        <v/>
      </c>
      <c r="B51" s="24">
        <f>IF(計算用!$Q$48="","",INDEX(計算用!$A$2:$A$721,計算用!$Q$48))</f>
        <v/>
      </c>
      <c r="C51" s="24">
        <f>IF(計算用!$Q$48="","",INDEX(計算用!$B$2:$B$721,計算用!$Q$48))</f>
        <v/>
      </c>
      <c r="D51" s="29">
        <f>IF(計算用!$Q$48="","",INDEX(計算用!$C$2:$C$721,計算用!$Q$48))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IF(計算用!$Q$49="","",48)</f>
        <v/>
      </c>
      <c r="B52" s="24">
        <f>IF(計算用!$Q$49="","",INDEX(計算用!$A$2:$A$721,計算用!$Q$49))</f>
        <v/>
      </c>
      <c r="C52" s="24">
        <f>IF(計算用!$Q$49="","",INDEX(計算用!$B$2:$B$721,計算用!$Q$49))</f>
        <v/>
      </c>
      <c r="D52" s="29">
        <f>IF(計算用!$Q$49="","",INDEX(計算用!$C$2:$C$721,計算用!$Q$49))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IF(計算用!$Q$50="","",49)</f>
        <v/>
      </c>
      <c r="B53" s="24">
        <f>IF(計算用!$Q$50="","",INDEX(計算用!$A$2:$A$721,計算用!$Q$50))</f>
        <v/>
      </c>
      <c r="C53" s="24">
        <f>IF(計算用!$Q$50="","",INDEX(計算用!$B$2:$B$721,計算用!$Q$50))</f>
        <v/>
      </c>
      <c r="D53" s="29">
        <f>IF(計算用!$Q$50="","",INDEX(計算用!$C$2:$C$721,計算用!$Q$50))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IF(計算用!$Q$51="","",50)</f>
        <v/>
      </c>
      <c r="B54" s="24">
        <f>IF(計算用!$Q$51="","",INDEX(計算用!$A$2:$A$721,計算用!$Q$51))</f>
        <v/>
      </c>
      <c r="C54" s="24">
        <f>IF(計算用!$Q$51="","",INDEX(計算用!$B$2:$B$721,計算用!$Q$51))</f>
        <v/>
      </c>
      <c r="D54" s="29">
        <f>IF(計算用!$Q$51="","",INDEX(計算用!$C$2:$C$721,計算用!$Q$51))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IF(設定!$I$16="","",設定!$B$3&amp;"　"&amp;設定!$I$16&amp;設定!$B$4&amp;"名簿")</f>
        <v/>
      </c>
      <c r="Q1" s="22" t="inlineStr">
        <is>
          <t>【入力なし】見る・印刷するだけ</t>
        </is>
      </c>
    </row>
    <row r="2">
      <c r="A2" s="28">
        <f>IF(設定!$I$16="","","担当："&amp;設定!$J$16&amp;"　　活動場所："&amp;設定!$K$16&amp;"　　人数："&amp;人数チェック!$E$12&amp;"名（"&amp;設定!$B$7&amp;"年"&amp;人数チェック!$C$12&amp;"・"&amp;設定!$B$8&amp;"年"&amp;人数チェック!$D$12&amp;"）")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IF(計算用!$R$2="","",1)</f>
        <v/>
      </c>
      <c r="B5" s="24">
        <f>IF(計算用!$R$2="","",INDEX(計算用!$A$2:$A$721,計算用!$R$2))</f>
        <v/>
      </c>
      <c r="C5" s="24">
        <f>IF(計算用!$R$2="","",INDEX(計算用!$B$2:$B$721,計算用!$R$2))</f>
        <v/>
      </c>
      <c r="D5" s="29">
        <f>IF(計算用!$R$2="","",INDEX(計算用!$C$2:$C$721,計算用!$R$2))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IF(計算用!$R$3="","",2)</f>
        <v/>
      </c>
      <c r="B6" s="24">
        <f>IF(計算用!$R$3="","",INDEX(計算用!$A$2:$A$721,計算用!$R$3))</f>
        <v/>
      </c>
      <c r="C6" s="24">
        <f>IF(計算用!$R$3="","",INDEX(計算用!$B$2:$B$721,計算用!$R$3))</f>
        <v/>
      </c>
      <c r="D6" s="29">
        <f>IF(計算用!$R$3="","",INDEX(計算用!$C$2:$C$721,計算用!$R$3))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IF(計算用!$R$4="","",3)</f>
        <v/>
      </c>
      <c r="B7" s="24">
        <f>IF(計算用!$R$4="","",INDEX(計算用!$A$2:$A$721,計算用!$R$4))</f>
        <v/>
      </c>
      <c r="C7" s="24">
        <f>IF(計算用!$R$4="","",INDEX(計算用!$B$2:$B$721,計算用!$R$4))</f>
        <v/>
      </c>
      <c r="D7" s="29">
        <f>IF(計算用!$R$4="","",INDEX(計算用!$C$2:$C$721,計算用!$R$4))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IF(計算用!$R$5="","",4)</f>
        <v/>
      </c>
      <c r="B8" s="24">
        <f>IF(計算用!$R$5="","",INDEX(計算用!$A$2:$A$721,計算用!$R$5))</f>
        <v/>
      </c>
      <c r="C8" s="24">
        <f>IF(計算用!$R$5="","",INDEX(計算用!$B$2:$B$721,計算用!$R$5))</f>
        <v/>
      </c>
      <c r="D8" s="29">
        <f>IF(計算用!$R$5="","",INDEX(計算用!$C$2:$C$721,計算用!$R$5))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IF(計算用!$R$6="","",5)</f>
        <v/>
      </c>
      <c r="B9" s="24">
        <f>IF(計算用!$R$6="","",INDEX(計算用!$A$2:$A$721,計算用!$R$6))</f>
        <v/>
      </c>
      <c r="C9" s="24">
        <f>IF(計算用!$R$6="","",INDEX(計算用!$B$2:$B$721,計算用!$R$6))</f>
        <v/>
      </c>
      <c r="D9" s="29">
        <f>IF(計算用!$R$6="","",INDEX(計算用!$C$2:$C$721,計算用!$R$6))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IF(計算用!$R$7="","",6)</f>
        <v/>
      </c>
      <c r="B10" s="24">
        <f>IF(計算用!$R$7="","",INDEX(計算用!$A$2:$A$721,計算用!$R$7))</f>
        <v/>
      </c>
      <c r="C10" s="24">
        <f>IF(計算用!$R$7="","",INDEX(計算用!$B$2:$B$721,計算用!$R$7))</f>
        <v/>
      </c>
      <c r="D10" s="29">
        <f>IF(計算用!$R$7="","",INDEX(計算用!$C$2:$C$721,計算用!$R$7))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IF(計算用!$R$8="","",7)</f>
        <v/>
      </c>
      <c r="B11" s="24">
        <f>IF(計算用!$R$8="","",INDEX(計算用!$A$2:$A$721,計算用!$R$8))</f>
        <v/>
      </c>
      <c r="C11" s="24">
        <f>IF(計算用!$R$8="","",INDEX(計算用!$B$2:$B$721,計算用!$R$8))</f>
        <v/>
      </c>
      <c r="D11" s="29">
        <f>IF(計算用!$R$8="","",INDEX(計算用!$C$2:$C$721,計算用!$R$8))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IF(計算用!$R$9="","",8)</f>
        <v/>
      </c>
      <c r="B12" s="24">
        <f>IF(計算用!$R$9="","",INDEX(計算用!$A$2:$A$721,計算用!$R$9))</f>
        <v/>
      </c>
      <c r="C12" s="24">
        <f>IF(計算用!$R$9="","",INDEX(計算用!$B$2:$B$721,計算用!$R$9))</f>
        <v/>
      </c>
      <c r="D12" s="29">
        <f>IF(計算用!$R$9="","",INDEX(計算用!$C$2:$C$721,計算用!$R$9))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IF(計算用!$R$10="","",9)</f>
        <v/>
      </c>
      <c r="B13" s="24">
        <f>IF(計算用!$R$10="","",INDEX(計算用!$A$2:$A$721,計算用!$R$10))</f>
        <v/>
      </c>
      <c r="C13" s="24">
        <f>IF(計算用!$R$10="","",INDEX(計算用!$B$2:$B$721,計算用!$R$10))</f>
        <v/>
      </c>
      <c r="D13" s="29">
        <f>IF(計算用!$R$10="","",INDEX(計算用!$C$2:$C$721,計算用!$R$10))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IF(計算用!$R$11="","",10)</f>
        <v/>
      </c>
      <c r="B14" s="24">
        <f>IF(計算用!$R$11="","",INDEX(計算用!$A$2:$A$721,計算用!$R$11))</f>
        <v/>
      </c>
      <c r="C14" s="24">
        <f>IF(計算用!$R$11="","",INDEX(計算用!$B$2:$B$721,計算用!$R$11))</f>
        <v/>
      </c>
      <c r="D14" s="29">
        <f>IF(計算用!$R$11="","",INDEX(計算用!$C$2:$C$721,計算用!$R$11))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IF(計算用!$R$12="","",11)</f>
        <v/>
      </c>
      <c r="B15" s="24">
        <f>IF(計算用!$R$12="","",INDEX(計算用!$A$2:$A$721,計算用!$R$12))</f>
        <v/>
      </c>
      <c r="C15" s="24">
        <f>IF(計算用!$R$12="","",INDEX(計算用!$B$2:$B$721,計算用!$R$12))</f>
        <v/>
      </c>
      <c r="D15" s="29">
        <f>IF(計算用!$R$12="","",INDEX(計算用!$C$2:$C$721,計算用!$R$12))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IF(計算用!$R$13="","",12)</f>
        <v/>
      </c>
      <c r="B16" s="24">
        <f>IF(計算用!$R$13="","",INDEX(計算用!$A$2:$A$721,計算用!$R$13))</f>
        <v/>
      </c>
      <c r="C16" s="24">
        <f>IF(計算用!$R$13="","",INDEX(計算用!$B$2:$B$721,計算用!$R$13))</f>
        <v/>
      </c>
      <c r="D16" s="29">
        <f>IF(計算用!$R$13="","",INDEX(計算用!$C$2:$C$721,計算用!$R$13))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IF(計算用!$R$14="","",13)</f>
        <v/>
      </c>
      <c r="B17" s="24">
        <f>IF(計算用!$R$14="","",INDEX(計算用!$A$2:$A$721,計算用!$R$14))</f>
        <v/>
      </c>
      <c r="C17" s="24">
        <f>IF(計算用!$R$14="","",INDEX(計算用!$B$2:$B$721,計算用!$R$14))</f>
        <v/>
      </c>
      <c r="D17" s="29">
        <f>IF(計算用!$R$14="","",INDEX(計算用!$C$2:$C$721,計算用!$R$14))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IF(計算用!$R$15="","",14)</f>
        <v/>
      </c>
      <c r="B18" s="24">
        <f>IF(計算用!$R$15="","",INDEX(計算用!$A$2:$A$721,計算用!$R$15))</f>
        <v/>
      </c>
      <c r="C18" s="24">
        <f>IF(計算用!$R$15="","",INDEX(計算用!$B$2:$B$721,計算用!$R$15))</f>
        <v/>
      </c>
      <c r="D18" s="29">
        <f>IF(計算用!$R$15="","",INDEX(計算用!$C$2:$C$721,計算用!$R$15))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IF(計算用!$R$16="","",15)</f>
        <v/>
      </c>
      <c r="B19" s="24">
        <f>IF(計算用!$R$16="","",INDEX(計算用!$A$2:$A$721,計算用!$R$16))</f>
        <v/>
      </c>
      <c r="C19" s="24">
        <f>IF(計算用!$R$16="","",INDEX(計算用!$B$2:$B$721,計算用!$R$16))</f>
        <v/>
      </c>
      <c r="D19" s="29">
        <f>IF(計算用!$R$16="","",INDEX(計算用!$C$2:$C$721,計算用!$R$16))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IF(計算用!$R$17="","",16)</f>
        <v/>
      </c>
      <c r="B20" s="24">
        <f>IF(計算用!$R$17="","",INDEX(計算用!$A$2:$A$721,計算用!$R$17))</f>
        <v/>
      </c>
      <c r="C20" s="24">
        <f>IF(計算用!$R$17="","",INDEX(計算用!$B$2:$B$721,計算用!$R$17))</f>
        <v/>
      </c>
      <c r="D20" s="29">
        <f>IF(計算用!$R$17="","",INDEX(計算用!$C$2:$C$721,計算用!$R$17))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IF(計算用!$R$18="","",17)</f>
        <v/>
      </c>
      <c r="B21" s="24">
        <f>IF(計算用!$R$18="","",INDEX(計算用!$A$2:$A$721,計算用!$R$18))</f>
        <v/>
      </c>
      <c r="C21" s="24">
        <f>IF(計算用!$R$18="","",INDEX(計算用!$B$2:$B$721,計算用!$R$18))</f>
        <v/>
      </c>
      <c r="D21" s="29">
        <f>IF(計算用!$R$18="","",INDEX(計算用!$C$2:$C$721,計算用!$R$18))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IF(計算用!$R$19="","",18)</f>
        <v/>
      </c>
      <c r="B22" s="24">
        <f>IF(計算用!$R$19="","",INDEX(計算用!$A$2:$A$721,計算用!$R$19))</f>
        <v/>
      </c>
      <c r="C22" s="24">
        <f>IF(計算用!$R$19="","",INDEX(計算用!$B$2:$B$721,計算用!$R$19))</f>
        <v/>
      </c>
      <c r="D22" s="29">
        <f>IF(計算用!$R$19="","",INDEX(計算用!$C$2:$C$721,計算用!$R$19))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IF(計算用!$R$20="","",19)</f>
        <v/>
      </c>
      <c r="B23" s="24">
        <f>IF(計算用!$R$20="","",INDEX(計算用!$A$2:$A$721,計算用!$R$20))</f>
        <v/>
      </c>
      <c r="C23" s="24">
        <f>IF(計算用!$R$20="","",INDEX(計算用!$B$2:$B$721,計算用!$R$20))</f>
        <v/>
      </c>
      <c r="D23" s="29">
        <f>IF(計算用!$R$20="","",INDEX(計算用!$C$2:$C$721,計算用!$R$20))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IF(計算用!$R$21="","",20)</f>
        <v/>
      </c>
      <c r="B24" s="24">
        <f>IF(計算用!$R$21="","",INDEX(計算用!$A$2:$A$721,計算用!$R$21))</f>
        <v/>
      </c>
      <c r="C24" s="24">
        <f>IF(計算用!$R$21="","",INDEX(計算用!$B$2:$B$721,計算用!$R$21))</f>
        <v/>
      </c>
      <c r="D24" s="29">
        <f>IF(計算用!$R$21="","",INDEX(計算用!$C$2:$C$721,計算用!$R$21))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IF(計算用!$R$22="","",21)</f>
        <v/>
      </c>
      <c r="B25" s="24">
        <f>IF(計算用!$R$22="","",INDEX(計算用!$A$2:$A$721,計算用!$R$22))</f>
        <v/>
      </c>
      <c r="C25" s="24">
        <f>IF(計算用!$R$22="","",INDEX(計算用!$B$2:$B$721,計算用!$R$22))</f>
        <v/>
      </c>
      <c r="D25" s="29">
        <f>IF(計算用!$R$22="","",INDEX(計算用!$C$2:$C$721,計算用!$R$22))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IF(計算用!$R$23="","",22)</f>
        <v/>
      </c>
      <c r="B26" s="24">
        <f>IF(計算用!$R$23="","",INDEX(計算用!$A$2:$A$721,計算用!$R$23))</f>
        <v/>
      </c>
      <c r="C26" s="24">
        <f>IF(計算用!$R$23="","",INDEX(計算用!$B$2:$B$721,計算用!$R$23))</f>
        <v/>
      </c>
      <c r="D26" s="29">
        <f>IF(計算用!$R$23="","",INDEX(計算用!$C$2:$C$721,計算用!$R$23))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IF(計算用!$R$24="","",23)</f>
        <v/>
      </c>
      <c r="B27" s="24">
        <f>IF(計算用!$R$24="","",INDEX(計算用!$A$2:$A$721,計算用!$R$24))</f>
        <v/>
      </c>
      <c r="C27" s="24">
        <f>IF(計算用!$R$24="","",INDEX(計算用!$B$2:$B$721,計算用!$R$24))</f>
        <v/>
      </c>
      <c r="D27" s="29">
        <f>IF(計算用!$R$24="","",INDEX(計算用!$C$2:$C$721,計算用!$R$24))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IF(計算用!$R$25="","",24)</f>
        <v/>
      </c>
      <c r="B28" s="24">
        <f>IF(計算用!$R$25="","",INDEX(計算用!$A$2:$A$721,計算用!$R$25))</f>
        <v/>
      </c>
      <c r="C28" s="24">
        <f>IF(計算用!$R$25="","",INDEX(計算用!$B$2:$B$721,計算用!$R$25))</f>
        <v/>
      </c>
      <c r="D28" s="29">
        <f>IF(計算用!$R$25="","",INDEX(計算用!$C$2:$C$721,計算用!$R$25))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IF(計算用!$R$26="","",25)</f>
        <v/>
      </c>
      <c r="B29" s="24">
        <f>IF(計算用!$R$26="","",INDEX(計算用!$A$2:$A$721,計算用!$R$26))</f>
        <v/>
      </c>
      <c r="C29" s="24">
        <f>IF(計算用!$R$26="","",INDEX(計算用!$B$2:$B$721,計算用!$R$26))</f>
        <v/>
      </c>
      <c r="D29" s="29">
        <f>IF(計算用!$R$26="","",INDEX(計算用!$C$2:$C$721,計算用!$R$26))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IF(計算用!$R$27="","",26)</f>
        <v/>
      </c>
      <c r="B30" s="24">
        <f>IF(計算用!$R$27="","",INDEX(計算用!$A$2:$A$721,計算用!$R$27))</f>
        <v/>
      </c>
      <c r="C30" s="24">
        <f>IF(計算用!$R$27="","",INDEX(計算用!$B$2:$B$721,計算用!$R$27))</f>
        <v/>
      </c>
      <c r="D30" s="29">
        <f>IF(計算用!$R$27="","",INDEX(計算用!$C$2:$C$721,計算用!$R$27))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IF(計算用!$R$28="","",27)</f>
        <v/>
      </c>
      <c r="B31" s="24">
        <f>IF(計算用!$R$28="","",INDEX(計算用!$A$2:$A$721,計算用!$R$28))</f>
        <v/>
      </c>
      <c r="C31" s="24">
        <f>IF(計算用!$R$28="","",INDEX(計算用!$B$2:$B$721,計算用!$R$28))</f>
        <v/>
      </c>
      <c r="D31" s="29">
        <f>IF(計算用!$R$28="","",INDEX(計算用!$C$2:$C$721,計算用!$R$28))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IF(計算用!$R$29="","",28)</f>
        <v/>
      </c>
      <c r="B32" s="24">
        <f>IF(計算用!$R$29="","",INDEX(計算用!$A$2:$A$721,計算用!$R$29))</f>
        <v/>
      </c>
      <c r="C32" s="24">
        <f>IF(計算用!$R$29="","",INDEX(計算用!$B$2:$B$721,計算用!$R$29))</f>
        <v/>
      </c>
      <c r="D32" s="29">
        <f>IF(計算用!$R$29="","",INDEX(計算用!$C$2:$C$721,計算用!$R$29))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IF(計算用!$R$30="","",29)</f>
        <v/>
      </c>
      <c r="B33" s="24">
        <f>IF(計算用!$R$30="","",INDEX(計算用!$A$2:$A$721,計算用!$R$30))</f>
        <v/>
      </c>
      <c r="C33" s="24">
        <f>IF(計算用!$R$30="","",INDEX(計算用!$B$2:$B$721,計算用!$R$30))</f>
        <v/>
      </c>
      <c r="D33" s="29">
        <f>IF(計算用!$R$30="","",INDEX(計算用!$C$2:$C$721,計算用!$R$30))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IF(計算用!$R$31="","",30)</f>
        <v/>
      </c>
      <c r="B34" s="24">
        <f>IF(計算用!$R$31="","",INDEX(計算用!$A$2:$A$721,計算用!$R$31))</f>
        <v/>
      </c>
      <c r="C34" s="24">
        <f>IF(計算用!$R$31="","",INDEX(計算用!$B$2:$B$721,計算用!$R$31))</f>
        <v/>
      </c>
      <c r="D34" s="29">
        <f>IF(計算用!$R$31="","",INDEX(計算用!$C$2:$C$721,計算用!$R$31))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IF(計算用!$R$32="","",31)</f>
        <v/>
      </c>
      <c r="B35" s="24">
        <f>IF(計算用!$R$32="","",INDEX(計算用!$A$2:$A$721,計算用!$R$32))</f>
        <v/>
      </c>
      <c r="C35" s="24">
        <f>IF(計算用!$R$32="","",INDEX(計算用!$B$2:$B$721,計算用!$R$32))</f>
        <v/>
      </c>
      <c r="D35" s="29">
        <f>IF(計算用!$R$32="","",INDEX(計算用!$C$2:$C$721,計算用!$R$32))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IF(計算用!$R$33="","",32)</f>
        <v/>
      </c>
      <c r="B36" s="24">
        <f>IF(計算用!$R$33="","",INDEX(計算用!$A$2:$A$721,計算用!$R$33))</f>
        <v/>
      </c>
      <c r="C36" s="24">
        <f>IF(計算用!$R$33="","",INDEX(計算用!$B$2:$B$721,計算用!$R$33))</f>
        <v/>
      </c>
      <c r="D36" s="29">
        <f>IF(計算用!$R$33="","",INDEX(計算用!$C$2:$C$721,計算用!$R$33))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IF(計算用!$R$34="","",33)</f>
        <v/>
      </c>
      <c r="B37" s="24">
        <f>IF(計算用!$R$34="","",INDEX(計算用!$A$2:$A$721,計算用!$R$34))</f>
        <v/>
      </c>
      <c r="C37" s="24">
        <f>IF(計算用!$R$34="","",INDEX(計算用!$B$2:$B$721,計算用!$R$34))</f>
        <v/>
      </c>
      <c r="D37" s="29">
        <f>IF(計算用!$R$34="","",INDEX(計算用!$C$2:$C$721,計算用!$R$34))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IF(計算用!$R$35="","",34)</f>
        <v/>
      </c>
      <c r="B38" s="24">
        <f>IF(計算用!$R$35="","",INDEX(計算用!$A$2:$A$721,計算用!$R$35))</f>
        <v/>
      </c>
      <c r="C38" s="24">
        <f>IF(計算用!$R$35="","",INDEX(計算用!$B$2:$B$721,計算用!$R$35))</f>
        <v/>
      </c>
      <c r="D38" s="29">
        <f>IF(計算用!$R$35="","",INDEX(計算用!$C$2:$C$721,計算用!$R$35))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IF(計算用!$R$36="","",35)</f>
        <v/>
      </c>
      <c r="B39" s="24">
        <f>IF(計算用!$R$36="","",INDEX(計算用!$A$2:$A$721,計算用!$R$36))</f>
        <v/>
      </c>
      <c r="C39" s="24">
        <f>IF(計算用!$R$36="","",INDEX(計算用!$B$2:$B$721,計算用!$R$36))</f>
        <v/>
      </c>
      <c r="D39" s="29">
        <f>IF(計算用!$R$36="","",INDEX(計算用!$C$2:$C$721,計算用!$R$36))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IF(計算用!$R$37="","",36)</f>
        <v/>
      </c>
      <c r="B40" s="24">
        <f>IF(計算用!$R$37="","",INDEX(計算用!$A$2:$A$721,計算用!$R$37))</f>
        <v/>
      </c>
      <c r="C40" s="24">
        <f>IF(計算用!$R$37="","",INDEX(計算用!$B$2:$B$721,計算用!$R$37))</f>
        <v/>
      </c>
      <c r="D40" s="29">
        <f>IF(計算用!$R$37="","",INDEX(計算用!$C$2:$C$721,計算用!$R$37))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IF(計算用!$R$38="","",37)</f>
        <v/>
      </c>
      <c r="B41" s="24">
        <f>IF(計算用!$R$38="","",INDEX(計算用!$A$2:$A$721,計算用!$R$38))</f>
        <v/>
      </c>
      <c r="C41" s="24">
        <f>IF(計算用!$R$38="","",INDEX(計算用!$B$2:$B$721,計算用!$R$38))</f>
        <v/>
      </c>
      <c r="D41" s="29">
        <f>IF(計算用!$R$38="","",INDEX(計算用!$C$2:$C$721,計算用!$R$38))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IF(計算用!$R$39="","",38)</f>
        <v/>
      </c>
      <c r="B42" s="24">
        <f>IF(計算用!$R$39="","",INDEX(計算用!$A$2:$A$721,計算用!$R$39))</f>
        <v/>
      </c>
      <c r="C42" s="24">
        <f>IF(計算用!$R$39="","",INDEX(計算用!$B$2:$B$721,計算用!$R$39))</f>
        <v/>
      </c>
      <c r="D42" s="29">
        <f>IF(計算用!$R$39="","",INDEX(計算用!$C$2:$C$721,計算用!$R$39))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IF(計算用!$R$40="","",39)</f>
        <v/>
      </c>
      <c r="B43" s="24">
        <f>IF(計算用!$R$40="","",INDEX(計算用!$A$2:$A$721,計算用!$R$40))</f>
        <v/>
      </c>
      <c r="C43" s="24">
        <f>IF(計算用!$R$40="","",INDEX(計算用!$B$2:$B$721,計算用!$R$40))</f>
        <v/>
      </c>
      <c r="D43" s="29">
        <f>IF(計算用!$R$40="","",INDEX(計算用!$C$2:$C$721,計算用!$R$40))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IF(計算用!$R$41="","",40)</f>
        <v/>
      </c>
      <c r="B44" s="24">
        <f>IF(計算用!$R$41="","",INDEX(計算用!$A$2:$A$721,計算用!$R$41))</f>
        <v/>
      </c>
      <c r="C44" s="24">
        <f>IF(計算用!$R$41="","",INDEX(計算用!$B$2:$B$721,計算用!$R$41))</f>
        <v/>
      </c>
      <c r="D44" s="29">
        <f>IF(計算用!$R$41="","",INDEX(計算用!$C$2:$C$721,計算用!$R$41))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IF(計算用!$R$42="","",41)</f>
        <v/>
      </c>
      <c r="B45" s="24">
        <f>IF(計算用!$R$42="","",INDEX(計算用!$A$2:$A$721,計算用!$R$42))</f>
        <v/>
      </c>
      <c r="C45" s="24">
        <f>IF(計算用!$R$42="","",INDEX(計算用!$B$2:$B$721,計算用!$R$42))</f>
        <v/>
      </c>
      <c r="D45" s="29">
        <f>IF(計算用!$R$42="","",INDEX(計算用!$C$2:$C$721,計算用!$R$42))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IF(計算用!$R$43="","",42)</f>
        <v/>
      </c>
      <c r="B46" s="24">
        <f>IF(計算用!$R$43="","",INDEX(計算用!$A$2:$A$721,計算用!$R$43))</f>
        <v/>
      </c>
      <c r="C46" s="24">
        <f>IF(計算用!$R$43="","",INDEX(計算用!$B$2:$B$721,計算用!$R$43))</f>
        <v/>
      </c>
      <c r="D46" s="29">
        <f>IF(計算用!$R$43="","",INDEX(計算用!$C$2:$C$721,計算用!$R$43))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IF(計算用!$R$44="","",43)</f>
        <v/>
      </c>
      <c r="B47" s="24">
        <f>IF(計算用!$R$44="","",INDEX(計算用!$A$2:$A$721,計算用!$R$44))</f>
        <v/>
      </c>
      <c r="C47" s="24">
        <f>IF(計算用!$R$44="","",INDEX(計算用!$B$2:$B$721,計算用!$R$44))</f>
        <v/>
      </c>
      <c r="D47" s="29">
        <f>IF(計算用!$R$44="","",INDEX(計算用!$C$2:$C$721,計算用!$R$44))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IF(計算用!$R$45="","",44)</f>
        <v/>
      </c>
      <c r="B48" s="24">
        <f>IF(計算用!$R$45="","",INDEX(計算用!$A$2:$A$721,計算用!$R$45))</f>
        <v/>
      </c>
      <c r="C48" s="24">
        <f>IF(計算用!$R$45="","",INDEX(計算用!$B$2:$B$721,計算用!$R$45))</f>
        <v/>
      </c>
      <c r="D48" s="29">
        <f>IF(計算用!$R$45="","",INDEX(計算用!$C$2:$C$721,計算用!$R$45))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IF(計算用!$R$46="","",45)</f>
        <v/>
      </c>
      <c r="B49" s="24">
        <f>IF(計算用!$R$46="","",INDEX(計算用!$A$2:$A$721,計算用!$R$46))</f>
        <v/>
      </c>
      <c r="C49" s="24">
        <f>IF(計算用!$R$46="","",INDEX(計算用!$B$2:$B$721,計算用!$R$46))</f>
        <v/>
      </c>
      <c r="D49" s="29">
        <f>IF(計算用!$R$46="","",INDEX(計算用!$C$2:$C$721,計算用!$R$46))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IF(計算用!$R$47="","",46)</f>
        <v/>
      </c>
      <c r="B50" s="24">
        <f>IF(計算用!$R$47="","",INDEX(計算用!$A$2:$A$721,計算用!$R$47))</f>
        <v/>
      </c>
      <c r="C50" s="24">
        <f>IF(計算用!$R$47="","",INDEX(計算用!$B$2:$B$721,計算用!$R$47))</f>
        <v/>
      </c>
      <c r="D50" s="29">
        <f>IF(計算用!$R$47="","",INDEX(計算用!$C$2:$C$721,計算用!$R$47))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IF(計算用!$R$48="","",47)</f>
        <v/>
      </c>
      <c r="B51" s="24">
        <f>IF(計算用!$R$48="","",INDEX(計算用!$A$2:$A$721,計算用!$R$48))</f>
        <v/>
      </c>
      <c r="C51" s="24">
        <f>IF(計算用!$R$48="","",INDEX(計算用!$B$2:$B$721,計算用!$R$48))</f>
        <v/>
      </c>
      <c r="D51" s="29">
        <f>IF(計算用!$R$48="","",INDEX(計算用!$C$2:$C$721,計算用!$R$48))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IF(計算用!$R$49="","",48)</f>
        <v/>
      </c>
      <c r="B52" s="24">
        <f>IF(計算用!$R$49="","",INDEX(計算用!$A$2:$A$721,計算用!$R$49))</f>
        <v/>
      </c>
      <c r="C52" s="24">
        <f>IF(計算用!$R$49="","",INDEX(計算用!$B$2:$B$721,計算用!$R$49))</f>
        <v/>
      </c>
      <c r="D52" s="29">
        <f>IF(計算用!$R$49="","",INDEX(計算用!$C$2:$C$721,計算用!$R$49))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IF(計算用!$R$50="","",49)</f>
        <v/>
      </c>
      <c r="B53" s="24">
        <f>IF(計算用!$R$50="","",INDEX(計算用!$A$2:$A$721,計算用!$R$50))</f>
        <v/>
      </c>
      <c r="C53" s="24">
        <f>IF(計算用!$R$50="","",INDEX(計算用!$B$2:$B$721,計算用!$R$50))</f>
        <v/>
      </c>
      <c r="D53" s="29">
        <f>IF(計算用!$R$50="","",INDEX(計算用!$C$2:$C$721,計算用!$R$50))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IF(計算用!$R$51="","",50)</f>
        <v/>
      </c>
      <c r="B54" s="24">
        <f>IF(計算用!$R$51="","",INDEX(計算用!$A$2:$A$721,計算用!$R$51))</f>
        <v/>
      </c>
      <c r="C54" s="24">
        <f>IF(計算用!$R$51="","",INDEX(計算用!$B$2:$B$721,計算用!$R$51))</f>
        <v/>
      </c>
      <c r="D54" s="29">
        <f>IF(計算用!$R$51="","",INDEX(計算用!$C$2:$C$721,計算用!$R$51))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IF(設定!$I$17="","",設定!$B$3&amp;"　"&amp;設定!$I$17&amp;設定!$B$4&amp;"名簿")</f>
        <v/>
      </c>
      <c r="Q1" s="22" t="inlineStr">
        <is>
          <t>【入力なし】見る・印刷するだけ</t>
        </is>
      </c>
    </row>
    <row r="2">
      <c r="A2" s="28">
        <f>IF(設定!$I$17="","","担当："&amp;設定!$J$17&amp;"　　活動場所："&amp;設定!$K$17&amp;"　　人数："&amp;人数チェック!$E$13&amp;"名（"&amp;設定!$B$7&amp;"年"&amp;人数チェック!$C$13&amp;"・"&amp;設定!$B$8&amp;"年"&amp;人数チェック!$D$13&amp;"）")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IF(計算用!$S$2="","",1)</f>
        <v/>
      </c>
      <c r="B5" s="24">
        <f>IF(計算用!$S$2="","",INDEX(計算用!$A$2:$A$721,計算用!$S$2))</f>
        <v/>
      </c>
      <c r="C5" s="24">
        <f>IF(計算用!$S$2="","",INDEX(計算用!$B$2:$B$721,計算用!$S$2))</f>
        <v/>
      </c>
      <c r="D5" s="29">
        <f>IF(計算用!$S$2="","",INDEX(計算用!$C$2:$C$721,計算用!$S$2))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IF(計算用!$S$3="","",2)</f>
        <v/>
      </c>
      <c r="B6" s="24">
        <f>IF(計算用!$S$3="","",INDEX(計算用!$A$2:$A$721,計算用!$S$3))</f>
        <v/>
      </c>
      <c r="C6" s="24">
        <f>IF(計算用!$S$3="","",INDEX(計算用!$B$2:$B$721,計算用!$S$3))</f>
        <v/>
      </c>
      <c r="D6" s="29">
        <f>IF(計算用!$S$3="","",INDEX(計算用!$C$2:$C$721,計算用!$S$3))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IF(計算用!$S$4="","",3)</f>
        <v/>
      </c>
      <c r="B7" s="24">
        <f>IF(計算用!$S$4="","",INDEX(計算用!$A$2:$A$721,計算用!$S$4))</f>
        <v/>
      </c>
      <c r="C7" s="24">
        <f>IF(計算用!$S$4="","",INDEX(計算用!$B$2:$B$721,計算用!$S$4))</f>
        <v/>
      </c>
      <c r="D7" s="29">
        <f>IF(計算用!$S$4="","",INDEX(計算用!$C$2:$C$721,計算用!$S$4))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IF(計算用!$S$5="","",4)</f>
        <v/>
      </c>
      <c r="B8" s="24">
        <f>IF(計算用!$S$5="","",INDEX(計算用!$A$2:$A$721,計算用!$S$5))</f>
        <v/>
      </c>
      <c r="C8" s="24">
        <f>IF(計算用!$S$5="","",INDEX(計算用!$B$2:$B$721,計算用!$S$5))</f>
        <v/>
      </c>
      <c r="D8" s="29">
        <f>IF(計算用!$S$5="","",INDEX(計算用!$C$2:$C$721,計算用!$S$5))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IF(計算用!$S$6="","",5)</f>
        <v/>
      </c>
      <c r="B9" s="24">
        <f>IF(計算用!$S$6="","",INDEX(計算用!$A$2:$A$721,計算用!$S$6))</f>
        <v/>
      </c>
      <c r="C9" s="24">
        <f>IF(計算用!$S$6="","",INDEX(計算用!$B$2:$B$721,計算用!$S$6))</f>
        <v/>
      </c>
      <c r="D9" s="29">
        <f>IF(計算用!$S$6="","",INDEX(計算用!$C$2:$C$721,計算用!$S$6))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IF(計算用!$S$7="","",6)</f>
        <v/>
      </c>
      <c r="B10" s="24">
        <f>IF(計算用!$S$7="","",INDEX(計算用!$A$2:$A$721,計算用!$S$7))</f>
        <v/>
      </c>
      <c r="C10" s="24">
        <f>IF(計算用!$S$7="","",INDEX(計算用!$B$2:$B$721,計算用!$S$7))</f>
        <v/>
      </c>
      <c r="D10" s="29">
        <f>IF(計算用!$S$7="","",INDEX(計算用!$C$2:$C$721,計算用!$S$7))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IF(計算用!$S$8="","",7)</f>
        <v/>
      </c>
      <c r="B11" s="24">
        <f>IF(計算用!$S$8="","",INDEX(計算用!$A$2:$A$721,計算用!$S$8))</f>
        <v/>
      </c>
      <c r="C11" s="24">
        <f>IF(計算用!$S$8="","",INDEX(計算用!$B$2:$B$721,計算用!$S$8))</f>
        <v/>
      </c>
      <c r="D11" s="29">
        <f>IF(計算用!$S$8="","",INDEX(計算用!$C$2:$C$721,計算用!$S$8))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IF(計算用!$S$9="","",8)</f>
        <v/>
      </c>
      <c r="B12" s="24">
        <f>IF(計算用!$S$9="","",INDEX(計算用!$A$2:$A$721,計算用!$S$9))</f>
        <v/>
      </c>
      <c r="C12" s="24">
        <f>IF(計算用!$S$9="","",INDEX(計算用!$B$2:$B$721,計算用!$S$9))</f>
        <v/>
      </c>
      <c r="D12" s="29">
        <f>IF(計算用!$S$9="","",INDEX(計算用!$C$2:$C$721,計算用!$S$9))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IF(計算用!$S$10="","",9)</f>
        <v/>
      </c>
      <c r="B13" s="24">
        <f>IF(計算用!$S$10="","",INDEX(計算用!$A$2:$A$721,計算用!$S$10))</f>
        <v/>
      </c>
      <c r="C13" s="24">
        <f>IF(計算用!$S$10="","",INDEX(計算用!$B$2:$B$721,計算用!$S$10))</f>
        <v/>
      </c>
      <c r="D13" s="29">
        <f>IF(計算用!$S$10="","",INDEX(計算用!$C$2:$C$721,計算用!$S$10))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IF(計算用!$S$11="","",10)</f>
        <v/>
      </c>
      <c r="B14" s="24">
        <f>IF(計算用!$S$11="","",INDEX(計算用!$A$2:$A$721,計算用!$S$11))</f>
        <v/>
      </c>
      <c r="C14" s="24">
        <f>IF(計算用!$S$11="","",INDEX(計算用!$B$2:$B$721,計算用!$S$11))</f>
        <v/>
      </c>
      <c r="D14" s="29">
        <f>IF(計算用!$S$11="","",INDEX(計算用!$C$2:$C$721,計算用!$S$11))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IF(計算用!$S$12="","",11)</f>
        <v/>
      </c>
      <c r="B15" s="24">
        <f>IF(計算用!$S$12="","",INDEX(計算用!$A$2:$A$721,計算用!$S$12))</f>
        <v/>
      </c>
      <c r="C15" s="24">
        <f>IF(計算用!$S$12="","",INDEX(計算用!$B$2:$B$721,計算用!$S$12))</f>
        <v/>
      </c>
      <c r="D15" s="29">
        <f>IF(計算用!$S$12="","",INDEX(計算用!$C$2:$C$721,計算用!$S$12))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IF(計算用!$S$13="","",12)</f>
        <v/>
      </c>
      <c r="B16" s="24">
        <f>IF(計算用!$S$13="","",INDEX(計算用!$A$2:$A$721,計算用!$S$13))</f>
        <v/>
      </c>
      <c r="C16" s="24">
        <f>IF(計算用!$S$13="","",INDEX(計算用!$B$2:$B$721,計算用!$S$13))</f>
        <v/>
      </c>
      <c r="D16" s="29">
        <f>IF(計算用!$S$13="","",INDEX(計算用!$C$2:$C$721,計算用!$S$13))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IF(計算用!$S$14="","",13)</f>
        <v/>
      </c>
      <c r="B17" s="24">
        <f>IF(計算用!$S$14="","",INDEX(計算用!$A$2:$A$721,計算用!$S$14))</f>
        <v/>
      </c>
      <c r="C17" s="24">
        <f>IF(計算用!$S$14="","",INDEX(計算用!$B$2:$B$721,計算用!$S$14))</f>
        <v/>
      </c>
      <c r="D17" s="29">
        <f>IF(計算用!$S$14="","",INDEX(計算用!$C$2:$C$721,計算用!$S$14))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IF(計算用!$S$15="","",14)</f>
        <v/>
      </c>
      <c r="B18" s="24">
        <f>IF(計算用!$S$15="","",INDEX(計算用!$A$2:$A$721,計算用!$S$15))</f>
        <v/>
      </c>
      <c r="C18" s="24">
        <f>IF(計算用!$S$15="","",INDEX(計算用!$B$2:$B$721,計算用!$S$15))</f>
        <v/>
      </c>
      <c r="D18" s="29">
        <f>IF(計算用!$S$15="","",INDEX(計算用!$C$2:$C$721,計算用!$S$15))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IF(計算用!$S$16="","",15)</f>
        <v/>
      </c>
      <c r="B19" s="24">
        <f>IF(計算用!$S$16="","",INDEX(計算用!$A$2:$A$721,計算用!$S$16))</f>
        <v/>
      </c>
      <c r="C19" s="24">
        <f>IF(計算用!$S$16="","",INDEX(計算用!$B$2:$B$721,計算用!$S$16))</f>
        <v/>
      </c>
      <c r="D19" s="29">
        <f>IF(計算用!$S$16="","",INDEX(計算用!$C$2:$C$721,計算用!$S$16))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IF(計算用!$S$17="","",16)</f>
        <v/>
      </c>
      <c r="B20" s="24">
        <f>IF(計算用!$S$17="","",INDEX(計算用!$A$2:$A$721,計算用!$S$17))</f>
        <v/>
      </c>
      <c r="C20" s="24">
        <f>IF(計算用!$S$17="","",INDEX(計算用!$B$2:$B$721,計算用!$S$17))</f>
        <v/>
      </c>
      <c r="D20" s="29">
        <f>IF(計算用!$S$17="","",INDEX(計算用!$C$2:$C$721,計算用!$S$17))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IF(計算用!$S$18="","",17)</f>
        <v/>
      </c>
      <c r="B21" s="24">
        <f>IF(計算用!$S$18="","",INDEX(計算用!$A$2:$A$721,計算用!$S$18))</f>
        <v/>
      </c>
      <c r="C21" s="24">
        <f>IF(計算用!$S$18="","",INDEX(計算用!$B$2:$B$721,計算用!$S$18))</f>
        <v/>
      </c>
      <c r="D21" s="29">
        <f>IF(計算用!$S$18="","",INDEX(計算用!$C$2:$C$721,計算用!$S$18))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IF(計算用!$S$19="","",18)</f>
        <v/>
      </c>
      <c r="B22" s="24">
        <f>IF(計算用!$S$19="","",INDEX(計算用!$A$2:$A$721,計算用!$S$19))</f>
        <v/>
      </c>
      <c r="C22" s="24">
        <f>IF(計算用!$S$19="","",INDEX(計算用!$B$2:$B$721,計算用!$S$19))</f>
        <v/>
      </c>
      <c r="D22" s="29">
        <f>IF(計算用!$S$19="","",INDEX(計算用!$C$2:$C$721,計算用!$S$19))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IF(計算用!$S$20="","",19)</f>
        <v/>
      </c>
      <c r="B23" s="24">
        <f>IF(計算用!$S$20="","",INDEX(計算用!$A$2:$A$721,計算用!$S$20))</f>
        <v/>
      </c>
      <c r="C23" s="24">
        <f>IF(計算用!$S$20="","",INDEX(計算用!$B$2:$B$721,計算用!$S$20))</f>
        <v/>
      </c>
      <c r="D23" s="29">
        <f>IF(計算用!$S$20="","",INDEX(計算用!$C$2:$C$721,計算用!$S$20))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IF(計算用!$S$21="","",20)</f>
        <v/>
      </c>
      <c r="B24" s="24">
        <f>IF(計算用!$S$21="","",INDEX(計算用!$A$2:$A$721,計算用!$S$21))</f>
        <v/>
      </c>
      <c r="C24" s="24">
        <f>IF(計算用!$S$21="","",INDEX(計算用!$B$2:$B$721,計算用!$S$21))</f>
        <v/>
      </c>
      <c r="D24" s="29">
        <f>IF(計算用!$S$21="","",INDEX(計算用!$C$2:$C$721,計算用!$S$21))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IF(計算用!$S$22="","",21)</f>
        <v/>
      </c>
      <c r="B25" s="24">
        <f>IF(計算用!$S$22="","",INDEX(計算用!$A$2:$A$721,計算用!$S$22))</f>
        <v/>
      </c>
      <c r="C25" s="24">
        <f>IF(計算用!$S$22="","",INDEX(計算用!$B$2:$B$721,計算用!$S$22))</f>
        <v/>
      </c>
      <c r="D25" s="29">
        <f>IF(計算用!$S$22="","",INDEX(計算用!$C$2:$C$721,計算用!$S$22))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IF(計算用!$S$23="","",22)</f>
        <v/>
      </c>
      <c r="B26" s="24">
        <f>IF(計算用!$S$23="","",INDEX(計算用!$A$2:$A$721,計算用!$S$23))</f>
        <v/>
      </c>
      <c r="C26" s="24">
        <f>IF(計算用!$S$23="","",INDEX(計算用!$B$2:$B$721,計算用!$S$23))</f>
        <v/>
      </c>
      <c r="D26" s="29">
        <f>IF(計算用!$S$23="","",INDEX(計算用!$C$2:$C$721,計算用!$S$23))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IF(計算用!$S$24="","",23)</f>
        <v/>
      </c>
      <c r="B27" s="24">
        <f>IF(計算用!$S$24="","",INDEX(計算用!$A$2:$A$721,計算用!$S$24))</f>
        <v/>
      </c>
      <c r="C27" s="24">
        <f>IF(計算用!$S$24="","",INDEX(計算用!$B$2:$B$721,計算用!$S$24))</f>
        <v/>
      </c>
      <c r="D27" s="29">
        <f>IF(計算用!$S$24="","",INDEX(計算用!$C$2:$C$721,計算用!$S$24))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IF(計算用!$S$25="","",24)</f>
        <v/>
      </c>
      <c r="B28" s="24">
        <f>IF(計算用!$S$25="","",INDEX(計算用!$A$2:$A$721,計算用!$S$25))</f>
        <v/>
      </c>
      <c r="C28" s="24">
        <f>IF(計算用!$S$25="","",INDEX(計算用!$B$2:$B$721,計算用!$S$25))</f>
        <v/>
      </c>
      <c r="D28" s="29">
        <f>IF(計算用!$S$25="","",INDEX(計算用!$C$2:$C$721,計算用!$S$25))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IF(計算用!$S$26="","",25)</f>
        <v/>
      </c>
      <c r="B29" s="24">
        <f>IF(計算用!$S$26="","",INDEX(計算用!$A$2:$A$721,計算用!$S$26))</f>
        <v/>
      </c>
      <c r="C29" s="24">
        <f>IF(計算用!$S$26="","",INDEX(計算用!$B$2:$B$721,計算用!$S$26))</f>
        <v/>
      </c>
      <c r="D29" s="29">
        <f>IF(計算用!$S$26="","",INDEX(計算用!$C$2:$C$721,計算用!$S$26))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IF(計算用!$S$27="","",26)</f>
        <v/>
      </c>
      <c r="B30" s="24">
        <f>IF(計算用!$S$27="","",INDEX(計算用!$A$2:$A$721,計算用!$S$27))</f>
        <v/>
      </c>
      <c r="C30" s="24">
        <f>IF(計算用!$S$27="","",INDEX(計算用!$B$2:$B$721,計算用!$S$27))</f>
        <v/>
      </c>
      <c r="D30" s="29">
        <f>IF(計算用!$S$27="","",INDEX(計算用!$C$2:$C$721,計算用!$S$27))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IF(計算用!$S$28="","",27)</f>
        <v/>
      </c>
      <c r="B31" s="24">
        <f>IF(計算用!$S$28="","",INDEX(計算用!$A$2:$A$721,計算用!$S$28))</f>
        <v/>
      </c>
      <c r="C31" s="24">
        <f>IF(計算用!$S$28="","",INDEX(計算用!$B$2:$B$721,計算用!$S$28))</f>
        <v/>
      </c>
      <c r="D31" s="29">
        <f>IF(計算用!$S$28="","",INDEX(計算用!$C$2:$C$721,計算用!$S$28))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IF(計算用!$S$29="","",28)</f>
        <v/>
      </c>
      <c r="B32" s="24">
        <f>IF(計算用!$S$29="","",INDEX(計算用!$A$2:$A$721,計算用!$S$29))</f>
        <v/>
      </c>
      <c r="C32" s="24">
        <f>IF(計算用!$S$29="","",INDEX(計算用!$B$2:$B$721,計算用!$S$29))</f>
        <v/>
      </c>
      <c r="D32" s="29">
        <f>IF(計算用!$S$29="","",INDEX(計算用!$C$2:$C$721,計算用!$S$29))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IF(計算用!$S$30="","",29)</f>
        <v/>
      </c>
      <c r="B33" s="24">
        <f>IF(計算用!$S$30="","",INDEX(計算用!$A$2:$A$721,計算用!$S$30))</f>
        <v/>
      </c>
      <c r="C33" s="24">
        <f>IF(計算用!$S$30="","",INDEX(計算用!$B$2:$B$721,計算用!$S$30))</f>
        <v/>
      </c>
      <c r="D33" s="29">
        <f>IF(計算用!$S$30="","",INDEX(計算用!$C$2:$C$721,計算用!$S$30))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IF(計算用!$S$31="","",30)</f>
        <v/>
      </c>
      <c r="B34" s="24">
        <f>IF(計算用!$S$31="","",INDEX(計算用!$A$2:$A$721,計算用!$S$31))</f>
        <v/>
      </c>
      <c r="C34" s="24">
        <f>IF(計算用!$S$31="","",INDEX(計算用!$B$2:$B$721,計算用!$S$31))</f>
        <v/>
      </c>
      <c r="D34" s="29">
        <f>IF(計算用!$S$31="","",INDEX(計算用!$C$2:$C$721,計算用!$S$31))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IF(計算用!$S$32="","",31)</f>
        <v/>
      </c>
      <c r="B35" s="24">
        <f>IF(計算用!$S$32="","",INDEX(計算用!$A$2:$A$721,計算用!$S$32))</f>
        <v/>
      </c>
      <c r="C35" s="24">
        <f>IF(計算用!$S$32="","",INDEX(計算用!$B$2:$B$721,計算用!$S$32))</f>
        <v/>
      </c>
      <c r="D35" s="29">
        <f>IF(計算用!$S$32="","",INDEX(計算用!$C$2:$C$721,計算用!$S$32))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IF(計算用!$S$33="","",32)</f>
        <v/>
      </c>
      <c r="B36" s="24">
        <f>IF(計算用!$S$33="","",INDEX(計算用!$A$2:$A$721,計算用!$S$33))</f>
        <v/>
      </c>
      <c r="C36" s="24">
        <f>IF(計算用!$S$33="","",INDEX(計算用!$B$2:$B$721,計算用!$S$33))</f>
        <v/>
      </c>
      <c r="D36" s="29">
        <f>IF(計算用!$S$33="","",INDEX(計算用!$C$2:$C$721,計算用!$S$33))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IF(計算用!$S$34="","",33)</f>
        <v/>
      </c>
      <c r="B37" s="24">
        <f>IF(計算用!$S$34="","",INDEX(計算用!$A$2:$A$721,計算用!$S$34))</f>
        <v/>
      </c>
      <c r="C37" s="24">
        <f>IF(計算用!$S$34="","",INDEX(計算用!$B$2:$B$721,計算用!$S$34))</f>
        <v/>
      </c>
      <c r="D37" s="29">
        <f>IF(計算用!$S$34="","",INDEX(計算用!$C$2:$C$721,計算用!$S$34))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IF(計算用!$S$35="","",34)</f>
        <v/>
      </c>
      <c r="B38" s="24">
        <f>IF(計算用!$S$35="","",INDEX(計算用!$A$2:$A$721,計算用!$S$35))</f>
        <v/>
      </c>
      <c r="C38" s="24">
        <f>IF(計算用!$S$35="","",INDEX(計算用!$B$2:$B$721,計算用!$S$35))</f>
        <v/>
      </c>
      <c r="D38" s="29">
        <f>IF(計算用!$S$35="","",INDEX(計算用!$C$2:$C$721,計算用!$S$35))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IF(計算用!$S$36="","",35)</f>
        <v/>
      </c>
      <c r="B39" s="24">
        <f>IF(計算用!$S$36="","",INDEX(計算用!$A$2:$A$721,計算用!$S$36))</f>
        <v/>
      </c>
      <c r="C39" s="24">
        <f>IF(計算用!$S$36="","",INDEX(計算用!$B$2:$B$721,計算用!$S$36))</f>
        <v/>
      </c>
      <c r="D39" s="29">
        <f>IF(計算用!$S$36="","",INDEX(計算用!$C$2:$C$721,計算用!$S$36))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IF(計算用!$S$37="","",36)</f>
        <v/>
      </c>
      <c r="B40" s="24">
        <f>IF(計算用!$S$37="","",INDEX(計算用!$A$2:$A$721,計算用!$S$37))</f>
        <v/>
      </c>
      <c r="C40" s="24">
        <f>IF(計算用!$S$37="","",INDEX(計算用!$B$2:$B$721,計算用!$S$37))</f>
        <v/>
      </c>
      <c r="D40" s="29">
        <f>IF(計算用!$S$37="","",INDEX(計算用!$C$2:$C$721,計算用!$S$37))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IF(計算用!$S$38="","",37)</f>
        <v/>
      </c>
      <c r="B41" s="24">
        <f>IF(計算用!$S$38="","",INDEX(計算用!$A$2:$A$721,計算用!$S$38))</f>
        <v/>
      </c>
      <c r="C41" s="24">
        <f>IF(計算用!$S$38="","",INDEX(計算用!$B$2:$B$721,計算用!$S$38))</f>
        <v/>
      </c>
      <c r="D41" s="29">
        <f>IF(計算用!$S$38="","",INDEX(計算用!$C$2:$C$721,計算用!$S$38))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IF(計算用!$S$39="","",38)</f>
        <v/>
      </c>
      <c r="B42" s="24">
        <f>IF(計算用!$S$39="","",INDEX(計算用!$A$2:$A$721,計算用!$S$39))</f>
        <v/>
      </c>
      <c r="C42" s="24">
        <f>IF(計算用!$S$39="","",INDEX(計算用!$B$2:$B$721,計算用!$S$39))</f>
        <v/>
      </c>
      <c r="D42" s="29">
        <f>IF(計算用!$S$39="","",INDEX(計算用!$C$2:$C$721,計算用!$S$39))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IF(計算用!$S$40="","",39)</f>
        <v/>
      </c>
      <c r="B43" s="24">
        <f>IF(計算用!$S$40="","",INDEX(計算用!$A$2:$A$721,計算用!$S$40))</f>
        <v/>
      </c>
      <c r="C43" s="24">
        <f>IF(計算用!$S$40="","",INDEX(計算用!$B$2:$B$721,計算用!$S$40))</f>
        <v/>
      </c>
      <c r="D43" s="29">
        <f>IF(計算用!$S$40="","",INDEX(計算用!$C$2:$C$721,計算用!$S$40))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IF(計算用!$S$41="","",40)</f>
        <v/>
      </c>
      <c r="B44" s="24">
        <f>IF(計算用!$S$41="","",INDEX(計算用!$A$2:$A$721,計算用!$S$41))</f>
        <v/>
      </c>
      <c r="C44" s="24">
        <f>IF(計算用!$S$41="","",INDEX(計算用!$B$2:$B$721,計算用!$S$41))</f>
        <v/>
      </c>
      <c r="D44" s="29">
        <f>IF(計算用!$S$41="","",INDEX(計算用!$C$2:$C$721,計算用!$S$41))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IF(計算用!$S$42="","",41)</f>
        <v/>
      </c>
      <c r="B45" s="24">
        <f>IF(計算用!$S$42="","",INDEX(計算用!$A$2:$A$721,計算用!$S$42))</f>
        <v/>
      </c>
      <c r="C45" s="24">
        <f>IF(計算用!$S$42="","",INDEX(計算用!$B$2:$B$721,計算用!$S$42))</f>
        <v/>
      </c>
      <c r="D45" s="29">
        <f>IF(計算用!$S$42="","",INDEX(計算用!$C$2:$C$721,計算用!$S$42))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IF(計算用!$S$43="","",42)</f>
        <v/>
      </c>
      <c r="B46" s="24">
        <f>IF(計算用!$S$43="","",INDEX(計算用!$A$2:$A$721,計算用!$S$43))</f>
        <v/>
      </c>
      <c r="C46" s="24">
        <f>IF(計算用!$S$43="","",INDEX(計算用!$B$2:$B$721,計算用!$S$43))</f>
        <v/>
      </c>
      <c r="D46" s="29">
        <f>IF(計算用!$S$43="","",INDEX(計算用!$C$2:$C$721,計算用!$S$43))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IF(計算用!$S$44="","",43)</f>
        <v/>
      </c>
      <c r="B47" s="24">
        <f>IF(計算用!$S$44="","",INDEX(計算用!$A$2:$A$721,計算用!$S$44))</f>
        <v/>
      </c>
      <c r="C47" s="24">
        <f>IF(計算用!$S$44="","",INDEX(計算用!$B$2:$B$721,計算用!$S$44))</f>
        <v/>
      </c>
      <c r="D47" s="29">
        <f>IF(計算用!$S$44="","",INDEX(計算用!$C$2:$C$721,計算用!$S$44))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IF(計算用!$S$45="","",44)</f>
        <v/>
      </c>
      <c r="B48" s="24">
        <f>IF(計算用!$S$45="","",INDEX(計算用!$A$2:$A$721,計算用!$S$45))</f>
        <v/>
      </c>
      <c r="C48" s="24">
        <f>IF(計算用!$S$45="","",INDEX(計算用!$B$2:$B$721,計算用!$S$45))</f>
        <v/>
      </c>
      <c r="D48" s="29">
        <f>IF(計算用!$S$45="","",INDEX(計算用!$C$2:$C$721,計算用!$S$45))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IF(計算用!$S$46="","",45)</f>
        <v/>
      </c>
      <c r="B49" s="24">
        <f>IF(計算用!$S$46="","",INDEX(計算用!$A$2:$A$721,計算用!$S$46))</f>
        <v/>
      </c>
      <c r="C49" s="24">
        <f>IF(計算用!$S$46="","",INDEX(計算用!$B$2:$B$721,計算用!$S$46))</f>
        <v/>
      </c>
      <c r="D49" s="29">
        <f>IF(計算用!$S$46="","",INDEX(計算用!$C$2:$C$721,計算用!$S$46))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IF(計算用!$S$47="","",46)</f>
        <v/>
      </c>
      <c r="B50" s="24">
        <f>IF(計算用!$S$47="","",INDEX(計算用!$A$2:$A$721,計算用!$S$47))</f>
        <v/>
      </c>
      <c r="C50" s="24">
        <f>IF(計算用!$S$47="","",INDEX(計算用!$B$2:$B$721,計算用!$S$47))</f>
        <v/>
      </c>
      <c r="D50" s="29">
        <f>IF(計算用!$S$47="","",INDEX(計算用!$C$2:$C$721,計算用!$S$47))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IF(計算用!$S$48="","",47)</f>
        <v/>
      </c>
      <c r="B51" s="24">
        <f>IF(計算用!$S$48="","",INDEX(計算用!$A$2:$A$721,計算用!$S$48))</f>
        <v/>
      </c>
      <c r="C51" s="24">
        <f>IF(計算用!$S$48="","",INDEX(計算用!$B$2:$B$721,計算用!$S$48))</f>
        <v/>
      </c>
      <c r="D51" s="29">
        <f>IF(計算用!$S$48="","",INDEX(計算用!$C$2:$C$721,計算用!$S$48))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IF(計算用!$S$49="","",48)</f>
        <v/>
      </c>
      <c r="B52" s="24">
        <f>IF(計算用!$S$49="","",INDEX(計算用!$A$2:$A$721,計算用!$S$49))</f>
        <v/>
      </c>
      <c r="C52" s="24">
        <f>IF(計算用!$S$49="","",INDEX(計算用!$B$2:$B$721,計算用!$S$49))</f>
        <v/>
      </c>
      <c r="D52" s="29">
        <f>IF(計算用!$S$49="","",INDEX(計算用!$C$2:$C$721,計算用!$S$49))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IF(計算用!$S$50="","",49)</f>
        <v/>
      </c>
      <c r="B53" s="24">
        <f>IF(計算用!$S$50="","",INDEX(計算用!$A$2:$A$721,計算用!$S$50))</f>
        <v/>
      </c>
      <c r="C53" s="24">
        <f>IF(計算用!$S$50="","",INDEX(計算用!$B$2:$B$721,計算用!$S$50))</f>
        <v/>
      </c>
      <c r="D53" s="29">
        <f>IF(計算用!$S$50="","",INDEX(計算用!$C$2:$C$721,計算用!$S$50))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IF(計算用!$S$51="","",50)</f>
        <v/>
      </c>
      <c r="B54" s="24">
        <f>IF(計算用!$S$51="","",INDEX(計算用!$A$2:$A$721,計算用!$S$51))</f>
        <v/>
      </c>
      <c r="C54" s="24">
        <f>IF(計算用!$S$51="","",INDEX(計算用!$B$2:$B$721,計算用!$S$51))</f>
        <v/>
      </c>
      <c r="D54" s="29">
        <f>IF(計算用!$S$51="","",INDEX(計算用!$C$2:$C$721,計算用!$S$51))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IF(設定!$I$18="","",設定!$B$3&amp;"　"&amp;設定!$I$18&amp;設定!$B$4&amp;"名簿")</f>
        <v/>
      </c>
      <c r="Q1" s="22" t="inlineStr">
        <is>
          <t>【入力なし】見る・印刷するだけ</t>
        </is>
      </c>
    </row>
    <row r="2">
      <c r="A2" s="28">
        <f>IF(設定!$I$18="","","担当："&amp;設定!$J$18&amp;"　　活動場所："&amp;設定!$K$18&amp;"　　人数："&amp;人数チェック!$E$14&amp;"名（"&amp;設定!$B$7&amp;"年"&amp;人数チェック!$C$14&amp;"・"&amp;設定!$B$8&amp;"年"&amp;人数チェック!$D$14&amp;"）")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IF(計算用!$T$2="","",1)</f>
        <v/>
      </c>
      <c r="B5" s="24">
        <f>IF(計算用!$T$2="","",INDEX(計算用!$A$2:$A$721,計算用!$T$2))</f>
        <v/>
      </c>
      <c r="C5" s="24">
        <f>IF(計算用!$T$2="","",INDEX(計算用!$B$2:$B$721,計算用!$T$2))</f>
        <v/>
      </c>
      <c r="D5" s="29">
        <f>IF(計算用!$T$2="","",INDEX(計算用!$C$2:$C$721,計算用!$T$2))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IF(計算用!$T$3="","",2)</f>
        <v/>
      </c>
      <c r="B6" s="24">
        <f>IF(計算用!$T$3="","",INDEX(計算用!$A$2:$A$721,計算用!$T$3))</f>
        <v/>
      </c>
      <c r="C6" s="24">
        <f>IF(計算用!$T$3="","",INDEX(計算用!$B$2:$B$721,計算用!$T$3))</f>
        <v/>
      </c>
      <c r="D6" s="29">
        <f>IF(計算用!$T$3="","",INDEX(計算用!$C$2:$C$721,計算用!$T$3))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IF(計算用!$T$4="","",3)</f>
        <v/>
      </c>
      <c r="B7" s="24">
        <f>IF(計算用!$T$4="","",INDEX(計算用!$A$2:$A$721,計算用!$T$4))</f>
        <v/>
      </c>
      <c r="C7" s="24">
        <f>IF(計算用!$T$4="","",INDEX(計算用!$B$2:$B$721,計算用!$T$4))</f>
        <v/>
      </c>
      <c r="D7" s="29">
        <f>IF(計算用!$T$4="","",INDEX(計算用!$C$2:$C$721,計算用!$T$4))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IF(計算用!$T$5="","",4)</f>
        <v/>
      </c>
      <c r="B8" s="24">
        <f>IF(計算用!$T$5="","",INDEX(計算用!$A$2:$A$721,計算用!$T$5))</f>
        <v/>
      </c>
      <c r="C8" s="24">
        <f>IF(計算用!$T$5="","",INDEX(計算用!$B$2:$B$721,計算用!$T$5))</f>
        <v/>
      </c>
      <c r="D8" s="29">
        <f>IF(計算用!$T$5="","",INDEX(計算用!$C$2:$C$721,計算用!$T$5))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IF(計算用!$T$6="","",5)</f>
        <v/>
      </c>
      <c r="B9" s="24">
        <f>IF(計算用!$T$6="","",INDEX(計算用!$A$2:$A$721,計算用!$T$6))</f>
        <v/>
      </c>
      <c r="C9" s="24">
        <f>IF(計算用!$T$6="","",INDEX(計算用!$B$2:$B$721,計算用!$T$6))</f>
        <v/>
      </c>
      <c r="D9" s="29">
        <f>IF(計算用!$T$6="","",INDEX(計算用!$C$2:$C$721,計算用!$T$6))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IF(計算用!$T$7="","",6)</f>
        <v/>
      </c>
      <c r="B10" s="24">
        <f>IF(計算用!$T$7="","",INDEX(計算用!$A$2:$A$721,計算用!$T$7))</f>
        <v/>
      </c>
      <c r="C10" s="24">
        <f>IF(計算用!$T$7="","",INDEX(計算用!$B$2:$B$721,計算用!$T$7))</f>
        <v/>
      </c>
      <c r="D10" s="29">
        <f>IF(計算用!$T$7="","",INDEX(計算用!$C$2:$C$721,計算用!$T$7))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IF(計算用!$T$8="","",7)</f>
        <v/>
      </c>
      <c r="B11" s="24">
        <f>IF(計算用!$T$8="","",INDEX(計算用!$A$2:$A$721,計算用!$T$8))</f>
        <v/>
      </c>
      <c r="C11" s="24">
        <f>IF(計算用!$T$8="","",INDEX(計算用!$B$2:$B$721,計算用!$T$8))</f>
        <v/>
      </c>
      <c r="D11" s="29">
        <f>IF(計算用!$T$8="","",INDEX(計算用!$C$2:$C$721,計算用!$T$8))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IF(計算用!$T$9="","",8)</f>
        <v/>
      </c>
      <c r="B12" s="24">
        <f>IF(計算用!$T$9="","",INDEX(計算用!$A$2:$A$721,計算用!$T$9))</f>
        <v/>
      </c>
      <c r="C12" s="24">
        <f>IF(計算用!$T$9="","",INDEX(計算用!$B$2:$B$721,計算用!$T$9))</f>
        <v/>
      </c>
      <c r="D12" s="29">
        <f>IF(計算用!$T$9="","",INDEX(計算用!$C$2:$C$721,計算用!$T$9))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IF(計算用!$T$10="","",9)</f>
        <v/>
      </c>
      <c r="B13" s="24">
        <f>IF(計算用!$T$10="","",INDEX(計算用!$A$2:$A$721,計算用!$T$10))</f>
        <v/>
      </c>
      <c r="C13" s="24">
        <f>IF(計算用!$T$10="","",INDEX(計算用!$B$2:$B$721,計算用!$T$10))</f>
        <v/>
      </c>
      <c r="D13" s="29">
        <f>IF(計算用!$T$10="","",INDEX(計算用!$C$2:$C$721,計算用!$T$10))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IF(計算用!$T$11="","",10)</f>
        <v/>
      </c>
      <c r="B14" s="24">
        <f>IF(計算用!$T$11="","",INDEX(計算用!$A$2:$A$721,計算用!$T$11))</f>
        <v/>
      </c>
      <c r="C14" s="24">
        <f>IF(計算用!$T$11="","",INDEX(計算用!$B$2:$B$721,計算用!$T$11))</f>
        <v/>
      </c>
      <c r="D14" s="29">
        <f>IF(計算用!$T$11="","",INDEX(計算用!$C$2:$C$721,計算用!$T$11))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IF(計算用!$T$12="","",11)</f>
        <v/>
      </c>
      <c r="B15" s="24">
        <f>IF(計算用!$T$12="","",INDEX(計算用!$A$2:$A$721,計算用!$T$12))</f>
        <v/>
      </c>
      <c r="C15" s="24">
        <f>IF(計算用!$T$12="","",INDEX(計算用!$B$2:$B$721,計算用!$T$12))</f>
        <v/>
      </c>
      <c r="D15" s="29">
        <f>IF(計算用!$T$12="","",INDEX(計算用!$C$2:$C$721,計算用!$T$12))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IF(計算用!$T$13="","",12)</f>
        <v/>
      </c>
      <c r="B16" s="24">
        <f>IF(計算用!$T$13="","",INDEX(計算用!$A$2:$A$721,計算用!$T$13))</f>
        <v/>
      </c>
      <c r="C16" s="24">
        <f>IF(計算用!$T$13="","",INDEX(計算用!$B$2:$B$721,計算用!$T$13))</f>
        <v/>
      </c>
      <c r="D16" s="29">
        <f>IF(計算用!$T$13="","",INDEX(計算用!$C$2:$C$721,計算用!$T$13))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IF(計算用!$T$14="","",13)</f>
        <v/>
      </c>
      <c r="B17" s="24">
        <f>IF(計算用!$T$14="","",INDEX(計算用!$A$2:$A$721,計算用!$T$14))</f>
        <v/>
      </c>
      <c r="C17" s="24">
        <f>IF(計算用!$T$14="","",INDEX(計算用!$B$2:$B$721,計算用!$T$14))</f>
        <v/>
      </c>
      <c r="D17" s="29">
        <f>IF(計算用!$T$14="","",INDEX(計算用!$C$2:$C$721,計算用!$T$14))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IF(計算用!$T$15="","",14)</f>
        <v/>
      </c>
      <c r="B18" s="24">
        <f>IF(計算用!$T$15="","",INDEX(計算用!$A$2:$A$721,計算用!$T$15))</f>
        <v/>
      </c>
      <c r="C18" s="24">
        <f>IF(計算用!$T$15="","",INDEX(計算用!$B$2:$B$721,計算用!$T$15))</f>
        <v/>
      </c>
      <c r="D18" s="29">
        <f>IF(計算用!$T$15="","",INDEX(計算用!$C$2:$C$721,計算用!$T$15))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IF(計算用!$T$16="","",15)</f>
        <v/>
      </c>
      <c r="B19" s="24">
        <f>IF(計算用!$T$16="","",INDEX(計算用!$A$2:$A$721,計算用!$T$16))</f>
        <v/>
      </c>
      <c r="C19" s="24">
        <f>IF(計算用!$T$16="","",INDEX(計算用!$B$2:$B$721,計算用!$T$16))</f>
        <v/>
      </c>
      <c r="D19" s="29">
        <f>IF(計算用!$T$16="","",INDEX(計算用!$C$2:$C$721,計算用!$T$16))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IF(計算用!$T$17="","",16)</f>
        <v/>
      </c>
      <c r="B20" s="24">
        <f>IF(計算用!$T$17="","",INDEX(計算用!$A$2:$A$721,計算用!$T$17))</f>
        <v/>
      </c>
      <c r="C20" s="24">
        <f>IF(計算用!$T$17="","",INDEX(計算用!$B$2:$B$721,計算用!$T$17))</f>
        <v/>
      </c>
      <c r="D20" s="29">
        <f>IF(計算用!$T$17="","",INDEX(計算用!$C$2:$C$721,計算用!$T$17))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IF(計算用!$T$18="","",17)</f>
        <v/>
      </c>
      <c r="B21" s="24">
        <f>IF(計算用!$T$18="","",INDEX(計算用!$A$2:$A$721,計算用!$T$18))</f>
        <v/>
      </c>
      <c r="C21" s="24">
        <f>IF(計算用!$T$18="","",INDEX(計算用!$B$2:$B$721,計算用!$T$18))</f>
        <v/>
      </c>
      <c r="D21" s="29">
        <f>IF(計算用!$T$18="","",INDEX(計算用!$C$2:$C$721,計算用!$T$18))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IF(計算用!$T$19="","",18)</f>
        <v/>
      </c>
      <c r="B22" s="24">
        <f>IF(計算用!$T$19="","",INDEX(計算用!$A$2:$A$721,計算用!$T$19))</f>
        <v/>
      </c>
      <c r="C22" s="24">
        <f>IF(計算用!$T$19="","",INDEX(計算用!$B$2:$B$721,計算用!$T$19))</f>
        <v/>
      </c>
      <c r="D22" s="29">
        <f>IF(計算用!$T$19="","",INDEX(計算用!$C$2:$C$721,計算用!$T$19))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IF(計算用!$T$20="","",19)</f>
        <v/>
      </c>
      <c r="B23" s="24">
        <f>IF(計算用!$T$20="","",INDEX(計算用!$A$2:$A$721,計算用!$T$20))</f>
        <v/>
      </c>
      <c r="C23" s="24">
        <f>IF(計算用!$T$20="","",INDEX(計算用!$B$2:$B$721,計算用!$T$20))</f>
        <v/>
      </c>
      <c r="D23" s="29">
        <f>IF(計算用!$T$20="","",INDEX(計算用!$C$2:$C$721,計算用!$T$20))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IF(計算用!$T$21="","",20)</f>
        <v/>
      </c>
      <c r="B24" s="24">
        <f>IF(計算用!$T$21="","",INDEX(計算用!$A$2:$A$721,計算用!$T$21))</f>
        <v/>
      </c>
      <c r="C24" s="24">
        <f>IF(計算用!$T$21="","",INDEX(計算用!$B$2:$B$721,計算用!$T$21))</f>
        <v/>
      </c>
      <c r="D24" s="29">
        <f>IF(計算用!$T$21="","",INDEX(計算用!$C$2:$C$721,計算用!$T$21))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IF(計算用!$T$22="","",21)</f>
        <v/>
      </c>
      <c r="B25" s="24">
        <f>IF(計算用!$T$22="","",INDEX(計算用!$A$2:$A$721,計算用!$T$22))</f>
        <v/>
      </c>
      <c r="C25" s="24">
        <f>IF(計算用!$T$22="","",INDEX(計算用!$B$2:$B$721,計算用!$T$22))</f>
        <v/>
      </c>
      <c r="D25" s="29">
        <f>IF(計算用!$T$22="","",INDEX(計算用!$C$2:$C$721,計算用!$T$22))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IF(計算用!$T$23="","",22)</f>
        <v/>
      </c>
      <c r="B26" s="24">
        <f>IF(計算用!$T$23="","",INDEX(計算用!$A$2:$A$721,計算用!$T$23))</f>
        <v/>
      </c>
      <c r="C26" s="24">
        <f>IF(計算用!$T$23="","",INDEX(計算用!$B$2:$B$721,計算用!$T$23))</f>
        <v/>
      </c>
      <c r="D26" s="29">
        <f>IF(計算用!$T$23="","",INDEX(計算用!$C$2:$C$721,計算用!$T$23))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IF(計算用!$T$24="","",23)</f>
        <v/>
      </c>
      <c r="B27" s="24">
        <f>IF(計算用!$T$24="","",INDEX(計算用!$A$2:$A$721,計算用!$T$24))</f>
        <v/>
      </c>
      <c r="C27" s="24">
        <f>IF(計算用!$T$24="","",INDEX(計算用!$B$2:$B$721,計算用!$T$24))</f>
        <v/>
      </c>
      <c r="D27" s="29">
        <f>IF(計算用!$T$24="","",INDEX(計算用!$C$2:$C$721,計算用!$T$24))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IF(計算用!$T$25="","",24)</f>
        <v/>
      </c>
      <c r="B28" s="24">
        <f>IF(計算用!$T$25="","",INDEX(計算用!$A$2:$A$721,計算用!$T$25))</f>
        <v/>
      </c>
      <c r="C28" s="24">
        <f>IF(計算用!$T$25="","",INDEX(計算用!$B$2:$B$721,計算用!$T$25))</f>
        <v/>
      </c>
      <c r="D28" s="29">
        <f>IF(計算用!$T$25="","",INDEX(計算用!$C$2:$C$721,計算用!$T$25))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IF(計算用!$T$26="","",25)</f>
        <v/>
      </c>
      <c r="B29" s="24">
        <f>IF(計算用!$T$26="","",INDEX(計算用!$A$2:$A$721,計算用!$T$26))</f>
        <v/>
      </c>
      <c r="C29" s="24">
        <f>IF(計算用!$T$26="","",INDEX(計算用!$B$2:$B$721,計算用!$T$26))</f>
        <v/>
      </c>
      <c r="D29" s="29">
        <f>IF(計算用!$T$26="","",INDEX(計算用!$C$2:$C$721,計算用!$T$26))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IF(計算用!$T$27="","",26)</f>
        <v/>
      </c>
      <c r="B30" s="24">
        <f>IF(計算用!$T$27="","",INDEX(計算用!$A$2:$A$721,計算用!$T$27))</f>
        <v/>
      </c>
      <c r="C30" s="24">
        <f>IF(計算用!$T$27="","",INDEX(計算用!$B$2:$B$721,計算用!$T$27))</f>
        <v/>
      </c>
      <c r="D30" s="29">
        <f>IF(計算用!$T$27="","",INDEX(計算用!$C$2:$C$721,計算用!$T$27))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IF(計算用!$T$28="","",27)</f>
        <v/>
      </c>
      <c r="B31" s="24">
        <f>IF(計算用!$T$28="","",INDEX(計算用!$A$2:$A$721,計算用!$T$28))</f>
        <v/>
      </c>
      <c r="C31" s="24">
        <f>IF(計算用!$T$28="","",INDEX(計算用!$B$2:$B$721,計算用!$T$28))</f>
        <v/>
      </c>
      <c r="D31" s="29">
        <f>IF(計算用!$T$28="","",INDEX(計算用!$C$2:$C$721,計算用!$T$28))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IF(計算用!$T$29="","",28)</f>
        <v/>
      </c>
      <c r="B32" s="24">
        <f>IF(計算用!$T$29="","",INDEX(計算用!$A$2:$A$721,計算用!$T$29))</f>
        <v/>
      </c>
      <c r="C32" s="24">
        <f>IF(計算用!$T$29="","",INDEX(計算用!$B$2:$B$721,計算用!$T$29))</f>
        <v/>
      </c>
      <c r="D32" s="29">
        <f>IF(計算用!$T$29="","",INDEX(計算用!$C$2:$C$721,計算用!$T$29))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IF(計算用!$T$30="","",29)</f>
        <v/>
      </c>
      <c r="B33" s="24">
        <f>IF(計算用!$T$30="","",INDEX(計算用!$A$2:$A$721,計算用!$T$30))</f>
        <v/>
      </c>
      <c r="C33" s="24">
        <f>IF(計算用!$T$30="","",INDEX(計算用!$B$2:$B$721,計算用!$T$30))</f>
        <v/>
      </c>
      <c r="D33" s="29">
        <f>IF(計算用!$T$30="","",INDEX(計算用!$C$2:$C$721,計算用!$T$30))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IF(計算用!$T$31="","",30)</f>
        <v/>
      </c>
      <c r="B34" s="24">
        <f>IF(計算用!$T$31="","",INDEX(計算用!$A$2:$A$721,計算用!$T$31))</f>
        <v/>
      </c>
      <c r="C34" s="24">
        <f>IF(計算用!$T$31="","",INDEX(計算用!$B$2:$B$721,計算用!$T$31))</f>
        <v/>
      </c>
      <c r="D34" s="29">
        <f>IF(計算用!$T$31="","",INDEX(計算用!$C$2:$C$721,計算用!$T$31))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IF(計算用!$T$32="","",31)</f>
        <v/>
      </c>
      <c r="B35" s="24">
        <f>IF(計算用!$T$32="","",INDEX(計算用!$A$2:$A$721,計算用!$T$32))</f>
        <v/>
      </c>
      <c r="C35" s="24">
        <f>IF(計算用!$T$32="","",INDEX(計算用!$B$2:$B$721,計算用!$T$32))</f>
        <v/>
      </c>
      <c r="D35" s="29">
        <f>IF(計算用!$T$32="","",INDEX(計算用!$C$2:$C$721,計算用!$T$32))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IF(計算用!$T$33="","",32)</f>
        <v/>
      </c>
      <c r="B36" s="24">
        <f>IF(計算用!$T$33="","",INDEX(計算用!$A$2:$A$721,計算用!$T$33))</f>
        <v/>
      </c>
      <c r="C36" s="24">
        <f>IF(計算用!$T$33="","",INDEX(計算用!$B$2:$B$721,計算用!$T$33))</f>
        <v/>
      </c>
      <c r="D36" s="29">
        <f>IF(計算用!$T$33="","",INDEX(計算用!$C$2:$C$721,計算用!$T$33))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IF(計算用!$T$34="","",33)</f>
        <v/>
      </c>
      <c r="B37" s="24">
        <f>IF(計算用!$T$34="","",INDEX(計算用!$A$2:$A$721,計算用!$T$34))</f>
        <v/>
      </c>
      <c r="C37" s="24">
        <f>IF(計算用!$T$34="","",INDEX(計算用!$B$2:$B$721,計算用!$T$34))</f>
        <v/>
      </c>
      <c r="D37" s="29">
        <f>IF(計算用!$T$34="","",INDEX(計算用!$C$2:$C$721,計算用!$T$34))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IF(計算用!$T$35="","",34)</f>
        <v/>
      </c>
      <c r="B38" s="24">
        <f>IF(計算用!$T$35="","",INDEX(計算用!$A$2:$A$721,計算用!$T$35))</f>
        <v/>
      </c>
      <c r="C38" s="24">
        <f>IF(計算用!$T$35="","",INDEX(計算用!$B$2:$B$721,計算用!$T$35))</f>
        <v/>
      </c>
      <c r="D38" s="29">
        <f>IF(計算用!$T$35="","",INDEX(計算用!$C$2:$C$721,計算用!$T$35))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IF(計算用!$T$36="","",35)</f>
        <v/>
      </c>
      <c r="B39" s="24">
        <f>IF(計算用!$T$36="","",INDEX(計算用!$A$2:$A$721,計算用!$T$36))</f>
        <v/>
      </c>
      <c r="C39" s="24">
        <f>IF(計算用!$T$36="","",INDEX(計算用!$B$2:$B$721,計算用!$T$36))</f>
        <v/>
      </c>
      <c r="D39" s="29">
        <f>IF(計算用!$T$36="","",INDEX(計算用!$C$2:$C$721,計算用!$T$36))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IF(計算用!$T$37="","",36)</f>
        <v/>
      </c>
      <c r="B40" s="24">
        <f>IF(計算用!$T$37="","",INDEX(計算用!$A$2:$A$721,計算用!$T$37))</f>
        <v/>
      </c>
      <c r="C40" s="24">
        <f>IF(計算用!$T$37="","",INDEX(計算用!$B$2:$B$721,計算用!$T$37))</f>
        <v/>
      </c>
      <c r="D40" s="29">
        <f>IF(計算用!$T$37="","",INDEX(計算用!$C$2:$C$721,計算用!$T$37))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IF(計算用!$T$38="","",37)</f>
        <v/>
      </c>
      <c r="B41" s="24">
        <f>IF(計算用!$T$38="","",INDEX(計算用!$A$2:$A$721,計算用!$T$38))</f>
        <v/>
      </c>
      <c r="C41" s="24">
        <f>IF(計算用!$T$38="","",INDEX(計算用!$B$2:$B$721,計算用!$T$38))</f>
        <v/>
      </c>
      <c r="D41" s="29">
        <f>IF(計算用!$T$38="","",INDEX(計算用!$C$2:$C$721,計算用!$T$38))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IF(計算用!$T$39="","",38)</f>
        <v/>
      </c>
      <c r="B42" s="24">
        <f>IF(計算用!$T$39="","",INDEX(計算用!$A$2:$A$721,計算用!$T$39))</f>
        <v/>
      </c>
      <c r="C42" s="24">
        <f>IF(計算用!$T$39="","",INDEX(計算用!$B$2:$B$721,計算用!$T$39))</f>
        <v/>
      </c>
      <c r="D42" s="29">
        <f>IF(計算用!$T$39="","",INDEX(計算用!$C$2:$C$721,計算用!$T$39))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IF(計算用!$T$40="","",39)</f>
        <v/>
      </c>
      <c r="B43" s="24">
        <f>IF(計算用!$T$40="","",INDEX(計算用!$A$2:$A$721,計算用!$T$40))</f>
        <v/>
      </c>
      <c r="C43" s="24">
        <f>IF(計算用!$T$40="","",INDEX(計算用!$B$2:$B$721,計算用!$T$40))</f>
        <v/>
      </c>
      <c r="D43" s="29">
        <f>IF(計算用!$T$40="","",INDEX(計算用!$C$2:$C$721,計算用!$T$40))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IF(計算用!$T$41="","",40)</f>
        <v/>
      </c>
      <c r="B44" s="24">
        <f>IF(計算用!$T$41="","",INDEX(計算用!$A$2:$A$721,計算用!$T$41))</f>
        <v/>
      </c>
      <c r="C44" s="24">
        <f>IF(計算用!$T$41="","",INDEX(計算用!$B$2:$B$721,計算用!$T$41))</f>
        <v/>
      </c>
      <c r="D44" s="29">
        <f>IF(計算用!$T$41="","",INDEX(計算用!$C$2:$C$721,計算用!$T$41))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IF(計算用!$T$42="","",41)</f>
        <v/>
      </c>
      <c r="B45" s="24">
        <f>IF(計算用!$T$42="","",INDEX(計算用!$A$2:$A$721,計算用!$T$42))</f>
        <v/>
      </c>
      <c r="C45" s="24">
        <f>IF(計算用!$T$42="","",INDEX(計算用!$B$2:$B$721,計算用!$T$42))</f>
        <v/>
      </c>
      <c r="D45" s="29">
        <f>IF(計算用!$T$42="","",INDEX(計算用!$C$2:$C$721,計算用!$T$42))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IF(計算用!$T$43="","",42)</f>
        <v/>
      </c>
      <c r="B46" s="24">
        <f>IF(計算用!$T$43="","",INDEX(計算用!$A$2:$A$721,計算用!$T$43))</f>
        <v/>
      </c>
      <c r="C46" s="24">
        <f>IF(計算用!$T$43="","",INDEX(計算用!$B$2:$B$721,計算用!$T$43))</f>
        <v/>
      </c>
      <c r="D46" s="29">
        <f>IF(計算用!$T$43="","",INDEX(計算用!$C$2:$C$721,計算用!$T$43))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IF(計算用!$T$44="","",43)</f>
        <v/>
      </c>
      <c r="B47" s="24">
        <f>IF(計算用!$T$44="","",INDEX(計算用!$A$2:$A$721,計算用!$T$44))</f>
        <v/>
      </c>
      <c r="C47" s="24">
        <f>IF(計算用!$T$44="","",INDEX(計算用!$B$2:$B$721,計算用!$T$44))</f>
        <v/>
      </c>
      <c r="D47" s="29">
        <f>IF(計算用!$T$44="","",INDEX(計算用!$C$2:$C$721,計算用!$T$44))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IF(計算用!$T$45="","",44)</f>
        <v/>
      </c>
      <c r="B48" s="24">
        <f>IF(計算用!$T$45="","",INDEX(計算用!$A$2:$A$721,計算用!$T$45))</f>
        <v/>
      </c>
      <c r="C48" s="24">
        <f>IF(計算用!$T$45="","",INDEX(計算用!$B$2:$B$721,計算用!$T$45))</f>
        <v/>
      </c>
      <c r="D48" s="29">
        <f>IF(計算用!$T$45="","",INDEX(計算用!$C$2:$C$721,計算用!$T$45))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IF(計算用!$T$46="","",45)</f>
        <v/>
      </c>
      <c r="B49" s="24">
        <f>IF(計算用!$T$46="","",INDEX(計算用!$A$2:$A$721,計算用!$T$46))</f>
        <v/>
      </c>
      <c r="C49" s="24">
        <f>IF(計算用!$T$46="","",INDEX(計算用!$B$2:$B$721,計算用!$T$46))</f>
        <v/>
      </c>
      <c r="D49" s="29">
        <f>IF(計算用!$T$46="","",INDEX(計算用!$C$2:$C$721,計算用!$T$46))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IF(計算用!$T$47="","",46)</f>
        <v/>
      </c>
      <c r="B50" s="24">
        <f>IF(計算用!$T$47="","",INDEX(計算用!$A$2:$A$721,計算用!$T$47))</f>
        <v/>
      </c>
      <c r="C50" s="24">
        <f>IF(計算用!$T$47="","",INDEX(計算用!$B$2:$B$721,計算用!$T$47))</f>
        <v/>
      </c>
      <c r="D50" s="29">
        <f>IF(計算用!$T$47="","",INDEX(計算用!$C$2:$C$721,計算用!$T$47))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IF(計算用!$T$48="","",47)</f>
        <v/>
      </c>
      <c r="B51" s="24">
        <f>IF(計算用!$T$48="","",INDEX(計算用!$A$2:$A$721,計算用!$T$48))</f>
        <v/>
      </c>
      <c r="C51" s="24">
        <f>IF(計算用!$T$48="","",INDEX(計算用!$B$2:$B$721,計算用!$T$48))</f>
        <v/>
      </c>
      <c r="D51" s="29">
        <f>IF(計算用!$T$48="","",INDEX(計算用!$C$2:$C$721,計算用!$T$48))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IF(計算用!$T$49="","",48)</f>
        <v/>
      </c>
      <c r="B52" s="24">
        <f>IF(計算用!$T$49="","",INDEX(計算用!$A$2:$A$721,計算用!$T$49))</f>
        <v/>
      </c>
      <c r="C52" s="24">
        <f>IF(計算用!$T$49="","",INDEX(計算用!$B$2:$B$721,計算用!$T$49))</f>
        <v/>
      </c>
      <c r="D52" s="29">
        <f>IF(計算用!$T$49="","",INDEX(計算用!$C$2:$C$721,計算用!$T$49))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IF(計算用!$T$50="","",49)</f>
        <v/>
      </c>
      <c r="B53" s="24">
        <f>IF(計算用!$T$50="","",INDEX(計算用!$A$2:$A$721,計算用!$T$50))</f>
        <v/>
      </c>
      <c r="C53" s="24">
        <f>IF(計算用!$T$50="","",INDEX(計算用!$B$2:$B$721,計算用!$T$50))</f>
        <v/>
      </c>
      <c r="D53" s="29">
        <f>IF(計算用!$T$50="","",INDEX(計算用!$C$2:$C$721,計算用!$T$50))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IF(計算用!$T$51="","",50)</f>
        <v/>
      </c>
      <c r="B54" s="24">
        <f>IF(計算用!$T$51="","",INDEX(計算用!$A$2:$A$721,計算用!$T$51))</f>
        <v/>
      </c>
      <c r="C54" s="24">
        <f>IF(計算用!$T$51="","",INDEX(計算用!$B$2:$B$721,計算用!$T$51))</f>
        <v/>
      </c>
      <c r="D54" s="29">
        <f>IF(計算用!$T$51="","",INDEX(計算用!$C$2:$C$721,計算用!$T$51))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IF(設定!$I$19="","",設定!$B$3&amp;"　"&amp;設定!$I$19&amp;設定!$B$4&amp;"名簿")</f>
        <v/>
      </c>
      <c r="Q1" s="22" t="inlineStr">
        <is>
          <t>【入力なし】見る・印刷するだけ</t>
        </is>
      </c>
    </row>
    <row r="2">
      <c r="A2" s="28">
        <f>IF(設定!$I$19="","","担当："&amp;設定!$J$19&amp;"　　活動場所："&amp;設定!$K$19&amp;"　　人数："&amp;人数チェック!$E$15&amp;"名（"&amp;設定!$B$7&amp;"年"&amp;人数チェック!$C$15&amp;"・"&amp;設定!$B$8&amp;"年"&amp;人数チェック!$D$15&amp;"）")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IF(計算用!$U$2="","",1)</f>
        <v/>
      </c>
      <c r="B5" s="24">
        <f>IF(計算用!$U$2="","",INDEX(計算用!$A$2:$A$721,計算用!$U$2))</f>
        <v/>
      </c>
      <c r="C5" s="24">
        <f>IF(計算用!$U$2="","",INDEX(計算用!$B$2:$B$721,計算用!$U$2))</f>
        <v/>
      </c>
      <c r="D5" s="29">
        <f>IF(計算用!$U$2="","",INDEX(計算用!$C$2:$C$721,計算用!$U$2))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IF(計算用!$U$3="","",2)</f>
        <v/>
      </c>
      <c r="B6" s="24">
        <f>IF(計算用!$U$3="","",INDEX(計算用!$A$2:$A$721,計算用!$U$3))</f>
        <v/>
      </c>
      <c r="C6" s="24">
        <f>IF(計算用!$U$3="","",INDEX(計算用!$B$2:$B$721,計算用!$U$3))</f>
        <v/>
      </c>
      <c r="D6" s="29">
        <f>IF(計算用!$U$3="","",INDEX(計算用!$C$2:$C$721,計算用!$U$3))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IF(計算用!$U$4="","",3)</f>
        <v/>
      </c>
      <c r="B7" s="24">
        <f>IF(計算用!$U$4="","",INDEX(計算用!$A$2:$A$721,計算用!$U$4))</f>
        <v/>
      </c>
      <c r="C7" s="24">
        <f>IF(計算用!$U$4="","",INDEX(計算用!$B$2:$B$721,計算用!$U$4))</f>
        <v/>
      </c>
      <c r="D7" s="29">
        <f>IF(計算用!$U$4="","",INDEX(計算用!$C$2:$C$721,計算用!$U$4))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IF(計算用!$U$5="","",4)</f>
        <v/>
      </c>
      <c r="B8" s="24">
        <f>IF(計算用!$U$5="","",INDEX(計算用!$A$2:$A$721,計算用!$U$5))</f>
        <v/>
      </c>
      <c r="C8" s="24">
        <f>IF(計算用!$U$5="","",INDEX(計算用!$B$2:$B$721,計算用!$U$5))</f>
        <v/>
      </c>
      <c r="D8" s="29">
        <f>IF(計算用!$U$5="","",INDEX(計算用!$C$2:$C$721,計算用!$U$5))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IF(計算用!$U$6="","",5)</f>
        <v/>
      </c>
      <c r="B9" s="24">
        <f>IF(計算用!$U$6="","",INDEX(計算用!$A$2:$A$721,計算用!$U$6))</f>
        <v/>
      </c>
      <c r="C9" s="24">
        <f>IF(計算用!$U$6="","",INDEX(計算用!$B$2:$B$721,計算用!$U$6))</f>
        <v/>
      </c>
      <c r="D9" s="29">
        <f>IF(計算用!$U$6="","",INDEX(計算用!$C$2:$C$721,計算用!$U$6))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IF(計算用!$U$7="","",6)</f>
        <v/>
      </c>
      <c r="B10" s="24">
        <f>IF(計算用!$U$7="","",INDEX(計算用!$A$2:$A$721,計算用!$U$7))</f>
        <v/>
      </c>
      <c r="C10" s="24">
        <f>IF(計算用!$U$7="","",INDEX(計算用!$B$2:$B$721,計算用!$U$7))</f>
        <v/>
      </c>
      <c r="D10" s="29">
        <f>IF(計算用!$U$7="","",INDEX(計算用!$C$2:$C$721,計算用!$U$7))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IF(計算用!$U$8="","",7)</f>
        <v/>
      </c>
      <c r="B11" s="24">
        <f>IF(計算用!$U$8="","",INDEX(計算用!$A$2:$A$721,計算用!$U$8))</f>
        <v/>
      </c>
      <c r="C11" s="24">
        <f>IF(計算用!$U$8="","",INDEX(計算用!$B$2:$B$721,計算用!$U$8))</f>
        <v/>
      </c>
      <c r="D11" s="29">
        <f>IF(計算用!$U$8="","",INDEX(計算用!$C$2:$C$721,計算用!$U$8))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IF(計算用!$U$9="","",8)</f>
        <v/>
      </c>
      <c r="B12" s="24">
        <f>IF(計算用!$U$9="","",INDEX(計算用!$A$2:$A$721,計算用!$U$9))</f>
        <v/>
      </c>
      <c r="C12" s="24">
        <f>IF(計算用!$U$9="","",INDEX(計算用!$B$2:$B$721,計算用!$U$9))</f>
        <v/>
      </c>
      <c r="D12" s="29">
        <f>IF(計算用!$U$9="","",INDEX(計算用!$C$2:$C$721,計算用!$U$9))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IF(計算用!$U$10="","",9)</f>
        <v/>
      </c>
      <c r="B13" s="24">
        <f>IF(計算用!$U$10="","",INDEX(計算用!$A$2:$A$721,計算用!$U$10))</f>
        <v/>
      </c>
      <c r="C13" s="24">
        <f>IF(計算用!$U$10="","",INDEX(計算用!$B$2:$B$721,計算用!$U$10))</f>
        <v/>
      </c>
      <c r="D13" s="29">
        <f>IF(計算用!$U$10="","",INDEX(計算用!$C$2:$C$721,計算用!$U$10))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IF(計算用!$U$11="","",10)</f>
        <v/>
      </c>
      <c r="B14" s="24">
        <f>IF(計算用!$U$11="","",INDEX(計算用!$A$2:$A$721,計算用!$U$11))</f>
        <v/>
      </c>
      <c r="C14" s="24">
        <f>IF(計算用!$U$11="","",INDEX(計算用!$B$2:$B$721,計算用!$U$11))</f>
        <v/>
      </c>
      <c r="D14" s="29">
        <f>IF(計算用!$U$11="","",INDEX(計算用!$C$2:$C$721,計算用!$U$11))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IF(計算用!$U$12="","",11)</f>
        <v/>
      </c>
      <c r="B15" s="24">
        <f>IF(計算用!$U$12="","",INDEX(計算用!$A$2:$A$721,計算用!$U$12))</f>
        <v/>
      </c>
      <c r="C15" s="24">
        <f>IF(計算用!$U$12="","",INDEX(計算用!$B$2:$B$721,計算用!$U$12))</f>
        <v/>
      </c>
      <c r="D15" s="29">
        <f>IF(計算用!$U$12="","",INDEX(計算用!$C$2:$C$721,計算用!$U$12))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IF(計算用!$U$13="","",12)</f>
        <v/>
      </c>
      <c r="B16" s="24">
        <f>IF(計算用!$U$13="","",INDEX(計算用!$A$2:$A$721,計算用!$U$13))</f>
        <v/>
      </c>
      <c r="C16" s="24">
        <f>IF(計算用!$U$13="","",INDEX(計算用!$B$2:$B$721,計算用!$U$13))</f>
        <v/>
      </c>
      <c r="D16" s="29">
        <f>IF(計算用!$U$13="","",INDEX(計算用!$C$2:$C$721,計算用!$U$13))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IF(計算用!$U$14="","",13)</f>
        <v/>
      </c>
      <c r="B17" s="24">
        <f>IF(計算用!$U$14="","",INDEX(計算用!$A$2:$A$721,計算用!$U$14))</f>
        <v/>
      </c>
      <c r="C17" s="24">
        <f>IF(計算用!$U$14="","",INDEX(計算用!$B$2:$B$721,計算用!$U$14))</f>
        <v/>
      </c>
      <c r="D17" s="29">
        <f>IF(計算用!$U$14="","",INDEX(計算用!$C$2:$C$721,計算用!$U$14))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IF(計算用!$U$15="","",14)</f>
        <v/>
      </c>
      <c r="B18" s="24">
        <f>IF(計算用!$U$15="","",INDEX(計算用!$A$2:$A$721,計算用!$U$15))</f>
        <v/>
      </c>
      <c r="C18" s="24">
        <f>IF(計算用!$U$15="","",INDEX(計算用!$B$2:$B$721,計算用!$U$15))</f>
        <v/>
      </c>
      <c r="D18" s="29">
        <f>IF(計算用!$U$15="","",INDEX(計算用!$C$2:$C$721,計算用!$U$15))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IF(計算用!$U$16="","",15)</f>
        <v/>
      </c>
      <c r="B19" s="24">
        <f>IF(計算用!$U$16="","",INDEX(計算用!$A$2:$A$721,計算用!$U$16))</f>
        <v/>
      </c>
      <c r="C19" s="24">
        <f>IF(計算用!$U$16="","",INDEX(計算用!$B$2:$B$721,計算用!$U$16))</f>
        <v/>
      </c>
      <c r="D19" s="29">
        <f>IF(計算用!$U$16="","",INDEX(計算用!$C$2:$C$721,計算用!$U$16))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IF(計算用!$U$17="","",16)</f>
        <v/>
      </c>
      <c r="B20" s="24">
        <f>IF(計算用!$U$17="","",INDEX(計算用!$A$2:$A$721,計算用!$U$17))</f>
        <v/>
      </c>
      <c r="C20" s="24">
        <f>IF(計算用!$U$17="","",INDEX(計算用!$B$2:$B$721,計算用!$U$17))</f>
        <v/>
      </c>
      <c r="D20" s="29">
        <f>IF(計算用!$U$17="","",INDEX(計算用!$C$2:$C$721,計算用!$U$17))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IF(計算用!$U$18="","",17)</f>
        <v/>
      </c>
      <c r="B21" s="24">
        <f>IF(計算用!$U$18="","",INDEX(計算用!$A$2:$A$721,計算用!$U$18))</f>
        <v/>
      </c>
      <c r="C21" s="24">
        <f>IF(計算用!$U$18="","",INDEX(計算用!$B$2:$B$721,計算用!$U$18))</f>
        <v/>
      </c>
      <c r="D21" s="29">
        <f>IF(計算用!$U$18="","",INDEX(計算用!$C$2:$C$721,計算用!$U$18))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IF(計算用!$U$19="","",18)</f>
        <v/>
      </c>
      <c r="B22" s="24">
        <f>IF(計算用!$U$19="","",INDEX(計算用!$A$2:$A$721,計算用!$U$19))</f>
        <v/>
      </c>
      <c r="C22" s="24">
        <f>IF(計算用!$U$19="","",INDEX(計算用!$B$2:$B$721,計算用!$U$19))</f>
        <v/>
      </c>
      <c r="D22" s="29">
        <f>IF(計算用!$U$19="","",INDEX(計算用!$C$2:$C$721,計算用!$U$19))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IF(計算用!$U$20="","",19)</f>
        <v/>
      </c>
      <c r="B23" s="24">
        <f>IF(計算用!$U$20="","",INDEX(計算用!$A$2:$A$721,計算用!$U$20))</f>
        <v/>
      </c>
      <c r="C23" s="24">
        <f>IF(計算用!$U$20="","",INDEX(計算用!$B$2:$B$721,計算用!$U$20))</f>
        <v/>
      </c>
      <c r="D23" s="29">
        <f>IF(計算用!$U$20="","",INDEX(計算用!$C$2:$C$721,計算用!$U$20))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IF(計算用!$U$21="","",20)</f>
        <v/>
      </c>
      <c r="B24" s="24">
        <f>IF(計算用!$U$21="","",INDEX(計算用!$A$2:$A$721,計算用!$U$21))</f>
        <v/>
      </c>
      <c r="C24" s="24">
        <f>IF(計算用!$U$21="","",INDEX(計算用!$B$2:$B$721,計算用!$U$21))</f>
        <v/>
      </c>
      <c r="D24" s="29">
        <f>IF(計算用!$U$21="","",INDEX(計算用!$C$2:$C$721,計算用!$U$21))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IF(計算用!$U$22="","",21)</f>
        <v/>
      </c>
      <c r="B25" s="24">
        <f>IF(計算用!$U$22="","",INDEX(計算用!$A$2:$A$721,計算用!$U$22))</f>
        <v/>
      </c>
      <c r="C25" s="24">
        <f>IF(計算用!$U$22="","",INDEX(計算用!$B$2:$B$721,計算用!$U$22))</f>
        <v/>
      </c>
      <c r="D25" s="29">
        <f>IF(計算用!$U$22="","",INDEX(計算用!$C$2:$C$721,計算用!$U$22))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IF(計算用!$U$23="","",22)</f>
        <v/>
      </c>
      <c r="B26" s="24">
        <f>IF(計算用!$U$23="","",INDEX(計算用!$A$2:$A$721,計算用!$U$23))</f>
        <v/>
      </c>
      <c r="C26" s="24">
        <f>IF(計算用!$U$23="","",INDEX(計算用!$B$2:$B$721,計算用!$U$23))</f>
        <v/>
      </c>
      <c r="D26" s="29">
        <f>IF(計算用!$U$23="","",INDEX(計算用!$C$2:$C$721,計算用!$U$23))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IF(計算用!$U$24="","",23)</f>
        <v/>
      </c>
      <c r="B27" s="24">
        <f>IF(計算用!$U$24="","",INDEX(計算用!$A$2:$A$721,計算用!$U$24))</f>
        <v/>
      </c>
      <c r="C27" s="24">
        <f>IF(計算用!$U$24="","",INDEX(計算用!$B$2:$B$721,計算用!$U$24))</f>
        <v/>
      </c>
      <c r="D27" s="29">
        <f>IF(計算用!$U$24="","",INDEX(計算用!$C$2:$C$721,計算用!$U$24))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IF(計算用!$U$25="","",24)</f>
        <v/>
      </c>
      <c r="B28" s="24">
        <f>IF(計算用!$U$25="","",INDEX(計算用!$A$2:$A$721,計算用!$U$25))</f>
        <v/>
      </c>
      <c r="C28" s="24">
        <f>IF(計算用!$U$25="","",INDEX(計算用!$B$2:$B$721,計算用!$U$25))</f>
        <v/>
      </c>
      <c r="D28" s="29">
        <f>IF(計算用!$U$25="","",INDEX(計算用!$C$2:$C$721,計算用!$U$25))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IF(計算用!$U$26="","",25)</f>
        <v/>
      </c>
      <c r="B29" s="24">
        <f>IF(計算用!$U$26="","",INDEX(計算用!$A$2:$A$721,計算用!$U$26))</f>
        <v/>
      </c>
      <c r="C29" s="24">
        <f>IF(計算用!$U$26="","",INDEX(計算用!$B$2:$B$721,計算用!$U$26))</f>
        <v/>
      </c>
      <c r="D29" s="29">
        <f>IF(計算用!$U$26="","",INDEX(計算用!$C$2:$C$721,計算用!$U$26))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IF(計算用!$U$27="","",26)</f>
        <v/>
      </c>
      <c r="B30" s="24">
        <f>IF(計算用!$U$27="","",INDEX(計算用!$A$2:$A$721,計算用!$U$27))</f>
        <v/>
      </c>
      <c r="C30" s="24">
        <f>IF(計算用!$U$27="","",INDEX(計算用!$B$2:$B$721,計算用!$U$27))</f>
        <v/>
      </c>
      <c r="D30" s="29">
        <f>IF(計算用!$U$27="","",INDEX(計算用!$C$2:$C$721,計算用!$U$27))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IF(計算用!$U$28="","",27)</f>
        <v/>
      </c>
      <c r="B31" s="24">
        <f>IF(計算用!$U$28="","",INDEX(計算用!$A$2:$A$721,計算用!$U$28))</f>
        <v/>
      </c>
      <c r="C31" s="24">
        <f>IF(計算用!$U$28="","",INDEX(計算用!$B$2:$B$721,計算用!$U$28))</f>
        <v/>
      </c>
      <c r="D31" s="29">
        <f>IF(計算用!$U$28="","",INDEX(計算用!$C$2:$C$721,計算用!$U$28))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IF(計算用!$U$29="","",28)</f>
        <v/>
      </c>
      <c r="B32" s="24">
        <f>IF(計算用!$U$29="","",INDEX(計算用!$A$2:$A$721,計算用!$U$29))</f>
        <v/>
      </c>
      <c r="C32" s="24">
        <f>IF(計算用!$U$29="","",INDEX(計算用!$B$2:$B$721,計算用!$U$29))</f>
        <v/>
      </c>
      <c r="D32" s="29">
        <f>IF(計算用!$U$29="","",INDEX(計算用!$C$2:$C$721,計算用!$U$29))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IF(計算用!$U$30="","",29)</f>
        <v/>
      </c>
      <c r="B33" s="24">
        <f>IF(計算用!$U$30="","",INDEX(計算用!$A$2:$A$721,計算用!$U$30))</f>
        <v/>
      </c>
      <c r="C33" s="24">
        <f>IF(計算用!$U$30="","",INDEX(計算用!$B$2:$B$721,計算用!$U$30))</f>
        <v/>
      </c>
      <c r="D33" s="29">
        <f>IF(計算用!$U$30="","",INDEX(計算用!$C$2:$C$721,計算用!$U$30))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IF(計算用!$U$31="","",30)</f>
        <v/>
      </c>
      <c r="B34" s="24">
        <f>IF(計算用!$U$31="","",INDEX(計算用!$A$2:$A$721,計算用!$U$31))</f>
        <v/>
      </c>
      <c r="C34" s="24">
        <f>IF(計算用!$U$31="","",INDEX(計算用!$B$2:$B$721,計算用!$U$31))</f>
        <v/>
      </c>
      <c r="D34" s="29">
        <f>IF(計算用!$U$31="","",INDEX(計算用!$C$2:$C$721,計算用!$U$31))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IF(計算用!$U$32="","",31)</f>
        <v/>
      </c>
      <c r="B35" s="24">
        <f>IF(計算用!$U$32="","",INDEX(計算用!$A$2:$A$721,計算用!$U$32))</f>
        <v/>
      </c>
      <c r="C35" s="24">
        <f>IF(計算用!$U$32="","",INDEX(計算用!$B$2:$B$721,計算用!$U$32))</f>
        <v/>
      </c>
      <c r="D35" s="29">
        <f>IF(計算用!$U$32="","",INDEX(計算用!$C$2:$C$721,計算用!$U$32))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IF(計算用!$U$33="","",32)</f>
        <v/>
      </c>
      <c r="B36" s="24">
        <f>IF(計算用!$U$33="","",INDEX(計算用!$A$2:$A$721,計算用!$U$33))</f>
        <v/>
      </c>
      <c r="C36" s="24">
        <f>IF(計算用!$U$33="","",INDEX(計算用!$B$2:$B$721,計算用!$U$33))</f>
        <v/>
      </c>
      <c r="D36" s="29">
        <f>IF(計算用!$U$33="","",INDEX(計算用!$C$2:$C$721,計算用!$U$33))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IF(計算用!$U$34="","",33)</f>
        <v/>
      </c>
      <c r="B37" s="24">
        <f>IF(計算用!$U$34="","",INDEX(計算用!$A$2:$A$721,計算用!$U$34))</f>
        <v/>
      </c>
      <c r="C37" s="24">
        <f>IF(計算用!$U$34="","",INDEX(計算用!$B$2:$B$721,計算用!$U$34))</f>
        <v/>
      </c>
      <c r="D37" s="29">
        <f>IF(計算用!$U$34="","",INDEX(計算用!$C$2:$C$721,計算用!$U$34))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IF(計算用!$U$35="","",34)</f>
        <v/>
      </c>
      <c r="B38" s="24">
        <f>IF(計算用!$U$35="","",INDEX(計算用!$A$2:$A$721,計算用!$U$35))</f>
        <v/>
      </c>
      <c r="C38" s="24">
        <f>IF(計算用!$U$35="","",INDEX(計算用!$B$2:$B$721,計算用!$U$35))</f>
        <v/>
      </c>
      <c r="D38" s="29">
        <f>IF(計算用!$U$35="","",INDEX(計算用!$C$2:$C$721,計算用!$U$35))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IF(計算用!$U$36="","",35)</f>
        <v/>
      </c>
      <c r="B39" s="24">
        <f>IF(計算用!$U$36="","",INDEX(計算用!$A$2:$A$721,計算用!$U$36))</f>
        <v/>
      </c>
      <c r="C39" s="24">
        <f>IF(計算用!$U$36="","",INDEX(計算用!$B$2:$B$721,計算用!$U$36))</f>
        <v/>
      </c>
      <c r="D39" s="29">
        <f>IF(計算用!$U$36="","",INDEX(計算用!$C$2:$C$721,計算用!$U$36))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IF(計算用!$U$37="","",36)</f>
        <v/>
      </c>
      <c r="B40" s="24">
        <f>IF(計算用!$U$37="","",INDEX(計算用!$A$2:$A$721,計算用!$U$37))</f>
        <v/>
      </c>
      <c r="C40" s="24">
        <f>IF(計算用!$U$37="","",INDEX(計算用!$B$2:$B$721,計算用!$U$37))</f>
        <v/>
      </c>
      <c r="D40" s="29">
        <f>IF(計算用!$U$37="","",INDEX(計算用!$C$2:$C$721,計算用!$U$37))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IF(計算用!$U$38="","",37)</f>
        <v/>
      </c>
      <c r="B41" s="24">
        <f>IF(計算用!$U$38="","",INDEX(計算用!$A$2:$A$721,計算用!$U$38))</f>
        <v/>
      </c>
      <c r="C41" s="24">
        <f>IF(計算用!$U$38="","",INDEX(計算用!$B$2:$B$721,計算用!$U$38))</f>
        <v/>
      </c>
      <c r="D41" s="29">
        <f>IF(計算用!$U$38="","",INDEX(計算用!$C$2:$C$721,計算用!$U$38))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IF(計算用!$U$39="","",38)</f>
        <v/>
      </c>
      <c r="B42" s="24">
        <f>IF(計算用!$U$39="","",INDEX(計算用!$A$2:$A$721,計算用!$U$39))</f>
        <v/>
      </c>
      <c r="C42" s="24">
        <f>IF(計算用!$U$39="","",INDEX(計算用!$B$2:$B$721,計算用!$U$39))</f>
        <v/>
      </c>
      <c r="D42" s="29">
        <f>IF(計算用!$U$39="","",INDEX(計算用!$C$2:$C$721,計算用!$U$39))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IF(計算用!$U$40="","",39)</f>
        <v/>
      </c>
      <c r="B43" s="24">
        <f>IF(計算用!$U$40="","",INDEX(計算用!$A$2:$A$721,計算用!$U$40))</f>
        <v/>
      </c>
      <c r="C43" s="24">
        <f>IF(計算用!$U$40="","",INDEX(計算用!$B$2:$B$721,計算用!$U$40))</f>
        <v/>
      </c>
      <c r="D43" s="29">
        <f>IF(計算用!$U$40="","",INDEX(計算用!$C$2:$C$721,計算用!$U$40))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IF(計算用!$U$41="","",40)</f>
        <v/>
      </c>
      <c r="B44" s="24">
        <f>IF(計算用!$U$41="","",INDEX(計算用!$A$2:$A$721,計算用!$U$41))</f>
        <v/>
      </c>
      <c r="C44" s="24">
        <f>IF(計算用!$U$41="","",INDEX(計算用!$B$2:$B$721,計算用!$U$41))</f>
        <v/>
      </c>
      <c r="D44" s="29">
        <f>IF(計算用!$U$41="","",INDEX(計算用!$C$2:$C$721,計算用!$U$41))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IF(計算用!$U$42="","",41)</f>
        <v/>
      </c>
      <c r="B45" s="24">
        <f>IF(計算用!$U$42="","",INDEX(計算用!$A$2:$A$721,計算用!$U$42))</f>
        <v/>
      </c>
      <c r="C45" s="24">
        <f>IF(計算用!$U$42="","",INDEX(計算用!$B$2:$B$721,計算用!$U$42))</f>
        <v/>
      </c>
      <c r="D45" s="29">
        <f>IF(計算用!$U$42="","",INDEX(計算用!$C$2:$C$721,計算用!$U$42))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IF(計算用!$U$43="","",42)</f>
        <v/>
      </c>
      <c r="B46" s="24">
        <f>IF(計算用!$U$43="","",INDEX(計算用!$A$2:$A$721,計算用!$U$43))</f>
        <v/>
      </c>
      <c r="C46" s="24">
        <f>IF(計算用!$U$43="","",INDEX(計算用!$B$2:$B$721,計算用!$U$43))</f>
        <v/>
      </c>
      <c r="D46" s="29">
        <f>IF(計算用!$U$43="","",INDEX(計算用!$C$2:$C$721,計算用!$U$43))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IF(計算用!$U$44="","",43)</f>
        <v/>
      </c>
      <c r="B47" s="24">
        <f>IF(計算用!$U$44="","",INDEX(計算用!$A$2:$A$721,計算用!$U$44))</f>
        <v/>
      </c>
      <c r="C47" s="24">
        <f>IF(計算用!$U$44="","",INDEX(計算用!$B$2:$B$721,計算用!$U$44))</f>
        <v/>
      </c>
      <c r="D47" s="29">
        <f>IF(計算用!$U$44="","",INDEX(計算用!$C$2:$C$721,計算用!$U$44))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IF(計算用!$U$45="","",44)</f>
        <v/>
      </c>
      <c r="B48" s="24">
        <f>IF(計算用!$U$45="","",INDEX(計算用!$A$2:$A$721,計算用!$U$45))</f>
        <v/>
      </c>
      <c r="C48" s="24">
        <f>IF(計算用!$U$45="","",INDEX(計算用!$B$2:$B$721,計算用!$U$45))</f>
        <v/>
      </c>
      <c r="D48" s="29">
        <f>IF(計算用!$U$45="","",INDEX(計算用!$C$2:$C$721,計算用!$U$45))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IF(計算用!$U$46="","",45)</f>
        <v/>
      </c>
      <c r="B49" s="24">
        <f>IF(計算用!$U$46="","",INDEX(計算用!$A$2:$A$721,計算用!$U$46))</f>
        <v/>
      </c>
      <c r="C49" s="24">
        <f>IF(計算用!$U$46="","",INDEX(計算用!$B$2:$B$721,計算用!$U$46))</f>
        <v/>
      </c>
      <c r="D49" s="29">
        <f>IF(計算用!$U$46="","",INDEX(計算用!$C$2:$C$721,計算用!$U$46))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IF(計算用!$U$47="","",46)</f>
        <v/>
      </c>
      <c r="B50" s="24">
        <f>IF(計算用!$U$47="","",INDEX(計算用!$A$2:$A$721,計算用!$U$47))</f>
        <v/>
      </c>
      <c r="C50" s="24">
        <f>IF(計算用!$U$47="","",INDEX(計算用!$B$2:$B$721,計算用!$U$47))</f>
        <v/>
      </c>
      <c r="D50" s="29">
        <f>IF(計算用!$U$47="","",INDEX(計算用!$C$2:$C$721,計算用!$U$47))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IF(計算用!$U$48="","",47)</f>
        <v/>
      </c>
      <c r="B51" s="24">
        <f>IF(計算用!$U$48="","",INDEX(計算用!$A$2:$A$721,計算用!$U$48))</f>
        <v/>
      </c>
      <c r="C51" s="24">
        <f>IF(計算用!$U$48="","",INDEX(計算用!$B$2:$B$721,計算用!$U$48))</f>
        <v/>
      </c>
      <c r="D51" s="29">
        <f>IF(計算用!$U$48="","",INDEX(計算用!$C$2:$C$721,計算用!$U$48))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IF(計算用!$U$49="","",48)</f>
        <v/>
      </c>
      <c r="B52" s="24">
        <f>IF(計算用!$U$49="","",INDEX(計算用!$A$2:$A$721,計算用!$U$49))</f>
        <v/>
      </c>
      <c r="C52" s="24">
        <f>IF(計算用!$U$49="","",INDEX(計算用!$B$2:$B$721,計算用!$U$49))</f>
        <v/>
      </c>
      <c r="D52" s="29">
        <f>IF(計算用!$U$49="","",INDEX(計算用!$C$2:$C$721,計算用!$U$49))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IF(計算用!$U$50="","",49)</f>
        <v/>
      </c>
      <c r="B53" s="24">
        <f>IF(計算用!$U$50="","",INDEX(計算用!$A$2:$A$721,計算用!$U$50))</f>
        <v/>
      </c>
      <c r="C53" s="24">
        <f>IF(計算用!$U$50="","",INDEX(計算用!$B$2:$B$721,計算用!$U$50))</f>
        <v/>
      </c>
      <c r="D53" s="29">
        <f>IF(計算用!$U$50="","",INDEX(計算用!$C$2:$C$721,計算用!$U$50))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IF(計算用!$U$51="","",50)</f>
        <v/>
      </c>
      <c r="B54" s="24">
        <f>IF(計算用!$U$51="","",INDEX(計算用!$A$2:$A$721,計算用!$U$51))</f>
        <v/>
      </c>
      <c r="C54" s="24">
        <f>IF(計算用!$U$51="","",INDEX(計算用!$B$2:$B$721,計算用!$U$51))</f>
        <v/>
      </c>
      <c r="D54" s="29">
        <f>IF(計算用!$U$51="","",INDEX(計算用!$C$2:$C$721,計算用!$U$51))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IF(設定!$I$20="","",設定!$B$3&amp;"　"&amp;設定!$I$20&amp;設定!$B$4&amp;"名簿")</f>
        <v/>
      </c>
      <c r="Q1" s="22" t="inlineStr">
        <is>
          <t>【入力なし】見る・印刷するだけ</t>
        </is>
      </c>
    </row>
    <row r="2">
      <c r="A2" s="28">
        <f>IF(設定!$I$20="","","担当："&amp;設定!$J$20&amp;"　　活動場所："&amp;設定!$K$20&amp;"　　人数："&amp;人数チェック!$E$16&amp;"名（"&amp;設定!$B$7&amp;"年"&amp;人数チェック!$C$16&amp;"・"&amp;設定!$B$8&amp;"年"&amp;人数チェック!$D$16&amp;"）")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IF(計算用!$V$2="","",1)</f>
        <v/>
      </c>
      <c r="B5" s="24">
        <f>IF(計算用!$V$2="","",INDEX(計算用!$A$2:$A$721,計算用!$V$2))</f>
        <v/>
      </c>
      <c r="C5" s="24">
        <f>IF(計算用!$V$2="","",INDEX(計算用!$B$2:$B$721,計算用!$V$2))</f>
        <v/>
      </c>
      <c r="D5" s="29">
        <f>IF(計算用!$V$2="","",INDEX(計算用!$C$2:$C$721,計算用!$V$2))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IF(計算用!$V$3="","",2)</f>
        <v/>
      </c>
      <c r="B6" s="24">
        <f>IF(計算用!$V$3="","",INDEX(計算用!$A$2:$A$721,計算用!$V$3))</f>
        <v/>
      </c>
      <c r="C6" s="24">
        <f>IF(計算用!$V$3="","",INDEX(計算用!$B$2:$B$721,計算用!$V$3))</f>
        <v/>
      </c>
      <c r="D6" s="29">
        <f>IF(計算用!$V$3="","",INDEX(計算用!$C$2:$C$721,計算用!$V$3))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IF(計算用!$V$4="","",3)</f>
        <v/>
      </c>
      <c r="B7" s="24">
        <f>IF(計算用!$V$4="","",INDEX(計算用!$A$2:$A$721,計算用!$V$4))</f>
        <v/>
      </c>
      <c r="C7" s="24">
        <f>IF(計算用!$V$4="","",INDEX(計算用!$B$2:$B$721,計算用!$V$4))</f>
        <v/>
      </c>
      <c r="D7" s="29">
        <f>IF(計算用!$V$4="","",INDEX(計算用!$C$2:$C$721,計算用!$V$4))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IF(計算用!$V$5="","",4)</f>
        <v/>
      </c>
      <c r="B8" s="24">
        <f>IF(計算用!$V$5="","",INDEX(計算用!$A$2:$A$721,計算用!$V$5))</f>
        <v/>
      </c>
      <c r="C8" s="24">
        <f>IF(計算用!$V$5="","",INDEX(計算用!$B$2:$B$721,計算用!$V$5))</f>
        <v/>
      </c>
      <c r="D8" s="29">
        <f>IF(計算用!$V$5="","",INDEX(計算用!$C$2:$C$721,計算用!$V$5))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IF(計算用!$V$6="","",5)</f>
        <v/>
      </c>
      <c r="B9" s="24">
        <f>IF(計算用!$V$6="","",INDEX(計算用!$A$2:$A$721,計算用!$V$6))</f>
        <v/>
      </c>
      <c r="C9" s="24">
        <f>IF(計算用!$V$6="","",INDEX(計算用!$B$2:$B$721,計算用!$V$6))</f>
        <v/>
      </c>
      <c r="D9" s="29">
        <f>IF(計算用!$V$6="","",INDEX(計算用!$C$2:$C$721,計算用!$V$6))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IF(計算用!$V$7="","",6)</f>
        <v/>
      </c>
      <c r="B10" s="24">
        <f>IF(計算用!$V$7="","",INDEX(計算用!$A$2:$A$721,計算用!$V$7))</f>
        <v/>
      </c>
      <c r="C10" s="24">
        <f>IF(計算用!$V$7="","",INDEX(計算用!$B$2:$B$721,計算用!$V$7))</f>
        <v/>
      </c>
      <c r="D10" s="29">
        <f>IF(計算用!$V$7="","",INDEX(計算用!$C$2:$C$721,計算用!$V$7))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IF(計算用!$V$8="","",7)</f>
        <v/>
      </c>
      <c r="B11" s="24">
        <f>IF(計算用!$V$8="","",INDEX(計算用!$A$2:$A$721,計算用!$V$8))</f>
        <v/>
      </c>
      <c r="C11" s="24">
        <f>IF(計算用!$V$8="","",INDEX(計算用!$B$2:$B$721,計算用!$V$8))</f>
        <v/>
      </c>
      <c r="D11" s="29">
        <f>IF(計算用!$V$8="","",INDEX(計算用!$C$2:$C$721,計算用!$V$8))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IF(計算用!$V$9="","",8)</f>
        <v/>
      </c>
      <c r="B12" s="24">
        <f>IF(計算用!$V$9="","",INDEX(計算用!$A$2:$A$721,計算用!$V$9))</f>
        <v/>
      </c>
      <c r="C12" s="24">
        <f>IF(計算用!$V$9="","",INDEX(計算用!$B$2:$B$721,計算用!$V$9))</f>
        <v/>
      </c>
      <c r="D12" s="29">
        <f>IF(計算用!$V$9="","",INDEX(計算用!$C$2:$C$721,計算用!$V$9))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IF(計算用!$V$10="","",9)</f>
        <v/>
      </c>
      <c r="B13" s="24">
        <f>IF(計算用!$V$10="","",INDEX(計算用!$A$2:$A$721,計算用!$V$10))</f>
        <v/>
      </c>
      <c r="C13" s="24">
        <f>IF(計算用!$V$10="","",INDEX(計算用!$B$2:$B$721,計算用!$V$10))</f>
        <v/>
      </c>
      <c r="D13" s="29">
        <f>IF(計算用!$V$10="","",INDEX(計算用!$C$2:$C$721,計算用!$V$10))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IF(計算用!$V$11="","",10)</f>
        <v/>
      </c>
      <c r="B14" s="24">
        <f>IF(計算用!$V$11="","",INDEX(計算用!$A$2:$A$721,計算用!$V$11))</f>
        <v/>
      </c>
      <c r="C14" s="24">
        <f>IF(計算用!$V$11="","",INDEX(計算用!$B$2:$B$721,計算用!$V$11))</f>
        <v/>
      </c>
      <c r="D14" s="29">
        <f>IF(計算用!$V$11="","",INDEX(計算用!$C$2:$C$721,計算用!$V$11))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IF(計算用!$V$12="","",11)</f>
        <v/>
      </c>
      <c r="B15" s="24">
        <f>IF(計算用!$V$12="","",INDEX(計算用!$A$2:$A$721,計算用!$V$12))</f>
        <v/>
      </c>
      <c r="C15" s="24">
        <f>IF(計算用!$V$12="","",INDEX(計算用!$B$2:$B$721,計算用!$V$12))</f>
        <v/>
      </c>
      <c r="D15" s="29">
        <f>IF(計算用!$V$12="","",INDEX(計算用!$C$2:$C$721,計算用!$V$12))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IF(計算用!$V$13="","",12)</f>
        <v/>
      </c>
      <c r="B16" s="24">
        <f>IF(計算用!$V$13="","",INDEX(計算用!$A$2:$A$721,計算用!$V$13))</f>
        <v/>
      </c>
      <c r="C16" s="24">
        <f>IF(計算用!$V$13="","",INDEX(計算用!$B$2:$B$721,計算用!$V$13))</f>
        <v/>
      </c>
      <c r="D16" s="29">
        <f>IF(計算用!$V$13="","",INDEX(計算用!$C$2:$C$721,計算用!$V$13))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IF(計算用!$V$14="","",13)</f>
        <v/>
      </c>
      <c r="B17" s="24">
        <f>IF(計算用!$V$14="","",INDEX(計算用!$A$2:$A$721,計算用!$V$14))</f>
        <v/>
      </c>
      <c r="C17" s="24">
        <f>IF(計算用!$V$14="","",INDEX(計算用!$B$2:$B$721,計算用!$V$14))</f>
        <v/>
      </c>
      <c r="D17" s="29">
        <f>IF(計算用!$V$14="","",INDEX(計算用!$C$2:$C$721,計算用!$V$14))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IF(計算用!$V$15="","",14)</f>
        <v/>
      </c>
      <c r="B18" s="24">
        <f>IF(計算用!$V$15="","",INDEX(計算用!$A$2:$A$721,計算用!$V$15))</f>
        <v/>
      </c>
      <c r="C18" s="24">
        <f>IF(計算用!$V$15="","",INDEX(計算用!$B$2:$B$721,計算用!$V$15))</f>
        <v/>
      </c>
      <c r="D18" s="29">
        <f>IF(計算用!$V$15="","",INDEX(計算用!$C$2:$C$721,計算用!$V$15))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IF(計算用!$V$16="","",15)</f>
        <v/>
      </c>
      <c r="B19" s="24">
        <f>IF(計算用!$V$16="","",INDEX(計算用!$A$2:$A$721,計算用!$V$16))</f>
        <v/>
      </c>
      <c r="C19" s="24">
        <f>IF(計算用!$V$16="","",INDEX(計算用!$B$2:$B$721,計算用!$V$16))</f>
        <v/>
      </c>
      <c r="D19" s="29">
        <f>IF(計算用!$V$16="","",INDEX(計算用!$C$2:$C$721,計算用!$V$16))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IF(計算用!$V$17="","",16)</f>
        <v/>
      </c>
      <c r="B20" s="24">
        <f>IF(計算用!$V$17="","",INDEX(計算用!$A$2:$A$721,計算用!$V$17))</f>
        <v/>
      </c>
      <c r="C20" s="24">
        <f>IF(計算用!$V$17="","",INDEX(計算用!$B$2:$B$721,計算用!$V$17))</f>
        <v/>
      </c>
      <c r="D20" s="29">
        <f>IF(計算用!$V$17="","",INDEX(計算用!$C$2:$C$721,計算用!$V$17))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IF(計算用!$V$18="","",17)</f>
        <v/>
      </c>
      <c r="B21" s="24">
        <f>IF(計算用!$V$18="","",INDEX(計算用!$A$2:$A$721,計算用!$V$18))</f>
        <v/>
      </c>
      <c r="C21" s="24">
        <f>IF(計算用!$V$18="","",INDEX(計算用!$B$2:$B$721,計算用!$V$18))</f>
        <v/>
      </c>
      <c r="D21" s="29">
        <f>IF(計算用!$V$18="","",INDEX(計算用!$C$2:$C$721,計算用!$V$18))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IF(計算用!$V$19="","",18)</f>
        <v/>
      </c>
      <c r="B22" s="24">
        <f>IF(計算用!$V$19="","",INDEX(計算用!$A$2:$A$721,計算用!$V$19))</f>
        <v/>
      </c>
      <c r="C22" s="24">
        <f>IF(計算用!$V$19="","",INDEX(計算用!$B$2:$B$721,計算用!$V$19))</f>
        <v/>
      </c>
      <c r="D22" s="29">
        <f>IF(計算用!$V$19="","",INDEX(計算用!$C$2:$C$721,計算用!$V$19))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IF(計算用!$V$20="","",19)</f>
        <v/>
      </c>
      <c r="B23" s="24">
        <f>IF(計算用!$V$20="","",INDEX(計算用!$A$2:$A$721,計算用!$V$20))</f>
        <v/>
      </c>
      <c r="C23" s="24">
        <f>IF(計算用!$V$20="","",INDEX(計算用!$B$2:$B$721,計算用!$V$20))</f>
        <v/>
      </c>
      <c r="D23" s="29">
        <f>IF(計算用!$V$20="","",INDEX(計算用!$C$2:$C$721,計算用!$V$20))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IF(計算用!$V$21="","",20)</f>
        <v/>
      </c>
      <c r="B24" s="24">
        <f>IF(計算用!$V$21="","",INDEX(計算用!$A$2:$A$721,計算用!$V$21))</f>
        <v/>
      </c>
      <c r="C24" s="24">
        <f>IF(計算用!$V$21="","",INDEX(計算用!$B$2:$B$721,計算用!$V$21))</f>
        <v/>
      </c>
      <c r="D24" s="29">
        <f>IF(計算用!$V$21="","",INDEX(計算用!$C$2:$C$721,計算用!$V$21))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IF(計算用!$V$22="","",21)</f>
        <v/>
      </c>
      <c r="B25" s="24">
        <f>IF(計算用!$V$22="","",INDEX(計算用!$A$2:$A$721,計算用!$V$22))</f>
        <v/>
      </c>
      <c r="C25" s="24">
        <f>IF(計算用!$V$22="","",INDEX(計算用!$B$2:$B$721,計算用!$V$22))</f>
        <v/>
      </c>
      <c r="D25" s="29">
        <f>IF(計算用!$V$22="","",INDEX(計算用!$C$2:$C$721,計算用!$V$22))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IF(計算用!$V$23="","",22)</f>
        <v/>
      </c>
      <c r="B26" s="24">
        <f>IF(計算用!$V$23="","",INDEX(計算用!$A$2:$A$721,計算用!$V$23))</f>
        <v/>
      </c>
      <c r="C26" s="24">
        <f>IF(計算用!$V$23="","",INDEX(計算用!$B$2:$B$721,計算用!$V$23))</f>
        <v/>
      </c>
      <c r="D26" s="29">
        <f>IF(計算用!$V$23="","",INDEX(計算用!$C$2:$C$721,計算用!$V$23))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IF(計算用!$V$24="","",23)</f>
        <v/>
      </c>
      <c r="B27" s="24">
        <f>IF(計算用!$V$24="","",INDEX(計算用!$A$2:$A$721,計算用!$V$24))</f>
        <v/>
      </c>
      <c r="C27" s="24">
        <f>IF(計算用!$V$24="","",INDEX(計算用!$B$2:$B$721,計算用!$V$24))</f>
        <v/>
      </c>
      <c r="D27" s="29">
        <f>IF(計算用!$V$24="","",INDEX(計算用!$C$2:$C$721,計算用!$V$24))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IF(計算用!$V$25="","",24)</f>
        <v/>
      </c>
      <c r="B28" s="24">
        <f>IF(計算用!$V$25="","",INDEX(計算用!$A$2:$A$721,計算用!$V$25))</f>
        <v/>
      </c>
      <c r="C28" s="24">
        <f>IF(計算用!$V$25="","",INDEX(計算用!$B$2:$B$721,計算用!$V$25))</f>
        <v/>
      </c>
      <c r="D28" s="29">
        <f>IF(計算用!$V$25="","",INDEX(計算用!$C$2:$C$721,計算用!$V$25))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IF(計算用!$V$26="","",25)</f>
        <v/>
      </c>
      <c r="B29" s="24">
        <f>IF(計算用!$V$26="","",INDEX(計算用!$A$2:$A$721,計算用!$V$26))</f>
        <v/>
      </c>
      <c r="C29" s="24">
        <f>IF(計算用!$V$26="","",INDEX(計算用!$B$2:$B$721,計算用!$V$26))</f>
        <v/>
      </c>
      <c r="D29" s="29">
        <f>IF(計算用!$V$26="","",INDEX(計算用!$C$2:$C$721,計算用!$V$26))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IF(計算用!$V$27="","",26)</f>
        <v/>
      </c>
      <c r="B30" s="24">
        <f>IF(計算用!$V$27="","",INDEX(計算用!$A$2:$A$721,計算用!$V$27))</f>
        <v/>
      </c>
      <c r="C30" s="24">
        <f>IF(計算用!$V$27="","",INDEX(計算用!$B$2:$B$721,計算用!$V$27))</f>
        <v/>
      </c>
      <c r="D30" s="29">
        <f>IF(計算用!$V$27="","",INDEX(計算用!$C$2:$C$721,計算用!$V$27))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IF(計算用!$V$28="","",27)</f>
        <v/>
      </c>
      <c r="B31" s="24">
        <f>IF(計算用!$V$28="","",INDEX(計算用!$A$2:$A$721,計算用!$V$28))</f>
        <v/>
      </c>
      <c r="C31" s="24">
        <f>IF(計算用!$V$28="","",INDEX(計算用!$B$2:$B$721,計算用!$V$28))</f>
        <v/>
      </c>
      <c r="D31" s="29">
        <f>IF(計算用!$V$28="","",INDEX(計算用!$C$2:$C$721,計算用!$V$28))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IF(計算用!$V$29="","",28)</f>
        <v/>
      </c>
      <c r="B32" s="24">
        <f>IF(計算用!$V$29="","",INDEX(計算用!$A$2:$A$721,計算用!$V$29))</f>
        <v/>
      </c>
      <c r="C32" s="24">
        <f>IF(計算用!$V$29="","",INDEX(計算用!$B$2:$B$721,計算用!$V$29))</f>
        <v/>
      </c>
      <c r="D32" s="29">
        <f>IF(計算用!$V$29="","",INDEX(計算用!$C$2:$C$721,計算用!$V$29))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IF(計算用!$V$30="","",29)</f>
        <v/>
      </c>
      <c r="B33" s="24">
        <f>IF(計算用!$V$30="","",INDEX(計算用!$A$2:$A$721,計算用!$V$30))</f>
        <v/>
      </c>
      <c r="C33" s="24">
        <f>IF(計算用!$V$30="","",INDEX(計算用!$B$2:$B$721,計算用!$V$30))</f>
        <v/>
      </c>
      <c r="D33" s="29">
        <f>IF(計算用!$V$30="","",INDEX(計算用!$C$2:$C$721,計算用!$V$30))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IF(計算用!$V$31="","",30)</f>
        <v/>
      </c>
      <c r="B34" s="24">
        <f>IF(計算用!$V$31="","",INDEX(計算用!$A$2:$A$721,計算用!$V$31))</f>
        <v/>
      </c>
      <c r="C34" s="24">
        <f>IF(計算用!$V$31="","",INDEX(計算用!$B$2:$B$721,計算用!$V$31))</f>
        <v/>
      </c>
      <c r="D34" s="29">
        <f>IF(計算用!$V$31="","",INDEX(計算用!$C$2:$C$721,計算用!$V$31))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IF(計算用!$V$32="","",31)</f>
        <v/>
      </c>
      <c r="B35" s="24">
        <f>IF(計算用!$V$32="","",INDEX(計算用!$A$2:$A$721,計算用!$V$32))</f>
        <v/>
      </c>
      <c r="C35" s="24">
        <f>IF(計算用!$V$32="","",INDEX(計算用!$B$2:$B$721,計算用!$V$32))</f>
        <v/>
      </c>
      <c r="D35" s="29">
        <f>IF(計算用!$V$32="","",INDEX(計算用!$C$2:$C$721,計算用!$V$32))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IF(計算用!$V$33="","",32)</f>
        <v/>
      </c>
      <c r="B36" s="24">
        <f>IF(計算用!$V$33="","",INDEX(計算用!$A$2:$A$721,計算用!$V$33))</f>
        <v/>
      </c>
      <c r="C36" s="24">
        <f>IF(計算用!$V$33="","",INDEX(計算用!$B$2:$B$721,計算用!$V$33))</f>
        <v/>
      </c>
      <c r="D36" s="29">
        <f>IF(計算用!$V$33="","",INDEX(計算用!$C$2:$C$721,計算用!$V$33))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IF(計算用!$V$34="","",33)</f>
        <v/>
      </c>
      <c r="B37" s="24">
        <f>IF(計算用!$V$34="","",INDEX(計算用!$A$2:$A$721,計算用!$V$34))</f>
        <v/>
      </c>
      <c r="C37" s="24">
        <f>IF(計算用!$V$34="","",INDEX(計算用!$B$2:$B$721,計算用!$V$34))</f>
        <v/>
      </c>
      <c r="D37" s="29">
        <f>IF(計算用!$V$34="","",INDEX(計算用!$C$2:$C$721,計算用!$V$34))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IF(計算用!$V$35="","",34)</f>
        <v/>
      </c>
      <c r="B38" s="24">
        <f>IF(計算用!$V$35="","",INDEX(計算用!$A$2:$A$721,計算用!$V$35))</f>
        <v/>
      </c>
      <c r="C38" s="24">
        <f>IF(計算用!$V$35="","",INDEX(計算用!$B$2:$B$721,計算用!$V$35))</f>
        <v/>
      </c>
      <c r="D38" s="29">
        <f>IF(計算用!$V$35="","",INDEX(計算用!$C$2:$C$721,計算用!$V$35))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IF(計算用!$V$36="","",35)</f>
        <v/>
      </c>
      <c r="B39" s="24">
        <f>IF(計算用!$V$36="","",INDEX(計算用!$A$2:$A$721,計算用!$V$36))</f>
        <v/>
      </c>
      <c r="C39" s="24">
        <f>IF(計算用!$V$36="","",INDEX(計算用!$B$2:$B$721,計算用!$V$36))</f>
        <v/>
      </c>
      <c r="D39" s="29">
        <f>IF(計算用!$V$36="","",INDEX(計算用!$C$2:$C$721,計算用!$V$36))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IF(計算用!$V$37="","",36)</f>
        <v/>
      </c>
      <c r="B40" s="24">
        <f>IF(計算用!$V$37="","",INDEX(計算用!$A$2:$A$721,計算用!$V$37))</f>
        <v/>
      </c>
      <c r="C40" s="24">
        <f>IF(計算用!$V$37="","",INDEX(計算用!$B$2:$B$721,計算用!$V$37))</f>
        <v/>
      </c>
      <c r="D40" s="29">
        <f>IF(計算用!$V$37="","",INDEX(計算用!$C$2:$C$721,計算用!$V$37))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IF(計算用!$V$38="","",37)</f>
        <v/>
      </c>
      <c r="B41" s="24">
        <f>IF(計算用!$V$38="","",INDEX(計算用!$A$2:$A$721,計算用!$V$38))</f>
        <v/>
      </c>
      <c r="C41" s="24">
        <f>IF(計算用!$V$38="","",INDEX(計算用!$B$2:$B$721,計算用!$V$38))</f>
        <v/>
      </c>
      <c r="D41" s="29">
        <f>IF(計算用!$V$38="","",INDEX(計算用!$C$2:$C$721,計算用!$V$38))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IF(計算用!$V$39="","",38)</f>
        <v/>
      </c>
      <c r="B42" s="24">
        <f>IF(計算用!$V$39="","",INDEX(計算用!$A$2:$A$721,計算用!$V$39))</f>
        <v/>
      </c>
      <c r="C42" s="24">
        <f>IF(計算用!$V$39="","",INDEX(計算用!$B$2:$B$721,計算用!$V$39))</f>
        <v/>
      </c>
      <c r="D42" s="29">
        <f>IF(計算用!$V$39="","",INDEX(計算用!$C$2:$C$721,計算用!$V$39))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IF(計算用!$V$40="","",39)</f>
        <v/>
      </c>
      <c r="B43" s="24">
        <f>IF(計算用!$V$40="","",INDEX(計算用!$A$2:$A$721,計算用!$V$40))</f>
        <v/>
      </c>
      <c r="C43" s="24">
        <f>IF(計算用!$V$40="","",INDEX(計算用!$B$2:$B$721,計算用!$V$40))</f>
        <v/>
      </c>
      <c r="D43" s="29">
        <f>IF(計算用!$V$40="","",INDEX(計算用!$C$2:$C$721,計算用!$V$40))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IF(計算用!$V$41="","",40)</f>
        <v/>
      </c>
      <c r="B44" s="24">
        <f>IF(計算用!$V$41="","",INDEX(計算用!$A$2:$A$721,計算用!$V$41))</f>
        <v/>
      </c>
      <c r="C44" s="24">
        <f>IF(計算用!$V$41="","",INDEX(計算用!$B$2:$B$721,計算用!$V$41))</f>
        <v/>
      </c>
      <c r="D44" s="29">
        <f>IF(計算用!$V$41="","",INDEX(計算用!$C$2:$C$721,計算用!$V$41))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IF(計算用!$V$42="","",41)</f>
        <v/>
      </c>
      <c r="B45" s="24">
        <f>IF(計算用!$V$42="","",INDEX(計算用!$A$2:$A$721,計算用!$V$42))</f>
        <v/>
      </c>
      <c r="C45" s="24">
        <f>IF(計算用!$V$42="","",INDEX(計算用!$B$2:$B$721,計算用!$V$42))</f>
        <v/>
      </c>
      <c r="D45" s="29">
        <f>IF(計算用!$V$42="","",INDEX(計算用!$C$2:$C$721,計算用!$V$42))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IF(計算用!$V$43="","",42)</f>
        <v/>
      </c>
      <c r="B46" s="24">
        <f>IF(計算用!$V$43="","",INDEX(計算用!$A$2:$A$721,計算用!$V$43))</f>
        <v/>
      </c>
      <c r="C46" s="24">
        <f>IF(計算用!$V$43="","",INDEX(計算用!$B$2:$B$721,計算用!$V$43))</f>
        <v/>
      </c>
      <c r="D46" s="29">
        <f>IF(計算用!$V$43="","",INDEX(計算用!$C$2:$C$721,計算用!$V$43))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IF(計算用!$V$44="","",43)</f>
        <v/>
      </c>
      <c r="B47" s="24">
        <f>IF(計算用!$V$44="","",INDEX(計算用!$A$2:$A$721,計算用!$V$44))</f>
        <v/>
      </c>
      <c r="C47" s="24">
        <f>IF(計算用!$V$44="","",INDEX(計算用!$B$2:$B$721,計算用!$V$44))</f>
        <v/>
      </c>
      <c r="D47" s="29">
        <f>IF(計算用!$V$44="","",INDEX(計算用!$C$2:$C$721,計算用!$V$44))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IF(計算用!$V$45="","",44)</f>
        <v/>
      </c>
      <c r="B48" s="24">
        <f>IF(計算用!$V$45="","",INDEX(計算用!$A$2:$A$721,計算用!$V$45))</f>
        <v/>
      </c>
      <c r="C48" s="24">
        <f>IF(計算用!$V$45="","",INDEX(計算用!$B$2:$B$721,計算用!$V$45))</f>
        <v/>
      </c>
      <c r="D48" s="29">
        <f>IF(計算用!$V$45="","",INDEX(計算用!$C$2:$C$721,計算用!$V$45))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IF(計算用!$V$46="","",45)</f>
        <v/>
      </c>
      <c r="B49" s="24">
        <f>IF(計算用!$V$46="","",INDEX(計算用!$A$2:$A$721,計算用!$V$46))</f>
        <v/>
      </c>
      <c r="C49" s="24">
        <f>IF(計算用!$V$46="","",INDEX(計算用!$B$2:$B$721,計算用!$V$46))</f>
        <v/>
      </c>
      <c r="D49" s="29">
        <f>IF(計算用!$V$46="","",INDEX(計算用!$C$2:$C$721,計算用!$V$46))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IF(計算用!$V$47="","",46)</f>
        <v/>
      </c>
      <c r="B50" s="24">
        <f>IF(計算用!$V$47="","",INDEX(計算用!$A$2:$A$721,計算用!$V$47))</f>
        <v/>
      </c>
      <c r="C50" s="24">
        <f>IF(計算用!$V$47="","",INDEX(計算用!$B$2:$B$721,計算用!$V$47))</f>
        <v/>
      </c>
      <c r="D50" s="29">
        <f>IF(計算用!$V$47="","",INDEX(計算用!$C$2:$C$721,計算用!$V$47))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IF(計算用!$V$48="","",47)</f>
        <v/>
      </c>
      <c r="B51" s="24">
        <f>IF(計算用!$V$48="","",INDEX(計算用!$A$2:$A$721,計算用!$V$48))</f>
        <v/>
      </c>
      <c r="C51" s="24">
        <f>IF(計算用!$V$48="","",INDEX(計算用!$B$2:$B$721,計算用!$V$48))</f>
        <v/>
      </c>
      <c r="D51" s="29">
        <f>IF(計算用!$V$48="","",INDEX(計算用!$C$2:$C$721,計算用!$V$48))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IF(計算用!$V$49="","",48)</f>
        <v/>
      </c>
      <c r="B52" s="24">
        <f>IF(計算用!$V$49="","",INDEX(計算用!$A$2:$A$721,計算用!$V$49))</f>
        <v/>
      </c>
      <c r="C52" s="24">
        <f>IF(計算用!$V$49="","",INDEX(計算用!$B$2:$B$721,計算用!$V$49))</f>
        <v/>
      </c>
      <c r="D52" s="29">
        <f>IF(計算用!$V$49="","",INDEX(計算用!$C$2:$C$721,計算用!$V$49))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IF(計算用!$V$50="","",49)</f>
        <v/>
      </c>
      <c r="B53" s="24">
        <f>IF(計算用!$V$50="","",INDEX(計算用!$A$2:$A$721,計算用!$V$50))</f>
        <v/>
      </c>
      <c r="C53" s="24">
        <f>IF(計算用!$V$50="","",INDEX(計算用!$B$2:$B$721,計算用!$V$50))</f>
        <v/>
      </c>
      <c r="D53" s="29">
        <f>IF(計算用!$V$50="","",INDEX(計算用!$C$2:$C$721,計算用!$V$50))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IF(計算用!$V$51="","",50)</f>
        <v/>
      </c>
      <c r="B54" s="24">
        <f>IF(計算用!$V$51="","",INDEX(計算用!$A$2:$A$721,計算用!$V$51))</f>
        <v/>
      </c>
      <c r="C54" s="24">
        <f>IF(計算用!$V$51="","",INDEX(計算用!$B$2:$B$721,計算用!$V$51))</f>
        <v/>
      </c>
      <c r="D54" s="29">
        <f>IF(計算用!$V$51="","",INDEX(計算用!$C$2:$C$721,計算用!$V$51))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IF(設定!$I$21="","",設定!$B$3&amp;"　"&amp;設定!$I$21&amp;設定!$B$4&amp;"名簿")</f>
        <v/>
      </c>
      <c r="Q1" s="22" t="inlineStr">
        <is>
          <t>【入力なし】見る・印刷するだけ</t>
        </is>
      </c>
    </row>
    <row r="2">
      <c r="A2" s="28">
        <f>IF(設定!$I$21="","","担当："&amp;設定!$J$21&amp;"　　活動場所："&amp;設定!$K$21&amp;"　　人数："&amp;人数チェック!$E$17&amp;"名（"&amp;設定!$B$7&amp;"年"&amp;人数チェック!$C$17&amp;"・"&amp;設定!$B$8&amp;"年"&amp;人数チェック!$D$17&amp;"）")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IF(計算用!$W$2="","",1)</f>
        <v/>
      </c>
      <c r="B5" s="24">
        <f>IF(計算用!$W$2="","",INDEX(計算用!$A$2:$A$721,計算用!$W$2))</f>
        <v/>
      </c>
      <c r="C5" s="24">
        <f>IF(計算用!$W$2="","",INDEX(計算用!$B$2:$B$721,計算用!$W$2))</f>
        <v/>
      </c>
      <c r="D5" s="29">
        <f>IF(計算用!$W$2="","",INDEX(計算用!$C$2:$C$721,計算用!$W$2))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IF(計算用!$W$3="","",2)</f>
        <v/>
      </c>
      <c r="B6" s="24">
        <f>IF(計算用!$W$3="","",INDEX(計算用!$A$2:$A$721,計算用!$W$3))</f>
        <v/>
      </c>
      <c r="C6" s="24">
        <f>IF(計算用!$W$3="","",INDEX(計算用!$B$2:$B$721,計算用!$W$3))</f>
        <v/>
      </c>
      <c r="D6" s="29">
        <f>IF(計算用!$W$3="","",INDEX(計算用!$C$2:$C$721,計算用!$W$3))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IF(計算用!$W$4="","",3)</f>
        <v/>
      </c>
      <c r="B7" s="24">
        <f>IF(計算用!$W$4="","",INDEX(計算用!$A$2:$A$721,計算用!$W$4))</f>
        <v/>
      </c>
      <c r="C7" s="24">
        <f>IF(計算用!$W$4="","",INDEX(計算用!$B$2:$B$721,計算用!$W$4))</f>
        <v/>
      </c>
      <c r="D7" s="29">
        <f>IF(計算用!$W$4="","",INDEX(計算用!$C$2:$C$721,計算用!$W$4))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IF(計算用!$W$5="","",4)</f>
        <v/>
      </c>
      <c r="B8" s="24">
        <f>IF(計算用!$W$5="","",INDEX(計算用!$A$2:$A$721,計算用!$W$5))</f>
        <v/>
      </c>
      <c r="C8" s="24">
        <f>IF(計算用!$W$5="","",INDEX(計算用!$B$2:$B$721,計算用!$W$5))</f>
        <v/>
      </c>
      <c r="D8" s="29">
        <f>IF(計算用!$W$5="","",INDEX(計算用!$C$2:$C$721,計算用!$W$5))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IF(計算用!$W$6="","",5)</f>
        <v/>
      </c>
      <c r="B9" s="24">
        <f>IF(計算用!$W$6="","",INDEX(計算用!$A$2:$A$721,計算用!$W$6))</f>
        <v/>
      </c>
      <c r="C9" s="24">
        <f>IF(計算用!$W$6="","",INDEX(計算用!$B$2:$B$721,計算用!$W$6))</f>
        <v/>
      </c>
      <c r="D9" s="29">
        <f>IF(計算用!$W$6="","",INDEX(計算用!$C$2:$C$721,計算用!$W$6))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IF(計算用!$W$7="","",6)</f>
        <v/>
      </c>
      <c r="B10" s="24">
        <f>IF(計算用!$W$7="","",INDEX(計算用!$A$2:$A$721,計算用!$W$7))</f>
        <v/>
      </c>
      <c r="C10" s="24">
        <f>IF(計算用!$W$7="","",INDEX(計算用!$B$2:$B$721,計算用!$W$7))</f>
        <v/>
      </c>
      <c r="D10" s="29">
        <f>IF(計算用!$W$7="","",INDEX(計算用!$C$2:$C$721,計算用!$W$7))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IF(計算用!$W$8="","",7)</f>
        <v/>
      </c>
      <c r="B11" s="24">
        <f>IF(計算用!$W$8="","",INDEX(計算用!$A$2:$A$721,計算用!$W$8))</f>
        <v/>
      </c>
      <c r="C11" s="24">
        <f>IF(計算用!$W$8="","",INDEX(計算用!$B$2:$B$721,計算用!$W$8))</f>
        <v/>
      </c>
      <c r="D11" s="29">
        <f>IF(計算用!$W$8="","",INDEX(計算用!$C$2:$C$721,計算用!$W$8))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IF(計算用!$W$9="","",8)</f>
        <v/>
      </c>
      <c r="B12" s="24">
        <f>IF(計算用!$W$9="","",INDEX(計算用!$A$2:$A$721,計算用!$W$9))</f>
        <v/>
      </c>
      <c r="C12" s="24">
        <f>IF(計算用!$W$9="","",INDEX(計算用!$B$2:$B$721,計算用!$W$9))</f>
        <v/>
      </c>
      <c r="D12" s="29">
        <f>IF(計算用!$W$9="","",INDEX(計算用!$C$2:$C$721,計算用!$W$9))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IF(計算用!$W$10="","",9)</f>
        <v/>
      </c>
      <c r="B13" s="24">
        <f>IF(計算用!$W$10="","",INDEX(計算用!$A$2:$A$721,計算用!$W$10))</f>
        <v/>
      </c>
      <c r="C13" s="24">
        <f>IF(計算用!$W$10="","",INDEX(計算用!$B$2:$B$721,計算用!$W$10))</f>
        <v/>
      </c>
      <c r="D13" s="29">
        <f>IF(計算用!$W$10="","",INDEX(計算用!$C$2:$C$721,計算用!$W$10))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IF(計算用!$W$11="","",10)</f>
        <v/>
      </c>
      <c r="B14" s="24">
        <f>IF(計算用!$W$11="","",INDEX(計算用!$A$2:$A$721,計算用!$W$11))</f>
        <v/>
      </c>
      <c r="C14" s="24">
        <f>IF(計算用!$W$11="","",INDEX(計算用!$B$2:$B$721,計算用!$W$11))</f>
        <v/>
      </c>
      <c r="D14" s="29">
        <f>IF(計算用!$W$11="","",INDEX(計算用!$C$2:$C$721,計算用!$W$11))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IF(計算用!$W$12="","",11)</f>
        <v/>
      </c>
      <c r="B15" s="24">
        <f>IF(計算用!$W$12="","",INDEX(計算用!$A$2:$A$721,計算用!$W$12))</f>
        <v/>
      </c>
      <c r="C15" s="24">
        <f>IF(計算用!$W$12="","",INDEX(計算用!$B$2:$B$721,計算用!$W$12))</f>
        <v/>
      </c>
      <c r="D15" s="29">
        <f>IF(計算用!$W$12="","",INDEX(計算用!$C$2:$C$721,計算用!$W$12))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IF(計算用!$W$13="","",12)</f>
        <v/>
      </c>
      <c r="B16" s="24">
        <f>IF(計算用!$W$13="","",INDEX(計算用!$A$2:$A$721,計算用!$W$13))</f>
        <v/>
      </c>
      <c r="C16" s="24">
        <f>IF(計算用!$W$13="","",INDEX(計算用!$B$2:$B$721,計算用!$W$13))</f>
        <v/>
      </c>
      <c r="D16" s="29">
        <f>IF(計算用!$W$13="","",INDEX(計算用!$C$2:$C$721,計算用!$W$13))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IF(計算用!$W$14="","",13)</f>
        <v/>
      </c>
      <c r="B17" s="24">
        <f>IF(計算用!$W$14="","",INDEX(計算用!$A$2:$A$721,計算用!$W$14))</f>
        <v/>
      </c>
      <c r="C17" s="24">
        <f>IF(計算用!$W$14="","",INDEX(計算用!$B$2:$B$721,計算用!$W$14))</f>
        <v/>
      </c>
      <c r="D17" s="29">
        <f>IF(計算用!$W$14="","",INDEX(計算用!$C$2:$C$721,計算用!$W$14))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IF(計算用!$W$15="","",14)</f>
        <v/>
      </c>
      <c r="B18" s="24">
        <f>IF(計算用!$W$15="","",INDEX(計算用!$A$2:$A$721,計算用!$W$15))</f>
        <v/>
      </c>
      <c r="C18" s="24">
        <f>IF(計算用!$W$15="","",INDEX(計算用!$B$2:$B$721,計算用!$W$15))</f>
        <v/>
      </c>
      <c r="D18" s="29">
        <f>IF(計算用!$W$15="","",INDEX(計算用!$C$2:$C$721,計算用!$W$15))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IF(計算用!$W$16="","",15)</f>
        <v/>
      </c>
      <c r="B19" s="24">
        <f>IF(計算用!$W$16="","",INDEX(計算用!$A$2:$A$721,計算用!$W$16))</f>
        <v/>
      </c>
      <c r="C19" s="24">
        <f>IF(計算用!$W$16="","",INDEX(計算用!$B$2:$B$721,計算用!$W$16))</f>
        <v/>
      </c>
      <c r="D19" s="29">
        <f>IF(計算用!$W$16="","",INDEX(計算用!$C$2:$C$721,計算用!$W$16))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IF(計算用!$W$17="","",16)</f>
        <v/>
      </c>
      <c r="B20" s="24">
        <f>IF(計算用!$W$17="","",INDEX(計算用!$A$2:$A$721,計算用!$W$17))</f>
        <v/>
      </c>
      <c r="C20" s="24">
        <f>IF(計算用!$W$17="","",INDEX(計算用!$B$2:$B$721,計算用!$W$17))</f>
        <v/>
      </c>
      <c r="D20" s="29">
        <f>IF(計算用!$W$17="","",INDEX(計算用!$C$2:$C$721,計算用!$W$17))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IF(計算用!$W$18="","",17)</f>
        <v/>
      </c>
      <c r="B21" s="24">
        <f>IF(計算用!$W$18="","",INDEX(計算用!$A$2:$A$721,計算用!$W$18))</f>
        <v/>
      </c>
      <c r="C21" s="24">
        <f>IF(計算用!$W$18="","",INDEX(計算用!$B$2:$B$721,計算用!$W$18))</f>
        <v/>
      </c>
      <c r="D21" s="29">
        <f>IF(計算用!$W$18="","",INDEX(計算用!$C$2:$C$721,計算用!$W$18))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IF(計算用!$W$19="","",18)</f>
        <v/>
      </c>
      <c r="B22" s="24">
        <f>IF(計算用!$W$19="","",INDEX(計算用!$A$2:$A$721,計算用!$W$19))</f>
        <v/>
      </c>
      <c r="C22" s="24">
        <f>IF(計算用!$W$19="","",INDEX(計算用!$B$2:$B$721,計算用!$W$19))</f>
        <v/>
      </c>
      <c r="D22" s="29">
        <f>IF(計算用!$W$19="","",INDEX(計算用!$C$2:$C$721,計算用!$W$19))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IF(計算用!$W$20="","",19)</f>
        <v/>
      </c>
      <c r="B23" s="24">
        <f>IF(計算用!$W$20="","",INDEX(計算用!$A$2:$A$721,計算用!$W$20))</f>
        <v/>
      </c>
      <c r="C23" s="24">
        <f>IF(計算用!$W$20="","",INDEX(計算用!$B$2:$B$721,計算用!$W$20))</f>
        <v/>
      </c>
      <c r="D23" s="29">
        <f>IF(計算用!$W$20="","",INDEX(計算用!$C$2:$C$721,計算用!$W$20))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IF(計算用!$W$21="","",20)</f>
        <v/>
      </c>
      <c r="B24" s="24">
        <f>IF(計算用!$W$21="","",INDEX(計算用!$A$2:$A$721,計算用!$W$21))</f>
        <v/>
      </c>
      <c r="C24" s="24">
        <f>IF(計算用!$W$21="","",INDEX(計算用!$B$2:$B$721,計算用!$W$21))</f>
        <v/>
      </c>
      <c r="D24" s="29">
        <f>IF(計算用!$W$21="","",INDEX(計算用!$C$2:$C$721,計算用!$W$21))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IF(計算用!$W$22="","",21)</f>
        <v/>
      </c>
      <c r="B25" s="24">
        <f>IF(計算用!$W$22="","",INDEX(計算用!$A$2:$A$721,計算用!$W$22))</f>
        <v/>
      </c>
      <c r="C25" s="24">
        <f>IF(計算用!$W$22="","",INDEX(計算用!$B$2:$B$721,計算用!$W$22))</f>
        <v/>
      </c>
      <c r="D25" s="29">
        <f>IF(計算用!$W$22="","",INDEX(計算用!$C$2:$C$721,計算用!$W$22))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IF(計算用!$W$23="","",22)</f>
        <v/>
      </c>
      <c r="B26" s="24">
        <f>IF(計算用!$W$23="","",INDEX(計算用!$A$2:$A$721,計算用!$W$23))</f>
        <v/>
      </c>
      <c r="C26" s="24">
        <f>IF(計算用!$W$23="","",INDEX(計算用!$B$2:$B$721,計算用!$W$23))</f>
        <v/>
      </c>
      <c r="D26" s="29">
        <f>IF(計算用!$W$23="","",INDEX(計算用!$C$2:$C$721,計算用!$W$23))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IF(計算用!$W$24="","",23)</f>
        <v/>
      </c>
      <c r="B27" s="24">
        <f>IF(計算用!$W$24="","",INDEX(計算用!$A$2:$A$721,計算用!$W$24))</f>
        <v/>
      </c>
      <c r="C27" s="24">
        <f>IF(計算用!$W$24="","",INDEX(計算用!$B$2:$B$721,計算用!$W$24))</f>
        <v/>
      </c>
      <c r="D27" s="29">
        <f>IF(計算用!$W$24="","",INDEX(計算用!$C$2:$C$721,計算用!$W$24))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IF(計算用!$W$25="","",24)</f>
        <v/>
      </c>
      <c r="B28" s="24">
        <f>IF(計算用!$W$25="","",INDEX(計算用!$A$2:$A$721,計算用!$W$25))</f>
        <v/>
      </c>
      <c r="C28" s="24">
        <f>IF(計算用!$W$25="","",INDEX(計算用!$B$2:$B$721,計算用!$W$25))</f>
        <v/>
      </c>
      <c r="D28" s="29">
        <f>IF(計算用!$W$25="","",INDEX(計算用!$C$2:$C$721,計算用!$W$25))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IF(計算用!$W$26="","",25)</f>
        <v/>
      </c>
      <c r="B29" s="24">
        <f>IF(計算用!$W$26="","",INDEX(計算用!$A$2:$A$721,計算用!$W$26))</f>
        <v/>
      </c>
      <c r="C29" s="24">
        <f>IF(計算用!$W$26="","",INDEX(計算用!$B$2:$B$721,計算用!$W$26))</f>
        <v/>
      </c>
      <c r="D29" s="29">
        <f>IF(計算用!$W$26="","",INDEX(計算用!$C$2:$C$721,計算用!$W$26))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IF(計算用!$W$27="","",26)</f>
        <v/>
      </c>
      <c r="B30" s="24">
        <f>IF(計算用!$W$27="","",INDEX(計算用!$A$2:$A$721,計算用!$W$27))</f>
        <v/>
      </c>
      <c r="C30" s="24">
        <f>IF(計算用!$W$27="","",INDEX(計算用!$B$2:$B$721,計算用!$W$27))</f>
        <v/>
      </c>
      <c r="D30" s="29">
        <f>IF(計算用!$W$27="","",INDEX(計算用!$C$2:$C$721,計算用!$W$27))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IF(計算用!$W$28="","",27)</f>
        <v/>
      </c>
      <c r="B31" s="24">
        <f>IF(計算用!$W$28="","",INDEX(計算用!$A$2:$A$721,計算用!$W$28))</f>
        <v/>
      </c>
      <c r="C31" s="24">
        <f>IF(計算用!$W$28="","",INDEX(計算用!$B$2:$B$721,計算用!$W$28))</f>
        <v/>
      </c>
      <c r="D31" s="29">
        <f>IF(計算用!$W$28="","",INDEX(計算用!$C$2:$C$721,計算用!$W$28))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IF(計算用!$W$29="","",28)</f>
        <v/>
      </c>
      <c r="B32" s="24">
        <f>IF(計算用!$W$29="","",INDEX(計算用!$A$2:$A$721,計算用!$W$29))</f>
        <v/>
      </c>
      <c r="C32" s="24">
        <f>IF(計算用!$W$29="","",INDEX(計算用!$B$2:$B$721,計算用!$W$29))</f>
        <v/>
      </c>
      <c r="D32" s="29">
        <f>IF(計算用!$W$29="","",INDEX(計算用!$C$2:$C$721,計算用!$W$29))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IF(計算用!$W$30="","",29)</f>
        <v/>
      </c>
      <c r="B33" s="24">
        <f>IF(計算用!$W$30="","",INDEX(計算用!$A$2:$A$721,計算用!$W$30))</f>
        <v/>
      </c>
      <c r="C33" s="24">
        <f>IF(計算用!$W$30="","",INDEX(計算用!$B$2:$B$721,計算用!$W$30))</f>
        <v/>
      </c>
      <c r="D33" s="29">
        <f>IF(計算用!$W$30="","",INDEX(計算用!$C$2:$C$721,計算用!$W$30))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IF(計算用!$W$31="","",30)</f>
        <v/>
      </c>
      <c r="B34" s="24">
        <f>IF(計算用!$W$31="","",INDEX(計算用!$A$2:$A$721,計算用!$W$31))</f>
        <v/>
      </c>
      <c r="C34" s="24">
        <f>IF(計算用!$W$31="","",INDEX(計算用!$B$2:$B$721,計算用!$W$31))</f>
        <v/>
      </c>
      <c r="D34" s="29">
        <f>IF(計算用!$W$31="","",INDEX(計算用!$C$2:$C$721,計算用!$W$31))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IF(計算用!$W$32="","",31)</f>
        <v/>
      </c>
      <c r="B35" s="24">
        <f>IF(計算用!$W$32="","",INDEX(計算用!$A$2:$A$721,計算用!$W$32))</f>
        <v/>
      </c>
      <c r="C35" s="24">
        <f>IF(計算用!$W$32="","",INDEX(計算用!$B$2:$B$721,計算用!$W$32))</f>
        <v/>
      </c>
      <c r="D35" s="29">
        <f>IF(計算用!$W$32="","",INDEX(計算用!$C$2:$C$721,計算用!$W$32))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IF(計算用!$W$33="","",32)</f>
        <v/>
      </c>
      <c r="B36" s="24">
        <f>IF(計算用!$W$33="","",INDEX(計算用!$A$2:$A$721,計算用!$W$33))</f>
        <v/>
      </c>
      <c r="C36" s="24">
        <f>IF(計算用!$W$33="","",INDEX(計算用!$B$2:$B$721,計算用!$W$33))</f>
        <v/>
      </c>
      <c r="D36" s="29">
        <f>IF(計算用!$W$33="","",INDEX(計算用!$C$2:$C$721,計算用!$W$33))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IF(計算用!$W$34="","",33)</f>
        <v/>
      </c>
      <c r="B37" s="24">
        <f>IF(計算用!$W$34="","",INDEX(計算用!$A$2:$A$721,計算用!$W$34))</f>
        <v/>
      </c>
      <c r="C37" s="24">
        <f>IF(計算用!$W$34="","",INDEX(計算用!$B$2:$B$721,計算用!$W$34))</f>
        <v/>
      </c>
      <c r="D37" s="29">
        <f>IF(計算用!$W$34="","",INDEX(計算用!$C$2:$C$721,計算用!$W$34))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IF(計算用!$W$35="","",34)</f>
        <v/>
      </c>
      <c r="B38" s="24">
        <f>IF(計算用!$W$35="","",INDEX(計算用!$A$2:$A$721,計算用!$W$35))</f>
        <v/>
      </c>
      <c r="C38" s="24">
        <f>IF(計算用!$W$35="","",INDEX(計算用!$B$2:$B$721,計算用!$W$35))</f>
        <v/>
      </c>
      <c r="D38" s="29">
        <f>IF(計算用!$W$35="","",INDEX(計算用!$C$2:$C$721,計算用!$W$35))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IF(計算用!$W$36="","",35)</f>
        <v/>
      </c>
      <c r="B39" s="24">
        <f>IF(計算用!$W$36="","",INDEX(計算用!$A$2:$A$721,計算用!$W$36))</f>
        <v/>
      </c>
      <c r="C39" s="24">
        <f>IF(計算用!$W$36="","",INDEX(計算用!$B$2:$B$721,計算用!$W$36))</f>
        <v/>
      </c>
      <c r="D39" s="29">
        <f>IF(計算用!$W$36="","",INDEX(計算用!$C$2:$C$721,計算用!$W$36))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IF(計算用!$W$37="","",36)</f>
        <v/>
      </c>
      <c r="B40" s="24">
        <f>IF(計算用!$W$37="","",INDEX(計算用!$A$2:$A$721,計算用!$W$37))</f>
        <v/>
      </c>
      <c r="C40" s="24">
        <f>IF(計算用!$W$37="","",INDEX(計算用!$B$2:$B$721,計算用!$W$37))</f>
        <v/>
      </c>
      <c r="D40" s="29">
        <f>IF(計算用!$W$37="","",INDEX(計算用!$C$2:$C$721,計算用!$W$37))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IF(計算用!$W$38="","",37)</f>
        <v/>
      </c>
      <c r="B41" s="24">
        <f>IF(計算用!$W$38="","",INDEX(計算用!$A$2:$A$721,計算用!$W$38))</f>
        <v/>
      </c>
      <c r="C41" s="24">
        <f>IF(計算用!$W$38="","",INDEX(計算用!$B$2:$B$721,計算用!$W$38))</f>
        <v/>
      </c>
      <c r="D41" s="29">
        <f>IF(計算用!$W$38="","",INDEX(計算用!$C$2:$C$721,計算用!$W$38))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IF(計算用!$W$39="","",38)</f>
        <v/>
      </c>
      <c r="B42" s="24">
        <f>IF(計算用!$W$39="","",INDEX(計算用!$A$2:$A$721,計算用!$W$39))</f>
        <v/>
      </c>
      <c r="C42" s="24">
        <f>IF(計算用!$W$39="","",INDEX(計算用!$B$2:$B$721,計算用!$W$39))</f>
        <v/>
      </c>
      <c r="D42" s="29">
        <f>IF(計算用!$W$39="","",INDEX(計算用!$C$2:$C$721,計算用!$W$39))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IF(計算用!$W$40="","",39)</f>
        <v/>
      </c>
      <c r="B43" s="24">
        <f>IF(計算用!$W$40="","",INDEX(計算用!$A$2:$A$721,計算用!$W$40))</f>
        <v/>
      </c>
      <c r="C43" s="24">
        <f>IF(計算用!$W$40="","",INDEX(計算用!$B$2:$B$721,計算用!$W$40))</f>
        <v/>
      </c>
      <c r="D43" s="29">
        <f>IF(計算用!$W$40="","",INDEX(計算用!$C$2:$C$721,計算用!$W$40))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IF(計算用!$W$41="","",40)</f>
        <v/>
      </c>
      <c r="B44" s="24">
        <f>IF(計算用!$W$41="","",INDEX(計算用!$A$2:$A$721,計算用!$W$41))</f>
        <v/>
      </c>
      <c r="C44" s="24">
        <f>IF(計算用!$W$41="","",INDEX(計算用!$B$2:$B$721,計算用!$W$41))</f>
        <v/>
      </c>
      <c r="D44" s="29">
        <f>IF(計算用!$W$41="","",INDEX(計算用!$C$2:$C$721,計算用!$W$41))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IF(計算用!$W$42="","",41)</f>
        <v/>
      </c>
      <c r="B45" s="24">
        <f>IF(計算用!$W$42="","",INDEX(計算用!$A$2:$A$721,計算用!$W$42))</f>
        <v/>
      </c>
      <c r="C45" s="24">
        <f>IF(計算用!$W$42="","",INDEX(計算用!$B$2:$B$721,計算用!$W$42))</f>
        <v/>
      </c>
      <c r="D45" s="29">
        <f>IF(計算用!$W$42="","",INDEX(計算用!$C$2:$C$721,計算用!$W$42))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IF(計算用!$W$43="","",42)</f>
        <v/>
      </c>
      <c r="B46" s="24">
        <f>IF(計算用!$W$43="","",INDEX(計算用!$A$2:$A$721,計算用!$W$43))</f>
        <v/>
      </c>
      <c r="C46" s="24">
        <f>IF(計算用!$W$43="","",INDEX(計算用!$B$2:$B$721,計算用!$W$43))</f>
        <v/>
      </c>
      <c r="D46" s="29">
        <f>IF(計算用!$W$43="","",INDEX(計算用!$C$2:$C$721,計算用!$W$43))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IF(計算用!$W$44="","",43)</f>
        <v/>
      </c>
      <c r="B47" s="24">
        <f>IF(計算用!$W$44="","",INDEX(計算用!$A$2:$A$721,計算用!$W$44))</f>
        <v/>
      </c>
      <c r="C47" s="24">
        <f>IF(計算用!$W$44="","",INDEX(計算用!$B$2:$B$721,計算用!$W$44))</f>
        <v/>
      </c>
      <c r="D47" s="29">
        <f>IF(計算用!$W$44="","",INDEX(計算用!$C$2:$C$721,計算用!$W$44))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IF(計算用!$W$45="","",44)</f>
        <v/>
      </c>
      <c r="B48" s="24">
        <f>IF(計算用!$W$45="","",INDEX(計算用!$A$2:$A$721,計算用!$W$45))</f>
        <v/>
      </c>
      <c r="C48" s="24">
        <f>IF(計算用!$W$45="","",INDEX(計算用!$B$2:$B$721,計算用!$W$45))</f>
        <v/>
      </c>
      <c r="D48" s="29">
        <f>IF(計算用!$W$45="","",INDEX(計算用!$C$2:$C$721,計算用!$W$45))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IF(計算用!$W$46="","",45)</f>
        <v/>
      </c>
      <c r="B49" s="24">
        <f>IF(計算用!$W$46="","",INDEX(計算用!$A$2:$A$721,計算用!$W$46))</f>
        <v/>
      </c>
      <c r="C49" s="24">
        <f>IF(計算用!$W$46="","",INDEX(計算用!$B$2:$B$721,計算用!$W$46))</f>
        <v/>
      </c>
      <c r="D49" s="29">
        <f>IF(計算用!$W$46="","",INDEX(計算用!$C$2:$C$721,計算用!$W$46))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IF(計算用!$W$47="","",46)</f>
        <v/>
      </c>
      <c r="B50" s="24">
        <f>IF(計算用!$W$47="","",INDEX(計算用!$A$2:$A$721,計算用!$W$47))</f>
        <v/>
      </c>
      <c r="C50" s="24">
        <f>IF(計算用!$W$47="","",INDEX(計算用!$B$2:$B$721,計算用!$W$47))</f>
        <v/>
      </c>
      <c r="D50" s="29">
        <f>IF(計算用!$W$47="","",INDEX(計算用!$C$2:$C$721,計算用!$W$47))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IF(計算用!$W$48="","",47)</f>
        <v/>
      </c>
      <c r="B51" s="24">
        <f>IF(計算用!$W$48="","",INDEX(計算用!$A$2:$A$721,計算用!$W$48))</f>
        <v/>
      </c>
      <c r="C51" s="24">
        <f>IF(計算用!$W$48="","",INDEX(計算用!$B$2:$B$721,計算用!$W$48))</f>
        <v/>
      </c>
      <c r="D51" s="29">
        <f>IF(計算用!$W$48="","",INDEX(計算用!$C$2:$C$721,計算用!$W$48))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IF(計算用!$W$49="","",48)</f>
        <v/>
      </c>
      <c r="B52" s="24">
        <f>IF(計算用!$W$49="","",INDEX(計算用!$A$2:$A$721,計算用!$W$49))</f>
        <v/>
      </c>
      <c r="C52" s="24">
        <f>IF(計算用!$W$49="","",INDEX(計算用!$B$2:$B$721,計算用!$W$49))</f>
        <v/>
      </c>
      <c r="D52" s="29">
        <f>IF(計算用!$W$49="","",INDEX(計算用!$C$2:$C$721,計算用!$W$49))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IF(計算用!$W$50="","",49)</f>
        <v/>
      </c>
      <c r="B53" s="24">
        <f>IF(計算用!$W$50="","",INDEX(計算用!$A$2:$A$721,計算用!$W$50))</f>
        <v/>
      </c>
      <c r="C53" s="24">
        <f>IF(計算用!$W$50="","",INDEX(計算用!$B$2:$B$721,計算用!$W$50))</f>
        <v/>
      </c>
      <c r="D53" s="29">
        <f>IF(計算用!$W$50="","",INDEX(計算用!$C$2:$C$721,計算用!$W$50))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IF(計算用!$W$51="","",50)</f>
        <v/>
      </c>
      <c r="B54" s="24">
        <f>IF(計算用!$W$51="","",INDEX(計算用!$A$2:$A$721,計算用!$W$51))</f>
        <v/>
      </c>
      <c r="C54" s="24">
        <f>IF(計算用!$W$51="","",INDEX(計算用!$B$2:$B$721,計算用!$W$51))</f>
        <v/>
      </c>
      <c r="D54" s="29">
        <f>IF(計算用!$W$51="","",INDEX(計算用!$C$2:$C$721,計算用!$W$51))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IF(設定!$I$22="","",設定!$B$3&amp;"　"&amp;設定!$I$22&amp;設定!$B$4&amp;"名簿")</f>
        <v/>
      </c>
      <c r="Q1" s="22" t="inlineStr">
        <is>
          <t>【入力なし】見る・印刷するだけ</t>
        </is>
      </c>
    </row>
    <row r="2">
      <c r="A2" s="28">
        <f>IF(設定!$I$22="","","担当："&amp;設定!$J$22&amp;"　　活動場所："&amp;設定!$K$22&amp;"　　人数："&amp;人数チェック!$E$18&amp;"名（"&amp;設定!$B$7&amp;"年"&amp;人数チェック!$C$18&amp;"・"&amp;設定!$B$8&amp;"年"&amp;人数チェック!$D$18&amp;"）")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IF(計算用!$X$2="","",1)</f>
        <v/>
      </c>
      <c r="B5" s="24">
        <f>IF(計算用!$X$2="","",INDEX(計算用!$A$2:$A$721,計算用!$X$2))</f>
        <v/>
      </c>
      <c r="C5" s="24">
        <f>IF(計算用!$X$2="","",INDEX(計算用!$B$2:$B$721,計算用!$X$2))</f>
        <v/>
      </c>
      <c r="D5" s="29">
        <f>IF(計算用!$X$2="","",INDEX(計算用!$C$2:$C$721,計算用!$X$2))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IF(計算用!$X$3="","",2)</f>
        <v/>
      </c>
      <c r="B6" s="24">
        <f>IF(計算用!$X$3="","",INDEX(計算用!$A$2:$A$721,計算用!$X$3))</f>
        <v/>
      </c>
      <c r="C6" s="24">
        <f>IF(計算用!$X$3="","",INDEX(計算用!$B$2:$B$721,計算用!$X$3))</f>
        <v/>
      </c>
      <c r="D6" s="29">
        <f>IF(計算用!$X$3="","",INDEX(計算用!$C$2:$C$721,計算用!$X$3))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IF(計算用!$X$4="","",3)</f>
        <v/>
      </c>
      <c r="B7" s="24">
        <f>IF(計算用!$X$4="","",INDEX(計算用!$A$2:$A$721,計算用!$X$4))</f>
        <v/>
      </c>
      <c r="C7" s="24">
        <f>IF(計算用!$X$4="","",INDEX(計算用!$B$2:$B$721,計算用!$X$4))</f>
        <v/>
      </c>
      <c r="D7" s="29">
        <f>IF(計算用!$X$4="","",INDEX(計算用!$C$2:$C$721,計算用!$X$4))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IF(計算用!$X$5="","",4)</f>
        <v/>
      </c>
      <c r="B8" s="24">
        <f>IF(計算用!$X$5="","",INDEX(計算用!$A$2:$A$721,計算用!$X$5))</f>
        <v/>
      </c>
      <c r="C8" s="24">
        <f>IF(計算用!$X$5="","",INDEX(計算用!$B$2:$B$721,計算用!$X$5))</f>
        <v/>
      </c>
      <c r="D8" s="29">
        <f>IF(計算用!$X$5="","",INDEX(計算用!$C$2:$C$721,計算用!$X$5))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IF(計算用!$X$6="","",5)</f>
        <v/>
      </c>
      <c r="B9" s="24">
        <f>IF(計算用!$X$6="","",INDEX(計算用!$A$2:$A$721,計算用!$X$6))</f>
        <v/>
      </c>
      <c r="C9" s="24">
        <f>IF(計算用!$X$6="","",INDEX(計算用!$B$2:$B$721,計算用!$X$6))</f>
        <v/>
      </c>
      <c r="D9" s="29">
        <f>IF(計算用!$X$6="","",INDEX(計算用!$C$2:$C$721,計算用!$X$6))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IF(計算用!$X$7="","",6)</f>
        <v/>
      </c>
      <c r="B10" s="24">
        <f>IF(計算用!$X$7="","",INDEX(計算用!$A$2:$A$721,計算用!$X$7))</f>
        <v/>
      </c>
      <c r="C10" s="24">
        <f>IF(計算用!$X$7="","",INDEX(計算用!$B$2:$B$721,計算用!$X$7))</f>
        <v/>
      </c>
      <c r="D10" s="29">
        <f>IF(計算用!$X$7="","",INDEX(計算用!$C$2:$C$721,計算用!$X$7))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IF(計算用!$X$8="","",7)</f>
        <v/>
      </c>
      <c r="B11" s="24">
        <f>IF(計算用!$X$8="","",INDEX(計算用!$A$2:$A$721,計算用!$X$8))</f>
        <v/>
      </c>
      <c r="C11" s="24">
        <f>IF(計算用!$X$8="","",INDEX(計算用!$B$2:$B$721,計算用!$X$8))</f>
        <v/>
      </c>
      <c r="D11" s="29">
        <f>IF(計算用!$X$8="","",INDEX(計算用!$C$2:$C$721,計算用!$X$8))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IF(計算用!$X$9="","",8)</f>
        <v/>
      </c>
      <c r="B12" s="24">
        <f>IF(計算用!$X$9="","",INDEX(計算用!$A$2:$A$721,計算用!$X$9))</f>
        <v/>
      </c>
      <c r="C12" s="24">
        <f>IF(計算用!$X$9="","",INDEX(計算用!$B$2:$B$721,計算用!$X$9))</f>
        <v/>
      </c>
      <c r="D12" s="29">
        <f>IF(計算用!$X$9="","",INDEX(計算用!$C$2:$C$721,計算用!$X$9))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IF(計算用!$X$10="","",9)</f>
        <v/>
      </c>
      <c r="B13" s="24">
        <f>IF(計算用!$X$10="","",INDEX(計算用!$A$2:$A$721,計算用!$X$10))</f>
        <v/>
      </c>
      <c r="C13" s="24">
        <f>IF(計算用!$X$10="","",INDEX(計算用!$B$2:$B$721,計算用!$X$10))</f>
        <v/>
      </c>
      <c r="D13" s="29">
        <f>IF(計算用!$X$10="","",INDEX(計算用!$C$2:$C$721,計算用!$X$10))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IF(計算用!$X$11="","",10)</f>
        <v/>
      </c>
      <c r="B14" s="24">
        <f>IF(計算用!$X$11="","",INDEX(計算用!$A$2:$A$721,計算用!$X$11))</f>
        <v/>
      </c>
      <c r="C14" s="24">
        <f>IF(計算用!$X$11="","",INDEX(計算用!$B$2:$B$721,計算用!$X$11))</f>
        <v/>
      </c>
      <c r="D14" s="29">
        <f>IF(計算用!$X$11="","",INDEX(計算用!$C$2:$C$721,計算用!$X$11))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IF(計算用!$X$12="","",11)</f>
        <v/>
      </c>
      <c r="B15" s="24">
        <f>IF(計算用!$X$12="","",INDEX(計算用!$A$2:$A$721,計算用!$X$12))</f>
        <v/>
      </c>
      <c r="C15" s="24">
        <f>IF(計算用!$X$12="","",INDEX(計算用!$B$2:$B$721,計算用!$X$12))</f>
        <v/>
      </c>
      <c r="D15" s="29">
        <f>IF(計算用!$X$12="","",INDEX(計算用!$C$2:$C$721,計算用!$X$12))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IF(計算用!$X$13="","",12)</f>
        <v/>
      </c>
      <c r="B16" s="24">
        <f>IF(計算用!$X$13="","",INDEX(計算用!$A$2:$A$721,計算用!$X$13))</f>
        <v/>
      </c>
      <c r="C16" s="24">
        <f>IF(計算用!$X$13="","",INDEX(計算用!$B$2:$B$721,計算用!$X$13))</f>
        <v/>
      </c>
      <c r="D16" s="29">
        <f>IF(計算用!$X$13="","",INDEX(計算用!$C$2:$C$721,計算用!$X$13))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IF(計算用!$X$14="","",13)</f>
        <v/>
      </c>
      <c r="B17" s="24">
        <f>IF(計算用!$X$14="","",INDEX(計算用!$A$2:$A$721,計算用!$X$14))</f>
        <v/>
      </c>
      <c r="C17" s="24">
        <f>IF(計算用!$X$14="","",INDEX(計算用!$B$2:$B$721,計算用!$X$14))</f>
        <v/>
      </c>
      <c r="D17" s="29">
        <f>IF(計算用!$X$14="","",INDEX(計算用!$C$2:$C$721,計算用!$X$14))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IF(計算用!$X$15="","",14)</f>
        <v/>
      </c>
      <c r="B18" s="24">
        <f>IF(計算用!$X$15="","",INDEX(計算用!$A$2:$A$721,計算用!$X$15))</f>
        <v/>
      </c>
      <c r="C18" s="24">
        <f>IF(計算用!$X$15="","",INDEX(計算用!$B$2:$B$721,計算用!$X$15))</f>
        <v/>
      </c>
      <c r="D18" s="29">
        <f>IF(計算用!$X$15="","",INDEX(計算用!$C$2:$C$721,計算用!$X$15))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IF(計算用!$X$16="","",15)</f>
        <v/>
      </c>
      <c r="B19" s="24">
        <f>IF(計算用!$X$16="","",INDEX(計算用!$A$2:$A$721,計算用!$X$16))</f>
        <v/>
      </c>
      <c r="C19" s="24">
        <f>IF(計算用!$X$16="","",INDEX(計算用!$B$2:$B$721,計算用!$X$16))</f>
        <v/>
      </c>
      <c r="D19" s="29">
        <f>IF(計算用!$X$16="","",INDEX(計算用!$C$2:$C$721,計算用!$X$16))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IF(計算用!$X$17="","",16)</f>
        <v/>
      </c>
      <c r="B20" s="24">
        <f>IF(計算用!$X$17="","",INDEX(計算用!$A$2:$A$721,計算用!$X$17))</f>
        <v/>
      </c>
      <c r="C20" s="24">
        <f>IF(計算用!$X$17="","",INDEX(計算用!$B$2:$B$721,計算用!$X$17))</f>
        <v/>
      </c>
      <c r="D20" s="29">
        <f>IF(計算用!$X$17="","",INDEX(計算用!$C$2:$C$721,計算用!$X$17))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IF(計算用!$X$18="","",17)</f>
        <v/>
      </c>
      <c r="B21" s="24">
        <f>IF(計算用!$X$18="","",INDEX(計算用!$A$2:$A$721,計算用!$X$18))</f>
        <v/>
      </c>
      <c r="C21" s="24">
        <f>IF(計算用!$X$18="","",INDEX(計算用!$B$2:$B$721,計算用!$X$18))</f>
        <v/>
      </c>
      <c r="D21" s="29">
        <f>IF(計算用!$X$18="","",INDEX(計算用!$C$2:$C$721,計算用!$X$18))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IF(計算用!$X$19="","",18)</f>
        <v/>
      </c>
      <c r="B22" s="24">
        <f>IF(計算用!$X$19="","",INDEX(計算用!$A$2:$A$721,計算用!$X$19))</f>
        <v/>
      </c>
      <c r="C22" s="24">
        <f>IF(計算用!$X$19="","",INDEX(計算用!$B$2:$B$721,計算用!$X$19))</f>
        <v/>
      </c>
      <c r="D22" s="29">
        <f>IF(計算用!$X$19="","",INDEX(計算用!$C$2:$C$721,計算用!$X$19))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IF(計算用!$X$20="","",19)</f>
        <v/>
      </c>
      <c r="B23" s="24">
        <f>IF(計算用!$X$20="","",INDEX(計算用!$A$2:$A$721,計算用!$X$20))</f>
        <v/>
      </c>
      <c r="C23" s="24">
        <f>IF(計算用!$X$20="","",INDEX(計算用!$B$2:$B$721,計算用!$X$20))</f>
        <v/>
      </c>
      <c r="D23" s="29">
        <f>IF(計算用!$X$20="","",INDEX(計算用!$C$2:$C$721,計算用!$X$20))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IF(計算用!$X$21="","",20)</f>
        <v/>
      </c>
      <c r="B24" s="24">
        <f>IF(計算用!$X$21="","",INDEX(計算用!$A$2:$A$721,計算用!$X$21))</f>
        <v/>
      </c>
      <c r="C24" s="24">
        <f>IF(計算用!$X$21="","",INDEX(計算用!$B$2:$B$721,計算用!$X$21))</f>
        <v/>
      </c>
      <c r="D24" s="29">
        <f>IF(計算用!$X$21="","",INDEX(計算用!$C$2:$C$721,計算用!$X$21))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IF(計算用!$X$22="","",21)</f>
        <v/>
      </c>
      <c r="B25" s="24">
        <f>IF(計算用!$X$22="","",INDEX(計算用!$A$2:$A$721,計算用!$X$22))</f>
        <v/>
      </c>
      <c r="C25" s="24">
        <f>IF(計算用!$X$22="","",INDEX(計算用!$B$2:$B$721,計算用!$X$22))</f>
        <v/>
      </c>
      <c r="D25" s="29">
        <f>IF(計算用!$X$22="","",INDEX(計算用!$C$2:$C$721,計算用!$X$22))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IF(計算用!$X$23="","",22)</f>
        <v/>
      </c>
      <c r="B26" s="24">
        <f>IF(計算用!$X$23="","",INDEX(計算用!$A$2:$A$721,計算用!$X$23))</f>
        <v/>
      </c>
      <c r="C26" s="24">
        <f>IF(計算用!$X$23="","",INDEX(計算用!$B$2:$B$721,計算用!$X$23))</f>
        <v/>
      </c>
      <c r="D26" s="29">
        <f>IF(計算用!$X$23="","",INDEX(計算用!$C$2:$C$721,計算用!$X$23))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IF(計算用!$X$24="","",23)</f>
        <v/>
      </c>
      <c r="B27" s="24">
        <f>IF(計算用!$X$24="","",INDEX(計算用!$A$2:$A$721,計算用!$X$24))</f>
        <v/>
      </c>
      <c r="C27" s="24">
        <f>IF(計算用!$X$24="","",INDEX(計算用!$B$2:$B$721,計算用!$X$24))</f>
        <v/>
      </c>
      <c r="D27" s="29">
        <f>IF(計算用!$X$24="","",INDEX(計算用!$C$2:$C$721,計算用!$X$24))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IF(計算用!$X$25="","",24)</f>
        <v/>
      </c>
      <c r="B28" s="24">
        <f>IF(計算用!$X$25="","",INDEX(計算用!$A$2:$A$721,計算用!$X$25))</f>
        <v/>
      </c>
      <c r="C28" s="24">
        <f>IF(計算用!$X$25="","",INDEX(計算用!$B$2:$B$721,計算用!$X$25))</f>
        <v/>
      </c>
      <c r="D28" s="29">
        <f>IF(計算用!$X$25="","",INDEX(計算用!$C$2:$C$721,計算用!$X$25))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IF(計算用!$X$26="","",25)</f>
        <v/>
      </c>
      <c r="B29" s="24">
        <f>IF(計算用!$X$26="","",INDEX(計算用!$A$2:$A$721,計算用!$X$26))</f>
        <v/>
      </c>
      <c r="C29" s="24">
        <f>IF(計算用!$X$26="","",INDEX(計算用!$B$2:$B$721,計算用!$X$26))</f>
        <v/>
      </c>
      <c r="D29" s="29">
        <f>IF(計算用!$X$26="","",INDEX(計算用!$C$2:$C$721,計算用!$X$26))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IF(計算用!$X$27="","",26)</f>
        <v/>
      </c>
      <c r="B30" s="24">
        <f>IF(計算用!$X$27="","",INDEX(計算用!$A$2:$A$721,計算用!$X$27))</f>
        <v/>
      </c>
      <c r="C30" s="24">
        <f>IF(計算用!$X$27="","",INDEX(計算用!$B$2:$B$721,計算用!$X$27))</f>
        <v/>
      </c>
      <c r="D30" s="29">
        <f>IF(計算用!$X$27="","",INDEX(計算用!$C$2:$C$721,計算用!$X$27))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IF(計算用!$X$28="","",27)</f>
        <v/>
      </c>
      <c r="B31" s="24">
        <f>IF(計算用!$X$28="","",INDEX(計算用!$A$2:$A$721,計算用!$X$28))</f>
        <v/>
      </c>
      <c r="C31" s="24">
        <f>IF(計算用!$X$28="","",INDEX(計算用!$B$2:$B$721,計算用!$X$28))</f>
        <v/>
      </c>
      <c r="D31" s="29">
        <f>IF(計算用!$X$28="","",INDEX(計算用!$C$2:$C$721,計算用!$X$28))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IF(計算用!$X$29="","",28)</f>
        <v/>
      </c>
      <c r="B32" s="24">
        <f>IF(計算用!$X$29="","",INDEX(計算用!$A$2:$A$721,計算用!$X$29))</f>
        <v/>
      </c>
      <c r="C32" s="24">
        <f>IF(計算用!$X$29="","",INDEX(計算用!$B$2:$B$721,計算用!$X$29))</f>
        <v/>
      </c>
      <c r="D32" s="29">
        <f>IF(計算用!$X$29="","",INDEX(計算用!$C$2:$C$721,計算用!$X$29))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IF(計算用!$X$30="","",29)</f>
        <v/>
      </c>
      <c r="B33" s="24">
        <f>IF(計算用!$X$30="","",INDEX(計算用!$A$2:$A$721,計算用!$X$30))</f>
        <v/>
      </c>
      <c r="C33" s="24">
        <f>IF(計算用!$X$30="","",INDEX(計算用!$B$2:$B$721,計算用!$X$30))</f>
        <v/>
      </c>
      <c r="D33" s="29">
        <f>IF(計算用!$X$30="","",INDEX(計算用!$C$2:$C$721,計算用!$X$30))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IF(計算用!$X$31="","",30)</f>
        <v/>
      </c>
      <c r="B34" s="24">
        <f>IF(計算用!$X$31="","",INDEX(計算用!$A$2:$A$721,計算用!$X$31))</f>
        <v/>
      </c>
      <c r="C34" s="24">
        <f>IF(計算用!$X$31="","",INDEX(計算用!$B$2:$B$721,計算用!$X$31))</f>
        <v/>
      </c>
      <c r="D34" s="29">
        <f>IF(計算用!$X$31="","",INDEX(計算用!$C$2:$C$721,計算用!$X$31))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IF(計算用!$X$32="","",31)</f>
        <v/>
      </c>
      <c r="B35" s="24">
        <f>IF(計算用!$X$32="","",INDEX(計算用!$A$2:$A$721,計算用!$X$32))</f>
        <v/>
      </c>
      <c r="C35" s="24">
        <f>IF(計算用!$X$32="","",INDEX(計算用!$B$2:$B$721,計算用!$X$32))</f>
        <v/>
      </c>
      <c r="D35" s="29">
        <f>IF(計算用!$X$32="","",INDEX(計算用!$C$2:$C$721,計算用!$X$32))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IF(計算用!$X$33="","",32)</f>
        <v/>
      </c>
      <c r="B36" s="24">
        <f>IF(計算用!$X$33="","",INDEX(計算用!$A$2:$A$721,計算用!$X$33))</f>
        <v/>
      </c>
      <c r="C36" s="24">
        <f>IF(計算用!$X$33="","",INDEX(計算用!$B$2:$B$721,計算用!$X$33))</f>
        <v/>
      </c>
      <c r="D36" s="29">
        <f>IF(計算用!$X$33="","",INDEX(計算用!$C$2:$C$721,計算用!$X$33))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IF(計算用!$X$34="","",33)</f>
        <v/>
      </c>
      <c r="B37" s="24">
        <f>IF(計算用!$X$34="","",INDEX(計算用!$A$2:$A$721,計算用!$X$34))</f>
        <v/>
      </c>
      <c r="C37" s="24">
        <f>IF(計算用!$X$34="","",INDEX(計算用!$B$2:$B$721,計算用!$X$34))</f>
        <v/>
      </c>
      <c r="D37" s="29">
        <f>IF(計算用!$X$34="","",INDEX(計算用!$C$2:$C$721,計算用!$X$34))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IF(計算用!$X$35="","",34)</f>
        <v/>
      </c>
      <c r="B38" s="24">
        <f>IF(計算用!$X$35="","",INDEX(計算用!$A$2:$A$721,計算用!$X$35))</f>
        <v/>
      </c>
      <c r="C38" s="24">
        <f>IF(計算用!$X$35="","",INDEX(計算用!$B$2:$B$721,計算用!$X$35))</f>
        <v/>
      </c>
      <c r="D38" s="29">
        <f>IF(計算用!$X$35="","",INDEX(計算用!$C$2:$C$721,計算用!$X$35))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IF(計算用!$X$36="","",35)</f>
        <v/>
      </c>
      <c r="B39" s="24">
        <f>IF(計算用!$X$36="","",INDEX(計算用!$A$2:$A$721,計算用!$X$36))</f>
        <v/>
      </c>
      <c r="C39" s="24">
        <f>IF(計算用!$X$36="","",INDEX(計算用!$B$2:$B$721,計算用!$X$36))</f>
        <v/>
      </c>
      <c r="D39" s="29">
        <f>IF(計算用!$X$36="","",INDEX(計算用!$C$2:$C$721,計算用!$X$36))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IF(計算用!$X$37="","",36)</f>
        <v/>
      </c>
      <c r="B40" s="24">
        <f>IF(計算用!$X$37="","",INDEX(計算用!$A$2:$A$721,計算用!$X$37))</f>
        <v/>
      </c>
      <c r="C40" s="24">
        <f>IF(計算用!$X$37="","",INDEX(計算用!$B$2:$B$721,計算用!$X$37))</f>
        <v/>
      </c>
      <c r="D40" s="29">
        <f>IF(計算用!$X$37="","",INDEX(計算用!$C$2:$C$721,計算用!$X$37))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IF(計算用!$X$38="","",37)</f>
        <v/>
      </c>
      <c r="B41" s="24">
        <f>IF(計算用!$X$38="","",INDEX(計算用!$A$2:$A$721,計算用!$X$38))</f>
        <v/>
      </c>
      <c r="C41" s="24">
        <f>IF(計算用!$X$38="","",INDEX(計算用!$B$2:$B$721,計算用!$X$38))</f>
        <v/>
      </c>
      <c r="D41" s="29">
        <f>IF(計算用!$X$38="","",INDEX(計算用!$C$2:$C$721,計算用!$X$38))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IF(計算用!$X$39="","",38)</f>
        <v/>
      </c>
      <c r="B42" s="24">
        <f>IF(計算用!$X$39="","",INDEX(計算用!$A$2:$A$721,計算用!$X$39))</f>
        <v/>
      </c>
      <c r="C42" s="24">
        <f>IF(計算用!$X$39="","",INDEX(計算用!$B$2:$B$721,計算用!$X$39))</f>
        <v/>
      </c>
      <c r="D42" s="29">
        <f>IF(計算用!$X$39="","",INDEX(計算用!$C$2:$C$721,計算用!$X$39))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IF(計算用!$X$40="","",39)</f>
        <v/>
      </c>
      <c r="B43" s="24">
        <f>IF(計算用!$X$40="","",INDEX(計算用!$A$2:$A$721,計算用!$X$40))</f>
        <v/>
      </c>
      <c r="C43" s="24">
        <f>IF(計算用!$X$40="","",INDEX(計算用!$B$2:$B$721,計算用!$X$40))</f>
        <v/>
      </c>
      <c r="D43" s="29">
        <f>IF(計算用!$X$40="","",INDEX(計算用!$C$2:$C$721,計算用!$X$40))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IF(計算用!$X$41="","",40)</f>
        <v/>
      </c>
      <c r="B44" s="24">
        <f>IF(計算用!$X$41="","",INDEX(計算用!$A$2:$A$721,計算用!$X$41))</f>
        <v/>
      </c>
      <c r="C44" s="24">
        <f>IF(計算用!$X$41="","",INDEX(計算用!$B$2:$B$721,計算用!$X$41))</f>
        <v/>
      </c>
      <c r="D44" s="29">
        <f>IF(計算用!$X$41="","",INDEX(計算用!$C$2:$C$721,計算用!$X$41))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IF(計算用!$X$42="","",41)</f>
        <v/>
      </c>
      <c r="B45" s="24">
        <f>IF(計算用!$X$42="","",INDEX(計算用!$A$2:$A$721,計算用!$X$42))</f>
        <v/>
      </c>
      <c r="C45" s="24">
        <f>IF(計算用!$X$42="","",INDEX(計算用!$B$2:$B$721,計算用!$X$42))</f>
        <v/>
      </c>
      <c r="D45" s="29">
        <f>IF(計算用!$X$42="","",INDEX(計算用!$C$2:$C$721,計算用!$X$42))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IF(計算用!$X$43="","",42)</f>
        <v/>
      </c>
      <c r="B46" s="24">
        <f>IF(計算用!$X$43="","",INDEX(計算用!$A$2:$A$721,計算用!$X$43))</f>
        <v/>
      </c>
      <c r="C46" s="24">
        <f>IF(計算用!$X$43="","",INDEX(計算用!$B$2:$B$721,計算用!$X$43))</f>
        <v/>
      </c>
      <c r="D46" s="29">
        <f>IF(計算用!$X$43="","",INDEX(計算用!$C$2:$C$721,計算用!$X$43))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IF(計算用!$X$44="","",43)</f>
        <v/>
      </c>
      <c r="B47" s="24">
        <f>IF(計算用!$X$44="","",INDEX(計算用!$A$2:$A$721,計算用!$X$44))</f>
        <v/>
      </c>
      <c r="C47" s="24">
        <f>IF(計算用!$X$44="","",INDEX(計算用!$B$2:$B$721,計算用!$X$44))</f>
        <v/>
      </c>
      <c r="D47" s="29">
        <f>IF(計算用!$X$44="","",INDEX(計算用!$C$2:$C$721,計算用!$X$44))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IF(計算用!$X$45="","",44)</f>
        <v/>
      </c>
      <c r="B48" s="24">
        <f>IF(計算用!$X$45="","",INDEX(計算用!$A$2:$A$721,計算用!$X$45))</f>
        <v/>
      </c>
      <c r="C48" s="24">
        <f>IF(計算用!$X$45="","",INDEX(計算用!$B$2:$B$721,計算用!$X$45))</f>
        <v/>
      </c>
      <c r="D48" s="29">
        <f>IF(計算用!$X$45="","",INDEX(計算用!$C$2:$C$721,計算用!$X$45))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IF(計算用!$X$46="","",45)</f>
        <v/>
      </c>
      <c r="B49" s="24">
        <f>IF(計算用!$X$46="","",INDEX(計算用!$A$2:$A$721,計算用!$X$46))</f>
        <v/>
      </c>
      <c r="C49" s="24">
        <f>IF(計算用!$X$46="","",INDEX(計算用!$B$2:$B$721,計算用!$X$46))</f>
        <v/>
      </c>
      <c r="D49" s="29">
        <f>IF(計算用!$X$46="","",INDEX(計算用!$C$2:$C$721,計算用!$X$46))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IF(計算用!$X$47="","",46)</f>
        <v/>
      </c>
      <c r="B50" s="24">
        <f>IF(計算用!$X$47="","",INDEX(計算用!$A$2:$A$721,計算用!$X$47))</f>
        <v/>
      </c>
      <c r="C50" s="24">
        <f>IF(計算用!$X$47="","",INDEX(計算用!$B$2:$B$721,計算用!$X$47))</f>
        <v/>
      </c>
      <c r="D50" s="29">
        <f>IF(計算用!$X$47="","",INDEX(計算用!$C$2:$C$721,計算用!$X$47))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IF(計算用!$X$48="","",47)</f>
        <v/>
      </c>
      <c r="B51" s="24">
        <f>IF(計算用!$X$48="","",INDEX(計算用!$A$2:$A$721,計算用!$X$48))</f>
        <v/>
      </c>
      <c r="C51" s="24">
        <f>IF(計算用!$X$48="","",INDEX(計算用!$B$2:$B$721,計算用!$X$48))</f>
        <v/>
      </c>
      <c r="D51" s="29">
        <f>IF(計算用!$X$48="","",INDEX(計算用!$C$2:$C$721,計算用!$X$48))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IF(計算用!$X$49="","",48)</f>
        <v/>
      </c>
      <c r="B52" s="24">
        <f>IF(計算用!$X$49="","",INDEX(計算用!$A$2:$A$721,計算用!$X$49))</f>
        <v/>
      </c>
      <c r="C52" s="24">
        <f>IF(計算用!$X$49="","",INDEX(計算用!$B$2:$B$721,計算用!$X$49))</f>
        <v/>
      </c>
      <c r="D52" s="29">
        <f>IF(計算用!$X$49="","",INDEX(計算用!$C$2:$C$721,計算用!$X$49))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IF(計算用!$X$50="","",49)</f>
        <v/>
      </c>
      <c r="B53" s="24">
        <f>IF(計算用!$X$50="","",INDEX(計算用!$A$2:$A$721,計算用!$X$50))</f>
        <v/>
      </c>
      <c r="C53" s="24">
        <f>IF(計算用!$X$50="","",INDEX(計算用!$B$2:$B$721,計算用!$X$50))</f>
        <v/>
      </c>
      <c r="D53" s="29">
        <f>IF(計算用!$X$50="","",INDEX(計算用!$C$2:$C$721,計算用!$X$50))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IF(計算用!$X$51="","",50)</f>
        <v/>
      </c>
      <c r="B54" s="24">
        <f>IF(計算用!$X$51="","",INDEX(計算用!$A$2:$A$721,計算用!$X$51))</f>
        <v/>
      </c>
      <c r="C54" s="24">
        <f>IF(計算用!$X$51="","",INDEX(計算用!$B$2:$B$721,計算用!$X$51))</f>
        <v/>
      </c>
      <c r="D54" s="29">
        <f>IF(計算用!$X$51="","",INDEX(計算用!$C$2:$C$721,計算用!$X$51))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IF(設定!$I$23="","",設定!$B$3&amp;"　"&amp;設定!$I$23&amp;設定!$B$4&amp;"名簿")</f>
        <v/>
      </c>
      <c r="Q1" s="22" t="inlineStr">
        <is>
          <t>【入力なし】見る・印刷するだけ</t>
        </is>
      </c>
    </row>
    <row r="2">
      <c r="A2" s="28">
        <f>IF(設定!$I$23="","","担当："&amp;設定!$J$23&amp;"　　活動場所："&amp;設定!$K$23&amp;"　　人数："&amp;人数チェック!$E$19&amp;"名（"&amp;設定!$B$7&amp;"年"&amp;人数チェック!$C$19&amp;"・"&amp;設定!$B$8&amp;"年"&amp;人数チェック!$D$19&amp;"）")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IF(計算用!$Y$2="","",1)</f>
        <v/>
      </c>
      <c r="B5" s="24">
        <f>IF(計算用!$Y$2="","",INDEX(計算用!$A$2:$A$721,計算用!$Y$2))</f>
        <v/>
      </c>
      <c r="C5" s="24">
        <f>IF(計算用!$Y$2="","",INDEX(計算用!$B$2:$B$721,計算用!$Y$2))</f>
        <v/>
      </c>
      <c r="D5" s="29">
        <f>IF(計算用!$Y$2="","",INDEX(計算用!$C$2:$C$721,計算用!$Y$2))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IF(計算用!$Y$3="","",2)</f>
        <v/>
      </c>
      <c r="B6" s="24">
        <f>IF(計算用!$Y$3="","",INDEX(計算用!$A$2:$A$721,計算用!$Y$3))</f>
        <v/>
      </c>
      <c r="C6" s="24">
        <f>IF(計算用!$Y$3="","",INDEX(計算用!$B$2:$B$721,計算用!$Y$3))</f>
        <v/>
      </c>
      <c r="D6" s="29">
        <f>IF(計算用!$Y$3="","",INDEX(計算用!$C$2:$C$721,計算用!$Y$3))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IF(計算用!$Y$4="","",3)</f>
        <v/>
      </c>
      <c r="B7" s="24">
        <f>IF(計算用!$Y$4="","",INDEX(計算用!$A$2:$A$721,計算用!$Y$4))</f>
        <v/>
      </c>
      <c r="C7" s="24">
        <f>IF(計算用!$Y$4="","",INDEX(計算用!$B$2:$B$721,計算用!$Y$4))</f>
        <v/>
      </c>
      <c r="D7" s="29">
        <f>IF(計算用!$Y$4="","",INDEX(計算用!$C$2:$C$721,計算用!$Y$4))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IF(計算用!$Y$5="","",4)</f>
        <v/>
      </c>
      <c r="B8" s="24">
        <f>IF(計算用!$Y$5="","",INDEX(計算用!$A$2:$A$721,計算用!$Y$5))</f>
        <v/>
      </c>
      <c r="C8" s="24">
        <f>IF(計算用!$Y$5="","",INDEX(計算用!$B$2:$B$721,計算用!$Y$5))</f>
        <v/>
      </c>
      <c r="D8" s="29">
        <f>IF(計算用!$Y$5="","",INDEX(計算用!$C$2:$C$721,計算用!$Y$5))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IF(計算用!$Y$6="","",5)</f>
        <v/>
      </c>
      <c r="B9" s="24">
        <f>IF(計算用!$Y$6="","",INDEX(計算用!$A$2:$A$721,計算用!$Y$6))</f>
        <v/>
      </c>
      <c r="C9" s="24">
        <f>IF(計算用!$Y$6="","",INDEX(計算用!$B$2:$B$721,計算用!$Y$6))</f>
        <v/>
      </c>
      <c r="D9" s="29">
        <f>IF(計算用!$Y$6="","",INDEX(計算用!$C$2:$C$721,計算用!$Y$6))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IF(計算用!$Y$7="","",6)</f>
        <v/>
      </c>
      <c r="B10" s="24">
        <f>IF(計算用!$Y$7="","",INDEX(計算用!$A$2:$A$721,計算用!$Y$7))</f>
        <v/>
      </c>
      <c r="C10" s="24">
        <f>IF(計算用!$Y$7="","",INDEX(計算用!$B$2:$B$721,計算用!$Y$7))</f>
        <v/>
      </c>
      <c r="D10" s="29">
        <f>IF(計算用!$Y$7="","",INDEX(計算用!$C$2:$C$721,計算用!$Y$7))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IF(計算用!$Y$8="","",7)</f>
        <v/>
      </c>
      <c r="B11" s="24">
        <f>IF(計算用!$Y$8="","",INDEX(計算用!$A$2:$A$721,計算用!$Y$8))</f>
        <v/>
      </c>
      <c r="C11" s="24">
        <f>IF(計算用!$Y$8="","",INDEX(計算用!$B$2:$B$721,計算用!$Y$8))</f>
        <v/>
      </c>
      <c r="D11" s="29">
        <f>IF(計算用!$Y$8="","",INDEX(計算用!$C$2:$C$721,計算用!$Y$8))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IF(計算用!$Y$9="","",8)</f>
        <v/>
      </c>
      <c r="B12" s="24">
        <f>IF(計算用!$Y$9="","",INDEX(計算用!$A$2:$A$721,計算用!$Y$9))</f>
        <v/>
      </c>
      <c r="C12" s="24">
        <f>IF(計算用!$Y$9="","",INDEX(計算用!$B$2:$B$721,計算用!$Y$9))</f>
        <v/>
      </c>
      <c r="D12" s="29">
        <f>IF(計算用!$Y$9="","",INDEX(計算用!$C$2:$C$721,計算用!$Y$9))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IF(計算用!$Y$10="","",9)</f>
        <v/>
      </c>
      <c r="B13" s="24">
        <f>IF(計算用!$Y$10="","",INDEX(計算用!$A$2:$A$721,計算用!$Y$10))</f>
        <v/>
      </c>
      <c r="C13" s="24">
        <f>IF(計算用!$Y$10="","",INDEX(計算用!$B$2:$B$721,計算用!$Y$10))</f>
        <v/>
      </c>
      <c r="D13" s="29">
        <f>IF(計算用!$Y$10="","",INDEX(計算用!$C$2:$C$721,計算用!$Y$10))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IF(計算用!$Y$11="","",10)</f>
        <v/>
      </c>
      <c r="B14" s="24">
        <f>IF(計算用!$Y$11="","",INDEX(計算用!$A$2:$A$721,計算用!$Y$11))</f>
        <v/>
      </c>
      <c r="C14" s="24">
        <f>IF(計算用!$Y$11="","",INDEX(計算用!$B$2:$B$721,計算用!$Y$11))</f>
        <v/>
      </c>
      <c r="D14" s="29">
        <f>IF(計算用!$Y$11="","",INDEX(計算用!$C$2:$C$721,計算用!$Y$11))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IF(計算用!$Y$12="","",11)</f>
        <v/>
      </c>
      <c r="B15" s="24">
        <f>IF(計算用!$Y$12="","",INDEX(計算用!$A$2:$A$721,計算用!$Y$12))</f>
        <v/>
      </c>
      <c r="C15" s="24">
        <f>IF(計算用!$Y$12="","",INDEX(計算用!$B$2:$B$721,計算用!$Y$12))</f>
        <v/>
      </c>
      <c r="D15" s="29">
        <f>IF(計算用!$Y$12="","",INDEX(計算用!$C$2:$C$721,計算用!$Y$12))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IF(計算用!$Y$13="","",12)</f>
        <v/>
      </c>
      <c r="B16" s="24">
        <f>IF(計算用!$Y$13="","",INDEX(計算用!$A$2:$A$721,計算用!$Y$13))</f>
        <v/>
      </c>
      <c r="C16" s="24">
        <f>IF(計算用!$Y$13="","",INDEX(計算用!$B$2:$B$721,計算用!$Y$13))</f>
        <v/>
      </c>
      <c r="D16" s="29">
        <f>IF(計算用!$Y$13="","",INDEX(計算用!$C$2:$C$721,計算用!$Y$13))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IF(計算用!$Y$14="","",13)</f>
        <v/>
      </c>
      <c r="B17" s="24">
        <f>IF(計算用!$Y$14="","",INDEX(計算用!$A$2:$A$721,計算用!$Y$14))</f>
        <v/>
      </c>
      <c r="C17" s="24">
        <f>IF(計算用!$Y$14="","",INDEX(計算用!$B$2:$B$721,計算用!$Y$14))</f>
        <v/>
      </c>
      <c r="D17" s="29">
        <f>IF(計算用!$Y$14="","",INDEX(計算用!$C$2:$C$721,計算用!$Y$14))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IF(計算用!$Y$15="","",14)</f>
        <v/>
      </c>
      <c r="B18" s="24">
        <f>IF(計算用!$Y$15="","",INDEX(計算用!$A$2:$A$721,計算用!$Y$15))</f>
        <v/>
      </c>
      <c r="C18" s="24">
        <f>IF(計算用!$Y$15="","",INDEX(計算用!$B$2:$B$721,計算用!$Y$15))</f>
        <v/>
      </c>
      <c r="D18" s="29">
        <f>IF(計算用!$Y$15="","",INDEX(計算用!$C$2:$C$721,計算用!$Y$15))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IF(計算用!$Y$16="","",15)</f>
        <v/>
      </c>
      <c r="B19" s="24">
        <f>IF(計算用!$Y$16="","",INDEX(計算用!$A$2:$A$721,計算用!$Y$16))</f>
        <v/>
      </c>
      <c r="C19" s="24">
        <f>IF(計算用!$Y$16="","",INDEX(計算用!$B$2:$B$721,計算用!$Y$16))</f>
        <v/>
      </c>
      <c r="D19" s="29">
        <f>IF(計算用!$Y$16="","",INDEX(計算用!$C$2:$C$721,計算用!$Y$16))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IF(計算用!$Y$17="","",16)</f>
        <v/>
      </c>
      <c r="B20" s="24">
        <f>IF(計算用!$Y$17="","",INDEX(計算用!$A$2:$A$721,計算用!$Y$17))</f>
        <v/>
      </c>
      <c r="C20" s="24">
        <f>IF(計算用!$Y$17="","",INDEX(計算用!$B$2:$B$721,計算用!$Y$17))</f>
        <v/>
      </c>
      <c r="D20" s="29">
        <f>IF(計算用!$Y$17="","",INDEX(計算用!$C$2:$C$721,計算用!$Y$17))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IF(計算用!$Y$18="","",17)</f>
        <v/>
      </c>
      <c r="B21" s="24">
        <f>IF(計算用!$Y$18="","",INDEX(計算用!$A$2:$A$721,計算用!$Y$18))</f>
        <v/>
      </c>
      <c r="C21" s="24">
        <f>IF(計算用!$Y$18="","",INDEX(計算用!$B$2:$B$721,計算用!$Y$18))</f>
        <v/>
      </c>
      <c r="D21" s="29">
        <f>IF(計算用!$Y$18="","",INDEX(計算用!$C$2:$C$721,計算用!$Y$18))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IF(計算用!$Y$19="","",18)</f>
        <v/>
      </c>
      <c r="B22" s="24">
        <f>IF(計算用!$Y$19="","",INDEX(計算用!$A$2:$A$721,計算用!$Y$19))</f>
        <v/>
      </c>
      <c r="C22" s="24">
        <f>IF(計算用!$Y$19="","",INDEX(計算用!$B$2:$B$721,計算用!$Y$19))</f>
        <v/>
      </c>
      <c r="D22" s="29">
        <f>IF(計算用!$Y$19="","",INDEX(計算用!$C$2:$C$721,計算用!$Y$19))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IF(計算用!$Y$20="","",19)</f>
        <v/>
      </c>
      <c r="B23" s="24">
        <f>IF(計算用!$Y$20="","",INDEX(計算用!$A$2:$A$721,計算用!$Y$20))</f>
        <v/>
      </c>
      <c r="C23" s="24">
        <f>IF(計算用!$Y$20="","",INDEX(計算用!$B$2:$B$721,計算用!$Y$20))</f>
        <v/>
      </c>
      <c r="D23" s="29">
        <f>IF(計算用!$Y$20="","",INDEX(計算用!$C$2:$C$721,計算用!$Y$20))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IF(計算用!$Y$21="","",20)</f>
        <v/>
      </c>
      <c r="B24" s="24">
        <f>IF(計算用!$Y$21="","",INDEX(計算用!$A$2:$A$721,計算用!$Y$21))</f>
        <v/>
      </c>
      <c r="C24" s="24">
        <f>IF(計算用!$Y$21="","",INDEX(計算用!$B$2:$B$721,計算用!$Y$21))</f>
        <v/>
      </c>
      <c r="D24" s="29">
        <f>IF(計算用!$Y$21="","",INDEX(計算用!$C$2:$C$721,計算用!$Y$21))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IF(計算用!$Y$22="","",21)</f>
        <v/>
      </c>
      <c r="B25" s="24">
        <f>IF(計算用!$Y$22="","",INDEX(計算用!$A$2:$A$721,計算用!$Y$22))</f>
        <v/>
      </c>
      <c r="C25" s="24">
        <f>IF(計算用!$Y$22="","",INDEX(計算用!$B$2:$B$721,計算用!$Y$22))</f>
        <v/>
      </c>
      <c r="D25" s="29">
        <f>IF(計算用!$Y$22="","",INDEX(計算用!$C$2:$C$721,計算用!$Y$22))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IF(計算用!$Y$23="","",22)</f>
        <v/>
      </c>
      <c r="B26" s="24">
        <f>IF(計算用!$Y$23="","",INDEX(計算用!$A$2:$A$721,計算用!$Y$23))</f>
        <v/>
      </c>
      <c r="C26" s="24">
        <f>IF(計算用!$Y$23="","",INDEX(計算用!$B$2:$B$721,計算用!$Y$23))</f>
        <v/>
      </c>
      <c r="D26" s="29">
        <f>IF(計算用!$Y$23="","",INDEX(計算用!$C$2:$C$721,計算用!$Y$23))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IF(計算用!$Y$24="","",23)</f>
        <v/>
      </c>
      <c r="B27" s="24">
        <f>IF(計算用!$Y$24="","",INDEX(計算用!$A$2:$A$721,計算用!$Y$24))</f>
        <v/>
      </c>
      <c r="C27" s="24">
        <f>IF(計算用!$Y$24="","",INDEX(計算用!$B$2:$B$721,計算用!$Y$24))</f>
        <v/>
      </c>
      <c r="D27" s="29">
        <f>IF(計算用!$Y$24="","",INDEX(計算用!$C$2:$C$721,計算用!$Y$24))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IF(計算用!$Y$25="","",24)</f>
        <v/>
      </c>
      <c r="B28" s="24">
        <f>IF(計算用!$Y$25="","",INDEX(計算用!$A$2:$A$721,計算用!$Y$25))</f>
        <v/>
      </c>
      <c r="C28" s="24">
        <f>IF(計算用!$Y$25="","",INDEX(計算用!$B$2:$B$721,計算用!$Y$25))</f>
        <v/>
      </c>
      <c r="D28" s="29">
        <f>IF(計算用!$Y$25="","",INDEX(計算用!$C$2:$C$721,計算用!$Y$25))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IF(計算用!$Y$26="","",25)</f>
        <v/>
      </c>
      <c r="B29" s="24">
        <f>IF(計算用!$Y$26="","",INDEX(計算用!$A$2:$A$721,計算用!$Y$26))</f>
        <v/>
      </c>
      <c r="C29" s="24">
        <f>IF(計算用!$Y$26="","",INDEX(計算用!$B$2:$B$721,計算用!$Y$26))</f>
        <v/>
      </c>
      <c r="D29" s="29">
        <f>IF(計算用!$Y$26="","",INDEX(計算用!$C$2:$C$721,計算用!$Y$26))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IF(計算用!$Y$27="","",26)</f>
        <v/>
      </c>
      <c r="B30" s="24">
        <f>IF(計算用!$Y$27="","",INDEX(計算用!$A$2:$A$721,計算用!$Y$27))</f>
        <v/>
      </c>
      <c r="C30" s="24">
        <f>IF(計算用!$Y$27="","",INDEX(計算用!$B$2:$B$721,計算用!$Y$27))</f>
        <v/>
      </c>
      <c r="D30" s="29">
        <f>IF(計算用!$Y$27="","",INDEX(計算用!$C$2:$C$721,計算用!$Y$27))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IF(計算用!$Y$28="","",27)</f>
        <v/>
      </c>
      <c r="B31" s="24">
        <f>IF(計算用!$Y$28="","",INDEX(計算用!$A$2:$A$721,計算用!$Y$28))</f>
        <v/>
      </c>
      <c r="C31" s="24">
        <f>IF(計算用!$Y$28="","",INDEX(計算用!$B$2:$B$721,計算用!$Y$28))</f>
        <v/>
      </c>
      <c r="D31" s="29">
        <f>IF(計算用!$Y$28="","",INDEX(計算用!$C$2:$C$721,計算用!$Y$28))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IF(計算用!$Y$29="","",28)</f>
        <v/>
      </c>
      <c r="B32" s="24">
        <f>IF(計算用!$Y$29="","",INDEX(計算用!$A$2:$A$721,計算用!$Y$29))</f>
        <v/>
      </c>
      <c r="C32" s="24">
        <f>IF(計算用!$Y$29="","",INDEX(計算用!$B$2:$B$721,計算用!$Y$29))</f>
        <v/>
      </c>
      <c r="D32" s="29">
        <f>IF(計算用!$Y$29="","",INDEX(計算用!$C$2:$C$721,計算用!$Y$29))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IF(計算用!$Y$30="","",29)</f>
        <v/>
      </c>
      <c r="B33" s="24">
        <f>IF(計算用!$Y$30="","",INDEX(計算用!$A$2:$A$721,計算用!$Y$30))</f>
        <v/>
      </c>
      <c r="C33" s="24">
        <f>IF(計算用!$Y$30="","",INDEX(計算用!$B$2:$B$721,計算用!$Y$30))</f>
        <v/>
      </c>
      <c r="D33" s="29">
        <f>IF(計算用!$Y$30="","",INDEX(計算用!$C$2:$C$721,計算用!$Y$30))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IF(計算用!$Y$31="","",30)</f>
        <v/>
      </c>
      <c r="B34" s="24">
        <f>IF(計算用!$Y$31="","",INDEX(計算用!$A$2:$A$721,計算用!$Y$31))</f>
        <v/>
      </c>
      <c r="C34" s="24">
        <f>IF(計算用!$Y$31="","",INDEX(計算用!$B$2:$B$721,計算用!$Y$31))</f>
        <v/>
      </c>
      <c r="D34" s="29">
        <f>IF(計算用!$Y$31="","",INDEX(計算用!$C$2:$C$721,計算用!$Y$31))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IF(計算用!$Y$32="","",31)</f>
        <v/>
      </c>
      <c r="B35" s="24">
        <f>IF(計算用!$Y$32="","",INDEX(計算用!$A$2:$A$721,計算用!$Y$32))</f>
        <v/>
      </c>
      <c r="C35" s="24">
        <f>IF(計算用!$Y$32="","",INDEX(計算用!$B$2:$B$721,計算用!$Y$32))</f>
        <v/>
      </c>
      <c r="D35" s="29">
        <f>IF(計算用!$Y$32="","",INDEX(計算用!$C$2:$C$721,計算用!$Y$32))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IF(計算用!$Y$33="","",32)</f>
        <v/>
      </c>
      <c r="B36" s="24">
        <f>IF(計算用!$Y$33="","",INDEX(計算用!$A$2:$A$721,計算用!$Y$33))</f>
        <v/>
      </c>
      <c r="C36" s="24">
        <f>IF(計算用!$Y$33="","",INDEX(計算用!$B$2:$B$721,計算用!$Y$33))</f>
        <v/>
      </c>
      <c r="D36" s="29">
        <f>IF(計算用!$Y$33="","",INDEX(計算用!$C$2:$C$721,計算用!$Y$33))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IF(計算用!$Y$34="","",33)</f>
        <v/>
      </c>
      <c r="B37" s="24">
        <f>IF(計算用!$Y$34="","",INDEX(計算用!$A$2:$A$721,計算用!$Y$34))</f>
        <v/>
      </c>
      <c r="C37" s="24">
        <f>IF(計算用!$Y$34="","",INDEX(計算用!$B$2:$B$721,計算用!$Y$34))</f>
        <v/>
      </c>
      <c r="D37" s="29">
        <f>IF(計算用!$Y$34="","",INDEX(計算用!$C$2:$C$721,計算用!$Y$34))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IF(計算用!$Y$35="","",34)</f>
        <v/>
      </c>
      <c r="B38" s="24">
        <f>IF(計算用!$Y$35="","",INDEX(計算用!$A$2:$A$721,計算用!$Y$35))</f>
        <v/>
      </c>
      <c r="C38" s="24">
        <f>IF(計算用!$Y$35="","",INDEX(計算用!$B$2:$B$721,計算用!$Y$35))</f>
        <v/>
      </c>
      <c r="D38" s="29">
        <f>IF(計算用!$Y$35="","",INDEX(計算用!$C$2:$C$721,計算用!$Y$35))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IF(計算用!$Y$36="","",35)</f>
        <v/>
      </c>
      <c r="B39" s="24">
        <f>IF(計算用!$Y$36="","",INDEX(計算用!$A$2:$A$721,計算用!$Y$36))</f>
        <v/>
      </c>
      <c r="C39" s="24">
        <f>IF(計算用!$Y$36="","",INDEX(計算用!$B$2:$B$721,計算用!$Y$36))</f>
        <v/>
      </c>
      <c r="D39" s="29">
        <f>IF(計算用!$Y$36="","",INDEX(計算用!$C$2:$C$721,計算用!$Y$36))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IF(計算用!$Y$37="","",36)</f>
        <v/>
      </c>
      <c r="B40" s="24">
        <f>IF(計算用!$Y$37="","",INDEX(計算用!$A$2:$A$721,計算用!$Y$37))</f>
        <v/>
      </c>
      <c r="C40" s="24">
        <f>IF(計算用!$Y$37="","",INDEX(計算用!$B$2:$B$721,計算用!$Y$37))</f>
        <v/>
      </c>
      <c r="D40" s="29">
        <f>IF(計算用!$Y$37="","",INDEX(計算用!$C$2:$C$721,計算用!$Y$37))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IF(計算用!$Y$38="","",37)</f>
        <v/>
      </c>
      <c r="B41" s="24">
        <f>IF(計算用!$Y$38="","",INDEX(計算用!$A$2:$A$721,計算用!$Y$38))</f>
        <v/>
      </c>
      <c r="C41" s="24">
        <f>IF(計算用!$Y$38="","",INDEX(計算用!$B$2:$B$721,計算用!$Y$38))</f>
        <v/>
      </c>
      <c r="D41" s="29">
        <f>IF(計算用!$Y$38="","",INDEX(計算用!$C$2:$C$721,計算用!$Y$38))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IF(計算用!$Y$39="","",38)</f>
        <v/>
      </c>
      <c r="B42" s="24">
        <f>IF(計算用!$Y$39="","",INDEX(計算用!$A$2:$A$721,計算用!$Y$39))</f>
        <v/>
      </c>
      <c r="C42" s="24">
        <f>IF(計算用!$Y$39="","",INDEX(計算用!$B$2:$B$721,計算用!$Y$39))</f>
        <v/>
      </c>
      <c r="D42" s="29">
        <f>IF(計算用!$Y$39="","",INDEX(計算用!$C$2:$C$721,計算用!$Y$39))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IF(計算用!$Y$40="","",39)</f>
        <v/>
      </c>
      <c r="B43" s="24">
        <f>IF(計算用!$Y$40="","",INDEX(計算用!$A$2:$A$721,計算用!$Y$40))</f>
        <v/>
      </c>
      <c r="C43" s="24">
        <f>IF(計算用!$Y$40="","",INDEX(計算用!$B$2:$B$721,計算用!$Y$40))</f>
        <v/>
      </c>
      <c r="D43" s="29">
        <f>IF(計算用!$Y$40="","",INDEX(計算用!$C$2:$C$721,計算用!$Y$40))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IF(計算用!$Y$41="","",40)</f>
        <v/>
      </c>
      <c r="B44" s="24">
        <f>IF(計算用!$Y$41="","",INDEX(計算用!$A$2:$A$721,計算用!$Y$41))</f>
        <v/>
      </c>
      <c r="C44" s="24">
        <f>IF(計算用!$Y$41="","",INDEX(計算用!$B$2:$B$721,計算用!$Y$41))</f>
        <v/>
      </c>
      <c r="D44" s="29">
        <f>IF(計算用!$Y$41="","",INDEX(計算用!$C$2:$C$721,計算用!$Y$41))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IF(計算用!$Y$42="","",41)</f>
        <v/>
      </c>
      <c r="B45" s="24">
        <f>IF(計算用!$Y$42="","",INDEX(計算用!$A$2:$A$721,計算用!$Y$42))</f>
        <v/>
      </c>
      <c r="C45" s="24">
        <f>IF(計算用!$Y$42="","",INDEX(計算用!$B$2:$B$721,計算用!$Y$42))</f>
        <v/>
      </c>
      <c r="D45" s="29">
        <f>IF(計算用!$Y$42="","",INDEX(計算用!$C$2:$C$721,計算用!$Y$42))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IF(計算用!$Y$43="","",42)</f>
        <v/>
      </c>
      <c r="B46" s="24">
        <f>IF(計算用!$Y$43="","",INDEX(計算用!$A$2:$A$721,計算用!$Y$43))</f>
        <v/>
      </c>
      <c r="C46" s="24">
        <f>IF(計算用!$Y$43="","",INDEX(計算用!$B$2:$B$721,計算用!$Y$43))</f>
        <v/>
      </c>
      <c r="D46" s="29">
        <f>IF(計算用!$Y$43="","",INDEX(計算用!$C$2:$C$721,計算用!$Y$43))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IF(計算用!$Y$44="","",43)</f>
        <v/>
      </c>
      <c r="B47" s="24">
        <f>IF(計算用!$Y$44="","",INDEX(計算用!$A$2:$A$721,計算用!$Y$44))</f>
        <v/>
      </c>
      <c r="C47" s="24">
        <f>IF(計算用!$Y$44="","",INDEX(計算用!$B$2:$B$721,計算用!$Y$44))</f>
        <v/>
      </c>
      <c r="D47" s="29">
        <f>IF(計算用!$Y$44="","",INDEX(計算用!$C$2:$C$721,計算用!$Y$44))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IF(計算用!$Y$45="","",44)</f>
        <v/>
      </c>
      <c r="B48" s="24">
        <f>IF(計算用!$Y$45="","",INDEX(計算用!$A$2:$A$721,計算用!$Y$45))</f>
        <v/>
      </c>
      <c r="C48" s="24">
        <f>IF(計算用!$Y$45="","",INDEX(計算用!$B$2:$B$721,計算用!$Y$45))</f>
        <v/>
      </c>
      <c r="D48" s="29">
        <f>IF(計算用!$Y$45="","",INDEX(計算用!$C$2:$C$721,計算用!$Y$45))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IF(計算用!$Y$46="","",45)</f>
        <v/>
      </c>
      <c r="B49" s="24">
        <f>IF(計算用!$Y$46="","",INDEX(計算用!$A$2:$A$721,計算用!$Y$46))</f>
        <v/>
      </c>
      <c r="C49" s="24">
        <f>IF(計算用!$Y$46="","",INDEX(計算用!$B$2:$B$721,計算用!$Y$46))</f>
        <v/>
      </c>
      <c r="D49" s="29">
        <f>IF(計算用!$Y$46="","",INDEX(計算用!$C$2:$C$721,計算用!$Y$46))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IF(計算用!$Y$47="","",46)</f>
        <v/>
      </c>
      <c r="B50" s="24">
        <f>IF(計算用!$Y$47="","",INDEX(計算用!$A$2:$A$721,計算用!$Y$47))</f>
        <v/>
      </c>
      <c r="C50" s="24">
        <f>IF(計算用!$Y$47="","",INDEX(計算用!$B$2:$B$721,計算用!$Y$47))</f>
        <v/>
      </c>
      <c r="D50" s="29">
        <f>IF(計算用!$Y$47="","",INDEX(計算用!$C$2:$C$721,計算用!$Y$47))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IF(計算用!$Y$48="","",47)</f>
        <v/>
      </c>
      <c r="B51" s="24">
        <f>IF(計算用!$Y$48="","",INDEX(計算用!$A$2:$A$721,計算用!$Y$48))</f>
        <v/>
      </c>
      <c r="C51" s="24">
        <f>IF(計算用!$Y$48="","",INDEX(計算用!$B$2:$B$721,計算用!$Y$48))</f>
        <v/>
      </c>
      <c r="D51" s="29">
        <f>IF(計算用!$Y$48="","",INDEX(計算用!$C$2:$C$721,計算用!$Y$48))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IF(計算用!$Y$49="","",48)</f>
        <v/>
      </c>
      <c r="B52" s="24">
        <f>IF(計算用!$Y$49="","",INDEX(計算用!$A$2:$A$721,計算用!$Y$49))</f>
        <v/>
      </c>
      <c r="C52" s="24">
        <f>IF(計算用!$Y$49="","",INDEX(計算用!$B$2:$B$721,計算用!$Y$49))</f>
        <v/>
      </c>
      <c r="D52" s="29">
        <f>IF(計算用!$Y$49="","",INDEX(計算用!$C$2:$C$721,計算用!$Y$49))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IF(計算用!$Y$50="","",49)</f>
        <v/>
      </c>
      <c r="B53" s="24">
        <f>IF(計算用!$Y$50="","",INDEX(計算用!$A$2:$A$721,計算用!$Y$50))</f>
        <v/>
      </c>
      <c r="C53" s="24">
        <f>IF(計算用!$Y$50="","",INDEX(計算用!$B$2:$B$721,計算用!$Y$50))</f>
        <v/>
      </c>
      <c r="D53" s="29">
        <f>IF(計算用!$Y$50="","",INDEX(計算用!$C$2:$C$721,計算用!$Y$50))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IF(計算用!$Y$51="","",50)</f>
        <v/>
      </c>
      <c r="B54" s="24">
        <f>IF(計算用!$Y$51="","",INDEX(計算用!$A$2:$A$721,計算用!$Y$51))</f>
        <v/>
      </c>
      <c r="C54" s="24">
        <f>IF(計算用!$Y$51="","",INDEX(計算用!$B$2:$B$721,計算用!$Y$51))</f>
        <v/>
      </c>
      <c r="D54" s="29">
        <f>IF(計算用!$Y$51="","",INDEX(計算用!$C$2:$C$721,計算用!$Y$51))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IF(設定!$I$24="","",設定!$B$3&amp;"　"&amp;設定!$I$24&amp;設定!$B$4&amp;"名簿")</f>
        <v/>
      </c>
      <c r="Q1" s="22" t="inlineStr">
        <is>
          <t>【入力なし】見る・印刷するだけ</t>
        </is>
      </c>
    </row>
    <row r="2">
      <c r="A2" s="28">
        <f>IF(設定!$I$24="","","担当："&amp;設定!$J$24&amp;"　　活動場所："&amp;設定!$K$24&amp;"　　人数："&amp;人数チェック!$E$20&amp;"名（"&amp;設定!$B$7&amp;"年"&amp;人数チェック!$C$20&amp;"・"&amp;設定!$B$8&amp;"年"&amp;人数チェック!$D$20&amp;"）")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IF(計算用!$Z$2="","",1)</f>
        <v/>
      </c>
      <c r="B5" s="24">
        <f>IF(計算用!$Z$2="","",INDEX(計算用!$A$2:$A$721,計算用!$Z$2))</f>
        <v/>
      </c>
      <c r="C5" s="24">
        <f>IF(計算用!$Z$2="","",INDEX(計算用!$B$2:$B$721,計算用!$Z$2))</f>
        <v/>
      </c>
      <c r="D5" s="29">
        <f>IF(計算用!$Z$2="","",INDEX(計算用!$C$2:$C$721,計算用!$Z$2))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IF(計算用!$Z$3="","",2)</f>
        <v/>
      </c>
      <c r="B6" s="24">
        <f>IF(計算用!$Z$3="","",INDEX(計算用!$A$2:$A$721,計算用!$Z$3))</f>
        <v/>
      </c>
      <c r="C6" s="24">
        <f>IF(計算用!$Z$3="","",INDEX(計算用!$B$2:$B$721,計算用!$Z$3))</f>
        <v/>
      </c>
      <c r="D6" s="29">
        <f>IF(計算用!$Z$3="","",INDEX(計算用!$C$2:$C$721,計算用!$Z$3))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IF(計算用!$Z$4="","",3)</f>
        <v/>
      </c>
      <c r="B7" s="24">
        <f>IF(計算用!$Z$4="","",INDEX(計算用!$A$2:$A$721,計算用!$Z$4))</f>
        <v/>
      </c>
      <c r="C7" s="24">
        <f>IF(計算用!$Z$4="","",INDEX(計算用!$B$2:$B$721,計算用!$Z$4))</f>
        <v/>
      </c>
      <c r="D7" s="29">
        <f>IF(計算用!$Z$4="","",INDEX(計算用!$C$2:$C$721,計算用!$Z$4))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IF(計算用!$Z$5="","",4)</f>
        <v/>
      </c>
      <c r="B8" s="24">
        <f>IF(計算用!$Z$5="","",INDEX(計算用!$A$2:$A$721,計算用!$Z$5))</f>
        <v/>
      </c>
      <c r="C8" s="24">
        <f>IF(計算用!$Z$5="","",INDEX(計算用!$B$2:$B$721,計算用!$Z$5))</f>
        <v/>
      </c>
      <c r="D8" s="29">
        <f>IF(計算用!$Z$5="","",INDEX(計算用!$C$2:$C$721,計算用!$Z$5))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IF(計算用!$Z$6="","",5)</f>
        <v/>
      </c>
      <c r="B9" s="24">
        <f>IF(計算用!$Z$6="","",INDEX(計算用!$A$2:$A$721,計算用!$Z$6))</f>
        <v/>
      </c>
      <c r="C9" s="24">
        <f>IF(計算用!$Z$6="","",INDEX(計算用!$B$2:$B$721,計算用!$Z$6))</f>
        <v/>
      </c>
      <c r="D9" s="29">
        <f>IF(計算用!$Z$6="","",INDEX(計算用!$C$2:$C$721,計算用!$Z$6))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IF(計算用!$Z$7="","",6)</f>
        <v/>
      </c>
      <c r="B10" s="24">
        <f>IF(計算用!$Z$7="","",INDEX(計算用!$A$2:$A$721,計算用!$Z$7))</f>
        <v/>
      </c>
      <c r="C10" s="24">
        <f>IF(計算用!$Z$7="","",INDEX(計算用!$B$2:$B$721,計算用!$Z$7))</f>
        <v/>
      </c>
      <c r="D10" s="29">
        <f>IF(計算用!$Z$7="","",INDEX(計算用!$C$2:$C$721,計算用!$Z$7))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IF(計算用!$Z$8="","",7)</f>
        <v/>
      </c>
      <c r="B11" s="24">
        <f>IF(計算用!$Z$8="","",INDEX(計算用!$A$2:$A$721,計算用!$Z$8))</f>
        <v/>
      </c>
      <c r="C11" s="24">
        <f>IF(計算用!$Z$8="","",INDEX(計算用!$B$2:$B$721,計算用!$Z$8))</f>
        <v/>
      </c>
      <c r="D11" s="29">
        <f>IF(計算用!$Z$8="","",INDEX(計算用!$C$2:$C$721,計算用!$Z$8))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IF(計算用!$Z$9="","",8)</f>
        <v/>
      </c>
      <c r="B12" s="24">
        <f>IF(計算用!$Z$9="","",INDEX(計算用!$A$2:$A$721,計算用!$Z$9))</f>
        <v/>
      </c>
      <c r="C12" s="24">
        <f>IF(計算用!$Z$9="","",INDEX(計算用!$B$2:$B$721,計算用!$Z$9))</f>
        <v/>
      </c>
      <c r="D12" s="29">
        <f>IF(計算用!$Z$9="","",INDEX(計算用!$C$2:$C$721,計算用!$Z$9))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IF(計算用!$Z$10="","",9)</f>
        <v/>
      </c>
      <c r="B13" s="24">
        <f>IF(計算用!$Z$10="","",INDEX(計算用!$A$2:$A$721,計算用!$Z$10))</f>
        <v/>
      </c>
      <c r="C13" s="24">
        <f>IF(計算用!$Z$10="","",INDEX(計算用!$B$2:$B$721,計算用!$Z$10))</f>
        <v/>
      </c>
      <c r="D13" s="29">
        <f>IF(計算用!$Z$10="","",INDEX(計算用!$C$2:$C$721,計算用!$Z$10))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IF(計算用!$Z$11="","",10)</f>
        <v/>
      </c>
      <c r="B14" s="24">
        <f>IF(計算用!$Z$11="","",INDEX(計算用!$A$2:$A$721,計算用!$Z$11))</f>
        <v/>
      </c>
      <c r="C14" s="24">
        <f>IF(計算用!$Z$11="","",INDEX(計算用!$B$2:$B$721,計算用!$Z$11))</f>
        <v/>
      </c>
      <c r="D14" s="29">
        <f>IF(計算用!$Z$11="","",INDEX(計算用!$C$2:$C$721,計算用!$Z$11))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IF(計算用!$Z$12="","",11)</f>
        <v/>
      </c>
      <c r="B15" s="24">
        <f>IF(計算用!$Z$12="","",INDEX(計算用!$A$2:$A$721,計算用!$Z$12))</f>
        <v/>
      </c>
      <c r="C15" s="24">
        <f>IF(計算用!$Z$12="","",INDEX(計算用!$B$2:$B$721,計算用!$Z$12))</f>
        <v/>
      </c>
      <c r="D15" s="29">
        <f>IF(計算用!$Z$12="","",INDEX(計算用!$C$2:$C$721,計算用!$Z$12))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IF(計算用!$Z$13="","",12)</f>
        <v/>
      </c>
      <c r="B16" s="24">
        <f>IF(計算用!$Z$13="","",INDEX(計算用!$A$2:$A$721,計算用!$Z$13))</f>
        <v/>
      </c>
      <c r="C16" s="24">
        <f>IF(計算用!$Z$13="","",INDEX(計算用!$B$2:$B$721,計算用!$Z$13))</f>
        <v/>
      </c>
      <c r="D16" s="29">
        <f>IF(計算用!$Z$13="","",INDEX(計算用!$C$2:$C$721,計算用!$Z$13))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IF(計算用!$Z$14="","",13)</f>
        <v/>
      </c>
      <c r="B17" s="24">
        <f>IF(計算用!$Z$14="","",INDEX(計算用!$A$2:$A$721,計算用!$Z$14))</f>
        <v/>
      </c>
      <c r="C17" s="24">
        <f>IF(計算用!$Z$14="","",INDEX(計算用!$B$2:$B$721,計算用!$Z$14))</f>
        <v/>
      </c>
      <c r="D17" s="29">
        <f>IF(計算用!$Z$14="","",INDEX(計算用!$C$2:$C$721,計算用!$Z$14))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IF(計算用!$Z$15="","",14)</f>
        <v/>
      </c>
      <c r="B18" s="24">
        <f>IF(計算用!$Z$15="","",INDEX(計算用!$A$2:$A$721,計算用!$Z$15))</f>
        <v/>
      </c>
      <c r="C18" s="24">
        <f>IF(計算用!$Z$15="","",INDEX(計算用!$B$2:$B$721,計算用!$Z$15))</f>
        <v/>
      </c>
      <c r="D18" s="29">
        <f>IF(計算用!$Z$15="","",INDEX(計算用!$C$2:$C$721,計算用!$Z$15))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IF(計算用!$Z$16="","",15)</f>
        <v/>
      </c>
      <c r="B19" s="24">
        <f>IF(計算用!$Z$16="","",INDEX(計算用!$A$2:$A$721,計算用!$Z$16))</f>
        <v/>
      </c>
      <c r="C19" s="24">
        <f>IF(計算用!$Z$16="","",INDEX(計算用!$B$2:$B$721,計算用!$Z$16))</f>
        <v/>
      </c>
      <c r="D19" s="29">
        <f>IF(計算用!$Z$16="","",INDEX(計算用!$C$2:$C$721,計算用!$Z$16))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IF(計算用!$Z$17="","",16)</f>
        <v/>
      </c>
      <c r="B20" s="24">
        <f>IF(計算用!$Z$17="","",INDEX(計算用!$A$2:$A$721,計算用!$Z$17))</f>
        <v/>
      </c>
      <c r="C20" s="24">
        <f>IF(計算用!$Z$17="","",INDEX(計算用!$B$2:$B$721,計算用!$Z$17))</f>
        <v/>
      </c>
      <c r="D20" s="29">
        <f>IF(計算用!$Z$17="","",INDEX(計算用!$C$2:$C$721,計算用!$Z$17))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IF(計算用!$Z$18="","",17)</f>
        <v/>
      </c>
      <c r="B21" s="24">
        <f>IF(計算用!$Z$18="","",INDEX(計算用!$A$2:$A$721,計算用!$Z$18))</f>
        <v/>
      </c>
      <c r="C21" s="24">
        <f>IF(計算用!$Z$18="","",INDEX(計算用!$B$2:$B$721,計算用!$Z$18))</f>
        <v/>
      </c>
      <c r="D21" s="29">
        <f>IF(計算用!$Z$18="","",INDEX(計算用!$C$2:$C$721,計算用!$Z$18))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IF(計算用!$Z$19="","",18)</f>
        <v/>
      </c>
      <c r="B22" s="24">
        <f>IF(計算用!$Z$19="","",INDEX(計算用!$A$2:$A$721,計算用!$Z$19))</f>
        <v/>
      </c>
      <c r="C22" s="24">
        <f>IF(計算用!$Z$19="","",INDEX(計算用!$B$2:$B$721,計算用!$Z$19))</f>
        <v/>
      </c>
      <c r="D22" s="29">
        <f>IF(計算用!$Z$19="","",INDEX(計算用!$C$2:$C$721,計算用!$Z$19))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IF(計算用!$Z$20="","",19)</f>
        <v/>
      </c>
      <c r="B23" s="24">
        <f>IF(計算用!$Z$20="","",INDEX(計算用!$A$2:$A$721,計算用!$Z$20))</f>
        <v/>
      </c>
      <c r="C23" s="24">
        <f>IF(計算用!$Z$20="","",INDEX(計算用!$B$2:$B$721,計算用!$Z$20))</f>
        <v/>
      </c>
      <c r="D23" s="29">
        <f>IF(計算用!$Z$20="","",INDEX(計算用!$C$2:$C$721,計算用!$Z$20))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IF(計算用!$Z$21="","",20)</f>
        <v/>
      </c>
      <c r="B24" s="24">
        <f>IF(計算用!$Z$21="","",INDEX(計算用!$A$2:$A$721,計算用!$Z$21))</f>
        <v/>
      </c>
      <c r="C24" s="24">
        <f>IF(計算用!$Z$21="","",INDEX(計算用!$B$2:$B$721,計算用!$Z$21))</f>
        <v/>
      </c>
      <c r="D24" s="29">
        <f>IF(計算用!$Z$21="","",INDEX(計算用!$C$2:$C$721,計算用!$Z$21))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IF(計算用!$Z$22="","",21)</f>
        <v/>
      </c>
      <c r="B25" s="24">
        <f>IF(計算用!$Z$22="","",INDEX(計算用!$A$2:$A$721,計算用!$Z$22))</f>
        <v/>
      </c>
      <c r="C25" s="24">
        <f>IF(計算用!$Z$22="","",INDEX(計算用!$B$2:$B$721,計算用!$Z$22))</f>
        <v/>
      </c>
      <c r="D25" s="29">
        <f>IF(計算用!$Z$22="","",INDEX(計算用!$C$2:$C$721,計算用!$Z$22))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IF(計算用!$Z$23="","",22)</f>
        <v/>
      </c>
      <c r="B26" s="24">
        <f>IF(計算用!$Z$23="","",INDEX(計算用!$A$2:$A$721,計算用!$Z$23))</f>
        <v/>
      </c>
      <c r="C26" s="24">
        <f>IF(計算用!$Z$23="","",INDEX(計算用!$B$2:$B$721,計算用!$Z$23))</f>
        <v/>
      </c>
      <c r="D26" s="29">
        <f>IF(計算用!$Z$23="","",INDEX(計算用!$C$2:$C$721,計算用!$Z$23))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IF(計算用!$Z$24="","",23)</f>
        <v/>
      </c>
      <c r="B27" s="24">
        <f>IF(計算用!$Z$24="","",INDEX(計算用!$A$2:$A$721,計算用!$Z$24))</f>
        <v/>
      </c>
      <c r="C27" s="24">
        <f>IF(計算用!$Z$24="","",INDEX(計算用!$B$2:$B$721,計算用!$Z$24))</f>
        <v/>
      </c>
      <c r="D27" s="29">
        <f>IF(計算用!$Z$24="","",INDEX(計算用!$C$2:$C$721,計算用!$Z$24))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IF(計算用!$Z$25="","",24)</f>
        <v/>
      </c>
      <c r="B28" s="24">
        <f>IF(計算用!$Z$25="","",INDEX(計算用!$A$2:$A$721,計算用!$Z$25))</f>
        <v/>
      </c>
      <c r="C28" s="24">
        <f>IF(計算用!$Z$25="","",INDEX(計算用!$B$2:$B$721,計算用!$Z$25))</f>
        <v/>
      </c>
      <c r="D28" s="29">
        <f>IF(計算用!$Z$25="","",INDEX(計算用!$C$2:$C$721,計算用!$Z$25))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IF(計算用!$Z$26="","",25)</f>
        <v/>
      </c>
      <c r="B29" s="24">
        <f>IF(計算用!$Z$26="","",INDEX(計算用!$A$2:$A$721,計算用!$Z$26))</f>
        <v/>
      </c>
      <c r="C29" s="24">
        <f>IF(計算用!$Z$26="","",INDEX(計算用!$B$2:$B$721,計算用!$Z$26))</f>
        <v/>
      </c>
      <c r="D29" s="29">
        <f>IF(計算用!$Z$26="","",INDEX(計算用!$C$2:$C$721,計算用!$Z$26))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IF(計算用!$Z$27="","",26)</f>
        <v/>
      </c>
      <c r="B30" s="24">
        <f>IF(計算用!$Z$27="","",INDEX(計算用!$A$2:$A$721,計算用!$Z$27))</f>
        <v/>
      </c>
      <c r="C30" s="24">
        <f>IF(計算用!$Z$27="","",INDEX(計算用!$B$2:$B$721,計算用!$Z$27))</f>
        <v/>
      </c>
      <c r="D30" s="29">
        <f>IF(計算用!$Z$27="","",INDEX(計算用!$C$2:$C$721,計算用!$Z$27))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IF(計算用!$Z$28="","",27)</f>
        <v/>
      </c>
      <c r="B31" s="24">
        <f>IF(計算用!$Z$28="","",INDEX(計算用!$A$2:$A$721,計算用!$Z$28))</f>
        <v/>
      </c>
      <c r="C31" s="24">
        <f>IF(計算用!$Z$28="","",INDEX(計算用!$B$2:$B$721,計算用!$Z$28))</f>
        <v/>
      </c>
      <c r="D31" s="29">
        <f>IF(計算用!$Z$28="","",INDEX(計算用!$C$2:$C$721,計算用!$Z$28))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IF(計算用!$Z$29="","",28)</f>
        <v/>
      </c>
      <c r="B32" s="24">
        <f>IF(計算用!$Z$29="","",INDEX(計算用!$A$2:$A$721,計算用!$Z$29))</f>
        <v/>
      </c>
      <c r="C32" s="24">
        <f>IF(計算用!$Z$29="","",INDEX(計算用!$B$2:$B$721,計算用!$Z$29))</f>
        <v/>
      </c>
      <c r="D32" s="29">
        <f>IF(計算用!$Z$29="","",INDEX(計算用!$C$2:$C$721,計算用!$Z$29))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IF(計算用!$Z$30="","",29)</f>
        <v/>
      </c>
      <c r="B33" s="24">
        <f>IF(計算用!$Z$30="","",INDEX(計算用!$A$2:$A$721,計算用!$Z$30))</f>
        <v/>
      </c>
      <c r="C33" s="24">
        <f>IF(計算用!$Z$30="","",INDEX(計算用!$B$2:$B$721,計算用!$Z$30))</f>
        <v/>
      </c>
      <c r="D33" s="29">
        <f>IF(計算用!$Z$30="","",INDEX(計算用!$C$2:$C$721,計算用!$Z$30))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IF(計算用!$Z$31="","",30)</f>
        <v/>
      </c>
      <c r="B34" s="24">
        <f>IF(計算用!$Z$31="","",INDEX(計算用!$A$2:$A$721,計算用!$Z$31))</f>
        <v/>
      </c>
      <c r="C34" s="24">
        <f>IF(計算用!$Z$31="","",INDEX(計算用!$B$2:$B$721,計算用!$Z$31))</f>
        <v/>
      </c>
      <c r="D34" s="29">
        <f>IF(計算用!$Z$31="","",INDEX(計算用!$C$2:$C$721,計算用!$Z$31))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IF(計算用!$Z$32="","",31)</f>
        <v/>
      </c>
      <c r="B35" s="24">
        <f>IF(計算用!$Z$32="","",INDEX(計算用!$A$2:$A$721,計算用!$Z$32))</f>
        <v/>
      </c>
      <c r="C35" s="24">
        <f>IF(計算用!$Z$32="","",INDEX(計算用!$B$2:$B$721,計算用!$Z$32))</f>
        <v/>
      </c>
      <c r="D35" s="29">
        <f>IF(計算用!$Z$32="","",INDEX(計算用!$C$2:$C$721,計算用!$Z$32))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IF(計算用!$Z$33="","",32)</f>
        <v/>
      </c>
      <c r="B36" s="24">
        <f>IF(計算用!$Z$33="","",INDEX(計算用!$A$2:$A$721,計算用!$Z$33))</f>
        <v/>
      </c>
      <c r="C36" s="24">
        <f>IF(計算用!$Z$33="","",INDEX(計算用!$B$2:$B$721,計算用!$Z$33))</f>
        <v/>
      </c>
      <c r="D36" s="29">
        <f>IF(計算用!$Z$33="","",INDEX(計算用!$C$2:$C$721,計算用!$Z$33))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IF(計算用!$Z$34="","",33)</f>
        <v/>
      </c>
      <c r="B37" s="24">
        <f>IF(計算用!$Z$34="","",INDEX(計算用!$A$2:$A$721,計算用!$Z$34))</f>
        <v/>
      </c>
      <c r="C37" s="24">
        <f>IF(計算用!$Z$34="","",INDEX(計算用!$B$2:$B$721,計算用!$Z$34))</f>
        <v/>
      </c>
      <c r="D37" s="29">
        <f>IF(計算用!$Z$34="","",INDEX(計算用!$C$2:$C$721,計算用!$Z$34))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IF(計算用!$Z$35="","",34)</f>
        <v/>
      </c>
      <c r="B38" s="24">
        <f>IF(計算用!$Z$35="","",INDEX(計算用!$A$2:$A$721,計算用!$Z$35))</f>
        <v/>
      </c>
      <c r="C38" s="24">
        <f>IF(計算用!$Z$35="","",INDEX(計算用!$B$2:$B$721,計算用!$Z$35))</f>
        <v/>
      </c>
      <c r="D38" s="29">
        <f>IF(計算用!$Z$35="","",INDEX(計算用!$C$2:$C$721,計算用!$Z$35))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IF(計算用!$Z$36="","",35)</f>
        <v/>
      </c>
      <c r="B39" s="24">
        <f>IF(計算用!$Z$36="","",INDEX(計算用!$A$2:$A$721,計算用!$Z$36))</f>
        <v/>
      </c>
      <c r="C39" s="24">
        <f>IF(計算用!$Z$36="","",INDEX(計算用!$B$2:$B$721,計算用!$Z$36))</f>
        <v/>
      </c>
      <c r="D39" s="29">
        <f>IF(計算用!$Z$36="","",INDEX(計算用!$C$2:$C$721,計算用!$Z$36))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IF(計算用!$Z$37="","",36)</f>
        <v/>
      </c>
      <c r="B40" s="24">
        <f>IF(計算用!$Z$37="","",INDEX(計算用!$A$2:$A$721,計算用!$Z$37))</f>
        <v/>
      </c>
      <c r="C40" s="24">
        <f>IF(計算用!$Z$37="","",INDEX(計算用!$B$2:$B$721,計算用!$Z$37))</f>
        <v/>
      </c>
      <c r="D40" s="29">
        <f>IF(計算用!$Z$37="","",INDEX(計算用!$C$2:$C$721,計算用!$Z$37))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IF(計算用!$Z$38="","",37)</f>
        <v/>
      </c>
      <c r="B41" s="24">
        <f>IF(計算用!$Z$38="","",INDEX(計算用!$A$2:$A$721,計算用!$Z$38))</f>
        <v/>
      </c>
      <c r="C41" s="24">
        <f>IF(計算用!$Z$38="","",INDEX(計算用!$B$2:$B$721,計算用!$Z$38))</f>
        <v/>
      </c>
      <c r="D41" s="29">
        <f>IF(計算用!$Z$38="","",INDEX(計算用!$C$2:$C$721,計算用!$Z$38))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IF(計算用!$Z$39="","",38)</f>
        <v/>
      </c>
      <c r="B42" s="24">
        <f>IF(計算用!$Z$39="","",INDEX(計算用!$A$2:$A$721,計算用!$Z$39))</f>
        <v/>
      </c>
      <c r="C42" s="24">
        <f>IF(計算用!$Z$39="","",INDEX(計算用!$B$2:$B$721,計算用!$Z$39))</f>
        <v/>
      </c>
      <c r="D42" s="29">
        <f>IF(計算用!$Z$39="","",INDEX(計算用!$C$2:$C$721,計算用!$Z$39))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IF(計算用!$Z$40="","",39)</f>
        <v/>
      </c>
      <c r="B43" s="24">
        <f>IF(計算用!$Z$40="","",INDEX(計算用!$A$2:$A$721,計算用!$Z$40))</f>
        <v/>
      </c>
      <c r="C43" s="24">
        <f>IF(計算用!$Z$40="","",INDEX(計算用!$B$2:$B$721,計算用!$Z$40))</f>
        <v/>
      </c>
      <c r="D43" s="29">
        <f>IF(計算用!$Z$40="","",INDEX(計算用!$C$2:$C$721,計算用!$Z$40))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IF(計算用!$Z$41="","",40)</f>
        <v/>
      </c>
      <c r="B44" s="24">
        <f>IF(計算用!$Z$41="","",INDEX(計算用!$A$2:$A$721,計算用!$Z$41))</f>
        <v/>
      </c>
      <c r="C44" s="24">
        <f>IF(計算用!$Z$41="","",INDEX(計算用!$B$2:$B$721,計算用!$Z$41))</f>
        <v/>
      </c>
      <c r="D44" s="29">
        <f>IF(計算用!$Z$41="","",INDEX(計算用!$C$2:$C$721,計算用!$Z$41))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IF(計算用!$Z$42="","",41)</f>
        <v/>
      </c>
      <c r="B45" s="24">
        <f>IF(計算用!$Z$42="","",INDEX(計算用!$A$2:$A$721,計算用!$Z$42))</f>
        <v/>
      </c>
      <c r="C45" s="24">
        <f>IF(計算用!$Z$42="","",INDEX(計算用!$B$2:$B$721,計算用!$Z$42))</f>
        <v/>
      </c>
      <c r="D45" s="29">
        <f>IF(計算用!$Z$42="","",INDEX(計算用!$C$2:$C$721,計算用!$Z$42))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IF(計算用!$Z$43="","",42)</f>
        <v/>
      </c>
      <c r="B46" s="24">
        <f>IF(計算用!$Z$43="","",INDEX(計算用!$A$2:$A$721,計算用!$Z$43))</f>
        <v/>
      </c>
      <c r="C46" s="24">
        <f>IF(計算用!$Z$43="","",INDEX(計算用!$B$2:$B$721,計算用!$Z$43))</f>
        <v/>
      </c>
      <c r="D46" s="29">
        <f>IF(計算用!$Z$43="","",INDEX(計算用!$C$2:$C$721,計算用!$Z$43))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IF(計算用!$Z$44="","",43)</f>
        <v/>
      </c>
      <c r="B47" s="24">
        <f>IF(計算用!$Z$44="","",INDEX(計算用!$A$2:$A$721,計算用!$Z$44))</f>
        <v/>
      </c>
      <c r="C47" s="24">
        <f>IF(計算用!$Z$44="","",INDEX(計算用!$B$2:$B$721,計算用!$Z$44))</f>
        <v/>
      </c>
      <c r="D47" s="29">
        <f>IF(計算用!$Z$44="","",INDEX(計算用!$C$2:$C$721,計算用!$Z$44))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IF(計算用!$Z$45="","",44)</f>
        <v/>
      </c>
      <c r="B48" s="24">
        <f>IF(計算用!$Z$45="","",INDEX(計算用!$A$2:$A$721,計算用!$Z$45))</f>
        <v/>
      </c>
      <c r="C48" s="24">
        <f>IF(計算用!$Z$45="","",INDEX(計算用!$B$2:$B$721,計算用!$Z$45))</f>
        <v/>
      </c>
      <c r="D48" s="29">
        <f>IF(計算用!$Z$45="","",INDEX(計算用!$C$2:$C$721,計算用!$Z$45))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IF(計算用!$Z$46="","",45)</f>
        <v/>
      </c>
      <c r="B49" s="24">
        <f>IF(計算用!$Z$46="","",INDEX(計算用!$A$2:$A$721,計算用!$Z$46))</f>
        <v/>
      </c>
      <c r="C49" s="24">
        <f>IF(計算用!$Z$46="","",INDEX(計算用!$B$2:$B$721,計算用!$Z$46))</f>
        <v/>
      </c>
      <c r="D49" s="29">
        <f>IF(計算用!$Z$46="","",INDEX(計算用!$C$2:$C$721,計算用!$Z$46))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IF(計算用!$Z$47="","",46)</f>
        <v/>
      </c>
      <c r="B50" s="24">
        <f>IF(計算用!$Z$47="","",INDEX(計算用!$A$2:$A$721,計算用!$Z$47))</f>
        <v/>
      </c>
      <c r="C50" s="24">
        <f>IF(計算用!$Z$47="","",INDEX(計算用!$B$2:$B$721,計算用!$Z$47))</f>
        <v/>
      </c>
      <c r="D50" s="29">
        <f>IF(計算用!$Z$47="","",INDEX(計算用!$C$2:$C$721,計算用!$Z$47))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IF(計算用!$Z$48="","",47)</f>
        <v/>
      </c>
      <c r="B51" s="24">
        <f>IF(計算用!$Z$48="","",INDEX(計算用!$A$2:$A$721,計算用!$Z$48))</f>
        <v/>
      </c>
      <c r="C51" s="24">
        <f>IF(計算用!$Z$48="","",INDEX(計算用!$B$2:$B$721,計算用!$Z$48))</f>
        <v/>
      </c>
      <c r="D51" s="29">
        <f>IF(計算用!$Z$48="","",INDEX(計算用!$C$2:$C$721,計算用!$Z$48))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IF(計算用!$Z$49="","",48)</f>
        <v/>
      </c>
      <c r="B52" s="24">
        <f>IF(計算用!$Z$49="","",INDEX(計算用!$A$2:$A$721,計算用!$Z$49))</f>
        <v/>
      </c>
      <c r="C52" s="24">
        <f>IF(計算用!$Z$49="","",INDEX(計算用!$B$2:$B$721,計算用!$Z$49))</f>
        <v/>
      </c>
      <c r="D52" s="29">
        <f>IF(計算用!$Z$49="","",INDEX(計算用!$C$2:$C$721,計算用!$Z$49))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IF(計算用!$Z$50="","",49)</f>
        <v/>
      </c>
      <c r="B53" s="24">
        <f>IF(計算用!$Z$50="","",INDEX(計算用!$A$2:$A$721,計算用!$Z$50))</f>
        <v/>
      </c>
      <c r="C53" s="24">
        <f>IF(計算用!$Z$50="","",INDEX(計算用!$B$2:$B$721,計算用!$Z$50))</f>
        <v/>
      </c>
      <c r="D53" s="29">
        <f>IF(計算用!$Z$50="","",INDEX(計算用!$C$2:$C$721,計算用!$Z$50))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IF(計算用!$Z$51="","",50)</f>
        <v/>
      </c>
      <c r="B54" s="24">
        <f>IF(計算用!$Z$51="","",INDEX(計算用!$A$2:$A$721,計算用!$Z$51))</f>
        <v/>
      </c>
      <c r="C54" s="24">
        <f>IF(計算用!$Z$51="","",INDEX(計算用!$B$2:$B$721,計算用!$Z$51))</f>
        <v/>
      </c>
      <c r="D54" s="29">
        <f>IF(計算用!$Z$51="","",INDEX(計算用!$C$2:$C$721,計算用!$Z$51))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IF(設定!$I$25="","",設定!$B$3&amp;"　"&amp;設定!$I$25&amp;設定!$B$4&amp;"名簿")</f>
        <v/>
      </c>
      <c r="Q1" s="22" t="inlineStr">
        <is>
          <t>【入力なし】見る・印刷するだけ</t>
        </is>
      </c>
    </row>
    <row r="2">
      <c r="A2" s="28">
        <f>IF(設定!$I$25="","","担当："&amp;設定!$J$25&amp;"　　活動場所："&amp;設定!$K$25&amp;"　　人数："&amp;人数チェック!$E$21&amp;"名（"&amp;設定!$B$7&amp;"年"&amp;人数チェック!$C$21&amp;"・"&amp;設定!$B$8&amp;"年"&amp;人数チェック!$D$21&amp;"）")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IF(計算用!$AA$2="","",1)</f>
        <v/>
      </c>
      <c r="B5" s="24">
        <f>IF(計算用!$AA$2="","",INDEX(計算用!$A$2:$A$721,計算用!$AA$2))</f>
        <v/>
      </c>
      <c r="C5" s="24">
        <f>IF(計算用!$AA$2="","",INDEX(計算用!$B$2:$B$721,計算用!$AA$2))</f>
        <v/>
      </c>
      <c r="D5" s="29">
        <f>IF(計算用!$AA$2="","",INDEX(計算用!$C$2:$C$721,計算用!$AA$2))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IF(計算用!$AA$3="","",2)</f>
        <v/>
      </c>
      <c r="B6" s="24">
        <f>IF(計算用!$AA$3="","",INDEX(計算用!$A$2:$A$721,計算用!$AA$3))</f>
        <v/>
      </c>
      <c r="C6" s="24">
        <f>IF(計算用!$AA$3="","",INDEX(計算用!$B$2:$B$721,計算用!$AA$3))</f>
        <v/>
      </c>
      <c r="D6" s="29">
        <f>IF(計算用!$AA$3="","",INDEX(計算用!$C$2:$C$721,計算用!$AA$3))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IF(計算用!$AA$4="","",3)</f>
        <v/>
      </c>
      <c r="B7" s="24">
        <f>IF(計算用!$AA$4="","",INDEX(計算用!$A$2:$A$721,計算用!$AA$4))</f>
        <v/>
      </c>
      <c r="C7" s="24">
        <f>IF(計算用!$AA$4="","",INDEX(計算用!$B$2:$B$721,計算用!$AA$4))</f>
        <v/>
      </c>
      <c r="D7" s="29">
        <f>IF(計算用!$AA$4="","",INDEX(計算用!$C$2:$C$721,計算用!$AA$4))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IF(計算用!$AA$5="","",4)</f>
        <v/>
      </c>
      <c r="B8" s="24">
        <f>IF(計算用!$AA$5="","",INDEX(計算用!$A$2:$A$721,計算用!$AA$5))</f>
        <v/>
      </c>
      <c r="C8" s="24">
        <f>IF(計算用!$AA$5="","",INDEX(計算用!$B$2:$B$721,計算用!$AA$5))</f>
        <v/>
      </c>
      <c r="D8" s="29">
        <f>IF(計算用!$AA$5="","",INDEX(計算用!$C$2:$C$721,計算用!$AA$5))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IF(計算用!$AA$6="","",5)</f>
        <v/>
      </c>
      <c r="B9" s="24">
        <f>IF(計算用!$AA$6="","",INDEX(計算用!$A$2:$A$721,計算用!$AA$6))</f>
        <v/>
      </c>
      <c r="C9" s="24">
        <f>IF(計算用!$AA$6="","",INDEX(計算用!$B$2:$B$721,計算用!$AA$6))</f>
        <v/>
      </c>
      <c r="D9" s="29">
        <f>IF(計算用!$AA$6="","",INDEX(計算用!$C$2:$C$721,計算用!$AA$6))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IF(計算用!$AA$7="","",6)</f>
        <v/>
      </c>
      <c r="B10" s="24">
        <f>IF(計算用!$AA$7="","",INDEX(計算用!$A$2:$A$721,計算用!$AA$7))</f>
        <v/>
      </c>
      <c r="C10" s="24">
        <f>IF(計算用!$AA$7="","",INDEX(計算用!$B$2:$B$721,計算用!$AA$7))</f>
        <v/>
      </c>
      <c r="D10" s="29">
        <f>IF(計算用!$AA$7="","",INDEX(計算用!$C$2:$C$721,計算用!$AA$7))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IF(計算用!$AA$8="","",7)</f>
        <v/>
      </c>
      <c r="B11" s="24">
        <f>IF(計算用!$AA$8="","",INDEX(計算用!$A$2:$A$721,計算用!$AA$8))</f>
        <v/>
      </c>
      <c r="C11" s="24">
        <f>IF(計算用!$AA$8="","",INDEX(計算用!$B$2:$B$721,計算用!$AA$8))</f>
        <v/>
      </c>
      <c r="D11" s="29">
        <f>IF(計算用!$AA$8="","",INDEX(計算用!$C$2:$C$721,計算用!$AA$8))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IF(計算用!$AA$9="","",8)</f>
        <v/>
      </c>
      <c r="B12" s="24">
        <f>IF(計算用!$AA$9="","",INDEX(計算用!$A$2:$A$721,計算用!$AA$9))</f>
        <v/>
      </c>
      <c r="C12" s="24">
        <f>IF(計算用!$AA$9="","",INDEX(計算用!$B$2:$B$721,計算用!$AA$9))</f>
        <v/>
      </c>
      <c r="D12" s="29">
        <f>IF(計算用!$AA$9="","",INDEX(計算用!$C$2:$C$721,計算用!$AA$9))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IF(計算用!$AA$10="","",9)</f>
        <v/>
      </c>
      <c r="B13" s="24">
        <f>IF(計算用!$AA$10="","",INDEX(計算用!$A$2:$A$721,計算用!$AA$10))</f>
        <v/>
      </c>
      <c r="C13" s="24">
        <f>IF(計算用!$AA$10="","",INDEX(計算用!$B$2:$B$721,計算用!$AA$10))</f>
        <v/>
      </c>
      <c r="D13" s="29">
        <f>IF(計算用!$AA$10="","",INDEX(計算用!$C$2:$C$721,計算用!$AA$10))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IF(計算用!$AA$11="","",10)</f>
        <v/>
      </c>
      <c r="B14" s="24">
        <f>IF(計算用!$AA$11="","",INDEX(計算用!$A$2:$A$721,計算用!$AA$11))</f>
        <v/>
      </c>
      <c r="C14" s="24">
        <f>IF(計算用!$AA$11="","",INDEX(計算用!$B$2:$B$721,計算用!$AA$11))</f>
        <v/>
      </c>
      <c r="D14" s="29">
        <f>IF(計算用!$AA$11="","",INDEX(計算用!$C$2:$C$721,計算用!$AA$11))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IF(計算用!$AA$12="","",11)</f>
        <v/>
      </c>
      <c r="B15" s="24">
        <f>IF(計算用!$AA$12="","",INDEX(計算用!$A$2:$A$721,計算用!$AA$12))</f>
        <v/>
      </c>
      <c r="C15" s="24">
        <f>IF(計算用!$AA$12="","",INDEX(計算用!$B$2:$B$721,計算用!$AA$12))</f>
        <v/>
      </c>
      <c r="D15" s="29">
        <f>IF(計算用!$AA$12="","",INDEX(計算用!$C$2:$C$721,計算用!$AA$12))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IF(計算用!$AA$13="","",12)</f>
        <v/>
      </c>
      <c r="B16" s="24">
        <f>IF(計算用!$AA$13="","",INDEX(計算用!$A$2:$A$721,計算用!$AA$13))</f>
        <v/>
      </c>
      <c r="C16" s="24">
        <f>IF(計算用!$AA$13="","",INDEX(計算用!$B$2:$B$721,計算用!$AA$13))</f>
        <v/>
      </c>
      <c r="D16" s="29">
        <f>IF(計算用!$AA$13="","",INDEX(計算用!$C$2:$C$721,計算用!$AA$13))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IF(計算用!$AA$14="","",13)</f>
        <v/>
      </c>
      <c r="B17" s="24">
        <f>IF(計算用!$AA$14="","",INDEX(計算用!$A$2:$A$721,計算用!$AA$14))</f>
        <v/>
      </c>
      <c r="C17" s="24">
        <f>IF(計算用!$AA$14="","",INDEX(計算用!$B$2:$B$721,計算用!$AA$14))</f>
        <v/>
      </c>
      <c r="D17" s="29">
        <f>IF(計算用!$AA$14="","",INDEX(計算用!$C$2:$C$721,計算用!$AA$14))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IF(計算用!$AA$15="","",14)</f>
        <v/>
      </c>
      <c r="B18" s="24">
        <f>IF(計算用!$AA$15="","",INDEX(計算用!$A$2:$A$721,計算用!$AA$15))</f>
        <v/>
      </c>
      <c r="C18" s="24">
        <f>IF(計算用!$AA$15="","",INDEX(計算用!$B$2:$B$721,計算用!$AA$15))</f>
        <v/>
      </c>
      <c r="D18" s="29">
        <f>IF(計算用!$AA$15="","",INDEX(計算用!$C$2:$C$721,計算用!$AA$15))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IF(計算用!$AA$16="","",15)</f>
        <v/>
      </c>
      <c r="B19" s="24">
        <f>IF(計算用!$AA$16="","",INDEX(計算用!$A$2:$A$721,計算用!$AA$16))</f>
        <v/>
      </c>
      <c r="C19" s="24">
        <f>IF(計算用!$AA$16="","",INDEX(計算用!$B$2:$B$721,計算用!$AA$16))</f>
        <v/>
      </c>
      <c r="D19" s="29">
        <f>IF(計算用!$AA$16="","",INDEX(計算用!$C$2:$C$721,計算用!$AA$16))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IF(計算用!$AA$17="","",16)</f>
        <v/>
      </c>
      <c r="B20" s="24">
        <f>IF(計算用!$AA$17="","",INDEX(計算用!$A$2:$A$721,計算用!$AA$17))</f>
        <v/>
      </c>
      <c r="C20" s="24">
        <f>IF(計算用!$AA$17="","",INDEX(計算用!$B$2:$B$721,計算用!$AA$17))</f>
        <v/>
      </c>
      <c r="D20" s="29">
        <f>IF(計算用!$AA$17="","",INDEX(計算用!$C$2:$C$721,計算用!$AA$17))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IF(計算用!$AA$18="","",17)</f>
        <v/>
      </c>
      <c r="B21" s="24">
        <f>IF(計算用!$AA$18="","",INDEX(計算用!$A$2:$A$721,計算用!$AA$18))</f>
        <v/>
      </c>
      <c r="C21" s="24">
        <f>IF(計算用!$AA$18="","",INDEX(計算用!$B$2:$B$721,計算用!$AA$18))</f>
        <v/>
      </c>
      <c r="D21" s="29">
        <f>IF(計算用!$AA$18="","",INDEX(計算用!$C$2:$C$721,計算用!$AA$18))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IF(計算用!$AA$19="","",18)</f>
        <v/>
      </c>
      <c r="B22" s="24">
        <f>IF(計算用!$AA$19="","",INDEX(計算用!$A$2:$A$721,計算用!$AA$19))</f>
        <v/>
      </c>
      <c r="C22" s="24">
        <f>IF(計算用!$AA$19="","",INDEX(計算用!$B$2:$B$721,計算用!$AA$19))</f>
        <v/>
      </c>
      <c r="D22" s="29">
        <f>IF(計算用!$AA$19="","",INDEX(計算用!$C$2:$C$721,計算用!$AA$19))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IF(計算用!$AA$20="","",19)</f>
        <v/>
      </c>
      <c r="B23" s="24">
        <f>IF(計算用!$AA$20="","",INDEX(計算用!$A$2:$A$721,計算用!$AA$20))</f>
        <v/>
      </c>
      <c r="C23" s="24">
        <f>IF(計算用!$AA$20="","",INDEX(計算用!$B$2:$B$721,計算用!$AA$20))</f>
        <v/>
      </c>
      <c r="D23" s="29">
        <f>IF(計算用!$AA$20="","",INDEX(計算用!$C$2:$C$721,計算用!$AA$20))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IF(計算用!$AA$21="","",20)</f>
        <v/>
      </c>
      <c r="B24" s="24">
        <f>IF(計算用!$AA$21="","",INDEX(計算用!$A$2:$A$721,計算用!$AA$21))</f>
        <v/>
      </c>
      <c r="C24" s="24">
        <f>IF(計算用!$AA$21="","",INDEX(計算用!$B$2:$B$721,計算用!$AA$21))</f>
        <v/>
      </c>
      <c r="D24" s="29">
        <f>IF(計算用!$AA$21="","",INDEX(計算用!$C$2:$C$721,計算用!$AA$21))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IF(計算用!$AA$22="","",21)</f>
        <v/>
      </c>
      <c r="B25" s="24">
        <f>IF(計算用!$AA$22="","",INDEX(計算用!$A$2:$A$721,計算用!$AA$22))</f>
        <v/>
      </c>
      <c r="C25" s="24">
        <f>IF(計算用!$AA$22="","",INDEX(計算用!$B$2:$B$721,計算用!$AA$22))</f>
        <v/>
      </c>
      <c r="D25" s="29">
        <f>IF(計算用!$AA$22="","",INDEX(計算用!$C$2:$C$721,計算用!$AA$22))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IF(計算用!$AA$23="","",22)</f>
        <v/>
      </c>
      <c r="B26" s="24">
        <f>IF(計算用!$AA$23="","",INDEX(計算用!$A$2:$A$721,計算用!$AA$23))</f>
        <v/>
      </c>
      <c r="C26" s="24">
        <f>IF(計算用!$AA$23="","",INDEX(計算用!$B$2:$B$721,計算用!$AA$23))</f>
        <v/>
      </c>
      <c r="D26" s="29">
        <f>IF(計算用!$AA$23="","",INDEX(計算用!$C$2:$C$721,計算用!$AA$23))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IF(計算用!$AA$24="","",23)</f>
        <v/>
      </c>
      <c r="B27" s="24">
        <f>IF(計算用!$AA$24="","",INDEX(計算用!$A$2:$A$721,計算用!$AA$24))</f>
        <v/>
      </c>
      <c r="C27" s="24">
        <f>IF(計算用!$AA$24="","",INDEX(計算用!$B$2:$B$721,計算用!$AA$24))</f>
        <v/>
      </c>
      <c r="D27" s="29">
        <f>IF(計算用!$AA$24="","",INDEX(計算用!$C$2:$C$721,計算用!$AA$24))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IF(計算用!$AA$25="","",24)</f>
        <v/>
      </c>
      <c r="B28" s="24">
        <f>IF(計算用!$AA$25="","",INDEX(計算用!$A$2:$A$721,計算用!$AA$25))</f>
        <v/>
      </c>
      <c r="C28" s="24">
        <f>IF(計算用!$AA$25="","",INDEX(計算用!$B$2:$B$721,計算用!$AA$25))</f>
        <v/>
      </c>
      <c r="D28" s="29">
        <f>IF(計算用!$AA$25="","",INDEX(計算用!$C$2:$C$721,計算用!$AA$25))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IF(計算用!$AA$26="","",25)</f>
        <v/>
      </c>
      <c r="B29" s="24">
        <f>IF(計算用!$AA$26="","",INDEX(計算用!$A$2:$A$721,計算用!$AA$26))</f>
        <v/>
      </c>
      <c r="C29" s="24">
        <f>IF(計算用!$AA$26="","",INDEX(計算用!$B$2:$B$721,計算用!$AA$26))</f>
        <v/>
      </c>
      <c r="D29" s="29">
        <f>IF(計算用!$AA$26="","",INDEX(計算用!$C$2:$C$721,計算用!$AA$26))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IF(計算用!$AA$27="","",26)</f>
        <v/>
      </c>
      <c r="B30" s="24">
        <f>IF(計算用!$AA$27="","",INDEX(計算用!$A$2:$A$721,計算用!$AA$27))</f>
        <v/>
      </c>
      <c r="C30" s="24">
        <f>IF(計算用!$AA$27="","",INDEX(計算用!$B$2:$B$721,計算用!$AA$27))</f>
        <v/>
      </c>
      <c r="D30" s="29">
        <f>IF(計算用!$AA$27="","",INDEX(計算用!$C$2:$C$721,計算用!$AA$27))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IF(計算用!$AA$28="","",27)</f>
        <v/>
      </c>
      <c r="B31" s="24">
        <f>IF(計算用!$AA$28="","",INDEX(計算用!$A$2:$A$721,計算用!$AA$28))</f>
        <v/>
      </c>
      <c r="C31" s="24">
        <f>IF(計算用!$AA$28="","",INDEX(計算用!$B$2:$B$721,計算用!$AA$28))</f>
        <v/>
      </c>
      <c r="D31" s="29">
        <f>IF(計算用!$AA$28="","",INDEX(計算用!$C$2:$C$721,計算用!$AA$28))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IF(計算用!$AA$29="","",28)</f>
        <v/>
      </c>
      <c r="B32" s="24">
        <f>IF(計算用!$AA$29="","",INDEX(計算用!$A$2:$A$721,計算用!$AA$29))</f>
        <v/>
      </c>
      <c r="C32" s="24">
        <f>IF(計算用!$AA$29="","",INDEX(計算用!$B$2:$B$721,計算用!$AA$29))</f>
        <v/>
      </c>
      <c r="D32" s="29">
        <f>IF(計算用!$AA$29="","",INDEX(計算用!$C$2:$C$721,計算用!$AA$29))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IF(計算用!$AA$30="","",29)</f>
        <v/>
      </c>
      <c r="B33" s="24">
        <f>IF(計算用!$AA$30="","",INDEX(計算用!$A$2:$A$721,計算用!$AA$30))</f>
        <v/>
      </c>
      <c r="C33" s="24">
        <f>IF(計算用!$AA$30="","",INDEX(計算用!$B$2:$B$721,計算用!$AA$30))</f>
        <v/>
      </c>
      <c r="D33" s="29">
        <f>IF(計算用!$AA$30="","",INDEX(計算用!$C$2:$C$721,計算用!$AA$30))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IF(計算用!$AA$31="","",30)</f>
        <v/>
      </c>
      <c r="B34" s="24">
        <f>IF(計算用!$AA$31="","",INDEX(計算用!$A$2:$A$721,計算用!$AA$31))</f>
        <v/>
      </c>
      <c r="C34" s="24">
        <f>IF(計算用!$AA$31="","",INDEX(計算用!$B$2:$B$721,計算用!$AA$31))</f>
        <v/>
      </c>
      <c r="D34" s="29">
        <f>IF(計算用!$AA$31="","",INDEX(計算用!$C$2:$C$721,計算用!$AA$31))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IF(計算用!$AA$32="","",31)</f>
        <v/>
      </c>
      <c r="B35" s="24">
        <f>IF(計算用!$AA$32="","",INDEX(計算用!$A$2:$A$721,計算用!$AA$32))</f>
        <v/>
      </c>
      <c r="C35" s="24">
        <f>IF(計算用!$AA$32="","",INDEX(計算用!$B$2:$B$721,計算用!$AA$32))</f>
        <v/>
      </c>
      <c r="D35" s="29">
        <f>IF(計算用!$AA$32="","",INDEX(計算用!$C$2:$C$721,計算用!$AA$32))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IF(計算用!$AA$33="","",32)</f>
        <v/>
      </c>
      <c r="B36" s="24">
        <f>IF(計算用!$AA$33="","",INDEX(計算用!$A$2:$A$721,計算用!$AA$33))</f>
        <v/>
      </c>
      <c r="C36" s="24">
        <f>IF(計算用!$AA$33="","",INDEX(計算用!$B$2:$B$721,計算用!$AA$33))</f>
        <v/>
      </c>
      <c r="D36" s="29">
        <f>IF(計算用!$AA$33="","",INDEX(計算用!$C$2:$C$721,計算用!$AA$33))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IF(計算用!$AA$34="","",33)</f>
        <v/>
      </c>
      <c r="B37" s="24">
        <f>IF(計算用!$AA$34="","",INDEX(計算用!$A$2:$A$721,計算用!$AA$34))</f>
        <v/>
      </c>
      <c r="C37" s="24">
        <f>IF(計算用!$AA$34="","",INDEX(計算用!$B$2:$B$721,計算用!$AA$34))</f>
        <v/>
      </c>
      <c r="D37" s="29">
        <f>IF(計算用!$AA$34="","",INDEX(計算用!$C$2:$C$721,計算用!$AA$34))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IF(計算用!$AA$35="","",34)</f>
        <v/>
      </c>
      <c r="B38" s="24">
        <f>IF(計算用!$AA$35="","",INDEX(計算用!$A$2:$A$721,計算用!$AA$35))</f>
        <v/>
      </c>
      <c r="C38" s="24">
        <f>IF(計算用!$AA$35="","",INDEX(計算用!$B$2:$B$721,計算用!$AA$35))</f>
        <v/>
      </c>
      <c r="D38" s="29">
        <f>IF(計算用!$AA$35="","",INDEX(計算用!$C$2:$C$721,計算用!$AA$35))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IF(計算用!$AA$36="","",35)</f>
        <v/>
      </c>
      <c r="B39" s="24">
        <f>IF(計算用!$AA$36="","",INDEX(計算用!$A$2:$A$721,計算用!$AA$36))</f>
        <v/>
      </c>
      <c r="C39" s="24">
        <f>IF(計算用!$AA$36="","",INDEX(計算用!$B$2:$B$721,計算用!$AA$36))</f>
        <v/>
      </c>
      <c r="D39" s="29">
        <f>IF(計算用!$AA$36="","",INDEX(計算用!$C$2:$C$721,計算用!$AA$36))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IF(計算用!$AA$37="","",36)</f>
        <v/>
      </c>
      <c r="B40" s="24">
        <f>IF(計算用!$AA$37="","",INDEX(計算用!$A$2:$A$721,計算用!$AA$37))</f>
        <v/>
      </c>
      <c r="C40" s="24">
        <f>IF(計算用!$AA$37="","",INDEX(計算用!$B$2:$B$721,計算用!$AA$37))</f>
        <v/>
      </c>
      <c r="D40" s="29">
        <f>IF(計算用!$AA$37="","",INDEX(計算用!$C$2:$C$721,計算用!$AA$37))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IF(計算用!$AA$38="","",37)</f>
        <v/>
      </c>
      <c r="B41" s="24">
        <f>IF(計算用!$AA$38="","",INDEX(計算用!$A$2:$A$721,計算用!$AA$38))</f>
        <v/>
      </c>
      <c r="C41" s="24">
        <f>IF(計算用!$AA$38="","",INDEX(計算用!$B$2:$B$721,計算用!$AA$38))</f>
        <v/>
      </c>
      <c r="D41" s="29">
        <f>IF(計算用!$AA$38="","",INDEX(計算用!$C$2:$C$721,計算用!$AA$38))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IF(計算用!$AA$39="","",38)</f>
        <v/>
      </c>
      <c r="B42" s="24">
        <f>IF(計算用!$AA$39="","",INDEX(計算用!$A$2:$A$721,計算用!$AA$39))</f>
        <v/>
      </c>
      <c r="C42" s="24">
        <f>IF(計算用!$AA$39="","",INDEX(計算用!$B$2:$B$721,計算用!$AA$39))</f>
        <v/>
      </c>
      <c r="D42" s="29">
        <f>IF(計算用!$AA$39="","",INDEX(計算用!$C$2:$C$721,計算用!$AA$39))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IF(計算用!$AA$40="","",39)</f>
        <v/>
      </c>
      <c r="B43" s="24">
        <f>IF(計算用!$AA$40="","",INDEX(計算用!$A$2:$A$721,計算用!$AA$40))</f>
        <v/>
      </c>
      <c r="C43" s="24">
        <f>IF(計算用!$AA$40="","",INDEX(計算用!$B$2:$B$721,計算用!$AA$40))</f>
        <v/>
      </c>
      <c r="D43" s="29">
        <f>IF(計算用!$AA$40="","",INDEX(計算用!$C$2:$C$721,計算用!$AA$40))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IF(計算用!$AA$41="","",40)</f>
        <v/>
      </c>
      <c r="B44" s="24">
        <f>IF(計算用!$AA$41="","",INDEX(計算用!$A$2:$A$721,計算用!$AA$41))</f>
        <v/>
      </c>
      <c r="C44" s="24">
        <f>IF(計算用!$AA$41="","",INDEX(計算用!$B$2:$B$721,計算用!$AA$41))</f>
        <v/>
      </c>
      <c r="D44" s="29">
        <f>IF(計算用!$AA$41="","",INDEX(計算用!$C$2:$C$721,計算用!$AA$41))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IF(計算用!$AA$42="","",41)</f>
        <v/>
      </c>
      <c r="B45" s="24">
        <f>IF(計算用!$AA$42="","",INDEX(計算用!$A$2:$A$721,計算用!$AA$42))</f>
        <v/>
      </c>
      <c r="C45" s="24">
        <f>IF(計算用!$AA$42="","",INDEX(計算用!$B$2:$B$721,計算用!$AA$42))</f>
        <v/>
      </c>
      <c r="D45" s="29">
        <f>IF(計算用!$AA$42="","",INDEX(計算用!$C$2:$C$721,計算用!$AA$42))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IF(計算用!$AA$43="","",42)</f>
        <v/>
      </c>
      <c r="B46" s="24">
        <f>IF(計算用!$AA$43="","",INDEX(計算用!$A$2:$A$721,計算用!$AA$43))</f>
        <v/>
      </c>
      <c r="C46" s="24">
        <f>IF(計算用!$AA$43="","",INDEX(計算用!$B$2:$B$721,計算用!$AA$43))</f>
        <v/>
      </c>
      <c r="D46" s="29">
        <f>IF(計算用!$AA$43="","",INDEX(計算用!$C$2:$C$721,計算用!$AA$43))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IF(計算用!$AA$44="","",43)</f>
        <v/>
      </c>
      <c r="B47" s="24">
        <f>IF(計算用!$AA$44="","",INDEX(計算用!$A$2:$A$721,計算用!$AA$44))</f>
        <v/>
      </c>
      <c r="C47" s="24">
        <f>IF(計算用!$AA$44="","",INDEX(計算用!$B$2:$B$721,計算用!$AA$44))</f>
        <v/>
      </c>
      <c r="D47" s="29">
        <f>IF(計算用!$AA$44="","",INDEX(計算用!$C$2:$C$721,計算用!$AA$44))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IF(計算用!$AA$45="","",44)</f>
        <v/>
      </c>
      <c r="B48" s="24">
        <f>IF(計算用!$AA$45="","",INDEX(計算用!$A$2:$A$721,計算用!$AA$45))</f>
        <v/>
      </c>
      <c r="C48" s="24">
        <f>IF(計算用!$AA$45="","",INDEX(計算用!$B$2:$B$721,計算用!$AA$45))</f>
        <v/>
      </c>
      <c r="D48" s="29">
        <f>IF(計算用!$AA$45="","",INDEX(計算用!$C$2:$C$721,計算用!$AA$45))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IF(計算用!$AA$46="","",45)</f>
        <v/>
      </c>
      <c r="B49" s="24">
        <f>IF(計算用!$AA$46="","",INDEX(計算用!$A$2:$A$721,計算用!$AA$46))</f>
        <v/>
      </c>
      <c r="C49" s="24">
        <f>IF(計算用!$AA$46="","",INDEX(計算用!$B$2:$B$721,計算用!$AA$46))</f>
        <v/>
      </c>
      <c r="D49" s="29">
        <f>IF(計算用!$AA$46="","",INDEX(計算用!$C$2:$C$721,計算用!$AA$46))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IF(計算用!$AA$47="","",46)</f>
        <v/>
      </c>
      <c r="B50" s="24">
        <f>IF(計算用!$AA$47="","",INDEX(計算用!$A$2:$A$721,計算用!$AA$47))</f>
        <v/>
      </c>
      <c r="C50" s="24">
        <f>IF(計算用!$AA$47="","",INDEX(計算用!$B$2:$B$721,計算用!$AA$47))</f>
        <v/>
      </c>
      <c r="D50" s="29">
        <f>IF(計算用!$AA$47="","",INDEX(計算用!$C$2:$C$721,計算用!$AA$47))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IF(計算用!$AA$48="","",47)</f>
        <v/>
      </c>
      <c r="B51" s="24">
        <f>IF(計算用!$AA$48="","",INDEX(計算用!$A$2:$A$721,計算用!$AA$48))</f>
        <v/>
      </c>
      <c r="C51" s="24">
        <f>IF(計算用!$AA$48="","",INDEX(計算用!$B$2:$B$721,計算用!$AA$48))</f>
        <v/>
      </c>
      <c r="D51" s="29">
        <f>IF(計算用!$AA$48="","",INDEX(計算用!$C$2:$C$721,計算用!$AA$48))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IF(計算用!$AA$49="","",48)</f>
        <v/>
      </c>
      <c r="B52" s="24">
        <f>IF(計算用!$AA$49="","",INDEX(計算用!$A$2:$A$721,計算用!$AA$49))</f>
        <v/>
      </c>
      <c r="C52" s="24">
        <f>IF(計算用!$AA$49="","",INDEX(計算用!$B$2:$B$721,計算用!$AA$49))</f>
        <v/>
      </c>
      <c r="D52" s="29">
        <f>IF(計算用!$AA$49="","",INDEX(計算用!$C$2:$C$721,計算用!$AA$49))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IF(計算用!$AA$50="","",49)</f>
        <v/>
      </c>
      <c r="B53" s="24">
        <f>IF(計算用!$AA$50="","",INDEX(計算用!$A$2:$A$721,計算用!$AA$50))</f>
        <v/>
      </c>
      <c r="C53" s="24">
        <f>IF(計算用!$AA$50="","",INDEX(計算用!$B$2:$B$721,計算用!$AA$50))</f>
        <v/>
      </c>
      <c r="D53" s="29">
        <f>IF(計算用!$AA$50="","",INDEX(計算用!$C$2:$C$721,計算用!$AA$50))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IF(計算用!$AA$51="","",50)</f>
        <v/>
      </c>
      <c r="B54" s="24">
        <f>IF(計算用!$AA$51="","",INDEX(計算用!$A$2:$A$721,計算用!$AA$51))</f>
        <v/>
      </c>
      <c r="C54" s="24">
        <f>IF(計算用!$AA$51="","",INDEX(計算用!$B$2:$B$721,計算用!$AA$51))</f>
        <v/>
      </c>
      <c r="D54" s="29">
        <f>IF(計算用!$AA$51="","",INDEX(計算用!$C$2:$C$721,計算用!$AA$51))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IF(設定!$I$26="","",設定!$B$3&amp;"　"&amp;設定!$I$26&amp;設定!$B$4&amp;"名簿")</f>
        <v/>
      </c>
      <c r="Q1" s="22" t="inlineStr">
        <is>
          <t>【入力なし】見る・印刷するだけ</t>
        </is>
      </c>
    </row>
    <row r="2">
      <c r="A2" s="28">
        <f>IF(設定!$I$26="","","担当："&amp;設定!$J$26&amp;"　　活動場所："&amp;設定!$K$26&amp;"　　人数："&amp;人数チェック!$E$22&amp;"名（"&amp;設定!$B$7&amp;"年"&amp;人数チェック!$C$22&amp;"・"&amp;設定!$B$8&amp;"年"&amp;人数チェック!$D$22&amp;"）")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IF(計算用!$AB$2="","",1)</f>
        <v/>
      </c>
      <c r="B5" s="24">
        <f>IF(計算用!$AB$2="","",INDEX(計算用!$A$2:$A$721,計算用!$AB$2))</f>
        <v/>
      </c>
      <c r="C5" s="24">
        <f>IF(計算用!$AB$2="","",INDEX(計算用!$B$2:$B$721,計算用!$AB$2))</f>
        <v/>
      </c>
      <c r="D5" s="29">
        <f>IF(計算用!$AB$2="","",INDEX(計算用!$C$2:$C$721,計算用!$AB$2))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IF(計算用!$AB$3="","",2)</f>
        <v/>
      </c>
      <c r="B6" s="24">
        <f>IF(計算用!$AB$3="","",INDEX(計算用!$A$2:$A$721,計算用!$AB$3))</f>
        <v/>
      </c>
      <c r="C6" s="24">
        <f>IF(計算用!$AB$3="","",INDEX(計算用!$B$2:$B$721,計算用!$AB$3))</f>
        <v/>
      </c>
      <c r="D6" s="29">
        <f>IF(計算用!$AB$3="","",INDEX(計算用!$C$2:$C$721,計算用!$AB$3))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IF(計算用!$AB$4="","",3)</f>
        <v/>
      </c>
      <c r="B7" s="24">
        <f>IF(計算用!$AB$4="","",INDEX(計算用!$A$2:$A$721,計算用!$AB$4))</f>
        <v/>
      </c>
      <c r="C7" s="24">
        <f>IF(計算用!$AB$4="","",INDEX(計算用!$B$2:$B$721,計算用!$AB$4))</f>
        <v/>
      </c>
      <c r="D7" s="29">
        <f>IF(計算用!$AB$4="","",INDEX(計算用!$C$2:$C$721,計算用!$AB$4))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IF(計算用!$AB$5="","",4)</f>
        <v/>
      </c>
      <c r="B8" s="24">
        <f>IF(計算用!$AB$5="","",INDEX(計算用!$A$2:$A$721,計算用!$AB$5))</f>
        <v/>
      </c>
      <c r="C8" s="24">
        <f>IF(計算用!$AB$5="","",INDEX(計算用!$B$2:$B$721,計算用!$AB$5))</f>
        <v/>
      </c>
      <c r="D8" s="29">
        <f>IF(計算用!$AB$5="","",INDEX(計算用!$C$2:$C$721,計算用!$AB$5))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IF(計算用!$AB$6="","",5)</f>
        <v/>
      </c>
      <c r="B9" s="24">
        <f>IF(計算用!$AB$6="","",INDEX(計算用!$A$2:$A$721,計算用!$AB$6))</f>
        <v/>
      </c>
      <c r="C9" s="24">
        <f>IF(計算用!$AB$6="","",INDEX(計算用!$B$2:$B$721,計算用!$AB$6))</f>
        <v/>
      </c>
      <c r="D9" s="29">
        <f>IF(計算用!$AB$6="","",INDEX(計算用!$C$2:$C$721,計算用!$AB$6))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IF(計算用!$AB$7="","",6)</f>
        <v/>
      </c>
      <c r="B10" s="24">
        <f>IF(計算用!$AB$7="","",INDEX(計算用!$A$2:$A$721,計算用!$AB$7))</f>
        <v/>
      </c>
      <c r="C10" s="24">
        <f>IF(計算用!$AB$7="","",INDEX(計算用!$B$2:$B$721,計算用!$AB$7))</f>
        <v/>
      </c>
      <c r="D10" s="29">
        <f>IF(計算用!$AB$7="","",INDEX(計算用!$C$2:$C$721,計算用!$AB$7))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IF(計算用!$AB$8="","",7)</f>
        <v/>
      </c>
      <c r="B11" s="24">
        <f>IF(計算用!$AB$8="","",INDEX(計算用!$A$2:$A$721,計算用!$AB$8))</f>
        <v/>
      </c>
      <c r="C11" s="24">
        <f>IF(計算用!$AB$8="","",INDEX(計算用!$B$2:$B$721,計算用!$AB$8))</f>
        <v/>
      </c>
      <c r="D11" s="29">
        <f>IF(計算用!$AB$8="","",INDEX(計算用!$C$2:$C$721,計算用!$AB$8))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IF(計算用!$AB$9="","",8)</f>
        <v/>
      </c>
      <c r="B12" s="24">
        <f>IF(計算用!$AB$9="","",INDEX(計算用!$A$2:$A$721,計算用!$AB$9))</f>
        <v/>
      </c>
      <c r="C12" s="24">
        <f>IF(計算用!$AB$9="","",INDEX(計算用!$B$2:$B$721,計算用!$AB$9))</f>
        <v/>
      </c>
      <c r="D12" s="29">
        <f>IF(計算用!$AB$9="","",INDEX(計算用!$C$2:$C$721,計算用!$AB$9))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IF(計算用!$AB$10="","",9)</f>
        <v/>
      </c>
      <c r="B13" s="24">
        <f>IF(計算用!$AB$10="","",INDEX(計算用!$A$2:$A$721,計算用!$AB$10))</f>
        <v/>
      </c>
      <c r="C13" s="24">
        <f>IF(計算用!$AB$10="","",INDEX(計算用!$B$2:$B$721,計算用!$AB$10))</f>
        <v/>
      </c>
      <c r="D13" s="29">
        <f>IF(計算用!$AB$10="","",INDEX(計算用!$C$2:$C$721,計算用!$AB$10))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IF(計算用!$AB$11="","",10)</f>
        <v/>
      </c>
      <c r="B14" s="24">
        <f>IF(計算用!$AB$11="","",INDEX(計算用!$A$2:$A$721,計算用!$AB$11))</f>
        <v/>
      </c>
      <c r="C14" s="24">
        <f>IF(計算用!$AB$11="","",INDEX(計算用!$B$2:$B$721,計算用!$AB$11))</f>
        <v/>
      </c>
      <c r="D14" s="29">
        <f>IF(計算用!$AB$11="","",INDEX(計算用!$C$2:$C$721,計算用!$AB$11))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IF(計算用!$AB$12="","",11)</f>
        <v/>
      </c>
      <c r="B15" s="24">
        <f>IF(計算用!$AB$12="","",INDEX(計算用!$A$2:$A$721,計算用!$AB$12))</f>
        <v/>
      </c>
      <c r="C15" s="24">
        <f>IF(計算用!$AB$12="","",INDEX(計算用!$B$2:$B$721,計算用!$AB$12))</f>
        <v/>
      </c>
      <c r="D15" s="29">
        <f>IF(計算用!$AB$12="","",INDEX(計算用!$C$2:$C$721,計算用!$AB$12))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IF(計算用!$AB$13="","",12)</f>
        <v/>
      </c>
      <c r="B16" s="24">
        <f>IF(計算用!$AB$13="","",INDEX(計算用!$A$2:$A$721,計算用!$AB$13))</f>
        <v/>
      </c>
      <c r="C16" s="24">
        <f>IF(計算用!$AB$13="","",INDEX(計算用!$B$2:$B$721,計算用!$AB$13))</f>
        <v/>
      </c>
      <c r="D16" s="29">
        <f>IF(計算用!$AB$13="","",INDEX(計算用!$C$2:$C$721,計算用!$AB$13))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IF(計算用!$AB$14="","",13)</f>
        <v/>
      </c>
      <c r="B17" s="24">
        <f>IF(計算用!$AB$14="","",INDEX(計算用!$A$2:$A$721,計算用!$AB$14))</f>
        <v/>
      </c>
      <c r="C17" s="24">
        <f>IF(計算用!$AB$14="","",INDEX(計算用!$B$2:$B$721,計算用!$AB$14))</f>
        <v/>
      </c>
      <c r="D17" s="29">
        <f>IF(計算用!$AB$14="","",INDEX(計算用!$C$2:$C$721,計算用!$AB$14))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IF(計算用!$AB$15="","",14)</f>
        <v/>
      </c>
      <c r="B18" s="24">
        <f>IF(計算用!$AB$15="","",INDEX(計算用!$A$2:$A$721,計算用!$AB$15))</f>
        <v/>
      </c>
      <c r="C18" s="24">
        <f>IF(計算用!$AB$15="","",INDEX(計算用!$B$2:$B$721,計算用!$AB$15))</f>
        <v/>
      </c>
      <c r="D18" s="29">
        <f>IF(計算用!$AB$15="","",INDEX(計算用!$C$2:$C$721,計算用!$AB$15))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IF(計算用!$AB$16="","",15)</f>
        <v/>
      </c>
      <c r="B19" s="24">
        <f>IF(計算用!$AB$16="","",INDEX(計算用!$A$2:$A$721,計算用!$AB$16))</f>
        <v/>
      </c>
      <c r="C19" s="24">
        <f>IF(計算用!$AB$16="","",INDEX(計算用!$B$2:$B$721,計算用!$AB$16))</f>
        <v/>
      </c>
      <c r="D19" s="29">
        <f>IF(計算用!$AB$16="","",INDEX(計算用!$C$2:$C$721,計算用!$AB$16))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IF(計算用!$AB$17="","",16)</f>
        <v/>
      </c>
      <c r="B20" s="24">
        <f>IF(計算用!$AB$17="","",INDEX(計算用!$A$2:$A$721,計算用!$AB$17))</f>
        <v/>
      </c>
      <c r="C20" s="24">
        <f>IF(計算用!$AB$17="","",INDEX(計算用!$B$2:$B$721,計算用!$AB$17))</f>
        <v/>
      </c>
      <c r="D20" s="29">
        <f>IF(計算用!$AB$17="","",INDEX(計算用!$C$2:$C$721,計算用!$AB$17))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IF(計算用!$AB$18="","",17)</f>
        <v/>
      </c>
      <c r="B21" s="24">
        <f>IF(計算用!$AB$18="","",INDEX(計算用!$A$2:$A$721,計算用!$AB$18))</f>
        <v/>
      </c>
      <c r="C21" s="24">
        <f>IF(計算用!$AB$18="","",INDEX(計算用!$B$2:$B$721,計算用!$AB$18))</f>
        <v/>
      </c>
      <c r="D21" s="29">
        <f>IF(計算用!$AB$18="","",INDEX(計算用!$C$2:$C$721,計算用!$AB$18))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IF(計算用!$AB$19="","",18)</f>
        <v/>
      </c>
      <c r="B22" s="24">
        <f>IF(計算用!$AB$19="","",INDEX(計算用!$A$2:$A$721,計算用!$AB$19))</f>
        <v/>
      </c>
      <c r="C22" s="24">
        <f>IF(計算用!$AB$19="","",INDEX(計算用!$B$2:$B$721,計算用!$AB$19))</f>
        <v/>
      </c>
      <c r="D22" s="29">
        <f>IF(計算用!$AB$19="","",INDEX(計算用!$C$2:$C$721,計算用!$AB$19))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IF(計算用!$AB$20="","",19)</f>
        <v/>
      </c>
      <c r="B23" s="24">
        <f>IF(計算用!$AB$20="","",INDEX(計算用!$A$2:$A$721,計算用!$AB$20))</f>
        <v/>
      </c>
      <c r="C23" s="24">
        <f>IF(計算用!$AB$20="","",INDEX(計算用!$B$2:$B$721,計算用!$AB$20))</f>
        <v/>
      </c>
      <c r="D23" s="29">
        <f>IF(計算用!$AB$20="","",INDEX(計算用!$C$2:$C$721,計算用!$AB$20))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IF(計算用!$AB$21="","",20)</f>
        <v/>
      </c>
      <c r="B24" s="24">
        <f>IF(計算用!$AB$21="","",INDEX(計算用!$A$2:$A$721,計算用!$AB$21))</f>
        <v/>
      </c>
      <c r="C24" s="24">
        <f>IF(計算用!$AB$21="","",INDEX(計算用!$B$2:$B$721,計算用!$AB$21))</f>
        <v/>
      </c>
      <c r="D24" s="29">
        <f>IF(計算用!$AB$21="","",INDEX(計算用!$C$2:$C$721,計算用!$AB$21))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IF(計算用!$AB$22="","",21)</f>
        <v/>
      </c>
      <c r="B25" s="24">
        <f>IF(計算用!$AB$22="","",INDEX(計算用!$A$2:$A$721,計算用!$AB$22))</f>
        <v/>
      </c>
      <c r="C25" s="24">
        <f>IF(計算用!$AB$22="","",INDEX(計算用!$B$2:$B$721,計算用!$AB$22))</f>
        <v/>
      </c>
      <c r="D25" s="29">
        <f>IF(計算用!$AB$22="","",INDEX(計算用!$C$2:$C$721,計算用!$AB$22))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IF(計算用!$AB$23="","",22)</f>
        <v/>
      </c>
      <c r="B26" s="24">
        <f>IF(計算用!$AB$23="","",INDEX(計算用!$A$2:$A$721,計算用!$AB$23))</f>
        <v/>
      </c>
      <c r="C26" s="24">
        <f>IF(計算用!$AB$23="","",INDEX(計算用!$B$2:$B$721,計算用!$AB$23))</f>
        <v/>
      </c>
      <c r="D26" s="29">
        <f>IF(計算用!$AB$23="","",INDEX(計算用!$C$2:$C$721,計算用!$AB$23))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IF(計算用!$AB$24="","",23)</f>
        <v/>
      </c>
      <c r="B27" s="24">
        <f>IF(計算用!$AB$24="","",INDEX(計算用!$A$2:$A$721,計算用!$AB$24))</f>
        <v/>
      </c>
      <c r="C27" s="24">
        <f>IF(計算用!$AB$24="","",INDEX(計算用!$B$2:$B$721,計算用!$AB$24))</f>
        <v/>
      </c>
      <c r="D27" s="29">
        <f>IF(計算用!$AB$24="","",INDEX(計算用!$C$2:$C$721,計算用!$AB$24))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IF(計算用!$AB$25="","",24)</f>
        <v/>
      </c>
      <c r="B28" s="24">
        <f>IF(計算用!$AB$25="","",INDEX(計算用!$A$2:$A$721,計算用!$AB$25))</f>
        <v/>
      </c>
      <c r="C28" s="24">
        <f>IF(計算用!$AB$25="","",INDEX(計算用!$B$2:$B$721,計算用!$AB$25))</f>
        <v/>
      </c>
      <c r="D28" s="29">
        <f>IF(計算用!$AB$25="","",INDEX(計算用!$C$2:$C$721,計算用!$AB$25))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IF(計算用!$AB$26="","",25)</f>
        <v/>
      </c>
      <c r="B29" s="24">
        <f>IF(計算用!$AB$26="","",INDEX(計算用!$A$2:$A$721,計算用!$AB$26))</f>
        <v/>
      </c>
      <c r="C29" s="24">
        <f>IF(計算用!$AB$26="","",INDEX(計算用!$B$2:$B$721,計算用!$AB$26))</f>
        <v/>
      </c>
      <c r="D29" s="29">
        <f>IF(計算用!$AB$26="","",INDEX(計算用!$C$2:$C$721,計算用!$AB$26))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IF(計算用!$AB$27="","",26)</f>
        <v/>
      </c>
      <c r="B30" s="24">
        <f>IF(計算用!$AB$27="","",INDEX(計算用!$A$2:$A$721,計算用!$AB$27))</f>
        <v/>
      </c>
      <c r="C30" s="24">
        <f>IF(計算用!$AB$27="","",INDEX(計算用!$B$2:$B$721,計算用!$AB$27))</f>
        <v/>
      </c>
      <c r="D30" s="29">
        <f>IF(計算用!$AB$27="","",INDEX(計算用!$C$2:$C$721,計算用!$AB$27))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IF(計算用!$AB$28="","",27)</f>
        <v/>
      </c>
      <c r="B31" s="24">
        <f>IF(計算用!$AB$28="","",INDEX(計算用!$A$2:$A$721,計算用!$AB$28))</f>
        <v/>
      </c>
      <c r="C31" s="24">
        <f>IF(計算用!$AB$28="","",INDEX(計算用!$B$2:$B$721,計算用!$AB$28))</f>
        <v/>
      </c>
      <c r="D31" s="29">
        <f>IF(計算用!$AB$28="","",INDEX(計算用!$C$2:$C$721,計算用!$AB$28))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IF(計算用!$AB$29="","",28)</f>
        <v/>
      </c>
      <c r="B32" s="24">
        <f>IF(計算用!$AB$29="","",INDEX(計算用!$A$2:$A$721,計算用!$AB$29))</f>
        <v/>
      </c>
      <c r="C32" s="24">
        <f>IF(計算用!$AB$29="","",INDEX(計算用!$B$2:$B$721,計算用!$AB$29))</f>
        <v/>
      </c>
      <c r="D32" s="29">
        <f>IF(計算用!$AB$29="","",INDEX(計算用!$C$2:$C$721,計算用!$AB$29))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IF(計算用!$AB$30="","",29)</f>
        <v/>
      </c>
      <c r="B33" s="24">
        <f>IF(計算用!$AB$30="","",INDEX(計算用!$A$2:$A$721,計算用!$AB$30))</f>
        <v/>
      </c>
      <c r="C33" s="24">
        <f>IF(計算用!$AB$30="","",INDEX(計算用!$B$2:$B$721,計算用!$AB$30))</f>
        <v/>
      </c>
      <c r="D33" s="29">
        <f>IF(計算用!$AB$30="","",INDEX(計算用!$C$2:$C$721,計算用!$AB$30))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IF(計算用!$AB$31="","",30)</f>
        <v/>
      </c>
      <c r="B34" s="24">
        <f>IF(計算用!$AB$31="","",INDEX(計算用!$A$2:$A$721,計算用!$AB$31))</f>
        <v/>
      </c>
      <c r="C34" s="24">
        <f>IF(計算用!$AB$31="","",INDEX(計算用!$B$2:$B$721,計算用!$AB$31))</f>
        <v/>
      </c>
      <c r="D34" s="29">
        <f>IF(計算用!$AB$31="","",INDEX(計算用!$C$2:$C$721,計算用!$AB$31))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IF(計算用!$AB$32="","",31)</f>
        <v/>
      </c>
      <c r="B35" s="24">
        <f>IF(計算用!$AB$32="","",INDEX(計算用!$A$2:$A$721,計算用!$AB$32))</f>
        <v/>
      </c>
      <c r="C35" s="24">
        <f>IF(計算用!$AB$32="","",INDEX(計算用!$B$2:$B$721,計算用!$AB$32))</f>
        <v/>
      </c>
      <c r="D35" s="29">
        <f>IF(計算用!$AB$32="","",INDEX(計算用!$C$2:$C$721,計算用!$AB$32))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IF(計算用!$AB$33="","",32)</f>
        <v/>
      </c>
      <c r="B36" s="24">
        <f>IF(計算用!$AB$33="","",INDEX(計算用!$A$2:$A$721,計算用!$AB$33))</f>
        <v/>
      </c>
      <c r="C36" s="24">
        <f>IF(計算用!$AB$33="","",INDEX(計算用!$B$2:$B$721,計算用!$AB$33))</f>
        <v/>
      </c>
      <c r="D36" s="29">
        <f>IF(計算用!$AB$33="","",INDEX(計算用!$C$2:$C$721,計算用!$AB$33))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IF(計算用!$AB$34="","",33)</f>
        <v/>
      </c>
      <c r="B37" s="24">
        <f>IF(計算用!$AB$34="","",INDEX(計算用!$A$2:$A$721,計算用!$AB$34))</f>
        <v/>
      </c>
      <c r="C37" s="24">
        <f>IF(計算用!$AB$34="","",INDEX(計算用!$B$2:$B$721,計算用!$AB$34))</f>
        <v/>
      </c>
      <c r="D37" s="29">
        <f>IF(計算用!$AB$34="","",INDEX(計算用!$C$2:$C$721,計算用!$AB$34))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IF(計算用!$AB$35="","",34)</f>
        <v/>
      </c>
      <c r="B38" s="24">
        <f>IF(計算用!$AB$35="","",INDEX(計算用!$A$2:$A$721,計算用!$AB$35))</f>
        <v/>
      </c>
      <c r="C38" s="24">
        <f>IF(計算用!$AB$35="","",INDEX(計算用!$B$2:$B$721,計算用!$AB$35))</f>
        <v/>
      </c>
      <c r="D38" s="29">
        <f>IF(計算用!$AB$35="","",INDEX(計算用!$C$2:$C$721,計算用!$AB$35))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IF(計算用!$AB$36="","",35)</f>
        <v/>
      </c>
      <c r="B39" s="24">
        <f>IF(計算用!$AB$36="","",INDEX(計算用!$A$2:$A$721,計算用!$AB$36))</f>
        <v/>
      </c>
      <c r="C39" s="24">
        <f>IF(計算用!$AB$36="","",INDEX(計算用!$B$2:$B$721,計算用!$AB$36))</f>
        <v/>
      </c>
      <c r="D39" s="29">
        <f>IF(計算用!$AB$36="","",INDEX(計算用!$C$2:$C$721,計算用!$AB$36))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IF(計算用!$AB$37="","",36)</f>
        <v/>
      </c>
      <c r="B40" s="24">
        <f>IF(計算用!$AB$37="","",INDEX(計算用!$A$2:$A$721,計算用!$AB$37))</f>
        <v/>
      </c>
      <c r="C40" s="24">
        <f>IF(計算用!$AB$37="","",INDEX(計算用!$B$2:$B$721,計算用!$AB$37))</f>
        <v/>
      </c>
      <c r="D40" s="29">
        <f>IF(計算用!$AB$37="","",INDEX(計算用!$C$2:$C$721,計算用!$AB$37))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IF(計算用!$AB$38="","",37)</f>
        <v/>
      </c>
      <c r="B41" s="24">
        <f>IF(計算用!$AB$38="","",INDEX(計算用!$A$2:$A$721,計算用!$AB$38))</f>
        <v/>
      </c>
      <c r="C41" s="24">
        <f>IF(計算用!$AB$38="","",INDEX(計算用!$B$2:$B$721,計算用!$AB$38))</f>
        <v/>
      </c>
      <c r="D41" s="29">
        <f>IF(計算用!$AB$38="","",INDEX(計算用!$C$2:$C$721,計算用!$AB$38))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IF(計算用!$AB$39="","",38)</f>
        <v/>
      </c>
      <c r="B42" s="24">
        <f>IF(計算用!$AB$39="","",INDEX(計算用!$A$2:$A$721,計算用!$AB$39))</f>
        <v/>
      </c>
      <c r="C42" s="24">
        <f>IF(計算用!$AB$39="","",INDEX(計算用!$B$2:$B$721,計算用!$AB$39))</f>
        <v/>
      </c>
      <c r="D42" s="29">
        <f>IF(計算用!$AB$39="","",INDEX(計算用!$C$2:$C$721,計算用!$AB$39))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IF(計算用!$AB$40="","",39)</f>
        <v/>
      </c>
      <c r="B43" s="24">
        <f>IF(計算用!$AB$40="","",INDEX(計算用!$A$2:$A$721,計算用!$AB$40))</f>
        <v/>
      </c>
      <c r="C43" s="24">
        <f>IF(計算用!$AB$40="","",INDEX(計算用!$B$2:$B$721,計算用!$AB$40))</f>
        <v/>
      </c>
      <c r="D43" s="29">
        <f>IF(計算用!$AB$40="","",INDEX(計算用!$C$2:$C$721,計算用!$AB$40))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IF(計算用!$AB$41="","",40)</f>
        <v/>
      </c>
      <c r="B44" s="24">
        <f>IF(計算用!$AB$41="","",INDEX(計算用!$A$2:$A$721,計算用!$AB$41))</f>
        <v/>
      </c>
      <c r="C44" s="24">
        <f>IF(計算用!$AB$41="","",INDEX(計算用!$B$2:$B$721,計算用!$AB$41))</f>
        <v/>
      </c>
      <c r="D44" s="29">
        <f>IF(計算用!$AB$41="","",INDEX(計算用!$C$2:$C$721,計算用!$AB$41))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IF(計算用!$AB$42="","",41)</f>
        <v/>
      </c>
      <c r="B45" s="24">
        <f>IF(計算用!$AB$42="","",INDEX(計算用!$A$2:$A$721,計算用!$AB$42))</f>
        <v/>
      </c>
      <c r="C45" s="24">
        <f>IF(計算用!$AB$42="","",INDEX(計算用!$B$2:$B$721,計算用!$AB$42))</f>
        <v/>
      </c>
      <c r="D45" s="29">
        <f>IF(計算用!$AB$42="","",INDEX(計算用!$C$2:$C$721,計算用!$AB$42))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IF(計算用!$AB$43="","",42)</f>
        <v/>
      </c>
      <c r="B46" s="24">
        <f>IF(計算用!$AB$43="","",INDEX(計算用!$A$2:$A$721,計算用!$AB$43))</f>
        <v/>
      </c>
      <c r="C46" s="24">
        <f>IF(計算用!$AB$43="","",INDEX(計算用!$B$2:$B$721,計算用!$AB$43))</f>
        <v/>
      </c>
      <c r="D46" s="29">
        <f>IF(計算用!$AB$43="","",INDEX(計算用!$C$2:$C$721,計算用!$AB$43))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IF(計算用!$AB$44="","",43)</f>
        <v/>
      </c>
      <c r="B47" s="24">
        <f>IF(計算用!$AB$44="","",INDEX(計算用!$A$2:$A$721,計算用!$AB$44))</f>
        <v/>
      </c>
      <c r="C47" s="24">
        <f>IF(計算用!$AB$44="","",INDEX(計算用!$B$2:$B$721,計算用!$AB$44))</f>
        <v/>
      </c>
      <c r="D47" s="29">
        <f>IF(計算用!$AB$44="","",INDEX(計算用!$C$2:$C$721,計算用!$AB$44))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IF(計算用!$AB$45="","",44)</f>
        <v/>
      </c>
      <c r="B48" s="24">
        <f>IF(計算用!$AB$45="","",INDEX(計算用!$A$2:$A$721,計算用!$AB$45))</f>
        <v/>
      </c>
      <c r="C48" s="24">
        <f>IF(計算用!$AB$45="","",INDEX(計算用!$B$2:$B$721,計算用!$AB$45))</f>
        <v/>
      </c>
      <c r="D48" s="29">
        <f>IF(計算用!$AB$45="","",INDEX(計算用!$C$2:$C$721,計算用!$AB$45))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IF(計算用!$AB$46="","",45)</f>
        <v/>
      </c>
      <c r="B49" s="24">
        <f>IF(計算用!$AB$46="","",INDEX(計算用!$A$2:$A$721,計算用!$AB$46))</f>
        <v/>
      </c>
      <c r="C49" s="24">
        <f>IF(計算用!$AB$46="","",INDEX(計算用!$B$2:$B$721,計算用!$AB$46))</f>
        <v/>
      </c>
      <c r="D49" s="29">
        <f>IF(計算用!$AB$46="","",INDEX(計算用!$C$2:$C$721,計算用!$AB$46))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IF(計算用!$AB$47="","",46)</f>
        <v/>
      </c>
      <c r="B50" s="24">
        <f>IF(計算用!$AB$47="","",INDEX(計算用!$A$2:$A$721,計算用!$AB$47))</f>
        <v/>
      </c>
      <c r="C50" s="24">
        <f>IF(計算用!$AB$47="","",INDEX(計算用!$B$2:$B$721,計算用!$AB$47))</f>
        <v/>
      </c>
      <c r="D50" s="29">
        <f>IF(計算用!$AB$47="","",INDEX(計算用!$C$2:$C$721,計算用!$AB$47))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IF(計算用!$AB$48="","",47)</f>
        <v/>
      </c>
      <c r="B51" s="24">
        <f>IF(計算用!$AB$48="","",INDEX(計算用!$A$2:$A$721,計算用!$AB$48))</f>
        <v/>
      </c>
      <c r="C51" s="24">
        <f>IF(計算用!$AB$48="","",INDEX(計算用!$B$2:$B$721,計算用!$AB$48))</f>
        <v/>
      </c>
      <c r="D51" s="29">
        <f>IF(計算用!$AB$48="","",INDEX(計算用!$C$2:$C$721,計算用!$AB$48))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IF(計算用!$AB$49="","",48)</f>
        <v/>
      </c>
      <c r="B52" s="24">
        <f>IF(計算用!$AB$49="","",INDEX(計算用!$A$2:$A$721,計算用!$AB$49))</f>
        <v/>
      </c>
      <c r="C52" s="24">
        <f>IF(計算用!$AB$49="","",INDEX(計算用!$B$2:$B$721,計算用!$AB$49))</f>
        <v/>
      </c>
      <c r="D52" s="29">
        <f>IF(計算用!$AB$49="","",INDEX(計算用!$C$2:$C$721,計算用!$AB$49))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IF(計算用!$AB$50="","",49)</f>
        <v/>
      </c>
      <c r="B53" s="24">
        <f>IF(計算用!$AB$50="","",INDEX(計算用!$A$2:$A$721,計算用!$AB$50))</f>
        <v/>
      </c>
      <c r="C53" s="24">
        <f>IF(計算用!$AB$50="","",INDEX(計算用!$B$2:$B$721,計算用!$AB$50))</f>
        <v/>
      </c>
      <c r="D53" s="29">
        <f>IF(計算用!$AB$50="","",INDEX(計算用!$C$2:$C$721,計算用!$AB$50))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IF(計算用!$AB$51="","",50)</f>
        <v/>
      </c>
      <c r="B54" s="24">
        <f>IF(計算用!$AB$51="","",INDEX(計算用!$A$2:$A$721,計算用!$AB$51))</f>
        <v/>
      </c>
      <c r="C54" s="24">
        <f>IF(計算用!$AB$51="","",INDEX(計算用!$B$2:$B$721,計算用!$AB$51))</f>
        <v/>
      </c>
      <c r="D54" s="29">
        <f>IF(計算用!$AB$51="","",INDEX(計算用!$C$2:$C$721,計算用!$AB$51))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IF(設定!$I$27="","",設定!$B$3&amp;"　"&amp;設定!$I$27&amp;設定!$B$4&amp;"名簿")</f>
        <v/>
      </c>
      <c r="Q1" s="22" t="inlineStr">
        <is>
          <t>【入力なし】見る・印刷するだけ</t>
        </is>
      </c>
    </row>
    <row r="2">
      <c r="A2" s="28">
        <f>IF(設定!$I$27="","","担当："&amp;設定!$J$27&amp;"　　活動場所："&amp;設定!$K$27&amp;"　　人数："&amp;人数チェック!$E$23&amp;"名（"&amp;設定!$B$7&amp;"年"&amp;人数チェック!$C$23&amp;"・"&amp;設定!$B$8&amp;"年"&amp;人数チェック!$D$23&amp;"）")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IF(計算用!$AC$2="","",1)</f>
        <v/>
      </c>
      <c r="B5" s="24">
        <f>IF(計算用!$AC$2="","",INDEX(計算用!$A$2:$A$721,計算用!$AC$2))</f>
        <v/>
      </c>
      <c r="C5" s="24">
        <f>IF(計算用!$AC$2="","",INDEX(計算用!$B$2:$B$721,計算用!$AC$2))</f>
        <v/>
      </c>
      <c r="D5" s="29">
        <f>IF(計算用!$AC$2="","",INDEX(計算用!$C$2:$C$721,計算用!$AC$2))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IF(計算用!$AC$3="","",2)</f>
        <v/>
      </c>
      <c r="B6" s="24">
        <f>IF(計算用!$AC$3="","",INDEX(計算用!$A$2:$A$721,計算用!$AC$3))</f>
        <v/>
      </c>
      <c r="C6" s="24">
        <f>IF(計算用!$AC$3="","",INDEX(計算用!$B$2:$B$721,計算用!$AC$3))</f>
        <v/>
      </c>
      <c r="D6" s="29">
        <f>IF(計算用!$AC$3="","",INDEX(計算用!$C$2:$C$721,計算用!$AC$3))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IF(計算用!$AC$4="","",3)</f>
        <v/>
      </c>
      <c r="B7" s="24">
        <f>IF(計算用!$AC$4="","",INDEX(計算用!$A$2:$A$721,計算用!$AC$4))</f>
        <v/>
      </c>
      <c r="C7" s="24">
        <f>IF(計算用!$AC$4="","",INDEX(計算用!$B$2:$B$721,計算用!$AC$4))</f>
        <v/>
      </c>
      <c r="D7" s="29">
        <f>IF(計算用!$AC$4="","",INDEX(計算用!$C$2:$C$721,計算用!$AC$4))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IF(計算用!$AC$5="","",4)</f>
        <v/>
      </c>
      <c r="B8" s="24">
        <f>IF(計算用!$AC$5="","",INDEX(計算用!$A$2:$A$721,計算用!$AC$5))</f>
        <v/>
      </c>
      <c r="C8" s="24">
        <f>IF(計算用!$AC$5="","",INDEX(計算用!$B$2:$B$721,計算用!$AC$5))</f>
        <v/>
      </c>
      <c r="D8" s="29">
        <f>IF(計算用!$AC$5="","",INDEX(計算用!$C$2:$C$721,計算用!$AC$5))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IF(計算用!$AC$6="","",5)</f>
        <v/>
      </c>
      <c r="B9" s="24">
        <f>IF(計算用!$AC$6="","",INDEX(計算用!$A$2:$A$721,計算用!$AC$6))</f>
        <v/>
      </c>
      <c r="C9" s="24">
        <f>IF(計算用!$AC$6="","",INDEX(計算用!$B$2:$B$721,計算用!$AC$6))</f>
        <v/>
      </c>
      <c r="D9" s="29">
        <f>IF(計算用!$AC$6="","",INDEX(計算用!$C$2:$C$721,計算用!$AC$6))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IF(計算用!$AC$7="","",6)</f>
        <v/>
      </c>
      <c r="B10" s="24">
        <f>IF(計算用!$AC$7="","",INDEX(計算用!$A$2:$A$721,計算用!$AC$7))</f>
        <v/>
      </c>
      <c r="C10" s="24">
        <f>IF(計算用!$AC$7="","",INDEX(計算用!$B$2:$B$721,計算用!$AC$7))</f>
        <v/>
      </c>
      <c r="D10" s="29">
        <f>IF(計算用!$AC$7="","",INDEX(計算用!$C$2:$C$721,計算用!$AC$7))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IF(計算用!$AC$8="","",7)</f>
        <v/>
      </c>
      <c r="B11" s="24">
        <f>IF(計算用!$AC$8="","",INDEX(計算用!$A$2:$A$721,計算用!$AC$8))</f>
        <v/>
      </c>
      <c r="C11" s="24">
        <f>IF(計算用!$AC$8="","",INDEX(計算用!$B$2:$B$721,計算用!$AC$8))</f>
        <v/>
      </c>
      <c r="D11" s="29">
        <f>IF(計算用!$AC$8="","",INDEX(計算用!$C$2:$C$721,計算用!$AC$8))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IF(計算用!$AC$9="","",8)</f>
        <v/>
      </c>
      <c r="B12" s="24">
        <f>IF(計算用!$AC$9="","",INDEX(計算用!$A$2:$A$721,計算用!$AC$9))</f>
        <v/>
      </c>
      <c r="C12" s="24">
        <f>IF(計算用!$AC$9="","",INDEX(計算用!$B$2:$B$721,計算用!$AC$9))</f>
        <v/>
      </c>
      <c r="D12" s="29">
        <f>IF(計算用!$AC$9="","",INDEX(計算用!$C$2:$C$721,計算用!$AC$9))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IF(計算用!$AC$10="","",9)</f>
        <v/>
      </c>
      <c r="B13" s="24">
        <f>IF(計算用!$AC$10="","",INDEX(計算用!$A$2:$A$721,計算用!$AC$10))</f>
        <v/>
      </c>
      <c r="C13" s="24">
        <f>IF(計算用!$AC$10="","",INDEX(計算用!$B$2:$B$721,計算用!$AC$10))</f>
        <v/>
      </c>
      <c r="D13" s="29">
        <f>IF(計算用!$AC$10="","",INDEX(計算用!$C$2:$C$721,計算用!$AC$10))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IF(計算用!$AC$11="","",10)</f>
        <v/>
      </c>
      <c r="B14" s="24">
        <f>IF(計算用!$AC$11="","",INDEX(計算用!$A$2:$A$721,計算用!$AC$11))</f>
        <v/>
      </c>
      <c r="C14" s="24">
        <f>IF(計算用!$AC$11="","",INDEX(計算用!$B$2:$B$721,計算用!$AC$11))</f>
        <v/>
      </c>
      <c r="D14" s="29">
        <f>IF(計算用!$AC$11="","",INDEX(計算用!$C$2:$C$721,計算用!$AC$11))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IF(計算用!$AC$12="","",11)</f>
        <v/>
      </c>
      <c r="B15" s="24">
        <f>IF(計算用!$AC$12="","",INDEX(計算用!$A$2:$A$721,計算用!$AC$12))</f>
        <v/>
      </c>
      <c r="C15" s="24">
        <f>IF(計算用!$AC$12="","",INDEX(計算用!$B$2:$B$721,計算用!$AC$12))</f>
        <v/>
      </c>
      <c r="D15" s="29">
        <f>IF(計算用!$AC$12="","",INDEX(計算用!$C$2:$C$721,計算用!$AC$12))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IF(計算用!$AC$13="","",12)</f>
        <v/>
      </c>
      <c r="B16" s="24">
        <f>IF(計算用!$AC$13="","",INDEX(計算用!$A$2:$A$721,計算用!$AC$13))</f>
        <v/>
      </c>
      <c r="C16" s="24">
        <f>IF(計算用!$AC$13="","",INDEX(計算用!$B$2:$B$721,計算用!$AC$13))</f>
        <v/>
      </c>
      <c r="D16" s="29">
        <f>IF(計算用!$AC$13="","",INDEX(計算用!$C$2:$C$721,計算用!$AC$13))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IF(計算用!$AC$14="","",13)</f>
        <v/>
      </c>
      <c r="B17" s="24">
        <f>IF(計算用!$AC$14="","",INDEX(計算用!$A$2:$A$721,計算用!$AC$14))</f>
        <v/>
      </c>
      <c r="C17" s="24">
        <f>IF(計算用!$AC$14="","",INDEX(計算用!$B$2:$B$721,計算用!$AC$14))</f>
        <v/>
      </c>
      <c r="D17" s="29">
        <f>IF(計算用!$AC$14="","",INDEX(計算用!$C$2:$C$721,計算用!$AC$14))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IF(計算用!$AC$15="","",14)</f>
        <v/>
      </c>
      <c r="B18" s="24">
        <f>IF(計算用!$AC$15="","",INDEX(計算用!$A$2:$A$721,計算用!$AC$15))</f>
        <v/>
      </c>
      <c r="C18" s="24">
        <f>IF(計算用!$AC$15="","",INDEX(計算用!$B$2:$B$721,計算用!$AC$15))</f>
        <v/>
      </c>
      <c r="D18" s="29">
        <f>IF(計算用!$AC$15="","",INDEX(計算用!$C$2:$C$721,計算用!$AC$15))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IF(計算用!$AC$16="","",15)</f>
        <v/>
      </c>
      <c r="B19" s="24">
        <f>IF(計算用!$AC$16="","",INDEX(計算用!$A$2:$A$721,計算用!$AC$16))</f>
        <v/>
      </c>
      <c r="C19" s="24">
        <f>IF(計算用!$AC$16="","",INDEX(計算用!$B$2:$B$721,計算用!$AC$16))</f>
        <v/>
      </c>
      <c r="D19" s="29">
        <f>IF(計算用!$AC$16="","",INDEX(計算用!$C$2:$C$721,計算用!$AC$16))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IF(計算用!$AC$17="","",16)</f>
        <v/>
      </c>
      <c r="B20" s="24">
        <f>IF(計算用!$AC$17="","",INDEX(計算用!$A$2:$A$721,計算用!$AC$17))</f>
        <v/>
      </c>
      <c r="C20" s="24">
        <f>IF(計算用!$AC$17="","",INDEX(計算用!$B$2:$B$721,計算用!$AC$17))</f>
        <v/>
      </c>
      <c r="D20" s="29">
        <f>IF(計算用!$AC$17="","",INDEX(計算用!$C$2:$C$721,計算用!$AC$17))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IF(計算用!$AC$18="","",17)</f>
        <v/>
      </c>
      <c r="B21" s="24">
        <f>IF(計算用!$AC$18="","",INDEX(計算用!$A$2:$A$721,計算用!$AC$18))</f>
        <v/>
      </c>
      <c r="C21" s="24">
        <f>IF(計算用!$AC$18="","",INDEX(計算用!$B$2:$B$721,計算用!$AC$18))</f>
        <v/>
      </c>
      <c r="D21" s="29">
        <f>IF(計算用!$AC$18="","",INDEX(計算用!$C$2:$C$721,計算用!$AC$18))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IF(計算用!$AC$19="","",18)</f>
        <v/>
      </c>
      <c r="B22" s="24">
        <f>IF(計算用!$AC$19="","",INDEX(計算用!$A$2:$A$721,計算用!$AC$19))</f>
        <v/>
      </c>
      <c r="C22" s="24">
        <f>IF(計算用!$AC$19="","",INDEX(計算用!$B$2:$B$721,計算用!$AC$19))</f>
        <v/>
      </c>
      <c r="D22" s="29">
        <f>IF(計算用!$AC$19="","",INDEX(計算用!$C$2:$C$721,計算用!$AC$19))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IF(計算用!$AC$20="","",19)</f>
        <v/>
      </c>
      <c r="B23" s="24">
        <f>IF(計算用!$AC$20="","",INDEX(計算用!$A$2:$A$721,計算用!$AC$20))</f>
        <v/>
      </c>
      <c r="C23" s="24">
        <f>IF(計算用!$AC$20="","",INDEX(計算用!$B$2:$B$721,計算用!$AC$20))</f>
        <v/>
      </c>
      <c r="D23" s="29">
        <f>IF(計算用!$AC$20="","",INDEX(計算用!$C$2:$C$721,計算用!$AC$20))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IF(計算用!$AC$21="","",20)</f>
        <v/>
      </c>
      <c r="B24" s="24">
        <f>IF(計算用!$AC$21="","",INDEX(計算用!$A$2:$A$721,計算用!$AC$21))</f>
        <v/>
      </c>
      <c r="C24" s="24">
        <f>IF(計算用!$AC$21="","",INDEX(計算用!$B$2:$B$721,計算用!$AC$21))</f>
        <v/>
      </c>
      <c r="D24" s="29">
        <f>IF(計算用!$AC$21="","",INDEX(計算用!$C$2:$C$721,計算用!$AC$21))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IF(計算用!$AC$22="","",21)</f>
        <v/>
      </c>
      <c r="B25" s="24">
        <f>IF(計算用!$AC$22="","",INDEX(計算用!$A$2:$A$721,計算用!$AC$22))</f>
        <v/>
      </c>
      <c r="C25" s="24">
        <f>IF(計算用!$AC$22="","",INDEX(計算用!$B$2:$B$721,計算用!$AC$22))</f>
        <v/>
      </c>
      <c r="D25" s="29">
        <f>IF(計算用!$AC$22="","",INDEX(計算用!$C$2:$C$721,計算用!$AC$22))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IF(計算用!$AC$23="","",22)</f>
        <v/>
      </c>
      <c r="B26" s="24">
        <f>IF(計算用!$AC$23="","",INDEX(計算用!$A$2:$A$721,計算用!$AC$23))</f>
        <v/>
      </c>
      <c r="C26" s="24">
        <f>IF(計算用!$AC$23="","",INDEX(計算用!$B$2:$B$721,計算用!$AC$23))</f>
        <v/>
      </c>
      <c r="D26" s="29">
        <f>IF(計算用!$AC$23="","",INDEX(計算用!$C$2:$C$721,計算用!$AC$23))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IF(計算用!$AC$24="","",23)</f>
        <v/>
      </c>
      <c r="B27" s="24">
        <f>IF(計算用!$AC$24="","",INDEX(計算用!$A$2:$A$721,計算用!$AC$24))</f>
        <v/>
      </c>
      <c r="C27" s="24">
        <f>IF(計算用!$AC$24="","",INDEX(計算用!$B$2:$B$721,計算用!$AC$24))</f>
        <v/>
      </c>
      <c r="D27" s="29">
        <f>IF(計算用!$AC$24="","",INDEX(計算用!$C$2:$C$721,計算用!$AC$24))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IF(計算用!$AC$25="","",24)</f>
        <v/>
      </c>
      <c r="B28" s="24">
        <f>IF(計算用!$AC$25="","",INDEX(計算用!$A$2:$A$721,計算用!$AC$25))</f>
        <v/>
      </c>
      <c r="C28" s="24">
        <f>IF(計算用!$AC$25="","",INDEX(計算用!$B$2:$B$721,計算用!$AC$25))</f>
        <v/>
      </c>
      <c r="D28" s="29">
        <f>IF(計算用!$AC$25="","",INDEX(計算用!$C$2:$C$721,計算用!$AC$25))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IF(計算用!$AC$26="","",25)</f>
        <v/>
      </c>
      <c r="B29" s="24">
        <f>IF(計算用!$AC$26="","",INDEX(計算用!$A$2:$A$721,計算用!$AC$26))</f>
        <v/>
      </c>
      <c r="C29" s="24">
        <f>IF(計算用!$AC$26="","",INDEX(計算用!$B$2:$B$721,計算用!$AC$26))</f>
        <v/>
      </c>
      <c r="D29" s="29">
        <f>IF(計算用!$AC$26="","",INDEX(計算用!$C$2:$C$721,計算用!$AC$26))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IF(計算用!$AC$27="","",26)</f>
        <v/>
      </c>
      <c r="B30" s="24">
        <f>IF(計算用!$AC$27="","",INDEX(計算用!$A$2:$A$721,計算用!$AC$27))</f>
        <v/>
      </c>
      <c r="C30" s="24">
        <f>IF(計算用!$AC$27="","",INDEX(計算用!$B$2:$B$721,計算用!$AC$27))</f>
        <v/>
      </c>
      <c r="D30" s="29">
        <f>IF(計算用!$AC$27="","",INDEX(計算用!$C$2:$C$721,計算用!$AC$27))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IF(計算用!$AC$28="","",27)</f>
        <v/>
      </c>
      <c r="B31" s="24">
        <f>IF(計算用!$AC$28="","",INDEX(計算用!$A$2:$A$721,計算用!$AC$28))</f>
        <v/>
      </c>
      <c r="C31" s="24">
        <f>IF(計算用!$AC$28="","",INDEX(計算用!$B$2:$B$721,計算用!$AC$28))</f>
        <v/>
      </c>
      <c r="D31" s="29">
        <f>IF(計算用!$AC$28="","",INDEX(計算用!$C$2:$C$721,計算用!$AC$28))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IF(計算用!$AC$29="","",28)</f>
        <v/>
      </c>
      <c r="B32" s="24">
        <f>IF(計算用!$AC$29="","",INDEX(計算用!$A$2:$A$721,計算用!$AC$29))</f>
        <v/>
      </c>
      <c r="C32" s="24">
        <f>IF(計算用!$AC$29="","",INDEX(計算用!$B$2:$B$721,計算用!$AC$29))</f>
        <v/>
      </c>
      <c r="D32" s="29">
        <f>IF(計算用!$AC$29="","",INDEX(計算用!$C$2:$C$721,計算用!$AC$29))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IF(計算用!$AC$30="","",29)</f>
        <v/>
      </c>
      <c r="B33" s="24">
        <f>IF(計算用!$AC$30="","",INDEX(計算用!$A$2:$A$721,計算用!$AC$30))</f>
        <v/>
      </c>
      <c r="C33" s="24">
        <f>IF(計算用!$AC$30="","",INDEX(計算用!$B$2:$B$721,計算用!$AC$30))</f>
        <v/>
      </c>
      <c r="D33" s="29">
        <f>IF(計算用!$AC$30="","",INDEX(計算用!$C$2:$C$721,計算用!$AC$30))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IF(計算用!$AC$31="","",30)</f>
        <v/>
      </c>
      <c r="B34" s="24">
        <f>IF(計算用!$AC$31="","",INDEX(計算用!$A$2:$A$721,計算用!$AC$31))</f>
        <v/>
      </c>
      <c r="C34" s="24">
        <f>IF(計算用!$AC$31="","",INDEX(計算用!$B$2:$B$721,計算用!$AC$31))</f>
        <v/>
      </c>
      <c r="D34" s="29">
        <f>IF(計算用!$AC$31="","",INDEX(計算用!$C$2:$C$721,計算用!$AC$31))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IF(計算用!$AC$32="","",31)</f>
        <v/>
      </c>
      <c r="B35" s="24">
        <f>IF(計算用!$AC$32="","",INDEX(計算用!$A$2:$A$721,計算用!$AC$32))</f>
        <v/>
      </c>
      <c r="C35" s="24">
        <f>IF(計算用!$AC$32="","",INDEX(計算用!$B$2:$B$721,計算用!$AC$32))</f>
        <v/>
      </c>
      <c r="D35" s="29">
        <f>IF(計算用!$AC$32="","",INDEX(計算用!$C$2:$C$721,計算用!$AC$32))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IF(計算用!$AC$33="","",32)</f>
        <v/>
      </c>
      <c r="B36" s="24">
        <f>IF(計算用!$AC$33="","",INDEX(計算用!$A$2:$A$721,計算用!$AC$33))</f>
        <v/>
      </c>
      <c r="C36" s="24">
        <f>IF(計算用!$AC$33="","",INDEX(計算用!$B$2:$B$721,計算用!$AC$33))</f>
        <v/>
      </c>
      <c r="D36" s="29">
        <f>IF(計算用!$AC$33="","",INDEX(計算用!$C$2:$C$721,計算用!$AC$33))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IF(計算用!$AC$34="","",33)</f>
        <v/>
      </c>
      <c r="B37" s="24">
        <f>IF(計算用!$AC$34="","",INDEX(計算用!$A$2:$A$721,計算用!$AC$34))</f>
        <v/>
      </c>
      <c r="C37" s="24">
        <f>IF(計算用!$AC$34="","",INDEX(計算用!$B$2:$B$721,計算用!$AC$34))</f>
        <v/>
      </c>
      <c r="D37" s="29">
        <f>IF(計算用!$AC$34="","",INDEX(計算用!$C$2:$C$721,計算用!$AC$34))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IF(計算用!$AC$35="","",34)</f>
        <v/>
      </c>
      <c r="B38" s="24">
        <f>IF(計算用!$AC$35="","",INDEX(計算用!$A$2:$A$721,計算用!$AC$35))</f>
        <v/>
      </c>
      <c r="C38" s="24">
        <f>IF(計算用!$AC$35="","",INDEX(計算用!$B$2:$B$721,計算用!$AC$35))</f>
        <v/>
      </c>
      <c r="D38" s="29">
        <f>IF(計算用!$AC$35="","",INDEX(計算用!$C$2:$C$721,計算用!$AC$35))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IF(計算用!$AC$36="","",35)</f>
        <v/>
      </c>
      <c r="B39" s="24">
        <f>IF(計算用!$AC$36="","",INDEX(計算用!$A$2:$A$721,計算用!$AC$36))</f>
        <v/>
      </c>
      <c r="C39" s="24">
        <f>IF(計算用!$AC$36="","",INDEX(計算用!$B$2:$B$721,計算用!$AC$36))</f>
        <v/>
      </c>
      <c r="D39" s="29">
        <f>IF(計算用!$AC$36="","",INDEX(計算用!$C$2:$C$721,計算用!$AC$36))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IF(計算用!$AC$37="","",36)</f>
        <v/>
      </c>
      <c r="B40" s="24">
        <f>IF(計算用!$AC$37="","",INDEX(計算用!$A$2:$A$721,計算用!$AC$37))</f>
        <v/>
      </c>
      <c r="C40" s="24">
        <f>IF(計算用!$AC$37="","",INDEX(計算用!$B$2:$B$721,計算用!$AC$37))</f>
        <v/>
      </c>
      <c r="D40" s="29">
        <f>IF(計算用!$AC$37="","",INDEX(計算用!$C$2:$C$721,計算用!$AC$37))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IF(計算用!$AC$38="","",37)</f>
        <v/>
      </c>
      <c r="B41" s="24">
        <f>IF(計算用!$AC$38="","",INDEX(計算用!$A$2:$A$721,計算用!$AC$38))</f>
        <v/>
      </c>
      <c r="C41" s="24">
        <f>IF(計算用!$AC$38="","",INDEX(計算用!$B$2:$B$721,計算用!$AC$38))</f>
        <v/>
      </c>
      <c r="D41" s="29">
        <f>IF(計算用!$AC$38="","",INDEX(計算用!$C$2:$C$721,計算用!$AC$38))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IF(計算用!$AC$39="","",38)</f>
        <v/>
      </c>
      <c r="B42" s="24">
        <f>IF(計算用!$AC$39="","",INDEX(計算用!$A$2:$A$721,計算用!$AC$39))</f>
        <v/>
      </c>
      <c r="C42" s="24">
        <f>IF(計算用!$AC$39="","",INDEX(計算用!$B$2:$B$721,計算用!$AC$39))</f>
        <v/>
      </c>
      <c r="D42" s="29">
        <f>IF(計算用!$AC$39="","",INDEX(計算用!$C$2:$C$721,計算用!$AC$39))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IF(計算用!$AC$40="","",39)</f>
        <v/>
      </c>
      <c r="B43" s="24">
        <f>IF(計算用!$AC$40="","",INDEX(計算用!$A$2:$A$721,計算用!$AC$40))</f>
        <v/>
      </c>
      <c r="C43" s="24">
        <f>IF(計算用!$AC$40="","",INDEX(計算用!$B$2:$B$721,計算用!$AC$40))</f>
        <v/>
      </c>
      <c r="D43" s="29">
        <f>IF(計算用!$AC$40="","",INDEX(計算用!$C$2:$C$721,計算用!$AC$40))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IF(計算用!$AC$41="","",40)</f>
        <v/>
      </c>
      <c r="B44" s="24">
        <f>IF(計算用!$AC$41="","",INDEX(計算用!$A$2:$A$721,計算用!$AC$41))</f>
        <v/>
      </c>
      <c r="C44" s="24">
        <f>IF(計算用!$AC$41="","",INDEX(計算用!$B$2:$B$721,計算用!$AC$41))</f>
        <v/>
      </c>
      <c r="D44" s="29">
        <f>IF(計算用!$AC$41="","",INDEX(計算用!$C$2:$C$721,計算用!$AC$41))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IF(計算用!$AC$42="","",41)</f>
        <v/>
      </c>
      <c r="B45" s="24">
        <f>IF(計算用!$AC$42="","",INDEX(計算用!$A$2:$A$721,計算用!$AC$42))</f>
        <v/>
      </c>
      <c r="C45" s="24">
        <f>IF(計算用!$AC$42="","",INDEX(計算用!$B$2:$B$721,計算用!$AC$42))</f>
        <v/>
      </c>
      <c r="D45" s="29">
        <f>IF(計算用!$AC$42="","",INDEX(計算用!$C$2:$C$721,計算用!$AC$42))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IF(計算用!$AC$43="","",42)</f>
        <v/>
      </c>
      <c r="B46" s="24">
        <f>IF(計算用!$AC$43="","",INDEX(計算用!$A$2:$A$721,計算用!$AC$43))</f>
        <v/>
      </c>
      <c r="C46" s="24">
        <f>IF(計算用!$AC$43="","",INDEX(計算用!$B$2:$B$721,計算用!$AC$43))</f>
        <v/>
      </c>
      <c r="D46" s="29">
        <f>IF(計算用!$AC$43="","",INDEX(計算用!$C$2:$C$721,計算用!$AC$43))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IF(計算用!$AC$44="","",43)</f>
        <v/>
      </c>
      <c r="B47" s="24">
        <f>IF(計算用!$AC$44="","",INDEX(計算用!$A$2:$A$721,計算用!$AC$44))</f>
        <v/>
      </c>
      <c r="C47" s="24">
        <f>IF(計算用!$AC$44="","",INDEX(計算用!$B$2:$B$721,計算用!$AC$44))</f>
        <v/>
      </c>
      <c r="D47" s="29">
        <f>IF(計算用!$AC$44="","",INDEX(計算用!$C$2:$C$721,計算用!$AC$44))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IF(計算用!$AC$45="","",44)</f>
        <v/>
      </c>
      <c r="B48" s="24">
        <f>IF(計算用!$AC$45="","",INDEX(計算用!$A$2:$A$721,計算用!$AC$45))</f>
        <v/>
      </c>
      <c r="C48" s="24">
        <f>IF(計算用!$AC$45="","",INDEX(計算用!$B$2:$B$721,計算用!$AC$45))</f>
        <v/>
      </c>
      <c r="D48" s="29">
        <f>IF(計算用!$AC$45="","",INDEX(計算用!$C$2:$C$721,計算用!$AC$45))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IF(計算用!$AC$46="","",45)</f>
        <v/>
      </c>
      <c r="B49" s="24">
        <f>IF(計算用!$AC$46="","",INDEX(計算用!$A$2:$A$721,計算用!$AC$46))</f>
        <v/>
      </c>
      <c r="C49" s="24">
        <f>IF(計算用!$AC$46="","",INDEX(計算用!$B$2:$B$721,計算用!$AC$46))</f>
        <v/>
      </c>
      <c r="D49" s="29">
        <f>IF(計算用!$AC$46="","",INDEX(計算用!$C$2:$C$721,計算用!$AC$46))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IF(計算用!$AC$47="","",46)</f>
        <v/>
      </c>
      <c r="B50" s="24">
        <f>IF(計算用!$AC$47="","",INDEX(計算用!$A$2:$A$721,計算用!$AC$47))</f>
        <v/>
      </c>
      <c r="C50" s="24">
        <f>IF(計算用!$AC$47="","",INDEX(計算用!$B$2:$B$721,計算用!$AC$47))</f>
        <v/>
      </c>
      <c r="D50" s="29">
        <f>IF(計算用!$AC$47="","",INDEX(計算用!$C$2:$C$721,計算用!$AC$47))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IF(計算用!$AC$48="","",47)</f>
        <v/>
      </c>
      <c r="B51" s="24">
        <f>IF(計算用!$AC$48="","",INDEX(計算用!$A$2:$A$721,計算用!$AC$48))</f>
        <v/>
      </c>
      <c r="C51" s="24">
        <f>IF(計算用!$AC$48="","",INDEX(計算用!$B$2:$B$721,計算用!$AC$48))</f>
        <v/>
      </c>
      <c r="D51" s="29">
        <f>IF(計算用!$AC$48="","",INDEX(計算用!$C$2:$C$721,計算用!$AC$48))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IF(計算用!$AC$49="","",48)</f>
        <v/>
      </c>
      <c r="B52" s="24">
        <f>IF(計算用!$AC$49="","",INDEX(計算用!$A$2:$A$721,計算用!$AC$49))</f>
        <v/>
      </c>
      <c r="C52" s="24">
        <f>IF(計算用!$AC$49="","",INDEX(計算用!$B$2:$B$721,計算用!$AC$49))</f>
        <v/>
      </c>
      <c r="D52" s="29">
        <f>IF(計算用!$AC$49="","",INDEX(計算用!$C$2:$C$721,計算用!$AC$49))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IF(計算用!$AC$50="","",49)</f>
        <v/>
      </c>
      <c r="B53" s="24">
        <f>IF(計算用!$AC$50="","",INDEX(計算用!$A$2:$A$721,計算用!$AC$50))</f>
        <v/>
      </c>
      <c r="C53" s="24">
        <f>IF(計算用!$AC$50="","",INDEX(計算用!$B$2:$B$721,計算用!$AC$50))</f>
        <v/>
      </c>
      <c r="D53" s="29">
        <f>IF(計算用!$AC$50="","",INDEX(計算用!$C$2:$C$721,計算用!$AC$50))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IF(計算用!$AC$51="","",50)</f>
        <v/>
      </c>
      <c r="B54" s="24">
        <f>IF(計算用!$AC$51="","",INDEX(計算用!$A$2:$A$721,計算用!$AC$51))</f>
        <v/>
      </c>
      <c r="C54" s="24">
        <f>IF(計算用!$AC$51="","",INDEX(計算用!$B$2:$B$721,計算用!$AC$51))</f>
        <v/>
      </c>
      <c r="D54" s="29">
        <f>IF(計算用!$AC$51="","",INDEX(計算用!$C$2:$C$721,計算用!$AC$51))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IF(設定!$I$28="","",設定!$B$3&amp;"　"&amp;設定!$I$28&amp;設定!$B$4&amp;"名簿")</f>
        <v/>
      </c>
      <c r="Q1" s="22" t="inlineStr">
        <is>
          <t>【入力なし】見る・印刷するだけ</t>
        </is>
      </c>
    </row>
    <row r="2">
      <c r="A2" s="28">
        <f>IF(設定!$I$28="","","担当："&amp;設定!$J$28&amp;"　　活動場所："&amp;設定!$K$28&amp;"　　人数："&amp;人数チェック!$E$24&amp;"名（"&amp;設定!$B$7&amp;"年"&amp;人数チェック!$C$24&amp;"・"&amp;設定!$B$8&amp;"年"&amp;人数チェック!$D$24&amp;"）")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IF(計算用!$AD$2="","",1)</f>
        <v/>
      </c>
      <c r="B5" s="24">
        <f>IF(計算用!$AD$2="","",INDEX(計算用!$A$2:$A$721,計算用!$AD$2))</f>
        <v/>
      </c>
      <c r="C5" s="24">
        <f>IF(計算用!$AD$2="","",INDEX(計算用!$B$2:$B$721,計算用!$AD$2))</f>
        <v/>
      </c>
      <c r="D5" s="29">
        <f>IF(計算用!$AD$2="","",INDEX(計算用!$C$2:$C$721,計算用!$AD$2))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IF(計算用!$AD$3="","",2)</f>
        <v/>
      </c>
      <c r="B6" s="24">
        <f>IF(計算用!$AD$3="","",INDEX(計算用!$A$2:$A$721,計算用!$AD$3))</f>
        <v/>
      </c>
      <c r="C6" s="24">
        <f>IF(計算用!$AD$3="","",INDEX(計算用!$B$2:$B$721,計算用!$AD$3))</f>
        <v/>
      </c>
      <c r="D6" s="29">
        <f>IF(計算用!$AD$3="","",INDEX(計算用!$C$2:$C$721,計算用!$AD$3))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IF(計算用!$AD$4="","",3)</f>
        <v/>
      </c>
      <c r="B7" s="24">
        <f>IF(計算用!$AD$4="","",INDEX(計算用!$A$2:$A$721,計算用!$AD$4))</f>
        <v/>
      </c>
      <c r="C7" s="24">
        <f>IF(計算用!$AD$4="","",INDEX(計算用!$B$2:$B$721,計算用!$AD$4))</f>
        <v/>
      </c>
      <c r="D7" s="29">
        <f>IF(計算用!$AD$4="","",INDEX(計算用!$C$2:$C$721,計算用!$AD$4))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IF(計算用!$AD$5="","",4)</f>
        <v/>
      </c>
      <c r="B8" s="24">
        <f>IF(計算用!$AD$5="","",INDEX(計算用!$A$2:$A$721,計算用!$AD$5))</f>
        <v/>
      </c>
      <c r="C8" s="24">
        <f>IF(計算用!$AD$5="","",INDEX(計算用!$B$2:$B$721,計算用!$AD$5))</f>
        <v/>
      </c>
      <c r="D8" s="29">
        <f>IF(計算用!$AD$5="","",INDEX(計算用!$C$2:$C$721,計算用!$AD$5))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IF(計算用!$AD$6="","",5)</f>
        <v/>
      </c>
      <c r="B9" s="24">
        <f>IF(計算用!$AD$6="","",INDEX(計算用!$A$2:$A$721,計算用!$AD$6))</f>
        <v/>
      </c>
      <c r="C9" s="24">
        <f>IF(計算用!$AD$6="","",INDEX(計算用!$B$2:$B$721,計算用!$AD$6))</f>
        <v/>
      </c>
      <c r="D9" s="29">
        <f>IF(計算用!$AD$6="","",INDEX(計算用!$C$2:$C$721,計算用!$AD$6))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IF(計算用!$AD$7="","",6)</f>
        <v/>
      </c>
      <c r="B10" s="24">
        <f>IF(計算用!$AD$7="","",INDEX(計算用!$A$2:$A$721,計算用!$AD$7))</f>
        <v/>
      </c>
      <c r="C10" s="24">
        <f>IF(計算用!$AD$7="","",INDEX(計算用!$B$2:$B$721,計算用!$AD$7))</f>
        <v/>
      </c>
      <c r="D10" s="29">
        <f>IF(計算用!$AD$7="","",INDEX(計算用!$C$2:$C$721,計算用!$AD$7))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IF(計算用!$AD$8="","",7)</f>
        <v/>
      </c>
      <c r="B11" s="24">
        <f>IF(計算用!$AD$8="","",INDEX(計算用!$A$2:$A$721,計算用!$AD$8))</f>
        <v/>
      </c>
      <c r="C11" s="24">
        <f>IF(計算用!$AD$8="","",INDEX(計算用!$B$2:$B$721,計算用!$AD$8))</f>
        <v/>
      </c>
      <c r="D11" s="29">
        <f>IF(計算用!$AD$8="","",INDEX(計算用!$C$2:$C$721,計算用!$AD$8))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IF(計算用!$AD$9="","",8)</f>
        <v/>
      </c>
      <c r="B12" s="24">
        <f>IF(計算用!$AD$9="","",INDEX(計算用!$A$2:$A$721,計算用!$AD$9))</f>
        <v/>
      </c>
      <c r="C12" s="24">
        <f>IF(計算用!$AD$9="","",INDEX(計算用!$B$2:$B$721,計算用!$AD$9))</f>
        <v/>
      </c>
      <c r="D12" s="29">
        <f>IF(計算用!$AD$9="","",INDEX(計算用!$C$2:$C$721,計算用!$AD$9))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IF(計算用!$AD$10="","",9)</f>
        <v/>
      </c>
      <c r="B13" s="24">
        <f>IF(計算用!$AD$10="","",INDEX(計算用!$A$2:$A$721,計算用!$AD$10))</f>
        <v/>
      </c>
      <c r="C13" s="24">
        <f>IF(計算用!$AD$10="","",INDEX(計算用!$B$2:$B$721,計算用!$AD$10))</f>
        <v/>
      </c>
      <c r="D13" s="29">
        <f>IF(計算用!$AD$10="","",INDEX(計算用!$C$2:$C$721,計算用!$AD$10))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IF(計算用!$AD$11="","",10)</f>
        <v/>
      </c>
      <c r="B14" s="24">
        <f>IF(計算用!$AD$11="","",INDEX(計算用!$A$2:$A$721,計算用!$AD$11))</f>
        <v/>
      </c>
      <c r="C14" s="24">
        <f>IF(計算用!$AD$11="","",INDEX(計算用!$B$2:$B$721,計算用!$AD$11))</f>
        <v/>
      </c>
      <c r="D14" s="29">
        <f>IF(計算用!$AD$11="","",INDEX(計算用!$C$2:$C$721,計算用!$AD$11))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IF(計算用!$AD$12="","",11)</f>
        <v/>
      </c>
      <c r="B15" s="24">
        <f>IF(計算用!$AD$12="","",INDEX(計算用!$A$2:$A$721,計算用!$AD$12))</f>
        <v/>
      </c>
      <c r="C15" s="24">
        <f>IF(計算用!$AD$12="","",INDEX(計算用!$B$2:$B$721,計算用!$AD$12))</f>
        <v/>
      </c>
      <c r="D15" s="29">
        <f>IF(計算用!$AD$12="","",INDEX(計算用!$C$2:$C$721,計算用!$AD$12))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IF(計算用!$AD$13="","",12)</f>
        <v/>
      </c>
      <c r="B16" s="24">
        <f>IF(計算用!$AD$13="","",INDEX(計算用!$A$2:$A$721,計算用!$AD$13))</f>
        <v/>
      </c>
      <c r="C16" s="24">
        <f>IF(計算用!$AD$13="","",INDEX(計算用!$B$2:$B$721,計算用!$AD$13))</f>
        <v/>
      </c>
      <c r="D16" s="29">
        <f>IF(計算用!$AD$13="","",INDEX(計算用!$C$2:$C$721,計算用!$AD$13))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IF(計算用!$AD$14="","",13)</f>
        <v/>
      </c>
      <c r="B17" s="24">
        <f>IF(計算用!$AD$14="","",INDEX(計算用!$A$2:$A$721,計算用!$AD$14))</f>
        <v/>
      </c>
      <c r="C17" s="24">
        <f>IF(計算用!$AD$14="","",INDEX(計算用!$B$2:$B$721,計算用!$AD$14))</f>
        <v/>
      </c>
      <c r="D17" s="29">
        <f>IF(計算用!$AD$14="","",INDEX(計算用!$C$2:$C$721,計算用!$AD$14))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IF(計算用!$AD$15="","",14)</f>
        <v/>
      </c>
      <c r="B18" s="24">
        <f>IF(計算用!$AD$15="","",INDEX(計算用!$A$2:$A$721,計算用!$AD$15))</f>
        <v/>
      </c>
      <c r="C18" s="24">
        <f>IF(計算用!$AD$15="","",INDEX(計算用!$B$2:$B$721,計算用!$AD$15))</f>
        <v/>
      </c>
      <c r="D18" s="29">
        <f>IF(計算用!$AD$15="","",INDEX(計算用!$C$2:$C$721,計算用!$AD$15))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IF(計算用!$AD$16="","",15)</f>
        <v/>
      </c>
      <c r="B19" s="24">
        <f>IF(計算用!$AD$16="","",INDEX(計算用!$A$2:$A$721,計算用!$AD$16))</f>
        <v/>
      </c>
      <c r="C19" s="24">
        <f>IF(計算用!$AD$16="","",INDEX(計算用!$B$2:$B$721,計算用!$AD$16))</f>
        <v/>
      </c>
      <c r="D19" s="29">
        <f>IF(計算用!$AD$16="","",INDEX(計算用!$C$2:$C$721,計算用!$AD$16))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IF(計算用!$AD$17="","",16)</f>
        <v/>
      </c>
      <c r="B20" s="24">
        <f>IF(計算用!$AD$17="","",INDEX(計算用!$A$2:$A$721,計算用!$AD$17))</f>
        <v/>
      </c>
      <c r="C20" s="24">
        <f>IF(計算用!$AD$17="","",INDEX(計算用!$B$2:$B$721,計算用!$AD$17))</f>
        <v/>
      </c>
      <c r="D20" s="29">
        <f>IF(計算用!$AD$17="","",INDEX(計算用!$C$2:$C$721,計算用!$AD$17))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IF(計算用!$AD$18="","",17)</f>
        <v/>
      </c>
      <c r="B21" s="24">
        <f>IF(計算用!$AD$18="","",INDEX(計算用!$A$2:$A$721,計算用!$AD$18))</f>
        <v/>
      </c>
      <c r="C21" s="24">
        <f>IF(計算用!$AD$18="","",INDEX(計算用!$B$2:$B$721,計算用!$AD$18))</f>
        <v/>
      </c>
      <c r="D21" s="29">
        <f>IF(計算用!$AD$18="","",INDEX(計算用!$C$2:$C$721,計算用!$AD$18))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IF(計算用!$AD$19="","",18)</f>
        <v/>
      </c>
      <c r="B22" s="24">
        <f>IF(計算用!$AD$19="","",INDEX(計算用!$A$2:$A$721,計算用!$AD$19))</f>
        <v/>
      </c>
      <c r="C22" s="24">
        <f>IF(計算用!$AD$19="","",INDEX(計算用!$B$2:$B$721,計算用!$AD$19))</f>
        <v/>
      </c>
      <c r="D22" s="29">
        <f>IF(計算用!$AD$19="","",INDEX(計算用!$C$2:$C$721,計算用!$AD$19))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IF(計算用!$AD$20="","",19)</f>
        <v/>
      </c>
      <c r="B23" s="24">
        <f>IF(計算用!$AD$20="","",INDEX(計算用!$A$2:$A$721,計算用!$AD$20))</f>
        <v/>
      </c>
      <c r="C23" s="24">
        <f>IF(計算用!$AD$20="","",INDEX(計算用!$B$2:$B$721,計算用!$AD$20))</f>
        <v/>
      </c>
      <c r="D23" s="29">
        <f>IF(計算用!$AD$20="","",INDEX(計算用!$C$2:$C$721,計算用!$AD$20))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IF(計算用!$AD$21="","",20)</f>
        <v/>
      </c>
      <c r="B24" s="24">
        <f>IF(計算用!$AD$21="","",INDEX(計算用!$A$2:$A$721,計算用!$AD$21))</f>
        <v/>
      </c>
      <c r="C24" s="24">
        <f>IF(計算用!$AD$21="","",INDEX(計算用!$B$2:$B$721,計算用!$AD$21))</f>
        <v/>
      </c>
      <c r="D24" s="29">
        <f>IF(計算用!$AD$21="","",INDEX(計算用!$C$2:$C$721,計算用!$AD$21))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IF(計算用!$AD$22="","",21)</f>
        <v/>
      </c>
      <c r="B25" s="24">
        <f>IF(計算用!$AD$22="","",INDEX(計算用!$A$2:$A$721,計算用!$AD$22))</f>
        <v/>
      </c>
      <c r="C25" s="24">
        <f>IF(計算用!$AD$22="","",INDEX(計算用!$B$2:$B$721,計算用!$AD$22))</f>
        <v/>
      </c>
      <c r="D25" s="29">
        <f>IF(計算用!$AD$22="","",INDEX(計算用!$C$2:$C$721,計算用!$AD$22))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IF(計算用!$AD$23="","",22)</f>
        <v/>
      </c>
      <c r="B26" s="24">
        <f>IF(計算用!$AD$23="","",INDEX(計算用!$A$2:$A$721,計算用!$AD$23))</f>
        <v/>
      </c>
      <c r="C26" s="24">
        <f>IF(計算用!$AD$23="","",INDEX(計算用!$B$2:$B$721,計算用!$AD$23))</f>
        <v/>
      </c>
      <c r="D26" s="29">
        <f>IF(計算用!$AD$23="","",INDEX(計算用!$C$2:$C$721,計算用!$AD$23))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IF(計算用!$AD$24="","",23)</f>
        <v/>
      </c>
      <c r="B27" s="24">
        <f>IF(計算用!$AD$24="","",INDEX(計算用!$A$2:$A$721,計算用!$AD$24))</f>
        <v/>
      </c>
      <c r="C27" s="24">
        <f>IF(計算用!$AD$24="","",INDEX(計算用!$B$2:$B$721,計算用!$AD$24))</f>
        <v/>
      </c>
      <c r="D27" s="29">
        <f>IF(計算用!$AD$24="","",INDEX(計算用!$C$2:$C$721,計算用!$AD$24))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IF(計算用!$AD$25="","",24)</f>
        <v/>
      </c>
      <c r="B28" s="24">
        <f>IF(計算用!$AD$25="","",INDEX(計算用!$A$2:$A$721,計算用!$AD$25))</f>
        <v/>
      </c>
      <c r="C28" s="24">
        <f>IF(計算用!$AD$25="","",INDEX(計算用!$B$2:$B$721,計算用!$AD$25))</f>
        <v/>
      </c>
      <c r="D28" s="29">
        <f>IF(計算用!$AD$25="","",INDEX(計算用!$C$2:$C$721,計算用!$AD$25))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IF(計算用!$AD$26="","",25)</f>
        <v/>
      </c>
      <c r="B29" s="24">
        <f>IF(計算用!$AD$26="","",INDEX(計算用!$A$2:$A$721,計算用!$AD$26))</f>
        <v/>
      </c>
      <c r="C29" s="24">
        <f>IF(計算用!$AD$26="","",INDEX(計算用!$B$2:$B$721,計算用!$AD$26))</f>
        <v/>
      </c>
      <c r="D29" s="29">
        <f>IF(計算用!$AD$26="","",INDEX(計算用!$C$2:$C$721,計算用!$AD$26))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IF(計算用!$AD$27="","",26)</f>
        <v/>
      </c>
      <c r="B30" s="24">
        <f>IF(計算用!$AD$27="","",INDEX(計算用!$A$2:$A$721,計算用!$AD$27))</f>
        <v/>
      </c>
      <c r="C30" s="24">
        <f>IF(計算用!$AD$27="","",INDEX(計算用!$B$2:$B$721,計算用!$AD$27))</f>
        <v/>
      </c>
      <c r="D30" s="29">
        <f>IF(計算用!$AD$27="","",INDEX(計算用!$C$2:$C$721,計算用!$AD$27))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IF(計算用!$AD$28="","",27)</f>
        <v/>
      </c>
      <c r="B31" s="24">
        <f>IF(計算用!$AD$28="","",INDEX(計算用!$A$2:$A$721,計算用!$AD$28))</f>
        <v/>
      </c>
      <c r="C31" s="24">
        <f>IF(計算用!$AD$28="","",INDEX(計算用!$B$2:$B$721,計算用!$AD$28))</f>
        <v/>
      </c>
      <c r="D31" s="29">
        <f>IF(計算用!$AD$28="","",INDEX(計算用!$C$2:$C$721,計算用!$AD$28))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IF(計算用!$AD$29="","",28)</f>
        <v/>
      </c>
      <c r="B32" s="24">
        <f>IF(計算用!$AD$29="","",INDEX(計算用!$A$2:$A$721,計算用!$AD$29))</f>
        <v/>
      </c>
      <c r="C32" s="24">
        <f>IF(計算用!$AD$29="","",INDEX(計算用!$B$2:$B$721,計算用!$AD$29))</f>
        <v/>
      </c>
      <c r="D32" s="29">
        <f>IF(計算用!$AD$29="","",INDEX(計算用!$C$2:$C$721,計算用!$AD$29))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IF(計算用!$AD$30="","",29)</f>
        <v/>
      </c>
      <c r="B33" s="24">
        <f>IF(計算用!$AD$30="","",INDEX(計算用!$A$2:$A$721,計算用!$AD$30))</f>
        <v/>
      </c>
      <c r="C33" s="24">
        <f>IF(計算用!$AD$30="","",INDEX(計算用!$B$2:$B$721,計算用!$AD$30))</f>
        <v/>
      </c>
      <c r="D33" s="29">
        <f>IF(計算用!$AD$30="","",INDEX(計算用!$C$2:$C$721,計算用!$AD$30))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IF(計算用!$AD$31="","",30)</f>
        <v/>
      </c>
      <c r="B34" s="24">
        <f>IF(計算用!$AD$31="","",INDEX(計算用!$A$2:$A$721,計算用!$AD$31))</f>
        <v/>
      </c>
      <c r="C34" s="24">
        <f>IF(計算用!$AD$31="","",INDEX(計算用!$B$2:$B$721,計算用!$AD$31))</f>
        <v/>
      </c>
      <c r="D34" s="29">
        <f>IF(計算用!$AD$31="","",INDEX(計算用!$C$2:$C$721,計算用!$AD$31))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IF(計算用!$AD$32="","",31)</f>
        <v/>
      </c>
      <c r="B35" s="24">
        <f>IF(計算用!$AD$32="","",INDEX(計算用!$A$2:$A$721,計算用!$AD$32))</f>
        <v/>
      </c>
      <c r="C35" s="24">
        <f>IF(計算用!$AD$32="","",INDEX(計算用!$B$2:$B$721,計算用!$AD$32))</f>
        <v/>
      </c>
      <c r="D35" s="29">
        <f>IF(計算用!$AD$32="","",INDEX(計算用!$C$2:$C$721,計算用!$AD$32))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IF(計算用!$AD$33="","",32)</f>
        <v/>
      </c>
      <c r="B36" s="24">
        <f>IF(計算用!$AD$33="","",INDEX(計算用!$A$2:$A$721,計算用!$AD$33))</f>
        <v/>
      </c>
      <c r="C36" s="24">
        <f>IF(計算用!$AD$33="","",INDEX(計算用!$B$2:$B$721,計算用!$AD$33))</f>
        <v/>
      </c>
      <c r="D36" s="29">
        <f>IF(計算用!$AD$33="","",INDEX(計算用!$C$2:$C$721,計算用!$AD$33))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IF(計算用!$AD$34="","",33)</f>
        <v/>
      </c>
      <c r="B37" s="24">
        <f>IF(計算用!$AD$34="","",INDEX(計算用!$A$2:$A$721,計算用!$AD$34))</f>
        <v/>
      </c>
      <c r="C37" s="24">
        <f>IF(計算用!$AD$34="","",INDEX(計算用!$B$2:$B$721,計算用!$AD$34))</f>
        <v/>
      </c>
      <c r="D37" s="29">
        <f>IF(計算用!$AD$34="","",INDEX(計算用!$C$2:$C$721,計算用!$AD$34))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IF(計算用!$AD$35="","",34)</f>
        <v/>
      </c>
      <c r="B38" s="24">
        <f>IF(計算用!$AD$35="","",INDEX(計算用!$A$2:$A$721,計算用!$AD$35))</f>
        <v/>
      </c>
      <c r="C38" s="24">
        <f>IF(計算用!$AD$35="","",INDEX(計算用!$B$2:$B$721,計算用!$AD$35))</f>
        <v/>
      </c>
      <c r="D38" s="29">
        <f>IF(計算用!$AD$35="","",INDEX(計算用!$C$2:$C$721,計算用!$AD$35))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IF(計算用!$AD$36="","",35)</f>
        <v/>
      </c>
      <c r="B39" s="24">
        <f>IF(計算用!$AD$36="","",INDEX(計算用!$A$2:$A$721,計算用!$AD$36))</f>
        <v/>
      </c>
      <c r="C39" s="24">
        <f>IF(計算用!$AD$36="","",INDEX(計算用!$B$2:$B$721,計算用!$AD$36))</f>
        <v/>
      </c>
      <c r="D39" s="29">
        <f>IF(計算用!$AD$36="","",INDEX(計算用!$C$2:$C$721,計算用!$AD$36))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IF(計算用!$AD$37="","",36)</f>
        <v/>
      </c>
      <c r="B40" s="24">
        <f>IF(計算用!$AD$37="","",INDEX(計算用!$A$2:$A$721,計算用!$AD$37))</f>
        <v/>
      </c>
      <c r="C40" s="24">
        <f>IF(計算用!$AD$37="","",INDEX(計算用!$B$2:$B$721,計算用!$AD$37))</f>
        <v/>
      </c>
      <c r="D40" s="29">
        <f>IF(計算用!$AD$37="","",INDEX(計算用!$C$2:$C$721,計算用!$AD$37))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IF(計算用!$AD$38="","",37)</f>
        <v/>
      </c>
      <c r="B41" s="24">
        <f>IF(計算用!$AD$38="","",INDEX(計算用!$A$2:$A$721,計算用!$AD$38))</f>
        <v/>
      </c>
      <c r="C41" s="24">
        <f>IF(計算用!$AD$38="","",INDEX(計算用!$B$2:$B$721,計算用!$AD$38))</f>
        <v/>
      </c>
      <c r="D41" s="29">
        <f>IF(計算用!$AD$38="","",INDEX(計算用!$C$2:$C$721,計算用!$AD$38))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IF(計算用!$AD$39="","",38)</f>
        <v/>
      </c>
      <c r="B42" s="24">
        <f>IF(計算用!$AD$39="","",INDEX(計算用!$A$2:$A$721,計算用!$AD$39))</f>
        <v/>
      </c>
      <c r="C42" s="24">
        <f>IF(計算用!$AD$39="","",INDEX(計算用!$B$2:$B$721,計算用!$AD$39))</f>
        <v/>
      </c>
      <c r="D42" s="29">
        <f>IF(計算用!$AD$39="","",INDEX(計算用!$C$2:$C$721,計算用!$AD$39))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IF(計算用!$AD$40="","",39)</f>
        <v/>
      </c>
      <c r="B43" s="24">
        <f>IF(計算用!$AD$40="","",INDEX(計算用!$A$2:$A$721,計算用!$AD$40))</f>
        <v/>
      </c>
      <c r="C43" s="24">
        <f>IF(計算用!$AD$40="","",INDEX(計算用!$B$2:$B$721,計算用!$AD$40))</f>
        <v/>
      </c>
      <c r="D43" s="29">
        <f>IF(計算用!$AD$40="","",INDEX(計算用!$C$2:$C$721,計算用!$AD$40))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IF(計算用!$AD$41="","",40)</f>
        <v/>
      </c>
      <c r="B44" s="24">
        <f>IF(計算用!$AD$41="","",INDEX(計算用!$A$2:$A$721,計算用!$AD$41))</f>
        <v/>
      </c>
      <c r="C44" s="24">
        <f>IF(計算用!$AD$41="","",INDEX(計算用!$B$2:$B$721,計算用!$AD$41))</f>
        <v/>
      </c>
      <c r="D44" s="29">
        <f>IF(計算用!$AD$41="","",INDEX(計算用!$C$2:$C$721,計算用!$AD$41))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IF(計算用!$AD$42="","",41)</f>
        <v/>
      </c>
      <c r="B45" s="24">
        <f>IF(計算用!$AD$42="","",INDEX(計算用!$A$2:$A$721,計算用!$AD$42))</f>
        <v/>
      </c>
      <c r="C45" s="24">
        <f>IF(計算用!$AD$42="","",INDEX(計算用!$B$2:$B$721,計算用!$AD$42))</f>
        <v/>
      </c>
      <c r="D45" s="29">
        <f>IF(計算用!$AD$42="","",INDEX(計算用!$C$2:$C$721,計算用!$AD$42))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IF(計算用!$AD$43="","",42)</f>
        <v/>
      </c>
      <c r="B46" s="24">
        <f>IF(計算用!$AD$43="","",INDEX(計算用!$A$2:$A$721,計算用!$AD$43))</f>
        <v/>
      </c>
      <c r="C46" s="24">
        <f>IF(計算用!$AD$43="","",INDEX(計算用!$B$2:$B$721,計算用!$AD$43))</f>
        <v/>
      </c>
      <c r="D46" s="29">
        <f>IF(計算用!$AD$43="","",INDEX(計算用!$C$2:$C$721,計算用!$AD$43))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IF(計算用!$AD$44="","",43)</f>
        <v/>
      </c>
      <c r="B47" s="24">
        <f>IF(計算用!$AD$44="","",INDEX(計算用!$A$2:$A$721,計算用!$AD$44))</f>
        <v/>
      </c>
      <c r="C47" s="24">
        <f>IF(計算用!$AD$44="","",INDEX(計算用!$B$2:$B$721,計算用!$AD$44))</f>
        <v/>
      </c>
      <c r="D47" s="29">
        <f>IF(計算用!$AD$44="","",INDEX(計算用!$C$2:$C$721,計算用!$AD$44))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IF(計算用!$AD$45="","",44)</f>
        <v/>
      </c>
      <c r="B48" s="24">
        <f>IF(計算用!$AD$45="","",INDEX(計算用!$A$2:$A$721,計算用!$AD$45))</f>
        <v/>
      </c>
      <c r="C48" s="24">
        <f>IF(計算用!$AD$45="","",INDEX(計算用!$B$2:$B$721,計算用!$AD$45))</f>
        <v/>
      </c>
      <c r="D48" s="29">
        <f>IF(計算用!$AD$45="","",INDEX(計算用!$C$2:$C$721,計算用!$AD$45))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IF(計算用!$AD$46="","",45)</f>
        <v/>
      </c>
      <c r="B49" s="24">
        <f>IF(計算用!$AD$46="","",INDEX(計算用!$A$2:$A$721,計算用!$AD$46))</f>
        <v/>
      </c>
      <c r="C49" s="24">
        <f>IF(計算用!$AD$46="","",INDEX(計算用!$B$2:$B$721,計算用!$AD$46))</f>
        <v/>
      </c>
      <c r="D49" s="29">
        <f>IF(計算用!$AD$46="","",INDEX(計算用!$C$2:$C$721,計算用!$AD$46))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IF(計算用!$AD$47="","",46)</f>
        <v/>
      </c>
      <c r="B50" s="24">
        <f>IF(計算用!$AD$47="","",INDEX(計算用!$A$2:$A$721,計算用!$AD$47))</f>
        <v/>
      </c>
      <c r="C50" s="24">
        <f>IF(計算用!$AD$47="","",INDEX(計算用!$B$2:$B$721,計算用!$AD$47))</f>
        <v/>
      </c>
      <c r="D50" s="29">
        <f>IF(計算用!$AD$47="","",INDEX(計算用!$C$2:$C$721,計算用!$AD$47))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IF(計算用!$AD$48="","",47)</f>
        <v/>
      </c>
      <c r="B51" s="24">
        <f>IF(計算用!$AD$48="","",INDEX(計算用!$A$2:$A$721,計算用!$AD$48))</f>
        <v/>
      </c>
      <c r="C51" s="24">
        <f>IF(計算用!$AD$48="","",INDEX(計算用!$B$2:$B$721,計算用!$AD$48))</f>
        <v/>
      </c>
      <c r="D51" s="29">
        <f>IF(計算用!$AD$48="","",INDEX(計算用!$C$2:$C$721,計算用!$AD$48))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IF(計算用!$AD$49="","",48)</f>
        <v/>
      </c>
      <c r="B52" s="24">
        <f>IF(計算用!$AD$49="","",INDEX(計算用!$A$2:$A$721,計算用!$AD$49))</f>
        <v/>
      </c>
      <c r="C52" s="24">
        <f>IF(計算用!$AD$49="","",INDEX(計算用!$B$2:$B$721,計算用!$AD$49))</f>
        <v/>
      </c>
      <c r="D52" s="29">
        <f>IF(計算用!$AD$49="","",INDEX(計算用!$C$2:$C$721,計算用!$AD$49))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IF(計算用!$AD$50="","",49)</f>
        <v/>
      </c>
      <c r="B53" s="24">
        <f>IF(計算用!$AD$50="","",INDEX(計算用!$A$2:$A$721,計算用!$AD$50))</f>
        <v/>
      </c>
      <c r="C53" s="24">
        <f>IF(計算用!$AD$50="","",INDEX(計算用!$B$2:$B$721,計算用!$AD$50))</f>
        <v/>
      </c>
      <c r="D53" s="29">
        <f>IF(計算用!$AD$50="","",INDEX(計算用!$C$2:$C$721,計算用!$AD$50))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IF(計算用!$AD$51="","",50)</f>
        <v/>
      </c>
      <c r="B54" s="24">
        <f>IF(計算用!$AD$51="","",INDEX(計算用!$A$2:$A$721,計算用!$AD$51))</f>
        <v/>
      </c>
      <c r="C54" s="24">
        <f>IF(計算用!$AD$51="","",INDEX(計算用!$B$2:$B$721,計算用!$AD$51))</f>
        <v/>
      </c>
      <c r="D54" s="29">
        <f>IF(計算用!$AD$51="","",INDEX(計算用!$C$2:$C$721,計算用!$AD$51))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IF(設定!$I$29="","",設定!$B$3&amp;"　"&amp;設定!$I$29&amp;設定!$B$4&amp;"名簿")</f>
        <v/>
      </c>
      <c r="Q1" s="22" t="inlineStr">
        <is>
          <t>【入力なし】見る・印刷するだけ</t>
        </is>
      </c>
    </row>
    <row r="2">
      <c r="A2" s="28">
        <f>IF(設定!$I$29="","","担当："&amp;設定!$J$29&amp;"　　活動場所："&amp;設定!$K$29&amp;"　　人数："&amp;人数チェック!$E$25&amp;"名（"&amp;設定!$B$7&amp;"年"&amp;人数チェック!$C$25&amp;"・"&amp;設定!$B$8&amp;"年"&amp;人数チェック!$D$25&amp;"）")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IF(計算用!$AE$2="","",1)</f>
        <v/>
      </c>
      <c r="B5" s="24">
        <f>IF(計算用!$AE$2="","",INDEX(計算用!$A$2:$A$721,計算用!$AE$2))</f>
        <v/>
      </c>
      <c r="C5" s="24">
        <f>IF(計算用!$AE$2="","",INDEX(計算用!$B$2:$B$721,計算用!$AE$2))</f>
        <v/>
      </c>
      <c r="D5" s="29">
        <f>IF(計算用!$AE$2="","",INDEX(計算用!$C$2:$C$721,計算用!$AE$2))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IF(計算用!$AE$3="","",2)</f>
        <v/>
      </c>
      <c r="B6" s="24">
        <f>IF(計算用!$AE$3="","",INDEX(計算用!$A$2:$A$721,計算用!$AE$3))</f>
        <v/>
      </c>
      <c r="C6" s="24">
        <f>IF(計算用!$AE$3="","",INDEX(計算用!$B$2:$B$721,計算用!$AE$3))</f>
        <v/>
      </c>
      <c r="D6" s="29">
        <f>IF(計算用!$AE$3="","",INDEX(計算用!$C$2:$C$721,計算用!$AE$3))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IF(計算用!$AE$4="","",3)</f>
        <v/>
      </c>
      <c r="B7" s="24">
        <f>IF(計算用!$AE$4="","",INDEX(計算用!$A$2:$A$721,計算用!$AE$4))</f>
        <v/>
      </c>
      <c r="C7" s="24">
        <f>IF(計算用!$AE$4="","",INDEX(計算用!$B$2:$B$721,計算用!$AE$4))</f>
        <v/>
      </c>
      <c r="D7" s="29">
        <f>IF(計算用!$AE$4="","",INDEX(計算用!$C$2:$C$721,計算用!$AE$4))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IF(計算用!$AE$5="","",4)</f>
        <v/>
      </c>
      <c r="B8" s="24">
        <f>IF(計算用!$AE$5="","",INDEX(計算用!$A$2:$A$721,計算用!$AE$5))</f>
        <v/>
      </c>
      <c r="C8" s="24">
        <f>IF(計算用!$AE$5="","",INDEX(計算用!$B$2:$B$721,計算用!$AE$5))</f>
        <v/>
      </c>
      <c r="D8" s="29">
        <f>IF(計算用!$AE$5="","",INDEX(計算用!$C$2:$C$721,計算用!$AE$5))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IF(計算用!$AE$6="","",5)</f>
        <v/>
      </c>
      <c r="B9" s="24">
        <f>IF(計算用!$AE$6="","",INDEX(計算用!$A$2:$A$721,計算用!$AE$6))</f>
        <v/>
      </c>
      <c r="C9" s="24">
        <f>IF(計算用!$AE$6="","",INDEX(計算用!$B$2:$B$721,計算用!$AE$6))</f>
        <v/>
      </c>
      <c r="D9" s="29">
        <f>IF(計算用!$AE$6="","",INDEX(計算用!$C$2:$C$721,計算用!$AE$6))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IF(計算用!$AE$7="","",6)</f>
        <v/>
      </c>
      <c r="B10" s="24">
        <f>IF(計算用!$AE$7="","",INDEX(計算用!$A$2:$A$721,計算用!$AE$7))</f>
        <v/>
      </c>
      <c r="C10" s="24">
        <f>IF(計算用!$AE$7="","",INDEX(計算用!$B$2:$B$721,計算用!$AE$7))</f>
        <v/>
      </c>
      <c r="D10" s="29">
        <f>IF(計算用!$AE$7="","",INDEX(計算用!$C$2:$C$721,計算用!$AE$7))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IF(計算用!$AE$8="","",7)</f>
        <v/>
      </c>
      <c r="B11" s="24">
        <f>IF(計算用!$AE$8="","",INDEX(計算用!$A$2:$A$721,計算用!$AE$8))</f>
        <v/>
      </c>
      <c r="C11" s="24">
        <f>IF(計算用!$AE$8="","",INDEX(計算用!$B$2:$B$721,計算用!$AE$8))</f>
        <v/>
      </c>
      <c r="D11" s="29">
        <f>IF(計算用!$AE$8="","",INDEX(計算用!$C$2:$C$721,計算用!$AE$8))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IF(計算用!$AE$9="","",8)</f>
        <v/>
      </c>
      <c r="B12" s="24">
        <f>IF(計算用!$AE$9="","",INDEX(計算用!$A$2:$A$721,計算用!$AE$9))</f>
        <v/>
      </c>
      <c r="C12" s="24">
        <f>IF(計算用!$AE$9="","",INDEX(計算用!$B$2:$B$721,計算用!$AE$9))</f>
        <v/>
      </c>
      <c r="D12" s="29">
        <f>IF(計算用!$AE$9="","",INDEX(計算用!$C$2:$C$721,計算用!$AE$9))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IF(計算用!$AE$10="","",9)</f>
        <v/>
      </c>
      <c r="B13" s="24">
        <f>IF(計算用!$AE$10="","",INDEX(計算用!$A$2:$A$721,計算用!$AE$10))</f>
        <v/>
      </c>
      <c r="C13" s="24">
        <f>IF(計算用!$AE$10="","",INDEX(計算用!$B$2:$B$721,計算用!$AE$10))</f>
        <v/>
      </c>
      <c r="D13" s="29">
        <f>IF(計算用!$AE$10="","",INDEX(計算用!$C$2:$C$721,計算用!$AE$10))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IF(計算用!$AE$11="","",10)</f>
        <v/>
      </c>
      <c r="B14" s="24">
        <f>IF(計算用!$AE$11="","",INDEX(計算用!$A$2:$A$721,計算用!$AE$11))</f>
        <v/>
      </c>
      <c r="C14" s="24">
        <f>IF(計算用!$AE$11="","",INDEX(計算用!$B$2:$B$721,計算用!$AE$11))</f>
        <v/>
      </c>
      <c r="D14" s="29">
        <f>IF(計算用!$AE$11="","",INDEX(計算用!$C$2:$C$721,計算用!$AE$11))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IF(計算用!$AE$12="","",11)</f>
        <v/>
      </c>
      <c r="B15" s="24">
        <f>IF(計算用!$AE$12="","",INDEX(計算用!$A$2:$A$721,計算用!$AE$12))</f>
        <v/>
      </c>
      <c r="C15" s="24">
        <f>IF(計算用!$AE$12="","",INDEX(計算用!$B$2:$B$721,計算用!$AE$12))</f>
        <v/>
      </c>
      <c r="D15" s="29">
        <f>IF(計算用!$AE$12="","",INDEX(計算用!$C$2:$C$721,計算用!$AE$12))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IF(計算用!$AE$13="","",12)</f>
        <v/>
      </c>
      <c r="B16" s="24">
        <f>IF(計算用!$AE$13="","",INDEX(計算用!$A$2:$A$721,計算用!$AE$13))</f>
        <v/>
      </c>
      <c r="C16" s="24">
        <f>IF(計算用!$AE$13="","",INDEX(計算用!$B$2:$B$721,計算用!$AE$13))</f>
        <v/>
      </c>
      <c r="D16" s="29">
        <f>IF(計算用!$AE$13="","",INDEX(計算用!$C$2:$C$721,計算用!$AE$13))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IF(計算用!$AE$14="","",13)</f>
        <v/>
      </c>
      <c r="B17" s="24">
        <f>IF(計算用!$AE$14="","",INDEX(計算用!$A$2:$A$721,計算用!$AE$14))</f>
        <v/>
      </c>
      <c r="C17" s="24">
        <f>IF(計算用!$AE$14="","",INDEX(計算用!$B$2:$B$721,計算用!$AE$14))</f>
        <v/>
      </c>
      <c r="D17" s="29">
        <f>IF(計算用!$AE$14="","",INDEX(計算用!$C$2:$C$721,計算用!$AE$14))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IF(計算用!$AE$15="","",14)</f>
        <v/>
      </c>
      <c r="B18" s="24">
        <f>IF(計算用!$AE$15="","",INDEX(計算用!$A$2:$A$721,計算用!$AE$15))</f>
        <v/>
      </c>
      <c r="C18" s="24">
        <f>IF(計算用!$AE$15="","",INDEX(計算用!$B$2:$B$721,計算用!$AE$15))</f>
        <v/>
      </c>
      <c r="D18" s="29">
        <f>IF(計算用!$AE$15="","",INDEX(計算用!$C$2:$C$721,計算用!$AE$15))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IF(計算用!$AE$16="","",15)</f>
        <v/>
      </c>
      <c r="B19" s="24">
        <f>IF(計算用!$AE$16="","",INDEX(計算用!$A$2:$A$721,計算用!$AE$16))</f>
        <v/>
      </c>
      <c r="C19" s="24">
        <f>IF(計算用!$AE$16="","",INDEX(計算用!$B$2:$B$721,計算用!$AE$16))</f>
        <v/>
      </c>
      <c r="D19" s="29">
        <f>IF(計算用!$AE$16="","",INDEX(計算用!$C$2:$C$721,計算用!$AE$16))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IF(計算用!$AE$17="","",16)</f>
        <v/>
      </c>
      <c r="B20" s="24">
        <f>IF(計算用!$AE$17="","",INDEX(計算用!$A$2:$A$721,計算用!$AE$17))</f>
        <v/>
      </c>
      <c r="C20" s="24">
        <f>IF(計算用!$AE$17="","",INDEX(計算用!$B$2:$B$721,計算用!$AE$17))</f>
        <v/>
      </c>
      <c r="D20" s="29">
        <f>IF(計算用!$AE$17="","",INDEX(計算用!$C$2:$C$721,計算用!$AE$17))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IF(計算用!$AE$18="","",17)</f>
        <v/>
      </c>
      <c r="B21" s="24">
        <f>IF(計算用!$AE$18="","",INDEX(計算用!$A$2:$A$721,計算用!$AE$18))</f>
        <v/>
      </c>
      <c r="C21" s="24">
        <f>IF(計算用!$AE$18="","",INDEX(計算用!$B$2:$B$721,計算用!$AE$18))</f>
        <v/>
      </c>
      <c r="D21" s="29">
        <f>IF(計算用!$AE$18="","",INDEX(計算用!$C$2:$C$721,計算用!$AE$18))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IF(計算用!$AE$19="","",18)</f>
        <v/>
      </c>
      <c r="B22" s="24">
        <f>IF(計算用!$AE$19="","",INDEX(計算用!$A$2:$A$721,計算用!$AE$19))</f>
        <v/>
      </c>
      <c r="C22" s="24">
        <f>IF(計算用!$AE$19="","",INDEX(計算用!$B$2:$B$721,計算用!$AE$19))</f>
        <v/>
      </c>
      <c r="D22" s="29">
        <f>IF(計算用!$AE$19="","",INDEX(計算用!$C$2:$C$721,計算用!$AE$19))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IF(計算用!$AE$20="","",19)</f>
        <v/>
      </c>
      <c r="B23" s="24">
        <f>IF(計算用!$AE$20="","",INDEX(計算用!$A$2:$A$721,計算用!$AE$20))</f>
        <v/>
      </c>
      <c r="C23" s="24">
        <f>IF(計算用!$AE$20="","",INDEX(計算用!$B$2:$B$721,計算用!$AE$20))</f>
        <v/>
      </c>
      <c r="D23" s="29">
        <f>IF(計算用!$AE$20="","",INDEX(計算用!$C$2:$C$721,計算用!$AE$20))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IF(計算用!$AE$21="","",20)</f>
        <v/>
      </c>
      <c r="B24" s="24">
        <f>IF(計算用!$AE$21="","",INDEX(計算用!$A$2:$A$721,計算用!$AE$21))</f>
        <v/>
      </c>
      <c r="C24" s="24">
        <f>IF(計算用!$AE$21="","",INDEX(計算用!$B$2:$B$721,計算用!$AE$21))</f>
        <v/>
      </c>
      <c r="D24" s="29">
        <f>IF(計算用!$AE$21="","",INDEX(計算用!$C$2:$C$721,計算用!$AE$21))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IF(計算用!$AE$22="","",21)</f>
        <v/>
      </c>
      <c r="B25" s="24">
        <f>IF(計算用!$AE$22="","",INDEX(計算用!$A$2:$A$721,計算用!$AE$22))</f>
        <v/>
      </c>
      <c r="C25" s="24">
        <f>IF(計算用!$AE$22="","",INDEX(計算用!$B$2:$B$721,計算用!$AE$22))</f>
        <v/>
      </c>
      <c r="D25" s="29">
        <f>IF(計算用!$AE$22="","",INDEX(計算用!$C$2:$C$721,計算用!$AE$22))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IF(計算用!$AE$23="","",22)</f>
        <v/>
      </c>
      <c r="B26" s="24">
        <f>IF(計算用!$AE$23="","",INDEX(計算用!$A$2:$A$721,計算用!$AE$23))</f>
        <v/>
      </c>
      <c r="C26" s="24">
        <f>IF(計算用!$AE$23="","",INDEX(計算用!$B$2:$B$721,計算用!$AE$23))</f>
        <v/>
      </c>
      <c r="D26" s="29">
        <f>IF(計算用!$AE$23="","",INDEX(計算用!$C$2:$C$721,計算用!$AE$23))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IF(計算用!$AE$24="","",23)</f>
        <v/>
      </c>
      <c r="B27" s="24">
        <f>IF(計算用!$AE$24="","",INDEX(計算用!$A$2:$A$721,計算用!$AE$24))</f>
        <v/>
      </c>
      <c r="C27" s="24">
        <f>IF(計算用!$AE$24="","",INDEX(計算用!$B$2:$B$721,計算用!$AE$24))</f>
        <v/>
      </c>
      <c r="D27" s="29">
        <f>IF(計算用!$AE$24="","",INDEX(計算用!$C$2:$C$721,計算用!$AE$24))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IF(計算用!$AE$25="","",24)</f>
        <v/>
      </c>
      <c r="B28" s="24">
        <f>IF(計算用!$AE$25="","",INDEX(計算用!$A$2:$A$721,計算用!$AE$25))</f>
        <v/>
      </c>
      <c r="C28" s="24">
        <f>IF(計算用!$AE$25="","",INDEX(計算用!$B$2:$B$721,計算用!$AE$25))</f>
        <v/>
      </c>
      <c r="D28" s="29">
        <f>IF(計算用!$AE$25="","",INDEX(計算用!$C$2:$C$721,計算用!$AE$25))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IF(計算用!$AE$26="","",25)</f>
        <v/>
      </c>
      <c r="B29" s="24">
        <f>IF(計算用!$AE$26="","",INDEX(計算用!$A$2:$A$721,計算用!$AE$26))</f>
        <v/>
      </c>
      <c r="C29" s="24">
        <f>IF(計算用!$AE$26="","",INDEX(計算用!$B$2:$B$721,計算用!$AE$26))</f>
        <v/>
      </c>
      <c r="D29" s="29">
        <f>IF(計算用!$AE$26="","",INDEX(計算用!$C$2:$C$721,計算用!$AE$26))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IF(計算用!$AE$27="","",26)</f>
        <v/>
      </c>
      <c r="B30" s="24">
        <f>IF(計算用!$AE$27="","",INDEX(計算用!$A$2:$A$721,計算用!$AE$27))</f>
        <v/>
      </c>
      <c r="C30" s="24">
        <f>IF(計算用!$AE$27="","",INDEX(計算用!$B$2:$B$721,計算用!$AE$27))</f>
        <v/>
      </c>
      <c r="D30" s="29">
        <f>IF(計算用!$AE$27="","",INDEX(計算用!$C$2:$C$721,計算用!$AE$27))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IF(計算用!$AE$28="","",27)</f>
        <v/>
      </c>
      <c r="B31" s="24">
        <f>IF(計算用!$AE$28="","",INDEX(計算用!$A$2:$A$721,計算用!$AE$28))</f>
        <v/>
      </c>
      <c r="C31" s="24">
        <f>IF(計算用!$AE$28="","",INDEX(計算用!$B$2:$B$721,計算用!$AE$28))</f>
        <v/>
      </c>
      <c r="D31" s="29">
        <f>IF(計算用!$AE$28="","",INDEX(計算用!$C$2:$C$721,計算用!$AE$28))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IF(計算用!$AE$29="","",28)</f>
        <v/>
      </c>
      <c r="B32" s="24">
        <f>IF(計算用!$AE$29="","",INDEX(計算用!$A$2:$A$721,計算用!$AE$29))</f>
        <v/>
      </c>
      <c r="C32" s="24">
        <f>IF(計算用!$AE$29="","",INDEX(計算用!$B$2:$B$721,計算用!$AE$29))</f>
        <v/>
      </c>
      <c r="D32" s="29">
        <f>IF(計算用!$AE$29="","",INDEX(計算用!$C$2:$C$721,計算用!$AE$29))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IF(計算用!$AE$30="","",29)</f>
        <v/>
      </c>
      <c r="B33" s="24">
        <f>IF(計算用!$AE$30="","",INDEX(計算用!$A$2:$A$721,計算用!$AE$30))</f>
        <v/>
      </c>
      <c r="C33" s="24">
        <f>IF(計算用!$AE$30="","",INDEX(計算用!$B$2:$B$721,計算用!$AE$30))</f>
        <v/>
      </c>
      <c r="D33" s="29">
        <f>IF(計算用!$AE$30="","",INDEX(計算用!$C$2:$C$721,計算用!$AE$30))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IF(計算用!$AE$31="","",30)</f>
        <v/>
      </c>
      <c r="B34" s="24">
        <f>IF(計算用!$AE$31="","",INDEX(計算用!$A$2:$A$721,計算用!$AE$31))</f>
        <v/>
      </c>
      <c r="C34" s="24">
        <f>IF(計算用!$AE$31="","",INDEX(計算用!$B$2:$B$721,計算用!$AE$31))</f>
        <v/>
      </c>
      <c r="D34" s="29">
        <f>IF(計算用!$AE$31="","",INDEX(計算用!$C$2:$C$721,計算用!$AE$31))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IF(計算用!$AE$32="","",31)</f>
        <v/>
      </c>
      <c r="B35" s="24">
        <f>IF(計算用!$AE$32="","",INDEX(計算用!$A$2:$A$721,計算用!$AE$32))</f>
        <v/>
      </c>
      <c r="C35" s="24">
        <f>IF(計算用!$AE$32="","",INDEX(計算用!$B$2:$B$721,計算用!$AE$32))</f>
        <v/>
      </c>
      <c r="D35" s="29">
        <f>IF(計算用!$AE$32="","",INDEX(計算用!$C$2:$C$721,計算用!$AE$32))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IF(計算用!$AE$33="","",32)</f>
        <v/>
      </c>
      <c r="B36" s="24">
        <f>IF(計算用!$AE$33="","",INDEX(計算用!$A$2:$A$721,計算用!$AE$33))</f>
        <v/>
      </c>
      <c r="C36" s="24">
        <f>IF(計算用!$AE$33="","",INDEX(計算用!$B$2:$B$721,計算用!$AE$33))</f>
        <v/>
      </c>
      <c r="D36" s="29">
        <f>IF(計算用!$AE$33="","",INDEX(計算用!$C$2:$C$721,計算用!$AE$33))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IF(計算用!$AE$34="","",33)</f>
        <v/>
      </c>
      <c r="B37" s="24">
        <f>IF(計算用!$AE$34="","",INDEX(計算用!$A$2:$A$721,計算用!$AE$34))</f>
        <v/>
      </c>
      <c r="C37" s="24">
        <f>IF(計算用!$AE$34="","",INDEX(計算用!$B$2:$B$721,計算用!$AE$34))</f>
        <v/>
      </c>
      <c r="D37" s="29">
        <f>IF(計算用!$AE$34="","",INDEX(計算用!$C$2:$C$721,計算用!$AE$34))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IF(計算用!$AE$35="","",34)</f>
        <v/>
      </c>
      <c r="B38" s="24">
        <f>IF(計算用!$AE$35="","",INDEX(計算用!$A$2:$A$721,計算用!$AE$35))</f>
        <v/>
      </c>
      <c r="C38" s="24">
        <f>IF(計算用!$AE$35="","",INDEX(計算用!$B$2:$B$721,計算用!$AE$35))</f>
        <v/>
      </c>
      <c r="D38" s="29">
        <f>IF(計算用!$AE$35="","",INDEX(計算用!$C$2:$C$721,計算用!$AE$35))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IF(計算用!$AE$36="","",35)</f>
        <v/>
      </c>
      <c r="B39" s="24">
        <f>IF(計算用!$AE$36="","",INDEX(計算用!$A$2:$A$721,計算用!$AE$36))</f>
        <v/>
      </c>
      <c r="C39" s="24">
        <f>IF(計算用!$AE$36="","",INDEX(計算用!$B$2:$B$721,計算用!$AE$36))</f>
        <v/>
      </c>
      <c r="D39" s="29">
        <f>IF(計算用!$AE$36="","",INDEX(計算用!$C$2:$C$721,計算用!$AE$36))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IF(計算用!$AE$37="","",36)</f>
        <v/>
      </c>
      <c r="B40" s="24">
        <f>IF(計算用!$AE$37="","",INDEX(計算用!$A$2:$A$721,計算用!$AE$37))</f>
        <v/>
      </c>
      <c r="C40" s="24">
        <f>IF(計算用!$AE$37="","",INDEX(計算用!$B$2:$B$721,計算用!$AE$37))</f>
        <v/>
      </c>
      <c r="D40" s="29">
        <f>IF(計算用!$AE$37="","",INDEX(計算用!$C$2:$C$721,計算用!$AE$37))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IF(計算用!$AE$38="","",37)</f>
        <v/>
      </c>
      <c r="B41" s="24">
        <f>IF(計算用!$AE$38="","",INDEX(計算用!$A$2:$A$721,計算用!$AE$38))</f>
        <v/>
      </c>
      <c r="C41" s="24">
        <f>IF(計算用!$AE$38="","",INDEX(計算用!$B$2:$B$721,計算用!$AE$38))</f>
        <v/>
      </c>
      <c r="D41" s="29">
        <f>IF(計算用!$AE$38="","",INDEX(計算用!$C$2:$C$721,計算用!$AE$38))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IF(計算用!$AE$39="","",38)</f>
        <v/>
      </c>
      <c r="B42" s="24">
        <f>IF(計算用!$AE$39="","",INDEX(計算用!$A$2:$A$721,計算用!$AE$39))</f>
        <v/>
      </c>
      <c r="C42" s="24">
        <f>IF(計算用!$AE$39="","",INDEX(計算用!$B$2:$B$721,計算用!$AE$39))</f>
        <v/>
      </c>
      <c r="D42" s="29">
        <f>IF(計算用!$AE$39="","",INDEX(計算用!$C$2:$C$721,計算用!$AE$39))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IF(計算用!$AE$40="","",39)</f>
        <v/>
      </c>
      <c r="B43" s="24">
        <f>IF(計算用!$AE$40="","",INDEX(計算用!$A$2:$A$721,計算用!$AE$40))</f>
        <v/>
      </c>
      <c r="C43" s="24">
        <f>IF(計算用!$AE$40="","",INDEX(計算用!$B$2:$B$721,計算用!$AE$40))</f>
        <v/>
      </c>
      <c r="D43" s="29">
        <f>IF(計算用!$AE$40="","",INDEX(計算用!$C$2:$C$721,計算用!$AE$40))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IF(計算用!$AE$41="","",40)</f>
        <v/>
      </c>
      <c r="B44" s="24">
        <f>IF(計算用!$AE$41="","",INDEX(計算用!$A$2:$A$721,計算用!$AE$41))</f>
        <v/>
      </c>
      <c r="C44" s="24">
        <f>IF(計算用!$AE$41="","",INDEX(計算用!$B$2:$B$721,計算用!$AE$41))</f>
        <v/>
      </c>
      <c r="D44" s="29">
        <f>IF(計算用!$AE$41="","",INDEX(計算用!$C$2:$C$721,計算用!$AE$41))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IF(計算用!$AE$42="","",41)</f>
        <v/>
      </c>
      <c r="B45" s="24">
        <f>IF(計算用!$AE$42="","",INDEX(計算用!$A$2:$A$721,計算用!$AE$42))</f>
        <v/>
      </c>
      <c r="C45" s="24">
        <f>IF(計算用!$AE$42="","",INDEX(計算用!$B$2:$B$721,計算用!$AE$42))</f>
        <v/>
      </c>
      <c r="D45" s="29">
        <f>IF(計算用!$AE$42="","",INDEX(計算用!$C$2:$C$721,計算用!$AE$42))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IF(計算用!$AE$43="","",42)</f>
        <v/>
      </c>
      <c r="B46" s="24">
        <f>IF(計算用!$AE$43="","",INDEX(計算用!$A$2:$A$721,計算用!$AE$43))</f>
        <v/>
      </c>
      <c r="C46" s="24">
        <f>IF(計算用!$AE$43="","",INDEX(計算用!$B$2:$B$721,計算用!$AE$43))</f>
        <v/>
      </c>
      <c r="D46" s="29">
        <f>IF(計算用!$AE$43="","",INDEX(計算用!$C$2:$C$721,計算用!$AE$43))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IF(計算用!$AE$44="","",43)</f>
        <v/>
      </c>
      <c r="B47" s="24">
        <f>IF(計算用!$AE$44="","",INDEX(計算用!$A$2:$A$721,計算用!$AE$44))</f>
        <v/>
      </c>
      <c r="C47" s="24">
        <f>IF(計算用!$AE$44="","",INDEX(計算用!$B$2:$B$721,計算用!$AE$44))</f>
        <v/>
      </c>
      <c r="D47" s="29">
        <f>IF(計算用!$AE$44="","",INDEX(計算用!$C$2:$C$721,計算用!$AE$44))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IF(計算用!$AE$45="","",44)</f>
        <v/>
      </c>
      <c r="B48" s="24">
        <f>IF(計算用!$AE$45="","",INDEX(計算用!$A$2:$A$721,計算用!$AE$45))</f>
        <v/>
      </c>
      <c r="C48" s="24">
        <f>IF(計算用!$AE$45="","",INDEX(計算用!$B$2:$B$721,計算用!$AE$45))</f>
        <v/>
      </c>
      <c r="D48" s="29">
        <f>IF(計算用!$AE$45="","",INDEX(計算用!$C$2:$C$721,計算用!$AE$45))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IF(計算用!$AE$46="","",45)</f>
        <v/>
      </c>
      <c r="B49" s="24">
        <f>IF(計算用!$AE$46="","",INDEX(計算用!$A$2:$A$721,計算用!$AE$46))</f>
        <v/>
      </c>
      <c r="C49" s="24">
        <f>IF(計算用!$AE$46="","",INDEX(計算用!$B$2:$B$721,計算用!$AE$46))</f>
        <v/>
      </c>
      <c r="D49" s="29">
        <f>IF(計算用!$AE$46="","",INDEX(計算用!$C$2:$C$721,計算用!$AE$46))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IF(計算用!$AE$47="","",46)</f>
        <v/>
      </c>
      <c r="B50" s="24">
        <f>IF(計算用!$AE$47="","",INDEX(計算用!$A$2:$A$721,計算用!$AE$47))</f>
        <v/>
      </c>
      <c r="C50" s="24">
        <f>IF(計算用!$AE$47="","",INDEX(計算用!$B$2:$B$721,計算用!$AE$47))</f>
        <v/>
      </c>
      <c r="D50" s="29">
        <f>IF(計算用!$AE$47="","",INDEX(計算用!$C$2:$C$721,計算用!$AE$47))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IF(計算用!$AE$48="","",47)</f>
        <v/>
      </c>
      <c r="B51" s="24">
        <f>IF(計算用!$AE$48="","",INDEX(計算用!$A$2:$A$721,計算用!$AE$48))</f>
        <v/>
      </c>
      <c r="C51" s="24">
        <f>IF(計算用!$AE$48="","",INDEX(計算用!$B$2:$B$721,計算用!$AE$48))</f>
        <v/>
      </c>
      <c r="D51" s="29">
        <f>IF(計算用!$AE$48="","",INDEX(計算用!$C$2:$C$721,計算用!$AE$48))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IF(計算用!$AE$49="","",48)</f>
        <v/>
      </c>
      <c r="B52" s="24">
        <f>IF(計算用!$AE$49="","",INDEX(計算用!$A$2:$A$721,計算用!$AE$49))</f>
        <v/>
      </c>
      <c r="C52" s="24">
        <f>IF(計算用!$AE$49="","",INDEX(計算用!$B$2:$B$721,計算用!$AE$49))</f>
        <v/>
      </c>
      <c r="D52" s="29">
        <f>IF(計算用!$AE$49="","",INDEX(計算用!$C$2:$C$721,計算用!$AE$49))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IF(計算用!$AE$50="","",49)</f>
        <v/>
      </c>
      <c r="B53" s="24">
        <f>IF(計算用!$AE$50="","",INDEX(計算用!$A$2:$A$721,計算用!$AE$50))</f>
        <v/>
      </c>
      <c r="C53" s="24">
        <f>IF(計算用!$AE$50="","",INDEX(計算用!$B$2:$B$721,計算用!$AE$50))</f>
        <v/>
      </c>
      <c r="D53" s="29">
        <f>IF(計算用!$AE$50="","",INDEX(計算用!$C$2:$C$721,計算用!$AE$50))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IF(計算用!$AE$51="","",50)</f>
        <v/>
      </c>
      <c r="B54" s="24">
        <f>IF(計算用!$AE$51="","",INDEX(計算用!$A$2:$A$721,計算用!$AE$51))</f>
        <v/>
      </c>
      <c r="C54" s="24">
        <f>IF(計算用!$AE$51="","",INDEX(計算用!$B$2:$B$721,計算用!$AE$51))</f>
        <v/>
      </c>
      <c r="D54" s="29">
        <f>IF(計算用!$AE$51="","",INDEX(計算用!$C$2:$C$721,計算用!$AE$51))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7">
        <f>IF(設定!$I$30="","",設定!$B$3&amp;"　"&amp;設定!$I$30&amp;設定!$B$4&amp;"名簿")</f>
        <v/>
      </c>
      <c r="Q1" s="22" t="inlineStr">
        <is>
          <t>【入力なし】見る・印刷するだけ</t>
        </is>
      </c>
    </row>
    <row r="2">
      <c r="A2" s="28">
        <f>IF(設定!$I$30="","","担当："&amp;設定!$J$30&amp;"　　活動場所："&amp;設定!$K$30&amp;"　　人数："&amp;人数チェック!$E$26&amp;"名（"&amp;設定!$B$7&amp;"年"&amp;人数チェック!$C$26&amp;"・"&amp;設定!$B$8&amp;"年"&amp;人数チェック!$D$26&amp;"）")</f>
        <v/>
      </c>
    </row>
    <row r="3"/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4">
        <f>IF(計算用!$AF$2="","",1)</f>
        <v/>
      </c>
      <c r="B5" s="24">
        <f>IF(計算用!$AF$2="","",INDEX(計算用!$A$2:$A$721,計算用!$AF$2))</f>
        <v/>
      </c>
      <c r="C5" s="24">
        <f>IF(計算用!$AF$2="","",INDEX(計算用!$B$2:$B$721,計算用!$AF$2))</f>
        <v/>
      </c>
      <c r="D5" s="29">
        <f>IF(計算用!$AF$2="","",INDEX(計算用!$C$2:$C$721,計算用!$AF$2))</f>
        <v/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 ht="15" customHeight="1">
      <c r="A6" s="24">
        <f>IF(計算用!$AF$3="","",2)</f>
        <v/>
      </c>
      <c r="B6" s="24">
        <f>IF(計算用!$AF$3="","",INDEX(計算用!$A$2:$A$721,計算用!$AF$3))</f>
        <v/>
      </c>
      <c r="C6" s="24">
        <f>IF(計算用!$AF$3="","",INDEX(計算用!$B$2:$B$721,計算用!$AF$3))</f>
        <v/>
      </c>
      <c r="D6" s="29">
        <f>IF(計算用!$AF$3="","",INDEX(計算用!$C$2:$C$721,計算用!$AF$3))</f>
        <v/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 ht="15" customHeight="1">
      <c r="A7" s="24">
        <f>IF(計算用!$AF$4="","",3)</f>
        <v/>
      </c>
      <c r="B7" s="24">
        <f>IF(計算用!$AF$4="","",INDEX(計算用!$A$2:$A$721,計算用!$AF$4))</f>
        <v/>
      </c>
      <c r="C7" s="24">
        <f>IF(計算用!$AF$4="","",INDEX(計算用!$B$2:$B$721,計算用!$AF$4))</f>
        <v/>
      </c>
      <c r="D7" s="29">
        <f>IF(計算用!$AF$4="","",INDEX(計算用!$C$2:$C$721,計算用!$AF$4))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 ht="15" customHeight="1">
      <c r="A8" s="24">
        <f>IF(計算用!$AF$5="","",4)</f>
        <v/>
      </c>
      <c r="B8" s="24">
        <f>IF(計算用!$AF$5="","",INDEX(計算用!$A$2:$A$721,計算用!$AF$5))</f>
        <v/>
      </c>
      <c r="C8" s="24">
        <f>IF(計算用!$AF$5="","",INDEX(計算用!$B$2:$B$721,計算用!$AF$5))</f>
        <v/>
      </c>
      <c r="D8" s="29">
        <f>IF(計算用!$AF$5="","",INDEX(計算用!$C$2:$C$721,計算用!$AF$5))</f>
        <v/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 ht="15" customHeight="1">
      <c r="A9" s="24">
        <f>IF(計算用!$AF$6="","",5)</f>
        <v/>
      </c>
      <c r="B9" s="24">
        <f>IF(計算用!$AF$6="","",INDEX(計算用!$A$2:$A$721,計算用!$AF$6))</f>
        <v/>
      </c>
      <c r="C9" s="24">
        <f>IF(計算用!$AF$6="","",INDEX(計算用!$B$2:$B$721,計算用!$AF$6))</f>
        <v/>
      </c>
      <c r="D9" s="29">
        <f>IF(計算用!$AF$6="","",INDEX(計算用!$C$2:$C$721,計算用!$AF$6))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 ht="15" customHeight="1">
      <c r="A10" s="24">
        <f>IF(計算用!$AF$7="","",6)</f>
        <v/>
      </c>
      <c r="B10" s="24">
        <f>IF(計算用!$AF$7="","",INDEX(計算用!$A$2:$A$721,計算用!$AF$7))</f>
        <v/>
      </c>
      <c r="C10" s="24">
        <f>IF(計算用!$AF$7="","",INDEX(計算用!$B$2:$B$721,計算用!$AF$7))</f>
        <v/>
      </c>
      <c r="D10" s="29">
        <f>IF(計算用!$AF$7="","",INDEX(計算用!$C$2:$C$721,計算用!$AF$7))</f>
        <v/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 ht="15" customHeight="1">
      <c r="A11" s="24">
        <f>IF(計算用!$AF$8="","",7)</f>
        <v/>
      </c>
      <c r="B11" s="24">
        <f>IF(計算用!$AF$8="","",INDEX(計算用!$A$2:$A$721,計算用!$AF$8))</f>
        <v/>
      </c>
      <c r="C11" s="24">
        <f>IF(計算用!$AF$8="","",INDEX(計算用!$B$2:$B$721,計算用!$AF$8))</f>
        <v/>
      </c>
      <c r="D11" s="29">
        <f>IF(計算用!$AF$8="","",INDEX(計算用!$C$2:$C$721,計算用!$AF$8))</f>
        <v/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 ht="15" customHeight="1">
      <c r="A12" s="24">
        <f>IF(計算用!$AF$9="","",8)</f>
        <v/>
      </c>
      <c r="B12" s="24">
        <f>IF(計算用!$AF$9="","",INDEX(計算用!$A$2:$A$721,計算用!$AF$9))</f>
        <v/>
      </c>
      <c r="C12" s="24">
        <f>IF(計算用!$AF$9="","",INDEX(計算用!$B$2:$B$721,計算用!$AF$9))</f>
        <v/>
      </c>
      <c r="D12" s="29">
        <f>IF(計算用!$AF$9="","",INDEX(計算用!$C$2:$C$721,計算用!$AF$9))</f>
        <v/>
      </c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 ht="15" customHeight="1">
      <c r="A13" s="24">
        <f>IF(計算用!$AF$10="","",9)</f>
        <v/>
      </c>
      <c r="B13" s="24">
        <f>IF(計算用!$AF$10="","",INDEX(計算用!$A$2:$A$721,計算用!$AF$10))</f>
        <v/>
      </c>
      <c r="C13" s="24">
        <f>IF(計算用!$AF$10="","",INDEX(計算用!$B$2:$B$721,計算用!$AF$10))</f>
        <v/>
      </c>
      <c r="D13" s="29">
        <f>IF(計算用!$AF$10="","",INDEX(計算用!$C$2:$C$721,計算用!$AF$10))</f>
        <v/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 ht="15" customHeight="1">
      <c r="A14" s="24">
        <f>IF(計算用!$AF$11="","",10)</f>
        <v/>
      </c>
      <c r="B14" s="24">
        <f>IF(計算用!$AF$11="","",INDEX(計算用!$A$2:$A$721,計算用!$AF$11))</f>
        <v/>
      </c>
      <c r="C14" s="24">
        <f>IF(計算用!$AF$11="","",INDEX(計算用!$B$2:$B$721,計算用!$AF$11))</f>
        <v/>
      </c>
      <c r="D14" s="29">
        <f>IF(計算用!$AF$11="","",INDEX(計算用!$C$2:$C$721,計算用!$AF$11))</f>
        <v/>
      </c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 ht="15" customHeight="1">
      <c r="A15" s="24">
        <f>IF(計算用!$AF$12="","",11)</f>
        <v/>
      </c>
      <c r="B15" s="24">
        <f>IF(計算用!$AF$12="","",INDEX(計算用!$A$2:$A$721,計算用!$AF$12))</f>
        <v/>
      </c>
      <c r="C15" s="24">
        <f>IF(計算用!$AF$12="","",INDEX(計算用!$B$2:$B$721,計算用!$AF$12))</f>
        <v/>
      </c>
      <c r="D15" s="29">
        <f>IF(計算用!$AF$12="","",INDEX(計算用!$C$2:$C$721,計算用!$AF$12))</f>
        <v/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 ht="15" customHeight="1">
      <c r="A16" s="24">
        <f>IF(計算用!$AF$13="","",12)</f>
        <v/>
      </c>
      <c r="B16" s="24">
        <f>IF(計算用!$AF$13="","",INDEX(計算用!$A$2:$A$721,計算用!$AF$13))</f>
        <v/>
      </c>
      <c r="C16" s="24">
        <f>IF(計算用!$AF$13="","",INDEX(計算用!$B$2:$B$721,計算用!$AF$13))</f>
        <v/>
      </c>
      <c r="D16" s="29">
        <f>IF(計算用!$AF$13="","",INDEX(計算用!$C$2:$C$721,計算用!$AF$13))</f>
        <v/>
      </c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 ht="15" customHeight="1">
      <c r="A17" s="24">
        <f>IF(計算用!$AF$14="","",13)</f>
        <v/>
      </c>
      <c r="B17" s="24">
        <f>IF(計算用!$AF$14="","",INDEX(計算用!$A$2:$A$721,計算用!$AF$14))</f>
        <v/>
      </c>
      <c r="C17" s="24">
        <f>IF(計算用!$AF$14="","",INDEX(計算用!$B$2:$B$721,計算用!$AF$14))</f>
        <v/>
      </c>
      <c r="D17" s="29">
        <f>IF(計算用!$AF$14="","",INDEX(計算用!$C$2:$C$721,計算用!$AF$14))</f>
        <v/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 ht="15" customHeight="1">
      <c r="A18" s="24">
        <f>IF(計算用!$AF$15="","",14)</f>
        <v/>
      </c>
      <c r="B18" s="24">
        <f>IF(計算用!$AF$15="","",INDEX(計算用!$A$2:$A$721,計算用!$AF$15))</f>
        <v/>
      </c>
      <c r="C18" s="24">
        <f>IF(計算用!$AF$15="","",INDEX(計算用!$B$2:$B$721,計算用!$AF$15))</f>
        <v/>
      </c>
      <c r="D18" s="29">
        <f>IF(計算用!$AF$15="","",INDEX(計算用!$C$2:$C$721,計算用!$AF$15))</f>
        <v/>
      </c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 ht="15" customHeight="1">
      <c r="A19" s="24">
        <f>IF(計算用!$AF$16="","",15)</f>
        <v/>
      </c>
      <c r="B19" s="24">
        <f>IF(計算用!$AF$16="","",INDEX(計算用!$A$2:$A$721,計算用!$AF$16))</f>
        <v/>
      </c>
      <c r="C19" s="24">
        <f>IF(計算用!$AF$16="","",INDEX(計算用!$B$2:$B$721,計算用!$AF$16))</f>
        <v/>
      </c>
      <c r="D19" s="29">
        <f>IF(計算用!$AF$16="","",INDEX(計算用!$C$2:$C$721,計算用!$AF$16))</f>
        <v/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 ht="15" customHeight="1">
      <c r="A20" s="24">
        <f>IF(計算用!$AF$17="","",16)</f>
        <v/>
      </c>
      <c r="B20" s="24">
        <f>IF(計算用!$AF$17="","",INDEX(計算用!$A$2:$A$721,計算用!$AF$17))</f>
        <v/>
      </c>
      <c r="C20" s="24">
        <f>IF(計算用!$AF$17="","",INDEX(計算用!$B$2:$B$721,計算用!$AF$17))</f>
        <v/>
      </c>
      <c r="D20" s="29">
        <f>IF(計算用!$AF$17="","",INDEX(計算用!$C$2:$C$721,計算用!$AF$17))</f>
        <v/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 ht="15" customHeight="1">
      <c r="A21" s="24">
        <f>IF(計算用!$AF$18="","",17)</f>
        <v/>
      </c>
      <c r="B21" s="24">
        <f>IF(計算用!$AF$18="","",INDEX(計算用!$A$2:$A$721,計算用!$AF$18))</f>
        <v/>
      </c>
      <c r="C21" s="24">
        <f>IF(計算用!$AF$18="","",INDEX(計算用!$B$2:$B$721,計算用!$AF$18))</f>
        <v/>
      </c>
      <c r="D21" s="29">
        <f>IF(計算用!$AF$18="","",INDEX(計算用!$C$2:$C$721,計算用!$AF$18))</f>
        <v/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 ht="15" customHeight="1">
      <c r="A22" s="24">
        <f>IF(計算用!$AF$19="","",18)</f>
        <v/>
      </c>
      <c r="B22" s="24">
        <f>IF(計算用!$AF$19="","",INDEX(計算用!$A$2:$A$721,計算用!$AF$19))</f>
        <v/>
      </c>
      <c r="C22" s="24">
        <f>IF(計算用!$AF$19="","",INDEX(計算用!$B$2:$B$721,計算用!$AF$19))</f>
        <v/>
      </c>
      <c r="D22" s="29">
        <f>IF(計算用!$AF$19="","",INDEX(計算用!$C$2:$C$721,計算用!$AF$19))</f>
        <v/>
      </c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15" customHeight="1">
      <c r="A23" s="24">
        <f>IF(計算用!$AF$20="","",19)</f>
        <v/>
      </c>
      <c r="B23" s="24">
        <f>IF(計算用!$AF$20="","",INDEX(計算用!$A$2:$A$721,計算用!$AF$20))</f>
        <v/>
      </c>
      <c r="C23" s="24">
        <f>IF(計算用!$AF$20="","",INDEX(計算用!$B$2:$B$721,計算用!$AF$20))</f>
        <v/>
      </c>
      <c r="D23" s="29">
        <f>IF(計算用!$AF$20="","",INDEX(計算用!$C$2:$C$721,計算用!$AF$20))</f>
        <v/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 ht="15" customHeight="1">
      <c r="A24" s="24">
        <f>IF(計算用!$AF$21="","",20)</f>
        <v/>
      </c>
      <c r="B24" s="24">
        <f>IF(計算用!$AF$21="","",INDEX(計算用!$A$2:$A$721,計算用!$AF$21))</f>
        <v/>
      </c>
      <c r="C24" s="24">
        <f>IF(計算用!$AF$21="","",INDEX(計算用!$B$2:$B$721,計算用!$AF$21))</f>
        <v/>
      </c>
      <c r="D24" s="29">
        <f>IF(計算用!$AF$21="","",INDEX(計算用!$C$2:$C$721,計算用!$AF$21))</f>
        <v/>
      </c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 ht="15" customHeight="1">
      <c r="A25" s="24">
        <f>IF(計算用!$AF$22="","",21)</f>
        <v/>
      </c>
      <c r="B25" s="24">
        <f>IF(計算用!$AF$22="","",INDEX(計算用!$A$2:$A$721,計算用!$AF$22))</f>
        <v/>
      </c>
      <c r="C25" s="24">
        <f>IF(計算用!$AF$22="","",INDEX(計算用!$B$2:$B$721,計算用!$AF$22))</f>
        <v/>
      </c>
      <c r="D25" s="29">
        <f>IF(計算用!$AF$22="","",INDEX(計算用!$C$2:$C$721,計算用!$AF$22))</f>
        <v/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 ht="15" customHeight="1">
      <c r="A26" s="24">
        <f>IF(計算用!$AF$23="","",22)</f>
        <v/>
      </c>
      <c r="B26" s="24">
        <f>IF(計算用!$AF$23="","",INDEX(計算用!$A$2:$A$721,計算用!$AF$23))</f>
        <v/>
      </c>
      <c r="C26" s="24">
        <f>IF(計算用!$AF$23="","",INDEX(計算用!$B$2:$B$721,計算用!$AF$23))</f>
        <v/>
      </c>
      <c r="D26" s="29">
        <f>IF(計算用!$AF$23="","",INDEX(計算用!$C$2:$C$721,計算用!$AF$23))</f>
        <v/>
      </c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 ht="15" customHeight="1">
      <c r="A27" s="24">
        <f>IF(計算用!$AF$24="","",23)</f>
        <v/>
      </c>
      <c r="B27" s="24">
        <f>IF(計算用!$AF$24="","",INDEX(計算用!$A$2:$A$721,計算用!$AF$24))</f>
        <v/>
      </c>
      <c r="C27" s="24">
        <f>IF(計算用!$AF$24="","",INDEX(計算用!$B$2:$B$721,計算用!$AF$24))</f>
        <v/>
      </c>
      <c r="D27" s="29">
        <f>IF(計算用!$AF$24="","",INDEX(計算用!$C$2:$C$721,計算用!$AF$24))</f>
        <v/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 ht="15" customHeight="1">
      <c r="A28" s="24">
        <f>IF(計算用!$AF$25="","",24)</f>
        <v/>
      </c>
      <c r="B28" s="24">
        <f>IF(計算用!$AF$25="","",INDEX(計算用!$A$2:$A$721,計算用!$AF$25))</f>
        <v/>
      </c>
      <c r="C28" s="24">
        <f>IF(計算用!$AF$25="","",INDEX(計算用!$B$2:$B$721,計算用!$AF$25))</f>
        <v/>
      </c>
      <c r="D28" s="29">
        <f>IF(計算用!$AF$25="","",INDEX(計算用!$C$2:$C$721,計算用!$AF$25))</f>
        <v/>
      </c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 ht="15" customHeight="1">
      <c r="A29" s="24">
        <f>IF(計算用!$AF$26="","",25)</f>
        <v/>
      </c>
      <c r="B29" s="24">
        <f>IF(計算用!$AF$26="","",INDEX(計算用!$A$2:$A$721,計算用!$AF$26))</f>
        <v/>
      </c>
      <c r="C29" s="24">
        <f>IF(計算用!$AF$26="","",INDEX(計算用!$B$2:$B$721,計算用!$AF$26))</f>
        <v/>
      </c>
      <c r="D29" s="29">
        <f>IF(計算用!$AF$26="","",INDEX(計算用!$C$2:$C$721,計算用!$AF$26))</f>
        <v/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 ht="15" customHeight="1">
      <c r="A30" s="24">
        <f>IF(計算用!$AF$27="","",26)</f>
        <v/>
      </c>
      <c r="B30" s="24">
        <f>IF(計算用!$AF$27="","",INDEX(計算用!$A$2:$A$721,計算用!$AF$27))</f>
        <v/>
      </c>
      <c r="C30" s="24">
        <f>IF(計算用!$AF$27="","",INDEX(計算用!$B$2:$B$721,計算用!$AF$27))</f>
        <v/>
      </c>
      <c r="D30" s="29">
        <f>IF(計算用!$AF$27="","",INDEX(計算用!$C$2:$C$721,計算用!$AF$27))</f>
        <v/>
      </c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 ht="15" customHeight="1">
      <c r="A31" s="24">
        <f>IF(計算用!$AF$28="","",27)</f>
        <v/>
      </c>
      <c r="B31" s="24">
        <f>IF(計算用!$AF$28="","",INDEX(計算用!$A$2:$A$721,計算用!$AF$28))</f>
        <v/>
      </c>
      <c r="C31" s="24">
        <f>IF(計算用!$AF$28="","",INDEX(計算用!$B$2:$B$721,計算用!$AF$28))</f>
        <v/>
      </c>
      <c r="D31" s="29">
        <f>IF(計算用!$AF$28="","",INDEX(計算用!$C$2:$C$721,計算用!$AF$28))</f>
        <v/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 ht="15" customHeight="1">
      <c r="A32" s="24">
        <f>IF(計算用!$AF$29="","",28)</f>
        <v/>
      </c>
      <c r="B32" s="24">
        <f>IF(計算用!$AF$29="","",INDEX(計算用!$A$2:$A$721,計算用!$AF$29))</f>
        <v/>
      </c>
      <c r="C32" s="24">
        <f>IF(計算用!$AF$29="","",INDEX(計算用!$B$2:$B$721,計算用!$AF$29))</f>
        <v/>
      </c>
      <c r="D32" s="29">
        <f>IF(計算用!$AF$29="","",INDEX(計算用!$C$2:$C$721,計算用!$AF$29))</f>
        <v/>
      </c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 ht="15" customHeight="1">
      <c r="A33" s="24">
        <f>IF(計算用!$AF$30="","",29)</f>
        <v/>
      </c>
      <c r="B33" s="24">
        <f>IF(計算用!$AF$30="","",INDEX(計算用!$A$2:$A$721,計算用!$AF$30))</f>
        <v/>
      </c>
      <c r="C33" s="24">
        <f>IF(計算用!$AF$30="","",INDEX(計算用!$B$2:$B$721,計算用!$AF$30))</f>
        <v/>
      </c>
      <c r="D33" s="29">
        <f>IF(計算用!$AF$30="","",INDEX(計算用!$C$2:$C$721,計算用!$AF$30))</f>
        <v/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 ht="15" customHeight="1">
      <c r="A34" s="24">
        <f>IF(計算用!$AF$31="","",30)</f>
        <v/>
      </c>
      <c r="B34" s="24">
        <f>IF(計算用!$AF$31="","",INDEX(計算用!$A$2:$A$721,計算用!$AF$31))</f>
        <v/>
      </c>
      <c r="C34" s="24">
        <f>IF(計算用!$AF$31="","",INDEX(計算用!$B$2:$B$721,計算用!$AF$31))</f>
        <v/>
      </c>
      <c r="D34" s="29">
        <f>IF(計算用!$AF$31="","",INDEX(計算用!$C$2:$C$721,計算用!$AF$31))</f>
        <v/>
      </c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 ht="15" customHeight="1">
      <c r="A35" s="24">
        <f>IF(計算用!$AF$32="","",31)</f>
        <v/>
      </c>
      <c r="B35" s="24">
        <f>IF(計算用!$AF$32="","",INDEX(計算用!$A$2:$A$721,計算用!$AF$32))</f>
        <v/>
      </c>
      <c r="C35" s="24">
        <f>IF(計算用!$AF$32="","",INDEX(計算用!$B$2:$B$721,計算用!$AF$32))</f>
        <v/>
      </c>
      <c r="D35" s="29">
        <f>IF(計算用!$AF$32="","",INDEX(計算用!$C$2:$C$721,計算用!$AF$32))</f>
        <v/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 ht="15" customHeight="1">
      <c r="A36" s="24">
        <f>IF(計算用!$AF$33="","",32)</f>
        <v/>
      </c>
      <c r="B36" s="24">
        <f>IF(計算用!$AF$33="","",INDEX(計算用!$A$2:$A$721,計算用!$AF$33))</f>
        <v/>
      </c>
      <c r="C36" s="24">
        <f>IF(計算用!$AF$33="","",INDEX(計算用!$B$2:$B$721,計算用!$AF$33))</f>
        <v/>
      </c>
      <c r="D36" s="29">
        <f>IF(計算用!$AF$33="","",INDEX(計算用!$C$2:$C$721,計算用!$AF$33))</f>
        <v/>
      </c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 ht="15" customHeight="1">
      <c r="A37" s="24">
        <f>IF(計算用!$AF$34="","",33)</f>
        <v/>
      </c>
      <c r="B37" s="24">
        <f>IF(計算用!$AF$34="","",INDEX(計算用!$A$2:$A$721,計算用!$AF$34))</f>
        <v/>
      </c>
      <c r="C37" s="24">
        <f>IF(計算用!$AF$34="","",INDEX(計算用!$B$2:$B$721,計算用!$AF$34))</f>
        <v/>
      </c>
      <c r="D37" s="29">
        <f>IF(計算用!$AF$34="","",INDEX(計算用!$C$2:$C$721,計算用!$AF$34))</f>
        <v/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 ht="15" customHeight="1">
      <c r="A38" s="24">
        <f>IF(計算用!$AF$35="","",34)</f>
        <v/>
      </c>
      <c r="B38" s="24">
        <f>IF(計算用!$AF$35="","",INDEX(計算用!$A$2:$A$721,計算用!$AF$35))</f>
        <v/>
      </c>
      <c r="C38" s="24">
        <f>IF(計算用!$AF$35="","",INDEX(計算用!$B$2:$B$721,計算用!$AF$35))</f>
        <v/>
      </c>
      <c r="D38" s="29">
        <f>IF(計算用!$AF$35="","",INDEX(計算用!$C$2:$C$721,計算用!$AF$35))</f>
        <v/>
      </c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 ht="15" customHeight="1">
      <c r="A39" s="24">
        <f>IF(計算用!$AF$36="","",35)</f>
        <v/>
      </c>
      <c r="B39" s="24">
        <f>IF(計算用!$AF$36="","",INDEX(計算用!$A$2:$A$721,計算用!$AF$36))</f>
        <v/>
      </c>
      <c r="C39" s="24">
        <f>IF(計算用!$AF$36="","",INDEX(計算用!$B$2:$B$721,計算用!$AF$36))</f>
        <v/>
      </c>
      <c r="D39" s="29">
        <f>IF(計算用!$AF$36="","",INDEX(計算用!$C$2:$C$721,計算用!$AF$36))</f>
        <v/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 ht="15" customHeight="1">
      <c r="A40" s="24">
        <f>IF(計算用!$AF$37="","",36)</f>
        <v/>
      </c>
      <c r="B40" s="24">
        <f>IF(計算用!$AF$37="","",INDEX(計算用!$A$2:$A$721,計算用!$AF$37))</f>
        <v/>
      </c>
      <c r="C40" s="24">
        <f>IF(計算用!$AF$37="","",INDEX(計算用!$B$2:$B$721,計算用!$AF$37))</f>
        <v/>
      </c>
      <c r="D40" s="29">
        <f>IF(計算用!$AF$37="","",INDEX(計算用!$C$2:$C$721,計算用!$AF$37))</f>
        <v/>
      </c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 ht="15" customHeight="1">
      <c r="A41" s="24">
        <f>IF(計算用!$AF$38="","",37)</f>
        <v/>
      </c>
      <c r="B41" s="24">
        <f>IF(計算用!$AF$38="","",INDEX(計算用!$A$2:$A$721,計算用!$AF$38))</f>
        <v/>
      </c>
      <c r="C41" s="24">
        <f>IF(計算用!$AF$38="","",INDEX(計算用!$B$2:$B$721,計算用!$AF$38))</f>
        <v/>
      </c>
      <c r="D41" s="29">
        <f>IF(計算用!$AF$38="","",INDEX(計算用!$C$2:$C$721,計算用!$AF$38))</f>
        <v/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 ht="15" customHeight="1">
      <c r="A42" s="24">
        <f>IF(計算用!$AF$39="","",38)</f>
        <v/>
      </c>
      <c r="B42" s="24">
        <f>IF(計算用!$AF$39="","",INDEX(計算用!$A$2:$A$721,計算用!$AF$39))</f>
        <v/>
      </c>
      <c r="C42" s="24">
        <f>IF(計算用!$AF$39="","",INDEX(計算用!$B$2:$B$721,計算用!$AF$39))</f>
        <v/>
      </c>
      <c r="D42" s="29">
        <f>IF(計算用!$AF$39="","",INDEX(計算用!$C$2:$C$721,計算用!$AF$39))</f>
        <v/>
      </c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 ht="15" customHeight="1">
      <c r="A43" s="24">
        <f>IF(計算用!$AF$40="","",39)</f>
        <v/>
      </c>
      <c r="B43" s="24">
        <f>IF(計算用!$AF$40="","",INDEX(計算用!$A$2:$A$721,計算用!$AF$40))</f>
        <v/>
      </c>
      <c r="C43" s="24">
        <f>IF(計算用!$AF$40="","",INDEX(計算用!$B$2:$B$721,計算用!$AF$40))</f>
        <v/>
      </c>
      <c r="D43" s="29">
        <f>IF(計算用!$AF$40="","",INDEX(計算用!$C$2:$C$721,計算用!$AF$40))</f>
        <v/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 ht="15" customHeight="1">
      <c r="A44" s="24">
        <f>IF(計算用!$AF$41="","",40)</f>
        <v/>
      </c>
      <c r="B44" s="24">
        <f>IF(計算用!$AF$41="","",INDEX(計算用!$A$2:$A$721,計算用!$AF$41))</f>
        <v/>
      </c>
      <c r="C44" s="24">
        <f>IF(計算用!$AF$41="","",INDEX(計算用!$B$2:$B$721,計算用!$AF$41))</f>
        <v/>
      </c>
      <c r="D44" s="29">
        <f>IF(計算用!$AF$41="","",INDEX(計算用!$C$2:$C$721,計算用!$AF$41))</f>
        <v/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 ht="15" customHeight="1">
      <c r="A45" s="24">
        <f>IF(計算用!$AF$42="","",41)</f>
        <v/>
      </c>
      <c r="B45" s="24">
        <f>IF(計算用!$AF$42="","",INDEX(計算用!$A$2:$A$721,計算用!$AF$42))</f>
        <v/>
      </c>
      <c r="C45" s="24">
        <f>IF(計算用!$AF$42="","",INDEX(計算用!$B$2:$B$721,計算用!$AF$42))</f>
        <v/>
      </c>
      <c r="D45" s="29">
        <f>IF(計算用!$AF$42="","",INDEX(計算用!$C$2:$C$721,計算用!$AF$42))</f>
        <v/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 ht="15" customHeight="1">
      <c r="A46" s="24">
        <f>IF(計算用!$AF$43="","",42)</f>
        <v/>
      </c>
      <c r="B46" s="24">
        <f>IF(計算用!$AF$43="","",INDEX(計算用!$A$2:$A$721,計算用!$AF$43))</f>
        <v/>
      </c>
      <c r="C46" s="24">
        <f>IF(計算用!$AF$43="","",INDEX(計算用!$B$2:$B$721,計算用!$AF$43))</f>
        <v/>
      </c>
      <c r="D46" s="29">
        <f>IF(計算用!$AF$43="","",INDEX(計算用!$C$2:$C$721,計算用!$AF$43))</f>
        <v/>
      </c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 ht="15" customHeight="1">
      <c r="A47" s="24">
        <f>IF(計算用!$AF$44="","",43)</f>
        <v/>
      </c>
      <c r="B47" s="24">
        <f>IF(計算用!$AF$44="","",INDEX(計算用!$A$2:$A$721,計算用!$AF$44))</f>
        <v/>
      </c>
      <c r="C47" s="24">
        <f>IF(計算用!$AF$44="","",INDEX(計算用!$B$2:$B$721,計算用!$AF$44))</f>
        <v/>
      </c>
      <c r="D47" s="29">
        <f>IF(計算用!$AF$44="","",INDEX(計算用!$C$2:$C$721,計算用!$AF$44))</f>
        <v/>
      </c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 ht="15" customHeight="1">
      <c r="A48" s="24">
        <f>IF(計算用!$AF$45="","",44)</f>
        <v/>
      </c>
      <c r="B48" s="24">
        <f>IF(計算用!$AF$45="","",INDEX(計算用!$A$2:$A$721,計算用!$AF$45))</f>
        <v/>
      </c>
      <c r="C48" s="24">
        <f>IF(計算用!$AF$45="","",INDEX(計算用!$B$2:$B$721,計算用!$AF$45))</f>
        <v/>
      </c>
      <c r="D48" s="29">
        <f>IF(計算用!$AF$45="","",INDEX(計算用!$C$2:$C$721,計算用!$AF$45))</f>
        <v/>
      </c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 ht="15" customHeight="1">
      <c r="A49" s="24">
        <f>IF(計算用!$AF$46="","",45)</f>
        <v/>
      </c>
      <c r="B49" s="24">
        <f>IF(計算用!$AF$46="","",INDEX(計算用!$A$2:$A$721,計算用!$AF$46))</f>
        <v/>
      </c>
      <c r="C49" s="24">
        <f>IF(計算用!$AF$46="","",INDEX(計算用!$B$2:$B$721,計算用!$AF$46))</f>
        <v/>
      </c>
      <c r="D49" s="29">
        <f>IF(計算用!$AF$46="","",INDEX(計算用!$C$2:$C$721,計算用!$AF$46))</f>
        <v/>
      </c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 ht="15" customHeight="1">
      <c r="A50" s="24">
        <f>IF(計算用!$AF$47="","",46)</f>
        <v/>
      </c>
      <c r="B50" s="24">
        <f>IF(計算用!$AF$47="","",INDEX(計算用!$A$2:$A$721,計算用!$AF$47))</f>
        <v/>
      </c>
      <c r="C50" s="24">
        <f>IF(計算用!$AF$47="","",INDEX(計算用!$B$2:$B$721,計算用!$AF$47))</f>
        <v/>
      </c>
      <c r="D50" s="29">
        <f>IF(計算用!$AF$47="","",INDEX(計算用!$C$2:$C$721,計算用!$AF$47))</f>
        <v/>
      </c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 ht="15" customHeight="1">
      <c r="A51" s="24">
        <f>IF(計算用!$AF$48="","",47)</f>
        <v/>
      </c>
      <c r="B51" s="24">
        <f>IF(計算用!$AF$48="","",INDEX(計算用!$A$2:$A$721,計算用!$AF$48))</f>
        <v/>
      </c>
      <c r="C51" s="24">
        <f>IF(計算用!$AF$48="","",INDEX(計算用!$B$2:$B$721,計算用!$AF$48))</f>
        <v/>
      </c>
      <c r="D51" s="29">
        <f>IF(計算用!$AF$48="","",INDEX(計算用!$C$2:$C$721,計算用!$AF$48))</f>
        <v/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 ht="15" customHeight="1">
      <c r="A52" s="24">
        <f>IF(計算用!$AF$49="","",48)</f>
        <v/>
      </c>
      <c r="B52" s="24">
        <f>IF(計算用!$AF$49="","",INDEX(計算用!$A$2:$A$721,計算用!$AF$49))</f>
        <v/>
      </c>
      <c r="C52" s="24">
        <f>IF(計算用!$AF$49="","",INDEX(計算用!$B$2:$B$721,計算用!$AF$49))</f>
        <v/>
      </c>
      <c r="D52" s="29">
        <f>IF(計算用!$AF$49="","",INDEX(計算用!$C$2:$C$721,計算用!$AF$49))</f>
        <v/>
      </c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 ht="15" customHeight="1">
      <c r="A53" s="24">
        <f>IF(計算用!$AF$50="","",49)</f>
        <v/>
      </c>
      <c r="B53" s="24">
        <f>IF(計算用!$AF$50="","",INDEX(計算用!$A$2:$A$721,計算用!$AF$50))</f>
        <v/>
      </c>
      <c r="C53" s="24">
        <f>IF(計算用!$AF$50="","",INDEX(計算用!$B$2:$B$721,計算用!$AF$50))</f>
        <v/>
      </c>
      <c r="D53" s="29">
        <f>IF(計算用!$AF$50="","",INDEX(計算用!$C$2:$C$721,計算用!$AF$50))</f>
        <v/>
      </c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 ht="15" customHeight="1">
      <c r="A54" s="24">
        <f>IF(計算用!$AF$51="","",50)</f>
        <v/>
      </c>
      <c r="B54" s="24">
        <f>IF(計算用!$AF$51="","",INDEX(計算用!$A$2:$A$721,計算用!$AF$51))</f>
        <v/>
      </c>
      <c r="C54" s="24">
        <f>IF(計算用!$AF$51="","",INDEX(計算用!$B$2:$B$721,計算用!$AF$51))</f>
        <v/>
      </c>
      <c r="D54" s="29">
        <f>IF(計算用!$AF$51="","",INDEX(計算用!$C$2:$C$721,計算用!$AF$51))</f>
        <v/>
      </c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72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組表示</t>
        </is>
      </c>
      <c r="B1" s="30" t="inlineStr">
        <is>
          <t>番号</t>
        </is>
      </c>
      <c r="C1" s="30" t="inlineStr">
        <is>
          <t>名前</t>
        </is>
      </c>
      <c r="D1" s="30" t="inlineStr">
        <is>
          <t>委員会</t>
        </is>
      </c>
      <c r="E1" s="30" t="inlineStr">
        <is>
          <t>No</t>
        </is>
      </c>
      <c r="F1" s="30" t="inlineStr">
        <is>
          <t>順</t>
        </is>
      </c>
      <c r="G1" s="30" t="inlineStr">
        <is>
          <t>キー</t>
        </is>
      </c>
      <c r="H1" s="30" t="inlineStr">
        <is>
          <t>学年</t>
        </is>
      </c>
      <c r="I1" s="30" t="inlineStr">
        <is>
          <t>未入力</t>
        </is>
      </c>
      <c r="J1" s="30" t="inlineStr">
        <is>
          <t>名前なし委員会</t>
        </is>
      </c>
      <c r="M1" s="30" t="n">
        <v>1</v>
      </c>
      <c r="N1" s="30" t="n">
        <v>2</v>
      </c>
      <c r="O1" s="30" t="n">
        <v>3</v>
      </c>
      <c r="P1" s="30" t="n">
        <v>4</v>
      </c>
      <c r="Q1" s="30" t="n">
        <v>5</v>
      </c>
      <c r="R1" s="30" t="n">
        <v>6</v>
      </c>
      <c r="S1" s="30" t="n">
        <v>7</v>
      </c>
      <c r="T1" s="30" t="n">
        <v>8</v>
      </c>
      <c r="U1" s="30" t="n">
        <v>9</v>
      </c>
      <c r="V1" s="30" t="n">
        <v>10</v>
      </c>
      <c r="W1" s="30" t="n">
        <v>11</v>
      </c>
      <c r="X1" s="30" t="n">
        <v>12</v>
      </c>
      <c r="Y1" s="30" t="n">
        <v>13</v>
      </c>
      <c r="Z1" s="30" t="n">
        <v>14</v>
      </c>
      <c r="AA1" s="30" t="n">
        <v>15</v>
      </c>
      <c r="AB1" s="30" t="n">
        <v>16</v>
      </c>
      <c r="AC1" s="30" t="n">
        <v>17</v>
      </c>
      <c r="AD1" s="30" t="n">
        <v>18</v>
      </c>
      <c r="AE1" s="30" t="n">
        <v>19</v>
      </c>
      <c r="AF1" s="30" t="n">
        <v>20</v>
      </c>
    </row>
    <row r="2">
      <c r="A2" s="31">
        <f>IF('6年'!B5="","",設定!$C$11)</f>
        <v/>
      </c>
      <c r="B2" s="31">
        <f>IF('6年'!B5="","",'6年'!A5)</f>
        <v/>
      </c>
      <c r="C2" s="31">
        <f>IF('6年'!B5="","",'6年'!B5)</f>
        <v/>
      </c>
      <c r="D2" s="31">
        <f>IF('6年'!B5="","",'6年'!C5&amp;"")</f>
        <v/>
      </c>
      <c r="E2" s="31">
        <f>IF(D2="","",IFERROR(MATCH(D2,設定!$I$11:$I$30,0),""))</f>
        <v/>
      </c>
      <c r="F2" s="31">
        <f>IF(E2="","",COUNTIF($E$2:E2,E2))</f>
        <v/>
      </c>
      <c r="G2" s="31">
        <f>IF(E2="","",E2*1000+F2)</f>
        <v/>
      </c>
      <c r="H2" s="31">
        <f>設定!$B$7</f>
        <v/>
      </c>
      <c r="I2" s="31">
        <f>IF(AND(C2&lt;&gt;"",D2=""),1,0)</f>
        <v/>
      </c>
      <c r="J2" s="31">
        <f>IF(AND(D2&lt;&gt;"",E2=""),1,0)</f>
        <v/>
      </c>
      <c r="M2" s="31">
        <f>IFERROR(MATCH(1001,$G$2:$G$721,0),"")</f>
        <v/>
      </c>
      <c r="N2" s="31">
        <f>IFERROR(MATCH(2001,$G$2:$G$721,0),"")</f>
        <v/>
      </c>
      <c r="O2" s="31">
        <f>IFERROR(MATCH(3001,$G$2:$G$721,0),"")</f>
        <v/>
      </c>
      <c r="P2" s="31">
        <f>IFERROR(MATCH(4001,$G$2:$G$721,0),"")</f>
        <v/>
      </c>
      <c r="Q2" s="31">
        <f>IFERROR(MATCH(5001,$G$2:$G$721,0),"")</f>
        <v/>
      </c>
      <c r="R2" s="31">
        <f>IFERROR(MATCH(6001,$G$2:$G$721,0),"")</f>
        <v/>
      </c>
      <c r="S2" s="31">
        <f>IFERROR(MATCH(7001,$G$2:$G$721,0),"")</f>
        <v/>
      </c>
      <c r="T2" s="31">
        <f>IFERROR(MATCH(8001,$G$2:$G$721,0),"")</f>
        <v/>
      </c>
      <c r="U2" s="31">
        <f>IFERROR(MATCH(9001,$G$2:$G$721,0),"")</f>
        <v/>
      </c>
      <c r="V2" s="31">
        <f>IFERROR(MATCH(10001,$G$2:$G$721,0),"")</f>
        <v/>
      </c>
      <c r="W2" s="31">
        <f>IFERROR(MATCH(11001,$G$2:$G$721,0),"")</f>
        <v/>
      </c>
      <c r="X2" s="31">
        <f>IFERROR(MATCH(12001,$G$2:$G$721,0),"")</f>
        <v/>
      </c>
      <c r="Y2" s="31">
        <f>IFERROR(MATCH(13001,$G$2:$G$721,0),"")</f>
        <v/>
      </c>
      <c r="Z2" s="31">
        <f>IFERROR(MATCH(14001,$G$2:$G$721,0),"")</f>
        <v/>
      </c>
      <c r="AA2" s="31">
        <f>IFERROR(MATCH(15001,$G$2:$G$721,0),"")</f>
        <v/>
      </c>
      <c r="AB2" s="31">
        <f>IFERROR(MATCH(16001,$G$2:$G$721,0),"")</f>
        <v/>
      </c>
      <c r="AC2" s="31">
        <f>IFERROR(MATCH(17001,$G$2:$G$721,0),"")</f>
        <v/>
      </c>
      <c r="AD2" s="31">
        <f>IFERROR(MATCH(18001,$G$2:$G$721,0),"")</f>
        <v/>
      </c>
      <c r="AE2" s="31">
        <f>IFERROR(MATCH(19001,$G$2:$G$721,0),"")</f>
        <v/>
      </c>
      <c r="AF2" s="31">
        <f>IFERROR(MATCH(20001,$G$2:$G$721,0),"")</f>
        <v/>
      </c>
    </row>
    <row r="3">
      <c r="A3" s="31">
        <f>IF('6年'!B6="","",設定!$C$11)</f>
        <v/>
      </c>
      <c r="B3" s="31">
        <f>IF('6年'!B6="","",'6年'!A6)</f>
        <v/>
      </c>
      <c r="C3" s="31">
        <f>IF('6年'!B6="","",'6年'!B6)</f>
        <v/>
      </c>
      <c r="D3" s="31">
        <f>IF('6年'!B6="","",'6年'!C6&amp;"")</f>
        <v/>
      </c>
      <c r="E3" s="31">
        <f>IF(D3="","",IFERROR(MATCH(D3,設定!$I$11:$I$30,0),""))</f>
        <v/>
      </c>
      <c r="F3" s="31">
        <f>IF(E3="","",COUNTIF($E$2:E3,E3))</f>
        <v/>
      </c>
      <c r="G3" s="31">
        <f>IF(E3="","",E3*1000+F3)</f>
        <v/>
      </c>
      <c r="H3" s="31">
        <f>設定!$B$7</f>
        <v/>
      </c>
      <c r="I3" s="31">
        <f>IF(AND(C3&lt;&gt;"",D3=""),1,0)</f>
        <v/>
      </c>
      <c r="J3" s="31">
        <f>IF(AND(D3&lt;&gt;"",E3=""),1,0)</f>
        <v/>
      </c>
      <c r="M3" s="31">
        <f>IFERROR(MATCH(1002,$G$2:$G$721,0),"")</f>
        <v/>
      </c>
      <c r="N3" s="31">
        <f>IFERROR(MATCH(2002,$G$2:$G$721,0),"")</f>
        <v/>
      </c>
      <c r="O3" s="31">
        <f>IFERROR(MATCH(3002,$G$2:$G$721,0),"")</f>
        <v/>
      </c>
      <c r="P3" s="31">
        <f>IFERROR(MATCH(4002,$G$2:$G$721,0),"")</f>
        <v/>
      </c>
      <c r="Q3" s="31">
        <f>IFERROR(MATCH(5002,$G$2:$G$721,0),"")</f>
        <v/>
      </c>
      <c r="R3" s="31">
        <f>IFERROR(MATCH(6002,$G$2:$G$721,0),"")</f>
        <v/>
      </c>
      <c r="S3" s="31">
        <f>IFERROR(MATCH(7002,$G$2:$G$721,0),"")</f>
        <v/>
      </c>
      <c r="T3" s="31">
        <f>IFERROR(MATCH(8002,$G$2:$G$721,0),"")</f>
        <v/>
      </c>
      <c r="U3" s="31">
        <f>IFERROR(MATCH(9002,$G$2:$G$721,0),"")</f>
        <v/>
      </c>
      <c r="V3" s="31">
        <f>IFERROR(MATCH(10002,$G$2:$G$721,0),"")</f>
        <v/>
      </c>
      <c r="W3" s="31">
        <f>IFERROR(MATCH(11002,$G$2:$G$721,0),"")</f>
        <v/>
      </c>
      <c r="X3" s="31">
        <f>IFERROR(MATCH(12002,$G$2:$G$721,0),"")</f>
        <v/>
      </c>
      <c r="Y3" s="31">
        <f>IFERROR(MATCH(13002,$G$2:$G$721,0),"")</f>
        <v/>
      </c>
      <c r="Z3" s="31">
        <f>IFERROR(MATCH(14002,$G$2:$G$721,0),"")</f>
        <v/>
      </c>
      <c r="AA3" s="31">
        <f>IFERROR(MATCH(15002,$G$2:$G$721,0),"")</f>
        <v/>
      </c>
      <c r="AB3" s="31">
        <f>IFERROR(MATCH(16002,$G$2:$G$721,0),"")</f>
        <v/>
      </c>
      <c r="AC3" s="31">
        <f>IFERROR(MATCH(17002,$G$2:$G$721,0),"")</f>
        <v/>
      </c>
      <c r="AD3" s="31">
        <f>IFERROR(MATCH(18002,$G$2:$G$721,0),"")</f>
        <v/>
      </c>
      <c r="AE3" s="31">
        <f>IFERROR(MATCH(19002,$G$2:$G$721,0),"")</f>
        <v/>
      </c>
      <c r="AF3" s="31">
        <f>IFERROR(MATCH(20002,$G$2:$G$721,0),"")</f>
        <v/>
      </c>
    </row>
    <row r="4">
      <c r="A4" s="31">
        <f>IF('6年'!B7="","",設定!$C$11)</f>
        <v/>
      </c>
      <c r="B4" s="31">
        <f>IF('6年'!B7="","",'6年'!A7)</f>
        <v/>
      </c>
      <c r="C4" s="31">
        <f>IF('6年'!B7="","",'6年'!B7)</f>
        <v/>
      </c>
      <c r="D4" s="31">
        <f>IF('6年'!B7="","",'6年'!C7&amp;"")</f>
        <v/>
      </c>
      <c r="E4" s="31">
        <f>IF(D4="","",IFERROR(MATCH(D4,設定!$I$11:$I$30,0),""))</f>
        <v/>
      </c>
      <c r="F4" s="31">
        <f>IF(E4="","",COUNTIF($E$2:E4,E4))</f>
        <v/>
      </c>
      <c r="G4" s="31">
        <f>IF(E4="","",E4*1000+F4)</f>
        <v/>
      </c>
      <c r="H4" s="31">
        <f>設定!$B$7</f>
        <v/>
      </c>
      <c r="I4" s="31">
        <f>IF(AND(C4&lt;&gt;"",D4=""),1,0)</f>
        <v/>
      </c>
      <c r="J4" s="31">
        <f>IF(AND(D4&lt;&gt;"",E4=""),1,0)</f>
        <v/>
      </c>
      <c r="M4" s="31">
        <f>IFERROR(MATCH(1003,$G$2:$G$721,0),"")</f>
        <v/>
      </c>
      <c r="N4" s="31">
        <f>IFERROR(MATCH(2003,$G$2:$G$721,0),"")</f>
        <v/>
      </c>
      <c r="O4" s="31">
        <f>IFERROR(MATCH(3003,$G$2:$G$721,0),"")</f>
        <v/>
      </c>
      <c r="P4" s="31">
        <f>IFERROR(MATCH(4003,$G$2:$G$721,0),"")</f>
        <v/>
      </c>
      <c r="Q4" s="31">
        <f>IFERROR(MATCH(5003,$G$2:$G$721,0),"")</f>
        <v/>
      </c>
      <c r="R4" s="31">
        <f>IFERROR(MATCH(6003,$G$2:$G$721,0),"")</f>
        <v/>
      </c>
      <c r="S4" s="31">
        <f>IFERROR(MATCH(7003,$G$2:$G$721,0),"")</f>
        <v/>
      </c>
      <c r="T4" s="31">
        <f>IFERROR(MATCH(8003,$G$2:$G$721,0),"")</f>
        <v/>
      </c>
      <c r="U4" s="31">
        <f>IFERROR(MATCH(9003,$G$2:$G$721,0),"")</f>
        <v/>
      </c>
      <c r="V4" s="31">
        <f>IFERROR(MATCH(10003,$G$2:$G$721,0),"")</f>
        <v/>
      </c>
      <c r="W4" s="31">
        <f>IFERROR(MATCH(11003,$G$2:$G$721,0),"")</f>
        <v/>
      </c>
      <c r="X4" s="31">
        <f>IFERROR(MATCH(12003,$G$2:$G$721,0),"")</f>
        <v/>
      </c>
      <c r="Y4" s="31">
        <f>IFERROR(MATCH(13003,$G$2:$G$721,0),"")</f>
        <v/>
      </c>
      <c r="Z4" s="31">
        <f>IFERROR(MATCH(14003,$G$2:$G$721,0),"")</f>
        <v/>
      </c>
      <c r="AA4" s="31">
        <f>IFERROR(MATCH(15003,$G$2:$G$721,0),"")</f>
        <v/>
      </c>
      <c r="AB4" s="31">
        <f>IFERROR(MATCH(16003,$G$2:$G$721,0),"")</f>
        <v/>
      </c>
      <c r="AC4" s="31">
        <f>IFERROR(MATCH(17003,$G$2:$G$721,0),"")</f>
        <v/>
      </c>
      <c r="AD4" s="31">
        <f>IFERROR(MATCH(18003,$G$2:$G$721,0),"")</f>
        <v/>
      </c>
      <c r="AE4" s="31">
        <f>IFERROR(MATCH(19003,$G$2:$G$721,0),"")</f>
        <v/>
      </c>
      <c r="AF4" s="31">
        <f>IFERROR(MATCH(20003,$G$2:$G$721,0),"")</f>
        <v/>
      </c>
    </row>
    <row r="5">
      <c r="A5" s="31">
        <f>IF('6年'!B8="","",設定!$C$11)</f>
        <v/>
      </c>
      <c r="B5" s="31">
        <f>IF('6年'!B8="","",'6年'!A8)</f>
        <v/>
      </c>
      <c r="C5" s="31">
        <f>IF('6年'!B8="","",'6年'!B8)</f>
        <v/>
      </c>
      <c r="D5" s="31">
        <f>IF('6年'!B8="","",'6年'!C8&amp;"")</f>
        <v/>
      </c>
      <c r="E5" s="31">
        <f>IF(D5="","",IFERROR(MATCH(D5,設定!$I$11:$I$30,0),""))</f>
        <v/>
      </c>
      <c r="F5" s="31">
        <f>IF(E5="","",COUNTIF($E$2:E5,E5))</f>
        <v/>
      </c>
      <c r="G5" s="31">
        <f>IF(E5="","",E5*1000+F5)</f>
        <v/>
      </c>
      <c r="H5" s="31">
        <f>設定!$B$7</f>
        <v/>
      </c>
      <c r="I5" s="31">
        <f>IF(AND(C5&lt;&gt;"",D5=""),1,0)</f>
        <v/>
      </c>
      <c r="J5" s="31">
        <f>IF(AND(D5&lt;&gt;"",E5=""),1,0)</f>
        <v/>
      </c>
      <c r="M5" s="31">
        <f>IFERROR(MATCH(1004,$G$2:$G$721,0),"")</f>
        <v/>
      </c>
      <c r="N5" s="31">
        <f>IFERROR(MATCH(2004,$G$2:$G$721,0),"")</f>
        <v/>
      </c>
      <c r="O5" s="31">
        <f>IFERROR(MATCH(3004,$G$2:$G$721,0),"")</f>
        <v/>
      </c>
      <c r="P5" s="31">
        <f>IFERROR(MATCH(4004,$G$2:$G$721,0),"")</f>
        <v/>
      </c>
      <c r="Q5" s="31">
        <f>IFERROR(MATCH(5004,$G$2:$G$721,0),"")</f>
        <v/>
      </c>
      <c r="R5" s="31">
        <f>IFERROR(MATCH(6004,$G$2:$G$721,0),"")</f>
        <v/>
      </c>
      <c r="S5" s="31">
        <f>IFERROR(MATCH(7004,$G$2:$G$721,0),"")</f>
        <v/>
      </c>
      <c r="T5" s="31">
        <f>IFERROR(MATCH(8004,$G$2:$G$721,0),"")</f>
        <v/>
      </c>
      <c r="U5" s="31">
        <f>IFERROR(MATCH(9004,$G$2:$G$721,0),"")</f>
        <v/>
      </c>
      <c r="V5" s="31">
        <f>IFERROR(MATCH(10004,$G$2:$G$721,0),"")</f>
        <v/>
      </c>
      <c r="W5" s="31">
        <f>IFERROR(MATCH(11004,$G$2:$G$721,0),"")</f>
        <v/>
      </c>
      <c r="X5" s="31">
        <f>IFERROR(MATCH(12004,$G$2:$G$721,0),"")</f>
        <v/>
      </c>
      <c r="Y5" s="31">
        <f>IFERROR(MATCH(13004,$G$2:$G$721,0),"")</f>
        <v/>
      </c>
      <c r="Z5" s="31">
        <f>IFERROR(MATCH(14004,$G$2:$G$721,0),"")</f>
        <v/>
      </c>
      <c r="AA5" s="31">
        <f>IFERROR(MATCH(15004,$G$2:$G$721,0),"")</f>
        <v/>
      </c>
      <c r="AB5" s="31">
        <f>IFERROR(MATCH(16004,$G$2:$G$721,0),"")</f>
        <v/>
      </c>
      <c r="AC5" s="31">
        <f>IFERROR(MATCH(17004,$G$2:$G$721,0),"")</f>
        <v/>
      </c>
      <c r="AD5" s="31">
        <f>IFERROR(MATCH(18004,$G$2:$G$721,0),"")</f>
        <v/>
      </c>
      <c r="AE5" s="31">
        <f>IFERROR(MATCH(19004,$G$2:$G$721,0),"")</f>
        <v/>
      </c>
      <c r="AF5" s="31">
        <f>IFERROR(MATCH(20004,$G$2:$G$721,0),"")</f>
        <v/>
      </c>
    </row>
    <row r="6">
      <c r="A6" s="31">
        <f>IF('6年'!B9="","",設定!$C$11)</f>
        <v/>
      </c>
      <c r="B6" s="31">
        <f>IF('6年'!B9="","",'6年'!A9)</f>
        <v/>
      </c>
      <c r="C6" s="31">
        <f>IF('6年'!B9="","",'6年'!B9)</f>
        <v/>
      </c>
      <c r="D6" s="31">
        <f>IF('6年'!B9="","",'6年'!C9&amp;"")</f>
        <v/>
      </c>
      <c r="E6" s="31">
        <f>IF(D6="","",IFERROR(MATCH(D6,設定!$I$11:$I$30,0),""))</f>
        <v/>
      </c>
      <c r="F6" s="31">
        <f>IF(E6="","",COUNTIF($E$2:E6,E6))</f>
        <v/>
      </c>
      <c r="G6" s="31">
        <f>IF(E6="","",E6*1000+F6)</f>
        <v/>
      </c>
      <c r="H6" s="31">
        <f>設定!$B$7</f>
        <v/>
      </c>
      <c r="I6" s="31">
        <f>IF(AND(C6&lt;&gt;"",D6=""),1,0)</f>
        <v/>
      </c>
      <c r="J6" s="31">
        <f>IF(AND(D6&lt;&gt;"",E6=""),1,0)</f>
        <v/>
      </c>
      <c r="M6" s="31">
        <f>IFERROR(MATCH(1005,$G$2:$G$721,0),"")</f>
        <v/>
      </c>
      <c r="N6" s="31">
        <f>IFERROR(MATCH(2005,$G$2:$G$721,0),"")</f>
        <v/>
      </c>
      <c r="O6" s="31">
        <f>IFERROR(MATCH(3005,$G$2:$G$721,0),"")</f>
        <v/>
      </c>
      <c r="P6" s="31">
        <f>IFERROR(MATCH(4005,$G$2:$G$721,0),"")</f>
        <v/>
      </c>
      <c r="Q6" s="31">
        <f>IFERROR(MATCH(5005,$G$2:$G$721,0),"")</f>
        <v/>
      </c>
      <c r="R6" s="31">
        <f>IFERROR(MATCH(6005,$G$2:$G$721,0),"")</f>
        <v/>
      </c>
      <c r="S6" s="31">
        <f>IFERROR(MATCH(7005,$G$2:$G$721,0),"")</f>
        <v/>
      </c>
      <c r="T6" s="31">
        <f>IFERROR(MATCH(8005,$G$2:$G$721,0),"")</f>
        <v/>
      </c>
      <c r="U6" s="31">
        <f>IFERROR(MATCH(9005,$G$2:$G$721,0),"")</f>
        <v/>
      </c>
      <c r="V6" s="31">
        <f>IFERROR(MATCH(10005,$G$2:$G$721,0),"")</f>
        <v/>
      </c>
      <c r="W6" s="31">
        <f>IFERROR(MATCH(11005,$G$2:$G$721,0),"")</f>
        <v/>
      </c>
      <c r="X6" s="31">
        <f>IFERROR(MATCH(12005,$G$2:$G$721,0),"")</f>
        <v/>
      </c>
      <c r="Y6" s="31">
        <f>IFERROR(MATCH(13005,$G$2:$G$721,0),"")</f>
        <v/>
      </c>
      <c r="Z6" s="31">
        <f>IFERROR(MATCH(14005,$G$2:$G$721,0),"")</f>
        <v/>
      </c>
      <c r="AA6" s="31">
        <f>IFERROR(MATCH(15005,$G$2:$G$721,0),"")</f>
        <v/>
      </c>
      <c r="AB6" s="31">
        <f>IFERROR(MATCH(16005,$G$2:$G$721,0),"")</f>
        <v/>
      </c>
      <c r="AC6" s="31">
        <f>IFERROR(MATCH(17005,$G$2:$G$721,0),"")</f>
        <v/>
      </c>
      <c r="AD6" s="31">
        <f>IFERROR(MATCH(18005,$G$2:$G$721,0),"")</f>
        <v/>
      </c>
      <c r="AE6" s="31">
        <f>IFERROR(MATCH(19005,$G$2:$G$721,0),"")</f>
        <v/>
      </c>
      <c r="AF6" s="31">
        <f>IFERROR(MATCH(20005,$G$2:$G$721,0),"")</f>
        <v/>
      </c>
    </row>
    <row r="7">
      <c r="A7" s="31">
        <f>IF('6年'!B10="","",設定!$C$11)</f>
        <v/>
      </c>
      <c r="B7" s="31">
        <f>IF('6年'!B10="","",'6年'!A10)</f>
        <v/>
      </c>
      <c r="C7" s="31">
        <f>IF('6年'!B10="","",'6年'!B10)</f>
        <v/>
      </c>
      <c r="D7" s="31">
        <f>IF('6年'!B10="","",'6年'!C10&amp;"")</f>
        <v/>
      </c>
      <c r="E7" s="31">
        <f>IF(D7="","",IFERROR(MATCH(D7,設定!$I$11:$I$30,0),""))</f>
        <v/>
      </c>
      <c r="F7" s="31">
        <f>IF(E7="","",COUNTIF($E$2:E7,E7))</f>
        <v/>
      </c>
      <c r="G7" s="31">
        <f>IF(E7="","",E7*1000+F7)</f>
        <v/>
      </c>
      <c r="H7" s="31">
        <f>設定!$B$7</f>
        <v/>
      </c>
      <c r="I7" s="31">
        <f>IF(AND(C7&lt;&gt;"",D7=""),1,0)</f>
        <v/>
      </c>
      <c r="J7" s="31">
        <f>IF(AND(D7&lt;&gt;"",E7=""),1,0)</f>
        <v/>
      </c>
      <c r="M7" s="31">
        <f>IFERROR(MATCH(1006,$G$2:$G$721,0),"")</f>
        <v/>
      </c>
      <c r="N7" s="31">
        <f>IFERROR(MATCH(2006,$G$2:$G$721,0),"")</f>
        <v/>
      </c>
      <c r="O7" s="31">
        <f>IFERROR(MATCH(3006,$G$2:$G$721,0),"")</f>
        <v/>
      </c>
      <c r="P7" s="31">
        <f>IFERROR(MATCH(4006,$G$2:$G$721,0),"")</f>
        <v/>
      </c>
      <c r="Q7" s="31">
        <f>IFERROR(MATCH(5006,$G$2:$G$721,0),"")</f>
        <v/>
      </c>
      <c r="R7" s="31">
        <f>IFERROR(MATCH(6006,$G$2:$G$721,0),"")</f>
        <v/>
      </c>
      <c r="S7" s="31">
        <f>IFERROR(MATCH(7006,$G$2:$G$721,0),"")</f>
        <v/>
      </c>
      <c r="T7" s="31">
        <f>IFERROR(MATCH(8006,$G$2:$G$721,0),"")</f>
        <v/>
      </c>
      <c r="U7" s="31">
        <f>IFERROR(MATCH(9006,$G$2:$G$721,0),"")</f>
        <v/>
      </c>
      <c r="V7" s="31">
        <f>IFERROR(MATCH(10006,$G$2:$G$721,0),"")</f>
        <v/>
      </c>
      <c r="W7" s="31">
        <f>IFERROR(MATCH(11006,$G$2:$G$721,0),"")</f>
        <v/>
      </c>
      <c r="X7" s="31">
        <f>IFERROR(MATCH(12006,$G$2:$G$721,0),"")</f>
        <v/>
      </c>
      <c r="Y7" s="31">
        <f>IFERROR(MATCH(13006,$G$2:$G$721,0),"")</f>
        <v/>
      </c>
      <c r="Z7" s="31">
        <f>IFERROR(MATCH(14006,$G$2:$G$721,0),"")</f>
        <v/>
      </c>
      <c r="AA7" s="31">
        <f>IFERROR(MATCH(15006,$G$2:$G$721,0),"")</f>
        <v/>
      </c>
      <c r="AB7" s="31">
        <f>IFERROR(MATCH(16006,$G$2:$G$721,0),"")</f>
        <v/>
      </c>
      <c r="AC7" s="31">
        <f>IFERROR(MATCH(17006,$G$2:$G$721,0),"")</f>
        <v/>
      </c>
      <c r="AD7" s="31">
        <f>IFERROR(MATCH(18006,$G$2:$G$721,0),"")</f>
        <v/>
      </c>
      <c r="AE7" s="31">
        <f>IFERROR(MATCH(19006,$G$2:$G$721,0),"")</f>
        <v/>
      </c>
      <c r="AF7" s="31">
        <f>IFERROR(MATCH(20006,$G$2:$G$721,0),"")</f>
        <v/>
      </c>
    </row>
    <row r="8">
      <c r="A8" s="31">
        <f>IF('6年'!B11="","",設定!$C$11)</f>
        <v/>
      </c>
      <c r="B8" s="31">
        <f>IF('6年'!B11="","",'6年'!A11)</f>
        <v/>
      </c>
      <c r="C8" s="31">
        <f>IF('6年'!B11="","",'6年'!B11)</f>
        <v/>
      </c>
      <c r="D8" s="31">
        <f>IF('6年'!B11="","",'6年'!C11&amp;"")</f>
        <v/>
      </c>
      <c r="E8" s="31">
        <f>IF(D8="","",IFERROR(MATCH(D8,設定!$I$11:$I$30,0),""))</f>
        <v/>
      </c>
      <c r="F8" s="31">
        <f>IF(E8="","",COUNTIF($E$2:E8,E8))</f>
        <v/>
      </c>
      <c r="G8" s="31">
        <f>IF(E8="","",E8*1000+F8)</f>
        <v/>
      </c>
      <c r="H8" s="31">
        <f>設定!$B$7</f>
        <v/>
      </c>
      <c r="I8" s="31">
        <f>IF(AND(C8&lt;&gt;"",D8=""),1,0)</f>
        <v/>
      </c>
      <c r="J8" s="31">
        <f>IF(AND(D8&lt;&gt;"",E8=""),1,0)</f>
        <v/>
      </c>
      <c r="M8" s="31">
        <f>IFERROR(MATCH(1007,$G$2:$G$721,0),"")</f>
        <v/>
      </c>
      <c r="N8" s="31">
        <f>IFERROR(MATCH(2007,$G$2:$G$721,0),"")</f>
        <v/>
      </c>
      <c r="O8" s="31">
        <f>IFERROR(MATCH(3007,$G$2:$G$721,0),"")</f>
        <v/>
      </c>
      <c r="P8" s="31">
        <f>IFERROR(MATCH(4007,$G$2:$G$721,0),"")</f>
        <v/>
      </c>
      <c r="Q8" s="31">
        <f>IFERROR(MATCH(5007,$G$2:$G$721,0),"")</f>
        <v/>
      </c>
      <c r="R8" s="31">
        <f>IFERROR(MATCH(6007,$G$2:$G$721,0),"")</f>
        <v/>
      </c>
      <c r="S8" s="31">
        <f>IFERROR(MATCH(7007,$G$2:$G$721,0),"")</f>
        <v/>
      </c>
      <c r="T8" s="31">
        <f>IFERROR(MATCH(8007,$G$2:$G$721,0),"")</f>
        <v/>
      </c>
      <c r="U8" s="31">
        <f>IFERROR(MATCH(9007,$G$2:$G$721,0),"")</f>
        <v/>
      </c>
      <c r="V8" s="31">
        <f>IFERROR(MATCH(10007,$G$2:$G$721,0),"")</f>
        <v/>
      </c>
      <c r="W8" s="31">
        <f>IFERROR(MATCH(11007,$G$2:$G$721,0),"")</f>
        <v/>
      </c>
      <c r="X8" s="31">
        <f>IFERROR(MATCH(12007,$G$2:$G$721,0),"")</f>
        <v/>
      </c>
      <c r="Y8" s="31">
        <f>IFERROR(MATCH(13007,$G$2:$G$721,0),"")</f>
        <v/>
      </c>
      <c r="Z8" s="31">
        <f>IFERROR(MATCH(14007,$G$2:$G$721,0),"")</f>
        <v/>
      </c>
      <c r="AA8" s="31">
        <f>IFERROR(MATCH(15007,$G$2:$G$721,0),"")</f>
        <v/>
      </c>
      <c r="AB8" s="31">
        <f>IFERROR(MATCH(16007,$G$2:$G$721,0),"")</f>
        <v/>
      </c>
      <c r="AC8" s="31">
        <f>IFERROR(MATCH(17007,$G$2:$G$721,0),"")</f>
        <v/>
      </c>
      <c r="AD8" s="31">
        <f>IFERROR(MATCH(18007,$G$2:$G$721,0),"")</f>
        <v/>
      </c>
      <c r="AE8" s="31">
        <f>IFERROR(MATCH(19007,$G$2:$G$721,0),"")</f>
        <v/>
      </c>
      <c r="AF8" s="31">
        <f>IFERROR(MATCH(20007,$G$2:$G$721,0),"")</f>
        <v/>
      </c>
    </row>
    <row r="9">
      <c r="A9" s="31">
        <f>IF('6年'!B12="","",設定!$C$11)</f>
        <v/>
      </c>
      <c r="B9" s="31">
        <f>IF('6年'!B12="","",'6年'!A12)</f>
        <v/>
      </c>
      <c r="C9" s="31">
        <f>IF('6年'!B12="","",'6年'!B12)</f>
        <v/>
      </c>
      <c r="D9" s="31">
        <f>IF('6年'!B12="","",'6年'!C12&amp;"")</f>
        <v/>
      </c>
      <c r="E9" s="31">
        <f>IF(D9="","",IFERROR(MATCH(D9,設定!$I$11:$I$30,0),""))</f>
        <v/>
      </c>
      <c r="F9" s="31">
        <f>IF(E9="","",COUNTIF($E$2:E9,E9))</f>
        <v/>
      </c>
      <c r="G9" s="31">
        <f>IF(E9="","",E9*1000+F9)</f>
        <v/>
      </c>
      <c r="H9" s="31">
        <f>設定!$B$7</f>
        <v/>
      </c>
      <c r="I9" s="31">
        <f>IF(AND(C9&lt;&gt;"",D9=""),1,0)</f>
        <v/>
      </c>
      <c r="J9" s="31">
        <f>IF(AND(D9&lt;&gt;"",E9=""),1,0)</f>
        <v/>
      </c>
      <c r="M9" s="31">
        <f>IFERROR(MATCH(1008,$G$2:$G$721,0),"")</f>
        <v/>
      </c>
      <c r="N9" s="31">
        <f>IFERROR(MATCH(2008,$G$2:$G$721,0),"")</f>
        <v/>
      </c>
      <c r="O9" s="31">
        <f>IFERROR(MATCH(3008,$G$2:$G$721,0),"")</f>
        <v/>
      </c>
      <c r="P9" s="31">
        <f>IFERROR(MATCH(4008,$G$2:$G$721,0),"")</f>
        <v/>
      </c>
      <c r="Q9" s="31">
        <f>IFERROR(MATCH(5008,$G$2:$G$721,0),"")</f>
        <v/>
      </c>
      <c r="R9" s="31">
        <f>IFERROR(MATCH(6008,$G$2:$G$721,0),"")</f>
        <v/>
      </c>
      <c r="S9" s="31">
        <f>IFERROR(MATCH(7008,$G$2:$G$721,0),"")</f>
        <v/>
      </c>
      <c r="T9" s="31">
        <f>IFERROR(MATCH(8008,$G$2:$G$721,0),"")</f>
        <v/>
      </c>
      <c r="U9" s="31">
        <f>IFERROR(MATCH(9008,$G$2:$G$721,0),"")</f>
        <v/>
      </c>
      <c r="V9" s="31">
        <f>IFERROR(MATCH(10008,$G$2:$G$721,0),"")</f>
        <v/>
      </c>
      <c r="W9" s="31">
        <f>IFERROR(MATCH(11008,$G$2:$G$721,0),"")</f>
        <v/>
      </c>
      <c r="X9" s="31">
        <f>IFERROR(MATCH(12008,$G$2:$G$721,0),"")</f>
        <v/>
      </c>
      <c r="Y9" s="31">
        <f>IFERROR(MATCH(13008,$G$2:$G$721,0),"")</f>
        <v/>
      </c>
      <c r="Z9" s="31">
        <f>IFERROR(MATCH(14008,$G$2:$G$721,0),"")</f>
        <v/>
      </c>
      <c r="AA9" s="31">
        <f>IFERROR(MATCH(15008,$G$2:$G$721,0),"")</f>
        <v/>
      </c>
      <c r="AB9" s="31">
        <f>IFERROR(MATCH(16008,$G$2:$G$721,0),"")</f>
        <v/>
      </c>
      <c r="AC9" s="31">
        <f>IFERROR(MATCH(17008,$G$2:$G$721,0),"")</f>
        <v/>
      </c>
      <c r="AD9" s="31">
        <f>IFERROR(MATCH(18008,$G$2:$G$721,0),"")</f>
        <v/>
      </c>
      <c r="AE9" s="31">
        <f>IFERROR(MATCH(19008,$G$2:$G$721,0),"")</f>
        <v/>
      </c>
      <c r="AF9" s="31">
        <f>IFERROR(MATCH(20008,$G$2:$G$721,0),"")</f>
        <v/>
      </c>
    </row>
    <row r="10">
      <c r="A10" s="31">
        <f>IF('6年'!B13="","",設定!$C$11)</f>
        <v/>
      </c>
      <c r="B10" s="31">
        <f>IF('6年'!B13="","",'6年'!A13)</f>
        <v/>
      </c>
      <c r="C10" s="31">
        <f>IF('6年'!B13="","",'6年'!B13)</f>
        <v/>
      </c>
      <c r="D10" s="31">
        <f>IF('6年'!B13="","",'6年'!C13&amp;"")</f>
        <v/>
      </c>
      <c r="E10" s="31">
        <f>IF(D10="","",IFERROR(MATCH(D10,設定!$I$11:$I$30,0),""))</f>
        <v/>
      </c>
      <c r="F10" s="31">
        <f>IF(E10="","",COUNTIF($E$2:E10,E10))</f>
        <v/>
      </c>
      <c r="G10" s="31">
        <f>IF(E10="","",E10*1000+F10)</f>
        <v/>
      </c>
      <c r="H10" s="31">
        <f>設定!$B$7</f>
        <v/>
      </c>
      <c r="I10" s="31">
        <f>IF(AND(C10&lt;&gt;"",D10=""),1,0)</f>
        <v/>
      </c>
      <c r="J10" s="31">
        <f>IF(AND(D10&lt;&gt;"",E10=""),1,0)</f>
        <v/>
      </c>
      <c r="M10" s="31">
        <f>IFERROR(MATCH(1009,$G$2:$G$721,0),"")</f>
        <v/>
      </c>
      <c r="N10" s="31">
        <f>IFERROR(MATCH(2009,$G$2:$G$721,0),"")</f>
        <v/>
      </c>
      <c r="O10" s="31">
        <f>IFERROR(MATCH(3009,$G$2:$G$721,0),"")</f>
        <v/>
      </c>
      <c r="P10" s="31">
        <f>IFERROR(MATCH(4009,$G$2:$G$721,0),"")</f>
        <v/>
      </c>
      <c r="Q10" s="31">
        <f>IFERROR(MATCH(5009,$G$2:$G$721,0),"")</f>
        <v/>
      </c>
      <c r="R10" s="31">
        <f>IFERROR(MATCH(6009,$G$2:$G$721,0),"")</f>
        <v/>
      </c>
      <c r="S10" s="31">
        <f>IFERROR(MATCH(7009,$G$2:$G$721,0),"")</f>
        <v/>
      </c>
      <c r="T10" s="31">
        <f>IFERROR(MATCH(8009,$G$2:$G$721,0),"")</f>
        <v/>
      </c>
      <c r="U10" s="31">
        <f>IFERROR(MATCH(9009,$G$2:$G$721,0),"")</f>
        <v/>
      </c>
      <c r="V10" s="31">
        <f>IFERROR(MATCH(10009,$G$2:$G$721,0),"")</f>
        <v/>
      </c>
      <c r="W10" s="31">
        <f>IFERROR(MATCH(11009,$G$2:$G$721,0),"")</f>
        <v/>
      </c>
      <c r="X10" s="31">
        <f>IFERROR(MATCH(12009,$G$2:$G$721,0),"")</f>
        <v/>
      </c>
      <c r="Y10" s="31">
        <f>IFERROR(MATCH(13009,$G$2:$G$721,0),"")</f>
        <v/>
      </c>
      <c r="Z10" s="31">
        <f>IFERROR(MATCH(14009,$G$2:$G$721,0),"")</f>
        <v/>
      </c>
      <c r="AA10" s="31">
        <f>IFERROR(MATCH(15009,$G$2:$G$721,0),"")</f>
        <v/>
      </c>
      <c r="AB10" s="31">
        <f>IFERROR(MATCH(16009,$G$2:$G$721,0),"")</f>
        <v/>
      </c>
      <c r="AC10" s="31">
        <f>IFERROR(MATCH(17009,$G$2:$G$721,0),"")</f>
        <v/>
      </c>
      <c r="AD10" s="31">
        <f>IFERROR(MATCH(18009,$G$2:$G$721,0),"")</f>
        <v/>
      </c>
      <c r="AE10" s="31">
        <f>IFERROR(MATCH(19009,$G$2:$G$721,0),"")</f>
        <v/>
      </c>
      <c r="AF10" s="31">
        <f>IFERROR(MATCH(20009,$G$2:$G$721,0),"")</f>
        <v/>
      </c>
    </row>
    <row r="11">
      <c r="A11" s="31">
        <f>IF('6年'!B14="","",設定!$C$11)</f>
        <v/>
      </c>
      <c r="B11" s="31">
        <f>IF('6年'!B14="","",'6年'!A14)</f>
        <v/>
      </c>
      <c r="C11" s="31">
        <f>IF('6年'!B14="","",'6年'!B14)</f>
        <v/>
      </c>
      <c r="D11" s="31">
        <f>IF('6年'!B14="","",'6年'!C14&amp;"")</f>
        <v/>
      </c>
      <c r="E11" s="31">
        <f>IF(D11="","",IFERROR(MATCH(D11,設定!$I$11:$I$30,0),""))</f>
        <v/>
      </c>
      <c r="F11" s="31">
        <f>IF(E11="","",COUNTIF($E$2:E11,E11))</f>
        <v/>
      </c>
      <c r="G11" s="31">
        <f>IF(E11="","",E11*1000+F11)</f>
        <v/>
      </c>
      <c r="H11" s="31">
        <f>設定!$B$7</f>
        <v/>
      </c>
      <c r="I11" s="31">
        <f>IF(AND(C11&lt;&gt;"",D11=""),1,0)</f>
        <v/>
      </c>
      <c r="J11" s="31">
        <f>IF(AND(D11&lt;&gt;"",E11=""),1,0)</f>
        <v/>
      </c>
      <c r="M11" s="31">
        <f>IFERROR(MATCH(1010,$G$2:$G$721,0),"")</f>
        <v/>
      </c>
      <c r="N11" s="31">
        <f>IFERROR(MATCH(2010,$G$2:$G$721,0),"")</f>
        <v/>
      </c>
      <c r="O11" s="31">
        <f>IFERROR(MATCH(3010,$G$2:$G$721,0),"")</f>
        <v/>
      </c>
      <c r="P11" s="31">
        <f>IFERROR(MATCH(4010,$G$2:$G$721,0),"")</f>
        <v/>
      </c>
      <c r="Q11" s="31">
        <f>IFERROR(MATCH(5010,$G$2:$G$721,0),"")</f>
        <v/>
      </c>
      <c r="R11" s="31">
        <f>IFERROR(MATCH(6010,$G$2:$G$721,0),"")</f>
        <v/>
      </c>
      <c r="S11" s="31">
        <f>IFERROR(MATCH(7010,$G$2:$G$721,0),"")</f>
        <v/>
      </c>
      <c r="T11" s="31">
        <f>IFERROR(MATCH(8010,$G$2:$G$721,0),"")</f>
        <v/>
      </c>
      <c r="U11" s="31">
        <f>IFERROR(MATCH(9010,$G$2:$G$721,0),"")</f>
        <v/>
      </c>
      <c r="V11" s="31">
        <f>IFERROR(MATCH(10010,$G$2:$G$721,0),"")</f>
        <v/>
      </c>
      <c r="W11" s="31">
        <f>IFERROR(MATCH(11010,$G$2:$G$721,0),"")</f>
        <v/>
      </c>
      <c r="X11" s="31">
        <f>IFERROR(MATCH(12010,$G$2:$G$721,0),"")</f>
        <v/>
      </c>
      <c r="Y11" s="31">
        <f>IFERROR(MATCH(13010,$G$2:$G$721,0),"")</f>
        <v/>
      </c>
      <c r="Z11" s="31">
        <f>IFERROR(MATCH(14010,$G$2:$G$721,0),"")</f>
        <v/>
      </c>
      <c r="AA11" s="31">
        <f>IFERROR(MATCH(15010,$G$2:$G$721,0),"")</f>
        <v/>
      </c>
      <c r="AB11" s="31">
        <f>IFERROR(MATCH(16010,$G$2:$G$721,0),"")</f>
        <v/>
      </c>
      <c r="AC11" s="31">
        <f>IFERROR(MATCH(17010,$G$2:$G$721,0),"")</f>
        <v/>
      </c>
      <c r="AD11" s="31">
        <f>IFERROR(MATCH(18010,$G$2:$G$721,0),"")</f>
        <v/>
      </c>
      <c r="AE11" s="31">
        <f>IFERROR(MATCH(19010,$G$2:$G$721,0),"")</f>
        <v/>
      </c>
      <c r="AF11" s="31">
        <f>IFERROR(MATCH(20010,$G$2:$G$721,0),"")</f>
        <v/>
      </c>
    </row>
    <row r="12">
      <c r="A12" s="31">
        <f>IF('6年'!B15="","",設定!$C$11)</f>
        <v/>
      </c>
      <c r="B12" s="31">
        <f>IF('6年'!B15="","",'6年'!A15)</f>
        <v/>
      </c>
      <c r="C12" s="31">
        <f>IF('6年'!B15="","",'6年'!B15)</f>
        <v/>
      </c>
      <c r="D12" s="31">
        <f>IF('6年'!B15="","",'6年'!C15&amp;"")</f>
        <v/>
      </c>
      <c r="E12" s="31">
        <f>IF(D12="","",IFERROR(MATCH(D12,設定!$I$11:$I$30,0),""))</f>
        <v/>
      </c>
      <c r="F12" s="31">
        <f>IF(E12="","",COUNTIF($E$2:E12,E12))</f>
        <v/>
      </c>
      <c r="G12" s="31">
        <f>IF(E12="","",E12*1000+F12)</f>
        <v/>
      </c>
      <c r="H12" s="31">
        <f>設定!$B$7</f>
        <v/>
      </c>
      <c r="I12" s="31">
        <f>IF(AND(C12&lt;&gt;"",D12=""),1,0)</f>
        <v/>
      </c>
      <c r="J12" s="31">
        <f>IF(AND(D12&lt;&gt;"",E12=""),1,0)</f>
        <v/>
      </c>
      <c r="M12" s="31">
        <f>IFERROR(MATCH(1011,$G$2:$G$721,0),"")</f>
        <v/>
      </c>
      <c r="N12" s="31">
        <f>IFERROR(MATCH(2011,$G$2:$G$721,0),"")</f>
        <v/>
      </c>
      <c r="O12" s="31">
        <f>IFERROR(MATCH(3011,$G$2:$G$721,0),"")</f>
        <v/>
      </c>
      <c r="P12" s="31">
        <f>IFERROR(MATCH(4011,$G$2:$G$721,0),"")</f>
        <v/>
      </c>
      <c r="Q12" s="31">
        <f>IFERROR(MATCH(5011,$G$2:$G$721,0),"")</f>
        <v/>
      </c>
      <c r="R12" s="31">
        <f>IFERROR(MATCH(6011,$G$2:$G$721,0),"")</f>
        <v/>
      </c>
      <c r="S12" s="31">
        <f>IFERROR(MATCH(7011,$G$2:$G$721,0),"")</f>
        <v/>
      </c>
      <c r="T12" s="31">
        <f>IFERROR(MATCH(8011,$G$2:$G$721,0),"")</f>
        <v/>
      </c>
      <c r="U12" s="31">
        <f>IFERROR(MATCH(9011,$G$2:$G$721,0),"")</f>
        <v/>
      </c>
      <c r="V12" s="31">
        <f>IFERROR(MATCH(10011,$G$2:$G$721,0),"")</f>
        <v/>
      </c>
      <c r="W12" s="31">
        <f>IFERROR(MATCH(11011,$G$2:$G$721,0),"")</f>
        <v/>
      </c>
      <c r="X12" s="31">
        <f>IFERROR(MATCH(12011,$G$2:$G$721,0),"")</f>
        <v/>
      </c>
      <c r="Y12" s="31">
        <f>IFERROR(MATCH(13011,$G$2:$G$721,0),"")</f>
        <v/>
      </c>
      <c r="Z12" s="31">
        <f>IFERROR(MATCH(14011,$G$2:$G$721,0),"")</f>
        <v/>
      </c>
      <c r="AA12" s="31">
        <f>IFERROR(MATCH(15011,$G$2:$G$721,0),"")</f>
        <v/>
      </c>
      <c r="AB12" s="31">
        <f>IFERROR(MATCH(16011,$G$2:$G$721,0),"")</f>
        <v/>
      </c>
      <c r="AC12" s="31">
        <f>IFERROR(MATCH(17011,$G$2:$G$721,0),"")</f>
        <v/>
      </c>
      <c r="AD12" s="31">
        <f>IFERROR(MATCH(18011,$G$2:$G$721,0),"")</f>
        <v/>
      </c>
      <c r="AE12" s="31">
        <f>IFERROR(MATCH(19011,$G$2:$G$721,0),"")</f>
        <v/>
      </c>
      <c r="AF12" s="31">
        <f>IFERROR(MATCH(20011,$G$2:$G$721,0),"")</f>
        <v/>
      </c>
    </row>
    <row r="13">
      <c r="A13" s="31">
        <f>IF('6年'!B16="","",設定!$C$11)</f>
        <v/>
      </c>
      <c r="B13" s="31">
        <f>IF('6年'!B16="","",'6年'!A16)</f>
        <v/>
      </c>
      <c r="C13" s="31">
        <f>IF('6年'!B16="","",'6年'!B16)</f>
        <v/>
      </c>
      <c r="D13" s="31">
        <f>IF('6年'!B16="","",'6年'!C16&amp;"")</f>
        <v/>
      </c>
      <c r="E13" s="31">
        <f>IF(D13="","",IFERROR(MATCH(D13,設定!$I$11:$I$30,0),""))</f>
        <v/>
      </c>
      <c r="F13" s="31">
        <f>IF(E13="","",COUNTIF($E$2:E13,E13))</f>
        <v/>
      </c>
      <c r="G13" s="31">
        <f>IF(E13="","",E13*1000+F13)</f>
        <v/>
      </c>
      <c r="H13" s="31">
        <f>設定!$B$7</f>
        <v/>
      </c>
      <c r="I13" s="31">
        <f>IF(AND(C13&lt;&gt;"",D13=""),1,0)</f>
        <v/>
      </c>
      <c r="J13" s="31">
        <f>IF(AND(D13&lt;&gt;"",E13=""),1,0)</f>
        <v/>
      </c>
      <c r="M13" s="31">
        <f>IFERROR(MATCH(1012,$G$2:$G$721,0),"")</f>
        <v/>
      </c>
      <c r="N13" s="31">
        <f>IFERROR(MATCH(2012,$G$2:$G$721,0),"")</f>
        <v/>
      </c>
      <c r="O13" s="31">
        <f>IFERROR(MATCH(3012,$G$2:$G$721,0),"")</f>
        <v/>
      </c>
      <c r="P13" s="31">
        <f>IFERROR(MATCH(4012,$G$2:$G$721,0),"")</f>
        <v/>
      </c>
      <c r="Q13" s="31">
        <f>IFERROR(MATCH(5012,$G$2:$G$721,0),"")</f>
        <v/>
      </c>
      <c r="R13" s="31">
        <f>IFERROR(MATCH(6012,$G$2:$G$721,0),"")</f>
        <v/>
      </c>
      <c r="S13" s="31">
        <f>IFERROR(MATCH(7012,$G$2:$G$721,0),"")</f>
        <v/>
      </c>
      <c r="T13" s="31">
        <f>IFERROR(MATCH(8012,$G$2:$G$721,0),"")</f>
        <v/>
      </c>
      <c r="U13" s="31">
        <f>IFERROR(MATCH(9012,$G$2:$G$721,0),"")</f>
        <v/>
      </c>
      <c r="V13" s="31">
        <f>IFERROR(MATCH(10012,$G$2:$G$721,0),"")</f>
        <v/>
      </c>
      <c r="W13" s="31">
        <f>IFERROR(MATCH(11012,$G$2:$G$721,0),"")</f>
        <v/>
      </c>
      <c r="X13" s="31">
        <f>IFERROR(MATCH(12012,$G$2:$G$721,0),"")</f>
        <v/>
      </c>
      <c r="Y13" s="31">
        <f>IFERROR(MATCH(13012,$G$2:$G$721,0),"")</f>
        <v/>
      </c>
      <c r="Z13" s="31">
        <f>IFERROR(MATCH(14012,$G$2:$G$721,0),"")</f>
        <v/>
      </c>
      <c r="AA13" s="31">
        <f>IFERROR(MATCH(15012,$G$2:$G$721,0),"")</f>
        <v/>
      </c>
      <c r="AB13" s="31">
        <f>IFERROR(MATCH(16012,$G$2:$G$721,0),"")</f>
        <v/>
      </c>
      <c r="AC13" s="31">
        <f>IFERROR(MATCH(17012,$G$2:$G$721,0),"")</f>
        <v/>
      </c>
      <c r="AD13" s="31">
        <f>IFERROR(MATCH(18012,$G$2:$G$721,0),"")</f>
        <v/>
      </c>
      <c r="AE13" s="31">
        <f>IFERROR(MATCH(19012,$G$2:$G$721,0),"")</f>
        <v/>
      </c>
      <c r="AF13" s="31">
        <f>IFERROR(MATCH(20012,$G$2:$G$721,0),"")</f>
        <v/>
      </c>
    </row>
    <row r="14">
      <c r="A14" s="31">
        <f>IF('6年'!B17="","",設定!$C$11)</f>
        <v/>
      </c>
      <c r="B14" s="31">
        <f>IF('6年'!B17="","",'6年'!A17)</f>
        <v/>
      </c>
      <c r="C14" s="31">
        <f>IF('6年'!B17="","",'6年'!B17)</f>
        <v/>
      </c>
      <c r="D14" s="31">
        <f>IF('6年'!B17="","",'6年'!C17&amp;"")</f>
        <v/>
      </c>
      <c r="E14" s="31">
        <f>IF(D14="","",IFERROR(MATCH(D14,設定!$I$11:$I$30,0),""))</f>
        <v/>
      </c>
      <c r="F14" s="31">
        <f>IF(E14="","",COUNTIF($E$2:E14,E14))</f>
        <v/>
      </c>
      <c r="G14" s="31">
        <f>IF(E14="","",E14*1000+F14)</f>
        <v/>
      </c>
      <c r="H14" s="31">
        <f>設定!$B$7</f>
        <v/>
      </c>
      <c r="I14" s="31">
        <f>IF(AND(C14&lt;&gt;"",D14=""),1,0)</f>
        <v/>
      </c>
      <c r="J14" s="31">
        <f>IF(AND(D14&lt;&gt;"",E14=""),1,0)</f>
        <v/>
      </c>
      <c r="M14" s="31">
        <f>IFERROR(MATCH(1013,$G$2:$G$721,0),"")</f>
        <v/>
      </c>
      <c r="N14" s="31">
        <f>IFERROR(MATCH(2013,$G$2:$G$721,0),"")</f>
        <v/>
      </c>
      <c r="O14" s="31">
        <f>IFERROR(MATCH(3013,$G$2:$G$721,0),"")</f>
        <v/>
      </c>
      <c r="P14" s="31">
        <f>IFERROR(MATCH(4013,$G$2:$G$721,0),"")</f>
        <v/>
      </c>
      <c r="Q14" s="31">
        <f>IFERROR(MATCH(5013,$G$2:$G$721,0),"")</f>
        <v/>
      </c>
      <c r="R14" s="31">
        <f>IFERROR(MATCH(6013,$G$2:$G$721,0),"")</f>
        <v/>
      </c>
      <c r="S14" s="31">
        <f>IFERROR(MATCH(7013,$G$2:$G$721,0),"")</f>
        <v/>
      </c>
      <c r="T14" s="31">
        <f>IFERROR(MATCH(8013,$G$2:$G$721,0),"")</f>
        <v/>
      </c>
      <c r="U14" s="31">
        <f>IFERROR(MATCH(9013,$G$2:$G$721,0),"")</f>
        <v/>
      </c>
      <c r="V14" s="31">
        <f>IFERROR(MATCH(10013,$G$2:$G$721,0),"")</f>
        <v/>
      </c>
      <c r="W14" s="31">
        <f>IFERROR(MATCH(11013,$G$2:$G$721,0),"")</f>
        <v/>
      </c>
      <c r="X14" s="31">
        <f>IFERROR(MATCH(12013,$G$2:$G$721,0),"")</f>
        <v/>
      </c>
      <c r="Y14" s="31">
        <f>IFERROR(MATCH(13013,$G$2:$G$721,0),"")</f>
        <v/>
      </c>
      <c r="Z14" s="31">
        <f>IFERROR(MATCH(14013,$G$2:$G$721,0),"")</f>
        <v/>
      </c>
      <c r="AA14" s="31">
        <f>IFERROR(MATCH(15013,$G$2:$G$721,0),"")</f>
        <v/>
      </c>
      <c r="AB14" s="31">
        <f>IFERROR(MATCH(16013,$G$2:$G$721,0),"")</f>
        <v/>
      </c>
      <c r="AC14" s="31">
        <f>IFERROR(MATCH(17013,$G$2:$G$721,0),"")</f>
        <v/>
      </c>
      <c r="AD14" s="31">
        <f>IFERROR(MATCH(18013,$G$2:$G$721,0),"")</f>
        <v/>
      </c>
      <c r="AE14" s="31">
        <f>IFERROR(MATCH(19013,$G$2:$G$721,0),"")</f>
        <v/>
      </c>
      <c r="AF14" s="31">
        <f>IFERROR(MATCH(20013,$G$2:$G$721,0),"")</f>
        <v/>
      </c>
    </row>
    <row r="15">
      <c r="A15" s="31">
        <f>IF('6年'!B18="","",設定!$C$11)</f>
        <v/>
      </c>
      <c r="B15" s="31">
        <f>IF('6年'!B18="","",'6年'!A18)</f>
        <v/>
      </c>
      <c r="C15" s="31">
        <f>IF('6年'!B18="","",'6年'!B18)</f>
        <v/>
      </c>
      <c r="D15" s="31">
        <f>IF('6年'!B18="","",'6年'!C18&amp;"")</f>
        <v/>
      </c>
      <c r="E15" s="31">
        <f>IF(D15="","",IFERROR(MATCH(D15,設定!$I$11:$I$30,0),""))</f>
        <v/>
      </c>
      <c r="F15" s="31">
        <f>IF(E15="","",COUNTIF($E$2:E15,E15))</f>
        <v/>
      </c>
      <c r="G15" s="31">
        <f>IF(E15="","",E15*1000+F15)</f>
        <v/>
      </c>
      <c r="H15" s="31">
        <f>設定!$B$7</f>
        <v/>
      </c>
      <c r="I15" s="31">
        <f>IF(AND(C15&lt;&gt;"",D15=""),1,0)</f>
        <v/>
      </c>
      <c r="J15" s="31">
        <f>IF(AND(D15&lt;&gt;"",E15=""),1,0)</f>
        <v/>
      </c>
      <c r="M15" s="31">
        <f>IFERROR(MATCH(1014,$G$2:$G$721,0),"")</f>
        <v/>
      </c>
      <c r="N15" s="31">
        <f>IFERROR(MATCH(2014,$G$2:$G$721,0),"")</f>
        <v/>
      </c>
      <c r="O15" s="31">
        <f>IFERROR(MATCH(3014,$G$2:$G$721,0),"")</f>
        <v/>
      </c>
      <c r="P15" s="31">
        <f>IFERROR(MATCH(4014,$G$2:$G$721,0),"")</f>
        <v/>
      </c>
      <c r="Q15" s="31">
        <f>IFERROR(MATCH(5014,$G$2:$G$721,0),"")</f>
        <v/>
      </c>
      <c r="R15" s="31">
        <f>IFERROR(MATCH(6014,$G$2:$G$721,0),"")</f>
        <v/>
      </c>
      <c r="S15" s="31">
        <f>IFERROR(MATCH(7014,$G$2:$G$721,0),"")</f>
        <v/>
      </c>
      <c r="T15" s="31">
        <f>IFERROR(MATCH(8014,$G$2:$G$721,0),"")</f>
        <v/>
      </c>
      <c r="U15" s="31">
        <f>IFERROR(MATCH(9014,$G$2:$G$721,0),"")</f>
        <v/>
      </c>
      <c r="V15" s="31">
        <f>IFERROR(MATCH(10014,$G$2:$G$721,0),"")</f>
        <v/>
      </c>
      <c r="W15" s="31">
        <f>IFERROR(MATCH(11014,$G$2:$G$721,0),"")</f>
        <v/>
      </c>
      <c r="X15" s="31">
        <f>IFERROR(MATCH(12014,$G$2:$G$721,0),"")</f>
        <v/>
      </c>
      <c r="Y15" s="31">
        <f>IFERROR(MATCH(13014,$G$2:$G$721,0),"")</f>
        <v/>
      </c>
      <c r="Z15" s="31">
        <f>IFERROR(MATCH(14014,$G$2:$G$721,0),"")</f>
        <v/>
      </c>
      <c r="AA15" s="31">
        <f>IFERROR(MATCH(15014,$G$2:$G$721,0),"")</f>
        <v/>
      </c>
      <c r="AB15" s="31">
        <f>IFERROR(MATCH(16014,$G$2:$G$721,0),"")</f>
        <v/>
      </c>
      <c r="AC15" s="31">
        <f>IFERROR(MATCH(17014,$G$2:$G$721,0),"")</f>
        <v/>
      </c>
      <c r="AD15" s="31">
        <f>IFERROR(MATCH(18014,$G$2:$G$721,0),"")</f>
        <v/>
      </c>
      <c r="AE15" s="31">
        <f>IFERROR(MATCH(19014,$G$2:$G$721,0),"")</f>
        <v/>
      </c>
      <c r="AF15" s="31">
        <f>IFERROR(MATCH(20014,$G$2:$G$721,0),"")</f>
        <v/>
      </c>
    </row>
    <row r="16">
      <c r="A16" s="31">
        <f>IF('6年'!B19="","",設定!$C$11)</f>
        <v/>
      </c>
      <c r="B16" s="31">
        <f>IF('6年'!B19="","",'6年'!A19)</f>
        <v/>
      </c>
      <c r="C16" s="31">
        <f>IF('6年'!B19="","",'6年'!B19)</f>
        <v/>
      </c>
      <c r="D16" s="31">
        <f>IF('6年'!B19="","",'6年'!C19&amp;"")</f>
        <v/>
      </c>
      <c r="E16" s="31">
        <f>IF(D16="","",IFERROR(MATCH(D16,設定!$I$11:$I$30,0),""))</f>
        <v/>
      </c>
      <c r="F16" s="31">
        <f>IF(E16="","",COUNTIF($E$2:E16,E16))</f>
        <v/>
      </c>
      <c r="G16" s="31">
        <f>IF(E16="","",E16*1000+F16)</f>
        <v/>
      </c>
      <c r="H16" s="31">
        <f>設定!$B$7</f>
        <v/>
      </c>
      <c r="I16" s="31">
        <f>IF(AND(C16&lt;&gt;"",D16=""),1,0)</f>
        <v/>
      </c>
      <c r="J16" s="31">
        <f>IF(AND(D16&lt;&gt;"",E16=""),1,0)</f>
        <v/>
      </c>
      <c r="M16" s="31">
        <f>IFERROR(MATCH(1015,$G$2:$G$721,0),"")</f>
        <v/>
      </c>
      <c r="N16" s="31">
        <f>IFERROR(MATCH(2015,$G$2:$G$721,0),"")</f>
        <v/>
      </c>
      <c r="O16" s="31">
        <f>IFERROR(MATCH(3015,$G$2:$G$721,0),"")</f>
        <v/>
      </c>
      <c r="P16" s="31">
        <f>IFERROR(MATCH(4015,$G$2:$G$721,0),"")</f>
        <v/>
      </c>
      <c r="Q16" s="31">
        <f>IFERROR(MATCH(5015,$G$2:$G$721,0),"")</f>
        <v/>
      </c>
      <c r="R16" s="31">
        <f>IFERROR(MATCH(6015,$G$2:$G$721,0),"")</f>
        <v/>
      </c>
      <c r="S16" s="31">
        <f>IFERROR(MATCH(7015,$G$2:$G$721,0),"")</f>
        <v/>
      </c>
      <c r="T16" s="31">
        <f>IFERROR(MATCH(8015,$G$2:$G$721,0),"")</f>
        <v/>
      </c>
      <c r="U16" s="31">
        <f>IFERROR(MATCH(9015,$G$2:$G$721,0),"")</f>
        <v/>
      </c>
      <c r="V16" s="31">
        <f>IFERROR(MATCH(10015,$G$2:$G$721,0),"")</f>
        <v/>
      </c>
      <c r="W16" s="31">
        <f>IFERROR(MATCH(11015,$G$2:$G$721,0),"")</f>
        <v/>
      </c>
      <c r="X16" s="31">
        <f>IFERROR(MATCH(12015,$G$2:$G$721,0),"")</f>
        <v/>
      </c>
      <c r="Y16" s="31">
        <f>IFERROR(MATCH(13015,$G$2:$G$721,0),"")</f>
        <v/>
      </c>
      <c r="Z16" s="31">
        <f>IFERROR(MATCH(14015,$G$2:$G$721,0),"")</f>
        <v/>
      </c>
      <c r="AA16" s="31">
        <f>IFERROR(MATCH(15015,$G$2:$G$721,0),"")</f>
        <v/>
      </c>
      <c r="AB16" s="31">
        <f>IFERROR(MATCH(16015,$G$2:$G$721,0),"")</f>
        <v/>
      </c>
      <c r="AC16" s="31">
        <f>IFERROR(MATCH(17015,$G$2:$G$721,0),"")</f>
        <v/>
      </c>
      <c r="AD16" s="31">
        <f>IFERROR(MATCH(18015,$G$2:$G$721,0),"")</f>
        <v/>
      </c>
      <c r="AE16" s="31">
        <f>IFERROR(MATCH(19015,$G$2:$G$721,0),"")</f>
        <v/>
      </c>
      <c r="AF16" s="31">
        <f>IFERROR(MATCH(20015,$G$2:$G$721,0),"")</f>
        <v/>
      </c>
    </row>
    <row r="17">
      <c r="A17" s="31">
        <f>IF('6年'!B20="","",設定!$C$11)</f>
        <v/>
      </c>
      <c r="B17" s="31">
        <f>IF('6年'!B20="","",'6年'!A20)</f>
        <v/>
      </c>
      <c r="C17" s="31">
        <f>IF('6年'!B20="","",'6年'!B20)</f>
        <v/>
      </c>
      <c r="D17" s="31">
        <f>IF('6年'!B20="","",'6年'!C20&amp;"")</f>
        <v/>
      </c>
      <c r="E17" s="31">
        <f>IF(D17="","",IFERROR(MATCH(D17,設定!$I$11:$I$30,0),""))</f>
        <v/>
      </c>
      <c r="F17" s="31">
        <f>IF(E17="","",COUNTIF($E$2:E17,E17))</f>
        <v/>
      </c>
      <c r="G17" s="31">
        <f>IF(E17="","",E17*1000+F17)</f>
        <v/>
      </c>
      <c r="H17" s="31">
        <f>設定!$B$7</f>
        <v/>
      </c>
      <c r="I17" s="31">
        <f>IF(AND(C17&lt;&gt;"",D17=""),1,0)</f>
        <v/>
      </c>
      <c r="J17" s="31">
        <f>IF(AND(D17&lt;&gt;"",E17=""),1,0)</f>
        <v/>
      </c>
      <c r="M17" s="31">
        <f>IFERROR(MATCH(1016,$G$2:$G$721,0),"")</f>
        <v/>
      </c>
      <c r="N17" s="31">
        <f>IFERROR(MATCH(2016,$G$2:$G$721,0),"")</f>
        <v/>
      </c>
      <c r="O17" s="31">
        <f>IFERROR(MATCH(3016,$G$2:$G$721,0),"")</f>
        <v/>
      </c>
      <c r="P17" s="31">
        <f>IFERROR(MATCH(4016,$G$2:$G$721,0),"")</f>
        <v/>
      </c>
      <c r="Q17" s="31">
        <f>IFERROR(MATCH(5016,$G$2:$G$721,0),"")</f>
        <v/>
      </c>
      <c r="R17" s="31">
        <f>IFERROR(MATCH(6016,$G$2:$G$721,0),"")</f>
        <v/>
      </c>
      <c r="S17" s="31">
        <f>IFERROR(MATCH(7016,$G$2:$G$721,0),"")</f>
        <v/>
      </c>
      <c r="T17" s="31">
        <f>IFERROR(MATCH(8016,$G$2:$G$721,0),"")</f>
        <v/>
      </c>
      <c r="U17" s="31">
        <f>IFERROR(MATCH(9016,$G$2:$G$721,0),"")</f>
        <v/>
      </c>
      <c r="V17" s="31">
        <f>IFERROR(MATCH(10016,$G$2:$G$721,0),"")</f>
        <v/>
      </c>
      <c r="W17" s="31">
        <f>IFERROR(MATCH(11016,$G$2:$G$721,0),"")</f>
        <v/>
      </c>
      <c r="X17" s="31">
        <f>IFERROR(MATCH(12016,$G$2:$G$721,0),"")</f>
        <v/>
      </c>
      <c r="Y17" s="31">
        <f>IFERROR(MATCH(13016,$G$2:$G$721,0),"")</f>
        <v/>
      </c>
      <c r="Z17" s="31">
        <f>IFERROR(MATCH(14016,$G$2:$G$721,0),"")</f>
        <v/>
      </c>
      <c r="AA17" s="31">
        <f>IFERROR(MATCH(15016,$G$2:$G$721,0),"")</f>
        <v/>
      </c>
      <c r="AB17" s="31">
        <f>IFERROR(MATCH(16016,$G$2:$G$721,0),"")</f>
        <v/>
      </c>
      <c r="AC17" s="31">
        <f>IFERROR(MATCH(17016,$G$2:$G$721,0),"")</f>
        <v/>
      </c>
      <c r="AD17" s="31">
        <f>IFERROR(MATCH(18016,$G$2:$G$721,0),"")</f>
        <v/>
      </c>
      <c r="AE17" s="31">
        <f>IFERROR(MATCH(19016,$G$2:$G$721,0),"")</f>
        <v/>
      </c>
      <c r="AF17" s="31">
        <f>IFERROR(MATCH(20016,$G$2:$G$721,0),"")</f>
        <v/>
      </c>
    </row>
    <row r="18">
      <c r="A18" s="31">
        <f>IF('6年'!B21="","",設定!$C$11)</f>
        <v/>
      </c>
      <c r="B18" s="31">
        <f>IF('6年'!B21="","",'6年'!A21)</f>
        <v/>
      </c>
      <c r="C18" s="31">
        <f>IF('6年'!B21="","",'6年'!B21)</f>
        <v/>
      </c>
      <c r="D18" s="31">
        <f>IF('6年'!B21="","",'6年'!C21&amp;"")</f>
        <v/>
      </c>
      <c r="E18" s="31">
        <f>IF(D18="","",IFERROR(MATCH(D18,設定!$I$11:$I$30,0),""))</f>
        <v/>
      </c>
      <c r="F18" s="31">
        <f>IF(E18="","",COUNTIF($E$2:E18,E18))</f>
        <v/>
      </c>
      <c r="G18" s="31">
        <f>IF(E18="","",E18*1000+F18)</f>
        <v/>
      </c>
      <c r="H18" s="31">
        <f>設定!$B$7</f>
        <v/>
      </c>
      <c r="I18" s="31">
        <f>IF(AND(C18&lt;&gt;"",D18=""),1,0)</f>
        <v/>
      </c>
      <c r="J18" s="31">
        <f>IF(AND(D18&lt;&gt;"",E18=""),1,0)</f>
        <v/>
      </c>
      <c r="M18" s="31">
        <f>IFERROR(MATCH(1017,$G$2:$G$721,0),"")</f>
        <v/>
      </c>
      <c r="N18" s="31">
        <f>IFERROR(MATCH(2017,$G$2:$G$721,0),"")</f>
        <v/>
      </c>
      <c r="O18" s="31">
        <f>IFERROR(MATCH(3017,$G$2:$G$721,0),"")</f>
        <v/>
      </c>
      <c r="P18" s="31">
        <f>IFERROR(MATCH(4017,$G$2:$G$721,0),"")</f>
        <v/>
      </c>
      <c r="Q18" s="31">
        <f>IFERROR(MATCH(5017,$G$2:$G$721,0),"")</f>
        <v/>
      </c>
      <c r="R18" s="31">
        <f>IFERROR(MATCH(6017,$G$2:$G$721,0),"")</f>
        <v/>
      </c>
      <c r="S18" s="31">
        <f>IFERROR(MATCH(7017,$G$2:$G$721,0),"")</f>
        <v/>
      </c>
      <c r="T18" s="31">
        <f>IFERROR(MATCH(8017,$G$2:$G$721,0),"")</f>
        <v/>
      </c>
      <c r="U18" s="31">
        <f>IFERROR(MATCH(9017,$G$2:$G$721,0),"")</f>
        <v/>
      </c>
      <c r="V18" s="31">
        <f>IFERROR(MATCH(10017,$G$2:$G$721,0),"")</f>
        <v/>
      </c>
      <c r="W18" s="31">
        <f>IFERROR(MATCH(11017,$G$2:$G$721,0),"")</f>
        <v/>
      </c>
      <c r="X18" s="31">
        <f>IFERROR(MATCH(12017,$G$2:$G$721,0),"")</f>
        <v/>
      </c>
      <c r="Y18" s="31">
        <f>IFERROR(MATCH(13017,$G$2:$G$721,0),"")</f>
        <v/>
      </c>
      <c r="Z18" s="31">
        <f>IFERROR(MATCH(14017,$G$2:$G$721,0),"")</f>
        <v/>
      </c>
      <c r="AA18" s="31">
        <f>IFERROR(MATCH(15017,$G$2:$G$721,0),"")</f>
        <v/>
      </c>
      <c r="AB18" s="31">
        <f>IFERROR(MATCH(16017,$G$2:$G$721,0),"")</f>
        <v/>
      </c>
      <c r="AC18" s="31">
        <f>IFERROR(MATCH(17017,$G$2:$G$721,0),"")</f>
        <v/>
      </c>
      <c r="AD18" s="31">
        <f>IFERROR(MATCH(18017,$G$2:$G$721,0),"")</f>
        <v/>
      </c>
      <c r="AE18" s="31">
        <f>IFERROR(MATCH(19017,$G$2:$G$721,0),"")</f>
        <v/>
      </c>
      <c r="AF18" s="31">
        <f>IFERROR(MATCH(20017,$G$2:$G$721,0),"")</f>
        <v/>
      </c>
    </row>
    <row r="19">
      <c r="A19" s="31">
        <f>IF('6年'!B22="","",設定!$C$11)</f>
        <v/>
      </c>
      <c r="B19" s="31">
        <f>IF('6年'!B22="","",'6年'!A22)</f>
        <v/>
      </c>
      <c r="C19" s="31">
        <f>IF('6年'!B22="","",'6年'!B22)</f>
        <v/>
      </c>
      <c r="D19" s="31">
        <f>IF('6年'!B22="","",'6年'!C22&amp;"")</f>
        <v/>
      </c>
      <c r="E19" s="31">
        <f>IF(D19="","",IFERROR(MATCH(D19,設定!$I$11:$I$30,0),""))</f>
        <v/>
      </c>
      <c r="F19" s="31">
        <f>IF(E19="","",COUNTIF($E$2:E19,E19))</f>
        <v/>
      </c>
      <c r="G19" s="31">
        <f>IF(E19="","",E19*1000+F19)</f>
        <v/>
      </c>
      <c r="H19" s="31">
        <f>設定!$B$7</f>
        <v/>
      </c>
      <c r="I19" s="31">
        <f>IF(AND(C19&lt;&gt;"",D19=""),1,0)</f>
        <v/>
      </c>
      <c r="J19" s="31">
        <f>IF(AND(D19&lt;&gt;"",E19=""),1,0)</f>
        <v/>
      </c>
      <c r="M19" s="31">
        <f>IFERROR(MATCH(1018,$G$2:$G$721,0),"")</f>
        <v/>
      </c>
      <c r="N19" s="31">
        <f>IFERROR(MATCH(2018,$G$2:$G$721,0),"")</f>
        <v/>
      </c>
      <c r="O19" s="31">
        <f>IFERROR(MATCH(3018,$G$2:$G$721,0),"")</f>
        <v/>
      </c>
      <c r="P19" s="31">
        <f>IFERROR(MATCH(4018,$G$2:$G$721,0),"")</f>
        <v/>
      </c>
      <c r="Q19" s="31">
        <f>IFERROR(MATCH(5018,$G$2:$G$721,0),"")</f>
        <v/>
      </c>
      <c r="R19" s="31">
        <f>IFERROR(MATCH(6018,$G$2:$G$721,0),"")</f>
        <v/>
      </c>
      <c r="S19" s="31">
        <f>IFERROR(MATCH(7018,$G$2:$G$721,0),"")</f>
        <v/>
      </c>
      <c r="T19" s="31">
        <f>IFERROR(MATCH(8018,$G$2:$G$721,0),"")</f>
        <v/>
      </c>
      <c r="U19" s="31">
        <f>IFERROR(MATCH(9018,$G$2:$G$721,0),"")</f>
        <v/>
      </c>
      <c r="V19" s="31">
        <f>IFERROR(MATCH(10018,$G$2:$G$721,0),"")</f>
        <v/>
      </c>
      <c r="W19" s="31">
        <f>IFERROR(MATCH(11018,$G$2:$G$721,0),"")</f>
        <v/>
      </c>
      <c r="X19" s="31">
        <f>IFERROR(MATCH(12018,$G$2:$G$721,0),"")</f>
        <v/>
      </c>
      <c r="Y19" s="31">
        <f>IFERROR(MATCH(13018,$G$2:$G$721,0),"")</f>
        <v/>
      </c>
      <c r="Z19" s="31">
        <f>IFERROR(MATCH(14018,$G$2:$G$721,0),"")</f>
        <v/>
      </c>
      <c r="AA19" s="31">
        <f>IFERROR(MATCH(15018,$G$2:$G$721,0),"")</f>
        <v/>
      </c>
      <c r="AB19" s="31">
        <f>IFERROR(MATCH(16018,$G$2:$G$721,0),"")</f>
        <v/>
      </c>
      <c r="AC19" s="31">
        <f>IFERROR(MATCH(17018,$G$2:$G$721,0),"")</f>
        <v/>
      </c>
      <c r="AD19" s="31">
        <f>IFERROR(MATCH(18018,$G$2:$G$721,0),"")</f>
        <v/>
      </c>
      <c r="AE19" s="31">
        <f>IFERROR(MATCH(19018,$G$2:$G$721,0),"")</f>
        <v/>
      </c>
      <c r="AF19" s="31">
        <f>IFERROR(MATCH(20018,$G$2:$G$721,0),"")</f>
        <v/>
      </c>
    </row>
    <row r="20">
      <c r="A20" s="31">
        <f>IF('6年'!B23="","",設定!$C$11)</f>
        <v/>
      </c>
      <c r="B20" s="31">
        <f>IF('6年'!B23="","",'6年'!A23)</f>
        <v/>
      </c>
      <c r="C20" s="31">
        <f>IF('6年'!B23="","",'6年'!B23)</f>
        <v/>
      </c>
      <c r="D20" s="31">
        <f>IF('6年'!B23="","",'6年'!C23&amp;"")</f>
        <v/>
      </c>
      <c r="E20" s="31">
        <f>IF(D20="","",IFERROR(MATCH(D20,設定!$I$11:$I$30,0),""))</f>
        <v/>
      </c>
      <c r="F20" s="31">
        <f>IF(E20="","",COUNTIF($E$2:E20,E20))</f>
        <v/>
      </c>
      <c r="G20" s="31">
        <f>IF(E20="","",E20*1000+F20)</f>
        <v/>
      </c>
      <c r="H20" s="31">
        <f>設定!$B$7</f>
        <v/>
      </c>
      <c r="I20" s="31">
        <f>IF(AND(C20&lt;&gt;"",D20=""),1,0)</f>
        <v/>
      </c>
      <c r="J20" s="31">
        <f>IF(AND(D20&lt;&gt;"",E20=""),1,0)</f>
        <v/>
      </c>
      <c r="M20" s="31">
        <f>IFERROR(MATCH(1019,$G$2:$G$721,0),"")</f>
        <v/>
      </c>
      <c r="N20" s="31">
        <f>IFERROR(MATCH(2019,$G$2:$G$721,0),"")</f>
        <v/>
      </c>
      <c r="O20" s="31">
        <f>IFERROR(MATCH(3019,$G$2:$G$721,0),"")</f>
        <v/>
      </c>
      <c r="P20" s="31">
        <f>IFERROR(MATCH(4019,$G$2:$G$721,0),"")</f>
        <v/>
      </c>
      <c r="Q20" s="31">
        <f>IFERROR(MATCH(5019,$G$2:$G$721,0),"")</f>
        <v/>
      </c>
      <c r="R20" s="31">
        <f>IFERROR(MATCH(6019,$G$2:$G$721,0),"")</f>
        <v/>
      </c>
      <c r="S20" s="31">
        <f>IFERROR(MATCH(7019,$G$2:$G$721,0),"")</f>
        <v/>
      </c>
      <c r="T20" s="31">
        <f>IFERROR(MATCH(8019,$G$2:$G$721,0),"")</f>
        <v/>
      </c>
      <c r="U20" s="31">
        <f>IFERROR(MATCH(9019,$G$2:$G$721,0),"")</f>
        <v/>
      </c>
      <c r="V20" s="31">
        <f>IFERROR(MATCH(10019,$G$2:$G$721,0),"")</f>
        <v/>
      </c>
      <c r="W20" s="31">
        <f>IFERROR(MATCH(11019,$G$2:$G$721,0),"")</f>
        <v/>
      </c>
      <c r="X20" s="31">
        <f>IFERROR(MATCH(12019,$G$2:$G$721,0),"")</f>
        <v/>
      </c>
      <c r="Y20" s="31">
        <f>IFERROR(MATCH(13019,$G$2:$G$721,0),"")</f>
        <v/>
      </c>
      <c r="Z20" s="31">
        <f>IFERROR(MATCH(14019,$G$2:$G$721,0),"")</f>
        <v/>
      </c>
      <c r="AA20" s="31">
        <f>IFERROR(MATCH(15019,$G$2:$G$721,0),"")</f>
        <v/>
      </c>
      <c r="AB20" s="31">
        <f>IFERROR(MATCH(16019,$G$2:$G$721,0),"")</f>
        <v/>
      </c>
      <c r="AC20" s="31">
        <f>IFERROR(MATCH(17019,$G$2:$G$721,0),"")</f>
        <v/>
      </c>
      <c r="AD20" s="31">
        <f>IFERROR(MATCH(18019,$G$2:$G$721,0),"")</f>
        <v/>
      </c>
      <c r="AE20" s="31">
        <f>IFERROR(MATCH(19019,$G$2:$G$721,0),"")</f>
        <v/>
      </c>
      <c r="AF20" s="31">
        <f>IFERROR(MATCH(20019,$G$2:$G$721,0),"")</f>
        <v/>
      </c>
    </row>
    <row r="21">
      <c r="A21" s="31">
        <f>IF('6年'!B24="","",設定!$C$11)</f>
        <v/>
      </c>
      <c r="B21" s="31">
        <f>IF('6年'!B24="","",'6年'!A24)</f>
        <v/>
      </c>
      <c r="C21" s="31">
        <f>IF('6年'!B24="","",'6年'!B24)</f>
        <v/>
      </c>
      <c r="D21" s="31">
        <f>IF('6年'!B24="","",'6年'!C24&amp;"")</f>
        <v/>
      </c>
      <c r="E21" s="31">
        <f>IF(D21="","",IFERROR(MATCH(D21,設定!$I$11:$I$30,0),""))</f>
        <v/>
      </c>
      <c r="F21" s="31">
        <f>IF(E21="","",COUNTIF($E$2:E21,E21))</f>
        <v/>
      </c>
      <c r="G21" s="31">
        <f>IF(E21="","",E21*1000+F21)</f>
        <v/>
      </c>
      <c r="H21" s="31">
        <f>設定!$B$7</f>
        <v/>
      </c>
      <c r="I21" s="31">
        <f>IF(AND(C21&lt;&gt;"",D21=""),1,0)</f>
        <v/>
      </c>
      <c r="J21" s="31">
        <f>IF(AND(D21&lt;&gt;"",E21=""),1,0)</f>
        <v/>
      </c>
      <c r="M21" s="31">
        <f>IFERROR(MATCH(1020,$G$2:$G$721,0),"")</f>
        <v/>
      </c>
      <c r="N21" s="31">
        <f>IFERROR(MATCH(2020,$G$2:$G$721,0),"")</f>
        <v/>
      </c>
      <c r="O21" s="31">
        <f>IFERROR(MATCH(3020,$G$2:$G$721,0),"")</f>
        <v/>
      </c>
      <c r="P21" s="31">
        <f>IFERROR(MATCH(4020,$G$2:$G$721,0),"")</f>
        <v/>
      </c>
      <c r="Q21" s="31">
        <f>IFERROR(MATCH(5020,$G$2:$G$721,0),"")</f>
        <v/>
      </c>
      <c r="R21" s="31">
        <f>IFERROR(MATCH(6020,$G$2:$G$721,0),"")</f>
        <v/>
      </c>
      <c r="S21" s="31">
        <f>IFERROR(MATCH(7020,$G$2:$G$721,0),"")</f>
        <v/>
      </c>
      <c r="T21" s="31">
        <f>IFERROR(MATCH(8020,$G$2:$G$721,0),"")</f>
        <v/>
      </c>
      <c r="U21" s="31">
        <f>IFERROR(MATCH(9020,$G$2:$G$721,0),"")</f>
        <v/>
      </c>
      <c r="V21" s="31">
        <f>IFERROR(MATCH(10020,$G$2:$G$721,0),"")</f>
        <v/>
      </c>
      <c r="W21" s="31">
        <f>IFERROR(MATCH(11020,$G$2:$G$721,0),"")</f>
        <v/>
      </c>
      <c r="X21" s="31">
        <f>IFERROR(MATCH(12020,$G$2:$G$721,0),"")</f>
        <v/>
      </c>
      <c r="Y21" s="31">
        <f>IFERROR(MATCH(13020,$G$2:$G$721,0),"")</f>
        <v/>
      </c>
      <c r="Z21" s="31">
        <f>IFERROR(MATCH(14020,$G$2:$G$721,0),"")</f>
        <v/>
      </c>
      <c r="AA21" s="31">
        <f>IFERROR(MATCH(15020,$G$2:$G$721,0),"")</f>
        <v/>
      </c>
      <c r="AB21" s="31">
        <f>IFERROR(MATCH(16020,$G$2:$G$721,0),"")</f>
        <v/>
      </c>
      <c r="AC21" s="31">
        <f>IFERROR(MATCH(17020,$G$2:$G$721,0),"")</f>
        <v/>
      </c>
      <c r="AD21" s="31">
        <f>IFERROR(MATCH(18020,$G$2:$G$721,0),"")</f>
        <v/>
      </c>
      <c r="AE21" s="31">
        <f>IFERROR(MATCH(19020,$G$2:$G$721,0),"")</f>
        <v/>
      </c>
      <c r="AF21" s="31">
        <f>IFERROR(MATCH(20020,$G$2:$G$721,0),"")</f>
        <v/>
      </c>
    </row>
    <row r="22">
      <c r="A22" s="31">
        <f>IF('6年'!B25="","",設定!$C$11)</f>
        <v/>
      </c>
      <c r="B22" s="31">
        <f>IF('6年'!B25="","",'6年'!A25)</f>
        <v/>
      </c>
      <c r="C22" s="31">
        <f>IF('6年'!B25="","",'6年'!B25)</f>
        <v/>
      </c>
      <c r="D22" s="31">
        <f>IF('6年'!B25="","",'6年'!C25&amp;"")</f>
        <v/>
      </c>
      <c r="E22" s="31">
        <f>IF(D22="","",IFERROR(MATCH(D22,設定!$I$11:$I$30,0),""))</f>
        <v/>
      </c>
      <c r="F22" s="31">
        <f>IF(E22="","",COUNTIF($E$2:E22,E22))</f>
        <v/>
      </c>
      <c r="G22" s="31">
        <f>IF(E22="","",E22*1000+F22)</f>
        <v/>
      </c>
      <c r="H22" s="31">
        <f>設定!$B$7</f>
        <v/>
      </c>
      <c r="I22" s="31">
        <f>IF(AND(C22&lt;&gt;"",D22=""),1,0)</f>
        <v/>
      </c>
      <c r="J22" s="31">
        <f>IF(AND(D22&lt;&gt;"",E22=""),1,0)</f>
        <v/>
      </c>
      <c r="M22" s="31">
        <f>IFERROR(MATCH(1021,$G$2:$G$721,0),"")</f>
        <v/>
      </c>
      <c r="N22" s="31">
        <f>IFERROR(MATCH(2021,$G$2:$G$721,0),"")</f>
        <v/>
      </c>
      <c r="O22" s="31">
        <f>IFERROR(MATCH(3021,$G$2:$G$721,0),"")</f>
        <v/>
      </c>
      <c r="P22" s="31">
        <f>IFERROR(MATCH(4021,$G$2:$G$721,0),"")</f>
        <v/>
      </c>
      <c r="Q22" s="31">
        <f>IFERROR(MATCH(5021,$G$2:$G$721,0),"")</f>
        <v/>
      </c>
      <c r="R22" s="31">
        <f>IFERROR(MATCH(6021,$G$2:$G$721,0),"")</f>
        <v/>
      </c>
      <c r="S22" s="31">
        <f>IFERROR(MATCH(7021,$G$2:$G$721,0),"")</f>
        <v/>
      </c>
      <c r="T22" s="31">
        <f>IFERROR(MATCH(8021,$G$2:$G$721,0),"")</f>
        <v/>
      </c>
      <c r="U22" s="31">
        <f>IFERROR(MATCH(9021,$G$2:$G$721,0),"")</f>
        <v/>
      </c>
      <c r="V22" s="31">
        <f>IFERROR(MATCH(10021,$G$2:$G$721,0),"")</f>
        <v/>
      </c>
      <c r="W22" s="31">
        <f>IFERROR(MATCH(11021,$G$2:$G$721,0),"")</f>
        <v/>
      </c>
      <c r="X22" s="31">
        <f>IFERROR(MATCH(12021,$G$2:$G$721,0),"")</f>
        <v/>
      </c>
      <c r="Y22" s="31">
        <f>IFERROR(MATCH(13021,$G$2:$G$721,0),"")</f>
        <v/>
      </c>
      <c r="Z22" s="31">
        <f>IFERROR(MATCH(14021,$G$2:$G$721,0),"")</f>
        <v/>
      </c>
      <c r="AA22" s="31">
        <f>IFERROR(MATCH(15021,$G$2:$G$721,0),"")</f>
        <v/>
      </c>
      <c r="AB22" s="31">
        <f>IFERROR(MATCH(16021,$G$2:$G$721,0),"")</f>
        <v/>
      </c>
      <c r="AC22" s="31">
        <f>IFERROR(MATCH(17021,$G$2:$G$721,0),"")</f>
        <v/>
      </c>
      <c r="AD22" s="31">
        <f>IFERROR(MATCH(18021,$G$2:$G$721,0),"")</f>
        <v/>
      </c>
      <c r="AE22" s="31">
        <f>IFERROR(MATCH(19021,$G$2:$G$721,0),"")</f>
        <v/>
      </c>
      <c r="AF22" s="31">
        <f>IFERROR(MATCH(20021,$G$2:$G$721,0),"")</f>
        <v/>
      </c>
    </row>
    <row r="23">
      <c r="A23" s="31">
        <f>IF('6年'!B26="","",設定!$C$11)</f>
        <v/>
      </c>
      <c r="B23" s="31">
        <f>IF('6年'!B26="","",'6年'!A26)</f>
        <v/>
      </c>
      <c r="C23" s="31">
        <f>IF('6年'!B26="","",'6年'!B26)</f>
        <v/>
      </c>
      <c r="D23" s="31">
        <f>IF('6年'!B26="","",'6年'!C26&amp;"")</f>
        <v/>
      </c>
      <c r="E23" s="31">
        <f>IF(D23="","",IFERROR(MATCH(D23,設定!$I$11:$I$30,0),""))</f>
        <v/>
      </c>
      <c r="F23" s="31">
        <f>IF(E23="","",COUNTIF($E$2:E23,E23))</f>
        <v/>
      </c>
      <c r="G23" s="31">
        <f>IF(E23="","",E23*1000+F23)</f>
        <v/>
      </c>
      <c r="H23" s="31">
        <f>設定!$B$7</f>
        <v/>
      </c>
      <c r="I23" s="31">
        <f>IF(AND(C23&lt;&gt;"",D23=""),1,0)</f>
        <v/>
      </c>
      <c r="J23" s="31">
        <f>IF(AND(D23&lt;&gt;"",E23=""),1,0)</f>
        <v/>
      </c>
      <c r="M23" s="31">
        <f>IFERROR(MATCH(1022,$G$2:$G$721,0),"")</f>
        <v/>
      </c>
      <c r="N23" s="31">
        <f>IFERROR(MATCH(2022,$G$2:$G$721,0),"")</f>
        <v/>
      </c>
      <c r="O23" s="31">
        <f>IFERROR(MATCH(3022,$G$2:$G$721,0),"")</f>
        <v/>
      </c>
      <c r="P23" s="31">
        <f>IFERROR(MATCH(4022,$G$2:$G$721,0),"")</f>
        <v/>
      </c>
      <c r="Q23" s="31">
        <f>IFERROR(MATCH(5022,$G$2:$G$721,0),"")</f>
        <v/>
      </c>
      <c r="R23" s="31">
        <f>IFERROR(MATCH(6022,$G$2:$G$721,0),"")</f>
        <v/>
      </c>
      <c r="S23" s="31">
        <f>IFERROR(MATCH(7022,$G$2:$G$721,0),"")</f>
        <v/>
      </c>
      <c r="T23" s="31">
        <f>IFERROR(MATCH(8022,$G$2:$G$721,0),"")</f>
        <v/>
      </c>
      <c r="U23" s="31">
        <f>IFERROR(MATCH(9022,$G$2:$G$721,0),"")</f>
        <v/>
      </c>
      <c r="V23" s="31">
        <f>IFERROR(MATCH(10022,$G$2:$G$721,0),"")</f>
        <v/>
      </c>
      <c r="W23" s="31">
        <f>IFERROR(MATCH(11022,$G$2:$G$721,0),"")</f>
        <v/>
      </c>
      <c r="X23" s="31">
        <f>IFERROR(MATCH(12022,$G$2:$G$721,0),"")</f>
        <v/>
      </c>
      <c r="Y23" s="31">
        <f>IFERROR(MATCH(13022,$G$2:$G$721,0),"")</f>
        <v/>
      </c>
      <c r="Z23" s="31">
        <f>IFERROR(MATCH(14022,$G$2:$G$721,0),"")</f>
        <v/>
      </c>
      <c r="AA23" s="31">
        <f>IFERROR(MATCH(15022,$G$2:$G$721,0),"")</f>
        <v/>
      </c>
      <c r="AB23" s="31">
        <f>IFERROR(MATCH(16022,$G$2:$G$721,0),"")</f>
        <v/>
      </c>
      <c r="AC23" s="31">
        <f>IFERROR(MATCH(17022,$G$2:$G$721,0),"")</f>
        <v/>
      </c>
      <c r="AD23" s="31">
        <f>IFERROR(MATCH(18022,$G$2:$G$721,0),"")</f>
        <v/>
      </c>
      <c r="AE23" s="31">
        <f>IFERROR(MATCH(19022,$G$2:$G$721,0),"")</f>
        <v/>
      </c>
      <c r="AF23" s="31">
        <f>IFERROR(MATCH(20022,$G$2:$G$721,0),"")</f>
        <v/>
      </c>
    </row>
    <row r="24">
      <c r="A24" s="31">
        <f>IF('6年'!B27="","",設定!$C$11)</f>
        <v/>
      </c>
      <c r="B24" s="31">
        <f>IF('6年'!B27="","",'6年'!A27)</f>
        <v/>
      </c>
      <c r="C24" s="31">
        <f>IF('6年'!B27="","",'6年'!B27)</f>
        <v/>
      </c>
      <c r="D24" s="31">
        <f>IF('6年'!B27="","",'6年'!C27&amp;"")</f>
        <v/>
      </c>
      <c r="E24" s="31">
        <f>IF(D24="","",IFERROR(MATCH(D24,設定!$I$11:$I$30,0),""))</f>
        <v/>
      </c>
      <c r="F24" s="31">
        <f>IF(E24="","",COUNTIF($E$2:E24,E24))</f>
        <v/>
      </c>
      <c r="G24" s="31">
        <f>IF(E24="","",E24*1000+F24)</f>
        <v/>
      </c>
      <c r="H24" s="31">
        <f>設定!$B$7</f>
        <v/>
      </c>
      <c r="I24" s="31">
        <f>IF(AND(C24&lt;&gt;"",D24=""),1,0)</f>
        <v/>
      </c>
      <c r="J24" s="31">
        <f>IF(AND(D24&lt;&gt;"",E24=""),1,0)</f>
        <v/>
      </c>
      <c r="M24" s="31">
        <f>IFERROR(MATCH(1023,$G$2:$G$721,0),"")</f>
        <v/>
      </c>
      <c r="N24" s="31">
        <f>IFERROR(MATCH(2023,$G$2:$G$721,0),"")</f>
        <v/>
      </c>
      <c r="O24" s="31">
        <f>IFERROR(MATCH(3023,$G$2:$G$721,0),"")</f>
        <v/>
      </c>
      <c r="P24" s="31">
        <f>IFERROR(MATCH(4023,$G$2:$G$721,0),"")</f>
        <v/>
      </c>
      <c r="Q24" s="31">
        <f>IFERROR(MATCH(5023,$G$2:$G$721,0),"")</f>
        <v/>
      </c>
      <c r="R24" s="31">
        <f>IFERROR(MATCH(6023,$G$2:$G$721,0),"")</f>
        <v/>
      </c>
      <c r="S24" s="31">
        <f>IFERROR(MATCH(7023,$G$2:$G$721,0),"")</f>
        <v/>
      </c>
      <c r="T24" s="31">
        <f>IFERROR(MATCH(8023,$G$2:$G$721,0),"")</f>
        <v/>
      </c>
      <c r="U24" s="31">
        <f>IFERROR(MATCH(9023,$G$2:$G$721,0),"")</f>
        <v/>
      </c>
      <c r="V24" s="31">
        <f>IFERROR(MATCH(10023,$G$2:$G$721,0),"")</f>
        <v/>
      </c>
      <c r="W24" s="31">
        <f>IFERROR(MATCH(11023,$G$2:$G$721,0),"")</f>
        <v/>
      </c>
      <c r="X24" s="31">
        <f>IFERROR(MATCH(12023,$G$2:$G$721,0),"")</f>
        <v/>
      </c>
      <c r="Y24" s="31">
        <f>IFERROR(MATCH(13023,$G$2:$G$721,0),"")</f>
        <v/>
      </c>
      <c r="Z24" s="31">
        <f>IFERROR(MATCH(14023,$G$2:$G$721,0),"")</f>
        <v/>
      </c>
      <c r="AA24" s="31">
        <f>IFERROR(MATCH(15023,$G$2:$G$721,0),"")</f>
        <v/>
      </c>
      <c r="AB24" s="31">
        <f>IFERROR(MATCH(16023,$G$2:$G$721,0),"")</f>
        <v/>
      </c>
      <c r="AC24" s="31">
        <f>IFERROR(MATCH(17023,$G$2:$G$721,0),"")</f>
        <v/>
      </c>
      <c r="AD24" s="31">
        <f>IFERROR(MATCH(18023,$G$2:$G$721,0),"")</f>
        <v/>
      </c>
      <c r="AE24" s="31">
        <f>IFERROR(MATCH(19023,$G$2:$G$721,0),"")</f>
        <v/>
      </c>
      <c r="AF24" s="31">
        <f>IFERROR(MATCH(20023,$G$2:$G$721,0),"")</f>
        <v/>
      </c>
    </row>
    <row r="25">
      <c r="A25" s="31">
        <f>IF('6年'!B28="","",設定!$C$11)</f>
        <v/>
      </c>
      <c r="B25" s="31">
        <f>IF('6年'!B28="","",'6年'!A28)</f>
        <v/>
      </c>
      <c r="C25" s="31">
        <f>IF('6年'!B28="","",'6年'!B28)</f>
        <v/>
      </c>
      <c r="D25" s="31">
        <f>IF('6年'!B28="","",'6年'!C28&amp;"")</f>
        <v/>
      </c>
      <c r="E25" s="31">
        <f>IF(D25="","",IFERROR(MATCH(D25,設定!$I$11:$I$30,0),""))</f>
        <v/>
      </c>
      <c r="F25" s="31">
        <f>IF(E25="","",COUNTIF($E$2:E25,E25))</f>
        <v/>
      </c>
      <c r="G25" s="31">
        <f>IF(E25="","",E25*1000+F25)</f>
        <v/>
      </c>
      <c r="H25" s="31">
        <f>設定!$B$7</f>
        <v/>
      </c>
      <c r="I25" s="31">
        <f>IF(AND(C25&lt;&gt;"",D25=""),1,0)</f>
        <v/>
      </c>
      <c r="J25" s="31">
        <f>IF(AND(D25&lt;&gt;"",E25=""),1,0)</f>
        <v/>
      </c>
      <c r="M25" s="31">
        <f>IFERROR(MATCH(1024,$G$2:$G$721,0),"")</f>
        <v/>
      </c>
      <c r="N25" s="31">
        <f>IFERROR(MATCH(2024,$G$2:$G$721,0),"")</f>
        <v/>
      </c>
      <c r="O25" s="31">
        <f>IFERROR(MATCH(3024,$G$2:$G$721,0),"")</f>
        <v/>
      </c>
      <c r="P25" s="31">
        <f>IFERROR(MATCH(4024,$G$2:$G$721,0),"")</f>
        <v/>
      </c>
      <c r="Q25" s="31">
        <f>IFERROR(MATCH(5024,$G$2:$G$721,0),"")</f>
        <v/>
      </c>
      <c r="R25" s="31">
        <f>IFERROR(MATCH(6024,$G$2:$G$721,0),"")</f>
        <v/>
      </c>
      <c r="S25" s="31">
        <f>IFERROR(MATCH(7024,$G$2:$G$721,0),"")</f>
        <v/>
      </c>
      <c r="T25" s="31">
        <f>IFERROR(MATCH(8024,$G$2:$G$721,0),"")</f>
        <v/>
      </c>
      <c r="U25" s="31">
        <f>IFERROR(MATCH(9024,$G$2:$G$721,0),"")</f>
        <v/>
      </c>
      <c r="V25" s="31">
        <f>IFERROR(MATCH(10024,$G$2:$G$721,0),"")</f>
        <v/>
      </c>
      <c r="W25" s="31">
        <f>IFERROR(MATCH(11024,$G$2:$G$721,0),"")</f>
        <v/>
      </c>
      <c r="X25" s="31">
        <f>IFERROR(MATCH(12024,$G$2:$G$721,0),"")</f>
        <v/>
      </c>
      <c r="Y25" s="31">
        <f>IFERROR(MATCH(13024,$G$2:$G$721,0),"")</f>
        <v/>
      </c>
      <c r="Z25" s="31">
        <f>IFERROR(MATCH(14024,$G$2:$G$721,0),"")</f>
        <v/>
      </c>
      <c r="AA25" s="31">
        <f>IFERROR(MATCH(15024,$G$2:$G$721,0),"")</f>
        <v/>
      </c>
      <c r="AB25" s="31">
        <f>IFERROR(MATCH(16024,$G$2:$G$721,0),"")</f>
        <v/>
      </c>
      <c r="AC25" s="31">
        <f>IFERROR(MATCH(17024,$G$2:$G$721,0),"")</f>
        <v/>
      </c>
      <c r="AD25" s="31">
        <f>IFERROR(MATCH(18024,$G$2:$G$721,0),"")</f>
        <v/>
      </c>
      <c r="AE25" s="31">
        <f>IFERROR(MATCH(19024,$G$2:$G$721,0),"")</f>
        <v/>
      </c>
      <c r="AF25" s="31">
        <f>IFERROR(MATCH(20024,$G$2:$G$721,0),"")</f>
        <v/>
      </c>
    </row>
    <row r="26">
      <c r="A26" s="31">
        <f>IF('6年'!B29="","",設定!$C$11)</f>
        <v/>
      </c>
      <c r="B26" s="31">
        <f>IF('6年'!B29="","",'6年'!A29)</f>
        <v/>
      </c>
      <c r="C26" s="31">
        <f>IF('6年'!B29="","",'6年'!B29)</f>
        <v/>
      </c>
      <c r="D26" s="31">
        <f>IF('6年'!B29="","",'6年'!C29&amp;"")</f>
        <v/>
      </c>
      <c r="E26" s="31">
        <f>IF(D26="","",IFERROR(MATCH(D26,設定!$I$11:$I$30,0),""))</f>
        <v/>
      </c>
      <c r="F26" s="31">
        <f>IF(E26="","",COUNTIF($E$2:E26,E26))</f>
        <v/>
      </c>
      <c r="G26" s="31">
        <f>IF(E26="","",E26*1000+F26)</f>
        <v/>
      </c>
      <c r="H26" s="31">
        <f>設定!$B$7</f>
        <v/>
      </c>
      <c r="I26" s="31">
        <f>IF(AND(C26&lt;&gt;"",D26=""),1,0)</f>
        <v/>
      </c>
      <c r="J26" s="31">
        <f>IF(AND(D26&lt;&gt;"",E26=""),1,0)</f>
        <v/>
      </c>
      <c r="M26" s="31">
        <f>IFERROR(MATCH(1025,$G$2:$G$721,0),"")</f>
        <v/>
      </c>
      <c r="N26" s="31">
        <f>IFERROR(MATCH(2025,$G$2:$G$721,0),"")</f>
        <v/>
      </c>
      <c r="O26" s="31">
        <f>IFERROR(MATCH(3025,$G$2:$G$721,0),"")</f>
        <v/>
      </c>
      <c r="P26" s="31">
        <f>IFERROR(MATCH(4025,$G$2:$G$721,0),"")</f>
        <v/>
      </c>
      <c r="Q26" s="31">
        <f>IFERROR(MATCH(5025,$G$2:$G$721,0),"")</f>
        <v/>
      </c>
      <c r="R26" s="31">
        <f>IFERROR(MATCH(6025,$G$2:$G$721,0),"")</f>
        <v/>
      </c>
      <c r="S26" s="31">
        <f>IFERROR(MATCH(7025,$G$2:$G$721,0),"")</f>
        <v/>
      </c>
      <c r="T26" s="31">
        <f>IFERROR(MATCH(8025,$G$2:$G$721,0),"")</f>
        <v/>
      </c>
      <c r="U26" s="31">
        <f>IFERROR(MATCH(9025,$G$2:$G$721,0),"")</f>
        <v/>
      </c>
      <c r="V26" s="31">
        <f>IFERROR(MATCH(10025,$G$2:$G$721,0),"")</f>
        <v/>
      </c>
      <c r="W26" s="31">
        <f>IFERROR(MATCH(11025,$G$2:$G$721,0),"")</f>
        <v/>
      </c>
      <c r="X26" s="31">
        <f>IFERROR(MATCH(12025,$G$2:$G$721,0),"")</f>
        <v/>
      </c>
      <c r="Y26" s="31">
        <f>IFERROR(MATCH(13025,$G$2:$G$721,0),"")</f>
        <v/>
      </c>
      <c r="Z26" s="31">
        <f>IFERROR(MATCH(14025,$G$2:$G$721,0),"")</f>
        <v/>
      </c>
      <c r="AA26" s="31">
        <f>IFERROR(MATCH(15025,$G$2:$G$721,0),"")</f>
        <v/>
      </c>
      <c r="AB26" s="31">
        <f>IFERROR(MATCH(16025,$G$2:$G$721,0),"")</f>
        <v/>
      </c>
      <c r="AC26" s="31">
        <f>IFERROR(MATCH(17025,$G$2:$G$721,0),"")</f>
        <v/>
      </c>
      <c r="AD26" s="31">
        <f>IFERROR(MATCH(18025,$G$2:$G$721,0),"")</f>
        <v/>
      </c>
      <c r="AE26" s="31">
        <f>IFERROR(MATCH(19025,$G$2:$G$721,0),"")</f>
        <v/>
      </c>
      <c r="AF26" s="31">
        <f>IFERROR(MATCH(20025,$G$2:$G$721,0),"")</f>
        <v/>
      </c>
    </row>
    <row r="27">
      <c r="A27" s="31">
        <f>IF('6年'!B30="","",設定!$C$11)</f>
        <v/>
      </c>
      <c r="B27" s="31">
        <f>IF('6年'!B30="","",'6年'!A30)</f>
        <v/>
      </c>
      <c r="C27" s="31">
        <f>IF('6年'!B30="","",'6年'!B30)</f>
        <v/>
      </c>
      <c r="D27" s="31">
        <f>IF('6年'!B30="","",'6年'!C30&amp;"")</f>
        <v/>
      </c>
      <c r="E27" s="31">
        <f>IF(D27="","",IFERROR(MATCH(D27,設定!$I$11:$I$30,0),""))</f>
        <v/>
      </c>
      <c r="F27" s="31">
        <f>IF(E27="","",COUNTIF($E$2:E27,E27))</f>
        <v/>
      </c>
      <c r="G27" s="31">
        <f>IF(E27="","",E27*1000+F27)</f>
        <v/>
      </c>
      <c r="H27" s="31">
        <f>設定!$B$7</f>
        <v/>
      </c>
      <c r="I27" s="31">
        <f>IF(AND(C27&lt;&gt;"",D27=""),1,0)</f>
        <v/>
      </c>
      <c r="J27" s="31">
        <f>IF(AND(D27&lt;&gt;"",E27=""),1,0)</f>
        <v/>
      </c>
      <c r="M27" s="31">
        <f>IFERROR(MATCH(1026,$G$2:$G$721,0),"")</f>
        <v/>
      </c>
      <c r="N27" s="31">
        <f>IFERROR(MATCH(2026,$G$2:$G$721,0),"")</f>
        <v/>
      </c>
      <c r="O27" s="31">
        <f>IFERROR(MATCH(3026,$G$2:$G$721,0),"")</f>
        <v/>
      </c>
      <c r="P27" s="31">
        <f>IFERROR(MATCH(4026,$G$2:$G$721,0),"")</f>
        <v/>
      </c>
      <c r="Q27" s="31">
        <f>IFERROR(MATCH(5026,$G$2:$G$721,0),"")</f>
        <v/>
      </c>
      <c r="R27" s="31">
        <f>IFERROR(MATCH(6026,$G$2:$G$721,0),"")</f>
        <v/>
      </c>
      <c r="S27" s="31">
        <f>IFERROR(MATCH(7026,$G$2:$G$721,0),"")</f>
        <v/>
      </c>
      <c r="T27" s="31">
        <f>IFERROR(MATCH(8026,$G$2:$G$721,0),"")</f>
        <v/>
      </c>
      <c r="U27" s="31">
        <f>IFERROR(MATCH(9026,$G$2:$G$721,0),"")</f>
        <v/>
      </c>
      <c r="V27" s="31">
        <f>IFERROR(MATCH(10026,$G$2:$G$721,0),"")</f>
        <v/>
      </c>
      <c r="W27" s="31">
        <f>IFERROR(MATCH(11026,$G$2:$G$721,0),"")</f>
        <v/>
      </c>
      <c r="X27" s="31">
        <f>IFERROR(MATCH(12026,$G$2:$G$721,0),"")</f>
        <v/>
      </c>
      <c r="Y27" s="31">
        <f>IFERROR(MATCH(13026,$G$2:$G$721,0),"")</f>
        <v/>
      </c>
      <c r="Z27" s="31">
        <f>IFERROR(MATCH(14026,$G$2:$G$721,0),"")</f>
        <v/>
      </c>
      <c r="AA27" s="31">
        <f>IFERROR(MATCH(15026,$G$2:$G$721,0),"")</f>
        <v/>
      </c>
      <c r="AB27" s="31">
        <f>IFERROR(MATCH(16026,$G$2:$G$721,0),"")</f>
        <v/>
      </c>
      <c r="AC27" s="31">
        <f>IFERROR(MATCH(17026,$G$2:$G$721,0),"")</f>
        <v/>
      </c>
      <c r="AD27" s="31">
        <f>IFERROR(MATCH(18026,$G$2:$G$721,0),"")</f>
        <v/>
      </c>
      <c r="AE27" s="31">
        <f>IFERROR(MATCH(19026,$G$2:$G$721,0),"")</f>
        <v/>
      </c>
      <c r="AF27" s="31">
        <f>IFERROR(MATCH(20026,$G$2:$G$721,0),"")</f>
        <v/>
      </c>
    </row>
    <row r="28">
      <c r="A28" s="31">
        <f>IF('6年'!B31="","",設定!$C$11)</f>
        <v/>
      </c>
      <c r="B28" s="31">
        <f>IF('6年'!B31="","",'6年'!A31)</f>
        <v/>
      </c>
      <c r="C28" s="31">
        <f>IF('6年'!B31="","",'6年'!B31)</f>
        <v/>
      </c>
      <c r="D28" s="31">
        <f>IF('6年'!B31="","",'6年'!C31&amp;"")</f>
        <v/>
      </c>
      <c r="E28" s="31">
        <f>IF(D28="","",IFERROR(MATCH(D28,設定!$I$11:$I$30,0),""))</f>
        <v/>
      </c>
      <c r="F28" s="31">
        <f>IF(E28="","",COUNTIF($E$2:E28,E28))</f>
        <v/>
      </c>
      <c r="G28" s="31">
        <f>IF(E28="","",E28*1000+F28)</f>
        <v/>
      </c>
      <c r="H28" s="31">
        <f>設定!$B$7</f>
        <v/>
      </c>
      <c r="I28" s="31">
        <f>IF(AND(C28&lt;&gt;"",D28=""),1,0)</f>
        <v/>
      </c>
      <c r="J28" s="31">
        <f>IF(AND(D28&lt;&gt;"",E28=""),1,0)</f>
        <v/>
      </c>
      <c r="M28" s="31">
        <f>IFERROR(MATCH(1027,$G$2:$G$721,0),"")</f>
        <v/>
      </c>
      <c r="N28" s="31">
        <f>IFERROR(MATCH(2027,$G$2:$G$721,0),"")</f>
        <v/>
      </c>
      <c r="O28" s="31">
        <f>IFERROR(MATCH(3027,$G$2:$G$721,0),"")</f>
        <v/>
      </c>
      <c r="P28" s="31">
        <f>IFERROR(MATCH(4027,$G$2:$G$721,0),"")</f>
        <v/>
      </c>
      <c r="Q28" s="31">
        <f>IFERROR(MATCH(5027,$G$2:$G$721,0),"")</f>
        <v/>
      </c>
      <c r="R28" s="31">
        <f>IFERROR(MATCH(6027,$G$2:$G$721,0),"")</f>
        <v/>
      </c>
      <c r="S28" s="31">
        <f>IFERROR(MATCH(7027,$G$2:$G$721,0),"")</f>
        <v/>
      </c>
      <c r="T28" s="31">
        <f>IFERROR(MATCH(8027,$G$2:$G$721,0),"")</f>
        <v/>
      </c>
      <c r="U28" s="31">
        <f>IFERROR(MATCH(9027,$G$2:$G$721,0),"")</f>
        <v/>
      </c>
      <c r="V28" s="31">
        <f>IFERROR(MATCH(10027,$G$2:$G$721,0),"")</f>
        <v/>
      </c>
      <c r="W28" s="31">
        <f>IFERROR(MATCH(11027,$G$2:$G$721,0),"")</f>
        <v/>
      </c>
      <c r="X28" s="31">
        <f>IFERROR(MATCH(12027,$G$2:$G$721,0),"")</f>
        <v/>
      </c>
      <c r="Y28" s="31">
        <f>IFERROR(MATCH(13027,$G$2:$G$721,0),"")</f>
        <v/>
      </c>
      <c r="Z28" s="31">
        <f>IFERROR(MATCH(14027,$G$2:$G$721,0),"")</f>
        <v/>
      </c>
      <c r="AA28" s="31">
        <f>IFERROR(MATCH(15027,$G$2:$G$721,0),"")</f>
        <v/>
      </c>
      <c r="AB28" s="31">
        <f>IFERROR(MATCH(16027,$G$2:$G$721,0),"")</f>
        <v/>
      </c>
      <c r="AC28" s="31">
        <f>IFERROR(MATCH(17027,$G$2:$G$721,0),"")</f>
        <v/>
      </c>
      <c r="AD28" s="31">
        <f>IFERROR(MATCH(18027,$G$2:$G$721,0),"")</f>
        <v/>
      </c>
      <c r="AE28" s="31">
        <f>IFERROR(MATCH(19027,$G$2:$G$721,0),"")</f>
        <v/>
      </c>
      <c r="AF28" s="31">
        <f>IFERROR(MATCH(20027,$G$2:$G$721,0),"")</f>
        <v/>
      </c>
    </row>
    <row r="29">
      <c r="A29" s="31">
        <f>IF('6年'!B32="","",設定!$C$11)</f>
        <v/>
      </c>
      <c r="B29" s="31">
        <f>IF('6年'!B32="","",'6年'!A32)</f>
        <v/>
      </c>
      <c r="C29" s="31">
        <f>IF('6年'!B32="","",'6年'!B32)</f>
        <v/>
      </c>
      <c r="D29" s="31">
        <f>IF('6年'!B32="","",'6年'!C32&amp;"")</f>
        <v/>
      </c>
      <c r="E29" s="31">
        <f>IF(D29="","",IFERROR(MATCH(D29,設定!$I$11:$I$30,0),""))</f>
        <v/>
      </c>
      <c r="F29" s="31">
        <f>IF(E29="","",COUNTIF($E$2:E29,E29))</f>
        <v/>
      </c>
      <c r="G29" s="31">
        <f>IF(E29="","",E29*1000+F29)</f>
        <v/>
      </c>
      <c r="H29" s="31">
        <f>設定!$B$7</f>
        <v/>
      </c>
      <c r="I29" s="31">
        <f>IF(AND(C29&lt;&gt;"",D29=""),1,0)</f>
        <v/>
      </c>
      <c r="J29" s="31">
        <f>IF(AND(D29&lt;&gt;"",E29=""),1,0)</f>
        <v/>
      </c>
      <c r="M29" s="31">
        <f>IFERROR(MATCH(1028,$G$2:$G$721,0),"")</f>
        <v/>
      </c>
      <c r="N29" s="31">
        <f>IFERROR(MATCH(2028,$G$2:$G$721,0),"")</f>
        <v/>
      </c>
      <c r="O29" s="31">
        <f>IFERROR(MATCH(3028,$G$2:$G$721,0),"")</f>
        <v/>
      </c>
      <c r="P29" s="31">
        <f>IFERROR(MATCH(4028,$G$2:$G$721,0),"")</f>
        <v/>
      </c>
      <c r="Q29" s="31">
        <f>IFERROR(MATCH(5028,$G$2:$G$721,0),"")</f>
        <v/>
      </c>
      <c r="R29" s="31">
        <f>IFERROR(MATCH(6028,$G$2:$G$721,0),"")</f>
        <v/>
      </c>
      <c r="S29" s="31">
        <f>IFERROR(MATCH(7028,$G$2:$G$721,0),"")</f>
        <v/>
      </c>
      <c r="T29" s="31">
        <f>IFERROR(MATCH(8028,$G$2:$G$721,0),"")</f>
        <v/>
      </c>
      <c r="U29" s="31">
        <f>IFERROR(MATCH(9028,$G$2:$G$721,0),"")</f>
        <v/>
      </c>
      <c r="V29" s="31">
        <f>IFERROR(MATCH(10028,$G$2:$G$721,0),"")</f>
        <v/>
      </c>
      <c r="W29" s="31">
        <f>IFERROR(MATCH(11028,$G$2:$G$721,0),"")</f>
        <v/>
      </c>
      <c r="X29" s="31">
        <f>IFERROR(MATCH(12028,$G$2:$G$721,0),"")</f>
        <v/>
      </c>
      <c r="Y29" s="31">
        <f>IFERROR(MATCH(13028,$G$2:$G$721,0),"")</f>
        <v/>
      </c>
      <c r="Z29" s="31">
        <f>IFERROR(MATCH(14028,$G$2:$G$721,0),"")</f>
        <v/>
      </c>
      <c r="AA29" s="31">
        <f>IFERROR(MATCH(15028,$G$2:$G$721,0),"")</f>
        <v/>
      </c>
      <c r="AB29" s="31">
        <f>IFERROR(MATCH(16028,$G$2:$G$721,0),"")</f>
        <v/>
      </c>
      <c r="AC29" s="31">
        <f>IFERROR(MATCH(17028,$G$2:$G$721,0),"")</f>
        <v/>
      </c>
      <c r="AD29" s="31">
        <f>IFERROR(MATCH(18028,$G$2:$G$721,0),"")</f>
        <v/>
      </c>
      <c r="AE29" s="31">
        <f>IFERROR(MATCH(19028,$G$2:$G$721,0),"")</f>
        <v/>
      </c>
      <c r="AF29" s="31">
        <f>IFERROR(MATCH(20028,$G$2:$G$721,0),"")</f>
        <v/>
      </c>
    </row>
    <row r="30">
      <c r="A30" s="31">
        <f>IF('6年'!B33="","",設定!$C$11)</f>
        <v/>
      </c>
      <c r="B30" s="31">
        <f>IF('6年'!B33="","",'6年'!A33)</f>
        <v/>
      </c>
      <c r="C30" s="31">
        <f>IF('6年'!B33="","",'6年'!B33)</f>
        <v/>
      </c>
      <c r="D30" s="31">
        <f>IF('6年'!B33="","",'6年'!C33&amp;"")</f>
        <v/>
      </c>
      <c r="E30" s="31">
        <f>IF(D30="","",IFERROR(MATCH(D30,設定!$I$11:$I$30,0),""))</f>
        <v/>
      </c>
      <c r="F30" s="31">
        <f>IF(E30="","",COUNTIF($E$2:E30,E30))</f>
        <v/>
      </c>
      <c r="G30" s="31">
        <f>IF(E30="","",E30*1000+F30)</f>
        <v/>
      </c>
      <c r="H30" s="31">
        <f>設定!$B$7</f>
        <v/>
      </c>
      <c r="I30" s="31">
        <f>IF(AND(C30&lt;&gt;"",D30=""),1,0)</f>
        <v/>
      </c>
      <c r="J30" s="31">
        <f>IF(AND(D30&lt;&gt;"",E30=""),1,0)</f>
        <v/>
      </c>
      <c r="M30" s="31">
        <f>IFERROR(MATCH(1029,$G$2:$G$721,0),"")</f>
        <v/>
      </c>
      <c r="N30" s="31">
        <f>IFERROR(MATCH(2029,$G$2:$G$721,0),"")</f>
        <v/>
      </c>
      <c r="O30" s="31">
        <f>IFERROR(MATCH(3029,$G$2:$G$721,0),"")</f>
        <v/>
      </c>
      <c r="P30" s="31">
        <f>IFERROR(MATCH(4029,$G$2:$G$721,0),"")</f>
        <v/>
      </c>
      <c r="Q30" s="31">
        <f>IFERROR(MATCH(5029,$G$2:$G$721,0),"")</f>
        <v/>
      </c>
      <c r="R30" s="31">
        <f>IFERROR(MATCH(6029,$G$2:$G$721,0),"")</f>
        <v/>
      </c>
      <c r="S30" s="31">
        <f>IFERROR(MATCH(7029,$G$2:$G$721,0),"")</f>
        <v/>
      </c>
      <c r="T30" s="31">
        <f>IFERROR(MATCH(8029,$G$2:$G$721,0),"")</f>
        <v/>
      </c>
      <c r="U30" s="31">
        <f>IFERROR(MATCH(9029,$G$2:$G$721,0),"")</f>
        <v/>
      </c>
      <c r="V30" s="31">
        <f>IFERROR(MATCH(10029,$G$2:$G$721,0),"")</f>
        <v/>
      </c>
      <c r="W30" s="31">
        <f>IFERROR(MATCH(11029,$G$2:$G$721,0),"")</f>
        <v/>
      </c>
      <c r="X30" s="31">
        <f>IFERROR(MATCH(12029,$G$2:$G$721,0),"")</f>
        <v/>
      </c>
      <c r="Y30" s="31">
        <f>IFERROR(MATCH(13029,$G$2:$G$721,0),"")</f>
        <v/>
      </c>
      <c r="Z30" s="31">
        <f>IFERROR(MATCH(14029,$G$2:$G$721,0),"")</f>
        <v/>
      </c>
      <c r="AA30" s="31">
        <f>IFERROR(MATCH(15029,$G$2:$G$721,0),"")</f>
        <v/>
      </c>
      <c r="AB30" s="31">
        <f>IFERROR(MATCH(16029,$G$2:$G$721,0),"")</f>
        <v/>
      </c>
      <c r="AC30" s="31">
        <f>IFERROR(MATCH(17029,$G$2:$G$721,0),"")</f>
        <v/>
      </c>
      <c r="AD30" s="31">
        <f>IFERROR(MATCH(18029,$G$2:$G$721,0),"")</f>
        <v/>
      </c>
      <c r="AE30" s="31">
        <f>IFERROR(MATCH(19029,$G$2:$G$721,0),"")</f>
        <v/>
      </c>
      <c r="AF30" s="31">
        <f>IFERROR(MATCH(20029,$G$2:$G$721,0),"")</f>
        <v/>
      </c>
    </row>
    <row r="31">
      <c r="A31" s="31">
        <f>IF('6年'!B34="","",設定!$C$11)</f>
        <v/>
      </c>
      <c r="B31" s="31">
        <f>IF('6年'!B34="","",'6年'!A34)</f>
        <v/>
      </c>
      <c r="C31" s="31">
        <f>IF('6年'!B34="","",'6年'!B34)</f>
        <v/>
      </c>
      <c r="D31" s="31">
        <f>IF('6年'!B34="","",'6年'!C34&amp;"")</f>
        <v/>
      </c>
      <c r="E31" s="31">
        <f>IF(D31="","",IFERROR(MATCH(D31,設定!$I$11:$I$30,0),""))</f>
        <v/>
      </c>
      <c r="F31" s="31">
        <f>IF(E31="","",COUNTIF($E$2:E31,E31))</f>
        <v/>
      </c>
      <c r="G31" s="31">
        <f>IF(E31="","",E31*1000+F31)</f>
        <v/>
      </c>
      <c r="H31" s="31">
        <f>設定!$B$7</f>
        <v/>
      </c>
      <c r="I31" s="31">
        <f>IF(AND(C31&lt;&gt;"",D31=""),1,0)</f>
        <v/>
      </c>
      <c r="J31" s="31">
        <f>IF(AND(D31&lt;&gt;"",E31=""),1,0)</f>
        <v/>
      </c>
      <c r="M31" s="31">
        <f>IFERROR(MATCH(1030,$G$2:$G$721,0),"")</f>
        <v/>
      </c>
      <c r="N31" s="31">
        <f>IFERROR(MATCH(2030,$G$2:$G$721,0),"")</f>
        <v/>
      </c>
      <c r="O31" s="31">
        <f>IFERROR(MATCH(3030,$G$2:$G$721,0),"")</f>
        <v/>
      </c>
      <c r="P31" s="31">
        <f>IFERROR(MATCH(4030,$G$2:$G$721,0),"")</f>
        <v/>
      </c>
      <c r="Q31" s="31">
        <f>IFERROR(MATCH(5030,$G$2:$G$721,0),"")</f>
        <v/>
      </c>
      <c r="R31" s="31">
        <f>IFERROR(MATCH(6030,$G$2:$G$721,0),"")</f>
        <v/>
      </c>
      <c r="S31" s="31">
        <f>IFERROR(MATCH(7030,$G$2:$G$721,0),"")</f>
        <v/>
      </c>
      <c r="T31" s="31">
        <f>IFERROR(MATCH(8030,$G$2:$G$721,0),"")</f>
        <v/>
      </c>
      <c r="U31" s="31">
        <f>IFERROR(MATCH(9030,$G$2:$G$721,0),"")</f>
        <v/>
      </c>
      <c r="V31" s="31">
        <f>IFERROR(MATCH(10030,$G$2:$G$721,0),"")</f>
        <v/>
      </c>
      <c r="W31" s="31">
        <f>IFERROR(MATCH(11030,$G$2:$G$721,0),"")</f>
        <v/>
      </c>
      <c r="X31" s="31">
        <f>IFERROR(MATCH(12030,$G$2:$G$721,0),"")</f>
        <v/>
      </c>
      <c r="Y31" s="31">
        <f>IFERROR(MATCH(13030,$G$2:$G$721,0),"")</f>
        <v/>
      </c>
      <c r="Z31" s="31">
        <f>IFERROR(MATCH(14030,$G$2:$G$721,0),"")</f>
        <v/>
      </c>
      <c r="AA31" s="31">
        <f>IFERROR(MATCH(15030,$G$2:$G$721,0),"")</f>
        <v/>
      </c>
      <c r="AB31" s="31">
        <f>IFERROR(MATCH(16030,$G$2:$G$721,0),"")</f>
        <v/>
      </c>
      <c r="AC31" s="31">
        <f>IFERROR(MATCH(17030,$G$2:$G$721,0),"")</f>
        <v/>
      </c>
      <c r="AD31" s="31">
        <f>IFERROR(MATCH(18030,$G$2:$G$721,0),"")</f>
        <v/>
      </c>
      <c r="AE31" s="31">
        <f>IFERROR(MATCH(19030,$G$2:$G$721,0),"")</f>
        <v/>
      </c>
      <c r="AF31" s="31">
        <f>IFERROR(MATCH(20030,$G$2:$G$721,0),"")</f>
        <v/>
      </c>
    </row>
    <row r="32">
      <c r="A32" s="31">
        <f>IF('6年'!B35="","",設定!$C$11)</f>
        <v/>
      </c>
      <c r="B32" s="31">
        <f>IF('6年'!B35="","",'6年'!A35)</f>
        <v/>
      </c>
      <c r="C32" s="31">
        <f>IF('6年'!B35="","",'6年'!B35)</f>
        <v/>
      </c>
      <c r="D32" s="31">
        <f>IF('6年'!B35="","",'6年'!C35&amp;"")</f>
        <v/>
      </c>
      <c r="E32" s="31">
        <f>IF(D32="","",IFERROR(MATCH(D32,設定!$I$11:$I$30,0),""))</f>
        <v/>
      </c>
      <c r="F32" s="31">
        <f>IF(E32="","",COUNTIF($E$2:E32,E32))</f>
        <v/>
      </c>
      <c r="G32" s="31">
        <f>IF(E32="","",E32*1000+F32)</f>
        <v/>
      </c>
      <c r="H32" s="31">
        <f>設定!$B$7</f>
        <v/>
      </c>
      <c r="I32" s="31">
        <f>IF(AND(C32&lt;&gt;"",D32=""),1,0)</f>
        <v/>
      </c>
      <c r="J32" s="31">
        <f>IF(AND(D32&lt;&gt;"",E32=""),1,0)</f>
        <v/>
      </c>
      <c r="M32" s="31">
        <f>IFERROR(MATCH(1031,$G$2:$G$721,0),"")</f>
        <v/>
      </c>
      <c r="N32" s="31">
        <f>IFERROR(MATCH(2031,$G$2:$G$721,0),"")</f>
        <v/>
      </c>
      <c r="O32" s="31">
        <f>IFERROR(MATCH(3031,$G$2:$G$721,0),"")</f>
        <v/>
      </c>
      <c r="P32" s="31">
        <f>IFERROR(MATCH(4031,$G$2:$G$721,0),"")</f>
        <v/>
      </c>
      <c r="Q32" s="31">
        <f>IFERROR(MATCH(5031,$G$2:$G$721,0),"")</f>
        <v/>
      </c>
      <c r="R32" s="31">
        <f>IFERROR(MATCH(6031,$G$2:$G$721,0),"")</f>
        <v/>
      </c>
      <c r="S32" s="31">
        <f>IFERROR(MATCH(7031,$G$2:$G$721,0),"")</f>
        <v/>
      </c>
      <c r="T32" s="31">
        <f>IFERROR(MATCH(8031,$G$2:$G$721,0),"")</f>
        <v/>
      </c>
      <c r="U32" s="31">
        <f>IFERROR(MATCH(9031,$G$2:$G$721,0),"")</f>
        <v/>
      </c>
      <c r="V32" s="31">
        <f>IFERROR(MATCH(10031,$G$2:$G$721,0),"")</f>
        <v/>
      </c>
      <c r="W32" s="31">
        <f>IFERROR(MATCH(11031,$G$2:$G$721,0),"")</f>
        <v/>
      </c>
      <c r="X32" s="31">
        <f>IFERROR(MATCH(12031,$G$2:$G$721,0),"")</f>
        <v/>
      </c>
      <c r="Y32" s="31">
        <f>IFERROR(MATCH(13031,$G$2:$G$721,0),"")</f>
        <v/>
      </c>
      <c r="Z32" s="31">
        <f>IFERROR(MATCH(14031,$G$2:$G$721,0),"")</f>
        <v/>
      </c>
      <c r="AA32" s="31">
        <f>IFERROR(MATCH(15031,$G$2:$G$721,0),"")</f>
        <v/>
      </c>
      <c r="AB32" s="31">
        <f>IFERROR(MATCH(16031,$G$2:$G$721,0),"")</f>
        <v/>
      </c>
      <c r="AC32" s="31">
        <f>IFERROR(MATCH(17031,$G$2:$G$721,0),"")</f>
        <v/>
      </c>
      <c r="AD32" s="31">
        <f>IFERROR(MATCH(18031,$G$2:$G$721,0),"")</f>
        <v/>
      </c>
      <c r="AE32" s="31">
        <f>IFERROR(MATCH(19031,$G$2:$G$721,0),"")</f>
        <v/>
      </c>
      <c r="AF32" s="31">
        <f>IFERROR(MATCH(20031,$G$2:$G$721,0),"")</f>
        <v/>
      </c>
    </row>
    <row r="33">
      <c r="A33" s="31">
        <f>IF('6年'!B36="","",設定!$C$11)</f>
        <v/>
      </c>
      <c r="B33" s="31">
        <f>IF('6年'!B36="","",'6年'!A36)</f>
        <v/>
      </c>
      <c r="C33" s="31">
        <f>IF('6年'!B36="","",'6年'!B36)</f>
        <v/>
      </c>
      <c r="D33" s="31">
        <f>IF('6年'!B36="","",'6年'!C36&amp;"")</f>
        <v/>
      </c>
      <c r="E33" s="31">
        <f>IF(D33="","",IFERROR(MATCH(D33,設定!$I$11:$I$30,0),""))</f>
        <v/>
      </c>
      <c r="F33" s="31">
        <f>IF(E33="","",COUNTIF($E$2:E33,E33))</f>
        <v/>
      </c>
      <c r="G33" s="31">
        <f>IF(E33="","",E33*1000+F33)</f>
        <v/>
      </c>
      <c r="H33" s="31">
        <f>設定!$B$7</f>
        <v/>
      </c>
      <c r="I33" s="31">
        <f>IF(AND(C33&lt;&gt;"",D33=""),1,0)</f>
        <v/>
      </c>
      <c r="J33" s="31">
        <f>IF(AND(D33&lt;&gt;"",E33=""),1,0)</f>
        <v/>
      </c>
      <c r="M33" s="31">
        <f>IFERROR(MATCH(1032,$G$2:$G$721,0),"")</f>
        <v/>
      </c>
      <c r="N33" s="31">
        <f>IFERROR(MATCH(2032,$G$2:$G$721,0),"")</f>
        <v/>
      </c>
      <c r="O33" s="31">
        <f>IFERROR(MATCH(3032,$G$2:$G$721,0),"")</f>
        <v/>
      </c>
      <c r="P33" s="31">
        <f>IFERROR(MATCH(4032,$G$2:$G$721,0),"")</f>
        <v/>
      </c>
      <c r="Q33" s="31">
        <f>IFERROR(MATCH(5032,$G$2:$G$721,0),"")</f>
        <v/>
      </c>
      <c r="R33" s="31">
        <f>IFERROR(MATCH(6032,$G$2:$G$721,0),"")</f>
        <v/>
      </c>
      <c r="S33" s="31">
        <f>IFERROR(MATCH(7032,$G$2:$G$721,0),"")</f>
        <v/>
      </c>
      <c r="T33" s="31">
        <f>IFERROR(MATCH(8032,$G$2:$G$721,0),"")</f>
        <v/>
      </c>
      <c r="U33" s="31">
        <f>IFERROR(MATCH(9032,$G$2:$G$721,0),"")</f>
        <v/>
      </c>
      <c r="V33" s="31">
        <f>IFERROR(MATCH(10032,$G$2:$G$721,0),"")</f>
        <v/>
      </c>
      <c r="W33" s="31">
        <f>IFERROR(MATCH(11032,$G$2:$G$721,0),"")</f>
        <v/>
      </c>
      <c r="X33" s="31">
        <f>IFERROR(MATCH(12032,$G$2:$G$721,0),"")</f>
        <v/>
      </c>
      <c r="Y33" s="31">
        <f>IFERROR(MATCH(13032,$G$2:$G$721,0),"")</f>
        <v/>
      </c>
      <c r="Z33" s="31">
        <f>IFERROR(MATCH(14032,$G$2:$G$721,0),"")</f>
        <v/>
      </c>
      <c r="AA33" s="31">
        <f>IFERROR(MATCH(15032,$G$2:$G$721,0),"")</f>
        <v/>
      </c>
      <c r="AB33" s="31">
        <f>IFERROR(MATCH(16032,$G$2:$G$721,0),"")</f>
        <v/>
      </c>
      <c r="AC33" s="31">
        <f>IFERROR(MATCH(17032,$G$2:$G$721,0),"")</f>
        <v/>
      </c>
      <c r="AD33" s="31">
        <f>IFERROR(MATCH(18032,$G$2:$G$721,0),"")</f>
        <v/>
      </c>
      <c r="AE33" s="31">
        <f>IFERROR(MATCH(19032,$G$2:$G$721,0),"")</f>
        <v/>
      </c>
      <c r="AF33" s="31">
        <f>IFERROR(MATCH(20032,$G$2:$G$721,0),"")</f>
        <v/>
      </c>
    </row>
    <row r="34">
      <c r="A34" s="31">
        <f>IF('6年'!B37="","",設定!$C$11)</f>
        <v/>
      </c>
      <c r="B34" s="31">
        <f>IF('6年'!B37="","",'6年'!A37)</f>
        <v/>
      </c>
      <c r="C34" s="31">
        <f>IF('6年'!B37="","",'6年'!B37)</f>
        <v/>
      </c>
      <c r="D34" s="31">
        <f>IF('6年'!B37="","",'6年'!C37&amp;"")</f>
        <v/>
      </c>
      <c r="E34" s="31">
        <f>IF(D34="","",IFERROR(MATCH(D34,設定!$I$11:$I$30,0),""))</f>
        <v/>
      </c>
      <c r="F34" s="31">
        <f>IF(E34="","",COUNTIF($E$2:E34,E34))</f>
        <v/>
      </c>
      <c r="G34" s="31">
        <f>IF(E34="","",E34*1000+F34)</f>
        <v/>
      </c>
      <c r="H34" s="31">
        <f>設定!$B$7</f>
        <v/>
      </c>
      <c r="I34" s="31">
        <f>IF(AND(C34&lt;&gt;"",D34=""),1,0)</f>
        <v/>
      </c>
      <c r="J34" s="31">
        <f>IF(AND(D34&lt;&gt;"",E34=""),1,0)</f>
        <v/>
      </c>
      <c r="M34" s="31">
        <f>IFERROR(MATCH(1033,$G$2:$G$721,0),"")</f>
        <v/>
      </c>
      <c r="N34" s="31">
        <f>IFERROR(MATCH(2033,$G$2:$G$721,0),"")</f>
        <v/>
      </c>
      <c r="O34" s="31">
        <f>IFERROR(MATCH(3033,$G$2:$G$721,0),"")</f>
        <v/>
      </c>
      <c r="P34" s="31">
        <f>IFERROR(MATCH(4033,$G$2:$G$721,0),"")</f>
        <v/>
      </c>
      <c r="Q34" s="31">
        <f>IFERROR(MATCH(5033,$G$2:$G$721,0),"")</f>
        <v/>
      </c>
      <c r="R34" s="31">
        <f>IFERROR(MATCH(6033,$G$2:$G$721,0),"")</f>
        <v/>
      </c>
      <c r="S34" s="31">
        <f>IFERROR(MATCH(7033,$G$2:$G$721,0),"")</f>
        <v/>
      </c>
      <c r="T34" s="31">
        <f>IFERROR(MATCH(8033,$G$2:$G$721,0),"")</f>
        <v/>
      </c>
      <c r="U34" s="31">
        <f>IFERROR(MATCH(9033,$G$2:$G$721,0),"")</f>
        <v/>
      </c>
      <c r="V34" s="31">
        <f>IFERROR(MATCH(10033,$G$2:$G$721,0),"")</f>
        <v/>
      </c>
      <c r="W34" s="31">
        <f>IFERROR(MATCH(11033,$G$2:$G$721,0),"")</f>
        <v/>
      </c>
      <c r="X34" s="31">
        <f>IFERROR(MATCH(12033,$G$2:$G$721,0),"")</f>
        <v/>
      </c>
      <c r="Y34" s="31">
        <f>IFERROR(MATCH(13033,$G$2:$G$721,0),"")</f>
        <v/>
      </c>
      <c r="Z34" s="31">
        <f>IFERROR(MATCH(14033,$G$2:$G$721,0),"")</f>
        <v/>
      </c>
      <c r="AA34" s="31">
        <f>IFERROR(MATCH(15033,$G$2:$G$721,0),"")</f>
        <v/>
      </c>
      <c r="AB34" s="31">
        <f>IFERROR(MATCH(16033,$G$2:$G$721,0),"")</f>
        <v/>
      </c>
      <c r="AC34" s="31">
        <f>IFERROR(MATCH(17033,$G$2:$G$721,0),"")</f>
        <v/>
      </c>
      <c r="AD34" s="31">
        <f>IFERROR(MATCH(18033,$G$2:$G$721,0),"")</f>
        <v/>
      </c>
      <c r="AE34" s="31">
        <f>IFERROR(MATCH(19033,$G$2:$G$721,0),"")</f>
        <v/>
      </c>
      <c r="AF34" s="31">
        <f>IFERROR(MATCH(20033,$G$2:$G$721,0),"")</f>
        <v/>
      </c>
    </row>
    <row r="35">
      <c r="A35" s="31">
        <f>IF('6年'!B38="","",設定!$C$11)</f>
        <v/>
      </c>
      <c r="B35" s="31">
        <f>IF('6年'!B38="","",'6年'!A38)</f>
        <v/>
      </c>
      <c r="C35" s="31">
        <f>IF('6年'!B38="","",'6年'!B38)</f>
        <v/>
      </c>
      <c r="D35" s="31">
        <f>IF('6年'!B38="","",'6年'!C38&amp;"")</f>
        <v/>
      </c>
      <c r="E35" s="31">
        <f>IF(D35="","",IFERROR(MATCH(D35,設定!$I$11:$I$30,0),""))</f>
        <v/>
      </c>
      <c r="F35" s="31">
        <f>IF(E35="","",COUNTIF($E$2:E35,E35))</f>
        <v/>
      </c>
      <c r="G35" s="31">
        <f>IF(E35="","",E35*1000+F35)</f>
        <v/>
      </c>
      <c r="H35" s="31">
        <f>設定!$B$7</f>
        <v/>
      </c>
      <c r="I35" s="31">
        <f>IF(AND(C35&lt;&gt;"",D35=""),1,0)</f>
        <v/>
      </c>
      <c r="J35" s="31">
        <f>IF(AND(D35&lt;&gt;"",E35=""),1,0)</f>
        <v/>
      </c>
      <c r="M35" s="31">
        <f>IFERROR(MATCH(1034,$G$2:$G$721,0),"")</f>
        <v/>
      </c>
      <c r="N35" s="31">
        <f>IFERROR(MATCH(2034,$G$2:$G$721,0),"")</f>
        <v/>
      </c>
      <c r="O35" s="31">
        <f>IFERROR(MATCH(3034,$G$2:$G$721,0),"")</f>
        <v/>
      </c>
      <c r="P35" s="31">
        <f>IFERROR(MATCH(4034,$G$2:$G$721,0),"")</f>
        <v/>
      </c>
      <c r="Q35" s="31">
        <f>IFERROR(MATCH(5034,$G$2:$G$721,0),"")</f>
        <v/>
      </c>
      <c r="R35" s="31">
        <f>IFERROR(MATCH(6034,$G$2:$G$721,0),"")</f>
        <v/>
      </c>
      <c r="S35" s="31">
        <f>IFERROR(MATCH(7034,$G$2:$G$721,0),"")</f>
        <v/>
      </c>
      <c r="T35" s="31">
        <f>IFERROR(MATCH(8034,$G$2:$G$721,0),"")</f>
        <v/>
      </c>
      <c r="U35" s="31">
        <f>IFERROR(MATCH(9034,$G$2:$G$721,0),"")</f>
        <v/>
      </c>
      <c r="V35" s="31">
        <f>IFERROR(MATCH(10034,$G$2:$G$721,0),"")</f>
        <v/>
      </c>
      <c r="W35" s="31">
        <f>IFERROR(MATCH(11034,$G$2:$G$721,0),"")</f>
        <v/>
      </c>
      <c r="X35" s="31">
        <f>IFERROR(MATCH(12034,$G$2:$G$721,0),"")</f>
        <v/>
      </c>
      <c r="Y35" s="31">
        <f>IFERROR(MATCH(13034,$G$2:$G$721,0),"")</f>
        <v/>
      </c>
      <c r="Z35" s="31">
        <f>IFERROR(MATCH(14034,$G$2:$G$721,0),"")</f>
        <v/>
      </c>
      <c r="AA35" s="31">
        <f>IFERROR(MATCH(15034,$G$2:$G$721,0),"")</f>
        <v/>
      </c>
      <c r="AB35" s="31">
        <f>IFERROR(MATCH(16034,$G$2:$G$721,0),"")</f>
        <v/>
      </c>
      <c r="AC35" s="31">
        <f>IFERROR(MATCH(17034,$G$2:$G$721,0),"")</f>
        <v/>
      </c>
      <c r="AD35" s="31">
        <f>IFERROR(MATCH(18034,$G$2:$G$721,0),"")</f>
        <v/>
      </c>
      <c r="AE35" s="31">
        <f>IFERROR(MATCH(19034,$G$2:$G$721,0),"")</f>
        <v/>
      </c>
      <c r="AF35" s="31">
        <f>IFERROR(MATCH(20034,$G$2:$G$721,0),"")</f>
        <v/>
      </c>
    </row>
    <row r="36">
      <c r="A36" s="31">
        <f>IF('6年'!B39="","",設定!$C$11)</f>
        <v/>
      </c>
      <c r="B36" s="31">
        <f>IF('6年'!B39="","",'6年'!A39)</f>
        <v/>
      </c>
      <c r="C36" s="31">
        <f>IF('6年'!B39="","",'6年'!B39)</f>
        <v/>
      </c>
      <c r="D36" s="31">
        <f>IF('6年'!B39="","",'6年'!C39&amp;"")</f>
        <v/>
      </c>
      <c r="E36" s="31">
        <f>IF(D36="","",IFERROR(MATCH(D36,設定!$I$11:$I$30,0),""))</f>
        <v/>
      </c>
      <c r="F36" s="31">
        <f>IF(E36="","",COUNTIF($E$2:E36,E36))</f>
        <v/>
      </c>
      <c r="G36" s="31">
        <f>IF(E36="","",E36*1000+F36)</f>
        <v/>
      </c>
      <c r="H36" s="31">
        <f>設定!$B$7</f>
        <v/>
      </c>
      <c r="I36" s="31">
        <f>IF(AND(C36&lt;&gt;"",D36=""),1,0)</f>
        <v/>
      </c>
      <c r="J36" s="31">
        <f>IF(AND(D36&lt;&gt;"",E36=""),1,0)</f>
        <v/>
      </c>
      <c r="M36" s="31">
        <f>IFERROR(MATCH(1035,$G$2:$G$721,0),"")</f>
        <v/>
      </c>
      <c r="N36" s="31">
        <f>IFERROR(MATCH(2035,$G$2:$G$721,0),"")</f>
        <v/>
      </c>
      <c r="O36" s="31">
        <f>IFERROR(MATCH(3035,$G$2:$G$721,0),"")</f>
        <v/>
      </c>
      <c r="P36" s="31">
        <f>IFERROR(MATCH(4035,$G$2:$G$721,0),"")</f>
        <v/>
      </c>
      <c r="Q36" s="31">
        <f>IFERROR(MATCH(5035,$G$2:$G$721,0),"")</f>
        <v/>
      </c>
      <c r="R36" s="31">
        <f>IFERROR(MATCH(6035,$G$2:$G$721,0),"")</f>
        <v/>
      </c>
      <c r="S36" s="31">
        <f>IFERROR(MATCH(7035,$G$2:$G$721,0),"")</f>
        <v/>
      </c>
      <c r="T36" s="31">
        <f>IFERROR(MATCH(8035,$G$2:$G$721,0),"")</f>
        <v/>
      </c>
      <c r="U36" s="31">
        <f>IFERROR(MATCH(9035,$G$2:$G$721,0),"")</f>
        <v/>
      </c>
      <c r="V36" s="31">
        <f>IFERROR(MATCH(10035,$G$2:$G$721,0),"")</f>
        <v/>
      </c>
      <c r="W36" s="31">
        <f>IFERROR(MATCH(11035,$G$2:$G$721,0),"")</f>
        <v/>
      </c>
      <c r="X36" s="31">
        <f>IFERROR(MATCH(12035,$G$2:$G$721,0),"")</f>
        <v/>
      </c>
      <c r="Y36" s="31">
        <f>IFERROR(MATCH(13035,$G$2:$G$721,0),"")</f>
        <v/>
      </c>
      <c r="Z36" s="31">
        <f>IFERROR(MATCH(14035,$G$2:$G$721,0),"")</f>
        <v/>
      </c>
      <c r="AA36" s="31">
        <f>IFERROR(MATCH(15035,$G$2:$G$721,0),"")</f>
        <v/>
      </c>
      <c r="AB36" s="31">
        <f>IFERROR(MATCH(16035,$G$2:$G$721,0),"")</f>
        <v/>
      </c>
      <c r="AC36" s="31">
        <f>IFERROR(MATCH(17035,$G$2:$G$721,0),"")</f>
        <v/>
      </c>
      <c r="AD36" s="31">
        <f>IFERROR(MATCH(18035,$G$2:$G$721,0),"")</f>
        <v/>
      </c>
      <c r="AE36" s="31">
        <f>IFERROR(MATCH(19035,$G$2:$G$721,0),"")</f>
        <v/>
      </c>
      <c r="AF36" s="31">
        <f>IFERROR(MATCH(20035,$G$2:$G$721,0),"")</f>
        <v/>
      </c>
    </row>
    <row r="37">
      <c r="A37" s="31">
        <f>IF('6年'!B40="","",設定!$C$11)</f>
        <v/>
      </c>
      <c r="B37" s="31">
        <f>IF('6年'!B40="","",'6年'!A40)</f>
        <v/>
      </c>
      <c r="C37" s="31">
        <f>IF('6年'!B40="","",'6年'!B40)</f>
        <v/>
      </c>
      <c r="D37" s="31">
        <f>IF('6年'!B40="","",'6年'!C40&amp;"")</f>
        <v/>
      </c>
      <c r="E37" s="31">
        <f>IF(D37="","",IFERROR(MATCH(D37,設定!$I$11:$I$30,0),""))</f>
        <v/>
      </c>
      <c r="F37" s="31">
        <f>IF(E37="","",COUNTIF($E$2:E37,E37))</f>
        <v/>
      </c>
      <c r="G37" s="31">
        <f>IF(E37="","",E37*1000+F37)</f>
        <v/>
      </c>
      <c r="H37" s="31">
        <f>設定!$B$7</f>
        <v/>
      </c>
      <c r="I37" s="31">
        <f>IF(AND(C37&lt;&gt;"",D37=""),1,0)</f>
        <v/>
      </c>
      <c r="J37" s="31">
        <f>IF(AND(D37&lt;&gt;"",E37=""),1,0)</f>
        <v/>
      </c>
      <c r="M37" s="31">
        <f>IFERROR(MATCH(1036,$G$2:$G$721,0),"")</f>
        <v/>
      </c>
      <c r="N37" s="31">
        <f>IFERROR(MATCH(2036,$G$2:$G$721,0),"")</f>
        <v/>
      </c>
      <c r="O37" s="31">
        <f>IFERROR(MATCH(3036,$G$2:$G$721,0),"")</f>
        <v/>
      </c>
      <c r="P37" s="31">
        <f>IFERROR(MATCH(4036,$G$2:$G$721,0),"")</f>
        <v/>
      </c>
      <c r="Q37" s="31">
        <f>IFERROR(MATCH(5036,$G$2:$G$721,0),"")</f>
        <v/>
      </c>
      <c r="R37" s="31">
        <f>IFERROR(MATCH(6036,$G$2:$G$721,0),"")</f>
        <v/>
      </c>
      <c r="S37" s="31">
        <f>IFERROR(MATCH(7036,$G$2:$G$721,0),"")</f>
        <v/>
      </c>
      <c r="T37" s="31">
        <f>IFERROR(MATCH(8036,$G$2:$G$721,0),"")</f>
        <v/>
      </c>
      <c r="U37" s="31">
        <f>IFERROR(MATCH(9036,$G$2:$G$721,0),"")</f>
        <v/>
      </c>
      <c r="V37" s="31">
        <f>IFERROR(MATCH(10036,$G$2:$G$721,0),"")</f>
        <v/>
      </c>
      <c r="W37" s="31">
        <f>IFERROR(MATCH(11036,$G$2:$G$721,0),"")</f>
        <v/>
      </c>
      <c r="X37" s="31">
        <f>IFERROR(MATCH(12036,$G$2:$G$721,0),"")</f>
        <v/>
      </c>
      <c r="Y37" s="31">
        <f>IFERROR(MATCH(13036,$G$2:$G$721,0),"")</f>
        <v/>
      </c>
      <c r="Z37" s="31">
        <f>IFERROR(MATCH(14036,$G$2:$G$721,0),"")</f>
        <v/>
      </c>
      <c r="AA37" s="31">
        <f>IFERROR(MATCH(15036,$G$2:$G$721,0),"")</f>
        <v/>
      </c>
      <c r="AB37" s="31">
        <f>IFERROR(MATCH(16036,$G$2:$G$721,0),"")</f>
        <v/>
      </c>
      <c r="AC37" s="31">
        <f>IFERROR(MATCH(17036,$G$2:$G$721,0),"")</f>
        <v/>
      </c>
      <c r="AD37" s="31">
        <f>IFERROR(MATCH(18036,$G$2:$G$721,0),"")</f>
        <v/>
      </c>
      <c r="AE37" s="31">
        <f>IFERROR(MATCH(19036,$G$2:$G$721,0),"")</f>
        <v/>
      </c>
      <c r="AF37" s="31">
        <f>IFERROR(MATCH(20036,$G$2:$G$721,0),"")</f>
        <v/>
      </c>
    </row>
    <row r="38">
      <c r="A38" s="31">
        <f>IF('6年'!B41="","",設定!$C$11)</f>
        <v/>
      </c>
      <c r="B38" s="31">
        <f>IF('6年'!B41="","",'6年'!A41)</f>
        <v/>
      </c>
      <c r="C38" s="31">
        <f>IF('6年'!B41="","",'6年'!B41)</f>
        <v/>
      </c>
      <c r="D38" s="31">
        <f>IF('6年'!B41="","",'6年'!C41&amp;"")</f>
        <v/>
      </c>
      <c r="E38" s="31">
        <f>IF(D38="","",IFERROR(MATCH(D38,設定!$I$11:$I$30,0),""))</f>
        <v/>
      </c>
      <c r="F38" s="31">
        <f>IF(E38="","",COUNTIF($E$2:E38,E38))</f>
        <v/>
      </c>
      <c r="G38" s="31">
        <f>IF(E38="","",E38*1000+F38)</f>
        <v/>
      </c>
      <c r="H38" s="31">
        <f>設定!$B$7</f>
        <v/>
      </c>
      <c r="I38" s="31">
        <f>IF(AND(C38&lt;&gt;"",D38=""),1,0)</f>
        <v/>
      </c>
      <c r="J38" s="31">
        <f>IF(AND(D38&lt;&gt;"",E38=""),1,0)</f>
        <v/>
      </c>
      <c r="M38" s="31">
        <f>IFERROR(MATCH(1037,$G$2:$G$721,0),"")</f>
        <v/>
      </c>
      <c r="N38" s="31">
        <f>IFERROR(MATCH(2037,$G$2:$G$721,0),"")</f>
        <v/>
      </c>
      <c r="O38" s="31">
        <f>IFERROR(MATCH(3037,$G$2:$G$721,0),"")</f>
        <v/>
      </c>
      <c r="P38" s="31">
        <f>IFERROR(MATCH(4037,$G$2:$G$721,0),"")</f>
        <v/>
      </c>
      <c r="Q38" s="31">
        <f>IFERROR(MATCH(5037,$G$2:$G$721,0),"")</f>
        <v/>
      </c>
      <c r="R38" s="31">
        <f>IFERROR(MATCH(6037,$G$2:$G$721,0),"")</f>
        <v/>
      </c>
      <c r="S38" s="31">
        <f>IFERROR(MATCH(7037,$G$2:$G$721,0),"")</f>
        <v/>
      </c>
      <c r="T38" s="31">
        <f>IFERROR(MATCH(8037,$G$2:$G$721,0),"")</f>
        <v/>
      </c>
      <c r="U38" s="31">
        <f>IFERROR(MATCH(9037,$G$2:$G$721,0),"")</f>
        <v/>
      </c>
      <c r="V38" s="31">
        <f>IFERROR(MATCH(10037,$G$2:$G$721,0),"")</f>
        <v/>
      </c>
      <c r="W38" s="31">
        <f>IFERROR(MATCH(11037,$G$2:$G$721,0),"")</f>
        <v/>
      </c>
      <c r="X38" s="31">
        <f>IFERROR(MATCH(12037,$G$2:$G$721,0),"")</f>
        <v/>
      </c>
      <c r="Y38" s="31">
        <f>IFERROR(MATCH(13037,$G$2:$G$721,0),"")</f>
        <v/>
      </c>
      <c r="Z38" s="31">
        <f>IFERROR(MATCH(14037,$G$2:$G$721,0),"")</f>
        <v/>
      </c>
      <c r="AA38" s="31">
        <f>IFERROR(MATCH(15037,$G$2:$G$721,0),"")</f>
        <v/>
      </c>
      <c r="AB38" s="31">
        <f>IFERROR(MATCH(16037,$G$2:$G$721,0),"")</f>
        <v/>
      </c>
      <c r="AC38" s="31">
        <f>IFERROR(MATCH(17037,$G$2:$G$721,0),"")</f>
        <v/>
      </c>
      <c r="AD38" s="31">
        <f>IFERROR(MATCH(18037,$G$2:$G$721,0),"")</f>
        <v/>
      </c>
      <c r="AE38" s="31">
        <f>IFERROR(MATCH(19037,$G$2:$G$721,0),"")</f>
        <v/>
      </c>
      <c r="AF38" s="31">
        <f>IFERROR(MATCH(20037,$G$2:$G$721,0),"")</f>
        <v/>
      </c>
    </row>
    <row r="39">
      <c r="A39" s="31">
        <f>IF('6年'!B42="","",設定!$C$11)</f>
        <v/>
      </c>
      <c r="B39" s="31">
        <f>IF('6年'!B42="","",'6年'!A42)</f>
        <v/>
      </c>
      <c r="C39" s="31">
        <f>IF('6年'!B42="","",'6年'!B42)</f>
        <v/>
      </c>
      <c r="D39" s="31">
        <f>IF('6年'!B42="","",'6年'!C42&amp;"")</f>
        <v/>
      </c>
      <c r="E39" s="31">
        <f>IF(D39="","",IFERROR(MATCH(D39,設定!$I$11:$I$30,0),""))</f>
        <v/>
      </c>
      <c r="F39" s="31">
        <f>IF(E39="","",COUNTIF($E$2:E39,E39))</f>
        <v/>
      </c>
      <c r="G39" s="31">
        <f>IF(E39="","",E39*1000+F39)</f>
        <v/>
      </c>
      <c r="H39" s="31">
        <f>設定!$B$7</f>
        <v/>
      </c>
      <c r="I39" s="31">
        <f>IF(AND(C39&lt;&gt;"",D39=""),1,0)</f>
        <v/>
      </c>
      <c r="J39" s="31">
        <f>IF(AND(D39&lt;&gt;"",E39=""),1,0)</f>
        <v/>
      </c>
      <c r="M39" s="31">
        <f>IFERROR(MATCH(1038,$G$2:$G$721,0),"")</f>
        <v/>
      </c>
      <c r="N39" s="31">
        <f>IFERROR(MATCH(2038,$G$2:$G$721,0),"")</f>
        <v/>
      </c>
      <c r="O39" s="31">
        <f>IFERROR(MATCH(3038,$G$2:$G$721,0),"")</f>
        <v/>
      </c>
      <c r="P39" s="31">
        <f>IFERROR(MATCH(4038,$G$2:$G$721,0),"")</f>
        <v/>
      </c>
      <c r="Q39" s="31">
        <f>IFERROR(MATCH(5038,$G$2:$G$721,0),"")</f>
        <v/>
      </c>
      <c r="R39" s="31">
        <f>IFERROR(MATCH(6038,$G$2:$G$721,0),"")</f>
        <v/>
      </c>
      <c r="S39" s="31">
        <f>IFERROR(MATCH(7038,$G$2:$G$721,0),"")</f>
        <v/>
      </c>
      <c r="T39" s="31">
        <f>IFERROR(MATCH(8038,$G$2:$G$721,0),"")</f>
        <v/>
      </c>
      <c r="U39" s="31">
        <f>IFERROR(MATCH(9038,$G$2:$G$721,0),"")</f>
        <v/>
      </c>
      <c r="V39" s="31">
        <f>IFERROR(MATCH(10038,$G$2:$G$721,0),"")</f>
        <v/>
      </c>
      <c r="W39" s="31">
        <f>IFERROR(MATCH(11038,$G$2:$G$721,0),"")</f>
        <v/>
      </c>
      <c r="X39" s="31">
        <f>IFERROR(MATCH(12038,$G$2:$G$721,0),"")</f>
        <v/>
      </c>
      <c r="Y39" s="31">
        <f>IFERROR(MATCH(13038,$G$2:$G$721,0),"")</f>
        <v/>
      </c>
      <c r="Z39" s="31">
        <f>IFERROR(MATCH(14038,$G$2:$G$721,0),"")</f>
        <v/>
      </c>
      <c r="AA39" s="31">
        <f>IFERROR(MATCH(15038,$G$2:$G$721,0),"")</f>
        <v/>
      </c>
      <c r="AB39" s="31">
        <f>IFERROR(MATCH(16038,$G$2:$G$721,0),"")</f>
        <v/>
      </c>
      <c r="AC39" s="31">
        <f>IFERROR(MATCH(17038,$G$2:$G$721,0),"")</f>
        <v/>
      </c>
      <c r="AD39" s="31">
        <f>IFERROR(MATCH(18038,$G$2:$G$721,0),"")</f>
        <v/>
      </c>
      <c r="AE39" s="31">
        <f>IFERROR(MATCH(19038,$G$2:$G$721,0),"")</f>
        <v/>
      </c>
      <c r="AF39" s="31">
        <f>IFERROR(MATCH(20038,$G$2:$G$721,0),"")</f>
        <v/>
      </c>
    </row>
    <row r="40">
      <c r="A40" s="31">
        <f>IF('6年'!B43="","",設定!$C$11)</f>
        <v/>
      </c>
      <c r="B40" s="31">
        <f>IF('6年'!B43="","",'6年'!A43)</f>
        <v/>
      </c>
      <c r="C40" s="31">
        <f>IF('6年'!B43="","",'6年'!B43)</f>
        <v/>
      </c>
      <c r="D40" s="31">
        <f>IF('6年'!B43="","",'6年'!C43&amp;"")</f>
        <v/>
      </c>
      <c r="E40" s="31">
        <f>IF(D40="","",IFERROR(MATCH(D40,設定!$I$11:$I$30,0),""))</f>
        <v/>
      </c>
      <c r="F40" s="31">
        <f>IF(E40="","",COUNTIF($E$2:E40,E40))</f>
        <v/>
      </c>
      <c r="G40" s="31">
        <f>IF(E40="","",E40*1000+F40)</f>
        <v/>
      </c>
      <c r="H40" s="31">
        <f>設定!$B$7</f>
        <v/>
      </c>
      <c r="I40" s="31">
        <f>IF(AND(C40&lt;&gt;"",D40=""),1,0)</f>
        <v/>
      </c>
      <c r="J40" s="31">
        <f>IF(AND(D40&lt;&gt;"",E40=""),1,0)</f>
        <v/>
      </c>
      <c r="M40" s="31">
        <f>IFERROR(MATCH(1039,$G$2:$G$721,0),"")</f>
        <v/>
      </c>
      <c r="N40" s="31">
        <f>IFERROR(MATCH(2039,$G$2:$G$721,0),"")</f>
        <v/>
      </c>
      <c r="O40" s="31">
        <f>IFERROR(MATCH(3039,$G$2:$G$721,0),"")</f>
        <v/>
      </c>
      <c r="P40" s="31">
        <f>IFERROR(MATCH(4039,$G$2:$G$721,0),"")</f>
        <v/>
      </c>
      <c r="Q40" s="31">
        <f>IFERROR(MATCH(5039,$G$2:$G$721,0),"")</f>
        <v/>
      </c>
      <c r="R40" s="31">
        <f>IFERROR(MATCH(6039,$G$2:$G$721,0),"")</f>
        <v/>
      </c>
      <c r="S40" s="31">
        <f>IFERROR(MATCH(7039,$G$2:$G$721,0),"")</f>
        <v/>
      </c>
      <c r="T40" s="31">
        <f>IFERROR(MATCH(8039,$G$2:$G$721,0),"")</f>
        <v/>
      </c>
      <c r="U40" s="31">
        <f>IFERROR(MATCH(9039,$G$2:$G$721,0),"")</f>
        <v/>
      </c>
      <c r="V40" s="31">
        <f>IFERROR(MATCH(10039,$G$2:$G$721,0),"")</f>
        <v/>
      </c>
      <c r="W40" s="31">
        <f>IFERROR(MATCH(11039,$G$2:$G$721,0),"")</f>
        <v/>
      </c>
      <c r="X40" s="31">
        <f>IFERROR(MATCH(12039,$G$2:$G$721,0),"")</f>
        <v/>
      </c>
      <c r="Y40" s="31">
        <f>IFERROR(MATCH(13039,$G$2:$G$721,0),"")</f>
        <v/>
      </c>
      <c r="Z40" s="31">
        <f>IFERROR(MATCH(14039,$G$2:$G$721,0),"")</f>
        <v/>
      </c>
      <c r="AA40" s="31">
        <f>IFERROR(MATCH(15039,$G$2:$G$721,0),"")</f>
        <v/>
      </c>
      <c r="AB40" s="31">
        <f>IFERROR(MATCH(16039,$G$2:$G$721,0),"")</f>
        <v/>
      </c>
      <c r="AC40" s="31">
        <f>IFERROR(MATCH(17039,$G$2:$G$721,0),"")</f>
        <v/>
      </c>
      <c r="AD40" s="31">
        <f>IFERROR(MATCH(18039,$G$2:$G$721,0),"")</f>
        <v/>
      </c>
      <c r="AE40" s="31">
        <f>IFERROR(MATCH(19039,$G$2:$G$721,0),"")</f>
        <v/>
      </c>
      <c r="AF40" s="31">
        <f>IFERROR(MATCH(20039,$G$2:$G$721,0),"")</f>
        <v/>
      </c>
    </row>
    <row r="41">
      <c r="A41" s="31">
        <f>IF('6年'!B44="","",設定!$C$11)</f>
        <v/>
      </c>
      <c r="B41" s="31">
        <f>IF('6年'!B44="","",'6年'!A44)</f>
        <v/>
      </c>
      <c r="C41" s="31">
        <f>IF('6年'!B44="","",'6年'!B44)</f>
        <v/>
      </c>
      <c r="D41" s="31">
        <f>IF('6年'!B44="","",'6年'!C44&amp;"")</f>
        <v/>
      </c>
      <c r="E41" s="31">
        <f>IF(D41="","",IFERROR(MATCH(D41,設定!$I$11:$I$30,0),""))</f>
        <v/>
      </c>
      <c r="F41" s="31">
        <f>IF(E41="","",COUNTIF($E$2:E41,E41))</f>
        <v/>
      </c>
      <c r="G41" s="31">
        <f>IF(E41="","",E41*1000+F41)</f>
        <v/>
      </c>
      <c r="H41" s="31">
        <f>設定!$B$7</f>
        <v/>
      </c>
      <c r="I41" s="31">
        <f>IF(AND(C41&lt;&gt;"",D41=""),1,0)</f>
        <v/>
      </c>
      <c r="J41" s="31">
        <f>IF(AND(D41&lt;&gt;"",E41=""),1,0)</f>
        <v/>
      </c>
      <c r="M41" s="31">
        <f>IFERROR(MATCH(1040,$G$2:$G$721,0),"")</f>
        <v/>
      </c>
      <c r="N41" s="31">
        <f>IFERROR(MATCH(2040,$G$2:$G$721,0),"")</f>
        <v/>
      </c>
      <c r="O41" s="31">
        <f>IFERROR(MATCH(3040,$G$2:$G$721,0),"")</f>
        <v/>
      </c>
      <c r="P41" s="31">
        <f>IFERROR(MATCH(4040,$G$2:$G$721,0),"")</f>
        <v/>
      </c>
      <c r="Q41" s="31">
        <f>IFERROR(MATCH(5040,$G$2:$G$721,0),"")</f>
        <v/>
      </c>
      <c r="R41" s="31">
        <f>IFERROR(MATCH(6040,$G$2:$G$721,0),"")</f>
        <v/>
      </c>
      <c r="S41" s="31">
        <f>IFERROR(MATCH(7040,$G$2:$G$721,0),"")</f>
        <v/>
      </c>
      <c r="T41" s="31">
        <f>IFERROR(MATCH(8040,$G$2:$G$721,0),"")</f>
        <v/>
      </c>
      <c r="U41" s="31">
        <f>IFERROR(MATCH(9040,$G$2:$G$721,0),"")</f>
        <v/>
      </c>
      <c r="V41" s="31">
        <f>IFERROR(MATCH(10040,$G$2:$G$721,0),"")</f>
        <v/>
      </c>
      <c r="W41" s="31">
        <f>IFERROR(MATCH(11040,$G$2:$G$721,0),"")</f>
        <v/>
      </c>
      <c r="X41" s="31">
        <f>IFERROR(MATCH(12040,$G$2:$G$721,0),"")</f>
        <v/>
      </c>
      <c r="Y41" s="31">
        <f>IFERROR(MATCH(13040,$G$2:$G$721,0),"")</f>
        <v/>
      </c>
      <c r="Z41" s="31">
        <f>IFERROR(MATCH(14040,$G$2:$G$721,0),"")</f>
        <v/>
      </c>
      <c r="AA41" s="31">
        <f>IFERROR(MATCH(15040,$G$2:$G$721,0),"")</f>
        <v/>
      </c>
      <c r="AB41" s="31">
        <f>IFERROR(MATCH(16040,$G$2:$G$721,0),"")</f>
        <v/>
      </c>
      <c r="AC41" s="31">
        <f>IFERROR(MATCH(17040,$G$2:$G$721,0),"")</f>
        <v/>
      </c>
      <c r="AD41" s="31">
        <f>IFERROR(MATCH(18040,$G$2:$G$721,0),"")</f>
        <v/>
      </c>
      <c r="AE41" s="31">
        <f>IFERROR(MATCH(19040,$G$2:$G$721,0),"")</f>
        <v/>
      </c>
      <c r="AF41" s="31">
        <f>IFERROR(MATCH(20040,$G$2:$G$721,0),"")</f>
        <v/>
      </c>
    </row>
    <row r="42">
      <c r="A42" s="31">
        <f>IF('6年'!B45="","",設定!$C$11)</f>
        <v/>
      </c>
      <c r="B42" s="31">
        <f>IF('6年'!B45="","",'6年'!A45)</f>
        <v/>
      </c>
      <c r="C42" s="31">
        <f>IF('6年'!B45="","",'6年'!B45)</f>
        <v/>
      </c>
      <c r="D42" s="31">
        <f>IF('6年'!B45="","",'6年'!C45&amp;"")</f>
        <v/>
      </c>
      <c r="E42" s="31">
        <f>IF(D42="","",IFERROR(MATCH(D42,設定!$I$11:$I$30,0),""))</f>
        <v/>
      </c>
      <c r="F42" s="31">
        <f>IF(E42="","",COUNTIF($E$2:E42,E42))</f>
        <v/>
      </c>
      <c r="G42" s="31">
        <f>IF(E42="","",E42*1000+F42)</f>
        <v/>
      </c>
      <c r="H42" s="31">
        <f>設定!$B$7</f>
        <v/>
      </c>
      <c r="I42" s="31">
        <f>IF(AND(C42&lt;&gt;"",D42=""),1,0)</f>
        <v/>
      </c>
      <c r="J42" s="31">
        <f>IF(AND(D42&lt;&gt;"",E42=""),1,0)</f>
        <v/>
      </c>
      <c r="M42" s="31">
        <f>IFERROR(MATCH(1041,$G$2:$G$721,0),"")</f>
        <v/>
      </c>
      <c r="N42" s="31">
        <f>IFERROR(MATCH(2041,$G$2:$G$721,0),"")</f>
        <v/>
      </c>
      <c r="O42" s="31">
        <f>IFERROR(MATCH(3041,$G$2:$G$721,0),"")</f>
        <v/>
      </c>
      <c r="P42" s="31">
        <f>IFERROR(MATCH(4041,$G$2:$G$721,0),"")</f>
        <v/>
      </c>
      <c r="Q42" s="31">
        <f>IFERROR(MATCH(5041,$G$2:$G$721,0),"")</f>
        <v/>
      </c>
      <c r="R42" s="31">
        <f>IFERROR(MATCH(6041,$G$2:$G$721,0),"")</f>
        <v/>
      </c>
      <c r="S42" s="31">
        <f>IFERROR(MATCH(7041,$G$2:$G$721,0),"")</f>
        <v/>
      </c>
      <c r="T42" s="31">
        <f>IFERROR(MATCH(8041,$G$2:$G$721,0),"")</f>
        <v/>
      </c>
      <c r="U42" s="31">
        <f>IFERROR(MATCH(9041,$G$2:$G$721,0),"")</f>
        <v/>
      </c>
      <c r="V42" s="31">
        <f>IFERROR(MATCH(10041,$G$2:$G$721,0),"")</f>
        <v/>
      </c>
      <c r="W42" s="31">
        <f>IFERROR(MATCH(11041,$G$2:$G$721,0),"")</f>
        <v/>
      </c>
      <c r="X42" s="31">
        <f>IFERROR(MATCH(12041,$G$2:$G$721,0),"")</f>
        <v/>
      </c>
      <c r="Y42" s="31">
        <f>IFERROR(MATCH(13041,$G$2:$G$721,0),"")</f>
        <v/>
      </c>
      <c r="Z42" s="31">
        <f>IFERROR(MATCH(14041,$G$2:$G$721,0),"")</f>
        <v/>
      </c>
      <c r="AA42" s="31">
        <f>IFERROR(MATCH(15041,$G$2:$G$721,0),"")</f>
        <v/>
      </c>
      <c r="AB42" s="31">
        <f>IFERROR(MATCH(16041,$G$2:$G$721,0),"")</f>
        <v/>
      </c>
      <c r="AC42" s="31">
        <f>IFERROR(MATCH(17041,$G$2:$G$721,0),"")</f>
        <v/>
      </c>
      <c r="AD42" s="31">
        <f>IFERROR(MATCH(18041,$G$2:$G$721,0),"")</f>
        <v/>
      </c>
      <c r="AE42" s="31">
        <f>IFERROR(MATCH(19041,$G$2:$G$721,0),"")</f>
        <v/>
      </c>
      <c r="AF42" s="31">
        <f>IFERROR(MATCH(20041,$G$2:$G$721,0),"")</f>
        <v/>
      </c>
    </row>
    <row r="43">
      <c r="A43" s="31">
        <f>IF('6年'!B46="","",設定!$C$11)</f>
        <v/>
      </c>
      <c r="B43" s="31">
        <f>IF('6年'!B46="","",'6年'!A46)</f>
        <v/>
      </c>
      <c r="C43" s="31">
        <f>IF('6年'!B46="","",'6年'!B46)</f>
        <v/>
      </c>
      <c r="D43" s="31">
        <f>IF('6年'!B46="","",'6年'!C46&amp;"")</f>
        <v/>
      </c>
      <c r="E43" s="31">
        <f>IF(D43="","",IFERROR(MATCH(D43,設定!$I$11:$I$30,0),""))</f>
        <v/>
      </c>
      <c r="F43" s="31">
        <f>IF(E43="","",COUNTIF($E$2:E43,E43))</f>
        <v/>
      </c>
      <c r="G43" s="31">
        <f>IF(E43="","",E43*1000+F43)</f>
        <v/>
      </c>
      <c r="H43" s="31">
        <f>設定!$B$7</f>
        <v/>
      </c>
      <c r="I43" s="31">
        <f>IF(AND(C43&lt;&gt;"",D43=""),1,0)</f>
        <v/>
      </c>
      <c r="J43" s="31">
        <f>IF(AND(D43&lt;&gt;"",E43=""),1,0)</f>
        <v/>
      </c>
      <c r="M43" s="31">
        <f>IFERROR(MATCH(1042,$G$2:$G$721,0),"")</f>
        <v/>
      </c>
      <c r="N43" s="31">
        <f>IFERROR(MATCH(2042,$G$2:$G$721,0),"")</f>
        <v/>
      </c>
      <c r="O43" s="31">
        <f>IFERROR(MATCH(3042,$G$2:$G$721,0),"")</f>
        <v/>
      </c>
      <c r="P43" s="31">
        <f>IFERROR(MATCH(4042,$G$2:$G$721,0),"")</f>
        <v/>
      </c>
      <c r="Q43" s="31">
        <f>IFERROR(MATCH(5042,$G$2:$G$721,0),"")</f>
        <v/>
      </c>
      <c r="R43" s="31">
        <f>IFERROR(MATCH(6042,$G$2:$G$721,0),"")</f>
        <v/>
      </c>
      <c r="S43" s="31">
        <f>IFERROR(MATCH(7042,$G$2:$G$721,0),"")</f>
        <v/>
      </c>
      <c r="T43" s="31">
        <f>IFERROR(MATCH(8042,$G$2:$G$721,0),"")</f>
        <v/>
      </c>
      <c r="U43" s="31">
        <f>IFERROR(MATCH(9042,$G$2:$G$721,0),"")</f>
        <v/>
      </c>
      <c r="V43" s="31">
        <f>IFERROR(MATCH(10042,$G$2:$G$721,0),"")</f>
        <v/>
      </c>
      <c r="W43" s="31">
        <f>IFERROR(MATCH(11042,$G$2:$G$721,0),"")</f>
        <v/>
      </c>
      <c r="X43" s="31">
        <f>IFERROR(MATCH(12042,$G$2:$G$721,0),"")</f>
        <v/>
      </c>
      <c r="Y43" s="31">
        <f>IFERROR(MATCH(13042,$G$2:$G$721,0),"")</f>
        <v/>
      </c>
      <c r="Z43" s="31">
        <f>IFERROR(MATCH(14042,$G$2:$G$721,0),"")</f>
        <v/>
      </c>
      <c r="AA43" s="31">
        <f>IFERROR(MATCH(15042,$G$2:$G$721,0),"")</f>
        <v/>
      </c>
      <c r="AB43" s="31">
        <f>IFERROR(MATCH(16042,$G$2:$G$721,0),"")</f>
        <v/>
      </c>
      <c r="AC43" s="31">
        <f>IFERROR(MATCH(17042,$G$2:$G$721,0),"")</f>
        <v/>
      </c>
      <c r="AD43" s="31">
        <f>IFERROR(MATCH(18042,$G$2:$G$721,0),"")</f>
        <v/>
      </c>
      <c r="AE43" s="31">
        <f>IFERROR(MATCH(19042,$G$2:$G$721,0),"")</f>
        <v/>
      </c>
      <c r="AF43" s="31">
        <f>IFERROR(MATCH(20042,$G$2:$G$721,0),"")</f>
        <v/>
      </c>
    </row>
    <row r="44">
      <c r="A44" s="31">
        <f>IF('6年'!B47="","",設定!$C$11)</f>
        <v/>
      </c>
      <c r="B44" s="31">
        <f>IF('6年'!B47="","",'6年'!A47)</f>
        <v/>
      </c>
      <c r="C44" s="31">
        <f>IF('6年'!B47="","",'6年'!B47)</f>
        <v/>
      </c>
      <c r="D44" s="31">
        <f>IF('6年'!B47="","",'6年'!C47&amp;"")</f>
        <v/>
      </c>
      <c r="E44" s="31">
        <f>IF(D44="","",IFERROR(MATCH(D44,設定!$I$11:$I$30,0),""))</f>
        <v/>
      </c>
      <c r="F44" s="31">
        <f>IF(E44="","",COUNTIF($E$2:E44,E44))</f>
        <v/>
      </c>
      <c r="G44" s="31">
        <f>IF(E44="","",E44*1000+F44)</f>
        <v/>
      </c>
      <c r="H44" s="31">
        <f>設定!$B$7</f>
        <v/>
      </c>
      <c r="I44" s="31">
        <f>IF(AND(C44&lt;&gt;"",D44=""),1,0)</f>
        <v/>
      </c>
      <c r="J44" s="31">
        <f>IF(AND(D44&lt;&gt;"",E44=""),1,0)</f>
        <v/>
      </c>
      <c r="M44" s="31">
        <f>IFERROR(MATCH(1043,$G$2:$G$721,0),"")</f>
        <v/>
      </c>
      <c r="N44" s="31">
        <f>IFERROR(MATCH(2043,$G$2:$G$721,0),"")</f>
        <v/>
      </c>
      <c r="O44" s="31">
        <f>IFERROR(MATCH(3043,$G$2:$G$721,0),"")</f>
        <v/>
      </c>
      <c r="P44" s="31">
        <f>IFERROR(MATCH(4043,$G$2:$G$721,0),"")</f>
        <v/>
      </c>
      <c r="Q44" s="31">
        <f>IFERROR(MATCH(5043,$G$2:$G$721,0),"")</f>
        <v/>
      </c>
      <c r="R44" s="31">
        <f>IFERROR(MATCH(6043,$G$2:$G$721,0),"")</f>
        <v/>
      </c>
      <c r="S44" s="31">
        <f>IFERROR(MATCH(7043,$G$2:$G$721,0),"")</f>
        <v/>
      </c>
      <c r="T44" s="31">
        <f>IFERROR(MATCH(8043,$G$2:$G$721,0),"")</f>
        <v/>
      </c>
      <c r="U44" s="31">
        <f>IFERROR(MATCH(9043,$G$2:$G$721,0),"")</f>
        <v/>
      </c>
      <c r="V44" s="31">
        <f>IFERROR(MATCH(10043,$G$2:$G$721,0),"")</f>
        <v/>
      </c>
      <c r="W44" s="31">
        <f>IFERROR(MATCH(11043,$G$2:$G$721,0),"")</f>
        <v/>
      </c>
      <c r="X44" s="31">
        <f>IFERROR(MATCH(12043,$G$2:$G$721,0),"")</f>
        <v/>
      </c>
      <c r="Y44" s="31">
        <f>IFERROR(MATCH(13043,$G$2:$G$721,0),"")</f>
        <v/>
      </c>
      <c r="Z44" s="31">
        <f>IFERROR(MATCH(14043,$G$2:$G$721,0),"")</f>
        <v/>
      </c>
      <c r="AA44" s="31">
        <f>IFERROR(MATCH(15043,$G$2:$G$721,0),"")</f>
        <v/>
      </c>
      <c r="AB44" s="31">
        <f>IFERROR(MATCH(16043,$G$2:$G$721,0),"")</f>
        <v/>
      </c>
      <c r="AC44" s="31">
        <f>IFERROR(MATCH(17043,$G$2:$G$721,0),"")</f>
        <v/>
      </c>
      <c r="AD44" s="31">
        <f>IFERROR(MATCH(18043,$G$2:$G$721,0),"")</f>
        <v/>
      </c>
      <c r="AE44" s="31">
        <f>IFERROR(MATCH(19043,$G$2:$G$721,0),"")</f>
        <v/>
      </c>
      <c r="AF44" s="31">
        <f>IFERROR(MATCH(20043,$G$2:$G$721,0),"")</f>
        <v/>
      </c>
    </row>
    <row r="45">
      <c r="A45" s="31">
        <f>IF('6年'!B48="","",設定!$C$11)</f>
        <v/>
      </c>
      <c r="B45" s="31">
        <f>IF('6年'!B48="","",'6年'!A48)</f>
        <v/>
      </c>
      <c r="C45" s="31">
        <f>IF('6年'!B48="","",'6年'!B48)</f>
        <v/>
      </c>
      <c r="D45" s="31">
        <f>IF('6年'!B48="","",'6年'!C48&amp;"")</f>
        <v/>
      </c>
      <c r="E45" s="31">
        <f>IF(D45="","",IFERROR(MATCH(D45,設定!$I$11:$I$30,0),""))</f>
        <v/>
      </c>
      <c r="F45" s="31">
        <f>IF(E45="","",COUNTIF($E$2:E45,E45))</f>
        <v/>
      </c>
      <c r="G45" s="31">
        <f>IF(E45="","",E45*1000+F45)</f>
        <v/>
      </c>
      <c r="H45" s="31">
        <f>設定!$B$7</f>
        <v/>
      </c>
      <c r="I45" s="31">
        <f>IF(AND(C45&lt;&gt;"",D45=""),1,0)</f>
        <v/>
      </c>
      <c r="J45" s="31">
        <f>IF(AND(D45&lt;&gt;"",E45=""),1,0)</f>
        <v/>
      </c>
      <c r="M45" s="31">
        <f>IFERROR(MATCH(1044,$G$2:$G$721,0),"")</f>
        <v/>
      </c>
      <c r="N45" s="31">
        <f>IFERROR(MATCH(2044,$G$2:$G$721,0),"")</f>
        <v/>
      </c>
      <c r="O45" s="31">
        <f>IFERROR(MATCH(3044,$G$2:$G$721,0),"")</f>
        <v/>
      </c>
      <c r="P45" s="31">
        <f>IFERROR(MATCH(4044,$G$2:$G$721,0),"")</f>
        <v/>
      </c>
      <c r="Q45" s="31">
        <f>IFERROR(MATCH(5044,$G$2:$G$721,0),"")</f>
        <v/>
      </c>
      <c r="R45" s="31">
        <f>IFERROR(MATCH(6044,$G$2:$G$721,0),"")</f>
        <v/>
      </c>
      <c r="S45" s="31">
        <f>IFERROR(MATCH(7044,$G$2:$G$721,0),"")</f>
        <v/>
      </c>
      <c r="T45" s="31">
        <f>IFERROR(MATCH(8044,$G$2:$G$721,0),"")</f>
        <v/>
      </c>
      <c r="U45" s="31">
        <f>IFERROR(MATCH(9044,$G$2:$G$721,0),"")</f>
        <v/>
      </c>
      <c r="V45" s="31">
        <f>IFERROR(MATCH(10044,$G$2:$G$721,0),"")</f>
        <v/>
      </c>
      <c r="W45" s="31">
        <f>IFERROR(MATCH(11044,$G$2:$G$721,0),"")</f>
        <v/>
      </c>
      <c r="X45" s="31">
        <f>IFERROR(MATCH(12044,$G$2:$G$721,0),"")</f>
        <v/>
      </c>
      <c r="Y45" s="31">
        <f>IFERROR(MATCH(13044,$G$2:$G$721,0),"")</f>
        <v/>
      </c>
      <c r="Z45" s="31">
        <f>IFERROR(MATCH(14044,$G$2:$G$721,0),"")</f>
        <v/>
      </c>
      <c r="AA45" s="31">
        <f>IFERROR(MATCH(15044,$G$2:$G$721,0),"")</f>
        <v/>
      </c>
      <c r="AB45" s="31">
        <f>IFERROR(MATCH(16044,$G$2:$G$721,0),"")</f>
        <v/>
      </c>
      <c r="AC45" s="31">
        <f>IFERROR(MATCH(17044,$G$2:$G$721,0),"")</f>
        <v/>
      </c>
      <c r="AD45" s="31">
        <f>IFERROR(MATCH(18044,$G$2:$G$721,0),"")</f>
        <v/>
      </c>
      <c r="AE45" s="31">
        <f>IFERROR(MATCH(19044,$G$2:$G$721,0),"")</f>
        <v/>
      </c>
      <c r="AF45" s="31">
        <f>IFERROR(MATCH(20044,$G$2:$G$721,0),"")</f>
        <v/>
      </c>
    </row>
    <row r="46">
      <c r="A46" s="31">
        <f>IF('6年'!B49="","",設定!$C$11)</f>
        <v/>
      </c>
      <c r="B46" s="31">
        <f>IF('6年'!B49="","",'6年'!A49)</f>
        <v/>
      </c>
      <c r="C46" s="31">
        <f>IF('6年'!B49="","",'6年'!B49)</f>
        <v/>
      </c>
      <c r="D46" s="31">
        <f>IF('6年'!B49="","",'6年'!C49&amp;"")</f>
        <v/>
      </c>
      <c r="E46" s="31">
        <f>IF(D46="","",IFERROR(MATCH(D46,設定!$I$11:$I$30,0),""))</f>
        <v/>
      </c>
      <c r="F46" s="31">
        <f>IF(E46="","",COUNTIF($E$2:E46,E46))</f>
        <v/>
      </c>
      <c r="G46" s="31">
        <f>IF(E46="","",E46*1000+F46)</f>
        <v/>
      </c>
      <c r="H46" s="31">
        <f>設定!$B$7</f>
        <v/>
      </c>
      <c r="I46" s="31">
        <f>IF(AND(C46&lt;&gt;"",D46=""),1,0)</f>
        <v/>
      </c>
      <c r="J46" s="31">
        <f>IF(AND(D46&lt;&gt;"",E46=""),1,0)</f>
        <v/>
      </c>
      <c r="M46" s="31">
        <f>IFERROR(MATCH(1045,$G$2:$G$721,0),"")</f>
        <v/>
      </c>
      <c r="N46" s="31">
        <f>IFERROR(MATCH(2045,$G$2:$G$721,0),"")</f>
        <v/>
      </c>
      <c r="O46" s="31">
        <f>IFERROR(MATCH(3045,$G$2:$G$721,0),"")</f>
        <v/>
      </c>
      <c r="P46" s="31">
        <f>IFERROR(MATCH(4045,$G$2:$G$721,0),"")</f>
        <v/>
      </c>
      <c r="Q46" s="31">
        <f>IFERROR(MATCH(5045,$G$2:$G$721,0),"")</f>
        <v/>
      </c>
      <c r="R46" s="31">
        <f>IFERROR(MATCH(6045,$G$2:$G$721,0),"")</f>
        <v/>
      </c>
      <c r="S46" s="31">
        <f>IFERROR(MATCH(7045,$G$2:$G$721,0),"")</f>
        <v/>
      </c>
      <c r="T46" s="31">
        <f>IFERROR(MATCH(8045,$G$2:$G$721,0),"")</f>
        <v/>
      </c>
      <c r="U46" s="31">
        <f>IFERROR(MATCH(9045,$G$2:$G$721,0),"")</f>
        <v/>
      </c>
      <c r="V46" s="31">
        <f>IFERROR(MATCH(10045,$G$2:$G$721,0),"")</f>
        <v/>
      </c>
      <c r="W46" s="31">
        <f>IFERROR(MATCH(11045,$G$2:$G$721,0),"")</f>
        <v/>
      </c>
      <c r="X46" s="31">
        <f>IFERROR(MATCH(12045,$G$2:$G$721,0),"")</f>
        <v/>
      </c>
      <c r="Y46" s="31">
        <f>IFERROR(MATCH(13045,$G$2:$G$721,0),"")</f>
        <v/>
      </c>
      <c r="Z46" s="31">
        <f>IFERROR(MATCH(14045,$G$2:$G$721,0),"")</f>
        <v/>
      </c>
      <c r="AA46" s="31">
        <f>IFERROR(MATCH(15045,$G$2:$G$721,0),"")</f>
        <v/>
      </c>
      <c r="AB46" s="31">
        <f>IFERROR(MATCH(16045,$G$2:$G$721,0),"")</f>
        <v/>
      </c>
      <c r="AC46" s="31">
        <f>IFERROR(MATCH(17045,$G$2:$G$721,0),"")</f>
        <v/>
      </c>
      <c r="AD46" s="31">
        <f>IFERROR(MATCH(18045,$G$2:$G$721,0),"")</f>
        <v/>
      </c>
      <c r="AE46" s="31">
        <f>IFERROR(MATCH(19045,$G$2:$G$721,0),"")</f>
        <v/>
      </c>
      <c r="AF46" s="31">
        <f>IFERROR(MATCH(20045,$G$2:$G$721,0),"")</f>
        <v/>
      </c>
    </row>
    <row r="47">
      <c r="A47" s="31">
        <f>IF('6年'!E5="","",設定!$C$12)</f>
        <v/>
      </c>
      <c r="B47" s="31">
        <f>IF('6年'!E5="","",'6年'!D5)</f>
        <v/>
      </c>
      <c r="C47" s="31">
        <f>IF('6年'!E5="","",'6年'!E5)</f>
        <v/>
      </c>
      <c r="D47" s="31">
        <f>IF('6年'!E5="","",'6年'!F5&amp;"")</f>
        <v/>
      </c>
      <c r="E47" s="31">
        <f>IF(D47="","",IFERROR(MATCH(D47,設定!$I$11:$I$30,0),""))</f>
        <v/>
      </c>
      <c r="F47" s="31">
        <f>IF(E47="","",COUNTIF($E$2:E47,E47))</f>
        <v/>
      </c>
      <c r="G47" s="31">
        <f>IF(E47="","",E47*1000+F47)</f>
        <v/>
      </c>
      <c r="H47" s="31">
        <f>設定!$B$7</f>
        <v/>
      </c>
      <c r="I47" s="31">
        <f>IF(AND(C47&lt;&gt;"",D47=""),1,0)</f>
        <v/>
      </c>
      <c r="J47" s="31">
        <f>IF(AND(D47&lt;&gt;"",E47=""),1,0)</f>
        <v/>
      </c>
      <c r="M47" s="31">
        <f>IFERROR(MATCH(1046,$G$2:$G$721,0),"")</f>
        <v/>
      </c>
      <c r="N47" s="31">
        <f>IFERROR(MATCH(2046,$G$2:$G$721,0),"")</f>
        <v/>
      </c>
      <c r="O47" s="31">
        <f>IFERROR(MATCH(3046,$G$2:$G$721,0),"")</f>
        <v/>
      </c>
      <c r="P47" s="31">
        <f>IFERROR(MATCH(4046,$G$2:$G$721,0),"")</f>
        <v/>
      </c>
      <c r="Q47" s="31">
        <f>IFERROR(MATCH(5046,$G$2:$G$721,0),"")</f>
        <v/>
      </c>
      <c r="R47" s="31">
        <f>IFERROR(MATCH(6046,$G$2:$G$721,0),"")</f>
        <v/>
      </c>
      <c r="S47" s="31">
        <f>IFERROR(MATCH(7046,$G$2:$G$721,0),"")</f>
        <v/>
      </c>
      <c r="T47" s="31">
        <f>IFERROR(MATCH(8046,$G$2:$G$721,0),"")</f>
        <v/>
      </c>
      <c r="U47" s="31">
        <f>IFERROR(MATCH(9046,$G$2:$G$721,0),"")</f>
        <v/>
      </c>
      <c r="V47" s="31">
        <f>IFERROR(MATCH(10046,$G$2:$G$721,0),"")</f>
        <v/>
      </c>
      <c r="W47" s="31">
        <f>IFERROR(MATCH(11046,$G$2:$G$721,0),"")</f>
        <v/>
      </c>
      <c r="X47" s="31">
        <f>IFERROR(MATCH(12046,$G$2:$G$721,0),"")</f>
        <v/>
      </c>
      <c r="Y47" s="31">
        <f>IFERROR(MATCH(13046,$G$2:$G$721,0),"")</f>
        <v/>
      </c>
      <c r="Z47" s="31">
        <f>IFERROR(MATCH(14046,$G$2:$G$721,0),"")</f>
        <v/>
      </c>
      <c r="AA47" s="31">
        <f>IFERROR(MATCH(15046,$G$2:$G$721,0),"")</f>
        <v/>
      </c>
      <c r="AB47" s="31">
        <f>IFERROR(MATCH(16046,$G$2:$G$721,0),"")</f>
        <v/>
      </c>
      <c r="AC47" s="31">
        <f>IFERROR(MATCH(17046,$G$2:$G$721,0),"")</f>
        <v/>
      </c>
      <c r="AD47" s="31">
        <f>IFERROR(MATCH(18046,$G$2:$G$721,0),"")</f>
        <v/>
      </c>
      <c r="AE47" s="31">
        <f>IFERROR(MATCH(19046,$G$2:$G$721,0),"")</f>
        <v/>
      </c>
      <c r="AF47" s="31">
        <f>IFERROR(MATCH(20046,$G$2:$G$721,0),"")</f>
        <v/>
      </c>
    </row>
    <row r="48">
      <c r="A48" s="31">
        <f>IF('6年'!E6="","",設定!$C$12)</f>
        <v/>
      </c>
      <c r="B48" s="31">
        <f>IF('6年'!E6="","",'6年'!D6)</f>
        <v/>
      </c>
      <c r="C48" s="31">
        <f>IF('6年'!E6="","",'6年'!E6)</f>
        <v/>
      </c>
      <c r="D48" s="31">
        <f>IF('6年'!E6="","",'6年'!F6&amp;"")</f>
        <v/>
      </c>
      <c r="E48" s="31">
        <f>IF(D48="","",IFERROR(MATCH(D48,設定!$I$11:$I$30,0),""))</f>
        <v/>
      </c>
      <c r="F48" s="31">
        <f>IF(E48="","",COUNTIF($E$2:E48,E48))</f>
        <v/>
      </c>
      <c r="G48" s="31">
        <f>IF(E48="","",E48*1000+F48)</f>
        <v/>
      </c>
      <c r="H48" s="31">
        <f>設定!$B$7</f>
        <v/>
      </c>
      <c r="I48" s="31">
        <f>IF(AND(C48&lt;&gt;"",D48=""),1,0)</f>
        <v/>
      </c>
      <c r="J48" s="31">
        <f>IF(AND(D48&lt;&gt;"",E48=""),1,0)</f>
        <v/>
      </c>
      <c r="M48" s="31">
        <f>IFERROR(MATCH(1047,$G$2:$G$721,0),"")</f>
        <v/>
      </c>
      <c r="N48" s="31">
        <f>IFERROR(MATCH(2047,$G$2:$G$721,0),"")</f>
        <v/>
      </c>
      <c r="O48" s="31">
        <f>IFERROR(MATCH(3047,$G$2:$G$721,0),"")</f>
        <v/>
      </c>
      <c r="P48" s="31">
        <f>IFERROR(MATCH(4047,$G$2:$G$721,0),"")</f>
        <v/>
      </c>
      <c r="Q48" s="31">
        <f>IFERROR(MATCH(5047,$G$2:$G$721,0),"")</f>
        <v/>
      </c>
      <c r="R48" s="31">
        <f>IFERROR(MATCH(6047,$G$2:$G$721,0),"")</f>
        <v/>
      </c>
      <c r="S48" s="31">
        <f>IFERROR(MATCH(7047,$G$2:$G$721,0),"")</f>
        <v/>
      </c>
      <c r="T48" s="31">
        <f>IFERROR(MATCH(8047,$G$2:$G$721,0),"")</f>
        <v/>
      </c>
      <c r="U48" s="31">
        <f>IFERROR(MATCH(9047,$G$2:$G$721,0),"")</f>
        <v/>
      </c>
      <c r="V48" s="31">
        <f>IFERROR(MATCH(10047,$G$2:$G$721,0),"")</f>
        <v/>
      </c>
      <c r="W48" s="31">
        <f>IFERROR(MATCH(11047,$G$2:$G$721,0),"")</f>
        <v/>
      </c>
      <c r="X48" s="31">
        <f>IFERROR(MATCH(12047,$G$2:$G$721,0),"")</f>
        <v/>
      </c>
      <c r="Y48" s="31">
        <f>IFERROR(MATCH(13047,$G$2:$G$721,0),"")</f>
        <v/>
      </c>
      <c r="Z48" s="31">
        <f>IFERROR(MATCH(14047,$G$2:$G$721,0),"")</f>
        <v/>
      </c>
      <c r="AA48" s="31">
        <f>IFERROR(MATCH(15047,$G$2:$G$721,0),"")</f>
        <v/>
      </c>
      <c r="AB48" s="31">
        <f>IFERROR(MATCH(16047,$G$2:$G$721,0),"")</f>
        <v/>
      </c>
      <c r="AC48" s="31">
        <f>IFERROR(MATCH(17047,$G$2:$G$721,0),"")</f>
        <v/>
      </c>
      <c r="AD48" s="31">
        <f>IFERROR(MATCH(18047,$G$2:$G$721,0),"")</f>
        <v/>
      </c>
      <c r="AE48" s="31">
        <f>IFERROR(MATCH(19047,$G$2:$G$721,0),"")</f>
        <v/>
      </c>
      <c r="AF48" s="31">
        <f>IFERROR(MATCH(20047,$G$2:$G$721,0),"")</f>
        <v/>
      </c>
    </row>
    <row r="49">
      <c r="A49" s="31">
        <f>IF('6年'!E7="","",設定!$C$12)</f>
        <v/>
      </c>
      <c r="B49" s="31">
        <f>IF('6年'!E7="","",'6年'!D7)</f>
        <v/>
      </c>
      <c r="C49" s="31">
        <f>IF('6年'!E7="","",'6年'!E7)</f>
        <v/>
      </c>
      <c r="D49" s="31">
        <f>IF('6年'!E7="","",'6年'!F7&amp;"")</f>
        <v/>
      </c>
      <c r="E49" s="31">
        <f>IF(D49="","",IFERROR(MATCH(D49,設定!$I$11:$I$30,0),""))</f>
        <v/>
      </c>
      <c r="F49" s="31">
        <f>IF(E49="","",COUNTIF($E$2:E49,E49))</f>
        <v/>
      </c>
      <c r="G49" s="31">
        <f>IF(E49="","",E49*1000+F49)</f>
        <v/>
      </c>
      <c r="H49" s="31">
        <f>設定!$B$7</f>
        <v/>
      </c>
      <c r="I49" s="31">
        <f>IF(AND(C49&lt;&gt;"",D49=""),1,0)</f>
        <v/>
      </c>
      <c r="J49" s="31">
        <f>IF(AND(D49&lt;&gt;"",E49=""),1,0)</f>
        <v/>
      </c>
      <c r="M49" s="31">
        <f>IFERROR(MATCH(1048,$G$2:$G$721,0),"")</f>
        <v/>
      </c>
      <c r="N49" s="31">
        <f>IFERROR(MATCH(2048,$G$2:$G$721,0),"")</f>
        <v/>
      </c>
      <c r="O49" s="31">
        <f>IFERROR(MATCH(3048,$G$2:$G$721,0),"")</f>
        <v/>
      </c>
      <c r="P49" s="31">
        <f>IFERROR(MATCH(4048,$G$2:$G$721,0),"")</f>
        <v/>
      </c>
      <c r="Q49" s="31">
        <f>IFERROR(MATCH(5048,$G$2:$G$721,0),"")</f>
        <v/>
      </c>
      <c r="R49" s="31">
        <f>IFERROR(MATCH(6048,$G$2:$G$721,0),"")</f>
        <v/>
      </c>
      <c r="S49" s="31">
        <f>IFERROR(MATCH(7048,$G$2:$G$721,0),"")</f>
        <v/>
      </c>
      <c r="T49" s="31">
        <f>IFERROR(MATCH(8048,$G$2:$G$721,0),"")</f>
        <v/>
      </c>
      <c r="U49" s="31">
        <f>IFERROR(MATCH(9048,$G$2:$G$721,0),"")</f>
        <v/>
      </c>
      <c r="V49" s="31">
        <f>IFERROR(MATCH(10048,$G$2:$G$721,0),"")</f>
        <v/>
      </c>
      <c r="W49" s="31">
        <f>IFERROR(MATCH(11048,$G$2:$G$721,0),"")</f>
        <v/>
      </c>
      <c r="X49" s="31">
        <f>IFERROR(MATCH(12048,$G$2:$G$721,0),"")</f>
        <v/>
      </c>
      <c r="Y49" s="31">
        <f>IFERROR(MATCH(13048,$G$2:$G$721,0),"")</f>
        <v/>
      </c>
      <c r="Z49" s="31">
        <f>IFERROR(MATCH(14048,$G$2:$G$721,0),"")</f>
        <v/>
      </c>
      <c r="AA49" s="31">
        <f>IFERROR(MATCH(15048,$G$2:$G$721,0),"")</f>
        <v/>
      </c>
      <c r="AB49" s="31">
        <f>IFERROR(MATCH(16048,$G$2:$G$721,0),"")</f>
        <v/>
      </c>
      <c r="AC49" s="31">
        <f>IFERROR(MATCH(17048,$G$2:$G$721,0),"")</f>
        <v/>
      </c>
      <c r="AD49" s="31">
        <f>IFERROR(MATCH(18048,$G$2:$G$721,0),"")</f>
        <v/>
      </c>
      <c r="AE49" s="31">
        <f>IFERROR(MATCH(19048,$G$2:$G$721,0),"")</f>
        <v/>
      </c>
      <c r="AF49" s="31">
        <f>IFERROR(MATCH(20048,$G$2:$G$721,0),"")</f>
        <v/>
      </c>
    </row>
    <row r="50">
      <c r="A50" s="31">
        <f>IF('6年'!E8="","",設定!$C$12)</f>
        <v/>
      </c>
      <c r="B50" s="31">
        <f>IF('6年'!E8="","",'6年'!D8)</f>
        <v/>
      </c>
      <c r="C50" s="31">
        <f>IF('6年'!E8="","",'6年'!E8)</f>
        <v/>
      </c>
      <c r="D50" s="31">
        <f>IF('6年'!E8="","",'6年'!F8&amp;"")</f>
        <v/>
      </c>
      <c r="E50" s="31">
        <f>IF(D50="","",IFERROR(MATCH(D50,設定!$I$11:$I$30,0),""))</f>
        <v/>
      </c>
      <c r="F50" s="31">
        <f>IF(E50="","",COUNTIF($E$2:E50,E50))</f>
        <v/>
      </c>
      <c r="G50" s="31">
        <f>IF(E50="","",E50*1000+F50)</f>
        <v/>
      </c>
      <c r="H50" s="31">
        <f>設定!$B$7</f>
        <v/>
      </c>
      <c r="I50" s="31">
        <f>IF(AND(C50&lt;&gt;"",D50=""),1,0)</f>
        <v/>
      </c>
      <c r="J50" s="31">
        <f>IF(AND(D50&lt;&gt;"",E50=""),1,0)</f>
        <v/>
      </c>
      <c r="M50" s="31">
        <f>IFERROR(MATCH(1049,$G$2:$G$721,0),"")</f>
        <v/>
      </c>
      <c r="N50" s="31">
        <f>IFERROR(MATCH(2049,$G$2:$G$721,0),"")</f>
        <v/>
      </c>
      <c r="O50" s="31">
        <f>IFERROR(MATCH(3049,$G$2:$G$721,0),"")</f>
        <v/>
      </c>
      <c r="P50" s="31">
        <f>IFERROR(MATCH(4049,$G$2:$G$721,0),"")</f>
        <v/>
      </c>
      <c r="Q50" s="31">
        <f>IFERROR(MATCH(5049,$G$2:$G$721,0),"")</f>
        <v/>
      </c>
      <c r="R50" s="31">
        <f>IFERROR(MATCH(6049,$G$2:$G$721,0),"")</f>
        <v/>
      </c>
      <c r="S50" s="31">
        <f>IFERROR(MATCH(7049,$G$2:$G$721,0),"")</f>
        <v/>
      </c>
      <c r="T50" s="31">
        <f>IFERROR(MATCH(8049,$G$2:$G$721,0),"")</f>
        <v/>
      </c>
      <c r="U50" s="31">
        <f>IFERROR(MATCH(9049,$G$2:$G$721,0),"")</f>
        <v/>
      </c>
      <c r="V50" s="31">
        <f>IFERROR(MATCH(10049,$G$2:$G$721,0),"")</f>
        <v/>
      </c>
      <c r="W50" s="31">
        <f>IFERROR(MATCH(11049,$G$2:$G$721,0),"")</f>
        <v/>
      </c>
      <c r="X50" s="31">
        <f>IFERROR(MATCH(12049,$G$2:$G$721,0),"")</f>
        <v/>
      </c>
      <c r="Y50" s="31">
        <f>IFERROR(MATCH(13049,$G$2:$G$721,0),"")</f>
        <v/>
      </c>
      <c r="Z50" s="31">
        <f>IFERROR(MATCH(14049,$G$2:$G$721,0),"")</f>
        <v/>
      </c>
      <c r="AA50" s="31">
        <f>IFERROR(MATCH(15049,$G$2:$G$721,0),"")</f>
        <v/>
      </c>
      <c r="AB50" s="31">
        <f>IFERROR(MATCH(16049,$G$2:$G$721,0),"")</f>
        <v/>
      </c>
      <c r="AC50" s="31">
        <f>IFERROR(MATCH(17049,$G$2:$G$721,0),"")</f>
        <v/>
      </c>
      <c r="AD50" s="31">
        <f>IFERROR(MATCH(18049,$G$2:$G$721,0),"")</f>
        <v/>
      </c>
      <c r="AE50" s="31">
        <f>IFERROR(MATCH(19049,$G$2:$G$721,0),"")</f>
        <v/>
      </c>
      <c r="AF50" s="31">
        <f>IFERROR(MATCH(20049,$G$2:$G$721,0),"")</f>
        <v/>
      </c>
    </row>
    <row r="51">
      <c r="A51" s="31">
        <f>IF('6年'!E9="","",設定!$C$12)</f>
        <v/>
      </c>
      <c r="B51" s="31">
        <f>IF('6年'!E9="","",'6年'!D9)</f>
        <v/>
      </c>
      <c r="C51" s="31">
        <f>IF('6年'!E9="","",'6年'!E9)</f>
        <v/>
      </c>
      <c r="D51" s="31">
        <f>IF('6年'!E9="","",'6年'!F9&amp;"")</f>
        <v/>
      </c>
      <c r="E51" s="31">
        <f>IF(D51="","",IFERROR(MATCH(D51,設定!$I$11:$I$30,0),""))</f>
        <v/>
      </c>
      <c r="F51" s="31">
        <f>IF(E51="","",COUNTIF($E$2:E51,E51))</f>
        <v/>
      </c>
      <c r="G51" s="31">
        <f>IF(E51="","",E51*1000+F51)</f>
        <v/>
      </c>
      <c r="H51" s="31">
        <f>設定!$B$7</f>
        <v/>
      </c>
      <c r="I51" s="31">
        <f>IF(AND(C51&lt;&gt;"",D51=""),1,0)</f>
        <v/>
      </c>
      <c r="J51" s="31">
        <f>IF(AND(D51&lt;&gt;"",E51=""),1,0)</f>
        <v/>
      </c>
      <c r="M51" s="31">
        <f>IFERROR(MATCH(1050,$G$2:$G$721,0),"")</f>
        <v/>
      </c>
      <c r="N51" s="31">
        <f>IFERROR(MATCH(2050,$G$2:$G$721,0),"")</f>
        <v/>
      </c>
      <c r="O51" s="31">
        <f>IFERROR(MATCH(3050,$G$2:$G$721,0),"")</f>
        <v/>
      </c>
      <c r="P51" s="31">
        <f>IFERROR(MATCH(4050,$G$2:$G$721,0),"")</f>
        <v/>
      </c>
      <c r="Q51" s="31">
        <f>IFERROR(MATCH(5050,$G$2:$G$721,0),"")</f>
        <v/>
      </c>
      <c r="R51" s="31">
        <f>IFERROR(MATCH(6050,$G$2:$G$721,0),"")</f>
        <v/>
      </c>
      <c r="S51" s="31">
        <f>IFERROR(MATCH(7050,$G$2:$G$721,0),"")</f>
        <v/>
      </c>
      <c r="T51" s="31">
        <f>IFERROR(MATCH(8050,$G$2:$G$721,0),"")</f>
        <v/>
      </c>
      <c r="U51" s="31">
        <f>IFERROR(MATCH(9050,$G$2:$G$721,0),"")</f>
        <v/>
      </c>
      <c r="V51" s="31">
        <f>IFERROR(MATCH(10050,$G$2:$G$721,0),"")</f>
        <v/>
      </c>
      <c r="W51" s="31">
        <f>IFERROR(MATCH(11050,$G$2:$G$721,0),"")</f>
        <v/>
      </c>
      <c r="X51" s="31">
        <f>IFERROR(MATCH(12050,$G$2:$G$721,0),"")</f>
        <v/>
      </c>
      <c r="Y51" s="31">
        <f>IFERROR(MATCH(13050,$G$2:$G$721,0),"")</f>
        <v/>
      </c>
      <c r="Z51" s="31">
        <f>IFERROR(MATCH(14050,$G$2:$G$721,0),"")</f>
        <v/>
      </c>
      <c r="AA51" s="31">
        <f>IFERROR(MATCH(15050,$G$2:$G$721,0),"")</f>
        <v/>
      </c>
      <c r="AB51" s="31">
        <f>IFERROR(MATCH(16050,$G$2:$G$721,0),"")</f>
        <v/>
      </c>
      <c r="AC51" s="31">
        <f>IFERROR(MATCH(17050,$G$2:$G$721,0),"")</f>
        <v/>
      </c>
      <c r="AD51" s="31">
        <f>IFERROR(MATCH(18050,$G$2:$G$721,0),"")</f>
        <v/>
      </c>
      <c r="AE51" s="31">
        <f>IFERROR(MATCH(19050,$G$2:$G$721,0),"")</f>
        <v/>
      </c>
      <c r="AF51" s="31">
        <f>IFERROR(MATCH(20050,$G$2:$G$721,0),"")</f>
        <v/>
      </c>
    </row>
    <row r="52">
      <c r="A52" s="31">
        <f>IF('6年'!E10="","",設定!$C$12)</f>
        <v/>
      </c>
      <c r="B52" s="31">
        <f>IF('6年'!E10="","",'6年'!D10)</f>
        <v/>
      </c>
      <c r="C52" s="31">
        <f>IF('6年'!E10="","",'6年'!E10)</f>
        <v/>
      </c>
      <c r="D52" s="31">
        <f>IF('6年'!E10="","",'6年'!F10&amp;"")</f>
        <v/>
      </c>
      <c r="E52" s="31">
        <f>IF(D52="","",IFERROR(MATCH(D52,設定!$I$11:$I$30,0),""))</f>
        <v/>
      </c>
      <c r="F52" s="31">
        <f>IF(E52="","",COUNTIF($E$2:E52,E52))</f>
        <v/>
      </c>
      <c r="G52" s="31">
        <f>IF(E52="","",E52*1000+F52)</f>
        <v/>
      </c>
      <c r="H52" s="31">
        <f>設定!$B$7</f>
        <v/>
      </c>
      <c r="I52" s="31">
        <f>IF(AND(C52&lt;&gt;"",D52=""),1,0)</f>
        <v/>
      </c>
      <c r="J52" s="31">
        <f>IF(AND(D52&lt;&gt;"",E52=""),1,0)</f>
        <v/>
      </c>
    </row>
    <row r="53">
      <c r="A53" s="31">
        <f>IF('6年'!E11="","",設定!$C$12)</f>
        <v/>
      </c>
      <c r="B53" s="31">
        <f>IF('6年'!E11="","",'6年'!D11)</f>
        <v/>
      </c>
      <c r="C53" s="31">
        <f>IF('6年'!E11="","",'6年'!E11)</f>
        <v/>
      </c>
      <c r="D53" s="31">
        <f>IF('6年'!E11="","",'6年'!F11&amp;"")</f>
        <v/>
      </c>
      <c r="E53" s="31">
        <f>IF(D53="","",IFERROR(MATCH(D53,設定!$I$11:$I$30,0),""))</f>
        <v/>
      </c>
      <c r="F53" s="31">
        <f>IF(E53="","",COUNTIF($E$2:E53,E53))</f>
        <v/>
      </c>
      <c r="G53" s="31">
        <f>IF(E53="","",E53*1000+F53)</f>
        <v/>
      </c>
      <c r="H53" s="31">
        <f>設定!$B$7</f>
        <v/>
      </c>
      <c r="I53" s="31">
        <f>IF(AND(C53&lt;&gt;"",D53=""),1,0)</f>
        <v/>
      </c>
      <c r="J53" s="31">
        <f>IF(AND(D53&lt;&gt;"",E53=""),1,0)</f>
        <v/>
      </c>
    </row>
    <row r="54">
      <c r="A54" s="31">
        <f>IF('6年'!E12="","",設定!$C$12)</f>
        <v/>
      </c>
      <c r="B54" s="31">
        <f>IF('6年'!E12="","",'6年'!D12)</f>
        <v/>
      </c>
      <c r="C54" s="31">
        <f>IF('6年'!E12="","",'6年'!E12)</f>
        <v/>
      </c>
      <c r="D54" s="31">
        <f>IF('6年'!E12="","",'6年'!F12&amp;"")</f>
        <v/>
      </c>
      <c r="E54" s="31">
        <f>IF(D54="","",IFERROR(MATCH(D54,設定!$I$11:$I$30,0),""))</f>
        <v/>
      </c>
      <c r="F54" s="31">
        <f>IF(E54="","",COUNTIF($E$2:E54,E54))</f>
        <v/>
      </c>
      <c r="G54" s="31">
        <f>IF(E54="","",E54*1000+F54)</f>
        <v/>
      </c>
      <c r="H54" s="31">
        <f>設定!$B$7</f>
        <v/>
      </c>
      <c r="I54" s="31">
        <f>IF(AND(C54&lt;&gt;"",D54=""),1,0)</f>
        <v/>
      </c>
      <c r="J54" s="31">
        <f>IF(AND(D54&lt;&gt;"",E54=""),1,0)</f>
        <v/>
      </c>
    </row>
    <row r="55">
      <c r="A55" s="31">
        <f>IF('6年'!E13="","",設定!$C$12)</f>
        <v/>
      </c>
      <c r="B55" s="31">
        <f>IF('6年'!E13="","",'6年'!D13)</f>
        <v/>
      </c>
      <c r="C55" s="31">
        <f>IF('6年'!E13="","",'6年'!E13)</f>
        <v/>
      </c>
      <c r="D55" s="31">
        <f>IF('6年'!E13="","",'6年'!F13&amp;"")</f>
        <v/>
      </c>
      <c r="E55" s="31">
        <f>IF(D55="","",IFERROR(MATCH(D55,設定!$I$11:$I$30,0),""))</f>
        <v/>
      </c>
      <c r="F55" s="31">
        <f>IF(E55="","",COUNTIF($E$2:E55,E55))</f>
        <v/>
      </c>
      <c r="G55" s="31">
        <f>IF(E55="","",E55*1000+F55)</f>
        <v/>
      </c>
      <c r="H55" s="31">
        <f>設定!$B$7</f>
        <v/>
      </c>
      <c r="I55" s="31">
        <f>IF(AND(C55&lt;&gt;"",D55=""),1,0)</f>
        <v/>
      </c>
      <c r="J55" s="31">
        <f>IF(AND(D55&lt;&gt;"",E55=""),1,0)</f>
        <v/>
      </c>
    </row>
    <row r="56">
      <c r="A56" s="31">
        <f>IF('6年'!E14="","",設定!$C$12)</f>
        <v/>
      </c>
      <c r="B56" s="31">
        <f>IF('6年'!E14="","",'6年'!D14)</f>
        <v/>
      </c>
      <c r="C56" s="31">
        <f>IF('6年'!E14="","",'6年'!E14)</f>
        <v/>
      </c>
      <c r="D56" s="31">
        <f>IF('6年'!E14="","",'6年'!F14&amp;"")</f>
        <v/>
      </c>
      <c r="E56" s="31">
        <f>IF(D56="","",IFERROR(MATCH(D56,設定!$I$11:$I$30,0),""))</f>
        <v/>
      </c>
      <c r="F56" s="31">
        <f>IF(E56="","",COUNTIF($E$2:E56,E56))</f>
        <v/>
      </c>
      <c r="G56" s="31">
        <f>IF(E56="","",E56*1000+F56)</f>
        <v/>
      </c>
      <c r="H56" s="31">
        <f>設定!$B$7</f>
        <v/>
      </c>
      <c r="I56" s="31">
        <f>IF(AND(C56&lt;&gt;"",D56=""),1,0)</f>
        <v/>
      </c>
      <c r="J56" s="31">
        <f>IF(AND(D56&lt;&gt;"",E56=""),1,0)</f>
        <v/>
      </c>
    </row>
    <row r="57">
      <c r="A57" s="31">
        <f>IF('6年'!E15="","",設定!$C$12)</f>
        <v/>
      </c>
      <c r="B57" s="31">
        <f>IF('6年'!E15="","",'6年'!D15)</f>
        <v/>
      </c>
      <c r="C57" s="31">
        <f>IF('6年'!E15="","",'6年'!E15)</f>
        <v/>
      </c>
      <c r="D57" s="31">
        <f>IF('6年'!E15="","",'6年'!F15&amp;"")</f>
        <v/>
      </c>
      <c r="E57" s="31">
        <f>IF(D57="","",IFERROR(MATCH(D57,設定!$I$11:$I$30,0),""))</f>
        <v/>
      </c>
      <c r="F57" s="31">
        <f>IF(E57="","",COUNTIF($E$2:E57,E57))</f>
        <v/>
      </c>
      <c r="G57" s="31">
        <f>IF(E57="","",E57*1000+F57)</f>
        <v/>
      </c>
      <c r="H57" s="31">
        <f>設定!$B$7</f>
        <v/>
      </c>
      <c r="I57" s="31">
        <f>IF(AND(C57&lt;&gt;"",D57=""),1,0)</f>
        <v/>
      </c>
      <c r="J57" s="31">
        <f>IF(AND(D57&lt;&gt;"",E57=""),1,0)</f>
        <v/>
      </c>
    </row>
    <row r="58">
      <c r="A58" s="31">
        <f>IF('6年'!E16="","",設定!$C$12)</f>
        <v/>
      </c>
      <c r="B58" s="31">
        <f>IF('6年'!E16="","",'6年'!D16)</f>
        <v/>
      </c>
      <c r="C58" s="31">
        <f>IF('6年'!E16="","",'6年'!E16)</f>
        <v/>
      </c>
      <c r="D58" s="31">
        <f>IF('6年'!E16="","",'6年'!F16&amp;"")</f>
        <v/>
      </c>
      <c r="E58" s="31">
        <f>IF(D58="","",IFERROR(MATCH(D58,設定!$I$11:$I$30,0),""))</f>
        <v/>
      </c>
      <c r="F58" s="31">
        <f>IF(E58="","",COUNTIF($E$2:E58,E58))</f>
        <v/>
      </c>
      <c r="G58" s="31">
        <f>IF(E58="","",E58*1000+F58)</f>
        <v/>
      </c>
      <c r="H58" s="31">
        <f>設定!$B$7</f>
        <v/>
      </c>
      <c r="I58" s="31">
        <f>IF(AND(C58&lt;&gt;"",D58=""),1,0)</f>
        <v/>
      </c>
      <c r="J58" s="31">
        <f>IF(AND(D58&lt;&gt;"",E58=""),1,0)</f>
        <v/>
      </c>
    </row>
    <row r="59">
      <c r="A59" s="31">
        <f>IF('6年'!E17="","",設定!$C$12)</f>
        <v/>
      </c>
      <c r="B59" s="31">
        <f>IF('6年'!E17="","",'6年'!D17)</f>
        <v/>
      </c>
      <c r="C59" s="31">
        <f>IF('6年'!E17="","",'6年'!E17)</f>
        <v/>
      </c>
      <c r="D59" s="31">
        <f>IF('6年'!E17="","",'6年'!F17&amp;"")</f>
        <v/>
      </c>
      <c r="E59" s="31">
        <f>IF(D59="","",IFERROR(MATCH(D59,設定!$I$11:$I$30,0),""))</f>
        <v/>
      </c>
      <c r="F59" s="31">
        <f>IF(E59="","",COUNTIF($E$2:E59,E59))</f>
        <v/>
      </c>
      <c r="G59" s="31">
        <f>IF(E59="","",E59*1000+F59)</f>
        <v/>
      </c>
      <c r="H59" s="31">
        <f>設定!$B$7</f>
        <v/>
      </c>
      <c r="I59" s="31">
        <f>IF(AND(C59&lt;&gt;"",D59=""),1,0)</f>
        <v/>
      </c>
      <c r="J59" s="31">
        <f>IF(AND(D59&lt;&gt;"",E59=""),1,0)</f>
        <v/>
      </c>
    </row>
    <row r="60">
      <c r="A60" s="31">
        <f>IF('6年'!E18="","",設定!$C$12)</f>
        <v/>
      </c>
      <c r="B60" s="31">
        <f>IF('6年'!E18="","",'6年'!D18)</f>
        <v/>
      </c>
      <c r="C60" s="31">
        <f>IF('6年'!E18="","",'6年'!E18)</f>
        <v/>
      </c>
      <c r="D60" s="31">
        <f>IF('6年'!E18="","",'6年'!F18&amp;"")</f>
        <v/>
      </c>
      <c r="E60" s="31">
        <f>IF(D60="","",IFERROR(MATCH(D60,設定!$I$11:$I$30,0),""))</f>
        <v/>
      </c>
      <c r="F60" s="31">
        <f>IF(E60="","",COUNTIF($E$2:E60,E60))</f>
        <v/>
      </c>
      <c r="G60" s="31">
        <f>IF(E60="","",E60*1000+F60)</f>
        <v/>
      </c>
      <c r="H60" s="31">
        <f>設定!$B$7</f>
        <v/>
      </c>
      <c r="I60" s="31">
        <f>IF(AND(C60&lt;&gt;"",D60=""),1,0)</f>
        <v/>
      </c>
      <c r="J60" s="31">
        <f>IF(AND(D60&lt;&gt;"",E60=""),1,0)</f>
        <v/>
      </c>
    </row>
    <row r="61">
      <c r="A61" s="31">
        <f>IF('6年'!E19="","",設定!$C$12)</f>
        <v/>
      </c>
      <c r="B61" s="31">
        <f>IF('6年'!E19="","",'6年'!D19)</f>
        <v/>
      </c>
      <c r="C61" s="31">
        <f>IF('6年'!E19="","",'6年'!E19)</f>
        <v/>
      </c>
      <c r="D61" s="31">
        <f>IF('6年'!E19="","",'6年'!F19&amp;"")</f>
        <v/>
      </c>
      <c r="E61" s="31">
        <f>IF(D61="","",IFERROR(MATCH(D61,設定!$I$11:$I$30,0),""))</f>
        <v/>
      </c>
      <c r="F61" s="31">
        <f>IF(E61="","",COUNTIF($E$2:E61,E61))</f>
        <v/>
      </c>
      <c r="G61" s="31">
        <f>IF(E61="","",E61*1000+F61)</f>
        <v/>
      </c>
      <c r="H61" s="31">
        <f>設定!$B$7</f>
        <v/>
      </c>
      <c r="I61" s="31">
        <f>IF(AND(C61&lt;&gt;"",D61=""),1,0)</f>
        <v/>
      </c>
      <c r="J61" s="31">
        <f>IF(AND(D61&lt;&gt;"",E61=""),1,0)</f>
        <v/>
      </c>
    </row>
    <row r="62">
      <c r="A62" s="31">
        <f>IF('6年'!E20="","",設定!$C$12)</f>
        <v/>
      </c>
      <c r="B62" s="31">
        <f>IF('6年'!E20="","",'6年'!D20)</f>
        <v/>
      </c>
      <c r="C62" s="31">
        <f>IF('6年'!E20="","",'6年'!E20)</f>
        <v/>
      </c>
      <c r="D62" s="31">
        <f>IF('6年'!E20="","",'6年'!F20&amp;"")</f>
        <v/>
      </c>
      <c r="E62" s="31">
        <f>IF(D62="","",IFERROR(MATCH(D62,設定!$I$11:$I$30,0),""))</f>
        <v/>
      </c>
      <c r="F62" s="31">
        <f>IF(E62="","",COUNTIF($E$2:E62,E62))</f>
        <v/>
      </c>
      <c r="G62" s="31">
        <f>IF(E62="","",E62*1000+F62)</f>
        <v/>
      </c>
      <c r="H62" s="31">
        <f>設定!$B$7</f>
        <v/>
      </c>
      <c r="I62" s="31">
        <f>IF(AND(C62&lt;&gt;"",D62=""),1,0)</f>
        <v/>
      </c>
      <c r="J62" s="31">
        <f>IF(AND(D62&lt;&gt;"",E62=""),1,0)</f>
        <v/>
      </c>
    </row>
    <row r="63">
      <c r="A63" s="31">
        <f>IF('6年'!E21="","",設定!$C$12)</f>
        <v/>
      </c>
      <c r="B63" s="31">
        <f>IF('6年'!E21="","",'6年'!D21)</f>
        <v/>
      </c>
      <c r="C63" s="31">
        <f>IF('6年'!E21="","",'6年'!E21)</f>
        <v/>
      </c>
      <c r="D63" s="31">
        <f>IF('6年'!E21="","",'6年'!F21&amp;"")</f>
        <v/>
      </c>
      <c r="E63" s="31">
        <f>IF(D63="","",IFERROR(MATCH(D63,設定!$I$11:$I$30,0),""))</f>
        <v/>
      </c>
      <c r="F63" s="31">
        <f>IF(E63="","",COUNTIF($E$2:E63,E63))</f>
        <v/>
      </c>
      <c r="G63" s="31">
        <f>IF(E63="","",E63*1000+F63)</f>
        <v/>
      </c>
      <c r="H63" s="31">
        <f>設定!$B$7</f>
        <v/>
      </c>
      <c r="I63" s="31">
        <f>IF(AND(C63&lt;&gt;"",D63=""),1,0)</f>
        <v/>
      </c>
      <c r="J63" s="31">
        <f>IF(AND(D63&lt;&gt;"",E63=""),1,0)</f>
        <v/>
      </c>
    </row>
    <row r="64">
      <c r="A64" s="31">
        <f>IF('6年'!E22="","",設定!$C$12)</f>
        <v/>
      </c>
      <c r="B64" s="31">
        <f>IF('6年'!E22="","",'6年'!D22)</f>
        <v/>
      </c>
      <c r="C64" s="31">
        <f>IF('6年'!E22="","",'6年'!E22)</f>
        <v/>
      </c>
      <c r="D64" s="31">
        <f>IF('6年'!E22="","",'6年'!F22&amp;"")</f>
        <v/>
      </c>
      <c r="E64" s="31">
        <f>IF(D64="","",IFERROR(MATCH(D64,設定!$I$11:$I$30,0),""))</f>
        <v/>
      </c>
      <c r="F64" s="31">
        <f>IF(E64="","",COUNTIF($E$2:E64,E64))</f>
        <v/>
      </c>
      <c r="G64" s="31">
        <f>IF(E64="","",E64*1000+F64)</f>
        <v/>
      </c>
      <c r="H64" s="31">
        <f>設定!$B$7</f>
        <v/>
      </c>
      <c r="I64" s="31">
        <f>IF(AND(C64&lt;&gt;"",D64=""),1,0)</f>
        <v/>
      </c>
      <c r="J64" s="31">
        <f>IF(AND(D64&lt;&gt;"",E64=""),1,0)</f>
        <v/>
      </c>
    </row>
    <row r="65">
      <c r="A65" s="31">
        <f>IF('6年'!E23="","",設定!$C$12)</f>
        <v/>
      </c>
      <c r="B65" s="31">
        <f>IF('6年'!E23="","",'6年'!D23)</f>
        <v/>
      </c>
      <c r="C65" s="31">
        <f>IF('6年'!E23="","",'6年'!E23)</f>
        <v/>
      </c>
      <c r="D65" s="31">
        <f>IF('6年'!E23="","",'6年'!F23&amp;"")</f>
        <v/>
      </c>
      <c r="E65" s="31">
        <f>IF(D65="","",IFERROR(MATCH(D65,設定!$I$11:$I$30,0),""))</f>
        <v/>
      </c>
      <c r="F65" s="31">
        <f>IF(E65="","",COUNTIF($E$2:E65,E65))</f>
        <v/>
      </c>
      <c r="G65" s="31">
        <f>IF(E65="","",E65*1000+F65)</f>
        <v/>
      </c>
      <c r="H65" s="31">
        <f>設定!$B$7</f>
        <v/>
      </c>
      <c r="I65" s="31">
        <f>IF(AND(C65&lt;&gt;"",D65=""),1,0)</f>
        <v/>
      </c>
      <c r="J65" s="31">
        <f>IF(AND(D65&lt;&gt;"",E65=""),1,0)</f>
        <v/>
      </c>
    </row>
    <row r="66">
      <c r="A66" s="31">
        <f>IF('6年'!E24="","",設定!$C$12)</f>
        <v/>
      </c>
      <c r="B66" s="31">
        <f>IF('6年'!E24="","",'6年'!D24)</f>
        <v/>
      </c>
      <c r="C66" s="31">
        <f>IF('6年'!E24="","",'6年'!E24)</f>
        <v/>
      </c>
      <c r="D66" s="31">
        <f>IF('6年'!E24="","",'6年'!F24&amp;"")</f>
        <v/>
      </c>
      <c r="E66" s="31">
        <f>IF(D66="","",IFERROR(MATCH(D66,設定!$I$11:$I$30,0),""))</f>
        <v/>
      </c>
      <c r="F66" s="31">
        <f>IF(E66="","",COUNTIF($E$2:E66,E66))</f>
        <v/>
      </c>
      <c r="G66" s="31">
        <f>IF(E66="","",E66*1000+F66)</f>
        <v/>
      </c>
      <c r="H66" s="31">
        <f>設定!$B$7</f>
        <v/>
      </c>
      <c r="I66" s="31">
        <f>IF(AND(C66&lt;&gt;"",D66=""),1,0)</f>
        <v/>
      </c>
      <c r="J66" s="31">
        <f>IF(AND(D66&lt;&gt;"",E66=""),1,0)</f>
        <v/>
      </c>
    </row>
    <row r="67">
      <c r="A67" s="31">
        <f>IF('6年'!E25="","",設定!$C$12)</f>
        <v/>
      </c>
      <c r="B67" s="31">
        <f>IF('6年'!E25="","",'6年'!D25)</f>
        <v/>
      </c>
      <c r="C67" s="31">
        <f>IF('6年'!E25="","",'6年'!E25)</f>
        <v/>
      </c>
      <c r="D67" s="31">
        <f>IF('6年'!E25="","",'6年'!F25&amp;"")</f>
        <v/>
      </c>
      <c r="E67" s="31">
        <f>IF(D67="","",IFERROR(MATCH(D67,設定!$I$11:$I$30,0),""))</f>
        <v/>
      </c>
      <c r="F67" s="31">
        <f>IF(E67="","",COUNTIF($E$2:E67,E67))</f>
        <v/>
      </c>
      <c r="G67" s="31">
        <f>IF(E67="","",E67*1000+F67)</f>
        <v/>
      </c>
      <c r="H67" s="31">
        <f>設定!$B$7</f>
        <v/>
      </c>
      <c r="I67" s="31">
        <f>IF(AND(C67&lt;&gt;"",D67=""),1,0)</f>
        <v/>
      </c>
      <c r="J67" s="31">
        <f>IF(AND(D67&lt;&gt;"",E67=""),1,0)</f>
        <v/>
      </c>
    </row>
    <row r="68">
      <c r="A68" s="31">
        <f>IF('6年'!E26="","",設定!$C$12)</f>
        <v/>
      </c>
      <c r="B68" s="31">
        <f>IF('6年'!E26="","",'6年'!D26)</f>
        <v/>
      </c>
      <c r="C68" s="31">
        <f>IF('6年'!E26="","",'6年'!E26)</f>
        <v/>
      </c>
      <c r="D68" s="31">
        <f>IF('6年'!E26="","",'6年'!F26&amp;"")</f>
        <v/>
      </c>
      <c r="E68" s="31">
        <f>IF(D68="","",IFERROR(MATCH(D68,設定!$I$11:$I$30,0),""))</f>
        <v/>
      </c>
      <c r="F68" s="31">
        <f>IF(E68="","",COUNTIF($E$2:E68,E68))</f>
        <v/>
      </c>
      <c r="G68" s="31">
        <f>IF(E68="","",E68*1000+F68)</f>
        <v/>
      </c>
      <c r="H68" s="31">
        <f>設定!$B$7</f>
        <v/>
      </c>
      <c r="I68" s="31">
        <f>IF(AND(C68&lt;&gt;"",D68=""),1,0)</f>
        <v/>
      </c>
      <c r="J68" s="31">
        <f>IF(AND(D68&lt;&gt;"",E68=""),1,0)</f>
        <v/>
      </c>
    </row>
    <row r="69">
      <c r="A69" s="31">
        <f>IF('6年'!E27="","",設定!$C$12)</f>
        <v/>
      </c>
      <c r="B69" s="31">
        <f>IF('6年'!E27="","",'6年'!D27)</f>
        <v/>
      </c>
      <c r="C69" s="31">
        <f>IF('6年'!E27="","",'6年'!E27)</f>
        <v/>
      </c>
      <c r="D69" s="31">
        <f>IF('6年'!E27="","",'6年'!F27&amp;"")</f>
        <v/>
      </c>
      <c r="E69" s="31">
        <f>IF(D69="","",IFERROR(MATCH(D69,設定!$I$11:$I$30,0),""))</f>
        <v/>
      </c>
      <c r="F69" s="31">
        <f>IF(E69="","",COUNTIF($E$2:E69,E69))</f>
        <v/>
      </c>
      <c r="G69" s="31">
        <f>IF(E69="","",E69*1000+F69)</f>
        <v/>
      </c>
      <c r="H69" s="31">
        <f>設定!$B$7</f>
        <v/>
      </c>
      <c r="I69" s="31">
        <f>IF(AND(C69&lt;&gt;"",D69=""),1,0)</f>
        <v/>
      </c>
      <c r="J69" s="31">
        <f>IF(AND(D69&lt;&gt;"",E69=""),1,0)</f>
        <v/>
      </c>
    </row>
    <row r="70">
      <c r="A70" s="31">
        <f>IF('6年'!E28="","",設定!$C$12)</f>
        <v/>
      </c>
      <c r="B70" s="31">
        <f>IF('6年'!E28="","",'6年'!D28)</f>
        <v/>
      </c>
      <c r="C70" s="31">
        <f>IF('6年'!E28="","",'6年'!E28)</f>
        <v/>
      </c>
      <c r="D70" s="31">
        <f>IF('6年'!E28="","",'6年'!F28&amp;"")</f>
        <v/>
      </c>
      <c r="E70" s="31">
        <f>IF(D70="","",IFERROR(MATCH(D70,設定!$I$11:$I$30,0),""))</f>
        <v/>
      </c>
      <c r="F70" s="31">
        <f>IF(E70="","",COUNTIF($E$2:E70,E70))</f>
        <v/>
      </c>
      <c r="G70" s="31">
        <f>IF(E70="","",E70*1000+F70)</f>
        <v/>
      </c>
      <c r="H70" s="31">
        <f>設定!$B$7</f>
        <v/>
      </c>
      <c r="I70" s="31">
        <f>IF(AND(C70&lt;&gt;"",D70=""),1,0)</f>
        <v/>
      </c>
      <c r="J70" s="31">
        <f>IF(AND(D70&lt;&gt;"",E70=""),1,0)</f>
        <v/>
      </c>
    </row>
    <row r="71">
      <c r="A71" s="31">
        <f>IF('6年'!E29="","",設定!$C$12)</f>
        <v/>
      </c>
      <c r="B71" s="31">
        <f>IF('6年'!E29="","",'6年'!D29)</f>
        <v/>
      </c>
      <c r="C71" s="31">
        <f>IF('6年'!E29="","",'6年'!E29)</f>
        <v/>
      </c>
      <c r="D71" s="31">
        <f>IF('6年'!E29="","",'6年'!F29&amp;"")</f>
        <v/>
      </c>
      <c r="E71" s="31">
        <f>IF(D71="","",IFERROR(MATCH(D71,設定!$I$11:$I$30,0),""))</f>
        <v/>
      </c>
      <c r="F71" s="31">
        <f>IF(E71="","",COUNTIF($E$2:E71,E71))</f>
        <v/>
      </c>
      <c r="G71" s="31">
        <f>IF(E71="","",E71*1000+F71)</f>
        <v/>
      </c>
      <c r="H71" s="31">
        <f>設定!$B$7</f>
        <v/>
      </c>
      <c r="I71" s="31">
        <f>IF(AND(C71&lt;&gt;"",D71=""),1,0)</f>
        <v/>
      </c>
      <c r="J71" s="31">
        <f>IF(AND(D71&lt;&gt;"",E71=""),1,0)</f>
        <v/>
      </c>
    </row>
    <row r="72">
      <c r="A72" s="31">
        <f>IF('6年'!E30="","",設定!$C$12)</f>
        <v/>
      </c>
      <c r="B72" s="31">
        <f>IF('6年'!E30="","",'6年'!D30)</f>
        <v/>
      </c>
      <c r="C72" s="31">
        <f>IF('6年'!E30="","",'6年'!E30)</f>
        <v/>
      </c>
      <c r="D72" s="31">
        <f>IF('6年'!E30="","",'6年'!F30&amp;"")</f>
        <v/>
      </c>
      <c r="E72" s="31">
        <f>IF(D72="","",IFERROR(MATCH(D72,設定!$I$11:$I$30,0),""))</f>
        <v/>
      </c>
      <c r="F72" s="31">
        <f>IF(E72="","",COUNTIF($E$2:E72,E72))</f>
        <v/>
      </c>
      <c r="G72" s="31">
        <f>IF(E72="","",E72*1000+F72)</f>
        <v/>
      </c>
      <c r="H72" s="31">
        <f>設定!$B$7</f>
        <v/>
      </c>
      <c r="I72" s="31">
        <f>IF(AND(C72&lt;&gt;"",D72=""),1,0)</f>
        <v/>
      </c>
      <c r="J72" s="31">
        <f>IF(AND(D72&lt;&gt;"",E72=""),1,0)</f>
        <v/>
      </c>
    </row>
    <row r="73">
      <c r="A73" s="31">
        <f>IF('6年'!E31="","",設定!$C$12)</f>
        <v/>
      </c>
      <c r="B73" s="31">
        <f>IF('6年'!E31="","",'6年'!D31)</f>
        <v/>
      </c>
      <c r="C73" s="31">
        <f>IF('6年'!E31="","",'6年'!E31)</f>
        <v/>
      </c>
      <c r="D73" s="31">
        <f>IF('6年'!E31="","",'6年'!F31&amp;"")</f>
        <v/>
      </c>
      <c r="E73" s="31">
        <f>IF(D73="","",IFERROR(MATCH(D73,設定!$I$11:$I$30,0),""))</f>
        <v/>
      </c>
      <c r="F73" s="31">
        <f>IF(E73="","",COUNTIF($E$2:E73,E73))</f>
        <v/>
      </c>
      <c r="G73" s="31">
        <f>IF(E73="","",E73*1000+F73)</f>
        <v/>
      </c>
      <c r="H73" s="31">
        <f>設定!$B$7</f>
        <v/>
      </c>
      <c r="I73" s="31">
        <f>IF(AND(C73&lt;&gt;"",D73=""),1,0)</f>
        <v/>
      </c>
      <c r="J73" s="31">
        <f>IF(AND(D73&lt;&gt;"",E73=""),1,0)</f>
        <v/>
      </c>
    </row>
    <row r="74">
      <c r="A74" s="31">
        <f>IF('6年'!E32="","",設定!$C$12)</f>
        <v/>
      </c>
      <c r="B74" s="31">
        <f>IF('6年'!E32="","",'6年'!D32)</f>
        <v/>
      </c>
      <c r="C74" s="31">
        <f>IF('6年'!E32="","",'6年'!E32)</f>
        <v/>
      </c>
      <c r="D74" s="31">
        <f>IF('6年'!E32="","",'6年'!F32&amp;"")</f>
        <v/>
      </c>
      <c r="E74" s="31">
        <f>IF(D74="","",IFERROR(MATCH(D74,設定!$I$11:$I$30,0),""))</f>
        <v/>
      </c>
      <c r="F74" s="31">
        <f>IF(E74="","",COUNTIF($E$2:E74,E74))</f>
        <v/>
      </c>
      <c r="G74" s="31">
        <f>IF(E74="","",E74*1000+F74)</f>
        <v/>
      </c>
      <c r="H74" s="31">
        <f>設定!$B$7</f>
        <v/>
      </c>
      <c r="I74" s="31">
        <f>IF(AND(C74&lt;&gt;"",D74=""),1,0)</f>
        <v/>
      </c>
      <c r="J74" s="31">
        <f>IF(AND(D74&lt;&gt;"",E74=""),1,0)</f>
        <v/>
      </c>
    </row>
    <row r="75">
      <c r="A75" s="31">
        <f>IF('6年'!E33="","",設定!$C$12)</f>
        <v/>
      </c>
      <c r="B75" s="31">
        <f>IF('6年'!E33="","",'6年'!D33)</f>
        <v/>
      </c>
      <c r="C75" s="31">
        <f>IF('6年'!E33="","",'6年'!E33)</f>
        <v/>
      </c>
      <c r="D75" s="31">
        <f>IF('6年'!E33="","",'6年'!F33&amp;"")</f>
        <v/>
      </c>
      <c r="E75" s="31">
        <f>IF(D75="","",IFERROR(MATCH(D75,設定!$I$11:$I$30,0),""))</f>
        <v/>
      </c>
      <c r="F75" s="31">
        <f>IF(E75="","",COUNTIF($E$2:E75,E75))</f>
        <v/>
      </c>
      <c r="G75" s="31">
        <f>IF(E75="","",E75*1000+F75)</f>
        <v/>
      </c>
      <c r="H75" s="31">
        <f>設定!$B$7</f>
        <v/>
      </c>
      <c r="I75" s="31">
        <f>IF(AND(C75&lt;&gt;"",D75=""),1,0)</f>
        <v/>
      </c>
      <c r="J75" s="31">
        <f>IF(AND(D75&lt;&gt;"",E75=""),1,0)</f>
        <v/>
      </c>
    </row>
    <row r="76">
      <c r="A76" s="31">
        <f>IF('6年'!E34="","",設定!$C$12)</f>
        <v/>
      </c>
      <c r="B76" s="31">
        <f>IF('6年'!E34="","",'6年'!D34)</f>
        <v/>
      </c>
      <c r="C76" s="31">
        <f>IF('6年'!E34="","",'6年'!E34)</f>
        <v/>
      </c>
      <c r="D76" s="31">
        <f>IF('6年'!E34="","",'6年'!F34&amp;"")</f>
        <v/>
      </c>
      <c r="E76" s="31">
        <f>IF(D76="","",IFERROR(MATCH(D76,設定!$I$11:$I$30,0),""))</f>
        <v/>
      </c>
      <c r="F76" s="31">
        <f>IF(E76="","",COUNTIF($E$2:E76,E76))</f>
        <v/>
      </c>
      <c r="G76" s="31">
        <f>IF(E76="","",E76*1000+F76)</f>
        <v/>
      </c>
      <c r="H76" s="31">
        <f>設定!$B$7</f>
        <v/>
      </c>
      <c r="I76" s="31">
        <f>IF(AND(C76&lt;&gt;"",D76=""),1,0)</f>
        <v/>
      </c>
      <c r="J76" s="31">
        <f>IF(AND(D76&lt;&gt;"",E76=""),1,0)</f>
        <v/>
      </c>
    </row>
    <row r="77">
      <c r="A77" s="31">
        <f>IF('6年'!E35="","",設定!$C$12)</f>
        <v/>
      </c>
      <c r="B77" s="31">
        <f>IF('6年'!E35="","",'6年'!D35)</f>
        <v/>
      </c>
      <c r="C77" s="31">
        <f>IF('6年'!E35="","",'6年'!E35)</f>
        <v/>
      </c>
      <c r="D77" s="31">
        <f>IF('6年'!E35="","",'6年'!F35&amp;"")</f>
        <v/>
      </c>
      <c r="E77" s="31">
        <f>IF(D77="","",IFERROR(MATCH(D77,設定!$I$11:$I$30,0),""))</f>
        <v/>
      </c>
      <c r="F77" s="31">
        <f>IF(E77="","",COUNTIF($E$2:E77,E77))</f>
        <v/>
      </c>
      <c r="G77" s="31">
        <f>IF(E77="","",E77*1000+F77)</f>
        <v/>
      </c>
      <c r="H77" s="31">
        <f>設定!$B$7</f>
        <v/>
      </c>
      <c r="I77" s="31">
        <f>IF(AND(C77&lt;&gt;"",D77=""),1,0)</f>
        <v/>
      </c>
      <c r="J77" s="31">
        <f>IF(AND(D77&lt;&gt;"",E77=""),1,0)</f>
        <v/>
      </c>
    </row>
    <row r="78">
      <c r="A78" s="31">
        <f>IF('6年'!E36="","",設定!$C$12)</f>
        <v/>
      </c>
      <c r="B78" s="31">
        <f>IF('6年'!E36="","",'6年'!D36)</f>
        <v/>
      </c>
      <c r="C78" s="31">
        <f>IF('6年'!E36="","",'6年'!E36)</f>
        <v/>
      </c>
      <c r="D78" s="31">
        <f>IF('6年'!E36="","",'6年'!F36&amp;"")</f>
        <v/>
      </c>
      <c r="E78" s="31">
        <f>IF(D78="","",IFERROR(MATCH(D78,設定!$I$11:$I$30,0),""))</f>
        <v/>
      </c>
      <c r="F78" s="31">
        <f>IF(E78="","",COUNTIF($E$2:E78,E78))</f>
        <v/>
      </c>
      <c r="G78" s="31">
        <f>IF(E78="","",E78*1000+F78)</f>
        <v/>
      </c>
      <c r="H78" s="31">
        <f>設定!$B$7</f>
        <v/>
      </c>
      <c r="I78" s="31">
        <f>IF(AND(C78&lt;&gt;"",D78=""),1,0)</f>
        <v/>
      </c>
      <c r="J78" s="31">
        <f>IF(AND(D78&lt;&gt;"",E78=""),1,0)</f>
        <v/>
      </c>
    </row>
    <row r="79">
      <c r="A79" s="31">
        <f>IF('6年'!E37="","",設定!$C$12)</f>
        <v/>
      </c>
      <c r="B79" s="31">
        <f>IF('6年'!E37="","",'6年'!D37)</f>
        <v/>
      </c>
      <c r="C79" s="31">
        <f>IF('6年'!E37="","",'6年'!E37)</f>
        <v/>
      </c>
      <c r="D79" s="31">
        <f>IF('6年'!E37="","",'6年'!F37&amp;"")</f>
        <v/>
      </c>
      <c r="E79" s="31">
        <f>IF(D79="","",IFERROR(MATCH(D79,設定!$I$11:$I$30,0),""))</f>
        <v/>
      </c>
      <c r="F79" s="31">
        <f>IF(E79="","",COUNTIF($E$2:E79,E79))</f>
        <v/>
      </c>
      <c r="G79" s="31">
        <f>IF(E79="","",E79*1000+F79)</f>
        <v/>
      </c>
      <c r="H79" s="31">
        <f>設定!$B$7</f>
        <v/>
      </c>
      <c r="I79" s="31">
        <f>IF(AND(C79&lt;&gt;"",D79=""),1,0)</f>
        <v/>
      </c>
      <c r="J79" s="31">
        <f>IF(AND(D79&lt;&gt;"",E79=""),1,0)</f>
        <v/>
      </c>
    </row>
    <row r="80">
      <c r="A80" s="31">
        <f>IF('6年'!E38="","",設定!$C$12)</f>
        <v/>
      </c>
      <c r="B80" s="31">
        <f>IF('6年'!E38="","",'6年'!D38)</f>
        <v/>
      </c>
      <c r="C80" s="31">
        <f>IF('6年'!E38="","",'6年'!E38)</f>
        <v/>
      </c>
      <c r="D80" s="31">
        <f>IF('6年'!E38="","",'6年'!F38&amp;"")</f>
        <v/>
      </c>
      <c r="E80" s="31">
        <f>IF(D80="","",IFERROR(MATCH(D80,設定!$I$11:$I$30,0),""))</f>
        <v/>
      </c>
      <c r="F80" s="31">
        <f>IF(E80="","",COUNTIF($E$2:E80,E80))</f>
        <v/>
      </c>
      <c r="G80" s="31">
        <f>IF(E80="","",E80*1000+F80)</f>
        <v/>
      </c>
      <c r="H80" s="31">
        <f>設定!$B$7</f>
        <v/>
      </c>
      <c r="I80" s="31">
        <f>IF(AND(C80&lt;&gt;"",D80=""),1,0)</f>
        <v/>
      </c>
      <c r="J80" s="31">
        <f>IF(AND(D80&lt;&gt;"",E80=""),1,0)</f>
        <v/>
      </c>
    </row>
    <row r="81">
      <c r="A81" s="31">
        <f>IF('6年'!E39="","",設定!$C$12)</f>
        <v/>
      </c>
      <c r="B81" s="31">
        <f>IF('6年'!E39="","",'6年'!D39)</f>
        <v/>
      </c>
      <c r="C81" s="31">
        <f>IF('6年'!E39="","",'6年'!E39)</f>
        <v/>
      </c>
      <c r="D81" s="31">
        <f>IF('6年'!E39="","",'6年'!F39&amp;"")</f>
        <v/>
      </c>
      <c r="E81" s="31">
        <f>IF(D81="","",IFERROR(MATCH(D81,設定!$I$11:$I$30,0),""))</f>
        <v/>
      </c>
      <c r="F81" s="31">
        <f>IF(E81="","",COUNTIF($E$2:E81,E81))</f>
        <v/>
      </c>
      <c r="G81" s="31">
        <f>IF(E81="","",E81*1000+F81)</f>
        <v/>
      </c>
      <c r="H81" s="31">
        <f>設定!$B$7</f>
        <v/>
      </c>
      <c r="I81" s="31">
        <f>IF(AND(C81&lt;&gt;"",D81=""),1,0)</f>
        <v/>
      </c>
      <c r="J81" s="31">
        <f>IF(AND(D81&lt;&gt;"",E81=""),1,0)</f>
        <v/>
      </c>
    </row>
    <row r="82">
      <c r="A82" s="31">
        <f>IF('6年'!E40="","",設定!$C$12)</f>
        <v/>
      </c>
      <c r="B82" s="31">
        <f>IF('6年'!E40="","",'6年'!D40)</f>
        <v/>
      </c>
      <c r="C82" s="31">
        <f>IF('6年'!E40="","",'6年'!E40)</f>
        <v/>
      </c>
      <c r="D82" s="31">
        <f>IF('6年'!E40="","",'6年'!F40&amp;"")</f>
        <v/>
      </c>
      <c r="E82" s="31">
        <f>IF(D82="","",IFERROR(MATCH(D82,設定!$I$11:$I$30,0),""))</f>
        <v/>
      </c>
      <c r="F82" s="31">
        <f>IF(E82="","",COUNTIF($E$2:E82,E82))</f>
        <v/>
      </c>
      <c r="G82" s="31">
        <f>IF(E82="","",E82*1000+F82)</f>
        <v/>
      </c>
      <c r="H82" s="31">
        <f>設定!$B$7</f>
        <v/>
      </c>
      <c r="I82" s="31">
        <f>IF(AND(C82&lt;&gt;"",D82=""),1,0)</f>
        <v/>
      </c>
      <c r="J82" s="31">
        <f>IF(AND(D82&lt;&gt;"",E82=""),1,0)</f>
        <v/>
      </c>
    </row>
    <row r="83">
      <c r="A83" s="31">
        <f>IF('6年'!E41="","",設定!$C$12)</f>
        <v/>
      </c>
      <c r="B83" s="31">
        <f>IF('6年'!E41="","",'6年'!D41)</f>
        <v/>
      </c>
      <c r="C83" s="31">
        <f>IF('6年'!E41="","",'6年'!E41)</f>
        <v/>
      </c>
      <c r="D83" s="31">
        <f>IF('6年'!E41="","",'6年'!F41&amp;"")</f>
        <v/>
      </c>
      <c r="E83" s="31">
        <f>IF(D83="","",IFERROR(MATCH(D83,設定!$I$11:$I$30,0),""))</f>
        <v/>
      </c>
      <c r="F83" s="31">
        <f>IF(E83="","",COUNTIF($E$2:E83,E83))</f>
        <v/>
      </c>
      <c r="G83" s="31">
        <f>IF(E83="","",E83*1000+F83)</f>
        <v/>
      </c>
      <c r="H83" s="31">
        <f>設定!$B$7</f>
        <v/>
      </c>
      <c r="I83" s="31">
        <f>IF(AND(C83&lt;&gt;"",D83=""),1,0)</f>
        <v/>
      </c>
      <c r="J83" s="31">
        <f>IF(AND(D83&lt;&gt;"",E83=""),1,0)</f>
        <v/>
      </c>
    </row>
    <row r="84">
      <c r="A84" s="31">
        <f>IF('6年'!E42="","",設定!$C$12)</f>
        <v/>
      </c>
      <c r="B84" s="31">
        <f>IF('6年'!E42="","",'6年'!D42)</f>
        <v/>
      </c>
      <c r="C84" s="31">
        <f>IF('6年'!E42="","",'6年'!E42)</f>
        <v/>
      </c>
      <c r="D84" s="31">
        <f>IF('6年'!E42="","",'6年'!F42&amp;"")</f>
        <v/>
      </c>
      <c r="E84" s="31">
        <f>IF(D84="","",IFERROR(MATCH(D84,設定!$I$11:$I$30,0),""))</f>
        <v/>
      </c>
      <c r="F84" s="31">
        <f>IF(E84="","",COUNTIF($E$2:E84,E84))</f>
        <v/>
      </c>
      <c r="G84" s="31">
        <f>IF(E84="","",E84*1000+F84)</f>
        <v/>
      </c>
      <c r="H84" s="31">
        <f>設定!$B$7</f>
        <v/>
      </c>
      <c r="I84" s="31">
        <f>IF(AND(C84&lt;&gt;"",D84=""),1,0)</f>
        <v/>
      </c>
      <c r="J84" s="31">
        <f>IF(AND(D84&lt;&gt;"",E84=""),1,0)</f>
        <v/>
      </c>
    </row>
    <row r="85">
      <c r="A85" s="31">
        <f>IF('6年'!E43="","",設定!$C$12)</f>
        <v/>
      </c>
      <c r="B85" s="31">
        <f>IF('6年'!E43="","",'6年'!D43)</f>
        <v/>
      </c>
      <c r="C85" s="31">
        <f>IF('6年'!E43="","",'6年'!E43)</f>
        <v/>
      </c>
      <c r="D85" s="31">
        <f>IF('6年'!E43="","",'6年'!F43&amp;"")</f>
        <v/>
      </c>
      <c r="E85" s="31">
        <f>IF(D85="","",IFERROR(MATCH(D85,設定!$I$11:$I$30,0),""))</f>
        <v/>
      </c>
      <c r="F85" s="31">
        <f>IF(E85="","",COUNTIF($E$2:E85,E85))</f>
        <v/>
      </c>
      <c r="G85" s="31">
        <f>IF(E85="","",E85*1000+F85)</f>
        <v/>
      </c>
      <c r="H85" s="31">
        <f>設定!$B$7</f>
        <v/>
      </c>
      <c r="I85" s="31">
        <f>IF(AND(C85&lt;&gt;"",D85=""),1,0)</f>
        <v/>
      </c>
      <c r="J85" s="31">
        <f>IF(AND(D85&lt;&gt;"",E85=""),1,0)</f>
        <v/>
      </c>
    </row>
    <row r="86">
      <c r="A86" s="31">
        <f>IF('6年'!E44="","",設定!$C$12)</f>
        <v/>
      </c>
      <c r="B86" s="31">
        <f>IF('6年'!E44="","",'6年'!D44)</f>
        <v/>
      </c>
      <c r="C86" s="31">
        <f>IF('6年'!E44="","",'6年'!E44)</f>
        <v/>
      </c>
      <c r="D86" s="31">
        <f>IF('6年'!E44="","",'6年'!F44&amp;"")</f>
        <v/>
      </c>
      <c r="E86" s="31">
        <f>IF(D86="","",IFERROR(MATCH(D86,設定!$I$11:$I$30,0),""))</f>
        <v/>
      </c>
      <c r="F86" s="31">
        <f>IF(E86="","",COUNTIF($E$2:E86,E86))</f>
        <v/>
      </c>
      <c r="G86" s="31">
        <f>IF(E86="","",E86*1000+F86)</f>
        <v/>
      </c>
      <c r="H86" s="31">
        <f>設定!$B$7</f>
        <v/>
      </c>
      <c r="I86" s="31">
        <f>IF(AND(C86&lt;&gt;"",D86=""),1,0)</f>
        <v/>
      </c>
      <c r="J86" s="31">
        <f>IF(AND(D86&lt;&gt;"",E86=""),1,0)</f>
        <v/>
      </c>
    </row>
    <row r="87">
      <c r="A87" s="31">
        <f>IF('6年'!E45="","",設定!$C$12)</f>
        <v/>
      </c>
      <c r="B87" s="31">
        <f>IF('6年'!E45="","",'6年'!D45)</f>
        <v/>
      </c>
      <c r="C87" s="31">
        <f>IF('6年'!E45="","",'6年'!E45)</f>
        <v/>
      </c>
      <c r="D87" s="31">
        <f>IF('6年'!E45="","",'6年'!F45&amp;"")</f>
        <v/>
      </c>
      <c r="E87" s="31">
        <f>IF(D87="","",IFERROR(MATCH(D87,設定!$I$11:$I$30,0),""))</f>
        <v/>
      </c>
      <c r="F87" s="31">
        <f>IF(E87="","",COUNTIF($E$2:E87,E87))</f>
        <v/>
      </c>
      <c r="G87" s="31">
        <f>IF(E87="","",E87*1000+F87)</f>
        <v/>
      </c>
      <c r="H87" s="31">
        <f>設定!$B$7</f>
        <v/>
      </c>
      <c r="I87" s="31">
        <f>IF(AND(C87&lt;&gt;"",D87=""),1,0)</f>
        <v/>
      </c>
      <c r="J87" s="31">
        <f>IF(AND(D87&lt;&gt;"",E87=""),1,0)</f>
        <v/>
      </c>
    </row>
    <row r="88">
      <c r="A88" s="31">
        <f>IF('6年'!E46="","",設定!$C$12)</f>
        <v/>
      </c>
      <c r="B88" s="31">
        <f>IF('6年'!E46="","",'6年'!D46)</f>
        <v/>
      </c>
      <c r="C88" s="31">
        <f>IF('6年'!E46="","",'6年'!E46)</f>
        <v/>
      </c>
      <c r="D88" s="31">
        <f>IF('6年'!E46="","",'6年'!F46&amp;"")</f>
        <v/>
      </c>
      <c r="E88" s="31">
        <f>IF(D88="","",IFERROR(MATCH(D88,設定!$I$11:$I$30,0),""))</f>
        <v/>
      </c>
      <c r="F88" s="31">
        <f>IF(E88="","",COUNTIF($E$2:E88,E88))</f>
        <v/>
      </c>
      <c r="G88" s="31">
        <f>IF(E88="","",E88*1000+F88)</f>
        <v/>
      </c>
      <c r="H88" s="31">
        <f>設定!$B$7</f>
        <v/>
      </c>
      <c r="I88" s="31">
        <f>IF(AND(C88&lt;&gt;"",D88=""),1,0)</f>
        <v/>
      </c>
      <c r="J88" s="31">
        <f>IF(AND(D88&lt;&gt;"",E88=""),1,0)</f>
        <v/>
      </c>
    </row>
    <row r="89">
      <c r="A89" s="31">
        <f>IF('6年'!E47="","",設定!$C$12)</f>
        <v/>
      </c>
      <c r="B89" s="31">
        <f>IF('6年'!E47="","",'6年'!D47)</f>
        <v/>
      </c>
      <c r="C89" s="31">
        <f>IF('6年'!E47="","",'6年'!E47)</f>
        <v/>
      </c>
      <c r="D89" s="31">
        <f>IF('6年'!E47="","",'6年'!F47&amp;"")</f>
        <v/>
      </c>
      <c r="E89" s="31">
        <f>IF(D89="","",IFERROR(MATCH(D89,設定!$I$11:$I$30,0),""))</f>
        <v/>
      </c>
      <c r="F89" s="31">
        <f>IF(E89="","",COUNTIF($E$2:E89,E89))</f>
        <v/>
      </c>
      <c r="G89" s="31">
        <f>IF(E89="","",E89*1000+F89)</f>
        <v/>
      </c>
      <c r="H89" s="31">
        <f>設定!$B$7</f>
        <v/>
      </c>
      <c r="I89" s="31">
        <f>IF(AND(C89&lt;&gt;"",D89=""),1,0)</f>
        <v/>
      </c>
      <c r="J89" s="31">
        <f>IF(AND(D89&lt;&gt;"",E89=""),1,0)</f>
        <v/>
      </c>
    </row>
    <row r="90">
      <c r="A90" s="31">
        <f>IF('6年'!E48="","",設定!$C$12)</f>
        <v/>
      </c>
      <c r="B90" s="31">
        <f>IF('6年'!E48="","",'6年'!D48)</f>
        <v/>
      </c>
      <c r="C90" s="31">
        <f>IF('6年'!E48="","",'6年'!E48)</f>
        <v/>
      </c>
      <c r="D90" s="31">
        <f>IF('6年'!E48="","",'6年'!F48&amp;"")</f>
        <v/>
      </c>
      <c r="E90" s="31">
        <f>IF(D90="","",IFERROR(MATCH(D90,設定!$I$11:$I$30,0),""))</f>
        <v/>
      </c>
      <c r="F90" s="31">
        <f>IF(E90="","",COUNTIF($E$2:E90,E90))</f>
        <v/>
      </c>
      <c r="G90" s="31">
        <f>IF(E90="","",E90*1000+F90)</f>
        <v/>
      </c>
      <c r="H90" s="31">
        <f>設定!$B$7</f>
        <v/>
      </c>
      <c r="I90" s="31">
        <f>IF(AND(C90&lt;&gt;"",D90=""),1,0)</f>
        <v/>
      </c>
      <c r="J90" s="31">
        <f>IF(AND(D90&lt;&gt;"",E90=""),1,0)</f>
        <v/>
      </c>
    </row>
    <row r="91">
      <c r="A91" s="31">
        <f>IF('6年'!E49="","",設定!$C$12)</f>
        <v/>
      </c>
      <c r="B91" s="31">
        <f>IF('6年'!E49="","",'6年'!D49)</f>
        <v/>
      </c>
      <c r="C91" s="31">
        <f>IF('6年'!E49="","",'6年'!E49)</f>
        <v/>
      </c>
      <c r="D91" s="31">
        <f>IF('6年'!E49="","",'6年'!F49&amp;"")</f>
        <v/>
      </c>
      <c r="E91" s="31">
        <f>IF(D91="","",IFERROR(MATCH(D91,設定!$I$11:$I$30,0),""))</f>
        <v/>
      </c>
      <c r="F91" s="31">
        <f>IF(E91="","",COUNTIF($E$2:E91,E91))</f>
        <v/>
      </c>
      <c r="G91" s="31">
        <f>IF(E91="","",E91*1000+F91)</f>
        <v/>
      </c>
      <c r="H91" s="31">
        <f>設定!$B$7</f>
        <v/>
      </c>
      <c r="I91" s="31">
        <f>IF(AND(C91&lt;&gt;"",D91=""),1,0)</f>
        <v/>
      </c>
      <c r="J91" s="31">
        <f>IF(AND(D91&lt;&gt;"",E91=""),1,0)</f>
        <v/>
      </c>
    </row>
    <row r="92">
      <c r="A92" s="31">
        <f>IF('6年'!H5="","",設定!$C$13)</f>
        <v/>
      </c>
      <c r="B92" s="31">
        <f>IF('6年'!H5="","",'6年'!G5)</f>
        <v/>
      </c>
      <c r="C92" s="31">
        <f>IF('6年'!H5="","",'6年'!H5)</f>
        <v/>
      </c>
      <c r="D92" s="31">
        <f>IF('6年'!H5="","",'6年'!I5&amp;"")</f>
        <v/>
      </c>
      <c r="E92" s="31">
        <f>IF(D92="","",IFERROR(MATCH(D92,設定!$I$11:$I$30,0),""))</f>
        <v/>
      </c>
      <c r="F92" s="31">
        <f>IF(E92="","",COUNTIF($E$2:E92,E92))</f>
        <v/>
      </c>
      <c r="G92" s="31">
        <f>IF(E92="","",E92*1000+F92)</f>
        <v/>
      </c>
      <c r="H92" s="31">
        <f>設定!$B$7</f>
        <v/>
      </c>
      <c r="I92" s="31">
        <f>IF(AND(C92&lt;&gt;"",D92=""),1,0)</f>
        <v/>
      </c>
      <c r="J92" s="31">
        <f>IF(AND(D92&lt;&gt;"",E92=""),1,0)</f>
        <v/>
      </c>
    </row>
    <row r="93">
      <c r="A93" s="31">
        <f>IF('6年'!H6="","",設定!$C$13)</f>
        <v/>
      </c>
      <c r="B93" s="31">
        <f>IF('6年'!H6="","",'6年'!G6)</f>
        <v/>
      </c>
      <c r="C93" s="31">
        <f>IF('6年'!H6="","",'6年'!H6)</f>
        <v/>
      </c>
      <c r="D93" s="31">
        <f>IF('6年'!H6="","",'6年'!I6&amp;"")</f>
        <v/>
      </c>
      <c r="E93" s="31">
        <f>IF(D93="","",IFERROR(MATCH(D93,設定!$I$11:$I$30,0),""))</f>
        <v/>
      </c>
      <c r="F93" s="31">
        <f>IF(E93="","",COUNTIF($E$2:E93,E93))</f>
        <v/>
      </c>
      <c r="G93" s="31">
        <f>IF(E93="","",E93*1000+F93)</f>
        <v/>
      </c>
      <c r="H93" s="31">
        <f>設定!$B$7</f>
        <v/>
      </c>
      <c r="I93" s="31">
        <f>IF(AND(C93&lt;&gt;"",D93=""),1,0)</f>
        <v/>
      </c>
      <c r="J93" s="31">
        <f>IF(AND(D93&lt;&gt;"",E93=""),1,0)</f>
        <v/>
      </c>
    </row>
    <row r="94">
      <c r="A94" s="31">
        <f>IF('6年'!H7="","",設定!$C$13)</f>
        <v/>
      </c>
      <c r="B94" s="31">
        <f>IF('6年'!H7="","",'6年'!G7)</f>
        <v/>
      </c>
      <c r="C94" s="31">
        <f>IF('6年'!H7="","",'6年'!H7)</f>
        <v/>
      </c>
      <c r="D94" s="31">
        <f>IF('6年'!H7="","",'6年'!I7&amp;"")</f>
        <v/>
      </c>
      <c r="E94" s="31">
        <f>IF(D94="","",IFERROR(MATCH(D94,設定!$I$11:$I$30,0),""))</f>
        <v/>
      </c>
      <c r="F94" s="31">
        <f>IF(E94="","",COUNTIF($E$2:E94,E94))</f>
        <v/>
      </c>
      <c r="G94" s="31">
        <f>IF(E94="","",E94*1000+F94)</f>
        <v/>
      </c>
      <c r="H94" s="31">
        <f>設定!$B$7</f>
        <v/>
      </c>
      <c r="I94" s="31">
        <f>IF(AND(C94&lt;&gt;"",D94=""),1,0)</f>
        <v/>
      </c>
      <c r="J94" s="31">
        <f>IF(AND(D94&lt;&gt;"",E94=""),1,0)</f>
        <v/>
      </c>
    </row>
    <row r="95">
      <c r="A95" s="31">
        <f>IF('6年'!H8="","",設定!$C$13)</f>
        <v/>
      </c>
      <c r="B95" s="31">
        <f>IF('6年'!H8="","",'6年'!G8)</f>
        <v/>
      </c>
      <c r="C95" s="31">
        <f>IF('6年'!H8="","",'6年'!H8)</f>
        <v/>
      </c>
      <c r="D95" s="31">
        <f>IF('6年'!H8="","",'6年'!I8&amp;"")</f>
        <v/>
      </c>
      <c r="E95" s="31">
        <f>IF(D95="","",IFERROR(MATCH(D95,設定!$I$11:$I$30,0),""))</f>
        <v/>
      </c>
      <c r="F95" s="31">
        <f>IF(E95="","",COUNTIF($E$2:E95,E95))</f>
        <v/>
      </c>
      <c r="G95" s="31">
        <f>IF(E95="","",E95*1000+F95)</f>
        <v/>
      </c>
      <c r="H95" s="31">
        <f>設定!$B$7</f>
        <v/>
      </c>
      <c r="I95" s="31">
        <f>IF(AND(C95&lt;&gt;"",D95=""),1,0)</f>
        <v/>
      </c>
      <c r="J95" s="31">
        <f>IF(AND(D95&lt;&gt;"",E95=""),1,0)</f>
        <v/>
      </c>
    </row>
    <row r="96">
      <c r="A96" s="31">
        <f>IF('6年'!H9="","",設定!$C$13)</f>
        <v/>
      </c>
      <c r="B96" s="31">
        <f>IF('6年'!H9="","",'6年'!G9)</f>
        <v/>
      </c>
      <c r="C96" s="31">
        <f>IF('6年'!H9="","",'6年'!H9)</f>
        <v/>
      </c>
      <c r="D96" s="31">
        <f>IF('6年'!H9="","",'6年'!I9&amp;"")</f>
        <v/>
      </c>
      <c r="E96" s="31">
        <f>IF(D96="","",IFERROR(MATCH(D96,設定!$I$11:$I$30,0),""))</f>
        <v/>
      </c>
      <c r="F96" s="31">
        <f>IF(E96="","",COUNTIF($E$2:E96,E96))</f>
        <v/>
      </c>
      <c r="G96" s="31">
        <f>IF(E96="","",E96*1000+F96)</f>
        <v/>
      </c>
      <c r="H96" s="31">
        <f>設定!$B$7</f>
        <v/>
      </c>
      <c r="I96" s="31">
        <f>IF(AND(C96&lt;&gt;"",D96=""),1,0)</f>
        <v/>
      </c>
      <c r="J96" s="31">
        <f>IF(AND(D96&lt;&gt;"",E96=""),1,0)</f>
        <v/>
      </c>
    </row>
    <row r="97">
      <c r="A97" s="31">
        <f>IF('6年'!H10="","",設定!$C$13)</f>
        <v/>
      </c>
      <c r="B97" s="31">
        <f>IF('6年'!H10="","",'6年'!G10)</f>
        <v/>
      </c>
      <c r="C97" s="31">
        <f>IF('6年'!H10="","",'6年'!H10)</f>
        <v/>
      </c>
      <c r="D97" s="31">
        <f>IF('6年'!H10="","",'6年'!I10&amp;"")</f>
        <v/>
      </c>
      <c r="E97" s="31">
        <f>IF(D97="","",IFERROR(MATCH(D97,設定!$I$11:$I$30,0),""))</f>
        <v/>
      </c>
      <c r="F97" s="31">
        <f>IF(E97="","",COUNTIF($E$2:E97,E97))</f>
        <v/>
      </c>
      <c r="G97" s="31">
        <f>IF(E97="","",E97*1000+F97)</f>
        <v/>
      </c>
      <c r="H97" s="31">
        <f>設定!$B$7</f>
        <v/>
      </c>
      <c r="I97" s="31">
        <f>IF(AND(C97&lt;&gt;"",D97=""),1,0)</f>
        <v/>
      </c>
      <c r="J97" s="31">
        <f>IF(AND(D97&lt;&gt;"",E97=""),1,0)</f>
        <v/>
      </c>
    </row>
    <row r="98">
      <c r="A98" s="31">
        <f>IF('6年'!H11="","",設定!$C$13)</f>
        <v/>
      </c>
      <c r="B98" s="31">
        <f>IF('6年'!H11="","",'6年'!G11)</f>
        <v/>
      </c>
      <c r="C98" s="31">
        <f>IF('6年'!H11="","",'6年'!H11)</f>
        <v/>
      </c>
      <c r="D98" s="31">
        <f>IF('6年'!H11="","",'6年'!I11&amp;"")</f>
        <v/>
      </c>
      <c r="E98" s="31">
        <f>IF(D98="","",IFERROR(MATCH(D98,設定!$I$11:$I$30,0),""))</f>
        <v/>
      </c>
      <c r="F98" s="31">
        <f>IF(E98="","",COUNTIF($E$2:E98,E98))</f>
        <v/>
      </c>
      <c r="G98" s="31">
        <f>IF(E98="","",E98*1000+F98)</f>
        <v/>
      </c>
      <c r="H98" s="31">
        <f>設定!$B$7</f>
        <v/>
      </c>
      <c r="I98" s="31">
        <f>IF(AND(C98&lt;&gt;"",D98=""),1,0)</f>
        <v/>
      </c>
      <c r="J98" s="31">
        <f>IF(AND(D98&lt;&gt;"",E98=""),1,0)</f>
        <v/>
      </c>
    </row>
    <row r="99">
      <c r="A99" s="31">
        <f>IF('6年'!H12="","",設定!$C$13)</f>
        <v/>
      </c>
      <c r="B99" s="31">
        <f>IF('6年'!H12="","",'6年'!G12)</f>
        <v/>
      </c>
      <c r="C99" s="31">
        <f>IF('6年'!H12="","",'6年'!H12)</f>
        <v/>
      </c>
      <c r="D99" s="31">
        <f>IF('6年'!H12="","",'6年'!I12&amp;"")</f>
        <v/>
      </c>
      <c r="E99" s="31">
        <f>IF(D99="","",IFERROR(MATCH(D99,設定!$I$11:$I$30,0),""))</f>
        <v/>
      </c>
      <c r="F99" s="31">
        <f>IF(E99="","",COUNTIF($E$2:E99,E99))</f>
        <v/>
      </c>
      <c r="G99" s="31">
        <f>IF(E99="","",E99*1000+F99)</f>
        <v/>
      </c>
      <c r="H99" s="31">
        <f>設定!$B$7</f>
        <v/>
      </c>
      <c r="I99" s="31">
        <f>IF(AND(C99&lt;&gt;"",D99=""),1,0)</f>
        <v/>
      </c>
      <c r="J99" s="31">
        <f>IF(AND(D99&lt;&gt;"",E99=""),1,0)</f>
        <v/>
      </c>
    </row>
    <row r="100">
      <c r="A100" s="31">
        <f>IF('6年'!H13="","",設定!$C$13)</f>
        <v/>
      </c>
      <c r="B100" s="31">
        <f>IF('6年'!H13="","",'6年'!G13)</f>
        <v/>
      </c>
      <c r="C100" s="31">
        <f>IF('6年'!H13="","",'6年'!H13)</f>
        <v/>
      </c>
      <c r="D100" s="31">
        <f>IF('6年'!H13="","",'6年'!I13&amp;"")</f>
        <v/>
      </c>
      <c r="E100" s="31">
        <f>IF(D100="","",IFERROR(MATCH(D100,設定!$I$11:$I$30,0),""))</f>
        <v/>
      </c>
      <c r="F100" s="31">
        <f>IF(E100="","",COUNTIF($E$2:E100,E100))</f>
        <v/>
      </c>
      <c r="G100" s="31">
        <f>IF(E100="","",E100*1000+F100)</f>
        <v/>
      </c>
      <c r="H100" s="31">
        <f>設定!$B$7</f>
        <v/>
      </c>
      <c r="I100" s="31">
        <f>IF(AND(C100&lt;&gt;"",D100=""),1,0)</f>
        <v/>
      </c>
      <c r="J100" s="31">
        <f>IF(AND(D100&lt;&gt;"",E100=""),1,0)</f>
        <v/>
      </c>
    </row>
    <row r="101">
      <c r="A101" s="31">
        <f>IF('6年'!H14="","",設定!$C$13)</f>
        <v/>
      </c>
      <c r="B101" s="31">
        <f>IF('6年'!H14="","",'6年'!G14)</f>
        <v/>
      </c>
      <c r="C101" s="31">
        <f>IF('6年'!H14="","",'6年'!H14)</f>
        <v/>
      </c>
      <c r="D101" s="31">
        <f>IF('6年'!H14="","",'6年'!I14&amp;"")</f>
        <v/>
      </c>
      <c r="E101" s="31">
        <f>IF(D101="","",IFERROR(MATCH(D101,設定!$I$11:$I$30,0),""))</f>
        <v/>
      </c>
      <c r="F101" s="31">
        <f>IF(E101="","",COUNTIF($E$2:E101,E101))</f>
        <v/>
      </c>
      <c r="G101" s="31">
        <f>IF(E101="","",E101*1000+F101)</f>
        <v/>
      </c>
      <c r="H101" s="31">
        <f>設定!$B$7</f>
        <v/>
      </c>
      <c r="I101" s="31">
        <f>IF(AND(C101&lt;&gt;"",D101=""),1,0)</f>
        <v/>
      </c>
      <c r="J101" s="31">
        <f>IF(AND(D101&lt;&gt;"",E101=""),1,0)</f>
        <v/>
      </c>
    </row>
    <row r="102">
      <c r="A102" s="31">
        <f>IF('6年'!H15="","",設定!$C$13)</f>
        <v/>
      </c>
      <c r="B102" s="31">
        <f>IF('6年'!H15="","",'6年'!G15)</f>
        <v/>
      </c>
      <c r="C102" s="31">
        <f>IF('6年'!H15="","",'6年'!H15)</f>
        <v/>
      </c>
      <c r="D102" s="31">
        <f>IF('6年'!H15="","",'6年'!I15&amp;"")</f>
        <v/>
      </c>
      <c r="E102" s="31">
        <f>IF(D102="","",IFERROR(MATCH(D102,設定!$I$11:$I$30,0),""))</f>
        <v/>
      </c>
      <c r="F102" s="31">
        <f>IF(E102="","",COUNTIF($E$2:E102,E102))</f>
        <v/>
      </c>
      <c r="G102" s="31">
        <f>IF(E102="","",E102*1000+F102)</f>
        <v/>
      </c>
      <c r="H102" s="31">
        <f>設定!$B$7</f>
        <v/>
      </c>
      <c r="I102" s="31">
        <f>IF(AND(C102&lt;&gt;"",D102=""),1,0)</f>
        <v/>
      </c>
      <c r="J102" s="31">
        <f>IF(AND(D102&lt;&gt;"",E102=""),1,0)</f>
        <v/>
      </c>
    </row>
    <row r="103">
      <c r="A103" s="31">
        <f>IF('6年'!H16="","",設定!$C$13)</f>
        <v/>
      </c>
      <c r="B103" s="31">
        <f>IF('6年'!H16="","",'6年'!G16)</f>
        <v/>
      </c>
      <c r="C103" s="31">
        <f>IF('6年'!H16="","",'6年'!H16)</f>
        <v/>
      </c>
      <c r="D103" s="31">
        <f>IF('6年'!H16="","",'6年'!I16&amp;"")</f>
        <v/>
      </c>
      <c r="E103" s="31">
        <f>IF(D103="","",IFERROR(MATCH(D103,設定!$I$11:$I$30,0),""))</f>
        <v/>
      </c>
      <c r="F103" s="31">
        <f>IF(E103="","",COUNTIF($E$2:E103,E103))</f>
        <v/>
      </c>
      <c r="G103" s="31">
        <f>IF(E103="","",E103*1000+F103)</f>
        <v/>
      </c>
      <c r="H103" s="31">
        <f>設定!$B$7</f>
        <v/>
      </c>
      <c r="I103" s="31">
        <f>IF(AND(C103&lt;&gt;"",D103=""),1,0)</f>
        <v/>
      </c>
      <c r="J103" s="31">
        <f>IF(AND(D103&lt;&gt;"",E103=""),1,0)</f>
        <v/>
      </c>
    </row>
    <row r="104">
      <c r="A104" s="31">
        <f>IF('6年'!H17="","",設定!$C$13)</f>
        <v/>
      </c>
      <c r="B104" s="31">
        <f>IF('6年'!H17="","",'6年'!G17)</f>
        <v/>
      </c>
      <c r="C104" s="31">
        <f>IF('6年'!H17="","",'6年'!H17)</f>
        <v/>
      </c>
      <c r="D104" s="31">
        <f>IF('6年'!H17="","",'6年'!I17&amp;"")</f>
        <v/>
      </c>
      <c r="E104" s="31">
        <f>IF(D104="","",IFERROR(MATCH(D104,設定!$I$11:$I$30,0),""))</f>
        <v/>
      </c>
      <c r="F104" s="31">
        <f>IF(E104="","",COUNTIF($E$2:E104,E104))</f>
        <v/>
      </c>
      <c r="G104" s="31">
        <f>IF(E104="","",E104*1000+F104)</f>
        <v/>
      </c>
      <c r="H104" s="31">
        <f>設定!$B$7</f>
        <v/>
      </c>
      <c r="I104" s="31">
        <f>IF(AND(C104&lt;&gt;"",D104=""),1,0)</f>
        <v/>
      </c>
      <c r="J104" s="31">
        <f>IF(AND(D104&lt;&gt;"",E104=""),1,0)</f>
        <v/>
      </c>
    </row>
    <row r="105">
      <c r="A105" s="31">
        <f>IF('6年'!H18="","",設定!$C$13)</f>
        <v/>
      </c>
      <c r="B105" s="31">
        <f>IF('6年'!H18="","",'6年'!G18)</f>
        <v/>
      </c>
      <c r="C105" s="31">
        <f>IF('6年'!H18="","",'6年'!H18)</f>
        <v/>
      </c>
      <c r="D105" s="31">
        <f>IF('6年'!H18="","",'6年'!I18&amp;"")</f>
        <v/>
      </c>
      <c r="E105" s="31">
        <f>IF(D105="","",IFERROR(MATCH(D105,設定!$I$11:$I$30,0),""))</f>
        <v/>
      </c>
      <c r="F105" s="31">
        <f>IF(E105="","",COUNTIF($E$2:E105,E105))</f>
        <v/>
      </c>
      <c r="G105" s="31">
        <f>IF(E105="","",E105*1000+F105)</f>
        <v/>
      </c>
      <c r="H105" s="31">
        <f>設定!$B$7</f>
        <v/>
      </c>
      <c r="I105" s="31">
        <f>IF(AND(C105&lt;&gt;"",D105=""),1,0)</f>
        <v/>
      </c>
      <c r="J105" s="31">
        <f>IF(AND(D105&lt;&gt;"",E105=""),1,0)</f>
        <v/>
      </c>
    </row>
    <row r="106">
      <c r="A106" s="31">
        <f>IF('6年'!H19="","",設定!$C$13)</f>
        <v/>
      </c>
      <c r="B106" s="31">
        <f>IF('6年'!H19="","",'6年'!G19)</f>
        <v/>
      </c>
      <c r="C106" s="31">
        <f>IF('6年'!H19="","",'6年'!H19)</f>
        <v/>
      </c>
      <c r="D106" s="31">
        <f>IF('6年'!H19="","",'6年'!I19&amp;"")</f>
        <v/>
      </c>
      <c r="E106" s="31">
        <f>IF(D106="","",IFERROR(MATCH(D106,設定!$I$11:$I$30,0),""))</f>
        <v/>
      </c>
      <c r="F106" s="31">
        <f>IF(E106="","",COUNTIF($E$2:E106,E106))</f>
        <v/>
      </c>
      <c r="G106" s="31">
        <f>IF(E106="","",E106*1000+F106)</f>
        <v/>
      </c>
      <c r="H106" s="31">
        <f>設定!$B$7</f>
        <v/>
      </c>
      <c r="I106" s="31">
        <f>IF(AND(C106&lt;&gt;"",D106=""),1,0)</f>
        <v/>
      </c>
      <c r="J106" s="31">
        <f>IF(AND(D106&lt;&gt;"",E106=""),1,0)</f>
        <v/>
      </c>
    </row>
    <row r="107">
      <c r="A107" s="31">
        <f>IF('6年'!H20="","",設定!$C$13)</f>
        <v/>
      </c>
      <c r="B107" s="31">
        <f>IF('6年'!H20="","",'6年'!G20)</f>
        <v/>
      </c>
      <c r="C107" s="31">
        <f>IF('6年'!H20="","",'6年'!H20)</f>
        <v/>
      </c>
      <c r="D107" s="31">
        <f>IF('6年'!H20="","",'6年'!I20&amp;"")</f>
        <v/>
      </c>
      <c r="E107" s="31">
        <f>IF(D107="","",IFERROR(MATCH(D107,設定!$I$11:$I$30,0),""))</f>
        <v/>
      </c>
      <c r="F107" s="31">
        <f>IF(E107="","",COUNTIF($E$2:E107,E107))</f>
        <v/>
      </c>
      <c r="G107" s="31">
        <f>IF(E107="","",E107*1000+F107)</f>
        <v/>
      </c>
      <c r="H107" s="31">
        <f>設定!$B$7</f>
        <v/>
      </c>
      <c r="I107" s="31">
        <f>IF(AND(C107&lt;&gt;"",D107=""),1,0)</f>
        <v/>
      </c>
      <c r="J107" s="31">
        <f>IF(AND(D107&lt;&gt;"",E107=""),1,0)</f>
        <v/>
      </c>
    </row>
    <row r="108">
      <c r="A108" s="31">
        <f>IF('6年'!H21="","",設定!$C$13)</f>
        <v/>
      </c>
      <c r="B108" s="31">
        <f>IF('6年'!H21="","",'6年'!G21)</f>
        <v/>
      </c>
      <c r="C108" s="31">
        <f>IF('6年'!H21="","",'6年'!H21)</f>
        <v/>
      </c>
      <c r="D108" s="31">
        <f>IF('6年'!H21="","",'6年'!I21&amp;"")</f>
        <v/>
      </c>
      <c r="E108" s="31">
        <f>IF(D108="","",IFERROR(MATCH(D108,設定!$I$11:$I$30,0),""))</f>
        <v/>
      </c>
      <c r="F108" s="31">
        <f>IF(E108="","",COUNTIF($E$2:E108,E108))</f>
        <v/>
      </c>
      <c r="G108" s="31">
        <f>IF(E108="","",E108*1000+F108)</f>
        <v/>
      </c>
      <c r="H108" s="31">
        <f>設定!$B$7</f>
        <v/>
      </c>
      <c r="I108" s="31">
        <f>IF(AND(C108&lt;&gt;"",D108=""),1,0)</f>
        <v/>
      </c>
      <c r="J108" s="31">
        <f>IF(AND(D108&lt;&gt;"",E108=""),1,0)</f>
        <v/>
      </c>
    </row>
    <row r="109">
      <c r="A109" s="31">
        <f>IF('6年'!H22="","",設定!$C$13)</f>
        <v/>
      </c>
      <c r="B109" s="31">
        <f>IF('6年'!H22="","",'6年'!G22)</f>
        <v/>
      </c>
      <c r="C109" s="31">
        <f>IF('6年'!H22="","",'6年'!H22)</f>
        <v/>
      </c>
      <c r="D109" s="31">
        <f>IF('6年'!H22="","",'6年'!I22&amp;"")</f>
        <v/>
      </c>
      <c r="E109" s="31">
        <f>IF(D109="","",IFERROR(MATCH(D109,設定!$I$11:$I$30,0),""))</f>
        <v/>
      </c>
      <c r="F109" s="31">
        <f>IF(E109="","",COUNTIF($E$2:E109,E109))</f>
        <v/>
      </c>
      <c r="G109" s="31">
        <f>IF(E109="","",E109*1000+F109)</f>
        <v/>
      </c>
      <c r="H109" s="31">
        <f>設定!$B$7</f>
        <v/>
      </c>
      <c r="I109" s="31">
        <f>IF(AND(C109&lt;&gt;"",D109=""),1,0)</f>
        <v/>
      </c>
      <c r="J109" s="31">
        <f>IF(AND(D109&lt;&gt;"",E109=""),1,0)</f>
        <v/>
      </c>
    </row>
    <row r="110">
      <c r="A110" s="31">
        <f>IF('6年'!H23="","",設定!$C$13)</f>
        <v/>
      </c>
      <c r="B110" s="31">
        <f>IF('6年'!H23="","",'6年'!G23)</f>
        <v/>
      </c>
      <c r="C110" s="31">
        <f>IF('6年'!H23="","",'6年'!H23)</f>
        <v/>
      </c>
      <c r="D110" s="31">
        <f>IF('6年'!H23="","",'6年'!I23&amp;"")</f>
        <v/>
      </c>
      <c r="E110" s="31">
        <f>IF(D110="","",IFERROR(MATCH(D110,設定!$I$11:$I$30,0),""))</f>
        <v/>
      </c>
      <c r="F110" s="31">
        <f>IF(E110="","",COUNTIF($E$2:E110,E110))</f>
        <v/>
      </c>
      <c r="G110" s="31">
        <f>IF(E110="","",E110*1000+F110)</f>
        <v/>
      </c>
      <c r="H110" s="31">
        <f>設定!$B$7</f>
        <v/>
      </c>
      <c r="I110" s="31">
        <f>IF(AND(C110&lt;&gt;"",D110=""),1,0)</f>
        <v/>
      </c>
      <c r="J110" s="31">
        <f>IF(AND(D110&lt;&gt;"",E110=""),1,0)</f>
        <v/>
      </c>
    </row>
    <row r="111">
      <c r="A111" s="31">
        <f>IF('6年'!H24="","",設定!$C$13)</f>
        <v/>
      </c>
      <c r="B111" s="31">
        <f>IF('6年'!H24="","",'6年'!G24)</f>
        <v/>
      </c>
      <c r="C111" s="31">
        <f>IF('6年'!H24="","",'6年'!H24)</f>
        <v/>
      </c>
      <c r="D111" s="31">
        <f>IF('6年'!H24="","",'6年'!I24&amp;"")</f>
        <v/>
      </c>
      <c r="E111" s="31">
        <f>IF(D111="","",IFERROR(MATCH(D111,設定!$I$11:$I$30,0),""))</f>
        <v/>
      </c>
      <c r="F111" s="31">
        <f>IF(E111="","",COUNTIF($E$2:E111,E111))</f>
        <v/>
      </c>
      <c r="G111" s="31">
        <f>IF(E111="","",E111*1000+F111)</f>
        <v/>
      </c>
      <c r="H111" s="31">
        <f>設定!$B$7</f>
        <v/>
      </c>
      <c r="I111" s="31">
        <f>IF(AND(C111&lt;&gt;"",D111=""),1,0)</f>
        <v/>
      </c>
      <c r="J111" s="31">
        <f>IF(AND(D111&lt;&gt;"",E111=""),1,0)</f>
        <v/>
      </c>
    </row>
    <row r="112">
      <c r="A112" s="31">
        <f>IF('6年'!H25="","",設定!$C$13)</f>
        <v/>
      </c>
      <c r="B112" s="31">
        <f>IF('6年'!H25="","",'6年'!G25)</f>
        <v/>
      </c>
      <c r="C112" s="31">
        <f>IF('6年'!H25="","",'6年'!H25)</f>
        <v/>
      </c>
      <c r="D112" s="31">
        <f>IF('6年'!H25="","",'6年'!I25&amp;"")</f>
        <v/>
      </c>
      <c r="E112" s="31">
        <f>IF(D112="","",IFERROR(MATCH(D112,設定!$I$11:$I$30,0),""))</f>
        <v/>
      </c>
      <c r="F112" s="31">
        <f>IF(E112="","",COUNTIF($E$2:E112,E112))</f>
        <v/>
      </c>
      <c r="G112" s="31">
        <f>IF(E112="","",E112*1000+F112)</f>
        <v/>
      </c>
      <c r="H112" s="31">
        <f>設定!$B$7</f>
        <v/>
      </c>
      <c r="I112" s="31">
        <f>IF(AND(C112&lt;&gt;"",D112=""),1,0)</f>
        <v/>
      </c>
      <c r="J112" s="31">
        <f>IF(AND(D112&lt;&gt;"",E112=""),1,0)</f>
        <v/>
      </c>
    </row>
    <row r="113">
      <c r="A113" s="31">
        <f>IF('6年'!H26="","",設定!$C$13)</f>
        <v/>
      </c>
      <c r="B113" s="31">
        <f>IF('6年'!H26="","",'6年'!G26)</f>
        <v/>
      </c>
      <c r="C113" s="31">
        <f>IF('6年'!H26="","",'6年'!H26)</f>
        <v/>
      </c>
      <c r="D113" s="31">
        <f>IF('6年'!H26="","",'6年'!I26&amp;"")</f>
        <v/>
      </c>
      <c r="E113" s="31">
        <f>IF(D113="","",IFERROR(MATCH(D113,設定!$I$11:$I$30,0),""))</f>
        <v/>
      </c>
      <c r="F113" s="31">
        <f>IF(E113="","",COUNTIF($E$2:E113,E113))</f>
        <v/>
      </c>
      <c r="G113" s="31">
        <f>IF(E113="","",E113*1000+F113)</f>
        <v/>
      </c>
      <c r="H113" s="31">
        <f>設定!$B$7</f>
        <v/>
      </c>
      <c r="I113" s="31">
        <f>IF(AND(C113&lt;&gt;"",D113=""),1,0)</f>
        <v/>
      </c>
      <c r="J113" s="31">
        <f>IF(AND(D113&lt;&gt;"",E113=""),1,0)</f>
        <v/>
      </c>
    </row>
    <row r="114">
      <c r="A114" s="31">
        <f>IF('6年'!H27="","",設定!$C$13)</f>
        <v/>
      </c>
      <c r="B114" s="31">
        <f>IF('6年'!H27="","",'6年'!G27)</f>
        <v/>
      </c>
      <c r="C114" s="31">
        <f>IF('6年'!H27="","",'6年'!H27)</f>
        <v/>
      </c>
      <c r="D114" s="31">
        <f>IF('6年'!H27="","",'6年'!I27&amp;"")</f>
        <v/>
      </c>
      <c r="E114" s="31">
        <f>IF(D114="","",IFERROR(MATCH(D114,設定!$I$11:$I$30,0),""))</f>
        <v/>
      </c>
      <c r="F114" s="31">
        <f>IF(E114="","",COUNTIF($E$2:E114,E114))</f>
        <v/>
      </c>
      <c r="G114" s="31">
        <f>IF(E114="","",E114*1000+F114)</f>
        <v/>
      </c>
      <c r="H114" s="31">
        <f>設定!$B$7</f>
        <v/>
      </c>
      <c r="I114" s="31">
        <f>IF(AND(C114&lt;&gt;"",D114=""),1,0)</f>
        <v/>
      </c>
      <c r="J114" s="31">
        <f>IF(AND(D114&lt;&gt;"",E114=""),1,0)</f>
        <v/>
      </c>
    </row>
    <row r="115">
      <c r="A115" s="31">
        <f>IF('6年'!H28="","",設定!$C$13)</f>
        <v/>
      </c>
      <c r="B115" s="31">
        <f>IF('6年'!H28="","",'6年'!G28)</f>
        <v/>
      </c>
      <c r="C115" s="31">
        <f>IF('6年'!H28="","",'6年'!H28)</f>
        <v/>
      </c>
      <c r="D115" s="31">
        <f>IF('6年'!H28="","",'6年'!I28&amp;"")</f>
        <v/>
      </c>
      <c r="E115" s="31">
        <f>IF(D115="","",IFERROR(MATCH(D115,設定!$I$11:$I$30,0),""))</f>
        <v/>
      </c>
      <c r="F115" s="31">
        <f>IF(E115="","",COUNTIF($E$2:E115,E115))</f>
        <v/>
      </c>
      <c r="G115" s="31">
        <f>IF(E115="","",E115*1000+F115)</f>
        <v/>
      </c>
      <c r="H115" s="31">
        <f>設定!$B$7</f>
        <v/>
      </c>
      <c r="I115" s="31">
        <f>IF(AND(C115&lt;&gt;"",D115=""),1,0)</f>
        <v/>
      </c>
      <c r="J115" s="31">
        <f>IF(AND(D115&lt;&gt;"",E115=""),1,0)</f>
        <v/>
      </c>
    </row>
    <row r="116">
      <c r="A116" s="31">
        <f>IF('6年'!H29="","",設定!$C$13)</f>
        <v/>
      </c>
      <c r="B116" s="31">
        <f>IF('6年'!H29="","",'6年'!G29)</f>
        <v/>
      </c>
      <c r="C116" s="31">
        <f>IF('6年'!H29="","",'6年'!H29)</f>
        <v/>
      </c>
      <c r="D116" s="31">
        <f>IF('6年'!H29="","",'6年'!I29&amp;"")</f>
        <v/>
      </c>
      <c r="E116" s="31">
        <f>IF(D116="","",IFERROR(MATCH(D116,設定!$I$11:$I$30,0),""))</f>
        <v/>
      </c>
      <c r="F116" s="31">
        <f>IF(E116="","",COUNTIF($E$2:E116,E116))</f>
        <v/>
      </c>
      <c r="G116" s="31">
        <f>IF(E116="","",E116*1000+F116)</f>
        <v/>
      </c>
      <c r="H116" s="31">
        <f>設定!$B$7</f>
        <v/>
      </c>
      <c r="I116" s="31">
        <f>IF(AND(C116&lt;&gt;"",D116=""),1,0)</f>
        <v/>
      </c>
      <c r="J116" s="31">
        <f>IF(AND(D116&lt;&gt;"",E116=""),1,0)</f>
        <v/>
      </c>
    </row>
    <row r="117">
      <c r="A117" s="31">
        <f>IF('6年'!H30="","",設定!$C$13)</f>
        <v/>
      </c>
      <c r="B117" s="31">
        <f>IF('6年'!H30="","",'6年'!G30)</f>
        <v/>
      </c>
      <c r="C117" s="31">
        <f>IF('6年'!H30="","",'6年'!H30)</f>
        <v/>
      </c>
      <c r="D117" s="31">
        <f>IF('6年'!H30="","",'6年'!I30&amp;"")</f>
        <v/>
      </c>
      <c r="E117" s="31">
        <f>IF(D117="","",IFERROR(MATCH(D117,設定!$I$11:$I$30,0),""))</f>
        <v/>
      </c>
      <c r="F117" s="31">
        <f>IF(E117="","",COUNTIF($E$2:E117,E117))</f>
        <v/>
      </c>
      <c r="G117" s="31">
        <f>IF(E117="","",E117*1000+F117)</f>
        <v/>
      </c>
      <c r="H117" s="31">
        <f>設定!$B$7</f>
        <v/>
      </c>
      <c r="I117" s="31">
        <f>IF(AND(C117&lt;&gt;"",D117=""),1,0)</f>
        <v/>
      </c>
      <c r="J117" s="31">
        <f>IF(AND(D117&lt;&gt;"",E117=""),1,0)</f>
        <v/>
      </c>
    </row>
    <row r="118">
      <c r="A118" s="31">
        <f>IF('6年'!H31="","",設定!$C$13)</f>
        <v/>
      </c>
      <c r="B118" s="31">
        <f>IF('6年'!H31="","",'6年'!G31)</f>
        <v/>
      </c>
      <c r="C118" s="31">
        <f>IF('6年'!H31="","",'6年'!H31)</f>
        <v/>
      </c>
      <c r="D118" s="31">
        <f>IF('6年'!H31="","",'6年'!I31&amp;"")</f>
        <v/>
      </c>
      <c r="E118" s="31">
        <f>IF(D118="","",IFERROR(MATCH(D118,設定!$I$11:$I$30,0),""))</f>
        <v/>
      </c>
      <c r="F118" s="31">
        <f>IF(E118="","",COUNTIF($E$2:E118,E118))</f>
        <v/>
      </c>
      <c r="G118" s="31">
        <f>IF(E118="","",E118*1000+F118)</f>
        <v/>
      </c>
      <c r="H118" s="31">
        <f>設定!$B$7</f>
        <v/>
      </c>
      <c r="I118" s="31">
        <f>IF(AND(C118&lt;&gt;"",D118=""),1,0)</f>
        <v/>
      </c>
      <c r="J118" s="31">
        <f>IF(AND(D118&lt;&gt;"",E118=""),1,0)</f>
        <v/>
      </c>
    </row>
    <row r="119">
      <c r="A119" s="31">
        <f>IF('6年'!H32="","",設定!$C$13)</f>
        <v/>
      </c>
      <c r="B119" s="31">
        <f>IF('6年'!H32="","",'6年'!G32)</f>
        <v/>
      </c>
      <c r="C119" s="31">
        <f>IF('6年'!H32="","",'6年'!H32)</f>
        <v/>
      </c>
      <c r="D119" s="31">
        <f>IF('6年'!H32="","",'6年'!I32&amp;"")</f>
        <v/>
      </c>
      <c r="E119" s="31">
        <f>IF(D119="","",IFERROR(MATCH(D119,設定!$I$11:$I$30,0),""))</f>
        <v/>
      </c>
      <c r="F119" s="31">
        <f>IF(E119="","",COUNTIF($E$2:E119,E119))</f>
        <v/>
      </c>
      <c r="G119" s="31">
        <f>IF(E119="","",E119*1000+F119)</f>
        <v/>
      </c>
      <c r="H119" s="31">
        <f>設定!$B$7</f>
        <v/>
      </c>
      <c r="I119" s="31">
        <f>IF(AND(C119&lt;&gt;"",D119=""),1,0)</f>
        <v/>
      </c>
      <c r="J119" s="31">
        <f>IF(AND(D119&lt;&gt;"",E119=""),1,0)</f>
        <v/>
      </c>
    </row>
    <row r="120">
      <c r="A120" s="31">
        <f>IF('6年'!H33="","",設定!$C$13)</f>
        <v/>
      </c>
      <c r="B120" s="31">
        <f>IF('6年'!H33="","",'6年'!G33)</f>
        <v/>
      </c>
      <c r="C120" s="31">
        <f>IF('6年'!H33="","",'6年'!H33)</f>
        <v/>
      </c>
      <c r="D120" s="31">
        <f>IF('6年'!H33="","",'6年'!I33&amp;"")</f>
        <v/>
      </c>
      <c r="E120" s="31">
        <f>IF(D120="","",IFERROR(MATCH(D120,設定!$I$11:$I$30,0),""))</f>
        <v/>
      </c>
      <c r="F120" s="31">
        <f>IF(E120="","",COUNTIF($E$2:E120,E120))</f>
        <v/>
      </c>
      <c r="G120" s="31">
        <f>IF(E120="","",E120*1000+F120)</f>
        <v/>
      </c>
      <c r="H120" s="31">
        <f>設定!$B$7</f>
        <v/>
      </c>
      <c r="I120" s="31">
        <f>IF(AND(C120&lt;&gt;"",D120=""),1,0)</f>
        <v/>
      </c>
      <c r="J120" s="31">
        <f>IF(AND(D120&lt;&gt;"",E120=""),1,0)</f>
        <v/>
      </c>
    </row>
    <row r="121">
      <c r="A121" s="31">
        <f>IF('6年'!H34="","",設定!$C$13)</f>
        <v/>
      </c>
      <c r="B121" s="31">
        <f>IF('6年'!H34="","",'6年'!G34)</f>
        <v/>
      </c>
      <c r="C121" s="31">
        <f>IF('6年'!H34="","",'6年'!H34)</f>
        <v/>
      </c>
      <c r="D121" s="31">
        <f>IF('6年'!H34="","",'6年'!I34&amp;"")</f>
        <v/>
      </c>
      <c r="E121" s="31">
        <f>IF(D121="","",IFERROR(MATCH(D121,設定!$I$11:$I$30,0),""))</f>
        <v/>
      </c>
      <c r="F121" s="31">
        <f>IF(E121="","",COUNTIF($E$2:E121,E121))</f>
        <v/>
      </c>
      <c r="G121" s="31">
        <f>IF(E121="","",E121*1000+F121)</f>
        <v/>
      </c>
      <c r="H121" s="31">
        <f>設定!$B$7</f>
        <v/>
      </c>
      <c r="I121" s="31">
        <f>IF(AND(C121&lt;&gt;"",D121=""),1,0)</f>
        <v/>
      </c>
      <c r="J121" s="31">
        <f>IF(AND(D121&lt;&gt;"",E121=""),1,0)</f>
        <v/>
      </c>
    </row>
    <row r="122">
      <c r="A122" s="31">
        <f>IF('6年'!H35="","",設定!$C$13)</f>
        <v/>
      </c>
      <c r="B122" s="31">
        <f>IF('6年'!H35="","",'6年'!G35)</f>
        <v/>
      </c>
      <c r="C122" s="31">
        <f>IF('6年'!H35="","",'6年'!H35)</f>
        <v/>
      </c>
      <c r="D122" s="31">
        <f>IF('6年'!H35="","",'6年'!I35&amp;"")</f>
        <v/>
      </c>
      <c r="E122" s="31">
        <f>IF(D122="","",IFERROR(MATCH(D122,設定!$I$11:$I$30,0),""))</f>
        <v/>
      </c>
      <c r="F122" s="31">
        <f>IF(E122="","",COUNTIF($E$2:E122,E122))</f>
        <v/>
      </c>
      <c r="G122" s="31">
        <f>IF(E122="","",E122*1000+F122)</f>
        <v/>
      </c>
      <c r="H122" s="31">
        <f>設定!$B$7</f>
        <v/>
      </c>
      <c r="I122" s="31">
        <f>IF(AND(C122&lt;&gt;"",D122=""),1,0)</f>
        <v/>
      </c>
      <c r="J122" s="31">
        <f>IF(AND(D122&lt;&gt;"",E122=""),1,0)</f>
        <v/>
      </c>
    </row>
    <row r="123">
      <c r="A123" s="31">
        <f>IF('6年'!H36="","",設定!$C$13)</f>
        <v/>
      </c>
      <c r="B123" s="31">
        <f>IF('6年'!H36="","",'6年'!G36)</f>
        <v/>
      </c>
      <c r="C123" s="31">
        <f>IF('6年'!H36="","",'6年'!H36)</f>
        <v/>
      </c>
      <c r="D123" s="31">
        <f>IF('6年'!H36="","",'6年'!I36&amp;"")</f>
        <v/>
      </c>
      <c r="E123" s="31">
        <f>IF(D123="","",IFERROR(MATCH(D123,設定!$I$11:$I$30,0),""))</f>
        <v/>
      </c>
      <c r="F123" s="31">
        <f>IF(E123="","",COUNTIF($E$2:E123,E123))</f>
        <v/>
      </c>
      <c r="G123" s="31">
        <f>IF(E123="","",E123*1000+F123)</f>
        <v/>
      </c>
      <c r="H123" s="31">
        <f>設定!$B$7</f>
        <v/>
      </c>
      <c r="I123" s="31">
        <f>IF(AND(C123&lt;&gt;"",D123=""),1,0)</f>
        <v/>
      </c>
      <c r="J123" s="31">
        <f>IF(AND(D123&lt;&gt;"",E123=""),1,0)</f>
        <v/>
      </c>
    </row>
    <row r="124">
      <c r="A124" s="31">
        <f>IF('6年'!H37="","",設定!$C$13)</f>
        <v/>
      </c>
      <c r="B124" s="31">
        <f>IF('6年'!H37="","",'6年'!G37)</f>
        <v/>
      </c>
      <c r="C124" s="31">
        <f>IF('6年'!H37="","",'6年'!H37)</f>
        <v/>
      </c>
      <c r="D124" s="31">
        <f>IF('6年'!H37="","",'6年'!I37&amp;"")</f>
        <v/>
      </c>
      <c r="E124" s="31">
        <f>IF(D124="","",IFERROR(MATCH(D124,設定!$I$11:$I$30,0),""))</f>
        <v/>
      </c>
      <c r="F124" s="31">
        <f>IF(E124="","",COUNTIF($E$2:E124,E124))</f>
        <v/>
      </c>
      <c r="G124" s="31">
        <f>IF(E124="","",E124*1000+F124)</f>
        <v/>
      </c>
      <c r="H124" s="31">
        <f>設定!$B$7</f>
        <v/>
      </c>
      <c r="I124" s="31">
        <f>IF(AND(C124&lt;&gt;"",D124=""),1,0)</f>
        <v/>
      </c>
      <c r="J124" s="31">
        <f>IF(AND(D124&lt;&gt;"",E124=""),1,0)</f>
        <v/>
      </c>
    </row>
    <row r="125">
      <c r="A125" s="31">
        <f>IF('6年'!H38="","",設定!$C$13)</f>
        <v/>
      </c>
      <c r="B125" s="31">
        <f>IF('6年'!H38="","",'6年'!G38)</f>
        <v/>
      </c>
      <c r="C125" s="31">
        <f>IF('6年'!H38="","",'6年'!H38)</f>
        <v/>
      </c>
      <c r="D125" s="31">
        <f>IF('6年'!H38="","",'6年'!I38&amp;"")</f>
        <v/>
      </c>
      <c r="E125" s="31">
        <f>IF(D125="","",IFERROR(MATCH(D125,設定!$I$11:$I$30,0),""))</f>
        <v/>
      </c>
      <c r="F125" s="31">
        <f>IF(E125="","",COUNTIF($E$2:E125,E125))</f>
        <v/>
      </c>
      <c r="G125" s="31">
        <f>IF(E125="","",E125*1000+F125)</f>
        <v/>
      </c>
      <c r="H125" s="31">
        <f>設定!$B$7</f>
        <v/>
      </c>
      <c r="I125" s="31">
        <f>IF(AND(C125&lt;&gt;"",D125=""),1,0)</f>
        <v/>
      </c>
      <c r="J125" s="31">
        <f>IF(AND(D125&lt;&gt;"",E125=""),1,0)</f>
        <v/>
      </c>
    </row>
    <row r="126">
      <c r="A126" s="31">
        <f>IF('6年'!H39="","",設定!$C$13)</f>
        <v/>
      </c>
      <c r="B126" s="31">
        <f>IF('6年'!H39="","",'6年'!G39)</f>
        <v/>
      </c>
      <c r="C126" s="31">
        <f>IF('6年'!H39="","",'6年'!H39)</f>
        <v/>
      </c>
      <c r="D126" s="31">
        <f>IF('6年'!H39="","",'6年'!I39&amp;"")</f>
        <v/>
      </c>
      <c r="E126" s="31">
        <f>IF(D126="","",IFERROR(MATCH(D126,設定!$I$11:$I$30,0),""))</f>
        <v/>
      </c>
      <c r="F126" s="31">
        <f>IF(E126="","",COUNTIF($E$2:E126,E126))</f>
        <v/>
      </c>
      <c r="G126" s="31">
        <f>IF(E126="","",E126*1000+F126)</f>
        <v/>
      </c>
      <c r="H126" s="31">
        <f>設定!$B$7</f>
        <v/>
      </c>
      <c r="I126" s="31">
        <f>IF(AND(C126&lt;&gt;"",D126=""),1,0)</f>
        <v/>
      </c>
      <c r="J126" s="31">
        <f>IF(AND(D126&lt;&gt;"",E126=""),1,0)</f>
        <v/>
      </c>
    </row>
    <row r="127">
      <c r="A127" s="31">
        <f>IF('6年'!H40="","",設定!$C$13)</f>
        <v/>
      </c>
      <c r="B127" s="31">
        <f>IF('6年'!H40="","",'6年'!G40)</f>
        <v/>
      </c>
      <c r="C127" s="31">
        <f>IF('6年'!H40="","",'6年'!H40)</f>
        <v/>
      </c>
      <c r="D127" s="31">
        <f>IF('6年'!H40="","",'6年'!I40&amp;"")</f>
        <v/>
      </c>
      <c r="E127" s="31">
        <f>IF(D127="","",IFERROR(MATCH(D127,設定!$I$11:$I$30,0),""))</f>
        <v/>
      </c>
      <c r="F127" s="31">
        <f>IF(E127="","",COUNTIF($E$2:E127,E127))</f>
        <v/>
      </c>
      <c r="G127" s="31">
        <f>IF(E127="","",E127*1000+F127)</f>
        <v/>
      </c>
      <c r="H127" s="31">
        <f>設定!$B$7</f>
        <v/>
      </c>
      <c r="I127" s="31">
        <f>IF(AND(C127&lt;&gt;"",D127=""),1,0)</f>
        <v/>
      </c>
      <c r="J127" s="31">
        <f>IF(AND(D127&lt;&gt;"",E127=""),1,0)</f>
        <v/>
      </c>
    </row>
    <row r="128">
      <c r="A128" s="31">
        <f>IF('6年'!H41="","",設定!$C$13)</f>
        <v/>
      </c>
      <c r="B128" s="31">
        <f>IF('6年'!H41="","",'6年'!G41)</f>
        <v/>
      </c>
      <c r="C128" s="31">
        <f>IF('6年'!H41="","",'6年'!H41)</f>
        <v/>
      </c>
      <c r="D128" s="31">
        <f>IF('6年'!H41="","",'6年'!I41&amp;"")</f>
        <v/>
      </c>
      <c r="E128" s="31">
        <f>IF(D128="","",IFERROR(MATCH(D128,設定!$I$11:$I$30,0),""))</f>
        <v/>
      </c>
      <c r="F128" s="31">
        <f>IF(E128="","",COUNTIF($E$2:E128,E128))</f>
        <v/>
      </c>
      <c r="G128" s="31">
        <f>IF(E128="","",E128*1000+F128)</f>
        <v/>
      </c>
      <c r="H128" s="31">
        <f>設定!$B$7</f>
        <v/>
      </c>
      <c r="I128" s="31">
        <f>IF(AND(C128&lt;&gt;"",D128=""),1,0)</f>
        <v/>
      </c>
      <c r="J128" s="31">
        <f>IF(AND(D128&lt;&gt;"",E128=""),1,0)</f>
        <v/>
      </c>
    </row>
    <row r="129">
      <c r="A129" s="31">
        <f>IF('6年'!H42="","",設定!$C$13)</f>
        <v/>
      </c>
      <c r="B129" s="31">
        <f>IF('6年'!H42="","",'6年'!G42)</f>
        <v/>
      </c>
      <c r="C129" s="31">
        <f>IF('6年'!H42="","",'6年'!H42)</f>
        <v/>
      </c>
      <c r="D129" s="31">
        <f>IF('6年'!H42="","",'6年'!I42&amp;"")</f>
        <v/>
      </c>
      <c r="E129" s="31">
        <f>IF(D129="","",IFERROR(MATCH(D129,設定!$I$11:$I$30,0),""))</f>
        <v/>
      </c>
      <c r="F129" s="31">
        <f>IF(E129="","",COUNTIF($E$2:E129,E129))</f>
        <v/>
      </c>
      <c r="G129" s="31">
        <f>IF(E129="","",E129*1000+F129)</f>
        <v/>
      </c>
      <c r="H129" s="31">
        <f>設定!$B$7</f>
        <v/>
      </c>
      <c r="I129" s="31">
        <f>IF(AND(C129&lt;&gt;"",D129=""),1,0)</f>
        <v/>
      </c>
      <c r="J129" s="31">
        <f>IF(AND(D129&lt;&gt;"",E129=""),1,0)</f>
        <v/>
      </c>
    </row>
    <row r="130">
      <c r="A130" s="31">
        <f>IF('6年'!H43="","",設定!$C$13)</f>
        <v/>
      </c>
      <c r="B130" s="31">
        <f>IF('6年'!H43="","",'6年'!G43)</f>
        <v/>
      </c>
      <c r="C130" s="31">
        <f>IF('6年'!H43="","",'6年'!H43)</f>
        <v/>
      </c>
      <c r="D130" s="31">
        <f>IF('6年'!H43="","",'6年'!I43&amp;"")</f>
        <v/>
      </c>
      <c r="E130" s="31">
        <f>IF(D130="","",IFERROR(MATCH(D130,設定!$I$11:$I$30,0),""))</f>
        <v/>
      </c>
      <c r="F130" s="31">
        <f>IF(E130="","",COUNTIF($E$2:E130,E130))</f>
        <v/>
      </c>
      <c r="G130" s="31">
        <f>IF(E130="","",E130*1000+F130)</f>
        <v/>
      </c>
      <c r="H130" s="31">
        <f>設定!$B$7</f>
        <v/>
      </c>
      <c r="I130" s="31">
        <f>IF(AND(C130&lt;&gt;"",D130=""),1,0)</f>
        <v/>
      </c>
      <c r="J130" s="31">
        <f>IF(AND(D130&lt;&gt;"",E130=""),1,0)</f>
        <v/>
      </c>
    </row>
    <row r="131">
      <c r="A131" s="31">
        <f>IF('6年'!H44="","",設定!$C$13)</f>
        <v/>
      </c>
      <c r="B131" s="31">
        <f>IF('6年'!H44="","",'6年'!G44)</f>
        <v/>
      </c>
      <c r="C131" s="31">
        <f>IF('6年'!H44="","",'6年'!H44)</f>
        <v/>
      </c>
      <c r="D131" s="31">
        <f>IF('6年'!H44="","",'6年'!I44&amp;"")</f>
        <v/>
      </c>
      <c r="E131" s="31">
        <f>IF(D131="","",IFERROR(MATCH(D131,設定!$I$11:$I$30,0),""))</f>
        <v/>
      </c>
      <c r="F131" s="31">
        <f>IF(E131="","",COUNTIF($E$2:E131,E131))</f>
        <v/>
      </c>
      <c r="G131" s="31">
        <f>IF(E131="","",E131*1000+F131)</f>
        <v/>
      </c>
      <c r="H131" s="31">
        <f>設定!$B$7</f>
        <v/>
      </c>
      <c r="I131" s="31">
        <f>IF(AND(C131&lt;&gt;"",D131=""),1,0)</f>
        <v/>
      </c>
      <c r="J131" s="31">
        <f>IF(AND(D131&lt;&gt;"",E131=""),1,0)</f>
        <v/>
      </c>
    </row>
    <row r="132">
      <c r="A132" s="31">
        <f>IF('6年'!H45="","",設定!$C$13)</f>
        <v/>
      </c>
      <c r="B132" s="31">
        <f>IF('6年'!H45="","",'6年'!G45)</f>
        <v/>
      </c>
      <c r="C132" s="31">
        <f>IF('6年'!H45="","",'6年'!H45)</f>
        <v/>
      </c>
      <c r="D132" s="31">
        <f>IF('6年'!H45="","",'6年'!I45&amp;"")</f>
        <v/>
      </c>
      <c r="E132" s="31">
        <f>IF(D132="","",IFERROR(MATCH(D132,設定!$I$11:$I$30,0),""))</f>
        <v/>
      </c>
      <c r="F132" s="31">
        <f>IF(E132="","",COUNTIF($E$2:E132,E132))</f>
        <v/>
      </c>
      <c r="G132" s="31">
        <f>IF(E132="","",E132*1000+F132)</f>
        <v/>
      </c>
      <c r="H132" s="31">
        <f>設定!$B$7</f>
        <v/>
      </c>
      <c r="I132" s="31">
        <f>IF(AND(C132&lt;&gt;"",D132=""),1,0)</f>
        <v/>
      </c>
      <c r="J132" s="31">
        <f>IF(AND(D132&lt;&gt;"",E132=""),1,0)</f>
        <v/>
      </c>
    </row>
    <row r="133">
      <c r="A133" s="31">
        <f>IF('6年'!H46="","",設定!$C$13)</f>
        <v/>
      </c>
      <c r="B133" s="31">
        <f>IF('6年'!H46="","",'6年'!G46)</f>
        <v/>
      </c>
      <c r="C133" s="31">
        <f>IF('6年'!H46="","",'6年'!H46)</f>
        <v/>
      </c>
      <c r="D133" s="31">
        <f>IF('6年'!H46="","",'6年'!I46&amp;"")</f>
        <v/>
      </c>
      <c r="E133" s="31">
        <f>IF(D133="","",IFERROR(MATCH(D133,設定!$I$11:$I$30,0),""))</f>
        <v/>
      </c>
      <c r="F133" s="31">
        <f>IF(E133="","",COUNTIF($E$2:E133,E133))</f>
        <v/>
      </c>
      <c r="G133" s="31">
        <f>IF(E133="","",E133*1000+F133)</f>
        <v/>
      </c>
      <c r="H133" s="31">
        <f>設定!$B$7</f>
        <v/>
      </c>
      <c r="I133" s="31">
        <f>IF(AND(C133&lt;&gt;"",D133=""),1,0)</f>
        <v/>
      </c>
      <c r="J133" s="31">
        <f>IF(AND(D133&lt;&gt;"",E133=""),1,0)</f>
        <v/>
      </c>
    </row>
    <row r="134">
      <c r="A134" s="31">
        <f>IF('6年'!H47="","",設定!$C$13)</f>
        <v/>
      </c>
      <c r="B134" s="31">
        <f>IF('6年'!H47="","",'6年'!G47)</f>
        <v/>
      </c>
      <c r="C134" s="31">
        <f>IF('6年'!H47="","",'6年'!H47)</f>
        <v/>
      </c>
      <c r="D134" s="31">
        <f>IF('6年'!H47="","",'6年'!I47&amp;"")</f>
        <v/>
      </c>
      <c r="E134" s="31">
        <f>IF(D134="","",IFERROR(MATCH(D134,設定!$I$11:$I$30,0),""))</f>
        <v/>
      </c>
      <c r="F134" s="31">
        <f>IF(E134="","",COUNTIF($E$2:E134,E134))</f>
        <v/>
      </c>
      <c r="G134" s="31">
        <f>IF(E134="","",E134*1000+F134)</f>
        <v/>
      </c>
      <c r="H134" s="31">
        <f>設定!$B$7</f>
        <v/>
      </c>
      <c r="I134" s="31">
        <f>IF(AND(C134&lt;&gt;"",D134=""),1,0)</f>
        <v/>
      </c>
      <c r="J134" s="31">
        <f>IF(AND(D134&lt;&gt;"",E134=""),1,0)</f>
        <v/>
      </c>
    </row>
    <row r="135">
      <c r="A135" s="31">
        <f>IF('6年'!H48="","",設定!$C$13)</f>
        <v/>
      </c>
      <c r="B135" s="31">
        <f>IF('6年'!H48="","",'6年'!G48)</f>
        <v/>
      </c>
      <c r="C135" s="31">
        <f>IF('6年'!H48="","",'6年'!H48)</f>
        <v/>
      </c>
      <c r="D135" s="31">
        <f>IF('6年'!H48="","",'6年'!I48&amp;"")</f>
        <v/>
      </c>
      <c r="E135" s="31">
        <f>IF(D135="","",IFERROR(MATCH(D135,設定!$I$11:$I$30,0),""))</f>
        <v/>
      </c>
      <c r="F135" s="31">
        <f>IF(E135="","",COUNTIF($E$2:E135,E135))</f>
        <v/>
      </c>
      <c r="G135" s="31">
        <f>IF(E135="","",E135*1000+F135)</f>
        <v/>
      </c>
      <c r="H135" s="31">
        <f>設定!$B$7</f>
        <v/>
      </c>
      <c r="I135" s="31">
        <f>IF(AND(C135&lt;&gt;"",D135=""),1,0)</f>
        <v/>
      </c>
      <c r="J135" s="31">
        <f>IF(AND(D135&lt;&gt;"",E135=""),1,0)</f>
        <v/>
      </c>
    </row>
    <row r="136">
      <c r="A136" s="31">
        <f>IF('6年'!H49="","",設定!$C$13)</f>
        <v/>
      </c>
      <c r="B136" s="31">
        <f>IF('6年'!H49="","",'6年'!G49)</f>
        <v/>
      </c>
      <c r="C136" s="31">
        <f>IF('6年'!H49="","",'6年'!H49)</f>
        <v/>
      </c>
      <c r="D136" s="31">
        <f>IF('6年'!H49="","",'6年'!I49&amp;"")</f>
        <v/>
      </c>
      <c r="E136" s="31">
        <f>IF(D136="","",IFERROR(MATCH(D136,設定!$I$11:$I$30,0),""))</f>
        <v/>
      </c>
      <c r="F136" s="31">
        <f>IF(E136="","",COUNTIF($E$2:E136,E136))</f>
        <v/>
      </c>
      <c r="G136" s="31">
        <f>IF(E136="","",E136*1000+F136)</f>
        <v/>
      </c>
      <c r="H136" s="31">
        <f>設定!$B$7</f>
        <v/>
      </c>
      <c r="I136" s="31">
        <f>IF(AND(C136&lt;&gt;"",D136=""),1,0)</f>
        <v/>
      </c>
      <c r="J136" s="31">
        <f>IF(AND(D136&lt;&gt;"",E136=""),1,0)</f>
        <v/>
      </c>
    </row>
    <row r="137">
      <c r="A137" s="31">
        <f>IF('6年'!K5="","",設定!$C$14)</f>
        <v/>
      </c>
      <c r="B137" s="31">
        <f>IF('6年'!K5="","",'6年'!J5)</f>
        <v/>
      </c>
      <c r="C137" s="31">
        <f>IF('6年'!K5="","",'6年'!K5)</f>
        <v/>
      </c>
      <c r="D137" s="31">
        <f>IF('6年'!K5="","",'6年'!L5&amp;"")</f>
        <v/>
      </c>
      <c r="E137" s="31">
        <f>IF(D137="","",IFERROR(MATCH(D137,設定!$I$11:$I$30,0),""))</f>
        <v/>
      </c>
      <c r="F137" s="31">
        <f>IF(E137="","",COUNTIF($E$2:E137,E137))</f>
        <v/>
      </c>
      <c r="G137" s="31">
        <f>IF(E137="","",E137*1000+F137)</f>
        <v/>
      </c>
      <c r="H137" s="31">
        <f>設定!$B$7</f>
        <v/>
      </c>
      <c r="I137" s="31">
        <f>IF(AND(C137&lt;&gt;"",D137=""),1,0)</f>
        <v/>
      </c>
      <c r="J137" s="31">
        <f>IF(AND(D137&lt;&gt;"",E137=""),1,0)</f>
        <v/>
      </c>
    </row>
    <row r="138">
      <c r="A138" s="31">
        <f>IF('6年'!K6="","",設定!$C$14)</f>
        <v/>
      </c>
      <c r="B138" s="31">
        <f>IF('6年'!K6="","",'6年'!J6)</f>
        <v/>
      </c>
      <c r="C138" s="31">
        <f>IF('6年'!K6="","",'6年'!K6)</f>
        <v/>
      </c>
      <c r="D138" s="31">
        <f>IF('6年'!K6="","",'6年'!L6&amp;"")</f>
        <v/>
      </c>
      <c r="E138" s="31">
        <f>IF(D138="","",IFERROR(MATCH(D138,設定!$I$11:$I$30,0),""))</f>
        <v/>
      </c>
      <c r="F138" s="31">
        <f>IF(E138="","",COUNTIF($E$2:E138,E138))</f>
        <v/>
      </c>
      <c r="G138" s="31">
        <f>IF(E138="","",E138*1000+F138)</f>
        <v/>
      </c>
      <c r="H138" s="31">
        <f>設定!$B$7</f>
        <v/>
      </c>
      <c r="I138" s="31">
        <f>IF(AND(C138&lt;&gt;"",D138=""),1,0)</f>
        <v/>
      </c>
      <c r="J138" s="31">
        <f>IF(AND(D138&lt;&gt;"",E138=""),1,0)</f>
        <v/>
      </c>
    </row>
    <row r="139">
      <c r="A139" s="31">
        <f>IF('6年'!K7="","",設定!$C$14)</f>
        <v/>
      </c>
      <c r="B139" s="31">
        <f>IF('6年'!K7="","",'6年'!J7)</f>
        <v/>
      </c>
      <c r="C139" s="31">
        <f>IF('6年'!K7="","",'6年'!K7)</f>
        <v/>
      </c>
      <c r="D139" s="31">
        <f>IF('6年'!K7="","",'6年'!L7&amp;"")</f>
        <v/>
      </c>
      <c r="E139" s="31">
        <f>IF(D139="","",IFERROR(MATCH(D139,設定!$I$11:$I$30,0),""))</f>
        <v/>
      </c>
      <c r="F139" s="31">
        <f>IF(E139="","",COUNTIF($E$2:E139,E139))</f>
        <v/>
      </c>
      <c r="G139" s="31">
        <f>IF(E139="","",E139*1000+F139)</f>
        <v/>
      </c>
      <c r="H139" s="31">
        <f>設定!$B$7</f>
        <v/>
      </c>
      <c r="I139" s="31">
        <f>IF(AND(C139&lt;&gt;"",D139=""),1,0)</f>
        <v/>
      </c>
      <c r="J139" s="31">
        <f>IF(AND(D139&lt;&gt;"",E139=""),1,0)</f>
        <v/>
      </c>
    </row>
    <row r="140">
      <c r="A140" s="31">
        <f>IF('6年'!K8="","",設定!$C$14)</f>
        <v/>
      </c>
      <c r="B140" s="31">
        <f>IF('6年'!K8="","",'6年'!J8)</f>
        <v/>
      </c>
      <c r="C140" s="31">
        <f>IF('6年'!K8="","",'6年'!K8)</f>
        <v/>
      </c>
      <c r="D140" s="31">
        <f>IF('6年'!K8="","",'6年'!L8&amp;"")</f>
        <v/>
      </c>
      <c r="E140" s="31">
        <f>IF(D140="","",IFERROR(MATCH(D140,設定!$I$11:$I$30,0),""))</f>
        <v/>
      </c>
      <c r="F140" s="31">
        <f>IF(E140="","",COUNTIF($E$2:E140,E140))</f>
        <v/>
      </c>
      <c r="G140" s="31">
        <f>IF(E140="","",E140*1000+F140)</f>
        <v/>
      </c>
      <c r="H140" s="31">
        <f>設定!$B$7</f>
        <v/>
      </c>
      <c r="I140" s="31">
        <f>IF(AND(C140&lt;&gt;"",D140=""),1,0)</f>
        <v/>
      </c>
      <c r="J140" s="31">
        <f>IF(AND(D140&lt;&gt;"",E140=""),1,0)</f>
        <v/>
      </c>
    </row>
    <row r="141">
      <c r="A141" s="31">
        <f>IF('6年'!K9="","",設定!$C$14)</f>
        <v/>
      </c>
      <c r="B141" s="31">
        <f>IF('6年'!K9="","",'6年'!J9)</f>
        <v/>
      </c>
      <c r="C141" s="31">
        <f>IF('6年'!K9="","",'6年'!K9)</f>
        <v/>
      </c>
      <c r="D141" s="31">
        <f>IF('6年'!K9="","",'6年'!L9&amp;"")</f>
        <v/>
      </c>
      <c r="E141" s="31">
        <f>IF(D141="","",IFERROR(MATCH(D141,設定!$I$11:$I$30,0),""))</f>
        <v/>
      </c>
      <c r="F141" s="31">
        <f>IF(E141="","",COUNTIF($E$2:E141,E141))</f>
        <v/>
      </c>
      <c r="G141" s="31">
        <f>IF(E141="","",E141*1000+F141)</f>
        <v/>
      </c>
      <c r="H141" s="31">
        <f>設定!$B$7</f>
        <v/>
      </c>
      <c r="I141" s="31">
        <f>IF(AND(C141&lt;&gt;"",D141=""),1,0)</f>
        <v/>
      </c>
      <c r="J141" s="31">
        <f>IF(AND(D141&lt;&gt;"",E141=""),1,0)</f>
        <v/>
      </c>
    </row>
    <row r="142">
      <c r="A142" s="31">
        <f>IF('6年'!K10="","",設定!$C$14)</f>
        <v/>
      </c>
      <c r="B142" s="31">
        <f>IF('6年'!K10="","",'6年'!J10)</f>
        <v/>
      </c>
      <c r="C142" s="31">
        <f>IF('6年'!K10="","",'6年'!K10)</f>
        <v/>
      </c>
      <c r="D142" s="31">
        <f>IF('6年'!K10="","",'6年'!L10&amp;"")</f>
        <v/>
      </c>
      <c r="E142" s="31">
        <f>IF(D142="","",IFERROR(MATCH(D142,設定!$I$11:$I$30,0),""))</f>
        <v/>
      </c>
      <c r="F142" s="31">
        <f>IF(E142="","",COUNTIF($E$2:E142,E142))</f>
        <v/>
      </c>
      <c r="G142" s="31">
        <f>IF(E142="","",E142*1000+F142)</f>
        <v/>
      </c>
      <c r="H142" s="31">
        <f>設定!$B$7</f>
        <v/>
      </c>
      <c r="I142" s="31">
        <f>IF(AND(C142&lt;&gt;"",D142=""),1,0)</f>
        <v/>
      </c>
      <c r="J142" s="31">
        <f>IF(AND(D142&lt;&gt;"",E142=""),1,0)</f>
        <v/>
      </c>
    </row>
    <row r="143">
      <c r="A143" s="31">
        <f>IF('6年'!K11="","",設定!$C$14)</f>
        <v/>
      </c>
      <c r="B143" s="31">
        <f>IF('6年'!K11="","",'6年'!J11)</f>
        <v/>
      </c>
      <c r="C143" s="31">
        <f>IF('6年'!K11="","",'6年'!K11)</f>
        <v/>
      </c>
      <c r="D143" s="31">
        <f>IF('6年'!K11="","",'6年'!L11&amp;"")</f>
        <v/>
      </c>
      <c r="E143" s="31">
        <f>IF(D143="","",IFERROR(MATCH(D143,設定!$I$11:$I$30,0),""))</f>
        <v/>
      </c>
      <c r="F143" s="31">
        <f>IF(E143="","",COUNTIF($E$2:E143,E143))</f>
        <v/>
      </c>
      <c r="G143" s="31">
        <f>IF(E143="","",E143*1000+F143)</f>
        <v/>
      </c>
      <c r="H143" s="31">
        <f>設定!$B$7</f>
        <v/>
      </c>
      <c r="I143" s="31">
        <f>IF(AND(C143&lt;&gt;"",D143=""),1,0)</f>
        <v/>
      </c>
      <c r="J143" s="31">
        <f>IF(AND(D143&lt;&gt;"",E143=""),1,0)</f>
        <v/>
      </c>
    </row>
    <row r="144">
      <c r="A144" s="31">
        <f>IF('6年'!K12="","",設定!$C$14)</f>
        <v/>
      </c>
      <c r="B144" s="31">
        <f>IF('6年'!K12="","",'6年'!J12)</f>
        <v/>
      </c>
      <c r="C144" s="31">
        <f>IF('6年'!K12="","",'6年'!K12)</f>
        <v/>
      </c>
      <c r="D144" s="31">
        <f>IF('6年'!K12="","",'6年'!L12&amp;"")</f>
        <v/>
      </c>
      <c r="E144" s="31">
        <f>IF(D144="","",IFERROR(MATCH(D144,設定!$I$11:$I$30,0),""))</f>
        <v/>
      </c>
      <c r="F144" s="31">
        <f>IF(E144="","",COUNTIF($E$2:E144,E144))</f>
        <v/>
      </c>
      <c r="G144" s="31">
        <f>IF(E144="","",E144*1000+F144)</f>
        <v/>
      </c>
      <c r="H144" s="31">
        <f>設定!$B$7</f>
        <v/>
      </c>
      <c r="I144" s="31">
        <f>IF(AND(C144&lt;&gt;"",D144=""),1,0)</f>
        <v/>
      </c>
      <c r="J144" s="31">
        <f>IF(AND(D144&lt;&gt;"",E144=""),1,0)</f>
        <v/>
      </c>
    </row>
    <row r="145">
      <c r="A145" s="31">
        <f>IF('6年'!K13="","",設定!$C$14)</f>
        <v/>
      </c>
      <c r="B145" s="31">
        <f>IF('6年'!K13="","",'6年'!J13)</f>
        <v/>
      </c>
      <c r="C145" s="31">
        <f>IF('6年'!K13="","",'6年'!K13)</f>
        <v/>
      </c>
      <c r="D145" s="31">
        <f>IF('6年'!K13="","",'6年'!L13&amp;"")</f>
        <v/>
      </c>
      <c r="E145" s="31">
        <f>IF(D145="","",IFERROR(MATCH(D145,設定!$I$11:$I$30,0),""))</f>
        <v/>
      </c>
      <c r="F145" s="31">
        <f>IF(E145="","",COUNTIF($E$2:E145,E145))</f>
        <v/>
      </c>
      <c r="G145" s="31">
        <f>IF(E145="","",E145*1000+F145)</f>
        <v/>
      </c>
      <c r="H145" s="31">
        <f>設定!$B$7</f>
        <v/>
      </c>
      <c r="I145" s="31">
        <f>IF(AND(C145&lt;&gt;"",D145=""),1,0)</f>
        <v/>
      </c>
      <c r="J145" s="31">
        <f>IF(AND(D145&lt;&gt;"",E145=""),1,0)</f>
        <v/>
      </c>
    </row>
    <row r="146">
      <c r="A146" s="31">
        <f>IF('6年'!K14="","",設定!$C$14)</f>
        <v/>
      </c>
      <c r="B146" s="31">
        <f>IF('6年'!K14="","",'6年'!J14)</f>
        <v/>
      </c>
      <c r="C146" s="31">
        <f>IF('6年'!K14="","",'6年'!K14)</f>
        <v/>
      </c>
      <c r="D146" s="31">
        <f>IF('6年'!K14="","",'6年'!L14&amp;"")</f>
        <v/>
      </c>
      <c r="E146" s="31">
        <f>IF(D146="","",IFERROR(MATCH(D146,設定!$I$11:$I$30,0),""))</f>
        <v/>
      </c>
      <c r="F146" s="31">
        <f>IF(E146="","",COUNTIF($E$2:E146,E146))</f>
        <v/>
      </c>
      <c r="G146" s="31">
        <f>IF(E146="","",E146*1000+F146)</f>
        <v/>
      </c>
      <c r="H146" s="31">
        <f>設定!$B$7</f>
        <v/>
      </c>
      <c r="I146" s="31">
        <f>IF(AND(C146&lt;&gt;"",D146=""),1,0)</f>
        <v/>
      </c>
      <c r="J146" s="31">
        <f>IF(AND(D146&lt;&gt;"",E146=""),1,0)</f>
        <v/>
      </c>
    </row>
    <row r="147">
      <c r="A147" s="31">
        <f>IF('6年'!K15="","",設定!$C$14)</f>
        <v/>
      </c>
      <c r="B147" s="31">
        <f>IF('6年'!K15="","",'6年'!J15)</f>
        <v/>
      </c>
      <c r="C147" s="31">
        <f>IF('6年'!K15="","",'6年'!K15)</f>
        <v/>
      </c>
      <c r="D147" s="31">
        <f>IF('6年'!K15="","",'6年'!L15&amp;"")</f>
        <v/>
      </c>
      <c r="E147" s="31">
        <f>IF(D147="","",IFERROR(MATCH(D147,設定!$I$11:$I$30,0),""))</f>
        <v/>
      </c>
      <c r="F147" s="31">
        <f>IF(E147="","",COUNTIF($E$2:E147,E147))</f>
        <v/>
      </c>
      <c r="G147" s="31">
        <f>IF(E147="","",E147*1000+F147)</f>
        <v/>
      </c>
      <c r="H147" s="31">
        <f>設定!$B$7</f>
        <v/>
      </c>
      <c r="I147" s="31">
        <f>IF(AND(C147&lt;&gt;"",D147=""),1,0)</f>
        <v/>
      </c>
      <c r="J147" s="31">
        <f>IF(AND(D147&lt;&gt;"",E147=""),1,0)</f>
        <v/>
      </c>
    </row>
    <row r="148">
      <c r="A148" s="31">
        <f>IF('6年'!K16="","",設定!$C$14)</f>
        <v/>
      </c>
      <c r="B148" s="31">
        <f>IF('6年'!K16="","",'6年'!J16)</f>
        <v/>
      </c>
      <c r="C148" s="31">
        <f>IF('6年'!K16="","",'6年'!K16)</f>
        <v/>
      </c>
      <c r="D148" s="31">
        <f>IF('6年'!K16="","",'6年'!L16&amp;"")</f>
        <v/>
      </c>
      <c r="E148" s="31">
        <f>IF(D148="","",IFERROR(MATCH(D148,設定!$I$11:$I$30,0),""))</f>
        <v/>
      </c>
      <c r="F148" s="31">
        <f>IF(E148="","",COUNTIF($E$2:E148,E148))</f>
        <v/>
      </c>
      <c r="G148" s="31">
        <f>IF(E148="","",E148*1000+F148)</f>
        <v/>
      </c>
      <c r="H148" s="31">
        <f>設定!$B$7</f>
        <v/>
      </c>
      <c r="I148" s="31">
        <f>IF(AND(C148&lt;&gt;"",D148=""),1,0)</f>
        <v/>
      </c>
      <c r="J148" s="31">
        <f>IF(AND(D148&lt;&gt;"",E148=""),1,0)</f>
        <v/>
      </c>
    </row>
    <row r="149">
      <c r="A149" s="31">
        <f>IF('6年'!K17="","",設定!$C$14)</f>
        <v/>
      </c>
      <c r="B149" s="31">
        <f>IF('6年'!K17="","",'6年'!J17)</f>
        <v/>
      </c>
      <c r="C149" s="31">
        <f>IF('6年'!K17="","",'6年'!K17)</f>
        <v/>
      </c>
      <c r="D149" s="31">
        <f>IF('6年'!K17="","",'6年'!L17&amp;"")</f>
        <v/>
      </c>
      <c r="E149" s="31">
        <f>IF(D149="","",IFERROR(MATCH(D149,設定!$I$11:$I$30,0),""))</f>
        <v/>
      </c>
      <c r="F149" s="31">
        <f>IF(E149="","",COUNTIF($E$2:E149,E149))</f>
        <v/>
      </c>
      <c r="G149" s="31">
        <f>IF(E149="","",E149*1000+F149)</f>
        <v/>
      </c>
      <c r="H149" s="31">
        <f>設定!$B$7</f>
        <v/>
      </c>
      <c r="I149" s="31">
        <f>IF(AND(C149&lt;&gt;"",D149=""),1,0)</f>
        <v/>
      </c>
      <c r="J149" s="31">
        <f>IF(AND(D149&lt;&gt;"",E149=""),1,0)</f>
        <v/>
      </c>
    </row>
    <row r="150">
      <c r="A150" s="31">
        <f>IF('6年'!K18="","",設定!$C$14)</f>
        <v/>
      </c>
      <c r="B150" s="31">
        <f>IF('6年'!K18="","",'6年'!J18)</f>
        <v/>
      </c>
      <c r="C150" s="31">
        <f>IF('6年'!K18="","",'6年'!K18)</f>
        <v/>
      </c>
      <c r="D150" s="31">
        <f>IF('6年'!K18="","",'6年'!L18&amp;"")</f>
        <v/>
      </c>
      <c r="E150" s="31">
        <f>IF(D150="","",IFERROR(MATCH(D150,設定!$I$11:$I$30,0),""))</f>
        <v/>
      </c>
      <c r="F150" s="31">
        <f>IF(E150="","",COUNTIF($E$2:E150,E150))</f>
        <v/>
      </c>
      <c r="G150" s="31">
        <f>IF(E150="","",E150*1000+F150)</f>
        <v/>
      </c>
      <c r="H150" s="31">
        <f>設定!$B$7</f>
        <v/>
      </c>
      <c r="I150" s="31">
        <f>IF(AND(C150&lt;&gt;"",D150=""),1,0)</f>
        <v/>
      </c>
      <c r="J150" s="31">
        <f>IF(AND(D150&lt;&gt;"",E150=""),1,0)</f>
        <v/>
      </c>
    </row>
    <row r="151">
      <c r="A151" s="31">
        <f>IF('6年'!K19="","",設定!$C$14)</f>
        <v/>
      </c>
      <c r="B151" s="31">
        <f>IF('6年'!K19="","",'6年'!J19)</f>
        <v/>
      </c>
      <c r="C151" s="31">
        <f>IF('6年'!K19="","",'6年'!K19)</f>
        <v/>
      </c>
      <c r="D151" s="31">
        <f>IF('6年'!K19="","",'6年'!L19&amp;"")</f>
        <v/>
      </c>
      <c r="E151" s="31">
        <f>IF(D151="","",IFERROR(MATCH(D151,設定!$I$11:$I$30,0),""))</f>
        <v/>
      </c>
      <c r="F151" s="31">
        <f>IF(E151="","",COUNTIF($E$2:E151,E151))</f>
        <v/>
      </c>
      <c r="G151" s="31">
        <f>IF(E151="","",E151*1000+F151)</f>
        <v/>
      </c>
      <c r="H151" s="31">
        <f>設定!$B$7</f>
        <v/>
      </c>
      <c r="I151" s="31">
        <f>IF(AND(C151&lt;&gt;"",D151=""),1,0)</f>
        <v/>
      </c>
      <c r="J151" s="31">
        <f>IF(AND(D151&lt;&gt;"",E151=""),1,0)</f>
        <v/>
      </c>
    </row>
    <row r="152">
      <c r="A152" s="31">
        <f>IF('6年'!K20="","",設定!$C$14)</f>
        <v/>
      </c>
      <c r="B152" s="31">
        <f>IF('6年'!K20="","",'6年'!J20)</f>
        <v/>
      </c>
      <c r="C152" s="31">
        <f>IF('6年'!K20="","",'6年'!K20)</f>
        <v/>
      </c>
      <c r="D152" s="31">
        <f>IF('6年'!K20="","",'6年'!L20&amp;"")</f>
        <v/>
      </c>
      <c r="E152" s="31">
        <f>IF(D152="","",IFERROR(MATCH(D152,設定!$I$11:$I$30,0),""))</f>
        <v/>
      </c>
      <c r="F152" s="31">
        <f>IF(E152="","",COUNTIF($E$2:E152,E152))</f>
        <v/>
      </c>
      <c r="G152" s="31">
        <f>IF(E152="","",E152*1000+F152)</f>
        <v/>
      </c>
      <c r="H152" s="31">
        <f>設定!$B$7</f>
        <v/>
      </c>
      <c r="I152" s="31">
        <f>IF(AND(C152&lt;&gt;"",D152=""),1,0)</f>
        <v/>
      </c>
      <c r="J152" s="31">
        <f>IF(AND(D152&lt;&gt;"",E152=""),1,0)</f>
        <v/>
      </c>
    </row>
    <row r="153">
      <c r="A153" s="31">
        <f>IF('6年'!K21="","",設定!$C$14)</f>
        <v/>
      </c>
      <c r="B153" s="31">
        <f>IF('6年'!K21="","",'6年'!J21)</f>
        <v/>
      </c>
      <c r="C153" s="31">
        <f>IF('6年'!K21="","",'6年'!K21)</f>
        <v/>
      </c>
      <c r="D153" s="31">
        <f>IF('6年'!K21="","",'6年'!L21&amp;"")</f>
        <v/>
      </c>
      <c r="E153" s="31">
        <f>IF(D153="","",IFERROR(MATCH(D153,設定!$I$11:$I$30,0),""))</f>
        <v/>
      </c>
      <c r="F153" s="31">
        <f>IF(E153="","",COUNTIF($E$2:E153,E153))</f>
        <v/>
      </c>
      <c r="G153" s="31">
        <f>IF(E153="","",E153*1000+F153)</f>
        <v/>
      </c>
      <c r="H153" s="31">
        <f>設定!$B$7</f>
        <v/>
      </c>
      <c r="I153" s="31">
        <f>IF(AND(C153&lt;&gt;"",D153=""),1,0)</f>
        <v/>
      </c>
      <c r="J153" s="31">
        <f>IF(AND(D153&lt;&gt;"",E153=""),1,0)</f>
        <v/>
      </c>
    </row>
    <row r="154">
      <c r="A154" s="31">
        <f>IF('6年'!K22="","",設定!$C$14)</f>
        <v/>
      </c>
      <c r="B154" s="31">
        <f>IF('6年'!K22="","",'6年'!J22)</f>
        <v/>
      </c>
      <c r="C154" s="31">
        <f>IF('6年'!K22="","",'6年'!K22)</f>
        <v/>
      </c>
      <c r="D154" s="31">
        <f>IF('6年'!K22="","",'6年'!L22&amp;"")</f>
        <v/>
      </c>
      <c r="E154" s="31">
        <f>IF(D154="","",IFERROR(MATCH(D154,設定!$I$11:$I$30,0),""))</f>
        <v/>
      </c>
      <c r="F154" s="31">
        <f>IF(E154="","",COUNTIF($E$2:E154,E154))</f>
        <v/>
      </c>
      <c r="G154" s="31">
        <f>IF(E154="","",E154*1000+F154)</f>
        <v/>
      </c>
      <c r="H154" s="31">
        <f>設定!$B$7</f>
        <v/>
      </c>
      <c r="I154" s="31">
        <f>IF(AND(C154&lt;&gt;"",D154=""),1,0)</f>
        <v/>
      </c>
      <c r="J154" s="31">
        <f>IF(AND(D154&lt;&gt;"",E154=""),1,0)</f>
        <v/>
      </c>
    </row>
    <row r="155">
      <c r="A155" s="31">
        <f>IF('6年'!K23="","",設定!$C$14)</f>
        <v/>
      </c>
      <c r="B155" s="31">
        <f>IF('6年'!K23="","",'6年'!J23)</f>
        <v/>
      </c>
      <c r="C155" s="31">
        <f>IF('6年'!K23="","",'6年'!K23)</f>
        <v/>
      </c>
      <c r="D155" s="31">
        <f>IF('6年'!K23="","",'6年'!L23&amp;"")</f>
        <v/>
      </c>
      <c r="E155" s="31">
        <f>IF(D155="","",IFERROR(MATCH(D155,設定!$I$11:$I$30,0),""))</f>
        <v/>
      </c>
      <c r="F155" s="31">
        <f>IF(E155="","",COUNTIF($E$2:E155,E155))</f>
        <v/>
      </c>
      <c r="G155" s="31">
        <f>IF(E155="","",E155*1000+F155)</f>
        <v/>
      </c>
      <c r="H155" s="31">
        <f>設定!$B$7</f>
        <v/>
      </c>
      <c r="I155" s="31">
        <f>IF(AND(C155&lt;&gt;"",D155=""),1,0)</f>
        <v/>
      </c>
      <c r="J155" s="31">
        <f>IF(AND(D155&lt;&gt;"",E155=""),1,0)</f>
        <v/>
      </c>
    </row>
    <row r="156">
      <c r="A156" s="31">
        <f>IF('6年'!K24="","",設定!$C$14)</f>
        <v/>
      </c>
      <c r="B156" s="31">
        <f>IF('6年'!K24="","",'6年'!J24)</f>
        <v/>
      </c>
      <c r="C156" s="31">
        <f>IF('6年'!K24="","",'6年'!K24)</f>
        <v/>
      </c>
      <c r="D156" s="31">
        <f>IF('6年'!K24="","",'6年'!L24&amp;"")</f>
        <v/>
      </c>
      <c r="E156" s="31">
        <f>IF(D156="","",IFERROR(MATCH(D156,設定!$I$11:$I$30,0),""))</f>
        <v/>
      </c>
      <c r="F156" s="31">
        <f>IF(E156="","",COUNTIF($E$2:E156,E156))</f>
        <v/>
      </c>
      <c r="G156" s="31">
        <f>IF(E156="","",E156*1000+F156)</f>
        <v/>
      </c>
      <c r="H156" s="31">
        <f>設定!$B$7</f>
        <v/>
      </c>
      <c r="I156" s="31">
        <f>IF(AND(C156&lt;&gt;"",D156=""),1,0)</f>
        <v/>
      </c>
      <c r="J156" s="31">
        <f>IF(AND(D156&lt;&gt;"",E156=""),1,0)</f>
        <v/>
      </c>
    </row>
    <row r="157">
      <c r="A157" s="31">
        <f>IF('6年'!K25="","",設定!$C$14)</f>
        <v/>
      </c>
      <c r="B157" s="31">
        <f>IF('6年'!K25="","",'6年'!J25)</f>
        <v/>
      </c>
      <c r="C157" s="31">
        <f>IF('6年'!K25="","",'6年'!K25)</f>
        <v/>
      </c>
      <c r="D157" s="31">
        <f>IF('6年'!K25="","",'6年'!L25&amp;"")</f>
        <v/>
      </c>
      <c r="E157" s="31">
        <f>IF(D157="","",IFERROR(MATCH(D157,設定!$I$11:$I$30,0),""))</f>
        <v/>
      </c>
      <c r="F157" s="31">
        <f>IF(E157="","",COUNTIF($E$2:E157,E157))</f>
        <v/>
      </c>
      <c r="G157" s="31">
        <f>IF(E157="","",E157*1000+F157)</f>
        <v/>
      </c>
      <c r="H157" s="31">
        <f>設定!$B$7</f>
        <v/>
      </c>
      <c r="I157" s="31">
        <f>IF(AND(C157&lt;&gt;"",D157=""),1,0)</f>
        <v/>
      </c>
      <c r="J157" s="31">
        <f>IF(AND(D157&lt;&gt;"",E157=""),1,0)</f>
        <v/>
      </c>
    </row>
    <row r="158">
      <c r="A158" s="31">
        <f>IF('6年'!K26="","",設定!$C$14)</f>
        <v/>
      </c>
      <c r="B158" s="31">
        <f>IF('6年'!K26="","",'6年'!J26)</f>
        <v/>
      </c>
      <c r="C158" s="31">
        <f>IF('6年'!K26="","",'6年'!K26)</f>
        <v/>
      </c>
      <c r="D158" s="31">
        <f>IF('6年'!K26="","",'6年'!L26&amp;"")</f>
        <v/>
      </c>
      <c r="E158" s="31">
        <f>IF(D158="","",IFERROR(MATCH(D158,設定!$I$11:$I$30,0),""))</f>
        <v/>
      </c>
      <c r="F158" s="31">
        <f>IF(E158="","",COUNTIF($E$2:E158,E158))</f>
        <v/>
      </c>
      <c r="G158" s="31">
        <f>IF(E158="","",E158*1000+F158)</f>
        <v/>
      </c>
      <c r="H158" s="31">
        <f>設定!$B$7</f>
        <v/>
      </c>
      <c r="I158" s="31">
        <f>IF(AND(C158&lt;&gt;"",D158=""),1,0)</f>
        <v/>
      </c>
      <c r="J158" s="31">
        <f>IF(AND(D158&lt;&gt;"",E158=""),1,0)</f>
        <v/>
      </c>
    </row>
    <row r="159">
      <c r="A159" s="31">
        <f>IF('6年'!K27="","",設定!$C$14)</f>
        <v/>
      </c>
      <c r="B159" s="31">
        <f>IF('6年'!K27="","",'6年'!J27)</f>
        <v/>
      </c>
      <c r="C159" s="31">
        <f>IF('6年'!K27="","",'6年'!K27)</f>
        <v/>
      </c>
      <c r="D159" s="31">
        <f>IF('6年'!K27="","",'6年'!L27&amp;"")</f>
        <v/>
      </c>
      <c r="E159" s="31">
        <f>IF(D159="","",IFERROR(MATCH(D159,設定!$I$11:$I$30,0),""))</f>
        <v/>
      </c>
      <c r="F159" s="31">
        <f>IF(E159="","",COUNTIF($E$2:E159,E159))</f>
        <v/>
      </c>
      <c r="G159" s="31">
        <f>IF(E159="","",E159*1000+F159)</f>
        <v/>
      </c>
      <c r="H159" s="31">
        <f>設定!$B$7</f>
        <v/>
      </c>
      <c r="I159" s="31">
        <f>IF(AND(C159&lt;&gt;"",D159=""),1,0)</f>
        <v/>
      </c>
      <c r="J159" s="31">
        <f>IF(AND(D159&lt;&gt;"",E159=""),1,0)</f>
        <v/>
      </c>
    </row>
    <row r="160">
      <c r="A160" s="31">
        <f>IF('6年'!K28="","",設定!$C$14)</f>
        <v/>
      </c>
      <c r="B160" s="31">
        <f>IF('6年'!K28="","",'6年'!J28)</f>
        <v/>
      </c>
      <c r="C160" s="31">
        <f>IF('6年'!K28="","",'6年'!K28)</f>
        <v/>
      </c>
      <c r="D160" s="31">
        <f>IF('6年'!K28="","",'6年'!L28&amp;"")</f>
        <v/>
      </c>
      <c r="E160" s="31">
        <f>IF(D160="","",IFERROR(MATCH(D160,設定!$I$11:$I$30,0),""))</f>
        <v/>
      </c>
      <c r="F160" s="31">
        <f>IF(E160="","",COUNTIF($E$2:E160,E160))</f>
        <v/>
      </c>
      <c r="G160" s="31">
        <f>IF(E160="","",E160*1000+F160)</f>
        <v/>
      </c>
      <c r="H160" s="31">
        <f>設定!$B$7</f>
        <v/>
      </c>
      <c r="I160" s="31">
        <f>IF(AND(C160&lt;&gt;"",D160=""),1,0)</f>
        <v/>
      </c>
      <c r="J160" s="31">
        <f>IF(AND(D160&lt;&gt;"",E160=""),1,0)</f>
        <v/>
      </c>
    </row>
    <row r="161">
      <c r="A161" s="31">
        <f>IF('6年'!K29="","",設定!$C$14)</f>
        <v/>
      </c>
      <c r="B161" s="31">
        <f>IF('6年'!K29="","",'6年'!J29)</f>
        <v/>
      </c>
      <c r="C161" s="31">
        <f>IF('6年'!K29="","",'6年'!K29)</f>
        <v/>
      </c>
      <c r="D161" s="31">
        <f>IF('6年'!K29="","",'6年'!L29&amp;"")</f>
        <v/>
      </c>
      <c r="E161" s="31">
        <f>IF(D161="","",IFERROR(MATCH(D161,設定!$I$11:$I$30,0),""))</f>
        <v/>
      </c>
      <c r="F161" s="31">
        <f>IF(E161="","",COUNTIF($E$2:E161,E161))</f>
        <v/>
      </c>
      <c r="G161" s="31">
        <f>IF(E161="","",E161*1000+F161)</f>
        <v/>
      </c>
      <c r="H161" s="31">
        <f>設定!$B$7</f>
        <v/>
      </c>
      <c r="I161" s="31">
        <f>IF(AND(C161&lt;&gt;"",D161=""),1,0)</f>
        <v/>
      </c>
      <c r="J161" s="31">
        <f>IF(AND(D161&lt;&gt;"",E161=""),1,0)</f>
        <v/>
      </c>
    </row>
    <row r="162">
      <c r="A162" s="31">
        <f>IF('6年'!K30="","",設定!$C$14)</f>
        <v/>
      </c>
      <c r="B162" s="31">
        <f>IF('6年'!K30="","",'6年'!J30)</f>
        <v/>
      </c>
      <c r="C162" s="31">
        <f>IF('6年'!K30="","",'6年'!K30)</f>
        <v/>
      </c>
      <c r="D162" s="31">
        <f>IF('6年'!K30="","",'6年'!L30&amp;"")</f>
        <v/>
      </c>
      <c r="E162" s="31">
        <f>IF(D162="","",IFERROR(MATCH(D162,設定!$I$11:$I$30,0),""))</f>
        <v/>
      </c>
      <c r="F162" s="31">
        <f>IF(E162="","",COUNTIF($E$2:E162,E162))</f>
        <v/>
      </c>
      <c r="G162" s="31">
        <f>IF(E162="","",E162*1000+F162)</f>
        <v/>
      </c>
      <c r="H162" s="31">
        <f>設定!$B$7</f>
        <v/>
      </c>
      <c r="I162" s="31">
        <f>IF(AND(C162&lt;&gt;"",D162=""),1,0)</f>
        <v/>
      </c>
      <c r="J162" s="31">
        <f>IF(AND(D162&lt;&gt;"",E162=""),1,0)</f>
        <v/>
      </c>
    </row>
    <row r="163">
      <c r="A163" s="31">
        <f>IF('6年'!K31="","",設定!$C$14)</f>
        <v/>
      </c>
      <c r="B163" s="31">
        <f>IF('6年'!K31="","",'6年'!J31)</f>
        <v/>
      </c>
      <c r="C163" s="31">
        <f>IF('6年'!K31="","",'6年'!K31)</f>
        <v/>
      </c>
      <c r="D163" s="31">
        <f>IF('6年'!K31="","",'6年'!L31&amp;"")</f>
        <v/>
      </c>
      <c r="E163" s="31">
        <f>IF(D163="","",IFERROR(MATCH(D163,設定!$I$11:$I$30,0),""))</f>
        <v/>
      </c>
      <c r="F163" s="31">
        <f>IF(E163="","",COUNTIF($E$2:E163,E163))</f>
        <v/>
      </c>
      <c r="G163" s="31">
        <f>IF(E163="","",E163*1000+F163)</f>
        <v/>
      </c>
      <c r="H163" s="31">
        <f>設定!$B$7</f>
        <v/>
      </c>
      <c r="I163" s="31">
        <f>IF(AND(C163&lt;&gt;"",D163=""),1,0)</f>
        <v/>
      </c>
      <c r="J163" s="31">
        <f>IF(AND(D163&lt;&gt;"",E163=""),1,0)</f>
        <v/>
      </c>
    </row>
    <row r="164">
      <c r="A164" s="31">
        <f>IF('6年'!K32="","",設定!$C$14)</f>
        <v/>
      </c>
      <c r="B164" s="31">
        <f>IF('6年'!K32="","",'6年'!J32)</f>
        <v/>
      </c>
      <c r="C164" s="31">
        <f>IF('6年'!K32="","",'6年'!K32)</f>
        <v/>
      </c>
      <c r="D164" s="31">
        <f>IF('6年'!K32="","",'6年'!L32&amp;"")</f>
        <v/>
      </c>
      <c r="E164" s="31">
        <f>IF(D164="","",IFERROR(MATCH(D164,設定!$I$11:$I$30,0),""))</f>
        <v/>
      </c>
      <c r="F164" s="31">
        <f>IF(E164="","",COUNTIF($E$2:E164,E164))</f>
        <v/>
      </c>
      <c r="G164" s="31">
        <f>IF(E164="","",E164*1000+F164)</f>
        <v/>
      </c>
      <c r="H164" s="31">
        <f>設定!$B$7</f>
        <v/>
      </c>
      <c r="I164" s="31">
        <f>IF(AND(C164&lt;&gt;"",D164=""),1,0)</f>
        <v/>
      </c>
      <c r="J164" s="31">
        <f>IF(AND(D164&lt;&gt;"",E164=""),1,0)</f>
        <v/>
      </c>
    </row>
    <row r="165">
      <c r="A165" s="31">
        <f>IF('6年'!K33="","",設定!$C$14)</f>
        <v/>
      </c>
      <c r="B165" s="31">
        <f>IF('6年'!K33="","",'6年'!J33)</f>
        <v/>
      </c>
      <c r="C165" s="31">
        <f>IF('6年'!K33="","",'6年'!K33)</f>
        <v/>
      </c>
      <c r="D165" s="31">
        <f>IF('6年'!K33="","",'6年'!L33&amp;"")</f>
        <v/>
      </c>
      <c r="E165" s="31">
        <f>IF(D165="","",IFERROR(MATCH(D165,設定!$I$11:$I$30,0),""))</f>
        <v/>
      </c>
      <c r="F165" s="31">
        <f>IF(E165="","",COUNTIF($E$2:E165,E165))</f>
        <v/>
      </c>
      <c r="G165" s="31">
        <f>IF(E165="","",E165*1000+F165)</f>
        <v/>
      </c>
      <c r="H165" s="31">
        <f>設定!$B$7</f>
        <v/>
      </c>
      <c r="I165" s="31">
        <f>IF(AND(C165&lt;&gt;"",D165=""),1,0)</f>
        <v/>
      </c>
      <c r="J165" s="31">
        <f>IF(AND(D165&lt;&gt;"",E165=""),1,0)</f>
        <v/>
      </c>
    </row>
    <row r="166">
      <c r="A166" s="31">
        <f>IF('6年'!K34="","",設定!$C$14)</f>
        <v/>
      </c>
      <c r="B166" s="31">
        <f>IF('6年'!K34="","",'6年'!J34)</f>
        <v/>
      </c>
      <c r="C166" s="31">
        <f>IF('6年'!K34="","",'6年'!K34)</f>
        <v/>
      </c>
      <c r="D166" s="31">
        <f>IF('6年'!K34="","",'6年'!L34&amp;"")</f>
        <v/>
      </c>
      <c r="E166" s="31">
        <f>IF(D166="","",IFERROR(MATCH(D166,設定!$I$11:$I$30,0),""))</f>
        <v/>
      </c>
      <c r="F166" s="31">
        <f>IF(E166="","",COUNTIF($E$2:E166,E166))</f>
        <v/>
      </c>
      <c r="G166" s="31">
        <f>IF(E166="","",E166*1000+F166)</f>
        <v/>
      </c>
      <c r="H166" s="31">
        <f>設定!$B$7</f>
        <v/>
      </c>
      <c r="I166" s="31">
        <f>IF(AND(C166&lt;&gt;"",D166=""),1,0)</f>
        <v/>
      </c>
      <c r="J166" s="31">
        <f>IF(AND(D166&lt;&gt;"",E166=""),1,0)</f>
        <v/>
      </c>
    </row>
    <row r="167">
      <c r="A167" s="31">
        <f>IF('6年'!K35="","",設定!$C$14)</f>
        <v/>
      </c>
      <c r="B167" s="31">
        <f>IF('6年'!K35="","",'6年'!J35)</f>
        <v/>
      </c>
      <c r="C167" s="31">
        <f>IF('6年'!K35="","",'6年'!K35)</f>
        <v/>
      </c>
      <c r="D167" s="31">
        <f>IF('6年'!K35="","",'6年'!L35&amp;"")</f>
        <v/>
      </c>
      <c r="E167" s="31">
        <f>IF(D167="","",IFERROR(MATCH(D167,設定!$I$11:$I$30,0),""))</f>
        <v/>
      </c>
      <c r="F167" s="31">
        <f>IF(E167="","",COUNTIF($E$2:E167,E167))</f>
        <v/>
      </c>
      <c r="G167" s="31">
        <f>IF(E167="","",E167*1000+F167)</f>
        <v/>
      </c>
      <c r="H167" s="31">
        <f>設定!$B$7</f>
        <v/>
      </c>
      <c r="I167" s="31">
        <f>IF(AND(C167&lt;&gt;"",D167=""),1,0)</f>
        <v/>
      </c>
      <c r="J167" s="31">
        <f>IF(AND(D167&lt;&gt;"",E167=""),1,0)</f>
        <v/>
      </c>
    </row>
    <row r="168">
      <c r="A168" s="31">
        <f>IF('6年'!K36="","",設定!$C$14)</f>
        <v/>
      </c>
      <c r="B168" s="31">
        <f>IF('6年'!K36="","",'6年'!J36)</f>
        <v/>
      </c>
      <c r="C168" s="31">
        <f>IF('6年'!K36="","",'6年'!K36)</f>
        <v/>
      </c>
      <c r="D168" s="31">
        <f>IF('6年'!K36="","",'6年'!L36&amp;"")</f>
        <v/>
      </c>
      <c r="E168" s="31">
        <f>IF(D168="","",IFERROR(MATCH(D168,設定!$I$11:$I$30,0),""))</f>
        <v/>
      </c>
      <c r="F168" s="31">
        <f>IF(E168="","",COUNTIF($E$2:E168,E168))</f>
        <v/>
      </c>
      <c r="G168" s="31">
        <f>IF(E168="","",E168*1000+F168)</f>
        <v/>
      </c>
      <c r="H168" s="31">
        <f>設定!$B$7</f>
        <v/>
      </c>
      <c r="I168" s="31">
        <f>IF(AND(C168&lt;&gt;"",D168=""),1,0)</f>
        <v/>
      </c>
      <c r="J168" s="31">
        <f>IF(AND(D168&lt;&gt;"",E168=""),1,0)</f>
        <v/>
      </c>
    </row>
    <row r="169">
      <c r="A169" s="31">
        <f>IF('6年'!K37="","",設定!$C$14)</f>
        <v/>
      </c>
      <c r="B169" s="31">
        <f>IF('6年'!K37="","",'6年'!J37)</f>
        <v/>
      </c>
      <c r="C169" s="31">
        <f>IF('6年'!K37="","",'6年'!K37)</f>
        <v/>
      </c>
      <c r="D169" s="31">
        <f>IF('6年'!K37="","",'6年'!L37&amp;"")</f>
        <v/>
      </c>
      <c r="E169" s="31">
        <f>IF(D169="","",IFERROR(MATCH(D169,設定!$I$11:$I$30,0),""))</f>
        <v/>
      </c>
      <c r="F169" s="31">
        <f>IF(E169="","",COUNTIF($E$2:E169,E169))</f>
        <v/>
      </c>
      <c r="G169" s="31">
        <f>IF(E169="","",E169*1000+F169)</f>
        <v/>
      </c>
      <c r="H169" s="31">
        <f>設定!$B$7</f>
        <v/>
      </c>
      <c r="I169" s="31">
        <f>IF(AND(C169&lt;&gt;"",D169=""),1,0)</f>
        <v/>
      </c>
      <c r="J169" s="31">
        <f>IF(AND(D169&lt;&gt;"",E169=""),1,0)</f>
        <v/>
      </c>
    </row>
    <row r="170">
      <c r="A170" s="31">
        <f>IF('6年'!K38="","",設定!$C$14)</f>
        <v/>
      </c>
      <c r="B170" s="31">
        <f>IF('6年'!K38="","",'6年'!J38)</f>
        <v/>
      </c>
      <c r="C170" s="31">
        <f>IF('6年'!K38="","",'6年'!K38)</f>
        <v/>
      </c>
      <c r="D170" s="31">
        <f>IF('6年'!K38="","",'6年'!L38&amp;"")</f>
        <v/>
      </c>
      <c r="E170" s="31">
        <f>IF(D170="","",IFERROR(MATCH(D170,設定!$I$11:$I$30,0),""))</f>
        <v/>
      </c>
      <c r="F170" s="31">
        <f>IF(E170="","",COUNTIF($E$2:E170,E170))</f>
        <v/>
      </c>
      <c r="G170" s="31">
        <f>IF(E170="","",E170*1000+F170)</f>
        <v/>
      </c>
      <c r="H170" s="31">
        <f>設定!$B$7</f>
        <v/>
      </c>
      <c r="I170" s="31">
        <f>IF(AND(C170&lt;&gt;"",D170=""),1,0)</f>
        <v/>
      </c>
      <c r="J170" s="31">
        <f>IF(AND(D170&lt;&gt;"",E170=""),1,0)</f>
        <v/>
      </c>
    </row>
    <row r="171">
      <c r="A171" s="31">
        <f>IF('6年'!K39="","",設定!$C$14)</f>
        <v/>
      </c>
      <c r="B171" s="31">
        <f>IF('6年'!K39="","",'6年'!J39)</f>
        <v/>
      </c>
      <c r="C171" s="31">
        <f>IF('6年'!K39="","",'6年'!K39)</f>
        <v/>
      </c>
      <c r="D171" s="31">
        <f>IF('6年'!K39="","",'6年'!L39&amp;"")</f>
        <v/>
      </c>
      <c r="E171" s="31">
        <f>IF(D171="","",IFERROR(MATCH(D171,設定!$I$11:$I$30,0),""))</f>
        <v/>
      </c>
      <c r="F171" s="31">
        <f>IF(E171="","",COUNTIF($E$2:E171,E171))</f>
        <v/>
      </c>
      <c r="G171" s="31">
        <f>IF(E171="","",E171*1000+F171)</f>
        <v/>
      </c>
      <c r="H171" s="31">
        <f>設定!$B$7</f>
        <v/>
      </c>
      <c r="I171" s="31">
        <f>IF(AND(C171&lt;&gt;"",D171=""),1,0)</f>
        <v/>
      </c>
      <c r="J171" s="31">
        <f>IF(AND(D171&lt;&gt;"",E171=""),1,0)</f>
        <v/>
      </c>
    </row>
    <row r="172">
      <c r="A172" s="31">
        <f>IF('6年'!K40="","",設定!$C$14)</f>
        <v/>
      </c>
      <c r="B172" s="31">
        <f>IF('6年'!K40="","",'6年'!J40)</f>
        <v/>
      </c>
      <c r="C172" s="31">
        <f>IF('6年'!K40="","",'6年'!K40)</f>
        <v/>
      </c>
      <c r="D172" s="31">
        <f>IF('6年'!K40="","",'6年'!L40&amp;"")</f>
        <v/>
      </c>
      <c r="E172" s="31">
        <f>IF(D172="","",IFERROR(MATCH(D172,設定!$I$11:$I$30,0),""))</f>
        <v/>
      </c>
      <c r="F172" s="31">
        <f>IF(E172="","",COUNTIF($E$2:E172,E172))</f>
        <v/>
      </c>
      <c r="G172" s="31">
        <f>IF(E172="","",E172*1000+F172)</f>
        <v/>
      </c>
      <c r="H172" s="31">
        <f>設定!$B$7</f>
        <v/>
      </c>
      <c r="I172" s="31">
        <f>IF(AND(C172&lt;&gt;"",D172=""),1,0)</f>
        <v/>
      </c>
      <c r="J172" s="31">
        <f>IF(AND(D172&lt;&gt;"",E172=""),1,0)</f>
        <v/>
      </c>
    </row>
    <row r="173">
      <c r="A173" s="31">
        <f>IF('6年'!K41="","",設定!$C$14)</f>
        <v/>
      </c>
      <c r="B173" s="31">
        <f>IF('6年'!K41="","",'6年'!J41)</f>
        <v/>
      </c>
      <c r="C173" s="31">
        <f>IF('6年'!K41="","",'6年'!K41)</f>
        <v/>
      </c>
      <c r="D173" s="31">
        <f>IF('6年'!K41="","",'6年'!L41&amp;"")</f>
        <v/>
      </c>
      <c r="E173" s="31">
        <f>IF(D173="","",IFERROR(MATCH(D173,設定!$I$11:$I$30,0),""))</f>
        <v/>
      </c>
      <c r="F173" s="31">
        <f>IF(E173="","",COUNTIF($E$2:E173,E173))</f>
        <v/>
      </c>
      <c r="G173" s="31">
        <f>IF(E173="","",E173*1000+F173)</f>
        <v/>
      </c>
      <c r="H173" s="31">
        <f>設定!$B$7</f>
        <v/>
      </c>
      <c r="I173" s="31">
        <f>IF(AND(C173&lt;&gt;"",D173=""),1,0)</f>
        <v/>
      </c>
      <c r="J173" s="31">
        <f>IF(AND(D173&lt;&gt;"",E173=""),1,0)</f>
        <v/>
      </c>
    </row>
    <row r="174">
      <c r="A174" s="31">
        <f>IF('6年'!K42="","",設定!$C$14)</f>
        <v/>
      </c>
      <c r="B174" s="31">
        <f>IF('6年'!K42="","",'6年'!J42)</f>
        <v/>
      </c>
      <c r="C174" s="31">
        <f>IF('6年'!K42="","",'6年'!K42)</f>
        <v/>
      </c>
      <c r="D174" s="31">
        <f>IF('6年'!K42="","",'6年'!L42&amp;"")</f>
        <v/>
      </c>
      <c r="E174" s="31">
        <f>IF(D174="","",IFERROR(MATCH(D174,設定!$I$11:$I$30,0),""))</f>
        <v/>
      </c>
      <c r="F174" s="31">
        <f>IF(E174="","",COUNTIF($E$2:E174,E174))</f>
        <v/>
      </c>
      <c r="G174" s="31">
        <f>IF(E174="","",E174*1000+F174)</f>
        <v/>
      </c>
      <c r="H174" s="31">
        <f>設定!$B$7</f>
        <v/>
      </c>
      <c r="I174" s="31">
        <f>IF(AND(C174&lt;&gt;"",D174=""),1,0)</f>
        <v/>
      </c>
      <c r="J174" s="31">
        <f>IF(AND(D174&lt;&gt;"",E174=""),1,0)</f>
        <v/>
      </c>
    </row>
    <row r="175">
      <c r="A175" s="31">
        <f>IF('6年'!K43="","",設定!$C$14)</f>
        <v/>
      </c>
      <c r="B175" s="31">
        <f>IF('6年'!K43="","",'6年'!J43)</f>
        <v/>
      </c>
      <c r="C175" s="31">
        <f>IF('6年'!K43="","",'6年'!K43)</f>
        <v/>
      </c>
      <c r="D175" s="31">
        <f>IF('6年'!K43="","",'6年'!L43&amp;"")</f>
        <v/>
      </c>
      <c r="E175" s="31">
        <f>IF(D175="","",IFERROR(MATCH(D175,設定!$I$11:$I$30,0),""))</f>
        <v/>
      </c>
      <c r="F175" s="31">
        <f>IF(E175="","",COUNTIF($E$2:E175,E175))</f>
        <v/>
      </c>
      <c r="G175" s="31">
        <f>IF(E175="","",E175*1000+F175)</f>
        <v/>
      </c>
      <c r="H175" s="31">
        <f>設定!$B$7</f>
        <v/>
      </c>
      <c r="I175" s="31">
        <f>IF(AND(C175&lt;&gt;"",D175=""),1,0)</f>
        <v/>
      </c>
      <c r="J175" s="31">
        <f>IF(AND(D175&lt;&gt;"",E175=""),1,0)</f>
        <v/>
      </c>
    </row>
    <row r="176">
      <c r="A176" s="31">
        <f>IF('6年'!K44="","",設定!$C$14)</f>
        <v/>
      </c>
      <c r="B176" s="31">
        <f>IF('6年'!K44="","",'6年'!J44)</f>
        <v/>
      </c>
      <c r="C176" s="31">
        <f>IF('6年'!K44="","",'6年'!K44)</f>
        <v/>
      </c>
      <c r="D176" s="31">
        <f>IF('6年'!K44="","",'6年'!L44&amp;"")</f>
        <v/>
      </c>
      <c r="E176" s="31">
        <f>IF(D176="","",IFERROR(MATCH(D176,設定!$I$11:$I$30,0),""))</f>
        <v/>
      </c>
      <c r="F176" s="31">
        <f>IF(E176="","",COUNTIF($E$2:E176,E176))</f>
        <v/>
      </c>
      <c r="G176" s="31">
        <f>IF(E176="","",E176*1000+F176)</f>
        <v/>
      </c>
      <c r="H176" s="31">
        <f>設定!$B$7</f>
        <v/>
      </c>
      <c r="I176" s="31">
        <f>IF(AND(C176&lt;&gt;"",D176=""),1,0)</f>
        <v/>
      </c>
      <c r="J176" s="31">
        <f>IF(AND(D176&lt;&gt;"",E176=""),1,0)</f>
        <v/>
      </c>
    </row>
    <row r="177">
      <c r="A177" s="31">
        <f>IF('6年'!K45="","",設定!$C$14)</f>
        <v/>
      </c>
      <c r="B177" s="31">
        <f>IF('6年'!K45="","",'6年'!J45)</f>
        <v/>
      </c>
      <c r="C177" s="31">
        <f>IF('6年'!K45="","",'6年'!K45)</f>
        <v/>
      </c>
      <c r="D177" s="31">
        <f>IF('6年'!K45="","",'6年'!L45&amp;"")</f>
        <v/>
      </c>
      <c r="E177" s="31">
        <f>IF(D177="","",IFERROR(MATCH(D177,設定!$I$11:$I$30,0),""))</f>
        <v/>
      </c>
      <c r="F177" s="31">
        <f>IF(E177="","",COUNTIF($E$2:E177,E177))</f>
        <v/>
      </c>
      <c r="G177" s="31">
        <f>IF(E177="","",E177*1000+F177)</f>
        <v/>
      </c>
      <c r="H177" s="31">
        <f>設定!$B$7</f>
        <v/>
      </c>
      <c r="I177" s="31">
        <f>IF(AND(C177&lt;&gt;"",D177=""),1,0)</f>
        <v/>
      </c>
      <c r="J177" s="31">
        <f>IF(AND(D177&lt;&gt;"",E177=""),1,0)</f>
        <v/>
      </c>
    </row>
    <row r="178">
      <c r="A178" s="31">
        <f>IF('6年'!K46="","",設定!$C$14)</f>
        <v/>
      </c>
      <c r="B178" s="31">
        <f>IF('6年'!K46="","",'6年'!J46)</f>
        <v/>
      </c>
      <c r="C178" s="31">
        <f>IF('6年'!K46="","",'6年'!K46)</f>
        <v/>
      </c>
      <c r="D178" s="31">
        <f>IF('6年'!K46="","",'6年'!L46&amp;"")</f>
        <v/>
      </c>
      <c r="E178" s="31">
        <f>IF(D178="","",IFERROR(MATCH(D178,設定!$I$11:$I$30,0),""))</f>
        <v/>
      </c>
      <c r="F178" s="31">
        <f>IF(E178="","",COUNTIF($E$2:E178,E178))</f>
        <v/>
      </c>
      <c r="G178" s="31">
        <f>IF(E178="","",E178*1000+F178)</f>
        <v/>
      </c>
      <c r="H178" s="31">
        <f>設定!$B$7</f>
        <v/>
      </c>
      <c r="I178" s="31">
        <f>IF(AND(C178&lt;&gt;"",D178=""),1,0)</f>
        <v/>
      </c>
      <c r="J178" s="31">
        <f>IF(AND(D178&lt;&gt;"",E178=""),1,0)</f>
        <v/>
      </c>
    </row>
    <row r="179">
      <c r="A179" s="31">
        <f>IF('6年'!K47="","",設定!$C$14)</f>
        <v/>
      </c>
      <c r="B179" s="31">
        <f>IF('6年'!K47="","",'6年'!J47)</f>
        <v/>
      </c>
      <c r="C179" s="31">
        <f>IF('6年'!K47="","",'6年'!K47)</f>
        <v/>
      </c>
      <c r="D179" s="31">
        <f>IF('6年'!K47="","",'6年'!L47&amp;"")</f>
        <v/>
      </c>
      <c r="E179" s="31">
        <f>IF(D179="","",IFERROR(MATCH(D179,設定!$I$11:$I$30,0),""))</f>
        <v/>
      </c>
      <c r="F179" s="31">
        <f>IF(E179="","",COUNTIF($E$2:E179,E179))</f>
        <v/>
      </c>
      <c r="G179" s="31">
        <f>IF(E179="","",E179*1000+F179)</f>
        <v/>
      </c>
      <c r="H179" s="31">
        <f>設定!$B$7</f>
        <v/>
      </c>
      <c r="I179" s="31">
        <f>IF(AND(C179&lt;&gt;"",D179=""),1,0)</f>
        <v/>
      </c>
      <c r="J179" s="31">
        <f>IF(AND(D179&lt;&gt;"",E179=""),1,0)</f>
        <v/>
      </c>
    </row>
    <row r="180">
      <c r="A180" s="31">
        <f>IF('6年'!K48="","",設定!$C$14)</f>
        <v/>
      </c>
      <c r="B180" s="31">
        <f>IF('6年'!K48="","",'6年'!J48)</f>
        <v/>
      </c>
      <c r="C180" s="31">
        <f>IF('6年'!K48="","",'6年'!K48)</f>
        <v/>
      </c>
      <c r="D180" s="31">
        <f>IF('6年'!K48="","",'6年'!L48&amp;"")</f>
        <v/>
      </c>
      <c r="E180" s="31">
        <f>IF(D180="","",IFERROR(MATCH(D180,設定!$I$11:$I$30,0),""))</f>
        <v/>
      </c>
      <c r="F180" s="31">
        <f>IF(E180="","",COUNTIF($E$2:E180,E180))</f>
        <v/>
      </c>
      <c r="G180" s="31">
        <f>IF(E180="","",E180*1000+F180)</f>
        <v/>
      </c>
      <c r="H180" s="31">
        <f>設定!$B$7</f>
        <v/>
      </c>
      <c r="I180" s="31">
        <f>IF(AND(C180&lt;&gt;"",D180=""),1,0)</f>
        <v/>
      </c>
      <c r="J180" s="31">
        <f>IF(AND(D180&lt;&gt;"",E180=""),1,0)</f>
        <v/>
      </c>
    </row>
    <row r="181">
      <c r="A181" s="31">
        <f>IF('6年'!K49="","",設定!$C$14)</f>
        <v/>
      </c>
      <c r="B181" s="31">
        <f>IF('6年'!K49="","",'6年'!J49)</f>
        <v/>
      </c>
      <c r="C181" s="31">
        <f>IF('6年'!K49="","",'6年'!K49)</f>
        <v/>
      </c>
      <c r="D181" s="31">
        <f>IF('6年'!K49="","",'6年'!L49&amp;"")</f>
        <v/>
      </c>
      <c r="E181" s="31">
        <f>IF(D181="","",IFERROR(MATCH(D181,設定!$I$11:$I$30,0),""))</f>
        <v/>
      </c>
      <c r="F181" s="31">
        <f>IF(E181="","",COUNTIF($E$2:E181,E181))</f>
        <v/>
      </c>
      <c r="G181" s="31">
        <f>IF(E181="","",E181*1000+F181)</f>
        <v/>
      </c>
      <c r="H181" s="31">
        <f>設定!$B$7</f>
        <v/>
      </c>
      <c r="I181" s="31">
        <f>IF(AND(C181&lt;&gt;"",D181=""),1,0)</f>
        <v/>
      </c>
      <c r="J181" s="31">
        <f>IF(AND(D181&lt;&gt;"",E181=""),1,0)</f>
        <v/>
      </c>
    </row>
    <row r="182">
      <c r="A182" s="31">
        <f>IF('6年'!N5="","",設定!$C$15)</f>
        <v/>
      </c>
      <c r="B182" s="31">
        <f>IF('6年'!N5="","",'6年'!M5)</f>
        <v/>
      </c>
      <c r="C182" s="31">
        <f>IF('6年'!N5="","",'6年'!N5)</f>
        <v/>
      </c>
      <c r="D182" s="31">
        <f>IF('6年'!N5="","",'6年'!O5&amp;"")</f>
        <v/>
      </c>
      <c r="E182" s="31">
        <f>IF(D182="","",IFERROR(MATCH(D182,設定!$I$11:$I$30,0),""))</f>
        <v/>
      </c>
      <c r="F182" s="31">
        <f>IF(E182="","",COUNTIF($E$2:E182,E182))</f>
        <v/>
      </c>
      <c r="G182" s="31">
        <f>IF(E182="","",E182*1000+F182)</f>
        <v/>
      </c>
      <c r="H182" s="31">
        <f>設定!$B$7</f>
        <v/>
      </c>
      <c r="I182" s="31">
        <f>IF(AND(C182&lt;&gt;"",D182=""),1,0)</f>
        <v/>
      </c>
      <c r="J182" s="31">
        <f>IF(AND(D182&lt;&gt;"",E182=""),1,0)</f>
        <v/>
      </c>
    </row>
    <row r="183">
      <c r="A183" s="31">
        <f>IF('6年'!N6="","",設定!$C$15)</f>
        <v/>
      </c>
      <c r="B183" s="31">
        <f>IF('6年'!N6="","",'6年'!M6)</f>
        <v/>
      </c>
      <c r="C183" s="31">
        <f>IF('6年'!N6="","",'6年'!N6)</f>
        <v/>
      </c>
      <c r="D183" s="31">
        <f>IF('6年'!N6="","",'6年'!O6&amp;"")</f>
        <v/>
      </c>
      <c r="E183" s="31">
        <f>IF(D183="","",IFERROR(MATCH(D183,設定!$I$11:$I$30,0),""))</f>
        <v/>
      </c>
      <c r="F183" s="31">
        <f>IF(E183="","",COUNTIF($E$2:E183,E183))</f>
        <v/>
      </c>
      <c r="G183" s="31">
        <f>IF(E183="","",E183*1000+F183)</f>
        <v/>
      </c>
      <c r="H183" s="31">
        <f>設定!$B$7</f>
        <v/>
      </c>
      <c r="I183" s="31">
        <f>IF(AND(C183&lt;&gt;"",D183=""),1,0)</f>
        <v/>
      </c>
      <c r="J183" s="31">
        <f>IF(AND(D183&lt;&gt;"",E183=""),1,0)</f>
        <v/>
      </c>
    </row>
    <row r="184">
      <c r="A184" s="31">
        <f>IF('6年'!N7="","",設定!$C$15)</f>
        <v/>
      </c>
      <c r="B184" s="31">
        <f>IF('6年'!N7="","",'6年'!M7)</f>
        <v/>
      </c>
      <c r="C184" s="31">
        <f>IF('6年'!N7="","",'6年'!N7)</f>
        <v/>
      </c>
      <c r="D184" s="31">
        <f>IF('6年'!N7="","",'6年'!O7&amp;"")</f>
        <v/>
      </c>
      <c r="E184" s="31">
        <f>IF(D184="","",IFERROR(MATCH(D184,設定!$I$11:$I$30,0),""))</f>
        <v/>
      </c>
      <c r="F184" s="31">
        <f>IF(E184="","",COUNTIF($E$2:E184,E184))</f>
        <v/>
      </c>
      <c r="G184" s="31">
        <f>IF(E184="","",E184*1000+F184)</f>
        <v/>
      </c>
      <c r="H184" s="31">
        <f>設定!$B$7</f>
        <v/>
      </c>
      <c r="I184" s="31">
        <f>IF(AND(C184&lt;&gt;"",D184=""),1,0)</f>
        <v/>
      </c>
      <c r="J184" s="31">
        <f>IF(AND(D184&lt;&gt;"",E184=""),1,0)</f>
        <v/>
      </c>
    </row>
    <row r="185">
      <c r="A185" s="31">
        <f>IF('6年'!N8="","",設定!$C$15)</f>
        <v/>
      </c>
      <c r="B185" s="31">
        <f>IF('6年'!N8="","",'6年'!M8)</f>
        <v/>
      </c>
      <c r="C185" s="31">
        <f>IF('6年'!N8="","",'6年'!N8)</f>
        <v/>
      </c>
      <c r="D185" s="31">
        <f>IF('6年'!N8="","",'6年'!O8&amp;"")</f>
        <v/>
      </c>
      <c r="E185" s="31">
        <f>IF(D185="","",IFERROR(MATCH(D185,設定!$I$11:$I$30,0),""))</f>
        <v/>
      </c>
      <c r="F185" s="31">
        <f>IF(E185="","",COUNTIF($E$2:E185,E185))</f>
        <v/>
      </c>
      <c r="G185" s="31">
        <f>IF(E185="","",E185*1000+F185)</f>
        <v/>
      </c>
      <c r="H185" s="31">
        <f>設定!$B$7</f>
        <v/>
      </c>
      <c r="I185" s="31">
        <f>IF(AND(C185&lt;&gt;"",D185=""),1,0)</f>
        <v/>
      </c>
      <c r="J185" s="31">
        <f>IF(AND(D185&lt;&gt;"",E185=""),1,0)</f>
        <v/>
      </c>
    </row>
    <row r="186">
      <c r="A186" s="31">
        <f>IF('6年'!N9="","",設定!$C$15)</f>
        <v/>
      </c>
      <c r="B186" s="31">
        <f>IF('6年'!N9="","",'6年'!M9)</f>
        <v/>
      </c>
      <c r="C186" s="31">
        <f>IF('6年'!N9="","",'6年'!N9)</f>
        <v/>
      </c>
      <c r="D186" s="31">
        <f>IF('6年'!N9="","",'6年'!O9&amp;"")</f>
        <v/>
      </c>
      <c r="E186" s="31">
        <f>IF(D186="","",IFERROR(MATCH(D186,設定!$I$11:$I$30,0),""))</f>
        <v/>
      </c>
      <c r="F186" s="31">
        <f>IF(E186="","",COUNTIF($E$2:E186,E186))</f>
        <v/>
      </c>
      <c r="G186" s="31">
        <f>IF(E186="","",E186*1000+F186)</f>
        <v/>
      </c>
      <c r="H186" s="31">
        <f>設定!$B$7</f>
        <v/>
      </c>
      <c r="I186" s="31">
        <f>IF(AND(C186&lt;&gt;"",D186=""),1,0)</f>
        <v/>
      </c>
      <c r="J186" s="31">
        <f>IF(AND(D186&lt;&gt;"",E186=""),1,0)</f>
        <v/>
      </c>
    </row>
    <row r="187">
      <c r="A187" s="31">
        <f>IF('6年'!N10="","",設定!$C$15)</f>
        <v/>
      </c>
      <c r="B187" s="31">
        <f>IF('6年'!N10="","",'6年'!M10)</f>
        <v/>
      </c>
      <c r="C187" s="31">
        <f>IF('6年'!N10="","",'6年'!N10)</f>
        <v/>
      </c>
      <c r="D187" s="31">
        <f>IF('6年'!N10="","",'6年'!O10&amp;"")</f>
        <v/>
      </c>
      <c r="E187" s="31">
        <f>IF(D187="","",IFERROR(MATCH(D187,設定!$I$11:$I$30,0),""))</f>
        <v/>
      </c>
      <c r="F187" s="31">
        <f>IF(E187="","",COUNTIF($E$2:E187,E187))</f>
        <v/>
      </c>
      <c r="G187" s="31">
        <f>IF(E187="","",E187*1000+F187)</f>
        <v/>
      </c>
      <c r="H187" s="31">
        <f>設定!$B$7</f>
        <v/>
      </c>
      <c r="I187" s="31">
        <f>IF(AND(C187&lt;&gt;"",D187=""),1,0)</f>
        <v/>
      </c>
      <c r="J187" s="31">
        <f>IF(AND(D187&lt;&gt;"",E187=""),1,0)</f>
        <v/>
      </c>
    </row>
    <row r="188">
      <c r="A188" s="31">
        <f>IF('6年'!N11="","",設定!$C$15)</f>
        <v/>
      </c>
      <c r="B188" s="31">
        <f>IF('6年'!N11="","",'6年'!M11)</f>
        <v/>
      </c>
      <c r="C188" s="31">
        <f>IF('6年'!N11="","",'6年'!N11)</f>
        <v/>
      </c>
      <c r="D188" s="31">
        <f>IF('6年'!N11="","",'6年'!O11&amp;"")</f>
        <v/>
      </c>
      <c r="E188" s="31">
        <f>IF(D188="","",IFERROR(MATCH(D188,設定!$I$11:$I$30,0),""))</f>
        <v/>
      </c>
      <c r="F188" s="31">
        <f>IF(E188="","",COUNTIF($E$2:E188,E188))</f>
        <v/>
      </c>
      <c r="G188" s="31">
        <f>IF(E188="","",E188*1000+F188)</f>
        <v/>
      </c>
      <c r="H188" s="31">
        <f>設定!$B$7</f>
        <v/>
      </c>
      <c r="I188" s="31">
        <f>IF(AND(C188&lt;&gt;"",D188=""),1,0)</f>
        <v/>
      </c>
      <c r="J188" s="31">
        <f>IF(AND(D188&lt;&gt;"",E188=""),1,0)</f>
        <v/>
      </c>
    </row>
    <row r="189">
      <c r="A189" s="31">
        <f>IF('6年'!N12="","",設定!$C$15)</f>
        <v/>
      </c>
      <c r="B189" s="31">
        <f>IF('6年'!N12="","",'6年'!M12)</f>
        <v/>
      </c>
      <c r="C189" s="31">
        <f>IF('6年'!N12="","",'6年'!N12)</f>
        <v/>
      </c>
      <c r="D189" s="31">
        <f>IF('6年'!N12="","",'6年'!O12&amp;"")</f>
        <v/>
      </c>
      <c r="E189" s="31">
        <f>IF(D189="","",IFERROR(MATCH(D189,設定!$I$11:$I$30,0),""))</f>
        <v/>
      </c>
      <c r="F189" s="31">
        <f>IF(E189="","",COUNTIF($E$2:E189,E189))</f>
        <v/>
      </c>
      <c r="G189" s="31">
        <f>IF(E189="","",E189*1000+F189)</f>
        <v/>
      </c>
      <c r="H189" s="31">
        <f>設定!$B$7</f>
        <v/>
      </c>
      <c r="I189" s="31">
        <f>IF(AND(C189&lt;&gt;"",D189=""),1,0)</f>
        <v/>
      </c>
      <c r="J189" s="31">
        <f>IF(AND(D189&lt;&gt;"",E189=""),1,0)</f>
        <v/>
      </c>
    </row>
    <row r="190">
      <c r="A190" s="31">
        <f>IF('6年'!N13="","",設定!$C$15)</f>
        <v/>
      </c>
      <c r="B190" s="31">
        <f>IF('6年'!N13="","",'6年'!M13)</f>
        <v/>
      </c>
      <c r="C190" s="31">
        <f>IF('6年'!N13="","",'6年'!N13)</f>
        <v/>
      </c>
      <c r="D190" s="31">
        <f>IF('6年'!N13="","",'6年'!O13&amp;"")</f>
        <v/>
      </c>
      <c r="E190" s="31">
        <f>IF(D190="","",IFERROR(MATCH(D190,設定!$I$11:$I$30,0),""))</f>
        <v/>
      </c>
      <c r="F190" s="31">
        <f>IF(E190="","",COUNTIF($E$2:E190,E190))</f>
        <v/>
      </c>
      <c r="G190" s="31">
        <f>IF(E190="","",E190*1000+F190)</f>
        <v/>
      </c>
      <c r="H190" s="31">
        <f>設定!$B$7</f>
        <v/>
      </c>
      <c r="I190" s="31">
        <f>IF(AND(C190&lt;&gt;"",D190=""),1,0)</f>
        <v/>
      </c>
      <c r="J190" s="31">
        <f>IF(AND(D190&lt;&gt;"",E190=""),1,0)</f>
        <v/>
      </c>
    </row>
    <row r="191">
      <c r="A191" s="31">
        <f>IF('6年'!N14="","",設定!$C$15)</f>
        <v/>
      </c>
      <c r="B191" s="31">
        <f>IF('6年'!N14="","",'6年'!M14)</f>
        <v/>
      </c>
      <c r="C191" s="31">
        <f>IF('6年'!N14="","",'6年'!N14)</f>
        <v/>
      </c>
      <c r="D191" s="31">
        <f>IF('6年'!N14="","",'6年'!O14&amp;"")</f>
        <v/>
      </c>
      <c r="E191" s="31">
        <f>IF(D191="","",IFERROR(MATCH(D191,設定!$I$11:$I$30,0),""))</f>
        <v/>
      </c>
      <c r="F191" s="31">
        <f>IF(E191="","",COUNTIF($E$2:E191,E191))</f>
        <v/>
      </c>
      <c r="G191" s="31">
        <f>IF(E191="","",E191*1000+F191)</f>
        <v/>
      </c>
      <c r="H191" s="31">
        <f>設定!$B$7</f>
        <v/>
      </c>
      <c r="I191" s="31">
        <f>IF(AND(C191&lt;&gt;"",D191=""),1,0)</f>
        <v/>
      </c>
      <c r="J191" s="31">
        <f>IF(AND(D191&lt;&gt;"",E191=""),1,0)</f>
        <v/>
      </c>
    </row>
    <row r="192">
      <c r="A192" s="31">
        <f>IF('6年'!N15="","",設定!$C$15)</f>
        <v/>
      </c>
      <c r="B192" s="31">
        <f>IF('6年'!N15="","",'6年'!M15)</f>
        <v/>
      </c>
      <c r="C192" s="31">
        <f>IF('6年'!N15="","",'6年'!N15)</f>
        <v/>
      </c>
      <c r="D192" s="31">
        <f>IF('6年'!N15="","",'6年'!O15&amp;"")</f>
        <v/>
      </c>
      <c r="E192" s="31">
        <f>IF(D192="","",IFERROR(MATCH(D192,設定!$I$11:$I$30,0),""))</f>
        <v/>
      </c>
      <c r="F192" s="31">
        <f>IF(E192="","",COUNTIF($E$2:E192,E192))</f>
        <v/>
      </c>
      <c r="G192" s="31">
        <f>IF(E192="","",E192*1000+F192)</f>
        <v/>
      </c>
      <c r="H192" s="31">
        <f>設定!$B$7</f>
        <v/>
      </c>
      <c r="I192" s="31">
        <f>IF(AND(C192&lt;&gt;"",D192=""),1,0)</f>
        <v/>
      </c>
      <c r="J192" s="31">
        <f>IF(AND(D192&lt;&gt;"",E192=""),1,0)</f>
        <v/>
      </c>
    </row>
    <row r="193">
      <c r="A193" s="31">
        <f>IF('6年'!N16="","",設定!$C$15)</f>
        <v/>
      </c>
      <c r="B193" s="31">
        <f>IF('6年'!N16="","",'6年'!M16)</f>
        <v/>
      </c>
      <c r="C193" s="31">
        <f>IF('6年'!N16="","",'6年'!N16)</f>
        <v/>
      </c>
      <c r="D193" s="31">
        <f>IF('6年'!N16="","",'6年'!O16&amp;"")</f>
        <v/>
      </c>
      <c r="E193" s="31">
        <f>IF(D193="","",IFERROR(MATCH(D193,設定!$I$11:$I$30,0),""))</f>
        <v/>
      </c>
      <c r="F193" s="31">
        <f>IF(E193="","",COUNTIF($E$2:E193,E193))</f>
        <v/>
      </c>
      <c r="G193" s="31">
        <f>IF(E193="","",E193*1000+F193)</f>
        <v/>
      </c>
      <c r="H193" s="31">
        <f>設定!$B$7</f>
        <v/>
      </c>
      <c r="I193" s="31">
        <f>IF(AND(C193&lt;&gt;"",D193=""),1,0)</f>
        <v/>
      </c>
      <c r="J193" s="31">
        <f>IF(AND(D193&lt;&gt;"",E193=""),1,0)</f>
        <v/>
      </c>
    </row>
    <row r="194">
      <c r="A194" s="31">
        <f>IF('6年'!N17="","",設定!$C$15)</f>
        <v/>
      </c>
      <c r="B194" s="31">
        <f>IF('6年'!N17="","",'6年'!M17)</f>
        <v/>
      </c>
      <c r="C194" s="31">
        <f>IF('6年'!N17="","",'6年'!N17)</f>
        <v/>
      </c>
      <c r="D194" s="31">
        <f>IF('6年'!N17="","",'6年'!O17&amp;"")</f>
        <v/>
      </c>
      <c r="E194" s="31">
        <f>IF(D194="","",IFERROR(MATCH(D194,設定!$I$11:$I$30,0),""))</f>
        <v/>
      </c>
      <c r="F194" s="31">
        <f>IF(E194="","",COUNTIF($E$2:E194,E194))</f>
        <v/>
      </c>
      <c r="G194" s="31">
        <f>IF(E194="","",E194*1000+F194)</f>
        <v/>
      </c>
      <c r="H194" s="31">
        <f>設定!$B$7</f>
        <v/>
      </c>
      <c r="I194" s="31">
        <f>IF(AND(C194&lt;&gt;"",D194=""),1,0)</f>
        <v/>
      </c>
      <c r="J194" s="31">
        <f>IF(AND(D194&lt;&gt;"",E194=""),1,0)</f>
        <v/>
      </c>
    </row>
    <row r="195">
      <c r="A195" s="31">
        <f>IF('6年'!N18="","",設定!$C$15)</f>
        <v/>
      </c>
      <c r="B195" s="31">
        <f>IF('6年'!N18="","",'6年'!M18)</f>
        <v/>
      </c>
      <c r="C195" s="31">
        <f>IF('6年'!N18="","",'6年'!N18)</f>
        <v/>
      </c>
      <c r="D195" s="31">
        <f>IF('6年'!N18="","",'6年'!O18&amp;"")</f>
        <v/>
      </c>
      <c r="E195" s="31">
        <f>IF(D195="","",IFERROR(MATCH(D195,設定!$I$11:$I$30,0),""))</f>
        <v/>
      </c>
      <c r="F195" s="31">
        <f>IF(E195="","",COUNTIF($E$2:E195,E195))</f>
        <v/>
      </c>
      <c r="G195" s="31">
        <f>IF(E195="","",E195*1000+F195)</f>
        <v/>
      </c>
      <c r="H195" s="31">
        <f>設定!$B$7</f>
        <v/>
      </c>
      <c r="I195" s="31">
        <f>IF(AND(C195&lt;&gt;"",D195=""),1,0)</f>
        <v/>
      </c>
      <c r="J195" s="31">
        <f>IF(AND(D195&lt;&gt;"",E195=""),1,0)</f>
        <v/>
      </c>
    </row>
    <row r="196">
      <c r="A196" s="31">
        <f>IF('6年'!N19="","",設定!$C$15)</f>
        <v/>
      </c>
      <c r="B196" s="31">
        <f>IF('6年'!N19="","",'6年'!M19)</f>
        <v/>
      </c>
      <c r="C196" s="31">
        <f>IF('6年'!N19="","",'6年'!N19)</f>
        <v/>
      </c>
      <c r="D196" s="31">
        <f>IF('6年'!N19="","",'6年'!O19&amp;"")</f>
        <v/>
      </c>
      <c r="E196" s="31">
        <f>IF(D196="","",IFERROR(MATCH(D196,設定!$I$11:$I$30,0),""))</f>
        <v/>
      </c>
      <c r="F196" s="31">
        <f>IF(E196="","",COUNTIF($E$2:E196,E196))</f>
        <v/>
      </c>
      <c r="G196" s="31">
        <f>IF(E196="","",E196*1000+F196)</f>
        <v/>
      </c>
      <c r="H196" s="31">
        <f>設定!$B$7</f>
        <v/>
      </c>
      <c r="I196" s="31">
        <f>IF(AND(C196&lt;&gt;"",D196=""),1,0)</f>
        <v/>
      </c>
      <c r="J196" s="31">
        <f>IF(AND(D196&lt;&gt;"",E196=""),1,0)</f>
        <v/>
      </c>
    </row>
    <row r="197">
      <c r="A197" s="31">
        <f>IF('6年'!N20="","",設定!$C$15)</f>
        <v/>
      </c>
      <c r="B197" s="31">
        <f>IF('6年'!N20="","",'6年'!M20)</f>
        <v/>
      </c>
      <c r="C197" s="31">
        <f>IF('6年'!N20="","",'6年'!N20)</f>
        <v/>
      </c>
      <c r="D197" s="31">
        <f>IF('6年'!N20="","",'6年'!O20&amp;"")</f>
        <v/>
      </c>
      <c r="E197" s="31">
        <f>IF(D197="","",IFERROR(MATCH(D197,設定!$I$11:$I$30,0),""))</f>
        <v/>
      </c>
      <c r="F197" s="31">
        <f>IF(E197="","",COUNTIF($E$2:E197,E197))</f>
        <v/>
      </c>
      <c r="G197" s="31">
        <f>IF(E197="","",E197*1000+F197)</f>
        <v/>
      </c>
      <c r="H197" s="31">
        <f>設定!$B$7</f>
        <v/>
      </c>
      <c r="I197" s="31">
        <f>IF(AND(C197&lt;&gt;"",D197=""),1,0)</f>
        <v/>
      </c>
      <c r="J197" s="31">
        <f>IF(AND(D197&lt;&gt;"",E197=""),1,0)</f>
        <v/>
      </c>
    </row>
    <row r="198">
      <c r="A198" s="31">
        <f>IF('6年'!N21="","",設定!$C$15)</f>
        <v/>
      </c>
      <c r="B198" s="31">
        <f>IF('6年'!N21="","",'6年'!M21)</f>
        <v/>
      </c>
      <c r="C198" s="31">
        <f>IF('6年'!N21="","",'6年'!N21)</f>
        <v/>
      </c>
      <c r="D198" s="31">
        <f>IF('6年'!N21="","",'6年'!O21&amp;"")</f>
        <v/>
      </c>
      <c r="E198" s="31">
        <f>IF(D198="","",IFERROR(MATCH(D198,設定!$I$11:$I$30,0),""))</f>
        <v/>
      </c>
      <c r="F198" s="31">
        <f>IF(E198="","",COUNTIF($E$2:E198,E198))</f>
        <v/>
      </c>
      <c r="G198" s="31">
        <f>IF(E198="","",E198*1000+F198)</f>
        <v/>
      </c>
      <c r="H198" s="31">
        <f>設定!$B$7</f>
        <v/>
      </c>
      <c r="I198" s="31">
        <f>IF(AND(C198&lt;&gt;"",D198=""),1,0)</f>
        <v/>
      </c>
      <c r="J198" s="31">
        <f>IF(AND(D198&lt;&gt;"",E198=""),1,0)</f>
        <v/>
      </c>
    </row>
    <row r="199">
      <c r="A199" s="31">
        <f>IF('6年'!N22="","",設定!$C$15)</f>
        <v/>
      </c>
      <c r="B199" s="31">
        <f>IF('6年'!N22="","",'6年'!M22)</f>
        <v/>
      </c>
      <c r="C199" s="31">
        <f>IF('6年'!N22="","",'6年'!N22)</f>
        <v/>
      </c>
      <c r="D199" s="31">
        <f>IF('6年'!N22="","",'6年'!O22&amp;"")</f>
        <v/>
      </c>
      <c r="E199" s="31">
        <f>IF(D199="","",IFERROR(MATCH(D199,設定!$I$11:$I$30,0),""))</f>
        <v/>
      </c>
      <c r="F199" s="31">
        <f>IF(E199="","",COUNTIF($E$2:E199,E199))</f>
        <v/>
      </c>
      <c r="G199" s="31">
        <f>IF(E199="","",E199*1000+F199)</f>
        <v/>
      </c>
      <c r="H199" s="31">
        <f>設定!$B$7</f>
        <v/>
      </c>
      <c r="I199" s="31">
        <f>IF(AND(C199&lt;&gt;"",D199=""),1,0)</f>
        <v/>
      </c>
      <c r="J199" s="31">
        <f>IF(AND(D199&lt;&gt;"",E199=""),1,0)</f>
        <v/>
      </c>
    </row>
    <row r="200">
      <c r="A200" s="31">
        <f>IF('6年'!N23="","",設定!$C$15)</f>
        <v/>
      </c>
      <c r="B200" s="31">
        <f>IF('6年'!N23="","",'6年'!M23)</f>
        <v/>
      </c>
      <c r="C200" s="31">
        <f>IF('6年'!N23="","",'6年'!N23)</f>
        <v/>
      </c>
      <c r="D200" s="31">
        <f>IF('6年'!N23="","",'6年'!O23&amp;"")</f>
        <v/>
      </c>
      <c r="E200" s="31">
        <f>IF(D200="","",IFERROR(MATCH(D200,設定!$I$11:$I$30,0),""))</f>
        <v/>
      </c>
      <c r="F200" s="31">
        <f>IF(E200="","",COUNTIF($E$2:E200,E200))</f>
        <v/>
      </c>
      <c r="G200" s="31">
        <f>IF(E200="","",E200*1000+F200)</f>
        <v/>
      </c>
      <c r="H200" s="31">
        <f>設定!$B$7</f>
        <v/>
      </c>
      <c r="I200" s="31">
        <f>IF(AND(C200&lt;&gt;"",D200=""),1,0)</f>
        <v/>
      </c>
      <c r="J200" s="31">
        <f>IF(AND(D200&lt;&gt;"",E200=""),1,0)</f>
        <v/>
      </c>
    </row>
    <row r="201">
      <c r="A201" s="31">
        <f>IF('6年'!N24="","",設定!$C$15)</f>
        <v/>
      </c>
      <c r="B201" s="31">
        <f>IF('6年'!N24="","",'6年'!M24)</f>
        <v/>
      </c>
      <c r="C201" s="31">
        <f>IF('6年'!N24="","",'6年'!N24)</f>
        <v/>
      </c>
      <c r="D201" s="31">
        <f>IF('6年'!N24="","",'6年'!O24&amp;"")</f>
        <v/>
      </c>
      <c r="E201" s="31">
        <f>IF(D201="","",IFERROR(MATCH(D201,設定!$I$11:$I$30,0),""))</f>
        <v/>
      </c>
      <c r="F201" s="31">
        <f>IF(E201="","",COUNTIF($E$2:E201,E201))</f>
        <v/>
      </c>
      <c r="G201" s="31">
        <f>IF(E201="","",E201*1000+F201)</f>
        <v/>
      </c>
      <c r="H201" s="31">
        <f>設定!$B$7</f>
        <v/>
      </c>
      <c r="I201" s="31">
        <f>IF(AND(C201&lt;&gt;"",D201=""),1,0)</f>
        <v/>
      </c>
      <c r="J201" s="31">
        <f>IF(AND(D201&lt;&gt;"",E201=""),1,0)</f>
        <v/>
      </c>
    </row>
    <row r="202">
      <c r="A202" s="31">
        <f>IF('6年'!N25="","",設定!$C$15)</f>
        <v/>
      </c>
      <c r="B202" s="31">
        <f>IF('6年'!N25="","",'6年'!M25)</f>
        <v/>
      </c>
      <c r="C202" s="31">
        <f>IF('6年'!N25="","",'6年'!N25)</f>
        <v/>
      </c>
      <c r="D202" s="31">
        <f>IF('6年'!N25="","",'6年'!O25&amp;"")</f>
        <v/>
      </c>
      <c r="E202" s="31">
        <f>IF(D202="","",IFERROR(MATCH(D202,設定!$I$11:$I$30,0),""))</f>
        <v/>
      </c>
      <c r="F202" s="31">
        <f>IF(E202="","",COUNTIF($E$2:E202,E202))</f>
        <v/>
      </c>
      <c r="G202" s="31">
        <f>IF(E202="","",E202*1000+F202)</f>
        <v/>
      </c>
      <c r="H202" s="31">
        <f>設定!$B$7</f>
        <v/>
      </c>
      <c r="I202" s="31">
        <f>IF(AND(C202&lt;&gt;"",D202=""),1,0)</f>
        <v/>
      </c>
      <c r="J202" s="31">
        <f>IF(AND(D202&lt;&gt;"",E202=""),1,0)</f>
        <v/>
      </c>
    </row>
    <row r="203">
      <c r="A203" s="31">
        <f>IF('6年'!N26="","",設定!$C$15)</f>
        <v/>
      </c>
      <c r="B203" s="31">
        <f>IF('6年'!N26="","",'6年'!M26)</f>
        <v/>
      </c>
      <c r="C203" s="31">
        <f>IF('6年'!N26="","",'6年'!N26)</f>
        <v/>
      </c>
      <c r="D203" s="31">
        <f>IF('6年'!N26="","",'6年'!O26&amp;"")</f>
        <v/>
      </c>
      <c r="E203" s="31">
        <f>IF(D203="","",IFERROR(MATCH(D203,設定!$I$11:$I$30,0),""))</f>
        <v/>
      </c>
      <c r="F203" s="31">
        <f>IF(E203="","",COUNTIF($E$2:E203,E203))</f>
        <v/>
      </c>
      <c r="G203" s="31">
        <f>IF(E203="","",E203*1000+F203)</f>
        <v/>
      </c>
      <c r="H203" s="31">
        <f>設定!$B$7</f>
        <v/>
      </c>
      <c r="I203" s="31">
        <f>IF(AND(C203&lt;&gt;"",D203=""),1,0)</f>
        <v/>
      </c>
      <c r="J203" s="31">
        <f>IF(AND(D203&lt;&gt;"",E203=""),1,0)</f>
        <v/>
      </c>
    </row>
    <row r="204">
      <c r="A204" s="31">
        <f>IF('6年'!N27="","",設定!$C$15)</f>
        <v/>
      </c>
      <c r="B204" s="31">
        <f>IF('6年'!N27="","",'6年'!M27)</f>
        <v/>
      </c>
      <c r="C204" s="31">
        <f>IF('6年'!N27="","",'6年'!N27)</f>
        <v/>
      </c>
      <c r="D204" s="31">
        <f>IF('6年'!N27="","",'6年'!O27&amp;"")</f>
        <v/>
      </c>
      <c r="E204" s="31">
        <f>IF(D204="","",IFERROR(MATCH(D204,設定!$I$11:$I$30,0),""))</f>
        <v/>
      </c>
      <c r="F204" s="31">
        <f>IF(E204="","",COUNTIF($E$2:E204,E204))</f>
        <v/>
      </c>
      <c r="G204" s="31">
        <f>IF(E204="","",E204*1000+F204)</f>
        <v/>
      </c>
      <c r="H204" s="31">
        <f>設定!$B$7</f>
        <v/>
      </c>
      <c r="I204" s="31">
        <f>IF(AND(C204&lt;&gt;"",D204=""),1,0)</f>
        <v/>
      </c>
      <c r="J204" s="31">
        <f>IF(AND(D204&lt;&gt;"",E204=""),1,0)</f>
        <v/>
      </c>
    </row>
    <row r="205">
      <c r="A205" s="31">
        <f>IF('6年'!N28="","",設定!$C$15)</f>
        <v/>
      </c>
      <c r="B205" s="31">
        <f>IF('6年'!N28="","",'6年'!M28)</f>
        <v/>
      </c>
      <c r="C205" s="31">
        <f>IF('6年'!N28="","",'6年'!N28)</f>
        <v/>
      </c>
      <c r="D205" s="31">
        <f>IF('6年'!N28="","",'6年'!O28&amp;"")</f>
        <v/>
      </c>
      <c r="E205" s="31">
        <f>IF(D205="","",IFERROR(MATCH(D205,設定!$I$11:$I$30,0),""))</f>
        <v/>
      </c>
      <c r="F205" s="31">
        <f>IF(E205="","",COUNTIF($E$2:E205,E205))</f>
        <v/>
      </c>
      <c r="G205" s="31">
        <f>IF(E205="","",E205*1000+F205)</f>
        <v/>
      </c>
      <c r="H205" s="31">
        <f>設定!$B$7</f>
        <v/>
      </c>
      <c r="I205" s="31">
        <f>IF(AND(C205&lt;&gt;"",D205=""),1,0)</f>
        <v/>
      </c>
      <c r="J205" s="31">
        <f>IF(AND(D205&lt;&gt;"",E205=""),1,0)</f>
        <v/>
      </c>
    </row>
    <row r="206">
      <c r="A206" s="31">
        <f>IF('6年'!N29="","",設定!$C$15)</f>
        <v/>
      </c>
      <c r="B206" s="31">
        <f>IF('6年'!N29="","",'6年'!M29)</f>
        <v/>
      </c>
      <c r="C206" s="31">
        <f>IF('6年'!N29="","",'6年'!N29)</f>
        <v/>
      </c>
      <c r="D206" s="31">
        <f>IF('6年'!N29="","",'6年'!O29&amp;"")</f>
        <v/>
      </c>
      <c r="E206" s="31">
        <f>IF(D206="","",IFERROR(MATCH(D206,設定!$I$11:$I$30,0),""))</f>
        <v/>
      </c>
      <c r="F206" s="31">
        <f>IF(E206="","",COUNTIF($E$2:E206,E206))</f>
        <v/>
      </c>
      <c r="G206" s="31">
        <f>IF(E206="","",E206*1000+F206)</f>
        <v/>
      </c>
      <c r="H206" s="31">
        <f>設定!$B$7</f>
        <v/>
      </c>
      <c r="I206" s="31">
        <f>IF(AND(C206&lt;&gt;"",D206=""),1,0)</f>
        <v/>
      </c>
      <c r="J206" s="31">
        <f>IF(AND(D206&lt;&gt;"",E206=""),1,0)</f>
        <v/>
      </c>
    </row>
    <row r="207">
      <c r="A207" s="31">
        <f>IF('6年'!N30="","",設定!$C$15)</f>
        <v/>
      </c>
      <c r="B207" s="31">
        <f>IF('6年'!N30="","",'6年'!M30)</f>
        <v/>
      </c>
      <c r="C207" s="31">
        <f>IF('6年'!N30="","",'6年'!N30)</f>
        <v/>
      </c>
      <c r="D207" s="31">
        <f>IF('6年'!N30="","",'6年'!O30&amp;"")</f>
        <v/>
      </c>
      <c r="E207" s="31">
        <f>IF(D207="","",IFERROR(MATCH(D207,設定!$I$11:$I$30,0),""))</f>
        <v/>
      </c>
      <c r="F207" s="31">
        <f>IF(E207="","",COUNTIF($E$2:E207,E207))</f>
        <v/>
      </c>
      <c r="G207" s="31">
        <f>IF(E207="","",E207*1000+F207)</f>
        <v/>
      </c>
      <c r="H207" s="31">
        <f>設定!$B$7</f>
        <v/>
      </c>
      <c r="I207" s="31">
        <f>IF(AND(C207&lt;&gt;"",D207=""),1,0)</f>
        <v/>
      </c>
      <c r="J207" s="31">
        <f>IF(AND(D207&lt;&gt;"",E207=""),1,0)</f>
        <v/>
      </c>
    </row>
    <row r="208">
      <c r="A208" s="31">
        <f>IF('6年'!N31="","",設定!$C$15)</f>
        <v/>
      </c>
      <c r="B208" s="31">
        <f>IF('6年'!N31="","",'6年'!M31)</f>
        <v/>
      </c>
      <c r="C208" s="31">
        <f>IF('6年'!N31="","",'6年'!N31)</f>
        <v/>
      </c>
      <c r="D208" s="31">
        <f>IF('6年'!N31="","",'6年'!O31&amp;"")</f>
        <v/>
      </c>
      <c r="E208" s="31">
        <f>IF(D208="","",IFERROR(MATCH(D208,設定!$I$11:$I$30,0),""))</f>
        <v/>
      </c>
      <c r="F208" s="31">
        <f>IF(E208="","",COUNTIF($E$2:E208,E208))</f>
        <v/>
      </c>
      <c r="G208" s="31">
        <f>IF(E208="","",E208*1000+F208)</f>
        <v/>
      </c>
      <c r="H208" s="31">
        <f>設定!$B$7</f>
        <v/>
      </c>
      <c r="I208" s="31">
        <f>IF(AND(C208&lt;&gt;"",D208=""),1,0)</f>
        <v/>
      </c>
      <c r="J208" s="31">
        <f>IF(AND(D208&lt;&gt;"",E208=""),1,0)</f>
        <v/>
      </c>
    </row>
    <row r="209">
      <c r="A209" s="31">
        <f>IF('6年'!N32="","",設定!$C$15)</f>
        <v/>
      </c>
      <c r="B209" s="31">
        <f>IF('6年'!N32="","",'6年'!M32)</f>
        <v/>
      </c>
      <c r="C209" s="31">
        <f>IF('6年'!N32="","",'6年'!N32)</f>
        <v/>
      </c>
      <c r="D209" s="31">
        <f>IF('6年'!N32="","",'6年'!O32&amp;"")</f>
        <v/>
      </c>
      <c r="E209" s="31">
        <f>IF(D209="","",IFERROR(MATCH(D209,設定!$I$11:$I$30,0),""))</f>
        <v/>
      </c>
      <c r="F209" s="31">
        <f>IF(E209="","",COUNTIF($E$2:E209,E209))</f>
        <v/>
      </c>
      <c r="G209" s="31">
        <f>IF(E209="","",E209*1000+F209)</f>
        <v/>
      </c>
      <c r="H209" s="31">
        <f>設定!$B$7</f>
        <v/>
      </c>
      <c r="I209" s="31">
        <f>IF(AND(C209&lt;&gt;"",D209=""),1,0)</f>
        <v/>
      </c>
      <c r="J209" s="31">
        <f>IF(AND(D209&lt;&gt;"",E209=""),1,0)</f>
        <v/>
      </c>
    </row>
    <row r="210">
      <c r="A210" s="31">
        <f>IF('6年'!N33="","",設定!$C$15)</f>
        <v/>
      </c>
      <c r="B210" s="31">
        <f>IF('6年'!N33="","",'6年'!M33)</f>
        <v/>
      </c>
      <c r="C210" s="31">
        <f>IF('6年'!N33="","",'6年'!N33)</f>
        <v/>
      </c>
      <c r="D210" s="31">
        <f>IF('6年'!N33="","",'6年'!O33&amp;"")</f>
        <v/>
      </c>
      <c r="E210" s="31">
        <f>IF(D210="","",IFERROR(MATCH(D210,設定!$I$11:$I$30,0),""))</f>
        <v/>
      </c>
      <c r="F210" s="31">
        <f>IF(E210="","",COUNTIF($E$2:E210,E210))</f>
        <v/>
      </c>
      <c r="G210" s="31">
        <f>IF(E210="","",E210*1000+F210)</f>
        <v/>
      </c>
      <c r="H210" s="31">
        <f>設定!$B$7</f>
        <v/>
      </c>
      <c r="I210" s="31">
        <f>IF(AND(C210&lt;&gt;"",D210=""),1,0)</f>
        <v/>
      </c>
      <c r="J210" s="31">
        <f>IF(AND(D210&lt;&gt;"",E210=""),1,0)</f>
        <v/>
      </c>
    </row>
    <row r="211">
      <c r="A211" s="31">
        <f>IF('6年'!N34="","",設定!$C$15)</f>
        <v/>
      </c>
      <c r="B211" s="31">
        <f>IF('6年'!N34="","",'6年'!M34)</f>
        <v/>
      </c>
      <c r="C211" s="31">
        <f>IF('6年'!N34="","",'6年'!N34)</f>
        <v/>
      </c>
      <c r="D211" s="31">
        <f>IF('6年'!N34="","",'6年'!O34&amp;"")</f>
        <v/>
      </c>
      <c r="E211" s="31">
        <f>IF(D211="","",IFERROR(MATCH(D211,設定!$I$11:$I$30,0),""))</f>
        <v/>
      </c>
      <c r="F211" s="31">
        <f>IF(E211="","",COUNTIF($E$2:E211,E211))</f>
        <v/>
      </c>
      <c r="G211" s="31">
        <f>IF(E211="","",E211*1000+F211)</f>
        <v/>
      </c>
      <c r="H211" s="31">
        <f>設定!$B$7</f>
        <v/>
      </c>
      <c r="I211" s="31">
        <f>IF(AND(C211&lt;&gt;"",D211=""),1,0)</f>
        <v/>
      </c>
      <c r="J211" s="31">
        <f>IF(AND(D211&lt;&gt;"",E211=""),1,0)</f>
        <v/>
      </c>
    </row>
    <row r="212">
      <c r="A212" s="31">
        <f>IF('6年'!N35="","",設定!$C$15)</f>
        <v/>
      </c>
      <c r="B212" s="31">
        <f>IF('6年'!N35="","",'6年'!M35)</f>
        <v/>
      </c>
      <c r="C212" s="31">
        <f>IF('6年'!N35="","",'6年'!N35)</f>
        <v/>
      </c>
      <c r="D212" s="31">
        <f>IF('6年'!N35="","",'6年'!O35&amp;"")</f>
        <v/>
      </c>
      <c r="E212" s="31">
        <f>IF(D212="","",IFERROR(MATCH(D212,設定!$I$11:$I$30,0),""))</f>
        <v/>
      </c>
      <c r="F212" s="31">
        <f>IF(E212="","",COUNTIF($E$2:E212,E212))</f>
        <v/>
      </c>
      <c r="G212" s="31">
        <f>IF(E212="","",E212*1000+F212)</f>
        <v/>
      </c>
      <c r="H212" s="31">
        <f>設定!$B$7</f>
        <v/>
      </c>
      <c r="I212" s="31">
        <f>IF(AND(C212&lt;&gt;"",D212=""),1,0)</f>
        <v/>
      </c>
      <c r="J212" s="31">
        <f>IF(AND(D212&lt;&gt;"",E212=""),1,0)</f>
        <v/>
      </c>
    </row>
    <row r="213">
      <c r="A213" s="31">
        <f>IF('6年'!N36="","",設定!$C$15)</f>
        <v/>
      </c>
      <c r="B213" s="31">
        <f>IF('6年'!N36="","",'6年'!M36)</f>
        <v/>
      </c>
      <c r="C213" s="31">
        <f>IF('6年'!N36="","",'6年'!N36)</f>
        <v/>
      </c>
      <c r="D213" s="31">
        <f>IF('6年'!N36="","",'6年'!O36&amp;"")</f>
        <v/>
      </c>
      <c r="E213" s="31">
        <f>IF(D213="","",IFERROR(MATCH(D213,設定!$I$11:$I$30,0),""))</f>
        <v/>
      </c>
      <c r="F213" s="31">
        <f>IF(E213="","",COUNTIF($E$2:E213,E213))</f>
        <v/>
      </c>
      <c r="G213" s="31">
        <f>IF(E213="","",E213*1000+F213)</f>
        <v/>
      </c>
      <c r="H213" s="31">
        <f>設定!$B$7</f>
        <v/>
      </c>
      <c r="I213" s="31">
        <f>IF(AND(C213&lt;&gt;"",D213=""),1,0)</f>
        <v/>
      </c>
      <c r="J213" s="31">
        <f>IF(AND(D213&lt;&gt;"",E213=""),1,0)</f>
        <v/>
      </c>
    </row>
    <row r="214">
      <c r="A214" s="31">
        <f>IF('6年'!N37="","",設定!$C$15)</f>
        <v/>
      </c>
      <c r="B214" s="31">
        <f>IF('6年'!N37="","",'6年'!M37)</f>
        <v/>
      </c>
      <c r="C214" s="31">
        <f>IF('6年'!N37="","",'6年'!N37)</f>
        <v/>
      </c>
      <c r="D214" s="31">
        <f>IF('6年'!N37="","",'6年'!O37&amp;"")</f>
        <v/>
      </c>
      <c r="E214" s="31">
        <f>IF(D214="","",IFERROR(MATCH(D214,設定!$I$11:$I$30,0),""))</f>
        <v/>
      </c>
      <c r="F214" s="31">
        <f>IF(E214="","",COUNTIF($E$2:E214,E214))</f>
        <v/>
      </c>
      <c r="G214" s="31">
        <f>IF(E214="","",E214*1000+F214)</f>
        <v/>
      </c>
      <c r="H214" s="31">
        <f>設定!$B$7</f>
        <v/>
      </c>
      <c r="I214" s="31">
        <f>IF(AND(C214&lt;&gt;"",D214=""),1,0)</f>
        <v/>
      </c>
      <c r="J214" s="31">
        <f>IF(AND(D214&lt;&gt;"",E214=""),1,0)</f>
        <v/>
      </c>
    </row>
    <row r="215">
      <c r="A215" s="31">
        <f>IF('6年'!N38="","",設定!$C$15)</f>
        <v/>
      </c>
      <c r="B215" s="31">
        <f>IF('6年'!N38="","",'6年'!M38)</f>
        <v/>
      </c>
      <c r="C215" s="31">
        <f>IF('6年'!N38="","",'6年'!N38)</f>
        <v/>
      </c>
      <c r="D215" s="31">
        <f>IF('6年'!N38="","",'6年'!O38&amp;"")</f>
        <v/>
      </c>
      <c r="E215" s="31">
        <f>IF(D215="","",IFERROR(MATCH(D215,設定!$I$11:$I$30,0),""))</f>
        <v/>
      </c>
      <c r="F215" s="31">
        <f>IF(E215="","",COUNTIF($E$2:E215,E215))</f>
        <v/>
      </c>
      <c r="G215" s="31">
        <f>IF(E215="","",E215*1000+F215)</f>
        <v/>
      </c>
      <c r="H215" s="31">
        <f>設定!$B$7</f>
        <v/>
      </c>
      <c r="I215" s="31">
        <f>IF(AND(C215&lt;&gt;"",D215=""),1,0)</f>
        <v/>
      </c>
      <c r="J215" s="31">
        <f>IF(AND(D215&lt;&gt;"",E215=""),1,0)</f>
        <v/>
      </c>
    </row>
    <row r="216">
      <c r="A216" s="31">
        <f>IF('6年'!N39="","",設定!$C$15)</f>
        <v/>
      </c>
      <c r="B216" s="31">
        <f>IF('6年'!N39="","",'6年'!M39)</f>
        <v/>
      </c>
      <c r="C216" s="31">
        <f>IF('6年'!N39="","",'6年'!N39)</f>
        <v/>
      </c>
      <c r="D216" s="31">
        <f>IF('6年'!N39="","",'6年'!O39&amp;"")</f>
        <v/>
      </c>
      <c r="E216" s="31">
        <f>IF(D216="","",IFERROR(MATCH(D216,設定!$I$11:$I$30,0),""))</f>
        <v/>
      </c>
      <c r="F216" s="31">
        <f>IF(E216="","",COUNTIF($E$2:E216,E216))</f>
        <v/>
      </c>
      <c r="G216" s="31">
        <f>IF(E216="","",E216*1000+F216)</f>
        <v/>
      </c>
      <c r="H216" s="31">
        <f>設定!$B$7</f>
        <v/>
      </c>
      <c r="I216" s="31">
        <f>IF(AND(C216&lt;&gt;"",D216=""),1,0)</f>
        <v/>
      </c>
      <c r="J216" s="31">
        <f>IF(AND(D216&lt;&gt;"",E216=""),1,0)</f>
        <v/>
      </c>
    </row>
    <row r="217">
      <c r="A217" s="31">
        <f>IF('6年'!N40="","",設定!$C$15)</f>
        <v/>
      </c>
      <c r="B217" s="31">
        <f>IF('6年'!N40="","",'6年'!M40)</f>
        <v/>
      </c>
      <c r="C217" s="31">
        <f>IF('6年'!N40="","",'6年'!N40)</f>
        <v/>
      </c>
      <c r="D217" s="31">
        <f>IF('6年'!N40="","",'6年'!O40&amp;"")</f>
        <v/>
      </c>
      <c r="E217" s="31">
        <f>IF(D217="","",IFERROR(MATCH(D217,設定!$I$11:$I$30,0),""))</f>
        <v/>
      </c>
      <c r="F217" s="31">
        <f>IF(E217="","",COUNTIF($E$2:E217,E217))</f>
        <v/>
      </c>
      <c r="G217" s="31">
        <f>IF(E217="","",E217*1000+F217)</f>
        <v/>
      </c>
      <c r="H217" s="31">
        <f>設定!$B$7</f>
        <v/>
      </c>
      <c r="I217" s="31">
        <f>IF(AND(C217&lt;&gt;"",D217=""),1,0)</f>
        <v/>
      </c>
      <c r="J217" s="31">
        <f>IF(AND(D217&lt;&gt;"",E217=""),1,0)</f>
        <v/>
      </c>
    </row>
    <row r="218">
      <c r="A218" s="31">
        <f>IF('6年'!N41="","",設定!$C$15)</f>
        <v/>
      </c>
      <c r="B218" s="31">
        <f>IF('6年'!N41="","",'6年'!M41)</f>
        <v/>
      </c>
      <c r="C218" s="31">
        <f>IF('6年'!N41="","",'6年'!N41)</f>
        <v/>
      </c>
      <c r="D218" s="31">
        <f>IF('6年'!N41="","",'6年'!O41&amp;"")</f>
        <v/>
      </c>
      <c r="E218" s="31">
        <f>IF(D218="","",IFERROR(MATCH(D218,設定!$I$11:$I$30,0),""))</f>
        <v/>
      </c>
      <c r="F218" s="31">
        <f>IF(E218="","",COUNTIF($E$2:E218,E218))</f>
        <v/>
      </c>
      <c r="G218" s="31">
        <f>IF(E218="","",E218*1000+F218)</f>
        <v/>
      </c>
      <c r="H218" s="31">
        <f>設定!$B$7</f>
        <v/>
      </c>
      <c r="I218" s="31">
        <f>IF(AND(C218&lt;&gt;"",D218=""),1,0)</f>
        <v/>
      </c>
      <c r="J218" s="31">
        <f>IF(AND(D218&lt;&gt;"",E218=""),1,0)</f>
        <v/>
      </c>
    </row>
    <row r="219">
      <c r="A219" s="31">
        <f>IF('6年'!N42="","",設定!$C$15)</f>
        <v/>
      </c>
      <c r="B219" s="31">
        <f>IF('6年'!N42="","",'6年'!M42)</f>
        <v/>
      </c>
      <c r="C219" s="31">
        <f>IF('6年'!N42="","",'6年'!N42)</f>
        <v/>
      </c>
      <c r="D219" s="31">
        <f>IF('6年'!N42="","",'6年'!O42&amp;"")</f>
        <v/>
      </c>
      <c r="E219" s="31">
        <f>IF(D219="","",IFERROR(MATCH(D219,設定!$I$11:$I$30,0),""))</f>
        <v/>
      </c>
      <c r="F219" s="31">
        <f>IF(E219="","",COUNTIF($E$2:E219,E219))</f>
        <v/>
      </c>
      <c r="G219" s="31">
        <f>IF(E219="","",E219*1000+F219)</f>
        <v/>
      </c>
      <c r="H219" s="31">
        <f>設定!$B$7</f>
        <v/>
      </c>
      <c r="I219" s="31">
        <f>IF(AND(C219&lt;&gt;"",D219=""),1,0)</f>
        <v/>
      </c>
      <c r="J219" s="31">
        <f>IF(AND(D219&lt;&gt;"",E219=""),1,0)</f>
        <v/>
      </c>
    </row>
    <row r="220">
      <c r="A220" s="31">
        <f>IF('6年'!N43="","",設定!$C$15)</f>
        <v/>
      </c>
      <c r="B220" s="31">
        <f>IF('6年'!N43="","",'6年'!M43)</f>
        <v/>
      </c>
      <c r="C220" s="31">
        <f>IF('6年'!N43="","",'6年'!N43)</f>
        <v/>
      </c>
      <c r="D220" s="31">
        <f>IF('6年'!N43="","",'6年'!O43&amp;"")</f>
        <v/>
      </c>
      <c r="E220" s="31">
        <f>IF(D220="","",IFERROR(MATCH(D220,設定!$I$11:$I$30,0),""))</f>
        <v/>
      </c>
      <c r="F220" s="31">
        <f>IF(E220="","",COUNTIF($E$2:E220,E220))</f>
        <v/>
      </c>
      <c r="G220" s="31">
        <f>IF(E220="","",E220*1000+F220)</f>
        <v/>
      </c>
      <c r="H220" s="31">
        <f>設定!$B$7</f>
        <v/>
      </c>
      <c r="I220" s="31">
        <f>IF(AND(C220&lt;&gt;"",D220=""),1,0)</f>
        <v/>
      </c>
      <c r="J220" s="31">
        <f>IF(AND(D220&lt;&gt;"",E220=""),1,0)</f>
        <v/>
      </c>
    </row>
    <row r="221">
      <c r="A221" s="31">
        <f>IF('6年'!N44="","",設定!$C$15)</f>
        <v/>
      </c>
      <c r="B221" s="31">
        <f>IF('6年'!N44="","",'6年'!M44)</f>
        <v/>
      </c>
      <c r="C221" s="31">
        <f>IF('6年'!N44="","",'6年'!N44)</f>
        <v/>
      </c>
      <c r="D221" s="31">
        <f>IF('6年'!N44="","",'6年'!O44&amp;"")</f>
        <v/>
      </c>
      <c r="E221" s="31">
        <f>IF(D221="","",IFERROR(MATCH(D221,設定!$I$11:$I$30,0),""))</f>
        <v/>
      </c>
      <c r="F221" s="31">
        <f>IF(E221="","",COUNTIF($E$2:E221,E221))</f>
        <v/>
      </c>
      <c r="G221" s="31">
        <f>IF(E221="","",E221*1000+F221)</f>
        <v/>
      </c>
      <c r="H221" s="31">
        <f>設定!$B$7</f>
        <v/>
      </c>
      <c r="I221" s="31">
        <f>IF(AND(C221&lt;&gt;"",D221=""),1,0)</f>
        <v/>
      </c>
      <c r="J221" s="31">
        <f>IF(AND(D221&lt;&gt;"",E221=""),1,0)</f>
        <v/>
      </c>
    </row>
    <row r="222">
      <c r="A222" s="31">
        <f>IF('6年'!N45="","",設定!$C$15)</f>
        <v/>
      </c>
      <c r="B222" s="31">
        <f>IF('6年'!N45="","",'6年'!M45)</f>
        <v/>
      </c>
      <c r="C222" s="31">
        <f>IF('6年'!N45="","",'6年'!N45)</f>
        <v/>
      </c>
      <c r="D222" s="31">
        <f>IF('6年'!N45="","",'6年'!O45&amp;"")</f>
        <v/>
      </c>
      <c r="E222" s="31">
        <f>IF(D222="","",IFERROR(MATCH(D222,設定!$I$11:$I$30,0),""))</f>
        <v/>
      </c>
      <c r="F222" s="31">
        <f>IF(E222="","",COUNTIF($E$2:E222,E222))</f>
        <v/>
      </c>
      <c r="G222" s="31">
        <f>IF(E222="","",E222*1000+F222)</f>
        <v/>
      </c>
      <c r="H222" s="31">
        <f>設定!$B$7</f>
        <v/>
      </c>
      <c r="I222" s="31">
        <f>IF(AND(C222&lt;&gt;"",D222=""),1,0)</f>
        <v/>
      </c>
      <c r="J222" s="31">
        <f>IF(AND(D222&lt;&gt;"",E222=""),1,0)</f>
        <v/>
      </c>
    </row>
    <row r="223">
      <c r="A223" s="31">
        <f>IF('6年'!N46="","",設定!$C$15)</f>
        <v/>
      </c>
      <c r="B223" s="31">
        <f>IF('6年'!N46="","",'6年'!M46)</f>
        <v/>
      </c>
      <c r="C223" s="31">
        <f>IF('6年'!N46="","",'6年'!N46)</f>
        <v/>
      </c>
      <c r="D223" s="31">
        <f>IF('6年'!N46="","",'6年'!O46&amp;"")</f>
        <v/>
      </c>
      <c r="E223" s="31">
        <f>IF(D223="","",IFERROR(MATCH(D223,設定!$I$11:$I$30,0),""))</f>
        <v/>
      </c>
      <c r="F223" s="31">
        <f>IF(E223="","",COUNTIF($E$2:E223,E223))</f>
        <v/>
      </c>
      <c r="G223" s="31">
        <f>IF(E223="","",E223*1000+F223)</f>
        <v/>
      </c>
      <c r="H223" s="31">
        <f>設定!$B$7</f>
        <v/>
      </c>
      <c r="I223" s="31">
        <f>IF(AND(C223&lt;&gt;"",D223=""),1,0)</f>
        <v/>
      </c>
      <c r="J223" s="31">
        <f>IF(AND(D223&lt;&gt;"",E223=""),1,0)</f>
        <v/>
      </c>
    </row>
    <row r="224">
      <c r="A224" s="31">
        <f>IF('6年'!N47="","",設定!$C$15)</f>
        <v/>
      </c>
      <c r="B224" s="31">
        <f>IF('6年'!N47="","",'6年'!M47)</f>
        <v/>
      </c>
      <c r="C224" s="31">
        <f>IF('6年'!N47="","",'6年'!N47)</f>
        <v/>
      </c>
      <c r="D224" s="31">
        <f>IF('6年'!N47="","",'6年'!O47&amp;"")</f>
        <v/>
      </c>
      <c r="E224" s="31">
        <f>IF(D224="","",IFERROR(MATCH(D224,設定!$I$11:$I$30,0),""))</f>
        <v/>
      </c>
      <c r="F224" s="31">
        <f>IF(E224="","",COUNTIF($E$2:E224,E224))</f>
        <v/>
      </c>
      <c r="G224" s="31">
        <f>IF(E224="","",E224*1000+F224)</f>
        <v/>
      </c>
      <c r="H224" s="31">
        <f>設定!$B$7</f>
        <v/>
      </c>
      <c r="I224" s="31">
        <f>IF(AND(C224&lt;&gt;"",D224=""),1,0)</f>
        <v/>
      </c>
      <c r="J224" s="31">
        <f>IF(AND(D224&lt;&gt;"",E224=""),1,0)</f>
        <v/>
      </c>
    </row>
    <row r="225">
      <c r="A225" s="31">
        <f>IF('6年'!N48="","",設定!$C$15)</f>
        <v/>
      </c>
      <c r="B225" s="31">
        <f>IF('6年'!N48="","",'6年'!M48)</f>
        <v/>
      </c>
      <c r="C225" s="31">
        <f>IF('6年'!N48="","",'6年'!N48)</f>
        <v/>
      </c>
      <c r="D225" s="31">
        <f>IF('6年'!N48="","",'6年'!O48&amp;"")</f>
        <v/>
      </c>
      <c r="E225" s="31">
        <f>IF(D225="","",IFERROR(MATCH(D225,設定!$I$11:$I$30,0),""))</f>
        <v/>
      </c>
      <c r="F225" s="31">
        <f>IF(E225="","",COUNTIF($E$2:E225,E225))</f>
        <v/>
      </c>
      <c r="G225" s="31">
        <f>IF(E225="","",E225*1000+F225)</f>
        <v/>
      </c>
      <c r="H225" s="31">
        <f>設定!$B$7</f>
        <v/>
      </c>
      <c r="I225" s="31">
        <f>IF(AND(C225&lt;&gt;"",D225=""),1,0)</f>
        <v/>
      </c>
      <c r="J225" s="31">
        <f>IF(AND(D225&lt;&gt;"",E225=""),1,0)</f>
        <v/>
      </c>
    </row>
    <row r="226">
      <c r="A226" s="31">
        <f>IF('6年'!N49="","",設定!$C$15)</f>
        <v/>
      </c>
      <c r="B226" s="31">
        <f>IF('6年'!N49="","",'6年'!M49)</f>
        <v/>
      </c>
      <c r="C226" s="31">
        <f>IF('6年'!N49="","",'6年'!N49)</f>
        <v/>
      </c>
      <c r="D226" s="31">
        <f>IF('6年'!N49="","",'6年'!O49&amp;"")</f>
        <v/>
      </c>
      <c r="E226" s="31">
        <f>IF(D226="","",IFERROR(MATCH(D226,設定!$I$11:$I$30,0),""))</f>
        <v/>
      </c>
      <c r="F226" s="31">
        <f>IF(E226="","",COUNTIF($E$2:E226,E226))</f>
        <v/>
      </c>
      <c r="G226" s="31">
        <f>IF(E226="","",E226*1000+F226)</f>
        <v/>
      </c>
      <c r="H226" s="31">
        <f>設定!$B$7</f>
        <v/>
      </c>
      <c r="I226" s="31">
        <f>IF(AND(C226&lt;&gt;"",D226=""),1,0)</f>
        <v/>
      </c>
      <c r="J226" s="31">
        <f>IF(AND(D226&lt;&gt;"",E226=""),1,0)</f>
        <v/>
      </c>
    </row>
    <row r="227">
      <c r="A227" s="31">
        <f>IF('6年'!Q5="","",設定!$C$16)</f>
        <v/>
      </c>
      <c r="B227" s="31">
        <f>IF('6年'!Q5="","",'6年'!P5)</f>
        <v/>
      </c>
      <c r="C227" s="31">
        <f>IF('6年'!Q5="","",'6年'!Q5)</f>
        <v/>
      </c>
      <c r="D227" s="31">
        <f>IF('6年'!Q5="","",'6年'!R5&amp;"")</f>
        <v/>
      </c>
      <c r="E227" s="31">
        <f>IF(D227="","",IFERROR(MATCH(D227,設定!$I$11:$I$30,0),""))</f>
        <v/>
      </c>
      <c r="F227" s="31">
        <f>IF(E227="","",COUNTIF($E$2:E227,E227))</f>
        <v/>
      </c>
      <c r="G227" s="31">
        <f>IF(E227="","",E227*1000+F227)</f>
        <v/>
      </c>
      <c r="H227" s="31">
        <f>設定!$B$7</f>
        <v/>
      </c>
      <c r="I227" s="31">
        <f>IF(AND(C227&lt;&gt;"",D227=""),1,0)</f>
        <v/>
      </c>
      <c r="J227" s="31">
        <f>IF(AND(D227&lt;&gt;"",E227=""),1,0)</f>
        <v/>
      </c>
    </row>
    <row r="228">
      <c r="A228" s="31">
        <f>IF('6年'!Q6="","",設定!$C$16)</f>
        <v/>
      </c>
      <c r="B228" s="31">
        <f>IF('6年'!Q6="","",'6年'!P6)</f>
        <v/>
      </c>
      <c r="C228" s="31">
        <f>IF('6年'!Q6="","",'6年'!Q6)</f>
        <v/>
      </c>
      <c r="D228" s="31">
        <f>IF('6年'!Q6="","",'6年'!R6&amp;"")</f>
        <v/>
      </c>
      <c r="E228" s="31">
        <f>IF(D228="","",IFERROR(MATCH(D228,設定!$I$11:$I$30,0),""))</f>
        <v/>
      </c>
      <c r="F228" s="31">
        <f>IF(E228="","",COUNTIF($E$2:E228,E228))</f>
        <v/>
      </c>
      <c r="G228" s="31">
        <f>IF(E228="","",E228*1000+F228)</f>
        <v/>
      </c>
      <c r="H228" s="31">
        <f>設定!$B$7</f>
        <v/>
      </c>
      <c r="I228" s="31">
        <f>IF(AND(C228&lt;&gt;"",D228=""),1,0)</f>
        <v/>
      </c>
      <c r="J228" s="31">
        <f>IF(AND(D228&lt;&gt;"",E228=""),1,0)</f>
        <v/>
      </c>
    </row>
    <row r="229">
      <c r="A229" s="31">
        <f>IF('6年'!Q7="","",設定!$C$16)</f>
        <v/>
      </c>
      <c r="B229" s="31">
        <f>IF('6年'!Q7="","",'6年'!P7)</f>
        <v/>
      </c>
      <c r="C229" s="31">
        <f>IF('6年'!Q7="","",'6年'!Q7)</f>
        <v/>
      </c>
      <c r="D229" s="31">
        <f>IF('6年'!Q7="","",'6年'!R7&amp;"")</f>
        <v/>
      </c>
      <c r="E229" s="31">
        <f>IF(D229="","",IFERROR(MATCH(D229,設定!$I$11:$I$30,0),""))</f>
        <v/>
      </c>
      <c r="F229" s="31">
        <f>IF(E229="","",COUNTIF($E$2:E229,E229))</f>
        <v/>
      </c>
      <c r="G229" s="31">
        <f>IF(E229="","",E229*1000+F229)</f>
        <v/>
      </c>
      <c r="H229" s="31">
        <f>設定!$B$7</f>
        <v/>
      </c>
      <c r="I229" s="31">
        <f>IF(AND(C229&lt;&gt;"",D229=""),1,0)</f>
        <v/>
      </c>
      <c r="J229" s="31">
        <f>IF(AND(D229&lt;&gt;"",E229=""),1,0)</f>
        <v/>
      </c>
    </row>
    <row r="230">
      <c r="A230" s="31">
        <f>IF('6年'!Q8="","",設定!$C$16)</f>
        <v/>
      </c>
      <c r="B230" s="31">
        <f>IF('6年'!Q8="","",'6年'!P8)</f>
        <v/>
      </c>
      <c r="C230" s="31">
        <f>IF('6年'!Q8="","",'6年'!Q8)</f>
        <v/>
      </c>
      <c r="D230" s="31">
        <f>IF('6年'!Q8="","",'6年'!R8&amp;"")</f>
        <v/>
      </c>
      <c r="E230" s="31">
        <f>IF(D230="","",IFERROR(MATCH(D230,設定!$I$11:$I$30,0),""))</f>
        <v/>
      </c>
      <c r="F230" s="31">
        <f>IF(E230="","",COUNTIF($E$2:E230,E230))</f>
        <v/>
      </c>
      <c r="G230" s="31">
        <f>IF(E230="","",E230*1000+F230)</f>
        <v/>
      </c>
      <c r="H230" s="31">
        <f>設定!$B$7</f>
        <v/>
      </c>
      <c r="I230" s="31">
        <f>IF(AND(C230&lt;&gt;"",D230=""),1,0)</f>
        <v/>
      </c>
      <c r="J230" s="31">
        <f>IF(AND(D230&lt;&gt;"",E230=""),1,0)</f>
        <v/>
      </c>
    </row>
    <row r="231">
      <c r="A231" s="31">
        <f>IF('6年'!Q9="","",設定!$C$16)</f>
        <v/>
      </c>
      <c r="B231" s="31">
        <f>IF('6年'!Q9="","",'6年'!P9)</f>
        <v/>
      </c>
      <c r="C231" s="31">
        <f>IF('6年'!Q9="","",'6年'!Q9)</f>
        <v/>
      </c>
      <c r="D231" s="31">
        <f>IF('6年'!Q9="","",'6年'!R9&amp;"")</f>
        <v/>
      </c>
      <c r="E231" s="31">
        <f>IF(D231="","",IFERROR(MATCH(D231,設定!$I$11:$I$30,0),""))</f>
        <v/>
      </c>
      <c r="F231" s="31">
        <f>IF(E231="","",COUNTIF($E$2:E231,E231))</f>
        <v/>
      </c>
      <c r="G231" s="31">
        <f>IF(E231="","",E231*1000+F231)</f>
        <v/>
      </c>
      <c r="H231" s="31">
        <f>設定!$B$7</f>
        <v/>
      </c>
      <c r="I231" s="31">
        <f>IF(AND(C231&lt;&gt;"",D231=""),1,0)</f>
        <v/>
      </c>
      <c r="J231" s="31">
        <f>IF(AND(D231&lt;&gt;"",E231=""),1,0)</f>
        <v/>
      </c>
    </row>
    <row r="232">
      <c r="A232" s="31">
        <f>IF('6年'!Q10="","",設定!$C$16)</f>
        <v/>
      </c>
      <c r="B232" s="31">
        <f>IF('6年'!Q10="","",'6年'!P10)</f>
        <v/>
      </c>
      <c r="C232" s="31">
        <f>IF('6年'!Q10="","",'6年'!Q10)</f>
        <v/>
      </c>
      <c r="D232" s="31">
        <f>IF('6年'!Q10="","",'6年'!R10&amp;"")</f>
        <v/>
      </c>
      <c r="E232" s="31">
        <f>IF(D232="","",IFERROR(MATCH(D232,設定!$I$11:$I$30,0),""))</f>
        <v/>
      </c>
      <c r="F232" s="31">
        <f>IF(E232="","",COUNTIF($E$2:E232,E232))</f>
        <v/>
      </c>
      <c r="G232" s="31">
        <f>IF(E232="","",E232*1000+F232)</f>
        <v/>
      </c>
      <c r="H232" s="31">
        <f>設定!$B$7</f>
        <v/>
      </c>
      <c r="I232" s="31">
        <f>IF(AND(C232&lt;&gt;"",D232=""),1,0)</f>
        <v/>
      </c>
      <c r="J232" s="31">
        <f>IF(AND(D232&lt;&gt;"",E232=""),1,0)</f>
        <v/>
      </c>
    </row>
    <row r="233">
      <c r="A233" s="31">
        <f>IF('6年'!Q11="","",設定!$C$16)</f>
        <v/>
      </c>
      <c r="B233" s="31">
        <f>IF('6年'!Q11="","",'6年'!P11)</f>
        <v/>
      </c>
      <c r="C233" s="31">
        <f>IF('6年'!Q11="","",'6年'!Q11)</f>
        <v/>
      </c>
      <c r="D233" s="31">
        <f>IF('6年'!Q11="","",'6年'!R11&amp;"")</f>
        <v/>
      </c>
      <c r="E233" s="31">
        <f>IF(D233="","",IFERROR(MATCH(D233,設定!$I$11:$I$30,0),""))</f>
        <v/>
      </c>
      <c r="F233" s="31">
        <f>IF(E233="","",COUNTIF($E$2:E233,E233))</f>
        <v/>
      </c>
      <c r="G233" s="31">
        <f>IF(E233="","",E233*1000+F233)</f>
        <v/>
      </c>
      <c r="H233" s="31">
        <f>設定!$B$7</f>
        <v/>
      </c>
      <c r="I233" s="31">
        <f>IF(AND(C233&lt;&gt;"",D233=""),1,0)</f>
        <v/>
      </c>
      <c r="J233" s="31">
        <f>IF(AND(D233&lt;&gt;"",E233=""),1,0)</f>
        <v/>
      </c>
    </row>
    <row r="234">
      <c r="A234" s="31">
        <f>IF('6年'!Q12="","",設定!$C$16)</f>
        <v/>
      </c>
      <c r="B234" s="31">
        <f>IF('6年'!Q12="","",'6年'!P12)</f>
        <v/>
      </c>
      <c r="C234" s="31">
        <f>IF('6年'!Q12="","",'6年'!Q12)</f>
        <v/>
      </c>
      <c r="D234" s="31">
        <f>IF('6年'!Q12="","",'6年'!R12&amp;"")</f>
        <v/>
      </c>
      <c r="E234" s="31">
        <f>IF(D234="","",IFERROR(MATCH(D234,設定!$I$11:$I$30,0),""))</f>
        <v/>
      </c>
      <c r="F234" s="31">
        <f>IF(E234="","",COUNTIF($E$2:E234,E234))</f>
        <v/>
      </c>
      <c r="G234" s="31">
        <f>IF(E234="","",E234*1000+F234)</f>
        <v/>
      </c>
      <c r="H234" s="31">
        <f>設定!$B$7</f>
        <v/>
      </c>
      <c r="I234" s="31">
        <f>IF(AND(C234&lt;&gt;"",D234=""),1,0)</f>
        <v/>
      </c>
      <c r="J234" s="31">
        <f>IF(AND(D234&lt;&gt;"",E234=""),1,0)</f>
        <v/>
      </c>
    </row>
    <row r="235">
      <c r="A235" s="31">
        <f>IF('6年'!Q13="","",設定!$C$16)</f>
        <v/>
      </c>
      <c r="B235" s="31">
        <f>IF('6年'!Q13="","",'6年'!P13)</f>
        <v/>
      </c>
      <c r="C235" s="31">
        <f>IF('6年'!Q13="","",'6年'!Q13)</f>
        <v/>
      </c>
      <c r="D235" s="31">
        <f>IF('6年'!Q13="","",'6年'!R13&amp;"")</f>
        <v/>
      </c>
      <c r="E235" s="31">
        <f>IF(D235="","",IFERROR(MATCH(D235,設定!$I$11:$I$30,0),""))</f>
        <v/>
      </c>
      <c r="F235" s="31">
        <f>IF(E235="","",COUNTIF($E$2:E235,E235))</f>
        <v/>
      </c>
      <c r="G235" s="31">
        <f>IF(E235="","",E235*1000+F235)</f>
        <v/>
      </c>
      <c r="H235" s="31">
        <f>設定!$B$7</f>
        <v/>
      </c>
      <c r="I235" s="31">
        <f>IF(AND(C235&lt;&gt;"",D235=""),1,0)</f>
        <v/>
      </c>
      <c r="J235" s="31">
        <f>IF(AND(D235&lt;&gt;"",E235=""),1,0)</f>
        <v/>
      </c>
    </row>
    <row r="236">
      <c r="A236" s="31">
        <f>IF('6年'!Q14="","",設定!$C$16)</f>
        <v/>
      </c>
      <c r="B236" s="31">
        <f>IF('6年'!Q14="","",'6年'!P14)</f>
        <v/>
      </c>
      <c r="C236" s="31">
        <f>IF('6年'!Q14="","",'6年'!Q14)</f>
        <v/>
      </c>
      <c r="D236" s="31">
        <f>IF('6年'!Q14="","",'6年'!R14&amp;"")</f>
        <v/>
      </c>
      <c r="E236" s="31">
        <f>IF(D236="","",IFERROR(MATCH(D236,設定!$I$11:$I$30,0),""))</f>
        <v/>
      </c>
      <c r="F236" s="31">
        <f>IF(E236="","",COUNTIF($E$2:E236,E236))</f>
        <v/>
      </c>
      <c r="G236" s="31">
        <f>IF(E236="","",E236*1000+F236)</f>
        <v/>
      </c>
      <c r="H236" s="31">
        <f>設定!$B$7</f>
        <v/>
      </c>
      <c r="I236" s="31">
        <f>IF(AND(C236&lt;&gt;"",D236=""),1,0)</f>
        <v/>
      </c>
      <c r="J236" s="31">
        <f>IF(AND(D236&lt;&gt;"",E236=""),1,0)</f>
        <v/>
      </c>
    </row>
    <row r="237">
      <c r="A237" s="31">
        <f>IF('6年'!Q15="","",設定!$C$16)</f>
        <v/>
      </c>
      <c r="B237" s="31">
        <f>IF('6年'!Q15="","",'6年'!P15)</f>
        <v/>
      </c>
      <c r="C237" s="31">
        <f>IF('6年'!Q15="","",'6年'!Q15)</f>
        <v/>
      </c>
      <c r="D237" s="31">
        <f>IF('6年'!Q15="","",'6年'!R15&amp;"")</f>
        <v/>
      </c>
      <c r="E237" s="31">
        <f>IF(D237="","",IFERROR(MATCH(D237,設定!$I$11:$I$30,0),""))</f>
        <v/>
      </c>
      <c r="F237" s="31">
        <f>IF(E237="","",COUNTIF($E$2:E237,E237))</f>
        <v/>
      </c>
      <c r="G237" s="31">
        <f>IF(E237="","",E237*1000+F237)</f>
        <v/>
      </c>
      <c r="H237" s="31">
        <f>設定!$B$7</f>
        <v/>
      </c>
      <c r="I237" s="31">
        <f>IF(AND(C237&lt;&gt;"",D237=""),1,0)</f>
        <v/>
      </c>
      <c r="J237" s="31">
        <f>IF(AND(D237&lt;&gt;"",E237=""),1,0)</f>
        <v/>
      </c>
    </row>
    <row r="238">
      <c r="A238" s="31">
        <f>IF('6年'!Q16="","",設定!$C$16)</f>
        <v/>
      </c>
      <c r="B238" s="31">
        <f>IF('6年'!Q16="","",'6年'!P16)</f>
        <v/>
      </c>
      <c r="C238" s="31">
        <f>IF('6年'!Q16="","",'6年'!Q16)</f>
        <v/>
      </c>
      <c r="D238" s="31">
        <f>IF('6年'!Q16="","",'6年'!R16&amp;"")</f>
        <v/>
      </c>
      <c r="E238" s="31">
        <f>IF(D238="","",IFERROR(MATCH(D238,設定!$I$11:$I$30,0),""))</f>
        <v/>
      </c>
      <c r="F238" s="31">
        <f>IF(E238="","",COUNTIF($E$2:E238,E238))</f>
        <v/>
      </c>
      <c r="G238" s="31">
        <f>IF(E238="","",E238*1000+F238)</f>
        <v/>
      </c>
      <c r="H238" s="31">
        <f>設定!$B$7</f>
        <v/>
      </c>
      <c r="I238" s="31">
        <f>IF(AND(C238&lt;&gt;"",D238=""),1,0)</f>
        <v/>
      </c>
      <c r="J238" s="31">
        <f>IF(AND(D238&lt;&gt;"",E238=""),1,0)</f>
        <v/>
      </c>
    </row>
    <row r="239">
      <c r="A239" s="31">
        <f>IF('6年'!Q17="","",設定!$C$16)</f>
        <v/>
      </c>
      <c r="B239" s="31">
        <f>IF('6年'!Q17="","",'6年'!P17)</f>
        <v/>
      </c>
      <c r="C239" s="31">
        <f>IF('6年'!Q17="","",'6年'!Q17)</f>
        <v/>
      </c>
      <c r="D239" s="31">
        <f>IF('6年'!Q17="","",'6年'!R17&amp;"")</f>
        <v/>
      </c>
      <c r="E239" s="31">
        <f>IF(D239="","",IFERROR(MATCH(D239,設定!$I$11:$I$30,0),""))</f>
        <v/>
      </c>
      <c r="F239" s="31">
        <f>IF(E239="","",COUNTIF($E$2:E239,E239))</f>
        <v/>
      </c>
      <c r="G239" s="31">
        <f>IF(E239="","",E239*1000+F239)</f>
        <v/>
      </c>
      <c r="H239" s="31">
        <f>設定!$B$7</f>
        <v/>
      </c>
      <c r="I239" s="31">
        <f>IF(AND(C239&lt;&gt;"",D239=""),1,0)</f>
        <v/>
      </c>
      <c r="J239" s="31">
        <f>IF(AND(D239&lt;&gt;"",E239=""),1,0)</f>
        <v/>
      </c>
    </row>
    <row r="240">
      <c r="A240" s="31">
        <f>IF('6年'!Q18="","",設定!$C$16)</f>
        <v/>
      </c>
      <c r="B240" s="31">
        <f>IF('6年'!Q18="","",'6年'!P18)</f>
        <v/>
      </c>
      <c r="C240" s="31">
        <f>IF('6年'!Q18="","",'6年'!Q18)</f>
        <v/>
      </c>
      <c r="D240" s="31">
        <f>IF('6年'!Q18="","",'6年'!R18&amp;"")</f>
        <v/>
      </c>
      <c r="E240" s="31">
        <f>IF(D240="","",IFERROR(MATCH(D240,設定!$I$11:$I$30,0),""))</f>
        <v/>
      </c>
      <c r="F240" s="31">
        <f>IF(E240="","",COUNTIF($E$2:E240,E240))</f>
        <v/>
      </c>
      <c r="G240" s="31">
        <f>IF(E240="","",E240*1000+F240)</f>
        <v/>
      </c>
      <c r="H240" s="31">
        <f>設定!$B$7</f>
        <v/>
      </c>
      <c r="I240" s="31">
        <f>IF(AND(C240&lt;&gt;"",D240=""),1,0)</f>
        <v/>
      </c>
      <c r="J240" s="31">
        <f>IF(AND(D240&lt;&gt;"",E240=""),1,0)</f>
        <v/>
      </c>
    </row>
    <row r="241">
      <c r="A241" s="31">
        <f>IF('6年'!Q19="","",設定!$C$16)</f>
        <v/>
      </c>
      <c r="B241" s="31">
        <f>IF('6年'!Q19="","",'6年'!P19)</f>
        <v/>
      </c>
      <c r="C241" s="31">
        <f>IF('6年'!Q19="","",'6年'!Q19)</f>
        <v/>
      </c>
      <c r="D241" s="31">
        <f>IF('6年'!Q19="","",'6年'!R19&amp;"")</f>
        <v/>
      </c>
      <c r="E241" s="31">
        <f>IF(D241="","",IFERROR(MATCH(D241,設定!$I$11:$I$30,0),""))</f>
        <v/>
      </c>
      <c r="F241" s="31">
        <f>IF(E241="","",COUNTIF($E$2:E241,E241))</f>
        <v/>
      </c>
      <c r="G241" s="31">
        <f>IF(E241="","",E241*1000+F241)</f>
        <v/>
      </c>
      <c r="H241" s="31">
        <f>設定!$B$7</f>
        <v/>
      </c>
      <c r="I241" s="31">
        <f>IF(AND(C241&lt;&gt;"",D241=""),1,0)</f>
        <v/>
      </c>
      <c r="J241" s="31">
        <f>IF(AND(D241&lt;&gt;"",E241=""),1,0)</f>
        <v/>
      </c>
    </row>
    <row r="242">
      <c r="A242" s="31">
        <f>IF('6年'!Q20="","",設定!$C$16)</f>
        <v/>
      </c>
      <c r="B242" s="31">
        <f>IF('6年'!Q20="","",'6年'!P20)</f>
        <v/>
      </c>
      <c r="C242" s="31">
        <f>IF('6年'!Q20="","",'6年'!Q20)</f>
        <v/>
      </c>
      <c r="D242" s="31">
        <f>IF('6年'!Q20="","",'6年'!R20&amp;"")</f>
        <v/>
      </c>
      <c r="E242" s="31">
        <f>IF(D242="","",IFERROR(MATCH(D242,設定!$I$11:$I$30,0),""))</f>
        <v/>
      </c>
      <c r="F242" s="31">
        <f>IF(E242="","",COUNTIF($E$2:E242,E242))</f>
        <v/>
      </c>
      <c r="G242" s="31">
        <f>IF(E242="","",E242*1000+F242)</f>
        <v/>
      </c>
      <c r="H242" s="31">
        <f>設定!$B$7</f>
        <v/>
      </c>
      <c r="I242" s="31">
        <f>IF(AND(C242&lt;&gt;"",D242=""),1,0)</f>
        <v/>
      </c>
      <c r="J242" s="31">
        <f>IF(AND(D242&lt;&gt;"",E242=""),1,0)</f>
        <v/>
      </c>
    </row>
    <row r="243">
      <c r="A243" s="31">
        <f>IF('6年'!Q21="","",設定!$C$16)</f>
        <v/>
      </c>
      <c r="B243" s="31">
        <f>IF('6年'!Q21="","",'6年'!P21)</f>
        <v/>
      </c>
      <c r="C243" s="31">
        <f>IF('6年'!Q21="","",'6年'!Q21)</f>
        <v/>
      </c>
      <c r="D243" s="31">
        <f>IF('6年'!Q21="","",'6年'!R21&amp;"")</f>
        <v/>
      </c>
      <c r="E243" s="31">
        <f>IF(D243="","",IFERROR(MATCH(D243,設定!$I$11:$I$30,0),""))</f>
        <v/>
      </c>
      <c r="F243" s="31">
        <f>IF(E243="","",COUNTIF($E$2:E243,E243))</f>
        <v/>
      </c>
      <c r="G243" s="31">
        <f>IF(E243="","",E243*1000+F243)</f>
        <v/>
      </c>
      <c r="H243" s="31">
        <f>設定!$B$7</f>
        <v/>
      </c>
      <c r="I243" s="31">
        <f>IF(AND(C243&lt;&gt;"",D243=""),1,0)</f>
        <v/>
      </c>
      <c r="J243" s="31">
        <f>IF(AND(D243&lt;&gt;"",E243=""),1,0)</f>
        <v/>
      </c>
    </row>
    <row r="244">
      <c r="A244" s="31">
        <f>IF('6年'!Q22="","",設定!$C$16)</f>
        <v/>
      </c>
      <c r="B244" s="31">
        <f>IF('6年'!Q22="","",'6年'!P22)</f>
        <v/>
      </c>
      <c r="C244" s="31">
        <f>IF('6年'!Q22="","",'6年'!Q22)</f>
        <v/>
      </c>
      <c r="D244" s="31">
        <f>IF('6年'!Q22="","",'6年'!R22&amp;"")</f>
        <v/>
      </c>
      <c r="E244" s="31">
        <f>IF(D244="","",IFERROR(MATCH(D244,設定!$I$11:$I$30,0),""))</f>
        <v/>
      </c>
      <c r="F244" s="31">
        <f>IF(E244="","",COUNTIF($E$2:E244,E244))</f>
        <v/>
      </c>
      <c r="G244" s="31">
        <f>IF(E244="","",E244*1000+F244)</f>
        <v/>
      </c>
      <c r="H244" s="31">
        <f>設定!$B$7</f>
        <v/>
      </c>
      <c r="I244" s="31">
        <f>IF(AND(C244&lt;&gt;"",D244=""),1,0)</f>
        <v/>
      </c>
      <c r="J244" s="31">
        <f>IF(AND(D244&lt;&gt;"",E244=""),1,0)</f>
        <v/>
      </c>
    </row>
    <row r="245">
      <c r="A245" s="31">
        <f>IF('6年'!Q23="","",設定!$C$16)</f>
        <v/>
      </c>
      <c r="B245" s="31">
        <f>IF('6年'!Q23="","",'6年'!P23)</f>
        <v/>
      </c>
      <c r="C245" s="31">
        <f>IF('6年'!Q23="","",'6年'!Q23)</f>
        <v/>
      </c>
      <c r="D245" s="31">
        <f>IF('6年'!Q23="","",'6年'!R23&amp;"")</f>
        <v/>
      </c>
      <c r="E245" s="31">
        <f>IF(D245="","",IFERROR(MATCH(D245,設定!$I$11:$I$30,0),""))</f>
        <v/>
      </c>
      <c r="F245" s="31">
        <f>IF(E245="","",COUNTIF($E$2:E245,E245))</f>
        <v/>
      </c>
      <c r="G245" s="31">
        <f>IF(E245="","",E245*1000+F245)</f>
        <v/>
      </c>
      <c r="H245" s="31">
        <f>設定!$B$7</f>
        <v/>
      </c>
      <c r="I245" s="31">
        <f>IF(AND(C245&lt;&gt;"",D245=""),1,0)</f>
        <v/>
      </c>
      <c r="J245" s="31">
        <f>IF(AND(D245&lt;&gt;"",E245=""),1,0)</f>
        <v/>
      </c>
    </row>
    <row r="246">
      <c r="A246" s="31">
        <f>IF('6年'!Q24="","",設定!$C$16)</f>
        <v/>
      </c>
      <c r="B246" s="31">
        <f>IF('6年'!Q24="","",'6年'!P24)</f>
        <v/>
      </c>
      <c r="C246" s="31">
        <f>IF('6年'!Q24="","",'6年'!Q24)</f>
        <v/>
      </c>
      <c r="D246" s="31">
        <f>IF('6年'!Q24="","",'6年'!R24&amp;"")</f>
        <v/>
      </c>
      <c r="E246" s="31">
        <f>IF(D246="","",IFERROR(MATCH(D246,設定!$I$11:$I$30,0),""))</f>
        <v/>
      </c>
      <c r="F246" s="31">
        <f>IF(E246="","",COUNTIF($E$2:E246,E246))</f>
        <v/>
      </c>
      <c r="G246" s="31">
        <f>IF(E246="","",E246*1000+F246)</f>
        <v/>
      </c>
      <c r="H246" s="31">
        <f>設定!$B$7</f>
        <v/>
      </c>
      <c r="I246" s="31">
        <f>IF(AND(C246&lt;&gt;"",D246=""),1,0)</f>
        <v/>
      </c>
      <c r="J246" s="31">
        <f>IF(AND(D246&lt;&gt;"",E246=""),1,0)</f>
        <v/>
      </c>
    </row>
    <row r="247">
      <c r="A247" s="31">
        <f>IF('6年'!Q25="","",設定!$C$16)</f>
        <v/>
      </c>
      <c r="B247" s="31">
        <f>IF('6年'!Q25="","",'6年'!P25)</f>
        <v/>
      </c>
      <c r="C247" s="31">
        <f>IF('6年'!Q25="","",'6年'!Q25)</f>
        <v/>
      </c>
      <c r="D247" s="31">
        <f>IF('6年'!Q25="","",'6年'!R25&amp;"")</f>
        <v/>
      </c>
      <c r="E247" s="31">
        <f>IF(D247="","",IFERROR(MATCH(D247,設定!$I$11:$I$30,0),""))</f>
        <v/>
      </c>
      <c r="F247" s="31">
        <f>IF(E247="","",COUNTIF($E$2:E247,E247))</f>
        <v/>
      </c>
      <c r="G247" s="31">
        <f>IF(E247="","",E247*1000+F247)</f>
        <v/>
      </c>
      <c r="H247" s="31">
        <f>設定!$B$7</f>
        <v/>
      </c>
      <c r="I247" s="31">
        <f>IF(AND(C247&lt;&gt;"",D247=""),1,0)</f>
        <v/>
      </c>
      <c r="J247" s="31">
        <f>IF(AND(D247&lt;&gt;"",E247=""),1,0)</f>
        <v/>
      </c>
    </row>
    <row r="248">
      <c r="A248" s="31">
        <f>IF('6年'!Q26="","",設定!$C$16)</f>
        <v/>
      </c>
      <c r="B248" s="31">
        <f>IF('6年'!Q26="","",'6年'!P26)</f>
        <v/>
      </c>
      <c r="C248" s="31">
        <f>IF('6年'!Q26="","",'6年'!Q26)</f>
        <v/>
      </c>
      <c r="D248" s="31">
        <f>IF('6年'!Q26="","",'6年'!R26&amp;"")</f>
        <v/>
      </c>
      <c r="E248" s="31">
        <f>IF(D248="","",IFERROR(MATCH(D248,設定!$I$11:$I$30,0),""))</f>
        <v/>
      </c>
      <c r="F248" s="31">
        <f>IF(E248="","",COUNTIF($E$2:E248,E248))</f>
        <v/>
      </c>
      <c r="G248" s="31">
        <f>IF(E248="","",E248*1000+F248)</f>
        <v/>
      </c>
      <c r="H248" s="31">
        <f>設定!$B$7</f>
        <v/>
      </c>
      <c r="I248" s="31">
        <f>IF(AND(C248&lt;&gt;"",D248=""),1,0)</f>
        <v/>
      </c>
      <c r="J248" s="31">
        <f>IF(AND(D248&lt;&gt;"",E248=""),1,0)</f>
        <v/>
      </c>
    </row>
    <row r="249">
      <c r="A249" s="31">
        <f>IF('6年'!Q27="","",設定!$C$16)</f>
        <v/>
      </c>
      <c r="B249" s="31">
        <f>IF('6年'!Q27="","",'6年'!P27)</f>
        <v/>
      </c>
      <c r="C249" s="31">
        <f>IF('6年'!Q27="","",'6年'!Q27)</f>
        <v/>
      </c>
      <c r="D249" s="31">
        <f>IF('6年'!Q27="","",'6年'!R27&amp;"")</f>
        <v/>
      </c>
      <c r="E249" s="31">
        <f>IF(D249="","",IFERROR(MATCH(D249,設定!$I$11:$I$30,0),""))</f>
        <v/>
      </c>
      <c r="F249" s="31">
        <f>IF(E249="","",COUNTIF($E$2:E249,E249))</f>
        <v/>
      </c>
      <c r="G249" s="31">
        <f>IF(E249="","",E249*1000+F249)</f>
        <v/>
      </c>
      <c r="H249" s="31">
        <f>設定!$B$7</f>
        <v/>
      </c>
      <c r="I249" s="31">
        <f>IF(AND(C249&lt;&gt;"",D249=""),1,0)</f>
        <v/>
      </c>
      <c r="J249" s="31">
        <f>IF(AND(D249&lt;&gt;"",E249=""),1,0)</f>
        <v/>
      </c>
    </row>
    <row r="250">
      <c r="A250" s="31">
        <f>IF('6年'!Q28="","",設定!$C$16)</f>
        <v/>
      </c>
      <c r="B250" s="31">
        <f>IF('6年'!Q28="","",'6年'!P28)</f>
        <v/>
      </c>
      <c r="C250" s="31">
        <f>IF('6年'!Q28="","",'6年'!Q28)</f>
        <v/>
      </c>
      <c r="D250" s="31">
        <f>IF('6年'!Q28="","",'6年'!R28&amp;"")</f>
        <v/>
      </c>
      <c r="E250" s="31">
        <f>IF(D250="","",IFERROR(MATCH(D250,設定!$I$11:$I$30,0),""))</f>
        <v/>
      </c>
      <c r="F250" s="31">
        <f>IF(E250="","",COUNTIF($E$2:E250,E250))</f>
        <v/>
      </c>
      <c r="G250" s="31">
        <f>IF(E250="","",E250*1000+F250)</f>
        <v/>
      </c>
      <c r="H250" s="31">
        <f>設定!$B$7</f>
        <v/>
      </c>
      <c r="I250" s="31">
        <f>IF(AND(C250&lt;&gt;"",D250=""),1,0)</f>
        <v/>
      </c>
      <c r="J250" s="31">
        <f>IF(AND(D250&lt;&gt;"",E250=""),1,0)</f>
        <v/>
      </c>
    </row>
    <row r="251">
      <c r="A251" s="31">
        <f>IF('6年'!Q29="","",設定!$C$16)</f>
        <v/>
      </c>
      <c r="B251" s="31">
        <f>IF('6年'!Q29="","",'6年'!P29)</f>
        <v/>
      </c>
      <c r="C251" s="31">
        <f>IF('6年'!Q29="","",'6年'!Q29)</f>
        <v/>
      </c>
      <c r="D251" s="31">
        <f>IF('6年'!Q29="","",'6年'!R29&amp;"")</f>
        <v/>
      </c>
      <c r="E251" s="31">
        <f>IF(D251="","",IFERROR(MATCH(D251,設定!$I$11:$I$30,0),""))</f>
        <v/>
      </c>
      <c r="F251" s="31">
        <f>IF(E251="","",COUNTIF($E$2:E251,E251))</f>
        <v/>
      </c>
      <c r="G251" s="31">
        <f>IF(E251="","",E251*1000+F251)</f>
        <v/>
      </c>
      <c r="H251" s="31">
        <f>設定!$B$7</f>
        <v/>
      </c>
      <c r="I251" s="31">
        <f>IF(AND(C251&lt;&gt;"",D251=""),1,0)</f>
        <v/>
      </c>
      <c r="J251" s="31">
        <f>IF(AND(D251&lt;&gt;"",E251=""),1,0)</f>
        <v/>
      </c>
    </row>
    <row r="252">
      <c r="A252" s="31">
        <f>IF('6年'!Q30="","",設定!$C$16)</f>
        <v/>
      </c>
      <c r="B252" s="31">
        <f>IF('6年'!Q30="","",'6年'!P30)</f>
        <v/>
      </c>
      <c r="C252" s="31">
        <f>IF('6年'!Q30="","",'6年'!Q30)</f>
        <v/>
      </c>
      <c r="D252" s="31">
        <f>IF('6年'!Q30="","",'6年'!R30&amp;"")</f>
        <v/>
      </c>
      <c r="E252" s="31">
        <f>IF(D252="","",IFERROR(MATCH(D252,設定!$I$11:$I$30,0),""))</f>
        <v/>
      </c>
      <c r="F252" s="31">
        <f>IF(E252="","",COUNTIF($E$2:E252,E252))</f>
        <v/>
      </c>
      <c r="G252" s="31">
        <f>IF(E252="","",E252*1000+F252)</f>
        <v/>
      </c>
      <c r="H252" s="31">
        <f>設定!$B$7</f>
        <v/>
      </c>
      <c r="I252" s="31">
        <f>IF(AND(C252&lt;&gt;"",D252=""),1,0)</f>
        <v/>
      </c>
      <c r="J252" s="31">
        <f>IF(AND(D252&lt;&gt;"",E252=""),1,0)</f>
        <v/>
      </c>
    </row>
    <row r="253">
      <c r="A253" s="31">
        <f>IF('6年'!Q31="","",設定!$C$16)</f>
        <v/>
      </c>
      <c r="B253" s="31">
        <f>IF('6年'!Q31="","",'6年'!P31)</f>
        <v/>
      </c>
      <c r="C253" s="31">
        <f>IF('6年'!Q31="","",'6年'!Q31)</f>
        <v/>
      </c>
      <c r="D253" s="31">
        <f>IF('6年'!Q31="","",'6年'!R31&amp;"")</f>
        <v/>
      </c>
      <c r="E253" s="31">
        <f>IF(D253="","",IFERROR(MATCH(D253,設定!$I$11:$I$30,0),""))</f>
        <v/>
      </c>
      <c r="F253" s="31">
        <f>IF(E253="","",COUNTIF($E$2:E253,E253))</f>
        <v/>
      </c>
      <c r="G253" s="31">
        <f>IF(E253="","",E253*1000+F253)</f>
        <v/>
      </c>
      <c r="H253" s="31">
        <f>設定!$B$7</f>
        <v/>
      </c>
      <c r="I253" s="31">
        <f>IF(AND(C253&lt;&gt;"",D253=""),1,0)</f>
        <v/>
      </c>
      <c r="J253" s="31">
        <f>IF(AND(D253&lt;&gt;"",E253=""),1,0)</f>
        <v/>
      </c>
    </row>
    <row r="254">
      <c r="A254" s="31">
        <f>IF('6年'!Q32="","",設定!$C$16)</f>
        <v/>
      </c>
      <c r="B254" s="31">
        <f>IF('6年'!Q32="","",'6年'!P32)</f>
        <v/>
      </c>
      <c r="C254" s="31">
        <f>IF('6年'!Q32="","",'6年'!Q32)</f>
        <v/>
      </c>
      <c r="D254" s="31">
        <f>IF('6年'!Q32="","",'6年'!R32&amp;"")</f>
        <v/>
      </c>
      <c r="E254" s="31">
        <f>IF(D254="","",IFERROR(MATCH(D254,設定!$I$11:$I$30,0),""))</f>
        <v/>
      </c>
      <c r="F254" s="31">
        <f>IF(E254="","",COUNTIF($E$2:E254,E254))</f>
        <v/>
      </c>
      <c r="G254" s="31">
        <f>IF(E254="","",E254*1000+F254)</f>
        <v/>
      </c>
      <c r="H254" s="31">
        <f>設定!$B$7</f>
        <v/>
      </c>
      <c r="I254" s="31">
        <f>IF(AND(C254&lt;&gt;"",D254=""),1,0)</f>
        <v/>
      </c>
      <c r="J254" s="31">
        <f>IF(AND(D254&lt;&gt;"",E254=""),1,0)</f>
        <v/>
      </c>
    </row>
    <row r="255">
      <c r="A255" s="31">
        <f>IF('6年'!Q33="","",設定!$C$16)</f>
        <v/>
      </c>
      <c r="B255" s="31">
        <f>IF('6年'!Q33="","",'6年'!P33)</f>
        <v/>
      </c>
      <c r="C255" s="31">
        <f>IF('6年'!Q33="","",'6年'!Q33)</f>
        <v/>
      </c>
      <c r="D255" s="31">
        <f>IF('6年'!Q33="","",'6年'!R33&amp;"")</f>
        <v/>
      </c>
      <c r="E255" s="31">
        <f>IF(D255="","",IFERROR(MATCH(D255,設定!$I$11:$I$30,0),""))</f>
        <v/>
      </c>
      <c r="F255" s="31">
        <f>IF(E255="","",COUNTIF($E$2:E255,E255))</f>
        <v/>
      </c>
      <c r="G255" s="31">
        <f>IF(E255="","",E255*1000+F255)</f>
        <v/>
      </c>
      <c r="H255" s="31">
        <f>設定!$B$7</f>
        <v/>
      </c>
      <c r="I255" s="31">
        <f>IF(AND(C255&lt;&gt;"",D255=""),1,0)</f>
        <v/>
      </c>
      <c r="J255" s="31">
        <f>IF(AND(D255&lt;&gt;"",E255=""),1,0)</f>
        <v/>
      </c>
    </row>
    <row r="256">
      <c r="A256" s="31">
        <f>IF('6年'!Q34="","",設定!$C$16)</f>
        <v/>
      </c>
      <c r="B256" s="31">
        <f>IF('6年'!Q34="","",'6年'!P34)</f>
        <v/>
      </c>
      <c r="C256" s="31">
        <f>IF('6年'!Q34="","",'6年'!Q34)</f>
        <v/>
      </c>
      <c r="D256" s="31">
        <f>IF('6年'!Q34="","",'6年'!R34&amp;"")</f>
        <v/>
      </c>
      <c r="E256" s="31">
        <f>IF(D256="","",IFERROR(MATCH(D256,設定!$I$11:$I$30,0),""))</f>
        <v/>
      </c>
      <c r="F256" s="31">
        <f>IF(E256="","",COUNTIF($E$2:E256,E256))</f>
        <v/>
      </c>
      <c r="G256" s="31">
        <f>IF(E256="","",E256*1000+F256)</f>
        <v/>
      </c>
      <c r="H256" s="31">
        <f>設定!$B$7</f>
        <v/>
      </c>
      <c r="I256" s="31">
        <f>IF(AND(C256&lt;&gt;"",D256=""),1,0)</f>
        <v/>
      </c>
      <c r="J256" s="31">
        <f>IF(AND(D256&lt;&gt;"",E256=""),1,0)</f>
        <v/>
      </c>
    </row>
    <row r="257">
      <c r="A257" s="31">
        <f>IF('6年'!Q35="","",設定!$C$16)</f>
        <v/>
      </c>
      <c r="B257" s="31">
        <f>IF('6年'!Q35="","",'6年'!P35)</f>
        <v/>
      </c>
      <c r="C257" s="31">
        <f>IF('6年'!Q35="","",'6年'!Q35)</f>
        <v/>
      </c>
      <c r="D257" s="31">
        <f>IF('6年'!Q35="","",'6年'!R35&amp;"")</f>
        <v/>
      </c>
      <c r="E257" s="31">
        <f>IF(D257="","",IFERROR(MATCH(D257,設定!$I$11:$I$30,0),""))</f>
        <v/>
      </c>
      <c r="F257" s="31">
        <f>IF(E257="","",COUNTIF($E$2:E257,E257))</f>
        <v/>
      </c>
      <c r="G257" s="31">
        <f>IF(E257="","",E257*1000+F257)</f>
        <v/>
      </c>
      <c r="H257" s="31">
        <f>設定!$B$7</f>
        <v/>
      </c>
      <c r="I257" s="31">
        <f>IF(AND(C257&lt;&gt;"",D257=""),1,0)</f>
        <v/>
      </c>
      <c r="J257" s="31">
        <f>IF(AND(D257&lt;&gt;"",E257=""),1,0)</f>
        <v/>
      </c>
    </row>
    <row r="258">
      <c r="A258" s="31">
        <f>IF('6年'!Q36="","",設定!$C$16)</f>
        <v/>
      </c>
      <c r="B258" s="31">
        <f>IF('6年'!Q36="","",'6年'!P36)</f>
        <v/>
      </c>
      <c r="C258" s="31">
        <f>IF('6年'!Q36="","",'6年'!Q36)</f>
        <v/>
      </c>
      <c r="D258" s="31">
        <f>IF('6年'!Q36="","",'6年'!R36&amp;"")</f>
        <v/>
      </c>
      <c r="E258" s="31">
        <f>IF(D258="","",IFERROR(MATCH(D258,設定!$I$11:$I$30,0),""))</f>
        <v/>
      </c>
      <c r="F258" s="31">
        <f>IF(E258="","",COUNTIF($E$2:E258,E258))</f>
        <v/>
      </c>
      <c r="G258" s="31">
        <f>IF(E258="","",E258*1000+F258)</f>
        <v/>
      </c>
      <c r="H258" s="31">
        <f>設定!$B$7</f>
        <v/>
      </c>
      <c r="I258" s="31">
        <f>IF(AND(C258&lt;&gt;"",D258=""),1,0)</f>
        <v/>
      </c>
      <c r="J258" s="31">
        <f>IF(AND(D258&lt;&gt;"",E258=""),1,0)</f>
        <v/>
      </c>
    </row>
    <row r="259">
      <c r="A259" s="31">
        <f>IF('6年'!Q37="","",設定!$C$16)</f>
        <v/>
      </c>
      <c r="B259" s="31">
        <f>IF('6年'!Q37="","",'6年'!P37)</f>
        <v/>
      </c>
      <c r="C259" s="31">
        <f>IF('6年'!Q37="","",'6年'!Q37)</f>
        <v/>
      </c>
      <c r="D259" s="31">
        <f>IF('6年'!Q37="","",'6年'!R37&amp;"")</f>
        <v/>
      </c>
      <c r="E259" s="31">
        <f>IF(D259="","",IFERROR(MATCH(D259,設定!$I$11:$I$30,0),""))</f>
        <v/>
      </c>
      <c r="F259" s="31">
        <f>IF(E259="","",COUNTIF($E$2:E259,E259))</f>
        <v/>
      </c>
      <c r="G259" s="31">
        <f>IF(E259="","",E259*1000+F259)</f>
        <v/>
      </c>
      <c r="H259" s="31">
        <f>設定!$B$7</f>
        <v/>
      </c>
      <c r="I259" s="31">
        <f>IF(AND(C259&lt;&gt;"",D259=""),1,0)</f>
        <v/>
      </c>
      <c r="J259" s="31">
        <f>IF(AND(D259&lt;&gt;"",E259=""),1,0)</f>
        <v/>
      </c>
    </row>
    <row r="260">
      <c r="A260" s="31">
        <f>IF('6年'!Q38="","",設定!$C$16)</f>
        <v/>
      </c>
      <c r="B260" s="31">
        <f>IF('6年'!Q38="","",'6年'!P38)</f>
        <v/>
      </c>
      <c r="C260" s="31">
        <f>IF('6年'!Q38="","",'6年'!Q38)</f>
        <v/>
      </c>
      <c r="D260" s="31">
        <f>IF('6年'!Q38="","",'6年'!R38&amp;"")</f>
        <v/>
      </c>
      <c r="E260" s="31">
        <f>IF(D260="","",IFERROR(MATCH(D260,設定!$I$11:$I$30,0),""))</f>
        <v/>
      </c>
      <c r="F260" s="31">
        <f>IF(E260="","",COUNTIF($E$2:E260,E260))</f>
        <v/>
      </c>
      <c r="G260" s="31">
        <f>IF(E260="","",E260*1000+F260)</f>
        <v/>
      </c>
      <c r="H260" s="31">
        <f>設定!$B$7</f>
        <v/>
      </c>
      <c r="I260" s="31">
        <f>IF(AND(C260&lt;&gt;"",D260=""),1,0)</f>
        <v/>
      </c>
      <c r="J260" s="31">
        <f>IF(AND(D260&lt;&gt;"",E260=""),1,0)</f>
        <v/>
      </c>
    </row>
    <row r="261">
      <c r="A261" s="31">
        <f>IF('6年'!Q39="","",設定!$C$16)</f>
        <v/>
      </c>
      <c r="B261" s="31">
        <f>IF('6年'!Q39="","",'6年'!P39)</f>
        <v/>
      </c>
      <c r="C261" s="31">
        <f>IF('6年'!Q39="","",'6年'!Q39)</f>
        <v/>
      </c>
      <c r="D261" s="31">
        <f>IF('6年'!Q39="","",'6年'!R39&amp;"")</f>
        <v/>
      </c>
      <c r="E261" s="31">
        <f>IF(D261="","",IFERROR(MATCH(D261,設定!$I$11:$I$30,0),""))</f>
        <v/>
      </c>
      <c r="F261" s="31">
        <f>IF(E261="","",COUNTIF($E$2:E261,E261))</f>
        <v/>
      </c>
      <c r="G261" s="31">
        <f>IF(E261="","",E261*1000+F261)</f>
        <v/>
      </c>
      <c r="H261" s="31">
        <f>設定!$B$7</f>
        <v/>
      </c>
      <c r="I261" s="31">
        <f>IF(AND(C261&lt;&gt;"",D261=""),1,0)</f>
        <v/>
      </c>
      <c r="J261" s="31">
        <f>IF(AND(D261&lt;&gt;"",E261=""),1,0)</f>
        <v/>
      </c>
    </row>
    <row r="262">
      <c r="A262" s="31">
        <f>IF('6年'!Q40="","",設定!$C$16)</f>
        <v/>
      </c>
      <c r="B262" s="31">
        <f>IF('6年'!Q40="","",'6年'!P40)</f>
        <v/>
      </c>
      <c r="C262" s="31">
        <f>IF('6年'!Q40="","",'6年'!Q40)</f>
        <v/>
      </c>
      <c r="D262" s="31">
        <f>IF('6年'!Q40="","",'6年'!R40&amp;"")</f>
        <v/>
      </c>
      <c r="E262" s="31">
        <f>IF(D262="","",IFERROR(MATCH(D262,設定!$I$11:$I$30,0),""))</f>
        <v/>
      </c>
      <c r="F262" s="31">
        <f>IF(E262="","",COUNTIF($E$2:E262,E262))</f>
        <v/>
      </c>
      <c r="G262" s="31">
        <f>IF(E262="","",E262*1000+F262)</f>
        <v/>
      </c>
      <c r="H262" s="31">
        <f>設定!$B$7</f>
        <v/>
      </c>
      <c r="I262" s="31">
        <f>IF(AND(C262&lt;&gt;"",D262=""),1,0)</f>
        <v/>
      </c>
      <c r="J262" s="31">
        <f>IF(AND(D262&lt;&gt;"",E262=""),1,0)</f>
        <v/>
      </c>
    </row>
    <row r="263">
      <c r="A263" s="31">
        <f>IF('6年'!Q41="","",設定!$C$16)</f>
        <v/>
      </c>
      <c r="B263" s="31">
        <f>IF('6年'!Q41="","",'6年'!P41)</f>
        <v/>
      </c>
      <c r="C263" s="31">
        <f>IF('6年'!Q41="","",'6年'!Q41)</f>
        <v/>
      </c>
      <c r="D263" s="31">
        <f>IF('6年'!Q41="","",'6年'!R41&amp;"")</f>
        <v/>
      </c>
      <c r="E263" s="31">
        <f>IF(D263="","",IFERROR(MATCH(D263,設定!$I$11:$I$30,0),""))</f>
        <v/>
      </c>
      <c r="F263" s="31">
        <f>IF(E263="","",COUNTIF($E$2:E263,E263))</f>
        <v/>
      </c>
      <c r="G263" s="31">
        <f>IF(E263="","",E263*1000+F263)</f>
        <v/>
      </c>
      <c r="H263" s="31">
        <f>設定!$B$7</f>
        <v/>
      </c>
      <c r="I263" s="31">
        <f>IF(AND(C263&lt;&gt;"",D263=""),1,0)</f>
        <v/>
      </c>
      <c r="J263" s="31">
        <f>IF(AND(D263&lt;&gt;"",E263=""),1,0)</f>
        <v/>
      </c>
    </row>
    <row r="264">
      <c r="A264" s="31">
        <f>IF('6年'!Q42="","",設定!$C$16)</f>
        <v/>
      </c>
      <c r="B264" s="31">
        <f>IF('6年'!Q42="","",'6年'!P42)</f>
        <v/>
      </c>
      <c r="C264" s="31">
        <f>IF('6年'!Q42="","",'6年'!Q42)</f>
        <v/>
      </c>
      <c r="D264" s="31">
        <f>IF('6年'!Q42="","",'6年'!R42&amp;"")</f>
        <v/>
      </c>
      <c r="E264" s="31">
        <f>IF(D264="","",IFERROR(MATCH(D264,設定!$I$11:$I$30,0),""))</f>
        <v/>
      </c>
      <c r="F264" s="31">
        <f>IF(E264="","",COUNTIF($E$2:E264,E264))</f>
        <v/>
      </c>
      <c r="G264" s="31">
        <f>IF(E264="","",E264*1000+F264)</f>
        <v/>
      </c>
      <c r="H264" s="31">
        <f>設定!$B$7</f>
        <v/>
      </c>
      <c r="I264" s="31">
        <f>IF(AND(C264&lt;&gt;"",D264=""),1,0)</f>
        <v/>
      </c>
      <c r="J264" s="31">
        <f>IF(AND(D264&lt;&gt;"",E264=""),1,0)</f>
        <v/>
      </c>
    </row>
    <row r="265">
      <c r="A265" s="31">
        <f>IF('6年'!Q43="","",設定!$C$16)</f>
        <v/>
      </c>
      <c r="B265" s="31">
        <f>IF('6年'!Q43="","",'6年'!P43)</f>
        <v/>
      </c>
      <c r="C265" s="31">
        <f>IF('6年'!Q43="","",'6年'!Q43)</f>
        <v/>
      </c>
      <c r="D265" s="31">
        <f>IF('6年'!Q43="","",'6年'!R43&amp;"")</f>
        <v/>
      </c>
      <c r="E265" s="31">
        <f>IF(D265="","",IFERROR(MATCH(D265,設定!$I$11:$I$30,0),""))</f>
        <v/>
      </c>
      <c r="F265" s="31">
        <f>IF(E265="","",COUNTIF($E$2:E265,E265))</f>
        <v/>
      </c>
      <c r="G265" s="31">
        <f>IF(E265="","",E265*1000+F265)</f>
        <v/>
      </c>
      <c r="H265" s="31">
        <f>設定!$B$7</f>
        <v/>
      </c>
      <c r="I265" s="31">
        <f>IF(AND(C265&lt;&gt;"",D265=""),1,0)</f>
        <v/>
      </c>
      <c r="J265" s="31">
        <f>IF(AND(D265&lt;&gt;"",E265=""),1,0)</f>
        <v/>
      </c>
    </row>
    <row r="266">
      <c r="A266" s="31">
        <f>IF('6年'!Q44="","",設定!$C$16)</f>
        <v/>
      </c>
      <c r="B266" s="31">
        <f>IF('6年'!Q44="","",'6年'!P44)</f>
        <v/>
      </c>
      <c r="C266" s="31">
        <f>IF('6年'!Q44="","",'6年'!Q44)</f>
        <v/>
      </c>
      <c r="D266" s="31">
        <f>IF('6年'!Q44="","",'6年'!R44&amp;"")</f>
        <v/>
      </c>
      <c r="E266" s="31">
        <f>IF(D266="","",IFERROR(MATCH(D266,設定!$I$11:$I$30,0),""))</f>
        <v/>
      </c>
      <c r="F266" s="31">
        <f>IF(E266="","",COUNTIF($E$2:E266,E266))</f>
        <v/>
      </c>
      <c r="G266" s="31">
        <f>IF(E266="","",E266*1000+F266)</f>
        <v/>
      </c>
      <c r="H266" s="31">
        <f>設定!$B$7</f>
        <v/>
      </c>
      <c r="I266" s="31">
        <f>IF(AND(C266&lt;&gt;"",D266=""),1,0)</f>
        <v/>
      </c>
      <c r="J266" s="31">
        <f>IF(AND(D266&lt;&gt;"",E266=""),1,0)</f>
        <v/>
      </c>
    </row>
    <row r="267">
      <c r="A267" s="31">
        <f>IF('6年'!Q45="","",設定!$C$16)</f>
        <v/>
      </c>
      <c r="B267" s="31">
        <f>IF('6年'!Q45="","",'6年'!P45)</f>
        <v/>
      </c>
      <c r="C267" s="31">
        <f>IF('6年'!Q45="","",'6年'!Q45)</f>
        <v/>
      </c>
      <c r="D267" s="31">
        <f>IF('6年'!Q45="","",'6年'!R45&amp;"")</f>
        <v/>
      </c>
      <c r="E267" s="31">
        <f>IF(D267="","",IFERROR(MATCH(D267,設定!$I$11:$I$30,0),""))</f>
        <v/>
      </c>
      <c r="F267" s="31">
        <f>IF(E267="","",COUNTIF($E$2:E267,E267))</f>
        <v/>
      </c>
      <c r="G267" s="31">
        <f>IF(E267="","",E267*1000+F267)</f>
        <v/>
      </c>
      <c r="H267" s="31">
        <f>設定!$B$7</f>
        <v/>
      </c>
      <c r="I267" s="31">
        <f>IF(AND(C267&lt;&gt;"",D267=""),1,0)</f>
        <v/>
      </c>
      <c r="J267" s="31">
        <f>IF(AND(D267&lt;&gt;"",E267=""),1,0)</f>
        <v/>
      </c>
    </row>
    <row r="268">
      <c r="A268" s="31">
        <f>IF('6年'!Q46="","",設定!$C$16)</f>
        <v/>
      </c>
      <c r="B268" s="31">
        <f>IF('6年'!Q46="","",'6年'!P46)</f>
        <v/>
      </c>
      <c r="C268" s="31">
        <f>IF('6年'!Q46="","",'6年'!Q46)</f>
        <v/>
      </c>
      <c r="D268" s="31">
        <f>IF('6年'!Q46="","",'6年'!R46&amp;"")</f>
        <v/>
      </c>
      <c r="E268" s="31">
        <f>IF(D268="","",IFERROR(MATCH(D268,設定!$I$11:$I$30,0),""))</f>
        <v/>
      </c>
      <c r="F268" s="31">
        <f>IF(E268="","",COUNTIF($E$2:E268,E268))</f>
        <v/>
      </c>
      <c r="G268" s="31">
        <f>IF(E268="","",E268*1000+F268)</f>
        <v/>
      </c>
      <c r="H268" s="31">
        <f>設定!$B$7</f>
        <v/>
      </c>
      <c r="I268" s="31">
        <f>IF(AND(C268&lt;&gt;"",D268=""),1,0)</f>
        <v/>
      </c>
      <c r="J268" s="31">
        <f>IF(AND(D268&lt;&gt;"",E268=""),1,0)</f>
        <v/>
      </c>
    </row>
    <row r="269">
      <c r="A269" s="31">
        <f>IF('6年'!Q47="","",設定!$C$16)</f>
        <v/>
      </c>
      <c r="B269" s="31">
        <f>IF('6年'!Q47="","",'6年'!P47)</f>
        <v/>
      </c>
      <c r="C269" s="31">
        <f>IF('6年'!Q47="","",'6年'!Q47)</f>
        <v/>
      </c>
      <c r="D269" s="31">
        <f>IF('6年'!Q47="","",'6年'!R47&amp;"")</f>
        <v/>
      </c>
      <c r="E269" s="31">
        <f>IF(D269="","",IFERROR(MATCH(D269,設定!$I$11:$I$30,0),""))</f>
        <v/>
      </c>
      <c r="F269" s="31">
        <f>IF(E269="","",COUNTIF($E$2:E269,E269))</f>
        <v/>
      </c>
      <c r="G269" s="31">
        <f>IF(E269="","",E269*1000+F269)</f>
        <v/>
      </c>
      <c r="H269" s="31">
        <f>設定!$B$7</f>
        <v/>
      </c>
      <c r="I269" s="31">
        <f>IF(AND(C269&lt;&gt;"",D269=""),1,0)</f>
        <v/>
      </c>
      <c r="J269" s="31">
        <f>IF(AND(D269&lt;&gt;"",E269=""),1,0)</f>
        <v/>
      </c>
    </row>
    <row r="270">
      <c r="A270" s="31">
        <f>IF('6年'!Q48="","",設定!$C$16)</f>
        <v/>
      </c>
      <c r="B270" s="31">
        <f>IF('6年'!Q48="","",'6年'!P48)</f>
        <v/>
      </c>
      <c r="C270" s="31">
        <f>IF('6年'!Q48="","",'6年'!Q48)</f>
        <v/>
      </c>
      <c r="D270" s="31">
        <f>IF('6年'!Q48="","",'6年'!R48&amp;"")</f>
        <v/>
      </c>
      <c r="E270" s="31">
        <f>IF(D270="","",IFERROR(MATCH(D270,設定!$I$11:$I$30,0),""))</f>
        <v/>
      </c>
      <c r="F270" s="31">
        <f>IF(E270="","",COUNTIF($E$2:E270,E270))</f>
        <v/>
      </c>
      <c r="G270" s="31">
        <f>IF(E270="","",E270*1000+F270)</f>
        <v/>
      </c>
      <c r="H270" s="31">
        <f>設定!$B$7</f>
        <v/>
      </c>
      <c r="I270" s="31">
        <f>IF(AND(C270&lt;&gt;"",D270=""),1,0)</f>
        <v/>
      </c>
      <c r="J270" s="31">
        <f>IF(AND(D270&lt;&gt;"",E270=""),1,0)</f>
        <v/>
      </c>
    </row>
    <row r="271">
      <c r="A271" s="31">
        <f>IF('6年'!Q49="","",設定!$C$16)</f>
        <v/>
      </c>
      <c r="B271" s="31">
        <f>IF('6年'!Q49="","",'6年'!P49)</f>
        <v/>
      </c>
      <c r="C271" s="31">
        <f>IF('6年'!Q49="","",'6年'!Q49)</f>
        <v/>
      </c>
      <c r="D271" s="31">
        <f>IF('6年'!Q49="","",'6年'!R49&amp;"")</f>
        <v/>
      </c>
      <c r="E271" s="31">
        <f>IF(D271="","",IFERROR(MATCH(D271,設定!$I$11:$I$30,0),""))</f>
        <v/>
      </c>
      <c r="F271" s="31">
        <f>IF(E271="","",COUNTIF($E$2:E271,E271))</f>
        <v/>
      </c>
      <c r="G271" s="31">
        <f>IF(E271="","",E271*1000+F271)</f>
        <v/>
      </c>
      <c r="H271" s="31">
        <f>設定!$B$7</f>
        <v/>
      </c>
      <c r="I271" s="31">
        <f>IF(AND(C271&lt;&gt;"",D271=""),1,0)</f>
        <v/>
      </c>
      <c r="J271" s="31">
        <f>IF(AND(D271&lt;&gt;"",E271=""),1,0)</f>
        <v/>
      </c>
    </row>
    <row r="272">
      <c r="A272" s="31">
        <f>IF('6年'!T5="","",設定!$C$17)</f>
        <v/>
      </c>
      <c r="B272" s="31">
        <f>IF('6年'!T5="","",'6年'!S5)</f>
        <v/>
      </c>
      <c r="C272" s="31">
        <f>IF('6年'!T5="","",'6年'!T5)</f>
        <v/>
      </c>
      <c r="D272" s="31">
        <f>IF('6年'!T5="","",'6年'!U5&amp;"")</f>
        <v/>
      </c>
      <c r="E272" s="31">
        <f>IF(D272="","",IFERROR(MATCH(D272,設定!$I$11:$I$30,0),""))</f>
        <v/>
      </c>
      <c r="F272" s="31">
        <f>IF(E272="","",COUNTIF($E$2:E272,E272))</f>
        <v/>
      </c>
      <c r="G272" s="31">
        <f>IF(E272="","",E272*1000+F272)</f>
        <v/>
      </c>
      <c r="H272" s="31">
        <f>設定!$B$7</f>
        <v/>
      </c>
      <c r="I272" s="31">
        <f>IF(AND(C272&lt;&gt;"",D272=""),1,0)</f>
        <v/>
      </c>
      <c r="J272" s="31">
        <f>IF(AND(D272&lt;&gt;"",E272=""),1,0)</f>
        <v/>
      </c>
    </row>
    <row r="273">
      <c r="A273" s="31">
        <f>IF('6年'!T6="","",設定!$C$17)</f>
        <v/>
      </c>
      <c r="B273" s="31">
        <f>IF('6年'!T6="","",'6年'!S6)</f>
        <v/>
      </c>
      <c r="C273" s="31">
        <f>IF('6年'!T6="","",'6年'!T6)</f>
        <v/>
      </c>
      <c r="D273" s="31">
        <f>IF('6年'!T6="","",'6年'!U6&amp;"")</f>
        <v/>
      </c>
      <c r="E273" s="31">
        <f>IF(D273="","",IFERROR(MATCH(D273,設定!$I$11:$I$30,0),""))</f>
        <v/>
      </c>
      <c r="F273" s="31">
        <f>IF(E273="","",COUNTIF($E$2:E273,E273))</f>
        <v/>
      </c>
      <c r="G273" s="31">
        <f>IF(E273="","",E273*1000+F273)</f>
        <v/>
      </c>
      <c r="H273" s="31">
        <f>設定!$B$7</f>
        <v/>
      </c>
      <c r="I273" s="31">
        <f>IF(AND(C273&lt;&gt;"",D273=""),1,0)</f>
        <v/>
      </c>
      <c r="J273" s="31">
        <f>IF(AND(D273&lt;&gt;"",E273=""),1,0)</f>
        <v/>
      </c>
    </row>
    <row r="274">
      <c r="A274" s="31">
        <f>IF('6年'!T7="","",設定!$C$17)</f>
        <v/>
      </c>
      <c r="B274" s="31">
        <f>IF('6年'!T7="","",'6年'!S7)</f>
        <v/>
      </c>
      <c r="C274" s="31">
        <f>IF('6年'!T7="","",'6年'!T7)</f>
        <v/>
      </c>
      <c r="D274" s="31">
        <f>IF('6年'!T7="","",'6年'!U7&amp;"")</f>
        <v/>
      </c>
      <c r="E274" s="31">
        <f>IF(D274="","",IFERROR(MATCH(D274,設定!$I$11:$I$30,0),""))</f>
        <v/>
      </c>
      <c r="F274" s="31">
        <f>IF(E274="","",COUNTIF($E$2:E274,E274))</f>
        <v/>
      </c>
      <c r="G274" s="31">
        <f>IF(E274="","",E274*1000+F274)</f>
        <v/>
      </c>
      <c r="H274" s="31">
        <f>設定!$B$7</f>
        <v/>
      </c>
      <c r="I274" s="31">
        <f>IF(AND(C274&lt;&gt;"",D274=""),1,0)</f>
        <v/>
      </c>
      <c r="J274" s="31">
        <f>IF(AND(D274&lt;&gt;"",E274=""),1,0)</f>
        <v/>
      </c>
    </row>
    <row r="275">
      <c r="A275" s="31">
        <f>IF('6年'!T8="","",設定!$C$17)</f>
        <v/>
      </c>
      <c r="B275" s="31">
        <f>IF('6年'!T8="","",'6年'!S8)</f>
        <v/>
      </c>
      <c r="C275" s="31">
        <f>IF('6年'!T8="","",'6年'!T8)</f>
        <v/>
      </c>
      <c r="D275" s="31">
        <f>IF('6年'!T8="","",'6年'!U8&amp;"")</f>
        <v/>
      </c>
      <c r="E275" s="31">
        <f>IF(D275="","",IFERROR(MATCH(D275,設定!$I$11:$I$30,0),""))</f>
        <v/>
      </c>
      <c r="F275" s="31">
        <f>IF(E275="","",COUNTIF($E$2:E275,E275))</f>
        <v/>
      </c>
      <c r="G275" s="31">
        <f>IF(E275="","",E275*1000+F275)</f>
        <v/>
      </c>
      <c r="H275" s="31">
        <f>設定!$B$7</f>
        <v/>
      </c>
      <c r="I275" s="31">
        <f>IF(AND(C275&lt;&gt;"",D275=""),1,0)</f>
        <v/>
      </c>
      <c r="J275" s="31">
        <f>IF(AND(D275&lt;&gt;"",E275=""),1,0)</f>
        <v/>
      </c>
    </row>
    <row r="276">
      <c r="A276" s="31">
        <f>IF('6年'!T9="","",設定!$C$17)</f>
        <v/>
      </c>
      <c r="B276" s="31">
        <f>IF('6年'!T9="","",'6年'!S9)</f>
        <v/>
      </c>
      <c r="C276" s="31">
        <f>IF('6年'!T9="","",'6年'!T9)</f>
        <v/>
      </c>
      <c r="D276" s="31">
        <f>IF('6年'!T9="","",'6年'!U9&amp;"")</f>
        <v/>
      </c>
      <c r="E276" s="31">
        <f>IF(D276="","",IFERROR(MATCH(D276,設定!$I$11:$I$30,0),""))</f>
        <v/>
      </c>
      <c r="F276" s="31">
        <f>IF(E276="","",COUNTIF($E$2:E276,E276))</f>
        <v/>
      </c>
      <c r="G276" s="31">
        <f>IF(E276="","",E276*1000+F276)</f>
        <v/>
      </c>
      <c r="H276" s="31">
        <f>設定!$B$7</f>
        <v/>
      </c>
      <c r="I276" s="31">
        <f>IF(AND(C276&lt;&gt;"",D276=""),1,0)</f>
        <v/>
      </c>
      <c r="J276" s="31">
        <f>IF(AND(D276&lt;&gt;"",E276=""),1,0)</f>
        <v/>
      </c>
    </row>
    <row r="277">
      <c r="A277" s="31">
        <f>IF('6年'!T10="","",設定!$C$17)</f>
        <v/>
      </c>
      <c r="B277" s="31">
        <f>IF('6年'!T10="","",'6年'!S10)</f>
        <v/>
      </c>
      <c r="C277" s="31">
        <f>IF('6年'!T10="","",'6年'!T10)</f>
        <v/>
      </c>
      <c r="D277" s="31">
        <f>IF('6年'!T10="","",'6年'!U10&amp;"")</f>
        <v/>
      </c>
      <c r="E277" s="31">
        <f>IF(D277="","",IFERROR(MATCH(D277,設定!$I$11:$I$30,0),""))</f>
        <v/>
      </c>
      <c r="F277" s="31">
        <f>IF(E277="","",COUNTIF($E$2:E277,E277))</f>
        <v/>
      </c>
      <c r="G277" s="31">
        <f>IF(E277="","",E277*1000+F277)</f>
        <v/>
      </c>
      <c r="H277" s="31">
        <f>設定!$B$7</f>
        <v/>
      </c>
      <c r="I277" s="31">
        <f>IF(AND(C277&lt;&gt;"",D277=""),1,0)</f>
        <v/>
      </c>
      <c r="J277" s="31">
        <f>IF(AND(D277&lt;&gt;"",E277=""),1,0)</f>
        <v/>
      </c>
    </row>
    <row r="278">
      <c r="A278" s="31">
        <f>IF('6年'!T11="","",設定!$C$17)</f>
        <v/>
      </c>
      <c r="B278" s="31">
        <f>IF('6年'!T11="","",'6年'!S11)</f>
        <v/>
      </c>
      <c r="C278" s="31">
        <f>IF('6年'!T11="","",'6年'!T11)</f>
        <v/>
      </c>
      <c r="D278" s="31">
        <f>IF('6年'!T11="","",'6年'!U11&amp;"")</f>
        <v/>
      </c>
      <c r="E278" s="31">
        <f>IF(D278="","",IFERROR(MATCH(D278,設定!$I$11:$I$30,0),""))</f>
        <v/>
      </c>
      <c r="F278" s="31">
        <f>IF(E278="","",COUNTIF($E$2:E278,E278))</f>
        <v/>
      </c>
      <c r="G278" s="31">
        <f>IF(E278="","",E278*1000+F278)</f>
        <v/>
      </c>
      <c r="H278" s="31">
        <f>設定!$B$7</f>
        <v/>
      </c>
      <c r="I278" s="31">
        <f>IF(AND(C278&lt;&gt;"",D278=""),1,0)</f>
        <v/>
      </c>
      <c r="J278" s="31">
        <f>IF(AND(D278&lt;&gt;"",E278=""),1,0)</f>
        <v/>
      </c>
    </row>
    <row r="279">
      <c r="A279" s="31">
        <f>IF('6年'!T12="","",設定!$C$17)</f>
        <v/>
      </c>
      <c r="B279" s="31">
        <f>IF('6年'!T12="","",'6年'!S12)</f>
        <v/>
      </c>
      <c r="C279" s="31">
        <f>IF('6年'!T12="","",'6年'!T12)</f>
        <v/>
      </c>
      <c r="D279" s="31">
        <f>IF('6年'!T12="","",'6年'!U12&amp;"")</f>
        <v/>
      </c>
      <c r="E279" s="31">
        <f>IF(D279="","",IFERROR(MATCH(D279,設定!$I$11:$I$30,0),""))</f>
        <v/>
      </c>
      <c r="F279" s="31">
        <f>IF(E279="","",COUNTIF($E$2:E279,E279))</f>
        <v/>
      </c>
      <c r="G279" s="31">
        <f>IF(E279="","",E279*1000+F279)</f>
        <v/>
      </c>
      <c r="H279" s="31">
        <f>設定!$B$7</f>
        <v/>
      </c>
      <c r="I279" s="31">
        <f>IF(AND(C279&lt;&gt;"",D279=""),1,0)</f>
        <v/>
      </c>
      <c r="J279" s="31">
        <f>IF(AND(D279&lt;&gt;"",E279=""),1,0)</f>
        <v/>
      </c>
    </row>
    <row r="280">
      <c r="A280" s="31">
        <f>IF('6年'!T13="","",設定!$C$17)</f>
        <v/>
      </c>
      <c r="B280" s="31">
        <f>IF('6年'!T13="","",'6年'!S13)</f>
        <v/>
      </c>
      <c r="C280" s="31">
        <f>IF('6年'!T13="","",'6年'!T13)</f>
        <v/>
      </c>
      <c r="D280" s="31">
        <f>IF('6年'!T13="","",'6年'!U13&amp;"")</f>
        <v/>
      </c>
      <c r="E280" s="31">
        <f>IF(D280="","",IFERROR(MATCH(D280,設定!$I$11:$I$30,0),""))</f>
        <v/>
      </c>
      <c r="F280" s="31">
        <f>IF(E280="","",COUNTIF($E$2:E280,E280))</f>
        <v/>
      </c>
      <c r="G280" s="31">
        <f>IF(E280="","",E280*1000+F280)</f>
        <v/>
      </c>
      <c r="H280" s="31">
        <f>設定!$B$7</f>
        <v/>
      </c>
      <c r="I280" s="31">
        <f>IF(AND(C280&lt;&gt;"",D280=""),1,0)</f>
        <v/>
      </c>
      <c r="J280" s="31">
        <f>IF(AND(D280&lt;&gt;"",E280=""),1,0)</f>
        <v/>
      </c>
    </row>
    <row r="281">
      <c r="A281" s="31">
        <f>IF('6年'!T14="","",設定!$C$17)</f>
        <v/>
      </c>
      <c r="B281" s="31">
        <f>IF('6年'!T14="","",'6年'!S14)</f>
        <v/>
      </c>
      <c r="C281" s="31">
        <f>IF('6年'!T14="","",'6年'!T14)</f>
        <v/>
      </c>
      <c r="D281" s="31">
        <f>IF('6年'!T14="","",'6年'!U14&amp;"")</f>
        <v/>
      </c>
      <c r="E281" s="31">
        <f>IF(D281="","",IFERROR(MATCH(D281,設定!$I$11:$I$30,0),""))</f>
        <v/>
      </c>
      <c r="F281" s="31">
        <f>IF(E281="","",COUNTIF($E$2:E281,E281))</f>
        <v/>
      </c>
      <c r="G281" s="31">
        <f>IF(E281="","",E281*1000+F281)</f>
        <v/>
      </c>
      <c r="H281" s="31">
        <f>設定!$B$7</f>
        <v/>
      </c>
      <c r="I281" s="31">
        <f>IF(AND(C281&lt;&gt;"",D281=""),1,0)</f>
        <v/>
      </c>
      <c r="J281" s="31">
        <f>IF(AND(D281&lt;&gt;"",E281=""),1,0)</f>
        <v/>
      </c>
    </row>
    <row r="282">
      <c r="A282" s="31">
        <f>IF('6年'!T15="","",設定!$C$17)</f>
        <v/>
      </c>
      <c r="B282" s="31">
        <f>IF('6年'!T15="","",'6年'!S15)</f>
        <v/>
      </c>
      <c r="C282" s="31">
        <f>IF('6年'!T15="","",'6年'!T15)</f>
        <v/>
      </c>
      <c r="D282" s="31">
        <f>IF('6年'!T15="","",'6年'!U15&amp;"")</f>
        <v/>
      </c>
      <c r="E282" s="31">
        <f>IF(D282="","",IFERROR(MATCH(D282,設定!$I$11:$I$30,0),""))</f>
        <v/>
      </c>
      <c r="F282" s="31">
        <f>IF(E282="","",COUNTIF($E$2:E282,E282))</f>
        <v/>
      </c>
      <c r="G282" s="31">
        <f>IF(E282="","",E282*1000+F282)</f>
        <v/>
      </c>
      <c r="H282" s="31">
        <f>設定!$B$7</f>
        <v/>
      </c>
      <c r="I282" s="31">
        <f>IF(AND(C282&lt;&gt;"",D282=""),1,0)</f>
        <v/>
      </c>
      <c r="J282" s="31">
        <f>IF(AND(D282&lt;&gt;"",E282=""),1,0)</f>
        <v/>
      </c>
    </row>
    <row r="283">
      <c r="A283" s="31">
        <f>IF('6年'!T16="","",設定!$C$17)</f>
        <v/>
      </c>
      <c r="B283" s="31">
        <f>IF('6年'!T16="","",'6年'!S16)</f>
        <v/>
      </c>
      <c r="C283" s="31">
        <f>IF('6年'!T16="","",'6年'!T16)</f>
        <v/>
      </c>
      <c r="D283" s="31">
        <f>IF('6年'!T16="","",'6年'!U16&amp;"")</f>
        <v/>
      </c>
      <c r="E283" s="31">
        <f>IF(D283="","",IFERROR(MATCH(D283,設定!$I$11:$I$30,0),""))</f>
        <v/>
      </c>
      <c r="F283" s="31">
        <f>IF(E283="","",COUNTIF($E$2:E283,E283))</f>
        <v/>
      </c>
      <c r="G283" s="31">
        <f>IF(E283="","",E283*1000+F283)</f>
        <v/>
      </c>
      <c r="H283" s="31">
        <f>設定!$B$7</f>
        <v/>
      </c>
      <c r="I283" s="31">
        <f>IF(AND(C283&lt;&gt;"",D283=""),1,0)</f>
        <v/>
      </c>
      <c r="J283" s="31">
        <f>IF(AND(D283&lt;&gt;"",E283=""),1,0)</f>
        <v/>
      </c>
    </row>
    <row r="284">
      <c r="A284" s="31">
        <f>IF('6年'!T17="","",設定!$C$17)</f>
        <v/>
      </c>
      <c r="B284" s="31">
        <f>IF('6年'!T17="","",'6年'!S17)</f>
        <v/>
      </c>
      <c r="C284" s="31">
        <f>IF('6年'!T17="","",'6年'!T17)</f>
        <v/>
      </c>
      <c r="D284" s="31">
        <f>IF('6年'!T17="","",'6年'!U17&amp;"")</f>
        <v/>
      </c>
      <c r="E284" s="31">
        <f>IF(D284="","",IFERROR(MATCH(D284,設定!$I$11:$I$30,0),""))</f>
        <v/>
      </c>
      <c r="F284" s="31">
        <f>IF(E284="","",COUNTIF($E$2:E284,E284))</f>
        <v/>
      </c>
      <c r="G284" s="31">
        <f>IF(E284="","",E284*1000+F284)</f>
        <v/>
      </c>
      <c r="H284" s="31">
        <f>設定!$B$7</f>
        <v/>
      </c>
      <c r="I284" s="31">
        <f>IF(AND(C284&lt;&gt;"",D284=""),1,0)</f>
        <v/>
      </c>
      <c r="J284" s="31">
        <f>IF(AND(D284&lt;&gt;"",E284=""),1,0)</f>
        <v/>
      </c>
    </row>
    <row r="285">
      <c r="A285" s="31">
        <f>IF('6年'!T18="","",設定!$C$17)</f>
        <v/>
      </c>
      <c r="B285" s="31">
        <f>IF('6年'!T18="","",'6年'!S18)</f>
        <v/>
      </c>
      <c r="C285" s="31">
        <f>IF('6年'!T18="","",'6年'!T18)</f>
        <v/>
      </c>
      <c r="D285" s="31">
        <f>IF('6年'!T18="","",'6年'!U18&amp;"")</f>
        <v/>
      </c>
      <c r="E285" s="31">
        <f>IF(D285="","",IFERROR(MATCH(D285,設定!$I$11:$I$30,0),""))</f>
        <v/>
      </c>
      <c r="F285" s="31">
        <f>IF(E285="","",COUNTIF($E$2:E285,E285))</f>
        <v/>
      </c>
      <c r="G285" s="31">
        <f>IF(E285="","",E285*1000+F285)</f>
        <v/>
      </c>
      <c r="H285" s="31">
        <f>設定!$B$7</f>
        <v/>
      </c>
      <c r="I285" s="31">
        <f>IF(AND(C285&lt;&gt;"",D285=""),1,0)</f>
        <v/>
      </c>
      <c r="J285" s="31">
        <f>IF(AND(D285&lt;&gt;"",E285=""),1,0)</f>
        <v/>
      </c>
    </row>
    <row r="286">
      <c r="A286" s="31">
        <f>IF('6年'!T19="","",設定!$C$17)</f>
        <v/>
      </c>
      <c r="B286" s="31">
        <f>IF('6年'!T19="","",'6年'!S19)</f>
        <v/>
      </c>
      <c r="C286" s="31">
        <f>IF('6年'!T19="","",'6年'!T19)</f>
        <v/>
      </c>
      <c r="D286" s="31">
        <f>IF('6年'!T19="","",'6年'!U19&amp;"")</f>
        <v/>
      </c>
      <c r="E286" s="31">
        <f>IF(D286="","",IFERROR(MATCH(D286,設定!$I$11:$I$30,0),""))</f>
        <v/>
      </c>
      <c r="F286" s="31">
        <f>IF(E286="","",COUNTIF($E$2:E286,E286))</f>
        <v/>
      </c>
      <c r="G286" s="31">
        <f>IF(E286="","",E286*1000+F286)</f>
        <v/>
      </c>
      <c r="H286" s="31">
        <f>設定!$B$7</f>
        <v/>
      </c>
      <c r="I286" s="31">
        <f>IF(AND(C286&lt;&gt;"",D286=""),1,0)</f>
        <v/>
      </c>
      <c r="J286" s="31">
        <f>IF(AND(D286&lt;&gt;"",E286=""),1,0)</f>
        <v/>
      </c>
    </row>
    <row r="287">
      <c r="A287" s="31">
        <f>IF('6年'!T20="","",設定!$C$17)</f>
        <v/>
      </c>
      <c r="B287" s="31">
        <f>IF('6年'!T20="","",'6年'!S20)</f>
        <v/>
      </c>
      <c r="C287" s="31">
        <f>IF('6年'!T20="","",'6年'!T20)</f>
        <v/>
      </c>
      <c r="D287" s="31">
        <f>IF('6年'!T20="","",'6年'!U20&amp;"")</f>
        <v/>
      </c>
      <c r="E287" s="31">
        <f>IF(D287="","",IFERROR(MATCH(D287,設定!$I$11:$I$30,0),""))</f>
        <v/>
      </c>
      <c r="F287" s="31">
        <f>IF(E287="","",COUNTIF($E$2:E287,E287))</f>
        <v/>
      </c>
      <c r="G287" s="31">
        <f>IF(E287="","",E287*1000+F287)</f>
        <v/>
      </c>
      <c r="H287" s="31">
        <f>設定!$B$7</f>
        <v/>
      </c>
      <c r="I287" s="31">
        <f>IF(AND(C287&lt;&gt;"",D287=""),1,0)</f>
        <v/>
      </c>
      <c r="J287" s="31">
        <f>IF(AND(D287&lt;&gt;"",E287=""),1,0)</f>
        <v/>
      </c>
    </row>
    <row r="288">
      <c r="A288" s="31">
        <f>IF('6年'!T21="","",設定!$C$17)</f>
        <v/>
      </c>
      <c r="B288" s="31">
        <f>IF('6年'!T21="","",'6年'!S21)</f>
        <v/>
      </c>
      <c r="C288" s="31">
        <f>IF('6年'!T21="","",'6年'!T21)</f>
        <v/>
      </c>
      <c r="D288" s="31">
        <f>IF('6年'!T21="","",'6年'!U21&amp;"")</f>
        <v/>
      </c>
      <c r="E288" s="31">
        <f>IF(D288="","",IFERROR(MATCH(D288,設定!$I$11:$I$30,0),""))</f>
        <v/>
      </c>
      <c r="F288" s="31">
        <f>IF(E288="","",COUNTIF($E$2:E288,E288))</f>
        <v/>
      </c>
      <c r="G288" s="31">
        <f>IF(E288="","",E288*1000+F288)</f>
        <v/>
      </c>
      <c r="H288" s="31">
        <f>設定!$B$7</f>
        <v/>
      </c>
      <c r="I288" s="31">
        <f>IF(AND(C288&lt;&gt;"",D288=""),1,0)</f>
        <v/>
      </c>
      <c r="J288" s="31">
        <f>IF(AND(D288&lt;&gt;"",E288=""),1,0)</f>
        <v/>
      </c>
    </row>
    <row r="289">
      <c r="A289" s="31">
        <f>IF('6年'!T22="","",設定!$C$17)</f>
        <v/>
      </c>
      <c r="B289" s="31">
        <f>IF('6年'!T22="","",'6年'!S22)</f>
        <v/>
      </c>
      <c r="C289" s="31">
        <f>IF('6年'!T22="","",'6年'!T22)</f>
        <v/>
      </c>
      <c r="D289" s="31">
        <f>IF('6年'!T22="","",'6年'!U22&amp;"")</f>
        <v/>
      </c>
      <c r="E289" s="31">
        <f>IF(D289="","",IFERROR(MATCH(D289,設定!$I$11:$I$30,0),""))</f>
        <v/>
      </c>
      <c r="F289" s="31">
        <f>IF(E289="","",COUNTIF($E$2:E289,E289))</f>
        <v/>
      </c>
      <c r="G289" s="31">
        <f>IF(E289="","",E289*1000+F289)</f>
        <v/>
      </c>
      <c r="H289" s="31">
        <f>設定!$B$7</f>
        <v/>
      </c>
      <c r="I289" s="31">
        <f>IF(AND(C289&lt;&gt;"",D289=""),1,0)</f>
        <v/>
      </c>
      <c r="J289" s="31">
        <f>IF(AND(D289&lt;&gt;"",E289=""),1,0)</f>
        <v/>
      </c>
    </row>
    <row r="290">
      <c r="A290" s="31">
        <f>IF('6年'!T23="","",設定!$C$17)</f>
        <v/>
      </c>
      <c r="B290" s="31">
        <f>IF('6年'!T23="","",'6年'!S23)</f>
        <v/>
      </c>
      <c r="C290" s="31">
        <f>IF('6年'!T23="","",'6年'!T23)</f>
        <v/>
      </c>
      <c r="D290" s="31">
        <f>IF('6年'!T23="","",'6年'!U23&amp;"")</f>
        <v/>
      </c>
      <c r="E290" s="31">
        <f>IF(D290="","",IFERROR(MATCH(D290,設定!$I$11:$I$30,0),""))</f>
        <v/>
      </c>
      <c r="F290" s="31">
        <f>IF(E290="","",COUNTIF($E$2:E290,E290))</f>
        <v/>
      </c>
      <c r="G290" s="31">
        <f>IF(E290="","",E290*1000+F290)</f>
        <v/>
      </c>
      <c r="H290" s="31">
        <f>設定!$B$7</f>
        <v/>
      </c>
      <c r="I290" s="31">
        <f>IF(AND(C290&lt;&gt;"",D290=""),1,0)</f>
        <v/>
      </c>
      <c r="J290" s="31">
        <f>IF(AND(D290&lt;&gt;"",E290=""),1,0)</f>
        <v/>
      </c>
    </row>
    <row r="291">
      <c r="A291" s="31">
        <f>IF('6年'!T24="","",設定!$C$17)</f>
        <v/>
      </c>
      <c r="B291" s="31">
        <f>IF('6年'!T24="","",'6年'!S24)</f>
        <v/>
      </c>
      <c r="C291" s="31">
        <f>IF('6年'!T24="","",'6年'!T24)</f>
        <v/>
      </c>
      <c r="D291" s="31">
        <f>IF('6年'!T24="","",'6年'!U24&amp;"")</f>
        <v/>
      </c>
      <c r="E291" s="31">
        <f>IF(D291="","",IFERROR(MATCH(D291,設定!$I$11:$I$30,0),""))</f>
        <v/>
      </c>
      <c r="F291" s="31">
        <f>IF(E291="","",COUNTIF($E$2:E291,E291))</f>
        <v/>
      </c>
      <c r="G291" s="31">
        <f>IF(E291="","",E291*1000+F291)</f>
        <v/>
      </c>
      <c r="H291" s="31">
        <f>設定!$B$7</f>
        <v/>
      </c>
      <c r="I291" s="31">
        <f>IF(AND(C291&lt;&gt;"",D291=""),1,0)</f>
        <v/>
      </c>
      <c r="J291" s="31">
        <f>IF(AND(D291&lt;&gt;"",E291=""),1,0)</f>
        <v/>
      </c>
    </row>
    <row r="292">
      <c r="A292" s="31">
        <f>IF('6年'!T25="","",設定!$C$17)</f>
        <v/>
      </c>
      <c r="B292" s="31">
        <f>IF('6年'!T25="","",'6年'!S25)</f>
        <v/>
      </c>
      <c r="C292" s="31">
        <f>IF('6年'!T25="","",'6年'!T25)</f>
        <v/>
      </c>
      <c r="D292" s="31">
        <f>IF('6年'!T25="","",'6年'!U25&amp;"")</f>
        <v/>
      </c>
      <c r="E292" s="31">
        <f>IF(D292="","",IFERROR(MATCH(D292,設定!$I$11:$I$30,0),""))</f>
        <v/>
      </c>
      <c r="F292" s="31">
        <f>IF(E292="","",COUNTIF($E$2:E292,E292))</f>
        <v/>
      </c>
      <c r="G292" s="31">
        <f>IF(E292="","",E292*1000+F292)</f>
        <v/>
      </c>
      <c r="H292" s="31">
        <f>設定!$B$7</f>
        <v/>
      </c>
      <c r="I292" s="31">
        <f>IF(AND(C292&lt;&gt;"",D292=""),1,0)</f>
        <v/>
      </c>
      <c r="J292" s="31">
        <f>IF(AND(D292&lt;&gt;"",E292=""),1,0)</f>
        <v/>
      </c>
    </row>
    <row r="293">
      <c r="A293" s="31">
        <f>IF('6年'!T26="","",設定!$C$17)</f>
        <v/>
      </c>
      <c r="B293" s="31">
        <f>IF('6年'!T26="","",'6年'!S26)</f>
        <v/>
      </c>
      <c r="C293" s="31">
        <f>IF('6年'!T26="","",'6年'!T26)</f>
        <v/>
      </c>
      <c r="D293" s="31">
        <f>IF('6年'!T26="","",'6年'!U26&amp;"")</f>
        <v/>
      </c>
      <c r="E293" s="31">
        <f>IF(D293="","",IFERROR(MATCH(D293,設定!$I$11:$I$30,0),""))</f>
        <v/>
      </c>
      <c r="F293" s="31">
        <f>IF(E293="","",COUNTIF($E$2:E293,E293))</f>
        <v/>
      </c>
      <c r="G293" s="31">
        <f>IF(E293="","",E293*1000+F293)</f>
        <v/>
      </c>
      <c r="H293" s="31">
        <f>設定!$B$7</f>
        <v/>
      </c>
      <c r="I293" s="31">
        <f>IF(AND(C293&lt;&gt;"",D293=""),1,0)</f>
        <v/>
      </c>
      <c r="J293" s="31">
        <f>IF(AND(D293&lt;&gt;"",E293=""),1,0)</f>
        <v/>
      </c>
    </row>
    <row r="294">
      <c r="A294" s="31">
        <f>IF('6年'!T27="","",設定!$C$17)</f>
        <v/>
      </c>
      <c r="B294" s="31">
        <f>IF('6年'!T27="","",'6年'!S27)</f>
        <v/>
      </c>
      <c r="C294" s="31">
        <f>IF('6年'!T27="","",'6年'!T27)</f>
        <v/>
      </c>
      <c r="D294" s="31">
        <f>IF('6年'!T27="","",'6年'!U27&amp;"")</f>
        <v/>
      </c>
      <c r="E294" s="31">
        <f>IF(D294="","",IFERROR(MATCH(D294,設定!$I$11:$I$30,0),""))</f>
        <v/>
      </c>
      <c r="F294" s="31">
        <f>IF(E294="","",COUNTIF($E$2:E294,E294))</f>
        <v/>
      </c>
      <c r="G294" s="31">
        <f>IF(E294="","",E294*1000+F294)</f>
        <v/>
      </c>
      <c r="H294" s="31">
        <f>設定!$B$7</f>
        <v/>
      </c>
      <c r="I294" s="31">
        <f>IF(AND(C294&lt;&gt;"",D294=""),1,0)</f>
        <v/>
      </c>
      <c r="J294" s="31">
        <f>IF(AND(D294&lt;&gt;"",E294=""),1,0)</f>
        <v/>
      </c>
    </row>
    <row r="295">
      <c r="A295" s="31">
        <f>IF('6年'!T28="","",設定!$C$17)</f>
        <v/>
      </c>
      <c r="B295" s="31">
        <f>IF('6年'!T28="","",'6年'!S28)</f>
        <v/>
      </c>
      <c r="C295" s="31">
        <f>IF('6年'!T28="","",'6年'!T28)</f>
        <v/>
      </c>
      <c r="D295" s="31">
        <f>IF('6年'!T28="","",'6年'!U28&amp;"")</f>
        <v/>
      </c>
      <c r="E295" s="31">
        <f>IF(D295="","",IFERROR(MATCH(D295,設定!$I$11:$I$30,0),""))</f>
        <v/>
      </c>
      <c r="F295" s="31">
        <f>IF(E295="","",COUNTIF($E$2:E295,E295))</f>
        <v/>
      </c>
      <c r="G295" s="31">
        <f>IF(E295="","",E295*1000+F295)</f>
        <v/>
      </c>
      <c r="H295" s="31">
        <f>設定!$B$7</f>
        <v/>
      </c>
      <c r="I295" s="31">
        <f>IF(AND(C295&lt;&gt;"",D295=""),1,0)</f>
        <v/>
      </c>
      <c r="J295" s="31">
        <f>IF(AND(D295&lt;&gt;"",E295=""),1,0)</f>
        <v/>
      </c>
    </row>
    <row r="296">
      <c r="A296" s="31">
        <f>IF('6年'!T29="","",設定!$C$17)</f>
        <v/>
      </c>
      <c r="B296" s="31">
        <f>IF('6年'!T29="","",'6年'!S29)</f>
        <v/>
      </c>
      <c r="C296" s="31">
        <f>IF('6年'!T29="","",'6年'!T29)</f>
        <v/>
      </c>
      <c r="D296" s="31">
        <f>IF('6年'!T29="","",'6年'!U29&amp;"")</f>
        <v/>
      </c>
      <c r="E296" s="31">
        <f>IF(D296="","",IFERROR(MATCH(D296,設定!$I$11:$I$30,0),""))</f>
        <v/>
      </c>
      <c r="F296" s="31">
        <f>IF(E296="","",COUNTIF($E$2:E296,E296))</f>
        <v/>
      </c>
      <c r="G296" s="31">
        <f>IF(E296="","",E296*1000+F296)</f>
        <v/>
      </c>
      <c r="H296" s="31">
        <f>設定!$B$7</f>
        <v/>
      </c>
      <c r="I296" s="31">
        <f>IF(AND(C296&lt;&gt;"",D296=""),1,0)</f>
        <v/>
      </c>
      <c r="J296" s="31">
        <f>IF(AND(D296&lt;&gt;"",E296=""),1,0)</f>
        <v/>
      </c>
    </row>
    <row r="297">
      <c r="A297" s="31">
        <f>IF('6年'!T30="","",設定!$C$17)</f>
        <v/>
      </c>
      <c r="B297" s="31">
        <f>IF('6年'!T30="","",'6年'!S30)</f>
        <v/>
      </c>
      <c r="C297" s="31">
        <f>IF('6年'!T30="","",'6年'!T30)</f>
        <v/>
      </c>
      <c r="D297" s="31">
        <f>IF('6年'!T30="","",'6年'!U30&amp;"")</f>
        <v/>
      </c>
      <c r="E297" s="31">
        <f>IF(D297="","",IFERROR(MATCH(D297,設定!$I$11:$I$30,0),""))</f>
        <v/>
      </c>
      <c r="F297" s="31">
        <f>IF(E297="","",COUNTIF($E$2:E297,E297))</f>
        <v/>
      </c>
      <c r="G297" s="31">
        <f>IF(E297="","",E297*1000+F297)</f>
        <v/>
      </c>
      <c r="H297" s="31">
        <f>設定!$B$7</f>
        <v/>
      </c>
      <c r="I297" s="31">
        <f>IF(AND(C297&lt;&gt;"",D297=""),1,0)</f>
        <v/>
      </c>
      <c r="J297" s="31">
        <f>IF(AND(D297&lt;&gt;"",E297=""),1,0)</f>
        <v/>
      </c>
    </row>
    <row r="298">
      <c r="A298" s="31">
        <f>IF('6年'!T31="","",設定!$C$17)</f>
        <v/>
      </c>
      <c r="B298" s="31">
        <f>IF('6年'!T31="","",'6年'!S31)</f>
        <v/>
      </c>
      <c r="C298" s="31">
        <f>IF('6年'!T31="","",'6年'!T31)</f>
        <v/>
      </c>
      <c r="D298" s="31">
        <f>IF('6年'!T31="","",'6年'!U31&amp;"")</f>
        <v/>
      </c>
      <c r="E298" s="31">
        <f>IF(D298="","",IFERROR(MATCH(D298,設定!$I$11:$I$30,0),""))</f>
        <v/>
      </c>
      <c r="F298" s="31">
        <f>IF(E298="","",COUNTIF($E$2:E298,E298))</f>
        <v/>
      </c>
      <c r="G298" s="31">
        <f>IF(E298="","",E298*1000+F298)</f>
        <v/>
      </c>
      <c r="H298" s="31">
        <f>設定!$B$7</f>
        <v/>
      </c>
      <c r="I298" s="31">
        <f>IF(AND(C298&lt;&gt;"",D298=""),1,0)</f>
        <v/>
      </c>
      <c r="J298" s="31">
        <f>IF(AND(D298&lt;&gt;"",E298=""),1,0)</f>
        <v/>
      </c>
    </row>
    <row r="299">
      <c r="A299" s="31">
        <f>IF('6年'!T32="","",設定!$C$17)</f>
        <v/>
      </c>
      <c r="B299" s="31">
        <f>IF('6年'!T32="","",'6年'!S32)</f>
        <v/>
      </c>
      <c r="C299" s="31">
        <f>IF('6年'!T32="","",'6年'!T32)</f>
        <v/>
      </c>
      <c r="D299" s="31">
        <f>IF('6年'!T32="","",'6年'!U32&amp;"")</f>
        <v/>
      </c>
      <c r="E299" s="31">
        <f>IF(D299="","",IFERROR(MATCH(D299,設定!$I$11:$I$30,0),""))</f>
        <v/>
      </c>
      <c r="F299" s="31">
        <f>IF(E299="","",COUNTIF($E$2:E299,E299))</f>
        <v/>
      </c>
      <c r="G299" s="31">
        <f>IF(E299="","",E299*1000+F299)</f>
        <v/>
      </c>
      <c r="H299" s="31">
        <f>設定!$B$7</f>
        <v/>
      </c>
      <c r="I299" s="31">
        <f>IF(AND(C299&lt;&gt;"",D299=""),1,0)</f>
        <v/>
      </c>
      <c r="J299" s="31">
        <f>IF(AND(D299&lt;&gt;"",E299=""),1,0)</f>
        <v/>
      </c>
    </row>
    <row r="300">
      <c r="A300" s="31">
        <f>IF('6年'!T33="","",設定!$C$17)</f>
        <v/>
      </c>
      <c r="B300" s="31">
        <f>IF('6年'!T33="","",'6年'!S33)</f>
        <v/>
      </c>
      <c r="C300" s="31">
        <f>IF('6年'!T33="","",'6年'!T33)</f>
        <v/>
      </c>
      <c r="D300" s="31">
        <f>IF('6年'!T33="","",'6年'!U33&amp;"")</f>
        <v/>
      </c>
      <c r="E300" s="31">
        <f>IF(D300="","",IFERROR(MATCH(D300,設定!$I$11:$I$30,0),""))</f>
        <v/>
      </c>
      <c r="F300" s="31">
        <f>IF(E300="","",COUNTIF($E$2:E300,E300))</f>
        <v/>
      </c>
      <c r="G300" s="31">
        <f>IF(E300="","",E300*1000+F300)</f>
        <v/>
      </c>
      <c r="H300" s="31">
        <f>設定!$B$7</f>
        <v/>
      </c>
      <c r="I300" s="31">
        <f>IF(AND(C300&lt;&gt;"",D300=""),1,0)</f>
        <v/>
      </c>
      <c r="J300" s="31">
        <f>IF(AND(D300&lt;&gt;"",E300=""),1,0)</f>
        <v/>
      </c>
    </row>
    <row r="301">
      <c r="A301" s="31">
        <f>IF('6年'!T34="","",設定!$C$17)</f>
        <v/>
      </c>
      <c r="B301" s="31">
        <f>IF('6年'!T34="","",'6年'!S34)</f>
        <v/>
      </c>
      <c r="C301" s="31">
        <f>IF('6年'!T34="","",'6年'!T34)</f>
        <v/>
      </c>
      <c r="D301" s="31">
        <f>IF('6年'!T34="","",'6年'!U34&amp;"")</f>
        <v/>
      </c>
      <c r="E301" s="31">
        <f>IF(D301="","",IFERROR(MATCH(D301,設定!$I$11:$I$30,0),""))</f>
        <v/>
      </c>
      <c r="F301" s="31">
        <f>IF(E301="","",COUNTIF($E$2:E301,E301))</f>
        <v/>
      </c>
      <c r="G301" s="31">
        <f>IF(E301="","",E301*1000+F301)</f>
        <v/>
      </c>
      <c r="H301" s="31">
        <f>設定!$B$7</f>
        <v/>
      </c>
      <c r="I301" s="31">
        <f>IF(AND(C301&lt;&gt;"",D301=""),1,0)</f>
        <v/>
      </c>
      <c r="J301" s="31">
        <f>IF(AND(D301&lt;&gt;"",E301=""),1,0)</f>
        <v/>
      </c>
    </row>
    <row r="302">
      <c r="A302" s="31">
        <f>IF('6年'!T35="","",設定!$C$17)</f>
        <v/>
      </c>
      <c r="B302" s="31">
        <f>IF('6年'!T35="","",'6年'!S35)</f>
        <v/>
      </c>
      <c r="C302" s="31">
        <f>IF('6年'!T35="","",'6年'!T35)</f>
        <v/>
      </c>
      <c r="D302" s="31">
        <f>IF('6年'!T35="","",'6年'!U35&amp;"")</f>
        <v/>
      </c>
      <c r="E302" s="31">
        <f>IF(D302="","",IFERROR(MATCH(D302,設定!$I$11:$I$30,0),""))</f>
        <v/>
      </c>
      <c r="F302" s="31">
        <f>IF(E302="","",COUNTIF($E$2:E302,E302))</f>
        <v/>
      </c>
      <c r="G302" s="31">
        <f>IF(E302="","",E302*1000+F302)</f>
        <v/>
      </c>
      <c r="H302" s="31">
        <f>設定!$B$7</f>
        <v/>
      </c>
      <c r="I302" s="31">
        <f>IF(AND(C302&lt;&gt;"",D302=""),1,0)</f>
        <v/>
      </c>
      <c r="J302" s="31">
        <f>IF(AND(D302&lt;&gt;"",E302=""),1,0)</f>
        <v/>
      </c>
    </row>
    <row r="303">
      <c r="A303" s="31">
        <f>IF('6年'!T36="","",設定!$C$17)</f>
        <v/>
      </c>
      <c r="B303" s="31">
        <f>IF('6年'!T36="","",'6年'!S36)</f>
        <v/>
      </c>
      <c r="C303" s="31">
        <f>IF('6年'!T36="","",'6年'!T36)</f>
        <v/>
      </c>
      <c r="D303" s="31">
        <f>IF('6年'!T36="","",'6年'!U36&amp;"")</f>
        <v/>
      </c>
      <c r="E303" s="31">
        <f>IF(D303="","",IFERROR(MATCH(D303,設定!$I$11:$I$30,0),""))</f>
        <v/>
      </c>
      <c r="F303" s="31">
        <f>IF(E303="","",COUNTIF($E$2:E303,E303))</f>
        <v/>
      </c>
      <c r="G303" s="31">
        <f>IF(E303="","",E303*1000+F303)</f>
        <v/>
      </c>
      <c r="H303" s="31">
        <f>設定!$B$7</f>
        <v/>
      </c>
      <c r="I303" s="31">
        <f>IF(AND(C303&lt;&gt;"",D303=""),1,0)</f>
        <v/>
      </c>
      <c r="J303" s="31">
        <f>IF(AND(D303&lt;&gt;"",E303=""),1,0)</f>
        <v/>
      </c>
    </row>
    <row r="304">
      <c r="A304" s="31">
        <f>IF('6年'!T37="","",設定!$C$17)</f>
        <v/>
      </c>
      <c r="B304" s="31">
        <f>IF('6年'!T37="","",'6年'!S37)</f>
        <v/>
      </c>
      <c r="C304" s="31">
        <f>IF('6年'!T37="","",'6年'!T37)</f>
        <v/>
      </c>
      <c r="D304" s="31">
        <f>IF('6年'!T37="","",'6年'!U37&amp;"")</f>
        <v/>
      </c>
      <c r="E304" s="31">
        <f>IF(D304="","",IFERROR(MATCH(D304,設定!$I$11:$I$30,0),""))</f>
        <v/>
      </c>
      <c r="F304" s="31">
        <f>IF(E304="","",COUNTIF($E$2:E304,E304))</f>
        <v/>
      </c>
      <c r="G304" s="31">
        <f>IF(E304="","",E304*1000+F304)</f>
        <v/>
      </c>
      <c r="H304" s="31">
        <f>設定!$B$7</f>
        <v/>
      </c>
      <c r="I304" s="31">
        <f>IF(AND(C304&lt;&gt;"",D304=""),1,0)</f>
        <v/>
      </c>
      <c r="J304" s="31">
        <f>IF(AND(D304&lt;&gt;"",E304=""),1,0)</f>
        <v/>
      </c>
    </row>
    <row r="305">
      <c r="A305" s="31">
        <f>IF('6年'!T38="","",設定!$C$17)</f>
        <v/>
      </c>
      <c r="B305" s="31">
        <f>IF('6年'!T38="","",'6年'!S38)</f>
        <v/>
      </c>
      <c r="C305" s="31">
        <f>IF('6年'!T38="","",'6年'!T38)</f>
        <v/>
      </c>
      <c r="D305" s="31">
        <f>IF('6年'!T38="","",'6年'!U38&amp;"")</f>
        <v/>
      </c>
      <c r="E305" s="31">
        <f>IF(D305="","",IFERROR(MATCH(D305,設定!$I$11:$I$30,0),""))</f>
        <v/>
      </c>
      <c r="F305" s="31">
        <f>IF(E305="","",COUNTIF($E$2:E305,E305))</f>
        <v/>
      </c>
      <c r="G305" s="31">
        <f>IF(E305="","",E305*1000+F305)</f>
        <v/>
      </c>
      <c r="H305" s="31">
        <f>設定!$B$7</f>
        <v/>
      </c>
      <c r="I305" s="31">
        <f>IF(AND(C305&lt;&gt;"",D305=""),1,0)</f>
        <v/>
      </c>
      <c r="J305" s="31">
        <f>IF(AND(D305&lt;&gt;"",E305=""),1,0)</f>
        <v/>
      </c>
    </row>
    <row r="306">
      <c r="A306" s="31">
        <f>IF('6年'!T39="","",設定!$C$17)</f>
        <v/>
      </c>
      <c r="B306" s="31">
        <f>IF('6年'!T39="","",'6年'!S39)</f>
        <v/>
      </c>
      <c r="C306" s="31">
        <f>IF('6年'!T39="","",'6年'!T39)</f>
        <v/>
      </c>
      <c r="D306" s="31">
        <f>IF('6年'!T39="","",'6年'!U39&amp;"")</f>
        <v/>
      </c>
      <c r="E306" s="31">
        <f>IF(D306="","",IFERROR(MATCH(D306,設定!$I$11:$I$30,0),""))</f>
        <v/>
      </c>
      <c r="F306" s="31">
        <f>IF(E306="","",COUNTIF($E$2:E306,E306))</f>
        <v/>
      </c>
      <c r="G306" s="31">
        <f>IF(E306="","",E306*1000+F306)</f>
        <v/>
      </c>
      <c r="H306" s="31">
        <f>設定!$B$7</f>
        <v/>
      </c>
      <c r="I306" s="31">
        <f>IF(AND(C306&lt;&gt;"",D306=""),1,0)</f>
        <v/>
      </c>
      <c r="J306" s="31">
        <f>IF(AND(D306&lt;&gt;"",E306=""),1,0)</f>
        <v/>
      </c>
    </row>
    <row r="307">
      <c r="A307" s="31">
        <f>IF('6年'!T40="","",設定!$C$17)</f>
        <v/>
      </c>
      <c r="B307" s="31">
        <f>IF('6年'!T40="","",'6年'!S40)</f>
        <v/>
      </c>
      <c r="C307" s="31">
        <f>IF('6年'!T40="","",'6年'!T40)</f>
        <v/>
      </c>
      <c r="D307" s="31">
        <f>IF('6年'!T40="","",'6年'!U40&amp;"")</f>
        <v/>
      </c>
      <c r="E307" s="31">
        <f>IF(D307="","",IFERROR(MATCH(D307,設定!$I$11:$I$30,0),""))</f>
        <v/>
      </c>
      <c r="F307" s="31">
        <f>IF(E307="","",COUNTIF($E$2:E307,E307))</f>
        <v/>
      </c>
      <c r="G307" s="31">
        <f>IF(E307="","",E307*1000+F307)</f>
        <v/>
      </c>
      <c r="H307" s="31">
        <f>設定!$B$7</f>
        <v/>
      </c>
      <c r="I307" s="31">
        <f>IF(AND(C307&lt;&gt;"",D307=""),1,0)</f>
        <v/>
      </c>
      <c r="J307" s="31">
        <f>IF(AND(D307&lt;&gt;"",E307=""),1,0)</f>
        <v/>
      </c>
    </row>
    <row r="308">
      <c r="A308" s="31">
        <f>IF('6年'!T41="","",設定!$C$17)</f>
        <v/>
      </c>
      <c r="B308" s="31">
        <f>IF('6年'!T41="","",'6年'!S41)</f>
        <v/>
      </c>
      <c r="C308" s="31">
        <f>IF('6年'!T41="","",'6年'!T41)</f>
        <v/>
      </c>
      <c r="D308" s="31">
        <f>IF('6年'!T41="","",'6年'!U41&amp;"")</f>
        <v/>
      </c>
      <c r="E308" s="31">
        <f>IF(D308="","",IFERROR(MATCH(D308,設定!$I$11:$I$30,0),""))</f>
        <v/>
      </c>
      <c r="F308" s="31">
        <f>IF(E308="","",COUNTIF($E$2:E308,E308))</f>
        <v/>
      </c>
      <c r="G308" s="31">
        <f>IF(E308="","",E308*1000+F308)</f>
        <v/>
      </c>
      <c r="H308" s="31">
        <f>設定!$B$7</f>
        <v/>
      </c>
      <c r="I308" s="31">
        <f>IF(AND(C308&lt;&gt;"",D308=""),1,0)</f>
        <v/>
      </c>
      <c r="J308" s="31">
        <f>IF(AND(D308&lt;&gt;"",E308=""),1,0)</f>
        <v/>
      </c>
    </row>
    <row r="309">
      <c r="A309" s="31">
        <f>IF('6年'!T42="","",設定!$C$17)</f>
        <v/>
      </c>
      <c r="B309" s="31">
        <f>IF('6年'!T42="","",'6年'!S42)</f>
        <v/>
      </c>
      <c r="C309" s="31">
        <f>IF('6年'!T42="","",'6年'!T42)</f>
        <v/>
      </c>
      <c r="D309" s="31">
        <f>IF('6年'!T42="","",'6年'!U42&amp;"")</f>
        <v/>
      </c>
      <c r="E309" s="31">
        <f>IF(D309="","",IFERROR(MATCH(D309,設定!$I$11:$I$30,0),""))</f>
        <v/>
      </c>
      <c r="F309" s="31">
        <f>IF(E309="","",COUNTIF($E$2:E309,E309))</f>
        <v/>
      </c>
      <c r="G309" s="31">
        <f>IF(E309="","",E309*1000+F309)</f>
        <v/>
      </c>
      <c r="H309" s="31">
        <f>設定!$B$7</f>
        <v/>
      </c>
      <c r="I309" s="31">
        <f>IF(AND(C309&lt;&gt;"",D309=""),1,0)</f>
        <v/>
      </c>
      <c r="J309" s="31">
        <f>IF(AND(D309&lt;&gt;"",E309=""),1,0)</f>
        <v/>
      </c>
    </row>
    <row r="310">
      <c r="A310" s="31">
        <f>IF('6年'!T43="","",設定!$C$17)</f>
        <v/>
      </c>
      <c r="B310" s="31">
        <f>IF('6年'!T43="","",'6年'!S43)</f>
        <v/>
      </c>
      <c r="C310" s="31">
        <f>IF('6年'!T43="","",'6年'!T43)</f>
        <v/>
      </c>
      <c r="D310" s="31">
        <f>IF('6年'!T43="","",'6年'!U43&amp;"")</f>
        <v/>
      </c>
      <c r="E310" s="31">
        <f>IF(D310="","",IFERROR(MATCH(D310,設定!$I$11:$I$30,0),""))</f>
        <v/>
      </c>
      <c r="F310" s="31">
        <f>IF(E310="","",COUNTIF($E$2:E310,E310))</f>
        <v/>
      </c>
      <c r="G310" s="31">
        <f>IF(E310="","",E310*1000+F310)</f>
        <v/>
      </c>
      <c r="H310" s="31">
        <f>設定!$B$7</f>
        <v/>
      </c>
      <c r="I310" s="31">
        <f>IF(AND(C310&lt;&gt;"",D310=""),1,0)</f>
        <v/>
      </c>
      <c r="J310" s="31">
        <f>IF(AND(D310&lt;&gt;"",E310=""),1,0)</f>
        <v/>
      </c>
    </row>
    <row r="311">
      <c r="A311" s="31">
        <f>IF('6年'!T44="","",設定!$C$17)</f>
        <v/>
      </c>
      <c r="B311" s="31">
        <f>IF('6年'!T44="","",'6年'!S44)</f>
        <v/>
      </c>
      <c r="C311" s="31">
        <f>IF('6年'!T44="","",'6年'!T44)</f>
        <v/>
      </c>
      <c r="D311" s="31">
        <f>IF('6年'!T44="","",'6年'!U44&amp;"")</f>
        <v/>
      </c>
      <c r="E311" s="31">
        <f>IF(D311="","",IFERROR(MATCH(D311,設定!$I$11:$I$30,0),""))</f>
        <v/>
      </c>
      <c r="F311" s="31">
        <f>IF(E311="","",COUNTIF($E$2:E311,E311))</f>
        <v/>
      </c>
      <c r="G311" s="31">
        <f>IF(E311="","",E311*1000+F311)</f>
        <v/>
      </c>
      <c r="H311" s="31">
        <f>設定!$B$7</f>
        <v/>
      </c>
      <c r="I311" s="31">
        <f>IF(AND(C311&lt;&gt;"",D311=""),1,0)</f>
        <v/>
      </c>
      <c r="J311" s="31">
        <f>IF(AND(D311&lt;&gt;"",E311=""),1,0)</f>
        <v/>
      </c>
    </row>
    <row r="312">
      <c r="A312" s="31">
        <f>IF('6年'!T45="","",設定!$C$17)</f>
        <v/>
      </c>
      <c r="B312" s="31">
        <f>IF('6年'!T45="","",'6年'!S45)</f>
        <v/>
      </c>
      <c r="C312" s="31">
        <f>IF('6年'!T45="","",'6年'!T45)</f>
        <v/>
      </c>
      <c r="D312" s="31">
        <f>IF('6年'!T45="","",'6年'!U45&amp;"")</f>
        <v/>
      </c>
      <c r="E312" s="31">
        <f>IF(D312="","",IFERROR(MATCH(D312,設定!$I$11:$I$30,0),""))</f>
        <v/>
      </c>
      <c r="F312" s="31">
        <f>IF(E312="","",COUNTIF($E$2:E312,E312))</f>
        <v/>
      </c>
      <c r="G312" s="31">
        <f>IF(E312="","",E312*1000+F312)</f>
        <v/>
      </c>
      <c r="H312" s="31">
        <f>設定!$B$7</f>
        <v/>
      </c>
      <c r="I312" s="31">
        <f>IF(AND(C312&lt;&gt;"",D312=""),1,0)</f>
        <v/>
      </c>
      <c r="J312" s="31">
        <f>IF(AND(D312&lt;&gt;"",E312=""),1,0)</f>
        <v/>
      </c>
    </row>
    <row r="313">
      <c r="A313" s="31">
        <f>IF('6年'!T46="","",設定!$C$17)</f>
        <v/>
      </c>
      <c r="B313" s="31">
        <f>IF('6年'!T46="","",'6年'!S46)</f>
        <v/>
      </c>
      <c r="C313" s="31">
        <f>IF('6年'!T46="","",'6年'!T46)</f>
        <v/>
      </c>
      <c r="D313" s="31">
        <f>IF('6年'!T46="","",'6年'!U46&amp;"")</f>
        <v/>
      </c>
      <c r="E313" s="31">
        <f>IF(D313="","",IFERROR(MATCH(D313,設定!$I$11:$I$30,0),""))</f>
        <v/>
      </c>
      <c r="F313" s="31">
        <f>IF(E313="","",COUNTIF($E$2:E313,E313))</f>
        <v/>
      </c>
      <c r="G313" s="31">
        <f>IF(E313="","",E313*1000+F313)</f>
        <v/>
      </c>
      <c r="H313" s="31">
        <f>設定!$B$7</f>
        <v/>
      </c>
      <c r="I313" s="31">
        <f>IF(AND(C313&lt;&gt;"",D313=""),1,0)</f>
        <v/>
      </c>
      <c r="J313" s="31">
        <f>IF(AND(D313&lt;&gt;"",E313=""),1,0)</f>
        <v/>
      </c>
    </row>
    <row r="314">
      <c r="A314" s="31">
        <f>IF('6年'!T47="","",設定!$C$17)</f>
        <v/>
      </c>
      <c r="B314" s="31">
        <f>IF('6年'!T47="","",'6年'!S47)</f>
        <v/>
      </c>
      <c r="C314" s="31">
        <f>IF('6年'!T47="","",'6年'!T47)</f>
        <v/>
      </c>
      <c r="D314" s="31">
        <f>IF('6年'!T47="","",'6年'!U47&amp;"")</f>
        <v/>
      </c>
      <c r="E314" s="31">
        <f>IF(D314="","",IFERROR(MATCH(D314,設定!$I$11:$I$30,0),""))</f>
        <v/>
      </c>
      <c r="F314" s="31">
        <f>IF(E314="","",COUNTIF($E$2:E314,E314))</f>
        <v/>
      </c>
      <c r="G314" s="31">
        <f>IF(E314="","",E314*1000+F314)</f>
        <v/>
      </c>
      <c r="H314" s="31">
        <f>設定!$B$7</f>
        <v/>
      </c>
      <c r="I314" s="31">
        <f>IF(AND(C314&lt;&gt;"",D314=""),1,0)</f>
        <v/>
      </c>
      <c r="J314" s="31">
        <f>IF(AND(D314&lt;&gt;"",E314=""),1,0)</f>
        <v/>
      </c>
    </row>
    <row r="315">
      <c r="A315" s="31">
        <f>IF('6年'!T48="","",設定!$C$17)</f>
        <v/>
      </c>
      <c r="B315" s="31">
        <f>IF('6年'!T48="","",'6年'!S48)</f>
        <v/>
      </c>
      <c r="C315" s="31">
        <f>IF('6年'!T48="","",'6年'!T48)</f>
        <v/>
      </c>
      <c r="D315" s="31">
        <f>IF('6年'!T48="","",'6年'!U48&amp;"")</f>
        <v/>
      </c>
      <c r="E315" s="31">
        <f>IF(D315="","",IFERROR(MATCH(D315,設定!$I$11:$I$30,0),""))</f>
        <v/>
      </c>
      <c r="F315" s="31">
        <f>IF(E315="","",COUNTIF($E$2:E315,E315))</f>
        <v/>
      </c>
      <c r="G315" s="31">
        <f>IF(E315="","",E315*1000+F315)</f>
        <v/>
      </c>
      <c r="H315" s="31">
        <f>設定!$B$7</f>
        <v/>
      </c>
      <c r="I315" s="31">
        <f>IF(AND(C315&lt;&gt;"",D315=""),1,0)</f>
        <v/>
      </c>
      <c r="J315" s="31">
        <f>IF(AND(D315&lt;&gt;"",E315=""),1,0)</f>
        <v/>
      </c>
    </row>
    <row r="316">
      <c r="A316" s="31">
        <f>IF('6年'!T49="","",設定!$C$17)</f>
        <v/>
      </c>
      <c r="B316" s="31">
        <f>IF('6年'!T49="","",'6年'!S49)</f>
        <v/>
      </c>
      <c r="C316" s="31">
        <f>IF('6年'!T49="","",'6年'!T49)</f>
        <v/>
      </c>
      <c r="D316" s="31">
        <f>IF('6年'!T49="","",'6年'!U49&amp;"")</f>
        <v/>
      </c>
      <c r="E316" s="31">
        <f>IF(D316="","",IFERROR(MATCH(D316,設定!$I$11:$I$30,0),""))</f>
        <v/>
      </c>
      <c r="F316" s="31">
        <f>IF(E316="","",COUNTIF($E$2:E316,E316))</f>
        <v/>
      </c>
      <c r="G316" s="31">
        <f>IF(E316="","",E316*1000+F316)</f>
        <v/>
      </c>
      <c r="H316" s="31">
        <f>設定!$B$7</f>
        <v/>
      </c>
      <c r="I316" s="31">
        <f>IF(AND(C316&lt;&gt;"",D316=""),1,0)</f>
        <v/>
      </c>
      <c r="J316" s="31">
        <f>IF(AND(D316&lt;&gt;"",E316=""),1,0)</f>
        <v/>
      </c>
    </row>
    <row r="317">
      <c r="A317" s="31">
        <f>IF('6年'!W5="","",設定!$C$18)</f>
        <v/>
      </c>
      <c r="B317" s="31">
        <f>IF('6年'!W5="","",'6年'!V5)</f>
        <v/>
      </c>
      <c r="C317" s="31">
        <f>IF('6年'!W5="","",'6年'!W5)</f>
        <v/>
      </c>
      <c r="D317" s="31">
        <f>IF('6年'!W5="","",'6年'!X5&amp;"")</f>
        <v/>
      </c>
      <c r="E317" s="31">
        <f>IF(D317="","",IFERROR(MATCH(D317,設定!$I$11:$I$30,0),""))</f>
        <v/>
      </c>
      <c r="F317" s="31">
        <f>IF(E317="","",COUNTIF($E$2:E317,E317))</f>
        <v/>
      </c>
      <c r="G317" s="31">
        <f>IF(E317="","",E317*1000+F317)</f>
        <v/>
      </c>
      <c r="H317" s="31">
        <f>設定!$B$7</f>
        <v/>
      </c>
      <c r="I317" s="31">
        <f>IF(AND(C317&lt;&gt;"",D317=""),1,0)</f>
        <v/>
      </c>
      <c r="J317" s="31">
        <f>IF(AND(D317&lt;&gt;"",E317=""),1,0)</f>
        <v/>
      </c>
    </row>
    <row r="318">
      <c r="A318" s="31">
        <f>IF('6年'!W6="","",設定!$C$18)</f>
        <v/>
      </c>
      <c r="B318" s="31">
        <f>IF('6年'!W6="","",'6年'!V6)</f>
        <v/>
      </c>
      <c r="C318" s="31">
        <f>IF('6年'!W6="","",'6年'!W6)</f>
        <v/>
      </c>
      <c r="D318" s="31">
        <f>IF('6年'!W6="","",'6年'!X6&amp;"")</f>
        <v/>
      </c>
      <c r="E318" s="31">
        <f>IF(D318="","",IFERROR(MATCH(D318,設定!$I$11:$I$30,0),""))</f>
        <v/>
      </c>
      <c r="F318" s="31">
        <f>IF(E318="","",COUNTIF($E$2:E318,E318))</f>
        <v/>
      </c>
      <c r="G318" s="31">
        <f>IF(E318="","",E318*1000+F318)</f>
        <v/>
      </c>
      <c r="H318" s="31">
        <f>設定!$B$7</f>
        <v/>
      </c>
      <c r="I318" s="31">
        <f>IF(AND(C318&lt;&gt;"",D318=""),1,0)</f>
        <v/>
      </c>
      <c r="J318" s="31">
        <f>IF(AND(D318&lt;&gt;"",E318=""),1,0)</f>
        <v/>
      </c>
    </row>
    <row r="319">
      <c r="A319" s="31">
        <f>IF('6年'!W7="","",設定!$C$18)</f>
        <v/>
      </c>
      <c r="B319" s="31">
        <f>IF('6年'!W7="","",'6年'!V7)</f>
        <v/>
      </c>
      <c r="C319" s="31">
        <f>IF('6年'!W7="","",'6年'!W7)</f>
        <v/>
      </c>
      <c r="D319" s="31">
        <f>IF('6年'!W7="","",'6年'!X7&amp;"")</f>
        <v/>
      </c>
      <c r="E319" s="31">
        <f>IF(D319="","",IFERROR(MATCH(D319,設定!$I$11:$I$30,0),""))</f>
        <v/>
      </c>
      <c r="F319" s="31">
        <f>IF(E319="","",COUNTIF($E$2:E319,E319))</f>
        <v/>
      </c>
      <c r="G319" s="31">
        <f>IF(E319="","",E319*1000+F319)</f>
        <v/>
      </c>
      <c r="H319" s="31">
        <f>設定!$B$7</f>
        <v/>
      </c>
      <c r="I319" s="31">
        <f>IF(AND(C319&lt;&gt;"",D319=""),1,0)</f>
        <v/>
      </c>
      <c r="J319" s="31">
        <f>IF(AND(D319&lt;&gt;"",E319=""),1,0)</f>
        <v/>
      </c>
    </row>
    <row r="320">
      <c r="A320" s="31">
        <f>IF('6年'!W8="","",設定!$C$18)</f>
        <v/>
      </c>
      <c r="B320" s="31">
        <f>IF('6年'!W8="","",'6年'!V8)</f>
        <v/>
      </c>
      <c r="C320" s="31">
        <f>IF('6年'!W8="","",'6年'!W8)</f>
        <v/>
      </c>
      <c r="D320" s="31">
        <f>IF('6年'!W8="","",'6年'!X8&amp;"")</f>
        <v/>
      </c>
      <c r="E320" s="31">
        <f>IF(D320="","",IFERROR(MATCH(D320,設定!$I$11:$I$30,0),""))</f>
        <v/>
      </c>
      <c r="F320" s="31">
        <f>IF(E320="","",COUNTIF($E$2:E320,E320))</f>
        <v/>
      </c>
      <c r="G320" s="31">
        <f>IF(E320="","",E320*1000+F320)</f>
        <v/>
      </c>
      <c r="H320" s="31">
        <f>設定!$B$7</f>
        <v/>
      </c>
      <c r="I320" s="31">
        <f>IF(AND(C320&lt;&gt;"",D320=""),1,0)</f>
        <v/>
      </c>
      <c r="J320" s="31">
        <f>IF(AND(D320&lt;&gt;"",E320=""),1,0)</f>
        <v/>
      </c>
    </row>
    <row r="321">
      <c r="A321" s="31">
        <f>IF('6年'!W9="","",設定!$C$18)</f>
        <v/>
      </c>
      <c r="B321" s="31">
        <f>IF('6年'!W9="","",'6年'!V9)</f>
        <v/>
      </c>
      <c r="C321" s="31">
        <f>IF('6年'!W9="","",'6年'!W9)</f>
        <v/>
      </c>
      <c r="D321" s="31">
        <f>IF('6年'!W9="","",'6年'!X9&amp;"")</f>
        <v/>
      </c>
      <c r="E321" s="31">
        <f>IF(D321="","",IFERROR(MATCH(D321,設定!$I$11:$I$30,0),""))</f>
        <v/>
      </c>
      <c r="F321" s="31">
        <f>IF(E321="","",COUNTIF($E$2:E321,E321))</f>
        <v/>
      </c>
      <c r="G321" s="31">
        <f>IF(E321="","",E321*1000+F321)</f>
        <v/>
      </c>
      <c r="H321" s="31">
        <f>設定!$B$7</f>
        <v/>
      </c>
      <c r="I321" s="31">
        <f>IF(AND(C321&lt;&gt;"",D321=""),1,0)</f>
        <v/>
      </c>
      <c r="J321" s="31">
        <f>IF(AND(D321&lt;&gt;"",E321=""),1,0)</f>
        <v/>
      </c>
    </row>
    <row r="322">
      <c r="A322" s="31">
        <f>IF('6年'!W10="","",設定!$C$18)</f>
        <v/>
      </c>
      <c r="B322" s="31">
        <f>IF('6年'!W10="","",'6年'!V10)</f>
        <v/>
      </c>
      <c r="C322" s="31">
        <f>IF('6年'!W10="","",'6年'!W10)</f>
        <v/>
      </c>
      <c r="D322" s="31">
        <f>IF('6年'!W10="","",'6年'!X10&amp;"")</f>
        <v/>
      </c>
      <c r="E322" s="31">
        <f>IF(D322="","",IFERROR(MATCH(D322,設定!$I$11:$I$30,0),""))</f>
        <v/>
      </c>
      <c r="F322" s="31">
        <f>IF(E322="","",COUNTIF($E$2:E322,E322))</f>
        <v/>
      </c>
      <c r="G322" s="31">
        <f>IF(E322="","",E322*1000+F322)</f>
        <v/>
      </c>
      <c r="H322" s="31">
        <f>設定!$B$7</f>
        <v/>
      </c>
      <c r="I322" s="31">
        <f>IF(AND(C322&lt;&gt;"",D322=""),1,0)</f>
        <v/>
      </c>
      <c r="J322" s="31">
        <f>IF(AND(D322&lt;&gt;"",E322=""),1,0)</f>
        <v/>
      </c>
    </row>
    <row r="323">
      <c r="A323" s="31">
        <f>IF('6年'!W11="","",設定!$C$18)</f>
        <v/>
      </c>
      <c r="B323" s="31">
        <f>IF('6年'!W11="","",'6年'!V11)</f>
        <v/>
      </c>
      <c r="C323" s="31">
        <f>IF('6年'!W11="","",'6年'!W11)</f>
        <v/>
      </c>
      <c r="D323" s="31">
        <f>IF('6年'!W11="","",'6年'!X11&amp;"")</f>
        <v/>
      </c>
      <c r="E323" s="31">
        <f>IF(D323="","",IFERROR(MATCH(D323,設定!$I$11:$I$30,0),""))</f>
        <v/>
      </c>
      <c r="F323" s="31">
        <f>IF(E323="","",COUNTIF($E$2:E323,E323))</f>
        <v/>
      </c>
      <c r="G323" s="31">
        <f>IF(E323="","",E323*1000+F323)</f>
        <v/>
      </c>
      <c r="H323" s="31">
        <f>設定!$B$7</f>
        <v/>
      </c>
      <c r="I323" s="31">
        <f>IF(AND(C323&lt;&gt;"",D323=""),1,0)</f>
        <v/>
      </c>
      <c r="J323" s="31">
        <f>IF(AND(D323&lt;&gt;"",E323=""),1,0)</f>
        <v/>
      </c>
    </row>
    <row r="324">
      <c r="A324" s="31">
        <f>IF('6年'!W12="","",設定!$C$18)</f>
        <v/>
      </c>
      <c r="B324" s="31">
        <f>IF('6年'!W12="","",'6年'!V12)</f>
        <v/>
      </c>
      <c r="C324" s="31">
        <f>IF('6年'!W12="","",'6年'!W12)</f>
        <v/>
      </c>
      <c r="D324" s="31">
        <f>IF('6年'!W12="","",'6年'!X12&amp;"")</f>
        <v/>
      </c>
      <c r="E324" s="31">
        <f>IF(D324="","",IFERROR(MATCH(D324,設定!$I$11:$I$30,0),""))</f>
        <v/>
      </c>
      <c r="F324" s="31">
        <f>IF(E324="","",COUNTIF($E$2:E324,E324))</f>
        <v/>
      </c>
      <c r="G324" s="31">
        <f>IF(E324="","",E324*1000+F324)</f>
        <v/>
      </c>
      <c r="H324" s="31">
        <f>設定!$B$7</f>
        <v/>
      </c>
      <c r="I324" s="31">
        <f>IF(AND(C324&lt;&gt;"",D324=""),1,0)</f>
        <v/>
      </c>
      <c r="J324" s="31">
        <f>IF(AND(D324&lt;&gt;"",E324=""),1,0)</f>
        <v/>
      </c>
    </row>
    <row r="325">
      <c r="A325" s="31">
        <f>IF('6年'!W13="","",設定!$C$18)</f>
        <v/>
      </c>
      <c r="B325" s="31">
        <f>IF('6年'!W13="","",'6年'!V13)</f>
        <v/>
      </c>
      <c r="C325" s="31">
        <f>IF('6年'!W13="","",'6年'!W13)</f>
        <v/>
      </c>
      <c r="D325" s="31">
        <f>IF('6年'!W13="","",'6年'!X13&amp;"")</f>
        <v/>
      </c>
      <c r="E325" s="31">
        <f>IF(D325="","",IFERROR(MATCH(D325,設定!$I$11:$I$30,0),""))</f>
        <v/>
      </c>
      <c r="F325" s="31">
        <f>IF(E325="","",COUNTIF($E$2:E325,E325))</f>
        <v/>
      </c>
      <c r="G325" s="31">
        <f>IF(E325="","",E325*1000+F325)</f>
        <v/>
      </c>
      <c r="H325" s="31">
        <f>設定!$B$7</f>
        <v/>
      </c>
      <c r="I325" s="31">
        <f>IF(AND(C325&lt;&gt;"",D325=""),1,0)</f>
        <v/>
      </c>
      <c r="J325" s="31">
        <f>IF(AND(D325&lt;&gt;"",E325=""),1,0)</f>
        <v/>
      </c>
    </row>
    <row r="326">
      <c r="A326" s="31">
        <f>IF('6年'!W14="","",設定!$C$18)</f>
        <v/>
      </c>
      <c r="B326" s="31">
        <f>IF('6年'!W14="","",'6年'!V14)</f>
        <v/>
      </c>
      <c r="C326" s="31">
        <f>IF('6年'!W14="","",'6年'!W14)</f>
        <v/>
      </c>
      <c r="D326" s="31">
        <f>IF('6年'!W14="","",'6年'!X14&amp;"")</f>
        <v/>
      </c>
      <c r="E326" s="31">
        <f>IF(D326="","",IFERROR(MATCH(D326,設定!$I$11:$I$30,0),""))</f>
        <v/>
      </c>
      <c r="F326" s="31">
        <f>IF(E326="","",COUNTIF($E$2:E326,E326))</f>
        <v/>
      </c>
      <c r="G326" s="31">
        <f>IF(E326="","",E326*1000+F326)</f>
        <v/>
      </c>
      <c r="H326" s="31">
        <f>設定!$B$7</f>
        <v/>
      </c>
      <c r="I326" s="31">
        <f>IF(AND(C326&lt;&gt;"",D326=""),1,0)</f>
        <v/>
      </c>
      <c r="J326" s="31">
        <f>IF(AND(D326&lt;&gt;"",E326=""),1,0)</f>
        <v/>
      </c>
    </row>
    <row r="327">
      <c r="A327" s="31">
        <f>IF('6年'!W15="","",設定!$C$18)</f>
        <v/>
      </c>
      <c r="B327" s="31">
        <f>IF('6年'!W15="","",'6年'!V15)</f>
        <v/>
      </c>
      <c r="C327" s="31">
        <f>IF('6年'!W15="","",'6年'!W15)</f>
        <v/>
      </c>
      <c r="D327" s="31">
        <f>IF('6年'!W15="","",'6年'!X15&amp;"")</f>
        <v/>
      </c>
      <c r="E327" s="31">
        <f>IF(D327="","",IFERROR(MATCH(D327,設定!$I$11:$I$30,0),""))</f>
        <v/>
      </c>
      <c r="F327" s="31">
        <f>IF(E327="","",COUNTIF($E$2:E327,E327))</f>
        <v/>
      </c>
      <c r="G327" s="31">
        <f>IF(E327="","",E327*1000+F327)</f>
        <v/>
      </c>
      <c r="H327" s="31">
        <f>設定!$B$7</f>
        <v/>
      </c>
      <c r="I327" s="31">
        <f>IF(AND(C327&lt;&gt;"",D327=""),1,0)</f>
        <v/>
      </c>
      <c r="J327" s="31">
        <f>IF(AND(D327&lt;&gt;"",E327=""),1,0)</f>
        <v/>
      </c>
    </row>
    <row r="328">
      <c r="A328" s="31">
        <f>IF('6年'!W16="","",設定!$C$18)</f>
        <v/>
      </c>
      <c r="B328" s="31">
        <f>IF('6年'!W16="","",'6年'!V16)</f>
        <v/>
      </c>
      <c r="C328" s="31">
        <f>IF('6年'!W16="","",'6年'!W16)</f>
        <v/>
      </c>
      <c r="D328" s="31">
        <f>IF('6年'!W16="","",'6年'!X16&amp;"")</f>
        <v/>
      </c>
      <c r="E328" s="31">
        <f>IF(D328="","",IFERROR(MATCH(D328,設定!$I$11:$I$30,0),""))</f>
        <v/>
      </c>
      <c r="F328" s="31">
        <f>IF(E328="","",COUNTIF($E$2:E328,E328))</f>
        <v/>
      </c>
      <c r="G328" s="31">
        <f>IF(E328="","",E328*1000+F328)</f>
        <v/>
      </c>
      <c r="H328" s="31">
        <f>設定!$B$7</f>
        <v/>
      </c>
      <c r="I328" s="31">
        <f>IF(AND(C328&lt;&gt;"",D328=""),1,0)</f>
        <v/>
      </c>
      <c r="J328" s="31">
        <f>IF(AND(D328&lt;&gt;"",E328=""),1,0)</f>
        <v/>
      </c>
    </row>
    <row r="329">
      <c r="A329" s="31">
        <f>IF('6年'!W17="","",設定!$C$18)</f>
        <v/>
      </c>
      <c r="B329" s="31">
        <f>IF('6年'!W17="","",'6年'!V17)</f>
        <v/>
      </c>
      <c r="C329" s="31">
        <f>IF('6年'!W17="","",'6年'!W17)</f>
        <v/>
      </c>
      <c r="D329" s="31">
        <f>IF('6年'!W17="","",'6年'!X17&amp;"")</f>
        <v/>
      </c>
      <c r="E329" s="31">
        <f>IF(D329="","",IFERROR(MATCH(D329,設定!$I$11:$I$30,0),""))</f>
        <v/>
      </c>
      <c r="F329" s="31">
        <f>IF(E329="","",COUNTIF($E$2:E329,E329))</f>
        <v/>
      </c>
      <c r="G329" s="31">
        <f>IF(E329="","",E329*1000+F329)</f>
        <v/>
      </c>
      <c r="H329" s="31">
        <f>設定!$B$7</f>
        <v/>
      </c>
      <c r="I329" s="31">
        <f>IF(AND(C329&lt;&gt;"",D329=""),1,0)</f>
        <v/>
      </c>
      <c r="J329" s="31">
        <f>IF(AND(D329&lt;&gt;"",E329=""),1,0)</f>
        <v/>
      </c>
    </row>
    <row r="330">
      <c r="A330" s="31">
        <f>IF('6年'!W18="","",設定!$C$18)</f>
        <v/>
      </c>
      <c r="B330" s="31">
        <f>IF('6年'!W18="","",'6年'!V18)</f>
        <v/>
      </c>
      <c r="C330" s="31">
        <f>IF('6年'!W18="","",'6年'!W18)</f>
        <v/>
      </c>
      <c r="D330" s="31">
        <f>IF('6年'!W18="","",'6年'!X18&amp;"")</f>
        <v/>
      </c>
      <c r="E330" s="31">
        <f>IF(D330="","",IFERROR(MATCH(D330,設定!$I$11:$I$30,0),""))</f>
        <v/>
      </c>
      <c r="F330" s="31">
        <f>IF(E330="","",COUNTIF($E$2:E330,E330))</f>
        <v/>
      </c>
      <c r="G330" s="31">
        <f>IF(E330="","",E330*1000+F330)</f>
        <v/>
      </c>
      <c r="H330" s="31">
        <f>設定!$B$7</f>
        <v/>
      </c>
      <c r="I330" s="31">
        <f>IF(AND(C330&lt;&gt;"",D330=""),1,0)</f>
        <v/>
      </c>
      <c r="J330" s="31">
        <f>IF(AND(D330&lt;&gt;"",E330=""),1,0)</f>
        <v/>
      </c>
    </row>
    <row r="331">
      <c r="A331" s="31">
        <f>IF('6年'!W19="","",設定!$C$18)</f>
        <v/>
      </c>
      <c r="B331" s="31">
        <f>IF('6年'!W19="","",'6年'!V19)</f>
        <v/>
      </c>
      <c r="C331" s="31">
        <f>IF('6年'!W19="","",'6年'!W19)</f>
        <v/>
      </c>
      <c r="D331" s="31">
        <f>IF('6年'!W19="","",'6年'!X19&amp;"")</f>
        <v/>
      </c>
      <c r="E331" s="31">
        <f>IF(D331="","",IFERROR(MATCH(D331,設定!$I$11:$I$30,0),""))</f>
        <v/>
      </c>
      <c r="F331" s="31">
        <f>IF(E331="","",COUNTIF($E$2:E331,E331))</f>
        <v/>
      </c>
      <c r="G331" s="31">
        <f>IF(E331="","",E331*1000+F331)</f>
        <v/>
      </c>
      <c r="H331" s="31">
        <f>設定!$B$7</f>
        <v/>
      </c>
      <c r="I331" s="31">
        <f>IF(AND(C331&lt;&gt;"",D331=""),1,0)</f>
        <v/>
      </c>
      <c r="J331" s="31">
        <f>IF(AND(D331&lt;&gt;"",E331=""),1,0)</f>
        <v/>
      </c>
    </row>
    <row r="332">
      <c r="A332" s="31">
        <f>IF('6年'!W20="","",設定!$C$18)</f>
        <v/>
      </c>
      <c r="B332" s="31">
        <f>IF('6年'!W20="","",'6年'!V20)</f>
        <v/>
      </c>
      <c r="C332" s="31">
        <f>IF('6年'!W20="","",'6年'!W20)</f>
        <v/>
      </c>
      <c r="D332" s="31">
        <f>IF('6年'!W20="","",'6年'!X20&amp;"")</f>
        <v/>
      </c>
      <c r="E332" s="31">
        <f>IF(D332="","",IFERROR(MATCH(D332,設定!$I$11:$I$30,0),""))</f>
        <v/>
      </c>
      <c r="F332" s="31">
        <f>IF(E332="","",COUNTIF($E$2:E332,E332))</f>
        <v/>
      </c>
      <c r="G332" s="31">
        <f>IF(E332="","",E332*1000+F332)</f>
        <v/>
      </c>
      <c r="H332" s="31">
        <f>設定!$B$7</f>
        <v/>
      </c>
      <c r="I332" s="31">
        <f>IF(AND(C332&lt;&gt;"",D332=""),1,0)</f>
        <v/>
      </c>
      <c r="J332" s="31">
        <f>IF(AND(D332&lt;&gt;"",E332=""),1,0)</f>
        <v/>
      </c>
    </row>
    <row r="333">
      <c r="A333" s="31">
        <f>IF('6年'!W21="","",設定!$C$18)</f>
        <v/>
      </c>
      <c r="B333" s="31">
        <f>IF('6年'!W21="","",'6年'!V21)</f>
        <v/>
      </c>
      <c r="C333" s="31">
        <f>IF('6年'!W21="","",'6年'!W21)</f>
        <v/>
      </c>
      <c r="D333" s="31">
        <f>IF('6年'!W21="","",'6年'!X21&amp;"")</f>
        <v/>
      </c>
      <c r="E333" s="31">
        <f>IF(D333="","",IFERROR(MATCH(D333,設定!$I$11:$I$30,0),""))</f>
        <v/>
      </c>
      <c r="F333" s="31">
        <f>IF(E333="","",COUNTIF($E$2:E333,E333))</f>
        <v/>
      </c>
      <c r="G333" s="31">
        <f>IF(E333="","",E333*1000+F333)</f>
        <v/>
      </c>
      <c r="H333" s="31">
        <f>設定!$B$7</f>
        <v/>
      </c>
      <c r="I333" s="31">
        <f>IF(AND(C333&lt;&gt;"",D333=""),1,0)</f>
        <v/>
      </c>
      <c r="J333" s="31">
        <f>IF(AND(D333&lt;&gt;"",E333=""),1,0)</f>
        <v/>
      </c>
    </row>
    <row r="334">
      <c r="A334" s="31">
        <f>IF('6年'!W22="","",設定!$C$18)</f>
        <v/>
      </c>
      <c r="B334" s="31">
        <f>IF('6年'!W22="","",'6年'!V22)</f>
        <v/>
      </c>
      <c r="C334" s="31">
        <f>IF('6年'!W22="","",'6年'!W22)</f>
        <v/>
      </c>
      <c r="D334" s="31">
        <f>IF('6年'!W22="","",'6年'!X22&amp;"")</f>
        <v/>
      </c>
      <c r="E334" s="31">
        <f>IF(D334="","",IFERROR(MATCH(D334,設定!$I$11:$I$30,0),""))</f>
        <v/>
      </c>
      <c r="F334" s="31">
        <f>IF(E334="","",COUNTIF($E$2:E334,E334))</f>
        <v/>
      </c>
      <c r="G334" s="31">
        <f>IF(E334="","",E334*1000+F334)</f>
        <v/>
      </c>
      <c r="H334" s="31">
        <f>設定!$B$7</f>
        <v/>
      </c>
      <c r="I334" s="31">
        <f>IF(AND(C334&lt;&gt;"",D334=""),1,0)</f>
        <v/>
      </c>
      <c r="J334" s="31">
        <f>IF(AND(D334&lt;&gt;"",E334=""),1,0)</f>
        <v/>
      </c>
    </row>
    <row r="335">
      <c r="A335" s="31">
        <f>IF('6年'!W23="","",設定!$C$18)</f>
        <v/>
      </c>
      <c r="B335" s="31">
        <f>IF('6年'!W23="","",'6年'!V23)</f>
        <v/>
      </c>
      <c r="C335" s="31">
        <f>IF('6年'!W23="","",'6年'!W23)</f>
        <v/>
      </c>
      <c r="D335" s="31">
        <f>IF('6年'!W23="","",'6年'!X23&amp;"")</f>
        <v/>
      </c>
      <c r="E335" s="31">
        <f>IF(D335="","",IFERROR(MATCH(D335,設定!$I$11:$I$30,0),""))</f>
        <v/>
      </c>
      <c r="F335" s="31">
        <f>IF(E335="","",COUNTIF($E$2:E335,E335))</f>
        <v/>
      </c>
      <c r="G335" s="31">
        <f>IF(E335="","",E335*1000+F335)</f>
        <v/>
      </c>
      <c r="H335" s="31">
        <f>設定!$B$7</f>
        <v/>
      </c>
      <c r="I335" s="31">
        <f>IF(AND(C335&lt;&gt;"",D335=""),1,0)</f>
        <v/>
      </c>
      <c r="J335" s="31">
        <f>IF(AND(D335&lt;&gt;"",E335=""),1,0)</f>
        <v/>
      </c>
    </row>
    <row r="336">
      <c r="A336" s="31">
        <f>IF('6年'!W24="","",設定!$C$18)</f>
        <v/>
      </c>
      <c r="B336" s="31">
        <f>IF('6年'!W24="","",'6年'!V24)</f>
        <v/>
      </c>
      <c r="C336" s="31">
        <f>IF('6年'!W24="","",'6年'!W24)</f>
        <v/>
      </c>
      <c r="D336" s="31">
        <f>IF('6年'!W24="","",'6年'!X24&amp;"")</f>
        <v/>
      </c>
      <c r="E336" s="31">
        <f>IF(D336="","",IFERROR(MATCH(D336,設定!$I$11:$I$30,0),""))</f>
        <v/>
      </c>
      <c r="F336" s="31">
        <f>IF(E336="","",COUNTIF($E$2:E336,E336))</f>
        <v/>
      </c>
      <c r="G336" s="31">
        <f>IF(E336="","",E336*1000+F336)</f>
        <v/>
      </c>
      <c r="H336" s="31">
        <f>設定!$B$7</f>
        <v/>
      </c>
      <c r="I336" s="31">
        <f>IF(AND(C336&lt;&gt;"",D336=""),1,0)</f>
        <v/>
      </c>
      <c r="J336" s="31">
        <f>IF(AND(D336&lt;&gt;"",E336=""),1,0)</f>
        <v/>
      </c>
    </row>
    <row r="337">
      <c r="A337" s="31">
        <f>IF('6年'!W25="","",設定!$C$18)</f>
        <v/>
      </c>
      <c r="B337" s="31">
        <f>IF('6年'!W25="","",'6年'!V25)</f>
        <v/>
      </c>
      <c r="C337" s="31">
        <f>IF('6年'!W25="","",'6年'!W25)</f>
        <v/>
      </c>
      <c r="D337" s="31">
        <f>IF('6年'!W25="","",'6年'!X25&amp;"")</f>
        <v/>
      </c>
      <c r="E337" s="31">
        <f>IF(D337="","",IFERROR(MATCH(D337,設定!$I$11:$I$30,0),""))</f>
        <v/>
      </c>
      <c r="F337" s="31">
        <f>IF(E337="","",COUNTIF($E$2:E337,E337))</f>
        <v/>
      </c>
      <c r="G337" s="31">
        <f>IF(E337="","",E337*1000+F337)</f>
        <v/>
      </c>
      <c r="H337" s="31">
        <f>設定!$B$7</f>
        <v/>
      </c>
      <c r="I337" s="31">
        <f>IF(AND(C337&lt;&gt;"",D337=""),1,0)</f>
        <v/>
      </c>
      <c r="J337" s="31">
        <f>IF(AND(D337&lt;&gt;"",E337=""),1,0)</f>
        <v/>
      </c>
    </row>
    <row r="338">
      <c r="A338" s="31">
        <f>IF('6年'!W26="","",設定!$C$18)</f>
        <v/>
      </c>
      <c r="B338" s="31">
        <f>IF('6年'!W26="","",'6年'!V26)</f>
        <v/>
      </c>
      <c r="C338" s="31">
        <f>IF('6年'!W26="","",'6年'!W26)</f>
        <v/>
      </c>
      <c r="D338" s="31">
        <f>IF('6年'!W26="","",'6年'!X26&amp;"")</f>
        <v/>
      </c>
      <c r="E338" s="31">
        <f>IF(D338="","",IFERROR(MATCH(D338,設定!$I$11:$I$30,0),""))</f>
        <v/>
      </c>
      <c r="F338" s="31">
        <f>IF(E338="","",COUNTIF($E$2:E338,E338))</f>
        <v/>
      </c>
      <c r="G338" s="31">
        <f>IF(E338="","",E338*1000+F338)</f>
        <v/>
      </c>
      <c r="H338" s="31">
        <f>設定!$B$7</f>
        <v/>
      </c>
      <c r="I338" s="31">
        <f>IF(AND(C338&lt;&gt;"",D338=""),1,0)</f>
        <v/>
      </c>
      <c r="J338" s="31">
        <f>IF(AND(D338&lt;&gt;"",E338=""),1,0)</f>
        <v/>
      </c>
    </row>
    <row r="339">
      <c r="A339" s="31">
        <f>IF('6年'!W27="","",設定!$C$18)</f>
        <v/>
      </c>
      <c r="B339" s="31">
        <f>IF('6年'!W27="","",'6年'!V27)</f>
        <v/>
      </c>
      <c r="C339" s="31">
        <f>IF('6年'!W27="","",'6年'!W27)</f>
        <v/>
      </c>
      <c r="D339" s="31">
        <f>IF('6年'!W27="","",'6年'!X27&amp;"")</f>
        <v/>
      </c>
      <c r="E339" s="31">
        <f>IF(D339="","",IFERROR(MATCH(D339,設定!$I$11:$I$30,0),""))</f>
        <v/>
      </c>
      <c r="F339" s="31">
        <f>IF(E339="","",COUNTIF($E$2:E339,E339))</f>
        <v/>
      </c>
      <c r="G339" s="31">
        <f>IF(E339="","",E339*1000+F339)</f>
        <v/>
      </c>
      <c r="H339" s="31">
        <f>設定!$B$7</f>
        <v/>
      </c>
      <c r="I339" s="31">
        <f>IF(AND(C339&lt;&gt;"",D339=""),1,0)</f>
        <v/>
      </c>
      <c r="J339" s="31">
        <f>IF(AND(D339&lt;&gt;"",E339=""),1,0)</f>
        <v/>
      </c>
    </row>
    <row r="340">
      <c r="A340" s="31">
        <f>IF('6年'!W28="","",設定!$C$18)</f>
        <v/>
      </c>
      <c r="B340" s="31">
        <f>IF('6年'!W28="","",'6年'!V28)</f>
        <v/>
      </c>
      <c r="C340" s="31">
        <f>IF('6年'!W28="","",'6年'!W28)</f>
        <v/>
      </c>
      <c r="D340" s="31">
        <f>IF('6年'!W28="","",'6年'!X28&amp;"")</f>
        <v/>
      </c>
      <c r="E340" s="31">
        <f>IF(D340="","",IFERROR(MATCH(D340,設定!$I$11:$I$30,0),""))</f>
        <v/>
      </c>
      <c r="F340" s="31">
        <f>IF(E340="","",COUNTIF($E$2:E340,E340))</f>
        <v/>
      </c>
      <c r="G340" s="31">
        <f>IF(E340="","",E340*1000+F340)</f>
        <v/>
      </c>
      <c r="H340" s="31">
        <f>設定!$B$7</f>
        <v/>
      </c>
      <c r="I340" s="31">
        <f>IF(AND(C340&lt;&gt;"",D340=""),1,0)</f>
        <v/>
      </c>
      <c r="J340" s="31">
        <f>IF(AND(D340&lt;&gt;"",E340=""),1,0)</f>
        <v/>
      </c>
    </row>
    <row r="341">
      <c r="A341" s="31">
        <f>IF('6年'!W29="","",設定!$C$18)</f>
        <v/>
      </c>
      <c r="B341" s="31">
        <f>IF('6年'!W29="","",'6年'!V29)</f>
        <v/>
      </c>
      <c r="C341" s="31">
        <f>IF('6年'!W29="","",'6年'!W29)</f>
        <v/>
      </c>
      <c r="D341" s="31">
        <f>IF('6年'!W29="","",'6年'!X29&amp;"")</f>
        <v/>
      </c>
      <c r="E341" s="31">
        <f>IF(D341="","",IFERROR(MATCH(D341,設定!$I$11:$I$30,0),""))</f>
        <v/>
      </c>
      <c r="F341" s="31">
        <f>IF(E341="","",COUNTIF($E$2:E341,E341))</f>
        <v/>
      </c>
      <c r="G341" s="31">
        <f>IF(E341="","",E341*1000+F341)</f>
        <v/>
      </c>
      <c r="H341" s="31">
        <f>設定!$B$7</f>
        <v/>
      </c>
      <c r="I341" s="31">
        <f>IF(AND(C341&lt;&gt;"",D341=""),1,0)</f>
        <v/>
      </c>
      <c r="J341" s="31">
        <f>IF(AND(D341&lt;&gt;"",E341=""),1,0)</f>
        <v/>
      </c>
    </row>
    <row r="342">
      <c r="A342" s="31">
        <f>IF('6年'!W30="","",設定!$C$18)</f>
        <v/>
      </c>
      <c r="B342" s="31">
        <f>IF('6年'!W30="","",'6年'!V30)</f>
        <v/>
      </c>
      <c r="C342" s="31">
        <f>IF('6年'!W30="","",'6年'!W30)</f>
        <v/>
      </c>
      <c r="D342" s="31">
        <f>IF('6年'!W30="","",'6年'!X30&amp;"")</f>
        <v/>
      </c>
      <c r="E342" s="31">
        <f>IF(D342="","",IFERROR(MATCH(D342,設定!$I$11:$I$30,0),""))</f>
        <v/>
      </c>
      <c r="F342" s="31">
        <f>IF(E342="","",COUNTIF($E$2:E342,E342))</f>
        <v/>
      </c>
      <c r="G342" s="31">
        <f>IF(E342="","",E342*1000+F342)</f>
        <v/>
      </c>
      <c r="H342" s="31">
        <f>設定!$B$7</f>
        <v/>
      </c>
      <c r="I342" s="31">
        <f>IF(AND(C342&lt;&gt;"",D342=""),1,0)</f>
        <v/>
      </c>
      <c r="J342" s="31">
        <f>IF(AND(D342&lt;&gt;"",E342=""),1,0)</f>
        <v/>
      </c>
    </row>
    <row r="343">
      <c r="A343" s="31">
        <f>IF('6年'!W31="","",設定!$C$18)</f>
        <v/>
      </c>
      <c r="B343" s="31">
        <f>IF('6年'!W31="","",'6年'!V31)</f>
        <v/>
      </c>
      <c r="C343" s="31">
        <f>IF('6年'!W31="","",'6年'!W31)</f>
        <v/>
      </c>
      <c r="D343" s="31">
        <f>IF('6年'!W31="","",'6年'!X31&amp;"")</f>
        <v/>
      </c>
      <c r="E343" s="31">
        <f>IF(D343="","",IFERROR(MATCH(D343,設定!$I$11:$I$30,0),""))</f>
        <v/>
      </c>
      <c r="F343" s="31">
        <f>IF(E343="","",COUNTIF($E$2:E343,E343))</f>
        <v/>
      </c>
      <c r="G343" s="31">
        <f>IF(E343="","",E343*1000+F343)</f>
        <v/>
      </c>
      <c r="H343" s="31">
        <f>設定!$B$7</f>
        <v/>
      </c>
      <c r="I343" s="31">
        <f>IF(AND(C343&lt;&gt;"",D343=""),1,0)</f>
        <v/>
      </c>
      <c r="J343" s="31">
        <f>IF(AND(D343&lt;&gt;"",E343=""),1,0)</f>
        <v/>
      </c>
    </row>
    <row r="344">
      <c r="A344" s="31">
        <f>IF('6年'!W32="","",設定!$C$18)</f>
        <v/>
      </c>
      <c r="B344" s="31">
        <f>IF('6年'!W32="","",'6年'!V32)</f>
        <v/>
      </c>
      <c r="C344" s="31">
        <f>IF('6年'!W32="","",'6年'!W32)</f>
        <v/>
      </c>
      <c r="D344" s="31">
        <f>IF('6年'!W32="","",'6年'!X32&amp;"")</f>
        <v/>
      </c>
      <c r="E344" s="31">
        <f>IF(D344="","",IFERROR(MATCH(D344,設定!$I$11:$I$30,0),""))</f>
        <v/>
      </c>
      <c r="F344" s="31">
        <f>IF(E344="","",COUNTIF($E$2:E344,E344))</f>
        <v/>
      </c>
      <c r="G344" s="31">
        <f>IF(E344="","",E344*1000+F344)</f>
        <v/>
      </c>
      <c r="H344" s="31">
        <f>設定!$B$7</f>
        <v/>
      </c>
      <c r="I344" s="31">
        <f>IF(AND(C344&lt;&gt;"",D344=""),1,0)</f>
        <v/>
      </c>
      <c r="J344" s="31">
        <f>IF(AND(D344&lt;&gt;"",E344=""),1,0)</f>
        <v/>
      </c>
    </row>
    <row r="345">
      <c r="A345" s="31">
        <f>IF('6年'!W33="","",設定!$C$18)</f>
        <v/>
      </c>
      <c r="B345" s="31">
        <f>IF('6年'!W33="","",'6年'!V33)</f>
        <v/>
      </c>
      <c r="C345" s="31">
        <f>IF('6年'!W33="","",'6年'!W33)</f>
        <v/>
      </c>
      <c r="D345" s="31">
        <f>IF('6年'!W33="","",'6年'!X33&amp;"")</f>
        <v/>
      </c>
      <c r="E345" s="31">
        <f>IF(D345="","",IFERROR(MATCH(D345,設定!$I$11:$I$30,0),""))</f>
        <v/>
      </c>
      <c r="F345" s="31">
        <f>IF(E345="","",COUNTIF($E$2:E345,E345))</f>
        <v/>
      </c>
      <c r="G345" s="31">
        <f>IF(E345="","",E345*1000+F345)</f>
        <v/>
      </c>
      <c r="H345" s="31">
        <f>設定!$B$7</f>
        <v/>
      </c>
      <c r="I345" s="31">
        <f>IF(AND(C345&lt;&gt;"",D345=""),1,0)</f>
        <v/>
      </c>
      <c r="J345" s="31">
        <f>IF(AND(D345&lt;&gt;"",E345=""),1,0)</f>
        <v/>
      </c>
    </row>
    <row r="346">
      <c r="A346" s="31">
        <f>IF('6年'!W34="","",設定!$C$18)</f>
        <v/>
      </c>
      <c r="B346" s="31">
        <f>IF('6年'!W34="","",'6年'!V34)</f>
        <v/>
      </c>
      <c r="C346" s="31">
        <f>IF('6年'!W34="","",'6年'!W34)</f>
        <v/>
      </c>
      <c r="D346" s="31">
        <f>IF('6年'!W34="","",'6年'!X34&amp;"")</f>
        <v/>
      </c>
      <c r="E346" s="31">
        <f>IF(D346="","",IFERROR(MATCH(D346,設定!$I$11:$I$30,0),""))</f>
        <v/>
      </c>
      <c r="F346" s="31">
        <f>IF(E346="","",COUNTIF($E$2:E346,E346))</f>
        <v/>
      </c>
      <c r="G346" s="31">
        <f>IF(E346="","",E346*1000+F346)</f>
        <v/>
      </c>
      <c r="H346" s="31">
        <f>設定!$B$7</f>
        <v/>
      </c>
      <c r="I346" s="31">
        <f>IF(AND(C346&lt;&gt;"",D346=""),1,0)</f>
        <v/>
      </c>
      <c r="J346" s="31">
        <f>IF(AND(D346&lt;&gt;"",E346=""),1,0)</f>
        <v/>
      </c>
    </row>
    <row r="347">
      <c r="A347" s="31">
        <f>IF('6年'!W35="","",設定!$C$18)</f>
        <v/>
      </c>
      <c r="B347" s="31">
        <f>IF('6年'!W35="","",'6年'!V35)</f>
        <v/>
      </c>
      <c r="C347" s="31">
        <f>IF('6年'!W35="","",'6年'!W35)</f>
        <v/>
      </c>
      <c r="D347" s="31">
        <f>IF('6年'!W35="","",'6年'!X35&amp;"")</f>
        <v/>
      </c>
      <c r="E347" s="31">
        <f>IF(D347="","",IFERROR(MATCH(D347,設定!$I$11:$I$30,0),""))</f>
        <v/>
      </c>
      <c r="F347" s="31">
        <f>IF(E347="","",COUNTIF($E$2:E347,E347))</f>
        <v/>
      </c>
      <c r="G347" s="31">
        <f>IF(E347="","",E347*1000+F347)</f>
        <v/>
      </c>
      <c r="H347" s="31">
        <f>設定!$B$7</f>
        <v/>
      </c>
      <c r="I347" s="31">
        <f>IF(AND(C347&lt;&gt;"",D347=""),1,0)</f>
        <v/>
      </c>
      <c r="J347" s="31">
        <f>IF(AND(D347&lt;&gt;"",E347=""),1,0)</f>
        <v/>
      </c>
    </row>
    <row r="348">
      <c r="A348" s="31">
        <f>IF('6年'!W36="","",設定!$C$18)</f>
        <v/>
      </c>
      <c r="B348" s="31">
        <f>IF('6年'!W36="","",'6年'!V36)</f>
        <v/>
      </c>
      <c r="C348" s="31">
        <f>IF('6年'!W36="","",'6年'!W36)</f>
        <v/>
      </c>
      <c r="D348" s="31">
        <f>IF('6年'!W36="","",'6年'!X36&amp;"")</f>
        <v/>
      </c>
      <c r="E348" s="31">
        <f>IF(D348="","",IFERROR(MATCH(D348,設定!$I$11:$I$30,0),""))</f>
        <v/>
      </c>
      <c r="F348" s="31">
        <f>IF(E348="","",COUNTIF($E$2:E348,E348))</f>
        <v/>
      </c>
      <c r="G348" s="31">
        <f>IF(E348="","",E348*1000+F348)</f>
        <v/>
      </c>
      <c r="H348" s="31">
        <f>設定!$B$7</f>
        <v/>
      </c>
      <c r="I348" s="31">
        <f>IF(AND(C348&lt;&gt;"",D348=""),1,0)</f>
        <v/>
      </c>
      <c r="J348" s="31">
        <f>IF(AND(D348&lt;&gt;"",E348=""),1,0)</f>
        <v/>
      </c>
    </row>
    <row r="349">
      <c r="A349" s="31">
        <f>IF('6年'!W37="","",設定!$C$18)</f>
        <v/>
      </c>
      <c r="B349" s="31">
        <f>IF('6年'!W37="","",'6年'!V37)</f>
        <v/>
      </c>
      <c r="C349" s="31">
        <f>IF('6年'!W37="","",'6年'!W37)</f>
        <v/>
      </c>
      <c r="D349" s="31">
        <f>IF('6年'!W37="","",'6年'!X37&amp;"")</f>
        <v/>
      </c>
      <c r="E349" s="31">
        <f>IF(D349="","",IFERROR(MATCH(D349,設定!$I$11:$I$30,0),""))</f>
        <v/>
      </c>
      <c r="F349" s="31">
        <f>IF(E349="","",COUNTIF($E$2:E349,E349))</f>
        <v/>
      </c>
      <c r="G349" s="31">
        <f>IF(E349="","",E349*1000+F349)</f>
        <v/>
      </c>
      <c r="H349" s="31">
        <f>設定!$B$7</f>
        <v/>
      </c>
      <c r="I349" s="31">
        <f>IF(AND(C349&lt;&gt;"",D349=""),1,0)</f>
        <v/>
      </c>
      <c r="J349" s="31">
        <f>IF(AND(D349&lt;&gt;"",E349=""),1,0)</f>
        <v/>
      </c>
    </row>
    <row r="350">
      <c r="A350" s="31">
        <f>IF('6年'!W38="","",設定!$C$18)</f>
        <v/>
      </c>
      <c r="B350" s="31">
        <f>IF('6年'!W38="","",'6年'!V38)</f>
        <v/>
      </c>
      <c r="C350" s="31">
        <f>IF('6年'!W38="","",'6年'!W38)</f>
        <v/>
      </c>
      <c r="D350" s="31">
        <f>IF('6年'!W38="","",'6年'!X38&amp;"")</f>
        <v/>
      </c>
      <c r="E350" s="31">
        <f>IF(D350="","",IFERROR(MATCH(D350,設定!$I$11:$I$30,0),""))</f>
        <v/>
      </c>
      <c r="F350" s="31">
        <f>IF(E350="","",COUNTIF($E$2:E350,E350))</f>
        <v/>
      </c>
      <c r="G350" s="31">
        <f>IF(E350="","",E350*1000+F350)</f>
        <v/>
      </c>
      <c r="H350" s="31">
        <f>設定!$B$7</f>
        <v/>
      </c>
      <c r="I350" s="31">
        <f>IF(AND(C350&lt;&gt;"",D350=""),1,0)</f>
        <v/>
      </c>
      <c r="J350" s="31">
        <f>IF(AND(D350&lt;&gt;"",E350=""),1,0)</f>
        <v/>
      </c>
    </row>
    <row r="351">
      <c r="A351" s="31">
        <f>IF('6年'!W39="","",設定!$C$18)</f>
        <v/>
      </c>
      <c r="B351" s="31">
        <f>IF('6年'!W39="","",'6年'!V39)</f>
        <v/>
      </c>
      <c r="C351" s="31">
        <f>IF('6年'!W39="","",'6年'!W39)</f>
        <v/>
      </c>
      <c r="D351" s="31">
        <f>IF('6年'!W39="","",'6年'!X39&amp;"")</f>
        <v/>
      </c>
      <c r="E351" s="31">
        <f>IF(D351="","",IFERROR(MATCH(D351,設定!$I$11:$I$30,0),""))</f>
        <v/>
      </c>
      <c r="F351" s="31">
        <f>IF(E351="","",COUNTIF($E$2:E351,E351))</f>
        <v/>
      </c>
      <c r="G351" s="31">
        <f>IF(E351="","",E351*1000+F351)</f>
        <v/>
      </c>
      <c r="H351" s="31">
        <f>設定!$B$7</f>
        <v/>
      </c>
      <c r="I351" s="31">
        <f>IF(AND(C351&lt;&gt;"",D351=""),1,0)</f>
        <v/>
      </c>
      <c r="J351" s="31">
        <f>IF(AND(D351&lt;&gt;"",E351=""),1,0)</f>
        <v/>
      </c>
    </row>
    <row r="352">
      <c r="A352" s="31">
        <f>IF('6年'!W40="","",設定!$C$18)</f>
        <v/>
      </c>
      <c r="B352" s="31">
        <f>IF('6年'!W40="","",'6年'!V40)</f>
        <v/>
      </c>
      <c r="C352" s="31">
        <f>IF('6年'!W40="","",'6年'!W40)</f>
        <v/>
      </c>
      <c r="D352" s="31">
        <f>IF('6年'!W40="","",'6年'!X40&amp;"")</f>
        <v/>
      </c>
      <c r="E352" s="31">
        <f>IF(D352="","",IFERROR(MATCH(D352,設定!$I$11:$I$30,0),""))</f>
        <v/>
      </c>
      <c r="F352" s="31">
        <f>IF(E352="","",COUNTIF($E$2:E352,E352))</f>
        <v/>
      </c>
      <c r="G352" s="31">
        <f>IF(E352="","",E352*1000+F352)</f>
        <v/>
      </c>
      <c r="H352" s="31">
        <f>設定!$B$7</f>
        <v/>
      </c>
      <c r="I352" s="31">
        <f>IF(AND(C352&lt;&gt;"",D352=""),1,0)</f>
        <v/>
      </c>
      <c r="J352" s="31">
        <f>IF(AND(D352&lt;&gt;"",E352=""),1,0)</f>
        <v/>
      </c>
    </row>
    <row r="353">
      <c r="A353" s="31">
        <f>IF('6年'!W41="","",設定!$C$18)</f>
        <v/>
      </c>
      <c r="B353" s="31">
        <f>IF('6年'!W41="","",'6年'!V41)</f>
        <v/>
      </c>
      <c r="C353" s="31">
        <f>IF('6年'!W41="","",'6年'!W41)</f>
        <v/>
      </c>
      <c r="D353" s="31">
        <f>IF('6年'!W41="","",'6年'!X41&amp;"")</f>
        <v/>
      </c>
      <c r="E353" s="31">
        <f>IF(D353="","",IFERROR(MATCH(D353,設定!$I$11:$I$30,0),""))</f>
        <v/>
      </c>
      <c r="F353" s="31">
        <f>IF(E353="","",COUNTIF($E$2:E353,E353))</f>
        <v/>
      </c>
      <c r="G353" s="31">
        <f>IF(E353="","",E353*1000+F353)</f>
        <v/>
      </c>
      <c r="H353" s="31">
        <f>設定!$B$7</f>
        <v/>
      </c>
      <c r="I353" s="31">
        <f>IF(AND(C353&lt;&gt;"",D353=""),1,0)</f>
        <v/>
      </c>
      <c r="J353" s="31">
        <f>IF(AND(D353&lt;&gt;"",E353=""),1,0)</f>
        <v/>
      </c>
    </row>
    <row r="354">
      <c r="A354" s="31">
        <f>IF('6年'!W42="","",設定!$C$18)</f>
        <v/>
      </c>
      <c r="B354" s="31">
        <f>IF('6年'!W42="","",'6年'!V42)</f>
        <v/>
      </c>
      <c r="C354" s="31">
        <f>IF('6年'!W42="","",'6年'!W42)</f>
        <v/>
      </c>
      <c r="D354" s="31">
        <f>IF('6年'!W42="","",'6年'!X42&amp;"")</f>
        <v/>
      </c>
      <c r="E354" s="31">
        <f>IF(D354="","",IFERROR(MATCH(D354,設定!$I$11:$I$30,0),""))</f>
        <v/>
      </c>
      <c r="F354" s="31">
        <f>IF(E354="","",COUNTIF($E$2:E354,E354))</f>
        <v/>
      </c>
      <c r="G354" s="31">
        <f>IF(E354="","",E354*1000+F354)</f>
        <v/>
      </c>
      <c r="H354" s="31">
        <f>設定!$B$7</f>
        <v/>
      </c>
      <c r="I354" s="31">
        <f>IF(AND(C354&lt;&gt;"",D354=""),1,0)</f>
        <v/>
      </c>
      <c r="J354" s="31">
        <f>IF(AND(D354&lt;&gt;"",E354=""),1,0)</f>
        <v/>
      </c>
    </row>
    <row r="355">
      <c r="A355" s="31">
        <f>IF('6年'!W43="","",設定!$C$18)</f>
        <v/>
      </c>
      <c r="B355" s="31">
        <f>IF('6年'!W43="","",'6年'!V43)</f>
        <v/>
      </c>
      <c r="C355" s="31">
        <f>IF('6年'!W43="","",'6年'!W43)</f>
        <v/>
      </c>
      <c r="D355" s="31">
        <f>IF('6年'!W43="","",'6年'!X43&amp;"")</f>
        <v/>
      </c>
      <c r="E355" s="31">
        <f>IF(D355="","",IFERROR(MATCH(D355,設定!$I$11:$I$30,0),""))</f>
        <v/>
      </c>
      <c r="F355" s="31">
        <f>IF(E355="","",COUNTIF($E$2:E355,E355))</f>
        <v/>
      </c>
      <c r="G355" s="31">
        <f>IF(E355="","",E355*1000+F355)</f>
        <v/>
      </c>
      <c r="H355" s="31">
        <f>設定!$B$7</f>
        <v/>
      </c>
      <c r="I355" s="31">
        <f>IF(AND(C355&lt;&gt;"",D355=""),1,0)</f>
        <v/>
      </c>
      <c r="J355" s="31">
        <f>IF(AND(D355&lt;&gt;"",E355=""),1,0)</f>
        <v/>
      </c>
    </row>
    <row r="356">
      <c r="A356" s="31">
        <f>IF('6年'!W44="","",設定!$C$18)</f>
        <v/>
      </c>
      <c r="B356" s="31">
        <f>IF('6年'!W44="","",'6年'!V44)</f>
        <v/>
      </c>
      <c r="C356" s="31">
        <f>IF('6年'!W44="","",'6年'!W44)</f>
        <v/>
      </c>
      <c r="D356" s="31">
        <f>IF('6年'!W44="","",'6年'!X44&amp;"")</f>
        <v/>
      </c>
      <c r="E356" s="31">
        <f>IF(D356="","",IFERROR(MATCH(D356,設定!$I$11:$I$30,0),""))</f>
        <v/>
      </c>
      <c r="F356" s="31">
        <f>IF(E356="","",COUNTIF($E$2:E356,E356))</f>
        <v/>
      </c>
      <c r="G356" s="31">
        <f>IF(E356="","",E356*1000+F356)</f>
        <v/>
      </c>
      <c r="H356" s="31">
        <f>設定!$B$7</f>
        <v/>
      </c>
      <c r="I356" s="31">
        <f>IF(AND(C356&lt;&gt;"",D356=""),1,0)</f>
        <v/>
      </c>
      <c r="J356" s="31">
        <f>IF(AND(D356&lt;&gt;"",E356=""),1,0)</f>
        <v/>
      </c>
    </row>
    <row r="357">
      <c r="A357" s="31">
        <f>IF('6年'!W45="","",設定!$C$18)</f>
        <v/>
      </c>
      <c r="B357" s="31">
        <f>IF('6年'!W45="","",'6年'!V45)</f>
        <v/>
      </c>
      <c r="C357" s="31">
        <f>IF('6年'!W45="","",'6年'!W45)</f>
        <v/>
      </c>
      <c r="D357" s="31">
        <f>IF('6年'!W45="","",'6年'!X45&amp;"")</f>
        <v/>
      </c>
      <c r="E357" s="31">
        <f>IF(D357="","",IFERROR(MATCH(D357,設定!$I$11:$I$30,0),""))</f>
        <v/>
      </c>
      <c r="F357" s="31">
        <f>IF(E357="","",COUNTIF($E$2:E357,E357))</f>
        <v/>
      </c>
      <c r="G357" s="31">
        <f>IF(E357="","",E357*1000+F357)</f>
        <v/>
      </c>
      <c r="H357" s="31">
        <f>設定!$B$7</f>
        <v/>
      </c>
      <c r="I357" s="31">
        <f>IF(AND(C357&lt;&gt;"",D357=""),1,0)</f>
        <v/>
      </c>
      <c r="J357" s="31">
        <f>IF(AND(D357&lt;&gt;"",E357=""),1,0)</f>
        <v/>
      </c>
    </row>
    <row r="358">
      <c r="A358" s="31">
        <f>IF('6年'!W46="","",設定!$C$18)</f>
        <v/>
      </c>
      <c r="B358" s="31">
        <f>IF('6年'!W46="","",'6年'!V46)</f>
        <v/>
      </c>
      <c r="C358" s="31">
        <f>IF('6年'!W46="","",'6年'!W46)</f>
        <v/>
      </c>
      <c r="D358" s="31">
        <f>IF('6年'!W46="","",'6年'!X46&amp;"")</f>
        <v/>
      </c>
      <c r="E358" s="31">
        <f>IF(D358="","",IFERROR(MATCH(D358,設定!$I$11:$I$30,0),""))</f>
        <v/>
      </c>
      <c r="F358" s="31">
        <f>IF(E358="","",COUNTIF($E$2:E358,E358))</f>
        <v/>
      </c>
      <c r="G358" s="31">
        <f>IF(E358="","",E358*1000+F358)</f>
        <v/>
      </c>
      <c r="H358" s="31">
        <f>設定!$B$7</f>
        <v/>
      </c>
      <c r="I358" s="31">
        <f>IF(AND(C358&lt;&gt;"",D358=""),1,0)</f>
        <v/>
      </c>
      <c r="J358" s="31">
        <f>IF(AND(D358&lt;&gt;"",E358=""),1,0)</f>
        <v/>
      </c>
    </row>
    <row r="359">
      <c r="A359" s="31">
        <f>IF('6年'!W47="","",設定!$C$18)</f>
        <v/>
      </c>
      <c r="B359" s="31">
        <f>IF('6年'!W47="","",'6年'!V47)</f>
        <v/>
      </c>
      <c r="C359" s="31">
        <f>IF('6年'!W47="","",'6年'!W47)</f>
        <v/>
      </c>
      <c r="D359" s="31">
        <f>IF('6年'!W47="","",'6年'!X47&amp;"")</f>
        <v/>
      </c>
      <c r="E359" s="31">
        <f>IF(D359="","",IFERROR(MATCH(D359,設定!$I$11:$I$30,0),""))</f>
        <v/>
      </c>
      <c r="F359" s="31">
        <f>IF(E359="","",COUNTIF($E$2:E359,E359))</f>
        <v/>
      </c>
      <c r="G359" s="31">
        <f>IF(E359="","",E359*1000+F359)</f>
        <v/>
      </c>
      <c r="H359" s="31">
        <f>設定!$B$7</f>
        <v/>
      </c>
      <c r="I359" s="31">
        <f>IF(AND(C359&lt;&gt;"",D359=""),1,0)</f>
        <v/>
      </c>
      <c r="J359" s="31">
        <f>IF(AND(D359&lt;&gt;"",E359=""),1,0)</f>
        <v/>
      </c>
    </row>
    <row r="360">
      <c r="A360" s="31">
        <f>IF('6年'!W48="","",設定!$C$18)</f>
        <v/>
      </c>
      <c r="B360" s="31">
        <f>IF('6年'!W48="","",'6年'!V48)</f>
        <v/>
      </c>
      <c r="C360" s="31">
        <f>IF('6年'!W48="","",'6年'!W48)</f>
        <v/>
      </c>
      <c r="D360" s="31">
        <f>IF('6年'!W48="","",'6年'!X48&amp;"")</f>
        <v/>
      </c>
      <c r="E360" s="31">
        <f>IF(D360="","",IFERROR(MATCH(D360,設定!$I$11:$I$30,0),""))</f>
        <v/>
      </c>
      <c r="F360" s="31">
        <f>IF(E360="","",COUNTIF($E$2:E360,E360))</f>
        <v/>
      </c>
      <c r="G360" s="31">
        <f>IF(E360="","",E360*1000+F360)</f>
        <v/>
      </c>
      <c r="H360" s="31">
        <f>設定!$B$7</f>
        <v/>
      </c>
      <c r="I360" s="31">
        <f>IF(AND(C360&lt;&gt;"",D360=""),1,0)</f>
        <v/>
      </c>
      <c r="J360" s="31">
        <f>IF(AND(D360&lt;&gt;"",E360=""),1,0)</f>
        <v/>
      </c>
    </row>
    <row r="361">
      <c r="A361" s="31">
        <f>IF('6年'!W49="","",設定!$C$18)</f>
        <v/>
      </c>
      <c r="B361" s="31">
        <f>IF('6年'!W49="","",'6年'!V49)</f>
        <v/>
      </c>
      <c r="C361" s="31">
        <f>IF('6年'!W49="","",'6年'!W49)</f>
        <v/>
      </c>
      <c r="D361" s="31">
        <f>IF('6年'!W49="","",'6年'!X49&amp;"")</f>
        <v/>
      </c>
      <c r="E361" s="31">
        <f>IF(D361="","",IFERROR(MATCH(D361,設定!$I$11:$I$30,0),""))</f>
        <v/>
      </c>
      <c r="F361" s="31">
        <f>IF(E361="","",COUNTIF($E$2:E361,E361))</f>
        <v/>
      </c>
      <c r="G361" s="31">
        <f>IF(E361="","",E361*1000+F361)</f>
        <v/>
      </c>
      <c r="H361" s="31">
        <f>設定!$B$7</f>
        <v/>
      </c>
      <c r="I361" s="31">
        <f>IF(AND(C361&lt;&gt;"",D361=""),1,0)</f>
        <v/>
      </c>
      <c r="J361" s="31">
        <f>IF(AND(D361&lt;&gt;"",E361=""),1,0)</f>
        <v/>
      </c>
    </row>
    <row r="362">
      <c r="A362" s="31">
        <f>IF('5年'!B5="","",設定!$C$19)</f>
        <v/>
      </c>
      <c r="B362" s="31">
        <f>IF('5年'!B5="","",'5年'!A5)</f>
        <v/>
      </c>
      <c r="C362" s="31">
        <f>IF('5年'!B5="","",'5年'!B5)</f>
        <v/>
      </c>
      <c r="D362" s="31">
        <f>IF('5年'!B5="","",'5年'!C5&amp;"")</f>
        <v/>
      </c>
      <c r="E362" s="31">
        <f>IF(D362="","",IFERROR(MATCH(D362,設定!$I$11:$I$30,0),""))</f>
        <v/>
      </c>
      <c r="F362" s="31">
        <f>IF(E362="","",COUNTIF($E$2:E362,E362))</f>
        <v/>
      </c>
      <c r="G362" s="31">
        <f>IF(E362="","",E362*1000+F362)</f>
        <v/>
      </c>
      <c r="H362" s="31">
        <f>設定!$B$8</f>
        <v/>
      </c>
      <c r="I362" s="31">
        <f>IF(AND(C362&lt;&gt;"",D362=""),1,0)</f>
        <v/>
      </c>
      <c r="J362" s="31">
        <f>IF(AND(D362&lt;&gt;"",E362=""),1,0)</f>
        <v/>
      </c>
    </row>
    <row r="363">
      <c r="A363" s="31">
        <f>IF('5年'!B6="","",設定!$C$19)</f>
        <v/>
      </c>
      <c r="B363" s="31">
        <f>IF('5年'!B6="","",'5年'!A6)</f>
        <v/>
      </c>
      <c r="C363" s="31">
        <f>IF('5年'!B6="","",'5年'!B6)</f>
        <v/>
      </c>
      <c r="D363" s="31">
        <f>IF('5年'!B6="","",'5年'!C6&amp;"")</f>
        <v/>
      </c>
      <c r="E363" s="31">
        <f>IF(D363="","",IFERROR(MATCH(D363,設定!$I$11:$I$30,0),""))</f>
        <v/>
      </c>
      <c r="F363" s="31">
        <f>IF(E363="","",COUNTIF($E$2:E363,E363))</f>
        <v/>
      </c>
      <c r="G363" s="31">
        <f>IF(E363="","",E363*1000+F363)</f>
        <v/>
      </c>
      <c r="H363" s="31">
        <f>設定!$B$8</f>
        <v/>
      </c>
      <c r="I363" s="31">
        <f>IF(AND(C363&lt;&gt;"",D363=""),1,0)</f>
        <v/>
      </c>
      <c r="J363" s="31">
        <f>IF(AND(D363&lt;&gt;"",E363=""),1,0)</f>
        <v/>
      </c>
    </row>
    <row r="364">
      <c r="A364" s="31">
        <f>IF('5年'!B7="","",設定!$C$19)</f>
        <v/>
      </c>
      <c r="B364" s="31">
        <f>IF('5年'!B7="","",'5年'!A7)</f>
        <v/>
      </c>
      <c r="C364" s="31">
        <f>IF('5年'!B7="","",'5年'!B7)</f>
        <v/>
      </c>
      <c r="D364" s="31">
        <f>IF('5年'!B7="","",'5年'!C7&amp;"")</f>
        <v/>
      </c>
      <c r="E364" s="31">
        <f>IF(D364="","",IFERROR(MATCH(D364,設定!$I$11:$I$30,0),""))</f>
        <v/>
      </c>
      <c r="F364" s="31">
        <f>IF(E364="","",COUNTIF($E$2:E364,E364))</f>
        <v/>
      </c>
      <c r="G364" s="31">
        <f>IF(E364="","",E364*1000+F364)</f>
        <v/>
      </c>
      <c r="H364" s="31">
        <f>設定!$B$8</f>
        <v/>
      </c>
      <c r="I364" s="31">
        <f>IF(AND(C364&lt;&gt;"",D364=""),1,0)</f>
        <v/>
      </c>
      <c r="J364" s="31">
        <f>IF(AND(D364&lt;&gt;"",E364=""),1,0)</f>
        <v/>
      </c>
    </row>
    <row r="365">
      <c r="A365" s="31">
        <f>IF('5年'!B8="","",設定!$C$19)</f>
        <v/>
      </c>
      <c r="B365" s="31">
        <f>IF('5年'!B8="","",'5年'!A8)</f>
        <v/>
      </c>
      <c r="C365" s="31">
        <f>IF('5年'!B8="","",'5年'!B8)</f>
        <v/>
      </c>
      <c r="D365" s="31">
        <f>IF('5年'!B8="","",'5年'!C8&amp;"")</f>
        <v/>
      </c>
      <c r="E365" s="31">
        <f>IF(D365="","",IFERROR(MATCH(D365,設定!$I$11:$I$30,0),""))</f>
        <v/>
      </c>
      <c r="F365" s="31">
        <f>IF(E365="","",COUNTIF($E$2:E365,E365))</f>
        <v/>
      </c>
      <c r="G365" s="31">
        <f>IF(E365="","",E365*1000+F365)</f>
        <v/>
      </c>
      <c r="H365" s="31">
        <f>設定!$B$8</f>
        <v/>
      </c>
      <c r="I365" s="31">
        <f>IF(AND(C365&lt;&gt;"",D365=""),1,0)</f>
        <v/>
      </c>
      <c r="J365" s="31">
        <f>IF(AND(D365&lt;&gt;"",E365=""),1,0)</f>
        <v/>
      </c>
    </row>
    <row r="366">
      <c r="A366" s="31">
        <f>IF('5年'!B9="","",設定!$C$19)</f>
        <v/>
      </c>
      <c r="B366" s="31">
        <f>IF('5年'!B9="","",'5年'!A9)</f>
        <v/>
      </c>
      <c r="C366" s="31">
        <f>IF('5年'!B9="","",'5年'!B9)</f>
        <v/>
      </c>
      <c r="D366" s="31">
        <f>IF('5年'!B9="","",'5年'!C9&amp;"")</f>
        <v/>
      </c>
      <c r="E366" s="31">
        <f>IF(D366="","",IFERROR(MATCH(D366,設定!$I$11:$I$30,0),""))</f>
        <v/>
      </c>
      <c r="F366" s="31">
        <f>IF(E366="","",COUNTIF($E$2:E366,E366))</f>
        <v/>
      </c>
      <c r="G366" s="31">
        <f>IF(E366="","",E366*1000+F366)</f>
        <v/>
      </c>
      <c r="H366" s="31">
        <f>設定!$B$8</f>
        <v/>
      </c>
      <c r="I366" s="31">
        <f>IF(AND(C366&lt;&gt;"",D366=""),1,0)</f>
        <v/>
      </c>
      <c r="J366" s="31">
        <f>IF(AND(D366&lt;&gt;"",E366=""),1,0)</f>
        <v/>
      </c>
    </row>
    <row r="367">
      <c r="A367" s="31">
        <f>IF('5年'!B10="","",設定!$C$19)</f>
        <v/>
      </c>
      <c r="B367" s="31">
        <f>IF('5年'!B10="","",'5年'!A10)</f>
        <v/>
      </c>
      <c r="C367" s="31">
        <f>IF('5年'!B10="","",'5年'!B10)</f>
        <v/>
      </c>
      <c r="D367" s="31">
        <f>IF('5年'!B10="","",'5年'!C10&amp;"")</f>
        <v/>
      </c>
      <c r="E367" s="31">
        <f>IF(D367="","",IFERROR(MATCH(D367,設定!$I$11:$I$30,0),""))</f>
        <v/>
      </c>
      <c r="F367" s="31">
        <f>IF(E367="","",COUNTIF($E$2:E367,E367))</f>
        <v/>
      </c>
      <c r="G367" s="31">
        <f>IF(E367="","",E367*1000+F367)</f>
        <v/>
      </c>
      <c r="H367" s="31">
        <f>設定!$B$8</f>
        <v/>
      </c>
      <c r="I367" s="31">
        <f>IF(AND(C367&lt;&gt;"",D367=""),1,0)</f>
        <v/>
      </c>
      <c r="J367" s="31">
        <f>IF(AND(D367&lt;&gt;"",E367=""),1,0)</f>
        <v/>
      </c>
    </row>
    <row r="368">
      <c r="A368" s="31">
        <f>IF('5年'!B11="","",設定!$C$19)</f>
        <v/>
      </c>
      <c r="B368" s="31">
        <f>IF('5年'!B11="","",'5年'!A11)</f>
        <v/>
      </c>
      <c r="C368" s="31">
        <f>IF('5年'!B11="","",'5年'!B11)</f>
        <v/>
      </c>
      <c r="D368" s="31">
        <f>IF('5年'!B11="","",'5年'!C11&amp;"")</f>
        <v/>
      </c>
      <c r="E368" s="31">
        <f>IF(D368="","",IFERROR(MATCH(D368,設定!$I$11:$I$30,0),""))</f>
        <v/>
      </c>
      <c r="F368" s="31">
        <f>IF(E368="","",COUNTIF($E$2:E368,E368))</f>
        <v/>
      </c>
      <c r="G368" s="31">
        <f>IF(E368="","",E368*1000+F368)</f>
        <v/>
      </c>
      <c r="H368" s="31">
        <f>設定!$B$8</f>
        <v/>
      </c>
      <c r="I368" s="31">
        <f>IF(AND(C368&lt;&gt;"",D368=""),1,0)</f>
        <v/>
      </c>
      <c r="J368" s="31">
        <f>IF(AND(D368&lt;&gt;"",E368=""),1,0)</f>
        <v/>
      </c>
    </row>
    <row r="369">
      <c r="A369" s="31">
        <f>IF('5年'!B12="","",設定!$C$19)</f>
        <v/>
      </c>
      <c r="B369" s="31">
        <f>IF('5年'!B12="","",'5年'!A12)</f>
        <v/>
      </c>
      <c r="C369" s="31">
        <f>IF('5年'!B12="","",'5年'!B12)</f>
        <v/>
      </c>
      <c r="D369" s="31">
        <f>IF('5年'!B12="","",'5年'!C12&amp;"")</f>
        <v/>
      </c>
      <c r="E369" s="31">
        <f>IF(D369="","",IFERROR(MATCH(D369,設定!$I$11:$I$30,0),""))</f>
        <v/>
      </c>
      <c r="F369" s="31">
        <f>IF(E369="","",COUNTIF($E$2:E369,E369))</f>
        <v/>
      </c>
      <c r="G369" s="31">
        <f>IF(E369="","",E369*1000+F369)</f>
        <v/>
      </c>
      <c r="H369" s="31">
        <f>設定!$B$8</f>
        <v/>
      </c>
      <c r="I369" s="31">
        <f>IF(AND(C369&lt;&gt;"",D369=""),1,0)</f>
        <v/>
      </c>
      <c r="J369" s="31">
        <f>IF(AND(D369&lt;&gt;"",E369=""),1,0)</f>
        <v/>
      </c>
    </row>
    <row r="370">
      <c r="A370" s="31">
        <f>IF('5年'!B13="","",設定!$C$19)</f>
        <v/>
      </c>
      <c r="B370" s="31">
        <f>IF('5年'!B13="","",'5年'!A13)</f>
        <v/>
      </c>
      <c r="C370" s="31">
        <f>IF('5年'!B13="","",'5年'!B13)</f>
        <v/>
      </c>
      <c r="D370" s="31">
        <f>IF('5年'!B13="","",'5年'!C13&amp;"")</f>
        <v/>
      </c>
      <c r="E370" s="31">
        <f>IF(D370="","",IFERROR(MATCH(D370,設定!$I$11:$I$30,0),""))</f>
        <v/>
      </c>
      <c r="F370" s="31">
        <f>IF(E370="","",COUNTIF($E$2:E370,E370))</f>
        <v/>
      </c>
      <c r="G370" s="31">
        <f>IF(E370="","",E370*1000+F370)</f>
        <v/>
      </c>
      <c r="H370" s="31">
        <f>設定!$B$8</f>
        <v/>
      </c>
      <c r="I370" s="31">
        <f>IF(AND(C370&lt;&gt;"",D370=""),1,0)</f>
        <v/>
      </c>
      <c r="J370" s="31">
        <f>IF(AND(D370&lt;&gt;"",E370=""),1,0)</f>
        <v/>
      </c>
    </row>
    <row r="371">
      <c r="A371" s="31">
        <f>IF('5年'!B14="","",設定!$C$19)</f>
        <v/>
      </c>
      <c r="B371" s="31">
        <f>IF('5年'!B14="","",'5年'!A14)</f>
        <v/>
      </c>
      <c r="C371" s="31">
        <f>IF('5年'!B14="","",'5年'!B14)</f>
        <v/>
      </c>
      <c r="D371" s="31">
        <f>IF('5年'!B14="","",'5年'!C14&amp;"")</f>
        <v/>
      </c>
      <c r="E371" s="31">
        <f>IF(D371="","",IFERROR(MATCH(D371,設定!$I$11:$I$30,0),""))</f>
        <v/>
      </c>
      <c r="F371" s="31">
        <f>IF(E371="","",COUNTIF($E$2:E371,E371))</f>
        <v/>
      </c>
      <c r="G371" s="31">
        <f>IF(E371="","",E371*1000+F371)</f>
        <v/>
      </c>
      <c r="H371" s="31">
        <f>設定!$B$8</f>
        <v/>
      </c>
      <c r="I371" s="31">
        <f>IF(AND(C371&lt;&gt;"",D371=""),1,0)</f>
        <v/>
      </c>
      <c r="J371" s="31">
        <f>IF(AND(D371&lt;&gt;"",E371=""),1,0)</f>
        <v/>
      </c>
    </row>
    <row r="372">
      <c r="A372" s="31">
        <f>IF('5年'!B15="","",設定!$C$19)</f>
        <v/>
      </c>
      <c r="B372" s="31">
        <f>IF('5年'!B15="","",'5年'!A15)</f>
        <v/>
      </c>
      <c r="C372" s="31">
        <f>IF('5年'!B15="","",'5年'!B15)</f>
        <v/>
      </c>
      <c r="D372" s="31">
        <f>IF('5年'!B15="","",'5年'!C15&amp;"")</f>
        <v/>
      </c>
      <c r="E372" s="31">
        <f>IF(D372="","",IFERROR(MATCH(D372,設定!$I$11:$I$30,0),""))</f>
        <v/>
      </c>
      <c r="F372" s="31">
        <f>IF(E372="","",COUNTIF($E$2:E372,E372))</f>
        <v/>
      </c>
      <c r="G372" s="31">
        <f>IF(E372="","",E372*1000+F372)</f>
        <v/>
      </c>
      <c r="H372" s="31">
        <f>設定!$B$8</f>
        <v/>
      </c>
      <c r="I372" s="31">
        <f>IF(AND(C372&lt;&gt;"",D372=""),1,0)</f>
        <v/>
      </c>
      <c r="J372" s="31">
        <f>IF(AND(D372&lt;&gt;"",E372=""),1,0)</f>
        <v/>
      </c>
    </row>
    <row r="373">
      <c r="A373" s="31">
        <f>IF('5年'!B16="","",設定!$C$19)</f>
        <v/>
      </c>
      <c r="B373" s="31">
        <f>IF('5年'!B16="","",'5年'!A16)</f>
        <v/>
      </c>
      <c r="C373" s="31">
        <f>IF('5年'!B16="","",'5年'!B16)</f>
        <v/>
      </c>
      <c r="D373" s="31">
        <f>IF('5年'!B16="","",'5年'!C16&amp;"")</f>
        <v/>
      </c>
      <c r="E373" s="31">
        <f>IF(D373="","",IFERROR(MATCH(D373,設定!$I$11:$I$30,0),""))</f>
        <v/>
      </c>
      <c r="F373" s="31">
        <f>IF(E373="","",COUNTIF($E$2:E373,E373))</f>
        <v/>
      </c>
      <c r="G373" s="31">
        <f>IF(E373="","",E373*1000+F373)</f>
        <v/>
      </c>
      <c r="H373" s="31">
        <f>設定!$B$8</f>
        <v/>
      </c>
      <c r="I373" s="31">
        <f>IF(AND(C373&lt;&gt;"",D373=""),1,0)</f>
        <v/>
      </c>
      <c r="J373" s="31">
        <f>IF(AND(D373&lt;&gt;"",E373=""),1,0)</f>
        <v/>
      </c>
    </row>
    <row r="374">
      <c r="A374" s="31">
        <f>IF('5年'!B17="","",設定!$C$19)</f>
        <v/>
      </c>
      <c r="B374" s="31">
        <f>IF('5年'!B17="","",'5年'!A17)</f>
        <v/>
      </c>
      <c r="C374" s="31">
        <f>IF('5年'!B17="","",'5年'!B17)</f>
        <v/>
      </c>
      <c r="D374" s="31">
        <f>IF('5年'!B17="","",'5年'!C17&amp;"")</f>
        <v/>
      </c>
      <c r="E374" s="31">
        <f>IF(D374="","",IFERROR(MATCH(D374,設定!$I$11:$I$30,0),""))</f>
        <v/>
      </c>
      <c r="F374" s="31">
        <f>IF(E374="","",COUNTIF($E$2:E374,E374))</f>
        <v/>
      </c>
      <c r="G374" s="31">
        <f>IF(E374="","",E374*1000+F374)</f>
        <v/>
      </c>
      <c r="H374" s="31">
        <f>設定!$B$8</f>
        <v/>
      </c>
      <c r="I374" s="31">
        <f>IF(AND(C374&lt;&gt;"",D374=""),1,0)</f>
        <v/>
      </c>
      <c r="J374" s="31">
        <f>IF(AND(D374&lt;&gt;"",E374=""),1,0)</f>
        <v/>
      </c>
    </row>
    <row r="375">
      <c r="A375" s="31">
        <f>IF('5年'!B18="","",設定!$C$19)</f>
        <v/>
      </c>
      <c r="B375" s="31">
        <f>IF('5年'!B18="","",'5年'!A18)</f>
        <v/>
      </c>
      <c r="C375" s="31">
        <f>IF('5年'!B18="","",'5年'!B18)</f>
        <v/>
      </c>
      <c r="D375" s="31">
        <f>IF('5年'!B18="","",'5年'!C18&amp;"")</f>
        <v/>
      </c>
      <c r="E375" s="31">
        <f>IF(D375="","",IFERROR(MATCH(D375,設定!$I$11:$I$30,0),""))</f>
        <v/>
      </c>
      <c r="F375" s="31">
        <f>IF(E375="","",COUNTIF($E$2:E375,E375))</f>
        <v/>
      </c>
      <c r="G375" s="31">
        <f>IF(E375="","",E375*1000+F375)</f>
        <v/>
      </c>
      <c r="H375" s="31">
        <f>設定!$B$8</f>
        <v/>
      </c>
      <c r="I375" s="31">
        <f>IF(AND(C375&lt;&gt;"",D375=""),1,0)</f>
        <v/>
      </c>
      <c r="J375" s="31">
        <f>IF(AND(D375&lt;&gt;"",E375=""),1,0)</f>
        <v/>
      </c>
    </row>
    <row r="376">
      <c r="A376" s="31">
        <f>IF('5年'!B19="","",設定!$C$19)</f>
        <v/>
      </c>
      <c r="B376" s="31">
        <f>IF('5年'!B19="","",'5年'!A19)</f>
        <v/>
      </c>
      <c r="C376" s="31">
        <f>IF('5年'!B19="","",'5年'!B19)</f>
        <v/>
      </c>
      <c r="D376" s="31">
        <f>IF('5年'!B19="","",'5年'!C19&amp;"")</f>
        <v/>
      </c>
      <c r="E376" s="31">
        <f>IF(D376="","",IFERROR(MATCH(D376,設定!$I$11:$I$30,0),""))</f>
        <v/>
      </c>
      <c r="F376" s="31">
        <f>IF(E376="","",COUNTIF($E$2:E376,E376))</f>
        <v/>
      </c>
      <c r="G376" s="31">
        <f>IF(E376="","",E376*1000+F376)</f>
        <v/>
      </c>
      <c r="H376" s="31">
        <f>設定!$B$8</f>
        <v/>
      </c>
      <c r="I376" s="31">
        <f>IF(AND(C376&lt;&gt;"",D376=""),1,0)</f>
        <v/>
      </c>
      <c r="J376" s="31">
        <f>IF(AND(D376&lt;&gt;"",E376=""),1,0)</f>
        <v/>
      </c>
    </row>
    <row r="377">
      <c r="A377" s="31">
        <f>IF('5年'!B20="","",設定!$C$19)</f>
        <v/>
      </c>
      <c r="B377" s="31">
        <f>IF('5年'!B20="","",'5年'!A20)</f>
        <v/>
      </c>
      <c r="C377" s="31">
        <f>IF('5年'!B20="","",'5年'!B20)</f>
        <v/>
      </c>
      <c r="D377" s="31">
        <f>IF('5年'!B20="","",'5年'!C20&amp;"")</f>
        <v/>
      </c>
      <c r="E377" s="31">
        <f>IF(D377="","",IFERROR(MATCH(D377,設定!$I$11:$I$30,0),""))</f>
        <v/>
      </c>
      <c r="F377" s="31">
        <f>IF(E377="","",COUNTIF($E$2:E377,E377))</f>
        <v/>
      </c>
      <c r="G377" s="31">
        <f>IF(E377="","",E377*1000+F377)</f>
        <v/>
      </c>
      <c r="H377" s="31">
        <f>設定!$B$8</f>
        <v/>
      </c>
      <c r="I377" s="31">
        <f>IF(AND(C377&lt;&gt;"",D377=""),1,0)</f>
        <v/>
      </c>
      <c r="J377" s="31">
        <f>IF(AND(D377&lt;&gt;"",E377=""),1,0)</f>
        <v/>
      </c>
    </row>
    <row r="378">
      <c r="A378" s="31">
        <f>IF('5年'!B21="","",設定!$C$19)</f>
        <v/>
      </c>
      <c r="B378" s="31">
        <f>IF('5年'!B21="","",'5年'!A21)</f>
        <v/>
      </c>
      <c r="C378" s="31">
        <f>IF('5年'!B21="","",'5年'!B21)</f>
        <v/>
      </c>
      <c r="D378" s="31">
        <f>IF('5年'!B21="","",'5年'!C21&amp;"")</f>
        <v/>
      </c>
      <c r="E378" s="31">
        <f>IF(D378="","",IFERROR(MATCH(D378,設定!$I$11:$I$30,0),""))</f>
        <v/>
      </c>
      <c r="F378" s="31">
        <f>IF(E378="","",COUNTIF($E$2:E378,E378))</f>
        <v/>
      </c>
      <c r="G378" s="31">
        <f>IF(E378="","",E378*1000+F378)</f>
        <v/>
      </c>
      <c r="H378" s="31">
        <f>設定!$B$8</f>
        <v/>
      </c>
      <c r="I378" s="31">
        <f>IF(AND(C378&lt;&gt;"",D378=""),1,0)</f>
        <v/>
      </c>
      <c r="J378" s="31">
        <f>IF(AND(D378&lt;&gt;"",E378=""),1,0)</f>
        <v/>
      </c>
    </row>
    <row r="379">
      <c r="A379" s="31">
        <f>IF('5年'!B22="","",設定!$C$19)</f>
        <v/>
      </c>
      <c r="B379" s="31">
        <f>IF('5年'!B22="","",'5年'!A22)</f>
        <v/>
      </c>
      <c r="C379" s="31">
        <f>IF('5年'!B22="","",'5年'!B22)</f>
        <v/>
      </c>
      <c r="D379" s="31">
        <f>IF('5年'!B22="","",'5年'!C22&amp;"")</f>
        <v/>
      </c>
      <c r="E379" s="31">
        <f>IF(D379="","",IFERROR(MATCH(D379,設定!$I$11:$I$30,0),""))</f>
        <v/>
      </c>
      <c r="F379" s="31">
        <f>IF(E379="","",COUNTIF($E$2:E379,E379))</f>
        <v/>
      </c>
      <c r="G379" s="31">
        <f>IF(E379="","",E379*1000+F379)</f>
        <v/>
      </c>
      <c r="H379" s="31">
        <f>設定!$B$8</f>
        <v/>
      </c>
      <c r="I379" s="31">
        <f>IF(AND(C379&lt;&gt;"",D379=""),1,0)</f>
        <v/>
      </c>
      <c r="J379" s="31">
        <f>IF(AND(D379&lt;&gt;"",E379=""),1,0)</f>
        <v/>
      </c>
    </row>
    <row r="380">
      <c r="A380" s="31">
        <f>IF('5年'!B23="","",設定!$C$19)</f>
        <v/>
      </c>
      <c r="B380" s="31">
        <f>IF('5年'!B23="","",'5年'!A23)</f>
        <v/>
      </c>
      <c r="C380" s="31">
        <f>IF('5年'!B23="","",'5年'!B23)</f>
        <v/>
      </c>
      <c r="D380" s="31">
        <f>IF('5年'!B23="","",'5年'!C23&amp;"")</f>
        <v/>
      </c>
      <c r="E380" s="31">
        <f>IF(D380="","",IFERROR(MATCH(D380,設定!$I$11:$I$30,0),""))</f>
        <v/>
      </c>
      <c r="F380" s="31">
        <f>IF(E380="","",COUNTIF($E$2:E380,E380))</f>
        <v/>
      </c>
      <c r="G380" s="31">
        <f>IF(E380="","",E380*1000+F380)</f>
        <v/>
      </c>
      <c r="H380" s="31">
        <f>設定!$B$8</f>
        <v/>
      </c>
      <c r="I380" s="31">
        <f>IF(AND(C380&lt;&gt;"",D380=""),1,0)</f>
        <v/>
      </c>
      <c r="J380" s="31">
        <f>IF(AND(D380&lt;&gt;"",E380=""),1,0)</f>
        <v/>
      </c>
    </row>
    <row r="381">
      <c r="A381" s="31">
        <f>IF('5年'!B24="","",設定!$C$19)</f>
        <v/>
      </c>
      <c r="B381" s="31">
        <f>IF('5年'!B24="","",'5年'!A24)</f>
        <v/>
      </c>
      <c r="C381" s="31">
        <f>IF('5年'!B24="","",'5年'!B24)</f>
        <v/>
      </c>
      <c r="D381" s="31">
        <f>IF('5年'!B24="","",'5年'!C24&amp;"")</f>
        <v/>
      </c>
      <c r="E381" s="31">
        <f>IF(D381="","",IFERROR(MATCH(D381,設定!$I$11:$I$30,0),""))</f>
        <v/>
      </c>
      <c r="F381" s="31">
        <f>IF(E381="","",COUNTIF($E$2:E381,E381))</f>
        <v/>
      </c>
      <c r="G381" s="31">
        <f>IF(E381="","",E381*1000+F381)</f>
        <v/>
      </c>
      <c r="H381" s="31">
        <f>設定!$B$8</f>
        <v/>
      </c>
      <c r="I381" s="31">
        <f>IF(AND(C381&lt;&gt;"",D381=""),1,0)</f>
        <v/>
      </c>
      <c r="J381" s="31">
        <f>IF(AND(D381&lt;&gt;"",E381=""),1,0)</f>
        <v/>
      </c>
    </row>
    <row r="382">
      <c r="A382" s="31">
        <f>IF('5年'!B25="","",設定!$C$19)</f>
        <v/>
      </c>
      <c r="B382" s="31">
        <f>IF('5年'!B25="","",'5年'!A25)</f>
        <v/>
      </c>
      <c r="C382" s="31">
        <f>IF('5年'!B25="","",'5年'!B25)</f>
        <v/>
      </c>
      <c r="D382" s="31">
        <f>IF('5年'!B25="","",'5年'!C25&amp;"")</f>
        <v/>
      </c>
      <c r="E382" s="31">
        <f>IF(D382="","",IFERROR(MATCH(D382,設定!$I$11:$I$30,0),""))</f>
        <v/>
      </c>
      <c r="F382" s="31">
        <f>IF(E382="","",COUNTIF($E$2:E382,E382))</f>
        <v/>
      </c>
      <c r="G382" s="31">
        <f>IF(E382="","",E382*1000+F382)</f>
        <v/>
      </c>
      <c r="H382" s="31">
        <f>設定!$B$8</f>
        <v/>
      </c>
      <c r="I382" s="31">
        <f>IF(AND(C382&lt;&gt;"",D382=""),1,0)</f>
        <v/>
      </c>
      <c r="J382" s="31">
        <f>IF(AND(D382&lt;&gt;"",E382=""),1,0)</f>
        <v/>
      </c>
    </row>
    <row r="383">
      <c r="A383" s="31">
        <f>IF('5年'!B26="","",設定!$C$19)</f>
        <v/>
      </c>
      <c r="B383" s="31">
        <f>IF('5年'!B26="","",'5年'!A26)</f>
        <v/>
      </c>
      <c r="C383" s="31">
        <f>IF('5年'!B26="","",'5年'!B26)</f>
        <v/>
      </c>
      <c r="D383" s="31">
        <f>IF('5年'!B26="","",'5年'!C26&amp;"")</f>
        <v/>
      </c>
      <c r="E383" s="31">
        <f>IF(D383="","",IFERROR(MATCH(D383,設定!$I$11:$I$30,0),""))</f>
        <v/>
      </c>
      <c r="F383" s="31">
        <f>IF(E383="","",COUNTIF($E$2:E383,E383))</f>
        <v/>
      </c>
      <c r="G383" s="31">
        <f>IF(E383="","",E383*1000+F383)</f>
        <v/>
      </c>
      <c r="H383" s="31">
        <f>設定!$B$8</f>
        <v/>
      </c>
      <c r="I383" s="31">
        <f>IF(AND(C383&lt;&gt;"",D383=""),1,0)</f>
        <v/>
      </c>
      <c r="J383" s="31">
        <f>IF(AND(D383&lt;&gt;"",E383=""),1,0)</f>
        <v/>
      </c>
    </row>
    <row r="384">
      <c r="A384" s="31">
        <f>IF('5年'!B27="","",設定!$C$19)</f>
        <v/>
      </c>
      <c r="B384" s="31">
        <f>IF('5年'!B27="","",'5年'!A27)</f>
        <v/>
      </c>
      <c r="C384" s="31">
        <f>IF('5年'!B27="","",'5年'!B27)</f>
        <v/>
      </c>
      <c r="D384" s="31">
        <f>IF('5年'!B27="","",'5年'!C27&amp;"")</f>
        <v/>
      </c>
      <c r="E384" s="31">
        <f>IF(D384="","",IFERROR(MATCH(D384,設定!$I$11:$I$30,0),""))</f>
        <v/>
      </c>
      <c r="F384" s="31">
        <f>IF(E384="","",COUNTIF($E$2:E384,E384))</f>
        <v/>
      </c>
      <c r="G384" s="31">
        <f>IF(E384="","",E384*1000+F384)</f>
        <v/>
      </c>
      <c r="H384" s="31">
        <f>設定!$B$8</f>
        <v/>
      </c>
      <c r="I384" s="31">
        <f>IF(AND(C384&lt;&gt;"",D384=""),1,0)</f>
        <v/>
      </c>
      <c r="J384" s="31">
        <f>IF(AND(D384&lt;&gt;"",E384=""),1,0)</f>
        <v/>
      </c>
    </row>
    <row r="385">
      <c r="A385" s="31">
        <f>IF('5年'!B28="","",設定!$C$19)</f>
        <v/>
      </c>
      <c r="B385" s="31">
        <f>IF('5年'!B28="","",'5年'!A28)</f>
        <v/>
      </c>
      <c r="C385" s="31">
        <f>IF('5年'!B28="","",'5年'!B28)</f>
        <v/>
      </c>
      <c r="D385" s="31">
        <f>IF('5年'!B28="","",'5年'!C28&amp;"")</f>
        <v/>
      </c>
      <c r="E385" s="31">
        <f>IF(D385="","",IFERROR(MATCH(D385,設定!$I$11:$I$30,0),""))</f>
        <v/>
      </c>
      <c r="F385" s="31">
        <f>IF(E385="","",COUNTIF($E$2:E385,E385))</f>
        <v/>
      </c>
      <c r="G385" s="31">
        <f>IF(E385="","",E385*1000+F385)</f>
        <v/>
      </c>
      <c r="H385" s="31">
        <f>設定!$B$8</f>
        <v/>
      </c>
      <c r="I385" s="31">
        <f>IF(AND(C385&lt;&gt;"",D385=""),1,0)</f>
        <v/>
      </c>
      <c r="J385" s="31">
        <f>IF(AND(D385&lt;&gt;"",E385=""),1,0)</f>
        <v/>
      </c>
    </row>
    <row r="386">
      <c r="A386" s="31">
        <f>IF('5年'!B29="","",設定!$C$19)</f>
        <v/>
      </c>
      <c r="B386" s="31">
        <f>IF('5年'!B29="","",'5年'!A29)</f>
        <v/>
      </c>
      <c r="C386" s="31">
        <f>IF('5年'!B29="","",'5年'!B29)</f>
        <v/>
      </c>
      <c r="D386" s="31">
        <f>IF('5年'!B29="","",'5年'!C29&amp;"")</f>
        <v/>
      </c>
      <c r="E386" s="31">
        <f>IF(D386="","",IFERROR(MATCH(D386,設定!$I$11:$I$30,0),""))</f>
        <v/>
      </c>
      <c r="F386" s="31">
        <f>IF(E386="","",COUNTIF($E$2:E386,E386))</f>
        <v/>
      </c>
      <c r="G386" s="31">
        <f>IF(E386="","",E386*1000+F386)</f>
        <v/>
      </c>
      <c r="H386" s="31">
        <f>設定!$B$8</f>
        <v/>
      </c>
      <c r="I386" s="31">
        <f>IF(AND(C386&lt;&gt;"",D386=""),1,0)</f>
        <v/>
      </c>
      <c r="J386" s="31">
        <f>IF(AND(D386&lt;&gt;"",E386=""),1,0)</f>
        <v/>
      </c>
    </row>
    <row r="387">
      <c r="A387" s="31">
        <f>IF('5年'!B30="","",設定!$C$19)</f>
        <v/>
      </c>
      <c r="B387" s="31">
        <f>IF('5年'!B30="","",'5年'!A30)</f>
        <v/>
      </c>
      <c r="C387" s="31">
        <f>IF('5年'!B30="","",'5年'!B30)</f>
        <v/>
      </c>
      <c r="D387" s="31">
        <f>IF('5年'!B30="","",'5年'!C30&amp;"")</f>
        <v/>
      </c>
      <c r="E387" s="31">
        <f>IF(D387="","",IFERROR(MATCH(D387,設定!$I$11:$I$30,0),""))</f>
        <v/>
      </c>
      <c r="F387" s="31">
        <f>IF(E387="","",COUNTIF($E$2:E387,E387))</f>
        <v/>
      </c>
      <c r="G387" s="31">
        <f>IF(E387="","",E387*1000+F387)</f>
        <v/>
      </c>
      <c r="H387" s="31">
        <f>設定!$B$8</f>
        <v/>
      </c>
      <c r="I387" s="31">
        <f>IF(AND(C387&lt;&gt;"",D387=""),1,0)</f>
        <v/>
      </c>
      <c r="J387" s="31">
        <f>IF(AND(D387&lt;&gt;"",E387=""),1,0)</f>
        <v/>
      </c>
    </row>
    <row r="388">
      <c r="A388" s="31">
        <f>IF('5年'!B31="","",設定!$C$19)</f>
        <v/>
      </c>
      <c r="B388" s="31">
        <f>IF('5年'!B31="","",'5年'!A31)</f>
        <v/>
      </c>
      <c r="C388" s="31">
        <f>IF('5年'!B31="","",'5年'!B31)</f>
        <v/>
      </c>
      <c r="D388" s="31">
        <f>IF('5年'!B31="","",'5年'!C31&amp;"")</f>
        <v/>
      </c>
      <c r="E388" s="31">
        <f>IF(D388="","",IFERROR(MATCH(D388,設定!$I$11:$I$30,0),""))</f>
        <v/>
      </c>
      <c r="F388" s="31">
        <f>IF(E388="","",COUNTIF($E$2:E388,E388))</f>
        <v/>
      </c>
      <c r="G388" s="31">
        <f>IF(E388="","",E388*1000+F388)</f>
        <v/>
      </c>
      <c r="H388" s="31">
        <f>設定!$B$8</f>
        <v/>
      </c>
      <c r="I388" s="31">
        <f>IF(AND(C388&lt;&gt;"",D388=""),1,0)</f>
        <v/>
      </c>
      <c r="J388" s="31">
        <f>IF(AND(D388&lt;&gt;"",E388=""),1,0)</f>
        <v/>
      </c>
    </row>
    <row r="389">
      <c r="A389" s="31">
        <f>IF('5年'!B32="","",設定!$C$19)</f>
        <v/>
      </c>
      <c r="B389" s="31">
        <f>IF('5年'!B32="","",'5年'!A32)</f>
        <v/>
      </c>
      <c r="C389" s="31">
        <f>IF('5年'!B32="","",'5年'!B32)</f>
        <v/>
      </c>
      <c r="D389" s="31">
        <f>IF('5年'!B32="","",'5年'!C32&amp;"")</f>
        <v/>
      </c>
      <c r="E389" s="31">
        <f>IF(D389="","",IFERROR(MATCH(D389,設定!$I$11:$I$30,0),""))</f>
        <v/>
      </c>
      <c r="F389" s="31">
        <f>IF(E389="","",COUNTIF($E$2:E389,E389))</f>
        <v/>
      </c>
      <c r="G389" s="31">
        <f>IF(E389="","",E389*1000+F389)</f>
        <v/>
      </c>
      <c r="H389" s="31">
        <f>設定!$B$8</f>
        <v/>
      </c>
      <c r="I389" s="31">
        <f>IF(AND(C389&lt;&gt;"",D389=""),1,0)</f>
        <v/>
      </c>
      <c r="J389" s="31">
        <f>IF(AND(D389&lt;&gt;"",E389=""),1,0)</f>
        <v/>
      </c>
    </row>
    <row r="390">
      <c r="A390" s="31">
        <f>IF('5年'!B33="","",設定!$C$19)</f>
        <v/>
      </c>
      <c r="B390" s="31">
        <f>IF('5年'!B33="","",'5年'!A33)</f>
        <v/>
      </c>
      <c r="C390" s="31">
        <f>IF('5年'!B33="","",'5年'!B33)</f>
        <v/>
      </c>
      <c r="D390" s="31">
        <f>IF('5年'!B33="","",'5年'!C33&amp;"")</f>
        <v/>
      </c>
      <c r="E390" s="31">
        <f>IF(D390="","",IFERROR(MATCH(D390,設定!$I$11:$I$30,0),""))</f>
        <v/>
      </c>
      <c r="F390" s="31">
        <f>IF(E390="","",COUNTIF($E$2:E390,E390))</f>
        <v/>
      </c>
      <c r="G390" s="31">
        <f>IF(E390="","",E390*1000+F390)</f>
        <v/>
      </c>
      <c r="H390" s="31">
        <f>設定!$B$8</f>
        <v/>
      </c>
      <c r="I390" s="31">
        <f>IF(AND(C390&lt;&gt;"",D390=""),1,0)</f>
        <v/>
      </c>
      <c r="J390" s="31">
        <f>IF(AND(D390&lt;&gt;"",E390=""),1,0)</f>
        <v/>
      </c>
    </row>
    <row r="391">
      <c r="A391" s="31">
        <f>IF('5年'!B34="","",設定!$C$19)</f>
        <v/>
      </c>
      <c r="B391" s="31">
        <f>IF('5年'!B34="","",'5年'!A34)</f>
        <v/>
      </c>
      <c r="C391" s="31">
        <f>IF('5年'!B34="","",'5年'!B34)</f>
        <v/>
      </c>
      <c r="D391" s="31">
        <f>IF('5年'!B34="","",'5年'!C34&amp;"")</f>
        <v/>
      </c>
      <c r="E391" s="31">
        <f>IF(D391="","",IFERROR(MATCH(D391,設定!$I$11:$I$30,0),""))</f>
        <v/>
      </c>
      <c r="F391" s="31">
        <f>IF(E391="","",COUNTIF($E$2:E391,E391))</f>
        <v/>
      </c>
      <c r="G391" s="31">
        <f>IF(E391="","",E391*1000+F391)</f>
        <v/>
      </c>
      <c r="H391" s="31">
        <f>設定!$B$8</f>
        <v/>
      </c>
      <c r="I391" s="31">
        <f>IF(AND(C391&lt;&gt;"",D391=""),1,0)</f>
        <v/>
      </c>
      <c r="J391" s="31">
        <f>IF(AND(D391&lt;&gt;"",E391=""),1,0)</f>
        <v/>
      </c>
    </row>
    <row r="392">
      <c r="A392" s="31">
        <f>IF('5年'!B35="","",設定!$C$19)</f>
        <v/>
      </c>
      <c r="B392" s="31">
        <f>IF('5年'!B35="","",'5年'!A35)</f>
        <v/>
      </c>
      <c r="C392" s="31">
        <f>IF('5年'!B35="","",'5年'!B35)</f>
        <v/>
      </c>
      <c r="D392" s="31">
        <f>IF('5年'!B35="","",'5年'!C35&amp;"")</f>
        <v/>
      </c>
      <c r="E392" s="31">
        <f>IF(D392="","",IFERROR(MATCH(D392,設定!$I$11:$I$30,0),""))</f>
        <v/>
      </c>
      <c r="F392" s="31">
        <f>IF(E392="","",COUNTIF($E$2:E392,E392))</f>
        <v/>
      </c>
      <c r="G392" s="31">
        <f>IF(E392="","",E392*1000+F392)</f>
        <v/>
      </c>
      <c r="H392" s="31">
        <f>設定!$B$8</f>
        <v/>
      </c>
      <c r="I392" s="31">
        <f>IF(AND(C392&lt;&gt;"",D392=""),1,0)</f>
        <v/>
      </c>
      <c r="J392" s="31">
        <f>IF(AND(D392&lt;&gt;"",E392=""),1,0)</f>
        <v/>
      </c>
    </row>
    <row r="393">
      <c r="A393" s="31">
        <f>IF('5年'!B36="","",設定!$C$19)</f>
        <v/>
      </c>
      <c r="B393" s="31">
        <f>IF('5年'!B36="","",'5年'!A36)</f>
        <v/>
      </c>
      <c r="C393" s="31">
        <f>IF('5年'!B36="","",'5年'!B36)</f>
        <v/>
      </c>
      <c r="D393" s="31">
        <f>IF('5年'!B36="","",'5年'!C36&amp;"")</f>
        <v/>
      </c>
      <c r="E393" s="31">
        <f>IF(D393="","",IFERROR(MATCH(D393,設定!$I$11:$I$30,0),""))</f>
        <v/>
      </c>
      <c r="F393" s="31">
        <f>IF(E393="","",COUNTIF($E$2:E393,E393))</f>
        <v/>
      </c>
      <c r="G393" s="31">
        <f>IF(E393="","",E393*1000+F393)</f>
        <v/>
      </c>
      <c r="H393" s="31">
        <f>設定!$B$8</f>
        <v/>
      </c>
      <c r="I393" s="31">
        <f>IF(AND(C393&lt;&gt;"",D393=""),1,0)</f>
        <v/>
      </c>
      <c r="J393" s="31">
        <f>IF(AND(D393&lt;&gt;"",E393=""),1,0)</f>
        <v/>
      </c>
    </row>
    <row r="394">
      <c r="A394" s="31">
        <f>IF('5年'!B37="","",設定!$C$19)</f>
        <v/>
      </c>
      <c r="B394" s="31">
        <f>IF('5年'!B37="","",'5年'!A37)</f>
        <v/>
      </c>
      <c r="C394" s="31">
        <f>IF('5年'!B37="","",'5年'!B37)</f>
        <v/>
      </c>
      <c r="D394" s="31">
        <f>IF('5年'!B37="","",'5年'!C37&amp;"")</f>
        <v/>
      </c>
      <c r="E394" s="31">
        <f>IF(D394="","",IFERROR(MATCH(D394,設定!$I$11:$I$30,0),""))</f>
        <v/>
      </c>
      <c r="F394" s="31">
        <f>IF(E394="","",COUNTIF($E$2:E394,E394))</f>
        <v/>
      </c>
      <c r="G394" s="31">
        <f>IF(E394="","",E394*1000+F394)</f>
        <v/>
      </c>
      <c r="H394" s="31">
        <f>設定!$B$8</f>
        <v/>
      </c>
      <c r="I394" s="31">
        <f>IF(AND(C394&lt;&gt;"",D394=""),1,0)</f>
        <v/>
      </c>
      <c r="J394" s="31">
        <f>IF(AND(D394&lt;&gt;"",E394=""),1,0)</f>
        <v/>
      </c>
    </row>
    <row r="395">
      <c r="A395" s="31">
        <f>IF('5年'!B38="","",設定!$C$19)</f>
        <v/>
      </c>
      <c r="B395" s="31">
        <f>IF('5年'!B38="","",'5年'!A38)</f>
        <v/>
      </c>
      <c r="C395" s="31">
        <f>IF('5年'!B38="","",'5年'!B38)</f>
        <v/>
      </c>
      <c r="D395" s="31">
        <f>IF('5年'!B38="","",'5年'!C38&amp;"")</f>
        <v/>
      </c>
      <c r="E395" s="31">
        <f>IF(D395="","",IFERROR(MATCH(D395,設定!$I$11:$I$30,0),""))</f>
        <v/>
      </c>
      <c r="F395" s="31">
        <f>IF(E395="","",COUNTIF($E$2:E395,E395))</f>
        <v/>
      </c>
      <c r="G395" s="31">
        <f>IF(E395="","",E395*1000+F395)</f>
        <v/>
      </c>
      <c r="H395" s="31">
        <f>設定!$B$8</f>
        <v/>
      </c>
      <c r="I395" s="31">
        <f>IF(AND(C395&lt;&gt;"",D395=""),1,0)</f>
        <v/>
      </c>
      <c r="J395" s="31">
        <f>IF(AND(D395&lt;&gt;"",E395=""),1,0)</f>
        <v/>
      </c>
    </row>
    <row r="396">
      <c r="A396" s="31">
        <f>IF('5年'!B39="","",設定!$C$19)</f>
        <v/>
      </c>
      <c r="B396" s="31">
        <f>IF('5年'!B39="","",'5年'!A39)</f>
        <v/>
      </c>
      <c r="C396" s="31">
        <f>IF('5年'!B39="","",'5年'!B39)</f>
        <v/>
      </c>
      <c r="D396" s="31">
        <f>IF('5年'!B39="","",'5年'!C39&amp;"")</f>
        <v/>
      </c>
      <c r="E396" s="31">
        <f>IF(D396="","",IFERROR(MATCH(D396,設定!$I$11:$I$30,0),""))</f>
        <v/>
      </c>
      <c r="F396" s="31">
        <f>IF(E396="","",COUNTIF($E$2:E396,E396))</f>
        <v/>
      </c>
      <c r="G396" s="31">
        <f>IF(E396="","",E396*1000+F396)</f>
        <v/>
      </c>
      <c r="H396" s="31">
        <f>設定!$B$8</f>
        <v/>
      </c>
      <c r="I396" s="31">
        <f>IF(AND(C396&lt;&gt;"",D396=""),1,0)</f>
        <v/>
      </c>
      <c r="J396" s="31">
        <f>IF(AND(D396&lt;&gt;"",E396=""),1,0)</f>
        <v/>
      </c>
    </row>
    <row r="397">
      <c r="A397" s="31">
        <f>IF('5年'!B40="","",設定!$C$19)</f>
        <v/>
      </c>
      <c r="B397" s="31">
        <f>IF('5年'!B40="","",'5年'!A40)</f>
        <v/>
      </c>
      <c r="C397" s="31">
        <f>IF('5年'!B40="","",'5年'!B40)</f>
        <v/>
      </c>
      <c r="D397" s="31">
        <f>IF('5年'!B40="","",'5年'!C40&amp;"")</f>
        <v/>
      </c>
      <c r="E397" s="31">
        <f>IF(D397="","",IFERROR(MATCH(D397,設定!$I$11:$I$30,0),""))</f>
        <v/>
      </c>
      <c r="F397" s="31">
        <f>IF(E397="","",COUNTIF($E$2:E397,E397))</f>
        <v/>
      </c>
      <c r="G397" s="31">
        <f>IF(E397="","",E397*1000+F397)</f>
        <v/>
      </c>
      <c r="H397" s="31">
        <f>設定!$B$8</f>
        <v/>
      </c>
      <c r="I397" s="31">
        <f>IF(AND(C397&lt;&gt;"",D397=""),1,0)</f>
        <v/>
      </c>
      <c r="J397" s="31">
        <f>IF(AND(D397&lt;&gt;"",E397=""),1,0)</f>
        <v/>
      </c>
    </row>
    <row r="398">
      <c r="A398" s="31">
        <f>IF('5年'!B41="","",設定!$C$19)</f>
        <v/>
      </c>
      <c r="B398" s="31">
        <f>IF('5年'!B41="","",'5年'!A41)</f>
        <v/>
      </c>
      <c r="C398" s="31">
        <f>IF('5年'!B41="","",'5年'!B41)</f>
        <v/>
      </c>
      <c r="D398" s="31">
        <f>IF('5年'!B41="","",'5年'!C41&amp;"")</f>
        <v/>
      </c>
      <c r="E398" s="31">
        <f>IF(D398="","",IFERROR(MATCH(D398,設定!$I$11:$I$30,0),""))</f>
        <v/>
      </c>
      <c r="F398" s="31">
        <f>IF(E398="","",COUNTIF($E$2:E398,E398))</f>
        <v/>
      </c>
      <c r="G398" s="31">
        <f>IF(E398="","",E398*1000+F398)</f>
        <v/>
      </c>
      <c r="H398" s="31">
        <f>設定!$B$8</f>
        <v/>
      </c>
      <c r="I398" s="31">
        <f>IF(AND(C398&lt;&gt;"",D398=""),1,0)</f>
        <v/>
      </c>
      <c r="J398" s="31">
        <f>IF(AND(D398&lt;&gt;"",E398=""),1,0)</f>
        <v/>
      </c>
    </row>
    <row r="399">
      <c r="A399" s="31">
        <f>IF('5年'!B42="","",設定!$C$19)</f>
        <v/>
      </c>
      <c r="B399" s="31">
        <f>IF('5年'!B42="","",'5年'!A42)</f>
        <v/>
      </c>
      <c r="C399" s="31">
        <f>IF('5年'!B42="","",'5年'!B42)</f>
        <v/>
      </c>
      <c r="D399" s="31">
        <f>IF('5年'!B42="","",'5年'!C42&amp;"")</f>
        <v/>
      </c>
      <c r="E399" s="31">
        <f>IF(D399="","",IFERROR(MATCH(D399,設定!$I$11:$I$30,0),""))</f>
        <v/>
      </c>
      <c r="F399" s="31">
        <f>IF(E399="","",COUNTIF($E$2:E399,E399))</f>
        <v/>
      </c>
      <c r="G399" s="31">
        <f>IF(E399="","",E399*1000+F399)</f>
        <v/>
      </c>
      <c r="H399" s="31">
        <f>設定!$B$8</f>
        <v/>
      </c>
      <c r="I399" s="31">
        <f>IF(AND(C399&lt;&gt;"",D399=""),1,0)</f>
        <v/>
      </c>
      <c r="J399" s="31">
        <f>IF(AND(D399&lt;&gt;"",E399=""),1,0)</f>
        <v/>
      </c>
    </row>
    <row r="400">
      <c r="A400" s="31">
        <f>IF('5年'!B43="","",設定!$C$19)</f>
        <v/>
      </c>
      <c r="B400" s="31">
        <f>IF('5年'!B43="","",'5年'!A43)</f>
        <v/>
      </c>
      <c r="C400" s="31">
        <f>IF('5年'!B43="","",'5年'!B43)</f>
        <v/>
      </c>
      <c r="D400" s="31">
        <f>IF('5年'!B43="","",'5年'!C43&amp;"")</f>
        <v/>
      </c>
      <c r="E400" s="31">
        <f>IF(D400="","",IFERROR(MATCH(D400,設定!$I$11:$I$30,0),""))</f>
        <v/>
      </c>
      <c r="F400" s="31">
        <f>IF(E400="","",COUNTIF($E$2:E400,E400))</f>
        <v/>
      </c>
      <c r="G400" s="31">
        <f>IF(E400="","",E400*1000+F400)</f>
        <v/>
      </c>
      <c r="H400" s="31">
        <f>設定!$B$8</f>
        <v/>
      </c>
      <c r="I400" s="31">
        <f>IF(AND(C400&lt;&gt;"",D400=""),1,0)</f>
        <v/>
      </c>
      <c r="J400" s="31">
        <f>IF(AND(D400&lt;&gt;"",E400=""),1,0)</f>
        <v/>
      </c>
    </row>
    <row r="401">
      <c r="A401" s="31">
        <f>IF('5年'!B44="","",設定!$C$19)</f>
        <v/>
      </c>
      <c r="B401" s="31">
        <f>IF('5年'!B44="","",'5年'!A44)</f>
        <v/>
      </c>
      <c r="C401" s="31">
        <f>IF('5年'!B44="","",'5年'!B44)</f>
        <v/>
      </c>
      <c r="D401" s="31">
        <f>IF('5年'!B44="","",'5年'!C44&amp;"")</f>
        <v/>
      </c>
      <c r="E401" s="31">
        <f>IF(D401="","",IFERROR(MATCH(D401,設定!$I$11:$I$30,0),""))</f>
        <v/>
      </c>
      <c r="F401" s="31">
        <f>IF(E401="","",COUNTIF($E$2:E401,E401))</f>
        <v/>
      </c>
      <c r="G401" s="31">
        <f>IF(E401="","",E401*1000+F401)</f>
        <v/>
      </c>
      <c r="H401" s="31">
        <f>設定!$B$8</f>
        <v/>
      </c>
      <c r="I401" s="31">
        <f>IF(AND(C401&lt;&gt;"",D401=""),1,0)</f>
        <v/>
      </c>
      <c r="J401" s="31">
        <f>IF(AND(D401&lt;&gt;"",E401=""),1,0)</f>
        <v/>
      </c>
    </row>
    <row r="402">
      <c r="A402" s="31">
        <f>IF('5年'!B45="","",設定!$C$19)</f>
        <v/>
      </c>
      <c r="B402" s="31">
        <f>IF('5年'!B45="","",'5年'!A45)</f>
        <v/>
      </c>
      <c r="C402" s="31">
        <f>IF('5年'!B45="","",'5年'!B45)</f>
        <v/>
      </c>
      <c r="D402" s="31">
        <f>IF('5年'!B45="","",'5年'!C45&amp;"")</f>
        <v/>
      </c>
      <c r="E402" s="31">
        <f>IF(D402="","",IFERROR(MATCH(D402,設定!$I$11:$I$30,0),""))</f>
        <v/>
      </c>
      <c r="F402" s="31">
        <f>IF(E402="","",COUNTIF($E$2:E402,E402))</f>
        <v/>
      </c>
      <c r="G402" s="31">
        <f>IF(E402="","",E402*1000+F402)</f>
        <v/>
      </c>
      <c r="H402" s="31">
        <f>設定!$B$8</f>
        <v/>
      </c>
      <c r="I402" s="31">
        <f>IF(AND(C402&lt;&gt;"",D402=""),1,0)</f>
        <v/>
      </c>
      <c r="J402" s="31">
        <f>IF(AND(D402&lt;&gt;"",E402=""),1,0)</f>
        <v/>
      </c>
    </row>
    <row r="403">
      <c r="A403" s="31">
        <f>IF('5年'!B46="","",設定!$C$19)</f>
        <v/>
      </c>
      <c r="B403" s="31">
        <f>IF('5年'!B46="","",'5年'!A46)</f>
        <v/>
      </c>
      <c r="C403" s="31">
        <f>IF('5年'!B46="","",'5年'!B46)</f>
        <v/>
      </c>
      <c r="D403" s="31">
        <f>IF('5年'!B46="","",'5年'!C46&amp;"")</f>
        <v/>
      </c>
      <c r="E403" s="31">
        <f>IF(D403="","",IFERROR(MATCH(D403,設定!$I$11:$I$30,0),""))</f>
        <v/>
      </c>
      <c r="F403" s="31">
        <f>IF(E403="","",COUNTIF($E$2:E403,E403))</f>
        <v/>
      </c>
      <c r="G403" s="31">
        <f>IF(E403="","",E403*1000+F403)</f>
        <v/>
      </c>
      <c r="H403" s="31">
        <f>設定!$B$8</f>
        <v/>
      </c>
      <c r="I403" s="31">
        <f>IF(AND(C403&lt;&gt;"",D403=""),1,0)</f>
        <v/>
      </c>
      <c r="J403" s="31">
        <f>IF(AND(D403&lt;&gt;"",E403=""),1,0)</f>
        <v/>
      </c>
    </row>
    <row r="404">
      <c r="A404" s="31">
        <f>IF('5年'!B47="","",設定!$C$19)</f>
        <v/>
      </c>
      <c r="B404" s="31">
        <f>IF('5年'!B47="","",'5年'!A47)</f>
        <v/>
      </c>
      <c r="C404" s="31">
        <f>IF('5年'!B47="","",'5年'!B47)</f>
        <v/>
      </c>
      <c r="D404" s="31">
        <f>IF('5年'!B47="","",'5年'!C47&amp;"")</f>
        <v/>
      </c>
      <c r="E404" s="31">
        <f>IF(D404="","",IFERROR(MATCH(D404,設定!$I$11:$I$30,0),""))</f>
        <v/>
      </c>
      <c r="F404" s="31">
        <f>IF(E404="","",COUNTIF($E$2:E404,E404))</f>
        <v/>
      </c>
      <c r="G404" s="31">
        <f>IF(E404="","",E404*1000+F404)</f>
        <v/>
      </c>
      <c r="H404" s="31">
        <f>設定!$B$8</f>
        <v/>
      </c>
      <c r="I404" s="31">
        <f>IF(AND(C404&lt;&gt;"",D404=""),1,0)</f>
        <v/>
      </c>
      <c r="J404" s="31">
        <f>IF(AND(D404&lt;&gt;"",E404=""),1,0)</f>
        <v/>
      </c>
    </row>
    <row r="405">
      <c r="A405" s="31">
        <f>IF('5年'!B48="","",設定!$C$19)</f>
        <v/>
      </c>
      <c r="B405" s="31">
        <f>IF('5年'!B48="","",'5年'!A48)</f>
        <v/>
      </c>
      <c r="C405" s="31">
        <f>IF('5年'!B48="","",'5年'!B48)</f>
        <v/>
      </c>
      <c r="D405" s="31">
        <f>IF('5年'!B48="","",'5年'!C48&amp;"")</f>
        <v/>
      </c>
      <c r="E405" s="31">
        <f>IF(D405="","",IFERROR(MATCH(D405,設定!$I$11:$I$30,0),""))</f>
        <v/>
      </c>
      <c r="F405" s="31">
        <f>IF(E405="","",COUNTIF($E$2:E405,E405))</f>
        <v/>
      </c>
      <c r="G405" s="31">
        <f>IF(E405="","",E405*1000+F405)</f>
        <v/>
      </c>
      <c r="H405" s="31">
        <f>設定!$B$8</f>
        <v/>
      </c>
      <c r="I405" s="31">
        <f>IF(AND(C405&lt;&gt;"",D405=""),1,0)</f>
        <v/>
      </c>
      <c r="J405" s="31">
        <f>IF(AND(D405&lt;&gt;"",E405=""),1,0)</f>
        <v/>
      </c>
    </row>
    <row r="406">
      <c r="A406" s="31">
        <f>IF('5年'!B49="","",設定!$C$19)</f>
        <v/>
      </c>
      <c r="B406" s="31">
        <f>IF('5年'!B49="","",'5年'!A49)</f>
        <v/>
      </c>
      <c r="C406" s="31">
        <f>IF('5年'!B49="","",'5年'!B49)</f>
        <v/>
      </c>
      <c r="D406" s="31">
        <f>IF('5年'!B49="","",'5年'!C49&amp;"")</f>
        <v/>
      </c>
      <c r="E406" s="31">
        <f>IF(D406="","",IFERROR(MATCH(D406,設定!$I$11:$I$30,0),""))</f>
        <v/>
      </c>
      <c r="F406" s="31">
        <f>IF(E406="","",COUNTIF($E$2:E406,E406))</f>
        <v/>
      </c>
      <c r="G406" s="31">
        <f>IF(E406="","",E406*1000+F406)</f>
        <v/>
      </c>
      <c r="H406" s="31">
        <f>設定!$B$8</f>
        <v/>
      </c>
      <c r="I406" s="31">
        <f>IF(AND(C406&lt;&gt;"",D406=""),1,0)</f>
        <v/>
      </c>
      <c r="J406" s="31">
        <f>IF(AND(D406&lt;&gt;"",E406=""),1,0)</f>
        <v/>
      </c>
    </row>
    <row r="407">
      <c r="A407" s="31">
        <f>IF('5年'!E5="","",設定!$C$20)</f>
        <v/>
      </c>
      <c r="B407" s="31">
        <f>IF('5年'!E5="","",'5年'!D5)</f>
        <v/>
      </c>
      <c r="C407" s="31">
        <f>IF('5年'!E5="","",'5年'!E5)</f>
        <v/>
      </c>
      <c r="D407" s="31">
        <f>IF('5年'!E5="","",'5年'!F5&amp;"")</f>
        <v/>
      </c>
      <c r="E407" s="31">
        <f>IF(D407="","",IFERROR(MATCH(D407,設定!$I$11:$I$30,0),""))</f>
        <v/>
      </c>
      <c r="F407" s="31">
        <f>IF(E407="","",COUNTIF($E$2:E407,E407))</f>
        <v/>
      </c>
      <c r="G407" s="31">
        <f>IF(E407="","",E407*1000+F407)</f>
        <v/>
      </c>
      <c r="H407" s="31">
        <f>設定!$B$8</f>
        <v/>
      </c>
      <c r="I407" s="31">
        <f>IF(AND(C407&lt;&gt;"",D407=""),1,0)</f>
        <v/>
      </c>
      <c r="J407" s="31">
        <f>IF(AND(D407&lt;&gt;"",E407=""),1,0)</f>
        <v/>
      </c>
    </row>
    <row r="408">
      <c r="A408" s="31">
        <f>IF('5年'!E6="","",設定!$C$20)</f>
        <v/>
      </c>
      <c r="B408" s="31">
        <f>IF('5年'!E6="","",'5年'!D6)</f>
        <v/>
      </c>
      <c r="C408" s="31">
        <f>IF('5年'!E6="","",'5年'!E6)</f>
        <v/>
      </c>
      <c r="D408" s="31">
        <f>IF('5年'!E6="","",'5年'!F6&amp;"")</f>
        <v/>
      </c>
      <c r="E408" s="31">
        <f>IF(D408="","",IFERROR(MATCH(D408,設定!$I$11:$I$30,0),""))</f>
        <v/>
      </c>
      <c r="F408" s="31">
        <f>IF(E408="","",COUNTIF($E$2:E408,E408))</f>
        <v/>
      </c>
      <c r="G408" s="31">
        <f>IF(E408="","",E408*1000+F408)</f>
        <v/>
      </c>
      <c r="H408" s="31">
        <f>設定!$B$8</f>
        <v/>
      </c>
      <c r="I408" s="31">
        <f>IF(AND(C408&lt;&gt;"",D408=""),1,0)</f>
        <v/>
      </c>
      <c r="J408" s="31">
        <f>IF(AND(D408&lt;&gt;"",E408=""),1,0)</f>
        <v/>
      </c>
    </row>
    <row r="409">
      <c r="A409" s="31">
        <f>IF('5年'!E7="","",設定!$C$20)</f>
        <v/>
      </c>
      <c r="B409" s="31">
        <f>IF('5年'!E7="","",'5年'!D7)</f>
        <v/>
      </c>
      <c r="C409" s="31">
        <f>IF('5年'!E7="","",'5年'!E7)</f>
        <v/>
      </c>
      <c r="D409" s="31">
        <f>IF('5年'!E7="","",'5年'!F7&amp;"")</f>
        <v/>
      </c>
      <c r="E409" s="31">
        <f>IF(D409="","",IFERROR(MATCH(D409,設定!$I$11:$I$30,0),""))</f>
        <v/>
      </c>
      <c r="F409" s="31">
        <f>IF(E409="","",COUNTIF($E$2:E409,E409))</f>
        <v/>
      </c>
      <c r="G409" s="31">
        <f>IF(E409="","",E409*1000+F409)</f>
        <v/>
      </c>
      <c r="H409" s="31">
        <f>設定!$B$8</f>
        <v/>
      </c>
      <c r="I409" s="31">
        <f>IF(AND(C409&lt;&gt;"",D409=""),1,0)</f>
        <v/>
      </c>
      <c r="J409" s="31">
        <f>IF(AND(D409&lt;&gt;"",E409=""),1,0)</f>
        <v/>
      </c>
    </row>
    <row r="410">
      <c r="A410" s="31">
        <f>IF('5年'!E8="","",設定!$C$20)</f>
        <v/>
      </c>
      <c r="B410" s="31">
        <f>IF('5年'!E8="","",'5年'!D8)</f>
        <v/>
      </c>
      <c r="C410" s="31">
        <f>IF('5年'!E8="","",'5年'!E8)</f>
        <v/>
      </c>
      <c r="D410" s="31">
        <f>IF('5年'!E8="","",'5年'!F8&amp;"")</f>
        <v/>
      </c>
      <c r="E410" s="31">
        <f>IF(D410="","",IFERROR(MATCH(D410,設定!$I$11:$I$30,0),""))</f>
        <v/>
      </c>
      <c r="F410" s="31">
        <f>IF(E410="","",COUNTIF($E$2:E410,E410))</f>
        <v/>
      </c>
      <c r="G410" s="31">
        <f>IF(E410="","",E410*1000+F410)</f>
        <v/>
      </c>
      <c r="H410" s="31">
        <f>設定!$B$8</f>
        <v/>
      </c>
      <c r="I410" s="31">
        <f>IF(AND(C410&lt;&gt;"",D410=""),1,0)</f>
        <v/>
      </c>
      <c r="J410" s="31">
        <f>IF(AND(D410&lt;&gt;"",E410=""),1,0)</f>
        <v/>
      </c>
    </row>
    <row r="411">
      <c r="A411" s="31">
        <f>IF('5年'!E9="","",設定!$C$20)</f>
        <v/>
      </c>
      <c r="B411" s="31">
        <f>IF('5年'!E9="","",'5年'!D9)</f>
        <v/>
      </c>
      <c r="C411" s="31">
        <f>IF('5年'!E9="","",'5年'!E9)</f>
        <v/>
      </c>
      <c r="D411" s="31">
        <f>IF('5年'!E9="","",'5年'!F9&amp;"")</f>
        <v/>
      </c>
      <c r="E411" s="31">
        <f>IF(D411="","",IFERROR(MATCH(D411,設定!$I$11:$I$30,0),""))</f>
        <v/>
      </c>
      <c r="F411" s="31">
        <f>IF(E411="","",COUNTIF($E$2:E411,E411))</f>
        <v/>
      </c>
      <c r="G411" s="31">
        <f>IF(E411="","",E411*1000+F411)</f>
        <v/>
      </c>
      <c r="H411" s="31">
        <f>設定!$B$8</f>
        <v/>
      </c>
      <c r="I411" s="31">
        <f>IF(AND(C411&lt;&gt;"",D411=""),1,0)</f>
        <v/>
      </c>
      <c r="J411" s="31">
        <f>IF(AND(D411&lt;&gt;"",E411=""),1,0)</f>
        <v/>
      </c>
    </row>
    <row r="412">
      <c r="A412" s="31">
        <f>IF('5年'!E10="","",設定!$C$20)</f>
        <v/>
      </c>
      <c r="B412" s="31">
        <f>IF('5年'!E10="","",'5年'!D10)</f>
        <v/>
      </c>
      <c r="C412" s="31">
        <f>IF('5年'!E10="","",'5年'!E10)</f>
        <v/>
      </c>
      <c r="D412" s="31">
        <f>IF('5年'!E10="","",'5年'!F10&amp;"")</f>
        <v/>
      </c>
      <c r="E412" s="31">
        <f>IF(D412="","",IFERROR(MATCH(D412,設定!$I$11:$I$30,0),""))</f>
        <v/>
      </c>
      <c r="F412" s="31">
        <f>IF(E412="","",COUNTIF($E$2:E412,E412))</f>
        <v/>
      </c>
      <c r="G412" s="31">
        <f>IF(E412="","",E412*1000+F412)</f>
        <v/>
      </c>
      <c r="H412" s="31">
        <f>設定!$B$8</f>
        <v/>
      </c>
      <c r="I412" s="31">
        <f>IF(AND(C412&lt;&gt;"",D412=""),1,0)</f>
        <v/>
      </c>
      <c r="J412" s="31">
        <f>IF(AND(D412&lt;&gt;"",E412=""),1,0)</f>
        <v/>
      </c>
    </row>
    <row r="413">
      <c r="A413" s="31">
        <f>IF('5年'!E11="","",設定!$C$20)</f>
        <v/>
      </c>
      <c r="B413" s="31">
        <f>IF('5年'!E11="","",'5年'!D11)</f>
        <v/>
      </c>
      <c r="C413" s="31">
        <f>IF('5年'!E11="","",'5年'!E11)</f>
        <v/>
      </c>
      <c r="D413" s="31">
        <f>IF('5年'!E11="","",'5年'!F11&amp;"")</f>
        <v/>
      </c>
      <c r="E413" s="31">
        <f>IF(D413="","",IFERROR(MATCH(D413,設定!$I$11:$I$30,0),""))</f>
        <v/>
      </c>
      <c r="F413" s="31">
        <f>IF(E413="","",COUNTIF($E$2:E413,E413))</f>
        <v/>
      </c>
      <c r="G413" s="31">
        <f>IF(E413="","",E413*1000+F413)</f>
        <v/>
      </c>
      <c r="H413" s="31">
        <f>設定!$B$8</f>
        <v/>
      </c>
      <c r="I413" s="31">
        <f>IF(AND(C413&lt;&gt;"",D413=""),1,0)</f>
        <v/>
      </c>
      <c r="J413" s="31">
        <f>IF(AND(D413&lt;&gt;"",E413=""),1,0)</f>
        <v/>
      </c>
    </row>
    <row r="414">
      <c r="A414" s="31">
        <f>IF('5年'!E12="","",設定!$C$20)</f>
        <v/>
      </c>
      <c r="B414" s="31">
        <f>IF('5年'!E12="","",'5年'!D12)</f>
        <v/>
      </c>
      <c r="C414" s="31">
        <f>IF('5年'!E12="","",'5年'!E12)</f>
        <v/>
      </c>
      <c r="D414" s="31">
        <f>IF('5年'!E12="","",'5年'!F12&amp;"")</f>
        <v/>
      </c>
      <c r="E414" s="31">
        <f>IF(D414="","",IFERROR(MATCH(D414,設定!$I$11:$I$30,0),""))</f>
        <v/>
      </c>
      <c r="F414" s="31">
        <f>IF(E414="","",COUNTIF($E$2:E414,E414))</f>
        <v/>
      </c>
      <c r="G414" s="31">
        <f>IF(E414="","",E414*1000+F414)</f>
        <v/>
      </c>
      <c r="H414" s="31">
        <f>設定!$B$8</f>
        <v/>
      </c>
      <c r="I414" s="31">
        <f>IF(AND(C414&lt;&gt;"",D414=""),1,0)</f>
        <v/>
      </c>
      <c r="J414" s="31">
        <f>IF(AND(D414&lt;&gt;"",E414=""),1,0)</f>
        <v/>
      </c>
    </row>
    <row r="415">
      <c r="A415" s="31">
        <f>IF('5年'!E13="","",設定!$C$20)</f>
        <v/>
      </c>
      <c r="B415" s="31">
        <f>IF('5年'!E13="","",'5年'!D13)</f>
        <v/>
      </c>
      <c r="C415" s="31">
        <f>IF('5年'!E13="","",'5年'!E13)</f>
        <v/>
      </c>
      <c r="D415" s="31">
        <f>IF('5年'!E13="","",'5年'!F13&amp;"")</f>
        <v/>
      </c>
      <c r="E415" s="31">
        <f>IF(D415="","",IFERROR(MATCH(D415,設定!$I$11:$I$30,0),""))</f>
        <v/>
      </c>
      <c r="F415" s="31">
        <f>IF(E415="","",COUNTIF($E$2:E415,E415))</f>
        <v/>
      </c>
      <c r="G415" s="31">
        <f>IF(E415="","",E415*1000+F415)</f>
        <v/>
      </c>
      <c r="H415" s="31">
        <f>設定!$B$8</f>
        <v/>
      </c>
      <c r="I415" s="31">
        <f>IF(AND(C415&lt;&gt;"",D415=""),1,0)</f>
        <v/>
      </c>
      <c r="J415" s="31">
        <f>IF(AND(D415&lt;&gt;"",E415=""),1,0)</f>
        <v/>
      </c>
    </row>
    <row r="416">
      <c r="A416" s="31">
        <f>IF('5年'!E14="","",設定!$C$20)</f>
        <v/>
      </c>
      <c r="B416" s="31">
        <f>IF('5年'!E14="","",'5年'!D14)</f>
        <v/>
      </c>
      <c r="C416" s="31">
        <f>IF('5年'!E14="","",'5年'!E14)</f>
        <v/>
      </c>
      <c r="D416" s="31">
        <f>IF('5年'!E14="","",'5年'!F14&amp;"")</f>
        <v/>
      </c>
      <c r="E416" s="31">
        <f>IF(D416="","",IFERROR(MATCH(D416,設定!$I$11:$I$30,0),""))</f>
        <v/>
      </c>
      <c r="F416" s="31">
        <f>IF(E416="","",COUNTIF($E$2:E416,E416))</f>
        <v/>
      </c>
      <c r="G416" s="31">
        <f>IF(E416="","",E416*1000+F416)</f>
        <v/>
      </c>
      <c r="H416" s="31">
        <f>設定!$B$8</f>
        <v/>
      </c>
      <c r="I416" s="31">
        <f>IF(AND(C416&lt;&gt;"",D416=""),1,0)</f>
        <v/>
      </c>
      <c r="J416" s="31">
        <f>IF(AND(D416&lt;&gt;"",E416=""),1,0)</f>
        <v/>
      </c>
    </row>
    <row r="417">
      <c r="A417" s="31">
        <f>IF('5年'!E15="","",設定!$C$20)</f>
        <v/>
      </c>
      <c r="B417" s="31">
        <f>IF('5年'!E15="","",'5年'!D15)</f>
        <v/>
      </c>
      <c r="C417" s="31">
        <f>IF('5年'!E15="","",'5年'!E15)</f>
        <v/>
      </c>
      <c r="D417" s="31">
        <f>IF('5年'!E15="","",'5年'!F15&amp;"")</f>
        <v/>
      </c>
      <c r="E417" s="31">
        <f>IF(D417="","",IFERROR(MATCH(D417,設定!$I$11:$I$30,0),""))</f>
        <v/>
      </c>
      <c r="F417" s="31">
        <f>IF(E417="","",COUNTIF($E$2:E417,E417))</f>
        <v/>
      </c>
      <c r="G417" s="31">
        <f>IF(E417="","",E417*1000+F417)</f>
        <v/>
      </c>
      <c r="H417" s="31">
        <f>設定!$B$8</f>
        <v/>
      </c>
      <c r="I417" s="31">
        <f>IF(AND(C417&lt;&gt;"",D417=""),1,0)</f>
        <v/>
      </c>
      <c r="J417" s="31">
        <f>IF(AND(D417&lt;&gt;"",E417=""),1,0)</f>
        <v/>
      </c>
    </row>
    <row r="418">
      <c r="A418" s="31">
        <f>IF('5年'!E16="","",設定!$C$20)</f>
        <v/>
      </c>
      <c r="B418" s="31">
        <f>IF('5年'!E16="","",'5年'!D16)</f>
        <v/>
      </c>
      <c r="C418" s="31">
        <f>IF('5年'!E16="","",'5年'!E16)</f>
        <v/>
      </c>
      <c r="D418" s="31">
        <f>IF('5年'!E16="","",'5年'!F16&amp;"")</f>
        <v/>
      </c>
      <c r="E418" s="31">
        <f>IF(D418="","",IFERROR(MATCH(D418,設定!$I$11:$I$30,0),""))</f>
        <v/>
      </c>
      <c r="F418" s="31">
        <f>IF(E418="","",COUNTIF($E$2:E418,E418))</f>
        <v/>
      </c>
      <c r="G418" s="31">
        <f>IF(E418="","",E418*1000+F418)</f>
        <v/>
      </c>
      <c r="H418" s="31">
        <f>設定!$B$8</f>
        <v/>
      </c>
      <c r="I418" s="31">
        <f>IF(AND(C418&lt;&gt;"",D418=""),1,0)</f>
        <v/>
      </c>
      <c r="J418" s="31">
        <f>IF(AND(D418&lt;&gt;"",E418=""),1,0)</f>
        <v/>
      </c>
    </row>
    <row r="419">
      <c r="A419" s="31">
        <f>IF('5年'!E17="","",設定!$C$20)</f>
        <v/>
      </c>
      <c r="B419" s="31">
        <f>IF('5年'!E17="","",'5年'!D17)</f>
        <v/>
      </c>
      <c r="C419" s="31">
        <f>IF('5年'!E17="","",'5年'!E17)</f>
        <v/>
      </c>
      <c r="D419" s="31">
        <f>IF('5年'!E17="","",'5年'!F17&amp;"")</f>
        <v/>
      </c>
      <c r="E419" s="31">
        <f>IF(D419="","",IFERROR(MATCH(D419,設定!$I$11:$I$30,0),""))</f>
        <v/>
      </c>
      <c r="F419" s="31">
        <f>IF(E419="","",COUNTIF($E$2:E419,E419))</f>
        <v/>
      </c>
      <c r="G419" s="31">
        <f>IF(E419="","",E419*1000+F419)</f>
        <v/>
      </c>
      <c r="H419" s="31">
        <f>設定!$B$8</f>
        <v/>
      </c>
      <c r="I419" s="31">
        <f>IF(AND(C419&lt;&gt;"",D419=""),1,0)</f>
        <v/>
      </c>
      <c r="J419" s="31">
        <f>IF(AND(D419&lt;&gt;"",E419=""),1,0)</f>
        <v/>
      </c>
    </row>
    <row r="420">
      <c r="A420" s="31">
        <f>IF('5年'!E18="","",設定!$C$20)</f>
        <v/>
      </c>
      <c r="B420" s="31">
        <f>IF('5年'!E18="","",'5年'!D18)</f>
        <v/>
      </c>
      <c r="C420" s="31">
        <f>IF('5年'!E18="","",'5年'!E18)</f>
        <v/>
      </c>
      <c r="D420" s="31">
        <f>IF('5年'!E18="","",'5年'!F18&amp;"")</f>
        <v/>
      </c>
      <c r="E420" s="31">
        <f>IF(D420="","",IFERROR(MATCH(D420,設定!$I$11:$I$30,0),""))</f>
        <v/>
      </c>
      <c r="F420" s="31">
        <f>IF(E420="","",COUNTIF($E$2:E420,E420))</f>
        <v/>
      </c>
      <c r="G420" s="31">
        <f>IF(E420="","",E420*1000+F420)</f>
        <v/>
      </c>
      <c r="H420" s="31">
        <f>設定!$B$8</f>
        <v/>
      </c>
      <c r="I420" s="31">
        <f>IF(AND(C420&lt;&gt;"",D420=""),1,0)</f>
        <v/>
      </c>
      <c r="J420" s="31">
        <f>IF(AND(D420&lt;&gt;"",E420=""),1,0)</f>
        <v/>
      </c>
    </row>
    <row r="421">
      <c r="A421" s="31">
        <f>IF('5年'!E19="","",設定!$C$20)</f>
        <v/>
      </c>
      <c r="B421" s="31">
        <f>IF('5年'!E19="","",'5年'!D19)</f>
        <v/>
      </c>
      <c r="C421" s="31">
        <f>IF('5年'!E19="","",'5年'!E19)</f>
        <v/>
      </c>
      <c r="D421" s="31">
        <f>IF('5年'!E19="","",'5年'!F19&amp;"")</f>
        <v/>
      </c>
      <c r="E421" s="31">
        <f>IF(D421="","",IFERROR(MATCH(D421,設定!$I$11:$I$30,0),""))</f>
        <v/>
      </c>
      <c r="F421" s="31">
        <f>IF(E421="","",COUNTIF($E$2:E421,E421))</f>
        <v/>
      </c>
      <c r="G421" s="31">
        <f>IF(E421="","",E421*1000+F421)</f>
        <v/>
      </c>
      <c r="H421" s="31">
        <f>設定!$B$8</f>
        <v/>
      </c>
      <c r="I421" s="31">
        <f>IF(AND(C421&lt;&gt;"",D421=""),1,0)</f>
        <v/>
      </c>
      <c r="J421" s="31">
        <f>IF(AND(D421&lt;&gt;"",E421=""),1,0)</f>
        <v/>
      </c>
    </row>
    <row r="422">
      <c r="A422" s="31">
        <f>IF('5年'!E20="","",設定!$C$20)</f>
        <v/>
      </c>
      <c r="B422" s="31">
        <f>IF('5年'!E20="","",'5年'!D20)</f>
        <v/>
      </c>
      <c r="C422" s="31">
        <f>IF('5年'!E20="","",'5年'!E20)</f>
        <v/>
      </c>
      <c r="D422" s="31">
        <f>IF('5年'!E20="","",'5年'!F20&amp;"")</f>
        <v/>
      </c>
      <c r="E422" s="31">
        <f>IF(D422="","",IFERROR(MATCH(D422,設定!$I$11:$I$30,0),""))</f>
        <v/>
      </c>
      <c r="F422" s="31">
        <f>IF(E422="","",COUNTIF($E$2:E422,E422))</f>
        <v/>
      </c>
      <c r="G422" s="31">
        <f>IF(E422="","",E422*1000+F422)</f>
        <v/>
      </c>
      <c r="H422" s="31">
        <f>設定!$B$8</f>
        <v/>
      </c>
      <c r="I422" s="31">
        <f>IF(AND(C422&lt;&gt;"",D422=""),1,0)</f>
        <v/>
      </c>
      <c r="J422" s="31">
        <f>IF(AND(D422&lt;&gt;"",E422=""),1,0)</f>
        <v/>
      </c>
    </row>
    <row r="423">
      <c r="A423" s="31">
        <f>IF('5年'!E21="","",設定!$C$20)</f>
        <v/>
      </c>
      <c r="B423" s="31">
        <f>IF('5年'!E21="","",'5年'!D21)</f>
        <v/>
      </c>
      <c r="C423" s="31">
        <f>IF('5年'!E21="","",'5年'!E21)</f>
        <v/>
      </c>
      <c r="D423" s="31">
        <f>IF('5年'!E21="","",'5年'!F21&amp;"")</f>
        <v/>
      </c>
      <c r="E423" s="31">
        <f>IF(D423="","",IFERROR(MATCH(D423,設定!$I$11:$I$30,0),""))</f>
        <v/>
      </c>
      <c r="F423" s="31">
        <f>IF(E423="","",COUNTIF($E$2:E423,E423))</f>
        <v/>
      </c>
      <c r="G423" s="31">
        <f>IF(E423="","",E423*1000+F423)</f>
        <v/>
      </c>
      <c r="H423" s="31">
        <f>設定!$B$8</f>
        <v/>
      </c>
      <c r="I423" s="31">
        <f>IF(AND(C423&lt;&gt;"",D423=""),1,0)</f>
        <v/>
      </c>
      <c r="J423" s="31">
        <f>IF(AND(D423&lt;&gt;"",E423=""),1,0)</f>
        <v/>
      </c>
    </row>
    <row r="424">
      <c r="A424" s="31">
        <f>IF('5年'!E22="","",設定!$C$20)</f>
        <v/>
      </c>
      <c r="B424" s="31">
        <f>IF('5年'!E22="","",'5年'!D22)</f>
        <v/>
      </c>
      <c r="C424" s="31">
        <f>IF('5年'!E22="","",'5年'!E22)</f>
        <v/>
      </c>
      <c r="D424" s="31">
        <f>IF('5年'!E22="","",'5年'!F22&amp;"")</f>
        <v/>
      </c>
      <c r="E424" s="31">
        <f>IF(D424="","",IFERROR(MATCH(D424,設定!$I$11:$I$30,0),""))</f>
        <v/>
      </c>
      <c r="F424" s="31">
        <f>IF(E424="","",COUNTIF($E$2:E424,E424))</f>
        <v/>
      </c>
      <c r="G424" s="31">
        <f>IF(E424="","",E424*1000+F424)</f>
        <v/>
      </c>
      <c r="H424" s="31">
        <f>設定!$B$8</f>
        <v/>
      </c>
      <c r="I424" s="31">
        <f>IF(AND(C424&lt;&gt;"",D424=""),1,0)</f>
        <v/>
      </c>
      <c r="J424" s="31">
        <f>IF(AND(D424&lt;&gt;"",E424=""),1,0)</f>
        <v/>
      </c>
    </row>
    <row r="425">
      <c r="A425" s="31">
        <f>IF('5年'!E23="","",設定!$C$20)</f>
        <v/>
      </c>
      <c r="B425" s="31">
        <f>IF('5年'!E23="","",'5年'!D23)</f>
        <v/>
      </c>
      <c r="C425" s="31">
        <f>IF('5年'!E23="","",'5年'!E23)</f>
        <v/>
      </c>
      <c r="D425" s="31">
        <f>IF('5年'!E23="","",'5年'!F23&amp;"")</f>
        <v/>
      </c>
      <c r="E425" s="31">
        <f>IF(D425="","",IFERROR(MATCH(D425,設定!$I$11:$I$30,0),""))</f>
        <v/>
      </c>
      <c r="F425" s="31">
        <f>IF(E425="","",COUNTIF($E$2:E425,E425))</f>
        <v/>
      </c>
      <c r="G425" s="31">
        <f>IF(E425="","",E425*1000+F425)</f>
        <v/>
      </c>
      <c r="H425" s="31">
        <f>設定!$B$8</f>
        <v/>
      </c>
      <c r="I425" s="31">
        <f>IF(AND(C425&lt;&gt;"",D425=""),1,0)</f>
        <v/>
      </c>
      <c r="J425" s="31">
        <f>IF(AND(D425&lt;&gt;"",E425=""),1,0)</f>
        <v/>
      </c>
    </row>
    <row r="426">
      <c r="A426" s="31">
        <f>IF('5年'!E24="","",設定!$C$20)</f>
        <v/>
      </c>
      <c r="B426" s="31">
        <f>IF('5年'!E24="","",'5年'!D24)</f>
        <v/>
      </c>
      <c r="C426" s="31">
        <f>IF('5年'!E24="","",'5年'!E24)</f>
        <v/>
      </c>
      <c r="D426" s="31">
        <f>IF('5年'!E24="","",'5年'!F24&amp;"")</f>
        <v/>
      </c>
      <c r="E426" s="31">
        <f>IF(D426="","",IFERROR(MATCH(D426,設定!$I$11:$I$30,0),""))</f>
        <v/>
      </c>
      <c r="F426" s="31">
        <f>IF(E426="","",COUNTIF($E$2:E426,E426))</f>
        <v/>
      </c>
      <c r="G426" s="31">
        <f>IF(E426="","",E426*1000+F426)</f>
        <v/>
      </c>
      <c r="H426" s="31">
        <f>設定!$B$8</f>
        <v/>
      </c>
      <c r="I426" s="31">
        <f>IF(AND(C426&lt;&gt;"",D426=""),1,0)</f>
        <v/>
      </c>
      <c r="J426" s="31">
        <f>IF(AND(D426&lt;&gt;"",E426=""),1,0)</f>
        <v/>
      </c>
    </row>
    <row r="427">
      <c r="A427" s="31">
        <f>IF('5年'!E25="","",設定!$C$20)</f>
        <v/>
      </c>
      <c r="B427" s="31">
        <f>IF('5年'!E25="","",'5年'!D25)</f>
        <v/>
      </c>
      <c r="C427" s="31">
        <f>IF('5年'!E25="","",'5年'!E25)</f>
        <v/>
      </c>
      <c r="D427" s="31">
        <f>IF('5年'!E25="","",'5年'!F25&amp;"")</f>
        <v/>
      </c>
      <c r="E427" s="31">
        <f>IF(D427="","",IFERROR(MATCH(D427,設定!$I$11:$I$30,0),""))</f>
        <v/>
      </c>
      <c r="F427" s="31">
        <f>IF(E427="","",COUNTIF($E$2:E427,E427))</f>
        <v/>
      </c>
      <c r="G427" s="31">
        <f>IF(E427="","",E427*1000+F427)</f>
        <v/>
      </c>
      <c r="H427" s="31">
        <f>設定!$B$8</f>
        <v/>
      </c>
      <c r="I427" s="31">
        <f>IF(AND(C427&lt;&gt;"",D427=""),1,0)</f>
        <v/>
      </c>
      <c r="J427" s="31">
        <f>IF(AND(D427&lt;&gt;"",E427=""),1,0)</f>
        <v/>
      </c>
    </row>
    <row r="428">
      <c r="A428" s="31">
        <f>IF('5年'!E26="","",設定!$C$20)</f>
        <v/>
      </c>
      <c r="B428" s="31">
        <f>IF('5年'!E26="","",'5年'!D26)</f>
        <v/>
      </c>
      <c r="C428" s="31">
        <f>IF('5年'!E26="","",'5年'!E26)</f>
        <v/>
      </c>
      <c r="D428" s="31">
        <f>IF('5年'!E26="","",'5年'!F26&amp;"")</f>
        <v/>
      </c>
      <c r="E428" s="31">
        <f>IF(D428="","",IFERROR(MATCH(D428,設定!$I$11:$I$30,0),""))</f>
        <v/>
      </c>
      <c r="F428" s="31">
        <f>IF(E428="","",COUNTIF($E$2:E428,E428))</f>
        <v/>
      </c>
      <c r="G428" s="31">
        <f>IF(E428="","",E428*1000+F428)</f>
        <v/>
      </c>
      <c r="H428" s="31">
        <f>設定!$B$8</f>
        <v/>
      </c>
      <c r="I428" s="31">
        <f>IF(AND(C428&lt;&gt;"",D428=""),1,0)</f>
        <v/>
      </c>
      <c r="J428" s="31">
        <f>IF(AND(D428&lt;&gt;"",E428=""),1,0)</f>
        <v/>
      </c>
    </row>
    <row r="429">
      <c r="A429" s="31">
        <f>IF('5年'!E27="","",設定!$C$20)</f>
        <v/>
      </c>
      <c r="B429" s="31">
        <f>IF('5年'!E27="","",'5年'!D27)</f>
        <v/>
      </c>
      <c r="C429" s="31">
        <f>IF('5年'!E27="","",'5年'!E27)</f>
        <v/>
      </c>
      <c r="D429" s="31">
        <f>IF('5年'!E27="","",'5年'!F27&amp;"")</f>
        <v/>
      </c>
      <c r="E429" s="31">
        <f>IF(D429="","",IFERROR(MATCH(D429,設定!$I$11:$I$30,0),""))</f>
        <v/>
      </c>
      <c r="F429" s="31">
        <f>IF(E429="","",COUNTIF($E$2:E429,E429))</f>
        <v/>
      </c>
      <c r="G429" s="31">
        <f>IF(E429="","",E429*1000+F429)</f>
        <v/>
      </c>
      <c r="H429" s="31">
        <f>設定!$B$8</f>
        <v/>
      </c>
      <c r="I429" s="31">
        <f>IF(AND(C429&lt;&gt;"",D429=""),1,0)</f>
        <v/>
      </c>
      <c r="J429" s="31">
        <f>IF(AND(D429&lt;&gt;"",E429=""),1,0)</f>
        <v/>
      </c>
    </row>
    <row r="430">
      <c r="A430" s="31">
        <f>IF('5年'!E28="","",設定!$C$20)</f>
        <v/>
      </c>
      <c r="B430" s="31">
        <f>IF('5年'!E28="","",'5年'!D28)</f>
        <v/>
      </c>
      <c r="C430" s="31">
        <f>IF('5年'!E28="","",'5年'!E28)</f>
        <v/>
      </c>
      <c r="D430" s="31">
        <f>IF('5年'!E28="","",'5年'!F28&amp;"")</f>
        <v/>
      </c>
      <c r="E430" s="31">
        <f>IF(D430="","",IFERROR(MATCH(D430,設定!$I$11:$I$30,0),""))</f>
        <v/>
      </c>
      <c r="F430" s="31">
        <f>IF(E430="","",COUNTIF($E$2:E430,E430))</f>
        <v/>
      </c>
      <c r="G430" s="31">
        <f>IF(E430="","",E430*1000+F430)</f>
        <v/>
      </c>
      <c r="H430" s="31">
        <f>設定!$B$8</f>
        <v/>
      </c>
      <c r="I430" s="31">
        <f>IF(AND(C430&lt;&gt;"",D430=""),1,0)</f>
        <v/>
      </c>
      <c r="J430" s="31">
        <f>IF(AND(D430&lt;&gt;"",E430=""),1,0)</f>
        <v/>
      </c>
    </row>
    <row r="431">
      <c r="A431" s="31">
        <f>IF('5年'!E29="","",設定!$C$20)</f>
        <v/>
      </c>
      <c r="B431" s="31">
        <f>IF('5年'!E29="","",'5年'!D29)</f>
        <v/>
      </c>
      <c r="C431" s="31">
        <f>IF('5年'!E29="","",'5年'!E29)</f>
        <v/>
      </c>
      <c r="D431" s="31">
        <f>IF('5年'!E29="","",'5年'!F29&amp;"")</f>
        <v/>
      </c>
      <c r="E431" s="31">
        <f>IF(D431="","",IFERROR(MATCH(D431,設定!$I$11:$I$30,0),""))</f>
        <v/>
      </c>
      <c r="F431" s="31">
        <f>IF(E431="","",COUNTIF($E$2:E431,E431))</f>
        <v/>
      </c>
      <c r="G431" s="31">
        <f>IF(E431="","",E431*1000+F431)</f>
        <v/>
      </c>
      <c r="H431" s="31">
        <f>設定!$B$8</f>
        <v/>
      </c>
      <c r="I431" s="31">
        <f>IF(AND(C431&lt;&gt;"",D431=""),1,0)</f>
        <v/>
      </c>
      <c r="J431" s="31">
        <f>IF(AND(D431&lt;&gt;"",E431=""),1,0)</f>
        <v/>
      </c>
    </row>
    <row r="432">
      <c r="A432" s="31">
        <f>IF('5年'!E30="","",設定!$C$20)</f>
        <v/>
      </c>
      <c r="B432" s="31">
        <f>IF('5年'!E30="","",'5年'!D30)</f>
        <v/>
      </c>
      <c r="C432" s="31">
        <f>IF('5年'!E30="","",'5年'!E30)</f>
        <v/>
      </c>
      <c r="D432" s="31">
        <f>IF('5年'!E30="","",'5年'!F30&amp;"")</f>
        <v/>
      </c>
      <c r="E432" s="31">
        <f>IF(D432="","",IFERROR(MATCH(D432,設定!$I$11:$I$30,0),""))</f>
        <v/>
      </c>
      <c r="F432" s="31">
        <f>IF(E432="","",COUNTIF($E$2:E432,E432))</f>
        <v/>
      </c>
      <c r="G432" s="31">
        <f>IF(E432="","",E432*1000+F432)</f>
        <v/>
      </c>
      <c r="H432" s="31">
        <f>設定!$B$8</f>
        <v/>
      </c>
      <c r="I432" s="31">
        <f>IF(AND(C432&lt;&gt;"",D432=""),1,0)</f>
        <v/>
      </c>
      <c r="J432" s="31">
        <f>IF(AND(D432&lt;&gt;"",E432=""),1,0)</f>
        <v/>
      </c>
    </row>
    <row r="433">
      <c r="A433" s="31">
        <f>IF('5年'!E31="","",設定!$C$20)</f>
        <v/>
      </c>
      <c r="B433" s="31">
        <f>IF('5年'!E31="","",'5年'!D31)</f>
        <v/>
      </c>
      <c r="C433" s="31">
        <f>IF('5年'!E31="","",'5年'!E31)</f>
        <v/>
      </c>
      <c r="D433" s="31">
        <f>IF('5年'!E31="","",'5年'!F31&amp;"")</f>
        <v/>
      </c>
      <c r="E433" s="31">
        <f>IF(D433="","",IFERROR(MATCH(D433,設定!$I$11:$I$30,0),""))</f>
        <v/>
      </c>
      <c r="F433" s="31">
        <f>IF(E433="","",COUNTIF($E$2:E433,E433))</f>
        <v/>
      </c>
      <c r="G433" s="31">
        <f>IF(E433="","",E433*1000+F433)</f>
        <v/>
      </c>
      <c r="H433" s="31">
        <f>設定!$B$8</f>
        <v/>
      </c>
      <c r="I433" s="31">
        <f>IF(AND(C433&lt;&gt;"",D433=""),1,0)</f>
        <v/>
      </c>
      <c r="J433" s="31">
        <f>IF(AND(D433&lt;&gt;"",E433=""),1,0)</f>
        <v/>
      </c>
    </row>
    <row r="434">
      <c r="A434" s="31">
        <f>IF('5年'!E32="","",設定!$C$20)</f>
        <v/>
      </c>
      <c r="B434" s="31">
        <f>IF('5年'!E32="","",'5年'!D32)</f>
        <v/>
      </c>
      <c r="C434" s="31">
        <f>IF('5年'!E32="","",'5年'!E32)</f>
        <v/>
      </c>
      <c r="D434" s="31">
        <f>IF('5年'!E32="","",'5年'!F32&amp;"")</f>
        <v/>
      </c>
      <c r="E434" s="31">
        <f>IF(D434="","",IFERROR(MATCH(D434,設定!$I$11:$I$30,0),""))</f>
        <v/>
      </c>
      <c r="F434" s="31">
        <f>IF(E434="","",COUNTIF($E$2:E434,E434))</f>
        <v/>
      </c>
      <c r="G434" s="31">
        <f>IF(E434="","",E434*1000+F434)</f>
        <v/>
      </c>
      <c r="H434" s="31">
        <f>設定!$B$8</f>
        <v/>
      </c>
      <c r="I434" s="31">
        <f>IF(AND(C434&lt;&gt;"",D434=""),1,0)</f>
        <v/>
      </c>
      <c r="J434" s="31">
        <f>IF(AND(D434&lt;&gt;"",E434=""),1,0)</f>
        <v/>
      </c>
    </row>
    <row r="435">
      <c r="A435" s="31">
        <f>IF('5年'!E33="","",設定!$C$20)</f>
        <v/>
      </c>
      <c r="B435" s="31">
        <f>IF('5年'!E33="","",'5年'!D33)</f>
        <v/>
      </c>
      <c r="C435" s="31">
        <f>IF('5年'!E33="","",'5年'!E33)</f>
        <v/>
      </c>
      <c r="D435" s="31">
        <f>IF('5年'!E33="","",'5年'!F33&amp;"")</f>
        <v/>
      </c>
      <c r="E435" s="31">
        <f>IF(D435="","",IFERROR(MATCH(D435,設定!$I$11:$I$30,0),""))</f>
        <v/>
      </c>
      <c r="F435" s="31">
        <f>IF(E435="","",COUNTIF($E$2:E435,E435))</f>
        <v/>
      </c>
      <c r="G435" s="31">
        <f>IF(E435="","",E435*1000+F435)</f>
        <v/>
      </c>
      <c r="H435" s="31">
        <f>設定!$B$8</f>
        <v/>
      </c>
      <c r="I435" s="31">
        <f>IF(AND(C435&lt;&gt;"",D435=""),1,0)</f>
        <v/>
      </c>
      <c r="J435" s="31">
        <f>IF(AND(D435&lt;&gt;"",E435=""),1,0)</f>
        <v/>
      </c>
    </row>
    <row r="436">
      <c r="A436" s="31">
        <f>IF('5年'!E34="","",設定!$C$20)</f>
        <v/>
      </c>
      <c r="B436" s="31">
        <f>IF('5年'!E34="","",'5年'!D34)</f>
        <v/>
      </c>
      <c r="C436" s="31">
        <f>IF('5年'!E34="","",'5年'!E34)</f>
        <v/>
      </c>
      <c r="D436" s="31">
        <f>IF('5年'!E34="","",'5年'!F34&amp;"")</f>
        <v/>
      </c>
      <c r="E436" s="31">
        <f>IF(D436="","",IFERROR(MATCH(D436,設定!$I$11:$I$30,0),""))</f>
        <v/>
      </c>
      <c r="F436" s="31">
        <f>IF(E436="","",COUNTIF($E$2:E436,E436))</f>
        <v/>
      </c>
      <c r="G436" s="31">
        <f>IF(E436="","",E436*1000+F436)</f>
        <v/>
      </c>
      <c r="H436" s="31">
        <f>設定!$B$8</f>
        <v/>
      </c>
      <c r="I436" s="31">
        <f>IF(AND(C436&lt;&gt;"",D436=""),1,0)</f>
        <v/>
      </c>
      <c r="J436" s="31">
        <f>IF(AND(D436&lt;&gt;"",E436=""),1,0)</f>
        <v/>
      </c>
    </row>
    <row r="437">
      <c r="A437" s="31">
        <f>IF('5年'!E35="","",設定!$C$20)</f>
        <v/>
      </c>
      <c r="B437" s="31">
        <f>IF('5年'!E35="","",'5年'!D35)</f>
        <v/>
      </c>
      <c r="C437" s="31">
        <f>IF('5年'!E35="","",'5年'!E35)</f>
        <v/>
      </c>
      <c r="D437" s="31">
        <f>IF('5年'!E35="","",'5年'!F35&amp;"")</f>
        <v/>
      </c>
      <c r="E437" s="31">
        <f>IF(D437="","",IFERROR(MATCH(D437,設定!$I$11:$I$30,0),""))</f>
        <v/>
      </c>
      <c r="F437" s="31">
        <f>IF(E437="","",COUNTIF($E$2:E437,E437))</f>
        <v/>
      </c>
      <c r="G437" s="31">
        <f>IF(E437="","",E437*1000+F437)</f>
        <v/>
      </c>
      <c r="H437" s="31">
        <f>設定!$B$8</f>
        <v/>
      </c>
      <c r="I437" s="31">
        <f>IF(AND(C437&lt;&gt;"",D437=""),1,0)</f>
        <v/>
      </c>
      <c r="J437" s="31">
        <f>IF(AND(D437&lt;&gt;"",E437=""),1,0)</f>
        <v/>
      </c>
    </row>
    <row r="438">
      <c r="A438" s="31">
        <f>IF('5年'!E36="","",設定!$C$20)</f>
        <v/>
      </c>
      <c r="B438" s="31">
        <f>IF('5年'!E36="","",'5年'!D36)</f>
        <v/>
      </c>
      <c r="C438" s="31">
        <f>IF('5年'!E36="","",'5年'!E36)</f>
        <v/>
      </c>
      <c r="D438" s="31">
        <f>IF('5年'!E36="","",'5年'!F36&amp;"")</f>
        <v/>
      </c>
      <c r="E438" s="31">
        <f>IF(D438="","",IFERROR(MATCH(D438,設定!$I$11:$I$30,0),""))</f>
        <v/>
      </c>
      <c r="F438" s="31">
        <f>IF(E438="","",COUNTIF($E$2:E438,E438))</f>
        <v/>
      </c>
      <c r="G438" s="31">
        <f>IF(E438="","",E438*1000+F438)</f>
        <v/>
      </c>
      <c r="H438" s="31">
        <f>設定!$B$8</f>
        <v/>
      </c>
      <c r="I438" s="31">
        <f>IF(AND(C438&lt;&gt;"",D438=""),1,0)</f>
        <v/>
      </c>
      <c r="J438" s="31">
        <f>IF(AND(D438&lt;&gt;"",E438=""),1,0)</f>
        <v/>
      </c>
    </row>
    <row r="439">
      <c r="A439" s="31">
        <f>IF('5年'!E37="","",設定!$C$20)</f>
        <v/>
      </c>
      <c r="B439" s="31">
        <f>IF('5年'!E37="","",'5年'!D37)</f>
        <v/>
      </c>
      <c r="C439" s="31">
        <f>IF('5年'!E37="","",'5年'!E37)</f>
        <v/>
      </c>
      <c r="D439" s="31">
        <f>IF('5年'!E37="","",'5年'!F37&amp;"")</f>
        <v/>
      </c>
      <c r="E439" s="31">
        <f>IF(D439="","",IFERROR(MATCH(D439,設定!$I$11:$I$30,0),""))</f>
        <v/>
      </c>
      <c r="F439" s="31">
        <f>IF(E439="","",COUNTIF($E$2:E439,E439))</f>
        <v/>
      </c>
      <c r="G439" s="31">
        <f>IF(E439="","",E439*1000+F439)</f>
        <v/>
      </c>
      <c r="H439" s="31">
        <f>設定!$B$8</f>
        <v/>
      </c>
      <c r="I439" s="31">
        <f>IF(AND(C439&lt;&gt;"",D439=""),1,0)</f>
        <v/>
      </c>
      <c r="J439" s="31">
        <f>IF(AND(D439&lt;&gt;"",E439=""),1,0)</f>
        <v/>
      </c>
    </row>
    <row r="440">
      <c r="A440" s="31">
        <f>IF('5年'!E38="","",設定!$C$20)</f>
        <v/>
      </c>
      <c r="B440" s="31">
        <f>IF('5年'!E38="","",'5年'!D38)</f>
        <v/>
      </c>
      <c r="C440" s="31">
        <f>IF('5年'!E38="","",'5年'!E38)</f>
        <v/>
      </c>
      <c r="D440" s="31">
        <f>IF('5年'!E38="","",'5年'!F38&amp;"")</f>
        <v/>
      </c>
      <c r="E440" s="31">
        <f>IF(D440="","",IFERROR(MATCH(D440,設定!$I$11:$I$30,0),""))</f>
        <v/>
      </c>
      <c r="F440" s="31">
        <f>IF(E440="","",COUNTIF($E$2:E440,E440))</f>
        <v/>
      </c>
      <c r="G440" s="31">
        <f>IF(E440="","",E440*1000+F440)</f>
        <v/>
      </c>
      <c r="H440" s="31">
        <f>設定!$B$8</f>
        <v/>
      </c>
      <c r="I440" s="31">
        <f>IF(AND(C440&lt;&gt;"",D440=""),1,0)</f>
        <v/>
      </c>
      <c r="J440" s="31">
        <f>IF(AND(D440&lt;&gt;"",E440=""),1,0)</f>
        <v/>
      </c>
    </row>
    <row r="441">
      <c r="A441" s="31">
        <f>IF('5年'!E39="","",設定!$C$20)</f>
        <v/>
      </c>
      <c r="B441" s="31">
        <f>IF('5年'!E39="","",'5年'!D39)</f>
        <v/>
      </c>
      <c r="C441" s="31">
        <f>IF('5年'!E39="","",'5年'!E39)</f>
        <v/>
      </c>
      <c r="D441" s="31">
        <f>IF('5年'!E39="","",'5年'!F39&amp;"")</f>
        <v/>
      </c>
      <c r="E441" s="31">
        <f>IF(D441="","",IFERROR(MATCH(D441,設定!$I$11:$I$30,0),""))</f>
        <v/>
      </c>
      <c r="F441" s="31">
        <f>IF(E441="","",COUNTIF($E$2:E441,E441))</f>
        <v/>
      </c>
      <c r="G441" s="31">
        <f>IF(E441="","",E441*1000+F441)</f>
        <v/>
      </c>
      <c r="H441" s="31">
        <f>設定!$B$8</f>
        <v/>
      </c>
      <c r="I441" s="31">
        <f>IF(AND(C441&lt;&gt;"",D441=""),1,0)</f>
        <v/>
      </c>
      <c r="J441" s="31">
        <f>IF(AND(D441&lt;&gt;"",E441=""),1,0)</f>
        <v/>
      </c>
    </row>
    <row r="442">
      <c r="A442" s="31">
        <f>IF('5年'!E40="","",設定!$C$20)</f>
        <v/>
      </c>
      <c r="B442" s="31">
        <f>IF('5年'!E40="","",'5年'!D40)</f>
        <v/>
      </c>
      <c r="C442" s="31">
        <f>IF('5年'!E40="","",'5年'!E40)</f>
        <v/>
      </c>
      <c r="D442" s="31">
        <f>IF('5年'!E40="","",'5年'!F40&amp;"")</f>
        <v/>
      </c>
      <c r="E442" s="31">
        <f>IF(D442="","",IFERROR(MATCH(D442,設定!$I$11:$I$30,0),""))</f>
        <v/>
      </c>
      <c r="F442" s="31">
        <f>IF(E442="","",COUNTIF($E$2:E442,E442))</f>
        <v/>
      </c>
      <c r="G442" s="31">
        <f>IF(E442="","",E442*1000+F442)</f>
        <v/>
      </c>
      <c r="H442" s="31">
        <f>設定!$B$8</f>
        <v/>
      </c>
      <c r="I442" s="31">
        <f>IF(AND(C442&lt;&gt;"",D442=""),1,0)</f>
        <v/>
      </c>
      <c r="J442" s="31">
        <f>IF(AND(D442&lt;&gt;"",E442=""),1,0)</f>
        <v/>
      </c>
    </row>
    <row r="443">
      <c r="A443" s="31">
        <f>IF('5年'!E41="","",設定!$C$20)</f>
        <v/>
      </c>
      <c r="B443" s="31">
        <f>IF('5年'!E41="","",'5年'!D41)</f>
        <v/>
      </c>
      <c r="C443" s="31">
        <f>IF('5年'!E41="","",'5年'!E41)</f>
        <v/>
      </c>
      <c r="D443" s="31">
        <f>IF('5年'!E41="","",'5年'!F41&amp;"")</f>
        <v/>
      </c>
      <c r="E443" s="31">
        <f>IF(D443="","",IFERROR(MATCH(D443,設定!$I$11:$I$30,0),""))</f>
        <v/>
      </c>
      <c r="F443" s="31">
        <f>IF(E443="","",COUNTIF($E$2:E443,E443))</f>
        <v/>
      </c>
      <c r="G443" s="31">
        <f>IF(E443="","",E443*1000+F443)</f>
        <v/>
      </c>
      <c r="H443" s="31">
        <f>設定!$B$8</f>
        <v/>
      </c>
      <c r="I443" s="31">
        <f>IF(AND(C443&lt;&gt;"",D443=""),1,0)</f>
        <v/>
      </c>
      <c r="J443" s="31">
        <f>IF(AND(D443&lt;&gt;"",E443=""),1,0)</f>
        <v/>
      </c>
    </row>
    <row r="444">
      <c r="A444" s="31">
        <f>IF('5年'!E42="","",設定!$C$20)</f>
        <v/>
      </c>
      <c r="B444" s="31">
        <f>IF('5年'!E42="","",'5年'!D42)</f>
        <v/>
      </c>
      <c r="C444" s="31">
        <f>IF('5年'!E42="","",'5年'!E42)</f>
        <v/>
      </c>
      <c r="D444" s="31">
        <f>IF('5年'!E42="","",'5年'!F42&amp;"")</f>
        <v/>
      </c>
      <c r="E444" s="31">
        <f>IF(D444="","",IFERROR(MATCH(D444,設定!$I$11:$I$30,0),""))</f>
        <v/>
      </c>
      <c r="F444" s="31">
        <f>IF(E444="","",COUNTIF($E$2:E444,E444))</f>
        <v/>
      </c>
      <c r="G444" s="31">
        <f>IF(E444="","",E444*1000+F444)</f>
        <v/>
      </c>
      <c r="H444" s="31">
        <f>設定!$B$8</f>
        <v/>
      </c>
      <c r="I444" s="31">
        <f>IF(AND(C444&lt;&gt;"",D444=""),1,0)</f>
        <v/>
      </c>
      <c r="J444" s="31">
        <f>IF(AND(D444&lt;&gt;"",E444=""),1,0)</f>
        <v/>
      </c>
    </row>
    <row r="445">
      <c r="A445" s="31">
        <f>IF('5年'!E43="","",設定!$C$20)</f>
        <v/>
      </c>
      <c r="B445" s="31">
        <f>IF('5年'!E43="","",'5年'!D43)</f>
        <v/>
      </c>
      <c r="C445" s="31">
        <f>IF('5年'!E43="","",'5年'!E43)</f>
        <v/>
      </c>
      <c r="D445" s="31">
        <f>IF('5年'!E43="","",'5年'!F43&amp;"")</f>
        <v/>
      </c>
      <c r="E445" s="31">
        <f>IF(D445="","",IFERROR(MATCH(D445,設定!$I$11:$I$30,0),""))</f>
        <v/>
      </c>
      <c r="F445" s="31">
        <f>IF(E445="","",COUNTIF($E$2:E445,E445))</f>
        <v/>
      </c>
      <c r="G445" s="31">
        <f>IF(E445="","",E445*1000+F445)</f>
        <v/>
      </c>
      <c r="H445" s="31">
        <f>設定!$B$8</f>
        <v/>
      </c>
      <c r="I445" s="31">
        <f>IF(AND(C445&lt;&gt;"",D445=""),1,0)</f>
        <v/>
      </c>
      <c r="J445" s="31">
        <f>IF(AND(D445&lt;&gt;"",E445=""),1,0)</f>
        <v/>
      </c>
    </row>
    <row r="446">
      <c r="A446" s="31">
        <f>IF('5年'!E44="","",設定!$C$20)</f>
        <v/>
      </c>
      <c r="B446" s="31">
        <f>IF('5年'!E44="","",'5年'!D44)</f>
        <v/>
      </c>
      <c r="C446" s="31">
        <f>IF('5年'!E44="","",'5年'!E44)</f>
        <v/>
      </c>
      <c r="D446" s="31">
        <f>IF('5年'!E44="","",'5年'!F44&amp;"")</f>
        <v/>
      </c>
      <c r="E446" s="31">
        <f>IF(D446="","",IFERROR(MATCH(D446,設定!$I$11:$I$30,0),""))</f>
        <v/>
      </c>
      <c r="F446" s="31">
        <f>IF(E446="","",COUNTIF($E$2:E446,E446))</f>
        <v/>
      </c>
      <c r="G446" s="31">
        <f>IF(E446="","",E446*1000+F446)</f>
        <v/>
      </c>
      <c r="H446" s="31">
        <f>設定!$B$8</f>
        <v/>
      </c>
      <c r="I446" s="31">
        <f>IF(AND(C446&lt;&gt;"",D446=""),1,0)</f>
        <v/>
      </c>
      <c r="J446" s="31">
        <f>IF(AND(D446&lt;&gt;"",E446=""),1,0)</f>
        <v/>
      </c>
    </row>
    <row r="447">
      <c r="A447" s="31">
        <f>IF('5年'!E45="","",設定!$C$20)</f>
        <v/>
      </c>
      <c r="B447" s="31">
        <f>IF('5年'!E45="","",'5年'!D45)</f>
        <v/>
      </c>
      <c r="C447" s="31">
        <f>IF('5年'!E45="","",'5年'!E45)</f>
        <v/>
      </c>
      <c r="D447" s="31">
        <f>IF('5年'!E45="","",'5年'!F45&amp;"")</f>
        <v/>
      </c>
      <c r="E447" s="31">
        <f>IF(D447="","",IFERROR(MATCH(D447,設定!$I$11:$I$30,0),""))</f>
        <v/>
      </c>
      <c r="F447" s="31">
        <f>IF(E447="","",COUNTIF($E$2:E447,E447))</f>
        <v/>
      </c>
      <c r="G447" s="31">
        <f>IF(E447="","",E447*1000+F447)</f>
        <v/>
      </c>
      <c r="H447" s="31">
        <f>設定!$B$8</f>
        <v/>
      </c>
      <c r="I447" s="31">
        <f>IF(AND(C447&lt;&gt;"",D447=""),1,0)</f>
        <v/>
      </c>
      <c r="J447" s="31">
        <f>IF(AND(D447&lt;&gt;"",E447=""),1,0)</f>
        <v/>
      </c>
    </row>
    <row r="448">
      <c r="A448" s="31">
        <f>IF('5年'!E46="","",設定!$C$20)</f>
        <v/>
      </c>
      <c r="B448" s="31">
        <f>IF('5年'!E46="","",'5年'!D46)</f>
        <v/>
      </c>
      <c r="C448" s="31">
        <f>IF('5年'!E46="","",'5年'!E46)</f>
        <v/>
      </c>
      <c r="D448" s="31">
        <f>IF('5年'!E46="","",'5年'!F46&amp;"")</f>
        <v/>
      </c>
      <c r="E448" s="31">
        <f>IF(D448="","",IFERROR(MATCH(D448,設定!$I$11:$I$30,0),""))</f>
        <v/>
      </c>
      <c r="F448" s="31">
        <f>IF(E448="","",COUNTIF($E$2:E448,E448))</f>
        <v/>
      </c>
      <c r="G448" s="31">
        <f>IF(E448="","",E448*1000+F448)</f>
        <v/>
      </c>
      <c r="H448" s="31">
        <f>設定!$B$8</f>
        <v/>
      </c>
      <c r="I448" s="31">
        <f>IF(AND(C448&lt;&gt;"",D448=""),1,0)</f>
        <v/>
      </c>
      <c r="J448" s="31">
        <f>IF(AND(D448&lt;&gt;"",E448=""),1,0)</f>
        <v/>
      </c>
    </row>
    <row r="449">
      <c r="A449" s="31">
        <f>IF('5年'!E47="","",設定!$C$20)</f>
        <v/>
      </c>
      <c r="B449" s="31">
        <f>IF('5年'!E47="","",'5年'!D47)</f>
        <v/>
      </c>
      <c r="C449" s="31">
        <f>IF('5年'!E47="","",'5年'!E47)</f>
        <v/>
      </c>
      <c r="D449" s="31">
        <f>IF('5年'!E47="","",'5年'!F47&amp;"")</f>
        <v/>
      </c>
      <c r="E449" s="31">
        <f>IF(D449="","",IFERROR(MATCH(D449,設定!$I$11:$I$30,0),""))</f>
        <v/>
      </c>
      <c r="F449" s="31">
        <f>IF(E449="","",COUNTIF($E$2:E449,E449))</f>
        <v/>
      </c>
      <c r="G449" s="31">
        <f>IF(E449="","",E449*1000+F449)</f>
        <v/>
      </c>
      <c r="H449" s="31">
        <f>設定!$B$8</f>
        <v/>
      </c>
      <c r="I449" s="31">
        <f>IF(AND(C449&lt;&gt;"",D449=""),1,0)</f>
        <v/>
      </c>
      <c r="J449" s="31">
        <f>IF(AND(D449&lt;&gt;"",E449=""),1,0)</f>
        <v/>
      </c>
    </row>
    <row r="450">
      <c r="A450" s="31">
        <f>IF('5年'!E48="","",設定!$C$20)</f>
        <v/>
      </c>
      <c r="B450" s="31">
        <f>IF('5年'!E48="","",'5年'!D48)</f>
        <v/>
      </c>
      <c r="C450" s="31">
        <f>IF('5年'!E48="","",'5年'!E48)</f>
        <v/>
      </c>
      <c r="D450" s="31">
        <f>IF('5年'!E48="","",'5年'!F48&amp;"")</f>
        <v/>
      </c>
      <c r="E450" s="31">
        <f>IF(D450="","",IFERROR(MATCH(D450,設定!$I$11:$I$30,0),""))</f>
        <v/>
      </c>
      <c r="F450" s="31">
        <f>IF(E450="","",COUNTIF($E$2:E450,E450))</f>
        <v/>
      </c>
      <c r="G450" s="31">
        <f>IF(E450="","",E450*1000+F450)</f>
        <v/>
      </c>
      <c r="H450" s="31">
        <f>設定!$B$8</f>
        <v/>
      </c>
      <c r="I450" s="31">
        <f>IF(AND(C450&lt;&gt;"",D450=""),1,0)</f>
        <v/>
      </c>
      <c r="J450" s="31">
        <f>IF(AND(D450&lt;&gt;"",E450=""),1,0)</f>
        <v/>
      </c>
    </row>
    <row r="451">
      <c r="A451" s="31">
        <f>IF('5年'!E49="","",設定!$C$20)</f>
        <v/>
      </c>
      <c r="B451" s="31">
        <f>IF('5年'!E49="","",'5年'!D49)</f>
        <v/>
      </c>
      <c r="C451" s="31">
        <f>IF('5年'!E49="","",'5年'!E49)</f>
        <v/>
      </c>
      <c r="D451" s="31">
        <f>IF('5年'!E49="","",'5年'!F49&amp;"")</f>
        <v/>
      </c>
      <c r="E451" s="31">
        <f>IF(D451="","",IFERROR(MATCH(D451,設定!$I$11:$I$30,0),""))</f>
        <v/>
      </c>
      <c r="F451" s="31">
        <f>IF(E451="","",COUNTIF($E$2:E451,E451))</f>
        <v/>
      </c>
      <c r="G451" s="31">
        <f>IF(E451="","",E451*1000+F451)</f>
        <v/>
      </c>
      <c r="H451" s="31">
        <f>設定!$B$8</f>
        <v/>
      </c>
      <c r="I451" s="31">
        <f>IF(AND(C451&lt;&gt;"",D451=""),1,0)</f>
        <v/>
      </c>
      <c r="J451" s="31">
        <f>IF(AND(D451&lt;&gt;"",E451=""),1,0)</f>
        <v/>
      </c>
    </row>
    <row r="452">
      <c r="A452" s="31">
        <f>IF('5年'!H5="","",設定!$C$21)</f>
        <v/>
      </c>
      <c r="B452" s="31">
        <f>IF('5年'!H5="","",'5年'!G5)</f>
        <v/>
      </c>
      <c r="C452" s="31">
        <f>IF('5年'!H5="","",'5年'!H5)</f>
        <v/>
      </c>
      <c r="D452" s="31">
        <f>IF('5年'!H5="","",'5年'!I5&amp;"")</f>
        <v/>
      </c>
      <c r="E452" s="31">
        <f>IF(D452="","",IFERROR(MATCH(D452,設定!$I$11:$I$30,0),""))</f>
        <v/>
      </c>
      <c r="F452" s="31">
        <f>IF(E452="","",COUNTIF($E$2:E452,E452))</f>
        <v/>
      </c>
      <c r="G452" s="31">
        <f>IF(E452="","",E452*1000+F452)</f>
        <v/>
      </c>
      <c r="H452" s="31">
        <f>設定!$B$8</f>
        <v/>
      </c>
      <c r="I452" s="31">
        <f>IF(AND(C452&lt;&gt;"",D452=""),1,0)</f>
        <v/>
      </c>
      <c r="J452" s="31">
        <f>IF(AND(D452&lt;&gt;"",E452=""),1,0)</f>
        <v/>
      </c>
    </row>
    <row r="453">
      <c r="A453" s="31">
        <f>IF('5年'!H6="","",設定!$C$21)</f>
        <v/>
      </c>
      <c r="B453" s="31">
        <f>IF('5年'!H6="","",'5年'!G6)</f>
        <v/>
      </c>
      <c r="C453" s="31">
        <f>IF('5年'!H6="","",'5年'!H6)</f>
        <v/>
      </c>
      <c r="D453" s="31">
        <f>IF('5年'!H6="","",'5年'!I6&amp;"")</f>
        <v/>
      </c>
      <c r="E453" s="31">
        <f>IF(D453="","",IFERROR(MATCH(D453,設定!$I$11:$I$30,0),""))</f>
        <v/>
      </c>
      <c r="F453" s="31">
        <f>IF(E453="","",COUNTIF($E$2:E453,E453))</f>
        <v/>
      </c>
      <c r="G453" s="31">
        <f>IF(E453="","",E453*1000+F453)</f>
        <v/>
      </c>
      <c r="H453" s="31">
        <f>設定!$B$8</f>
        <v/>
      </c>
      <c r="I453" s="31">
        <f>IF(AND(C453&lt;&gt;"",D453=""),1,0)</f>
        <v/>
      </c>
      <c r="J453" s="31">
        <f>IF(AND(D453&lt;&gt;"",E453=""),1,0)</f>
        <v/>
      </c>
    </row>
    <row r="454">
      <c r="A454" s="31">
        <f>IF('5年'!H7="","",設定!$C$21)</f>
        <v/>
      </c>
      <c r="B454" s="31">
        <f>IF('5年'!H7="","",'5年'!G7)</f>
        <v/>
      </c>
      <c r="C454" s="31">
        <f>IF('5年'!H7="","",'5年'!H7)</f>
        <v/>
      </c>
      <c r="D454" s="31">
        <f>IF('5年'!H7="","",'5年'!I7&amp;"")</f>
        <v/>
      </c>
      <c r="E454" s="31">
        <f>IF(D454="","",IFERROR(MATCH(D454,設定!$I$11:$I$30,0),""))</f>
        <v/>
      </c>
      <c r="F454" s="31">
        <f>IF(E454="","",COUNTIF($E$2:E454,E454))</f>
        <v/>
      </c>
      <c r="G454" s="31">
        <f>IF(E454="","",E454*1000+F454)</f>
        <v/>
      </c>
      <c r="H454" s="31">
        <f>設定!$B$8</f>
        <v/>
      </c>
      <c r="I454" s="31">
        <f>IF(AND(C454&lt;&gt;"",D454=""),1,0)</f>
        <v/>
      </c>
      <c r="J454" s="31">
        <f>IF(AND(D454&lt;&gt;"",E454=""),1,0)</f>
        <v/>
      </c>
    </row>
    <row r="455">
      <c r="A455" s="31">
        <f>IF('5年'!H8="","",設定!$C$21)</f>
        <v/>
      </c>
      <c r="B455" s="31">
        <f>IF('5年'!H8="","",'5年'!G8)</f>
        <v/>
      </c>
      <c r="C455" s="31">
        <f>IF('5年'!H8="","",'5年'!H8)</f>
        <v/>
      </c>
      <c r="D455" s="31">
        <f>IF('5年'!H8="","",'5年'!I8&amp;"")</f>
        <v/>
      </c>
      <c r="E455" s="31">
        <f>IF(D455="","",IFERROR(MATCH(D455,設定!$I$11:$I$30,0),""))</f>
        <v/>
      </c>
      <c r="F455" s="31">
        <f>IF(E455="","",COUNTIF($E$2:E455,E455))</f>
        <v/>
      </c>
      <c r="G455" s="31">
        <f>IF(E455="","",E455*1000+F455)</f>
        <v/>
      </c>
      <c r="H455" s="31">
        <f>設定!$B$8</f>
        <v/>
      </c>
      <c r="I455" s="31">
        <f>IF(AND(C455&lt;&gt;"",D455=""),1,0)</f>
        <v/>
      </c>
      <c r="J455" s="31">
        <f>IF(AND(D455&lt;&gt;"",E455=""),1,0)</f>
        <v/>
      </c>
    </row>
    <row r="456">
      <c r="A456" s="31">
        <f>IF('5年'!H9="","",設定!$C$21)</f>
        <v/>
      </c>
      <c r="B456" s="31">
        <f>IF('5年'!H9="","",'5年'!G9)</f>
        <v/>
      </c>
      <c r="C456" s="31">
        <f>IF('5年'!H9="","",'5年'!H9)</f>
        <v/>
      </c>
      <c r="D456" s="31">
        <f>IF('5年'!H9="","",'5年'!I9&amp;"")</f>
        <v/>
      </c>
      <c r="E456" s="31">
        <f>IF(D456="","",IFERROR(MATCH(D456,設定!$I$11:$I$30,0),""))</f>
        <v/>
      </c>
      <c r="F456" s="31">
        <f>IF(E456="","",COUNTIF($E$2:E456,E456))</f>
        <v/>
      </c>
      <c r="G456" s="31">
        <f>IF(E456="","",E456*1000+F456)</f>
        <v/>
      </c>
      <c r="H456" s="31">
        <f>設定!$B$8</f>
        <v/>
      </c>
      <c r="I456" s="31">
        <f>IF(AND(C456&lt;&gt;"",D456=""),1,0)</f>
        <v/>
      </c>
      <c r="J456" s="31">
        <f>IF(AND(D456&lt;&gt;"",E456=""),1,0)</f>
        <v/>
      </c>
    </row>
    <row r="457">
      <c r="A457" s="31">
        <f>IF('5年'!H10="","",設定!$C$21)</f>
        <v/>
      </c>
      <c r="B457" s="31">
        <f>IF('5年'!H10="","",'5年'!G10)</f>
        <v/>
      </c>
      <c r="C457" s="31">
        <f>IF('5年'!H10="","",'5年'!H10)</f>
        <v/>
      </c>
      <c r="D457" s="31">
        <f>IF('5年'!H10="","",'5年'!I10&amp;"")</f>
        <v/>
      </c>
      <c r="E457" s="31">
        <f>IF(D457="","",IFERROR(MATCH(D457,設定!$I$11:$I$30,0),""))</f>
        <v/>
      </c>
      <c r="F457" s="31">
        <f>IF(E457="","",COUNTIF($E$2:E457,E457))</f>
        <v/>
      </c>
      <c r="G457" s="31">
        <f>IF(E457="","",E457*1000+F457)</f>
        <v/>
      </c>
      <c r="H457" s="31">
        <f>設定!$B$8</f>
        <v/>
      </c>
      <c r="I457" s="31">
        <f>IF(AND(C457&lt;&gt;"",D457=""),1,0)</f>
        <v/>
      </c>
      <c r="J457" s="31">
        <f>IF(AND(D457&lt;&gt;"",E457=""),1,0)</f>
        <v/>
      </c>
    </row>
    <row r="458">
      <c r="A458" s="31">
        <f>IF('5年'!H11="","",設定!$C$21)</f>
        <v/>
      </c>
      <c r="B458" s="31">
        <f>IF('5年'!H11="","",'5年'!G11)</f>
        <v/>
      </c>
      <c r="C458" s="31">
        <f>IF('5年'!H11="","",'5年'!H11)</f>
        <v/>
      </c>
      <c r="D458" s="31">
        <f>IF('5年'!H11="","",'5年'!I11&amp;"")</f>
        <v/>
      </c>
      <c r="E458" s="31">
        <f>IF(D458="","",IFERROR(MATCH(D458,設定!$I$11:$I$30,0),""))</f>
        <v/>
      </c>
      <c r="F458" s="31">
        <f>IF(E458="","",COUNTIF($E$2:E458,E458))</f>
        <v/>
      </c>
      <c r="G458" s="31">
        <f>IF(E458="","",E458*1000+F458)</f>
        <v/>
      </c>
      <c r="H458" s="31">
        <f>設定!$B$8</f>
        <v/>
      </c>
      <c r="I458" s="31">
        <f>IF(AND(C458&lt;&gt;"",D458=""),1,0)</f>
        <v/>
      </c>
      <c r="J458" s="31">
        <f>IF(AND(D458&lt;&gt;"",E458=""),1,0)</f>
        <v/>
      </c>
    </row>
    <row r="459">
      <c r="A459" s="31">
        <f>IF('5年'!H12="","",設定!$C$21)</f>
        <v/>
      </c>
      <c r="B459" s="31">
        <f>IF('5年'!H12="","",'5年'!G12)</f>
        <v/>
      </c>
      <c r="C459" s="31">
        <f>IF('5年'!H12="","",'5年'!H12)</f>
        <v/>
      </c>
      <c r="D459" s="31">
        <f>IF('5年'!H12="","",'5年'!I12&amp;"")</f>
        <v/>
      </c>
      <c r="E459" s="31">
        <f>IF(D459="","",IFERROR(MATCH(D459,設定!$I$11:$I$30,0),""))</f>
        <v/>
      </c>
      <c r="F459" s="31">
        <f>IF(E459="","",COUNTIF($E$2:E459,E459))</f>
        <v/>
      </c>
      <c r="G459" s="31">
        <f>IF(E459="","",E459*1000+F459)</f>
        <v/>
      </c>
      <c r="H459" s="31">
        <f>設定!$B$8</f>
        <v/>
      </c>
      <c r="I459" s="31">
        <f>IF(AND(C459&lt;&gt;"",D459=""),1,0)</f>
        <v/>
      </c>
      <c r="J459" s="31">
        <f>IF(AND(D459&lt;&gt;"",E459=""),1,0)</f>
        <v/>
      </c>
    </row>
    <row r="460">
      <c r="A460" s="31">
        <f>IF('5年'!H13="","",設定!$C$21)</f>
        <v/>
      </c>
      <c r="B460" s="31">
        <f>IF('5年'!H13="","",'5年'!G13)</f>
        <v/>
      </c>
      <c r="C460" s="31">
        <f>IF('5年'!H13="","",'5年'!H13)</f>
        <v/>
      </c>
      <c r="D460" s="31">
        <f>IF('5年'!H13="","",'5年'!I13&amp;"")</f>
        <v/>
      </c>
      <c r="E460" s="31">
        <f>IF(D460="","",IFERROR(MATCH(D460,設定!$I$11:$I$30,0),""))</f>
        <v/>
      </c>
      <c r="F460" s="31">
        <f>IF(E460="","",COUNTIF($E$2:E460,E460))</f>
        <v/>
      </c>
      <c r="G460" s="31">
        <f>IF(E460="","",E460*1000+F460)</f>
        <v/>
      </c>
      <c r="H460" s="31">
        <f>設定!$B$8</f>
        <v/>
      </c>
      <c r="I460" s="31">
        <f>IF(AND(C460&lt;&gt;"",D460=""),1,0)</f>
        <v/>
      </c>
      <c r="J460" s="31">
        <f>IF(AND(D460&lt;&gt;"",E460=""),1,0)</f>
        <v/>
      </c>
    </row>
    <row r="461">
      <c r="A461" s="31">
        <f>IF('5年'!H14="","",設定!$C$21)</f>
        <v/>
      </c>
      <c r="B461" s="31">
        <f>IF('5年'!H14="","",'5年'!G14)</f>
        <v/>
      </c>
      <c r="C461" s="31">
        <f>IF('5年'!H14="","",'5年'!H14)</f>
        <v/>
      </c>
      <c r="D461" s="31">
        <f>IF('5年'!H14="","",'5年'!I14&amp;"")</f>
        <v/>
      </c>
      <c r="E461" s="31">
        <f>IF(D461="","",IFERROR(MATCH(D461,設定!$I$11:$I$30,0),""))</f>
        <v/>
      </c>
      <c r="F461" s="31">
        <f>IF(E461="","",COUNTIF($E$2:E461,E461))</f>
        <v/>
      </c>
      <c r="G461" s="31">
        <f>IF(E461="","",E461*1000+F461)</f>
        <v/>
      </c>
      <c r="H461" s="31">
        <f>設定!$B$8</f>
        <v/>
      </c>
      <c r="I461" s="31">
        <f>IF(AND(C461&lt;&gt;"",D461=""),1,0)</f>
        <v/>
      </c>
      <c r="J461" s="31">
        <f>IF(AND(D461&lt;&gt;"",E461=""),1,0)</f>
        <v/>
      </c>
    </row>
    <row r="462">
      <c r="A462" s="31">
        <f>IF('5年'!H15="","",設定!$C$21)</f>
        <v/>
      </c>
      <c r="B462" s="31">
        <f>IF('5年'!H15="","",'5年'!G15)</f>
        <v/>
      </c>
      <c r="C462" s="31">
        <f>IF('5年'!H15="","",'5年'!H15)</f>
        <v/>
      </c>
      <c r="D462" s="31">
        <f>IF('5年'!H15="","",'5年'!I15&amp;"")</f>
        <v/>
      </c>
      <c r="E462" s="31">
        <f>IF(D462="","",IFERROR(MATCH(D462,設定!$I$11:$I$30,0),""))</f>
        <v/>
      </c>
      <c r="F462" s="31">
        <f>IF(E462="","",COUNTIF($E$2:E462,E462))</f>
        <v/>
      </c>
      <c r="G462" s="31">
        <f>IF(E462="","",E462*1000+F462)</f>
        <v/>
      </c>
      <c r="H462" s="31">
        <f>設定!$B$8</f>
        <v/>
      </c>
      <c r="I462" s="31">
        <f>IF(AND(C462&lt;&gt;"",D462=""),1,0)</f>
        <v/>
      </c>
      <c r="J462" s="31">
        <f>IF(AND(D462&lt;&gt;"",E462=""),1,0)</f>
        <v/>
      </c>
    </row>
    <row r="463">
      <c r="A463" s="31">
        <f>IF('5年'!H16="","",設定!$C$21)</f>
        <v/>
      </c>
      <c r="B463" s="31">
        <f>IF('5年'!H16="","",'5年'!G16)</f>
        <v/>
      </c>
      <c r="C463" s="31">
        <f>IF('5年'!H16="","",'5年'!H16)</f>
        <v/>
      </c>
      <c r="D463" s="31">
        <f>IF('5年'!H16="","",'5年'!I16&amp;"")</f>
        <v/>
      </c>
      <c r="E463" s="31">
        <f>IF(D463="","",IFERROR(MATCH(D463,設定!$I$11:$I$30,0),""))</f>
        <v/>
      </c>
      <c r="F463" s="31">
        <f>IF(E463="","",COUNTIF($E$2:E463,E463))</f>
        <v/>
      </c>
      <c r="G463" s="31">
        <f>IF(E463="","",E463*1000+F463)</f>
        <v/>
      </c>
      <c r="H463" s="31">
        <f>設定!$B$8</f>
        <v/>
      </c>
      <c r="I463" s="31">
        <f>IF(AND(C463&lt;&gt;"",D463=""),1,0)</f>
        <v/>
      </c>
      <c r="J463" s="31">
        <f>IF(AND(D463&lt;&gt;"",E463=""),1,0)</f>
        <v/>
      </c>
    </row>
    <row r="464">
      <c r="A464" s="31">
        <f>IF('5年'!H17="","",設定!$C$21)</f>
        <v/>
      </c>
      <c r="B464" s="31">
        <f>IF('5年'!H17="","",'5年'!G17)</f>
        <v/>
      </c>
      <c r="C464" s="31">
        <f>IF('5年'!H17="","",'5年'!H17)</f>
        <v/>
      </c>
      <c r="D464" s="31">
        <f>IF('5年'!H17="","",'5年'!I17&amp;"")</f>
        <v/>
      </c>
      <c r="E464" s="31">
        <f>IF(D464="","",IFERROR(MATCH(D464,設定!$I$11:$I$30,0),""))</f>
        <v/>
      </c>
      <c r="F464" s="31">
        <f>IF(E464="","",COUNTIF($E$2:E464,E464))</f>
        <v/>
      </c>
      <c r="G464" s="31">
        <f>IF(E464="","",E464*1000+F464)</f>
        <v/>
      </c>
      <c r="H464" s="31">
        <f>設定!$B$8</f>
        <v/>
      </c>
      <c r="I464" s="31">
        <f>IF(AND(C464&lt;&gt;"",D464=""),1,0)</f>
        <v/>
      </c>
      <c r="J464" s="31">
        <f>IF(AND(D464&lt;&gt;"",E464=""),1,0)</f>
        <v/>
      </c>
    </row>
    <row r="465">
      <c r="A465" s="31">
        <f>IF('5年'!H18="","",設定!$C$21)</f>
        <v/>
      </c>
      <c r="B465" s="31">
        <f>IF('5年'!H18="","",'5年'!G18)</f>
        <v/>
      </c>
      <c r="C465" s="31">
        <f>IF('5年'!H18="","",'5年'!H18)</f>
        <v/>
      </c>
      <c r="D465" s="31">
        <f>IF('5年'!H18="","",'5年'!I18&amp;"")</f>
        <v/>
      </c>
      <c r="E465" s="31">
        <f>IF(D465="","",IFERROR(MATCH(D465,設定!$I$11:$I$30,0),""))</f>
        <v/>
      </c>
      <c r="F465" s="31">
        <f>IF(E465="","",COUNTIF($E$2:E465,E465))</f>
        <v/>
      </c>
      <c r="G465" s="31">
        <f>IF(E465="","",E465*1000+F465)</f>
        <v/>
      </c>
      <c r="H465" s="31">
        <f>設定!$B$8</f>
        <v/>
      </c>
      <c r="I465" s="31">
        <f>IF(AND(C465&lt;&gt;"",D465=""),1,0)</f>
        <v/>
      </c>
      <c r="J465" s="31">
        <f>IF(AND(D465&lt;&gt;"",E465=""),1,0)</f>
        <v/>
      </c>
    </row>
    <row r="466">
      <c r="A466" s="31">
        <f>IF('5年'!H19="","",設定!$C$21)</f>
        <v/>
      </c>
      <c r="B466" s="31">
        <f>IF('5年'!H19="","",'5年'!G19)</f>
        <v/>
      </c>
      <c r="C466" s="31">
        <f>IF('5年'!H19="","",'5年'!H19)</f>
        <v/>
      </c>
      <c r="D466" s="31">
        <f>IF('5年'!H19="","",'5年'!I19&amp;"")</f>
        <v/>
      </c>
      <c r="E466" s="31">
        <f>IF(D466="","",IFERROR(MATCH(D466,設定!$I$11:$I$30,0),""))</f>
        <v/>
      </c>
      <c r="F466" s="31">
        <f>IF(E466="","",COUNTIF($E$2:E466,E466))</f>
        <v/>
      </c>
      <c r="G466" s="31">
        <f>IF(E466="","",E466*1000+F466)</f>
        <v/>
      </c>
      <c r="H466" s="31">
        <f>設定!$B$8</f>
        <v/>
      </c>
      <c r="I466" s="31">
        <f>IF(AND(C466&lt;&gt;"",D466=""),1,0)</f>
        <v/>
      </c>
      <c r="J466" s="31">
        <f>IF(AND(D466&lt;&gt;"",E466=""),1,0)</f>
        <v/>
      </c>
    </row>
    <row r="467">
      <c r="A467" s="31">
        <f>IF('5年'!H20="","",設定!$C$21)</f>
        <v/>
      </c>
      <c r="B467" s="31">
        <f>IF('5年'!H20="","",'5年'!G20)</f>
        <v/>
      </c>
      <c r="C467" s="31">
        <f>IF('5年'!H20="","",'5年'!H20)</f>
        <v/>
      </c>
      <c r="D467" s="31">
        <f>IF('5年'!H20="","",'5年'!I20&amp;"")</f>
        <v/>
      </c>
      <c r="E467" s="31">
        <f>IF(D467="","",IFERROR(MATCH(D467,設定!$I$11:$I$30,0),""))</f>
        <v/>
      </c>
      <c r="F467" s="31">
        <f>IF(E467="","",COUNTIF($E$2:E467,E467))</f>
        <v/>
      </c>
      <c r="G467" s="31">
        <f>IF(E467="","",E467*1000+F467)</f>
        <v/>
      </c>
      <c r="H467" s="31">
        <f>設定!$B$8</f>
        <v/>
      </c>
      <c r="I467" s="31">
        <f>IF(AND(C467&lt;&gt;"",D467=""),1,0)</f>
        <v/>
      </c>
      <c r="J467" s="31">
        <f>IF(AND(D467&lt;&gt;"",E467=""),1,0)</f>
        <v/>
      </c>
    </row>
    <row r="468">
      <c r="A468" s="31">
        <f>IF('5年'!H21="","",設定!$C$21)</f>
        <v/>
      </c>
      <c r="B468" s="31">
        <f>IF('5年'!H21="","",'5年'!G21)</f>
        <v/>
      </c>
      <c r="C468" s="31">
        <f>IF('5年'!H21="","",'5年'!H21)</f>
        <v/>
      </c>
      <c r="D468" s="31">
        <f>IF('5年'!H21="","",'5年'!I21&amp;"")</f>
        <v/>
      </c>
      <c r="E468" s="31">
        <f>IF(D468="","",IFERROR(MATCH(D468,設定!$I$11:$I$30,0),""))</f>
        <v/>
      </c>
      <c r="F468" s="31">
        <f>IF(E468="","",COUNTIF($E$2:E468,E468))</f>
        <v/>
      </c>
      <c r="G468" s="31">
        <f>IF(E468="","",E468*1000+F468)</f>
        <v/>
      </c>
      <c r="H468" s="31">
        <f>設定!$B$8</f>
        <v/>
      </c>
      <c r="I468" s="31">
        <f>IF(AND(C468&lt;&gt;"",D468=""),1,0)</f>
        <v/>
      </c>
      <c r="J468" s="31">
        <f>IF(AND(D468&lt;&gt;"",E468=""),1,0)</f>
        <v/>
      </c>
    </row>
    <row r="469">
      <c r="A469" s="31">
        <f>IF('5年'!H22="","",設定!$C$21)</f>
        <v/>
      </c>
      <c r="B469" s="31">
        <f>IF('5年'!H22="","",'5年'!G22)</f>
        <v/>
      </c>
      <c r="C469" s="31">
        <f>IF('5年'!H22="","",'5年'!H22)</f>
        <v/>
      </c>
      <c r="D469" s="31">
        <f>IF('5年'!H22="","",'5年'!I22&amp;"")</f>
        <v/>
      </c>
      <c r="E469" s="31">
        <f>IF(D469="","",IFERROR(MATCH(D469,設定!$I$11:$I$30,0),""))</f>
        <v/>
      </c>
      <c r="F469" s="31">
        <f>IF(E469="","",COUNTIF($E$2:E469,E469))</f>
        <v/>
      </c>
      <c r="G469" s="31">
        <f>IF(E469="","",E469*1000+F469)</f>
        <v/>
      </c>
      <c r="H469" s="31">
        <f>設定!$B$8</f>
        <v/>
      </c>
      <c r="I469" s="31">
        <f>IF(AND(C469&lt;&gt;"",D469=""),1,0)</f>
        <v/>
      </c>
      <c r="J469" s="31">
        <f>IF(AND(D469&lt;&gt;"",E469=""),1,0)</f>
        <v/>
      </c>
    </row>
    <row r="470">
      <c r="A470" s="31">
        <f>IF('5年'!H23="","",設定!$C$21)</f>
        <v/>
      </c>
      <c r="B470" s="31">
        <f>IF('5年'!H23="","",'5年'!G23)</f>
        <v/>
      </c>
      <c r="C470" s="31">
        <f>IF('5年'!H23="","",'5年'!H23)</f>
        <v/>
      </c>
      <c r="D470" s="31">
        <f>IF('5年'!H23="","",'5年'!I23&amp;"")</f>
        <v/>
      </c>
      <c r="E470" s="31">
        <f>IF(D470="","",IFERROR(MATCH(D470,設定!$I$11:$I$30,0),""))</f>
        <v/>
      </c>
      <c r="F470" s="31">
        <f>IF(E470="","",COUNTIF($E$2:E470,E470))</f>
        <v/>
      </c>
      <c r="G470" s="31">
        <f>IF(E470="","",E470*1000+F470)</f>
        <v/>
      </c>
      <c r="H470" s="31">
        <f>設定!$B$8</f>
        <v/>
      </c>
      <c r="I470" s="31">
        <f>IF(AND(C470&lt;&gt;"",D470=""),1,0)</f>
        <v/>
      </c>
      <c r="J470" s="31">
        <f>IF(AND(D470&lt;&gt;"",E470=""),1,0)</f>
        <v/>
      </c>
    </row>
    <row r="471">
      <c r="A471" s="31">
        <f>IF('5年'!H24="","",設定!$C$21)</f>
        <v/>
      </c>
      <c r="B471" s="31">
        <f>IF('5年'!H24="","",'5年'!G24)</f>
        <v/>
      </c>
      <c r="C471" s="31">
        <f>IF('5年'!H24="","",'5年'!H24)</f>
        <v/>
      </c>
      <c r="D471" s="31">
        <f>IF('5年'!H24="","",'5年'!I24&amp;"")</f>
        <v/>
      </c>
      <c r="E471" s="31">
        <f>IF(D471="","",IFERROR(MATCH(D471,設定!$I$11:$I$30,0),""))</f>
        <v/>
      </c>
      <c r="F471" s="31">
        <f>IF(E471="","",COUNTIF($E$2:E471,E471))</f>
        <v/>
      </c>
      <c r="G471" s="31">
        <f>IF(E471="","",E471*1000+F471)</f>
        <v/>
      </c>
      <c r="H471" s="31">
        <f>設定!$B$8</f>
        <v/>
      </c>
      <c r="I471" s="31">
        <f>IF(AND(C471&lt;&gt;"",D471=""),1,0)</f>
        <v/>
      </c>
      <c r="J471" s="31">
        <f>IF(AND(D471&lt;&gt;"",E471=""),1,0)</f>
        <v/>
      </c>
    </row>
    <row r="472">
      <c r="A472" s="31">
        <f>IF('5年'!H25="","",設定!$C$21)</f>
        <v/>
      </c>
      <c r="B472" s="31">
        <f>IF('5年'!H25="","",'5年'!G25)</f>
        <v/>
      </c>
      <c r="C472" s="31">
        <f>IF('5年'!H25="","",'5年'!H25)</f>
        <v/>
      </c>
      <c r="D472" s="31">
        <f>IF('5年'!H25="","",'5年'!I25&amp;"")</f>
        <v/>
      </c>
      <c r="E472" s="31">
        <f>IF(D472="","",IFERROR(MATCH(D472,設定!$I$11:$I$30,0),""))</f>
        <v/>
      </c>
      <c r="F472" s="31">
        <f>IF(E472="","",COUNTIF($E$2:E472,E472))</f>
        <v/>
      </c>
      <c r="G472" s="31">
        <f>IF(E472="","",E472*1000+F472)</f>
        <v/>
      </c>
      <c r="H472" s="31">
        <f>設定!$B$8</f>
        <v/>
      </c>
      <c r="I472" s="31">
        <f>IF(AND(C472&lt;&gt;"",D472=""),1,0)</f>
        <v/>
      </c>
      <c r="J472" s="31">
        <f>IF(AND(D472&lt;&gt;"",E472=""),1,0)</f>
        <v/>
      </c>
    </row>
    <row r="473">
      <c r="A473" s="31">
        <f>IF('5年'!H26="","",設定!$C$21)</f>
        <v/>
      </c>
      <c r="B473" s="31">
        <f>IF('5年'!H26="","",'5年'!G26)</f>
        <v/>
      </c>
      <c r="C473" s="31">
        <f>IF('5年'!H26="","",'5年'!H26)</f>
        <v/>
      </c>
      <c r="D473" s="31">
        <f>IF('5年'!H26="","",'5年'!I26&amp;"")</f>
        <v/>
      </c>
      <c r="E473" s="31">
        <f>IF(D473="","",IFERROR(MATCH(D473,設定!$I$11:$I$30,0),""))</f>
        <v/>
      </c>
      <c r="F473" s="31">
        <f>IF(E473="","",COUNTIF($E$2:E473,E473))</f>
        <v/>
      </c>
      <c r="G473" s="31">
        <f>IF(E473="","",E473*1000+F473)</f>
        <v/>
      </c>
      <c r="H473" s="31">
        <f>設定!$B$8</f>
        <v/>
      </c>
      <c r="I473" s="31">
        <f>IF(AND(C473&lt;&gt;"",D473=""),1,0)</f>
        <v/>
      </c>
      <c r="J473" s="31">
        <f>IF(AND(D473&lt;&gt;"",E473=""),1,0)</f>
        <v/>
      </c>
    </row>
    <row r="474">
      <c r="A474" s="31">
        <f>IF('5年'!H27="","",設定!$C$21)</f>
        <v/>
      </c>
      <c r="B474" s="31">
        <f>IF('5年'!H27="","",'5年'!G27)</f>
        <v/>
      </c>
      <c r="C474" s="31">
        <f>IF('5年'!H27="","",'5年'!H27)</f>
        <v/>
      </c>
      <c r="D474" s="31">
        <f>IF('5年'!H27="","",'5年'!I27&amp;"")</f>
        <v/>
      </c>
      <c r="E474" s="31">
        <f>IF(D474="","",IFERROR(MATCH(D474,設定!$I$11:$I$30,0),""))</f>
        <v/>
      </c>
      <c r="F474" s="31">
        <f>IF(E474="","",COUNTIF($E$2:E474,E474))</f>
        <v/>
      </c>
      <c r="G474" s="31">
        <f>IF(E474="","",E474*1000+F474)</f>
        <v/>
      </c>
      <c r="H474" s="31">
        <f>設定!$B$8</f>
        <v/>
      </c>
      <c r="I474" s="31">
        <f>IF(AND(C474&lt;&gt;"",D474=""),1,0)</f>
        <v/>
      </c>
      <c r="J474" s="31">
        <f>IF(AND(D474&lt;&gt;"",E474=""),1,0)</f>
        <v/>
      </c>
    </row>
    <row r="475">
      <c r="A475" s="31">
        <f>IF('5年'!H28="","",設定!$C$21)</f>
        <v/>
      </c>
      <c r="B475" s="31">
        <f>IF('5年'!H28="","",'5年'!G28)</f>
        <v/>
      </c>
      <c r="C475" s="31">
        <f>IF('5年'!H28="","",'5年'!H28)</f>
        <v/>
      </c>
      <c r="D475" s="31">
        <f>IF('5年'!H28="","",'5年'!I28&amp;"")</f>
        <v/>
      </c>
      <c r="E475" s="31">
        <f>IF(D475="","",IFERROR(MATCH(D475,設定!$I$11:$I$30,0),""))</f>
        <v/>
      </c>
      <c r="F475" s="31">
        <f>IF(E475="","",COUNTIF($E$2:E475,E475))</f>
        <v/>
      </c>
      <c r="G475" s="31">
        <f>IF(E475="","",E475*1000+F475)</f>
        <v/>
      </c>
      <c r="H475" s="31">
        <f>設定!$B$8</f>
        <v/>
      </c>
      <c r="I475" s="31">
        <f>IF(AND(C475&lt;&gt;"",D475=""),1,0)</f>
        <v/>
      </c>
      <c r="J475" s="31">
        <f>IF(AND(D475&lt;&gt;"",E475=""),1,0)</f>
        <v/>
      </c>
    </row>
    <row r="476">
      <c r="A476" s="31">
        <f>IF('5年'!H29="","",設定!$C$21)</f>
        <v/>
      </c>
      <c r="B476" s="31">
        <f>IF('5年'!H29="","",'5年'!G29)</f>
        <v/>
      </c>
      <c r="C476" s="31">
        <f>IF('5年'!H29="","",'5年'!H29)</f>
        <v/>
      </c>
      <c r="D476" s="31">
        <f>IF('5年'!H29="","",'5年'!I29&amp;"")</f>
        <v/>
      </c>
      <c r="E476" s="31">
        <f>IF(D476="","",IFERROR(MATCH(D476,設定!$I$11:$I$30,0),""))</f>
        <v/>
      </c>
      <c r="F476" s="31">
        <f>IF(E476="","",COUNTIF($E$2:E476,E476))</f>
        <v/>
      </c>
      <c r="G476" s="31">
        <f>IF(E476="","",E476*1000+F476)</f>
        <v/>
      </c>
      <c r="H476" s="31">
        <f>設定!$B$8</f>
        <v/>
      </c>
      <c r="I476" s="31">
        <f>IF(AND(C476&lt;&gt;"",D476=""),1,0)</f>
        <v/>
      </c>
      <c r="J476" s="31">
        <f>IF(AND(D476&lt;&gt;"",E476=""),1,0)</f>
        <v/>
      </c>
    </row>
    <row r="477">
      <c r="A477" s="31">
        <f>IF('5年'!H30="","",設定!$C$21)</f>
        <v/>
      </c>
      <c r="B477" s="31">
        <f>IF('5年'!H30="","",'5年'!G30)</f>
        <v/>
      </c>
      <c r="C477" s="31">
        <f>IF('5年'!H30="","",'5年'!H30)</f>
        <v/>
      </c>
      <c r="D477" s="31">
        <f>IF('5年'!H30="","",'5年'!I30&amp;"")</f>
        <v/>
      </c>
      <c r="E477" s="31">
        <f>IF(D477="","",IFERROR(MATCH(D477,設定!$I$11:$I$30,0),""))</f>
        <v/>
      </c>
      <c r="F477" s="31">
        <f>IF(E477="","",COUNTIF($E$2:E477,E477))</f>
        <v/>
      </c>
      <c r="G477" s="31">
        <f>IF(E477="","",E477*1000+F477)</f>
        <v/>
      </c>
      <c r="H477" s="31">
        <f>設定!$B$8</f>
        <v/>
      </c>
      <c r="I477" s="31">
        <f>IF(AND(C477&lt;&gt;"",D477=""),1,0)</f>
        <v/>
      </c>
      <c r="J477" s="31">
        <f>IF(AND(D477&lt;&gt;"",E477=""),1,0)</f>
        <v/>
      </c>
    </row>
    <row r="478">
      <c r="A478" s="31">
        <f>IF('5年'!H31="","",設定!$C$21)</f>
        <v/>
      </c>
      <c r="B478" s="31">
        <f>IF('5年'!H31="","",'5年'!G31)</f>
        <v/>
      </c>
      <c r="C478" s="31">
        <f>IF('5年'!H31="","",'5年'!H31)</f>
        <v/>
      </c>
      <c r="D478" s="31">
        <f>IF('5年'!H31="","",'5年'!I31&amp;"")</f>
        <v/>
      </c>
      <c r="E478" s="31">
        <f>IF(D478="","",IFERROR(MATCH(D478,設定!$I$11:$I$30,0),""))</f>
        <v/>
      </c>
      <c r="F478" s="31">
        <f>IF(E478="","",COUNTIF($E$2:E478,E478))</f>
        <v/>
      </c>
      <c r="G478" s="31">
        <f>IF(E478="","",E478*1000+F478)</f>
        <v/>
      </c>
      <c r="H478" s="31">
        <f>設定!$B$8</f>
        <v/>
      </c>
      <c r="I478" s="31">
        <f>IF(AND(C478&lt;&gt;"",D478=""),1,0)</f>
        <v/>
      </c>
      <c r="J478" s="31">
        <f>IF(AND(D478&lt;&gt;"",E478=""),1,0)</f>
        <v/>
      </c>
    </row>
    <row r="479">
      <c r="A479" s="31">
        <f>IF('5年'!H32="","",設定!$C$21)</f>
        <v/>
      </c>
      <c r="B479" s="31">
        <f>IF('5年'!H32="","",'5年'!G32)</f>
        <v/>
      </c>
      <c r="C479" s="31">
        <f>IF('5年'!H32="","",'5年'!H32)</f>
        <v/>
      </c>
      <c r="D479" s="31">
        <f>IF('5年'!H32="","",'5年'!I32&amp;"")</f>
        <v/>
      </c>
      <c r="E479" s="31">
        <f>IF(D479="","",IFERROR(MATCH(D479,設定!$I$11:$I$30,0),""))</f>
        <v/>
      </c>
      <c r="F479" s="31">
        <f>IF(E479="","",COUNTIF($E$2:E479,E479))</f>
        <v/>
      </c>
      <c r="G479" s="31">
        <f>IF(E479="","",E479*1000+F479)</f>
        <v/>
      </c>
      <c r="H479" s="31">
        <f>設定!$B$8</f>
        <v/>
      </c>
      <c r="I479" s="31">
        <f>IF(AND(C479&lt;&gt;"",D479=""),1,0)</f>
        <v/>
      </c>
      <c r="J479" s="31">
        <f>IF(AND(D479&lt;&gt;"",E479=""),1,0)</f>
        <v/>
      </c>
    </row>
    <row r="480">
      <c r="A480" s="31">
        <f>IF('5年'!H33="","",設定!$C$21)</f>
        <v/>
      </c>
      <c r="B480" s="31">
        <f>IF('5年'!H33="","",'5年'!G33)</f>
        <v/>
      </c>
      <c r="C480" s="31">
        <f>IF('5年'!H33="","",'5年'!H33)</f>
        <v/>
      </c>
      <c r="D480" s="31">
        <f>IF('5年'!H33="","",'5年'!I33&amp;"")</f>
        <v/>
      </c>
      <c r="E480" s="31">
        <f>IF(D480="","",IFERROR(MATCH(D480,設定!$I$11:$I$30,0),""))</f>
        <v/>
      </c>
      <c r="F480" s="31">
        <f>IF(E480="","",COUNTIF($E$2:E480,E480))</f>
        <v/>
      </c>
      <c r="G480" s="31">
        <f>IF(E480="","",E480*1000+F480)</f>
        <v/>
      </c>
      <c r="H480" s="31">
        <f>設定!$B$8</f>
        <v/>
      </c>
      <c r="I480" s="31">
        <f>IF(AND(C480&lt;&gt;"",D480=""),1,0)</f>
        <v/>
      </c>
      <c r="J480" s="31">
        <f>IF(AND(D480&lt;&gt;"",E480=""),1,0)</f>
        <v/>
      </c>
    </row>
    <row r="481">
      <c r="A481" s="31">
        <f>IF('5年'!H34="","",設定!$C$21)</f>
        <v/>
      </c>
      <c r="B481" s="31">
        <f>IF('5年'!H34="","",'5年'!G34)</f>
        <v/>
      </c>
      <c r="C481" s="31">
        <f>IF('5年'!H34="","",'5年'!H34)</f>
        <v/>
      </c>
      <c r="D481" s="31">
        <f>IF('5年'!H34="","",'5年'!I34&amp;"")</f>
        <v/>
      </c>
      <c r="E481" s="31">
        <f>IF(D481="","",IFERROR(MATCH(D481,設定!$I$11:$I$30,0),""))</f>
        <v/>
      </c>
      <c r="F481" s="31">
        <f>IF(E481="","",COUNTIF($E$2:E481,E481))</f>
        <v/>
      </c>
      <c r="G481" s="31">
        <f>IF(E481="","",E481*1000+F481)</f>
        <v/>
      </c>
      <c r="H481" s="31">
        <f>設定!$B$8</f>
        <v/>
      </c>
      <c r="I481" s="31">
        <f>IF(AND(C481&lt;&gt;"",D481=""),1,0)</f>
        <v/>
      </c>
      <c r="J481" s="31">
        <f>IF(AND(D481&lt;&gt;"",E481=""),1,0)</f>
        <v/>
      </c>
    </row>
    <row r="482">
      <c r="A482" s="31">
        <f>IF('5年'!H35="","",設定!$C$21)</f>
        <v/>
      </c>
      <c r="B482" s="31">
        <f>IF('5年'!H35="","",'5年'!G35)</f>
        <v/>
      </c>
      <c r="C482" s="31">
        <f>IF('5年'!H35="","",'5年'!H35)</f>
        <v/>
      </c>
      <c r="D482" s="31">
        <f>IF('5年'!H35="","",'5年'!I35&amp;"")</f>
        <v/>
      </c>
      <c r="E482" s="31">
        <f>IF(D482="","",IFERROR(MATCH(D482,設定!$I$11:$I$30,0),""))</f>
        <v/>
      </c>
      <c r="F482" s="31">
        <f>IF(E482="","",COUNTIF($E$2:E482,E482))</f>
        <v/>
      </c>
      <c r="G482" s="31">
        <f>IF(E482="","",E482*1000+F482)</f>
        <v/>
      </c>
      <c r="H482" s="31">
        <f>設定!$B$8</f>
        <v/>
      </c>
      <c r="I482" s="31">
        <f>IF(AND(C482&lt;&gt;"",D482=""),1,0)</f>
        <v/>
      </c>
      <c r="J482" s="31">
        <f>IF(AND(D482&lt;&gt;"",E482=""),1,0)</f>
        <v/>
      </c>
    </row>
    <row r="483">
      <c r="A483" s="31">
        <f>IF('5年'!H36="","",設定!$C$21)</f>
        <v/>
      </c>
      <c r="B483" s="31">
        <f>IF('5年'!H36="","",'5年'!G36)</f>
        <v/>
      </c>
      <c r="C483" s="31">
        <f>IF('5年'!H36="","",'5年'!H36)</f>
        <v/>
      </c>
      <c r="D483" s="31">
        <f>IF('5年'!H36="","",'5年'!I36&amp;"")</f>
        <v/>
      </c>
      <c r="E483" s="31">
        <f>IF(D483="","",IFERROR(MATCH(D483,設定!$I$11:$I$30,0),""))</f>
        <v/>
      </c>
      <c r="F483" s="31">
        <f>IF(E483="","",COUNTIF($E$2:E483,E483))</f>
        <v/>
      </c>
      <c r="G483" s="31">
        <f>IF(E483="","",E483*1000+F483)</f>
        <v/>
      </c>
      <c r="H483" s="31">
        <f>設定!$B$8</f>
        <v/>
      </c>
      <c r="I483" s="31">
        <f>IF(AND(C483&lt;&gt;"",D483=""),1,0)</f>
        <v/>
      </c>
      <c r="J483" s="31">
        <f>IF(AND(D483&lt;&gt;"",E483=""),1,0)</f>
        <v/>
      </c>
    </row>
    <row r="484">
      <c r="A484" s="31">
        <f>IF('5年'!H37="","",設定!$C$21)</f>
        <v/>
      </c>
      <c r="B484" s="31">
        <f>IF('5年'!H37="","",'5年'!G37)</f>
        <v/>
      </c>
      <c r="C484" s="31">
        <f>IF('5年'!H37="","",'5年'!H37)</f>
        <v/>
      </c>
      <c r="D484" s="31">
        <f>IF('5年'!H37="","",'5年'!I37&amp;"")</f>
        <v/>
      </c>
      <c r="E484" s="31">
        <f>IF(D484="","",IFERROR(MATCH(D484,設定!$I$11:$I$30,0),""))</f>
        <v/>
      </c>
      <c r="F484" s="31">
        <f>IF(E484="","",COUNTIF($E$2:E484,E484))</f>
        <v/>
      </c>
      <c r="G484" s="31">
        <f>IF(E484="","",E484*1000+F484)</f>
        <v/>
      </c>
      <c r="H484" s="31">
        <f>設定!$B$8</f>
        <v/>
      </c>
      <c r="I484" s="31">
        <f>IF(AND(C484&lt;&gt;"",D484=""),1,0)</f>
        <v/>
      </c>
      <c r="J484" s="31">
        <f>IF(AND(D484&lt;&gt;"",E484=""),1,0)</f>
        <v/>
      </c>
    </row>
    <row r="485">
      <c r="A485" s="31">
        <f>IF('5年'!H38="","",設定!$C$21)</f>
        <v/>
      </c>
      <c r="B485" s="31">
        <f>IF('5年'!H38="","",'5年'!G38)</f>
        <v/>
      </c>
      <c r="C485" s="31">
        <f>IF('5年'!H38="","",'5年'!H38)</f>
        <v/>
      </c>
      <c r="D485" s="31">
        <f>IF('5年'!H38="","",'5年'!I38&amp;"")</f>
        <v/>
      </c>
      <c r="E485" s="31">
        <f>IF(D485="","",IFERROR(MATCH(D485,設定!$I$11:$I$30,0),""))</f>
        <v/>
      </c>
      <c r="F485" s="31">
        <f>IF(E485="","",COUNTIF($E$2:E485,E485))</f>
        <v/>
      </c>
      <c r="G485" s="31">
        <f>IF(E485="","",E485*1000+F485)</f>
        <v/>
      </c>
      <c r="H485" s="31">
        <f>設定!$B$8</f>
        <v/>
      </c>
      <c r="I485" s="31">
        <f>IF(AND(C485&lt;&gt;"",D485=""),1,0)</f>
        <v/>
      </c>
      <c r="J485" s="31">
        <f>IF(AND(D485&lt;&gt;"",E485=""),1,0)</f>
        <v/>
      </c>
    </row>
    <row r="486">
      <c r="A486" s="31">
        <f>IF('5年'!H39="","",設定!$C$21)</f>
        <v/>
      </c>
      <c r="B486" s="31">
        <f>IF('5年'!H39="","",'5年'!G39)</f>
        <v/>
      </c>
      <c r="C486" s="31">
        <f>IF('5年'!H39="","",'5年'!H39)</f>
        <v/>
      </c>
      <c r="D486" s="31">
        <f>IF('5年'!H39="","",'5年'!I39&amp;"")</f>
        <v/>
      </c>
      <c r="E486" s="31">
        <f>IF(D486="","",IFERROR(MATCH(D486,設定!$I$11:$I$30,0),""))</f>
        <v/>
      </c>
      <c r="F486" s="31">
        <f>IF(E486="","",COUNTIF($E$2:E486,E486))</f>
        <v/>
      </c>
      <c r="G486" s="31">
        <f>IF(E486="","",E486*1000+F486)</f>
        <v/>
      </c>
      <c r="H486" s="31">
        <f>設定!$B$8</f>
        <v/>
      </c>
      <c r="I486" s="31">
        <f>IF(AND(C486&lt;&gt;"",D486=""),1,0)</f>
        <v/>
      </c>
      <c r="J486" s="31">
        <f>IF(AND(D486&lt;&gt;"",E486=""),1,0)</f>
        <v/>
      </c>
    </row>
    <row r="487">
      <c r="A487" s="31">
        <f>IF('5年'!H40="","",設定!$C$21)</f>
        <v/>
      </c>
      <c r="B487" s="31">
        <f>IF('5年'!H40="","",'5年'!G40)</f>
        <v/>
      </c>
      <c r="C487" s="31">
        <f>IF('5年'!H40="","",'5年'!H40)</f>
        <v/>
      </c>
      <c r="D487" s="31">
        <f>IF('5年'!H40="","",'5年'!I40&amp;"")</f>
        <v/>
      </c>
      <c r="E487" s="31">
        <f>IF(D487="","",IFERROR(MATCH(D487,設定!$I$11:$I$30,0),""))</f>
        <v/>
      </c>
      <c r="F487" s="31">
        <f>IF(E487="","",COUNTIF($E$2:E487,E487))</f>
        <v/>
      </c>
      <c r="G487" s="31">
        <f>IF(E487="","",E487*1000+F487)</f>
        <v/>
      </c>
      <c r="H487" s="31">
        <f>設定!$B$8</f>
        <v/>
      </c>
      <c r="I487" s="31">
        <f>IF(AND(C487&lt;&gt;"",D487=""),1,0)</f>
        <v/>
      </c>
      <c r="J487" s="31">
        <f>IF(AND(D487&lt;&gt;"",E487=""),1,0)</f>
        <v/>
      </c>
    </row>
    <row r="488">
      <c r="A488" s="31">
        <f>IF('5年'!H41="","",設定!$C$21)</f>
        <v/>
      </c>
      <c r="B488" s="31">
        <f>IF('5年'!H41="","",'5年'!G41)</f>
        <v/>
      </c>
      <c r="C488" s="31">
        <f>IF('5年'!H41="","",'5年'!H41)</f>
        <v/>
      </c>
      <c r="D488" s="31">
        <f>IF('5年'!H41="","",'5年'!I41&amp;"")</f>
        <v/>
      </c>
      <c r="E488" s="31">
        <f>IF(D488="","",IFERROR(MATCH(D488,設定!$I$11:$I$30,0),""))</f>
        <v/>
      </c>
      <c r="F488" s="31">
        <f>IF(E488="","",COUNTIF($E$2:E488,E488))</f>
        <v/>
      </c>
      <c r="G488" s="31">
        <f>IF(E488="","",E488*1000+F488)</f>
        <v/>
      </c>
      <c r="H488" s="31">
        <f>設定!$B$8</f>
        <v/>
      </c>
      <c r="I488" s="31">
        <f>IF(AND(C488&lt;&gt;"",D488=""),1,0)</f>
        <v/>
      </c>
      <c r="J488" s="31">
        <f>IF(AND(D488&lt;&gt;"",E488=""),1,0)</f>
        <v/>
      </c>
    </row>
    <row r="489">
      <c r="A489" s="31">
        <f>IF('5年'!H42="","",設定!$C$21)</f>
        <v/>
      </c>
      <c r="B489" s="31">
        <f>IF('5年'!H42="","",'5年'!G42)</f>
        <v/>
      </c>
      <c r="C489" s="31">
        <f>IF('5年'!H42="","",'5年'!H42)</f>
        <v/>
      </c>
      <c r="D489" s="31">
        <f>IF('5年'!H42="","",'5年'!I42&amp;"")</f>
        <v/>
      </c>
      <c r="E489" s="31">
        <f>IF(D489="","",IFERROR(MATCH(D489,設定!$I$11:$I$30,0),""))</f>
        <v/>
      </c>
      <c r="F489" s="31">
        <f>IF(E489="","",COUNTIF($E$2:E489,E489))</f>
        <v/>
      </c>
      <c r="G489" s="31">
        <f>IF(E489="","",E489*1000+F489)</f>
        <v/>
      </c>
      <c r="H489" s="31">
        <f>設定!$B$8</f>
        <v/>
      </c>
      <c r="I489" s="31">
        <f>IF(AND(C489&lt;&gt;"",D489=""),1,0)</f>
        <v/>
      </c>
      <c r="J489" s="31">
        <f>IF(AND(D489&lt;&gt;"",E489=""),1,0)</f>
        <v/>
      </c>
    </row>
    <row r="490">
      <c r="A490" s="31">
        <f>IF('5年'!H43="","",設定!$C$21)</f>
        <v/>
      </c>
      <c r="B490" s="31">
        <f>IF('5年'!H43="","",'5年'!G43)</f>
        <v/>
      </c>
      <c r="C490" s="31">
        <f>IF('5年'!H43="","",'5年'!H43)</f>
        <v/>
      </c>
      <c r="D490" s="31">
        <f>IF('5年'!H43="","",'5年'!I43&amp;"")</f>
        <v/>
      </c>
      <c r="E490" s="31">
        <f>IF(D490="","",IFERROR(MATCH(D490,設定!$I$11:$I$30,0),""))</f>
        <v/>
      </c>
      <c r="F490" s="31">
        <f>IF(E490="","",COUNTIF($E$2:E490,E490))</f>
        <v/>
      </c>
      <c r="G490" s="31">
        <f>IF(E490="","",E490*1000+F490)</f>
        <v/>
      </c>
      <c r="H490" s="31">
        <f>設定!$B$8</f>
        <v/>
      </c>
      <c r="I490" s="31">
        <f>IF(AND(C490&lt;&gt;"",D490=""),1,0)</f>
        <v/>
      </c>
      <c r="J490" s="31">
        <f>IF(AND(D490&lt;&gt;"",E490=""),1,0)</f>
        <v/>
      </c>
    </row>
    <row r="491">
      <c r="A491" s="31">
        <f>IF('5年'!H44="","",設定!$C$21)</f>
        <v/>
      </c>
      <c r="B491" s="31">
        <f>IF('5年'!H44="","",'5年'!G44)</f>
        <v/>
      </c>
      <c r="C491" s="31">
        <f>IF('5年'!H44="","",'5年'!H44)</f>
        <v/>
      </c>
      <c r="D491" s="31">
        <f>IF('5年'!H44="","",'5年'!I44&amp;"")</f>
        <v/>
      </c>
      <c r="E491" s="31">
        <f>IF(D491="","",IFERROR(MATCH(D491,設定!$I$11:$I$30,0),""))</f>
        <v/>
      </c>
      <c r="F491" s="31">
        <f>IF(E491="","",COUNTIF($E$2:E491,E491))</f>
        <v/>
      </c>
      <c r="G491" s="31">
        <f>IF(E491="","",E491*1000+F491)</f>
        <v/>
      </c>
      <c r="H491" s="31">
        <f>設定!$B$8</f>
        <v/>
      </c>
      <c r="I491" s="31">
        <f>IF(AND(C491&lt;&gt;"",D491=""),1,0)</f>
        <v/>
      </c>
      <c r="J491" s="31">
        <f>IF(AND(D491&lt;&gt;"",E491=""),1,0)</f>
        <v/>
      </c>
    </row>
    <row r="492">
      <c r="A492" s="31">
        <f>IF('5年'!H45="","",設定!$C$21)</f>
        <v/>
      </c>
      <c r="B492" s="31">
        <f>IF('5年'!H45="","",'5年'!G45)</f>
        <v/>
      </c>
      <c r="C492" s="31">
        <f>IF('5年'!H45="","",'5年'!H45)</f>
        <v/>
      </c>
      <c r="D492" s="31">
        <f>IF('5年'!H45="","",'5年'!I45&amp;"")</f>
        <v/>
      </c>
      <c r="E492" s="31">
        <f>IF(D492="","",IFERROR(MATCH(D492,設定!$I$11:$I$30,0),""))</f>
        <v/>
      </c>
      <c r="F492" s="31">
        <f>IF(E492="","",COUNTIF($E$2:E492,E492))</f>
        <v/>
      </c>
      <c r="G492" s="31">
        <f>IF(E492="","",E492*1000+F492)</f>
        <v/>
      </c>
      <c r="H492" s="31">
        <f>設定!$B$8</f>
        <v/>
      </c>
      <c r="I492" s="31">
        <f>IF(AND(C492&lt;&gt;"",D492=""),1,0)</f>
        <v/>
      </c>
      <c r="J492" s="31">
        <f>IF(AND(D492&lt;&gt;"",E492=""),1,0)</f>
        <v/>
      </c>
    </row>
    <row r="493">
      <c r="A493" s="31">
        <f>IF('5年'!H46="","",設定!$C$21)</f>
        <v/>
      </c>
      <c r="B493" s="31">
        <f>IF('5年'!H46="","",'5年'!G46)</f>
        <v/>
      </c>
      <c r="C493" s="31">
        <f>IF('5年'!H46="","",'5年'!H46)</f>
        <v/>
      </c>
      <c r="D493" s="31">
        <f>IF('5年'!H46="","",'5年'!I46&amp;"")</f>
        <v/>
      </c>
      <c r="E493" s="31">
        <f>IF(D493="","",IFERROR(MATCH(D493,設定!$I$11:$I$30,0),""))</f>
        <v/>
      </c>
      <c r="F493" s="31">
        <f>IF(E493="","",COUNTIF($E$2:E493,E493))</f>
        <v/>
      </c>
      <c r="G493" s="31">
        <f>IF(E493="","",E493*1000+F493)</f>
        <v/>
      </c>
      <c r="H493" s="31">
        <f>設定!$B$8</f>
        <v/>
      </c>
      <c r="I493" s="31">
        <f>IF(AND(C493&lt;&gt;"",D493=""),1,0)</f>
        <v/>
      </c>
      <c r="J493" s="31">
        <f>IF(AND(D493&lt;&gt;"",E493=""),1,0)</f>
        <v/>
      </c>
    </row>
    <row r="494">
      <c r="A494" s="31">
        <f>IF('5年'!H47="","",設定!$C$21)</f>
        <v/>
      </c>
      <c r="B494" s="31">
        <f>IF('5年'!H47="","",'5年'!G47)</f>
        <v/>
      </c>
      <c r="C494" s="31">
        <f>IF('5年'!H47="","",'5年'!H47)</f>
        <v/>
      </c>
      <c r="D494" s="31">
        <f>IF('5年'!H47="","",'5年'!I47&amp;"")</f>
        <v/>
      </c>
      <c r="E494" s="31">
        <f>IF(D494="","",IFERROR(MATCH(D494,設定!$I$11:$I$30,0),""))</f>
        <v/>
      </c>
      <c r="F494" s="31">
        <f>IF(E494="","",COUNTIF($E$2:E494,E494))</f>
        <v/>
      </c>
      <c r="G494" s="31">
        <f>IF(E494="","",E494*1000+F494)</f>
        <v/>
      </c>
      <c r="H494" s="31">
        <f>設定!$B$8</f>
        <v/>
      </c>
      <c r="I494" s="31">
        <f>IF(AND(C494&lt;&gt;"",D494=""),1,0)</f>
        <v/>
      </c>
      <c r="J494" s="31">
        <f>IF(AND(D494&lt;&gt;"",E494=""),1,0)</f>
        <v/>
      </c>
    </row>
    <row r="495">
      <c r="A495" s="31">
        <f>IF('5年'!H48="","",設定!$C$21)</f>
        <v/>
      </c>
      <c r="B495" s="31">
        <f>IF('5年'!H48="","",'5年'!G48)</f>
        <v/>
      </c>
      <c r="C495" s="31">
        <f>IF('5年'!H48="","",'5年'!H48)</f>
        <v/>
      </c>
      <c r="D495" s="31">
        <f>IF('5年'!H48="","",'5年'!I48&amp;"")</f>
        <v/>
      </c>
      <c r="E495" s="31">
        <f>IF(D495="","",IFERROR(MATCH(D495,設定!$I$11:$I$30,0),""))</f>
        <v/>
      </c>
      <c r="F495" s="31">
        <f>IF(E495="","",COUNTIF($E$2:E495,E495))</f>
        <v/>
      </c>
      <c r="G495" s="31">
        <f>IF(E495="","",E495*1000+F495)</f>
        <v/>
      </c>
      <c r="H495" s="31">
        <f>設定!$B$8</f>
        <v/>
      </c>
      <c r="I495" s="31">
        <f>IF(AND(C495&lt;&gt;"",D495=""),1,0)</f>
        <v/>
      </c>
      <c r="J495" s="31">
        <f>IF(AND(D495&lt;&gt;"",E495=""),1,0)</f>
        <v/>
      </c>
    </row>
    <row r="496">
      <c r="A496" s="31">
        <f>IF('5年'!H49="","",設定!$C$21)</f>
        <v/>
      </c>
      <c r="B496" s="31">
        <f>IF('5年'!H49="","",'5年'!G49)</f>
        <v/>
      </c>
      <c r="C496" s="31">
        <f>IF('5年'!H49="","",'5年'!H49)</f>
        <v/>
      </c>
      <c r="D496" s="31">
        <f>IF('5年'!H49="","",'5年'!I49&amp;"")</f>
        <v/>
      </c>
      <c r="E496" s="31">
        <f>IF(D496="","",IFERROR(MATCH(D496,設定!$I$11:$I$30,0),""))</f>
        <v/>
      </c>
      <c r="F496" s="31">
        <f>IF(E496="","",COUNTIF($E$2:E496,E496))</f>
        <v/>
      </c>
      <c r="G496" s="31">
        <f>IF(E496="","",E496*1000+F496)</f>
        <v/>
      </c>
      <c r="H496" s="31">
        <f>設定!$B$8</f>
        <v/>
      </c>
      <c r="I496" s="31">
        <f>IF(AND(C496&lt;&gt;"",D496=""),1,0)</f>
        <v/>
      </c>
      <c r="J496" s="31">
        <f>IF(AND(D496&lt;&gt;"",E496=""),1,0)</f>
        <v/>
      </c>
    </row>
    <row r="497">
      <c r="A497" s="31">
        <f>IF('5年'!K5="","",設定!$C$22)</f>
        <v/>
      </c>
      <c r="B497" s="31">
        <f>IF('5年'!K5="","",'5年'!J5)</f>
        <v/>
      </c>
      <c r="C497" s="31">
        <f>IF('5年'!K5="","",'5年'!K5)</f>
        <v/>
      </c>
      <c r="D497" s="31">
        <f>IF('5年'!K5="","",'5年'!L5&amp;"")</f>
        <v/>
      </c>
      <c r="E497" s="31">
        <f>IF(D497="","",IFERROR(MATCH(D497,設定!$I$11:$I$30,0),""))</f>
        <v/>
      </c>
      <c r="F497" s="31">
        <f>IF(E497="","",COUNTIF($E$2:E497,E497))</f>
        <v/>
      </c>
      <c r="G497" s="31">
        <f>IF(E497="","",E497*1000+F497)</f>
        <v/>
      </c>
      <c r="H497" s="31">
        <f>設定!$B$8</f>
        <v/>
      </c>
      <c r="I497" s="31">
        <f>IF(AND(C497&lt;&gt;"",D497=""),1,0)</f>
        <v/>
      </c>
      <c r="J497" s="31">
        <f>IF(AND(D497&lt;&gt;"",E497=""),1,0)</f>
        <v/>
      </c>
    </row>
    <row r="498">
      <c r="A498" s="31">
        <f>IF('5年'!K6="","",設定!$C$22)</f>
        <v/>
      </c>
      <c r="B498" s="31">
        <f>IF('5年'!K6="","",'5年'!J6)</f>
        <v/>
      </c>
      <c r="C498" s="31">
        <f>IF('5年'!K6="","",'5年'!K6)</f>
        <v/>
      </c>
      <c r="D498" s="31">
        <f>IF('5年'!K6="","",'5年'!L6&amp;"")</f>
        <v/>
      </c>
      <c r="E498" s="31">
        <f>IF(D498="","",IFERROR(MATCH(D498,設定!$I$11:$I$30,0),""))</f>
        <v/>
      </c>
      <c r="F498" s="31">
        <f>IF(E498="","",COUNTIF($E$2:E498,E498))</f>
        <v/>
      </c>
      <c r="G498" s="31">
        <f>IF(E498="","",E498*1000+F498)</f>
        <v/>
      </c>
      <c r="H498" s="31">
        <f>設定!$B$8</f>
        <v/>
      </c>
      <c r="I498" s="31">
        <f>IF(AND(C498&lt;&gt;"",D498=""),1,0)</f>
        <v/>
      </c>
      <c r="J498" s="31">
        <f>IF(AND(D498&lt;&gt;"",E498=""),1,0)</f>
        <v/>
      </c>
    </row>
    <row r="499">
      <c r="A499" s="31">
        <f>IF('5年'!K7="","",設定!$C$22)</f>
        <v/>
      </c>
      <c r="B499" s="31">
        <f>IF('5年'!K7="","",'5年'!J7)</f>
        <v/>
      </c>
      <c r="C499" s="31">
        <f>IF('5年'!K7="","",'5年'!K7)</f>
        <v/>
      </c>
      <c r="D499" s="31">
        <f>IF('5年'!K7="","",'5年'!L7&amp;"")</f>
        <v/>
      </c>
      <c r="E499" s="31">
        <f>IF(D499="","",IFERROR(MATCH(D499,設定!$I$11:$I$30,0),""))</f>
        <v/>
      </c>
      <c r="F499" s="31">
        <f>IF(E499="","",COUNTIF($E$2:E499,E499))</f>
        <v/>
      </c>
      <c r="G499" s="31">
        <f>IF(E499="","",E499*1000+F499)</f>
        <v/>
      </c>
      <c r="H499" s="31">
        <f>設定!$B$8</f>
        <v/>
      </c>
      <c r="I499" s="31">
        <f>IF(AND(C499&lt;&gt;"",D499=""),1,0)</f>
        <v/>
      </c>
      <c r="J499" s="31">
        <f>IF(AND(D499&lt;&gt;"",E499=""),1,0)</f>
        <v/>
      </c>
    </row>
    <row r="500">
      <c r="A500" s="31">
        <f>IF('5年'!K8="","",設定!$C$22)</f>
        <v/>
      </c>
      <c r="B500" s="31">
        <f>IF('5年'!K8="","",'5年'!J8)</f>
        <v/>
      </c>
      <c r="C500" s="31">
        <f>IF('5年'!K8="","",'5年'!K8)</f>
        <v/>
      </c>
      <c r="D500" s="31">
        <f>IF('5年'!K8="","",'5年'!L8&amp;"")</f>
        <v/>
      </c>
      <c r="E500" s="31">
        <f>IF(D500="","",IFERROR(MATCH(D500,設定!$I$11:$I$30,0),""))</f>
        <v/>
      </c>
      <c r="F500" s="31">
        <f>IF(E500="","",COUNTIF($E$2:E500,E500))</f>
        <v/>
      </c>
      <c r="G500" s="31">
        <f>IF(E500="","",E500*1000+F500)</f>
        <v/>
      </c>
      <c r="H500" s="31">
        <f>設定!$B$8</f>
        <v/>
      </c>
      <c r="I500" s="31">
        <f>IF(AND(C500&lt;&gt;"",D500=""),1,0)</f>
        <v/>
      </c>
      <c r="J500" s="31">
        <f>IF(AND(D500&lt;&gt;"",E500=""),1,0)</f>
        <v/>
      </c>
    </row>
    <row r="501">
      <c r="A501" s="31">
        <f>IF('5年'!K9="","",設定!$C$22)</f>
        <v/>
      </c>
      <c r="B501" s="31">
        <f>IF('5年'!K9="","",'5年'!J9)</f>
        <v/>
      </c>
      <c r="C501" s="31">
        <f>IF('5年'!K9="","",'5年'!K9)</f>
        <v/>
      </c>
      <c r="D501" s="31">
        <f>IF('5年'!K9="","",'5年'!L9&amp;"")</f>
        <v/>
      </c>
      <c r="E501" s="31">
        <f>IF(D501="","",IFERROR(MATCH(D501,設定!$I$11:$I$30,0),""))</f>
        <v/>
      </c>
      <c r="F501" s="31">
        <f>IF(E501="","",COUNTIF($E$2:E501,E501))</f>
        <v/>
      </c>
      <c r="G501" s="31">
        <f>IF(E501="","",E501*1000+F501)</f>
        <v/>
      </c>
      <c r="H501" s="31">
        <f>設定!$B$8</f>
        <v/>
      </c>
      <c r="I501" s="31">
        <f>IF(AND(C501&lt;&gt;"",D501=""),1,0)</f>
        <v/>
      </c>
      <c r="J501" s="31">
        <f>IF(AND(D501&lt;&gt;"",E501=""),1,0)</f>
        <v/>
      </c>
    </row>
    <row r="502">
      <c r="A502" s="31">
        <f>IF('5年'!K10="","",設定!$C$22)</f>
        <v/>
      </c>
      <c r="B502" s="31">
        <f>IF('5年'!K10="","",'5年'!J10)</f>
        <v/>
      </c>
      <c r="C502" s="31">
        <f>IF('5年'!K10="","",'5年'!K10)</f>
        <v/>
      </c>
      <c r="D502" s="31">
        <f>IF('5年'!K10="","",'5年'!L10&amp;"")</f>
        <v/>
      </c>
      <c r="E502" s="31">
        <f>IF(D502="","",IFERROR(MATCH(D502,設定!$I$11:$I$30,0),""))</f>
        <v/>
      </c>
      <c r="F502" s="31">
        <f>IF(E502="","",COUNTIF($E$2:E502,E502))</f>
        <v/>
      </c>
      <c r="G502" s="31">
        <f>IF(E502="","",E502*1000+F502)</f>
        <v/>
      </c>
      <c r="H502" s="31">
        <f>設定!$B$8</f>
        <v/>
      </c>
      <c r="I502" s="31">
        <f>IF(AND(C502&lt;&gt;"",D502=""),1,0)</f>
        <v/>
      </c>
      <c r="J502" s="31">
        <f>IF(AND(D502&lt;&gt;"",E502=""),1,0)</f>
        <v/>
      </c>
    </row>
    <row r="503">
      <c r="A503" s="31">
        <f>IF('5年'!K11="","",設定!$C$22)</f>
        <v/>
      </c>
      <c r="B503" s="31">
        <f>IF('5年'!K11="","",'5年'!J11)</f>
        <v/>
      </c>
      <c r="C503" s="31">
        <f>IF('5年'!K11="","",'5年'!K11)</f>
        <v/>
      </c>
      <c r="D503" s="31">
        <f>IF('5年'!K11="","",'5年'!L11&amp;"")</f>
        <v/>
      </c>
      <c r="E503" s="31">
        <f>IF(D503="","",IFERROR(MATCH(D503,設定!$I$11:$I$30,0),""))</f>
        <v/>
      </c>
      <c r="F503" s="31">
        <f>IF(E503="","",COUNTIF($E$2:E503,E503))</f>
        <v/>
      </c>
      <c r="G503" s="31">
        <f>IF(E503="","",E503*1000+F503)</f>
        <v/>
      </c>
      <c r="H503" s="31">
        <f>設定!$B$8</f>
        <v/>
      </c>
      <c r="I503" s="31">
        <f>IF(AND(C503&lt;&gt;"",D503=""),1,0)</f>
        <v/>
      </c>
      <c r="J503" s="31">
        <f>IF(AND(D503&lt;&gt;"",E503=""),1,0)</f>
        <v/>
      </c>
    </row>
    <row r="504">
      <c r="A504" s="31">
        <f>IF('5年'!K12="","",設定!$C$22)</f>
        <v/>
      </c>
      <c r="B504" s="31">
        <f>IF('5年'!K12="","",'5年'!J12)</f>
        <v/>
      </c>
      <c r="C504" s="31">
        <f>IF('5年'!K12="","",'5年'!K12)</f>
        <v/>
      </c>
      <c r="D504" s="31">
        <f>IF('5年'!K12="","",'5年'!L12&amp;"")</f>
        <v/>
      </c>
      <c r="E504" s="31">
        <f>IF(D504="","",IFERROR(MATCH(D504,設定!$I$11:$I$30,0),""))</f>
        <v/>
      </c>
      <c r="F504" s="31">
        <f>IF(E504="","",COUNTIF($E$2:E504,E504))</f>
        <v/>
      </c>
      <c r="G504" s="31">
        <f>IF(E504="","",E504*1000+F504)</f>
        <v/>
      </c>
      <c r="H504" s="31">
        <f>設定!$B$8</f>
        <v/>
      </c>
      <c r="I504" s="31">
        <f>IF(AND(C504&lt;&gt;"",D504=""),1,0)</f>
        <v/>
      </c>
      <c r="J504" s="31">
        <f>IF(AND(D504&lt;&gt;"",E504=""),1,0)</f>
        <v/>
      </c>
    </row>
    <row r="505">
      <c r="A505" s="31">
        <f>IF('5年'!K13="","",設定!$C$22)</f>
        <v/>
      </c>
      <c r="B505" s="31">
        <f>IF('5年'!K13="","",'5年'!J13)</f>
        <v/>
      </c>
      <c r="C505" s="31">
        <f>IF('5年'!K13="","",'5年'!K13)</f>
        <v/>
      </c>
      <c r="D505" s="31">
        <f>IF('5年'!K13="","",'5年'!L13&amp;"")</f>
        <v/>
      </c>
      <c r="E505" s="31">
        <f>IF(D505="","",IFERROR(MATCH(D505,設定!$I$11:$I$30,0),""))</f>
        <v/>
      </c>
      <c r="F505" s="31">
        <f>IF(E505="","",COUNTIF($E$2:E505,E505))</f>
        <v/>
      </c>
      <c r="G505" s="31">
        <f>IF(E505="","",E505*1000+F505)</f>
        <v/>
      </c>
      <c r="H505" s="31">
        <f>設定!$B$8</f>
        <v/>
      </c>
      <c r="I505" s="31">
        <f>IF(AND(C505&lt;&gt;"",D505=""),1,0)</f>
        <v/>
      </c>
      <c r="J505" s="31">
        <f>IF(AND(D505&lt;&gt;"",E505=""),1,0)</f>
        <v/>
      </c>
    </row>
    <row r="506">
      <c r="A506" s="31">
        <f>IF('5年'!K14="","",設定!$C$22)</f>
        <v/>
      </c>
      <c r="B506" s="31">
        <f>IF('5年'!K14="","",'5年'!J14)</f>
        <v/>
      </c>
      <c r="C506" s="31">
        <f>IF('5年'!K14="","",'5年'!K14)</f>
        <v/>
      </c>
      <c r="D506" s="31">
        <f>IF('5年'!K14="","",'5年'!L14&amp;"")</f>
        <v/>
      </c>
      <c r="E506" s="31">
        <f>IF(D506="","",IFERROR(MATCH(D506,設定!$I$11:$I$30,0),""))</f>
        <v/>
      </c>
      <c r="F506" s="31">
        <f>IF(E506="","",COUNTIF($E$2:E506,E506))</f>
        <v/>
      </c>
      <c r="G506" s="31">
        <f>IF(E506="","",E506*1000+F506)</f>
        <v/>
      </c>
      <c r="H506" s="31">
        <f>設定!$B$8</f>
        <v/>
      </c>
      <c r="I506" s="31">
        <f>IF(AND(C506&lt;&gt;"",D506=""),1,0)</f>
        <v/>
      </c>
      <c r="J506" s="31">
        <f>IF(AND(D506&lt;&gt;"",E506=""),1,0)</f>
        <v/>
      </c>
    </row>
    <row r="507">
      <c r="A507" s="31">
        <f>IF('5年'!K15="","",設定!$C$22)</f>
        <v/>
      </c>
      <c r="B507" s="31">
        <f>IF('5年'!K15="","",'5年'!J15)</f>
        <v/>
      </c>
      <c r="C507" s="31">
        <f>IF('5年'!K15="","",'5年'!K15)</f>
        <v/>
      </c>
      <c r="D507" s="31">
        <f>IF('5年'!K15="","",'5年'!L15&amp;"")</f>
        <v/>
      </c>
      <c r="E507" s="31">
        <f>IF(D507="","",IFERROR(MATCH(D507,設定!$I$11:$I$30,0),""))</f>
        <v/>
      </c>
      <c r="F507" s="31">
        <f>IF(E507="","",COUNTIF($E$2:E507,E507))</f>
        <v/>
      </c>
      <c r="G507" s="31">
        <f>IF(E507="","",E507*1000+F507)</f>
        <v/>
      </c>
      <c r="H507" s="31">
        <f>設定!$B$8</f>
        <v/>
      </c>
      <c r="I507" s="31">
        <f>IF(AND(C507&lt;&gt;"",D507=""),1,0)</f>
        <v/>
      </c>
      <c r="J507" s="31">
        <f>IF(AND(D507&lt;&gt;"",E507=""),1,0)</f>
        <v/>
      </c>
    </row>
    <row r="508">
      <c r="A508" s="31">
        <f>IF('5年'!K16="","",設定!$C$22)</f>
        <v/>
      </c>
      <c r="B508" s="31">
        <f>IF('5年'!K16="","",'5年'!J16)</f>
        <v/>
      </c>
      <c r="C508" s="31">
        <f>IF('5年'!K16="","",'5年'!K16)</f>
        <v/>
      </c>
      <c r="D508" s="31">
        <f>IF('5年'!K16="","",'5年'!L16&amp;"")</f>
        <v/>
      </c>
      <c r="E508" s="31">
        <f>IF(D508="","",IFERROR(MATCH(D508,設定!$I$11:$I$30,0),""))</f>
        <v/>
      </c>
      <c r="F508" s="31">
        <f>IF(E508="","",COUNTIF($E$2:E508,E508))</f>
        <v/>
      </c>
      <c r="G508" s="31">
        <f>IF(E508="","",E508*1000+F508)</f>
        <v/>
      </c>
      <c r="H508" s="31">
        <f>設定!$B$8</f>
        <v/>
      </c>
      <c r="I508" s="31">
        <f>IF(AND(C508&lt;&gt;"",D508=""),1,0)</f>
        <v/>
      </c>
      <c r="J508" s="31">
        <f>IF(AND(D508&lt;&gt;"",E508=""),1,0)</f>
        <v/>
      </c>
    </row>
    <row r="509">
      <c r="A509" s="31">
        <f>IF('5年'!K17="","",設定!$C$22)</f>
        <v/>
      </c>
      <c r="B509" s="31">
        <f>IF('5年'!K17="","",'5年'!J17)</f>
        <v/>
      </c>
      <c r="C509" s="31">
        <f>IF('5年'!K17="","",'5年'!K17)</f>
        <v/>
      </c>
      <c r="D509" s="31">
        <f>IF('5年'!K17="","",'5年'!L17&amp;"")</f>
        <v/>
      </c>
      <c r="E509" s="31">
        <f>IF(D509="","",IFERROR(MATCH(D509,設定!$I$11:$I$30,0),""))</f>
        <v/>
      </c>
      <c r="F509" s="31">
        <f>IF(E509="","",COUNTIF($E$2:E509,E509))</f>
        <v/>
      </c>
      <c r="G509" s="31">
        <f>IF(E509="","",E509*1000+F509)</f>
        <v/>
      </c>
      <c r="H509" s="31">
        <f>設定!$B$8</f>
        <v/>
      </c>
      <c r="I509" s="31">
        <f>IF(AND(C509&lt;&gt;"",D509=""),1,0)</f>
        <v/>
      </c>
      <c r="J509" s="31">
        <f>IF(AND(D509&lt;&gt;"",E509=""),1,0)</f>
        <v/>
      </c>
    </row>
    <row r="510">
      <c r="A510" s="31">
        <f>IF('5年'!K18="","",設定!$C$22)</f>
        <v/>
      </c>
      <c r="B510" s="31">
        <f>IF('5年'!K18="","",'5年'!J18)</f>
        <v/>
      </c>
      <c r="C510" s="31">
        <f>IF('5年'!K18="","",'5年'!K18)</f>
        <v/>
      </c>
      <c r="D510" s="31">
        <f>IF('5年'!K18="","",'5年'!L18&amp;"")</f>
        <v/>
      </c>
      <c r="E510" s="31">
        <f>IF(D510="","",IFERROR(MATCH(D510,設定!$I$11:$I$30,0),""))</f>
        <v/>
      </c>
      <c r="F510" s="31">
        <f>IF(E510="","",COUNTIF($E$2:E510,E510))</f>
        <v/>
      </c>
      <c r="G510" s="31">
        <f>IF(E510="","",E510*1000+F510)</f>
        <v/>
      </c>
      <c r="H510" s="31">
        <f>設定!$B$8</f>
        <v/>
      </c>
      <c r="I510" s="31">
        <f>IF(AND(C510&lt;&gt;"",D510=""),1,0)</f>
        <v/>
      </c>
      <c r="J510" s="31">
        <f>IF(AND(D510&lt;&gt;"",E510=""),1,0)</f>
        <v/>
      </c>
    </row>
    <row r="511">
      <c r="A511" s="31">
        <f>IF('5年'!K19="","",設定!$C$22)</f>
        <v/>
      </c>
      <c r="B511" s="31">
        <f>IF('5年'!K19="","",'5年'!J19)</f>
        <v/>
      </c>
      <c r="C511" s="31">
        <f>IF('5年'!K19="","",'5年'!K19)</f>
        <v/>
      </c>
      <c r="D511" s="31">
        <f>IF('5年'!K19="","",'5年'!L19&amp;"")</f>
        <v/>
      </c>
      <c r="E511" s="31">
        <f>IF(D511="","",IFERROR(MATCH(D511,設定!$I$11:$I$30,0),""))</f>
        <v/>
      </c>
      <c r="F511" s="31">
        <f>IF(E511="","",COUNTIF($E$2:E511,E511))</f>
        <v/>
      </c>
      <c r="G511" s="31">
        <f>IF(E511="","",E511*1000+F511)</f>
        <v/>
      </c>
      <c r="H511" s="31">
        <f>設定!$B$8</f>
        <v/>
      </c>
      <c r="I511" s="31">
        <f>IF(AND(C511&lt;&gt;"",D511=""),1,0)</f>
        <v/>
      </c>
      <c r="J511" s="31">
        <f>IF(AND(D511&lt;&gt;"",E511=""),1,0)</f>
        <v/>
      </c>
    </row>
    <row r="512">
      <c r="A512" s="31">
        <f>IF('5年'!K20="","",設定!$C$22)</f>
        <v/>
      </c>
      <c r="B512" s="31">
        <f>IF('5年'!K20="","",'5年'!J20)</f>
        <v/>
      </c>
      <c r="C512" s="31">
        <f>IF('5年'!K20="","",'5年'!K20)</f>
        <v/>
      </c>
      <c r="D512" s="31">
        <f>IF('5年'!K20="","",'5年'!L20&amp;"")</f>
        <v/>
      </c>
      <c r="E512" s="31">
        <f>IF(D512="","",IFERROR(MATCH(D512,設定!$I$11:$I$30,0),""))</f>
        <v/>
      </c>
      <c r="F512" s="31">
        <f>IF(E512="","",COUNTIF($E$2:E512,E512))</f>
        <v/>
      </c>
      <c r="G512" s="31">
        <f>IF(E512="","",E512*1000+F512)</f>
        <v/>
      </c>
      <c r="H512" s="31">
        <f>設定!$B$8</f>
        <v/>
      </c>
      <c r="I512" s="31">
        <f>IF(AND(C512&lt;&gt;"",D512=""),1,0)</f>
        <v/>
      </c>
      <c r="J512" s="31">
        <f>IF(AND(D512&lt;&gt;"",E512=""),1,0)</f>
        <v/>
      </c>
    </row>
    <row r="513">
      <c r="A513" s="31">
        <f>IF('5年'!K21="","",設定!$C$22)</f>
        <v/>
      </c>
      <c r="B513" s="31">
        <f>IF('5年'!K21="","",'5年'!J21)</f>
        <v/>
      </c>
      <c r="C513" s="31">
        <f>IF('5年'!K21="","",'5年'!K21)</f>
        <v/>
      </c>
      <c r="D513" s="31">
        <f>IF('5年'!K21="","",'5年'!L21&amp;"")</f>
        <v/>
      </c>
      <c r="E513" s="31">
        <f>IF(D513="","",IFERROR(MATCH(D513,設定!$I$11:$I$30,0),""))</f>
        <v/>
      </c>
      <c r="F513" s="31">
        <f>IF(E513="","",COUNTIF($E$2:E513,E513))</f>
        <v/>
      </c>
      <c r="G513" s="31">
        <f>IF(E513="","",E513*1000+F513)</f>
        <v/>
      </c>
      <c r="H513" s="31">
        <f>設定!$B$8</f>
        <v/>
      </c>
      <c r="I513" s="31">
        <f>IF(AND(C513&lt;&gt;"",D513=""),1,0)</f>
        <v/>
      </c>
      <c r="J513" s="31">
        <f>IF(AND(D513&lt;&gt;"",E513=""),1,0)</f>
        <v/>
      </c>
    </row>
    <row r="514">
      <c r="A514" s="31">
        <f>IF('5年'!K22="","",設定!$C$22)</f>
        <v/>
      </c>
      <c r="B514" s="31">
        <f>IF('5年'!K22="","",'5年'!J22)</f>
        <v/>
      </c>
      <c r="C514" s="31">
        <f>IF('5年'!K22="","",'5年'!K22)</f>
        <v/>
      </c>
      <c r="D514" s="31">
        <f>IF('5年'!K22="","",'5年'!L22&amp;"")</f>
        <v/>
      </c>
      <c r="E514" s="31">
        <f>IF(D514="","",IFERROR(MATCH(D514,設定!$I$11:$I$30,0),""))</f>
        <v/>
      </c>
      <c r="F514" s="31">
        <f>IF(E514="","",COUNTIF($E$2:E514,E514))</f>
        <v/>
      </c>
      <c r="G514" s="31">
        <f>IF(E514="","",E514*1000+F514)</f>
        <v/>
      </c>
      <c r="H514" s="31">
        <f>設定!$B$8</f>
        <v/>
      </c>
      <c r="I514" s="31">
        <f>IF(AND(C514&lt;&gt;"",D514=""),1,0)</f>
        <v/>
      </c>
      <c r="J514" s="31">
        <f>IF(AND(D514&lt;&gt;"",E514=""),1,0)</f>
        <v/>
      </c>
    </row>
    <row r="515">
      <c r="A515" s="31">
        <f>IF('5年'!K23="","",設定!$C$22)</f>
        <v/>
      </c>
      <c r="B515" s="31">
        <f>IF('5年'!K23="","",'5年'!J23)</f>
        <v/>
      </c>
      <c r="C515" s="31">
        <f>IF('5年'!K23="","",'5年'!K23)</f>
        <v/>
      </c>
      <c r="D515" s="31">
        <f>IF('5年'!K23="","",'5年'!L23&amp;"")</f>
        <v/>
      </c>
      <c r="E515" s="31">
        <f>IF(D515="","",IFERROR(MATCH(D515,設定!$I$11:$I$30,0),""))</f>
        <v/>
      </c>
      <c r="F515" s="31">
        <f>IF(E515="","",COUNTIF($E$2:E515,E515))</f>
        <v/>
      </c>
      <c r="G515" s="31">
        <f>IF(E515="","",E515*1000+F515)</f>
        <v/>
      </c>
      <c r="H515" s="31">
        <f>設定!$B$8</f>
        <v/>
      </c>
      <c r="I515" s="31">
        <f>IF(AND(C515&lt;&gt;"",D515=""),1,0)</f>
        <v/>
      </c>
      <c r="J515" s="31">
        <f>IF(AND(D515&lt;&gt;"",E515=""),1,0)</f>
        <v/>
      </c>
    </row>
    <row r="516">
      <c r="A516" s="31">
        <f>IF('5年'!K24="","",設定!$C$22)</f>
        <v/>
      </c>
      <c r="B516" s="31">
        <f>IF('5年'!K24="","",'5年'!J24)</f>
        <v/>
      </c>
      <c r="C516" s="31">
        <f>IF('5年'!K24="","",'5年'!K24)</f>
        <v/>
      </c>
      <c r="D516" s="31">
        <f>IF('5年'!K24="","",'5年'!L24&amp;"")</f>
        <v/>
      </c>
      <c r="E516" s="31">
        <f>IF(D516="","",IFERROR(MATCH(D516,設定!$I$11:$I$30,0),""))</f>
        <v/>
      </c>
      <c r="F516" s="31">
        <f>IF(E516="","",COUNTIF($E$2:E516,E516))</f>
        <v/>
      </c>
      <c r="G516" s="31">
        <f>IF(E516="","",E516*1000+F516)</f>
        <v/>
      </c>
      <c r="H516" s="31">
        <f>設定!$B$8</f>
        <v/>
      </c>
      <c r="I516" s="31">
        <f>IF(AND(C516&lt;&gt;"",D516=""),1,0)</f>
        <v/>
      </c>
      <c r="J516" s="31">
        <f>IF(AND(D516&lt;&gt;"",E516=""),1,0)</f>
        <v/>
      </c>
    </row>
    <row r="517">
      <c r="A517" s="31">
        <f>IF('5年'!K25="","",設定!$C$22)</f>
        <v/>
      </c>
      <c r="B517" s="31">
        <f>IF('5年'!K25="","",'5年'!J25)</f>
        <v/>
      </c>
      <c r="C517" s="31">
        <f>IF('5年'!K25="","",'5年'!K25)</f>
        <v/>
      </c>
      <c r="D517" s="31">
        <f>IF('5年'!K25="","",'5年'!L25&amp;"")</f>
        <v/>
      </c>
      <c r="E517" s="31">
        <f>IF(D517="","",IFERROR(MATCH(D517,設定!$I$11:$I$30,0),""))</f>
        <v/>
      </c>
      <c r="F517" s="31">
        <f>IF(E517="","",COUNTIF($E$2:E517,E517))</f>
        <v/>
      </c>
      <c r="G517" s="31">
        <f>IF(E517="","",E517*1000+F517)</f>
        <v/>
      </c>
      <c r="H517" s="31">
        <f>設定!$B$8</f>
        <v/>
      </c>
      <c r="I517" s="31">
        <f>IF(AND(C517&lt;&gt;"",D517=""),1,0)</f>
        <v/>
      </c>
      <c r="J517" s="31">
        <f>IF(AND(D517&lt;&gt;"",E517=""),1,0)</f>
        <v/>
      </c>
    </row>
    <row r="518">
      <c r="A518" s="31">
        <f>IF('5年'!K26="","",設定!$C$22)</f>
        <v/>
      </c>
      <c r="B518" s="31">
        <f>IF('5年'!K26="","",'5年'!J26)</f>
        <v/>
      </c>
      <c r="C518" s="31">
        <f>IF('5年'!K26="","",'5年'!K26)</f>
        <v/>
      </c>
      <c r="D518" s="31">
        <f>IF('5年'!K26="","",'5年'!L26&amp;"")</f>
        <v/>
      </c>
      <c r="E518" s="31">
        <f>IF(D518="","",IFERROR(MATCH(D518,設定!$I$11:$I$30,0),""))</f>
        <v/>
      </c>
      <c r="F518" s="31">
        <f>IF(E518="","",COUNTIF($E$2:E518,E518))</f>
        <v/>
      </c>
      <c r="G518" s="31">
        <f>IF(E518="","",E518*1000+F518)</f>
        <v/>
      </c>
      <c r="H518" s="31">
        <f>設定!$B$8</f>
        <v/>
      </c>
      <c r="I518" s="31">
        <f>IF(AND(C518&lt;&gt;"",D518=""),1,0)</f>
        <v/>
      </c>
      <c r="J518" s="31">
        <f>IF(AND(D518&lt;&gt;"",E518=""),1,0)</f>
        <v/>
      </c>
    </row>
    <row r="519">
      <c r="A519" s="31">
        <f>IF('5年'!K27="","",設定!$C$22)</f>
        <v/>
      </c>
      <c r="B519" s="31">
        <f>IF('5年'!K27="","",'5年'!J27)</f>
        <v/>
      </c>
      <c r="C519" s="31">
        <f>IF('5年'!K27="","",'5年'!K27)</f>
        <v/>
      </c>
      <c r="D519" s="31">
        <f>IF('5年'!K27="","",'5年'!L27&amp;"")</f>
        <v/>
      </c>
      <c r="E519" s="31">
        <f>IF(D519="","",IFERROR(MATCH(D519,設定!$I$11:$I$30,0),""))</f>
        <v/>
      </c>
      <c r="F519" s="31">
        <f>IF(E519="","",COUNTIF($E$2:E519,E519))</f>
        <v/>
      </c>
      <c r="G519" s="31">
        <f>IF(E519="","",E519*1000+F519)</f>
        <v/>
      </c>
      <c r="H519" s="31">
        <f>設定!$B$8</f>
        <v/>
      </c>
      <c r="I519" s="31">
        <f>IF(AND(C519&lt;&gt;"",D519=""),1,0)</f>
        <v/>
      </c>
      <c r="J519" s="31">
        <f>IF(AND(D519&lt;&gt;"",E519=""),1,0)</f>
        <v/>
      </c>
    </row>
    <row r="520">
      <c r="A520" s="31">
        <f>IF('5年'!K28="","",設定!$C$22)</f>
        <v/>
      </c>
      <c r="B520" s="31">
        <f>IF('5年'!K28="","",'5年'!J28)</f>
        <v/>
      </c>
      <c r="C520" s="31">
        <f>IF('5年'!K28="","",'5年'!K28)</f>
        <v/>
      </c>
      <c r="D520" s="31">
        <f>IF('5年'!K28="","",'5年'!L28&amp;"")</f>
        <v/>
      </c>
      <c r="E520" s="31">
        <f>IF(D520="","",IFERROR(MATCH(D520,設定!$I$11:$I$30,0),""))</f>
        <v/>
      </c>
      <c r="F520" s="31">
        <f>IF(E520="","",COUNTIF($E$2:E520,E520))</f>
        <v/>
      </c>
      <c r="G520" s="31">
        <f>IF(E520="","",E520*1000+F520)</f>
        <v/>
      </c>
      <c r="H520" s="31">
        <f>設定!$B$8</f>
        <v/>
      </c>
      <c r="I520" s="31">
        <f>IF(AND(C520&lt;&gt;"",D520=""),1,0)</f>
        <v/>
      </c>
      <c r="J520" s="31">
        <f>IF(AND(D520&lt;&gt;"",E520=""),1,0)</f>
        <v/>
      </c>
    </row>
    <row r="521">
      <c r="A521" s="31">
        <f>IF('5年'!K29="","",設定!$C$22)</f>
        <v/>
      </c>
      <c r="B521" s="31">
        <f>IF('5年'!K29="","",'5年'!J29)</f>
        <v/>
      </c>
      <c r="C521" s="31">
        <f>IF('5年'!K29="","",'5年'!K29)</f>
        <v/>
      </c>
      <c r="D521" s="31">
        <f>IF('5年'!K29="","",'5年'!L29&amp;"")</f>
        <v/>
      </c>
      <c r="E521" s="31">
        <f>IF(D521="","",IFERROR(MATCH(D521,設定!$I$11:$I$30,0),""))</f>
        <v/>
      </c>
      <c r="F521" s="31">
        <f>IF(E521="","",COUNTIF($E$2:E521,E521))</f>
        <v/>
      </c>
      <c r="G521" s="31">
        <f>IF(E521="","",E521*1000+F521)</f>
        <v/>
      </c>
      <c r="H521" s="31">
        <f>設定!$B$8</f>
        <v/>
      </c>
      <c r="I521" s="31">
        <f>IF(AND(C521&lt;&gt;"",D521=""),1,0)</f>
        <v/>
      </c>
      <c r="J521" s="31">
        <f>IF(AND(D521&lt;&gt;"",E521=""),1,0)</f>
        <v/>
      </c>
    </row>
    <row r="522">
      <c r="A522" s="31">
        <f>IF('5年'!K30="","",設定!$C$22)</f>
        <v/>
      </c>
      <c r="B522" s="31">
        <f>IF('5年'!K30="","",'5年'!J30)</f>
        <v/>
      </c>
      <c r="C522" s="31">
        <f>IF('5年'!K30="","",'5年'!K30)</f>
        <v/>
      </c>
      <c r="D522" s="31">
        <f>IF('5年'!K30="","",'5年'!L30&amp;"")</f>
        <v/>
      </c>
      <c r="E522" s="31">
        <f>IF(D522="","",IFERROR(MATCH(D522,設定!$I$11:$I$30,0),""))</f>
        <v/>
      </c>
      <c r="F522" s="31">
        <f>IF(E522="","",COUNTIF($E$2:E522,E522))</f>
        <v/>
      </c>
      <c r="G522" s="31">
        <f>IF(E522="","",E522*1000+F522)</f>
        <v/>
      </c>
      <c r="H522" s="31">
        <f>設定!$B$8</f>
        <v/>
      </c>
      <c r="I522" s="31">
        <f>IF(AND(C522&lt;&gt;"",D522=""),1,0)</f>
        <v/>
      </c>
      <c r="J522" s="31">
        <f>IF(AND(D522&lt;&gt;"",E522=""),1,0)</f>
        <v/>
      </c>
    </row>
    <row r="523">
      <c r="A523" s="31">
        <f>IF('5年'!K31="","",設定!$C$22)</f>
        <v/>
      </c>
      <c r="B523" s="31">
        <f>IF('5年'!K31="","",'5年'!J31)</f>
        <v/>
      </c>
      <c r="C523" s="31">
        <f>IF('5年'!K31="","",'5年'!K31)</f>
        <v/>
      </c>
      <c r="D523" s="31">
        <f>IF('5年'!K31="","",'5年'!L31&amp;"")</f>
        <v/>
      </c>
      <c r="E523" s="31">
        <f>IF(D523="","",IFERROR(MATCH(D523,設定!$I$11:$I$30,0),""))</f>
        <v/>
      </c>
      <c r="F523" s="31">
        <f>IF(E523="","",COUNTIF($E$2:E523,E523))</f>
        <v/>
      </c>
      <c r="G523" s="31">
        <f>IF(E523="","",E523*1000+F523)</f>
        <v/>
      </c>
      <c r="H523" s="31">
        <f>設定!$B$8</f>
        <v/>
      </c>
      <c r="I523" s="31">
        <f>IF(AND(C523&lt;&gt;"",D523=""),1,0)</f>
        <v/>
      </c>
      <c r="J523" s="31">
        <f>IF(AND(D523&lt;&gt;"",E523=""),1,0)</f>
        <v/>
      </c>
    </row>
    <row r="524">
      <c r="A524" s="31">
        <f>IF('5年'!K32="","",設定!$C$22)</f>
        <v/>
      </c>
      <c r="B524" s="31">
        <f>IF('5年'!K32="","",'5年'!J32)</f>
        <v/>
      </c>
      <c r="C524" s="31">
        <f>IF('5年'!K32="","",'5年'!K32)</f>
        <v/>
      </c>
      <c r="D524" s="31">
        <f>IF('5年'!K32="","",'5年'!L32&amp;"")</f>
        <v/>
      </c>
      <c r="E524" s="31">
        <f>IF(D524="","",IFERROR(MATCH(D524,設定!$I$11:$I$30,0),""))</f>
        <v/>
      </c>
      <c r="F524" s="31">
        <f>IF(E524="","",COUNTIF($E$2:E524,E524))</f>
        <v/>
      </c>
      <c r="G524" s="31">
        <f>IF(E524="","",E524*1000+F524)</f>
        <v/>
      </c>
      <c r="H524" s="31">
        <f>設定!$B$8</f>
        <v/>
      </c>
      <c r="I524" s="31">
        <f>IF(AND(C524&lt;&gt;"",D524=""),1,0)</f>
        <v/>
      </c>
      <c r="J524" s="31">
        <f>IF(AND(D524&lt;&gt;"",E524=""),1,0)</f>
        <v/>
      </c>
    </row>
    <row r="525">
      <c r="A525" s="31">
        <f>IF('5年'!K33="","",設定!$C$22)</f>
        <v/>
      </c>
      <c r="B525" s="31">
        <f>IF('5年'!K33="","",'5年'!J33)</f>
        <v/>
      </c>
      <c r="C525" s="31">
        <f>IF('5年'!K33="","",'5年'!K33)</f>
        <v/>
      </c>
      <c r="D525" s="31">
        <f>IF('5年'!K33="","",'5年'!L33&amp;"")</f>
        <v/>
      </c>
      <c r="E525" s="31">
        <f>IF(D525="","",IFERROR(MATCH(D525,設定!$I$11:$I$30,0),""))</f>
        <v/>
      </c>
      <c r="F525" s="31">
        <f>IF(E525="","",COUNTIF($E$2:E525,E525))</f>
        <v/>
      </c>
      <c r="G525" s="31">
        <f>IF(E525="","",E525*1000+F525)</f>
        <v/>
      </c>
      <c r="H525" s="31">
        <f>設定!$B$8</f>
        <v/>
      </c>
      <c r="I525" s="31">
        <f>IF(AND(C525&lt;&gt;"",D525=""),1,0)</f>
        <v/>
      </c>
      <c r="J525" s="31">
        <f>IF(AND(D525&lt;&gt;"",E525=""),1,0)</f>
        <v/>
      </c>
    </row>
    <row r="526">
      <c r="A526" s="31">
        <f>IF('5年'!K34="","",設定!$C$22)</f>
        <v/>
      </c>
      <c r="B526" s="31">
        <f>IF('5年'!K34="","",'5年'!J34)</f>
        <v/>
      </c>
      <c r="C526" s="31">
        <f>IF('5年'!K34="","",'5年'!K34)</f>
        <v/>
      </c>
      <c r="D526" s="31">
        <f>IF('5年'!K34="","",'5年'!L34&amp;"")</f>
        <v/>
      </c>
      <c r="E526" s="31">
        <f>IF(D526="","",IFERROR(MATCH(D526,設定!$I$11:$I$30,0),""))</f>
        <v/>
      </c>
      <c r="F526" s="31">
        <f>IF(E526="","",COUNTIF($E$2:E526,E526))</f>
        <v/>
      </c>
      <c r="G526" s="31">
        <f>IF(E526="","",E526*1000+F526)</f>
        <v/>
      </c>
      <c r="H526" s="31">
        <f>設定!$B$8</f>
        <v/>
      </c>
      <c r="I526" s="31">
        <f>IF(AND(C526&lt;&gt;"",D526=""),1,0)</f>
        <v/>
      </c>
      <c r="J526" s="31">
        <f>IF(AND(D526&lt;&gt;"",E526=""),1,0)</f>
        <v/>
      </c>
    </row>
    <row r="527">
      <c r="A527" s="31">
        <f>IF('5年'!K35="","",設定!$C$22)</f>
        <v/>
      </c>
      <c r="B527" s="31">
        <f>IF('5年'!K35="","",'5年'!J35)</f>
        <v/>
      </c>
      <c r="C527" s="31">
        <f>IF('5年'!K35="","",'5年'!K35)</f>
        <v/>
      </c>
      <c r="D527" s="31">
        <f>IF('5年'!K35="","",'5年'!L35&amp;"")</f>
        <v/>
      </c>
      <c r="E527" s="31">
        <f>IF(D527="","",IFERROR(MATCH(D527,設定!$I$11:$I$30,0),""))</f>
        <v/>
      </c>
      <c r="F527" s="31">
        <f>IF(E527="","",COUNTIF($E$2:E527,E527))</f>
        <v/>
      </c>
      <c r="G527" s="31">
        <f>IF(E527="","",E527*1000+F527)</f>
        <v/>
      </c>
      <c r="H527" s="31">
        <f>設定!$B$8</f>
        <v/>
      </c>
      <c r="I527" s="31">
        <f>IF(AND(C527&lt;&gt;"",D527=""),1,0)</f>
        <v/>
      </c>
      <c r="J527" s="31">
        <f>IF(AND(D527&lt;&gt;"",E527=""),1,0)</f>
        <v/>
      </c>
    </row>
    <row r="528">
      <c r="A528" s="31">
        <f>IF('5年'!K36="","",設定!$C$22)</f>
        <v/>
      </c>
      <c r="B528" s="31">
        <f>IF('5年'!K36="","",'5年'!J36)</f>
        <v/>
      </c>
      <c r="C528" s="31">
        <f>IF('5年'!K36="","",'5年'!K36)</f>
        <v/>
      </c>
      <c r="D528" s="31">
        <f>IF('5年'!K36="","",'5年'!L36&amp;"")</f>
        <v/>
      </c>
      <c r="E528" s="31">
        <f>IF(D528="","",IFERROR(MATCH(D528,設定!$I$11:$I$30,0),""))</f>
        <v/>
      </c>
      <c r="F528" s="31">
        <f>IF(E528="","",COUNTIF($E$2:E528,E528))</f>
        <v/>
      </c>
      <c r="G528" s="31">
        <f>IF(E528="","",E528*1000+F528)</f>
        <v/>
      </c>
      <c r="H528" s="31">
        <f>設定!$B$8</f>
        <v/>
      </c>
      <c r="I528" s="31">
        <f>IF(AND(C528&lt;&gt;"",D528=""),1,0)</f>
        <v/>
      </c>
      <c r="J528" s="31">
        <f>IF(AND(D528&lt;&gt;"",E528=""),1,0)</f>
        <v/>
      </c>
    </row>
    <row r="529">
      <c r="A529" s="31">
        <f>IF('5年'!K37="","",設定!$C$22)</f>
        <v/>
      </c>
      <c r="B529" s="31">
        <f>IF('5年'!K37="","",'5年'!J37)</f>
        <v/>
      </c>
      <c r="C529" s="31">
        <f>IF('5年'!K37="","",'5年'!K37)</f>
        <v/>
      </c>
      <c r="D529" s="31">
        <f>IF('5年'!K37="","",'5年'!L37&amp;"")</f>
        <v/>
      </c>
      <c r="E529" s="31">
        <f>IF(D529="","",IFERROR(MATCH(D529,設定!$I$11:$I$30,0),""))</f>
        <v/>
      </c>
      <c r="F529" s="31">
        <f>IF(E529="","",COUNTIF($E$2:E529,E529))</f>
        <v/>
      </c>
      <c r="G529" s="31">
        <f>IF(E529="","",E529*1000+F529)</f>
        <v/>
      </c>
      <c r="H529" s="31">
        <f>設定!$B$8</f>
        <v/>
      </c>
      <c r="I529" s="31">
        <f>IF(AND(C529&lt;&gt;"",D529=""),1,0)</f>
        <v/>
      </c>
      <c r="J529" s="31">
        <f>IF(AND(D529&lt;&gt;"",E529=""),1,0)</f>
        <v/>
      </c>
    </row>
    <row r="530">
      <c r="A530" s="31">
        <f>IF('5年'!K38="","",設定!$C$22)</f>
        <v/>
      </c>
      <c r="B530" s="31">
        <f>IF('5年'!K38="","",'5年'!J38)</f>
        <v/>
      </c>
      <c r="C530" s="31">
        <f>IF('5年'!K38="","",'5年'!K38)</f>
        <v/>
      </c>
      <c r="D530" s="31">
        <f>IF('5年'!K38="","",'5年'!L38&amp;"")</f>
        <v/>
      </c>
      <c r="E530" s="31">
        <f>IF(D530="","",IFERROR(MATCH(D530,設定!$I$11:$I$30,0),""))</f>
        <v/>
      </c>
      <c r="F530" s="31">
        <f>IF(E530="","",COUNTIF($E$2:E530,E530))</f>
        <v/>
      </c>
      <c r="G530" s="31">
        <f>IF(E530="","",E530*1000+F530)</f>
        <v/>
      </c>
      <c r="H530" s="31">
        <f>設定!$B$8</f>
        <v/>
      </c>
      <c r="I530" s="31">
        <f>IF(AND(C530&lt;&gt;"",D530=""),1,0)</f>
        <v/>
      </c>
      <c r="J530" s="31">
        <f>IF(AND(D530&lt;&gt;"",E530=""),1,0)</f>
        <v/>
      </c>
    </row>
    <row r="531">
      <c r="A531" s="31">
        <f>IF('5年'!K39="","",設定!$C$22)</f>
        <v/>
      </c>
      <c r="B531" s="31">
        <f>IF('5年'!K39="","",'5年'!J39)</f>
        <v/>
      </c>
      <c r="C531" s="31">
        <f>IF('5年'!K39="","",'5年'!K39)</f>
        <v/>
      </c>
      <c r="D531" s="31">
        <f>IF('5年'!K39="","",'5年'!L39&amp;"")</f>
        <v/>
      </c>
      <c r="E531" s="31">
        <f>IF(D531="","",IFERROR(MATCH(D531,設定!$I$11:$I$30,0),""))</f>
        <v/>
      </c>
      <c r="F531" s="31">
        <f>IF(E531="","",COUNTIF($E$2:E531,E531))</f>
        <v/>
      </c>
      <c r="G531" s="31">
        <f>IF(E531="","",E531*1000+F531)</f>
        <v/>
      </c>
      <c r="H531" s="31">
        <f>設定!$B$8</f>
        <v/>
      </c>
      <c r="I531" s="31">
        <f>IF(AND(C531&lt;&gt;"",D531=""),1,0)</f>
        <v/>
      </c>
      <c r="J531" s="31">
        <f>IF(AND(D531&lt;&gt;"",E531=""),1,0)</f>
        <v/>
      </c>
    </row>
    <row r="532">
      <c r="A532" s="31">
        <f>IF('5年'!K40="","",設定!$C$22)</f>
        <v/>
      </c>
      <c r="B532" s="31">
        <f>IF('5年'!K40="","",'5年'!J40)</f>
        <v/>
      </c>
      <c r="C532" s="31">
        <f>IF('5年'!K40="","",'5年'!K40)</f>
        <v/>
      </c>
      <c r="D532" s="31">
        <f>IF('5年'!K40="","",'5年'!L40&amp;"")</f>
        <v/>
      </c>
      <c r="E532" s="31">
        <f>IF(D532="","",IFERROR(MATCH(D532,設定!$I$11:$I$30,0),""))</f>
        <v/>
      </c>
      <c r="F532" s="31">
        <f>IF(E532="","",COUNTIF($E$2:E532,E532))</f>
        <v/>
      </c>
      <c r="G532" s="31">
        <f>IF(E532="","",E532*1000+F532)</f>
        <v/>
      </c>
      <c r="H532" s="31">
        <f>設定!$B$8</f>
        <v/>
      </c>
      <c r="I532" s="31">
        <f>IF(AND(C532&lt;&gt;"",D532=""),1,0)</f>
        <v/>
      </c>
      <c r="J532" s="31">
        <f>IF(AND(D532&lt;&gt;"",E532=""),1,0)</f>
        <v/>
      </c>
    </row>
    <row r="533">
      <c r="A533" s="31">
        <f>IF('5年'!K41="","",設定!$C$22)</f>
        <v/>
      </c>
      <c r="B533" s="31">
        <f>IF('5年'!K41="","",'5年'!J41)</f>
        <v/>
      </c>
      <c r="C533" s="31">
        <f>IF('5年'!K41="","",'5年'!K41)</f>
        <v/>
      </c>
      <c r="D533" s="31">
        <f>IF('5年'!K41="","",'5年'!L41&amp;"")</f>
        <v/>
      </c>
      <c r="E533" s="31">
        <f>IF(D533="","",IFERROR(MATCH(D533,設定!$I$11:$I$30,0),""))</f>
        <v/>
      </c>
      <c r="F533" s="31">
        <f>IF(E533="","",COUNTIF($E$2:E533,E533))</f>
        <v/>
      </c>
      <c r="G533" s="31">
        <f>IF(E533="","",E533*1000+F533)</f>
        <v/>
      </c>
      <c r="H533" s="31">
        <f>設定!$B$8</f>
        <v/>
      </c>
      <c r="I533" s="31">
        <f>IF(AND(C533&lt;&gt;"",D533=""),1,0)</f>
        <v/>
      </c>
      <c r="J533" s="31">
        <f>IF(AND(D533&lt;&gt;"",E533=""),1,0)</f>
        <v/>
      </c>
    </row>
    <row r="534">
      <c r="A534" s="31">
        <f>IF('5年'!K42="","",設定!$C$22)</f>
        <v/>
      </c>
      <c r="B534" s="31">
        <f>IF('5年'!K42="","",'5年'!J42)</f>
        <v/>
      </c>
      <c r="C534" s="31">
        <f>IF('5年'!K42="","",'5年'!K42)</f>
        <v/>
      </c>
      <c r="D534" s="31">
        <f>IF('5年'!K42="","",'5年'!L42&amp;"")</f>
        <v/>
      </c>
      <c r="E534" s="31">
        <f>IF(D534="","",IFERROR(MATCH(D534,設定!$I$11:$I$30,0),""))</f>
        <v/>
      </c>
      <c r="F534" s="31">
        <f>IF(E534="","",COUNTIF($E$2:E534,E534))</f>
        <v/>
      </c>
      <c r="G534" s="31">
        <f>IF(E534="","",E534*1000+F534)</f>
        <v/>
      </c>
      <c r="H534" s="31">
        <f>設定!$B$8</f>
        <v/>
      </c>
      <c r="I534" s="31">
        <f>IF(AND(C534&lt;&gt;"",D534=""),1,0)</f>
        <v/>
      </c>
      <c r="J534" s="31">
        <f>IF(AND(D534&lt;&gt;"",E534=""),1,0)</f>
        <v/>
      </c>
    </row>
    <row r="535">
      <c r="A535" s="31">
        <f>IF('5年'!K43="","",設定!$C$22)</f>
        <v/>
      </c>
      <c r="B535" s="31">
        <f>IF('5年'!K43="","",'5年'!J43)</f>
        <v/>
      </c>
      <c r="C535" s="31">
        <f>IF('5年'!K43="","",'5年'!K43)</f>
        <v/>
      </c>
      <c r="D535" s="31">
        <f>IF('5年'!K43="","",'5年'!L43&amp;"")</f>
        <v/>
      </c>
      <c r="E535" s="31">
        <f>IF(D535="","",IFERROR(MATCH(D535,設定!$I$11:$I$30,0),""))</f>
        <v/>
      </c>
      <c r="F535" s="31">
        <f>IF(E535="","",COUNTIF($E$2:E535,E535))</f>
        <v/>
      </c>
      <c r="G535" s="31">
        <f>IF(E535="","",E535*1000+F535)</f>
        <v/>
      </c>
      <c r="H535" s="31">
        <f>設定!$B$8</f>
        <v/>
      </c>
      <c r="I535" s="31">
        <f>IF(AND(C535&lt;&gt;"",D535=""),1,0)</f>
        <v/>
      </c>
      <c r="J535" s="31">
        <f>IF(AND(D535&lt;&gt;"",E535=""),1,0)</f>
        <v/>
      </c>
    </row>
    <row r="536">
      <c r="A536" s="31">
        <f>IF('5年'!K44="","",設定!$C$22)</f>
        <v/>
      </c>
      <c r="B536" s="31">
        <f>IF('5年'!K44="","",'5年'!J44)</f>
        <v/>
      </c>
      <c r="C536" s="31">
        <f>IF('5年'!K44="","",'5年'!K44)</f>
        <v/>
      </c>
      <c r="D536" s="31">
        <f>IF('5年'!K44="","",'5年'!L44&amp;"")</f>
        <v/>
      </c>
      <c r="E536" s="31">
        <f>IF(D536="","",IFERROR(MATCH(D536,設定!$I$11:$I$30,0),""))</f>
        <v/>
      </c>
      <c r="F536" s="31">
        <f>IF(E536="","",COUNTIF($E$2:E536,E536))</f>
        <v/>
      </c>
      <c r="G536" s="31">
        <f>IF(E536="","",E536*1000+F536)</f>
        <v/>
      </c>
      <c r="H536" s="31">
        <f>設定!$B$8</f>
        <v/>
      </c>
      <c r="I536" s="31">
        <f>IF(AND(C536&lt;&gt;"",D536=""),1,0)</f>
        <v/>
      </c>
      <c r="J536" s="31">
        <f>IF(AND(D536&lt;&gt;"",E536=""),1,0)</f>
        <v/>
      </c>
    </row>
    <row r="537">
      <c r="A537" s="31">
        <f>IF('5年'!K45="","",設定!$C$22)</f>
        <v/>
      </c>
      <c r="B537" s="31">
        <f>IF('5年'!K45="","",'5年'!J45)</f>
        <v/>
      </c>
      <c r="C537" s="31">
        <f>IF('5年'!K45="","",'5年'!K45)</f>
        <v/>
      </c>
      <c r="D537" s="31">
        <f>IF('5年'!K45="","",'5年'!L45&amp;"")</f>
        <v/>
      </c>
      <c r="E537" s="31">
        <f>IF(D537="","",IFERROR(MATCH(D537,設定!$I$11:$I$30,0),""))</f>
        <v/>
      </c>
      <c r="F537" s="31">
        <f>IF(E537="","",COUNTIF($E$2:E537,E537))</f>
        <v/>
      </c>
      <c r="G537" s="31">
        <f>IF(E537="","",E537*1000+F537)</f>
        <v/>
      </c>
      <c r="H537" s="31">
        <f>設定!$B$8</f>
        <v/>
      </c>
      <c r="I537" s="31">
        <f>IF(AND(C537&lt;&gt;"",D537=""),1,0)</f>
        <v/>
      </c>
      <c r="J537" s="31">
        <f>IF(AND(D537&lt;&gt;"",E537=""),1,0)</f>
        <v/>
      </c>
    </row>
    <row r="538">
      <c r="A538" s="31">
        <f>IF('5年'!K46="","",設定!$C$22)</f>
        <v/>
      </c>
      <c r="B538" s="31">
        <f>IF('5年'!K46="","",'5年'!J46)</f>
        <v/>
      </c>
      <c r="C538" s="31">
        <f>IF('5年'!K46="","",'5年'!K46)</f>
        <v/>
      </c>
      <c r="D538" s="31">
        <f>IF('5年'!K46="","",'5年'!L46&amp;"")</f>
        <v/>
      </c>
      <c r="E538" s="31">
        <f>IF(D538="","",IFERROR(MATCH(D538,設定!$I$11:$I$30,0),""))</f>
        <v/>
      </c>
      <c r="F538" s="31">
        <f>IF(E538="","",COUNTIF($E$2:E538,E538))</f>
        <v/>
      </c>
      <c r="G538" s="31">
        <f>IF(E538="","",E538*1000+F538)</f>
        <v/>
      </c>
      <c r="H538" s="31">
        <f>設定!$B$8</f>
        <v/>
      </c>
      <c r="I538" s="31">
        <f>IF(AND(C538&lt;&gt;"",D538=""),1,0)</f>
        <v/>
      </c>
      <c r="J538" s="31">
        <f>IF(AND(D538&lt;&gt;"",E538=""),1,0)</f>
        <v/>
      </c>
    </row>
    <row r="539">
      <c r="A539" s="31">
        <f>IF('5年'!K47="","",設定!$C$22)</f>
        <v/>
      </c>
      <c r="B539" s="31">
        <f>IF('5年'!K47="","",'5年'!J47)</f>
        <v/>
      </c>
      <c r="C539" s="31">
        <f>IF('5年'!K47="","",'5年'!K47)</f>
        <v/>
      </c>
      <c r="D539" s="31">
        <f>IF('5年'!K47="","",'5年'!L47&amp;"")</f>
        <v/>
      </c>
      <c r="E539" s="31">
        <f>IF(D539="","",IFERROR(MATCH(D539,設定!$I$11:$I$30,0),""))</f>
        <v/>
      </c>
      <c r="F539" s="31">
        <f>IF(E539="","",COUNTIF($E$2:E539,E539))</f>
        <v/>
      </c>
      <c r="G539" s="31">
        <f>IF(E539="","",E539*1000+F539)</f>
        <v/>
      </c>
      <c r="H539" s="31">
        <f>設定!$B$8</f>
        <v/>
      </c>
      <c r="I539" s="31">
        <f>IF(AND(C539&lt;&gt;"",D539=""),1,0)</f>
        <v/>
      </c>
      <c r="J539" s="31">
        <f>IF(AND(D539&lt;&gt;"",E539=""),1,0)</f>
        <v/>
      </c>
    </row>
    <row r="540">
      <c r="A540" s="31">
        <f>IF('5年'!K48="","",設定!$C$22)</f>
        <v/>
      </c>
      <c r="B540" s="31">
        <f>IF('5年'!K48="","",'5年'!J48)</f>
        <v/>
      </c>
      <c r="C540" s="31">
        <f>IF('5年'!K48="","",'5年'!K48)</f>
        <v/>
      </c>
      <c r="D540" s="31">
        <f>IF('5年'!K48="","",'5年'!L48&amp;"")</f>
        <v/>
      </c>
      <c r="E540" s="31">
        <f>IF(D540="","",IFERROR(MATCH(D540,設定!$I$11:$I$30,0),""))</f>
        <v/>
      </c>
      <c r="F540" s="31">
        <f>IF(E540="","",COUNTIF($E$2:E540,E540))</f>
        <v/>
      </c>
      <c r="G540" s="31">
        <f>IF(E540="","",E540*1000+F540)</f>
        <v/>
      </c>
      <c r="H540" s="31">
        <f>設定!$B$8</f>
        <v/>
      </c>
      <c r="I540" s="31">
        <f>IF(AND(C540&lt;&gt;"",D540=""),1,0)</f>
        <v/>
      </c>
      <c r="J540" s="31">
        <f>IF(AND(D540&lt;&gt;"",E540=""),1,0)</f>
        <v/>
      </c>
    </row>
    <row r="541">
      <c r="A541" s="31">
        <f>IF('5年'!K49="","",設定!$C$22)</f>
        <v/>
      </c>
      <c r="B541" s="31">
        <f>IF('5年'!K49="","",'5年'!J49)</f>
        <v/>
      </c>
      <c r="C541" s="31">
        <f>IF('5年'!K49="","",'5年'!K49)</f>
        <v/>
      </c>
      <c r="D541" s="31">
        <f>IF('5年'!K49="","",'5年'!L49&amp;"")</f>
        <v/>
      </c>
      <c r="E541" s="31">
        <f>IF(D541="","",IFERROR(MATCH(D541,設定!$I$11:$I$30,0),""))</f>
        <v/>
      </c>
      <c r="F541" s="31">
        <f>IF(E541="","",COUNTIF($E$2:E541,E541))</f>
        <v/>
      </c>
      <c r="G541" s="31">
        <f>IF(E541="","",E541*1000+F541)</f>
        <v/>
      </c>
      <c r="H541" s="31">
        <f>設定!$B$8</f>
        <v/>
      </c>
      <c r="I541" s="31">
        <f>IF(AND(C541&lt;&gt;"",D541=""),1,0)</f>
        <v/>
      </c>
      <c r="J541" s="31">
        <f>IF(AND(D541&lt;&gt;"",E541=""),1,0)</f>
        <v/>
      </c>
    </row>
    <row r="542">
      <c r="A542" s="31">
        <f>IF('5年'!N5="","",設定!$C$23)</f>
        <v/>
      </c>
      <c r="B542" s="31">
        <f>IF('5年'!N5="","",'5年'!M5)</f>
        <v/>
      </c>
      <c r="C542" s="31">
        <f>IF('5年'!N5="","",'5年'!N5)</f>
        <v/>
      </c>
      <c r="D542" s="31">
        <f>IF('5年'!N5="","",'5年'!O5&amp;"")</f>
        <v/>
      </c>
      <c r="E542" s="31">
        <f>IF(D542="","",IFERROR(MATCH(D542,設定!$I$11:$I$30,0),""))</f>
        <v/>
      </c>
      <c r="F542" s="31">
        <f>IF(E542="","",COUNTIF($E$2:E542,E542))</f>
        <v/>
      </c>
      <c r="G542" s="31">
        <f>IF(E542="","",E542*1000+F542)</f>
        <v/>
      </c>
      <c r="H542" s="31">
        <f>設定!$B$8</f>
        <v/>
      </c>
      <c r="I542" s="31">
        <f>IF(AND(C542&lt;&gt;"",D542=""),1,0)</f>
        <v/>
      </c>
      <c r="J542" s="31">
        <f>IF(AND(D542&lt;&gt;"",E542=""),1,0)</f>
        <v/>
      </c>
    </row>
    <row r="543">
      <c r="A543" s="31">
        <f>IF('5年'!N6="","",設定!$C$23)</f>
        <v/>
      </c>
      <c r="B543" s="31">
        <f>IF('5年'!N6="","",'5年'!M6)</f>
        <v/>
      </c>
      <c r="C543" s="31">
        <f>IF('5年'!N6="","",'5年'!N6)</f>
        <v/>
      </c>
      <c r="D543" s="31">
        <f>IF('5年'!N6="","",'5年'!O6&amp;"")</f>
        <v/>
      </c>
      <c r="E543" s="31">
        <f>IF(D543="","",IFERROR(MATCH(D543,設定!$I$11:$I$30,0),""))</f>
        <v/>
      </c>
      <c r="F543" s="31">
        <f>IF(E543="","",COUNTIF($E$2:E543,E543))</f>
        <v/>
      </c>
      <c r="G543" s="31">
        <f>IF(E543="","",E543*1000+F543)</f>
        <v/>
      </c>
      <c r="H543" s="31">
        <f>設定!$B$8</f>
        <v/>
      </c>
      <c r="I543" s="31">
        <f>IF(AND(C543&lt;&gt;"",D543=""),1,0)</f>
        <v/>
      </c>
      <c r="J543" s="31">
        <f>IF(AND(D543&lt;&gt;"",E543=""),1,0)</f>
        <v/>
      </c>
    </row>
    <row r="544">
      <c r="A544" s="31">
        <f>IF('5年'!N7="","",設定!$C$23)</f>
        <v/>
      </c>
      <c r="B544" s="31">
        <f>IF('5年'!N7="","",'5年'!M7)</f>
        <v/>
      </c>
      <c r="C544" s="31">
        <f>IF('5年'!N7="","",'5年'!N7)</f>
        <v/>
      </c>
      <c r="D544" s="31">
        <f>IF('5年'!N7="","",'5年'!O7&amp;"")</f>
        <v/>
      </c>
      <c r="E544" s="31">
        <f>IF(D544="","",IFERROR(MATCH(D544,設定!$I$11:$I$30,0),""))</f>
        <v/>
      </c>
      <c r="F544" s="31">
        <f>IF(E544="","",COUNTIF($E$2:E544,E544))</f>
        <v/>
      </c>
      <c r="G544" s="31">
        <f>IF(E544="","",E544*1000+F544)</f>
        <v/>
      </c>
      <c r="H544" s="31">
        <f>設定!$B$8</f>
        <v/>
      </c>
      <c r="I544" s="31">
        <f>IF(AND(C544&lt;&gt;"",D544=""),1,0)</f>
        <v/>
      </c>
      <c r="J544" s="31">
        <f>IF(AND(D544&lt;&gt;"",E544=""),1,0)</f>
        <v/>
      </c>
    </row>
    <row r="545">
      <c r="A545" s="31">
        <f>IF('5年'!N8="","",設定!$C$23)</f>
        <v/>
      </c>
      <c r="B545" s="31">
        <f>IF('5年'!N8="","",'5年'!M8)</f>
        <v/>
      </c>
      <c r="C545" s="31">
        <f>IF('5年'!N8="","",'5年'!N8)</f>
        <v/>
      </c>
      <c r="D545" s="31">
        <f>IF('5年'!N8="","",'5年'!O8&amp;"")</f>
        <v/>
      </c>
      <c r="E545" s="31">
        <f>IF(D545="","",IFERROR(MATCH(D545,設定!$I$11:$I$30,0),""))</f>
        <v/>
      </c>
      <c r="F545" s="31">
        <f>IF(E545="","",COUNTIF($E$2:E545,E545))</f>
        <v/>
      </c>
      <c r="G545" s="31">
        <f>IF(E545="","",E545*1000+F545)</f>
        <v/>
      </c>
      <c r="H545" s="31">
        <f>設定!$B$8</f>
        <v/>
      </c>
      <c r="I545" s="31">
        <f>IF(AND(C545&lt;&gt;"",D545=""),1,0)</f>
        <v/>
      </c>
      <c r="J545" s="31">
        <f>IF(AND(D545&lt;&gt;"",E545=""),1,0)</f>
        <v/>
      </c>
    </row>
    <row r="546">
      <c r="A546" s="31">
        <f>IF('5年'!N9="","",設定!$C$23)</f>
        <v/>
      </c>
      <c r="B546" s="31">
        <f>IF('5年'!N9="","",'5年'!M9)</f>
        <v/>
      </c>
      <c r="C546" s="31">
        <f>IF('5年'!N9="","",'5年'!N9)</f>
        <v/>
      </c>
      <c r="D546" s="31">
        <f>IF('5年'!N9="","",'5年'!O9&amp;"")</f>
        <v/>
      </c>
      <c r="E546" s="31">
        <f>IF(D546="","",IFERROR(MATCH(D546,設定!$I$11:$I$30,0),""))</f>
        <v/>
      </c>
      <c r="F546" s="31">
        <f>IF(E546="","",COUNTIF($E$2:E546,E546))</f>
        <v/>
      </c>
      <c r="G546" s="31">
        <f>IF(E546="","",E546*1000+F546)</f>
        <v/>
      </c>
      <c r="H546" s="31">
        <f>設定!$B$8</f>
        <v/>
      </c>
      <c r="I546" s="31">
        <f>IF(AND(C546&lt;&gt;"",D546=""),1,0)</f>
        <v/>
      </c>
      <c r="J546" s="31">
        <f>IF(AND(D546&lt;&gt;"",E546=""),1,0)</f>
        <v/>
      </c>
    </row>
    <row r="547">
      <c r="A547" s="31">
        <f>IF('5年'!N10="","",設定!$C$23)</f>
        <v/>
      </c>
      <c r="B547" s="31">
        <f>IF('5年'!N10="","",'5年'!M10)</f>
        <v/>
      </c>
      <c r="C547" s="31">
        <f>IF('5年'!N10="","",'5年'!N10)</f>
        <v/>
      </c>
      <c r="D547" s="31">
        <f>IF('5年'!N10="","",'5年'!O10&amp;"")</f>
        <v/>
      </c>
      <c r="E547" s="31">
        <f>IF(D547="","",IFERROR(MATCH(D547,設定!$I$11:$I$30,0),""))</f>
        <v/>
      </c>
      <c r="F547" s="31">
        <f>IF(E547="","",COUNTIF($E$2:E547,E547))</f>
        <v/>
      </c>
      <c r="G547" s="31">
        <f>IF(E547="","",E547*1000+F547)</f>
        <v/>
      </c>
      <c r="H547" s="31">
        <f>設定!$B$8</f>
        <v/>
      </c>
      <c r="I547" s="31">
        <f>IF(AND(C547&lt;&gt;"",D547=""),1,0)</f>
        <v/>
      </c>
      <c r="J547" s="31">
        <f>IF(AND(D547&lt;&gt;"",E547=""),1,0)</f>
        <v/>
      </c>
    </row>
    <row r="548">
      <c r="A548" s="31">
        <f>IF('5年'!N11="","",設定!$C$23)</f>
        <v/>
      </c>
      <c r="B548" s="31">
        <f>IF('5年'!N11="","",'5年'!M11)</f>
        <v/>
      </c>
      <c r="C548" s="31">
        <f>IF('5年'!N11="","",'5年'!N11)</f>
        <v/>
      </c>
      <c r="D548" s="31">
        <f>IF('5年'!N11="","",'5年'!O11&amp;"")</f>
        <v/>
      </c>
      <c r="E548" s="31">
        <f>IF(D548="","",IFERROR(MATCH(D548,設定!$I$11:$I$30,0),""))</f>
        <v/>
      </c>
      <c r="F548" s="31">
        <f>IF(E548="","",COUNTIF($E$2:E548,E548))</f>
        <v/>
      </c>
      <c r="G548" s="31">
        <f>IF(E548="","",E548*1000+F548)</f>
        <v/>
      </c>
      <c r="H548" s="31">
        <f>設定!$B$8</f>
        <v/>
      </c>
      <c r="I548" s="31">
        <f>IF(AND(C548&lt;&gt;"",D548=""),1,0)</f>
        <v/>
      </c>
      <c r="J548" s="31">
        <f>IF(AND(D548&lt;&gt;"",E548=""),1,0)</f>
        <v/>
      </c>
    </row>
    <row r="549">
      <c r="A549" s="31">
        <f>IF('5年'!N12="","",設定!$C$23)</f>
        <v/>
      </c>
      <c r="B549" s="31">
        <f>IF('5年'!N12="","",'5年'!M12)</f>
        <v/>
      </c>
      <c r="C549" s="31">
        <f>IF('5年'!N12="","",'5年'!N12)</f>
        <v/>
      </c>
      <c r="D549" s="31">
        <f>IF('5年'!N12="","",'5年'!O12&amp;"")</f>
        <v/>
      </c>
      <c r="E549" s="31">
        <f>IF(D549="","",IFERROR(MATCH(D549,設定!$I$11:$I$30,0),""))</f>
        <v/>
      </c>
      <c r="F549" s="31">
        <f>IF(E549="","",COUNTIF($E$2:E549,E549))</f>
        <v/>
      </c>
      <c r="G549" s="31">
        <f>IF(E549="","",E549*1000+F549)</f>
        <v/>
      </c>
      <c r="H549" s="31">
        <f>設定!$B$8</f>
        <v/>
      </c>
      <c r="I549" s="31">
        <f>IF(AND(C549&lt;&gt;"",D549=""),1,0)</f>
        <v/>
      </c>
      <c r="J549" s="31">
        <f>IF(AND(D549&lt;&gt;"",E549=""),1,0)</f>
        <v/>
      </c>
    </row>
    <row r="550">
      <c r="A550" s="31">
        <f>IF('5年'!N13="","",設定!$C$23)</f>
        <v/>
      </c>
      <c r="B550" s="31">
        <f>IF('5年'!N13="","",'5年'!M13)</f>
        <v/>
      </c>
      <c r="C550" s="31">
        <f>IF('5年'!N13="","",'5年'!N13)</f>
        <v/>
      </c>
      <c r="D550" s="31">
        <f>IF('5年'!N13="","",'5年'!O13&amp;"")</f>
        <v/>
      </c>
      <c r="E550" s="31">
        <f>IF(D550="","",IFERROR(MATCH(D550,設定!$I$11:$I$30,0),""))</f>
        <v/>
      </c>
      <c r="F550" s="31">
        <f>IF(E550="","",COUNTIF($E$2:E550,E550))</f>
        <v/>
      </c>
      <c r="G550" s="31">
        <f>IF(E550="","",E550*1000+F550)</f>
        <v/>
      </c>
      <c r="H550" s="31">
        <f>設定!$B$8</f>
        <v/>
      </c>
      <c r="I550" s="31">
        <f>IF(AND(C550&lt;&gt;"",D550=""),1,0)</f>
        <v/>
      </c>
      <c r="J550" s="31">
        <f>IF(AND(D550&lt;&gt;"",E550=""),1,0)</f>
        <v/>
      </c>
    </row>
    <row r="551">
      <c r="A551" s="31">
        <f>IF('5年'!N14="","",設定!$C$23)</f>
        <v/>
      </c>
      <c r="B551" s="31">
        <f>IF('5年'!N14="","",'5年'!M14)</f>
        <v/>
      </c>
      <c r="C551" s="31">
        <f>IF('5年'!N14="","",'5年'!N14)</f>
        <v/>
      </c>
      <c r="D551" s="31">
        <f>IF('5年'!N14="","",'5年'!O14&amp;"")</f>
        <v/>
      </c>
      <c r="E551" s="31">
        <f>IF(D551="","",IFERROR(MATCH(D551,設定!$I$11:$I$30,0),""))</f>
        <v/>
      </c>
      <c r="F551" s="31">
        <f>IF(E551="","",COUNTIF($E$2:E551,E551))</f>
        <v/>
      </c>
      <c r="G551" s="31">
        <f>IF(E551="","",E551*1000+F551)</f>
        <v/>
      </c>
      <c r="H551" s="31">
        <f>設定!$B$8</f>
        <v/>
      </c>
      <c r="I551" s="31">
        <f>IF(AND(C551&lt;&gt;"",D551=""),1,0)</f>
        <v/>
      </c>
      <c r="J551" s="31">
        <f>IF(AND(D551&lt;&gt;"",E551=""),1,0)</f>
        <v/>
      </c>
    </row>
    <row r="552">
      <c r="A552" s="31">
        <f>IF('5年'!N15="","",設定!$C$23)</f>
        <v/>
      </c>
      <c r="B552" s="31">
        <f>IF('5年'!N15="","",'5年'!M15)</f>
        <v/>
      </c>
      <c r="C552" s="31">
        <f>IF('5年'!N15="","",'5年'!N15)</f>
        <v/>
      </c>
      <c r="D552" s="31">
        <f>IF('5年'!N15="","",'5年'!O15&amp;"")</f>
        <v/>
      </c>
      <c r="E552" s="31">
        <f>IF(D552="","",IFERROR(MATCH(D552,設定!$I$11:$I$30,0),""))</f>
        <v/>
      </c>
      <c r="F552" s="31">
        <f>IF(E552="","",COUNTIF($E$2:E552,E552))</f>
        <v/>
      </c>
      <c r="G552" s="31">
        <f>IF(E552="","",E552*1000+F552)</f>
        <v/>
      </c>
      <c r="H552" s="31">
        <f>設定!$B$8</f>
        <v/>
      </c>
      <c r="I552" s="31">
        <f>IF(AND(C552&lt;&gt;"",D552=""),1,0)</f>
        <v/>
      </c>
      <c r="J552" s="31">
        <f>IF(AND(D552&lt;&gt;"",E552=""),1,0)</f>
        <v/>
      </c>
    </row>
    <row r="553">
      <c r="A553" s="31">
        <f>IF('5年'!N16="","",設定!$C$23)</f>
        <v/>
      </c>
      <c r="B553" s="31">
        <f>IF('5年'!N16="","",'5年'!M16)</f>
        <v/>
      </c>
      <c r="C553" s="31">
        <f>IF('5年'!N16="","",'5年'!N16)</f>
        <v/>
      </c>
      <c r="D553" s="31">
        <f>IF('5年'!N16="","",'5年'!O16&amp;"")</f>
        <v/>
      </c>
      <c r="E553" s="31">
        <f>IF(D553="","",IFERROR(MATCH(D553,設定!$I$11:$I$30,0),""))</f>
        <v/>
      </c>
      <c r="F553" s="31">
        <f>IF(E553="","",COUNTIF($E$2:E553,E553))</f>
        <v/>
      </c>
      <c r="G553" s="31">
        <f>IF(E553="","",E553*1000+F553)</f>
        <v/>
      </c>
      <c r="H553" s="31">
        <f>設定!$B$8</f>
        <v/>
      </c>
      <c r="I553" s="31">
        <f>IF(AND(C553&lt;&gt;"",D553=""),1,0)</f>
        <v/>
      </c>
      <c r="J553" s="31">
        <f>IF(AND(D553&lt;&gt;"",E553=""),1,0)</f>
        <v/>
      </c>
    </row>
    <row r="554">
      <c r="A554" s="31">
        <f>IF('5年'!N17="","",設定!$C$23)</f>
        <v/>
      </c>
      <c r="B554" s="31">
        <f>IF('5年'!N17="","",'5年'!M17)</f>
        <v/>
      </c>
      <c r="C554" s="31">
        <f>IF('5年'!N17="","",'5年'!N17)</f>
        <v/>
      </c>
      <c r="D554" s="31">
        <f>IF('5年'!N17="","",'5年'!O17&amp;"")</f>
        <v/>
      </c>
      <c r="E554" s="31">
        <f>IF(D554="","",IFERROR(MATCH(D554,設定!$I$11:$I$30,0),""))</f>
        <v/>
      </c>
      <c r="F554" s="31">
        <f>IF(E554="","",COUNTIF($E$2:E554,E554))</f>
        <v/>
      </c>
      <c r="G554" s="31">
        <f>IF(E554="","",E554*1000+F554)</f>
        <v/>
      </c>
      <c r="H554" s="31">
        <f>設定!$B$8</f>
        <v/>
      </c>
      <c r="I554" s="31">
        <f>IF(AND(C554&lt;&gt;"",D554=""),1,0)</f>
        <v/>
      </c>
      <c r="J554" s="31">
        <f>IF(AND(D554&lt;&gt;"",E554=""),1,0)</f>
        <v/>
      </c>
    </row>
    <row r="555">
      <c r="A555" s="31">
        <f>IF('5年'!N18="","",設定!$C$23)</f>
        <v/>
      </c>
      <c r="B555" s="31">
        <f>IF('5年'!N18="","",'5年'!M18)</f>
        <v/>
      </c>
      <c r="C555" s="31">
        <f>IF('5年'!N18="","",'5年'!N18)</f>
        <v/>
      </c>
      <c r="D555" s="31">
        <f>IF('5年'!N18="","",'5年'!O18&amp;"")</f>
        <v/>
      </c>
      <c r="E555" s="31">
        <f>IF(D555="","",IFERROR(MATCH(D555,設定!$I$11:$I$30,0),""))</f>
        <v/>
      </c>
      <c r="F555" s="31">
        <f>IF(E555="","",COUNTIF($E$2:E555,E555))</f>
        <v/>
      </c>
      <c r="G555" s="31">
        <f>IF(E555="","",E555*1000+F555)</f>
        <v/>
      </c>
      <c r="H555" s="31">
        <f>設定!$B$8</f>
        <v/>
      </c>
      <c r="I555" s="31">
        <f>IF(AND(C555&lt;&gt;"",D555=""),1,0)</f>
        <v/>
      </c>
      <c r="J555" s="31">
        <f>IF(AND(D555&lt;&gt;"",E555=""),1,0)</f>
        <v/>
      </c>
    </row>
    <row r="556">
      <c r="A556" s="31">
        <f>IF('5年'!N19="","",設定!$C$23)</f>
        <v/>
      </c>
      <c r="B556" s="31">
        <f>IF('5年'!N19="","",'5年'!M19)</f>
        <v/>
      </c>
      <c r="C556" s="31">
        <f>IF('5年'!N19="","",'5年'!N19)</f>
        <v/>
      </c>
      <c r="D556" s="31">
        <f>IF('5年'!N19="","",'5年'!O19&amp;"")</f>
        <v/>
      </c>
      <c r="E556" s="31">
        <f>IF(D556="","",IFERROR(MATCH(D556,設定!$I$11:$I$30,0),""))</f>
        <v/>
      </c>
      <c r="F556" s="31">
        <f>IF(E556="","",COUNTIF($E$2:E556,E556))</f>
        <v/>
      </c>
      <c r="G556" s="31">
        <f>IF(E556="","",E556*1000+F556)</f>
        <v/>
      </c>
      <c r="H556" s="31">
        <f>設定!$B$8</f>
        <v/>
      </c>
      <c r="I556" s="31">
        <f>IF(AND(C556&lt;&gt;"",D556=""),1,0)</f>
        <v/>
      </c>
      <c r="J556" s="31">
        <f>IF(AND(D556&lt;&gt;"",E556=""),1,0)</f>
        <v/>
      </c>
    </row>
    <row r="557">
      <c r="A557" s="31">
        <f>IF('5年'!N20="","",設定!$C$23)</f>
        <v/>
      </c>
      <c r="B557" s="31">
        <f>IF('5年'!N20="","",'5年'!M20)</f>
        <v/>
      </c>
      <c r="C557" s="31">
        <f>IF('5年'!N20="","",'5年'!N20)</f>
        <v/>
      </c>
      <c r="D557" s="31">
        <f>IF('5年'!N20="","",'5年'!O20&amp;"")</f>
        <v/>
      </c>
      <c r="E557" s="31">
        <f>IF(D557="","",IFERROR(MATCH(D557,設定!$I$11:$I$30,0),""))</f>
        <v/>
      </c>
      <c r="F557" s="31">
        <f>IF(E557="","",COUNTIF($E$2:E557,E557))</f>
        <v/>
      </c>
      <c r="G557" s="31">
        <f>IF(E557="","",E557*1000+F557)</f>
        <v/>
      </c>
      <c r="H557" s="31">
        <f>設定!$B$8</f>
        <v/>
      </c>
      <c r="I557" s="31">
        <f>IF(AND(C557&lt;&gt;"",D557=""),1,0)</f>
        <v/>
      </c>
      <c r="J557" s="31">
        <f>IF(AND(D557&lt;&gt;"",E557=""),1,0)</f>
        <v/>
      </c>
    </row>
    <row r="558">
      <c r="A558" s="31">
        <f>IF('5年'!N21="","",設定!$C$23)</f>
        <v/>
      </c>
      <c r="B558" s="31">
        <f>IF('5年'!N21="","",'5年'!M21)</f>
        <v/>
      </c>
      <c r="C558" s="31">
        <f>IF('5年'!N21="","",'5年'!N21)</f>
        <v/>
      </c>
      <c r="D558" s="31">
        <f>IF('5年'!N21="","",'5年'!O21&amp;"")</f>
        <v/>
      </c>
      <c r="E558" s="31">
        <f>IF(D558="","",IFERROR(MATCH(D558,設定!$I$11:$I$30,0),""))</f>
        <v/>
      </c>
      <c r="F558" s="31">
        <f>IF(E558="","",COUNTIF($E$2:E558,E558))</f>
        <v/>
      </c>
      <c r="G558" s="31">
        <f>IF(E558="","",E558*1000+F558)</f>
        <v/>
      </c>
      <c r="H558" s="31">
        <f>設定!$B$8</f>
        <v/>
      </c>
      <c r="I558" s="31">
        <f>IF(AND(C558&lt;&gt;"",D558=""),1,0)</f>
        <v/>
      </c>
      <c r="J558" s="31">
        <f>IF(AND(D558&lt;&gt;"",E558=""),1,0)</f>
        <v/>
      </c>
    </row>
    <row r="559">
      <c r="A559" s="31">
        <f>IF('5年'!N22="","",設定!$C$23)</f>
        <v/>
      </c>
      <c r="B559" s="31">
        <f>IF('5年'!N22="","",'5年'!M22)</f>
        <v/>
      </c>
      <c r="C559" s="31">
        <f>IF('5年'!N22="","",'5年'!N22)</f>
        <v/>
      </c>
      <c r="D559" s="31">
        <f>IF('5年'!N22="","",'5年'!O22&amp;"")</f>
        <v/>
      </c>
      <c r="E559" s="31">
        <f>IF(D559="","",IFERROR(MATCH(D559,設定!$I$11:$I$30,0),""))</f>
        <v/>
      </c>
      <c r="F559" s="31">
        <f>IF(E559="","",COUNTIF($E$2:E559,E559))</f>
        <v/>
      </c>
      <c r="G559" s="31">
        <f>IF(E559="","",E559*1000+F559)</f>
        <v/>
      </c>
      <c r="H559" s="31">
        <f>設定!$B$8</f>
        <v/>
      </c>
      <c r="I559" s="31">
        <f>IF(AND(C559&lt;&gt;"",D559=""),1,0)</f>
        <v/>
      </c>
      <c r="J559" s="31">
        <f>IF(AND(D559&lt;&gt;"",E559=""),1,0)</f>
        <v/>
      </c>
    </row>
    <row r="560">
      <c r="A560" s="31">
        <f>IF('5年'!N23="","",設定!$C$23)</f>
        <v/>
      </c>
      <c r="B560" s="31">
        <f>IF('5年'!N23="","",'5年'!M23)</f>
        <v/>
      </c>
      <c r="C560" s="31">
        <f>IF('5年'!N23="","",'5年'!N23)</f>
        <v/>
      </c>
      <c r="D560" s="31">
        <f>IF('5年'!N23="","",'5年'!O23&amp;"")</f>
        <v/>
      </c>
      <c r="E560" s="31">
        <f>IF(D560="","",IFERROR(MATCH(D560,設定!$I$11:$I$30,0),""))</f>
        <v/>
      </c>
      <c r="F560" s="31">
        <f>IF(E560="","",COUNTIF($E$2:E560,E560))</f>
        <v/>
      </c>
      <c r="G560" s="31">
        <f>IF(E560="","",E560*1000+F560)</f>
        <v/>
      </c>
      <c r="H560" s="31">
        <f>設定!$B$8</f>
        <v/>
      </c>
      <c r="I560" s="31">
        <f>IF(AND(C560&lt;&gt;"",D560=""),1,0)</f>
        <v/>
      </c>
      <c r="J560" s="31">
        <f>IF(AND(D560&lt;&gt;"",E560=""),1,0)</f>
        <v/>
      </c>
    </row>
    <row r="561">
      <c r="A561" s="31">
        <f>IF('5年'!N24="","",設定!$C$23)</f>
        <v/>
      </c>
      <c r="B561" s="31">
        <f>IF('5年'!N24="","",'5年'!M24)</f>
        <v/>
      </c>
      <c r="C561" s="31">
        <f>IF('5年'!N24="","",'5年'!N24)</f>
        <v/>
      </c>
      <c r="D561" s="31">
        <f>IF('5年'!N24="","",'5年'!O24&amp;"")</f>
        <v/>
      </c>
      <c r="E561" s="31">
        <f>IF(D561="","",IFERROR(MATCH(D561,設定!$I$11:$I$30,0),""))</f>
        <v/>
      </c>
      <c r="F561" s="31">
        <f>IF(E561="","",COUNTIF($E$2:E561,E561))</f>
        <v/>
      </c>
      <c r="G561" s="31">
        <f>IF(E561="","",E561*1000+F561)</f>
        <v/>
      </c>
      <c r="H561" s="31">
        <f>設定!$B$8</f>
        <v/>
      </c>
      <c r="I561" s="31">
        <f>IF(AND(C561&lt;&gt;"",D561=""),1,0)</f>
        <v/>
      </c>
      <c r="J561" s="31">
        <f>IF(AND(D561&lt;&gt;"",E561=""),1,0)</f>
        <v/>
      </c>
    </row>
    <row r="562">
      <c r="A562" s="31">
        <f>IF('5年'!N25="","",設定!$C$23)</f>
        <v/>
      </c>
      <c r="B562" s="31">
        <f>IF('5年'!N25="","",'5年'!M25)</f>
        <v/>
      </c>
      <c r="C562" s="31">
        <f>IF('5年'!N25="","",'5年'!N25)</f>
        <v/>
      </c>
      <c r="D562" s="31">
        <f>IF('5年'!N25="","",'5年'!O25&amp;"")</f>
        <v/>
      </c>
      <c r="E562" s="31">
        <f>IF(D562="","",IFERROR(MATCH(D562,設定!$I$11:$I$30,0),""))</f>
        <v/>
      </c>
      <c r="F562" s="31">
        <f>IF(E562="","",COUNTIF($E$2:E562,E562))</f>
        <v/>
      </c>
      <c r="G562" s="31">
        <f>IF(E562="","",E562*1000+F562)</f>
        <v/>
      </c>
      <c r="H562" s="31">
        <f>設定!$B$8</f>
        <v/>
      </c>
      <c r="I562" s="31">
        <f>IF(AND(C562&lt;&gt;"",D562=""),1,0)</f>
        <v/>
      </c>
      <c r="J562" s="31">
        <f>IF(AND(D562&lt;&gt;"",E562=""),1,0)</f>
        <v/>
      </c>
    </row>
    <row r="563">
      <c r="A563" s="31">
        <f>IF('5年'!N26="","",設定!$C$23)</f>
        <v/>
      </c>
      <c r="B563" s="31">
        <f>IF('5年'!N26="","",'5年'!M26)</f>
        <v/>
      </c>
      <c r="C563" s="31">
        <f>IF('5年'!N26="","",'5年'!N26)</f>
        <v/>
      </c>
      <c r="D563" s="31">
        <f>IF('5年'!N26="","",'5年'!O26&amp;"")</f>
        <v/>
      </c>
      <c r="E563" s="31">
        <f>IF(D563="","",IFERROR(MATCH(D563,設定!$I$11:$I$30,0),""))</f>
        <v/>
      </c>
      <c r="F563" s="31">
        <f>IF(E563="","",COUNTIF($E$2:E563,E563))</f>
        <v/>
      </c>
      <c r="G563" s="31">
        <f>IF(E563="","",E563*1000+F563)</f>
        <v/>
      </c>
      <c r="H563" s="31">
        <f>設定!$B$8</f>
        <v/>
      </c>
      <c r="I563" s="31">
        <f>IF(AND(C563&lt;&gt;"",D563=""),1,0)</f>
        <v/>
      </c>
      <c r="J563" s="31">
        <f>IF(AND(D563&lt;&gt;"",E563=""),1,0)</f>
        <v/>
      </c>
    </row>
    <row r="564">
      <c r="A564" s="31">
        <f>IF('5年'!N27="","",設定!$C$23)</f>
        <v/>
      </c>
      <c r="B564" s="31">
        <f>IF('5年'!N27="","",'5年'!M27)</f>
        <v/>
      </c>
      <c r="C564" s="31">
        <f>IF('5年'!N27="","",'5年'!N27)</f>
        <v/>
      </c>
      <c r="D564" s="31">
        <f>IF('5年'!N27="","",'5年'!O27&amp;"")</f>
        <v/>
      </c>
      <c r="E564" s="31">
        <f>IF(D564="","",IFERROR(MATCH(D564,設定!$I$11:$I$30,0),""))</f>
        <v/>
      </c>
      <c r="F564" s="31">
        <f>IF(E564="","",COUNTIF($E$2:E564,E564))</f>
        <v/>
      </c>
      <c r="G564" s="31">
        <f>IF(E564="","",E564*1000+F564)</f>
        <v/>
      </c>
      <c r="H564" s="31">
        <f>設定!$B$8</f>
        <v/>
      </c>
      <c r="I564" s="31">
        <f>IF(AND(C564&lt;&gt;"",D564=""),1,0)</f>
        <v/>
      </c>
      <c r="J564" s="31">
        <f>IF(AND(D564&lt;&gt;"",E564=""),1,0)</f>
        <v/>
      </c>
    </row>
    <row r="565">
      <c r="A565" s="31">
        <f>IF('5年'!N28="","",設定!$C$23)</f>
        <v/>
      </c>
      <c r="B565" s="31">
        <f>IF('5年'!N28="","",'5年'!M28)</f>
        <v/>
      </c>
      <c r="C565" s="31">
        <f>IF('5年'!N28="","",'5年'!N28)</f>
        <v/>
      </c>
      <c r="D565" s="31">
        <f>IF('5年'!N28="","",'5年'!O28&amp;"")</f>
        <v/>
      </c>
      <c r="E565" s="31">
        <f>IF(D565="","",IFERROR(MATCH(D565,設定!$I$11:$I$30,0),""))</f>
        <v/>
      </c>
      <c r="F565" s="31">
        <f>IF(E565="","",COUNTIF($E$2:E565,E565))</f>
        <v/>
      </c>
      <c r="G565" s="31">
        <f>IF(E565="","",E565*1000+F565)</f>
        <v/>
      </c>
      <c r="H565" s="31">
        <f>設定!$B$8</f>
        <v/>
      </c>
      <c r="I565" s="31">
        <f>IF(AND(C565&lt;&gt;"",D565=""),1,0)</f>
        <v/>
      </c>
      <c r="J565" s="31">
        <f>IF(AND(D565&lt;&gt;"",E565=""),1,0)</f>
        <v/>
      </c>
    </row>
    <row r="566">
      <c r="A566" s="31">
        <f>IF('5年'!N29="","",設定!$C$23)</f>
        <v/>
      </c>
      <c r="B566" s="31">
        <f>IF('5年'!N29="","",'5年'!M29)</f>
        <v/>
      </c>
      <c r="C566" s="31">
        <f>IF('5年'!N29="","",'5年'!N29)</f>
        <v/>
      </c>
      <c r="D566" s="31">
        <f>IF('5年'!N29="","",'5年'!O29&amp;"")</f>
        <v/>
      </c>
      <c r="E566" s="31">
        <f>IF(D566="","",IFERROR(MATCH(D566,設定!$I$11:$I$30,0),""))</f>
        <v/>
      </c>
      <c r="F566" s="31">
        <f>IF(E566="","",COUNTIF($E$2:E566,E566))</f>
        <v/>
      </c>
      <c r="G566" s="31">
        <f>IF(E566="","",E566*1000+F566)</f>
        <v/>
      </c>
      <c r="H566" s="31">
        <f>設定!$B$8</f>
        <v/>
      </c>
      <c r="I566" s="31">
        <f>IF(AND(C566&lt;&gt;"",D566=""),1,0)</f>
        <v/>
      </c>
      <c r="J566" s="31">
        <f>IF(AND(D566&lt;&gt;"",E566=""),1,0)</f>
        <v/>
      </c>
    </row>
    <row r="567">
      <c r="A567" s="31">
        <f>IF('5年'!N30="","",設定!$C$23)</f>
        <v/>
      </c>
      <c r="B567" s="31">
        <f>IF('5年'!N30="","",'5年'!M30)</f>
        <v/>
      </c>
      <c r="C567" s="31">
        <f>IF('5年'!N30="","",'5年'!N30)</f>
        <v/>
      </c>
      <c r="D567" s="31">
        <f>IF('5年'!N30="","",'5年'!O30&amp;"")</f>
        <v/>
      </c>
      <c r="E567" s="31">
        <f>IF(D567="","",IFERROR(MATCH(D567,設定!$I$11:$I$30,0),""))</f>
        <v/>
      </c>
      <c r="F567" s="31">
        <f>IF(E567="","",COUNTIF($E$2:E567,E567))</f>
        <v/>
      </c>
      <c r="G567" s="31">
        <f>IF(E567="","",E567*1000+F567)</f>
        <v/>
      </c>
      <c r="H567" s="31">
        <f>設定!$B$8</f>
        <v/>
      </c>
      <c r="I567" s="31">
        <f>IF(AND(C567&lt;&gt;"",D567=""),1,0)</f>
        <v/>
      </c>
      <c r="J567" s="31">
        <f>IF(AND(D567&lt;&gt;"",E567=""),1,0)</f>
        <v/>
      </c>
    </row>
    <row r="568">
      <c r="A568" s="31">
        <f>IF('5年'!N31="","",設定!$C$23)</f>
        <v/>
      </c>
      <c r="B568" s="31">
        <f>IF('5年'!N31="","",'5年'!M31)</f>
        <v/>
      </c>
      <c r="C568" s="31">
        <f>IF('5年'!N31="","",'5年'!N31)</f>
        <v/>
      </c>
      <c r="D568" s="31">
        <f>IF('5年'!N31="","",'5年'!O31&amp;"")</f>
        <v/>
      </c>
      <c r="E568" s="31">
        <f>IF(D568="","",IFERROR(MATCH(D568,設定!$I$11:$I$30,0),""))</f>
        <v/>
      </c>
      <c r="F568" s="31">
        <f>IF(E568="","",COUNTIF($E$2:E568,E568))</f>
        <v/>
      </c>
      <c r="G568" s="31">
        <f>IF(E568="","",E568*1000+F568)</f>
        <v/>
      </c>
      <c r="H568" s="31">
        <f>設定!$B$8</f>
        <v/>
      </c>
      <c r="I568" s="31">
        <f>IF(AND(C568&lt;&gt;"",D568=""),1,0)</f>
        <v/>
      </c>
      <c r="J568" s="31">
        <f>IF(AND(D568&lt;&gt;"",E568=""),1,0)</f>
        <v/>
      </c>
    </row>
    <row r="569">
      <c r="A569" s="31">
        <f>IF('5年'!N32="","",設定!$C$23)</f>
        <v/>
      </c>
      <c r="B569" s="31">
        <f>IF('5年'!N32="","",'5年'!M32)</f>
        <v/>
      </c>
      <c r="C569" s="31">
        <f>IF('5年'!N32="","",'5年'!N32)</f>
        <v/>
      </c>
      <c r="D569" s="31">
        <f>IF('5年'!N32="","",'5年'!O32&amp;"")</f>
        <v/>
      </c>
      <c r="E569" s="31">
        <f>IF(D569="","",IFERROR(MATCH(D569,設定!$I$11:$I$30,0),""))</f>
        <v/>
      </c>
      <c r="F569" s="31">
        <f>IF(E569="","",COUNTIF($E$2:E569,E569))</f>
        <v/>
      </c>
      <c r="G569" s="31">
        <f>IF(E569="","",E569*1000+F569)</f>
        <v/>
      </c>
      <c r="H569" s="31">
        <f>設定!$B$8</f>
        <v/>
      </c>
      <c r="I569" s="31">
        <f>IF(AND(C569&lt;&gt;"",D569=""),1,0)</f>
        <v/>
      </c>
      <c r="J569" s="31">
        <f>IF(AND(D569&lt;&gt;"",E569=""),1,0)</f>
        <v/>
      </c>
    </row>
    <row r="570">
      <c r="A570" s="31">
        <f>IF('5年'!N33="","",設定!$C$23)</f>
        <v/>
      </c>
      <c r="B570" s="31">
        <f>IF('5年'!N33="","",'5年'!M33)</f>
        <v/>
      </c>
      <c r="C570" s="31">
        <f>IF('5年'!N33="","",'5年'!N33)</f>
        <v/>
      </c>
      <c r="D570" s="31">
        <f>IF('5年'!N33="","",'5年'!O33&amp;"")</f>
        <v/>
      </c>
      <c r="E570" s="31">
        <f>IF(D570="","",IFERROR(MATCH(D570,設定!$I$11:$I$30,0),""))</f>
        <v/>
      </c>
      <c r="F570" s="31">
        <f>IF(E570="","",COUNTIF($E$2:E570,E570))</f>
        <v/>
      </c>
      <c r="G570" s="31">
        <f>IF(E570="","",E570*1000+F570)</f>
        <v/>
      </c>
      <c r="H570" s="31">
        <f>設定!$B$8</f>
        <v/>
      </c>
      <c r="I570" s="31">
        <f>IF(AND(C570&lt;&gt;"",D570=""),1,0)</f>
        <v/>
      </c>
      <c r="J570" s="31">
        <f>IF(AND(D570&lt;&gt;"",E570=""),1,0)</f>
        <v/>
      </c>
    </row>
    <row r="571">
      <c r="A571" s="31">
        <f>IF('5年'!N34="","",設定!$C$23)</f>
        <v/>
      </c>
      <c r="B571" s="31">
        <f>IF('5年'!N34="","",'5年'!M34)</f>
        <v/>
      </c>
      <c r="C571" s="31">
        <f>IF('5年'!N34="","",'5年'!N34)</f>
        <v/>
      </c>
      <c r="D571" s="31">
        <f>IF('5年'!N34="","",'5年'!O34&amp;"")</f>
        <v/>
      </c>
      <c r="E571" s="31">
        <f>IF(D571="","",IFERROR(MATCH(D571,設定!$I$11:$I$30,0),""))</f>
        <v/>
      </c>
      <c r="F571" s="31">
        <f>IF(E571="","",COUNTIF($E$2:E571,E571))</f>
        <v/>
      </c>
      <c r="G571" s="31">
        <f>IF(E571="","",E571*1000+F571)</f>
        <v/>
      </c>
      <c r="H571" s="31">
        <f>設定!$B$8</f>
        <v/>
      </c>
      <c r="I571" s="31">
        <f>IF(AND(C571&lt;&gt;"",D571=""),1,0)</f>
        <v/>
      </c>
      <c r="J571" s="31">
        <f>IF(AND(D571&lt;&gt;"",E571=""),1,0)</f>
        <v/>
      </c>
    </row>
    <row r="572">
      <c r="A572" s="31">
        <f>IF('5年'!N35="","",設定!$C$23)</f>
        <v/>
      </c>
      <c r="B572" s="31">
        <f>IF('5年'!N35="","",'5年'!M35)</f>
        <v/>
      </c>
      <c r="C572" s="31">
        <f>IF('5年'!N35="","",'5年'!N35)</f>
        <v/>
      </c>
      <c r="D572" s="31">
        <f>IF('5年'!N35="","",'5年'!O35&amp;"")</f>
        <v/>
      </c>
      <c r="E572" s="31">
        <f>IF(D572="","",IFERROR(MATCH(D572,設定!$I$11:$I$30,0),""))</f>
        <v/>
      </c>
      <c r="F572" s="31">
        <f>IF(E572="","",COUNTIF($E$2:E572,E572))</f>
        <v/>
      </c>
      <c r="G572" s="31">
        <f>IF(E572="","",E572*1000+F572)</f>
        <v/>
      </c>
      <c r="H572" s="31">
        <f>設定!$B$8</f>
        <v/>
      </c>
      <c r="I572" s="31">
        <f>IF(AND(C572&lt;&gt;"",D572=""),1,0)</f>
        <v/>
      </c>
      <c r="J572" s="31">
        <f>IF(AND(D572&lt;&gt;"",E572=""),1,0)</f>
        <v/>
      </c>
    </row>
    <row r="573">
      <c r="A573" s="31">
        <f>IF('5年'!N36="","",設定!$C$23)</f>
        <v/>
      </c>
      <c r="B573" s="31">
        <f>IF('5年'!N36="","",'5年'!M36)</f>
        <v/>
      </c>
      <c r="C573" s="31">
        <f>IF('5年'!N36="","",'5年'!N36)</f>
        <v/>
      </c>
      <c r="D573" s="31">
        <f>IF('5年'!N36="","",'5年'!O36&amp;"")</f>
        <v/>
      </c>
      <c r="E573" s="31">
        <f>IF(D573="","",IFERROR(MATCH(D573,設定!$I$11:$I$30,0),""))</f>
        <v/>
      </c>
      <c r="F573" s="31">
        <f>IF(E573="","",COUNTIF($E$2:E573,E573))</f>
        <v/>
      </c>
      <c r="G573" s="31">
        <f>IF(E573="","",E573*1000+F573)</f>
        <v/>
      </c>
      <c r="H573" s="31">
        <f>設定!$B$8</f>
        <v/>
      </c>
      <c r="I573" s="31">
        <f>IF(AND(C573&lt;&gt;"",D573=""),1,0)</f>
        <v/>
      </c>
      <c r="J573" s="31">
        <f>IF(AND(D573&lt;&gt;"",E573=""),1,0)</f>
        <v/>
      </c>
    </row>
    <row r="574">
      <c r="A574" s="31">
        <f>IF('5年'!N37="","",設定!$C$23)</f>
        <v/>
      </c>
      <c r="B574" s="31">
        <f>IF('5年'!N37="","",'5年'!M37)</f>
        <v/>
      </c>
      <c r="C574" s="31">
        <f>IF('5年'!N37="","",'5年'!N37)</f>
        <v/>
      </c>
      <c r="D574" s="31">
        <f>IF('5年'!N37="","",'5年'!O37&amp;"")</f>
        <v/>
      </c>
      <c r="E574" s="31">
        <f>IF(D574="","",IFERROR(MATCH(D574,設定!$I$11:$I$30,0),""))</f>
        <v/>
      </c>
      <c r="F574" s="31">
        <f>IF(E574="","",COUNTIF($E$2:E574,E574))</f>
        <v/>
      </c>
      <c r="G574" s="31">
        <f>IF(E574="","",E574*1000+F574)</f>
        <v/>
      </c>
      <c r="H574" s="31">
        <f>設定!$B$8</f>
        <v/>
      </c>
      <c r="I574" s="31">
        <f>IF(AND(C574&lt;&gt;"",D574=""),1,0)</f>
        <v/>
      </c>
      <c r="J574" s="31">
        <f>IF(AND(D574&lt;&gt;"",E574=""),1,0)</f>
        <v/>
      </c>
    </row>
    <row r="575">
      <c r="A575" s="31">
        <f>IF('5年'!N38="","",設定!$C$23)</f>
        <v/>
      </c>
      <c r="B575" s="31">
        <f>IF('5年'!N38="","",'5年'!M38)</f>
        <v/>
      </c>
      <c r="C575" s="31">
        <f>IF('5年'!N38="","",'5年'!N38)</f>
        <v/>
      </c>
      <c r="D575" s="31">
        <f>IF('5年'!N38="","",'5年'!O38&amp;"")</f>
        <v/>
      </c>
      <c r="E575" s="31">
        <f>IF(D575="","",IFERROR(MATCH(D575,設定!$I$11:$I$30,0),""))</f>
        <v/>
      </c>
      <c r="F575" s="31">
        <f>IF(E575="","",COUNTIF($E$2:E575,E575))</f>
        <v/>
      </c>
      <c r="G575" s="31">
        <f>IF(E575="","",E575*1000+F575)</f>
        <v/>
      </c>
      <c r="H575" s="31">
        <f>設定!$B$8</f>
        <v/>
      </c>
      <c r="I575" s="31">
        <f>IF(AND(C575&lt;&gt;"",D575=""),1,0)</f>
        <v/>
      </c>
      <c r="J575" s="31">
        <f>IF(AND(D575&lt;&gt;"",E575=""),1,0)</f>
        <v/>
      </c>
    </row>
    <row r="576">
      <c r="A576" s="31">
        <f>IF('5年'!N39="","",設定!$C$23)</f>
        <v/>
      </c>
      <c r="B576" s="31">
        <f>IF('5年'!N39="","",'5年'!M39)</f>
        <v/>
      </c>
      <c r="C576" s="31">
        <f>IF('5年'!N39="","",'5年'!N39)</f>
        <v/>
      </c>
      <c r="D576" s="31">
        <f>IF('5年'!N39="","",'5年'!O39&amp;"")</f>
        <v/>
      </c>
      <c r="E576" s="31">
        <f>IF(D576="","",IFERROR(MATCH(D576,設定!$I$11:$I$30,0),""))</f>
        <v/>
      </c>
      <c r="F576" s="31">
        <f>IF(E576="","",COUNTIF($E$2:E576,E576))</f>
        <v/>
      </c>
      <c r="G576" s="31">
        <f>IF(E576="","",E576*1000+F576)</f>
        <v/>
      </c>
      <c r="H576" s="31">
        <f>設定!$B$8</f>
        <v/>
      </c>
      <c r="I576" s="31">
        <f>IF(AND(C576&lt;&gt;"",D576=""),1,0)</f>
        <v/>
      </c>
      <c r="J576" s="31">
        <f>IF(AND(D576&lt;&gt;"",E576=""),1,0)</f>
        <v/>
      </c>
    </row>
    <row r="577">
      <c r="A577" s="31">
        <f>IF('5年'!N40="","",設定!$C$23)</f>
        <v/>
      </c>
      <c r="B577" s="31">
        <f>IF('5年'!N40="","",'5年'!M40)</f>
        <v/>
      </c>
      <c r="C577" s="31">
        <f>IF('5年'!N40="","",'5年'!N40)</f>
        <v/>
      </c>
      <c r="D577" s="31">
        <f>IF('5年'!N40="","",'5年'!O40&amp;"")</f>
        <v/>
      </c>
      <c r="E577" s="31">
        <f>IF(D577="","",IFERROR(MATCH(D577,設定!$I$11:$I$30,0),""))</f>
        <v/>
      </c>
      <c r="F577" s="31">
        <f>IF(E577="","",COUNTIF($E$2:E577,E577))</f>
        <v/>
      </c>
      <c r="G577" s="31">
        <f>IF(E577="","",E577*1000+F577)</f>
        <v/>
      </c>
      <c r="H577" s="31">
        <f>設定!$B$8</f>
        <v/>
      </c>
      <c r="I577" s="31">
        <f>IF(AND(C577&lt;&gt;"",D577=""),1,0)</f>
        <v/>
      </c>
      <c r="J577" s="31">
        <f>IF(AND(D577&lt;&gt;"",E577=""),1,0)</f>
        <v/>
      </c>
    </row>
    <row r="578">
      <c r="A578" s="31">
        <f>IF('5年'!N41="","",設定!$C$23)</f>
        <v/>
      </c>
      <c r="B578" s="31">
        <f>IF('5年'!N41="","",'5年'!M41)</f>
        <v/>
      </c>
      <c r="C578" s="31">
        <f>IF('5年'!N41="","",'5年'!N41)</f>
        <v/>
      </c>
      <c r="D578" s="31">
        <f>IF('5年'!N41="","",'5年'!O41&amp;"")</f>
        <v/>
      </c>
      <c r="E578" s="31">
        <f>IF(D578="","",IFERROR(MATCH(D578,設定!$I$11:$I$30,0),""))</f>
        <v/>
      </c>
      <c r="F578" s="31">
        <f>IF(E578="","",COUNTIF($E$2:E578,E578))</f>
        <v/>
      </c>
      <c r="G578" s="31">
        <f>IF(E578="","",E578*1000+F578)</f>
        <v/>
      </c>
      <c r="H578" s="31">
        <f>設定!$B$8</f>
        <v/>
      </c>
      <c r="I578" s="31">
        <f>IF(AND(C578&lt;&gt;"",D578=""),1,0)</f>
        <v/>
      </c>
      <c r="J578" s="31">
        <f>IF(AND(D578&lt;&gt;"",E578=""),1,0)</f>
        <v/>
      </c>
    </row>
    <row r="579">
      <c r="A579" s="31">
        <f>IF('5年'!N42="","",設定!$C$23)</f>
        <v/>
      </c>
      <c r="B579" s="31">
        <f>IF('5年'!N42="","",'5年'!M42)</f>
        <v/>
      </c>
      <c r="C579" s="31">
        <f>IF('5年'!N42="","",'5年'!N42)</f>
        <v/>
      </c>
      <c r="D579" s="31">
        <f>IF('5年'!N42="","",'5年'!O42&amp;"")</f>
        <v/>
      </c>
      <c r="E579" s="31">
        <f>IF(D579="","",IFERROR(MATCH(D579,設定!$I$11:$I$30,0),""))</f>
        <v/>
      </c>
      <c r="F579" s="31">
        <f>IF(E579="","",COUNTIF($E$2:E579,E579))</f>
        <v/>
      </c>
      <c r="G579" s="31">
        <f>IF(E579="","",E579*1000+F579)</f>
        <v/>
      </c>
      <c r="H579" s="31">
        <f>設定!$B$8</f>
        <v/>
      </c>
      <c r="I579" s="31">
        <f>IF(AND(C579&lt;&gt;"",D579=""),1,0)</f>
        <v/>
      </c>
      <c r="J579" s="31">
        <f>IF(AND(D579&lt;&gt;"",E579=""),1,0)</f>
        <v/>
      </c>
    </row>
    <row r="580">
      <c r="A580" s="31">
        <f>IF('5年'!N43="","",設定!$C$23)</f>
        <v/>
      </c>
      <c r="B580" s="31">
        <f>IF('5年'!N43="","",'5年'!M43)</f>
        <v/>
      </c>
      <c r="C580" s="31">
        <f>IF('5年'!N43="","",'5年'!N43)</f>
        <v/>
      </c>
      <c r="D580" s="31">
        <f>IF('5年'!N43="","",'5年'!O43&amp;"")</f>
        <v/>
      </c>
      <c r="E580" s="31">
        <f>IF(D580="","",IFERROR(MATCH(D580,設定!$I$11:$I$30,0),""))</f>
        <v/>
      </c>
      <c r="F580" s="31">
        <f>IF(E580="","",COUNTIF($E$2:E580,E580))</f>
        <v/>
      </c>
      <c r="G580" s="31">
        <f>IF(E580="","",E580*1000+F580)</f>
        <v/>
      </c>
      <c r="H580" s="31">
        <f>設定!$B$8</f>
        <v/>
      </c>
      <c r="I580" s="31">
        <f>IF(AND(C580&lt;&gt;"",D580=""),1,0)</f>
        <v/>
      </c>
      <c r="J580" s="31">
        <f>IF(AND(D580&lt;&gt;"",E580=""),1,0)</f>
        <v/>
      </c>
    </row>
    <row r="581">
      <c r="A581" s="31">
        <f>IF('5年'!N44="","",設定!$C$23)</f>
        <v/>
      </c>
      <c r="B581" s="31">
        <f>IF('5年'!N44="","",'5年'!M44)</f>
        <v/>
      </c>
      <c r="C581" s="31">
        <f>IF('5年'!N44="","",'5年'!N44)</f>
        <v/>
      </c>
      <c r="D581" s="31">
        <f>IF('5年'!N44="","",'5年'!O44&amp;"")</f>
        <v/>
      </c>
      <c r="E581" s="31">
        <f>IF(D581="","",IFERROR(MATCH(D581,設定!$I$11:$I$30,0),""))</f>
        <v/>
      </c>
      <c r="F581" s="31">
        <f>IF(E581="","",COUNTIF($E$2:E581,E581))</f>
        <v/>
      </c>
      <c r="G581" s="31">
        <f>IF(E581="","",E581*1000+F581)</f>
        <v/>
      </c>
      <c r="H581" s="31">
        <f>設定!$B$8</f>
        <v/>
      </c>
      <c r="I581" s="31">
        <f>IF(AND(C581&lt;&gt;"",D581=""),1,0)</f>
        <v/>
      </c>
      <c r="J581" s="31">
        <f>IF(AND(D581&lt;&gt;"",E581=""),1,0)</f>
        <v/>
      </c>
    </row>
    <row r="582">
      <c r="A582" s="31">
        <f>IF('5年'!N45="","",設定!$C$23)</f>
        <v/>
      </c>
      <c r="B582" s="31">
        <f>IF('5年'!N45="","",'5年'!M45)</f>
        <v/>
      </c>
      <c r="C582" s="31">
        <f>IF('5年'!N45="","",'5年'!N45)</f>
        <v/>
      </c>
      <c r="D582" s="31">
        <f>IF('5年'!N45="","",'5年'!O45&amp;"")</f>
        <v/>
      </c>
      <c r="E582" s="31">
        <f>IF(D582="","",IFERROR(MATCH(D582,設定!$I$11:$I$30,0),""))</f>
        <v/>
      </c>
      <c r="F582" s="31">
        <f>IF(E582="","",COUNTIF($E$2:E582,E582))</f>
        <v/>
      </c>
      <c r="G582" s="31">
        <f>IF(E582="","",E582*1000+F582)</f>
        <v/>
      </c>
      <c r="H582" s="31">
        <f>設定!$B$8</f>
        <v/>
      </c>
      <c r="I582" s="31">
        <f>IF(AND(C582&lt;&gt;"",D582=""),1,0)</f>
        <v/>
      </c>
      <c r="J582" s="31">
        <f>IF(AND(D582&lt;&gt;"",E582=""),1,0)</f>
        <v/>
      </c>
    </row>
    <row r="583">
      <c r="A583" s="31">
        <f>IF('5年'!N46="","",設定!$C$23)</f>
        <v/>
      </c>
      <c r="B583" s="31">
        <f>IF('5年'!N46="","",'5年'!M46)</f>
        <v/>
      </c>
      <c r="C583" s="31">
        <f>IF('5年'!N46="","",'5年'!N46)</f>
        <v/>
      </c>
      <c r="D583" s="31">
        <f>IF('5年'!N46="","",'5年'!O46&amp;"")</f>
        <v/>
      </c>
      <c r="E583" s="31">
        <f>IF(D583="","",IFERROR(MATCH(D583,設定!$I$11:$I$30,0),""))</f>
        <v/>
      </c>
      <c r="F583" s="31">
        <f>IF(E583="","",COUNTIF($E$2:E583,E583))</f>
        <v/>
      </c>
      <c r="G583" s="31">
        <f>IF(E583="","",E583*1000+F583)</f>
        <v/>
      </c>
      <c r="H583" s="31">
        <f>設定!$B$8</f>
        <v/>
      </c>
      <c r="I583" s="31">
        <f>IF(AND(C583&lt;&gt;"",D583=""),1,0)</f>
        <v/>
      </c>
      <c r="J583" s="31">
        <f>IF(AND(D583&lt;&gt;"",E583=""),1,0)</f>
        <v/>
      </c>
    </row>
    <row r="584">
      <c r="A584" s="31">
        <f>IF('5年'!N47="","",設定!$C$23)</f>
        <v/>
      </c>
      <c r="B584" s="31">
        <f>IF('5年'!N47="","",'5年'!M47)</f>
        <v/>
      </c>
      <c r="C584" s="31">
        <f>IF('5年'!N47="","",'5年'!N47)</f>
        <v/>
      </c>
      <c r="D584" s="31">
        <f>IF('5年'!N47="","",'5年'!O47&amp;"")</f>
        <v/>
      </c>
      <c r="E584" s="31">
        <f>IF(D584="","",IFERROR(MATCH(D584,設定!$I$11:$I$30,0),""))</f>
        <v/>
      </c>
      <c r="F584" s="31">
        <f>IF(E584="","",COUNTIF($E$2:E584,E584))</f>
        <v/>
      </c>
      <c r="G584" s="31">
        <f>IF(E584="","",E584*1000+F584)</f>
        <v/>
      </c>
      <c r="H584" s="31">
        <f>設定!$B$8</f>
        <v/>
      </c>
      <c r="I584" s="31">
        <f>IF(AND(C584&lt;&gt;"",D584=""),1,0)</f>
        <v/>
      </c>
      <c r="J584" s="31">
        <f>IF(AND(D584&lt;&gt;"",E584=""),1,0)</f>
        <v/>
      </c>
    </row>
    <row r="585">
      <c r="A585" s="31">
        <f>IF('5年'!N48="","",設定!$C$23)</f>
        <v/>
      </c>
      <c r="B585" s="31">
        <f>IF('5年'!N48="","",'5年'!M48)</f>
        <v/>
      </c>
      <c r="C585" s="31">
        <f>IF('5年'!N48="","",'5年'!N48)</f>
        <v/>
      </c>
      <c r="D585" s="31">
        <f>IF('5年'!N48="","",'5年'!O48&amp;"")</f>
        <v/>
      </c>
      <c r="E585" s="31">
        <f>IF(D585="","",IFERROR(MATCH(D585,設定!$I$11:$I$30,0),""))</f>
        <v/>
      </c>
      <c r="F585" s="31">
        <f>IF(E585="","",COUNTIF($E$2:E585,E585))</f>
        <v/>
      </c>
      <c r="G585" s="31">
        <f>IF(E585="","",E585*1000+F585)</f>
        <v/>
      </c>
      <c r="H585" s="31">
        <f>設定!$B$8</f>
        <v/>
      </c>
      <c r="I585" s="31">
        <f>IF(AND(C585&lt;&gt;"",D585=""),1,0)</f>
        <v/>
      </c>
      <c r="J585" s="31">
        <f>IF(AND(D585&lt;&gt;"",E585=""),1,0)</f>
        <v/>
      </c>
    </row>
    <row r="586">
      <c r="A586" s="31">
        <f>IF('5年'!N49="","",設定!$C$23)</f>
        <v/>
      </c>
      <c r="B586" s="31">
        <f>IF('5年'!N49="","",'5年'!M49)</f>
        <v/>
      </c>
      <c r="C586" s="31">
        <f>IF('5年'!N49="","",'5年'!N49)</f>
        <v/>
      </c>
      <c r="D586" s="31">
        <f>IF('5年'!N49="","",'5年'!O49&amp;"")</f>
        <v/>
      </c>
      <c r="E586" s="31">
        <f>IF(D586="","",IFERROR(MATCH(D586,設定!$I$11:$I$30,0),""))</f>
        <v/>
      </c>
      <c r="F586" s="31">
        <f>IF(E586="","",COUNTIF($E$2:E586,E586))</f>
        <v/>
      </c>
      <c r="G586" s="31">
        <f>IF(E586="","",E586*1000+F586)</f>
        <v/>
      </c>
      <c r="H586" s="31">
        <f>設定!$B$8</f>
        <v/>
      </c>
      <c r="I586" s="31">
        <f>IF(AND(C586&lt;&gt;"",D586=""),1,0)</f>
        <v/>
      </c>
      <c r="J586" s="31">
        <f>IF(AND(D586&lt;&gt;"",E586=""),1,0)</f>
        <v/>
      </c>
    </row>
    <row r="587">
      <c r="A587" s="31">
        <f>IF('5年'!Q5="","",設定!$C$24)</f>
        <v/>
      </c>
      <c r="B587" s="31">
        <f>IF('5年'!Q5="","",'5年'!P5)</f>
        <v/>
      </c>
      <c r="C587" s="31">
        <f>IF('5年'!Q5="","",'5年'!Q5)</f>
        <v/>
      </c>
      <c r="D587" s="31">
        <f>IF('5年'!Q5="","",'5年'!R5&amp;"")</f>
        <v/>
      </c>
      <c r="E587" s="31">
        <f>IF(D587="","",IFERROR(MATCH(D587,設定!$I$11:$I$30,0),""))</f>
        <v/>
      </c>
      <c r="F587" s="31">
        <f>IF(E587="","",COUNTIF($E$2:E587,E587))</f>
        <v/>
      </c>
      <c r="G587" s="31">
        <f>IF(E587="","",E587*1000+F587)</f>
        <v/>
      </c>
      <c r="H587" s="31">
        <f>設定!$B$8</f>
        <v/>
      </c>
      <c r="I587" s="31">
        <f>IF(AND(C587&lt;&gt;"",D587=""),1,0)</f>
        <v/>
      </c>
      <c r="J587" s="31">
        <f>IF(AND(D587&lt;&gt;"",E587=""),1,0)</f>
        <v/>
      </c>
    </row>
    <row r="588">
      <c r="A588" s="31">
        <f>IF('5年'!Q6="","",設定!$C$24)</f>
        <v/>
      </c>
      <c r="B588" s="31">
        <f>IF('5年'!Q6="","",'5年'!P6)</f>
        <v/>
      </c>
      <c r="C588" s="31">
        <f>IF('5年'!Q6="","",'5年'!Q6)</f>
        <v/>
      </c>
      <c r="D588" s="31">
        <f>IF('5年'!Q6="","",'5年'!R6&amp;"")</f>
        <v/>
      </c>
      <c r="E588" s="31">
        <f>IF(D588="","",IFERROR(MATCH(D588,設定!$I$11:$I$30,0),""))</f>
        <v/>
      </c>
      <c r="F588" s="31">
        <f>IF(E588="","",COUNTIF($E$2:E588,E588))</f>
        <v/>
      </c>
      <c r="G588" s="31">
        <f>IF(E588="","",E588*1000+F588)</f>
        <v/>
      </c>
      <c r="H588" s="31">
        <f>設定!$B$8</f>
        <v/>
      </c>
      <c r="I588" s="31">
        <f>IF(AND(C588&lt;&gt;"",D588=""),1,0)</f>
        <v/>
      </c>
      <c r="J588" s="31">
        <f>IF(AND(D588&lt;&gt;"",E588=""),1,0)</f>
        <v/>
      </c>
    </row>
    <row r="589">
      <c r="A589" s="31">
        <f>IF('5年'!Q7="","",設定!$C$24)</f>
        <v/>
      </c>
      <c r="B589" s="31">
        <f>IF('5年'!Q7="","",'5年'!P7)</f>
        <v/>
      </c>
      <c r="C589" s="31">
        <f>IF('5年'!Q7="","",'5年'!Q7)</f>
        <v/>
      </c>
      <c r="D589" s="31">
        <f>IF('5年'!Q7="","",'5年'!R7&amp;"")</f>
        <v/>
      </c>
      <c r="E589" s="31">
        <f>IF(D589="","",IFERROR(MATCH(D589,設定!$I$11:$I$30,0),""))</f>
        <v/>
      </c>
      <c r="F589" s="31">
        <f>IF(E589="","",COUNTIF($E$2:E589,E589))</f>
        <v/>
      </c>
      <c r="G589" s="31">
        <f>IF(E589="","",E589*1000+F589)</f>
        <v/>
      </c>
      <c r="H589" s="31">
        <f>設定!$B$8</f>
        <v/>
      </c>
      <c r="I589" s="31">
        <f>IF(AND(C589&lt;&gt;"",D589=""),1,0)</f>
        <v/>
      </c>
      <c r="J589" s="31">
        <f>IF(AND(D589&lt;&gt;"",E589=""),1,0)</f>
        <v/>
      </c>
    </row>
    <row r="590">
      <c r="A590" s="31">
        <f>IF('5年'!Q8="","",設定!$C$24)</f>
        <v/>
      </c>
      <c r="B590" s="31">
        <f>IF('5年'!Q8="","",'5年'!P8)</f>
        <v/>
      </c>
      <c r="C590" s="31">
        <f>IF('5年'!Q8="","",'5年'!Q8)</f>
        <v/>
      </c>
      <c r="D590" s="31">
        <f>IF('5年'!Q8="","",'5年'!R8&amp;"")</f>
        <v/>
      </c>
      <c r="E590" s="31">
        <f>IF(D590="","",IFERROR(MATCH(D590,設定!$I$11:$I$30,0),""))</f>
        <v/>
      </c>
      <c r="F590" s="31">
        <f>IF(E590="","",COUNTIF($E$2:E590,E590))</f>
        <v/>
      </c>
      <c r="G590" s="31">
        <f>IF(E590="","",E590*1000+F590)</f>
        <v/>
      </c>
      <c r="H590" s="31">
        <f>設定!$B$8</f>
        <v/>
      </c>
      <c r="I590" s="31">
        <f>IF(AND(C590&lt;&gt;"",D590=""),1,0)</f>
        <v/>
      </c>
      <c r="J590" s="31">
        <f>IF(AND(D590&lt;&gt;"",E590=""),1,0)</f>
        <v/>
      </c>
    </row>
    <row r="591">
      <c r="A591" s="31">
        <f>IF('5年'!Q9="","",設定!$C$24)</f>
        <v/>
      </c>
      <c r="B591" s="31">
        <f>IF('5年'!Q9="","",'5年'!P9)</f>
        <v/>
      </c>
      <c r="C591" s="31">
        <f>IF('5年'!Q9="","",'5年'!Q9)</f>
        <v/>
      </c>
      <c r="D591" s="31">
        <f>IF('5年'!Q9="","",'5年'!R9&amp;"")</f>
        <v/>
      </c>
      <c r="E591" s="31">
        <f>IF(D591="","",IFERROR(MATCH(D591,設定!$I$11:$I$30,0),""))</f>
        <v/>
      </c>
      <c r="F591" s="31">
        <f>IF(E591="","",COUNTIF($E$2:E591,E591))</f>
        <v/>
      </c>
      <c r="G591" s="31">
        <f>IF(E591="","",E591*1000+F591)</f>
        <v/>
      </c>
      <c r="H591" s="31">
        <f>設定!$B$8</f>
        <v/>
      </c>
      <c r="I591" s="31">
        <f>IF(AND(C591&lt;&gt;"",D591=""),1,0)</f>
        <v/>
      </c>
      <c r="J591" s="31">
        <f>IF(AND(D591&lt;&gt;"",E591=""),1,0)</f>
        <v/>
      </c>
    </row>
    <row r="592">
      <c r="A592" s="31">
        <f>IF('5年'!Q10="","",設定!$C$24)</f>
        <v/>
      </c>
      <c r="B592" s="31">
        <f>IF('5年'!Q10="","",'5年'!P10)</f>
        <v/>
      </c>
      <c r="C592" s="31">
        <f>IF('5年'!Q10="","",'5年'!Q10)</f>
        <v/>
      </c>
      <c r="D592" s="31">
        <f>IF('5年'!Q10="","",'5年'!R10&amp;"")</f>
        <v/>
      </c>
      <c r="E592" s="31">
        <f>IF(D592="","",IFERROR(MATCH(D592,設定!$I$11:$I$30,0),""))</f>
        <v/>
      </c>
      <c r="F592" s="31">
        <f>IF(E592="","",COUNTIF($E$2:E592,E592))</f>
        <v/>
      </c>
      <c r="G592" s="31">
        <f>IF(E592="","",E592*1000+F592)</f>
        <v/>
      </c>
      <c r="H592" s="31">
        <f>設定!$B$8</f>
        <v/>
      </c>
      <c r="I592" s="31">
        <f>IF(AND(C592&lt;&gt;"",D592=""),1,0)</f>
        <v/>
      </c>
      <c r="J592" s="31">
        <f>IF(AND(D592&lt;&gt;"",E592=""),1,0)</f>
        <v/>
      </c>
    </row>
    <row r="593">
      <c r="A593" s="31">
        <f>IF('5年'!Q11="","",設定!$C$24)</f>
        <v/>
      </c>
      <c r="B593" s="31">
        <f>IF('5年'!Q11="","",'5年'!P11)</f>
        <v/>
      </c>
      <c r="C593" s="31">
        <f>IF('5年'!Q11="","",'5年'!Q11)</f>
        <v/>
      </c>
      <c r="D593" s="31">
        <f>IF('5年'!Q11="","",'5年'!R11&amp;"")</f>
        <v/>
      </c>
      <c r="E593" s="31">
        <f>IF(D593="","",IFERROR(MATCH(D593,設定!$I$11:$I$30,0),""))</f>
        <v/>
      </c>
      <c r="F593" s="31">
        <f>IF(E593="","",COUNTIF($E$2:E593,E593))</f>
        <v/>
      </c>
      <c r="G593" s="31">
        <f>IF(E593="","",E593*1000+F593)</f>
        <v/>
      </c>
      <c r="H593" s="31">
        <f>設定!$B$8</f>
        <v/>
      </c>
      <c r="I593" s="31">
        <f>IF(AND(C593&lt;&gt;"",D593=""),1,0)</f>
        <v/>
      </c>
      <c r="J593" s="31">
        <f>IF(AND(D593&lt;&gt;"",E593=""),1,0)</f>
        <v/>
      </c>
    </row>
    <row r="594">
      <c r="A594" s="31">
        <f>IF('5年'!Q12="","",設定!$C$24)</f>
        <v/>
      </c>
      <c r="B594" s="31">
        <f>IF('5年'!Q12="","",'5年'!P12)</f>
        <v/>
      </c>
      <c r="C594" s="31">
        <f>IF('5年'!Q12="","",'5年'!Q12)</f>
        <v/>
      </c>
      <c r="D594" s="31">
        <f>IF('5年'!Q12="","",'5年'!R12&amp;"")</f>
        <v/>
      </c>
      <c r="E594" s="31">
        <f>IF(D594="","",IFERROR(MATCH(D594,設定!$I$11:$I$30,0),""))</f>
        <v/>
      </c>
      <c r="F594" s="31">
        <f>IF(E594="","",COUNTIF($E$2:E594,E594))</f>
        <v/>
      </c>
      <c r="G594" s="31">
        <f>IF(E594="","",E594*1000+F594)</f>
        <v/>
      </c>
      <c r="H594" s="31">
        <f>設定!$B$8</f>
        <v/>
      </c>
      <c r="I594" s="31">
        <f>IF(AND(C594&lt;&gt;"",D594=""),1,0)</f>
        <v/>
      </c>
      <c r="J594" s="31">
        <f>IF(AND(D594&lt;&gt;"",E594=""),1,0)</f>
        <v/>
      </c>
    </row>
    <row r="595">
      <c r="A595" s="31">
        <f>IF('5年'!Q13="","",設定!$C$24)</f>
        <v/>
      </c>
      <c r="B595" s="31">
        <f>IF('5年'!Q13="","",'5年'!P13)</f>
        <v/>
      </c>
      <c r="C595" s="31">
        <f>IF('5年'!Q13="","",'5年'!Q13)</f>
        <v/>
      </c>
      <c r="D595" s="31">
        <f>IF('5年'!Q13="","",'5年'!R13&amp;"")</f>
        <v/>
      </c>
      <c r="E595" s="31">
        <f>IF(D595="","",IFERROR(MATCH(D595,設定!$I$11:$I$30,0),""))</f>
        <v/>
      </c>
      <c r="F595" s="31">
        <f>IF(E595="","",COUNTIF($E$2:E595,E595))</f>
        <v/>
      </c>
      <c r="G595" s="31">
        <f>IF(E595="","",E595*1000+F595)</f>
        <v/>
      </c>
      <c r="H595" s="31">
        <f>設定!$B$8</f>
        <v/>
      </c>
      <c r="I595" s="31">
        <f>IF(AND(C595&lt;&gt;"",D595=""),1,0)</f>
        <v/>
      </c>
      <c r="J595" s="31">
        <f>IF(AND(D595&lt;&gt;"",E595=""),1,0)</f>
        <v/>
      </c>
    </row>
    <row r="596">
      <c r="A596" s="31">
        <f>IF('5年'!Q14="","",設定!$C$24)</f>
        <v/>
      </c>
      <c r="B596" s="31">
        <f>IF('5年'!Q14="","",'5年'!P14)</f>
        <v/>
      </c>
      <c r="C596" s="31">
        <f>IF('5年'!Q14="","",'5年'!Q14)</f>
        <v/>
      </c>
      <c r="D596" s="31">
        <f>IF('5年'!Q14="","",'5年'!R14&amp;"")</f>
        <v/>
      </c>
      <c r="E596" s="31">
        <f>IF(D596="","",IFERROR(MATCH(D596,設定!$I$11:$I$30,0),""))</f>
        <v/>
      </c>
      <c r="F596" s="31">
        <f>IF(E596="","",COUNTIF($E$2:E596,E596))</f>
        <v/>
      </c>
      <c r="G596" s="31">
        <f>IF(E596="","",E596*1000+F596)</f>
        <v/>
      </c>
      <c r="H596" s="31">
        <f>設定!$B$8</f>
        <v/>
      </c>
      <c r="I596" s="31">
        <f>IF(AND(C596&lt;&gt;"",D596=""),1,0)</f>
        <v/>
      </c>
      <c r="J596" s="31">
        <f>IF(AND(D596&lt;&gt;"",E596=""),1,0)</f>
        <v/>
      </c>
    </row>
    <row r="597">
      <c r="A597" s="31">
        <f>IF('5年'!Q15="","",設定!$C$24)</f>
        <v/>
      </c>
      <c r="B597" s="31">
        <f>IF('5年'!Q15="","",'5年'!P15)</f>
        <v/>
      </c>
      <c r="C597" s="31">
        <f>IF('5年'!Q15="","",'5年'!Q15)</f>
        <v/>
      </c>
      <c r="D597" s="31">
        <f>IF('5年'!Q15="","",'5年'!R15&amp;"")</f>
        <v/>
      </c>
      <c r="E597" s="31">
        <f>IF(D597="","",IFERROR(MATCH(D597,設定!$I$11:$I$30,0),""))</f>
        <v/>
      </c>
      <c r="F597" s="31">
        <f>IF(E597="","",COUNTIF($E$2:E597,E597))</f>
        <v/>
      </c>
      <c r="G597" s="31">
        <f>IF(E597="","",E597*1000+F597)</f>
        <v/>
      </c>
      <c r="H597" s="31">
        <f>設定!$B$8</f>
        <v/>
      </c>
      <c r="I597" s="31">
        <f>IF(AND(C597&lt;&gt;"",D597=""),1,0)</f>
        <v/>
      </c>
      <c r="J597" s="31">
        <f>IF(AND(D597&lt;&gt;"",E597=""),1,0)</f>
        <v/>
      </c>
    </row>
    <row r="598">
      <c r="A598" s="31">
        <f>IF('5年'!Q16="","",設定!$C$24)</f>
        <v/>
      </c>
      <c r="B598" s="31">
        <f>IF('5年'!Q16="","",'5年'!P16)</f>
        <v/>
      </c>
      <c r="C598" s="31">
        <f>IF('5年'!Q16="","",'5年'!Q16)</f>
        <v/>
      </c>
      <c r="D598" s="31">
        <f>IF('5年'!Q16="","",'5年'!R16&amp;"")</f>
        <v/>
      </c>
      <c r="E598" s="31">
        <f>IF(D598="","",IFERROR(MATCH(D598,設定!$I$11:$I$30,0),""))</f>
        <v/>
      </c>
      <c r="F598" s="31">
        <f>IF(E598="","",COUNTIF($E$2:E598,E598))</f>
        <v/>
      </c>
      <c r="G598" s="31">
        <f>IF(E598="","",E598*1000+F598)</f>
        <v/>
      </c>
      <c r="H598" s="31">
        <f>設定!$B$8</f>
        <v/>
      </c>
      <c r="I598" s="31">
        <f>IF(AND(C598&lt;&gt;"",D598=""),1,0)</f>
        <v/>
      </c>
      <c r="J598" s="31">
        <f>IF(AND(D598&lt;&gt;"",E598=""),1,0)</f>
        <v/>
      </c>
    </row>
    <row r="599">
      <c r="A599" s="31">
        <f>IF('5年'!Q17="","",設定!$C$24)</f>
        <v/>
      </c>
      <c r="B599" s="31">
        <f>IF('5年'!Q17="","",'5年'!P17)</f>
        <v/>
      </c>
      <c r="C599" s="31">
        <f>IF('5年'!Q17="","",'5年'!Q17)</f>
        <v/>
      </c>
      <c r="D599" s="31">
        <f>IF('5年'!Q17="","",'5年'!R17&amp;"")</f>
        <v/>
      </c>
      <c r="E599" s="31">
        <f>IF(D599="","",IFERROR(MATCH(D599,設定!$I$11:$I$30,0),""))</f>
        <v/>
      </c>
      <c r="F599" s="31">
        <f>IF(E599="","",COUNTIF($E$2:E599,E599))</f>
        <v/>
      </c>
      <c r="G599" s="31">
        <f>IF(E599="","",E599*1000+F599)</f>
        <v/>
      </c>
      <c r="H599" s="31">
        <f>設定!$B$8</f>
        <v/>
      </c>
      <c r="I599" s="31">
        <f>IF(AND(C599&lt;&gt;"",D599=""),1,0)</f>
        <v/>
      </c>
      <c r="J599" s="31">
        <f>IF(AND(D599&lt;&gt;"",E599=""),1,0)</f>
        <v/>
      </c>
    </row>
    <row r="600">
      <c r="A600" s="31">
        <f>IF('5年'!Q18="","",設定!$C$24)</f>
        <v/>
      </c>
      <c r="B600" s="31">
        <f>IF('5年'!Q18="","",'5年'!P18)</f>
        <v/>
      </c>
      <c r="C600" s="31">
        <f>IF('5年'!Q18="","",'5年'!Q18)</f>
        <v/>
      </c>
      <c r="D600" s="31">
        <f>IF('5年'!Q18="","",'5年'!R18&amp;"")</f>
        <v/>
      </c>
      <c r="E600" s="31">
        <f>IF(D600="","",IFERROR(MATCH(D600,設定!$I$11:$I$30,0),""))</f>
        <v/>
      </c>
      <c r="F600" s="31">
        <f>IF(E600="","",COUNTIF($E$2:E600,E600))</f>
        <v/>
      </c>
      <c r="G600" s="31">
        <f>IF(E600="","",E600*1000+F600)</f>
        <v/>
      </c>
      <c r="H600" s="31">
        <f>設定!$B$8</f>
        <v/>
      </c>
      <c r="I600" s="31">
        <f>IF(AND(C600&lt;&gt;"",D600=""),1,0)</f>
        <v/>
      </c>
      <c r="J600" s="31">
        <f>IF(AND(D600&lt;&gt;"",E600=""),1,0)</f>
        <v/>
      </c>
    </row>
    <row r="601">
      <c r="A601" s="31">
        <f>IF('5年'!Q19="","",設定!$C$24)</f>
        <v/>
      </c>
      <c r="B601" s="31">
        <f>IF('5年'!Q19="","",'5年'!P19)</f>
        <v/>
      </c>
      <c r="C601" s="31">
        <f>IF('5年'!Q19="","",'5年'!Q19)</f>
        <v/>
      </c>
      <c r="D601" s="31">
        <f>IF('5年'!Q19="","",'5年'!R19&amp;"")</f>
        <v/>
      </c>
      <c r="E601" s="31">
        <f>IF(D601="","",IFERROR(MATCH(D601,設定!$I$11:$I$30,0),""))</f>
        <v/>
      </c>
      <c r="F601" s="31">
        <f>IF(E601="","",COUNTIF($E$2:E601,E601))</f>
        <v/>
      </c>
      <c r="G601" s="31">
        <f>IF(E601="","",E601*1000+F601)</f>
        <v/>
      </c>
      <c r="H601" s="31">
        <f>設定!$B$8</f>
        <v/>
      </c>
      <c r="I601" s="31">
        <f>IF(AND(C601&lt;&gt;"",D601=""),1,0)</f>
        <v/>
      </c>
      <c r="J601" s="31">
        <f>IF(AND(D601&lt;&gt;"",E601=""),1,0)</f>
        <v/>
      </c>
    </row>
    <row r="602">
      <c r="A602" s="31">
        <f>IF('5年'!Q20="","",設定!$C$24)</f>
        <v/>
      </c>
      <c r="B602" s="31">
        <f>IF('5年'!Q20="","",'5年'!P20)</f>
        <v/>
      </c>
      <c r="C602" s="31">
        <f>IF('5年'!Q20="","",'5年'!Q20)</f>
        <v/>
      </c>
      <c r="D602" s="31">
        <f>IF('5年'!Q20="","",'5年'!R20&amp;"")</f>
        <v/>
      </c>
      <c r="E602" s="31">
        <f>IF(D602="","",IFERROR(MATCH(D602,設定!$I$11:$I$30,0),""))</f>
        <v/>
      </c>
      <c r="F602" s="31">
        <f>IF(E602="","",COUNTIF($E$2:E602,E602))</f>
        <v/>
      </c>
      <c r="G602" s="31">
        <f>IF(E602="","",E602*1000+F602)</f>
        <v/>
      </c>
      <c r="H602" s="31">
        <f>設定!$B$8</f>
        <v/>
      </c>
      <c r="I602" s="31">
        <f>IF(AND(C602&lt;&gt;"",D602=""),1,0)</f>
        <v/>
      </c>
      <c r="J602" s="31">
        <f>IF(AND(D602&lt;&gt;"",E602=""),1,0)</f>
        <v/>
      </c>
    </row>
    <row r="603">
      <c r="A603" s="31">
        <f>IF('5年'!Q21="","",設定!$C$24)</f>
        <v/>
      </c>
      <c r="B603" s="31">
        <f>IF('5年'!Q21="","",'5年'!P21)</f>
        <v/>
      </c>
      <c r="C603" s="31">
        <f>IF('5年'!Q21="","",'5年'!Q21)</f>
        <v/>
      </c>
      <c r="D603" s="31">
        <f>IF('5年'!Q21="","",'5年'!R21&amp;"")</f>
        <v/>
      </c>
      <c r="E603" s="31">
        <f>IF(D603="","",IFERROR(MATCH(D603,設定!$I$11:$I$30,0),""))</f>
        <v/>
      </c>
      <c r="F603" s="31">
        <f>IF(E603="","",COUNTIF($E$2:E603,E603))</f>
        <v/>
      </c>
      <c r="G603" s="31">
        <f>IF(E603="","",E603*1000+F603)</f>
        <v/>
      </c>
      <c r="H603" s="31">
        <f>設定!$B$8</f>
        <v/>
      </c>
      <c r="I603" s="31">
        <f>IF(AND(C603&lt;&gt;"",D603=""),1,0)</f>
        <v/>
      </c>
      <c r="J603" s="31">
        <f>IF(AND(D603&lt;&gt;"",E603=""),1,0)</f>
        <v/>
      </c>
    </row>
    <row r="604">
      <c r="A604" s="31">
        <f>IF('5年'!Q22="","",設定!$C$24)</f>
        <v/>
      </c>
      <c r="B604" s="31">
        <f>IF('5年'!Q22="","",'5年'!P22)</f>
        <v/>
      </c>
      <c r="C604" s="31">
        <f>IF('5年'!Q22="","",'5年'!Q22)</f>
        <v/>
      </c>
      <c r="D604" s="31">
        <f>IF('5年'!Q22="","",'5年'!R22&amp;"")</f>
        <v/>
      </c>
      <c r="E604" s="31">
        <f>IF(D604="","",IFERROR(MATCH(D604,設定!$I$11:$I$30,0),""))</f>
        <v/>
      </c>
      <c r="F604" s="31">
        <f>IF(E604="","",COUNTIF($E$2:E604,E604))</f>
        <v/>
      </c>
      <c r="G604" s="31">
        <f>IF(E604="","",E604*1000+F604)</f>
        <v/>
      </c>
      <c r="H604" s="31">
        <f>設定!$B$8</f>
        <v/>
      </c>
      <c r="I604" s="31">
        <f>IF(AND(C604&lt;&gt;"",D604=""),1,0)</f>
        <v/>
      </c>
      <c r="J604" s="31">
        <f>IF(AND(D604&lt;&gt;"",E604=""),1,0)</f>
        <v/>
      </c>
    </row>
    <row r="605">
      <c r="A605" s="31">
        <f>IF('5年'!Q23="","",設定!$C$24)</f>
        <v/>
      </c>
      <c r="B605" s="31">
        <f>IF('5年'!Q23="","",'5年'!P23)</f>
        <v/>
      </c>
      <c r="C605" s="31">
        <f>IF('5年'!Q23="","",'5年'!Q23)</f>
        <v/>
      </c>
      <c r="D605" s="31">
        <f>IF('5年'!Q23="","",'5年'!R23&amp;"")</f>
        <v/>
      </c>
      <c r="E605" s="31">
        <f>IF(D605="","",IFERROR(MATCH(D605,設定!$I$11:$I$30,0),""))</f>
        <v/>
      </c>
      <c r="F605" s="31">
        <f>IF(E605="","",COUNTIF($E$2:E605,E605))</f>
        <v/>
      </c>
      <c r="G605" s="31">
        <f>IF(E605="","",E605*1000+F605)</f>
        <v/>
      </c>
      <c r="H605" s="31">
        <f>設定!$B$8</f>
        <v/>
      </c>
      <c r="I605" s="31">
        <f>IF(AND(C605&lt;&gt;"",D605=""),1,0)</f>
        <v/>
      </c>
      <c r="J605" s="31">
        <f>IF(AND(D605&lt;&gt;"",E605=""),1,0)</f>
        <v/>
      </c>
    </row>
    <row r="606">
      <c r="A606" s="31">
        <f>IF('5年'!Q24="","",設定!$C$24)</f>
        <v/>
      </c>
      <c r="B606" s="31">
        <f>IF('5年'!Q24="","",'5年'!P24)</f>
        <v/>
      </c>
      <c r="C606" s="31">
        <f>IF('5年'!Q24="","",'5年'!Q24)</f>
        <v/>
      </c>
      <c r="D606" s="31">
        <f>IF('5年'!Q24="","",'5年'!R24&amp;"")</f>
        <v/>
      </c>
      <c r="E606" s="31">
        <f>IF(D606="","",IFERROR(MATCH(D606,設定!$I$11:$I$30,0),""))</f>
        <v/>
      </c>
      <c r="F606" s="31">
        <f>IF(E606="","",COUNTIF($E$2:E606,E606))</f>
        <v/>
      </c>
      <c r="G606" s="31">
        <f>IF(E606="","",E606*1000+F606)</f>
        <v/>
      </c>
      <c r="H606" s="31">
        <f>設定!$B$8</f>
        <v/>
      </c>
      <c r="I606" s="31">
        <f>IF(AND(C606&lt;&gt;"",D606=""),1,0)</f>
        <v/>
      </c>
      <c r="J606" s="31">
        <f>IF(AND(D606&lt;&gt;"",E606=""),1,0)</f>
        <v/>
      </c>
    </row>
    <row r="607">
      <c r="A607" s="31">
        <f>IF('5年'!Q25="","",設定!$C$24)</f>
        <v/>
      </c>
      <c r="B607" s="31">
        <f>IF('5年'!Q25="","",'5年'!P25)</f>
        <v/>
      </c>
      <c r="C607" s="31">
        <f>IF('5年'!Q25="","",'5年'!Q25)</f>
        <v/>
      </c>
      <c r="D607" s="31">
        <f>IF('5年'!Q25="","",'5年'!R25&amp;"")</f>
        <v/>
      </c>
      <c r="E607" s="31">
        <f>IF(D607="","",IFERROR(MATCH(D607,設定!$I$11:$I$30,0),""))</f>
        <v/>
      </c>
      <c r="F607" s="31">
        <f>IF(E607="","",COUNTIF($E$2:E607,E607))</f>
        <v/>
      </c>
      <c r="G607" s="31">
        <f>IF(E607="","",E607*1000+F607)</f>
        <v/>
      </c>
      <c r="H607" s="31">
        <f>設定!$B$8</f>
        <v/>
      </c>
      <c r="I607" s="31">
        <f>IF(AND(C607&lt;&gt;"",D607=""),1,0)</f>
        <v/>
      </c>
      <c r="J607" s="31">
        <f>IF(AND(D607&lt;&gt;"",E607=""),1,0)</f>
        <v/>
      </c>
    </row>
    <row r="608">
      <c r="A608" s="31">
        <f>IF('5年'!Q26="","",設定!$C$24)</f>
        <v/>
      </c>
      <c r="B608" s="31">
        <f>IF('5年'!Q26="","",'5年'!P26)</f>
        <v/>
      </c>
      <c r="C608" s="31">
        <f>IF('5年'!Q26="","",'5年'!Q26)</f>
        <v/>
      </c>
      <c r="D608" s="31">
        <f>IF('5年'!Q26="","",'5年'!R26&amp;"")</f>
        <v/>
      </c>
      <c r="E608" s="31">
        <f>IF(D608="","",IFERROR(MATCH(D608,設定!$I$11:$I$30,0),""))</f>
        <v/>
      </c>
      <c r="F608" s="31">
        <f>IF(E608="","",COUNTIF($E$2:E608,E608))</f>
        <v/>
      </c>
      <c r="G608" s="31">
        <f>IF(E608="","",E608*1000+F608)</f>
        <v/>
      </c>
      <c r="H608" s="31">
        <f>設定!$B$8</f>
        <v/>
      </c>
      <c r="I608" s="31">
        <f>IF(AND(C608&lt;&gt;"",D608=""),1,0)</f>
        <v/>
      </c>
      <c r="J608" s="31">
        <f>IF(AND(D608&lt;&gt;"",E608=""),1,0)</f>
        <v/>
      </c>
    </row>
    <row r="609">
      <c r="A609" s="31">
        <f>IF('5年'!Q27="","",設定!$C$24)</f>
        <v/>
      </c>
      <c r="B609" s="31">
        <f>IF('5年'!Q27="","",'5年'!P27)</f>
        <v/>
      </c>
      <c r="C609" s="31">
        <f>IF('5年'!Q27="","",'5年'!Q27)</f>
        <v/>
      </c>
      <c r="D609" s="31">
        <f>IF('5年'!Q27="","",'5年'!R27&amp;"")</f>
        <v/>
      </c>
      <c r="E609" s="31">
        <f>IF(D609="","",IFERROR(MATCH(D609,設定!$I$11:$I$30,0),""))</f>
        <v/>
      </c>
      <c r="F609" s="31">
        <f>IF(E609="","",COUNTIF($E$2:E609,E609))</f>
        <v/>
      </c>
      <c r="G609" s="31">
        <f>IF(E609="","",E609*1000+F609)</f>
        <v/>
      </c>
      <c r="H609" s="31">
        <f>設定!$B$8</f>
        <v/>
      </c>
      <c r="I609" s="31">
        <f>IF(AND(C609&lt;&gt;"",D609=""),1,0)</f>
        <v/>
      </c>
      <c r="J609" s="31">
        <f>IF(AND(D609&lt;&gt;"",E609=""),1,0)</f>
        <v/>
      </c>
    </row>
    <row r="610">
      <c r="A610" s="31">
        <f>IF('5年'!Q28="","",設定!$C$24)</f>
        <v/>
      </c>
      <c r="B610" s="31">
        <f>IF('5年'!Q28="","",'5年'!P28)</f>
        <v/>
      </c>
      <c r="C610" s="31">
        <f>IF('5年'!Q28="","",'5年'!Q28)</f>
        <v/>
      </c>
      <c r="D610" s="31">
        <f>IF('5年'!Q28="","",'5年'!R28&amp;"")</f>
        <v/>
      </c>
      <c r="E610" s="31">
        <f>IF(D610="","",IFERROR(MATCH(D610,設定!$I$11:$I$30,0),""))</f>
        <v/>
      </c>
      <c r="F610" s="31">
        <f>IF(E610="","",COUNTIF($E$2:E610,E610))</f>
        <v/>
      </c>
      <c r="G610" s="31">
        <f>IF(E610="","",E610*1000+F610)</f>
        <v/>
      </c>
      <c r="H610" s="31">
        <f>設定!$B$8</f>
        <v/>
      </c>
      <c r="I610" s="31">
        <f>IF(AND(C610&lt;&gt;"",D610=""),1,0)</f>
        <v/>
      </c>
      <c r="J610" s="31">
        <f>IF(AND(D610&lt;&gt;"",E610=""),1,0)</f>
        <v/>
      </c>
    </row>
    <row r="611">
      <c r="A611" s="31">
        <f>IF('5年'!Q29="","",設定!$C$24)</f>
        <v/>
      </c>
      <c r="B611" s="31">
        <f>IF('5年'!Q29="","",'5年'!P29)</f>
        <v/>
      </c>
      <c r="C611" s="31">
        <f>IF('5年'!Q29="","",'5年'!Q29)</f>
        <v/>
      </c>
      <c r="D611" s="31">
        <f>IF('5年'!Q29="","",'5年'!R29&amp;"")</f>
        <v/>
      </c>
      <c r="E611" s="31">
        <f>IF(D611="","",IFERROR(MATCH(D611,設定!$I$11:$I$30,0),""))</f>
        <v/>
      </c>
      <c r="F611" s="31">
        <f>IF(E611="","",COUNTIF($E$2:E611,E611))</f>
        <v/>
      </c>
      <c r="G611" s="31">
        <f>IF(E611="","",E611*1000+F611)</f>
        <v/>
      </c>
      <c r="H611" s="31">
        <f>設定!$B$8</f>
        <v/>
      </c>
      <c r="I611" s="31">
        <f>IF(AND(C611&lt;&gt;"",D611=""),1,0)</f>
        <v/>
      </c>
      <c r="J611" s="31">
        <f>IF(AND(D611&lt;&gt;"",E611=""),1,0)</f>
        <v/>
      </c>
    </row>
    <row r="612">
      <c r="A612" s="31">
        <f>IF('5年'!Q30="","",設定!$C$24)</f>
        <v/>
      </c>
      <c r="B612" s="31">
        <f>IF('5年'!Q30="","",'5年'!P30)</f>
        <v/>
      </c>
      <c r="C612" s="31">
        <f>IF('5年'!Q30="","",'5年'!Q30)</f>
        <v/>
      </c>
      <c r="D612" s="31">
        <f>IF('5年'!Q30="","",'5年'!R30&amp;"")</f>
        <v/>
      </c>
      <c r="E612" s="31">
        <f>IF(D612="","",IFERROR(MATCH(D612,設定!$I$11:$I$30,0),""))</f>
        <v/>
      </c>
      <c r="F612" s="31">
        <f>IF(E612="","",COUNTIF($E$2:E612,E612))</f>
        <v/>
      </c>
      <c r="G612" s="31">
        <f>IF(E612="","",E612*1000+F612)</f>
        <v/>
      </c>
      <c r="H612" s="31">
        <f>設定!$B$8</f>
        <v/>
      </c>
      <c r="I612" s="31">
        <f>IF(AND(C612&lt;&gt;"",D612=""),1,0)</f>
        <v/>
      </c>
      <c r="J612" s="31">
        <f>IF(AND(D612&lt;&gt;"",E612=""),1,0)</f>
        <v/>
      </c>
    </row>
    <row r="613">
      <c r="A613" s="31">
        <f>IF('5年'!Q31="","",設定!$C$24)</f>
        <v/>
      </c>
      <c r="B613" s="31">
        <f>IF('5年'!Q31="","",'5年'!P31)</f>
        <v/>
      </c>
      <c r="C613" s="31">
        <f>IF('5年'!Q31="","",'5年'!Q31)</f>
        <v/>
      </c>
      <c r="D613" s="31">
        <f>IF('5年'!Q31="","",'5年'!R31&amp;"")</f>
        <v/>
      </c>
      <c r="E613" s="31">
        <f>IF(D613="","",IFERROR(MATCH(D613,設定!$I$11:$I$30,0),""))</f>
        <v/>
      </c>
      <c r="F613" s="31">
        <f>IF(E613="","",COUNTIF($E$2:E613,E613))</f>
        <v/>
      </c>
      <c r="G613" s="31">
        <f>IF(E613="","",E613*1000+F613)</f>
        <v/>
      </c>
      <c r="H613" s="31">
        <f>設定!$B$8</f>
        <v/>
      </c>
      <c r="I613" s="31">
        <f>IF(AND(C613&lt;&gt;"",D613=""),1,0)</f>
        <v/>
      </c>
      <c r="J613" s="31">
        <f>IF(AND(D613&lt;&gt;"",E613=""),1,0)</f>
        <v/>
      </c>
    </row>
    <row r="614">
      <c r="A614" s="31">
        <f>IF('5年'!Q32="","",設定!$C$24)</f>
        <v/>
      </c>
      <c r="B614" s="31">
        <f>IF('5年'!Q32="","",'5年'!P32)</f>
        <v/>
      </c>
      <c r="C614" s="31">
        <f>IF('5年'!Q32="","",'5年'!Q32)</f>
        <v/>
      </c>
      <c r="D614" s="31">
        <f>IF('5年'!Q32="","",'5年'!R32&amp;"")</f>
        <v/>
      </c>
      <c r="E614" s="31">
        <f>IF(D614="","",IFERROR(MATCH(D614,設定!$I$11:$I$30,0),""))</f>
        <v/>
      </c>
      <c r="F614" s="31">
        <f>IF(E614="","",COUNTIF($E$2:E614,E614))</f>
        <v/>
      </c>
      <c r="G614" s="31">
        <f>IF(E614="","",E614*1000+F614)</f>
        <v/>
      </c>
      <c r="H614" s="31">
        <f>設定!$B$8</f>
        <v/>
      </c>
      <c r="I614" s="31">
        <f>IF(AND(C614&lt;&gt;"",D614=""),1,0)</f>
        <v/>
      </c>
      <c r="J614" s="31">
        <f>IF(AND(D614&lt;&gt;"",E614=""),1,0)</f>
        <v/>
      </c>
    </row>
    <row r="615">
      <c r="A615" s="31">
        <f>IF('5年'!Q33="","",設定!$C$24)</f>
        <v/>
      </c>
      <c r="B615" s="31">
        <f>IF('5年'!Q33="","",'5年'!P33)</f>
        <v/>
      </c>
      <c r="C615" s="31">
        <f>IF('5年'!Q33="","",'5年'!Q33)</f>
        <v/>
      </c>
      <c r="D615" s="31">
        <f>IF('5年'!Q33="","",'5年'!R33&amp;"")</f>
        <v/>
      </c>
      <c r="E615" s="31">
        <f>IF(D615="","",IFERROR(MATCH(D615,設定!$I$11:$I$30,0),""))</f>
        <v/>
      </c>
      <c r="F615" s="31">
        <f>IF(E615="","",COUNTIF($E$2:E615,E615))</f>
        <v/>
      </c>
      <c r="G615" s="31">
        <f>IF(E615="","",E615*1000+F615)</f>
        <v/>
      </c>
      <c r="H615" s="31">
        <f>設定!$B$8</f>
        <v/>
      </c>
      <c r="I615" s="31">
        <f>IF(AND(C615&lt;&gt;"",D615=""),1,0)</f>
        <v/>
      </c>
      <c r="J615" s="31">
        <f>IF(AND(D615&lt;&gt;"",E615=""),1,0)</f>
        <v/>
      </c>
    </row>
    <row r="616">
      <c r="A616" s="31">
        <f>IF('5年'!Q34="","",設定!$C$24)</f>
        <v/>
      </c>
      <c r="B616" s="31">
        <f>IF('5年'!Q34="","",'5年'!P34)</f>
        <v/>
      </c>
      <c r="C616" s="31">
        <f>IF('5年'!Q34="","",'5年'!Q34)</f>
        <v/>
      </c>
      <c r="D616" s="31">
        <f>IF('5年'!Q34="","",'5年'!R34&amp;"")</f>
        <v/>
      </c>
      <c r="E616" s="31">
        <f>IF(D616="","",IFERROR(MATCH(D616,設定!$I$11:$I$30,0),""))</f>
        <v/>
      </c>
      <c r="F616" s="31">
        <f>IF(E616="","",COUNTIF($E$2:E616,E616))</f>
        <v/>
      </c>
      <c r="G616" s="31">
        <f>IF(E616="","",E616*1000+F616)</f>
        <v/>
      </c>
      <c r="H616" s="31">
        <f>設定!$B$8</f>
        <v/>
      </c>
      <c r="I616" s="31">
        <f>IF(AND(C616&lt;&gt;"",D616=""),1,0)</f>
        <v/>
      </c>
      <c r="J616" s="31">
        <f>IF(AND(D616&lt;&gt;"",E616=""),1,0)</f>
        <v/>
      </c>
    </row>
    <row r="617">
      <c r="A617" s="31">
        <f>IF('5年'!Q35="","",設定!$C$24)</f>
        <v/>
      </c>
      <c r="B617" s="31">
        <f>IF('5年'!Q35="","",'5年'!P35)</f>
        <v/>
      </c>
      <c r="C617" s="31">
        <f>IF('5年'!Q35="","",'5年'!Q35)</f>
        <v/>
      </c>
      <c r="D617" s="31">
        <f>IF('5年'!Q35="","",'5年'!R35&amp;"")</f>
        <v/>
      </c>
      <c r="E617" s="31">
        <f>IF(D617="","",IFERROR(MATCH(D617,設定!$I$11:$I$30,0),""))</f>
        <v/>
      </c>
      <c r="F617" s="31">
        <f>IF(E617="","",COUNTIF($E$2:E617,E617))</f>
        <v/>
      </c>
      <c r="G617" s="31">
        <f>IF(E617="","",E617*1000+F617)</f>
        <v/>
      </c>
      <c r="H617" s="31">
        <f>設定!$B$8</f>
        <v/>
      </c>
      <c r="I617" s="31">
        <f>IF(AND(C617&lt;&gt;"",D617=""),1,0)</f>
        <v/>
      </c>
      <c r="J617" s="31">
        <f>IF(AND(D617&lt;&gt;"",E617=""),1,0)</f>
        <v/>
      </c>
    </row>
    <row r="618">
      <c r="A618" s="31">
        <f>IF('5年'!Q36="","",設定!$C$24)</f>
        <v/>
      </c>
      <c r="B618" s="31">
        <f>IF('5年'!Q36="","",'5年'!P36)</f>
        <v/>
      </c>
      <c r="C618" s="31">
        <f>IF('5年'!Q36="","",'5年'!Q36)</f>
        <v/>
      </c>
      <c r="D618" s="31">
        <f>IF('5年'!Q36="","",'5年'!R36&amp;"")</f>
        <v/>
      </c>
      <c r="E618" s="31">
        <f>IF(D618="","",IFERROR(MATCH(D618,設定!$I$11:$I$30,0),""))</f>
        <v/>
      </c>
      <c r="F618" s="31">
        <f>IF(E618="","",COUNTIF($E$2:E618,E618))</f>
        <v/>
      </c>
      <c r="G618" s="31">
        <f>IF(E618="","",E618*1000+F618)</f>
        <v/>
      </c>
      <c r="H618" s="31">
        <f>設定!$B$8</f>
        <v/>
      </c>
      <c r="I618" s="31">
        <f>IF(AND(C618&lt;&gt;"",D618=""),1,0)</f>
        <v/>
      </c>
      <c r="J618" s="31">
        <f>IF(AND(D618&lt;&gt;"",E618=""),1,0)</f>
        <v/>
      </c>
    </row>
    <row r="619">
      <c r="A619" s="31">
        <f>IF('5年'!Q37="","",設定!$C$24)</f>
        <v/>
      </c>
      <c r="B619" s="31">
        <f>IF('5年'!Q37="","",'5年'!P37)</f>
        <v/>
      </c>
      <c r="C619" s="31">
        <f>IF('5年'!Q37="","",'5年'!Q37)</f>
        <v/>
      </c>
      <c r="D619" s="31">
        <f>IF('5年'!Q37="","",'5年'!R37&amp;"")</f>
        <v/>
      </c>
      <c r="E619" s="31">
        <f>IF(D619="","",IFERROR(MATCH(D619,設定!$I$11:$I$30,0),""))</f>
        <v/>
      </c>
      <c r="F619" s="31">
        <f>IF(E619="","",COUNTIF($E$2:E619,E619))</f>
        <v/>
      </c>
      <c r="G619" s="31">
        <f>IF(E619="","",E619*1000+F619)</f>
        <v/>
      </c>
      <c r="H619" s="31">
        <f>設定!$B$8</f>
        <v/>
      </c>
      <c r="I619" s="31">
        <f>IF(AND(C619&lt;&gt;"",D619=""),1,0)</f>
        <v/>
      </c>
      <c r="J619" s="31">
        <f>IF(AND(D619&lt;&gt;"",E619=""),1,0)</f>
        <v/>
      </c>
    </row>
    <row r="620">
      <c r="A620" s="31">
        <f>IF('5年'!Q38="","",設定!$C$24)</f>
        <v/>
      </c>
      <c r="B620" s="31">
        <f>IF('5年'!Q38="","",'5年'!P38)</f>
        <v/>
      </c>
      <c r="C620" s="31">
        <f>IF('5年'!Q38="","",'5年'!Q38)</f>
        <v/>
      </c>
      <c r="D620" s="31">
        <f>IF('5年'!Q38="","",'5年'!R38&amp;"")</f>
        <v/>
      </c>
      <c r="E620" s="31">
        <f>IF(D620="","",IFERROR(MATCH(D620,設定!$I$11:$I$30,0),""))</f>
        <v/>
      </c>
      <c r="F620" s="31">
        <f>IF(E620="","",COUNTIF($E$2:E620,E620))</f>
        <v/>
      </c>
      <c r="G620" s="31">
        <f>IF(E620="","",E620*1000+F620)</f>
        <v/>
      </c>
      <c r="H620" s="31">
        <f>設定!$B$8</f>
        <v/>
      </c>
      <c r="I620" s="31">
        <f>IF(AND(C620&lt;&gt;"",D620=""),1,0)</f>
        <v/>
      </c>
      <c r="J620" s="31">
        <f>IF(AND(D620&lt;&gt;"",E620=""),1,0)</f>
        <v/>
      </c>
    </row>
    <row r="621">
      <c r="A621" s="31">
        <f>IF('5年'!Q39="","",設定!$C$24)</f>
        <v/>
      </c>
      <c r="B621" s="31">
        <f>IF('5年'!Q39="","",'5年'!P39)</f>
        <v/>
      </c>
      <c r="C621" s="31">
        <f>IF('5年'!Q39="","",'5年'!Q39)</f>
        <v/>
      </c>
      <c r="D621" s="31">
        <f>IF('5年'!Q39="","",'5年'!R39&amp;"")</f>
        <v/>
      </c>
      <c r="E621" s="31">
        <f>IF(D621="","",IFERROR(MATCH(D621,設定!$I$11:$I$30,0),""))</f>
        <v/>
      </c>
      <c r="F621" s="31">
        <f>IF(E621="","",COUNTIF($E$2:E621,E621))</f>
        <v/>
      </c>
      <c r="G621" s="31">
        <f>IF(E621="","",E621*1000+F621)</f>
        <v/>
      </c>
      <c r="H621" s="31">
        <f>設定!$B$8</f>
        <v/>
      </c>
      <c r="I621" s="31">
        <f>IF(AND(C621&lt;&gt;"",D621=""),1,0)</f>
        <v/>
      </c>
      <c r="J621" s="31">
        <f>IF(AND(D621&lt;&gt;"",E621=""),1,0)</f>
        <v/>
      </c>
    </row>
    <row r="622">
      <c r="A622" s="31">
        <f>IF('5年'!Q40="","",設定!$C$24)</f>
        <v/>
      </c>
      <c r="B622" s="31">
        <f>IF('5年'!Q40="","",'5年'!P40)</f>
        <v/>
      </c>
      <c r="C622" s="31">
        <f>IF('5年'!Q40="","",'5年'!Q40)</f>
        <v/>
      </c>
      <c r="D622" s="31">
        <f>IF('5年'!Q40="","",'5年'!R40&amp;"")</f>
        <v/>
      </c>
      <c r="E622" s="31">
        <f>IF(D622="","",IFERROR(MATCH(D622,設定!$I$11:$I$30,0),""))</f>
        <v/>
      </c>
      <c r="F622" s="31">
        <f>IF(E622="","",COUNTIF($E$2:E622,E622))</f>
        <v/>
      </c>
      <c r="G622" s="31">
        <f>IF(E622="","",E622*1000+F622)</f>
        <v/>
      </c>
      <c r="H622" s="31">
        <f>設定!$B$8</f>
        <v/>
      </c>
      <c r="I622" s="31">
        <f>IF(AND(C622&lt;&gt;"",D622=""),1,0)</f>
        <v/>
      </c>
      <c r="J622" s="31">
        <f>IF(AND(D622&lt;&gt;"",E622=""),1,0)</f>
        <v/>
      </c>
    </row>
    <row r="623">
      <c r="A623" s="31">
        <f>IF('5年'!Q41="","",設定!$C$24)</f>
        <v/>
      </c>
      <c r="B623" s="31">
        <f>IF('5年'!Q41="","",'5年'!P41)</f>
        <v/>
      </c>
      <c r="C623" s="31">
        <f>IF('5年'!Q41="","",'5年'!Q41)</f>
        <v/>
      </c>
      <c r="D623" s="31">
        <f>IF('5年'!Q41="","",'5年'!R41&amp;"")</f>
        <v/>
      </c>
      <c r="E623" s="31">
        <f>IF(D623="","",IFERROR(MATCH(D623,設定!$I$11:$I$30,0),""))</f>
        <v/>
      </c>
      <c r="F623" s="31">
        <f>IF(E623="","",COUNTIF($E$2:E623,E623))</f>
        <v/>
      </c>
      <c r="G623" s="31">
        <f>IF(E623="","",E623*1000+F623)</f>
        <v/>
      </c>
      <c r="H623" s="31">
        <f>設定!$B$8</f>
        <v/>
      </c>
      <c r="I623" s="31">
        <f>IF(AND(C623&lt;&gt;"",D623=""),1,0)</f>
        <v/>
      </c>
      <c r="J623" s="31">
        <f>IF(AND(D623&lt;&gt;"",E623=""),1,0)</f>
        <v/>
      </c>
    </row>
    <row r="624">
      <c r="A624" s="31">
        <f>IF('5年'!Q42="","",設定!$C$24)</f>
        <v/>
      </c>
      <c r="B624" s="31">
        <f>IF('5年'!Q42="","",'5年'!P42)</f>
        <v/>
      </c>
      <c r="C624" s="31">
        <f>IF('5年'!Q42="","",'5年'!Q42)</f>
        <v/>
      </c>
      <c r="D624" s="31">
        <f>IF('5年'!Q42="","",'5年'!R42&amp;"")</f>
        <v/>
      </c>
      <c r="E624" s="31">
        <f>IF(D624="","",IFERROR(MATCH(D624,設定!$I$11:$I$30,0),""))</f>
        <v/>
      </c>
      <c r="F624" s="31">
        <f>IF(E624="","",COUNTIF($E$2:E624,E624))</f>
        <v/>
      </c>
      <c r="G624" s="31">
        <f>IF(E624="","",E624*1000+F624)</f>
        <v/>
      </c>
      <c r="H624" s="31">
        <f>設定!$B$8</f>
        <v/>
      </c>
      <c r="I624" s="31">
        <f>IF(AND(C624&lt;&gt;"",D624=""),1,0)</f>
        <v/>
      </c>
      <c r="J624" s="31">
        <f>IF(AND(D624&lt;&gt;"",E624=""),1,0)</f>
        <v/>
      </c>
    </row>
    <row r="625">
      <c r="A625" s="31">
        <f>IF('5年'!Q43="","",設定!$C$24)</f>
        <v/>
      </c>
      <c r="B625" s="31">
        <f>IF('5年'!Q43="","",'5年'!P43)</f>
        <v/>
      </c>
      <c r="C625" s="31">
        <f>IF('5年'!Q43="","",'5年'!Q43)</f>
        <v/>
      </c>
      <c r="D625" s="31">
        <f>IF('5年'!Q43="","",'5年'!R43&amp;"")</f>
        <v/>
      </c>
      <c r="E625" s="31">
        <f>IF(D625="","",IFERROR(MATCH(D625,設定!$I$11:$I$30,0),""))</f>
        <v/>
      </c>
      <c r="F625" s="31">
        <f>IF(E625="","",COUNTIF($E$2:E625,E625))</f>
        <v/>
      </c>
      <c r="G625" s="31">
        <f>IF(E625="","",E625*1000+F625)</f>
        <v/>
      </c>
      <c r="H625" s="31">
        <f>設定!$B$8</f>
        <v/>
      </c>
      <c r="I625" s="31">
        <f>IF(AND(C625&lt;&gt;"",D625=""),1,0)</f>
        <v/>
      </c>
      <c r="J625" s="31">
        <f>IF(AND(D625&lt;&gt;"",E625=""),1,0)</f>
        <v/>
      </c>
    </row>
    <row r="626">
      <c r="A626" s="31">
        <f>IF('5年'!Q44="","",設定!$C$24)</f>
        <v/>
      </c>
      <c r="B626" s="31">
        <f>IF('5年'!Q44="","",'5年'!P44)</f>
        <v/>
      </c>
      <c r="C626" s="31">
        <f>IF('5年'!Q44="","",'5年'!Q44)</f>
        <v/>
      </c>
      <c r="D626" s="31">
        <f>IF('5年'!Q44="","",'5年'!R44&amp;"")</f>
        <v/>
      </c>
      <c r="E626" s="31">
        <f>IF(D626="","",IFERROR(MATCH(D626,設定!$I$11:$I$30,0),""))</f>
        <v/>
      </c>
      <c r="F626" s="31">
        <f>IF(E626="","",COUNTIF($E$2:E626,E626))</f>
        <v/>
      </c>
      <c r="G626" s="31">
        <f>IF(E626="","",E626*1000+F626)</f>
        <v/>
      </c>
      <c r="H626" s="31">
        <f>設定!$B$8</f>
        <v/>
      </c>
      <c r="I626" s="31">
        <f>IF(AND(C626&lt;&gt;"",D626=""),1,0)</f>
        <v/>
      </c>
      <c r="J626" s="31">
        <f>IF(AND(D626&lt;&gt;"",E626=""),1,0)</f>
        <v/>
      </c>
    </row>
    <row r="627">
      <c r="A627" s="31">
        <f>IF('5年'!Q45="","",設定!$C$24)</f>
        <v/>
      </c>
      <c r="B627" s="31">
        <f>IF('5年'!Q45="","",'5年'!P45)</f>
        <v/>
      </c>
      <c r="C627" s="31">
        <f>IF('5年'!Q45="","",'5年'!Q45)</f>
        <v/>
      </c>
      <c r="D627" s="31">
        <f>IF('5年'!Q45="","",'5年'!R45&amp;"")</f>
        <v/>
      </c>
      <c r="E627" s="31">
        <f>IF(D627="","",IFERROR(MATCH(D627,設定!$I$11:$I$30,0),""))</f>
        <v/>
      </c>
      <c r="F627" s="31">
        <f>IF(E627="","",COUNTIF($E$2:E627,E627))</f>
        <v/>
      </c>
      <c r="G627" s="31">
        <f>IF(E627="","",E627*1000+F627)</f>
        <v/>
      </c>
      <c r="H627" s="31">
        <f>設定!$B$8</f>
        <v/>
      </c>
      <c r="I627" s="31">
        <f>IF(AND(C627&lt;&gt;"",D627=""),1,0)</f>
        <v/>
      </c>
      <c r="J627" s="31">
        <f>IF(AND(D627&lt;&gt;"",E627=""),1,0)</f>
        <v/>
      </c>
    </row>
    <row r="628">
      <c r="A628" s="31">
        <f>IF('5年'!Q46="","",設定!$C$24)</f>
        <v/>
      </c>
      <c r="B628" s="31">
        <f>IF('5年'!Q46="","",'5年'!P46)</f>
        <v/>
      </c>
      <c r="C628" s="31">
        <f>IF('5年'!Q46="","",'5年'!Q46)</f>
        <v/>
      </c>
      <c r="D628" s="31">
        <f>IF('5年'!Q46="","",'5年'!R46&amp;"")</f>
        <v/>
      </c>
      <c r="E628" s="31">
        <f>IF(D628="","",IFERROR(MATCH(D628,設定!$I$11:$I$30,0),""))</f>
        <v/>
      </c>
      <c r="F628" s="31">
        <f>IF(E628="","",COUNTIF($E$2:E628,E628))</f>
        <v/>
      </c>
      <c r="G628" s="31">
        <f>IF(E628="","",E628*1000+F628)</f>
        <v/>
      </c>
      <c r="H628" s="31">
        <f>設定!$B$8</f>
        <v/>
      </c>
      <c r="I628" s="31">
        <f>IF(AND(C628&lt;&gt;"",D628=""),1,0)</f>
        <v/>
      </c>
      <c r="J628" s="31">
        <f>IF(AND(D628&lt;&gt;"",E628=""),1,0)</f>
        <v/>
      </c>
    </row>
    <row r="629">
      <c r="A629" s="31">
        <f>IF('5年'!Q47="","",設定!$C$24)</f>
        <v/>
      </c>
      <c r="B629" s="31">
        <f>IF('5年'!Q47="","",'5年'!P47)</f>
        <v/>
      </c>
      <c r="C629" s="31">
        <f>IF('5年'!Q47="","",'5年'!Q47)</f>
        <v/>
      </c>
      <c r="D629" s="31">
        <f>IF('5年'!Q47="","",'5年'!R47&amp;"")</f>
        <v/>
      </c>
      <c r="E629" s="31">
        <f>IF(D629="","",IFERROR(MATCH(D629,設定!$I$11:$I$30,0),""))</f>
        <v/>
      </c>
      <c r="F629" s="31">
        <f>IF(E629="","",COUNTIF($E$2:E629,E629))</f>
        <v/>
      </c>
      <c r="G629" s="31">
        <f>IF(E629="","",E629*1000+F629)</f>
        <v/>
      </c>
      <c r="H629" s="31">
        <f>設定!$B$8</f>
        <v/>
      </c>
      <c r="I629" s="31">
        <f>IF(AND(C629&lt;&gt;"",D629=""),1,0)</f>
        <v/>
      </c>
      <c r="J629" s="31">
        <f>IF(AND(D629&lt;&gt;"",E629=""),1,0)</f>
        <v/>
      </c>
    </row>
    <row r="630">
      <c r="A630" s="31">
        <f>IF('5年'!Q48="","",設定!$C$24)</f>
        <v/>
      </c>
      <c r="B630" s="31">
        <f>IF('5年'!Q48="","",'5年'!P48)</f>
        <v/>
      </c>
      <c r="C630" s="31">
        <f>IF('5年'!Q48="","",'5年'!Q48)</f>
        <v/>
      </c>
      <c r="D630" s="31">
        <f>IF('5年'!Q48="","",'5年'!R48&amp;"")</f>
        <v/>
      </c>
      <c r="E630" s="31">
        <f>IF(D630="","",IFERROR(MATCH(D630,設定!$I$11:$I$30,0),""))</f>
        <v/>
      </c>
      <c r="F630" s="31">
        <f>IF(E630="","",COUNTIF($E$2:E630,E630))</f>
        <v/>
      </c>
      <c r="G630" s="31">
        <f>IF(E630="","",E630*1000+F630)</f>
        <v/>
      </c>
      <c r="H630" s="31">
        <f>設定!$B$8</f>
        <v/>
      </c>
      <c r="I630" s="31">
        <f>IF(AND(C630&lt;&gt;"",D630=""),1,0)</f>
        <v/>
      </c>
      <c r="J630" s="31">
        <f>IF(AND(D630&lt;&gt;"",E630=""),1,0)</f>
        <v/>
      </c>
    </row>
    <row r="631">
      <c r="A631" s="31">
        <f>IF('5年'!Q49="","",設定!$C$24)</f>
        <v/>
      </c>
      <c r="B631" s="31">
        <f>IF('5年'!Q49="","",'5年'!P49)</f>
        <v/>
      </c>
      <c r="C631" s="31">
        <f>IF('5年'!Q49="","",'5年'!Q49)</f>
        <v/>
      </c>
      <c r="D631" s="31">
        <f>IF('5年'!Q49="","",'5年'!R49&amp;"")</f>
        <v/>
      </c>
      <c r="E631" s="31">
        <f>IF(D631="","",IFERROR(MATCH(D631,設定!$I$11:$I$30,0),""))</f>
        <v/>
      </c>
      <c r="F631" s="31">
        <f>IF(E631="","",COUNTIF($E$2:E631,E631))</f>
        <v/>
      </c>
      <c r="G631" s="31">
        <f>IF(E631="","",E631*1000+F631)</f>
        <v/>
      </c>
      <c r="H631" s="31">
        <f>設定!$B$8</f>
        <v/>
      </c>
      <c r="I631" s="31">
        <f>IF(AND(C631&lt;&gt;"",D631=""),1,0)</f>
        <v/>
      </c>
      <c r="J631" s="31">
        <f>IF(AND(D631&lt;&gt;"",E631=""),1,0)</f>
        <v/>
      </c>
    </row>
    <row r="632">
      <c r="A632" s="31">
        <f>IF('5年'!T5="","",設定!$C$25)</f>
        <v/>
      </c>
      <c r="B632" s="31">
        <f>IF('5年'!T5="","",'5年'!S5)</f>
        <v/>
      </c>
      <c r="C632" s="31">
        <f>IF('5年'!T5="","",'5年'!T5)</f>
        <v/>
      </c>
      <c r="D632" s="31">
        <f>IF('5年'!T5="","",'5年'!U5&amp;"")</f>
        <v/>
      </c>
      <c r="E632" s="31">
        <f>IF(D632="","",IFERROR(MATCH(D632,設定!$I$11:$I$30,0),""))</f>
        <v/>
      </c>
      <c r="F632" s="31">
        <f>IF(E632="","",COUNTIF($E$2:E632,E632))</f>
        <v/>
      </c>
      <c r="G632" s="31">
        <f>IF(E632="","",E632*1000+F632)</f>
        <v/>
      </c>
      <c r="H632" s="31">
        <f>設定!$B$8</f>
        <v/>
      </c>
      <c r="I632" s="31">
        <f>IF(AND(C632&lt;&gt;"",D632=""),1,0)</f>
        <v/>
      </c>
      <c r="J632" s="31">
        <f>IF(AND(D632&lt;&gt;"",E632=""),1,0)</f>
        <v/>
      </c>
    </row>
    <row r="633">
      <c r="A633" s="31">
        <f>IF('5年'!T6="","",設定!$C$25)</f>
        <v/>
      </c>
      <c r="B633" s="31">
        <f>IF('5年'!T6="","",'5年'!S6)</f>
        <v/>
      </c>
      <c r="C633" s="31">
        <f>IF('5年'!T6="","",'5年'!T6)</f>
        <v/>
      </c>
      <c r="D633" s="31">
        <f>IF('5年'!T6="","",'5年'!U6&amp;"")</f>
        <v/>
      </c>
      <c r="E633" s="31">
        <f>IF(D633="","",IFERROR(MATCH(D633,設定!$I$11:$I$30,0),""))</f>
        <v/>
      </c>
      <c r="F633" s="31">
        <f>IF(E633="","",COUNTIF($E$2:E633,E633))</f>
        <v/>
      </c>
      <c r="G633" s="31">
        <f>IF(E633="","",E633*1000+F633)</f>
        <v/>
      </c>
      <c r="H633" s="31">
        <f>設定!$B$8</f>
        <v/>
      </c>
      <c r="I633" s="31">
        <f>IF(AND(C633&lt;&gt;"",D633=""),1,0)</f>
        <v/>
      </c>
      <c r="J633" s="31">
        <f>IF(AND(D633&lt;&gt;"",E633=""),1,0)</f>
        <v/>
      </c>
    </row>
    <row r="634">
      <c r="A634" s="31">
        <f>IF('5年'!T7="","",設定!$C$25)</f>
        <v/>
      </c>
      <c r="B634" s="31">
        <f>IF('5年'!T7="","",'5年'!S7)</f>
        <v/>
      </c>
      <c r="C634" s="31">
        <f>IF('5年'!T7="","",'5年'!T7)</f>
        <v/>
      </c>
      <c r="D634" s="31">
        <f>IF('5年'!T7="","",'5年'!U7&amp;"")</f>
        <v/>
      </c>
      <c r="E634" s="31">
        <f>IF(D634="","",IFERROR(MATCH(D634,設定!$I$11:$I$30,0),""))</f>
        <v/>
      </c>
      <c r="F634" s="31">
        <f>IF(E634="","",COUNTIF($E$2:E634,E634))</f>
        <v/>
      </c>
      <c r="G634" s="31">
        <f>IF(E634="","",E634*1000+F634)</f>
        <v/>
      </c>
      <c r="H634" s="31">
        <f>設定!$B$8</f>
        <v/>
      </c>
      <c r="I634" s="31">
        <f>IF(AND(C634&lt;&gt;"",D634=""),1,0)</f>
        <v/>
      </c>
      <c r="J634" s="31">
        <f>IF(AND(D634&lt;&gt;"",E634=""),1,0)</f>
        <v/>
      </c>
    </row>
    <row r="635">
      <c r="A635" s="31">
        <f>IF('5年'!T8="","",設定!$C$25)</f>
        <v/>
      </c>
      <c r="B635" s="31">
        <f>IF('5年'!T8="","",'5年'!S8)</f>
        <v/>
      </c>
      <c r="C635" s="31">
        <f>IF('5年'!T8="","",'5年'!T8)</f>
        <v/>
      </c>
      <c r="D635" s="31">
        <f>IF('5年'!T8="","",'5年'!U8&amp;"")</f>
        <v/>
      </c>
      <c r="E635" s="31">
        <f>IF(D635="","",IFERROR(MATCH(D635,設定!$I$11:$I$30,0),""))</f>
        <v/>
      </c>
      <c r="F635" s="31">
        <f>IF(E635="","",COUNTIF($E$2:E635,E635))</f>
        <v/>
      </c>
      <c r="G635" s="31">
        <f>IF(E635="","",E635*1000+F635)</f>
        <v/>
      </c>
      <c r="H635" s="31">
        <f>設定!$B$8</f>
        <v/>
      </c>
      <c r="I635" s="31">
        <f>IF(AND(C635&lt;&gt;"",D635=""),1,0)</f>
        <v/>
      </c>
      <c r="J635" s="31">
        <f>IF(AND(D635&lt;&gt;"",E635=""),1,0)</f>
        <v/>
      </c>
    </row>
    <row r="636">
      <c r="A636" s="31">
        <f>IF('5年'!T9="","",設定!$C$25)</f>
        <v/>
      </c>
      <c r="B636" s="31">
        <f>IF('5年'!T9="","",'5年'!S9)</f>
        <v/>
      </c>
      <c r="C636" s="31">
        <f>IF('5年'!T9="","",'5年'!T9)</f>
        <v/>
      </c>
      <c r="D636" s="31">
        <f>IF('5年'!T9="","",'5年'!U9&amp;"")</f>
        <v/>
      </c>
      <c r="E636" s="31">
        <f>IF(D636="","",IFERROR(MATCH(D636,設定!$I$11:$I$30,0),""))</f>
        <v/>
      </c>
      <c r="F636" s="31">
        <f>IF(E636="","",COUNTIF($E$2:E636,E636))</f>
        <v/>
      </c>
      <c r="G636" s="31">
        <f>IF(E636="","",E636*1000+F636)</f>
        <v/>
      </c>
      <c r="H636" s="31">
        <f>設定!$B$8</f>
        <v/>
      </c>
      <c r="I636" s="31">
        <f>IF(AND(C636&lt;&gt;"",D636=""),1,0)</f>
        <v/>
      </c>
      <c r="J636" s="31">
        <f>IF(AND(D636&lt;&gt;"",E636=""),1,0)</f>
        <v/>
      </c>
    </row>
    <row r="637">
      <c r="A637" s="31">
        <f>IF('5年'!T10="","",設定!$C$25)</f>
        <v/>
      </c>
      <c r="B637" s="31">
        <f>IF('5年'!T10="","",'5年'!S10)</f>
        <v/>
      </c>
      <c r="C637" s="31">
        <f>IF('5年'!T10="","",'5年'!T10)</f>
        <v/>
      </c>
      <c r="D637" s="31">
        <f>IF('5年'!T10="","",'5年'!U10&amp;"")</f>
        <v/>
      </c>
      <c r="E637" s="31">
        <f>IF(D637="","",IFERROR(MATCH(D637,設定!$I$11:$I$30,0),""))</f>
        <v/>
      </c>
      <c r="F637" s="31">
        <f>IF(E637="","",COUNTIF($E$2:E637,E637))</f>
        <v/>
      </c>
      <c r="G637" s="31">
        <f>IF(E637="","",E637*1000+F637)</f>
        <v/>
      </c>
      <c r="H637" s="31">
        <f>設定!$B$8</f>
        <v/>
      </c>
      <c r="I637" s="31">
        <f>IF(AND(C637&lt;&gt;"",D637=""),1,0)</f>
        <v/>
      </c>
      <c r="J637" s="31">
        <f>IF(AND(D637&lt;&gt;"",E637=""),1,0)</f>
        <v/>
      </c>
    </row>
    <row r="638">
      <c r="A638" s="31">
        <f>IF('5年'!T11="","",設定!$C$25)</f>
        <v/>
      </c>
      <c r="B638" s="31">
        <f>IF('5年'!T11="","",'5年'!S11)</f>
        <v/>
      </c>
      <c r="C638" s="31">
        <f>IF('5年'!T11="","",'5年'!T11)</f>
        <v/>
      </c>
      <c r="D638" s="31">
        <f>IF('5年'!T11="","",'5年'!U11&amp;"")</f>
        <v/>
      </c>
      <c r="E638" s="31">
        <f>IF(D638="","",IFERROR(MATCH(D638,設定!$I$11:$I$30,0),""))</f>
        <v/>
      </c>
      <c r="F638" s="31">
        <f>IF(E638="","",COUNTIF($E$2:E638,E638))</f>
        <v/>
      </c>
      <c r="G638" s="31">
        <f>IF(E638="","",E638*1000+F638)</f>
        <v/>
      </c>
      <c r="H638" s="31">
        <f>設定!$B$8</f>
        <v/>
      </c>
      <c r="I638" s="31">
        <f>IF(AND(C638&lt;&gt;"",D638=""),1,0)</f>
        <v/>
      </c>
      <c r="J638" s="31">
        <f>IF(AND(D638&lt;&gt;"",E638=""),1,0)</f>
        <v/>
      </c>
    </row>
    <row r="639">
      <c r="A639" s="31">
        <f>IF('5年'!T12="","",設定!$C$25)</f>
        <v/>
      </c>
      <c r="B639" s="31">
        <f>IF('5年'!T12="","",'5年'!S12)</f>
        <v/>
      </c>
      <c r="C639" s="31">
        <f>IF('5年'!T12="","",'5年'!T12)</f>
        <v/>
      </c>
      <c r="D639" s="31">
        <f>IF('5年'!T12="","",'5年'!U12&amp;"")</f>
        <v/>
      </c>
      <c r="E639" s="31">
        <f>IF(D639="","",IFERROR(MATCH(D639,設定!$I$11:$I$30,0),""))</f>
        <v/>
      </c>
      <c r="F639" s="31">
        <f>IF(E639="","",COUNTIF($E$2:E639,E639))</f>
        <v/>
      </c>
      <c r="G639" s="31">
        <f>IF(E639="","",E639*1000+F639)</f>
        <v/>
      </c>
      <c r="H639" s="31">
        <f>設定!$B$8</f>
        <v/>
      </c>
      <c r="I639" s="31">
        <f>IF(AND(C639&lt;&gt;"",D639=""),1,0)</f>
        <v/>
      </c>
      <c r="J639" s="31">
        <f>IF(AND(D639&lt;&gt;"",E639=""),1,0)</f>
        <v/>
      </c>
    </row>
    <row r="640">
      <c r="A640" s="31">
        <f>IF('5年'!T13="","",設定!$C$25)</f>
        <v/>
      </c>
      <c r="B640" s="31">
        <f>IF('5年'!T13="","",'5年'!S13)</f>
        <v/>
      </c>
      <c r="C640" s="31">
        <f>IF('5年'!T13="","",'5年'!T13)</f>
        <v/>
      </c>
      <c r="D640" s="31">
        <f>IF('5年'!T13="","",'5年'!U13&amp;"")</f>
        <v/>
      </c>
      <c r="E640" s="31">
        <f>IF(D640="","",IFERROR(MATCH(D640,設定!$I$11:$I$30,0),""))</f>
        <v/>
      </c>
      <c r="F640" s="31">
        <f>IF(E640="","",COUNTIF($E$2:E640,E640))</f>
        <v/>
      </c>
      <c r="G640" s="31">
        <f>IF(E640="","",E640*1000+F640)</f>
        <v/>
      </c>
      <c r="H640" s="31">
        <f>設定!$B$8</f>
        <v/>
      </c>
      <c r="I640" s="31">
        <f>IF(AND(C640&lt;&gt;"",D640=""),1,0)</f>
        <v/>
      </c>
      <c r="J640" s="31">
        <f>IF(AND(D640&lt;&gt;"",E640=""),1,0)</f>
        <v/>
      </c>
    </row>
    <row r="641">
      <c r="A641" s="31">
        <f>IF('5年'!T14="","",設定!$C$25)</f>
        <v/>
      </c>
      <c r="B641" s="31">
        <f>IF('5年'!T14="","",'5年'!S14)</f>
        <v/>
      </c>
      <c r="C641" s="31">
        <f>IF('5年'!T14="","",'5年'!T14)</f>
        <v/>
      </c>
      <c r="D641" s="31">
        <f>IF('5年'!T14="","",'5年'!U14&amp;"")</f>
        <v/>
      </c>
      <c r="E641" s="31">
        <f>IF(D641="","",IFERROR(MATCH(D641,設定!$I$11:$I$30,0),""))</f>
        <v/>
      </c>
      <c r="F641" s="31">
        <f>IF(E641="","",COUNTIF($E$2:E641,E641))</f>
        <v/>
      </c>
      <c r="G641" s="31">
        <f>IF(E641="","",E641*1000+F641)</f>
        <v/>
      </c>
      <c r="H641" s="31">
        <f>設定!$B$8</f>
        <v/>
      </c>
      <c r="I641" s="31">
        <f>IF(AND(C641&lt;&gt;"",D641=""),1,0)</f>
        <v/>
      </c>
      <c r="J641" s="31">
        <f>IF(AND(D641&lt;&gt;"",E641=""),1,0)</f>
        <v/>
      </c>
    </row>
    <row r="642">
      <c r="A642" s="31">
        <f>IF('5年'!T15="","",設定!$C$25)</f>
        <v/>
      </c>
      <c r="B642" s="31">
        <f>IF('5年'!T15="","",'5年'!S15)</f>
        <v/>
      </c>
      <c r="C642" s="31">
        <f>IF('5年'!T15="","",'5年'!T15)</f>
        <v/>
      </c>
      <c r="D642" s="31">
        <f>IF('5年'!T15="","",'5年'!U15&amp;"")</f>
        <v/>
      </c>
      <c r="E642" s="31">
        <f>IF(D642="","",IFERROR(MATCH(D642,設定!$I$11:$I$30,0),""))</f>
        <v/>
      </c>
      <c r="F642" s="31">
        <f>IF(E642="","",COUNTIF($E$2:E642,E642))</f>
        <v/>
      </c>
      <c r="G642" s="31">
        <f>IF(E642="","",E642*1000+F642)</f>
        <v/>
      </c>
      <c r="H642" s="31">
        <f>設定!$B$8</f>
        <v/>
      </c>
      <c r="I642" s="31">
        <f>IF(AND(C642&lt;&gt;"",D642=""),1,0)</f>
        <v/>
      </c>
      <c r="J642" s="31">
        <f>IF(AND(D642&lt;&gt;"",E642=""),1,0)</f>
        <v/>
      </c>
    </row>
    <row r="643">
      <c r="A643" s="31">
        <f>IF('5年'!T16="","",設定!$C$25)</f>
        <v/>
      </c>
      <c r="B643" s="31">
        <f>IF('5年'!T16="","",'5年'!S16)</f>
        <v/>
      </c>
      <c r="C643" s="31">
        <f>IF('5年'!T16="","",'5年'!T16)</f>
        <v/>
      </c>
      <c r="D643" s="31">
        <f>IF('5年'!T16="","",'5年'!U16&amp;"")</f>
        <v/>
      </c>
      <c r="E643" s="31">
        <f>IF(D643="","",IFERROR(MATCH(D643,設定!$I$11:$I$30,0),""))</f>
        <v/>
      </c>
      <c r="F643" s="31">
        <f>IF(E643="","",COUNTIF($E$2:E643,E643))</f>
        <v/>
      </c>
      <c r="G643" s="31">
        <f>IF(E643="","",E643*1000+F643)</f>
        <v/>
      </c>
      <c r="H643" s="31">
        <f>設定!$B$8</f>
        <v/>
      </c>
      <c r="I643" s="31">
        <f>IF(AND(C643&lt;&gt;"",D643=""),1,0)</f>
        <v/>
      </c>
      <c r="J643" s="31">
        <f>IF(AND(D643&lt;&gt;"",E643=""),1,0)</f>
        <v/>
      </c>
    </row>
    <row r="644">
      <c r="A644" s="31">
        <f>IF('5年'!T17="","",設定!$C$25)</f>
        <v/>
      </c>
      <c r="B644" s="31">
        <f>IF('5年'!T17="","",'5年'!S17)</f>
        <v/>
      </c>
      <c r="C644" s="31">
        <f>IF('5年'!T17="","",'5年'!T17)</f>
        <v/>
      </c>
      <c r="D644" s="31">
        <f>IF('5年'!T17="","",'5年'!U17&amp;"")</f>
        <v/>
      </c>
      <c r="E644" s="31">
        <f>IF(D644="","",IFERROR(MATCH(D644,設定!$I$11:$I$30,0),""))</f>
        <v/>
      </c>
      <c r="F644" s="31">
        <f>IF(E644="","",COUNTIF($E$2:E644,E644))</f>
        <v/>
      </c>
      <c r="G644" s="31">
        <f>IF(E644="","",E644*1000+F644)</f>
        <v/>
      </c>
      <c r="H644" s="31">
        <f>設定!$B$8</f>
        <v/>
      </c>
      <c r="I644" s="31">
        <f>IF(AND(C644&lt;&gt;"",D644=""),1,0)</f>
        <v/>
      </c>
      <c r="J644" s="31">
        <f>IF(AND(D644&lt;&gt;"",E644=""),1,0)</f>
        <v/>
      </c>
    </row>
    <row r="645">
      <c r="A645" s="31">
        <f>IF('5年'!T18="","",設定!$C$25)</f>
        <v/>
      </c>
      <c r="B645" s="31">
        <f>IF('5年'!T18="","",'5年'!S18)</f>
        <v/>
      </c>
      <c r="C645" s="31">
        <f>IF('5年'!T18="","",'5年'!T18)</f>
        <v/>
      </c>
      <c r="D645" s="31">
        <f>IF('5年'!T18="","",'5年'!U18&amp;"")</f>
        <v/>
      </c>
      <c r="E645" s="31">
        <f>IF(D645="","",IFERROR(MATCH(D645,設定!$I$11:$I$30,0),""))</f>
        <v/>
      </c>
      <c r="F645" s="31">
        <f>IF(E645="","",COUNTIF($E$2:E645,E645))</f>
        <v/>
      </c>
      <c r="G645" s="31">
        <f>IF(E645="","",E645*1000+F645)</f>
        <v/>
      </c>
      <c r="H645" s="31">
        <f>設定!$B$8</f>
        <v/>
      </c>
      <c r="I645" s="31">
        <f>IF(AND(C645&lt;&gt;"",D645=""),1,0)</f>
        <v/>
      </c>
      <c r="J645" s="31">
        <f>IF(AND(D645&lt;&gt;"",E645=""),1,0)</f>
        <v/>
      </c>
    </row>
    <row r="646">
      <c r="A646" s="31">
        <f>IF('5年'!T19="","",設定!$C$25)</f>
        <v/>
      </c>
      <c r="B646" s="31">
        <f>IF('5年'!T19="","",'5年'!S19)</f>
        <v/>
      </c>
      <c r="C646" s="31">
        <f>IF('5年'!T19="","",'5年'!T19)</f>
        <v/>
      </c>
      <c r="D646" s="31">
        <f>IF('5年'!T19="","",'5年'!U19&amp;"")</f>
        <v/>
      </c>
      <c r="E646" s="31">
        <f>IF(D646="","",IFERROR(MATCH(D646,設定!$I$11:$I$30,0),""))</f>
        <v/>
      </c>
      <c r="F646" s="31">
        <f>IF(E646="","",COUNTIF($E$2:E646,E646))</f>
        <v/>
      </c>
      <c r="G646" s="31">
        <f>IF(E646="","",E646*1000+F646)</f>
        <v/>
      </c>
      <c r="H646" s="31">
        <f>設定!$B$8</f>
        <v/>
      </c>
      <c r="I646" s="31">
        <f>IF(AND(C646&lt;&gt;"",D646=""),1,0)</f>
        <v/>
      </c>
      <c r="J646" s="31">
        <f>IF(AND(D646&lt;&gt;"",E646=""),1,0)</f>
        <v/>
      </c>
    </row>
    <row r="647">
      <c r="A647" s="31">
        <f>IF('5年'!T20="","",設定!$C$25)</f>
        <v/>
      </c>
      <c r="B647" s="31">
        <f>IF('5年'!T20="","",'5年'!S20)</f>
        <v/>
      </c>
      <c r="C647" s="31">
        <f>IF('5年'!T20="","",'5年'!T20)</f>
        <v/>
      </c>
      <c r="D647" s="31">
        <f>IF('5年'!T20="","",'5年'!U20&amp;"")</f>
        <v/>
      </c>
      <c r="E647" s="31">
        <f>IF(D647="","",IFERROR(MATCH(D647,設定!$I$11:$I$30,0),""))</f>
        <v/>
      </c>
      <c r="F647" s="31">
        <f>IF(E647="","",COUNTIF($E$2:E647,E647))</f>
        <v/>
      </c>
      <c r="G647" s="31">
        <f>IF(E647="","",E647*1000+F647)</f>
        <v/>
      </c>
      <c r="H647" s="31">
        <f>設定!$B$8</f>
        <v/>
      </c>
      <c r="I647" s="31">
        <f>IF(AND(C647&lt;&gt;"",D647=""),1,0)</f>
        <v/>
      </c>
      <c r="J647" s="31">
        <f>IF(AND(D647&lt;&gt;"",E647=""),1,0)</f>
        <v/>
      </c>
    </row>
    <row r="648">
      <c r="A648" s="31">
        <f>IF('5年'!T21="","",設定!$C$25)</f>
        <v/>
      </c>
      <c r="B648" s="31">
        <f>IF('5年'!T21="","",'5年'!S21)</f>
        <v/>
      </c>
      <c r="C648" s="31">
        <f>IF('5年'!T21="","",'5年'!T21)</f>
        <v/>
      </c>
      <c r="D648" s="31">
        <f>IF('5年'!T21="","",'5年'!U21&amp;"")</f>
        <v/>
      </c>
      <c r="E648" s="31">
        <f>IF(D648="","",IFERROR(MATCH(D648,設定!$I$11:$I$30,0),""))</f>
        <v/>
      </c>
      <c r="F648" s="31">
        <f>IF(E648="","",COUNTIF($E$2:E648,E648))</f>
        <v/>
      </c>
      <c r="G648" s="31">
        <f>IF(E648="","",E648*1000+F648)</f>
        <v/>
      </c>
      <c r="H648" s="31">
        <f>設定!$B$8</f>
        <v/>
      </c>
      <c r="I648" s="31">
        <f>IF(AND(C648&lt;&gt;"",D648=""),1,0)</f>
        <v/>
      </c>
      <c r="J648" s="31">
        <f>IF(AND(D648&lt;&gt;"",E648=""),1,0)</f>
        <v/>
      </c>
    </row>
    <row r="649">
      <c r="A649" s="31">
        <f>IF('5年'!T22="","",設定!$C$25)</f>
        <v/>
      </c>
      <c r="B649" s="31">
        <f>IF('5年'!T22="","",'5年'!S22)</f>
        <v/>
      </c>
      <c r="C649" s="31">
        <f>IF('5年'!T22="","",'5年'!T22)</f>
        <v/>
      </c>
      <c r="D649" s="31">
        <f>IF('5年'!T22="","",'5年'!U22&amp;"")</f>
        <v/>
      </c>
      <c r="E649" s="31">
        <f>IF(D649="","",IFERROR(MATCH(D649,設定!$I$11:$I$30,0),""))</f>
        <v/>
      </c>
      <c r="F649" s="31">
        <f>IF(E649="","",COUNTIF($E$2:E649,E649))</f>
        <v/>
      </c>
      <c r="G649" s="31">
        <f>IF(E649="","",E649*1000+F649)</f>
        <v/>
      </c>
      <c r="H649" s="31">
        <f>設定!$B$8</f>
        <v/>
      </c>
      <c r="I649" s="31">
        <f>IF(AND(C649&lt;&gt;"",D649=""),1,0)</f>
        <v/>
      </c>
      <c r="J649" s="31">
        <f>IF(AND(D649&lt;&gt;"",E649=""),1,0)</f>
        <v/>
      </c>
    </row>
    <row r="650">
      <c r="A650" s="31">
        <f>IF('5年'!T23="","",設定!$C$25)</f>
        <v/>
      </c>
      <c r="B650" s="31">
        <f>IF('5年'!T23="","",'5年'!S23)</f>
        <v/>
      </c>
      <c r="C650" s="31">
        <f>IF('5年'!T23="","",'5年'!T23)</f>
        <v/>
      </c>
      <c r="D650" s="31">
        <f>IF('5年'!T23="","",'5年'!U23&amp;"")</f>
        <v/>
      </c>
      <c r="E650" s="31">
        <f>IF(D650="","",IFERROR(MATCH(D650,設定!$I$11:$I$30,0),""))</f>
        <v/>
      </c>
      <c r="F650" s="31">
        <f>IF(E650="","",COUNTIF($E$2:E650,E650))</f>
        <v/>
      </c>
      <c r="G650" s="31">
        <f>IF(E650="","",E650*1000+F650)</f>
        <v/>
      </c>
      <c r="H650" s="31">
        <f>設定!$B$8</f>
        <v/>
      </c>
      <c r="I650" s="31">
        <f>IF(AND(C650&lt;&gt;"",D650=""),1,0)</f>
        <v/>
      </c>
      <c r="J650" s="31">
        <f>IF(AND(D650&lt;&gt;"",E650=""),1,0)</f>
        <v/>
      </c>
    </row>
    <row r="651">
      <c r="A651" s="31">
        <f>IF('5年'!T24="","",設定!$C$25)</f>
        <v/>
      </c>
      <c r="B651" s="31">
        <f>IF('5年'!T24="","",'5年'!S24)</f>
        <v/>
      </c>
      <c r="C651" s="31">
        <f>IF('5年'!T24="","",'5年'!T24)</f>
        <v/>
      </c>
      <c r="D651" s="31">
        <f>IF('5年'!T24="","",'5年'!U24&amp;"")</f>
        <v/>
      </c>
      <c r="E651" s="31">
        <f>IF(D651="","",IFERROR(MATCH(D651,設定!$I$11:$I$30,0),""))</f>
        <v/>
      </c>
      <c r="F651" s="31">
        <f>IF(E651="","",COUNTIF($E$2:E651,E651))</f>
        <v/>
      </c>
      <c r="G651" s="31">
        <f>IF(E651="","",E651*1000+F651)</f>
        <v/>
      </c>
      <c r="H651" s="31">
        <f>設定!$B$8</f>
        <v/>
      </c>
      <c r="I651" s="31">
        <f>IF(AND(C651&lt;&gt;"",D651=""),1,0)</f>
        <v/>
      </c>
      <c r="J651" s="31">
        <f>IF(AND(D651&lt;&gt;"",E651=""),1,0)</f>
        <v/>
      </c>
    </row>
    <row r="652">
      <c r="A652" s="31">
        <f>IF('5年'!T25="","",設定!$C$25)</f>
        <v/>
      </c>
      <c r="B652" s="31">
        <f>IF('5年'!T25="","",'5年'!S25)</f>
        <v/>
      </c>
      <c r="C652" s="31">
        <f>IF('5年'!T25="","",'5年'!T25)</f>
        <v/>
      </c>
      <c r="D652" s="31">
        <f>IF('5年'!T25="","",'5年'!U25&amp;"")</f>
        <v/>
      </c>
      <c r="E652" s="31">
        <f>IF(D652="","",IFERROR(MATCH(D652,設定!$I$11:$I$30,0),""))</f>
        <v/>
      </c>
      <c r="F652" s="31">
        <f>IF(E652="","",COUNTIF($E$2:E652,E652))</f>
        <v/>
      </c>
      <c r="G652" s="31">
        <f>IF(E652="","",E652*1000+F652)</f>
        <v/>
      </c>
      <c r="H652" s="31">
        <f>設定!$B$8</f>
        <v/>
      </c>
      <c r="I652" s="31">
        <f>IF(AND(C652&lt;&gt;"",D652=""),1,0)</f>
        <v/>
      </c>
      <c r="J652" s="31">
        <f>IF(AND(D652&lt;&gt;"",E652=""),1,0)</f>
        <v/>
      </c>
    </row>
    <row r="653">
      <c r="A653" s="31">
        <f>IF('5年'!T26="","",設定!$C$25)</f>
        <v/>
      </c>
      <c r="B653" s="31">
        <f>IF('5年'!T26="","",'5年'!S26)</f>
        <v/>
      </c>
      <c r="C653" s="31">
        <f>IF('5年'!T26="","",'5年'!T26)</f>
        <v/>
      </c>
      <c r="D653" s="31">
        <f>IF('5年'!T26="","",'5年'!U26&amp;"")</f>
        <v/>
      </c>
      <c r="E653" s="31">
        <f>IF(D653="","",IFERROR(MATCH(D653,設定!$I$11:$I$30,0),""))</f>
        <v/>
      </c>
      <c r="F653" s="31">
        <f>IF(E653="","",COUNTIF($E$2:E653,E653))</f>
        <v/>
      </c>
      <c r="G653" s="31">
        <f>IF(E653="","",E653*1000+F653)</f>
        <v/>
      </c>
      <c r="H653" s="31">
        <f>設定!$B$8</f>
        <v/>
      </c>
      <c r="I653" s="31">
        <f>IF(AND(C653&lt;&gt;"",D653=""),1,0)</f>
        <v/>
      </c>
      <c r="J653" s="31">
        <f>IF(AND(D653&lt;&gt;"",E653=""),1,0)</f>
        <v/>
      </c>
    </row>
    <row r="654">
      <c r="A654" s="31">
        <f>IF('5年'!T27="","",設定!$C$25)</f>
        <v/>
      </c>
      <c r="B654" s="31">
        <f>IF('5年'!T27="","",'5年'!S27)</f>
        <v/>
      </c>
      <c r="C654" s="31">
        <f>IF('5年'!T27="","",'5年'!T27)</f>
        <v/>
      </c>
      <c r="D654" s="31">
        <f>IF('5年'!T27="","",'5年'!U27&amp;"")</f>
        <v/>
      </c>
      <c r="E654" s="31">
        <f>IF(D654="","",IFERROR(MATCH(D654,設定!$I$11:$I$30,0),""))</f>
        <v/>
      </c>
      <c r="F654" s="31">
        <f>IF(E654="","",COUNTIF($E$2:E654,E654))</f>
        <v/>
      </c>
      <c r="G654" s="31">
        <f>IF(E654="","",E654*1000+F654)</f>
        <v/>
      </c>
      <c r="H654" s="31">
        <f>設定!$B$8</f>
        <v/>
      </c>
      <c r="I654" s="31">
        <f>IF(AND(C654&lt;&gt;"",D654=""),1,0)</f>
        <v/>
      </c>
      <c r="J654" s="31">
        <f>IF(AND(D654&lt;&gt;"",E654=""),1,0)</f>
        <v/>
      </c>
    </row>
    <row r="655">
      <c r="A655" s="31">
        <f>IF('5年'!T28="","",設定!$C$25)</f>
        <v/>
      </c>
      <c r="B655" s="31">
        <f>IF('5年'!T28="","",'5年'!S28)</f>
        <v/>
      </c>
      <c r="C655" s="31">
        <f>IF('5年'!T28="","",'5年'!T28)</f>
        <v/>
      </c>
      <c r="D655" s="31">
        <f>IF('5年'!T28="","",'5年'!U28&amp;"")</f>
        <v/>
      </c>
      <c r="E655" s="31">
        <f>IF(D655="","",IFERROR(MATCH(D655,設定!$I$11:$I$30,0),""))</f>
        <v/>
      </c>
      <c r="F655" s="31">
        <f>IF(E655="","",COUNTIF($E$2:E655,E655))</f>
        <v/>
      </c>
      <c r="G655" s="31">
        <f>IF(E655="","",E655*1000+F655)</f>
        <v/>
      </c>
      <c r="H655" s="31">
        <f>設定!$B$8</f>
        <v/>
      </c>
      <c r="I655" s="31">
        <f>IF(AND(C655&lt;&gt;"",D655=""),1,0)</f>
        <v/>
      </c>
      <c r="J655" s="31">
        <f>IF(AND(D655&lt;&gt;"",E655=""),1,0)</f>
        <v/>
      </c>
    </row>
    <row r="656">
      <c r="A656" s="31">
        <f>IF('5年'!T29="","",設定!$C$25)</f>
        <v/>
      </c>
      <c r="B656" s="31">
        <f>IF('5年'!T29="","",'5年'!S29)</f>
        <v/>
      </c>
      <c r="C656" s="31">
        <f>IF('5年'!T29="","",'5年'!T29)</f>
        <v/>
      </c>
      <c r="D656" s="31">
        <f>IF('5年'!T29="","",'5年'!U29&amp;"")</f>
        <v/>
      </c>
      <c r="E656" s="31">
        <f>IF(D656="","",IFERROR(MATCH(D656,設定!$I$11:$I$30,0),""))</f>
        <v/>
      </c>
      <c r="F656" s="31">
        <f>IF(E656="","",COUNTIF($E$2:E656,E656))</f>
        <v/>
      </c>
      <c r="G656" s="31">
        <f>IF(E656="","",E656*1000+F656)</f>
        <v/>
      </c>
      <c r="H656" s="31">
        <f>設定!$B$8</f>
        <v/>
      </c>
      <c r="I656" s="31">
        <f>IF(AND(C656&lt;&gt;"",D656=""),1,0)</f>
        <v/>
      </c>
      <c r="J656" s="31">
        <f>IF(AND(D656&lt;&gt;"",E656=""),1,0)</f>
        <v/>
      </c>
    </row>
    <row r="657">
      <c r="A657" s="31">
        <f>IF('5年'!T30="","",設定!$C$25)</f>
        <v/>
      </c>
      <c r="B657" s="31">
        <f>IF('5年'!T30="","",'5年'!S30)</f>
        <v/>
      </c>
      <c r="C657" s="31">
        <f>IF('5年'!T30="","",'5年'!T30)</f>
        <v/>
      </c>
      <c r="D657" s="31">
        <f>IF('5年'!T30="","",'5年'!U30&amp;"")</f>
        <v/>
      </c>
      <c r="E657" s="31">
        <f>IF(D657="","",IFERROR(MATCH(D657,設定!$I$11:$I$30,0),""))</f>
        <v/>
      </c>
      <c r="F657" s="31">
        <f>IF(E657="","",COUNTIF($E$2:E657,E657))</f>
        <v/>
      </c>
      <c r="G657" s="31">
        <f>IF(E657="","",E657*1000+F657)</f>
        <v/>
      </c>
      <c r="H657" s="31">
        <f>設定!$B$8</f>
        <v/>
      </c>
      <c r="I657" s="31">
        <f>IF(AND(C657&lt;&gt;"",D657=""),1,0)</f>
        <v/>
      </c>
      <c r="J657" s="31">
        <f>IF(AND(D657&lt;&gt;"",E657=""),1,0)</f>
        <v/>
      </c>
    </row>
    <row r="658">
      <c r="A658" s="31">
        <f>IF('5年'!T31="","",設定!$C$25)</f>
        <v/>
      </c>
      <c r="B658" s="31">
        <f>IF('5年'!T31="","",'5年'!S31)</f>
        <v/>
      </c>
      <c r="C658" s="31">
        <f>IF('5年'!T31="","",'5年'!T31)</f>
        <v/>
      </c>
      <c r="D658" s="31">
        <f>IF('5年'!T31="","",'5年'!U31&amp;"")</f>
        <v/>
      </c>
      <c r="E658" s="31">
        <f>IF(D658="","",IFERROR(MATCH(D658,設定!$I$11:$I$30,0),""))</f>
        <v/>
      </c>
      <c r="F658" s="31">
        <f>IF(E658="","",COUNTIF($E$2:E658,E658))</f>
        <v/>
      </c>
      <c r="G658" s="31">
        <f>IF(E658="","",E658*1000+F658)</f>
        <v/>
      </c>
      <c r="H658" s="31">
        <f>設定!$B$8</f>
        <v/>
      </c>
      <c r="I658" s="31">
        <f>IF(AND(C658&lt;&gt;"",D658=""),1,0)</f>
        <v/>
      </c>
      <c r="J658" s="31">
        <f>IF(AND(D658&lt;&gt;"",E658=""),1,0)</f>
        <v/>
      </c>
    </row>
    <row r="659">
      <c r="A659" s="31">
        <f>IF('5年'!T32="","",設定!$C$25)</f>
        <v/>
      </c>
      <c r="B659" s="31">
        <f>IF('5年'!T32="","",'5年'!S32)</f>
        <v/>
      </c>
      <c r="C659" s="31">
        <f>IF('5年'!T32="","",'5年'!T32)</f>
        <v/>
      </c>
      <c r="D659" s="31">
        <f>IF('5年'!T32="","",'5年'!U32&amp;"")</f>
        <v/>
      </c>
      <c r="E659" s="31">
        <f>IF(D659="","",IFERROR(MATCH(D659,設定!$I$11:$I$30,0),""))</f>
        <v/>
      </c>
      <c r="F659" s="31">
        <f>IF(E659="","",COUNTIF($E$2:E659,E659))</f>
        <v/>
      </c>
      <c r="G659" s="31">
        <f>IF(E659="","",E659*1000+F659)</f>
        <v/>
      </c>
      <c r="H659" s="31">
        <f>設定!$B$8</f>
        <v/>
      </c>
      <c r="I659" s="31">
        <f>IF(AND(C659&lt;&gt;"",D659=""),1,0)</f>
        <v/>
      </c>
      <c r="J659" s="31">
        <f>IF(AND(D659&lt;&gt;"",E659=""),1,0)</f>
        <v/>
      </c>
    </row>
    <row r="660">
      <c r="A660" s="31">
        <f>IF('5年'!T33="","",設定!$C$25)</f>
        <v/>
      </c>
      <c r="B660" s="31">
        <f>IF('5年'!T33="","",'5年'!S33)</f>
        <v/>
      </c>
      <c r="C660" s="31">
        <f>IF('5年'!T33="","",'5年'!T33)</f>
        <v/>
      </c>
      <c r="D660" s="31">
        <f>IF('5年'!T33="","",'5年'!U33&amp;"")</f>
        <v/>
      </c>
      <c r="E660" s="31">
        <f>IF(D660="","",IFERROR(MATCH(D660,設定!$I$11:$I$30,0),""))</f>
        <v/>
      </c>
      <c r="F660" s="31">
        <f>IF(E660="","",COUNTIF($E$2:E660,E660))</f>
        <v/>
      </c>
      <c r="G660" s="31">
        <f>IF(E660="","",E660*1000+F660)</f>
        <v/>
      </c>
      <c r="H660" s="31">
        <f>設定!$B$8</f>
        <v/>
      </c>
      <c r="I660" s="31">
        <f>IF(AND(C660&lt;&gt;"",D660=""),1,0)</f>
        <v/>
      </c>
      <c r="J660" s="31">
        <f>IF(AND(D660&lt;&gt;"",E660=""),1,0)</f>
        <v/>
      </c>
    </row>
    <row r="661">
      <c r="A661" s="31">
        <f>IF('5年'!T34="","",設定!$C$25)</f>
        <v/>
      </c>
      <c r="B661" s="31">
        <f>IF('5年'!T34="","",'5年'!S34)</f>
        <v/>
      </c>
      <c r="C661" s="31">
        <f>IF('5年'!T34="","",'5年'!T34)</f>
        <v/>
      </c>
      <c r="D661" s="31">
        <f>IF('5年'!T34="","",'5年'!U34&amp;"")</f>
        <v/>
      </c>
      <c r="E661" s="31">
        <f>IF(D661="","",IFERROR(MATCH(D661,設定!$I$11:$I$30,0),""))</f>
        <v/>
      </c>
      <c r="F661" s="31">
        <f>IF(E661="","",COUNTIF($E$2:E661,E661))</f>
        <v/>
      </c>
      <c r="G661" s="31">
        <f>IF(E661="","",E661*1000+F661)</f>
        <v/>
      </c>
      <c r="H661" s="31">
        <f>設定!$B$8</f>
        <v/>
      </c>
      <c r="I661" s="31">
        <f>IF(AND(C661&lt;&gt;"",D661=""),1,0)</f>
        <v/>
      </c>
      <c r="J661" s="31">
        <f>IF(AND(D661&lt;&gt;"",E661=""),1,0)</f>
        <v/>
      </c>
    </row>
    <row r="662">
      <c r="A662" s="31">
        <f>IF('5年'!T35="","",設定!$C$25)</f>
        <v/>
      </c>
      <c r="B662" s="31">
        <f>IF('5年'!T35="","",'5年'!S35)</f>
        <v/>
      </c>
      <c r="C662" s="31">
        <f>IF('5年'!T35="","",'5年'!T35)</f>
        <v/>
      </c>
      <c r="D662" s="31">
        <f>IF('5年'!T35="","",'5年'!U35&amp;"")</f>
        <v/>
      </c>
      <c r="E662" s="31">
        <f>IF(D662="","",IFERROR(MATCH(D662,設定!$I$11:$I$30,0),""))</f>
        <v/>
      </c>
      <c r="F662" s="31">
        <f>IF(E662="","",COUNTIF($E$2:E662,E662))</f>
        <v/>
      </c>
      <c r="G662" s="31">
        <f>IF(E662="","",E662*1000+F662)</f>
        <v/>
      </c>
      <c r="H662" s="31">
        <f>設定!$B$8</f>
        <v/>
      </c>
      <c r="I662" s="31">
        <f>IF(AND(C662&lt;&gt;"",D662=""),1,0)</f>
        <v/>
      </c>
      <c r="J662" s="31">
        <f>IF(AND(D662&lt;&gt;"",E662=""),1,0)</f>
        <v/>
      </c>
    </row>
    <row r="663">
      <c r="A663" s="31">
        <f>IF('5年'!T36="","",設定!$C$25)</f>
        <v/>
      </c>
      <c r="B663" s="31">
        <f>IF('5年'!T36="","",'5年'!S36)</f>
        <v/>
      </c>
      <c r="C663" s="31">
        <f>IF('5年'!T36="","",'5年'!T36)</f>
        <v/>
      </c>
      <c r="D663" s="31">
        <f>IF('5年'!T36="","",'5年'!U36&amp;"")</f>
        <v/>
      </c>
      <c r="E663" s="31">
        <f>IF(D663="","",IFERROR(MATCH(D663,設定!$I$11:$I$30,0),""))</f>
        <v/>
      </c>
      <c r="F663" s="31">
        <f>IF(E663="","",COUNTIF($E$2:E663,E663))</f>
        <v/>
      </c>
      <c r="G663" s="31">
        <f>IF(E663="","",E663*1000+F663)</f>
        <v/>
      </c>
      <c r="H663" s="31">
        <f>設定!$B$8</f>
        <v/>
      </c>
      <c r="I663" s="31">
        <f>IF(AND(C663&lt;&gt;"",D663=""),1,0)</f>
        <v/>
      </c>
      <c r="J663" s="31">
        <f>IF(AND(D663&lt;&gt;"",E663=""),1,0)</f>
        <v/>
      </c>
    </row>
    <row r="664">
      <c r="A664" s="31">
        <f>IF('5年'!T37="","",設定!$C$25)</f>
        <v/>
      </c>
      <c r="B664" s="31">
        <f>IF('5年'!T37="","",'5年'!S37)</f>
        <v/>
      </c>
      <c r="C664" s="31">
        <f>IF('5年'!T37="","",'5年'!T37)</f>
        <v/>
      </c>
      <c r="D664" s="31">
        <f>IF('5年'!T37="","",'5年'!U37&amp;"")</f>
        <v/>
      </c>
      <c r="E664" s="31">
        <f>IF(D664="","",IFERROR(MATCH(D664,設定!$I$11:$I$30,0),""))</f>
        <v/>
      </c>
      <c r="F664" s="31">
        <f>IF(E664="","",COUNTIF($E$2:E664,E664))</f>
        <v/>
      </c>
      <c r="G664" s="31">
        <f>IF(E664="","",E664*1000+F664)</f>
        <v/>
      </c>
      <c r="H664" s="31">
        <f>設定!$B$8</f>
        <v/>
      </c>
      <c r="I664" s="31">
        <f>IF(AND(C664&lt;&gt;"",D664=""),1,0)</f>
        <v/>
      </c>
      <c r="J664" s="31">
        <f>IF(AND(D664&lt;&gt;"",E664=""),1,0)</f>
        <v/>
      </c>
    </row>
    <row r="665">
      <c r="A665" s="31">
        <f>IF('5年'!T38="","",設定!$C$25)</f>
        <v/>
      </c>
      <c r="B665" s="31">
        <f>IF('5年'!T38="","",'5年'!S38)</f>
        <v/>
      </c>
      <c r="C665" s="31">
        <f>IF('5年'!T38="","",'5年'!T38)</f>
        <v/>
      </c>
      <c r="D665" s="31">
        <f>IF('5年'!T38="","",'5年'!U38&amp;"")</f>
        <v/>
      </c>
      <c r="E665" s="31">
        <f>IF(D665="","",IFERROR(MATCH(D665,設定!$I$11:$I$30,0),""))</f>
        <v/>
      </c>
      <c r="F665" s="31">
        <f>IF(E665="","",COUNTIF($E$2:E665,E665))</f>
        <v/>
      </c>
      <c r="G665" s="31">
        <f>IF(E665="","",E665*1000+F665)</f>
        <v/>
      </c>
      <c r="H665" s="31">
        <f>設定!$B$8</f>
        <v/>
      </c>
      <c r="I665" s="31">
        <f>IF(AND(C665&lt;&gt;"",D665=""),1,0)</f>
        <v/>
      </c>
      <c r="J665" s="31">
        <f>IF(AND(D665&lt;&gt;"",E665=""),1,0)</f>
        <v/>
      </c>
    </row>
    <row r="666">
      <c r="A666" s="31">
        <f>IF('5年'!T39="","",設定!$C$25)</f>
        <v/>
      </c>
      <c r="B666" s="31">
        <f>IF('5年'!T39="","",'5年'!S39)</f>
        <v/>
      </c>
      <c r="C666" s="31">
        <f>IF('5年'!T39="","",'5年'!T39)</f>
        <v/>
      </c>
      <c r="D666" s="31">
        <f>IF('5年'!T39="","",'5年'!U39&amp;"")</f>
        <v/>
      </c>
      <c r="E666" s="31">
        <f>IF(D666="","",IFERROR(MATCH(D666,設定!$I$11:$I$30,0),""))</f>
        <v/>
      </c>
      <c r="F666" s="31">
        <f>IF(E666="","",COUNTIF($E$2:E666,E666))</f>
        <v/>
      </c>
      <c r="G666" s="31">
        <f>IF(E666="","",E666*1000+F666)</f>
        <v/>
      </c>
      <c r="H666" s="31">
        <f>設定!$B$8</f>
        <v/>
      </c>
      <c r="I666" s="31">
        <f>IF(AND(C666&lt;&gt;"",D666=""),1,0)</f>
        <v/>
      </c>
      <c r="J666" s="31">
        <f>IF(AND(D666&lt;&gt;"",E666=""),1,0)</f>
        <v/>
      </c>
    </row>
    <row r="667">
      <c r="A667" s="31">
        <f>IF('5年'!T40="","",設定!$C$25)</f>
        <v/>
      </c>
      <c r="B667" s="31">
        <f>IF('5年'!T40="","",'5年'!S40)</f>
        <v/>
      </c>
      <c r="C667" s="31">
        <f>IF('5年'!T40="","",'5年'!T40)</f>
        <v/>
      </c>
      <c r="D667" s="31">
        <f>IF('5年'!T40="","",'5年'!U40&amp;"")</f>
        <v/>
      </c>
      <c r="E667" s="31">
        <f>IF(D667="","",IFERROR(MATCH(D667,設定!$I$11:$I$30,0),""))</f>
        <v/>
      </c>
      <c r="F667" s="31">
        <f>IF(E667="","",COUNTIF($E$2:E667,E667))</f>
        <v/>
      </c>
      <c r="G667" s="31">
        <f>IF(E667="","",E667*1000+F667)</f>
        <v/>
      </c>
      <c r="H667" s="31">
        <f>設定!$B$8</f>
        <v/>
      </c>
      <c r="I667" s="31">
        <f>IF(AND(C667&lt;&gt;"",D667=""),1,0)</f>
        <v/>
      </c>
      <c r="J667" s="31">
        <f>IF(AND(D667&lt;&gt;"",E667=""),1,0)</f>
        <v/>
      </c>
    </row>
    <row r="668">
      <c r="A668" s="31">
        <f>IF('5年'!T41="","",設定!$C$25)</f>
        <v/>
      </c>
      <c r="B668" s="31">
        <f>IF('5年'!T41="","",'5年'!S41)</f>
        <v/>
      </c>
      <c r="C668" s="31">
        <f>IF('5年'!T41="","",'5年'!T41)</f>
        <v/>
      </c>
      <c r="D668" s="31">
        <f>IF('5年'!T41="","",'5年'!U41&amp;"")</f>
        <v/>
      </c>
      <c r="E668" s="31">
        <f>IF(D668="","",IFERROR(MATCH(D668,設定!$I$11:$I$30,0),""))</f>
        <v/>
      </c>
      <c r="F668" s="31">
        <f>IF(E668="","",COUNTIF($E$2:E668,E668))</f>
        <v/>
      </c>
      <c r="G668" s="31">
        <f>IF(E668="","",E668*1000+F668)</f>
        <v/>
      </c>
      <c r="H668" s="31">
        <f>設定!$B$8</f>
        <v/>
      </c>
      <c r="I668" s="31">
        <f>IF(AND(C668&lt;&gt;"",D668=""),1,0)</f>
        <v/>
      </c>
      <c r="J668" s="31">
        <f>IF(AND(D668&lt;&gt;"",E668=""),1,0)</f>
        <v/>
      </c>
    </row>
    <row r="669">
      <c r="A669" s="31">
        <f>IF('5年'!T42="","",設定!$C$25)</f>
        <v/>
      </c>
      <c r="B669" s="31">
        <f>IF('5年'!T42="","",'5年'!S42)</f>
        <v/>
      </c>
      <c r="C669" s="31">
        <f>IF('5年'!T42="","",'5年'!T42)</f>
        <v/>
      </c>
      <c r="D669" s="31">
        <f>IF('5年'!T42="","",'5年'!U42&amp;"")</f>
        <v/>
      </c>
      <c r="E669" s="31">
        <f>IF(D669="","",IFERROR(MATCH(D669,設定!$I$11:$I$30,0),""))</f>
        <v/>
      </c>
      <c r="F669" s="31">
        <f>IF(E669="","",COUNTIF($E$2:E669,E669))</f>
        <v/>
      </c>
      <c r="G669" s="31">
        <f>IF(E669="","",E669*1000+F669)</f>
        <v/>
      </c>
      <c r="H669" s="31">
        <f>設定!$B$8</f>
        <v/>
      </c>
      <c r="I669" s="31">
        <f>IF(AND(C669&lt;&gt;"",D669=""),1,0)</f>
        <v/>
      </c>
      <c r="J669" s="31">
        <f>IF(AND(D669&lt;&gt;"",E669=""),1,0)</f>
        <v/>
      </c>
    </row>
    <row r="670">
      <c r="A670" s="31">
        <f>IF('5年'!T43="","",設定!$C$25)</f>
        <v/>
      </c>
      <c r="B670" s="31">
        <f>IF('5年'!T43="","",'5年'!S43)</f>
        <v/>
      </c>
      <c r="C670" s="31">
        <f>IF('5年'!T43="","",'5年'!T43)</f>
        <v/>
      </c>
      <c r="D670" s="31">
        <f>IF('5年'!T43="","",'5年'!U43&amp;"")</f>
        <v/>
      </c>
      <c r="E670" s="31">
        <f>IF(D670="","",IFERROR(MATCH(D670,設定!$I$11:$I$30,0),""))</f>
        <v/>
      </c>
      <c r="F670" s="31">
        <f>IF(E670="","",COUNTIF($E$2:E670,E670))</f>
        <v/>
      </c>
      <c r="G670" s="31">
        <f>IF(E670="","",E670*1000+F670)</f>
        <v/>
      </c>
      <c r="H670" s="31">
        <f>設定!$B$8</f>
        <v/>
      </c>
      <c r="I670" s="31">
        <f>IF(AND(C670&lt;&gt;"",D670=""),1,0)</f>
        <v/>
      </c>
      <c r="J670" s="31">
        <f>IF(AND(D670&lt;&gt;"",E670=""),1,0)</f>
        <v/>
      </c>
    </row>
    <row r="671">
      <c r="A671" s="31">
        <f>IF('5年'!T44="","",設定!$C$25)</f>
        <v/>
      </c>
      <c r="B671" s="31">
        <f>IF('5年'!T44="","",'5年'!S44)</f>
        <v/>
      </c>
      <c r="C671" s="31">
        <f>IF('5年'!T44="","",'5年'!T44)</f>
        <v/>
      </c>
      <c r="D671" s="31">
        <f>IF('5年'!T44="","",'5年'!U44&amp;"")</f>
        <v/>
      </c>
      <c r="E671" s="31">
        <f>IF(D671="","",IFERROR(MATCH(D671,設定!$I$11:$I$30,0),""))</f>
        <v/>
      </c>
      <c r="F671" s="31">
        <f>IF(E671="","",COUNTIF($E$2:E671,E671))</f>
        <v/>
      </c>
      <c r="G671" s="31">
        <f>IF(E671="","",E671*1000+F671)</f>
        <v/>
      </c>
      <c r="H671" s="31">
        <f>設定!$B$8</f>
        <v/>
      </c>
      <c r="I671" s="31">
        <f>IF(AND(C671&lt;&gt;"",D671=""),1,0)</f>
        <v/>
      </c>
      <c r="J671" s="31">
        <f>IF(AND(D671&lt;&gt;"",E671=""),1,0)</f>
        <v/>
      </c>
    </row>
    <row r="672">
      <c r="A672" s="31">
        <f>IF('5年'!T45="","",設定!$C$25)</f>
        <v/>
      </c>
      <c r="B672" s="31">
        <f>IF('5年'!T45="","",'5年'!S45)</f>
        <v/>
      </c>
      <c r="C672" s="31">
        <f>IF('5年'!T45="","",'5年'!T45)</f>
        <v/>
      </c>
      <c r="D672" s="31">
        <f>IF('5年'!T45="","",'5年'!U45&amp;"")</f>
        <v/>
      </c>
      <c r="E672" s="31">
        <f>IF(D672="","",IFERROR(MATCH(D672,設定!$I$11:$I$30,0),""))</f>
        <v/>
      </c>
      <c r="F672" s="31">
        <f>IF(E672="","",COUNTIF($E$2:E672,E672))</f>
        <v/>
      </c>
      <c r="G672" s="31">
        <f>IF(E672="","",E672*1000+F672)</f>
        <v/>
      </c>
      <c r="H672" s="31">
        <f>設定!$B$8</f>
        <v/>
      </c>
      <c r="I672" s="31">
        <f>IF(AND(C672&lt;&gt;"",D672=""),1,0)</f>
        <v/>
      </c>
      <c r="J672" s="31">
        <f>IF(AND(D672&lt;&gt;"",E672=""),1,0)</f>
        <v/>
      </c>
    </row>
    <row r="673">
      <c r="A673" s="31">
        <f>IF('5年'!T46="","",設定!$C$25)</f>
        <v/>
      </c>
      <c r="B673" s="31">
        <f>IF('5年'!T46="","",'5年'!S46)</f>
        <v/>
      </c>
      <c r="C673" s="31">
        <f>IF('5年'!T46="","",'5年'!T46)</f>
        <v/>
      </c>
      <c r="D673" s="31">
        <f>IF('5年'!T46="","",'5年'!U46&amp;"")</f>
        <v/>
      </c>
      <c r="E673" s="31">
        <f>IF(D673="","",IFERROR(MATCH(D673,設定!$I$11:$I$30,0),""))</f>
        <v/>
      </c>
      <c r="F673" s="31">
        <f>IF(E673="","",COUNTIF($E$2:E673,E673))</f>
        <v/>
      </c>
      <c r="G673" s="31">
        <f>IF(E673="","",E673*1000+F673)</f>
        <v/>
      </c>
      <c r="H673" s="31">
        <f>設定!$B$8</f>
        <v/>
      </c>
      <c r="I673" s="31">
        <f>IF(AND(C673&lt;&gt;"",D673=""),1,0)</f>
        <v/>
      </c>
      <c r="J673" s="31">
        <f>IF(AND(D673&lt;&gt;"",E673=""),1,0)</f>
        <v/>
      </c>
    </row>
    <row r="674">
      <c r="A674" s="31">
        <f>IF('5年'!T47="","",設定!$C$25)</f>
        <v/>
      </c>
      <c r="B674" s="31">
        <f>IF('5年'!T47="","",'5年'!S47)</f>
        <v/>
      </c>
      <c r="C674" s="31">
        <f>IF('5年'!T47="","",'5年'!T47)</f>
        <v/>
      </c>
      <c r="D674" s="31">
        <f>IF('5年'!T47="","",'5年'!U47&amp;"")</f>
        <v/>
      </c>
      <c r="E674" s="31">
        <f>IF(D674="","",IFERROR(MATCH(D674,設定!$I$11:$I$30,0),""))</f>
        <v/>
      </c>
      <c r="F674" s="31">
        <f>IF(E674="","",COUNTIF($E$2:E674,E674))</f>
        <v/>
      </c>
      <c r="G674" s="31">
        <f>IF(E674="","",E674*1000+F674)</f>
        <v/>
      </c>
      <c r="H674" s="31">
        <f>設定!$B$8</f>
        <v/>
      </c>
      <c r="I674" s="31">
        <f>IF(AND(C674&lt;&gt;"",D674=""),1,0)</f>
        <v/>
      </c>
      <c r="J674" s="31">
        <f>IF(AND(D674&lt;&gt;"",E674=""),1,0)</f>
        <v/>
      </c>
    </row>
    <row r="675">
      <c r="A675" s="31">
        <f>IF('5年'!T48="","",設定!$C$25)</f>
        <v/>
      </c>
      <c r="B675" s="31">
        <f>IF('5年'!T48="","",'5年'!S48)</f>
        <v/>
      </c>
      <c r="C675" s="31">
        <f>IF('5年'!T48="","",'5年'!T48)</f>
        <v/>
      </c>
      <c r="D675" s="31">
        <f>IF('5年'!T48="","",'5年'!U48&amp;"")</f>
        <v/>
      </c>
      <c r="E675" s="31">
        <f>IF(D675="","",IFERROR(MATCH(D675,設定!$I$11:$I$30,0),""))</f>
        <v/>
      </c>
      <c r="F675" s="31">
        <f>IF(E675="","",COUNTIF($E$2:E675,E675))</f>
        <v/>
      </c>
      <c r="G675" s="31">
        <f>IF(E675="","",E675*1000+F675)</f>
        <v/>
      </c>
      <c r="H675" s="31">
        <f>設定!$B$8</f>
        <v/>
      </c>
      <c r="I675" s="31">
        <f>IF(AND(C675&lt;&gt;"",D675=""),1,0)</f>
        <v/>
      </c>
      <c r="J675" s="31">
        <f>IF(AND(D675&lt;&gt;"",E675=""),1,0)</f>
        <v/>
      </c>
    </row>
    <row r="676">
      <c r="A676" s="31">
        <f>IF('5年'!T49="","",設定!$C$25)</f>
        <v/>
      </c>
      <c r="B676" s="31">
        <f>IF('5年'!T49="","",'5年'!S49)</f>
        <v/>
      </c>
      <c r="C676" s="31">
        <f>IF('5年'!T49="","",'5年'!T49)</f>
        <v/>
      </c>
      <c r="D676" s="31">
        <f>IF('5年'!T49="","",'5年'!U49&amp;"")</f>
        <v/>
      </c>
      <c r="E676" s="31">
        <f>IF(D676="","",IFERROR(MATCH(D676,設定!$I$11:$I$30,0),""))</f>
        <v/>
      </c>
      <c r="F676" s="31">
        <f>IF(E676="","",COUNTIF($E$2:E676,E676))</f>
        <v/>
      </c>
      <c r="G676" s="31">
        <f>IF(E676="","",E676*1000+F676)</f>
        <v/>
      </c>
      <c r="H676" s="31">
        <f>設定!$B$8</f>
        <v/>
      </c>
      <c r="I676" s="31">
        <f>IF(AND(C676&lt;&gt;"",D676=""),1,0)</f>
        <v/>
      </c>
      <c r="J676" s="31">
        <f>IF(AND(D676&lt;&gt;"",E676=""),1,0)</f>
        <v/>
      </c>
    </row>
    <row r="677">
      <c r="A677" s="31">
        <f>IF('5年'!W5="","",設定!$C$26)</f>
        <v/>
      </c>
      <c r="B677" s="31">
        <f>IF('5年'!W5="","",'5年'!V5)</f>
        <v/>
      </c>
      <c r="C677" s="31">
        <f>IF('5年'!W5="","",'5年'!W5)</f>
        <v/>
      </c>
      <c r="D677" s="31">
        <f>IF('5年'!W5="","",'5年'!X5&amp;"")</f>
        <v/>
      </c>
      <c r="E677" s="31">
        <f>IF(D677="","",IFERROR(MATCH(D677,設定!$I$11:$I$30,0),""))</f>
        <v/>
      </c>
      <c r="F677" s="31">
        <f>IF(E677="","",COUNTIF($E$2:E677,E677))</f>
        <v/>
      </c>
      <c r="G677" s="31">
        <f>IF(E677="","",E677*1000+F677)</f>
        <v/>
      </c>
      <c r="H677" s="31">
        <f>設定!$B$8</f>
        <v/>
      </c>
      <c r="I677" s="31">
        <f>IF(AND(C677&lt;&gt;"",D677=""),1,0)</f>
        <v/>
      </c>
      <c r="J677" s="31">
        <f>IF(AND(D677&lt;&gt;"",E677=""),1,0)</f>
        <v/>
      </c>
    </row>
    <row r="678">
      <c r="A678" s="31">
        <f>IF('5年'!W6="","",設定!$C$26)</f>
        <v/>
      </c>
      <c r="B678" s="31">
        <f>IF('5年'!W6="","",'5年'!V6)</f>
        <v/>
      </c>
      <c r="C678" s="31">
        <f>IF('5年'!W6="","",'5年'!W6)</f>
        <v/>
      </c>
      <c r="D678" s="31">
        <f>IF('5年'!W6="","",'5年'!X6&amp;"")</f>
        <v/>
      </c>
      <c r="E678" s="31">
        <f>IF(D678="","",IFERROR(MATCH(D678,設定!$I$11:$I$30,0),""))</f>
        <v/>
      </c>
      <c r="F678" s="31">
        <f>IF(E678="","",COUNTIF($E$2:E678,E678))</f>
        <v/>
      </c>
      <c r="G678" s="31">
        <f>IF(E678="","",E678*1000+F678)</f>
        <v/>
      </c>
      <c r="H678" s="31">
        <f>設定!$B$8</f>
        <v/>
      </c>
      <c r="I678" s="31">
        <f>IF(AND(C678&lt;&gt;"",D678=""),1,0)</f>
        <v/>
      </c>
      <c r="J678" s="31">
        <f>IF(AND(D678&lt;&gt;"",E678=""),1,0)</f>
        <v/>
      </c>
    </row>
    <row r="679">
      <c r="A679" s="31">
        <f>IF('5年'!W7="","",設定!$C$26)</f>
        <v/>
      </c>
      <c r="B679" s="31">
        <f>IF('5年'!W7="","",'5年'!V7)</f>
        <v/>
      </c>
      <c r="C679" s="31">
        <f>IF('5年'!W7="","",'5年'!W7)</f>
        <v/>
      </c>
      <c r="D679" s="31">
        <f>IF('5年'!W7="","",'5年'!X7&amp;"")</f>
        <v/>
      </c>
      <c r="E679" s="31">
        <f>IF(D679="","",IFERROR(MATCH(D679,設定!$I$11:$I$30,0),""))</f>
        <v/>
      </c>
      <c r="F679" s="31">
        <f>IF(E679="","",COUNTIF($E$2:E679,E679))</f>
        <v/>
      </c>
      <c r="G679" s="31">
        <f>IF(E679="","",E679*1000+F679)</f>
        <v/>
      </c>
      <c r="H679" s="31">
        <f>設定!$B$8</f>
        <v/>
      </c>
      <c r="I679" s="31">
        <f>IF(AND(C679&lt;&gt;"",D679=""),1,0)</f>
        <v/>
      </c>
      <c r="J679" s="31">
        <f>IF(AND(D679&lt;&gt;"",E679=""),1,0)</f>
        <v/>
      </c>
    </row>
    <row r="680">
      <c r="A680" s="31">
        <f>IF('5年'!W8="","",設定!$C$26)</f>
        <v/>
      </c>
      <c r="B680" s="31">
        <f>IF('5年'!W8="","",'5年'!V8)</f>
        <v/>
      </c>
      <c r="C680" s="31">
        <f>IF('5年'!W8="","",'5年'!W8)</f>
        <v/>
      </c>
      <c r="D680" s="31">
        <f>IF('5年'!W8="","",'5年'!X8&amp;"")</f>
        <v/>
      </c>
      <c r="E680" s="31">
        <f>IF(D680="","",IFERROR(MATCH(D680,設定!$I$11:$I$30,0),""))</f>
        <v/>
      </c>
      <c r="F680" s="31">
        <f>IF(E680="","",COUNTIF($E$2:E680,E680))</f>
        <v/>
      </c>
      <c r="G680" s="31">
        <f>IF(E680="","",E680*1000+F680)</f>
        <v/>
      </c>
      <c r="H680" s="31">
        <f>設定!$B$8</f>
        <v/>
      </c>
      <c r="I680" s="31">
        <f>IF(AND(C680&lt;&gt;"",D680=""),1,0)</f>
        <v/>
      </c>
      <c r="J680" s="31">
        <f>IF(AND(D680&lt;&gt;"",E680=""),1,0)</f>
        <v/>
      </c>
    </row>
    <row r="681">
      <c r="A681" s="31">
        <f>IF('5年'!W9="","",設定!$C$26)</f>
        <v/>
      </c>
      <c r="B681" s="31">
        <f>IF('5年'!W9="","",'5年'!V9)</f>
        <v/>
      </c>
      <c r="C681" s="31">
        <f>IF('5年'!W9="","",'5年'!W9)</f>
        <v/>
      </c>
      <c r="D681" s="31">
        <f>IF('5年'!W9="","",'5年'!X9&amp;"")</f>
        <v/>
      </c>
      <c r="E681" s="31">
        <f>IF(D681="","",IFERROR(MATCH(D681,設定!$I$11:$I$30,0),""))</f>
        <v/>
      </c>
      <c r="F681" s="31">
        <f>IF(E681="","",COUNTIF($E$2:E681,E681))</f>
        <v/>
      </c>
      <c r="G681" s="31">
        <f>IF(E681="","",E681*1000+F681)</f>
        <v/>
      </c>
      <c r="H681" s="31">
        <f>設定!$B$8</f>
        <v/>
      </c>
      <c r="I681" s="31">
        <f>IF(AND(C681&lt;&gt;"",D681=""),1,0)</f>
        <v/>
      </c>
      <c r="J681" s="31">
        <f>IF(AND(D681&lt;&gt;"",E681=""),1,0)</f>
        <v/>
      </c>
    </row>
    <row r="682">
      <c r="A682" s="31">
        <f>IF('5年'!W10="","",設定!$C$26)</f>
        <v/>
      </c>
      <c r="B682" s="31">
        <f>IF('5年'!W10="","",'5年'!V10)</f>
        <v/>
      </c>
      <c r="C682" s="31">
        <f>IF('5年'!W10="","",'5年'!W10)</f>
        <v/>
      </c>
      <c r="D682" s="31">
        <f>IF('5年'!W10="","",'5年'!X10&amp;"")</f>
        <v/>
      </c>
      <c r="E682" s="31">
        <f>IF(D682="","",IFERROR(MATCH(D682,設定!$I$11:$I$30,0),""))</f>
        <v/>
      </c>
      <c r="F682" s="31">
        <f>IF(E682="","",COUNTIF($E$2:E682,E682))</f>
        <v/>
      </c>
      <c r="G682" s="31">
        <f>IF(E682="","",E682*1000+F682)</f>
        <v/>
      </c>
      <c r="H682" s="31">
        <f>設定!$B$8</f>
        <v/>
      </c>
      <c r="I682" s="31">
        <f>IF(AND(C682&lt;&gt;"",D682=""),1,0)</f>
        <v/>
      </c>
      <c r="J682" s="31">
        <f>IF(AND(D682&lt;&gt;"",E682=""),1,0)</f>
        <v/>
      </c>
    </row>
    <row r="683">
      <c r="A683" s="31">
        <f>IF('5年'!W11="","",設定!$C$26)</f>
        <v/>
      </c>
      <c r="B683" s="31">
        <f>IF('5年'!W11="","",'5年'!V11)</f>
        <v/>
      </c>
      <c r="C683" s="31">
        <f>IF('5年'!W11="","",'5年'!W11)</f>
        <v/>
      </c>
      <c r="D683" s="31">
        <f>IF('5年'!W11="","",'5年'!X11&amp;"")</f>
        <v/>
      </c>
      <c r="E683" s="31">
        <f>IF(D683="","",IFERROR(MATCH(D683,設定!$I$11:$I$30,0),""))</f>
        <v/>
      </c>
      <c r="F683" s="31">
        <f>IF(E683="","",COUNTIF($E$2:E683,E683))</f>
        <v/>
      </c>
      <c r="G683" s="31">
        <f>IF(E683="","",E683*1000+F683)</f>
        <v/>
      </c>
      <c r="H683" s="31">
        <f>設定!$B$8</f>
        <v/>
      </c>
      <c r="I683" s="31">
        <f>IF(AND(C683&lt;&gt;"",D683=""),1,0)</f>
        <v/>
      </c>
      <c r="J683" s="31">
        <f>IF(AND(D683&lt;&gt;"",E683=""),1,0)</f>
        <v/>
      </c>
    </row>
    <row r="684">
      <c r="A684" s="31">
        <f>IF('5年'!W12="","",設定!$C$26)</f>
        <v/>
      </c>
      <c r="B684" s="31">
        <f>IF('5年'!W12="","",'5年'!V12)</f>
        <v/>
      </c>
      <c r="C684" s="31">
        <f>IF('5年'!W12="","",'5年'!W12)</f>
        <v/>
      </c>
      <c r="D684" s="31">
        <f>IF('5年'!W12="","",'5年'!X12&amp;"")</f>
        <v/>
      </c>
      <c r="E684" s="31">
        <f>IF(D684="","",IFERROR(MATCH(D684,設定!$I$11:$I$30,0),""))</f>
        <v/>
      </c>
      <c r="F684" s="31">
        <f>IF(E684="","",COUNTIF($E$2:E684,E684))</f>
        <v/>
      </c>
      <c r="G684" s="31">
        <f>IF(E684="","",E684*1000+F684)</f>
        <v/>
      </c>
      <c r="H684" s="31">
        <f>設定!$B$8</f>
        <v/>
      </c>
      <c r="I684" s="31">
        <f>IF(AND(C684&lt;&gt;"",D684=""),1,0)</f>
        <v/>
      </c>
      <c r="J684" s="31">
        <f>IF(AND(D684&lt;&gt;"",E684=""),1,0)</f>
        <v/>
      </c>
    </row>
    <row r="685">
      <c r="A685" s="31">
        <f>IF('5年'!W13="","",設定!$C$26)</f>
        <v/>
      </c>
      <c r="B685" s="31">
        <f>IF('5年'!W13="","",'5年'!V13)</f>
        <v/>
      </c>
      <c r="C685" s="31">
        <f>IF('5年'!W13="","",'5年'!W13)</f>
        <v/>
      </c>
      <c r="D685" s="31">
        <f>IF('5年'!W13="","",'5年'!X13&amp;"")</f>
        <v/>
      </c>
      <c r="E685" s="31">
        <f>IF(D685="","",IFERROR(MATCH(D685,設定!$I$11:$I$30,0),""))</f>
        <v/>
      </c>
      <c r="F685" s="31">
        <f>IF(E685="","",COUNTIF($E$2:E685,E685))</f>
        <v/>
      </c>
      <c r="G685" s="31">
        <f>IF(E685="","",E685*1000+F685)</f>
        <v/>
      </c>
      <c r="H685" s="31">
        <f>設定!$B$8</f>
        <v/>
      </c>
      <c r="I685" s="31">
        <f>IF(AND(C685&lt;&gt;"",D685=""),1,0)</f>
        <v/>
      </c>
      <c r="J685" s="31">
        <f>IF(AND(D685&lt;&gt;"",E685=""),1,0)</f>
        <v/>
      </c>
    </row>
    <row r="686">
      <c r="A686" s="31">
        <f>IF('5年'!W14="","",設定!$C$26)</f>
        <v/>
      </c>
      <c r="B686" s="31">
        <f>IF('5年'!W14="","",'5年'!V14)</f>
        <v/>
      </c>
      <c r="C686" s="31">
        <f>IF('5年'!W14="","",'5年'!W14)</f>
        <v/>
      </c>
      <c r="D686" s="31">
        <f>IF('5年'!W14="","",'5年'!X14&amp;"")</f>
        <v/>
      </c>
      <c r="E686" s="31">
        <f>IF(D686="","",IFERROR(MATCH(D686,設定!$I$11:$I$30,0),""))</f>
        <v/>
      </c>
      <c r="F686" s="31">
        <f>IF(E686="","",COUNTIF($E$2:E686,E686))</f>
        <v/>
      </c>
      <c r="G686" s="31">
        <f>IF(E686="","",E686*1000+F686)</f>
        <v/>
      </c>
      <c r="H686" s="31">
        <f>設定!$B$8</f>
        <v/>
      </c>
      <c r="I686" s="31">
        <f>IF(AND(C686&lt;&gt;"",D686=""),1,0)</f>
        <v/>
      </c>
      <c r="J686" s="31">
        <f>IF(AND(D686&lt;&gt;"",E686=""),1,0)</f>
        <v/>
      </c>
    </row>
    <row r="687">
      <c r="A687" s="31">
        <f>IF('5年'!W15="","",設定!$C$26)</f>
        <v/>
      </c>
      <c r="B687" s="31">
        <f>IF('5年'!W15="","",'5年'!V15)</f>
        <v/>
      </c>
      <c r="C687" s="31">
        <f>IF('5年'!W15="","",'5年'!W15)</f>
        <v/>
      </c>
      <c r="D687" s="31">
        <f>IF('5年'!W15="","",'5年'!X15&amp;"")</f>
        <v/>
      </c>
      <c r="E687" s="31">
        <f>IF(D687="","",IFERROR(MATCH(D687,設定!$I$11:$I$30,0),""))</f>
        <v/>
      </c>
      <c r="F687" s="31">
        <f>IF(E687="","",COUNTIF($E$2:E687,E687))</f>
        <v/>
      </c>
      <c r="G687" s="31">
        <f>IF(E687="","",E687*1000+F687)</f>
        <v/>
      </c>
      <c r="H687" s="31">
        <f>設定!$B$8</f>
        <v/>
      </c>
      <c r="I687" s="31">
        <f>IF(AND(C687&lt;&gt;"",D687=""),1,0)</f>
        <v/>
      </c>
      <c r="J687" s="31">
        <f>IF(AND(D687&lt;&gt;"",E687=""),1,0)</f>
        <v/>
      </c>
    </row>
    <row r="688">
      <c r="A688" s="31">
        <f>IF('5年'!W16="","",設定!$C$26)</f>
        <v/>
      </c>
      <c r="B688" s="31">
        <f>IF('5年'!W16="","",'5年'!V16)</f>
        <v/>
      </c>
      <c r="C688" s="31">
        <f>IF('5年'!W16="","",'5年'!W16)</f>
        <v/>
      </c>
      <c r="D688" s="31">
        <f>IF('5年'!W16="","",'5年'!X16&amp;"")</f>
        <v/>
      </c>
      <c r="E688" s="31">
        <f>IF(D688="","",IFERROR(MATCH(D688,設定!$I$11:$I$30,0),""))</f>
        <v/>
      </c>
      <c r="F688" s="31">
        <f>IF(E688="","",COUNTIF($E$2:E688,E688))</f>
        <v/>
      </c>
      <c r="G688" s="31">
        <f>IF(E688="","",E688*1000+F688)</f>
        <v/>
      </c>
      <c r="H688" s="31">
        <f>設定!$B$8</f>
        <v/>
      </c>
      <c r="I688" s="31">
        <f>IF(AND(C688&lt;&gt;"",D688=""),1,0)</f>
        <v/>
      </c>
      <c r="J688" s="31">
        <f>IF(AND(D688&lt;&gt;"",E688=""),1,0)</f>
        <v/>
      </c>
    </row>
    <row r="689">
      <c r="A689" s="31">
        <f>IF('5年'!W17="","",設定!$C$26)</f>
        <v/>
      </c>
      <c r="B689" s="31">
        <f>IF('5年'!W17="","",'5年'!V17)</f>
        <v/>
      </c>
      <c r="C689" s="31">
        <f>IF('5年'!W17="","",'5年'!W17)</f>
        <v/>
      </c>
      <c r="D689" s="31">
        <f>IF('5年'!W17="","",'5年'!X17&amp;"")</f>
        <v/>
      </c>
      <c r="E689" s="31">
        <f>IF(D689="","",IFERROR(MATCH(D689,設定!$I$11:$I$30,0),""))</f>
        <v/>
      </c>
      <c r="F689" s="31">
        <f>IF(E689="","",COUNTIF($E$2:E689,E689))</f>
        <v/>
      </c>
      <c r="G689" s="31">
        <f>IF(E689="","",E689*1000+F689)</f>
        <v/>
      </c>
      <c r="H689" s="31">
        <f>設定!$B$8</f>
        <v/>
      </c>
      <c r="I689" s="31">
        <f>IF(AND(C689&lt;&gt;"",D689=""),1,0)</f>
        <v/>
      </c>
      <c r="J689" s="31">
        <f>IF(AND(D689&lt;&gt;"",E689=""),1,0)</f>
        <v/>
      </c>
    </row>
    <row r="690">
      <c r="A690" s="31">
        <f>IF('5年'!W18="","",設定!$C$26)</f>
        <v/>
      </c>
      <c r="B690" s="31">
        <f>IF('5年'!W18="","",'5年'!V18)</f>
        <v/>
      </c>
      <c r="C690" s="31">
        <f>IF('5年'!W18="","",'5年'!W18)</f>
        <v/>
      </c>
      <c r="D690" s="31">
        <f>IF('5年'!W18="","",'5年'!X18&amp;"")</f>
        <v/>
      </c>
      <c r="E690" s="31">
        <f>IF(D690="","",IFERROR(MATCH(D690,設定!$I$11:$I$30,0),""))</f>
        <v/>
      </c>
      <c r="F690" s="31">
        <f>IF(E690="","",COUNTIF($E$2:E690,E690))</f>
        <v/>
      </c>
      <c r="G690" s="31">
        <f>IF(E690="","",E690*1000+F690)</f>
        <v/>
      </c>
      <c r="H690" s="31">
        <f>設定!$B$8</f>
        <v/>
      </c>
      <c r="I690" s="31">
        <f>IF(AND(C690&lt;&gt;"",D690=""),1,0)</f>
        <v/>
      </c>
      <c r="J690" s="31">
        <f>IF(AND(D690&lt;&gt;"",E690=""),1,0)</f>
        <v/>
      </c>
    </row>
    <row r="691">
      <c r="A691" s="31">
        <f>IF('5年'!W19="","",設定!$C$26)</f>
        <v/>
      </c>
      <c r="B691" s="31">
        <f>IF('5年'!W19="","",'5年'!V19)</f>
        <v/>
      </c>
      <c r="C691" s="31">
        <f>IF('5年'!W19="","",'5年'!W19)</f>
        <v/>
      </c>
      <c r="D691" s="31">
        <f>IF('5年'!W19="","",'5年'!X19&amp;"")</f>
        <v/>
      </c>
      <c r="E691" s="31">
        <f>IF(D691="","",IFERROR(MATCH(D691,設定!$I$11:$I$30,0),""))</f>
        <v/>
      </c>
      <c r="F691" s="31">
        <f>IF(E691="","",COUNTIF($E$2:E691,E691))</f>
        <v/>
      </c>
      <c r="G691" s="31">
        <f>IF(E691="","",E691*1000+F691)</f>
        <v/>
      </c>
      <c r="H691" s="31">
        <f>設定!$B$8</f>
        <v/>
      </c>
      <c r="I691" s="31">
        <f>IF(AND(C691&lt;&gt;"",D691=""),1,0)</f>
        <v/>
      </c>
      <c r="J691" s="31">
        <f>IF(AND(D691&lt;&gt;"",E691=""),1,0)</f>
        <v/>
      </c>
    </row>
    <row r="692">
      <c r="A692" s="31">
        <f>IF('5年'!W20="","",設定!$C$26)</f>
        <v/>
      </c>
      <c r="B692" s="31">
        <f>IF('5年'!W20="","",'5年'!V20)</f>
        <v/>
      </c>
      <c r="C692" s="31">
        <f>IF('5年'!W20="","",'5年'!W20)</f>
        <v/>
      </c>
      <c r="D692" s="31">
        <f>IF('5年'!W20="","",'5年'!X20&amp;"")</f>
        <v/>
      </c>
      <c r="E692" s="31">
        <f>IF(D692="","",IFERROR(MATCH(D692,設定!$I$11:$I$30,0),""))</f>
        <v/>
      </c>
      <c r="F692" s="31">
        <f>IF(E692="","",COUNTIF($E$2:E692,E692))</f>
        <v/>
      </c>
      <c r="G692" s="31">
        <f>IF(E692="","",E692*1000+F692)</f>
        <v/>
      </c>
      <c r="H692" s="31">
        <f>設定!$B$8</f>
        <v/>
      </c>
      <c r="I692" s="31">
        <f>IF(AND(C692&lt;&gt;"",D692=""),1,0)</f>
        <v/>
      </c>
      <c r="J692" s="31">
        <f>IF(AND(D692&lt;&gt;"",E692=""),1,0)</f>
        <v/>
      </c>
    </row>
    <row r="693">
      <c r="A693" s="31">
        <f>IF('5年'!W21="","",設定!$C$26)</f>
        <v/>
      </c>
      <c r="B693" s="31">
        <f>IF('5年'!W21="","",'5年'!V21)</f>
        <v/>
      </c>
      <c r="C693" s="31">
        <f>IF('5年'!W21="","",'5年'!W21)</f>
        <v/>
      </c>
      <c r="D693" s="31">
        <f>IF('5年'!W21="","",'5年'!X21&amp;"")</f>
        <v/>
      </c>
      <c r="E693" s="31">
        <f>IF(D693="","",IFERROR(MATCH(D693,設定!$I$11:$I$30,0),""))</f>
        <v/>
      </c>
      <c r="F693" s="31">
        <f>IF(E693="","",COUNTIF($E$2:E693,E693))</f>
        <v/>
      </c>
      <c r="G693" s="31">
        <f>IF(E693="","",E693*1000+F693)</f>
        <v/>
      </c>
      <c r="H693" s="31">
        <f>設定!$B$8</f>
        <v/>
      </c>
      <c r="I693" s="31">
        <f>IF(AND(C693&lt;&gt;"",D693=""),1,0)</f>
        <v/>
      </c>
      <c r="J693" s="31">
        <f>IF(AND(D693&lt;&gt;"",E693=""),1,0)</f>
        <v/>
      </c>
    </row>
    <row r="694">
      <c r="A694" s="31">
        <f>IF('5年'!W22="","",設定!$C$26)</f>
        <v/>
      </c>
      <c r="B694" s="31">
        <f>IF('5年'!W22="","",'5年'!V22)</f>
        <v/>
      </c>
      <c r="C694" s="31">
        <f>IF('5年'!W22="","",'5年'!W22)</f>
        <v/>
      </c>
      <c r="D694" s="31">
        <f>IF('5年'!W22="","",'5年'!X22&amp;"")</f>
        <v/>
      </c>
      <c r="E694" s="31">
        <f>IF(D694="","",IFERROR(MATCH(D694,設定!$I$11:$I$30,0),""))</f>
        <v/>
      </c>
      <c r="F694" s="31">
        <f>IF(E694="","",COUNTIF($E$2:E694,E694))</f>
        <v/>
      </c>
      <c r="G694" s="31">
        <f>IF(E694="","",E694*1000+F694)</f>
        <v/>
      </c>
      <c r="H694" s="31">
        <f>設定!$B$8</f>
        <v/>
      </c>
      <c r="I694" s="31">
        <f>IF(AND(C694&lt;&gt;"",D694=""),1,0)</f>
        <v/>
      </c>
      <c r="J694" s="31">
        <f>IF(AND(D694&lt;&gt;"",E694=""),1,0)</f>
        <v/>
      </c>
    </row>
    <row r="695">
      <c r="A695" s="31">
        <f>IF('5年'!W23="","",設定!$C$26)</f>
        <v/>
      </c>
      <c r="B695" s="31">
        <f>IF('5年'!W23="","",'5年'!V23)</f>
        <v/>
      </c>
      <c r="C695" s="31">
        <f>IF('5年'!W23="","",'5年'!W23)</f>
        <v/>
      </c>
      <c r="D695" s="31">
        <f>IF('5年'!W23="","",'5年'!X23&amp;"")</f>
        <v/>
      </c>
      <c r="E695" s="31">
        <f>IF(D695="","",IFERROR(MATCH(D695,設定!$I$11:$I$30,0),""))</f>
        <v/>
      </c>
      <c r="F695" s="31">
        <f>IF(E695="","",COUNTIF($E$2:E695,E695))</f>
        <v/>
      </c>
      <c r="G695" s="31">
        <f>IF(E695="","",E695*1000+F695)</f>
        <v/>
      </c>
      <c r="H695" s="31">
        <f>設定!$B$8</f>
        <v/>
      </c>
      <c r="I695" s="31">
        <f>IF(AND(C695&lt;&gt;"",D695=""),1,0)</f>
        <v/>
      </c>
      <c r="J695" s="31">
        <f>IF(AND(D695&lt;&gt;"",E695=""),1,0)</f>
        <v/>
      </c>
    </row>
    <row r="696">
      <c r="A696" s="31">
        <f>IF('5年'!W24="","",設定!$C$26)</f>
        <v/>
      </c>
      <c r="B696" s="31">
        <f>IF('5年'!W24="","",'5年'!V24)</f>
        <v/>
      </c>
      <c r="C696" s="31">
        <f>IF('5年'!W24="","",'5年'!W24)</f>
        <v/>
      </c>
      <c r="D696" s="31">
        <f>IF('5年'!W24="","",'5年'!X24&amp;"")</f>
        <v/>
      </c>
      <c r="E696" s="31">
        <f>IF(D696="","",IFERROR(MATCH(D696,設定!$I$11:$I$30,0),""))</f>
        <v/>
      </c>
      <c r="F696" s="31">
        <f>IF(E696="","",COUNTIF($E$2:E696,E696))</f>
        <v/>
      </c>
      <c r="G696" s="31">
        <f>IF(E696="","",E696*1000+F696)</f>
        <v/>
      </c>
      <c r="H696" s="31">
        <f>設定!$B$8</f>
        <v/>
      </c>
      <c r="I696" s="31">
        <f>IF(AND(C696&lt;&gt;"",D696=""),1,0)</f>
        <v/>
      </c>
      <c r="J696" s="31">
        <f>IF(AND(D696&lt;&gt;"",E696=""),1,0)</f>
        <v/>
      </c>
    </row>
    <row r="697">
      <c r="A697" s="31">
        <f>IF('5年'!W25="","",設定!$C$26)</f>
        <v/>
      </c>
      <c r="B697" s="31">
        <f>IF('5年'!W25="","",'5年'!V25)</f>
        <v/>
      </c>
      <c r="C697" s="31">
        <f>IF('5年'!W25="","",'5年'!W25)</f>
        <v/>
      </c>
      <c r="D697" s="31">
        <f>IF('5年'!W25="","",'5年'!X25&amp;"")</f>
        <v/>
      </c>
      <c r="E697" s="31">
        <f>IF(D697="","",IFERROR(MATCH(D697,設定!$I$11:$I$30,0),""))</f>
        <v/>
      </c>
      <c r="F697" s="31">
        <f>IF(E697="","",COUNTIF($E$2:E697,E697))</f>
        <v/>
      </c>
      <c r="G697" s="31">
        <f>IF(E697="","",E697*1000+F697)</f>
        <v/>
      </c>
      <c r="H697" s="31">
        <f>設定!$B$8</f>
        <v/>
      </c>
      <c r="I697" s="31">
        <f>IF(AND(C697&lt;&gt;"",D697=""),1,0)</f>
        <v/>
      </c>
      <c r="J697" s="31">
        <f>IF(AND(D697&lt;&gt;"",E697=""),1,0)</f>
        <v/>
      </c>
    </row>
    <row r="698">
      <c r="A698" s="31">
        <f>IF('5年'!W26="","",設定!$C$26)</f>
        <v/>
      </c>
      <c r="B698" s="31">
        <f>IF('5年'!W26="","",'5年'!V26)</f>
        <v/>
      </c>
      <c r="C698" s="31">
        <f>IF('5年'!W26="","",'5年'!W26)</f>
        <v/>
      </c>
      <c r="D698" s="31">
        <f>IF('5年'!W26="","",'5年'!X26&amp;"")</f>
        <v/>
      </c>
      <c r="E698" s="31">
        <f>IF(D698="","",IFERROR(MATCH(D698,設定!$I$11:$I$30,0),""))</f>
        <v/>
      </c>
      <c r="F698" s="31">
        <f>IF(E698="","",COUNTIF($E$2:E698,E698))</f>
        <v/>
      </c>
      <c r="G698" s="31">
        <f>IF(E698="","",E698*1000+F698)</f>
        <v/>
      </c>
      <c r="H698" s="31">
        <f>設定!$B$8</f>
        <v/>
      </c>
      <c r="I698" s="31">
        <f>IF(AND(C698&lt;&gt;"",D698=""),1,0)</f>
        <v/>
      </c>
      <c r="J698" s="31">
        <f>IF(AND(D698&lt;&gt;"",E698=""),1,0)</f>
        <v/>
      </c>
    </row>
    <row r="699">
      <c r="A699" s="31">
        <f>IF('5年'!W27="","",設定!$C$26)</f>
        <v/>
      </c>
      <c r="B699" s="31">
        <f>IF('5年'!W27="","",'5年'!V27)</f>
        <v/>
      </c>
      <c r="C699" s="31">
        <f>IF('5年'!W27="","",'5年'!W27)</f>
        <v/>
      </c>
      <c r="D699" s="31">
        <f>IF('5年'!W27="","",'5年'!X27&amp;"")</f>
        <v/>
      </c>
      <c r="E699" s="31">
        <f>IF(D699="","",IFERROR(MATCH(D699,設定!$I$11:$I$30,0),""))</f>
        <v/>
      </c>
      <c r="F699" s="31">
        <f>IF(E699="","",COUNTIF($E$2:E699,E699))</f>
        <v/>
      </c>
      <c r="G699" s="31">
        <f>IF(E699="","",E699*1000+F699)</f>
        <v/>
      </c>
      <c r="H699" s="31">
        <f>設定!$B$8</f>
        <v/>
      </c>
      <c r="I699" s="31">
        <f>IF(AND(C699&lt;&gt;"",D699=""),1,0)</f>
        <v/>
      </c>
      <c r="J699" s="31">
        <f>IF(AND(D699&lt;&gt;"",E699=""),1,0)</f>
        <v/>
      </c>
    </row>
    <row r="700">
      <c r="A700" s="31">
        <f>IF('5年'!W28="","",設定!$C$26)</f>
        <v/>
      </c>
      <c r="B700" s="31">
        <f>IF('5年'!W28="","",'5年'!V28)</f>
        <v/>
      </c>
      <c r="C700" s="31">
        <f>IF('5年'!W28="","",'5年'!W28)</f>
        <v/>
      </c>
      <c r="D700" s="31">
        <f>IF('5年'!W28="","",'5年'!X28&amp;"")</f>
        <v/>
      </c>
      <c r="E700" s="31">
        <f>IF(D700="","",IFERROR(MATCH(D700,設定!$I$11:$I$30,0),""))</f>
        <v/>
      </c>
      <c r="F700" s="31">
        <f>IF(E700="","",COUNTIF($E$2:E700,E700))</f>
        <v/>
      </c>
      <c r="G700" s="31">
        <f>IF(E700="","",E700*1000+F700)</f>
        <v/>
      </c>
      <c r="H700" s="31">
        <f>設定!$B$8</f>
        <v/>
      </c>
      <c r="I700" s="31">
        <f>IF(AND(C700&lt;&gt;"",D700=""),1,0)</f>
        <v/>
      </c>
      <c r="J700" s="31">
        <f>IF(AND(D700&lt;&gt;"",E700=""),1,0)</f>
        <v/>
      </c>
    </row>
    <row r="701">
      <c r="A701" s="31">
        <f>IF('5年'!W29="","",設定!$C$26)</f>
        <v/>
      </c>
      <c r="B701" s="31">
        <f>IF('5年'!W29="","",'5年'!V29)</f>
        <v/>
      </c>
      <c r="C701" s="31">
        <f>IF('5年'!W29="","",'5年'!W29)</f>
        <v/>
      </c>
      <c r="D701" s="31">
        <f>IF('5年'!W29="","",'5年'!X29&amp;"")</f>
        <v/>
      </c>
      <c r="E701" s="31">
        <f>IF(D701="","",IFERROR(MATCH(D701,設定!$I$11:$I$30,0),""))</f>
        <v/>
      </c>
      <c r="F701" s="31">
        <f>IF(E701="","",COUNTIF($E$2:E701,E701))</f>
        <v/>
      </c>
      <c r="G701" s="31">
        <f>IF(E701="","",E701*1000+F701)</f>
        <v/>
      </c>
      <c r="H701" s="31">
        <f>設定!$B$8</f>
        <v/>
      </c>
      <c r="I701" s="31">
        <f>IF(AND(C701&lt;&gt;"",D701=""),1,0)</f>
        <v/>
      </c>
      <c r="J701" s="31">
        <f>IF(AND(D701&lt;&gt;"",E701=""),1,0)</f>
        <v/>
      </c>
    </row>
    <row r="702">
      <c r="A702" s="31">
        <f>IF('5年'!W30="","",設定!$C$26)</f>
        <v/>
      </c>
      <c r="B702" s="31">
        <f>IF('5年'!W30="","",'5年'!V30)</f>
        <v/>
      </c>
      <c r="C702" s="31">
        <f>IF('5年'!W30="","",'5年'!W30)</f>
        <v/>
      </c>
      <c r="D702" s="31">
        <f>IF('5年'!W30="","",'5年'!X30&amp;"")</f>
        <v/>
      </c>
      <c r="E702" s="31">
        <f>IF(D702="","",IFERROR(MATCH(D702,設定!$I$11:$I$30,0),""))</f>
        <v/>
      </c>
      <c r="F702" s="31">
        <f>IF(E702="","",COUNTIF($E$2:E702,E702))</f>
        <v/>
      </c>
      <c r="G702" s="31">
        <f>IF(E702="","",E702*1000+F702)</f>
        <v/>
      </c>
      <c r="H702" s="31">
        <f>設定!$B$8</f>
        <v/>
      </c>
      <c r="I702" s="31">
        <f>IF(AND(C702&lt;&gt;"",D702=""),1,0)</f>
        <v/>
      </c>
      <c r="J702" s="31">
        <f>IF(AND(D702&lt;&gt;"",E702=""),1,0)</f>
        <v/>
      </c>
    </row>
    <row r="703">
      <c r="A703" s="31">
        <f>IF('5年'!W31="","",設定!$C$26)</f>
        <v/>
      </c>
      <c r="B703" s="31">
        <f>IF('5年'!W31="","",'5年'!V31)</f>
        <v/>
      </c>
      <c r="C703" s="31">
        <f>IF('5年'!W31="","",'5年'!W31)</f>
        <v/>
      </c>
      <c r="D703" s="31">
        <f>IF('5年'!W31="","",'5年'!X31&amp;"")</f>
        <v/>
      </c>
      <c r="E703" s="31">
        <f>IF(D703="","",IFERROR(MATCH(D703,設定!$I$11:$I$30,0),""))</f>
        <v/>
      </c>
      <c r="F703" s="31">
        <f>IF(E703="","",COUNTIF($E$2:E703,E703))</f>
        <v/>
      </c>
      <c r="G703" s="31">
        <f>IF(E703="","",E703*1000+F703)</f>
        <v/>
      </c>
      <c r="H703" s="31">
        <f>設定!$B$8</f>
        <v/>
      </c>
      <c r="I703" s="31">
        <f>IF(AND(C703&lt;&gt;"",D703=""),1,0)</f>
        <v/>
      </c>
      <c r="J703" s="31">
        <f>IF(AND(D703&lt;&gt;"",E703=""),1,0)</f>
        <v/>
      </c>
    </row>
    <row r="704">
      <c r="A704" s="31">
        <f>IF('5年'!W32="","",設定!$C$26)</f>
        <v/>
      </c>
      <c r="B704" s="31">
        <f>IF('5年'!W32="","",'5年'!V32)</f>
        <v/>
      </c>
      <c r="C704" s="31">
        <f>IF('5年'!W32="","",'5年'!W32)</f>
        <v/>
      </c>
      <c r="D704" s="31">
        <f>IF('5年'!W32="","",'5年'!X32&amp;"")</f>
        <v/>
      </c>
      <c r="E704" s="31">
        <f>IF(D704="","",IFERROR(MATCH(D704,設定!$I$11:$I$30,0),""))</f>
        <v/>
      </c>
      <c r="F704" s="31">
        <f>IF(E704="","",COUNTIF($E$2:E704,E704))</f>
        <v/>
      </c>
      <c r="G704" s="31">
        <f>IF(E704="","",E704*1000+F704)</f>
        <v/>
      </c>
      <c r="H704" s="31">
        <f>設定!$B$8</f>
        <v/>
      </c>
      <c r="I704" s="31">
        <f>IF(AND(C704&lt;&gt;"",D704=""),1,0)</f>
        <v/>
      </c>
      <c r="J704" s="31">
        <f>IF(AND(D704&lt;&gt;"",E704=""),1,0)</f>
        <v/>
      </c>
    </row>
    <row r="705">
      <c r="A705" s="31">
        <f>IF('5年'!W33="","",設定!$C$26)</f>
        <v/>
      </c>
      <c r="B705" s="31">
        <f>IF('5年'!W33="","",'5年'!V33)</f>
        <v/>
      </c>
      <c r="C705" s="31">
        <f>IF('5年'!W33="","",'5年'!W33)</f>
        <v/>
      </c>
      <c r="D705" s="31">
        <f>IF('5年'!W33="","",'5年'!X33&amp;"")</f>
        <v/>
      </c>
      <c r="E705" s="31">
        <f>IF(D705="","",IFERROR(MATCH(D705,設定!$I$11:$I$30,0),""))</f>
        <v/>
      </c>
      <c r="F705" s="31">
        <f>IF(E705="","",COUNTIF($E$2:E705,E705))</f>
        <v/>
      </c>
      <c r="G705" s="31">
        <f>IF(E705="","",E705*1000+F705)</f>
        <v/>
      </c>
      <c r="H705" s="31">
        <f>設定!$B$8</f>
        <v/>
      </c>
      <c r="I705" s="31">
        <f>IF(AND(C705&lt;&gt;"",D705=""),1,0)</f>
        <v/>
      </c>
      <c r="J705" s="31">
        <f>IF(AND(D705&lt;&gt;"",E705=""),1,0)</f>
        <v/>
      </c>
    </row>
    <row r="706">
      <c r="A706" s="31">
        <f>IF('5年'!W34="","",設定!$C$26)</f>
        <v/>
      </c>
      <c r="B706" s="31">
        <f>IF('5年'!W34="","",'5年'!V34)</f>
        <v/>
      </c>
      <c r="C706" s="31">
        <f>IF('5年'!W34="","",'5年'!W34)</f>
        <v/>
      </c>
      <c r="D706" s="31">
        <f>IF('5年'!W34="","",'5年'!X34&amp;"")</f>
        <v/>
      </c>
      <c r="E706" s="31">
        <f>IF(D706="","",IFERROR(MATCH(D706,設定!$I$11:$I$30,0),""))</f>
        <v/>
      </c>
      <c r="F706" s="31">
        <f>IF(E706="","",COUNTIF($E$2:E706,E706))</f>
        <v/>
      </c>
      <c r="G706" s="31">
        <f>IF(E706="","",E706*1000+F706)</f>
        <v/>
      </c>
      <c r="H706" s="31">
        <f>設定!$B$8</f>
        <v/>
      </c>
      <c r="I706" s="31">
        <f>IF(AND(C706&lt;&gt;"",D706=""),1,0)</f>
        <v/>
      </c>
      <c r="J706" s="31">
        <f>IF(AND(D706&lt;&gt;"",E706=""),1,0)</f>
        <v/>
      </c>
    </row>
    <row r="707">
      <c r="A707" s="31">
        <f>IF('5年'!W35="","",設定!$C$26)</f>
        <v/>
      </c>
      <c r="B707" s="31">
        <f>IF('5年'!W35="","",'5年'!V35)</f>
        <v/>
      </c>
      <c r="C707" s="31">
        <f>IF('5年'!W35="","",'5年'!W35)</f>
        <v/>
      </c>
      <c r="D707" s="31">
        <f>IF('5年'!W35="","",'5年'!X35&amp;"")</f>
        <v/>
      </c>
      <c r="E707" s="31">
        <f>IF(D707="","",IFERROR(MATCH(D707,設定!$I$11:$I$30,0),""))</f>
        <v/>
      </c>
      <c r="F707" s="31">
        <f>IF(E707="","",COUNTIF($E$2:E707,E707))</f>
        <v/>
      </c>
      <c r="G707" s="31">
        <f>IF(E707="","",E707*1000+F707)</f>
        <v/>
      </c>
      <c r="H707" s="31">
        <f>設定!$B$8</f>
        <v/>
      </c>
      <c r="I707" s="31">
        <f>IF(AND(C707&lt;&gt;"",D707=""),1,0)</f>
        <v/>
      </c>
      <c r="J707" s="31">
        <f>IF(AND(D707&lt;&gt;"",E707=""),1,0)</f>
        <v/>
      </c>
    </row>
    <row r="708">
      <c r="A708" s="31">
        <f>IF('5年'!W36="","",設定!$C$26)</f>
        <v/>
      </c>
      <c r="B708" s="31">
        <f>IF('5年'!W36="","",'5年'!V36)</f>
        <v/>
      </c>
      <c r="C708" s="31">
        <f>IF('5年'!W36="","",'5年'!W36)</f>
        <v/>
      </c>
      <c r="D708" s="31">
        <f>IF('5年'!W36="","",'5年'!X36&amp;"")</f>
        <v/>
      </c>
      <c r="E708" s="31">
        <f>IF(D708="","",IFERROR(MATCH(D708,設定!$I$11:$I$30,0),""))</f>
        <v/>
      </c>
      <c r="F708" s="31">
        <f>IF(E708="","",COUNTIF($E$2:E708,E708))</f>
        <v/>
      </c>
      <c r="G708" s="31">
        <f>IF(E708="","",E708*1000+F708)</f>
        <v/>
      </c>
      <c r="H708" s="31">
        <f>設定!$B$8</f>
        <v/>
      </c>
      <c r="I708" s="31">
        <f>IF(AND(C708&lt;&gt;"",D708=""),1,0)</f>
        <v/>
      </c>
      <c r="J708" s="31">
        <f>IF(AND(D708&lt;&gt;"",E708=""),1,0)</f>
        <v/>
      </c>
    </row>
    <row r="709">
      <c r="A709" s="31">
        <f>IF('5年'!W37="","",設定!$C$26)</f>
        <v/>
      </c>
      <c r="B709" s="31">
        <f>IF('5年'!W37="","",'5年'!V37)</f>
        <v/>
      </c>
      <c r="C709" s="31">
        <f>IF('5年'!W37="","",'5年'!W37)</f>
        <v/>
      </c>
      <c r="D709" s="31">
        <f>IF('5年'!W37="","",'5年'!X37&amp;"")</f>
        <v/>
      </c>
      <c r="E709" s="31">
        <f>IF(D709="","",IFERROR(MATCH(D709,設定!$I$11:$I$30,0),""))</f>
        <v/>
      </c>
      <c r="F709" s="31">
        <f>IF(E709="","",COUNTIF($E$2:E709,E709))</f>
        <v/>
      </c>
      <c r="G709" s="31">
        <f>IF(E709="","",E709*1000+F709)</f>
        <v/>
      </c>
      <c r="H709" s="31">
        <f>設定!$B$8</f>
        <v/>
      </c>
      <c r="I709" s="31">
        <f>IF(AND(C709&lt;&gt;"",D709=""),1,0)</f>
        <v/>
      </c>
      <c r="J709" s="31">
        <f>IF(AND(D709&lt;&gt;"",E709=""),1,0)</f>
        <v/>
      </c>
    </row>
    <row r="710">
      <c r="A710" s="31">
        <f>IF('5年'!W38="","",設定!$C$26)</f>
        <v/>
      </c>
      <c r="B710" s="31">
        <f>IF('5年'!W38="","",'5年'!V38)</f>
        <v/>
      </c>
      <c r="C710" s="31">
        <f>IF('5年'!W38="","",'5年'!W38)</f>
        <v/>
      </c>
      <c r="D710" s="31">
        <f>IF('5年'!W38="","",'5年'!X38&amp;"")</f>
        <v/>
      </c>
      <c r="E710" s="31">
        <f>IF(D710="","",IFERROR(MATCH(D710,設定!$I$11:$I$30,0),""))</f>
        <v/>
      </c>
      <c r="F710" s="31">
        <f>IF(E710="","",COUNTIF($E$2:E710,E710))</f>
        <v/>
      </c>
      <c r="G710" s="31">
        <f>IF(E710="","",E710*1000+F710)</f>
        <v/>
      </c>
      <c r="H710" s="31">
        <f>設定!$B$8</f>
        <v/>
      </c>
      <c r="I710" s="31">
        <f>IF(AND(C710&lt;&gt;"",D710=""),1,0)</f>
        <v/>
      </c>
      <c r="J710" s="31">
        <f>IF(AND(D710&lt;&gt;"",E710=""),1,0)</f>
        <v/>
      </c>
    </row>
    <row r="711">
      <c r="A711" s="31">
        <f>IF('5年'!W39="","",設定!$C$26)</f>
        <v/>
      </c>
      <c r="B711" s="31">
        <f>IF('5年'!W39="","",'5年'!V39)</f>
        <v/>
      </c>
      <c r="C711" s="31">
        <f>IF('5年'!W39="","",'5年'!W39)</f>
        <v/>
      </c>
      <c r="D711" s="31">
        <f>IF('5年'!W39="","",'5年'!X39&amp;"")</f>
        <v/>
      </c>
      <c r="E711" s="31">
        <f>IF(D711="","",IFERROR(MATCH(D711,設定!$I$11:$I$30,0),""))</f>
        <v/>
      </c>
      <c r="F711" s="31">
        <f>IF(E711="","",COUNTIF($E$2:E711,E711))</f>
        <v/>
      </c>
      <c r="G711" s="31">
        <f>IF(E711="","",E711*1000+F711)</f>
        <v/>
      </c>
      <c r="H711" s="31">
        <f>設定!$B$8</f>
        <v/>
      </c>
      <c r="I711" s="31">
        <f>IF(AND(C711&lt;&gt;"",D711=""),1,0)</f>
        <v/>
      </c>
      <c r="J711" s="31">
        <f>IF(AND(D711&lt;&gt;"",E711=""),1,0)</f>
        <v/>
      </c>
    </row>
    <row r="712">
      <c r="A712" s="31">
        <f>IF('5年'!W40="","",設定!$C$26)</f>
        <v/>
      </c>
      <c r="B712" s="31">
        <f>IF('5年'!W40="","",'5年'!V40)</f>
        <v/>
      </c>
      <c r="C712" s="31">
        <f>IF('5年'!W40="","",'5年'!W40)</f>
        <v/>
      </c>
      <c r="D712" s="31">
        <f>IF('5年'!W40="","",'5年'!X40&amp;"")</f>
        <v/>
      </c>
      <c r="E712" s="31">
        <f>IF(D712="","",IFERROR(MATCH(D712,設定!$I$11:$I$30,0),""))</f>
        <v/>
      </c>
      <c r="F712" s="31">
        <f>IF(E712="","",COUNTIF($E$2:E712,E712))</f>
        <v/>
      </c>
      <c r="G712" s="31">
        <f>IF(E712="","",E712*1000+F712)</f>
        <v/>
      </c>
      <c r="H712" s="31">
        <f>設定!$B$8</f>
        <v/>
      </c>
      <c r="I712" s="31">
        <f>IF(AND(C712&lt;&gt;"",D712=""),1,0)</f>
        <v/>
      </c>
      <c r="J712" s="31">
        <f>IF(AND(D712&lt;&gt;"",E712=""),1,0)</f>
        <v/>
      </c>
    </row>
    <row r="713">
      <c r="A713" s="31">
        <f>IF('5年'!W41="","",設定!$C$26)</f>
        <v/>
      </c>
      <c r="B713" s="31">
        <f>IF('5年'!W41="","",'5年'!V41)</f>
        <v/>
      </c>
      <c r="C713" s="31">
        <f>IF('5年'!W41="","",'5年'!W41)</f>
        <v/>
      </c>
      <c r="D713" s="31">
        <f>IF('5年'!W41="","",'5年'!X41&amp;"")</f>
        <v/>
      </c>
      <c r="E713" s="31">
        <f>IF(D713="","",IFERROR(MATCH(D713,設定!$I$11:$I$30,0),""))</f>
        <v/>
      </c>
      <c r="F713" s="31">
        <f>IF(E713="","",COUNTIF($E$2:E713,E713))</f>
        <v/>
      </c>
      <c r="G713" s="31">
        <f>IF(E713="","",E713*1000+F713)</f>
        <v/>
      </c>
      <c r="H713" s="31">
        <f>設定!$B$8</f>
        <v/>
      </c>
      <c r="I713" s="31">
        <f>IF(AND(C713&lt;&gt;"",D713=""),1,0)</f>
        <v/>
      </c>
      <c r="J713" s="31">
        <f>IF(AND(D713&lt;&gt;"",E713=""),1,0)</f>
        <v/>
      </c>
    </row>
    <row r="714">
      <c r="A714" s="31">
        <f>IF('5年'!W42="","",設定!$C$26)</f>
        <v/>
      </c>
      <c r="B714" s="31">
        <f>IF('5年'!W42="","",'5年'!V42)</f>
        <v/>
      </c>
      <c r="C714" s="31">
        <f>IF('5年'!W42="","",'5年'!W42)</f>
        <v/>
      </c>
      <c r="D714" s="31">
        <f>IF('5年'!W42="","",'5年'!X42&amp;"")</f>
        <v/>
      </c>
      <c r="E714" s="31">
        <f>IF(D714="","",IFERROR(MATCH(D714,設定!$I$11:$I$30,0),""))</f>
        <v/>
      </c>
      <c r="F714" s="31">
        <f>IF(E714="","",COUNTIF($E$2:E714,E714))</f>
        <v/>
      </c>
      <c r="G714" s="31">
        <f>IF(E714="","",E714*1000+F714)</f>
        <v/>
      </c>
      <c r="H714" s="31">
        <f>設定!$B$8</f>
        <v/>
      </c>
      <c r="I714" s="31">
        <f>IF(AND(C714&lt;&gt;"",D714=""),1,0)</f>
        <v/>
      </c>
      <c r="J714" s="31">
        <f>IF(AND(D714&lt;&gt;"",E714=""),1,0)</f>
        <v/>
      </c>
    </row>
    <row r="715">
      <c r="A715" s="31">
        <f>IF('5年'!W43="","",設定!$C$26)</f>
        <v/>
      </c>
      <c r="B715" s="31">
        <f>IF('5年'!W43="","",'5年'!V43)</f>
        <v/>
      </c>
      <c r="C715" s="31">
        <f>IF('5年'!W43="","",'5年'!W43)</f>
        <v/>
      </c>
      <c r="D715" s="31">
        <f>IF('5年'!W43="","",'5年'!X43&amp;"")</f>
        <v/>
      </c>
      <c r="E715" s="31">
        <f>IF(D715="","",IFERROR(MATCH(D715,設定!$I$11:$I$30,0),""))</f>
        <v/>
      </c>
      <c r="F715" s="31">
        <f>IF(E715="","",COUNTIF($E$2:E715,E715))</f>
        <v/>
      </c>
      <c r="G715" s="31">
        <f>IF(E715="","",E715*1000+F715)</f>
        <v/>
      </c>
      <c r="H715" s="31">
        <f>設定!$B$8</f>
        <v/>
      </c>
      <c r="I715" s="31">
        <f>IF(AND(C715&lt;&gt;"",D715=""),1,0)</f>
        <v/>
      </c>
      <c r="J715" s="31">
        <f>IF(AND(D715&lt;&gt;"",E715=""),1,0)</f>
        <v/>
      </c>
    </row>
    <row r="716">
      <c r="A716" s="31">
        <f>IF('5年'!W44="","",設定!$C$26)</f>
        <v/>
      </c>
      <c r="B716" s="31">
        <f>IF('5年'!W44="","",'5年'!V44)</f>
        <v/>
      </c>
      <c r="C716" s="31">
        <f>IF('5年'!W44="","",'5年'!W44)</f>
        <v/>
      </c>
      <c r="D716" s="31">
        <f>IF('5年'!W44="","",'5年'!X44&amp;"")</f>
        <v/>
      </c>
      <c r="E716" s="31">
        <f>IF(D716="","",IFERROR(MATCH(D716,設定!$I$11:$I$30,0),""))</f>
        <v/>
      </c>
      <c r="F716" s="31">
        <f>IF(E716="","",COUNTIF($E$2:E716,E716))</f>
        <v/>
      </c>
      <c r="G716" s="31">
        <f>IF(E716="","",E716*1000+F716)</f>
        <v/>
      </c>
      <c r="H716" s="31">
        <f>設定!$B$8</f>
        <v/>
      </c>
      <c r="I716" s="31">
        <f>IF(AND(C716&lt;&gt;"",D716=""),1,0)</f>
        <v/>
      </c>
      <c r="J716" s="31">
        <f>IF(AND(D716&lt;&gt;"",E716=""),1,0)</f>
        <v/>
      </c>
    </row>
    <row r="717">
      <c r="A717" s="31">
        <f>IF('5年'!W45="","",設定!$C$26)</f>
        <v/>
      </c>
      <c r="B717" s="31">
        <f>IF('5年'!W45="","",'5年'!V45)</f>
        <v/>
      </c>
      <c r="C717" s="31">
        <f>IF('5年'!W45="","",'5年'!W45)</f>
        <v/>
      </c>
      <c r="D717" s="31">
        <f>IF('5年'!W45="","",'5年'!X45&amp;"")</f>
        <v/>
      </c>
      <c r="E717" s="31">
        <f>IF(D717="","",IFERROR(MATCH(D717,設定!$I$11:$I$30,0),""))</f>
        <v/>
      </c>
      <c r="F717" s="31">
        <f>IF(E717="","",COUNTIF($E$2:E717,E717))</f>
        <v/>
      </c>
      <c r="G717" s="31">
        <f>IF(E717="","",E717*1000+F717)</f>
        <v/>
      </c>
      <c r="H717" s="31">
        <f>設定!$B$8</f>
        <v/>
      </c>
      <c r="I717" s="31">
        <f>IF(AND(C717&lt;&gt;"",D717=""),1,0)</f>
        <v/>
      </c>
      <c r="J717" s="31">
        <f>IF(AND(D717&lt;&gt;"",E717=""),1,0)</f>
        <v/>
      </c>
    </row>
    <row r="718">
      <c r="A718" s="31">
        <f>IF('5年'!W46="","",設定!$C$26)</f>
        <v/>
      </c>
      <c r="B718" s="31">
        <f>IF('5年'!W46="","",'5年'!V46)</f>
        <v/>
      </c>
      <c r="C718" s="31">
        <f>IF('5年'!W46="","",'5年'!W46)</f>
        <v/>
      </c>
      <c r="D718" s="31">
        <f>IF('5年'!W46="","",'5年'!X46&amp;"")</f>
        <v/>
      </c>
      <c r="E718" s="31">
        <f>IF(D718="","",IFERROR(MATCH(D718,設定!$I$11:$I$30,0),""))</f>
        <v/>
      </c>
      <c r="F718" s="31">
        <f>IF(E718="","",COUNTIF($E$2:E718,E718))</f>
        <v/>
      </c>
      <c r="G718" s="31">
        <f>IF(E718="","",E718*1000+F718)</f>
        <v/>
      </c>
      <c r="H718" s="31">
        <f>設定!$B$8</f>
        <v/>
      </c>
      <c r="I718" s="31">
        <f>IF(AND(C718&lt;&gt;"",D718=""),1,0)</f>
        <v/>
      </c>
      <c r="J718" s="31">
        <f>IF(AND(D718&lt;&gt;"",E718=""),1,0)</f>
        <v/>
      </c>
    </row>
    <row r="719">
      <c r="A719" s="31">
        <f>IF('5年'!W47="","",設定!$C$26)</f>
        <v/>
      </c>
      <c r="B719" s="31">
        <f>IF('5年'!W47="","",'5年'!V47)</f>
        <v/>
      </c>
      <c r="C719" s="31">
        <f>IF('5年'!W47="","",'5年'!W47)</f>
        <v/>
      </c>
      <c r="D719" s="31">
        <f>IF('5年'!W47="","",'5年'!X47&amp;"")</f>
        <v/>
      </c>
      <c r="E719" s="31">
        <f>IF(D719="","",IFERROR(MATCH(D719,設定!$I$11:$I$30,0),""))</f>
        <v/>
      </c>
      <c r="F719" s="31">
        <f>IF(E719="","",COUNTIF($E$2:E719,E719))</f>
        <v/>
      </c>
      <c r="G719" s="31">
        <f>IF(E719="","",E719*1000+F719)</f>
        <v/>
      </c>
      <c r="H719" s="31">
        <f>設定!$B$8</f>
        <v/>
      </c>
      <c r="I719" s="31">
        <f>IF(AND(C719&lt;&gt;"",D719=""),1,0)</f>
        <v/>
      </c>
      <c r="J719" s="31">
        <f>IF(AND(D719&lt;&gt;"",E719=""),1,0)</f>
        <v/>
      </c>
    </row>
    <row r="720">
      <c r="A720" s="31">
        <f>IF('5年'!W48="","",設定!$C$26)</f>
        <v/>
      </c>
      <c r="B720" s="31">
        <f>IF('5年'!W48="","",'5年'!V48)</f>
        <v/>
      </c>
      <c r="C720" s="31">
        <f>IF('5年'!W48="","",'5年'!W48)</f>
        <v/>
      </c>
      <c r="D720" s="31">
        <f>IF('5年'!W48="","",'5年'!X48&amp;"")</f>
        <v/>
      </c>
      <c r="E720" s="31">
        <f>IF(D720="","",IFERROR(MATCH(D720,設定!$I$11:$I$30,0),""))</f>
        <v/>
      </c>
      <c r="F720" s="31">
        <f>IF(E720="","",COUNTIF($E$2:E720,E720))</f>
        <v/>
      </c>
      <c r="G720" s="31">
        <f>IF(E720="","",E720*1000+F720)</f>
        <v/>
      </c>
      <c r="H720" s="31">
        <f>設定!$B$8</f>
        <v/>
      </c>
      <c r="I720" s="31">
        <f>IF(AND(C720&lt;&gt;"",D720=""),1,0)</f>
        <v/>
      </c>
      <c r="J720" s="31">
        <f>IF(AND(D720&lt;&gt;"",E720=""),1,0)</f>
        <v/>
      </c>
    </row>
    <row r="721">
      <c r="A721" s="31">
        <f>IF('5年'!W49="","",設定!$C$26)</f>
        <v/>
      </c>
      <c r="B721" s="31">
        <f>IF('5年'!W49="","",'5年'!V49)</f>
        <v/>
      </c>
      <c r="C721" s="31">
        <f>IF('5年'!W49="","",'5年'!W49)</f>
        <v/>
      </c>
      <c r="D721" s="31">
        <f>IF('5年'!W49="","",'5年'!X49&amp;"")</f>
        <v/>
      </c>
      <c r="E721" s="31">
        <f>IF(D721="","",IFERROR(MATCH(D721,設定!$I$11:$I$30,0),""))</f>
        <v/>
      </c>
      <c r="F721" s="31">
        <f>IF(E721="","",COUNTIF($E$2:E721,E721))</f>
        <v/>
      </c>
      <c r="G721" s="31">
        <f>IF(E721="","",E721*1000+F721)</f>
        <v/>
      </c>
      <c r="H721" s="31">
        <f>設定!$B$8</f>
        <v/>
      </c>
      <c r="I721" s="31">
        <f>IF(AND(C721&lt;&gt;"",D721=""),1,0)</f>
        <v/>
      </c>
      <c r="J721" s="31">
        <f>IF(AND(D721&lt;&gt;"",E721=""),1,0)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2026-10-02T11:51:35Z</dcterms:created>
  <dcterms:modified xsi:type="dcterms:W3CDTF">2026-10-02T12:02:05Z</dcterms:modified>
</cp:coreProperties>
</file>